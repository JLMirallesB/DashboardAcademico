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iralles/Library/Application Support/Mountain Duck/Volumes.noindex/OneDrive Personal.localized/My Files/_CORE/_MIS APP/DASHBOARDS/"/>
    </mc:Choice>
  </mc:AlternateContent>
  <xr:revisionPtr revIDLastSave="0" documentId="13_ncr:1_{199ABAEB-55BA-6F4D-9DB9-747FA602069D}" xr6:coauthVersionLast="47" xr6:coauthVersionMax="47" xr10:uidLastSave="{00000000-0000-0000-0000-000000000000}"/>
  <bookViews>
    <workbookView xWindow="0" yWindow="680" windowWidth="23200" windowHeight="15040" tabRatio="500" xr2:uid="{00000000-000D-0000-FFFF-FFFF00000000}"/>
  </bookViews>
  <sheets>
    <sheet name="PORTADA_EEM" sheetId="10" r:id="rId1"/>
    <sheet name="CONFIG_ASIGNATURAS" sheetId="2" r:id="rId2"/>
    <sheet name="CONFIG_METADATA" sheetId="3" r:id="rId3"/>
    <sheet name="CONFIG_CORRELACIONES" sheetId="4" r:id="rId4"/>
    <sheet name="DATOS" sheetId="5" r:id="rId5"/>
    <sheet name="CALC_EEM" sheetId="6" r:id="rId6"/>
    <sheet name="DAT_CORRELACION" sheetId="7" r:id="rId7"/>
    <sheet name="CALC_CORRELACIONES" sheetId="8" r:id="rId8"/>
    <sheet name="EXPORTADOR" sheetId="9" r:id="rId9"/>
  </sheets>
  <definedNames>
    <definedName name="nNIA">DATOS!$A$2:INDEX(DATOS!$A:$A,CONFIG_METADATA!$B$8)</definedName>
    <definedName name="nCURSO">DATOS!$D$2:INDEX(DATOS!$D:$D,CONFIG_METADATA!$B$8)</definedName>
    <definedName name="nEVAL">DATOS!$G$2:INDEX(DATOS!$G:$G,CONFIG_METADATA!$B$8)</definedName>
    <definedName name="nASIG">DATOS!$I$2:INDEX(DATOS!$I:$I,CONFIG_METADATA!$B$8)</definedName>
    <definedName name="nNOTA">DATOS!$K$2:INDEX(DATOS!$K:$K,CONFIG_METADATA!$B$8)</definedName>
    <definedName name="nAPTO">DATOS!$L$2:INDEX(DATOS!$L:$L,CONFIG_METADATA!$B$8)</definedName>
    <definedName name="nCLASE_E">CONFIG_METADATA!$E$2:INDEX(CONFIG_METADATA!$E:$E,CONFIG_METADATA!$B$8)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<sst xmlns="http://schemas.openxmlformats.org/spreadsheetml/2006/main" count="831" uniqueCount="191">
  <si>
    <t>ESTRUCTURA DEL ARCHIVO</t>
  </si>
  <si>
    <t>ID</t>
  </si>
  <si>
    <t>Asignatura</t>
  </si>
  <si>
    <t>Cursos</t>
  </si>
  <si>
    <t>Grupo1</t>
  </si>
  <si>
    <t>Grupo2</t>
  </si>
  <si>
    <t>EsEspecialidad</t>
  </si>
  <si>
    <t>Activa</t>
  </si>
  <si>
    <t>CURSOS</t>
  </si>
  <si>
    <t>GRUPOS</t>
  </si>
  <si>
    <t>Lenguaje Musical</t>
  </si>
  <si>
    <t>1EEM;2EEM;3EEM;4EEM</t>
  </si>
  <si>
    <t>Referencia</t>
  </si>
  <si>
    <t>No</t>
  </si>
  <si>
    <t>Sí</t>
  </si>
  <si>
    <t>1EEM</t>
  </si>
  <si>
    <t>Coro</t>
  </si>
  <si>
    <t>NoEspecialidad</t>
  </si>
  <si>
    <t>LenguajeVoz</t>
  </si>
  <si>
    <t>2EEM</t>
  </si>
  <si>
    <t>Especialidad</t>
  </si>
  <si>
    <t>Conjunto</t>
  </si>
  <si>
    <t>3EEM;4EEM</t>
  </si>
  <si>
    <t>3EEM</t>
  </si>
  <si>
    <t>Arpa</t>
  </si>
  <si>
    <t>Cuerda</t>
  </si>
  <si>
    <t>4EEM</t>
  </si>
  <si>
    <t>Clarinete</t>
  </si>
  <si>
    <t>Madera</t>
  </si>
  <si>
    <t>Contrabajo</t>
  </si>
  <si>
    <t>Fagot</t>
  </si>
  <si>
    <t>Metal</t>
  </si>
  <si>
    <t>Flauta Travesera</t>
  </si>
  <si>
    <t>Tecla</t>
  </si>
  <si>
    <t>Guitarra</t>
  </si>
  <si>
    <t>Oboe</t>
  </si>
  <si>
    <t>Percusión</t>
  </si>
  <si>
    <t>Piano</t>
  </si>
  <si>
    <t>Saxofón</t>
  </si>
  <si>
    <t>Trombón</t>
  </si>
  <si>
    <t>Trompa</t>
  </si>
  <si>
    <t>Trompeta</t>
  </si>
  <si>
    <t>Viola</t>
  </si>
  <si>
    <t>Violín</t>
  </si>
  <si>
    <t>Violoncello</t>
  </si>
  <si>
    <t>Campo</t>
  </si>
  <si>
    <t>Valor</t>
  </si>
  <si>
    <t>Evaluaciones</t>
  </si>
  <si>
    <t>Centro</t>
  </si>
  <si>
    <t>CPM Mestre Tárrega</t>
  </si>
  <si>
    <t>1EV</t>
  </si>
  <si>
    <t>CursoAcademico</t>
  </si>
  <si>
    <t>25/26</t>
  </si>
  <si>
    <t>2EV</t>
  </si>
  <si>
    <t>Evaluacion</t>
  </si>
  <si>
    <t>3EV</t>
  </si>
  <si>
    <t>FINAL</t>
  </si>
  <si>
    <t>Curso</t>
  </si>
  <si>
    <t>Asignatura1</t>
  </si>
  <si>
    <t>Asignatura2</t>
  </si>
  <si>
    <t>LEYENDA</t>
  </si>
  <si>
    <t>Especialidad = la asignatura de instrumento del alumno</t>
  </si>
  <si>
    <t>Para añadir nuevas correlaciones, añadir filas aquí</t>
  </si>
  <si>
    <t>NIA</t>
  </si>
  <si>
    <t>Apellidos</t>
  </si>
  <si>
    <t>Nombre</t>
  </si>
  <si>
    <t>Repite</t>
  </si>
  <si>
    <t>Evaluación</t>
  </si>
  <si>
    <t>Código Asig</t>
  </si>
  <si>
    <t>Contenido</t>
  </si>
  <si>
    <t>Nota</t>
  </si>
  <si>
    <t>Nota Numérica</t>
  </si>
  <si>
    <t>Apto</t>
  </si>
  <si>
    <t>Profesor</t>
  </si>
  <si>
    <t>Observ.</t>
  </si>
  <si>
    <t>Nivel</t>
  </si>
  <si>
    <t>TipoAsig</t>
  </si>
  <si>
    <t>Registros</t>
  </si>
  <si>
    <t>NotaMedia</t>
  </si>
  <si>
    <t>Desviacion</t>
  </si>
  <si>
    <t>Moda</t>
  </si>
  <si>
    <t>PctAprobados</t>
  </si>
  <si>
    <t>PctSuspendidos</t>
  </si>
  <si>
    <t>ModaAprobados</t>
  </si>
  <si>
    <t>ModaSuspendidos</t>
  </si>
  <si>
    <t>Dist1</t>
  </si>
  <si>
    <t>Dist2</t>
  </si>
  <si>
    <t>Dist3</t>
  </si>
  <si>
    <t>Dist4</t>
  </si>
  <si>
    <t>Dist5</t>
  </si>
  <si>
    <t>Dist6</t>
  </si>
  <si>
    <t>Dist7</t>
  </si>
  <si>
    <t>Dist8</t>
  </si>
  <si>
    <t>Dist9</t>
  </si>
  <si>
    <t>Dist10</t>
  </si>
  <si>
    <t>AplicaACurso</t>
  </si>
  <si>
    <t>GLOBAL</t>
  </si>
  <si>
    <t>Total</t>
  </si>
  <si>
    <t>Total Especialidad</t>
  </si>
  <si>
    <t>TotalEsp</t>
  </si>
  <si>
    <t>Total no Especialidad</t>
  </si>
  <si>
    <t>TotalNoEsp</t>
  </si>
  <si>
    <t>DATOS PARA CORRELACIONES - Pivoteados por alumno</t>
  </si>
  <si>
    <t>Nota: Si UNIQUE no funciona, los NIAs se pueden copiar manualmente desde DATOS</t>
  </si>
  <si>
    <t>CURSO</t>
  </si>
  <si>
    <t>LM</t>
  </si>
  <si>
    <t>Conj</t>
  </si>
  <si>
    <t>Esp</t>
  </si>
  <si>
    <t>Correlacion</t>
  </si>
  <si>
    <t>N_Muestras</t>
  </si>
  <si>
    <t>Interpretacion</t>
  </si>
  <si>
    <t>INTERPRETACIÓN</t>
  </si>
  <si>
    <t>0.80 – 1.00</t>
  </si>
  <si>
    <t>Muy fuerte</t>
  </si>
  <si>
    <t>Los resultados están casi totalmente vinculados</t>
  </si>
  <si>
    <t>0.60 – 0.79</t>
  </si>
  <si>
    <t>Fuerte</t>
  </si>
  <si>
    <t>Alta relación entre el aprendizaje</t>
  </si>
  <si>
    <t>0.40 – 0.59</t>
  </si>
  <si>
    <t>Moderada</t>
  </si>
  <si>
    <t>Hay relación significativa</t>
  </si>
  <si>
    <t>0.20 – 0.39</t>
  </si>
  <si>
    <t>Débil</t>
  </si>
  <si>
    <t>La relación existe pero es discreta</t>
  </si>
  <si>
    <t>0.00 – 0.19</t>
  </si>
  <si>
    <t>Muy débil</t>
  </si>
  <si>
    <t>Cada asignatura se comporta de forma independiente</t>
  </si>
  <si>
    <t>&lt; 0</t>
  </si>
  <si>
    <t>Inversa</t>
  </si>
  <si>
    <t>Relación negativa (raro)</t>
  </si>
  <si>
    <t>#METADATA</t>
  </si>
  <si>
    <t>Trimestre</t>
  </si>
  <si>
    <t>#ESTADISTICAS</t>
  </si>
  <si>
    <t>Tipo</t>
  </si>
  <si>
    <t>#AGRUPACIONES</t>
  </si>
  <si>
    <t>Grupos</t>
  </si>
  <si>
    <t>AGR</t>
  </si>
  <si>
    <t>#CORRELACIONES</t>
  </si>
  <si>
    <t>COR</t>
  </si>
  <si>
    <t>Versión 1.0  ·  Diciembre 2024</t>
  </si>
  <si>
    <t>━━━━━━━━━━━━━━━━━━━━━━━━━━━━━━━━━━━━━━━━━━━━━━━━━━</t>
  </si>
  <si>
    <t xml:space="preserve">     Salida CSV con secciones #METADATA, #ESTADISTICAS, #CORRELACIONES, #AGRUPACIONES.</t>
  </si>
  <si>
    <t>◆  EXPORTADOR</t>
  </si>
  <si>
    <t xml:space="preserve">     Resultados de correlaciones con interpretación.</t>
  </si>
  <si>
    <t>◆  CALC_CORRELACIONES</t>
  </si>
  <si>
    <t xml:space="preserve">     Datos pivoteados por alumno para correlaciones.</t>
  </si>
  <si>
    <t>◆  DAT_CORRELACION</t>
  </si>
  <si>
    <t xml:space="preserve">     Cálculos estadísticos automáticos (media, desviación, moda, distribución).</t>
  </si>
  <si>
    <t>◆  CALC_EEM</t>
  </si>
  <si>
    <t xml:space="preserve">     Importar aquí todos los registros de calificaciones.</t>
  </si>
  <si>
    <t>◆  DATOS</t>
  </si>
  <si>
    <t xml:space="preserve">     Pares de asignaturas para calcular correlaciones.</t>
  </si>
  <si>
    <t>◆  CONFIG_CORRELACIONES</t>
  </si>
  <si>
    <t xml:space="preserve">     Centro, curso académico y selector de evaluación (1EV, 2EV, 3EV, FINAL).</t>
  </si>
  <si>
    <t>◆  CONFIG_METADATA</t>
  </si>
  <si>
    <t xml:space="preserve">     Lista maestra de asignaturas, cursos y agrupaciones.</t>
  </si>
  <si>
    <t>◆  CONFIG_ASIGNATURAS</t>
  </si>
  <si>
    <t xml:space="preserve">     Esta portada con las instrucciones de uso.</t>
  </si>
  <si>
    <t>◆  INSTRUCCIONES</t>
  </si>
  <si>
    <t xml:space="preserve">  Si no, contacta con el desarrollador para solicitar modificaciones.</t>
  </si>
  <si>
    <t>• Si tienes conocimientos de Excel, puedes adaptar las asignaturas que falten.</t>
  </si>
  <si>
    <t>• Capacidad máxima: 1.000 alumnos por evaluación.</t>
  </si>
  <si>
    <t xml:space="preserve">  Verifica que coincidan con las de tu centro.</t>
  </si>
  <si>
    <t>• Consulta CONFIG_ASIGNATURAS para ver las asignaturas implementadas.</t>
  </si>
  <si>
    <t xml:space="preserve">  Puede requerir adaptaciones para otras comunidades autónomas.</t>
  </si>
  <si>
    <t>• El plan de estudios está basado en la normativa de la Comunitat Valenciana.</t>
  </si>
  <si>
    <t>• Este analizador es exclusivo para Enseñanzas Elementales de Música en Conservatorios.</t>
  </si>
  <si>
    <t>⚠  AVISOS IMPORTANTES</t>
  </si>
  <si>
    <t xml:space="preserve">      Sube el CSV a la APP para visualizar los datos.</t>
  </si>
  <si>
    <t xml:space="preserve">      Copia toda la hoja EXPORTADOR y guárdala como CSV.</t>
  </si>
  <si>
    <t>4. EXPORTAR</t>
  </si>
  <si>
    <t xml:space="preserve">      Revisa CALC_CORRELACIONES para ver las correlaciones entre asignaturas.</t>
  </si>
  <si>
    <t xml:space="preserve">      Revisa CALC_EEM / CALC_EPM para ver las estadísticas calculadas.</t>
  </si>
  <si>
    <t>3. VERIFICAR CÁLCULOS</t>
  </si>
  <si>
    <t xml:space="preserve">      En CONFIG_METADATA, cambia la celda B4 para filtrar la evaluación deseada.</t>
  </si>
  <si>
    <t>2. SELECCIONAR EVALUACIÓN</t>
  </si>
  <si>
    <t xml:space="preserve">      Incluye solo una única evaluación. Duplica este excel para analizar cada evaluación por separado.</t>
  </si>
  <si>
    <t xml:space="preserve">      Pega los datos de calificaciones en la hoja DATOS.</t>
  </si>
  <si>
    <t>1. IMPORTAR DATOS</t>
  </si>
  <si>
    <t>CÓMO USAR ESTE ANALIZADOR</t>
  </si>
  <si>
    <t>ENLACES</t>
  </si>
  <si>
    <t>Desarrollado con Claude (Anthropic)</t>
  </si>
  <si>
    <t>www.jlmirall.es  ·  joseluismirallesbono@gmail.com</t>
  </si>
  <si>
    <t>José Luis Miralles Bono</t>
  </si>
  <si>
    <t>Creado mediante Vibe Coding por:</t>
  </si>
  <si>
    <t>Analizador de Calificaciones de Enseñanzas Elementales de Música
para Conservatorios</t>
  </si>
  <si>
    <t>ANALIZADOR EEM</t>
  </si>
  <si>
    <t>▸ APP para visualizar los datos exportados: https://jlmirallesb.github.io/DashboardAcademico/</t>
  </si>
  <si>
    <t>▸ Repositorio en GitHub: https://github.com/JLMirallesB/DashboardAcademico</t>
  </si>
  <si>
    <t>▸ Reporta errores o bugs: https://github.com/JLMirallesB/DashboardAcademico/issues</t>
  </si>
  <si>
    <t>▸ ¿Te ha sido útil? Invita a un café al desarrollador: https://ko-fi.com/miralles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</si>
</sst>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2" x14ac:knownFonts="1">
    <font>
      <sz val="11"/>
      <color theme="1"/>
      <name val="Calibri"/>
      <family val="2"/>
      <charset val="1"/>
    </font>
    <font>
      <b/>
      <sz val="11"/>
      <color rgb="FFFFFFFF"/>
      <name val="Cambria"/>
      <family val="1"/>
    </font>
    <font>
      <b/>
      <sz val="11"/>
      <color rgb="FF0000FF"/>
      <name val="Cambria"/>
      <family val="1"/>
    </font>
    <font>
      <b/>
      <sz val="11"/>
      <name val="Cambria"/>
      <family val="1"/>
    </font>
    <font>
      <b/>
      <sz val="12"/>
      <name val="Cambria"/>
      <family val="1"/>
    </font>
    <font>
      <i/>
      <sz val="11"/>
      <color rgb="FF666666"/>
      <name val="Cambria"/>
      <family val="1"/>
    </font>
    <font>
      <i/>
      <sz val="11"/>
      <color rgb="FFFF0000"/>
      <name val="Cambria"/>
      <family val="1"/>
    </font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i/>
      <sz val="9"/>
      <color rgb="FF999999"/>
      <name val="Calibri"/>
      <family val="2"/>
    </font>
    <font>
      <sz val="8"/>
      <color rgb="FFCCCCCC"/>
      <name val="Calibri"/>
      <family val="2"/>
    </font>
    <font>
      <sz val="10"/>
      <color rgb="FF555555"/>
      <name val="Calibri"/>
      <family val="2"/>
    </font>
    <font>
      <b/>
      <sz val="11"/>
      <color rgb="FF000000"/>
      <name val="Calibri"/>
      <family val="2"/>
    </font>
    <font>
      <b/>
      <sz val="14"/>
      <color rgb="FFFFFFFF"/>
      <name val="Calibri"/>
      <family val="2"/>
    </font>
    <font>
      <sz val="10"/>
      <color rgb="FF333333"/>
      <name val="Calibri"/>
      <family val="2"/>
    </font>
    <font>
      <sz val="11"/>
      <color rgb="FF333333"/>
      <name val="Calibri"/>
      <family val="2"/>
    </font>
    <font>
      <i/>
      <sz val="10"/>
      <color rgb="FF999999"/>
      <name val="Calibri"/>
      <family val="2"/>
    </font>
    <font>
      <sz val="10"/>
      <color rgb="FF666666"/>
      <name val="Calibri"/>
      <family val="2"/>
    </font>
    <font>
      <b/>
      <sz val="12"/>
      <color rgb="FF000000"/>
      <name val="Calibri"/>
      <family val="2"/>
    </font>
    <font>
      <i/>
      <sz val="14"/>
      <color rgb="FF333333"/>
      <name val="Calibri"/>
      <family val="2"/>
    </font>
    <font>
      <sz val="8"/>
      <color rgb="FF999999"/>
      <name val="Calibri"/>
      <family val="2"/>
    </font>
    <font>
      <b/>
      <sz val="28"/>
      <color rgb="FF000000"/>
      <name val="Calibri"/>
      <family val="2"/>
    </font>
    <font>
      <u/>
      <sz val="11"/>
      <color theme="10"/>
      <name val="Calibri"/>
      <family val="2"/>
      <charset val="1"/>
    </font>
    <font>
      <sz val="30"/>
      <color rgb="FF111827"/>
      <name val="Calibri Light"/>
      <family val="2"/>
    </font>
    <font>
      <sz val="13"/>
      <color rgb="FF6B7280"/>
      <name val="Calibri"/>
      <family val="2"/>
    </font>
    <font>
      <b/>
      <sz val="12"/>
      <color rgb="FF1D4ED8"/>
      <name val="Calibri"/>
      <family val="2"/>
    </font>
    <font>
      <sz val="11"/>
      <color rgb="FF374151"/>
      <name val="Calibri"/>
      <family val="2"/>
    </font>
    <font>
      <b/>
      <sz val="11"/>
      <color rgb="FF111827"/>
      <name val="Calibri"/>
      <family val="2"/>
    </font>
    <font>
      <sz val="9"/>
      <color rgb="FF9CA3AF"/>
      <name val="Calibri"/>
      <family val="2"/>
    </font>
    <font>
      <b/>
      <sz val="11"/>
      <color rgb="FF1D4ED8"/>
      <name val="Consolas"/>
      <family val="3"/>
    </font>
    <font>
      <b/>
      <sz val="12"/>
      <color rgb="FF92400E"/>
      <name val="Calibri"/>
      <family val="2"/>
    </font>
    <font>
      <sz val="11"/>
      <color rgb="FF92400E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D9E2F3"/>
        <bgColor rgb="FFCCFFFF"/>
      </patternFill>
    </fill>
    <fill>
      <patternFill patternType="solid">
        <fgColor rgb="FFFFC000"/>
        <bgColor rgb="FFFF9900"/>
      </patternFill>
    </fill>
    <fill>
      <patternFill patternType="solid"/>
    </fill>
    <fill>
      <patternFill patternType="solid">
        <fgColor rgb="FF333333"/>
      </patternFill>
    </fill>
    <fill>
      <patternFill patternType="solid">
        <fgColor rgb="FFF8FAFC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EF7E7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E5E7EB"/>
      </bottom>
      <diagonal/>
    </border>
    <border>
      <left/>
      <right/>
      <top/>
      <bottom style="medium">
        <color rgb="FF1D4ED8"/>
      </bottom>
      <diagonal/>
    </border>
  </borders>
  <cellStyleXfs count="4">
    <xf numFmtId="0" fontId="0" fillId="0" borderId="0"/>
    <xf numFmtId="9" fontId="7" fillId="0" borderId="0" applyFont="0" applyFill="0" applyBorder="0" applyAlignment="0" applyProtection="0"/>
    <xf numFmtId="0" fontId="8" fillId="0" borderId="0"/>
    <xf numFmtId="0" fontId="22" fillId="0" borderId="0" applyNumberFormat="0" applyFill="0" applyBorder="0" applyAlignment="0" applyProtection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/>
    <xf numFmtId="0" fontId="0" fillId="0" borderId="1" xfId="0" applyBorder="1"/>
    <xf numFmtId="0" fontId="2" fillId="0" borderId="0" xfId="0" applyFont="1"/>
    <xf numFmtId="0" fontId="1" fillId="2" borderId="1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3" borderId="0" xfId="0" applyFont="1" applyFill="1"/>
    <xf numFmtId="0" fontId="3" fillId="4" borderId="0" xfId="0" applyFont="1" applyFill="1"/>
    <xf numFmtId="2" fontId="1" fillId="2" borderId="1" xfId="0" applyNumberFormat="1" applyFont="1" applyFill="1" applyBorder="1" applyAlignment="1">
      <alignment horizontal="center"/>
    </xf>
    <xf numFmtId="2" fontId="0" fillId="0" borderId="0" xfId="0" applyNumberFormat="1"/>
    <xf numFmtId="9" fontId="0" fillId="0" borderId="0" xfId="1" applyFont="1"/>
    <xf numFmtId="164" fontId="0" fillId="0" borderId="0" xfId="1" applyNumberFormat="1" applyFont="1"/>
    <xf numFmtId="0" fontId="8" fillId="0" borderId="0" xfId="2"/>
    <xf numFmtId="0" fontId="9" fillId="0" borderId="0" xfId="2" applyFont="1" applyAlignment="1">
      <alignment horizontal="center"/>
    </xf>
    <xf numFmtId="0" fontId="11" fillId="0" borderId="0" xfId="2" applyFont="1"/>
    <xf numFmtId="0" fontId="12" fillId="0" borderId="0" xfId="2" applyFont="1"/>
    <xf numFmtId="0" fontId="13" fillId="5" borderId="0" xfId="2" applyFont="1" applyFill="1" applyAlignment="1">
      <alignment horizontal="center"/>
    </xf>
    <xf numFmtId="0" fontId="14" fillId="0" borderId="0" xfId="2" applyFont="1"/>
    <xf numFmtId="0" fontId="13" fillId="6" borderId="0" xfId="2" applyFont="1" applyFill="1" applyAlignment="1">
      <alignment horizontal="center"/>
    </xf>
    <xf numFmtId="0" fontId="15" fillId="0" borderId="0" xfId="2" applyFont="1"/>
    <xf numFmtId="0" fontId="16" fillId="0" borderId="0" xfId="2" applyFont="1"/>
    <xf numFmtId="0" fontId="17" fillId="0" borderId="0" xfId="2" applyFont="1"/>
    <xf numFmtId="0" fontId="18" fillId="0" borderId="0" xfId="2" applyFont="1"/>
    <xf numFmtId="0" fontId="20" fillId="0" borderId="0" xfId="2" applyFont="1" applyAlignment="1">
      <alignment horizontal="center"/>
    </xf>
    <xf numFmtId="0" fontId="19" fillId="0" borderId="0" xfId="2" applyFont="1" applyAlignment="1">
      <alignment horizontal="center" vertical="center" wrapText="1"/>
    </xf>
    <xf numFmtId="0" fontId="21" fillId="0" borderId="0" xfId="2" applyFont="1" applyAlignment="1">
      <alignment horizontal="center" vertical="center"/>
    </xf>
    <xf numFmtId="0" fontId="10" fillId="0" borderId="0" xfId="2" applyFont="1" applyAlignment="1">
      <alignment horizontal="center"/>
    </xf>
    <xf numFmtId="0" fontId="22" fillId="0" borderId="0" xfId="3"/>
    <xf numFmtId="0" fontId="23" fillId="0" borderId="0" xfId="2" applyFont="1" applyAlignment="1">
      <alignment horizontal="left" vertical="center" wrapText="1"/>
    </xf>
    <xf numFmtId="0" fontId="24" fillId="0" borderId="0" xfId="2" applyFont="1" applyAlignment="1">
      <alignment horizontal="left" vertical="center" wrapText="1"/>
    </xf>
    <xf numFmtId="0" fontId="25" fillId="0" borderId="3" xfId="2" applyFont="1" applyBorder="1" applyAlignment="1">
      <alignment horizontal="left" vertical="center" wrapText="1"/>
    </xf>
    <xf numFmtId="0" fontId="26" fillId="0" borderId="0" xfId="2" applyFont="1" applyAlignment="1">
      <alignment horizontal="left" vertical="center" wrapText="1"/>
    </xf>
    <xf numFmtId="0" fontId="27" fillId="0" borderId="0" xfId="2" applyFont="1" applyAlignment="1">
      <alignment horizontal="left" vertical="center" wrapText="1"/>
    </xf>
    <xf numFmtId="0" fontId="28" fillId="0" borderId="0" xfId="2" applyFont="1" applyAlignment="1">
      <alignment horizontal="left" vertical="center" wrapText="1"/>
    </xf>
    <xf numFmtId="0" fontId="29" fillId="8" borderId="0" xfId="2" applyFont="1" applyFill="1" applyAlignment="1">
      <alignment horizontal="left" vertical="center" wrapText="1"/>
    </xf>
    <xf numFmtId="0" fontId="30" fillId="9" borderId="0" xfId="2" applyFont="1" applyFill="1" applyAlignment="1">
      <alignment horizontal="left" vertical="center" wrapText="1"/>
    </xf>
    <xf numFmtId="0" fontId="31" fillId="9" borderId="0" xfId="2" applyFont="1" applyFill="1" applyAlignment="1">
      <alignment horizontal="left" vertical="center" wrapText="1"/>
    </xf>
    <xf numFmtId="0" fontId="26" fillId="7" borderId="0" xfId="2" applyFont="1" applyFill="1" applyAlignment="1">
      <alignment horizontal="left" vertical="center" wrapText="1"/>
    </xf>
    <xf numFmtId="0" fontId="27" fillId="0" borderId="2" xfId="2" applyFont="1" applyBorder="1" applyAlignment="1">
      <alignment horizontal="left" vertical="center" wrapText="1"/>
    </xf>
    <xf numFmtId="0" fontId="26" fillId="0" borderId="0" xfId="2" applyFont="1" applyAlignment="1">
      <alignment horizontal="right" vertical="center" wrapText="1"/>
    </xf>
  </cellXfs>
  <cellStyles count="4">
    <cellStyle name="Hipervínculo" xfId="3" builtinId="8"/>
    <cellStyle name="Normal" xfId="0" builtinId="0"/>
    <cellStyle name="Normal 2" xfId="2" xr:uid="{6C19810B-846F-FA4A-9034-DEBA2C8DFA73}"/>
    <cellStyle name="Porcentaje" xfId="1" builtinId="5"/>
  </cellStyles>
  <dxfs count="1">
    <dxf>
      <font>
        <color rgb="FF9CA3AF"/>
      </font>
      <fill>
        <patternFill>
          <bgColor rgb="FFFDF2F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JLMirallesB/DashboardAcademico/issues" TargetMode="External"/><Relationship Id="rId2" Type="http://schemas.openxmlformats.org/officeDocument/2006/relationships/hyperlink" Target="https://github.com/JLMirallesB/DashboardAcademico" TargetMode="External"/><Relationship Id="rId1" Type="http://schemas.openxmlformats.org/officeDocument/2006/relationships/hyperlink" Target="https://jlmirallesb.github.io/DashboardAcademico/" TargetMode="External"/><Relationship Id="rId4" Type="http://schemas.openxmlformats.org/officeDocument/2006/relationships/hyperlink" Target="https://ko-fi.com/miral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9485E-7FD2-174D-8D06-2341AAEDD666}">
  <dimension ref="A1:C58"/>
  <sheetViews>
    <sheetView showGridLines="0" tabSelected="1" topLeftCell="A8" workbookViewId="0">
      <selection activeCell="B16" sqref="B16"/>
    </sheetView>
  </sheetViews>
  <sheetFormatPr baseColWidth="10" defaultColWidth="8.83203125" defaultRowHeight="15" x14ac:dyDescent="0.2"/>
  <cols>
    <col min="1" max="1" width="4" customWidth="1"/>
    <col min="2" max="2" width="104" customWidth="1"/>
    <col min="3" max="3" width="4" customWidth="1"/>
  </cols>
  <sheetData>
    <row r="2" ht="34" customHeight="1">
      <c r="B2" s="33" t="inlineStr">
        <is>
          <t xml:space="preserve">Analizador de calificaciones</t>
        </is>
      </c>
    </row>
    <row r="3" ht="20" customHeight="1">
      <c r="B3" s="34" t="inlineStr">
        <is>
          <t xml:space="preserve">Enseñanzas Elementales de Música · Conservatorios</t>
        </is>
      </c>
    </row>
    <row r="5" ht="20" customHeight="1">
      <c r="B5" s="35" t="inlineStr">
        <is>
          <t xml:space="preserve">EMPEZAR</t>
        </is>
      </c>
    </row>
    <row r="6" ht="16" customHeight="1">
      <c r="B6" s="37" t="inlineStr">
        <is>
          <t xml:space="preserve">1 · Pega las calificaciones en la hoja DATOS</t>
        </is>
      </c>
    </row>
    <row r="7" ht="16" customHeight="1">
      <c r="B7" s="36" t="inlineStr">
        <is>
          <t xml:space="preserve">Una fila por alumno, asignatura y evaluación. Las columnas ya están puestas: respeta su orden y sus nombres.</t>
        </is>
      </c>
    </row>
    <row r="9" ht="16" customHeight="1">
      <c r="B9" s="37" t="inlineStr">
        <is>
          <t xml:space="preserve">2 · Elige la evaluación</t>
        </is>
      </c>
    </row>
    <row r="10" ht="16" customHeight="1">
      <c r="B10" s="39" t="inlineStr">
        <is>
          <t xml:space="preserve">CONFIG_METADATA!B4</t>
        </is>
      </c>
    </row>
    <row r="11" ht="16" customHeight="1">
      <c r="B11" s="36" t="inlineStr">
        <is>
          <t xml:space="preserve">Códigos: 1EV · 2EV · 3EV · FI</t>
        </is>
      </c>
    </row>
    <row r="13" ht="16" customHeight="1">
      <c r="B13" s="37" t="inlineStr">
        <is>
          <t xml:space="preserve">3 · Mira los avisos antes de fiarte de las cifras</t>
        </is>
      </c>
    </row>
    <row r="14" ht="16" customHeight="1">
      <c r="B14" s="36" t="inlineStr">
        <is>
          <t xml:space="preserve">Están en CONFIG_METADATA, debajo de la configuración. Cada uno dice qué significa que no sea cero.</t>
        </is>
      </c>
    </row>
    <row r="16" ht="16" customHeight="1">
      <c r="B16" s="37" t="inlineStr">
        <is>
          <t xml:space="preserve">4 · Exporta</t>
        </is>
      </c>
    </row>
    <row r="17" ht="16" customHeight="1">
      <c r="B17" s="36" t="inlineStr">
        <is>
          <t xml:space="preserve">Copia la hoja EXPORTADOR entera y guárdala como CSV. Ese CSV es lo que lee la aplicación de visualización.</t>
        </is>
      </c>
    </row>
    <row r="19" ht="20" customHeight="1">
      <c r="B19" s="35" t="inlineStr">
        <is>
          <t xml:space="preserve">AÑADIR UNA ASIGNATURA</t>
        </is>
      </c>
    </row>
    <row r="20" ht="16" customHeight="1">
      <c r="B20" s="36" t="inlineStr">
        <is>
          <t xml:space="preserve">Escríbela en la primera fila libre de CONFIG_ASIGNATURAS: está marcada con una flecha, y al lado tienes las instrucciones.</t>
        </is>
      </c>
    </row>
    <row r="21" ht="16" customHeight="1">
      <c r="B21" s="37" t="inlineStr">
        <is>
          <t xml:space="preserve">No hay que insertar filas ni ordenar nada.</t>
        </is>
      </c>
    </row>
    <row r="22" ht="16" customHeight="1">
      <c r="B22" s="36" t="inlineStr">
        <is>
          <t xml:space="preserve">Las fórmulas no miran posiciones, miran columnas.</t>
        </is>
      </c>
    </row>
    <row r="24" ht="16" customHeight="1">
      <c r="B24" s="37" t="inlineStr">
        <is>
          <t xml:space="preserve">El nombre tiene que coincidir letra por letra con el que traen tus datos.</t>
        </is>
      </c>
    </row>
    <row r="25" ht="16" customHeight="1">
      <c r="B25" s="36" t="inlineStr">
        <is>
          <t xml:space="preserve">Si no coincide, esa asignatura no aparece: ni siquiera con un cero. Los registros que se queden fuera los cuenta el aviso «FueraDeLasCifras».</t>
        </is>
      </c>
    </row>
    <row r="27" ht="20" customHeight="1">
      <c r="B27" s="35" t="inlineStr">
        <is>
          <t xml:space="preserve">QUÉ HAY EN CADA HOJA</t>
        </is>
      </c>
    </row>
    <row r="28" ht="16" customHeight="1">
      <c r="B28" s="37" t="inlineStr">
        <is>
          <t xml:space="preserve">CONFIG_ASIGNATURAS</t>
        </is>
      </c>
    </row>
    <row r="29" ht="16" customHeight="1">
      <c r="B29" s="36" t="inlineStr">
        <is>
          <t xml:space="preserve">La lista maestra. Manda ella: de aquí salen los nombres, los cursos y qué cuenta como especialidad.</t>
        </is>
      </c>
    </row>
    <row r="30" ht="16" customHeight="1">
      <c r="B30" s="37" t="inlineStr">
        <is>
          <t xml:space="preserve">CONFIG_METADATA</t>
        </is>
      </c>
    </row>
    <row r="31" ht="16" customHeight="1">
      <c r="B31" s="36" t="inlineStr">
        <is>
          <t xml:space="preserve">Centro, curso académico, selector de evaluación y los avisos.</t>
        </is>
      </c>
    </row>
    <row r="32" ht="16" customHeight="1">
      <c r="B32" s="37" t="inlineStr">
        <is>
          <t xml:space="preserve">CONFIG_CORRELACIONES</t>
        </is>
      </c>
    </row>
    <row r="33" ht="16" customHeight="1">
      <c r="B33" s="36" t="inlineStr">
        <is>
          <t xml:space="preserve">Los pares de asignaturas que se comparan entre sí.</t>
        </is>
      </c>
    </row>
    <row r="34" ht="16" customHeight="1">
      <c r="B34" s="37" t="inlineStr">
        <is>
          <t xml:space="preserve">DATOS</t>
        </is>
      </c>
    </row>
    <row r="35" ht="16" customHeight="1">
      <c r="B35" s="36" t="inlineStr">
        <is>
          <t xml:space="preserve">Donde se pegan las calificaciones. Es la única hoja que se toca a mano.</t>
        </is>
      </c>
    </row>
    <row r="36" ht="16" customHeight="1">
      <c r="B36" s="37" t="inlineStr">
        <is>
          <t xml:space="preserve">CALC_EEM</t>
        </is>
      </c>
    </row>
    <row r="37" ht="16" customHeight="1">
      <c r="B37" s="36" t="inlineStr">
        <is>
          <t xml:space="preserve">Los cálculos: recuento, media, desviación, moda, aprobados y reparto de notas.</t>
        </is>
      </c>
    </row>
    <row r="38" ht="16" customHeight="1">
      <c r="B38" s="37" t="inlineStr">
        <is>
          <t xml:space="preserve">DAT_CORRELACION  ·  CALC_CORRELACIONES</t>
        </is>
      </c>
    </row>
    <row r="39" ht="16" customHeight="1">
      <c r="B39" s="36" t="inlineStr">
        <is>
          <t xml:space="preserve">El cruce entre asignaturas y su resultado.</t>
        </is>
      </c>
    </row>
    <row r="40" ht="16" customHeight="1">
      <c r="B40" s="37" t="inlineStr">
        <is>
          <t xml:space="preserve">EXPORTADOR</t>
        </is>
      </c>
    </row>
    <row r="41" ht="16" customHeight="1">
      <c r="B41" s="36" t="inlineStr">
        <is>
          <t xml:space="preserve">La salida en CSV, con sus secciones #METADATA, #ESTADISTICAS, #CORRELACIONES y #AGRUPACIONES.</t>
        </is>
      </c>
    </row>
    <row r="43" ht="20" customHeight="1">
      <c r="B43" s="40" t="inlineStr">
        <is>
          <t xml:space="preserve">ANTES DE FIARTE</t>
        </is>
      </c>
    </row>
    <row r="44" ht="16" customHeight="1">
      <c r="B44" s="41" t="inlineStr">
        <is>
          <t xml:space="preserve">El plan de estudios sigue la normativa de la Comunitat Valenciana. Otra comunidad puede necesitar ajustes en CONFIG_ASIGNATURAS.</t>
        </is>
      </c>
    </row>
    <row r="45" ht="16" customHeight="1">
      <c r="B45" s="41" t="inlineStr">
        <is>
          <t xml:space="preserve">Comprueba que las asignaturas activas son las de tu centro. Lo que no esté activo no sale por ningún sitio.</t>
        </is>
      </c>
    </row>
    <row r="46" ht="16" customHeight="1">
      <c r="B46" s="41" t="inlineStr">
        <is>
          <t xml:space="preserve">Caben hasta 20.000 filas de calificaciones. Los cálculos llegan hasta la última fila con datos, no más allá.</t>
        </is>
      </c>
    </row>
    <row r="47" ht="16" customHeight="1">
      <c r="B47" s="41" t="inlineStr">
        <is>
          <t xml:space="preserve">El libro se recalcula solo al abrirse. Si lo cierras sin guardar, no pasa nada: las cifras se rehacen.</t>
        </is>
      </c>
    </row>
    <row r="49" ht="20" customHeight="1">
      <c r="B49" s="35" t="inlineStr">
        <is>
          <t xml:space="preserve">ENLACES</t>
        </is>
      </c>
    </row>
    <row r="50" ht="16" customHeight="1">
      <c r="B50" s="36" t="inlineStr">
        <is>
          <t xml:space="preserve">Aplicación para visualizar los datos exportados</t>
        </is>
      </c>
    </row>
    <row r="51" ht="16" customHeight="1">
      <c r="B51" s="36" t="inlineStr">
        <is>
          <t xml:space="preserve">Repositorio del proyecto</t>
        </is>
      </c>
    </row>
    <row r="52" ht="16" customHeight="1">
      <c r="B52" s="36" t="inlineStr">
        <is>
          <t xml:space="preserve">Avisar de un fallo</t>
        </is>
      </c>
    </row>
    <row r="53" ht="16" customHeight="1">
      <c r="B53" s="36" t="inlineStr">
        <is>
          <t xml:space="preserve">¿Te ha resultado útil? Invita a un café al desarrollador</t>
        </is>
      </c>
    </row>
    <row r="55" ht="16" customHeight="1">
      <c r="B55" s="38" t="inlineStr">
        <is>
          <t xml:space="preserve">José Luis Miralles Bono · www.jlmirall.es · joseluismirallesbono@gmail.com</t>
        </is>
      </c>
    </row>
    <row r="56" ht="16" customHeight="1">
      <c r="B56" s="38" t="inlineStr">
        <is>
          <t xml:space="preserve">Desarrollado con Claude (Anthropic)</t>
        </is>
      </c>
    </row>
    <row r="58" ht="16" customHeight="1">
      <c r="B58" s="38" t="inlineStr">
        <is>
          <t xml:space="preserve">Versión 2.0 · agosto 2026</t>
        </is>
      </c>
    </row>
  </sheetData>
  <hyperlinks>
    <hyperlink ref="B50" r:id="rId1"/>
    <hyperlink ref="B51" r:id="rId2"/>
    <hyperlink ref="B52" r:id="rId3"/>
    <hyperlink ref="B5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1"/>
  <sheetViews>
    <sheetView zoomScaleNormal="100" workbookViewId="0">
      <selection activeCell="E13" sqref="E13"/>
    </sheetView>
  </sheetViews>
  <sheetFormatPr baseColWidth="10" defaultColWidth="8.6640625" defaultRowHeight="15" x14ac:dyDescent="0.2"/>
  <cols>
    <col min="1" max="1" width="5" customWidth="1"/>
    <col min="2" max="2" width="20" customWidth="1"/>
    <col min="3" max="3" width="25" customWidth="1"/>
    <col min="4" max="4" width="15" customWidth="1"/>
    <col min="5" max="5" width="12" customWidth="1"/>
    <col min="6" max="6" width="15" customWidth="1"/>
    <col min="7" max="7" width="8" customWidth="1"/>
  </cols>
  <sheetData>
    <row r="1" spans="1:11" ht="15" customHeight="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inlineStr">
        <is>
          <t xml:space="preserve">UnaSolaVez</t>
        </is>
      </c>
      <c r="I1" s="1" t="inlineStr">
        <is>
          <t xml:space="preserve">Tipo</t>
        </is>
      </c>
      <c r="J1" s="1" t="inlineStr">
        <is>
          <t xml:space="preserve">Clase (calculada)</t>
        </is>
      </c>
      <c r="K1" s="3" t="inlineStr">
        <is>
          <t xml:space="preserve">CÓMO AÑADIR UNA ASIGNATURA</t>
        </is>
      </c>
    </row>
    <row r="2" spans="1:11" ht="15" customHeight="1">
      <c r="A2" s="3">
        <v>1</v>
      </c>
      <c r="B2" s="3" t="inlineStr">
        <is>
          <t xml:space="preserve">Lenguaje Musical</t>
        </is>
      </c>
      <c r="C2" s="3" t="inlineStr">
        <is>
          <t xml:space="preserve">1EEM;2EEM;3EEM;4EEM</t>
        </is>
      </c>
      <c r="D2" s="3" t="inlineStr">
        <is>
          <t xml:space="preserve">Referencia</t>
        </is>
      </c>
      <c r="E2" s="3"/>
      <c r="F2" s="3" t="inlineStr">
        <is>
          <t xml:space="preserve">No</t>
        </is>
      </c>
      <c r="G2" s="3" t="inlineStr">
        <is>
          <t xml:space="preserve">Sí</t>
        </is>
      </c>
      <c r="H2" s="3" t="inlineStr">
        <is>
          <t xml:space="preserve">Sí</t>
        </is>
      </c>
      <c r="I2" s="3" t="inlineStr">
        <is>
          <t xml:space="preserve">Obligatoria</t>
        </is>
      </c>
      <c r="J2" s="3">
        <f>IF($G2&lt;&gt;"Sí","",IF($D2="Especialidad","E",IF($E2="TeoricaTroncal","NT","N")))</f>
      </c>
      <c r="K2" s="3" t="inlineStr">
        <is>
          <t xml:space="preserve">1. Escríbela en la primera fila libre (marcada abajo con una flecha). No hace falta</t>
        </is>
      </c>
    </row>
    <row r="3" spans="1:11" ht="15" customHeight="1">
      <c r="A3" s="3">
        <v>2</v>
      </c>
      <c r="B3" s="3" t="inlineStr">
        <is>
          <t xml:space="preserve">Coro</t>
        </is>
      </c>
      <c r="C3" s="3" t="inlineStr">
        <is>
          <t xml:space="preserve">1EEM;2EEM;3EEM;4EEM</t>
        </is>
      </c>
      <c r="D3" s="3" t="inlineStr">
        <is>
          <t xml:space="preserve">NoEspecialidad</t>
        </is>
      </c>
      <c r="E3" s="3"/>
      <c r="F3" s="3" t="inlineStr">
        <is>
          <t xml:space="preserve">No</t>
        </is>
      </c>
      <c r="G3" s="3" t="inlineStr">
        <is>
          <t xml:space="preserve">Sí</t>
        </is>
      </c>
      <c r="H3" s="3" t="inlineStr">
        <is>
          <t xml:space="preserve">Sí</t>
        </is>
      </c>
      <c r="I3" s="3" t="inlineStr">
        <is>
          <t xml:space="preserve">Obligatoria</t>
        </is>
      </c>
      <c r="J3" s="3">
        <f>IF($G3&lt;&gt;"Sí","",IF($D3="Especialidad","E",IF($E3="TeoricaTroncal","NT","N")))</f>
      </c>
      <c r="K3" s="3" t="inlineStr">
        <is>
          <t xml:space="preserve">   insertar filas ni ordenar nada: las fórmulas no miran POSICIONES, miran columnas.</t>
        </is>
      </c>
    </row>
    <row r="4" spans="1:11" ht="15" customHeight="1">
      <c r="A4" s="3">
        <v>3</v>
      </c>
      <c r="B4" s="3" t="inlineStr">
        <is>
          <t xml:space="preserve">Conjunto</t>
        </is>
      </c>
      <c r="C4" s="3" t="inlineStr">
        <is>
          <t xml:space="preserve">3EEM;4EEM</t>
        </is>
      </c>
      <c r="D4" s="3" t="inlineStr">
        <is>
          <t xml:space="preserve">NoEspecialidad</t>
        </is>
      </c>
      <c r="E4" s="3"/>
      <c r="F4" s="3" t="inlineStr">
        <is>
          <t xml:space="preserve">No</t>
        </is>
      </c>
      <c r="G4" s="3" t="inlineStr">
        <is>
          <t xml:space="preserve">Sí</t>
        </is>
      </c>
      <c r="H4" s="3" t="inlineStr">
        <is>
          <t xml:space="preserve">No</t>
        </is>
      </c>
      <c r="I4" s="3" t="inlineStr">
        <is>
          <t xml:space="preserve">Obligatoria</t>
        </is>
      </c>
      <c r="J4" s="3">
        <f>IF($G4&lt;&gt;"Sí","",IF($D4="Especialidad","E",IF($E4="TeoricaTroncal","NT","N")))</f>
      </c>
      <c r="K4" s="3" t="inlineStr">
        <is>
          <t xml:space="preserve">2. B  Asignatura — EXACTAMENTE igual que en el fichero de calificaciones que</t>
        </is>
      </c>
    </row>
    <row r="5" spans="1:11" ht="15" customHeight="1">
      <c r="A5" s="3">
        <v>4</v>
      </c>
      <c r="B5" s="3" t="inlineStr">
        <is>
          <t xml:space="preserve">Acordeón</t>
        </is>
      </c>
      <c r="C5" s="3" t="inlineStr">
        <is>
          <t xml:space="preserve">1EEM;2EEM;3EEM;4EEM</t>
        </is>
      </c>
      <c r="D5" s="3" t="inlineStr">
        <is>
          <t xml:space="preserve">Especialidad</t>
        </is>
      </c>
      <c r="E5" s="3" t="inlineStr">
        <is>
          <t xml:space="preserve">Tecla</t>
        </is>
      </c>
      <c r="F5" s="3" t="inlineStr">
        <is>
          <t xml:space="preserve">Sí</t>
        </is>
      </c>
      <c r="G5" s="3" t="inlineStr">
        <is>
          <t xml:space="preserve">Sí</t>
        </is>
      </c>
      <c r="H5" s="3" t="inlineStr">
        <is>
          <t xml:space="preserve">No</t>
        </is>
      </c>
      <c r="I5" s="3" t="inlineStr">
        <is>
          <t xml:space="preserve">Obligatoria</t>
        </is>
      </c>
      <c r="J5" s="3">
        <f>IF($G5&lt;&gt;"Sí","",IF($D5="Especialidad","E",IF($E5="TeoricaTroncal","NT","N")))</f>
      </c>
      <c r="K5" s="3" t="inlineStr">
        <is>
          <t xml:space="preserve">      pegas en DATOS. Si no coincide letra por letra, esa asignatura no aparece</t>
        </is>
      </c>
    </row>
    <row r="6" spans="1:11" ht="15" customHeight="1">
      <c r="A6" s="3">
        <v>5</v>
      </c>
      <c r="B6" s="3" t="inlineStr">
        <is>
          <t xml:space="preserve">Arpa</t>
        </is>
      </c>
      <c r="C6" s="3" t="inlineStr">
        <is>
          <t xml:space="preserve">1EEM;2EEM;3EEM;4EEM</t>
        </is>
      </c>
      <c r="D6" s="3" t="inlineStr">
        <is>
          <t xml:space="preserve">Especialidad</t>
        </is>
      </c>
      <c r="E6" s="3" t="inlineStr">
        <is>
          <t xml:space="preserve">Cuerda</t>
        </is>
      </c>
      <c r="F6" s="3" t="inlineStr">
        <is>
          <t xml:space="preserve">Sí</t>
        </is>
      </c>
      <c r="G6" s="3" t="inlineStr">
        <is>
          <t xml:space="preserve">Sí</t>
        </is>
      </c>
      <c r="H6" s="3" t="inlineStr">
        <is>
          <t xml:space="preserve">No</t>
        </is>
      </c>
      <c r="I6" s="3" t="inlineStr">
        <is>
          <t xml:space="preserve">Obligatoria</t>
        </is>
      </c>
      <c r="J6" s="3">
        <f>IF($G6&lt;&gt;"Sí","",IF($D6="Especialidad","E",IF($E6="TeoricaTroncal","NT","N")))</f>
      </c>
      <c r="K6" s="3" t="inlineStr">
        <is>
          <t xml:space="preserve">      ni con un cero, y sus registros los cuenta el aviso «FueraDeLasCifras».</t>
        </is>
      </c>
    </row>
    <row r="7" spans="1:11" ht="15" customHeight="1">
      <c r="A7" s="3">
        <v>6</v>
      </c>
      <c r="B7" s="3" t="inlineStr">
        <is>
          <t xml:space="preserve">Clarinete</t>
        </is>
      </c>
      <c r="C7" s="3" t="inlineStr">
        <is>
          <t xml:space="preserve">1EEM;2EEM;3EEM;4EEM</t>
        </is>
      </c>
      <c r="D7" s="3" t="inlineStr">
        <is>
          <t xml:space="preserve">Especialidad</t>
        </is>
      </c>
      <c r="E7" s="3" t="inlineStr">
        <is>
          <t xml:space="preserve">Madera</t>
        </is>
      </c>
      <c r="F7" s="3" t="inlineStr">
        <is>
          <t xml:space="preserve">Sí</t>
        </is>
      </c>
      <c r="G7" s="3" t="inlineStr">
        <is>
          <t xml:space="preserve">Sí</t>
        </is>
      </c>
      <c r="H7" s="3" t="inlineStr">
        <is>
          <t xml:space="preserve">No</t>
        </is>
      </c>
      <c r="I7" s="3" t="inlineStr">
        <is>
          <t xml:space="preserve">Obligatoria</t>
        </is>
      </c>
      <c r="J7" s="3">
        <f>IF($G7&lt;&gt;"Sí","",IF($D7="Especialidad","E",IF($E7="TeoricaTroncal","NT","N")))</f>
      </c>
      <c r="K7" s="3" t="inlineStr">
        <is>
          <t xml:space="preserve">3. C  Cursos — separados por punto y coma. Solo sale en los cursos que pongas.</t>
        </is>
      </c>
    </row>
    <row r="8" spans="1:11" ht="15" customHeight="1">
      <c r="A8" s="3">
        <v>7</v>
      </c>
      <c r="B8" s="3" t="inlineStr">
        <is>
          <t xml:space="preserve">Clave</t>
        </is>
      </c>
      <c r="C8" s="3" t="inlineStr">
        <is>
          <t xml:space="preserve">1EEM;2EEM;3EEM;4EEM</t>
        </is>
      </c>
      <c r="D8" s="3" t="inlineStr">
        <is>
          <t xml:space="preserve">Especialidad</t>
        </is>
      </c>
      <c r="E8" s="3" t="inlineStr">
        <is>
          <t xml:space="preserve">Tecla</t>
        </is>
      </c>
      <c r="F8" s="3" t="inlineStr">
        <is>
          <t xml:space="preserve">Sí</t>
        </is>
      </c>
      <c r="G8" s="3" t="inlineStr">
        <is>
          <t xml:space="preserve">Sí</t>
        </is>
      </c>
      <c r="H8" s="3" t="inlineStr">
        <is>
          <t xml:space="preserve">No</t>
        </is>
      </c>
      <c r="I8" s="3" t="inlineStr">
        <is>
          <t xml:space="preserve">Obligatoria</t>
        </is>
      </c>
      <c r="J8" s="3">
        <f>IF($G8&lt;&gt;"Sí","",IF($D8="Especialidad","E",IF($E8="TeoricaTroncal","NT","N")))</f>
      </c>
      <c r="K8" s="3" t="inlineStr">
        <is>
          <t xml:space="preserve">4. D  Grupo1 — «Especialidad» si es un instrumento: decide en qué total cuenta.</t>
        </is>
      </c>
    </row>
    <row r="9" spans="1:11" ht="15" customHeight="1">
      <c r="A9" s="3">
        <v>8</v>
      </c>
      <c r="B9" s="3" t="inlineStr">
        <is>
          <t xml:space="preserve">Contrabajo</t>
        </is>
      </c>
      <c r="C9" s="3" t="inlineStr">
        <is>
          <t xml:space="preserve">1EEM;2EEM;3EEM;4EEM</t>
        </is>
      </c>
      <c r="D9" s="3" t="inlineStr">
        <is>
          <t xml:space="preserve">Especialidad</t>
        </is>
      </c>
      <c r="E9" s="3" t="inlineStr">
        <is>
          <t xml:space="preserve">Cuerda</t>
        </is>
      </c>
      <c r="F9" s="3" t="inlineStr">
        <is>
          <t xml:space="preserve">Sí</t>
        </is>
      </c>
      <c r="G9" s="3" t="inlineStr">
        <is>
          <t xml:space="preserve">Sí</t>
        </is>
      </c>
      <c r="H9" s="3" t="inlineStr">
        <is>
          <t xml:space="preserve">No</t>
        </is>
      </c>
      <c r="I9" s="3" t="inlineStr">
        <is>
          <t xml:space="preserve">Obligatoria</t>
        </is>
      </c>
      <c r="J9" s="3">
        <f>IF($G9&lt;&gt;"Sí","",IF($D9="Especialidad","E",IF($E9="TeoricaTroncal","NT","N")))</f>
      </c>
      <c r="K9" s="3" t="inlineStr">
        <is>
          <t xml:space="preserve">5. G  Activa — «Sí». Sin eso no sale por ningún sitio.</t>
        </is>
      </c>
    </row>
    <row r="10" spans="1:11" ht="15" customHeight="1">
      <c r="A10" s="3">
        <v>9</v>
      </c>
      <c r="B10" s="3" t="inlineStr">
        <is>
          <t xml:space="preserve">Dulzaina</t>
        </is>
      </c>
      <c r="C10" s="3" t="inlineStr">
        <is>
          <t xml:space="preserve">1EEM;2EEM;3EEM;4EEM</t>
        </is>
      </c>
      <c r="D10" s="3" t="inlineStr">
        <is>
          <t xml:space="preserve">Especialidad</t>
        </is>
      </c>
      <c r="E10" s="3" t="inlineStr">
        <is>
          <t xml:space="preserve">Madera</t>
        </is>
      </c>
      <c r="F10" s="3" t="inlineStr">
        <is>
          <t xml:space="preserve">Sí</t>
        </is>
      </c>
      <c r="G10" s="3" t="inlineStr">
        <is>
          <t xml:space="preserve">Sí</t>
        </is>
      </c>
      <c r="H10" s="3" t="inlineStr">
        <is>
          <t xml:space="preserve">No</t>
        </is>
      </c>
      <c r="I10" s="3" t="inlineStr">
        <is>
          <t xml:space="preserve">Obligatoria</t>
        </is>
      </c>
      <c r="J10" s="3">
        <f>IF($G10&lt;&gt;"Sí","",IF($D10="Especialidad","E",IF($E10="TeoricaTroncal","NT","N")))</f>
      </c>
      <c r="K10" s="3" t="inlineStr">
        <is>
          <t xml:space="preserve">6. H  UnaSolaVez — «Sí» solo si NO se vuelve a cursar con un segundo instrumento.</t>
        </is>
      </c>
    </row>
    <row r="11" spans="1:11" ht="15" customHeight="1">
      <c r="A11" s="3">
        <v>10</v>
      </c>
      <c r="B11" s="3" t="inlineStr">
        <is>
          <t xml:space="preserve">Fagot</t>
        </is>
      </c>
      <c r="C11" s="3" t="inlineStr">
        <is>
          <t xml:space="preserve">1EEM;2EEM;3EEM;4EEM</t>
        </is>
      </c>
      <c r="D11" s="3" t="inlineStr">
        <is>
          <t xml:space="preserve">Especialidad</t>
        </is>
      </c>
      <c r="E11" s="3" t="inlineStr">
        <is>
          <t xml:space="preserve">Madera</t>
        </is>
      </c>
      <c r="F11" s="3" t="inlineStr">
        <is>
          <t xml:space="preserve">Sí</t>
        </is>
      </c>
      <c r="G11" s="3" t="inlineStr">
        <is>
          <t xml:space="preserve">Sí</t>
        </is>
      </c>
      <c r="H11" s="3" t="inlineStr">
        <is>
          <t xml:space="preserve">No</t>
        </is>
      </c>
      <c r="I11" s="3" t="inlineStr">
        <is>
          <t xml:space="preserve">Obligatoria</t>
        </is>
      </c>
      <c r="J11" s="3">
        <f>IF($G11&lt;&gt;"Sí","",IF($D11="Especialidad","E",IF($E11="TeoricaTroncal","NT","N")))</f>
      </c>
      <c r="K11" s="3" t="inlineStr">
        <is>
          <t xml:space="preserve">7. I  Tipo — Obligatoria / Optativa / De centro.</t>
        </is>
      </c>
    </row>
    <row r="12" spans="1:11" ht="15" customHeight="1">
      <c r="A12" s="3">
        <v>11</v>
      </c>
      <c r="B12" s="3" t="inlineStr">
        <is>
          <t xml:space="preserve">Flauta Travesera</t>
        </is>
      </c>
      <c r="C12" s="3" t="inlineStr">
        <is>
          <t xml:space="preserve">1EEM;2EEM;3EEM;4EEM</t>
        </is>
      </c>
      <c r="D12" s="3" t="inlineStr">
        <is>
          <t xml:space="preserve">Especialidad</t>
        </is>
      </c>
      <c r="E12" s="3" t="inlineStr">
        <is>
          <t xml:space="preserve">Madera</t>
        </is>
      </c>
      <c r="F12" s="3" t="inlineStr">
        <is>
          <t xml:space="preserve">Sí</t>
        </is>
      </c>
      <c r="G12" s="3" t="inlineStr">
        <is>
          <t xml:space="preserve">Sí</t>
        </is>
      </c>
      <c r="H12" s="3" t="inlineStr">
        <is>
          <t xml:space="preserve">No</t>
        </is>
      </c>
      <c r="I12" s="3" t="inlineStr">
        <is>
          <t xml:space="preserve">Obligatoria</t>
        </is>
      </c>
      <c r="J12" s="3">
        <f>IF($G12&lt;&gt;"Sí","",IF($D12="Especialidad","E",IF($E12="TeoricaTroncal","NT","N")))</f>
      </c>
      <c r="K12" s="3" t="inlineStr">
        <is>
          <t xml:space="preserve">J  Clase se calcula sola. Si sale vacía, esa fila no está activa.</t>
        </is>
      </c>
    </row>
    <row r="13" spans="1:11" ht="15" customHeight="1">
      <c r="A13" s="3">
        <v>12</v>
      </c>
      <c r="B13" s="3" t="inlineStr">
        <is>
          <t xml:space="preserve">Flauta de Pico</t>
        </is>
      </c>
      <c r="C13" s="3" t="inlineStr">
        <is>
          <t xml:space="preserve">1EEM;2EEM;3EEM;4EEM</t>
        </is>
      </c>
      <c r="D13" s="3" t="inlineStr">
        <is>
          <t xml:space="preserve">Especialidad</t>
        </is>
      </c>
      <c r="E13" s="3" t="inlineStr">
        <is>
          <t xml:space="preserve">Madera</t>
        </is>
      </c>
      <c r="F13" s="3" t="inlineStr">
        <is>
          <t xml:space="preserve">Sí</t>
        </is>
      </c>
      <c r="G13" s="3" t="inlineStr">
        <is>
          <t xml:space="preserve">Sí</t>
        </is>
      </c>
      <c r="H13" s="3" t="inlineStr">
        <is>
          <t xml:space="preserve">No</t>
        </is>
      </c>
      <c r="I13" s="3" t="inlineStr">
        <is>
          <t xml:space="preserve">Obligatoria</t>
        </is>
      </c>
      <c r="J13" s="3">
        <f>IF($G13&lt;&gt;"Sí","",IF($D13="Especialidad","E",IF($E13="TeoricaTroncal","NT","N")))</f>
      </c>
    </row>
    <row r="14" spans="1:11" ht="15" customHeight="1">
      <c r="A14" s="3">
        <v>13</v>
      </c>
      <c r="B14" s="3" t="inlineStr">
        <is>
          <t xml:space="preserve">Guitarra</t>
        </is>
      </c>
      <c r="C14" s="3" t="inlineStr">
        <is>
          <t xml:space="preserve">1EEM;2EEM;3EEM;4EEM</t>
        </is>
      </c>
      <c r="D14" s="3" t="inlineStr">
        <is>
          <t xml:space="preserve">Especialidad</t>
        </is>
      </c>
      <c r="E14" s="3" t="inlineStr">
        <is>
          <t xml:space="preserve">Cuerda</t>
        </is>
      </c>
      <c r="F14" s="3" t="inlineStr">
        <is>
          <t xml:space="preserve">Sí</t>
        </is>
      </c>
      <c r="G14" s="3" t="inlineStr">
        <is>
          <t xml:space="preserve">Sí</t>
        </is>
      </c>
      <c r="H14" s="3" t="inlineStr">
        <is>
          <t xml:space="preserve">No</t>
        </is>
      </c>
      <c r="I14" s="3" t="inlineStr">
        <is>
          <t xml:space="preserve">Obligatoria</t>
        </is>
      </c>
      <c r="J14" s="3">
        <f>IF($G14&lt;&gt;"Sí","",IF($D14="Especialidad","E",IF($E14="TeoricaTroncal","NT","N")))</f>
      </c>
    </row>
    <row r="15" spans="1:11" ht="15" customHeight="1">
      <c r="A15" s="3">
        <v>14</v>
      </c>
      <c r="B15" s="3" t="inlineStr">
        <is>
          <t xml:space="preserve">Instrumentos de Púa</t>
        </is>
      </c>
      <c r="C15" s="3" t="inlineStr">
        <is>
          <t xml:space="preserve">1EEM;2EEM;3EEM;4EEM</t>
        </is>
      </c>
      <c r="D15" s="3" t="inlineStr">
        <is>
          <t xml:space="preserve">Especialidad</t>
        </is>
      </c>
      <c r="E15" s="3" t="inlineStr">
        <is>
          <t xml:space="preserve">Cuerda</t>
        </is>
      </c>
      <c r="F15" s="3" t="inlineStr">
        <is>
          <t xml:space="preserve">Sí</t>
        </is>
      </c>
      <c r="G15" s="3" t="inlineStr">
        <is>
          <t xml:space="preserve">Sí</t>
        </is>
      </c>
      <c r="H15" s="3" t="inlineStr">
        <is>
          <t xml:space="preserve">No</t>
        </is>
      </c>
      <c r="I15" s="3" t="inlineStr">
        <is>
          <t xml:space="preserve">Obligatoria</t>
        </is>
      </c>
      <c r="J15" s="3">
        <f>IF($G15&lt;&gt;"Sí","",IF($D15="Especialidad","E",IF($E15="TeoricaTroncal","NT","N")))</f>
      </c>
    </row>
    <row r="16" spans="1:11" ht="15" customHeight="1">
      <c r="A16" s="3">
        <v>15</v>
      </c>
      <c r="B16" s="3" t="inlineStr">
        <is>
          <t xml:space="preserve">Oboe</t>
        </is>
      </c>
      <c r="C16" s="3" t="inlineStr">
        <is>
          <t xml:space="preserve">1EEM;2EEM;3EEM;4EEM</t>
        </is>
      </c>
      <c r="D16" s="3" t="inlineStr">
        <is>
          <t xml:space="preserve">Especialidad</t>
        </is>
      </c>
      <c r="E16" s="3" t="inlineStr">
        <is>
          <t xml:space="preserve">Madera</t>
        </is>
      </c>
      <c r="F16" s="3" t="inlineStr">
        <is>
          <t xml:space="preserve">Sí</t>
        </is>
      </c>
      <c r="G16" s="3" t="inlineStr">
        <is>
          <t xml:space="preserve">Sí</t>
        </is>
      </c>
      <c r="H16" s="3" t="inlineStr">
        <is>
          <t xml:space="preserve">No</t>
        </is>
      </c>
      <c r="I16" s="3" t="inlineStr">
        <is>
          <t xml:space="preserve">Obligatoria</t>
        </is>
      </c>
      <c r="J16" s="3">
        <f>IF($G16&lt;&gt;"Sí","",IF($D16="Especialidad","E",IF($E16="TeoricaTroncal","NT","N")))</f>
      </c>
    </row>
    <row r="17" spans="1:11" ht="15" customHeight="1">
      <c r="A17" s="3">
        <v>16</v>
      </c>
      <c r="B17" s="3" t="inlineStr">
        <is>
          <t xml:space="preserve">Percusión</t>
        </is>
      </c>
      <c r="C17" s="3" t="inlineStr">
        <is>
          <t xml:space="preserve">1EEM;2EEM;3EEM;4EEM</t>
        </is>
      </c>
      <c r="D17" s="3" t="inlineStr">
        <is>
          <t xml:space="preserve">Especialidad</t>
        </is>
      </c>
      <c r="E17" s="3" t="inlineStr">
        <is>
          <t xml:space="preserve">Metal</t>
        </is>
      </c>
      <c r="F17" s="3" t="inlineStr">
        <is>
          <t xml:space="preserve">Sí</t>
        </is>
      </c>
      <c r="G17" s="3" t="inlineStr">
        <is>
          <t xml:space="preserve">Sí</t>
        </is>
      </c>
      <c r="H17" s="3" t="inlineStr">
        <is>
          <t xml:space="preserve">No</t>
        </is>
      </c>
      <c r="I17" s="3" t="inlineStr">
        <is>
          <t xml:space="preserve">Obligatoria</t>
        </is>
      </c>
      <c r="J17" s="3">
        <f>IF($G17&lt;&gt;"Sí","",IF($D17="Especialidad","E",IF($E17="TeoricaTroncal","NT","N")))</f>
      </c>
    </row>
    <row r="18" spans="1:11" ht="15" customHeight="1">
      <c r="A18" s="3">
        <v>17</v>
      </c>
      <c r="B18" s="3" t="inlineStr">
        <is>
          <t xml:space="preserve">Piano</t>
        </is>
      </c>
      <c r="C18" s="3" t="inlineStr">
        <is>
          <t xml:space="preserve">1EEM;2EEM;3EEM;4EEM</t>
        </is>
      </c>
      <c r="D18" s="3" t="inlineStr">
        <is>
          <t xml:space="preserve">Especialidad</t>
        </is>
      </c>
      <c r="E18" s="3" t="inlineStr">
        <is>
          <t xml:space="preserve">Tecla</t>
        </is>
      </c>
      <c r="F18" s="3" t="inlineStr">
        <is>
          <t xml:space="preserve">Sí</t>
        </is>
      </c>
      <c r="G18" s="3" t="inlineStr">
        <is>
          <t xml:space="preserve">Sí</t>
        </is>
      </c>
      <c r="H18" s="3" t="inlineStr">
        <is>
          <t xml:space="preserve">No</t>
        </is>
      </c>
      <c r="I18" s="3" t="inlineStr">
        <is>
          <t xml:space="preserve">Obligatoria</t>
        </is>
      </c>
      <c r="J18" s="3">
        <f>IF($G18&lt;&gt;"Sí","",IF($D18="Especialidad","E",IF($E18="TeoricaTroncal","NT","N")))</f>
      </c>
    </row>
    <row r="19" spans="1:11" ht="15" customHeight="1">
      <c r="A19" s="3">
        <v>18</v>
      </c>
      <c r="B19" s="3" t="inlineStr">
        <is>
          <t xml:space="preserve">Saxofón</t>
        </is>
      </c>
      <c r="C19" s="3" t="inlineStr">
        <is>
          <t xml:space="preserve">1EEM;2EEM;3EEM;4EEM</t>
        </is>
      </c>
      <c r="D19" s="3" t="inlineStr">
        <is>
          <t xml:space="preserve">Especialidad</t>
        </is>
      </c>
      <c r="E19" s="3" t="inlineStr">
        <is>
          <t xml:space="preserve">Madera</t>
        </is>
      </c>
      <c r="F19" s="3" t="inlineStr">
        <is>
          <t xml:space="preserve">Sí</t>
        </is>
      </c>
      <c r="G19" s="3" t="inlineStr">
        <is>
          <t xml:space="preserve">Sí</t>
        </is>
      </c>
      <c r="H19" s="3" t="inlineStr">
        <is>
          <t xml:space="preserve">No</t>
        </is>
      </c>
      <c r="I19" s="3" t="inlineStr">
        <is>
          <t xml:space="preserve">Obligatoria</t>
        </is>
      </c>
      <c r="J19" s="3">
        <f>IF($G19&lt;&gt;"Sí","",IF($D19="Especialidad","E",IF($E19="TeoricaTroncal","NT","N")))</f>
      </c>
    </row>
    <row r="20" spans="1:11" ht="15" customHeight="1">
      <c r="A20" s="3">
        <v>19</v>
      </c>
      <c r="B20" s="3" t="inlineStr">
        <is>
          <t xml:space="preserve">Trombón</t>
        </is>
      </c>
      <c r="C20" s="3" t="inlineStr">
        <is>
          <t xml:space="preserve">1EEM;2EEM;3EEM;4EEM</t>
        </is>
      </c>
      <c r="D20" s="3" t="inlineStr">
        <is>
          <t xml:space="preserve">Especialidad</t>
        </is>
      </c>
      <c r="E20" s="3" t="inlineStr">
        <is>
          <t xml:space="preserve">Metal</t>
        </is>
      </c>
      <c r="F20" s="3" t="inlineStr">
        <is>
          <t xml:space="preserve">Sí</t>
        </is>
      </c>
      <c r="G20" s="3" t="inlineStr">
        <is>
          <t xml:space="preserve">Sí</t>
        </is>
      </c>
      <c r="H20" s="3" t="inlineStr">
        <is>
          <t xml:space="preserve">No</t>
        </is>
      </c>
      <c r="I20" s="3" t="inlineStr">
        <is>
          <t xml:space="preserve">Obligatoria</t>
        </is>
      </c>
      <c r="J20" s="3">
        <f>IF($G20&lt;&gt;"Sí","",IF($D20="Especialidad","E",IF($E20="TeoricaTroncal","NT","N")))</f>
      </c>
    </row>
    <row r="21" spans="1:11" ht="15" customHeight="1">
      <c r="A21" s="3">
        <v>20</v>
      </c>
      <c r="B21" s="3" t="inlineStr">
        <is>
          <t xml:space="preserve">Trompa</t>
        </is>
      </c>
      <c r="C21" s="3" t="inlineStr">
        <is>
          <t xml:space="preserve">1EEM;2EEM;3EEM;4EEM</t>
        </is>
      </c>
      <c r="D21" s="3" t="inlineStr">
        <is>
          <t xml:space="preserve">Especialidad</t>
        </is>
      </c>
      <c r="E21" s="3" t="inlineStr">
        <is>
          <t xml:space="preserve">Metal</t>
        </is>
      </c>
      <c r="F21" s="3" t="inlineStr">
        <is>
          <t xml:space="preserve">Sí</t>
        </is>
      </c>
      <c r="G21" s="3" t="inlineStr">
        <is>
          <t xml:space="preserve">Sí</t>
        </is>
      </c>
      <c r="H21" s="3" t="inlineStr">
        <is>
          <t xml:space="preserve">No</t>
        </is>
      </c>
      <c r="I21" s="3" t="inlineStr">
        <is>
          <t xml:space="preserve">Obligatoria</t>
        </is>
      </c>
      <c r="J21" s="3">
        <f>IF($G21&lt;&gt;"Sí","",IF($D21="Especialidad","E",IF($E21="TeoricaTroncal","NT","N")))</f>
      </c>
    </row>
    <row r="22" spans="1:11" ht="15" customHeight="1">
      <c r="A22" s="3">
        <v>21</v>
      </c>
      <c r="B22" s="3" t="inlineStr">
        <is>
          <t xml:space="preserve">Trompeta</t>
        </is>
      </c>
      <c r="C22" s="3" t="inlineStr">
        <is>
          <t xml:space="preserve">1EEM;2EEM;3EEM;4EEM</t>
        </is>
      </c>
      <c r="D22" s="3" t="inlineStr">
        <is>
          <t xml:space="preserve">Especialidad</t>
        </is>
      </c>
      <c r="E22" s="3" t="inlineStr">
        <is>
          <t xml:space="preserve">Metal</t>
        </is>
      </c>
      <c r="F22" s="3" t="inlineStr">
        <is>
          <t xml:space="preserve">Sí</t>
        </is>
      </c>
      <c r="G22" s="3" t="inlineStr">
        <is>
          <t xml:space="preserve">Sí</t>
        </is>
      </c>
      <c r="H22" s="3" t="inlineStr">
        <is>
          <t xml:space="preserve">No</t>
        </is>
      </c>
      <c r="I22" s="3" t="inlineStr">
        <is>
          <t xml:space="preserve">Obligatoria</t>
        </is>
      </c>
      <c r="J22" s="3">
        <f>IF($G22&lt;&gt;"Sí","",IF($D22="Especialidad","E",IF($E22="TeoricaTroncal","NT","N")))</f>
      </c>
    </row>
    <row r="23" spans="1:11" ht="15" customHeight="1">
      <c r="A23" s="3">
        <v>22</v>
      </c>
      <c r="B23" s="3" t="inlineStr">
        <is>
          <t xml:space="preserve">Tuba</t>
        </is>
      </c>
      <c r="C23" s="3" t="inlineStr">
        <is>
          <t xml:space="preserve">1EEM;2EEM;3EEM;4EEM</t>
        </is>
      </c>
      <c r="D23" s="3" t="inlineStr">
        <is>
          <t xml:space="preserve">Especialidad</t>
        </is>
      </c>
      <c r="E23" s="3" t="inlineStr">
        <is>
          <t xml:space="preserve">Metal</t>
        </is>
      </c>
      <c r="F23" s="3" t="inlineStr">
        <is>
          <t xml:space="preserve">Sí</t>
        </is>
      </c>
      <c r="G23" s="3" t="inlineStr">
        <is>
          <t xml:space="preserve">Sí</t>
        </is>
      </c>
      <c r="H23" s="3" t="inlineStr">
        <is>
          <t xml:space="preserve">No</t>
        </is>
      </c>
      <c r="I23" s="3" t="inlineStr">
        <is>
          <t xml:space="preserve">Obligatoria</t>
        </is>
      </c>
      <c r="J23" s="3">
        <f>IF($G23&lt;&gt;"Sí","",IF($D23="Especialidad","E",IF($E23="TeoricaTroncal","NT","N")))</f>
      </c>
    </row>
    <row r="24" spans="1:11" ht="15" customHeight="1">
      <c r="A24" s="3">
        <v>23</v>
      </c>
      <c r="B24" s="3" t="inlineStr">
        <is>
          <t xml:space="preserve">Viola</t>
        </is>
      </c>
      <c r="C24" s="3" t="inlineStr">
        <is>
          <t xml:space="preserve">1EEM;2EEM;3EEM;4EEM</t>
        </is>
      </c>
      <c r="D24" s="3" t="inlineStr">
        <is>
          <t xml:space="preserve">Especialidad</t>
        </is>
      </c>
      <c r="E24" s="3" t="inlineStr">
        <is>
          <t xml:space="preserve">Cuerda</t>
        </is>
      </c>
      <c r="F24" s="3" t="inlineStr">
        <is>
          <t xml:space="preserve">Sí</t>
        </is>
      </c>
      <c r="G24" s="3" t="inlineStr">
        <is>
          <t xml:space="preserve">Sí</t>
        </is>
      </c>
      <c r="H24" s="3" t="inlineStr">
        <is>
          <t xml:space="preserve">No</t>
        </is>
      </c>
      <c r="I24" s="3" t="inlineStr">
        <is>
          <t xml:space="preserve">Obligatoria</t>
        </is>
      </c>
      <c r="J24" s="3">
        <f>IF($G24&lt;&gt;"Sí","",IF($D24="Especialidad","E",IF($E24="TeoricaTroncal","NT","N")))</f>
      </c>
    </row>
    <row r="25" spans="1:11" ht="15" customHeight="1">
      <c r="A25" s="3">
        <v>24</v>
      </c>
      <c r="B25" s="3" t="inlineStr">
        <is>
          <t xml:space="preserve">Viola de Gamba</t>
        </is>
      </c>
      <c r="C25" s="3" t="inlineStr">
        <is>
          <t xml:space="preserve">1EEM;2EEM;3EEM;4EEM</t>
        </is>
      </c>
      <c r="D25" s="3" t="inlineStr">
        <is>
          <t xml:space="preserve">Especialidad</t>
        </is>
      </c>
      <c r="E25" s="3" t="inlineStr">
        <is>
          <t xml:space="preserve">Cuerda</t>
        </is>
      </c>
      <c r="F25" s="3" t="inlineStr">
        <is>
          <t xml:space="preserve">Sí</t>
        </is>
      </c>
      <c r="G25" s="3" t="inlineStr">
        <is>
          <t xml:space="preserve">Sí</t>
        </is>
      </c>
      <c r="H25" s="3" t="inlineStr">
        <is>
          <t xml:space="preserve">No</t>
        </is>
      </c>
      <c r="I25" s="3" t="inlineStr">
        <is>
          <t xml:space="preserve">Obligatoria</t>
        </is>
      </c>
      <c r="J25" s="3">
        <f>IF($G25&lt;&gt;"Sí","",IF($D25="Especialidad","E",IF($E25="TeoricaTroncal","NT","N")))</f>
      </c>
    </row>
    <row r="26" spans="1:11" ht="15" customHeight="1">
      <c r="A26" s="3">
        <v>25</v>
      </c>
      <c r="B26" s="3" t="inlineStr">
        <is>
          <t xml:space="preserve">Violín</t>
        </is>
      </c>
      <c r="C26" s="3" t="inlineStr">
        <is>
          <t xml:space="preserve">1EEM;2EEM;3EEM;4EEM</t>
        </is>
      </c>
      <c r="D26" s="3" t="inlineStr">
        <is>
          <t xml:space="preserve">Especialidad</t>
        </is>
      </c>
      <c r="E26" s="3" t="inlineStr">
        <is>
          <t xml:space="preserve">Cuerda</t>
        </is>
      </c>
      <c r="F26" s="3" t="inlineStr">
        <is>
          <t xml:space="preserve">Sí</t>
        </is>
      </c>
      <c r="G26" s="3" t="inlineStr">
        <is>
          <t xml:space="preserve">Sí</t>
        </is>
      </c>
      <c r="H26" s="3" t="inlineStr">
        <is>
          <t xml:space="preserve">No</t>
        </is>
      </c>
      <c r="I26" s="3" t="inlineStr">
        <is>
          <t xml:space="preserve">Obligatoria</t>
        </is>
      </c>
      <c r="J26" s="3">
        <f>IF($G26&lt;&gt;"Sí","",IF($D26="Especialidad","E",IF($E26="TeoricaTroncal","NT","N")))</f>
      </c>
    </row>
    <row r="27" spans="1:11" ht="15" customHeight="1">
      <c r="A27" s="3">
        <v>26</v>
      </c>
      <c r="B27" s="3" t="inlineStr">
        <is>
          <t xml:space="preserve">Violoncello</t>
        </is>
      </c>
      <c r="C27" s="3" t="inlineStr">
        <is>
          <t xml:space="preserve">1EEM;2EEM;3EEM;4EEM</t>
        </is>
      </c>
      <c r="D27" s="3" t="inlineStr">
        <is>
          <t xml:space="preserve">Especialidad</t>
        </is>
      </c>
      <c r="E27" s="3" t="inlineStr">
        <is>
          <t xml:space="preserve">Cuerda</t>
        </is>
      </c>
      <c r="F27" s="3" t="inlineStr">
        <is>
          <t xml:space="preserve">Sí</t>
        </is>
      </c>
      <c r="G27" s="3" t="inlineStr">
        <is>
          <t xml:space="preserve">Sí</t>
        </is>
      </c>
      <c r="H27" s="3" t="inlineStr">
        <is>
          <t xml:space="preserve">No</t>
        </is>
      </c>
      <c r="I27" s="3" t="inlineStr">
        <is>
          <t xml:space="preserve">Obligatoria</t>
        </is>
      </c>
      <c r="J27" s="3">
        <f>IF($G27&lt;&gt;"Sí","",IF($D27="Especialidad","E",IF($E27="TeoricaTroncal","NT","N")))</f>
      </c>
    </row>
    <row r="28">
      <c r="J28">
        <f>IF($G28&lt;&gt;"Sí","",IF($D28="Especialidad","E",IF($E28="TeoricaTroncal","NT","N")))</f>
      </c>
      <c r="M28" s="3" t="inlineStr">
        <is>
          <t xml:space="preserve">↓ primera fila libre</t>
        </is>
      </c>
    </row>
    <row r="29">
      <c r="J29">
        <f>IF($G29&lt;&gt;"Sí","",IF($D29="Especialidad","E",IF($E29="TeoricaTroncal","NT","N")))</f>
      </c>
    </row>
    <row r="30">
      <c r="J30">
        <f>IF($G30&lt;&gt;"Sí","",IF($D30="Especialidad","E",IF($E30="TeoricaTroncal","NT","N")))</f>
      </c>
    </row>
    <row r="31">
      <c r="J31">
        <f>IF($G31&lt;&gt;"Sí","",IF($D31="Especialidad","E",IF($E31="TeoricaTroncal","NT","N")))</f>
      </c>
    </row>
    <row r="32">
      <c r="J32">
        <f>IF($G32&lt;&gt;"Sí","",IF($D32="Especialidad","E",IF($E32="TeoricaTroncal","NT","N")))</f>
      </c>
    </row>
    <row r="33">
      <c r="J33">
        <f>IF($G33&lt;&gt;"Sí","",IF($D33="Especialidad","E",IF($E33="TeoricaTroncal","NT","N")))</f>
      </c>
    </row>
    <row r="34">
      <c r="J34">
        <f>IF($G34&lt;&gt;"Sí","",IF($D34="Especialidad","E",IF($E34="TeoricaTroncal","NT","N")))</f>
      </c>
    </row>
    <row r="35">
      <c r="J35">
        <f>IF($G35&lt;&gt;"Sí","",IF($D35="Especialidad","E",IF($E35="TeoricaTroncal","NT","N")))</f>
      </c>
    </row>
    <row r="36">
      <c r="J36">
        <f>IF($G36&lt;&gt;"Sí","",IF($D36="Especialidad","E",IF($E36="TeoricaTroncal","NT","N")))</f>
      </c>
    </row>
    <row r="37">
      <c r="J37">
        <f>IF($G37&lt;&gt;"Sí","",IF($D37="Especialidad","E",IF($E37="TeoricaTroncal","NT","N")))</f>
      </c>
    </row>
    <row r="38">
      <c r="J38">
        <f>IF($G38&lt;&gt;"Sí","",IF($D38="Especialidad","E",IF($E38="TeoricaTroncal","NT","N")))</f>
      </c>
    </row>
    <row r="39">
      <c r="J39">
        <f>IF($G39&lt;&gt;"Sí","",IF($D39="Especialidad","E",IF($E39="TeoricaTroncal","NT","N")))</f>
      </c>
    </row>
    <row r="40">
      <c r="J40">
        <f>IF($G40&lt;&gt;"Sí","",IF($D40="Especialidad","E",IF($E40="TeoricaTroncal","NT","N")))</f>
      </c>
    </row>
    <row r="41">
      <c r="J41">
        <f>IF($G41&lt;&gt;"Sí","",IF($D41="Especialidad","E",IF($E41="TeoricaTroncal","NT","N")))</f>
      </c>
    </row>
    <row r="42">
      <c r="J42">
        <f>IF($G42&lt;&gt;"Sí","",IF($D42="Especialidad","E",IF($E42="TeoricaTroncal","NT","N")))</f>
      </c>
    </row>
    <row r="43">
      <c r="J43">
        <f>IF($G43&lt;&gt;"Sí","",IF($D43="Especialidad","E",IF($E43="TeoricaTroncal","NT","N")))</f>
      </c>
    </row>
    <row r="44">
      <c r="J44">
        <f>IF($G44&lt;&gt;"Sí","",IF($D44="Especialidad","E",IF($E44="TeoricaTroncal","NT","N")))</f>
      </c>
    </row>
    <row r="45">
      <c r="J45">
        <f>IF($G45&lt;&gt;"Sí","",IF($D45="Especialidad","E",IF($E45="TeoricaTroncal","NT","N")))</f>
      </c>
    </row>
    <row r="46">
      <c r="J46">
        <f>IF($G46&lt;&gt;"Sí","",IF($D46="Especialidad","E",IF($E46="TeoricaTroncal","NT","N")))</f>
      </c>
    </row>
    <row r="47">
      <c r="J47">
        <f>IF($G47&lt;&gt;"Sí","",IF($D47="Especialidad","E",IF($E47="TeoricaTroncal","NT","N")))</f>
      </c>
    </row>
    <row r="48">
      <c r="J48">
        <f>IF($G48&lt;&gt;"Sí","",IF($D48="Especialidad","E",IF($E48="TeoricaTroncal","NT","N")))</f>
      </c>
    </row>
    <row r="49">
      <c r="J49">
        <f>IF($G49&lt;&gt;"Sí","",IF($D49="Especialidad","E",IF($E49="TeoricaTroncal","NT","N")))</f>
      </c>
    </row>
    <row r="50">
      <c r="J50">
        <f>IF($G50&lt;&gt;"Sí","",IF($D50="Especialidad","E",IF($E50="TeoricaTroncal","NT","N")))</f>
      </c>
    </row>
    <row r="51">
      <c r="J51">
        <f>IF($G51&lt;&gt;"Sí","",IF($D51="Especialidad","E",IF($E51="TeoricaTroncal","NT","N")))</f>
      </c>
    </row>
    <row r="52">
      <c r="J52">
        <f>IF($G52&lt;&gt;"Sí","",IF($D52="Especialidad","E",IF($E52="TeoricaTroncal","NT","N")))</f>
      </c>
    </row>
    <row r="53">
      <c r="J53">
        <f>IF($G53&lt;&gt;"Sí","",IF($D53="Especialidad","E",IF($E53="TeoricaTroncal","NT","N")))</f>
      </c>
    </row>
    <row r="54">
      <c r="J54">
        <f>IF($G54&lt;&gt;"Sí","",IF($D54="Especialidad","E",IF($E54="TeoricaTroncal","NT","N")))</f>
      </c>
    </row>
    <row r="55">
      <c r="J55">
        <f>IF($G55&lt;&gt;"Sí","",IF($D55="Especialidad","E",IF($E55="TeoricaTroncal","NT","N")))</f>
      </c>
    </row>
    <row r="56">
      <c r="J56">
        <f>IF($G56&lt;&gt;"Sí","",IF($D56="Especialidad","E",IF($E56="TeoricaTroncal","NT","N")))</f>
      </c>
    </row>
    <row r="57">
      <c r="J57">
        <f>IF($G57&lt;&gt;"Sí","",IF($D57="Especialidad","E",IF($E57="TeoricaTroncal","NT","N")))</f>
      </c>
    </row>
    <row r="58">
      <c r="J58">
        <f>IF($G58&lt;&gt;"Sí","",IF($D58="Especialidad","E",IF($E58="TeoricaTroncal","NT","N")))</f>
      </c>
    </row>
    <row r="59">
      <c r="J59">
        <f>IF($G59&lt;&gt;"Sí","",IF($D59="Especialidad","E",IF($E59="TeoricaTroncal","NT","N")))</f>
      </c>
    </row>
    <row r="60">
      <c r="J60">
        <f>IF($G60&lt;&gt;"Sí","",IF($D60="Especialidad","E",IF($E60="TeoricaTroncal","NT","N")))</f>
      </c>
    </row>
    <row r="61">
      <c r="J61">
        <f>IF($G61&lt;&gt;"Sí","",IF($D61="Especialidad","E",IF($E61="TeoricaTroncal","NT","N")))</f>
      </c>
      <c r="M61" s="3" t="inlineStr">
        <is>
          <t xml:space="preserve">↑ última fila que miran las fórmulas</t>
        </is>
      </c>
    </row>
  </sheetData>
  <conditionalFormatting sqref="A2:J61">
    <cfRule type="expression" dxfId="0" priority="1">
      <formula>AND($B2&lt;&gt;"",$G2&lt;&gt;"Sí")</formula>
    </cfRule>
  </conditionalFormatting>
  <dataValidations count="5">
    <dataValidation type="list" allowBlank="1" showInputMessage="1" showErrorMessage="1" errorTitle="Valor no válido" error="Elige uno de la lista: Referencia, NoEspecialidad, Especialidad, Optativas." promptTitle="Grupo1" prompt="Decide en qué total cuenta la asignatura. «Especialidad» es un instrumento." sqref="D2:D61">
      <formula1>"Referencia,NoEspecialidad,Especialidad,Optativas"</formula1>
    </dataValidation>
    <dataValidation type="list" allowBlank="1" showInputMessage="1" showErrorMessage="1" errorTitle="Valor no válido" error="Elige uno de la lista: Sí, No." promptTitle="¿Es especialidad?" prompt="Tiene que decir lo mismo que Grupo1." sqref="F2:F61">
      <formula1>"Sí,No"</formula1>
    </dataValidation>
    <dataValidation type="list" allowBlank="1" showInputMessage="1" showErrorMessage="1" errorTitle="Valor no válido" error="Elige uno de la lista: Sí, No." promptTitle="Activa" prompt="Con «No» la asignatura no sale por ningún sitio, y sus registros los cuenta el aviso «FueraDeLasCifras»." sqref="G2:G61">
      <formula1>"Sí,No"</formula1>
    </dataValidation>
    <dataValidation type="list" allowBlank="1" showInputMessage="1" showErrorMessage="1" errorTitle="Valor no válido" error="Elige uno de la lista: Sí, No." promptTitle="¿Se cursa una sola vez?" prompt="«Sí» solo si NO se vuelve a cursar al coger un segundo instrumento." sqref="H2:H61">
      <formula1>"Sí,No"</formula1>
    </dataValidation>
    <dataValidation type="list" allowBlank="1" showInputMessage="1" showErrorMessage="1" errorTitle="Valor no válido" error="Elige uno de la lista: Obligatoria, Optativa, De centro." promptTitle="Tipo" prompt="Obligatoria la pone el currículo; De centro es de diseño propio." sqref="I2:I61">
      <formula1>"Obligatoria,Optativa,De centro"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000"/>
  <sheetViews>
    <sheetView zoomScaleNormal="100" workbookViewId="0"/>
  </sheetViews>
  <sheetFormatPr baseColWidth="10" defaultColWidth="8.6640625" defaultRowHeight="15" x14ac:dyDescent="0.2"/>
  <cols>
    <col min="1" max="1" width="20" customWidth="1"/>
    <col min="2" max="2" width="25" customWidth="1"/>
    <col min="4" max="4" width="13.5" customWidth="1"/>
  </cols>
  <sheetData>
    <row r="1" spans="1:4" ht="15" customHeight="1" x14ac:dyDescent="0.2">
      <c r="A1" s="2" t="s">
        <v>45</v>
      </c>
      <c r="B1" s="2" t="s">
        <v>46</v>
      </c>
      <c r="D1" s="2" t="s">
        <v>47</v>
      </c>
    </row>
    <row r="2" spans="1:4" ht="15" customHeight="1" x14ac:dyDescent="0.2">
      <c r="A2" t="s">
        <v>48</v>
      </c>
      <c r="B2" t="s">
        <v>49</v>
      </c>
      <c r="D2" t="s">
        <v>50</v>
      </c>
      <c r="E2">
        <f>IF(DATOS!$I2="","",IFERROR(VLOOKUP(DATOS!$I2,CONFIG_ASIGNATURAS!$B$2:$J$61,9,FALSE()),""))</f>
      </c>
    </row>
    <row r="3" spans="1:4" ht="15" customHeight="1" x14ac:dyDescent="0.2">
      <c r="A3" t="s">
        <v>51</v>
      </c>
      <c r="B3" t="s">
        <v>52</v>
      </c>
      <c r="D3" t="s">
        <v>53</v>
      </c>
      <c r="E3">
        <f>IF(DATOS!$I3="","",IFERROR(VLOOKUP(DATOS!$I3,CONFIG_ASIGNATURAS!$B$2:$J$61,9,FALSE()),""))</f>
      </c>
    </row>
    <row r="4" spans="1:4" ht="15" customHeight="1" x14ac:dyDescent="0.2">
      <c r="A4" t="s">
        <v>54</v>
      </c>
      <c r="B4" s="4" t="s">
        <v>50</v>
      </c>
      <c r="D4" t="s">
        <v>55</v>
      </c>
      <c r="E4">
        <f>IF(DATOS!$I4="","",IFERROR(VLOOKUP(DATOS!$I4,CONFIG_ASIGNATURAS!$B$2:$J$61,9,FALSE()),""))</f>
      </c>
    </row>
    <row r="5" spans="1:4" ht="15" customHeight="1" x14ac:dyDescent="0.2">
      <c r="D5" t="inlineStr">
        <is>
          <t xml:space="preserve">FI</t>
        </is>
      </c>
      <c r="E5">
        <f>IF(DATOS!$I5="","",IFERROR(VLOOKUP(DATOS!$I5,CONFIG_ASIGNATURAS!$B$2:$J$61,9,FALSE()),""))</f>
      </c>
    </row>
    <row r="6">
      <c r="A6" t="inlineStr">
        <is>
          <t xml:space="preserve">DobleEspecialidad</t>
        </is>
      </c>
      <c r="B6" cm="1">
        <f t="array" ref="B6">IFERROR(SUMPRODUCT((nEVAL=CONFIG_METADATA!$B$4)*(COUNTIFS(CONFIG_ASIGNATURAS!$B$2:$B$61,nASIG,CONFIG_ASIGNATURAS!$H$2:$H$61,"Sí",CONFIG_ASIGNATURAS!$G$2:$G$61,"Sí")&gt;0)*1)-COUNTA(_xlfn.UNIQUE(_xlfn._xlws.FILTER(nNIA&amp;"|"&amp;nASIG,(nEVAL=CONFIG_METADATA!$B$4)*(COUNTIFS(CONFIG_ASIGNATURAS!$B$2:$B$61,nASIG,CONFIG_ASIGNATURAS!$H$2:$H$61,"Sí",CONFIG_ASIGNATURAS!$G$2:$G$61,"Sí")&gt;0)))),0)</f>
      </c>
      <c r="C6" t="inlineStr">
        <is>
          <t xml:space="preserve">Registros de más: quien cursa dos especialidades aparece dos veces en las asignaturas de una sola vez, con la misma nota. Cuentan doble en la media, en la moda y en el reparto.</t>
        </is>
      </c>
      <c r="E6">
        <f>IF(DATOS!$I6="","",IFERROR(VLOOKUP(DATOS!$I6,CONFIG_ASIGNATURAS!$B$2:$J$61,9,FALSE()),""))</f>
      </c>
    </row>
    <row r="7">
      <c r="A7" t="inlineStr">
        <is>
          <t xml:space="preserve">FueraDeLasCifras</t>
        </is>
      </c>
      <c r="B7">
        <f>CALC_EEM!$D$2-CALC_EEM!$D$3-CALC_EEM!$D$4</f>
      </c>
      <c r="C7" t="inlineStr">
        <is>
          <t xml:space="preserve">Registros que no entran en ninguna cifra: su asignatura no está en CONFIG_ASIGNATURAS, o está pero con Activa = No. Si no es cero, falta algo en la configuración o sobra un No.</t>
        </is>
      </c>
      <c r="E7">
        <f>IF(DATOS!$I7="","",IFERROR(VLOOKUP(DATOS!$I7,CONFIG_ASIGNATURAS!$B$2:$J$61,9,FALSE()),""))</f>
      </c>
    </row>
    <row r="8">
      <c r="A8" t="inlineStr">
        <is>
          <t>FilasConDatos</t>
        </is>
      </c>
      <c r="B8">
        <f>IFERROR(LOOKUP(2,1/(DATOS!$A$2:$A20000&lt;&gt;""),ROW(DATOS!$A$2:$A20000)),2)</f>
      </c>
      <c r="C8" t="inlineStr">
        <is>
          <t xml:space="preserve">Última fila de DATOS con algo. Es hasta donde miran todas las fórmulas: sin esto recorrerían las 20.000 filas siempre, y diecinueve de cada veinte lecturas serían de celdas vacías.</t>
        </is>
      </c>
      <c r="E8">
        <f>IF(DATOS!$I8="","",IFERROR(VLOOKUP(DATOS!$I8,CONFIG_ASIGNATURAS!$B$2:$J$61,9,FALSE()),""))</f>
      </c>
    </row>
    <row r="9">
      <c r="E9">
        <f>IF(DATOS!$I9="","",IFERROR(VLOOKUP(DATOS!$I9,CONFIG_ASIGNATURAS!$B$2:$J$61,9,FALSE()),""))</f>
      </c>
    </row>
    <row r="10">
      <c r="E10">
        <f>IF(DATOS!$I10="","",IFERROR(VLOOKUP(DATOS!$I10,CONFIG_ASIGNATURAS!$B$2:$J$61,9,FALSE()),""))</f>
      </c>
    </row>
    <row r="11">
      <c r="E11">
        <f>IF(DATOS!$I11="","",IFERROR(VLOOKUP(DATOS!$I11,CONFIG_ASIGNATURAS!$B$2:$J$61,9,FALSE()),""))</f>
      </c>
    </row>
    <row r="12">
      <c r="E12">
        <f>IF(DATOS!$I12="","",IFERROR(VLOOKUP(DATOS!$I12,CONFIG_ASIGNATURAS!$B$2:$J$61,9,FALSE()),""))</f>
      </c>
    </row>
    <row r="13">
      <c r="E13">
        <f>IF(DATOS!$I13="","",IFERROR(VLOOKUP(DATOS!$I13,CONFIG_ASIGNATURAS!$B$2:$J$61,9,FALSE()),""))</f>
      </c>
    </row>
    <row r="14">
      <c r="E14">
        <f>IF(DATOS!$I14="","",IFERROR(VLOOKUP(DATOS!$I14,CONFIG_ASIGNATURAS!$B$2:$J$61,9,FALSE()),""))</f>
      </c>
    </row>
    <row r="15">
      <c r="E15">
        <f>IF(DATOS!$I15="","",IFERROR(VLOOKUP(DATOS!$I15,CONFIG_ASIGNATURAS!$B$2:$J$61,9,FALSE()),""))</f>
      </c>
    </row>
    <row r="16">
      <c r="E16">
        <f>IF(DATOS!$I16="","",IFERROR(VLOOKUP(DATOS!$I16,CONFIG_ASIGNATURAS!$B$2:$J$61,9,FALSE()),""))</f>
      </c>
    </row>
    <row r="17">
      <c r="E17">
        <f>IF(DATOS!$I17="","",IFERROR(VLOOKUP(DATOS!$I17,CONFIG_ASIGNATURAS!$B$2:$J$61,9,FALSE()),""))</f>
      </c>
    </row>
    <row r="18">
      <c r="E18">
        <f>IF(DATOS!$I18="","",IFERROR(VLOOKUP(DATOS!$I18,CONFIG_ASIGNATURAS!$B$2:$J$61,9,FALSE()),""))</f>
      </c>
    </row>
    <row r="19">
      <c r="E19">
        <f>IF(DATOS!$I19="","",IFERROR(VLOOKUP(DATOS!$I19,CONFIG_ASIGNATURAS!$B$2:$J$61,9,FALSE()),""))</f>
      </c>
    </row>
    <row r="20">
      <c r="E20">
        <f>IF(DATOS!$I20="","",IFERROR(VLOOKUP(DATOS!$I20,CONFIG_ASIGNATURAS!$B$2:$J$61,9,FALSE()),""))</f>
      </c>
    </row>
    <row r="21">
      <c r="E21">
        <f>IF(DATOS!$I21="","",IFERROR(VLOOKUP(DATOS!$I21,CONFIG_ASIGNATURAS!$B$2:$J$61,9,FALSE()),""))</f>
      </c>
    </row>
    <row r="22">
      <c r="E22">
        <f>IF(DATOS!$I22="","",IFERROR(VLOOKUP(DATOS!$I22,CONFIG_ASIGNATURAS!$B$2:$J$61,9,FALSE()),""))</f>
      </c>
    </row>
    <row r="23">
      <c r="E23">
        <f>IF(DATOS!$I23="","",IFERROR(VLOOKUP(DATOS!$I23,CONFIG_ASIGNATURAS!$B$2:$J$61,9,FALSE()),""))</f>
      </c>
    </row>
    <row r="24">
      <c r="E24">
        <f>IF(DATOS!$I24="","",IFERROR(VLOOKUP(DATOS!$I24,CONFIG_ASIGNATURAS!$B$2:$J$61,9,FALSE()),""))</f>
      </c>
    </row>
    <row r="25">
      <c r="E25">
        <f>IF(DATOS!$I25="","",IFERROR(VLOOKUP(DATOS!$I25,CONFIG_ASIGNATURAS!$B$2:$J$61,9,FALSE()),""))</f>
      </c>
    </row>
    <row r="26">
      <c r="E26">
        <f>IF(DATOS!$I26="","",IFERROR(VLOOKUP(DATOS!$I26,CONFIG_ASIGNATURAS!$B$2:$J$61,9,FALSE()),""))</f>
      </c>
    </row>
    <row r="27">
      <c r="E27">
        <f>IF(DATOS!$I27="","",IFERROR(VLOOKUP(DATOS!$I27,CONFIG_ASIGNATURAS!$B$2:$J$61,9,FALSE()),""))</f>
      </c>
    </row>
    <row r="28">
      <c r="E28">
        <f>IF(DATOS!$I28="","",IFERROR(VLOOKUP(DATOS!$I28,CONFIG_ASIGNATURAS!$B$2:$J$61,9,FALSE()),""))</f>
      </c>
    </row>
    <row r="29">
      <c r="E29">
        <f>IF(DATOS!$I29="","",IFERROR(VLOOKUP(DATOS!$I29,CONFIG_ASIGNATURAS!$B$2:$J$61,9,FALSE()),""))</f>
      </c>
    </row>
    <row r="30">
      <c r="E30">
        <f>IF(DATOS!$I30="","",IFERROR(VLOOKUP(DATOS!$I30,CONFIG_ASIGNATURAS!$B$2:$J$61,9,FALSE()),""))</f>
      </c>
    </row>
    <row r="31">
      <c r="E31">
        <f>IF(DATOS!$I31="","",IFERROR(VLOOKUP(DATOS!$I31,CONFIG_ASIGNATURAS!$B$2:$J$61,9,FALSE()),""))</f>
      </c>
    </row>
    <row r="32">
      <c r="E32">
        <f>IF(DATOS!$I32="","",IFERROR(VLOOKUP(DATOS!$I32,CONFIG_ASIGNATURAS!$B$2:$J$61,9,FALSE()),""))</f>
      </c>
    </row>
    <row r="33">
      <c r="E33">
        <f>IF(DATOS!$I33="","",IFERROR(VLOOKUP(DATOS!$I33,CONFIG_ASIGNATURAS!$B$2:$J$61,9,FALSE()),""))</f>
      </c>
    </row>
    <row r="34">
      <c r="E34">
        <f>IF(DATOS!$I34="","",IFERROR(VLOOKUP(DATOS!$I34,CONFIG_ASIGNATURAS!$B$2:$J$61,9,FALSE()),""))</f>
      </c>
    </row>
    <row r="35">
      <c r="E35">
        <f>IF(DATOS!$I35="","",IFERROR(VLOOKUP(DATOS!$I35,CONFIG_ASIGNATURAS!$B$2:$J$61,9,FALSE()),""))</f>
      </c>
    </row>
    <row r="36">
      <c r="E36">
        <f>IF(DATOS!$I36="","",IFERROR(VLOOKUP(DATOS!$I36,CONFIG_ASIGNATURAS!$B$2:$J$61,9,FALSE()),""))</f>
      </c>
    </row>
    <row r="37">
      <c r="E37">
        <f>IF(DATOS!$I37="","",IFERROR(VLOOKUP(DATOS!$I37,CONFIG_ASIGNATURAS!$B$2:$J$61,9,FALSE()),""))</f>
      </c>
    </row>
    <row r="38">
      <c r="E38">
        <f>IF(DATOS!$I38="","",IFERROR(VLOOKUP(DATOS!$I38,CONFIG_ASIGNATURAS!$B$2:$J$61,9,FALSE()),""))</f>
      </c>
    </row>
    <row r="39">
      <c r="E39">
        <f>IF(DATOS!$I39="","",IFERROR(VLOOKUP(DATOS!$I39,CONFIG_ASIGNATURAS!$B$2:$J$61,9,FALSE()),""))</f>
      </c>
    </row>
    <row r="40">
      <c r="E40">
        <f>IF(DATOS!$I40="","",IFERROR(VLOOKUP(DATOS!$I40,CONFIG_ASIGNATURAS!$B$2:$J$61,9,FALSE()),""))</f>
      </c>
    </row>
    <row r="41">
      <c r="E41">
        <f>IF(DATOS!$I41="","",IFERROR(VLOOKUP(DATOS!$I41,CONFIG_ASIGNATURAS!$B$2:$J$61,9,FALSE()),""))</f>
      </c>
    </row>
    <row r="42">
      <c r="E42">
        <f>IF(DATOS!$I42="","",IFERROR(VLOOKUP(DATOS!$I42,CONFIG_ASIGNATURAS!$B$2:$J$61,9,FALSE()),""))</f>
      </c>
    </row>
    <row r="43">
      <c r="E43">
        <f>IF(DATOS!$I43="","",IFERROR(VLOOKUP(DATOS!$I43,CONFIG_ASIGNATURAS!$B$2:$J$61,9,FALSE()),""))</f>
      </c>
    </row>
    <row r="44">
      <c r="E44">
        <f>IF(DATOS!$I44="","",IFERROR(VLOOKUP(DATOS!$I44,CONFIG_ASIGNATURAS!$B$2:$J$61,9,FALSE()),""))</f>
      </c>
    </row>
    <row r="45">
      <c r="E45">
        <f>IF(DATOS!$I45="","",IFERROR(VLOOKUP(DATOS!$I45,CONFIG_ASIGNATURAS!$B$2:$J$61,9,FALSE()),""))</f>
      </c>
    </row>
    <row r="46">
      <c r="E46">
        <f>IF(DATOS!$I46="","",IFERROR(VLOOKUP(DATOS!$I46,CONFIG_ASIGNATURAS!$B$2:$J$61,9,FALSE()),""))</f>
      </c>
    </row>
    <row r="47">
      <c r="E47">
        <f>IF(DATOS!$I47="","",IFERROR(VLOOKUP(DATOS!$I47,CONFIG_ASIGNATURAS!$B$2:$J$61,9,FALSE()),""))</f>
      </c>
    </row>
    <row r="48">
      <c r="E48">
        <f>IF(DATOS!$I48="","",IFERROR(VLOOKUP(DATOS!$I48,CONFIG_ASIGNATURAS!$B$2:$J$61,9,FALSE()),""))</f>
      </c>
    </row>
    <row r="49">
      <c r="E49">
        <f>IF(DATOS!$I49="","",IFERROR(VLOOKUP(DATOS!$I49,CONFIG_ASIGNATURAS!$B$2:$J$61,9,FALSE()),""))</f>
      </c>
    </row>
    <row r="50">
      <c r="E50">
        <f>IF(DATOS!$I50="","",IFERROR(VLOOKUP(DATOS!$I50,CONFIG_ASIGNATURAS!$B$2:$J$61,9,FALSE()),""))</f>
      </c>
    </row>
    <row r="51">
      <c r="E51">
        <f>IF(DATOS!$I51="","",IFERROR(VLOOKUP(DATOS!$I51,CONFIG_ASIGNATURAS!$B$2:$J$61,9,FALSE()),""))</f>
      </c>
    </row>
    <row r="52">
      <c r="E52">
        <f>IF(DATOS!$I52="","",IFERROR(VLOOKUP(DATOS!$I52,CONFIG_ASIGNATURAS!$B$2:$J$61,9,FALSE()),""))</f>
      </c>
    </row>
    <row r="53">
      <c r="E53">
        <f>IF(DATOS!$I53="","",IFERROR(VLOOKUP(DATOS!$I53,CONFIG_ASIGNATURAS!$B$2:$J$61,9,FALSE()),""))</f>
      </c>
    </row>
    <row r="54">
      <c r="E54">
        <f>IF(DATOS!$I54="","",IFERROR(VLOOKUP(DATOS!$I54,CONFIG_ASIGNATURAS!$B$2:$J$61,9,FALSE()),""))</f>
      </c>
    </row>
    <row r="55">
      <c r="E55">
        <f>IF(DATOS!$I55="","",IFERROR(VLOOKUP(DATOS!$I55,CONFIG_ASIGNATURAS!$B$2:$J$61,9,FALSE()),""))</f>
      </c>
    </row>
    <row r="56">
      <c r="E56">
        <f>IF(DATOS!$I56="","",IFERROR(VLOOKUP(DATOS!$I56,CONFIG_ASIGNATURAS!$B$2:$J$61,9,FALSE()),""))</f>
      </c>
    </row>
    <row r="57">
      <c r="E57">
        <f>IF(DATOS!$I57="","",IFERROR(VLOOKUP(DATOS!$I57,CONFIG_ASIGNATURAS!$B$2:$J$61,9,FALSE()),""))</f>
      </c>
    </row>
    <row r="58">
      <c r="E58">
        <f>IF(DATOS!$I58="","",IFERROR(VLOOKUP(DATOS!$I58,CONFIG_ASIGNATURAS!$B$2:$J$61,9,FALSE()),""))</f>
      </c>
    </row>
    <row r="59">
      <c r="E59">
        <f>IF(DATOS!$I59="","",IFERROR(VLOOKUP(DATOS!$I59,CONFIG_ASIGNATURAS!$B$2:$J$61,9,FALSE()),""))</f>
      </c>
    </row>
    <row r="60">
      <c r="E60">
        <f>IF(DATOS!$I60="","",IFERROR(VLOOKUP(DATOS!$I60,CONFIG_ASIGNATURAS!$B$2:$J$61,9,FALSE()),""))</f>
      </c>
    </row>
    <row r="61">
      <c r="E61">
        <f>IF(DATOS!$I61="","",IFERROR(VLOOKUP(DATOS!$I61,CONFIG_ASIGNATURAS!$B$2:$J$61,9,FALSE()),""))</f>
      </c>
    </row>
    <row r="62">
      <c r="E62">
        <f>IF(DATOS!$I62="","",IFERROR(VLOOKUP(DATOS!$I62,CONFIG_ASIGNATURAS!$B$2:$J$61,9,FALSE()),""))</f>
      </c>
    </row>
    <row r="63">
      <c r="E63">
        <f>IF(DATOS!$I63="","",IFERROR(VLOOKUP(DATOS!$I63,CONFIG_ASIGNATURAS!$B$2:$J$61,9,FALSE()),""))</f>
      </c>
    </row>
    <row r="64">
      <c r="E64">
        <f>IF(DATOS!$I64="","",IFERROR(VLOOKUP(DATOS!$I64,CONFIG_ASIGNATURAS!$B$2:$J$61,9,FALSE()),""))</f>
      </c>
    </row>
    <row r="65">
      <c r="E65">
        <f>IF(DATOS!$I65="","",IFERROR(VLOOKUP(DATOS!$I65,CONFIG_ASIGNATURAS!$B$2:$J$61,9,FALSE()),""))</f>
      </c>
    </row>
    <row r="66">
      <c r="E66">
        <f>IF(DATOS!$I66="","",IFERROR(VLOOKUP(DATOS!$I66,CONFIG_ASIGNATURAS!$B$2:$J$61,9,FALSE()),""))</f>
      </c>
    </row>
    <row r="67">
      <c r="E67">
        <f>IF(DATOS!$I67="","",IFERROR(VLOOKUP(DATOS!$I67,CONFIG_ASIGNATURAS!$B$2:$J$61,9,FALSE()),""))</f>
      </c>
    </row>
    <row r="68">
      <c r="E68">
        <f>IF(DATOS!$I68="","",IFERROR(VLOOKUP(DATOS!$I68,CONFIG_ASIGNATURAS!$B$2:$J$61,9,FALSE()),""))</f>
      </c>
    </row>
    <row r="69">
      <c r="E69">
        <f>IF(DATOS!$I69="","",IFERROR(VLOOKUP(DATOS!$I69,CONFIG_ASIGNATURAS!$B$2:$J$61,9,FALSE()),""))</f>
      </c>
    </row>
    <row r="70">
      <c r="E70">
        <f>IF(DATOS!$I70="","",IFERROR(VLOOKUP(DATOS!$I70,CONFIG_ASIGNATURAS!$B$2:$J$61,9,FALSE()),""))</f>
      </c>
    </row>
    <row r="71">
      <c r="E71">
        <f>IF(DATOS!$I71="","",IFERROR(VLOOKUP(DATOS!$I71,CONFIG_ASIGNATURAS!$B$2:$J$61,9,FALSE()),""))</f>
      </c>
    </row>
    <row r="72">
      <c r="E72">
        <f>IF(DATOS!$I72="","",IFERROR(VLOOKUP(DATOS!$I72,CONFIG_ASIGNATURAS!$B$2:$J$61,9,FALSE()),""))</f>
      </c>
    </row>
    <row r="73">
      <c r="E73">
        <f>IF(DATOS!$I73="","",IFERROR(VLOOKUP(DATOS!$I73,CONFIG_ASIGNATURAS!$B$2:$J$61,9,FALSE()),""))</f>
      </c>
    </row>
    <row r="74">
      <c r="E74">
        <f>IF(DATOS!$I74="","",IFERROR(VLOOKUP(DATOS!$I74,CONFIG_ASIGNATURAS!$B$2:$J$61,9,FALSE()),""))</f>
      </c>
    </row>
    <row r="75">
      <c r="E75">
        <f>IF(DATOS!$I75="","",IFERROR(VLOOKUP(DATOS!$I75,CONFIG_ASIGNATURAS!$B$2:$J$61,9,FALSE()),""))</f>
      </c>
    </row>
    <row r="76">
      <c r="E76">
        <f>IF(DATOS!$I76="","",IFERROR(VLOOKUP(DATOS!$I76,CONFIG_ASIGNATURAS!$B$2:$J$61,9,FALSE()),""))</f>
      </c>
    </row>
    <row r="77">
      <c r="E77">
        <f>IF(DATOS!$I77="","",IFERROR(VLOOKUP(DATOS!$I77,CONFIG_ASIGNATURAS!$B$2:$J$61,9,FALSE()),""))</f>
      </c>
    </row>
    <row r="78">
      <c r="E78">
        <f>IF(DATOS!$I78="","",IFERROR(VLOOKUP(DATOS!$I78,CONFIG_ASIGNATURAS!$B$2:$J$61,9,FALSE()),""))</f>
      </c>
    </row>
    <row r="79">
      <c r="E79">
        <f>IF(DATOS!$I79="","",IFERROR(VLOOKUP(DATOS!$I79,CONFIG_ASIGNATURAS!$B$2:$J$61,9,FALSE()),""))</f>
      </c>
    </row>
    <row r="80">
      <c r="E80">
        <f>IF(DATOS!$I80="","",IFERROR(VLOOKUP(DATOS!$I80,CONFIG_ASIGNATURAS!$B$2:$J$61,9,FALSE()),""))</f>
      </c>
    </row>
    <row r="81">
      <c r="E81">
        <f>IF(DATOS!$I81="","",IFERROR(VLOOKUP(DATOS!$I81,CONFIG_ASIGNATURAS!$B$2:$J$61,9,FALSE()),""))</f>
      </c>
    </row>
    <row r="82">
      <c r="E82">
        <f>IF(DATOS!$I82="","",IFERROR(VLOOKUP(DATOS!$I82,CONFIG_ASIGNATURAS!$B$2:$J$61,9,FALSE()),""))</f>
      </c>
    </row>
    <row r="83">
      <c r="E83">
        <f>IF(DATOS!$I83="","",IFERROR(VLOOKUP(DATOS!$I83,CONFIG_ASIGNATURAS!$B$2:$J$61,9,FALSE()),""))</f>
      </c>
    </row>
    <row r="84">
      <c r="E84">
        <f>IF(DATOS!$I84="","",IFERROR(VLOOKUP(DATOS!$I84,CONFIG_ASIGNATURAS!$B$2:$J$61,9,FALSE()),""))</f>
      </c>
    </row>
    <row r="85">
      <c r="E85">
        <f>IF(DATOS!$I85="","",IFERROR(VLOOKUP(DATOS!$I85,CONFIG_ASIGNATURAS!$B$2:$J$61,9,FALSE()),""))</f>
      </c>
    </row>
    <row r="86">
      <c r="E86">
        <f>IF(DATOS!$I86="","",IFERROR(VLOOKUP(DATOS!$I86,CONFIG_ASIGNATURAS!$B$2:$J$61,9,FALSE()),""))</f>
      </c>
    </row>
    <row r="87">
      <c r="E87">
        <f>IF(DATOS!$I87="","",IFERROR(VLOOKUP(DATOS!$I87,CONFIG_ASIGNATURAS!$B$2:$J$61,9,FALSE()),""))</f>
      </c>
    </row>
    <row r="88">
      <c r="E88">
        <f>IF(DATOS!$I88="","",IFERROR(VLOOKUP(DATOS!$I88,CONFIG_ASIGNATURAS!$B$2:$J$61,9,FALSE()),""))</f>
      </c>
    </row>
    <row r="89">
      <c r="E89">
        <f>IF(DATOS!$I89="","",IFERROR(VLOOKUP(DATOS!$I89,CONFIG_ASIGNATURAS!$B$2:$J$61,9,FALSE()),""))</f>
      </c>
    </row>
    <row r="90">
      <c r="E90">
        <f>IF(DATOS!$I90="","",IFERROR(VLOOKUP(DATOS!$I90,CONFIG_ASIGNATURAS!$B$2:$J$61,9,FALSE()),""))</f>
      </c>
    </row>
    <row r="91">
      <c r="E91">
        <f>IF(DATOS!$I91="","",IFERROR(VLOOKUP(DATOS!$I91,CONFIG_ASIGNATURAS!$B$2:$J$61,9,FALSE()),""))</f>
      </c>
    </row>
    <row r="92">
      <c r="E92">
        <f>IF(DATOS!$I92="","",IFERROR(VLOOKUP(DATOS!$I92,CONFIG_ASIGNATURAS!$B$2:$J$61,9,FALSE()),""))</f>
      </c>
    </row>
    <row r="93">
      <c r="E93">
        <f>IF(DATOS!$I93="","",IFERROR(VLOOKUP(DATOS!$I93,CONFIG_ASIGNATURAS!$B$2:$J$61,9,FALSE()),""))</f>
      </c>
    </row>
    <row r="94">
      <c r="E94">
        <f>IF(DATOS!$I94="","",IFERROR(VLOOKUP(DATOS!$I94,CONFIG_ASIGNATURAS!$B$2:$J$61,9,FALSE()),""))</f>
      </c>
    </row>
    <row r="95">
      <c r="E95">
        <f>IF(DATOS!$I95="","",IFERROR(VLOOKUP(DATOS!$I95,CONFIG_ASIGNATURAS!$B$2:$J$61,9,FALSE()),""))</f>
      </c>
    </row>
    <row r="96">
      <c r="E96">
        <f>IF(DATOS!$I96="","",IFERROR(VLOOKUP(DATOS!$I96,CONFIG_ASIGNATURAS!$B$2:$J$61,9,FALSE()),""))</f>
      </c>
    </row>
    <row r="97">
      <c r="E97">
        <f>IF(DATOS!$I97="","",IFERROR(VLOOKUP(DATOS!$I97,CONFIG_ASIGNATURAS!$B$2:$J$61,9,FALSE()),""))</f>
      </c>
    </row>
    <row r="98">
      <c r="E98">
        <f>IF(DATOS!$I98="","",IFERROR(VLOOKUP(DATOS!$I98,CONFIG_ASIGNATURAS!$B$2:$J$61,9,FALSE()),""))</f>
      </c>
    </row>
    <row r="99">
      <c r="E99">
        <f>IF(DATOS!$I99="","",IFERROR(VLOOKUP(DATOS!$I99,CONFIG_ASIGNATURAS!$B$2:$J$61,9,FALSE()),""))</f>
      </c>
    </row>
    <row r="100">
      <c r="E100">
        <f>IF(DATOS!$I100="","",IFERROR(VLOOKUP(DATOS!$I100,CONFIG_ASIGNATURAS!$B$2:$J$61,9,FALSE()),""))</f>
      </c>
    </row>
    <row r="101">
      <c r="E101">
        <f>IF(DATOS!$I101="","",IFERROR(VLOOKUP(DATOS!$I101,CONFIG_ASIGNATURAS!$B$2:$J$61,9,FALSE()),""))</f>
      </c>
    </row>
    <row r="102">
      <c r="E102">
        <f>IF(DATOS!$I102="","",IFERROR(VLOOKUP(DATOS!$I102,CONFIG_ASIGNATURAS!$B$2:$J$61,9,FALSE()),""))</f>
      </c>
    </row>
    <row r="103">
      <c r="E103">
        <f>IF(DATOS!$I103="","",IFERROR(VLOOKUP(DATOS!$I103,CONFIG_ASIGNATURAS!$B$2:$J$61,9,FALSE()),""))</f>
      </c>
    </row>
    <row r="104">
      <c r="E104">
        <f>IF(DATOS!$I104="","",IFERROR(VLOOKUP(DATOS!$I104,CONFIG_ASIGNATURAS!$B$2:$J$61,9,FALSE()),""))</f>
      </c>
    </row>
    <row r="105">
      <c r="E105">
        <f>IF(DATOS!$I105="","",IFERROR(VLOOKUP(DATOS!$I105,CONFIG_ASIGNATURAS!$B$2:$J$61,9,FALSE()),""))</f>
      </c>
    </row>
    <row r="106">
      <c r="E106">
        <f>IF(DATOS!$I106="","",IFERROR(VLOOKUP(DATOS!$I106,CONFIG_ASIGNATURAS!$B$2:$J$61,9,FALSE()),""))</f>
      </c>
    </row>
    <row r="107">
      <c r="E107">
        <f>IF(DATOS!$I107="","",IFERROR(VLOOKUP(DATOS!$I107,CONFIG_ASIGNATURAS!$B$2:$J$61,9,FALSE()),""))</f>
      </c>
    </row>
    <row r="108">
      <c r="E108">
        <f>IF(DATOS!$I108="","",IFERROR(VLOOKUP(DATOS!$I108,CONFIG_ASIGNATURAS!$B$2:$J$61,9,FALSE()),""))</f>
      </c>
    </row>
    <row r="109">
      <c r="E109">
        <f>IF(DATOS!$I109="","",IFERROR(VLOOKUP(DATOS!$I109,CONFIG_ASIGNATURAS!$B$2:$J$61,9,FALSE()),""))</f>
      </c>
    </row>
    <row r="110">
      <c r="E110">
        <f>IF(DATOS!$I110="","",IFERROR(VLOOKUP(DATOS!$I110,CONFIG_ASIGNATURAS!$B$2:$J$61,9,FALSE()),""))</f>
      </c>
    </row>
    <row r="111">
      <c r="E111">
        <f>IF(DATOS!$I111="","",IFERROR(VLOOKUP(DATOS!$I111,CONFIG_ASIGNATURAS!$B$2:$J$61,9,FALSE()),""))</f>
      </c>
    </row>
    <row r="112">
      <c r="E112">
        <f>IF(DATOS!$I112="","",IFERROR(VLOOKUP(DATOS!$I112,CONFIG_ASIGNATURAS!$B$2:$J$61,9,FALSE()),""))</f>
      </c>
    </row>
    <row r="113">
      <c r="E113">
        <f>IF(DATOS!$I113="","",IFERROR(VLOOKUP(DATOS!$I113,CONFIG_ASIGNATURAS!$B$2:$J$61,9,FALSE()),""))</f>
      </c>
    </row>
    <row r="114">
      <c r="E114">
        <f>IF(DATOS!$I114="","",IFERROR(VLOOKUP(DATOS!$I114,CONFIG_ASIGNATURAS!$B$2:$J$61,9,FALSE()),""))</f>
      </c>
    </row>
    <row r="115">
      <c r="E115">
        <f>IF(DATOS!$I115="","",IFERROR(VLOOKUP(DATOS!$I115,CONFIG_ASIGNATURAS!$B$2:$J$61,9,FALSE()),""))</f>
      </c>
    </row>
    <row r="116">
      <c r="E116">
        <f>IF(DATOS!$I116="","",IFERROR(VLOOKUP(DATOS!$I116,CONFIG_ASIGNATURAS!$B$2:$J$61,9,FALSE()),""))</f>
      </c>
    </row>
    <row r="117">
      <c r="E117">
        <f>IF(DATOS!$I117="","",IFERROR(VLOOKUP(DATOS!$I117,CONFIG_ASIGNATURAS!$B$2:$J$61,9,FALSE()),""))</f>
      </c>
    </row>
    <row r="118">
      <c r="E118">
        <f>IF(DATOS!$I118="","",IFERROR(VLOOKUP(DATOS!$I118,CONFIG_ASIGNATURAS!$B$2:$J$61,9,FALSE()),""))</f>
      </c>
    </row>
    <row r="119">
      <c r="E119">
        <f>IF(DATOS!$I119="","",IFERROR(VLOOKUP(DATOS!$I119,CONFIG_ASIGNATURAS!$B$2:$J$61,9,FALSE()),""))</f>
      </c>
    </row>
    <row r="120">
      <c r="E120">
        <f>IF(DATOS!$I120="","",IFERROR(VLOOKUP(DATOS!$I120,CONFIG_ASIGNATURAS!$B$2:$J$61,9,FALSE()),""))</f>
      </c>
    </row>
    <row r="121">
      <c r="E121">
        <f>IF(DATOS!$I121="","",IFERROR(VLOOKUP(DATOS!$I121,CONFIG_ASIGNATURAS!$B$2:$J$61,9,FALSE()),""))</f>
      </c>
    </row>
    <row r="122">
      <c r="E122">
        <f>IF(DATOS!$I122="","",IFERROR(VLOOKUP(DATOS!$I122,CONFIG_ASIGNATURAS!$B$2:$J$61,9,FALSE()),""))</f>
      </c>
    </row>
    <row r="123">
      <c r="E123">
        <f>IF(DATOS!$I123="","",IFERROR(VLOOKUP(DATOS!$I123,CONFIG_ASIGNATURAS!$B$2:$J$61,9,FALSE()),""))</f>
      </c>
    </row>
    <row r="124">
      <c r="E124">
        <f>IF(DATOS!$I124="","",IFERROR(VLOOKUP(DATOS!$I124,CONFIG_ASIGNATURAS!$B$2:$J$61,9,FALSE()),""))</f>
      </c>
    </row>
    <row r="125">
      <c r="E125">
        <f>IF(DATOS!$I125="","",IFERROR(VLOOKUP(DATOS!$I125,CONFIG_ASIGNATURAS!$B$2:$J$61,9,FALSE()),""))</f>
      </c>
    </row>
    <row r="126">
      <c r="E126">
        <f>IF(DATOS!$I126="","",IFERROR(VLOOKUP(DATOS!$I126,CONFIG_ASIGNATURAS!$B$2:$J$61,9,FALSE()),""))</f>
      </c>
    </row>
    <row r="127">
      <c r="E127">
        <f>IF(DATOS!$I127="","",IFERROR(VLOOKUP(DATOS!$I127,CONFIG_ASIGNATURAS!$B$2:$J$61,9,FALSE()),""))</f>
      </c>
    </row>
    <row r="128">
      <c r="E128">
        <f>IF(DATOS!$I128="","",IFERROR(VLOOKUP(DATOS!$I128,CONFIG_ASIGNATURAS!$B$2:$J$61,9,FALSE()),""))</f>
      </c>
    </row>
    <row r="129">
      <c r="E129">
        <f>IF(DATOS!$I129="","",IFERROR(VLOOKUP(DATOS!$I129,CONFIG_ASIGNATURAS!$B$2:$J$61,9,FALSE()),""))</f>
      </c>
    </row>
    <row r="130">
      <c r="E130">
        <f>IF(DATOS!$I130="","",IFERROR(VLOOKUP(DATOS!$I130,CONFIG_ASIGNATURAS!$B$2:$J$61,9,FALSE()),""))</f>
      </c>
    </row>
    <row r="131">
      <c r="E131">
        <f>IF(DATOS!$I131="","",IFERROR(VLOOKUP(DATOS!$I131,CONFIG_ASIGNATURAS!$B$2:$J$61,9,FALSE()),""))</f>
      </c>
    </row>
    <row r="132">
      <c r="E132">
        <f>IF(DATOS!$I132="","",IFERROR(VLOOKUP(DATOS!$I132,CONFIG_ASIGNATURAS!$B$2:$J$61,9,FALSE()),""))</f>
      </c>
    </row>
    <row r="133">
      <c r="E133">
        <f>IF(DATOS!$I133="","",IFERROR(VLOOKUP(DATOS!$I133,CONFIG_ASIGNATURAS!$B$2:$J$61,9,FALSE()),""))</f>
      </c>
    </row>
    <row r="134">
      <c r="E134">
        <f>IF(DATOS!$I134="","",IFERROR(VLOOKUP(DATOS!$I134,CONFIG_ASIGNATURAS!$B$2:$J$61,9,FALSE()),""))</f>
      </c>
    </row>
    <row r="135">
      <c r="E135">
        <f>IF(DATOS!$I135="","",IFERROR(VLOOKUP(DATOS!$I135,CONFIG_ASIGNATURAS!$B$2:$J$61,9,FALSE()),""))</f>
      </c>
    </row>
    <row r="136">
      <c r="E136">
        <f>IF(DATOS!$I136="","",IFERROR(VLOOKUP(DATOS!$I136,CONFIG_ASIGNATURAS!$B$2:$J$61,9,FALSE()),""))</f>
      </c>
    </row>
    <row r="137">
      <c r="E137">
        <f>IF(DATOS!$I137="","",IFERROR(VLOOKUP(DATOS!$I137,CONFIG_ASIGNATURAS!$B$2:$J$61,9,FALSE()),""))</f>
      </c>
    </row>
    <row r="138">
      <c r="E138">
        <f>IF(DATOS!$I138="","",IFERROR(VLOOKUP(DATOS!$I138,CONFIG_ASIGNATURAS!$B$2:$J$61,9,FALSE()),""))</f>
      </c>
    </row>
    <row r="139">
      <c r="E139">
        <f>IF(DATOS!$I139="","",IFERROR(VLOOKUP(DATOS!$I139,CONFIG_ASIGNATURAS!$B$2:$J$61,9,FALSE()),""))</f>
      </c>
    </row>
    <row r="140">
      <c r="E140">
        <f>IF(DATOS!$I140="","",IFERROR(VLOOKUP(DATOS!$I140,CONFIG_ASIGNATURAS!$B$2:$J$61,9,FALSE()),""))</f>
      </c>
    </row>
    <row r="141">
      <c r="E141">
        <f>IF(DATOS!$I141="","",IFERROR(VLOOKUP(DATOS!$I141,CONFIG_ASIGNATURAS!$B$2:$J$61,9,FALSE()),""))</f>
      </c>
    </row>
    <row r="142">
      <c r="E142">
        <f>IF(DATOS!$I142="","",IFERROR(VLOOKUP(DATOS!$I142,CONFIG_ASIGNATURAS!$B$2:$J$61,9,FALSE()),""))</f>
      </c>
    </row>
    <row r="143">
      <c r="E143">
        <f>IF(DATOS!$I143="","",IFERROR(VLOOKUP(DATOS!$I143,CONFIG_ASIGNATURAS!$B$2:$J$61,9,FALSE()),""))</f>
      </c>
    </row>
    <row r="144">
      <c r="E144">
        <f>IF(DATOS!$I144="","",IFERROR(VLOOKUP(DATOS!$I144,CONFIG_ASIGNATURAS!$B$2:$J$61,9,FALSE()),""))</f>
      </c>
    </row>
    <row r="145">
      <c r="E145">
        <f>IF(DATOS!$I145="","",IFERROR(VLOOKUP(DATOS!$I145,CONFIG_ASIGNATURAS!$B$2:$J$61,9,FALSE()),""))</f>
      </c>
    </row>
    <row r="146">
      <c r="E146">
        <f>IF(DATOS!$I146="","",IFERROR(VLOOKUP(DATOS!$I146,CONFIG_ASIGNATURAS!$B$2:$J$61,9,FALSE()),""))</f>
      </c>
    </row>
    <row r="147">
      <c r="E147">
        <f>IF(DATOS!$I147="","",IFERROR(VLOOKUP(DATOS!$I147,CONFIG_ASIGNATURAS!$B$2:$J$61,9,FALSE()),""))</f>
      </c>
    </row>
    <row r="148">
      <c r="E148">
        <f>IF(DATOS!$I148="","",IFERROR(VLOOKUP(DATOS!$I148,CONFIG_ASIGNATURAS!$B$2:$J$61,9,FALSE()),""))</f>
      </c>
    </row>
    <row r="149">
      <c r="E149">
        <f>IF(DATOS!$I149="","",IFERROR(VLOOKUP(DATOS!$I149,CONFIG_ASIGNATURAS!$B$2:$J$61,9,FALSE()),""))</f>
      </c>
    </row>
    <row r="150">
      <c r="E150">
        <f>IF(DATOS!$I150="","",IFERROR(VLOOKUP(DATOS!$I150,CONFIG_ASIGNATURAS!$B$2:$J$61,9,FALSE()),""))</f>
      </c>
    </row>
    <row r="151">
      <c r="E151">
        <f>IF(DATOS!$I151="","",IFERROR(VLOOKUP(DATOS!$I151,CONFIG_ASIGNATURAS!$B$2:$J$61,9,FALSE()),""))</f>
      </c>
    </row>
    <row r="152">
      <c r="E152">
        <f>IF(DATOS!$I152="","",IFERROR(VLOOKUP(DATOS!$I152,CONFIG_ASIGNATURAS!$B$2:$J$61,9,FALSE()),""))</f>
      </c>
    </row>
    <row r="153">
      <c r="E153">
        <f>IF(DATOS!$I153="","",IFERROR(VLOOKUP(DATOS!$I153,CONFIG_ASIGNATURAS!$B$2:$J$61,9,FALSE()),""))</f>
      </c>
    </row>
    <row r="154">
      <c r="E154">
        <f>IF(DATOS!$I154="","",IFERROR(VLOOKUP(DATOS!$I154,CONFIG_ASIGNATURAS!$B$2:$J$61,9,FALSE()),""))</f>
      </c>
    </row>
    <row r="155">
      <c r="E155">
        <f>IF(DATOS!$I155="","",IFERROR(VLOOKUP(DATOS!$I155,CONFIG_ASIGNATURAS!$B$2:$J$61,9,FALSE()),""))</f>
      </c>
    </row>
    <row r="156">
      <c r="E156">
        <f>IF(DATOS!$I156="","",IFERROR(VLOOKUP(DATOS!$I156,CONFIG_ASIGNATURAS!$B$2:$J$61,9,FALSE()),""))</f>
      </c>
    </row>
    <row r="157">
      <c r="E157">
        <f>IF(DATOS!$I157="","",IFERROR(VLOOKUP(DATOS!$I157,CONFIG_ASIGNATURAS!$B$2:$J$61,9,FALSE()),""))</f>
      </c>
    </row>
    <row r="158">
      <c r="E158">
        <f>IF(DATOS!$I158="","",IFERROR(VLOOKUP(DATOS!$I158,CONFIG_ASIGNATURAS!$B$2:$J$61,9,FALSE()),""))</f>
      </c>
    </row>
    <row r="159">
      <c r="E159">
        <f>IF(DATOS!$I159="","",IFERROR(VLOOKUP(DATOS!$I159,CONFIG_ASIGNATURAS!$B$2:$J$61,9,FALSE()),""))</f>
      </c>
    </row>
    <row r="160">
      <c r="E160">
        <f>IF(DATOS!$I160="","",IFERROR(VLOOKUP(DATOS!$I160,CONFIG_ASIGNATURAS!$B$2:$J$61,9,FALSE()),""))</f>
      </c>
    </row>
    <row r="161">
      <c r="E161">
        <f>IF(DATOS!$I161="","",IFERROR(VLOOKUP(DATOS!$I161,CONFIG_ASIGNATURAS!$B$2:$J$61,9,FALSE()),""))</f>
      </c>
    </row>
    <row r="162">
      <c r="E162">
        <f>IF(DATOS!$I162="","",IFERROR(VLOOKUP(DATOS!$I162,CONFIG_ASIGNATURAS!$B$2:$J$61,9,FALSE()),""))</f>
      </c>
    </row>
    <row r="163">
      <c r="E163">
        <f>IF(DATOS!$I163="","",IFERROR(VLOOKUP(DATOS!$I163,CONFIG_ASIGNATURAS!$B$2:$J$61,9,FALSE()),""))</f>
      </c>
    </row>
    <row r="164">
      <c r="E164">
        <f>IF(DATOS!$I164="","",IFERROR(VLOOKUP(DATOS!$I164,CONFIG_ASIGNATURAS!$B$2:$J$61,9,FALSE()),""))</f>
      </c>
    </row>
    <row r="165">
      <c r="E165">
        <f>IF(DATOS!$I165="","",IFERROR(VLOOKUP(DATOS!$I165,CONFIG_ASIGNATURAS!$B$2:$J$61,9,FALSE()),""))</f>
      </c>
    </row>
    <row r="166">
      <c r="E166">
        <f>IF(DATOS!$I166="","",IFERROR(VLOOKUP(DATOS!$I166,CONFIG_ASIGNATURAS!$B$2:$J$61,9,FALSE()),""))</f>
      </c>
    </row>
    <row r="167">
      <c r="E167">
        <f>IF(DATOS!$I167="","",IFERROR(VLOOKUP(DATOS!$I167,CONFIG_ASIGNATURAS!$B$2:$J$61,9,FALSE()),""))</f>
      </c>
    </row>
    <row r="168">
      <c r="E168">
        <f>IF(DATOS!$I168="","",IFERROR(VLOOKUP(DATOS!$I168,CONFIG_ASIGNATURAS!$B$2:$J$61,9,FALSE()),""))</f>
      </c>
    </row>
    <row r="169">
      <c r="E169">
        <f>IF(DATOS!$I169="","",IFERROR(VLOOKUP(DATOS!$I169,CONFIG_ASIGNATURAS!$B$2:$J$61,9,FALSE()),""))</f>
      </c>
    </row>
    <row r="170">
      <c r="E170">
        <f>IF(DATOS!$I170="","",IFERROR(VLOOKUP(DATOS!$I170,CONFIG_ASIGNATURAS!$B$2:$J$61,9,FALSE()),""))</f>
      </c>
    </row>
    <row r="171">
      <c r="E171">
        <f>IF(DATOS!$I171="","",IFERROR(VLOOKUP(DATOS!$I171,CONFIG_ASIGNATURAS!$B$2:$J$61,9,FALSE()),""))</f>
      </c>
    </row>
    <row r="172">
      <c r="E172">
        <f>IF(DATOS!$I172="","",IFERROR(VLOOKUP(DATOS!$I172,CONFIG_ASIGNATURAS!$B$2:$J$61,9,FALSE()),""))</f>
      </c>
    </row>
    <row r="173">
      <c r="E173">
        <f>IF(DATOS!$I173="","",IFERROR(VLOOKUP(DATOS!$I173,CONFIG_ASIGNATURAS!$B$2:$J$61,9,FALSE()),""))</f>
      </c>
    </row>
    <row r="174">
      <c r="E174">
        <f>IF(DATOS!$I174="","",IFERROR(VLOOKUP(DATOS!$I174,CONFIG_ASIGNATURAS!$B$2:$J$61,9,FALSE()),""))</f>
      </c>
    </row>
    <row r="175">
      <c r="E175">
        <f>IF(DATOS!$I175="","",IFERROR(VLOOKUP(DATOS!$I175,CONFIG_ASIGNATURAS!$B$2:$J$61,9,FALSE()),""))</f>
      </c>
    </row>
    <row r="176">
      <c r="E176">
        <f>IF(DATOS!$I176="","",IFERROR(VLOOKUP(DATOS!$I176,CONFIG_ASIGNATURAS!$B$2:$J$61,9,FALSE()),""))</f>
      </c>
    </row>
    <row r="177">
      <c r="E177">
        <f>IF(DATOS!$I177="","",IFERROR(VLOOKUP(DATOS!$I177,CONFIG_ASIGNATURAS!$B$2:$J$61,9,FALSE()),""))</f>
      </c>
    </row>
    <row r="178">
      <c r="E178">
        <f>IF(DATOS!$I178="","",IFERROR(VLOOKUP(DATOS!$I178,CONFIG_ASIGNATURAS!$B$2:$J$61,9,FALSE()),""))</f>
      </c>
    </row>
    <row r="179">
      <c r="E179">
        <f>IF(DATOS!$I179="","",IFERROR(VLOOKUP(DATOS!$I179,CONFIG_ASIGNATURAS!$B$2:$J$61,9,FALSE()),""))</f>
      </c>
    </row>
    <row r="180">
      <c r="E180">
        <f>IF(DATOS!$I180="","",IFERROR(VLOOKUP(DATOS!$I180,CONFIG_ASIGNATURAS!$B$2:$J$61,9,FALSE()),""))</f>
      </c>
    </row>
    <row r="181">
      <c r="E181">
        <f>IF(DATOS!$I181="","",IFERROR(VLOOKUP(DATOS!$I181,CONFIG_ASIGNATURAS!$B$2:$J$61,9,FALSE()),""))</f>
      </c>
    </row>
    <row r="182">
      <c r="E182">
        <f>IF(DATOS!$I182="","",IFERROR(VLOOKUP(DATOS!$I182,CONFIG_ASIGNATURAS!$B$2:$J$61,9,FALSE()),""))</f>
      </c>
    </row>
    <row r="183">
      <c r="E183">
        <f>IF(DATOS!$I183="","",IFERROR(VLOOKUP(DATOS!$I183,CONFIG_ASIGNATURAS!$B$2:$J$61,9,FALSE()),""))</f>
      </c>
    </row>
    <row r="184">
      <c r="E184">
        <f>IF(DATOS!$I184="","",IFERROR(VLOOKUP(DATOS!$I184,CONFIG_ASIGNATURAS!$B$2:$J$61,9,FALSE()),""))</f>
      </c>
    </row>
    <row r="185">
      <c r="E185">
        <f>IF(DATOS!$I185="","",IFERROR(VLOOKUP(DATOS!$I185,CONFIG_ASIGNATURAS!$B$2:$J$61,9,FALSE()),""))</f>
      </c>
    </row>
    <row r="186">
      <c r="E186">
        <f>IF(DATOS!$I186="","",IFERROR(VLOOKUP(DATOS!$I186,CONFIG_ASIGNATURAS!$B$2:$J$61,9,FALSE()),""))</f>
      </c>
    </row>
    <row r="187">
      <c r="E187">
        <f>IF(DATOS!$I187="","",IFERROR(VLOOKUP(DATOS!$I187,CONFIG_ASIGNATURAS!$B$2:$J$61,9,FALSE()),""))</f>
      </c>
    </row>
    <row r="188">
      <c r="E188">
        <f>IF(DATOS!$I188="","",IFERROR(VLOOKUP(DATOS!$I188,CONFIG_ASIGNATURAS!$B$2:$J$61,9,FALSE()),""))</f>
      </c>
    </row>
    <row r="189">
      <c r="E189">
        <f>IF(DATOS!$I189="","",IFERROR(VLOOKUP(DATOS!$I189,CONFIG_ASIGNATURAS!$B$2:$J$61,9,FALSE()),""))</f>
      </c>
    </row>
    <row r="190">
      <c r="E190">
        <f>IF(DATOS!$I190="","",IFERROR(VLOOKUP(DATOS!$I190,CONFIG_ASIGNATURAS!$B$2:$J$61,9,FALSE()),""))</f>
      </c>
    </row>
    <row r="191">
      <c r="E191">
        <f>IF(DATOS!$I191="","",IFERROR(VLOOKUP(DATOS!$I191,CONFIG_ASIGNATURAS!$B$2:$J$61,9,FALSE()),""))</f>
      </c>
    </row>
    <row r="192">
      <c r="E192">
        <f>IF(DATOS!$I192="","",IFERROR(VLOOKUP(DATOS!$I192,CONFIG_ASIGNATURAS!$B$2:$J$61,9,FALSE()),""))</f>
      </c>
    </row>
    <row r="193">
      <c r="E193">
        <f>IF(DATOS!$I193="","",IFERROR(VLOOKUP(DATOS!$I193,CONFIG_ASIGNATURAS!$B$2:$J$61,9,FALSE()),""))</f>
      </c>
    </row>
    <row r="194">
      <c r="E194">
        <f>IF(DATOS!$I194="","",IFERROR(VLOOKUP(DATOS!$I194,CONFIG_ASIGNATURAS!$B$2:$J$61,9,FALSE()),""))</f>
      </c>
    </row>
    <row r="195">
      <c r="E195">
        <f>IF(DATOS!$I195="","",IFERROR(VLOOKUP(DATOS!$I195,CONFIG_ASIGNATURAS!$B$2:$J$61,9,FALSE()),""))</f>
      </c>
    </row>
    <row r="196">
      <c r="E196">
        <f>IF(DATOS!$I196="","",IFERROR(VLOOKUP(DATOS!$I196,CONFIG_ASIGNATURAS!$B$2:$J$61,9,FALSE()),""))</f>
      </c>
    </row>
    <row r="197">
      <c r="E197">
        <f>IF(DATOS!$I197="","",IFERROR(VLOOKUP(DATOS!$I197,CONFIG_ASIGNATURAS!$B$2:$J$61,9,FALSE()),""))</f>
      </c>
    </row>
    <row r="198">
      <c r="E198">
        <f>IF(DATOS!$I198="","",IFERROR(VLOOKUP(DATOS!$I198,CONFIG_ASIGNATURAS!$B$2:$J$61,9,FALSE()),""))</f>
      </c>
    </row>
    <row r="199">
      <c r="E199">
        <f>IF(DATOS!$I199="","",IFERROR(VLOOKUP(DATOS!$I199,CONFIG_ASIGNATURAS!$B$2:$J$61,9,FALSE()),""))</f>
      </c>
    </row>
    <row r="200">
      <c r="E200">
        <f>IF(DATOS!$I200="","",IFERROR(VLOOKUP(DATOS!$I200,CONFIG_ASIGNATURAS!$B$2:$J$61,9,FALSE()),""))</f>
      </c>
    </row>
    <row r="201">
      <c r="E201">
        <f>IF(DATOS!$I201="","",IFERROR(VLOOKUP(DATOS!$I201,CONFIG_ASIGNATURAS!$B$2:$J$61,9,FALSE()),""))</f>
      </c>
    </row>
    <row r="202">
      <c r="E202">
        <f>IF(DATOS!$I202="","",IFERROR(VLOOKUP(DATOS!$I202,CONFIG_ASIGNATURAS!$B$2:$J$61,9,FALSE()),""))</f>
      </c>
    </row>
    <row r="203">
      <c r="E203">
        <f>IF(DATOS!$I203="","",IFERROR(VLOOKUP(DATOS!$I203,CONFIG_ASIGNATURAS!$B$2:$J$61,9,FALSE()),""))</f>
      </c>
    </row>
    <row r="204">
      <c r="E204">
        <f>IF(DATOS!$I204="","",IFERROR(VLOOKUP(DATOS!$I204,CONFIG_ASIGNATURAS!$B$2:$J$61,9,FALSE()),""))</f>
      </c>
    </row>
    <row r="205">
      <c r="E205">
        <f>IF(DATOS!$I205="","",IFERROR(VLOOKUP(DATOS!$I205,CONFIG_ASIGNATURAS!$B$2:$J$61,9,FALSE()),""))</f>
      </c>
    </row>
    <row r="206">
      <c r="E206">
        <f>IF(DATOS!$I206="","",IFERROR(VLOOKUP(DATOS!$I206,CONFIG_ASIGNATURAS!$B$2:$J$61,9,FALSE()),""))</f>
      </c>
    </row>
    <row r="207">
      <c r="E207">
        <f>IF(DATOS!$I207="","",IFERROR(VLOOKUP(DATOS!$I207,CONFIG_ASIGNATURAS!$B$2:$J$61,9,FALSE()),""))</f>
      </c>
    </row>
    <row r="208">
      <c r="E208">
        <f>IF(DATOS!$I208="","",IFERROR(VLOOKUP(DATOS!$I208,CONFIG_ASIGNATURAS!$B$2:$J$61,9,FALSE()),""))</f>
      </c>
    </row>
    <row r="209">
      <c r="E209">
        <f>IF(DATOS!$I209="","",IFERROR(VLOOKUP(DATOS!$I209,CONFIG_ASIGNATURAS!$B$2:$J$61,9,FALSE()),""))</f>
      </c>
    </row>
    <row r="210">
      <c r="E210">
        <f>IF(DATOS!$I210="","",IFERROR(VLOOKUP(DATOS!$I210,CONFIG_ASIGNATURAS!$B$2:$J$61,9,FALSE()),""))</f>
      </c>
    </row>
    <row r="211">
      <c r="E211">
        <f>IF(DATOS!$I211="","",IFERROR(VLOOKUP(DATOS!$I211,CONFIG_ASIGNATURAS!$B$2:$J$61,9,FALSE()),""))</f>
      </c>
    </row>
    <row r="212">
      <c r="E212">
        <f>IF(DATOS!$I212="","",IFERROR(VLOOKUP(DATOS!$I212,CONFIG_ASIGNATURAS!$B$2:$J$61,9,FALSE()),""))</f>
      </c>
    </row>
    <row r="213">
      <c r="E213">
        <f>IF(DATOS!$I213="","",IFERROR(VLOOKUP(DATOS!$I213,CONFIG_ASIGNATURAS!$B$2:$J$61,9,FALSE()),""))</f>
      </c>
    </row>
    <row r="214">
      <c r="E214">
        <f>IF(DATOS!$I214="","",IFERROR(VLOOKUP(DATOS!$I214,CONFIG_ASIGNATURAS!$B$2:$J$61,9,FALSE()),""))</f>
      </c>
    </row>
    <row r="215">
      <c r="E215">
        <f>IF(DATOS!$I215="","",IFERROR(VLOOKUP(DATOS!$I215,CONFIG_ASIGNATURAS!$B$2:$J$61,9,FALSE()),""))</f>
      </c>
    </row>
    <row r="216">
      <c r="E216">
        <f>IF(DATOS!$I216="","",IFERROR(VLOOKUP(DATOS!$I216,CONFIG_ASIGNATURAS!$B$2:$J$61,9,FALSE()),""))</f>
      </c>
    </row>
    <row r="217">
      <c r="E217">
        <f>IF(DATOS!$I217="","",IFERROR(VLOOKUP(DATOS!$I217,CONFIG_ASIGNATURAS!$B$2:$J$61,9,FALSE()),""))</f>
      </c>
    </row>
    <row r="218">
      <c r="E218">
        <f>IF(DATOS!$I218="","",IFERROR(VLOOKUP(DATOS!$I218,CONFIG_ASIGNATURAS!$B$2:$J$61,9,FALSE()),""))</f>
      </c>
    </row>
    <row r="219">
      <c r="E219">
        <f>IF(DATOS!$I219="","",IFERROR(VLOOKUP(DATOS!$I219,CONFIG_ASIGNATURAS!$B$2:$J$61,9,FALSE()),""))</f>
      </c>
    </row>
    <row r="220">
      <c r="E220">
        <f>IF(DATOS!$I220="","",IFERROR(VLOOKUP(DATOS!$I220,CONFIG_ASIGNATURAS!$B$2:$J$61,9,FALSE()),""))</f>
      </c>
    </row>
    <row r="221">
      <c r="E221">
        <f>IF(DATOS!$I221="","",IFERROR(VLOOKUP(DATOS!$I221,CONFIG_ASIGNATURAS!$B$2:$J$61,9,FALSE()),""))</f>
      </c>
    </row>
    <row r="222">
      <c r="E222">
        <f>IF(DATOS!$I222="","",IFERROR(VLOOKUP(DATOS!$I222,CONFIG_ASIGNATURAS!$B$2:$J$61,9,FALSE()),""))</f>
      </c>
    </row>
    <row r="223">
      <c r="E223">
        <f>IF(DATOS!$I223="","",IFERROR(VLOOKUP(DATOS!$I223,CONFIG_ASIGNATURAS!$B$2:$J$61,9,FALSE()),""))</f>
      </c>
    </row>
    <row r="224">
      <c r="E224">
        <f>IF(DATOS!$I224="","",IFERROR(VLOOKUP(DATOS!$I224,CONFIG_ASIGNATURAS!$B$2:$J$61,9,FALSE()),""))</f>
      </c>
    </row>
    <row r="225">
      <c r="E225">
        <f>IF(DATOS!$I225="","",IFERROR(VLOOKUP(DATOS!$I225,CONFIG_ASIGNATURAS!$B$2:$J$61,9,FALSE()),""))</f>
      </c>
    </row>
    <row r="226">
      <c r="E226">
        <f>IF(DATOS!$I226="","",IFERROR(VLOOKUP(DATOS!$I226,CONFIG_ASIGNATURAS!$B$2:$J$61,9,FALSE()),""))</f>
      </c>
    </row>
    <row r="227">
      <c r="E227">
        <f>IF(DATOS!$I227="","",IFERROR(VLOOKUP(DATOS!$I227,CONFIG_ASIGNATURAS!$B$2:$J$61,9,FALSE()),""))</f>
      </c>
    </row>
    <row r="228">
      <c r="E228">
        <f>IF(DATOS!$I228="","",IFERROR(VLOOKUP(DATOS!$I228,CONFIG_ASIGNATURAS!$B$2:$J$61,9,FALSE()),""))</f>
      </c>
    </row>
    <row r="229">
      <c r="E229">
        <f>IF(DATOS!$I229="","",IFERROR(VLOOKUP(DATOS!$I229,CONFIG_ASIGNATURAS!$B$2:$J$61,9,FALSE()),""))</f>
      </c>
    </row>
    <row r="230">
      <c r="E230">
        <f>IF(DATOS!$I230="","",IFERROR(VLOOKUP(DATOS!$I230,CONFIG_ASIGNATURAS!$B$2:$J$61,9,FALSE()),""))</f>
      </c>
    </row>
    <row r="231">
      <c r="E231">
        <f>IF(DATOS!$I231="","",IFERROR(VLOOKUP(DATOS!$I231,CONFIG_ASIGNATURAS!$B$2:$J$61,9,FALSE()),""))</f>
      </c>
    </row>
    <row r="232">
      <c r="E232">
        <f>IF(DATOS!$I232="","",IFERROR(VLOOKUP(DATOS!$I232,CONFIG_ASIGNATURAS!$B$2:$J$61,9,FALSE()),""))</f>
      </c>
    </row>
    <row r="233">
      <c r="E233">
        <f>IF(DATOS!$I233="","",IFERROR(VLOOKUP(DATOS!$I233,CONFIG_ASIGNATURAS!$B$2:$J$61,9,FALSE()),""))</f>
      </c>
    </row>
    <row r="234">
      <c r="E234">
        <f>IF(DATOS!$I234="","",IFERROR(VLOOKUP(DATOS!$I234,CONFIG_ASIGNATURAS!$B$2:$J$61,9,FALSE()),""))</f>
      </c>
    </row>
    <row r="235">
      <c r="E235">
        <f>IF(DATOS!$I235="","",IFERROR(VLOOKUP(DATOS!$I235,CONFIG_ASIGNATURAS!$B$2:$J$61,9,FALSE()),""))</f>
      </c>
    </row>
    <row r="236">
      <c r="E236">
        <f>IF(DATOS!$I236="","",IFERROR(VLOOKUP(DATOS!$I236,CONFIG_ASIGNATURAS!$B$2:$J$61,9,FALSE()),""))</f>
      </c>
    </row>
    <row r="237">
      <c r="E237">
        <f>IF(DATOS!$I237="","",IFERROR(VLOOKUP(DATOS!$I237,CONFIG_ASIGNATURAS!$B$2:$J$61,9,FALSE()),""))</f>
      </c>
    </row>
    <row r="238">
      <c r="E238">
        <f>IF(DATOS!$I238="","",IFERROR(VLOOKUP(DATOS!$I238,CONFIG_ASIGNATURAS!$B$2:$J$61,9,FALSE()),""))</f>
      </c>
    </row>
    <row r="239">
      <c r="E239">
        <f>IF(DATOS!$I239="","",IFERROR(VLOOKUP(DATOS!$I239,CONFIG_ASIGNATURAS!$B$2:$J$61,9,FALSE()),""))</f>
      </c>
    </row>
    <row r="240">
      <c r="E240">
        <f>IF(DATOS!$I240="","",IFERROR(VLOOKUP(DATOS!$I240,CONFIG_ASIGNATURAS!$B$2:$J$61,9,FALSE()),""))</f>
      </c>
    </row>
    <row r="241">
      <c r="E241">
        <f>IF(DATOS!$I241="","",IFERROR(VLOOKUP(DATOS!$I241,CONFIG_ASIGNATURAS!$B$2:$J$61,9,FALSE()),""))</f>
      </c>
    </row>
    <row r="242">
      <c r="E242">
        <f>IF(DATOS!$I242="","",IFERROR(VLOOKUP(DATOS!$I242,CONFIG_ASIGNATURAS!$B$2:$J$61,9,FALSE()),""))</f>
      </c>
    </row>
    <row r="243">
      <c r="E243">
        <f>IF(DATOS!$I243="","",IFERROR(VLOOKUP(DATOS!$I243,CONFIG_ASIGNATURAS!$B$2:$J$61,9,FALSE()),""))</f>
      </c>
    </row>
    <row r="244">
      <c r="E244">
        <f>IF(DATOS!$I244="","",IFERROR(VLOOKUP(DATOS!$I244,CONFIG_ASIGNATURAS!$B$2:$J$61,9,FALSE()),""))</f>
      </c>
    </row>
    <row r="245">
      <c r="E245">
        <f>IF(DATOS!$I245="","",IFERROR(VLOOKUP(DATOS!$I245,CONFIG_ASIGNATURAS!$B$2:$J$61,9,FALSE()),""))</f>
      </c>
    </row>
    <row r="246">
      <c r="E246">
        <f>IF(DATOS!$I246="","",IFERROR(VLOOKUP(DATOS!$I246,CONFIG_ASIGNATURAS!$B$2:$J$61,9,FALSE()),""))</f>
      </c>
    </row>
    <row r="247">
      <c r="E247">
        <f>IF(DATOS!$I247="","",IFERROR(VLOOKUP(DATOS!$I247,CONFIG_ASIGNATURAS!$B$2:$J$61,9,FALSE()),""))</f>
      </c>
    </row>
    <row r="248">
      <c r="E248">
        <f>IF(DATOS!$I248="","",IFERROR(VLOOKUP(DATOS!$I248,CONFIG_ASIGNATURAS!$B$2:$J$61,9,FALSE()),""))</f>
      </c>
    </row>
    <row r="249">
      <c r="E249">
        <f>IF(DATOS!$I249="","",IFERROR(VLOOKUP(DATOS!$I249,CONFIG_ASIGNATURAS!$B$2:$J$61,9,FALSE()),""))</f>
      </c>
    </row>
    <row r="250">
      <c r="E250">
        <f>IF(DATOS!$I250="","",IFERROR(VLOOKUP(DATOS!$I250,CONFIG_ASIGNATURAS!$B$2:$J$61,9,FALSE()),""))</f>
      </c>
    </row>
    <row r="251">
      <c r="E251">
        <f>IF(DATOS!$I251="","",IFERROR(VLOOKUP(DATOS!$I251,CONFIG_ASIGNATURAS!$B$2:$J$61,9,FALSE()),""))</f>
      </c>
    </row>
    <row r="252">
      <c r="E252">
        <f>IF(DATOS!$I252="","",IFERROR(VLOOKUP(DATOS!$I252,CONFIG_ASIGNATURAS!$B$2:$J$61,9,FALSE()),""))</f>
      </c>
    </row>
    <row r="253">
      <c r="E253">
        <f>IF(DATOS!$I253="","",IFERROR(VLOOKUP(DATOS!$I253,CONFIG_ASIGNATURAS!$B$2:$J$61,9,FALSE()),""))</f>
      </c>
    </row>
    <row r="254">
      <c r="E254">
        <f>IF(DATOS!$I254="","",IFERROR(VLOOKUP(DATOS!$I254,CONFIG_ASIGNATURAS!$B$2:$J$61,9,FALSE()),""))</f>
      </c>
    </row>
    <row r="255">
      <c r="E255">
        <f>IF(DATOS!$I255="","",IFERROR(VLOOKUP(DATOS!$I255,CONFIG_ASIGNATURAS!$B$2:$J$61,9,FALSE()),""))</f>
      </c>
    </row>
    <row r="256">
      <c r="E256">
        <f>IF(DATOS!$I256="","",IFERROR(VLOOKUP(DATOS!$I256,CONFIG_ASIGNATURAS!$B$2:$J$61,9,FALSE()),""))</f>
      </c>
    </row>
    <row r="257">
      <c r="E257">
        <f>IF(DATOS!$I257="","",IFERROR(VLOOKUP(DATOS!$I257,CONFIG_ASIGNATURAS!$B$2:$J$61,9,FALSE()),""))</f>
      </c>
    </row>
    <row r="258">
      <c r="E258">
        <f>IF(DATOS!$I258="","",IFERROR(VLOOKUP(DATOS!$I258,CONFIG_ASIGNATURAS!$B$2:$J$61,9,FALSE()),""))</f>
      </c>
    </row>
    <row r="259">
      <c r="E259">
        <f>IF(DATOS!$I259="","",IFERROR(VLOOKUP(DATOS!$I259,CONFIG_ASIGNATURAS!$B$2:$J$61,9,FALSE()),""))</f>
      </c>
    </row>
    <row r="260">
      <c r="E260">
        <f>IF(DATOS!$I260="","",IFERROR(VLOOKUP(DATOS!$I260,CONFIG_ASIGNATURAS!$B$2:$J$61,9,FALSE()),""))</f>
      </c>
    </row>
    <row r="261">
      <c r="E261">
        <f>IF(DATOS!$I261="","",IFERROR(VLOOKUP(DATOS!$I261,CONFIG_ASIGNATURAS!$B$2:$J$61,9,FALSE()),""))</f>
      </c>
    </row>
    <row r="262">
      <c r="E262">
        <f>IF(DATOS!$I262="","",IFERROR(VLOOKUP(DATOS!$I262,CONFIG_ASIGNATURAS!$B$2:$J$61,9,FALSE()),""))</f>
      </c>
    </row>
    <row r="263">
      <c r="E263">
        <f>IF(DATOS!$I263="","",IFERROR(VLOOKUP(DATOS!$I263,CONFIG_ASIGNATURAS!$B$2:$J$61,9,FALSE()),""))</f>
      </c>
    </row>
    <row r="264">
      <c r="E264">
        <f>IF(DATOS!$I264="","",IFERROR(VLOOKUP(DATOS!$I264,CONFIG_ASIGNATURAS!$B$2:$J$61,9,FALSE()),""))</f>
      </c>
    </row>
    <row r="265">
      <c r="E265">
        <f>IF(DATOS!$I265="","",IFERROR(VLOOKUP(DATOS!$I265,CONFIG_ASIGNATURAS!$B$2:$J$61,9,FALSE()),""))</f>
      </c>
    </row>
    <row r="266">
      <c r="E266">
        <f>IF(DATOS!$I266="","",IFERROR(VLOOKUP(DATOS!$I266,CONFIG_ASIGNATURAS!$B$2:$J$61,9,FALSE()),""))</f>
      </c>
    </row>
    <row r="267">
      <c r="E267">
        <f>IF(DATOS!$I267="","",IFERROR(VLOOKUP(DATOS!$I267,CONFIG_ASIGNATURAS!$B$2:$J$61,9,FALSE()),""))</f>
      </c>
    </row>
    <row r="268">
      <c r="E268">
        <f>IF(DATOS!$I268="","",IFERROR(VLOOKUP(DATOS!$I268,CONFIG_ASIGNATURAS!$B$2:$J$61,9,FALSE()),""))</f>
      </c>
    </row>
    <row r="269">
      <c r="E269">
        <f>IF(DATOS!$I269="","",IFERROR(VLOOKUP(DATOS!$I269,CONFIG_ASIGNATURAS!$B$2:$J$61,9,FALSE()),""))</f>
      </c>
    </row>
    <row r="270">
      <c r="E270">
        <f>IF(DATOS!$I270="","",IFERROR(VLOOKUP(DATOS!$I270,CONFIG_ASIGNATURAS!$B$2:$J$61,9,FALSE()),""))</f>
      </c>
    </row>
    <row r="271">
      <c r="E271">
        <f>IF(DATOS!$I271="","",IFERROR(VLOOKUP(DATOS!$I271,CONFIG_ASIGNATURAS!$B$2:$J$61,9,FALSE()),""))</f>
      </c>
    </row>
    <row r="272">
      <c r="E272">
        <f>IF(DATOS!$I272="","",IFERROR(VLOOKUP(DATOS!$I272,CONFIG_ASIGNATURAS!$B$2:$J$61,9,FALSE()),""))</f>
      </c>
    </row>
    <row r="273">
      <c r="E273">
        <f>IF(DATOS!$I273="","",IFERROR(VLOOKUP(DATOS!$I273,CONFIG_ASIGNATURAS!$B$2:$J$61,9,FALSE()),""))</f>
      </c>
    </row>
    <row r="274">
      <c r="E274">
        <f>IF(DATOS!$I274="","",IFERROR(VLOOKUP(DATOS!$I274,CONFIG_ASIGNATURAS!$B$2:$J$61,9,FALSE()),""))</f>
      </c>
    </row>
    <row r="275">
      <c r="E275">
        <f>IF(DATOS!$I275="","",IFERROR(VLOOKUP(DATOS!$I275,CONFIG_ASIGNATURAS!$B$2:$J$61,9,FALSE()),""))</f>
      </c>
    </row>
    <row r="276">
      <c r="E276">
        <f>IF(DATOS!$I276="","",IFERROR(VLOOKUP(DATOS!$I276,CONFIG_ASIGNATURAS!$B$2:$J$61,9,FALSE()),""))</f>
      </c>
    </row>
    <row r="277">
      <c r="E277">
        <f>IF(DATOS!$I277="","",IFERROR(VLOOKUP(DATOS!$I277,CONFIG_ASIGNATURAS!$B$2:$J$61,9,FALSE()),""))</f>
      </c>
    </row>
    <row r="278">
      <c r="E278">
        <f>IF(DATOS!$I278="","",IFERROR(VLOOKUP(DATOS!$I278,CONFIG_ASIGNATURAS!$B$2:$J$61,9,FALSE()),""))</f>
      </c>
    </row>
    <row r="279">
      <c r="E279">
        <f>IF(DATOS!$I279="","",IFERROR(VLOOKUP(DATOS!$I279,CONFIG_ASIGNATURAS!$B$2:$J$61,9,FALSE()),""))</f>
      </c>
    </row>
    <row r="280">
      <c r="E280">
        <f>IF(DATOS!$I280="","",IFERROR(VLOOKUP(DATOS!$I280,CONFIG_ASIGNATURAS!$B$2:$J$61,9,FALSE()),""))</f>
      </c>
    </row>
    <row r="281">
      <c r="E281">
        <f>IF(DATOS!$I281="","",IFERROR(VLOOKUP(DATOS!$I281,CONFIG_ASIGNATURAS!$B$2:$J$61,9,FALSE()),""))</f>
      </c>
    </row>
    <row r="282">
      <c r="E282">
        <f>IF(DATOS!$I282="","",IFERROR(VLOOKUP(DATOS!$I282,CONFIG_ASIGNATURAS!$B$2:$J$61,9,FALSE()),""))</f>
      </c>
    </row>
    <row r="283">
      <c r="E283">
        <f>IF(DATOS!$I283="","",IFERROR(VLOOKUP(DATOS!$I283,CONFIG_ASIGNATURAS!$B$2:$J$61,9,FALSE()),""))</f>
      </c>
    </row>
    <row r="284">
      <c r="E284">
        <f>IF(DATOS!$I284="","",IFERROR(VLOOKUP(DATOS!$I284,CONFIG_ASIGNATURAS!$B$2:$J$61,9,FALSE()),""))</f>
      </c>
    </row>
    <row r="285">
      <c r="E285">
        <f>IF(DATOS!$I285="","",IFERROR(VLOOKUP(DATOS!$I285,CONFIG_ASIGNATURAS!$B$2:$J$61,9,FALSE()),""))</f>
      </c>
    </row>
    <row r="286">
      <c r="E286">
        <f>IF(DATOS!$I286="","",IFERROR(VLOOKUP(DATOS!$I286,CONFIG_ASIGNATURAS!$B$2:$J$61,9,FALSE()),""))</f>
      </c>
    </row>
    <row r="287">
      <c r="E287">
        <f>IF(DATOS!$I287="","",IFERROR(VLOOKUP(DATOS!$I287,CONFIG_ASIGNATURAS!$B$2:$J$61,9,FALSE()),""))</f>
      </c>
    </row>
    <row r="288">
      <c r="E288">
        <f>IF(DATOS!$I288="","",IFERROR(VLOOKUP(DATOS!$I288,CONFIG_ASIGNATURAS!$B$2:$J$61,9,FALSE()),""))</f>
      </c>
    </row>
    <row r="289">
      <c r="E289">
        <f>IF(DATOS!$I289="","",IFERROR(VLOOKUP(DATOS!$I289,CONFIG_ASIGNATURAS!$B$2:$J$61,9,FALSE()),""))</f>
      </c>
    </row>
    <row r="290">
      <c r="E290">
        <f>IF(DATOS!$I290="","",IFERROR(VLOOKUP(DATOS!$I290,CONFIG_ASIGNATURAS!$B$2:$J$61,9,FALSE()),""))</f>
      </c>
    </row>
    <row r="291">
      <c r="E291">
        <f>IF(DATOS!$I291="","",IFERROR(VLOOKUP(DATOS!$I291,CONFIG_ASIGNATURAS!$B$2:$J$61,9,FALSE()),""))</f>
      </c>
    </row>
    <row r="292">
      <c r="E292">
        <f>IF(DATOS!$I292="","",IFERROR(VLOOKUP(DATOS!$I292,CONFIG_ASIGNATURAS!$B$2:$J$61,9,FALSE()),""))</f>
      </c>
    </row>
    <row r="293">
      <c r="E293">
        <f>IF(DATOS!$I293="","",IFERROR(VLOOKUP(DATOS!$I293,CONFIG_ASIGNATURAS!$B$2:$J$61,9,FALSE()),""))</f>
      </c>
    </row>
    <row r="294">
      <c r="E294">
        <f>IF(DATOS!$I294="","",IFERROR(VLOOKUP(DATOS!$I294,CONFIG_ASIGNATURAS!$B$2:$J$61,9,FALSE()),""))</f>
      </c>
    </row>
    <row r="295">
      <c r="E295">
        <f>IF(DATOS!$I295="","",IFERROR(VLOOKUP(DATOS!$I295,CONFIG_ASIGNATURAS!$B$2:$J$61,9,FALSE()),""))</f>
      </c>
    </row>
    <row r="296">
      <c r="E296">
        <f>IF(DATOS!$I296="","",IFERROR(VLOOKUP(DATOS!$I296,CONFIG_ASIGNATURAS!$B$2:$J$61,9,FALSE()),""))</f>
      </c>
    </row>
    <row r="297">
      <c r="E297">
        <f>IF(DATOS!$I297="","",IFERROR(VLOOKUP(DATOS!$I297,CONFIG_ASIGNATURAS!$B$2:$J$61,9,FALSE()),""))</f>
      </c>
    </row>
    <row r="298">
      <c r="E298">
        <f>IF(DATOS!$I298="","",IFERROR(VLOOKUP(DATOS!$I298,CONFIG_ASIGNATURAS!$B$2:$J$61,9,FALSE()),""))</f>
      </c>
    </row>
    <row r="299">
      <c r="E299">
        <f>IF(DATOS!$I299="","",IFERROR(VLOOKUP(DATOS!$I299,CONFIG_ASIGNATURAS!$B$2:$J$61,9,FALSE()),""))</f>
      </c>
    </row>
    <row r="300">
      <c r="E300">
        <f>IF(DATOS!$I300="","",IFERROR(VLOOKUP(DATOS!$I300,CONFIG_ASIGNATURAS!$B$2:$J$61,9,FALSE()),""))</f>
      </c>
    </row>
    <row r="301">
      <c r="E301">
        <f>IF(DATOS!$I301="","",IFERROR(VLOOKUP(DATOS!$I301,CONFIG_ASIGNATURAS!$B$2:$J$61,9,FALSE()),""))</f>
      </c>
    </row>
    <row r="302">
      <c r="E302">
        <f>IF(DATOS!$I302="","",IFERROR(VLOOKUP(DATOS!$I302,CONFIG_ASIGNATURAS!$B$2:$J$61,9,FALSE()),""))</f>
      </c>
    </row>
    <row r="303">
      <c r="E303">
        <f>IF(DATOS!$I303="","",IFERROR(VLOOKUP(DATOS!$I303,CONFIG_ASIGNATURAS!$B$2:$J$61,9,FALSE()),""))</f>
      </c>
    </row>
    <row r="304">
      <c r="E304">
        <f>IF(DATOS!$I304="","",IFERROR(VLOOKUP(DATOS!$I304,CONFIG_ASIGNATURAS!$B$2:$J$61,9,FALSE()),""))</f>
      </c>
    </row>
    <row r="305">
      <c r="E305">
        <f>IF(DATOS!$I305="","",IFERROR(VLOOKUP(DATOS!$I305,CONFIG_ASIGNATURAS!$B$2:$J$61,9,FALSE()),""))</f>
      </c>
    </row>
    <row r="306">
      <c r="E306">
        <f>IF(DATOS!$I306="","",IFERROR(VLOOKUP(DATOS!$I306,CONFIG_ASIGNATURAS!$B$2:$J$61,9,FALSE()),""))</f>
      </c>
    </row>
    <row r="307">
      <c r="E307">
        <f>IF(DATOS!$I307="","",IFERROR(VLOOKUP(DATOS!$I307,CONFIG_ASIGNATURAS!$B$2:$J$61,9,FALSE()),""))</f>
      </c>
    </row>
    <row r="308">
      <c r="E308">
        <f>IF(DATOS!$I308="","",IFERROR(VLOOKUP(DATOS!$I308,CONFIG_ASIGNATURAS!$B$2:$J$61,9,FALSE()),""))</f>
      </c>
    </row>
    <row r="309">
      <c r="E309">
        <f>IF(DATOS!$I309="","",IFERROR(VLOOKUP(DATOS!$I309,CONFIG_ASIGNATURAS!$B$2:$J$61,9,FALSE()),""))</f>
      </c>
    </row>
    <row r="310">
      <c r="E310">
        <f>IF(DATOS!$I310="","",IFERROR(VLOOKUP(DATOS!$I310,CONFIG_ASIGNATURAS!$B$2:$J$61,9,FALSE()),""))</f>
      </c>
    </row>
    <row r="311">
      <c r="E311">
        <f>IF(DATOS!$I311="","",IFERROR(VLOOKUP(DATOS!$I311,CONFIG_ASIGNATURAS!$B$2:$J$61,9,FALSE()),""))</f>
      </c>
    </row>
    <row r="312">
      <c r="E312">
        <f>IF(DATOS!$I312="","",IFERROR(VLOOKUP(DATOS!$I312,CONFIG_ASIGNATURAS!$B$2:$J$61,9,FALSE()),""))</f>
      </c>
    </row>
    <row r="313">
      <c r="E313">
        <f>IF(DATOS!$I313="","",IFERROR(VLOOKUP(DATOS!$I313,CONFIG_ASIGNATURAS!$B$2:$J$61,9,FALSE()),""))</f>
      </c>
    </row>
    <row r="314">
      <c r="E314">
        <f>IF(DATOS!$I314="","",IFERROR(VLOOKUP(DATOS!$I314,CONFIG_ASIGNATURAS!$B$2:$J$61,9,FALSE()),""))</f>
      </c>
    </row>
    <row r="315">
      <c r="E315">
        <f>IF(DATOS!$I315="","",IFERROR(VLOOKUP(DATOS!$I315,CONFIG_ASIGNATURAS!$B$2:$J$61,9,FALSE()),""))</f>
      </c>
    </row>
    <row r="316">
      <c r="E316">
        <f>IF(DATOS!$I316="","",IFERROR(VLOOKUP(DATOS!$I316,CONFIG_ASIGNATURAS!$B$2:$J$61,9,FALSE()),""))</f>
      </c>
    </row>
    <row r="317">
      <c r="E317">
        <f>IF(DATOS!$I317="","",IFERROR(VLOOKUP(DATOS!$I317,CONFIG_ASIGNATURAS!$B$2:$J$61,9,FALSE()),""))</f>
      </c>
    </row>
    <row r="318">
      <c r="E318">
        <f>IF(DATOS!$I318="","",IFERROR(VLOOKUP(DATOS!$I318,CONFIG_ASIGNATURAS!$B$2:$J$61,9,FALSE()),""))</f>
      </c>
    </row>
    <row r="319">
      <c r="E319">
        <f>IF(DATOS!$I319="","",IFERROR(VLOOKUP(DATOS!$I319,CONFIG_ASIGNATURAS!$B$2:$J$61,9,FALSE()),""))</f>
      </c>
    </row>
    <row r="320">
      <c r="E320">
        <f>IF(DATOS!$I320="","",IFERROR(VLOOKUP(DATOS!$I320,CONFIG_ASIGNATURAS!$B$2:$J$61,9,FALSE()),""))</f>
      </c>
    </row>
    <row r="321">
      <c r="E321">
        <f>IF(DATOS!$I321="","",IFERROR(VLOOKUP(DATOS!$I321,CONFIG_ASIGNATURAS!$B$2:$J$61,9,FALSE()),""))</f>
      </c>
    </row>
    <row r="322">
      <c r="E322">
        <f>IF(DATOS!$I322="","",IFERROR(VLOOKUP(DATOS!$I322,CONFIG_ASIGNATURAS!$B$2:$J$61,9,FALSE()),""))</f>
      </c>
    </row>
    <row r="323">
      <c r="E323">
        <f>IF(DATOS!$I323="","",IFERROR(VLOOKUP(DATOS!$I323,CONFIG_ASIGNATURAS!$B$2:$J$61,9,FALSE()),""))</f>
      </c>
    </row>
    <row r="324">
      <c r="E324">
        <f>IF(DATOS!$I324="","",IFERROR(VLOOKUP(DATOS!$I324,CONFIG_ASIGNATURAS!$B$2:$J$61,9,FALSE()),""))</f>
      </c>
    </row>
    <row r="325">
      <c r="E325">
        <f>IF(DATOS!$I325="","",IFERROR(VLOOKUP(DATOS!$I325,CONFIG_ASIGNATURAS!$B$2:$J$61,9,FALSE()),""))</f>
      </c>
    </row>
    <row r="326">
      <c r="E326">
        <f>IF(DATOS!$I326="","",IFERROR(VLOOKUP(DATOS!$I326,CONFIG_ASIGNATURAS!$B$2:$J$61,9,FALSE()),""))</f>
      </c>
    </row>
    <row r="327">
      <c r="E327">
        <f>IF(DATOS!$I327="","",IFERROR(VLOOKUP(DATOS!$I327,CONFIG_ASIGNATURAS!$B$2:$J$61,9,FALSE()),""))</f>
      </c>
    </row>
    <row r="328">
      <c r="E328">
        <f>IF(DATOS!$I328="","",IFERROR(VLOOKUP(DATOS!$I328,CONFIG_ASIGNATURAS!$B$2:$J$61,9,FALSE()),""))</f>
      </c>
    </row>
    <row r="329">
      <c r="E329">
        <f>IF(DATOS!$I329="","",IFERROR(VLOOKUP(DATOS!$I329,CONFIG_ASIGNATURAS!$B$2:$J$61,9,FALSE()),""))</f>
      </c>
    </row>
    <row r="330">
      <c r="E330">
        <f>IF(DATOS!$I330="","",IFERROR(VLOOKUP(DATOS!$I330,CONFIG_ASIGNATURAS!$B$2:$J$61,9,FALSE()),""))</f>
      </c>
    </row>
    <row r="331">
      <c r="E331">
        <f>IF(DATOS!$I331="","",IFERROR(VLOOKUP(DATOS!$I331,CONFIG_ASIGNATURAS!$B$2:$J$61,9,FALSE()),""))</f>
      </c>
    </row>
    <row r="332">
      <c r="E332">
        <f>IF(DATOS!$I332="","",IFERROR(VLOOKUP(DATOS!$I332,CONFIG_ASIGNATURAS!$B$2:$J$61,9,FALSE()),""))</f>
      </c>
    </row>
    <row r="333">
      <c r="E333">
        <f>IF(DATOS!$I333="","",IFERROR(VLOOKUP(DATOS!$I333,CONFIG_ASIGNATURAS!$B$2:$J$61,9,FALSE()),""))</f>
      </c>
    </row>
    <row r="334">
      <c r="E334">
        <f>IF(DATOS!$I334="","",IFERROR(VLOOKUP(DATOS!$I334,CONFIG_ASIGNATURAS!$B$2:$J$61,9,FALSE()),""))</f>
      </c>
    </row>
    <row r="335">
      <c r="E335">
        <f>IF(DATOS!$I335="","",IFERROR(VLOOKUP(DATOS!$I335,CONFIG_ASIGNATURAS!$B$2:$J$61,9,FALSE()),""))</f>
      </c>
    </row>
    <row r="336">
      <c r="E336">
        <f>IF(DATOS!$I336="","",IFERROR(VLOOKUP(DATOS!$I336,CONFIG_ASIGNATURAS!$B$2:$J$61,9,FALSE()),""))</f>
      </c>
    </row>
    <row r="337">
      <c r="E337">
        <f>IF(DATOS!$I337="","",IFERROR(VLOOKUP(DATOS!$I337,CONFIG_ASIGNATURAS!$B$2:$J$61,9,FALSE()),""))</f>
      </c>
    </row>
    <row r="338">
      <c r="E338">
        <f>IF(DATOS!$I338="","",IFERROR(VLOOKUP(DATOS!$I338,CONFIG_ASIGNATURAS!$B$2:$J$61,9,FALSE()),""))</f>
      </c>
    </row>
    <row r="339">
      <c r="E339">
        <f>IF(DATOS!$I339="","",IFERROR(VLOOKUP(DATOS!$I339,CONFIG_ASIGNATURAS!$B$2:$J$61,9,FALSE()),""))</f>
      </c>
    </row>
    <row r="340">
      <c r="E340">
        <f>IF(DATOS!$I340="","",IFERROR(VLOOKUP(DATOS!$I340,CONFIG_ASIGNATURAS!$B$2:$J$61,9,FALSE()),""))</f>
      </c>
    </row>
    <row r="341">
      <c r="E341">
        <f>IF(DATOS!$I341="","",IFERROR(VLOOKUP(DATOS!$I341,CONFIG_ASIGNATURAS!$B$2:$J$61,9,FALSE()),""))</f>
      </c>
    </row>
    <row r="342">
      <c r="E342">
        <f>IF(DATOS!$I342="","",IFERROR(VLOOKUP(DATOS!$I342,CONFIG_ASIGNATURAS!$B$2:$J$61,9,FALSE()),""))</f>
      </c>
    </row>
    <row r="343">
      <c r="E343">
        <f>IF(DATOS!$I343="","",IFERROR(VLOOKUP(DATOS!$I343,CONFIG_ASIGNATURAS!$B$2:$J$61,9,FALSE()),""))</f>
      </c>
    </row>
    <row r="344">
      <c r="E344">
        <f>IF(DATOS!$I344="","",IFERROR(VLOOKUP(DATOS!$I344,CONFIG_ASIGNATURAS!$B$2:$J$61,9,FALSE()),""))</f>
      </c>
    </row>
    <row r="345">
      <c r="E345">
        <f>IF(DATOS!$I345="","",IFERROR(VLOOKUP(DATOS!$I345,CONFIG_ASIGNATURAS!$B$2:$J$61,9,FALSE()),""))</f>
      </c>
    </row>
    <row r="346">
      <c r="E346">
        <f>IF(DATOS!$I346="","",IFERROR(VLOOKUP(DATOS!$I346,CONFIG_ASIGNATURAS!$B$2:$J$61,9,FALSE()),""))</f>
      </c>
    </row>
    <row r="347">
      <c r="E347">
        <f>IF(DATOS!$I347="","",IFERROR(VLOOKUP(DATOS!$I347,CONFIG_ASIGNATURAS!$B$2:$J$61,9,FALSE()),""))</f>
      </c>
    </row>
    <row r="348">
      <c r="E348">
        <f>IF(DATOS!$I348="","",IFERROR(VLOOKUP(DATOS!$I348,CONFIG_ASIGNATURAS!$B$2:$J$61,9,FALSE()),""))</f>
      </c>
    </row>
    <row r="349">
      <c r="E349">
        <f>IF(DATOS!$I349="","",IFERROR(VLOOKUP(DATOS!$I349,CONFIG_ASIGNATURAS!$B$2:$J$61,9,FALSE()),""))</f>
      </c>
    </row>
    <row r="350">
      <c r="E350">
        <f>IF(DATOS!$I350="","",IFERROR(VLOOKUP(DATOS!$I350,CONFIG_ASIGNATURAS!$B$2:$J$61,9,FALSE()),""))</f>
      </c>
    </row>
    <row r="351">
      <c r="E351">
        <f>IF(DATOS!$I351="","",IFERROR(VLOOKUP(DATOS!$I351,CONFIG_ASIGNATURAS!$B$2:$J$61,9,FALSE()),""))</f>
      </c>
    </row>
    <row r="352">
      <c r="E352">
        <f>IF(DATOS!$I352="","",IFERROR(VLOOKUP(DATOS!$I352,CONFIG_ASIGNATURAS!$B$2:$J$61,9,FALSE()),""))</f>
      </c>
    </row>
    <row r="353">
      <c r="E353">
        <f>IF(DATOS!$I353="","",IFERROR(VLOOKUP(DATOS!$I353,CONFIG_ASIGNATURAS!$B$2:$J$61,9,FALSE()),""))</f>
      </c>
    </row>
    <row r="354">
      <c r="E354">
        <f>IF(DATOS!$I354="","",IFERROR(VLOOKUP(DATOS!$I354,CONFIG_ASIGNATURAS!$B$2:$J$61,9,FALSE()),""))</f>
      </c>
    </row>
    <row r="355">
      <c r="E355">
        <f>IF(DATOS!$I355="","",IFERROR(VLOOKUP(DATOS!$I355,CONFIG_ASIGNATURAS!$B$2:$J$61,9,FALSE()),""))</f>
      </c>
    </row>
    <row r="356">
      <c r="E356">
        <f>IF(DATOS!$I356="","",IFERROR(VLOOKUP(DATOS!$I356,CONFIG_ASIGNATURAS!$B$2:$J$61,9,FALSE()),""))</f>
      </c>
    </row>
    <row r="357">
      <c r="E357">
        <f>IF(DATOS!$I357="","",IFERROR(VLOOKUP(DATOS!$I357,CONFIG_ASIGNATURAS!$B$2:$J$61,9,FALSE()),""))</f>
      </c>
    </row>
    <row r="358">
      <c r="E358">
        <f>IF(DATOS!$I358="","",IFERROR(VLOOKUP(DATOS!$I358,CONFIG_ASIGNATURAS!$B$2:$J$61,9,FALSE()),""))</f>
      </c>
    </row>
    <row r="359">
      <c r="E359">
        <f>IF(DATOS!$I359="","",IFERROR(VLOOKUP(DATOS!$I359,CONFIG_ASIGNATURAS!$B$2:$J$61,9,FALSE()),""))</f>
      </c>
    </row>
    <row r="360">
      <c r="E360">
        <f>IF(DATOS!$I360="","",IFERROR(VLOOKUP(DATOS!$I360,CONFIG_ASIGNATURAS!$B$2:$J$61,9,FALSE()),""))</f>
      </c>
    </row>
    <row r="361">
      <c r="E361">
        <f>IF(DATOS!$I361="","",IFERROR(VLOOKUP(DATOS!$I361,CONFIG_ASIGNATURAS!$B$2:$J$61,9,FALSE()),""))</f>
      </c>
    </row>
    <row r="362">
      <c r="E362">
        <f>IF(DATOS!$I362="","",IFERROR(VLOOKUP(DATOS!$I362,CONFIG_ASIGNATURAS!$B$2:$J$61,9,FALSE()),""))</f>
      </c>
    </row>
    <row r="363">
      <c r="E363">
        <f>IF(DATOS!$I363="","",IFERROR(VLOOKUP(DATOS!$I363,CONFIG_ASIGNATURAS!$B$2:$J$61,9,FALSE()),""))</f>
      </c>
    </row>
    <row r="364">
      <c r="E364">
        <f>IF(DATOS!$I364="","",IFERROR(VLOOKUP(DATOS!$I364,CONFIG_ASIGNATURAS!$B$2:$J$61,9,FALSE()),""))</f>
      </c>
    </row>
    <row r="365">
      <c r="E365">
        <f>IF(DATOS!$I365="","",IFERROR(VLOOKUP(DATOS!$I365,CONFIG_ASIGNATURAS!$B$2:$J$61,9,FALSE()),""))</f>
      </c>
    </row>
    <row r="366">
      <c r="E366">
        <f>IF(DATOS!$I366="","",IFERROR(VLOOKUP(DATOS!$I366,CONFIG_ASIGNATURAS!$B$2:$J$61,9,FALSE()),""))</f>
      </c>
    </row>
    <row r="367">
      <c r="E367">
        <f>IF(DATOS!$I367="","",IFERROR(VLOOKUP(DATOS!$I367,CONFIG_ASIGNATURAS!$B$2:$J$61,9,FALSE()),""))</f>
      </c>
    </row>
    <row r="368">
      <c r="E368">
        <f>IF(DATOS!$I368="","",IFERROR(VLOOKUP(DATOS!$I368,CONFIG_ASIGNATURAS!$B$2:$J$61,9,FALSE()),""))</f>
      </c>
    </row>
    <row r="369">
      <c r="E369">
        <f>IF(DATOS!$I369="","",IFERROR(VLOOKUP(DATOS!$I369,CONFIG_ASIGNATURAS!$B$2:$J$61,9,FALSE()),""))</f>
      </c>
    </row>
    <row r="370">
      <c r="E370">
        <f>IF(DATOS!$I370="","",IFERROR(VLOOKUP(DATOS!$I370,CONFIG_ASIGNATURAS!$B$2:$J$61,9,FALSE()),""))</f>
      </c>
    </row>
    <row r="371">
      <c r="E371">
        <f>IF(DATOS!$I371="","",IFERROR(VLOOKUP(DATOS!$I371,CONFIG_ASIGNATURAS!$B$2:$J$61,9,FALSE()),""))</f>
      </c>
    </row>
    <row r="372">
      <c r="E372">
        <f>IF(DATOS!$I372="","",IFERROR(VLOOKUP(DATOS!$I372,CONFIG_ASIGNATURAS!$B$2:$J$61,9,FALSE()),""))</f>
      </c>
    </row>
    <row r="373">
      <c r="E373">
        <f>IF(DATOS!$I373="","",IFERROR(VLOOKUP(DATOS!$I373,CONFIG_ASIGNATURAS!$B$2:$J$61,9,FALSE()),""))</f>
      </c>
    </row>
    <row r="374">
      <c r="E374">
        <f>IF(DATOS!$I374="","",IFERROR(VLOOKUP(DATOS!$I374,CONFIG_ASIGNATURAS!$B$2:$J$61,9,FALSE()),""))</f>
      </c>
    </row>
    <row r="375">
      <c r="E375">
        <f>IF(DATOS!$I375="","",IFERROR(VLOOKUP(DATOS!$I375,CONFIG_ASIGNATURAS!$B$2:$J$61,9,FALSE()),""))</f>
      </c>
    </row>
    <row r="376">
      <c r="E376">
        <f>IF(DATOS!$I376="","",IFERROR(VLOOKUP(DATOS!$I376,CONFIG_ASIGNATURAS!$B$2:$J$61,9,FALSE()),""))</f>
      </c>
    </row>
    <row r="377">
      <c r="E377">
        <f>IF(DATOS!$I377="","",IFERROR(VLOOKUP(DATOS!$I377,CONFIG_ASIGNATURAS!$B$2:$J$61,9,FALSE()),""))</f>
      </c>
    </row>
    <row r="378">
      <c r="E378">
        <f>IF(DATOS!$I378="","",IFERROR(VLOOKUP(DATOS!$I378,CONFIG_ASIGNATURAS!$B$2:$J$61,9,FALSE()),""))</f>
      </c>
    </row>
    <row r="379">
      <c r="E379">
        <f>IF(DATOS!$I379="","",IFERROR(VLOOKUP(DATOS!$I379,CONFIG_ASIGNATURAS!$B$2:$J$61,9,FALSE()),""))</f>
      </c>
    </row>
    <row r="380">
      <c r="E380">
        <f>IF(DATOS!$I380="","",IFERROR(VLOOKUP(DATOS!$I380,CONFIG_ASIGNATURAS!$B$2:$J$61,9,FALSE()),""))</f>
      </c>
    </row>
    <row r="381">
      <c r="E381">
        <f>IF(DATOS!$I381="","",IFERROR(VLOOKUP(DATOS!$I381,CONFIG_ASIGNATURAS!$B$2:$J$61,9,FALSE()),""))</f>
      </c>
    </row>
    <row r="382">
      <c r="E382">
        <f>IF(DATOS!$I382="","",IFERROR(VLOOKUP(DATOS!$I382,CONFIG_ASIGNATURAS!$B$2:$J$61,9,FALSE()),""))</f>
      </c>
    </row>
    <row r="383">
      <c r="E383">
        <f>IF(DATOS!$I383="","",IFERROR(VLOOKUP(DATOS!$I383,CONFIG_ASIGNATURAS!$B$2:$J$61,9,FALSE()),""))</f>
      </c>
    </row>
    <row r="384">
      <c r="E384">
        <f>IF(DATOS!$I384="","",IFERROR(VLOOKUP(DATOS!$I384,CONFIG_ASIGNATURAS!$B$2:$J$61,9,FALSE()),""))</f>
      </c>
    </row>
    <row r="385">
      <c r="E385">
        <f>IF(DATOS!$I385="","",IFERROR(VLOOKUP(DATOS!$I385,CONFIG_ASIGNATURAS!$B$2:$J$61,9,FALSE()),""))</f>
      </c>
    </row>
    <row r="386">
      <c r="E386">
        <f>IF(DATOS!$I386="","",IFERROR(VLOOKUP(DATOS!$I386,CONFIG_ASIGNATURAS!$B$2:$J$61,9,FALSE()),""))</f>
      </c>
    </row>
    <row r="387">
      <c r="E387">
        <f>IF(DATOS!$I387="","",IFERROR(VLOOKUP(DATOS!$I387,CONFIG_ASIGNATURAS!$B$2:$J$61,9,FALSE()),""))</f>
      </c>
    </row>
    <row r="388">
      <c r="E388">
        <f>IF(DATOS!$I388="","",IFERROR(VLOOKUP(DATOS!$I388,CONFIG_ASIGNATURAS!$B$2:$J$61,9,FALSE()),""))</f>
      </c>
    </row>
    <row r="389">
      <c r="E389">
        <f>IF(DATOS!$I389="","",IFERROR(VLOOKUP(DATOS!$I389,CONFIG_ASIGNATURAS!$B$2:$J$61,9,FALSE()),""))</f>
      </c>
    </row>
    <row r="390">
      <c r="E390">
        <f>IF(DATOS!$I390="","",IFERROR(VLOOKUP(DATOS!$I390,CONFIG_ASIGNATURAS!$B$2:$J$61,9,FALSE()),""))</f>
      </c>
    </row>
    <row r="391">
      <c r="E391">
        <f>IF(DATOS!$I391="","",IFERROR(VLOOKUP(DATOS!$I391,CONFIG_ASIGNATURAS!$B$2:$J$61,9,FALSE()),""))</f>
      </c>
    </row>
    <row r="392">
      <c r="E392">
        <f>IF(DATOS!$I392="","",IFERROR(VLOOKUP(DATOS!$I392,CONFIG_ASIGNATURAS!$B$2:$J$61,9,FALSE()),""))</f>
      </c>
    </row>
    <row r="393">
      <c r="E393">
        <f>IF(DATOS!$I393="","",IFERROR(VLOOKUP(DATOS!$I393,CONFIG_ASIGNATURAS!$B$2:$J$61,9,FALSE()),""))</f>
      </c>
    </row>
    <row r="394">
      <c r="E394">
        <f>IF(DATOS!$I394="","",IFERROR(VLOOKUP(DATOS!$I394,CONFIG_ASIGNATURAS!$B$2:$J$61,9,FALSE()),""))</f>
      </c>
    </row>
    <row r="395">
      <c r="E395">
        <f>IF(DATOS!$I395="","",IFERROR(VLOOKUP(DATOS!$I395,CONFIG_ASIGNATURAS!$B$2:$J$61,9,FALSE()),""))</f>
      </c>
    </row>
    <row r="396">
      <c r="E396">
        <f>IF(DATOS!$I396="","",IFERROR(VLOOKUP(DATOS!$I396,CONFIG_ASIGNATURAS!$B$2:$J$61,9,FALSE()),""))</f>
      </c>
    </row>
    <row r="397">
      <c r="E397">
        <f>IF(DATOS!$I397="","",IFERROR(VLOOKUP(DATOS!$I397,CONFIG_ASIGNATURAS!$B$2:$J$61,9,FALSE()),""))</f>
      </c>
    </row>
    <row r="398">
      <c r="E398">
        <f>IF(DATOS!$I398="","",IFERROR(VLOOKUP(DATOS!$I398,CONFIG_ASIGNATURAS!$B$2:$J$61,9,FALSE()),""))</f>
      </c>
    </row>
    <row r="399">
      <c r="E399">
        <f>IF(DATOS!$I399="","",IFERROR(VLOOKUP(DATOS!$I399,CONFIG_ASIGNATURAS!$B$2:$J$61,9,FALSE()),""))</f>
      </c>
    </row>
    <row r="400">
      <c r="E400">
        <f>IF(DATOS!$I400="","",IFERROR(VLOOKUP(DATOS!$I400,CONFIG_ASIGNATURAS!$B$2:$J$61,9,FALSE()),""))</f>
      </c>
    </row>
    <row r="401">
      <c r="E401">
        <f>IF(DATOS!$I401="","",IFERROR(VLOOKUP(DATOS!$I401,CONFIG_ASIGNATURAS!$B$2:$J$61,9,FALSE()),""))</f>
      </c>
    </row>
    <row r="402">
      <c r="E402">
        <f>IF(DATOS!$I402="","",IFERROR(VLOOKUP(DATOS!$I402,CONFIG_ASIGNATURAS!$B$2:$J$61,9,FALSE()),""))</f>
      </c>
    </row>
    <row r="403">
      <c r="E403">
        <f>IF(DATOS!$I403="","",IFERROR(VLOOKUP(DATOS!$I403,CONFIG_ASIGNATURAS!$B$2:$J$61,9,FALSE()),""))</f>
      </c>
    </row>
    <row r="404">
      <c r="E404">
        <f>IF(DATOS!$I404="","",IFERROR(VLOOKUP(DATOS!$I404,CONFIG_ASIGNATURAS!$B$2:$J$61,9,FALSE()),""))</f>
      </c>
    </row>
    <row r="405">
      <c r="E405">
        <f>IF(DATOS!$I405="","",IFERROR(VLOOKUP(DATOS!$I405,CONFIG_ASIGNATURAS!$B$2:$J$61,9,FALSE()),""))</f>
      </c>
    </row>
    <row r="406">
      <c r="E406">
        <f>IF(DATOS!$I406="","",IFERROR(VLOOKUP(DATOS!$I406,CONFIG_ASIGNATURAS!$B$2:$J$61,9,FALSE()),""))</f>
      </c>
    </row>
    <row r="407">
      <c r="E407">
        <f>IF(DATOS!$I407="","",IFERROR(VLOOKUP(DATOS!$I407,CONFIG_ASIGNATURAS!$B$2:$J$61,9,FALSE()),""))</f>
      </c>
    </row>
    <row r="408">
      <c r="E408">
        <f>IF(DATOS!$I408="","",IFERROR(VLOOKUP(DATOS!$I408,CONFIG_ASIGNATURAS!$B$2:$J$61,9,FALSE()),""))</f>
      </c>
    </row>
    <row r="409">
      <c r="E409">
        <f>IF(DATOS!$I409="","",IFERROR(VLOOKUP(DATOS!$I409,CONFIG_ASIGNATURAS!$B$2:$J$61,9,FALSE()),""))</f>
      </c>
    </row>
    <row r="410">
      <c r="E410">
        <f>IF(DATOS!$I410="","",IFERROR(VLOOKUP(DATOS!$I410,CONFIG_ASIGNATURAS!$B$2:$J$61,9,FALSE()),""))</f>
      </c>
    </row>
    <row r="411">
      <c r="E411">
        <f>IF(DATOS!$I411="","",IFERROR(VLOOKUP(DATOS!$I411,CONFIG_ASIGNATURAS!$B$2:$J$61,9,FALSE()),""))</f>
      </c>
    </row>
    <row r="412">
      <c r="E412">
        <f>IF(DATOS!$I412="","",IFERROR(VLOOKUP(DATOS!$I412,CONFIG_ASIGNATURAS!$B$2:$J$61,9,FALSE()),""))</f>
      </c>
    </row>
    <row r="413">
      <c r="E413">
        <f>IF(DATOS!$I413="","",IFERROR(VLOOKUP(DATOS!$I413,CONFIG_ASIGNATURAS!$B$2:$J$61,9,FALSE()),""))</f>
      </c>
    </row>
    <row r="414">
      <c r="E414">
        <f>IF(DATOS!$I414="","",IFERROR(VLOOKUP(DATOS!$I414,CONFIG_ASIGNATURAS!$B$2:$J$61,9,FALSE()),""))</f>
      </c>
    </row>
    <row r="415">
      <c r="E415">
        <f>IF(DATOS!$I415="","",IFERROR(VLOOKUP(DATOS!$I415,CONFIG_ASIGNATURAS!$B$2:$J$61,9,FALSE()),""))</f>
      </c>
    </row>
    <row r="416">
      <c r="E416">
        <f>IF(DATOS!$I416="","",IFERROR(VLOOKUP(DATOS!$I416,CONFIG_ASIGNATURAS!$B$2:$J$61,9,FALSE()),""))</f>
      </c>
    </row>
    <row r="417">
      <c r="E417">
        <f>IF(DATOS!$I417="","",IFERROR(VLOOKUP(DATOS!$I417,CONFIG_ASIGNATURAS!$B$2:$J$61,9,FALSE()),""))</f>
      </c>
    </row>
    <row r="418">
      <c r="E418">
        <f>IF(DATOS!$I418="","",IFERROR(VLOOKUP(DATOS!$I418,CONFIG_ASIGNATURAS!$B$2:$J$61,9,FALSE()),""))</f>
      </c>
    </row>
    <row r="419">
      <c r="E419">
        <f>IF(DATOS!$I419="","",IFERROR(VLOOKUP(DATOS!$I419,CONFIG_ASIGNATURAS!$B$2:$J$61,9,FALSE()),""))</f>
      </c>
    </row>
    <row r="420">
      <c r="E420">
        <f>IF(DATOS!$I420="","",IFERROR(VLOOKUP(DATOS!$I420,CONFIG_ASIGNATURAS!$B$2:$J$61,9,FALSE()),""))</f>
      </c>
    </row>
    <row r="421">
      <c r="E421">
        <f>IF(DATOS!$I421="","",IFERROR(VLOOKUP(DATOS!$I421,CONFIG_ASIGNATURAS!$B$2:$J$61,9,FALSE()),""))</f>
      </c>
    </row>
    <row r="422">
      <c r="E422">
        <f>IF(DATOS!$I422="","",IFERROR(VLOOKUP(DATOS!$I422,CONFIG_ASIGNATURAS!$B$2:$J$61,9,FALSE()),""))</f>
      </c>
    </row>
    <row r="423">
      <c r="E423">
        <f>IF(DATOS!$I423="","",IFERROR(VLOOKUP(DATOS!$I423,CONFIG_ASIGNATURAS!$B$2:$J$61,9,FALSE()),""))</f>
      </c>
    </row>
    <row r="424">
      <c r="E424">
        <f>IF(DATOS!$I424="","",IFERROR(VLOOKUP(DATOS!$I424,CONFIG_ASIGNATURAS!$B$2:$J$61,9,FALSE()),""))</f>
      </c>
    </row>
    <row r="425">
      <c r="E425">
        <f>IF(DATOS!$I425="","",IFERROR(VLOOKUP(DATOS!$I425,CONFIG_ASIGNATURAS!$B$2:$J$61,9,FALSE()),""))</f>
      </c>
    </row>
    <row r="426">
      <c r="E426">
        <f>IF(DATOS!$I426="","",IFERROR(VLOOKUP(DATOS!$I426,CONFIG_ASIGNATURAS!$B$2:$J$61,9,FALSE()),""))</f>
      </c>
    </row>
    <row r="427">
      <c r="E427">
        <f>IF(DATOS!$I427="","",IFERROR(VLOOKUP(DATOS!$I427,CONFIG_ASIGNATURAS!$B$2:$J$61,9,FALSE()),""))</f>
      </c>
    </row>
    <row r="428">
      <c r="E428">
        <f>IF(DATOS!$I428="","",IFERROR(VLOOKUP(DATOS!$I428,CONFIG_ASIGNATURAS!$B$2:$J$61,9,FALSE()),""))</f>
      </c>
    </row>
    <row r="429">
      <c r="E429">
        <f>IF(DATOS!$I429="","",IFERROR(VLOOKUP(DATOS!$I429,CONFIG_ASIGNATURAS!$B$2:$J$61,9,FALSE()),""))</f>
      </c>
    </row>
    <row r="430">
      <c r="E430">
        <f>IF(DATOS!$I430="","",IFERROR(VLOOKUP(DATOS!$I430,CONFIG_ASIGNATURAS!$B$2:$J$61,9,FALSE()),""))</f>
      </c>
    </row>
    <row r="431">
      <c r="E431">
        <f>IF(DATOS!$I431="","",IFERROR(VLOOKUP(DATOS!$I431,CONFIG_ASIGNATURAS!$B$2:$J$61,9,FALSE()),""))</f>
      </c>
    </row>
    <row r="432">
      <c r="E432">
        <f>IF(DATOS!$I432="","",IFERROR(VLOOKUP(DATOS!$I432,CONFIG_ASIGNATURAS!$B$2:$J$61,9,FALSE()),""))</f>
      </c>
    </row>
    <row r="433">
      <c r="E433">
        <f>IF(DATOS!$I433="","",IFERROR(VLOOKUP(DATOS!$I433,CONFIG_ASIGNATURAS!$B$2:$J$61,9,FALSE()),""))</f>
      </c>
    </row>
    <row r="434">
      <c r="E434">
        <f>IF(DATOS!$I434="","",IFERROR(VLOOKUP(DATOS!$I434,CONFIG_ASIGNATURAS!$B$2:$J$61,9,FALSE()),""))</f>
      </c>
    </row>
    <row r="435">
      <c r="E435">
        <f>IF(DATOS!$I435="","",IFERROR(VLOOKUP(DATOS!$I435,CONFIG_ASIGNATURAS!$B$2:$J$61,9,FALSE()),""))</f>
      </c>
    </row>
    <row r="436">
      <c r="E436">
        <f>IF(DATOS!$I436="","",IFERROR(VLOOKUP(DATOS!$I436,CONFIG_ASIGNATURAS!$B$2:$J$61,9,FALSE()),""))</f>
      </c>
    </row>
    <row r="437">
      <c r="E437">
        <f>IF(DATOS!$I437="","",IFERROR(VLOOKUP(DATOS!$I437,CONFIG_ASIGNATURAS!$B$2:$J$61,9,FALSE()),""))</f>
      </c>
    </row>
    <row r="438">
      <c r="E438">
        <f>IF(DATOS!$I438="","",IFERROR(VLOOKUP(DATOS!$I438,CONFIG_ASIGNATURAS!$B$2:$J$61,9,FALSE()),""))</f>
      </c>
    </row>
    <row r="439">
      <c r="E439">
        <f>IF(DATOS!$I439="","",IFERROR(VLOOKUP(DATOS!$I439,CONFIG_ASIGNATURAS!$B$2:$J$61,9,FALSE()),""))</f>
      </c>
    </row>
    <row r="440">
      <c r="E440">
        <f>IF(DATOS!$I440="","",IFERROR(VLOOKUP(DATOS!$I440,CONFIG_ASIGNATURAS!$B$2:$J$61,9,FALSE()),""))</f>
      </c>
    </row>
    <row r="441">
      <c r="E441">
        <f>IF(DATOS!$I441="","",IFERROR(VLOOKUP(DATOS!$I441,CONFIG_ASIGNATURAS!$B$2:$J$61,9,FALSE()),""))</f>
      </c>
    </row>
    <row r="442">
      <c r="E442">
        <f>IF(DATOS!$I442="","",IFERROR(VLOOKUP(DATOS!$I442,CONFIG_ASIGNATURAS!$B$2:$J$61,9,FALSE()),""))</f>
      </c>
    </row>
    <row r="443">
      <c r="E443">
        <f>IF(DATOS!$I443="","",IFERROR(VLOOKUP(DATOS!$I443,CONFIG_ASIGNATURAS!$B$2:$J$61,9,FALSE()),""))</f>
      </c>
    </row>
    <row r="444">
      <c r="E444">
        <f>IF(DATOS!$I444="","",IFERROR(VLOOKUP(DATOS!$I444,CONFIG_ASIGNATURAS!$B$2:$J$61,9,FALSE()),""))</f>
      </c>
    </row>
    <row r="445">
      <c r="E445">
        <f>IF(DATOS!$I445="","",IFERROR(VLOOKUP(DATOS!$I445,CONFIG_ASIGNATURAS!$B$2:$J$61,9,FALSE()),""))</f>
      </c>
    </row>
    <row r="446">
      <c r="E446">
        <f>IF(DATOS!$I446="","",IFERROR(VLOOKUP(DATOS!$I446,CONFIG_ASIGNATURAS!$B$2:$J$61,9,FALSE()),""))</f>
      </c>
    </row>
    <row r="447">
      <c r="E447">
        <f>IF(DATOS!$I447="","",IFERROR(VLOOKUP(DATOS!$I447,CONFIG_ASIGNATURAS!$B$2:$J$61,9,FALSE()),""))</f>
      </c>
    </row>
    <row r="448">
      <c r="E448">
        <f>IF(DATOS!$I448="","",IFERROR(VLOOKUP(DATOS!$I448,CONFIG_ASIGNATURAS!$B$2:$J$61,9,FALSE()),""))</f>
      </c>
    </row>
    <row r="449">
      <c r="E449">
        <f>IF(DATOS!$I449="","",IFERROR(VLOOKUP(DATOS!$I449,CONFIG_ASIGNATURAS!$B$2:$J$61,9,FALSE()),""))</f>
      </c>
    </row>
    <row r="450">
      <c r="E450">
        <f>IF(DATOS!$I450="","",IFERROR(VLOOKUP(DATOS!$I450,CONFIG_ASIGNATURAS!$B$2:$J$61,9,FALSE()),""))</f>
      </c>
    </row>
    <row r="451">
      <c r="E451">
        <f>IF(DATOS!$I451="","",IFERROR(VLOOKUP(DATOS!$I451,CONFIG_ASIGNATURAS!$B$2:$J$61,9,FALSE()),""))</f>
      </c>
    </row>
    <row r="452">
      <c r="E452">
        <f>IF(DATOS!$I452="","",IFERROR(VLOOKUP(DATOS!$I452,CONFIG_ASIGNATURAS!$B$2:$J$61,9,FALSE()),""))</f>
      </c>
    </row>
    <row r="453">
      <c r="E453">
        <f>IF(DATOS!$I453="","",IFERROR(VLOOKUP(DATOS!$I453,CONFIG_ASIGNATURAS!$B$2:$J$61,9,FALSE()),""))</f>
      </c>
    </row>
    <row r="454">
      <c r="E454">
        <f>IF(DATOS!$I454="","",IFERROR(VLOOKUP(DATOS!$I454,CONFIG_ASIGNATURAS!$B$2:$J$61,9,FALSE()),""))</f>
      </c>
    </row>
    <row r="455">
      <c r="E455">
        <f>IF(DATOS!$I455="","",IFERROR(VLOOKUP(DATOS!$I455,CONFIG_ASIGNATURAS!$B$2:$J$61,9,FALSE()),""))</f>
      </c>
    </row>
    <row r="456">
      <c r="E456">
        <f>IF(DATOS!$I456="","",IFERROR(VLOOKUP(DATOS!$I456,CONFIG_ASIGNATURAS!$B$2:$J$61,9,FALSE()),""))</f>
      </c>
    </row>
    <row r="457">
      <c r="E457">
        <f>IF(DATOS!$I457="","",IFERROR(VLOOKUP(DATOS!$I457,CONFIG_ASIGNATURAS!$B$2:$J$61,9,FALSE()),""))</f>
      </c>
    </row>
    <row r="458">
      <c r="E458">
        <f>IF(DATOS!$I458="","",IFERROR(VLOOKUP(DATOS!$I458,CONFIG_ASIGNATURAS!$B$2:$J$61,9,FALSE()),""))</f>
      </c>
    </row>
    <row r="459">
      <c r="E459">
        <f>IF(DATOS!$I459="","",IFERROR(VLOOKUP(DATOS!$I459,CONFIG_ASIGNATURAS!$B$2:$J$61,9,FALSE()),""))</f>
      </c>
    </row>
    <row r="460">
      <c r="E460">
        <f>IF(DATOS!$I460="","",IFERROR(VLOOKUP(DATOS!$I460,CONFIG_ASIGNATURAS!$B$2:$J$61,9,FALSE()),""))</f>
      </c>
    </row>
    <row r="461">
      <c r="E461">
        <f>IF(DATOS!$I461="","",IFERROR(VLOOKUP(DATOS!$I461,CONFIG_ASIGNATURAS!$B$2:$J$61,9,FALSE()),""))</f>
      </c>
    </row>
    <row r="462">
      <c r="E462">
        <f>IF(DATOS!$I462="","",IFERROR(VLOOKUP(DATOS!$I462,CONFIG_ASIGNATURAS!$B$2:$J$61,9,FALSE()),""))</f>
      </c>
    </row>
    <row r="463">
      <c r="E463">
        <f>IF(DATOS!$I463="","",IFERROR(VLOOKUP(DATOS!$I463,CONFIG_ASIGNATURAS!$B$2:$J$61,9,FALSE()),""))</f>
      </c>
    </row>
    <row r="464">
      <c r="E464">
        <f>IF(DATOS!$I464="","",IFERROR(VLOOKUP(DATOS!$I464,CONFIG_ASIGNATURAS!$B$2:$J$61,9,FALSE()),""))</f>
      </c>
    </row>
    <row r="465">
      <c r="E465">
        <f>IF(DATOS!$I465="","",IFERROR(VLOOKUP(DATOS!$I465,CONFIG_ASIGNATURAS!$B$2:$J$61,9,FALSE()),""))</f>
      </c>
    </row>
    <row r="466">
      <c r="E466">
        <f>IF(DATOS!$I466="","",IFERROR(VLOOKUP(DATOS!$I466,CONFIG_ASIGNATURAS!$B$2:$J$61,9,FALSE()),""))</f>
      </c>
    </row>
    <row r="467">
      <c r="E467">
        <f>IF(DATOS!$I467="","",IFERROR(VLOOKUP(DATOS!$I467,CONFIG_ASIGNATURAS!$B$2:$J$61,9,FALSE()),""))</f>
      </c>
    </row>
    <row r="468">
      <c r="E468">
        <f>IF(DATOS!$I468="","",IFERROR(VLOOKUP(DATOS!$I468,CONFIG_ASIGNATURAS!$B$2:$J$61,9,FALSE()),""))</f>
      </c>
    </row>
    <row r="469">
      <c r="E469">
        <f>IF(DATOS!$I469="","",IFERROR(VLOOKUP(DATOS!$I469,CONFIG_ASIGNATURAS!$B$2:$J$61,9,FALSE()),""))</f>
      </c>
    </row>
    <row r="470">
      <c r="E470">
        <f>IF(DATOS!$I470="","",IFERROR(VLOOKUP(DATOS!$I470,CONFIG_ASIGNATURAS!$B$2:$J$61,9,FALSE()),""))</f>
      </c>
    </row>
    <row r="471">
      <c r="E471">
        <f>IF(DATOS!$I471="","",IFERROR(VLOOKUP(DATOS!$I471,CONFIG_ASIGNATURAS!$B$2:$J$61,9,FALSE()),""))</f>
      </c>
    </row>
    <row r="472">
      <c r="E472">
        <f>IF(DATOS!$I472="","",IFERROR(VLOOKUP(DATOS!$I472,CONFIG_ASIGNATURAS!$B$2:$J$61,9,FALSE()),""))</f>
      </c>
    </row>
    <row r="473">
      <c r="E473">
        <f>IF(DATOS!$I473="","",IFERROR(VLOOKUP(DATOS!$I473,CONFIG_ASIGNATURAS!$B$2:$J$61,9,FALSE()),""))</f>
      </c>
    </row>
    <row r="474">
      <c r="E474">
        <f>IF(DATOS!$I474="","",IFERROR(VLOOKUP(DATOS!$I474,CONFIG_ASIGNATURAS!$B$2:$J$61,9,FALSE()),""))</f>
      </c>
    </row>
    <row r="475">
      <c r="E475">
        <f>IF(DATOS!$I475="","",IFERROR(VLOOKUP(DATOS!$I475,CONFIG_ASIGNATURAS!$B$2:$J$61,9,FALSE()),""))</f>
      </c>
    </row>
    <row r="476">
      <c r="E476">
        <f>IF(DATOS!$I476="","",IFERROR(VLOOKUP(DATOS!$I476,CONFIG_ASIGNATURAS!$B$2:$J$61,9,FALSE()),""))</f>
      </c>
    </row>
    <row r="477">
      <c r="E477">
        <f>IF(DATOS!$I477="","",IFERROR(VLOOKUP(DATOS!$I477,CONFIG_ASIGNATURAS!$B$2:$J$61,9,FALSE()),""))</f>
      </c>
    </row>
    <row r="478">
      <c r="E478">
        <f>IF(DATOS!$I478="","",IFERROR(VLOOKUP(DATOS!$I478,CONFIG_ASIGNATURAS!$B$2:$J$61,9,FALSE()),""))</f>
      </c>
    </row>
    <row r="479">
      <c r="E479">
        <f>IF(DATOS!$I479="","",IFERROR(VLOOKUP(DATOS!$I479,CONFIG_ASIGNATURAS!$B$2:$J$61,9,FALSE()),""))</f>
      </c>
    </row>
    <row r="480">
      <c r="E480">
        <f>IF(DATOS!$I480="","",IFERROR(VLOOKUP(DATOS!$I480,CONFIG_ASIGNATURAS!$B$2:$J$61,9,FALSE()),""))</f>
      </c>
    </row>
    <row r="481">
      <c r="E481">
        <f>IF(DATOS!$I481="","",IFERROR(VLOOKUP(DATOS!$I481,CONFIG_ASIGNATURAS!$B$2:$J$61,9,FALSE()),""))</f>
      </c>
    </row>
    <row r="482">
      <c r="E482">
        <f>IF(DATOS!$I482="","",IFERROR(VLOOKUP(DATOS!$I482,CONFIG_ASIGNATURAS!$B$2:$J$61,9,FALSE()),""))</f>
      </c>
    </row>
    <row r="483">
      <c r="E483">
        <f>IF(DATOS!$I483="","",IFERROR(VLOOKUP(DATOS!$I483,CONFIG_ASIGNATURAS!$B$2:$J$61,9,FALSE()),""))</f>
      </c>
    </row>
    <row r="484">
      <c r="E484">
        <f>IF(DATOS!$I484="","",IFERROR(VLOOKUP(DATOS!$I484,CONFIG_ASIGNATURAS!$B$2:$J$61,9,FALSE()),""))</f>
      </c>
    </row>
    <row r="485">
      <c r="E485">
        <f>IF(DATOS!$I485="","",IFERROR(VLOOKUP(DATOS!$I485,CONFIG_ASIGNATURAS!$B$2:$J$61,9,FALSE()),""))</f>
      </c>
    </row>
    <row r="486">
      <c r="E486">
        <f>IF(DATOS!$I486="","",IFERROR(VLOOKUP(DATOS!$I486,CONFIG_ASIGNATURAS!$B$2:$J$61,9,FALSE()),""))</f>
      </c>
    </row>
    <row r="487">
      <c r="E487">
        <f>IF(DATOS!$I487="","",IFERROR(VLOOKUP(DATOS!$I487,CONFIG_ASIGNATURAS!$B$2:$J$61,9,FALSE()),""))</f>
      </c>
    </row>
    <row r="488">
      <c r="E488">
        <f>IF(DATOS!$I488="","",IFERROR(VLOOKUP(DATOS!$I488,CONFIG_ASIGNATURAS!$B$2:$J$61,9,FALSE()),""))</f>
      </c>
    </row>
    <row r="489">
      <c r="E489">
        <f>IF(DATOS!$I489="","",IFERROR(VLOOKUP(DATOS!$I489,CONFIG_ASIGNATURAS!$B$2:$J$61,9,FALSE()),""))</f>
      </c>
    </row>
    <row r="490">
      <c r="E490">
        <f>IF(DATOS!$I490="","",IFERROR(VLOOKUP(DATOS!$I490,CONFIG_ASIGNATURAS!$B$2:$J$61,9,FALSE()),""))</f>
      </c>
    </row>
    <row r="491">
      <c r="E491">
        <f>IF(DATOS!$I491="","",IFERROR(VLOOKUP(DATOS!$I491,CONFIG_ASIGNATURAS!$B$2:$J$61,9,FALSE()),""))</f>
      </c>
    </row>
    <row r="492">
      <c r="E492">
        <f>IF(DATOS!$I492="","",IFERROR(VLOOKUP(DATOS!$I492,CONFIG_ASIGNATURAS!$B$2:$J$61,9,FALSE()),""))</f>
      </c>
    </row>
    <row r="493">
      <c r="E493">
        <f>IF(DATOS!$I493="","",IFERROR(VLOOKUP(DATOS!$I493,CONFIG_ASIGNATURAS!$B$2:$J$61,9,FALSE()),""))</f>
      </c>
    </row>
    <row r="494">
      <c r="E494">
        <f>IF(DATOS!$I494="","",IFERROR(VLOOKUP(DATOS!$I494,CONFIG_ASIGNATURAS!$B$2:$J$61,9,FALSE()),""))</f>
      </c>
    </row>
    <row r="495">
      <c r="E495">
        <f>IF(DATOS!$I495="","",IFERROR(VLOOKUP(DATOS!$I495,CONFIG_ASIGNATURAS!$B$2:$J$61,9,FALSE()),""))</f>
      </c>
    </row>
    <row r="496">
      <c r="E496">
        <f>IF(DATOS!$I496="","",IFERROR(VLOOKUP(DATOS!$I496,CONFIG_ASIGNATURAS!$B$2:$J$61,9,FALSE()),""))</f>
      </c>
    </row>
    <row r="497">
      <c r="E497">
        <f>IF(DATOS!$I497="","",IFERROR(VLOOKUP(DATOS!$I497,CONFIG_ASIGNATURAS!$B$2:$J$61,9,FALSE()),""))</f>
      </c>
    </row>
    <row r="498">
      <c r="E498">
        <f>IF(DATOS!$I498="","",IFERROR(VLOOKUP(DATOS!$I498,CONFIG_ASIGNATURAS!$B$2:$J$61,9,FALSE()),""))</f>
      </c>
    </row>
    <row r="499">
      <c r="E499">
        <f>IF(DATOS!$I499="","",IFERROR(VLOOKUP(DATOS!$I499,CONFIG_ASIGNATURAS!$B$2:$J$61,9,FALSE()),""))</f>
      </c>
    </row>
    <row r="500">
      <c r="E500">
        <f>IF(DATOS!$I500="","",IFERROR(VLOOKUP(DATOS!$I500,CONFIG_ASIGNATURAS!$B$2:$J$61,9,FALSE()),""))</f>
      </c>
    </row>
    <row r="501">
      <c r="E501">
        <f>IF(DATOS!$I501="","",IFERROR(VLOOKUP(DATOS!$I501,CONFIG_ASIGNATURAS!$B$2:$J$61,9,FALSE()),""))</f>
      </c>
    </row>
    <row r="502">
      <c r="E502">
        <f>IF(DATOS!$I502="","",IFERROR(VLOOKUP(DATOS!$I502,CONFIG_ASIGNATURAS!$B$2:$J$61,9,FALSE()),""))</f>
      </c>
    </row>
    <row r="503">
      <c r="E503">
        <f>IF(DATOS!$I503="","",IFERROR(VLOOKUP(DATOS!$I503,CONFIG_ASIGNATURAS!$B$2:$J$61,9,FALSE()),""))</f>
      </c>
    </row>
    <row r="504">
      <c r="E504">
        <f>IF(DATOS!$I504="","",IFERROR(VLOOKUP(DATOS!$I504,CONFIG_ASIGNATURAS!$B$2:$J$61,9,FALSE()),""))</f>
      </c>
    </row>
    <row r="505">
      <c r="E505">
        <f>IF(DATOS!$I505="","",IFERROR(VLOOKUP(DATOS!$I505,CONFIG_ASIGNATURAS!$B$2:$J$61,9,FALSE()),""))</f>
      </c>
    </row>
    <row r="506">
      <c r="E506">
        <f>IF(DATOS!$I506="","",IFERROR(VLOOKUP(DATOS!$I506,CONFIG_ASIGNATURAS!$B$2:$J$61,9,FALSE()),""))</f>
      </c>
    </row>
    <row r="507">
      <c r="E507">
        <f>IF(DATOS!$I507="","",IFERROR(VLOOKUP(DATOS!$I507,CONFIG_ASIGNATURAS!$B$2:$J$61,9,FALSE()),""))</f>
      </c>
    </row>
    <row r="508">
      <c r="E508">
        <f>IF(DATOS!$I508="","",IFERROR(VLOOKUP(DATOS!$I508,CONFIG_ASIGNATURAS!$B$2:$J$61,9,FALSE()),""))</f>
      </c>
    </row>
    <row r="509">
      <c r="E509">
        <f>IF(DATOS!$I509="","",IFERROR(VLOOKUP(DATOS!$I509,CONFIG_ASIGNATURAS!$B$2:$J$61,9,FALSE()),""))</f>
      </c>
    </row>
    <row r="510">
      <c r="E510">
        <f>IF(DATOS!$I510="","",IFERROR(VLOOKUP(DATOS!$I510,CONFIG_ASIGNATURAS!$B$2:$J$61,9,FALSE()),""))</f>
      </c>
    </row>
    <row r="511">
      <c r="E511">
        <f>IF(DATOS!$I511="","",IFERROR(VLOOKUP(DATOS!$I511,CONFIG_ASIGNATURAS!$B$2:$J$61,9,FALSE()),""))</f>
      </c>
    </row>
    <row r="512">
      <c r="E512">
        <f>IF(DATOS!$I512="","",IFERROR(VLOOKUP(DATOS!$I512,CONFIG_ASIGNATURAS!$B$2:$J$61,9,FALSE()),""))</f>
      </c>
    </row>
    <row r="513">
      <c r="E513">
        <f>IF(DATOS!$I513="","",IFERROR(VLOOKUP(DATOS!$I513,CONFIG_ASIGNATURAS!$B$2:$J$61,9,FALSE()),""))</f>
      </c>
    </row>
    <row r="514">
      <c r="E514">
        <f>IF(DATOS!$I514="","",IFERROR(VLOOKUP(DATOS!$I514,CONFIG_ASIGNATURAS!$B$2:$J$61,9,FALSE()),""))</f>
      </c>
    </row>
    <row r="515">
      <c r="E515">
        <f>IF(DATOS!$I515="","",IFERROR(VLOOKUP(DATOS!$I515,CONFIG_ASIGNATURAS!$B$2:$J$61,9,FALSE()),""))</f>
      </c>
    </row>
    <row r="516">
      <c r="E516">
        <f>IF(DATOS!$I516="","",IFERROR(VLOOKUP(DATOS!$I516,CONFIG_ASIGNATURAS!$B$2:$J$61,9,FALSE()),""))</f>
      </c>
    </row>
    <row r="517">
      <c r="E517">
        <f>IF(DATOS!$I517="","",IFERROR(VLOOKUP(DATOS!$I517,CONFIG_ASIGNATURAS!$B$2:$J$61,9,FALSE()),""))</f>
      </c>
    </row>
    <row r="518">
      <c r="E518">
        <f>IF(DATOS!$I518="","",IFERROR(VLOOKUP(DATOS!$I518,CONFIG_ASIGNATURAS!$B$2:$J$61,9,FALSE()),""))</f>
      </c>
    </row>
    <row r="519">
      <c r="E519">
        <f>IF(DATOS!$I519="","",IFERROR(VLOOKUP(DATOS!$I519,CONFIG_ASIGNATURAS!$B$2:$J$61,9,FALSE()),""))</f>
      </c>
    </row>
    <row r="520">
      <c r="E520">
        <f>IF(DATOS!$I520="","",IFERROR(VLOOKUP(DATOS!$I520,CONFIG_ASIGNATURAS!$B$2:$J$61,9,FALSE()),""))</f>
      </c>
    </row>
    <row r="521">
      <c r="E521">
        <f>IF(DATOS!$I521="","",IFERROR(VLOOKUP(DATOS!$I521,CONFIG_ASIGNATURAS!$B$2:$J$61,9,FALSE()),""))</f>
      </c>
    </row>
    <row r="522">
      <c r="E522">
        <f>IF(DATOS!$I522="","",IFERROR(VLOOKUP(DATOS!$I522,CONFIG_ASIGNATURAS!$B$2:$J$61,9,FALSE()),""))</f>
      </c>
    </row>
    <row r="523">
      <c r="E523">
        <f>IF(DATOS!$I523="","",IFERROR(VLOOKUP(DATOS!$I523,CONFIG_ASIGNATURAS!$B$2:$J$61,9,FALSE()),""))</f>
      </c>
    </row>
    <row r="524">
      <c r="E524">
        <f>IF(DATOS!$I524="","",IFERROR(VLOOKUP(DATOS!$I524,CONFIG_ASIGNATURAS!$B$2:$J$61,9,FALSE()),""))</f>
      </c>
    </row>
    <row r="525">
      <c r="E525">
        <f>IF(DATOS!$I525="","",IFERROR(VLOOKUP(DATOS!$I525,CONFIG_ASIGNATURAS!$B$2:$J$61,9,FALSE()),""))</f>
      </c>
    </row>
    <row r="526">
      <c r="E526">
        <f>IF(DATOS!$I526="","",IFERROR(VLOOKUP(DATOS!$I526,CONFIG_ASIGNATURAS!$B$2:$J$61,9,FALSE()),""))</f>
      </c>
    </row>
    <row r="527">
      <c r="E527">
        <f>IF(DATOS!$I527="","",IFERROR(VLOOKUP(DATOS!$I527,CONFIG_ASIGNATURAS!$B$2:$J$61,9,FALSE()),""))</f>
      </c>
    </row>
    <row r="528">
      <c r="E528">
        <f>IF(DATOS!$I528="","",IFERROR(VLOOKUP(DATOS!$I528,CONFIG_ASIGNATURAS!$B$2:$J$61,9,FALSE()),""))</f>
      </c>
    </row>
    <row r="529">
      <c r="E529">
        <f>IF(DATOS!$I529="","",IFERROR(VLOOKUP(DATOS!$I529,CONFIG_ASIGNATURAS!$B$2:$J$61,9,FALSE()),""))</f>
      </c>
    </row>
    <row r="530">
      <c r="E530">
        <f>IF(DATOS!$I530="","",IFERROR(VLOOKUP(DATOS!$I530,CONFIG_ASIGNATURAS!$B$2:$J$61,9,FALSE()),""))</f>
      </c>
    </row>
    <row r="531">
      <c r="E531">
        <f>IF(DATOS!$I531="","",IFERROR(VLOOKUP(DATOS!$I531,CONFIG_ASIGNATURAS!$B$2:$J$61,9,FALSE()),""))</f>
      </c>
    </row>
    <row r="532">
      <c r="E532">
        <f>IF(DATOS!$I532="","",IFERROR(VLOOKUP(DATOS!$I532,CONFIG_ASIGNATURAS!$B$2:$J$61,9,FALSE()),""))</f>
      </c>
    </row>
    <row r="533">
      <c r="E533">
        <f>IF(DATOS!$I533="","",IFERROR(VLOOKUP(DATOS!$I533,CONFIG_ASIGNATURAS!$B$2:$J$61,9,FALSE()),""))</f>
      </c>
    </row>
    <row r="534">
      <c r="E534">
        <f>IF(DATOS!$I534="","",IFERROR(VLOOKUP(DATOS!$I534,CONFIG_ASIGNATURAS!$B$2:$J$61,9,FALSE()),""))</f>
      </c>
    </row>
    <row r="535">
      <c r="E535">
        <f>IF(DATOS!$I535="","",IFERROR(VLOOKUP(DATOS!$I535,CONFIG_ASIGNATURAS!$B$2:$J$61,9,FALSE()),""))</f>
      </c>
    </row>
    <row r="536">
      <c r="E536">
        <f>IF(DATOS!$I536="","",IFERROR(VLOOKUP(DATOS!$I536,CONFIG_ASIGNATURAS!$B$2:$J$61,9,FALSE()),""))</f>
      </c>
    </row>
    <row r="537">
      <c r="E537">
        <f>IF(DATOS!$I537="","",IFERROR(VLOOKUP(DATOS!$I537,CONFIG_ASIGNATURAS!$B$2:$J$61,9,FALSE()),""))</f>
      </c>
    </row>
    <row r="538">
      <c r="E538">
        <f>IF(DATOS!$I538="","",IFERROR(VLOOKUP(DATOS!$I538,CONFIG_ASIGNATURAS!$B$2:$J$61,9,FALSE()),""))</f>
      </c>
    </row>
    <row r="539">
      <c r="E539">
        <f>IF(DATOS!$I539="","",IFERROR(VLOOKUP(DATOS!$I539,CONFIG_ASIGNATURAS!$B$2:$J$61,9,FALSE()),""))</f>
      </c>
    </row>
    <row r="540">
      <c r="E540">
        <f>IF(DATOS!$I540="","",IFERROR(VLOOKUP(DATOS!$I540,CONFIG_ASIGNATURAS!$B$2:$J$61,9,FALSE()),""))</f>
      </c>
    </row>
    <row r="541">
      <c r="E541">
        <f>IF(DATOS!$I541="","",IFERROR(VLOOKUP(DATOS!$I541,CONFIG_ASIGNATURAS!$B$2:$J$61,9,FALSE()),""))</f>
      </c>
    </row>
    <row r="542">
      <c r="E542">
        <f>IF(DATOS!$I542="","",IFERROR(VLOOKUP(DATOS!$I542,CONFIG_ASIGNATURAS!$B$2:$J$61,9,FALSE()),""))</f>
      </c>
    </row>
    <row r="543">
      <c r="E543">
        <f>IF(DATOS!$I543="","",IFERROR(VLOOKUP(DATOS!$I543,CONFIG_ASIGNATURAS!$B$2:$J$61,9,FALSE()),""))</f>
      </c>
    </row>
    <row r="544">
      <c r="E544">
        <f>IF(DATOS!$I544="","",IFERROR(VLOOKUP(DATOS!$I544,CONFIG_ASIGNATURAS!$B$2:$J$61,9,FALSE()),""))</f>
      </c>
    </row>
    <row r="545">
      <c r="E545">
        <f>IF(DATOS!$I545="","",IFERROR(VLOOKUP(DATOS!$I545,CONFIG_ASIGNATURAS!$B$2:$J$61,9,FALSE()),""))</f>
      </c>
    </row>
    <row r="546">
      <c r="E546">
        <f>IF(DATOS!$I546="","",IFERROR(VLOOKUP(DATOS!$I546,CONFIG_ASIGNATURAS!$B$2:$J$61,9,FALSE()),""))</f>
      </c>
    </row>
    <row r="547">
      <c r="E547">
        <f>IF(DATOS!$I547="","",IFERROR(VLOOKUP(DATOS!$I547,CONFIG_ASIGNATURAS!$B$2:$J$61,9,FALSE()),""))</f>
      </c>
    </row>
    <row r="548">
      <c r="E548">
        <f>IF(DATOS!$I548="","",IFERROR(VLOOKUP(DATOS!$I548,CONFIG_ASIGNATURAS!$B$2:$J$61,9,FALSE()),""))</f>
      </c>
    </row>
    <row r="549">
      <c r="E549">
        <f>IF(DATOS!$I549="","",IFERROR(VLOOKUP(DATOS!$I549,CONFIG_ASIGNATURAS!$B$2:$J$61,9,FALSE()),""))</f>
      </c>
    </row>
    <row r="550">
      <c r="E550">
        <f>IF(DATOS!$I550="","",IFERROR(VLOOKUP(DATOS!$I550,CONFIG_ASIGNATURAS!$B$2:$J$61,9,FALSE()),""))</f>
      </c>
    </row>
    <row r="551">
      <c r="E551">
        <f>IF(DATOS!$I551="","",IFERROR(VLOOKUP(DATOS!$I551,CONFIG_ASIGNATURAS!$B$2:$J$61,9,FALSE()),""))</f>
      </c>
    </row>
    <row r="552">
      <c r="E552">
        <f>IF(DATOS!$I552="","",IFERROR(VLOOKUP(DATOS!$I552,CONFIG_ASIGNATURAS!$B$2:$J$61,9,FALSE()),""))</f>
      </c>
    </row>
    <row r="553">
      <c r="E553">
        <f>IF(DATOS!$I553="","",IFERROR(VLOOKUP(DATOS!$I553,CONFIG_ASIGNATURAS!$B$2:$J$61,9,FALSE()),""))</f>
      </c>
    </row>
    <row r="554">
      <c r="E554">
        <f>IF(DATOS!$I554="","",IFERROR(VLOOKUP(DATOS!$I554,CONFIG_ASIGNATURAS!$B$2:$J$61,9,FALSE()),""))</f>
      </c>
    </row>
    <row r="555">
      <c r="E555">
        <f>IF(DATOS!$I555="","",IFERROR(VLOOKUP(DATOS!$I555,CONFIG_ASIGNATURAS!$B$2:$J$61,9,FALSE()),""))</f>
      </c>
    </row>
    <row r="556">
      <c r="E556">
        <f>IF(DATOS!$I556="","",IFERROR(VLOOKUP(DATOS!$I556,CONFIG_ASIGNATURAS!$B$2:$J$61,9,FALSE()),""))</f>
      </c>
    </row>
    <row r="557">
      <c r="E557">
        <f>IF(DATOS!$I557="","",IFERROR(VLOOKUP(DATOS!$I557,CONFIG_ASIGNATURAS!$B$2:$J$61,9,FALSE()),""))</f>
      </c>
    </row>
    <row r="558">
      <c r="E558">
        <f>IF(DATOS!$I558="","",IFERROR(VLOOKUP(DATOS!$I558,CONFIG_ASIGNATURAS!$B$2:$J$61,9,FALSE()),""))</f>
      </c>
    </row>
    <row r="559">
      <c r="E559">
        <f>IF(DATOS!$I559="","",IFERROR(VLOOKUP(DATOS!$I559,CONFIG_ASIGNATURAS!$B$2:$J$61,9,FALSE()),""))</f>
      </c>
    </row>
    <row r="560">
      <c r="E560">
        <f>IF(DATOS!$I560="","",IFERROR(VLOOKUP(DATOS!$I560,CONFIG_ASIGNATURAS!$B$2:$J$61,9,FALSE()),""))</f>
      </c>
    </row>
    <row r="561">
      <c r="E561">
        <f>IF(DATOS!$I561="","",IFERROR(VLOOKUP(DATOS!$I561,CONFIG_ASIGNATURAS!$B$2:$J$61,9,FALSE()),""))</f>
      </c>
    </row>
    <row r="562">
      <c r="E562">
        <f>IF(DATOS!$I562="","",IFERROR(VLOOKUP(DATOS!$I562,CONFIG_ASIGNATURAS!$B$2:$J$61,9,FALSE()),""))</f>
      </c>
    </row>
    <row r="563">
      <c r="E563">
        <f>IF(DATOS!$I563="","",IFERROR(VLOOKUP(DATOS!$I563,CONFIG_ASIGNATURAS!$B$2:$J$61,9,FALSE()),""))</f>
      </c>
    </row>
    <row r="564">
      <c r="E564">
        <f>IF(DATOS!$I564="","",IFERROR(VLOOKUP(DATOS!$I564,CONFIG_ASIGNATURAS!$B$2:$J$61,9,FALSE()),""))</f>
      </c>
    </row>
    <row r="565">
      <c r="E565">
        <f>IF(DATOS!$I565="","",IFERROR(VLOOKUP(DATOS!$I565,CONFIG_ASIGNATURAS!$B$2:$J$61,9,FALSE()),""))</f>
      </c>
    </row>
    <row r="566">
      <c r="E566">
        <f>IF(DATOS!$I566="","",IFERROR(VLOOKUP(DATOS!$I566,CONFIG_ASIGNATURAS!$B$2:$J$61,9,FALSE()),""))</f>
      </c>
    </row>
    <row r="567">
      <c r="E567">
        <f>IF(DATOS!$I567="","",IFERROR(VLOOKUP(DATOS!$I567,CONFIG_ASIGNATURAS!$B$2:$J$61,9,FALSE()),""))</f>
      </c>
    </row>
    <row r="568">
      <c r="E568">
        <f>IF(DATOS!$I568="","",IFERROR(VLOOKUP(DATOS!$I568,CONFIG_ASIGNATURAS!$B$2:$J$61,9,FALSE()),""))</f>
      </c>
    </row>
    <row r="569">
      <c r="E569">
        <f>IF(DATOS!$I569="","",IFERROR(VLOOKUP(DATOS!$I569,CONFIG_ASIGNATURAS!$B$2:$J$61,9,FALSE()),""))</f>
      </c>
    </row>
    <row r="570">
      <c r="E570">
        <f>IF(DATOS!$I570="","",IFERROR(VLOOKUP(DATOS!$I570,CONFIG_ASIGNATURAS!$B$2:$J$61,9,FALSE()),""))</f>
      </c>
    </row>
    <row r="571">
      <c r="E571">
        <f>IF(DATOS!$I571="","",IFERROR(VLOOKUP(DATOS!$I571,CONFIG_ASIGNATURAS!$B$2:$J$61,9,FALSE()),""))</f>
      </c>
    </row>
    <row r="572">
      <c r="E572">
        <f>IF(DATOS!$I572="","",IFERROR(VLOOKUP(DATOS!$I572,CONFIG_ASIGNATURAS!$B$2:$J$61,9,FALSE()),""))</f>
      </c>
    </row>
    <row r="573">
      <c r="E573">
        <f>IF(DATOS!$I573="","",IFERROR(VLOOKUP(DATOS!$I573,CONFIG_ASIGNATURAS!$B$2:$J$61,9,FALSE()),""))</f>
      </c>
    </row>
    <row r="574">
      <c r="E574">
        <f>IF(DATOS!$I574="","",IFERROR(VLOOKUP(DATOS!$I574,CONFIG_ASIGNATURAS!$B$2:$J$61,9,FALSE()),""))</f>
      </c>
    </row>
    <row r="575">
      <c r="E575">
        <f>IF(DATOS!$I575="","",IFERROR(VLOOKUP(DATOS!$I575,CONFIG_ASIGNATURAS!$B$2:$J$61,9,FALSE()),""))</f>
      </c>
    </row>
    <row r="576">
      <c r="E576">
        <f>IF(DATOS!$I576="","",IFERROR(VLOOKUP(DATOS!$I576,CONFIG_ASIGNATURAS!$B$2:$J$61,9,FALSE()),""))</f>
      </c>
    </row>
    <row r="577">
      <c r="E577">
        <f>IF(DATOS!$I577="","",IFERROR(VLOOKUP(DATOS!$I577,CONFIG_ASIGNATURAS!$B$2:$J$61,9,FALSE()),""))</f>
      </c>
    </row>
    <row r="578">
      <c r="E578">
        <f>IF(DATOS!$I578="","",IFERROR(VLOOKUP(DATOS!$I578,CONFIG_ASIGNATURAS!$B$2:$J$61,9,FALSE()),""))</f>
      </c>
    </row>
    <row r="579">
      <c r="E579">
        <f>IF(DATOS!$I579="","",IFERROR(VLOOKUP(DATOS!$I579,CONFIG_ASIGNATURAS!$B$2:$J$61,9,FALSE()),""))</f>
      </c>
    </row>
    <row r="580">
      <c r="E580">
        <f>IF(DATOS!$I580="","",IFERROR(VLOOKUP(DATOS!$I580,CONFIG_ASIGNATURAS!$B$2:$J$61,9,FALSE()),""))</f>
      </c>
    </row>
    <row r="581">
      <c r="E581">
        <f>IF(DATOS!$I581="","",IFERROR(VLOOKUP(DATOS!$I581,CONFIG_ASIGNATURAS!$B$2:$J$61,9,FALSE()),""))</f>
      </c>
    </row>
    <row r="582">
      <c r="E582">
        <f>IF(DATOS!$I582="","",IFERROR(VLOOKUP(DATOS!$I582,CONFIG_ASIGNATURAS!$B$2:$J$61,9,FALSE()),""))</f>
      </c>
    </row>
    <row r="583">
      <c r="E583">
        <f>IF(DATOS!$I583="","",IFERROR(VLOOKUP(DATOS!$I583,CONFIG_ASIGNATURAS!$B$2:$J$61,9,FALSE()),""))</f>
      </c>
    </row>
    <row r="584">
      <c r="E584">
        <f>IF(DATOS!$I584="","",IFERROR(VLOOKUP(DATOS!$I584,CONFIG_ASIGNATURAS!$B$2:$J$61,9,FALSE()),""))</f>
      </c>
    </row>
    <row r="585">
      <c r="E585">
        <f>IF(DATOS!$I585="","",IFERROR(VLOOKUP(DATOS!$I585,CONFIG_ASIGNATURAS!$B$2:$J$61,9,FALSE()),""))</f>
      </c>
    </row>
    <row r="586">
      <c r="E586">
        <f>IF(DATOS!$I586="","",IFERROR(VLOOKUP(DATOS!$I586,CONFIG_ASIGNATURAS!$B$2:$J$61,9,FALSE()),""))</f>
      </c>
    </row>
    <row r="587">
      <c r="E587">
        <f>IF(DATOS!$I587="","",IFERROR(VLOOKUP(DATOS!$I587,CONFIG_ASIGNATURAS!$B$2:$J$61,9,FALSE()),""))</f>
      </c>
    </row>
    <row r="588">
      <c r="E588">
        <f>IF(DATOS!$I588="","",IFERROR(VLOOKUP(DATOS!$I588,CONFIG_ASIGNATURAS!$B$2:$J$61,9,FALSE()),""))</f>
      </c>
    </row>
    <row r="589">
      <c r="E589">
        <f>IF(DATOS!$I589="","",IFERROR(VLOOKUP(DATOS!$I589,CONFIG_ASIGNATURAS!$B$2:$J$61,9,FALSE()),""))</f>
      </c>
    </row>
    <row r="590">
      <c r="E590">
        <f>IF(DATOS!$I590="","",IFERROR(VLOOKUP(DATOS!$I590,CONFIG_ASIGNATURAS!$B$2:$J$61,9,FALSE()),""))</f>
      </c>
    </row>
    <row r="591">
      <c r="E591">
        <f>IF(DATOS!$I591="","",IFERROR(VLOOKUP(DATOS!$I591,CONFIG_ASIGNATURAS!$B$2:$J$61,9,FALSE()),""))</f>
      </c>
    </row>
    <row r="592">
      <c r="E592">
        <f>IF(DATOS!$I592="","",IFERROR(VLOOKUP(DATOS!$I592,CONFIG_ASIGNATURAS!$B$2:$J$61,9,FALSE()),""))</f>
      </c>
    </row>
    <row r="593">
      <c r="E593">
        <f>IF(DATOS!$I593="","",IFERROR(VLOOKUP(DATOS!$I593,CONFIG_ASIGNATURAS!$B$2:$J$61,9,FALSE()),""))</f>
      </c>
    </row>
    <row r="594">
      <c r="E594">
        <f>IF(DATOS!$I594="","",IFERROR(VLOOKUP(DATOS!$I594,CONFIG_ASIGNATURAS!$B$2:$J$61,9,FALSE()),""))</f>
      </c>
    </row>
    <row r="595">
      <c r="E595">
        <f>IF(DATOS!$I595="","",IFERROR(VLOOKUP(DATOS!$I595,CONFIG_ASIGNATURAS!$B$2:$J$61,9,FALSE()),""))</f>
      </c>
    </row>
    <row r="596">
      <c r="E596">
        <f>IF(DATOS!$I596="","",IFERROR(VLOOKUP(DATOS!$I596,CONFIG_ASIGNATURAS!$B$2:$J$61,9,FALSE()),""))</f>
      </c>
    </row>
    <row r="597">
      <c r="E597">
        <f>IF(DATOS!$I597="","",IFERROR(VLOOKUP(DATOS!$I597,CONFIG_ASIGNATURAS!$B$2:$J$61,9,FALSE()),""))</f>
      </c>
    </row>
    <row r="598">
      <c r="E598">
        <f>IF(DATOS!$I598="","",IFERROR(VLOOKUP(DATOS!$I598,CONFIG_ASIGNATURAS!$B$2:$J$61,9,FALSE()),""))</f>
      </c>
    </row>
    <row r="599">
      <c r="E599">
        <f>IF(DATOS!$I599="","",IFERROR(VLOOKUP(DATOS!$I599,CONFIG_ASIGNATURAS!$B$2:$J$61,9,FALSE()),""))</f>
      </c>
    </row>
    <row r="600">
      <c r="E600">
        <f>IF(DATOS!$I600="","",IFERROR(VLOOKUP(DATOS!$I600,CONFIG_ASIGNATURAS!$B$2:$J$61,9,FALSE()),""))</f>
      </c>
    </row>
    <row r="601">
      <c r="E601">
        <f>IF(DATOS!$I601="","",IFERROR(VLOOKUP(DATOS!$I601,CONFIG_ASIGNATURAS!$B$2:$J$61,9,FALSE()),""))</f>
      </c>
    </row>
    <row r="602">
      <c r="E602">
        <f>IF(DATOS!$I602="","",IFERROR(VLOOKUP(DATOS!$I602,CONFIG_ASIGNATURAS!$B$2:$J$61,9,FALSE()),""))</f>
      </c>
    </row>
    <row r="603">
      <c r="E603">
        <f>IF(DATOS!$I603="","",IFERROR(VLOOKUP(DATOS!$I603,CONFIG_ASIGNATURAS!$B$2:$J$61,9,FALSE()),""))</f>
      </c>
    </row>
    <row r="604">
      <c r="E604">
        <f>IF(DATOS!$I604="","",IFERROR(VLOOKUP(DATOS!$I604,CONFIG_ASIGNATURAS!$B$2:$J$61,9,FALSE()),""))</f>
      </c>
    </row>
    <row r="605">
      <c r="E605">
        <f>IF(DATOS!$I605="","",IFERROR(VLOOKUP(DATOS!$I605,CONFIG_ASIGNATURAS!$B$2:$J$61,9,FALSE()),""))</f>
      </c>
    </row>
    <row r="606">
      <c r="E606">
        <f>IF(DATOS!$I606="","",IFERROR(VLOOKUP(DATOS!$I606,CONFIG_ASIGNATURAS!$B$2:$J$61,9,FALSE()),""))</f>
      </c>
    </row>
    <row r="607">
      <c r="E607">
        <f>IF(DATOS!$I607="","",IFERROR(VLOOKUP(DATOS!$I607,CONFIG_ASIGNATURAS!$B$2:$J$61,9,FALSE()),""))</f>
      </c>
    </row>
    <row r="608">
      <c r="E608">
        <f>IF(DATOS!$I608="","",IFERROR(VLOOKUP(DATOS!$I608,CONFIG_ASIGNATURAS!$B$2:$J$61,9,FALSE()),""))</f>
      </c>
    </row>
    <row r="609">
      <c r="E609">
        <f>IF(DATOS!$I609="","",IFERROR(VLOOKUP(DATOS!$I609,CONFIG_ASIGNATURAS!$B$2:$J$61,9,FALSE()),""))</f>
      </c>
    </row>
    <row r="610">
      <c r="E610">
        <f>IF(DATOS!$I610="","",IFERROR(VLOOKUP(DATOS!$I610,CONFIG_ASIGNATURAS!$B$2:$J$61,9,FALSE()),""))</f>
      </c>
    </row>
    <row r="611">
      <c r="E611">
        <f>IF(DATOS!$I611="","",IFERROR(VLOOKUP(DATOS!$I611,CONFIG_ASIGNATURAS!$B$2:$J$61,9,FALSE()),""))</f>
      </c>
    </row>
    <row r="612">
      <c r="E612">
        <f>IF(DATOS!$I612="","",IFERROR(VLOOKUP(DATOS!$I612,CONFIG_ASIGNATURAS!$B$2:$J$61,9,FALSE()),""))</f>
      </c>
    </row>
    <row r="613">
      <c r="E613">
        <f>IF(DATOS!$I613="","",IFERROR(VLOOKUP(DATOS!$I613,CONFIG_ASIGNATURAS!$B$2:$J$61,9,FALSE()),""))</f>
      </c>
    </row>
    <row r="614">
      <c r="E614">
        <f>IF(DATOS!$I614="","",IFERROR(VLOOKUP(DATOS!$I614,CONFIG_ASIGNATURAS!$B$2:$J$61,9,FALSE()),""))</f>
      </c>
    </row>
    <row r="615">
      <c r="E615">
        <f>IF(DATOS!$I615="","",IFERROR(VLOOKUP(DATOS!$I615,CONFIG_ASIGNATURAS!$B$2:$J$61,9,FALSE()),""))</f>
      </c>
    </row>
    <row r="616">
      <c r="E616">
        <f>IF(DATOS!$I616="","",IFERROR(VLOOKUP(DATOS!$I616,CONFIG_ASIGNATURAS!$B$2:$J$61,9,FALSE()),""))</f>
      </c>
    </row>
    <row r="617">
      <c r="E617">
        <f>IF(DATOS!$I617="","",IFERROR(VLOOKUP(DATOS!$I617,CONFIG_ASIGNATURAS!$B$2:$J$61,9,FALSE()),""))</f>
      </c>
    </row>
    <row r="618">
      <c r="E618">
        <f>IF(DATOS!$I618="","",IFERROR(VLOOKUP(DATOS!$I618,CONFIG_ASIGNATURAS!$B$2:$J$61,9,FALSE()),""))</f>
      </c>
    </row>
    <row r="619">
      <c r="E619">
        <f>IF(DATOS!$I619="","",IFERROR(VLOOKUP(DATOS!$I619,CONFIG_ASIGNATURAS!$B$2:$J$61,9,FALSE()),""))</f>
      </c>
    </row>
    <row r="620">
      <c r="E620">
        <f>IF(DATOS!$I620="","",IFERROR(VLOOKUP(DATOS!$I620,CONFIG_ASIGNATURAS!$B$2:$J$61,9,FALSE()),""))</f>
      </c>
    </row>
    <row r="621">
      <c r="E621">
        <f>IF(DATOS!$I621="","",IFERROR(VLOOKUP(DATOS!$I621,CONFIG_ASIGNATURAS!$B$2:$J$61,9,FALSE()),""))</f>
      </c>
    </row>
    <row r="622">
      <c r="E622">
        <f>IF(DATOS!$I622="","",IFERROR(VLOOKUP(DATOS!$I622,CONFIG_ASIGNATURAS!$B$2:$J$61,9,FALSE()),""))</f>
      </c>
    </row>
    <row r="623">
      <c r="E623">
        <f>IF(DATOS!$I623="","",IFERROR(VLOOKUP(DATOS!$I623,CONFIG_ASIGNATURAS!$B$2:$J$61,9,FALSE()),""))</f>
      </c>
    </row>
    <row r="624">
      <c r="E624">
        <f>IF(DATOS!$I624="","",IFERROR(VLOOKUP(DATOS!$I624,CONFIG_ASIGNATURAS!$B$2:$J$61,9,FALSE()),""))</f>
      </c>
    </row>
    <row r="625">
      <c r="E625">
        <f>IF(DATOS!$I625="","",IFERROR(VLOOKUP(DATOS!$I625,CONFIG_ASIGNATURAS!$B$2:$J$61,9,FALSE()),""))</f>
      </c>
    </row>
    <row r="626">
      <c r="E626">
        <f>IF(DATOS!$I626="","",IFERROR(VLOOKUP(DATOS!$I626,CONFIG_ASIGNATURAS!$B$2:$J$61,9,FALSE()),""))</f>
      </c>
    </row>
    <row r="627">
      <c r="E627">
        <f>IF(DATOS!$I627="","",IFERROR(VLOOKUP(DATOS!$I627,CONFIG_ASIGNATURAS!$B$2:$J$61,9,FALSE()),""))</f>
      </c>
    </row>
    <row r="628">
      <c r="E628">
        <f>IF(DATOS!$I628="","",IFERROR(VLOOKUP(DATOS!$I628,CONFIG_ASIGNATURAS!$B$2:$J$61,9,FALSE()),""))</f>
      </c>
    </row>
    <row r="629">
      <c r="E629">
        <f>IF(DATOS!$I629="","",IFERROR(VLOOKUP(DATOS!$I629,CONFIG_ASIGNATURAS!$B$2:$J$61,9,FALSE()),""))</f>
      </c>
    </row>
    <row r="630">
      <c r="E630">
        <f>IF(DATOS!$I630="","",IFERROR(VLOOKUP(DATOS!$I630,CONFIG_ASIGNATURAS!$B$2:$J$61,9,FALSE()),""))</f>
      </c>
    </row>
    <row r="631">
      <c r="E631">
        <f>IF(DATOS!$I631="","",IFERROR(VLOOKUP(DATOS!$I631,CONFIG_ASIGNATURAS!$B$2:$J$61,9,FALSE()),""))</f>
      </c>
    </row>
    <row r="632">
      <c r="E632">
        <f>IF(DATOS!$I632="","",IFERROR(VLOOKUP(DATOS!$I632,CONFIG_ASIGNATURAS!$B$2:$J$61,9,FALSE()),""))</f>
      </c>
    </row>
    <row r="633">
      <c r="E633">
        <f>IF(DATOS!$I633="","",IFERROR(VLOOKUP(DATOS!$I633,CONFIG_ASIGNATURAS!$B$2:$J$61,9,FALSE()),""))</f>
      </c>
    </row>
    <row r="634">
      <c r="E634">
        <f>IF(DATOS!$I634="","",IFERROR(VLOOKUP(DATOS!$I634,CONFIG_ASIGNATURAS!$B$2:$J$61,9,FALSE()),""))</f>
      </c>
    </row>
    <row r="635">
      <c r="E635">
        <f>IF(DATOS!$I635="","",IFERROR(VLOOKUP(DATOS!$I635,CONFIG_ASIGNATURAS!$B$2:$J$61,9,FALSE()),""))</f>
      </c>
    </row>
    <row r="636">
      <c r="E636">
        <f>IF(DATOS!$I636="","",IFERROR(VLOOKUP(DATOS!$I636,CONFIG_ASIGNATURAS!$B$2:$J$61,9,FALSE()),""))</f>
      </c>
    </row>
    <row r="637">
      <c r="E637">
        <f>IF(DATOS!$I637="","",IFERROR(VLOOKUP(DATOS!$I637,CONFIG_ASIGNATURAS!$B$2:$J$61,9,FALSE()),""))</f>
      </c>
    </row>
    <row r="638">
      <c r="E638">
        <f>IF(DATOS!$I638="","",IFERROR(VLOOKUP(DATOS!$I638,CONFIG_ASIGNATURAS!$B$2:$J$61,9,FALSE()),""))</f>
      </c>
    </row>
    <row r="639">
      <c r="E639">
        <f>IF(DATOS!$I639="","",IFERROR(VLOOKUP(DATOS!$I639,CONFIG_ASIGNATURAS!$B$2:$J$61,9,FALSE()),""))</f>
      </c>
    </row>
    <row r="640">
      <c r="E640">
        <f>IF(DATOS!$I640="","",IFERROR(VLOOKUP(DATOS!$I640,CONFIG_ASIGNATURAS!$B$2:$J$61,9,FALSE()),""))</f>
      </c>
    </row>
    <row r="641">
      <c r="E641">
        <f>IF(DATOS!$I641="","",IFERROR(VLOOKUP(DATOS!$I641,CONFIG_ASIGNATURAS!$B$2:$J$61,9,FALSE()),""))</f>
      </c>
    </row>
    <row r="642">
      <c r="E642">
        <f>IF(DATOS!$I642="","",IFERROR(VLOOKUP(DATOS!$I642,CONFIG_ASIGNATURAS!$B$2:$J$61,9,FALSE()),""))</f>
      </c>
    </row>
    <row r="643">
      <c r="E643">
        <f>IF(DATOS!$I643="","",IFERROR(VLOOKUP(DATOS!$I643,CONFIG_ASIGNATURAS!$B$2:$J$61,9,FALSE()),""))</f>
      </c>
    </row>
    <row r="644">
      <c r="E644">
        <f>IF(DATOS!$I644="","",IFERROR(VLOOKUP(DATOS!$I644,CONFIG_ASIGNATURAS!$B$2:$J$61,9,FALSE()),""))</f>
      </c>
    </row>
    <row r="645">
      <c r="E645">
        <f>IF(DATOS!$I645="","",IFERROR(VLOOKUP(DATOS!$I645,CONFIG_ASIGNATURAS!$B$2:$J$61,9,FALSE()),""))</f>
      </c>
    </row>
    <row r="646">
      <c r="E646">
        <f>IF(DATOS!$I646="","",IFERROR(VLOOKUP(DATOS!$I646,CONFIG_ASIGNATURAS!$B$2:$J$61,9,FALSE()),""))</f>
      </c>
    </row>
    <row r="647">
      <c r="E647">
        <f>IF(DATOS!$I647="","",IFERROR(VLOOKUP(DATOS!$I647,CONFIG_ASIGNATURAS!$B$2:$J$61,9,FALSE()),""))</f>
      </c>
    </row>
    <row r="648">
      <c r="E648">
        <f>IF(DATOS!$I648="","",IFERROR(VLOOKUP(DATOS!$I648,CONFIG_ASIGNATURAS!$B$2:$J$61,9,FALSE()),""))</f>
      </c>
    </row>
    <row r="649">
      <c r="E649">
        <f>IF(DATOS!$I649="","",IFERROR(VLOOKUP(DATOS!$I649,CONFIG_ASIGNATURAS!$B$2:$J$61,9,FALSE()),""))</f>
      </c>
    </row>
    <row r="650">
      <c r="E650">
        <f>IF(DATOS!$I650="","",IFERROR(VLOOKUP(DATOS!$I650,CONFIG_ASIGNATURAS!$B$2:$J$61,9,FALSE()),""))</f>
      </c>
    </row>
    <row r="651">
      <c r="E651">
        <f>IF(DATOS!$I651="","",IFERROR(VLOOKUP(DATOS!$I651,CONFIG_ASIGNATURAS!$B$2:$J$61,9,FALSE()),""))</f>
      </c>
    </row>
    <row r="652">
      <c r="E652">
        <f>IF(DATOS!$I652="","",IFERROR(VLOOKUP(DATOS!$I652,CONFIG_ASIGNATURAS!$B$2:$J$61,9,FALSE()),""))</f>
      </c>
    </row>
    <row r="653">
      <c r="E653">
        <f>IF(DATOS!$I653="","",IFERROR(VLOOKUP(DATOS!$I653,CONFIG_ASIGNATURAS!$B$2:$J$61,9,FALSE()),""))</f>
      </c>
    </row>
    <row r="654">
      <c r="E654">
        <f>IF(DATOS!$I654="","",IFERROR(VLOOKUP(DATOS!$I654,CONFIG_ASIGNATURAS!$B$2:$J$61,9,FALSE()),""))</f>
      </c>
    </row>
    <row r="655">
      <c r="E655">
        <f>IF(DATOS!$I655="","",IFERROR(VLOOKUP(DATOS!$I655,CONFIG_ASIGNATURAS!$B$2:$J$61,9,FALSE()),""))</f>
      </c>
    </row>
    <row r="656">
      <c r="E656">
        <f>IF(DATOS!$I656="","",IFERROR(VLOOKUP(DATOS!$I656,CONFIG_ASIGNATURAS!$B$2:$J$61,9,FALSE()),""))</f>
      </c>
    </row>
    <row r="657">
      <c r="E657">
        <f>IF(DATOS!$I657="","",IFERROR(VLOOKUP(DATOS!$I657,CONFIG_ASIGNATURAS!$B$2:$J$61,9,FALSE()),""))</f>
      </c>
    </row>
    <row r="658">
      <c r="E658">
        <f>IF(DATOS!$I658="","",IFERROR(VLOOKUP(DATOS!$I658,CONFIG_ASIGNATURAS!$B$2:$J$61,9,FALSE()),""))</f>
      </c>
    </row>
    <row r="659">
      <c r="E659">
        <f>IF(DATOS!$I659="","",IFERROR(VLOOKUP(DATOS!$I659,CONFIG_ASIGNATURAS!$B$2:$J$61,9,FALSE()),""))</f>
      </c>
    </row>
    <row r="660">
      <c r="E660">
        <f>IF(DATOS!$I660="","",IFERROR(VLOOKUP(DATOS!$I660,CONFIG_ASIGNATURAS!$B$2:$J$61,9,FALSE()),""))</f>
      </c>
    </row>
    <row r="661">
      <c r="E661">
        <f>IF(DATOS!$I661="","",IFERROR(VLOOKUP(DATOS!$I661,CONFIG_ASIGNATURAS!$B$2:$J$61,9,FALSE()),""))</f>
      </c>
    </row>
    <row r="662">
      <c r="E662">
        <f>IF(DATOS!$I662="","",IFERROR(VLOOKUP(DATOS!$I662,CONFIG_ASIGNATURAS!$B$2:$J$61,9,FALSE()),""))</f>
      </c>
    </row>
    <row r="663">
      <c r="E663">
        <f>IF(DATOS!$I663="","",IFERROR(VLOOKUP(DATOS!$I663,CONFIG_ASIGNATURAS!$B$2:$J$61,9,FALSE()),""))</f>
      </c>
    </row>
    <row r="664">
      <c r="E664">
        <f>IF(DATOS!$I664="","",IFERROR(VLOOKUP(DATOS!$I664,CONFIG_ASIGNATURAS!$B$2:$J$61,9,FALSE()),""))</f>
      </c>
    </row>
    <row r="665">
      <c r="E665">
        <f>IF(DATOS!$I665="","",IFERROR(VLOOKUP(DATOS!$I665,CONFIG_ASIGNATURAS!$B$2:$J$61,9,FALSE()),""))</f>
      </c>
    </row>
    <row r="666">
      <c r="E666">
        <f>IF(DATOS!$I666="","",IFERROR(VLOOKUP(DATOS!$I666,CONFIG_ASIGNATURAS!$B$2:$J$61,9,FALSE()),""))</f>
      </c>
    </row>
    <row r="667">
      <c r="E667">
        <f>IF(DATOS!$I667="","",IFERROR(VLOOKUP(DATOS!$I667,CONFIG_ASIGNATURAS!$B$2:$J$61,9,FALSE()),""))</f>
      </c>
    </row>
    <row r="668">
      <c r="E668">
        <f>IF(DATOS!$I668="","",IFERROR(VLOOKUP(DATOS!$I668,CONFIG_ASIGNATURAS!$B$2:$J$61,9,FALSE()),""))</f>
      </c>
    </row>
    <row r="669">
      <c r="E669">
        <f>IF(DATOS!$I669="","",IFERROR(VLOOKUP(DATOS!$I669,CONFIG_ASIGNATURAS!$B$2:$J$61,9,FALSE()),""))</f>
      </c>
    </row>
    <row r="670">
      <c r="E670">
        <f>IF(DATOS!$I670="","",IFERROR(VLOOKUP(DATOS!$I670,CONFIG_ASIGNATURAS!$B$2:$J$61,9,FALSE()),""))</f>
      </c>
    </row>
    <row r="671">
      <c r="E671">
        <f>IF(DATOS!$I671="","",IFERROR(VLOOKUP(DATOS!$I671,CONFIG_ASIGNATURAS!$B$2:$J$61,9,FALSE()),""))</f>
      </c>
    </row>
    <row r="672">
      <c r="E672">
        <f>IF(DATOS!$I672="","",IFERROR(VLOOKUP(DATOS!$I672,CONFIG_ASIGNATURAS!$B$2:$J$61,9,FALSE()),""))</f>
      </c>
    </row>
    <row r="673">
      <c r="E673">
        <f>IF(DATOS!$I673="","",IFERROR(VLOOKUP(DATOS!$I673,CONFIG_ASIGNATURAS!$B$2:$J$61,9,FALSE()),""))</f>
      </c>
    </row>
    <row r="674">
      <c r="E674">
        <f>IF(DATOS!$I674="","",IFERROR(VLOOKUP(DATOS!$I674,CONFIG_ASIGNATURAS!$B$2:$J$61,9,FALSE()),""))</f>
      </c>
    </row>
    <row r="675">
      <c r="E675">
        <f>IF(DATOS!$I675="","",IFERROR(VLOOKUP(DATOS!$I675,CONFIG_ASIGNATURAS!$B$2:$J$61,9,FALSE()),""))</f>
      </c>
    </row>
    <row r="676">
      <c r="E676">
        <f>IF(DATOS!$I676="","",IFERROR(VLOOKUP(DATOS!$I676,CONFIG_ASIGNATURAS!$B$2:$J$61,9,FALSE()),""))</f>
      </c>
    </row>
    <row r="677">
      <c r="E677">
        <f>IF(DATOS!$I677="","",IFERROR(VLOOKUP(DATOS!$I677,CONFIG_ASIGNATURAS!$B$2:$J$61,9,FALSE()),""))</f>
      </c>
    </row>
    <row r="678">
      <c r="E678">
        <f>IF(DATOS!$I678="","",IFERROR(VLOOKUP(DATOS!$I678,CONFIG_ASIGNATURAS!$B$2:$J$61,9,FALSE()),""))</f>
      </c>
    </row>
    <row r="679">
      <c r="E679">
        <f>IF(DATOS!$I679="","",IFERROR(VLOOKUP(DATOS!$I679,CONFIG_ASIGNATURAS!$B$2:$J$61,9,FALSE()),""))</f>
      </c>
    </row>
    <row r="680">
      <c r="E680">
        <f>IF(DATOS!$I680="","",IFERROR(VLOOKUP(DATOS!$I680,CONFIG_ASIGNATURAS!$B$2:$J$61,9,FALSE()),""))</f>
      </c>
    </row>
    <row r="681">
      <c r="E681">
        <f>IF(DATOS!$I681="","",IFERROR(VLOOKUP(DATOS!$I681,CONFIG_ASIGNATURAS!$B$2:$J$61,9,FALSE()),""))</f>
      </c>
    </row>
    <row r="682">
      <c r="E682">
        <f>IF(DATOS!$I682="","",IFERROR(VLOOKUP(DATOS!$I682,CONFIG_ASIGNATURAS!$B$2:$J$61,9,FALSE()),""))</f>
      </c>
    </row>
    <row r="683">
      <c r="E683">
        <f>IF(DATOS!$I683="","",IFERROR(VLOOKUP(DATOS!$I683,CONFIG_ASIGNATURAS!$B$2:$J$61,9,FALSE()),""))</f>
      </c>
    </row>
    <row r="684">
      <c r="E684">
        <f>IF(DATOS!$I684="","",IFERROR(VLOOKUP(DATOS!$I684,CONFIG_ASIGNATURAS!$B$2:$J$61,9,FALSE()),""))</f>
      </c>
    </row>
    <row r="685">
      <c r="E685">
        <f>IF(DATOS!$I685="","",IFERROR(VLOOKUP(DATOS!$I685,CONFIG_ASIGNATURAS!$B$2:$J$61,9,FALSE()),""))</f>
      </c>
    </row>
    <row r="686">
      <c r="E686">
        <f>IF(DATOS!$I686="","",IFERROR(VLOOKUP(DATOS!$I686,CONFIG_ASIGNATURAS!$B$2:$J$61,9,FALSE()),""))</f>
      </c>
    </row>
    <row r="687">
      <c r="E687">
        <f>IF(DATOS!$I687="","",IFERROR(VLOOKUP(DATOS!$I687,CONFIG_ASIGNATURAS!$B$2:$J$61,9,FALSE()),""))</f>
      </c>
    </row>
    <row r="688">
      <c r="E688">
        <f>IF(DATOS!$I688="","",IFERROR(VLOOKUP(DATOS!$I688,CONFIG_ASIGNATURAS!$B$2:$J$61,9,FALSE()),""))</f>
      </c>
    </row>
    <row r="689">
      <c r="E689">
        <f>IF(DATOS!$I689="","",IFERROR(VLOOKUP(DATOS!$I689,CONFIG_ASIGNATURAS!$B$2:$J$61,9,FALSE()),""))</f>
      </c>
    </row>
    <row r="690">
      <c r="E690">
        <f>IF(DATOS!$I690="","",IFERROR(VLOOKUP(DATOS!$I690,CONFIG_ASIGNATURAS!$B$2:$J$61,9,FALSE()),""))</f>
      </c>
    </row>
    <row r="691">
      <c r="E691">
        <f>IF(DATOS!$I691="","",IFERROR(VLOOKUP(DATOS!$I691,CONFIG_ASIGNATURAS!$B$2:$J$61,9,FALSE()),""))</f>
      </c>
    </row>
    <row r="692">
      <c r="E692">
        <f>IF(DATOS!$I692="","",IFERROR(VLOOKUP(DATOS!$I692,CONFIG_ASIGNATURAS!$B$2:$J$61,9,FALSE()),""))</f>
      </c>
    </row>
    <row r="693">
      <c r="E693">
        <f>IF(DATOS!$I693="","",IFERROR(VLOOKUP(DATOS!$I693,CONFIG_ASIGNATURAS!$B$2:$J$61,9,FALSE()),""))</f>
      </c>
    </row>
    <row r="694">
      <c r="E694">
        <f>IF(DATOS!$I694="","",IFERROR(VLOOKUP(DATOS!$I694,CONFIG_ASIGNATURAS!$B$2:$J$61,9,FALSE()),""))</f>
      </c>
    </row>
    <row r="695">
      <c r="E695">
        <f>IF(DATOS!$I695="","",IFERROR(VLOOKUP(DATOS!$I695,CONFIG_ASIGNATURAS!$B$2:$J$61,9,FALSE()),""))</f>
      </c>
    </row>
    <row r="696">
      <c r="E696">
        <f>IF(DATOS!$I696="","",IFERROR(VLOOKUP(DATOS!$I696,CONFIG_ASIGNATURAS!$B$2:$J$61,9,FALSE()),""))</f>
      </c>
    </row>
    <row r="697">
      <c r="E697">
        <f>IF(DATOS!$I697="","",IFERROR(VLOOKUP(DATOS!$I697,CONFIG_ASIGNATURAS!$B$2:$J$61,9,FALSE()),""))</f>
      </c>
    </row>
    <row r="698">
      <c r="E698">
        <f>IF(DATOS!$I698="","",IFERROR(VLOOKUP(DATOS!$I698,CONFIG_ASIGNATURAS!$B$2:$J$61,9,FALSE()),""))</f>
      </c>
    </row>
    <row r="699">
      <c r="E699">
        <f>IF(DATOS!$I699="","",IFERROR(VLOOKUP(DATOS!$I699,CONFIG_ASIGNATURAS!$B$2:$J$61,9,FALSE()),""))</f>
      </c>
    </row>
    <row r="700">
      <c r="E700">
        <f>IF(DATOS!$I700="","",IFERROR(VLOOKUP(DATOS!$I700,CONFIG_ASIGNATURAS!$B$2:$J$61,9,FALSE()),""))</f>
      </c>
    </row>
    <row r="701">
      <c r="E701">
        <f>IF(DATOS!$I701="","",IFERROR(VLOOKUP(DATOS!$I701,CONFIG_ASIGNATURAS!$B$2:$J$61,9,FALSE()),""))</f>
      </c>
    </row>
    <row r="702">
      <c r="E702">
        <f>IF(DATOS!$I702="","",IFERROR(VLOOKUP(DATOS!$I702,CONFIG_ASIGNATURAS!$B$2:$J$61,9,FALSE()),""))</f>
      </c>
    </row>
    <row r="703">
      <c r="E703">
        <f>IF(DATOS!$I703="","",IFERROR(VLOOKUP(DATOS!$I703,CONFIG_ASIGNATURAS!$B$2:$J$61,9,FALSE()),""))</f>
      </c>
    </row>
    <row r="704">
      <c r="E704">
        <f>IF(DATOS!$I704="","",IFERROR(VLOOKUP(DATOS!$I704,CONFIG_ASIGNATURAS!$B$2:$J$61,9,FALSE()),""))</f>
      </c>
    </row>
    <row r="705">
      <c r="E705">
        <f>IF(DATOS!$I705="","",IFERROR(VLOOKUP(DATOS!$I705,CONFIG_ASIGNATURAS!$B$2:$J$61,9,FALSE()),""))</f>
      </c>
    </row>
    <row r="706">
      <c r="E706">
        <f>IF(DATOS!$I706="","",IFERROR(VLOOKUP(DATOS!$I706,CONFIG_ASIGNATURAS!$B$2:$J$61,9,FALSE()),""))</f>
      </c>
    </row>
    <row r="707">
      <c r="E707">
        <f>IF(DATOS!$I707="","",IFERROR(VLOOKUP(DATOS!$I707,CONFIG_ASIGNATURAS!$B$2:$J$61,9,FALSE()),""))</f>
      </c>
    </row>
    <row r="708">
      <c r="E708">
        <f>IF(DATOS!$I708="","",IFERROR(VLOOKUP(DATOS!$I708,CONFIG_ASIGNATURAS!$B$2:$J$61,9,FALSE()),""))</f>
      </c>
    </row>
    <row r="709">
      <c r="E709">
        <f>IF(DATOS!$I709="","",IFERROR(VLOOKUP(DATOS!$I709,CONFIG_ASIGNATURAS!$B$2:$J$61,9,FALSE()),""))</f>
      </c>
    </row>
    <row r="710">
      <c r="E710">
        <f>IF(DATOS!$I710="","",IFERROR(VLOOKUP(DATOS!$I710,CONFIG_ASIGNATURAS!$B$2:$J$61,9,FALSE()),""))</f>
      </c>
    </row>
    <row r="711">
      <c r="E711">
        <f>IF(DATOS!$I711="","",IFERROR(VLOOKUP(DATOS!$I711,CONFIG_ASIGNATURAS!$B$2:$J$61,9,FALSE()),""))</f>
      </c>
    </row>
    <row r="712">
      <c r="E712">
        <f>IF(DATOS!$I712="","",IFERROR(VLOOKUP(DATOS!$I712,CONFIG_ASIGNATURAS!$B$2:$J$61,9,FALSE()),""))</f>
      </c>
    </row>
    <row r="713">
      <c r="E713">
        <f>IF(DATOS!$I713="","",IFERROR(VLOOKUP(DATOS!$I713,CONFIG_ASIGNATURAS!$B$2:$J$61,9,FALSE()),""))</f>
      </c>
    </row>
    <row r="714">
      <c r="E714">
        <f>IF(DATOS!$I714="","",IFERROR(VLOOKUP(DATOS!$I714,CONFIG_ASIGNATURAS!$B$2:$J$61,9,FALSE()),""))</f>
      </c>
    </row>
    <row r="715">
      <c r="E715">
        <f>IF(DATOS!$I715="","",IFERROR(VLOOKUP(DATOS!$I715,CONFIG_ASIGNATURAS!$B$2:$J$61,9,FALSE()),""))</f>
      </c>
    </row>
    <row r="716">
      <c r="E716">
        <f>IF(DATOS!$I716="","",IFERROR(VLOOKUP(DATOS!$I716,CONFIG_ASIGNATURAS!$B$2:$J$61,9,FALSE()),""))</f>
      </c>
    </row>
    <row r="717">
      <c r="E717">
        <f>IF(DATOS!$I717="","",IFERROR(VLOOKUP(DATOS!$I717,CONFIG_ASIGNATURAS!$B$2:$J$61,9,FALSE()),""))</f>
      </c>
    </row>
    <row r="718">
      <c r="E718">
        <f>IF(DATOS!$I718="","",IFERROR(VLOOKUP(DATOS!$I718,CONFIG_ASIGNATURAS!$B$2:$J$61,9,FALSE()),""))</f>
      </c>
    </row>
    <row r="719">
      <c r="E719">
        <f>IF(DATOS!$I719="","",IFERROR(VLOOKUP(DATOS!$I719,CONFIG_ASIGNATURAS!$B$2:$J$61,9,FALSE()),""))</f>
      </c>
    </row>
    <row r="720">
      <c r="E720">
        <f>IF(DATOS!$I720="","",IFERROR(VLOOKUP(DATOS!$I720,CONFIG_ASIGNATURAS!$B$2:$J$61,9,FALSE()),""))</f>
      </c>
    </row>
    <row r="721">
      <c r="E721">
        <f>IF(DATOS!$I721="","",IFERROR(VLOOKUP(DATOS!$I721,CONFIG_ASIGNATURAS!$B$2:$J$61,9,FALSE()),""))</f>
      </c>
    </row>
    <row r="722">
      <c r="E722">
        <f>IF(DATOS!$I722="","",IFERROR(VLOOKUP(DATOS!$I722,CONFIG_ASIGNATURAS!$B$2:$J$61,9,FALSE()),""))</f>
      </c>
    </row>
    <row r="723">
      <c r="E723">
        <f>IF(DATOS!$I723="","",IFERROR(VLOOKUP(DATOS!$I723,CONFIG_ASIGNATURAS!$B$2:$J$61,9,FALSE()),""))</f>
      </c>
    </row>
    <row r="724">
      <c r="E724">
        <f>IF(DATOS!$I724="","",IFERROR(VLOOKUP(DATOS!$I724,CONFIG_ASIGNATURAS!$B$2:$J$61,9,FALSE()),""))</f>
      </c>
    </row>
    <row r="725">
      <c r="E725">
        <f>IF(DATOS!$I725="","",IFERROR(VLOOKUP(DATOS!$I725,CONFIG_ASIGNATURAS!$B$2:$J$61,9,FALSE()),""))</f>
      </c>
    </row>
    <row r="726">
      <c r="E726">
        <f>IF(DATOS!$I726="","",IFERROR(VLOOKUP(DATOS!$I726,CONFIG_ASIGNATURAS!$B$2:$J$61,9,FALSE()),""))</f>
      </c>
    </row>
    <row r="727">
      <c r="E727">
        <f>IF(DATOS!$I727="","",IFERROR(VLOOKUP(DATOS!$I727,CONFIG_ASIGNATURAS!$B$2:$J$61,9,FALSE()),""))</f>
      </c>
    </row>
    <row r="728">
      <c r="E728">
        <f>IF(DATOS!$I728="","",IFERROR(VLOOKUP(DATOS!$I728,CONFIG_ASIGNATURAS!$B$2:$J$61,9,FALSE()),""))</f>
      </c>
    </row>
    <row r="729">
      <c r="E729">
        <f>IF(DATOS!$I729="","",IFERROR(VLOOKUP(DATOS!$I729,CONFIG_ASIGNATURAS!$B$2:$J$61,9,FALSE()),""))</f>
      </c>
    </row>
    <row r="730">
      <c r="E730">
        <f>IF(DATOS!$I730="","",IFERROR(VLOOKUP(DATOS!$I730,CONFIG_ASIGNATURAS!$B$2:$J$61,9,FALSE()),""))</f>
      </c>
    </row>
    <row r="731">
      <c r="E731">
        <f>IF(DATOS!$I731="","",IFERROR(VLOOKUP(DATOS!$I731,CONFIG_ASIGNATURAS!$B$2:$J$61,9,FALSE()),""))</f>
      </c>
    </row>
    <row r="732">
      <c r="E732">
        <f>IF(DATOS!$I732="","",IFERROR(VLOOKUP(DATOS!$I732,CONFIG_ASIGNATURAS!$B$2:$J$61,9,FALSE()),""))</f>
      </c>
    </row>
    <row r="733">
      <c r="E733">
        <f>IF(DATOS!$I733="","",IFERROR(VLOOKUP(DATOS!$I733,CONFIG_ASIGNATURAS!$B$2:$J$61,9,FALSE()),""))</f>
      </c>
    </row>
    <row r="734">
      <c r="E734">
        <f>IF(DATOS!$I734="","",IFERROR(VLOOKUP(DATOS!$I734,CONFIG_ASIGNATURAS!$B$2:$J$61,9,FALSE()),""))</f>
      </c>
    </row>
    <row r="735">
      <c r="E735">
        <f>IF(DATOS!$I735="","",IFERROR(VLOOKUP(DATOS!$I735,CONFIG_ASIGNATURAS!$B$2:$J$61,9,FALSE()),""))</f>
      </c>
    </row>
    <row r="736">
      <c r="E736">
        <f>IF(DATOS!$I736="","",IFERROR(VLOOKUP(DATOS!$I736,CONFIG_ASIGNATURAS!$B$2:$J$61,9,FALSE()),""))</f>
      </c>
    </row>
    <row r="737">
      <c r="E737">
        <f>IF(DATOS!$I737="","",IFERROR(VLOOKUP(DATOS!$I737,CONFIG_ASIGNATURAS!$B$2:$J$61,9,FALSE()),""))</f>
      </c>
    </row>
    <row r="738">
      <c r="E738">
        <f>IF(DATOS!$I738="","",IFERROR(VLOOKUP(DATOS!$I738,CONFIG_ASIGNATURAS!$B$2:$J$61,9,FALSE()),""))</f>
      </c>
    </row>
    <row r="739">
      <c r="E739">
        <f>IF(DATOS!$I739="","",IFERROR(VLOOKUP(DATOS!$I739,CONFIG_ASIGNATURAS!$B$2:$J$61,9,FALSE()),""))</f>
      </c>
    </row>
    <row r="740">
      <c r="E740">
        <f>IF(DATOS!$I740="","",IFERROR(VLOOKUP(DATOS!$I740,CONFIG_ASIGNATURAS!$B$2:$J$61,9,FALSE()),""))</f>
      </c>
    </row>
    <row r="741">
      <c r="E741">
        <f>IF(DATOS!$I741="","",IFERROR(VLOOKUP(DATOS!$I741,CONFIG_ASIGNATURAS!$B$2:$J$61,9,FALSE()),""))</f>
      </c>
    </row>
    <row r="742">
      <c r="E742">
        <f>IF(DATOS!$I742="","",IFERROR(VLOOKUP(DATOS!$I742,CONFIG_ASIGNATURAS!$B$2:$J$61,9,FALSE()),""))</f>
      </c>
    </row>
    <row r="743">
      <c r="E743">
        <f>IF(DATOS!$I743="","",IFERROR(VLOOKUP(DATOS!$I743,CONFIG_ASIGNATURAS!$B$2:$J$61,9,FALSE()),""))</f>
      </c>
    </row>
    <row r="744">
      <c r="E744">
        <f>IF(DATOS!$I744="","",IFERROR(VLOOKUP(DATOS!$I744,CONFIG_ASIGNATURAS!$B$2:$J$61,9,FALSE()),""))</f>
      </c>
    </row>
    <row r="745">
      <c r="E745">
        <f>IF(DATOS!$I745="","",IFERROR(VLOOKUP(DATOS!$I745,CONFIG_ASIGNATURAS!$B$2:$J$61,9,FALSE()),""))</f>
      </c>
    </row>
    <row r="746">
      <c r="E746">
        <f>IF(DATOS!$I746="","",IFERROR(VLOOKUP(DATOS!$I746,CONFIG_ASIGNATURAS!$B$2:$J$61,9,FALSE()),""))</f>
      </c>
    </row>
    <row r="747">
      <c r="E747">
        <f>IF(DATOS!$I747="","",IFERROR(VLOOKUP(DATOS!$I747,CONFIG_ASIGNATURAS!$B$2:$J$61,9,FALSE()),""))</f>
      </c>
    </row>
    <row r="748">
      <c r="E748">
        <f>IF(DATOS!$I748="","",IFERROR(VLOOKUP(DATOS!$I748,CONFIG_ASIGNATURAS!$B$2:$J$61,9,FALSE()),""))</f>
      </c>
    </row>
    <row r="749">
      <c r="E749">
        <f>IF(DATOS!$I749="","",IFERROR(VLOOKUP(DATOS!$I749,CONFIG_ASIGNATURAS!$B$2:$J$61,9,FALSE()),""))</f>
      </c>
    </row>
    <row r="750">
      <c r="E750">
        <f>IF(DATOS!$I750="","",IFERROR(VLOOKUP(DATOS!$I750,CONFIG_ASIGNATURAS!$B$2:$J$61,9,FALSE()),""))</f>
      </c>
    </row>
    <row r="751">
      <c r="E751">
        <f>IF(DATOS!$I751="","",IFERROR(VLOOKUP(DATOS!$I751,CONFIG_ASIGNATURAS!$B$2:$J$61,9,FALSE()),""))</f>
      </c>
    </row>
    <row r="752">
      <c r="E752">
        <f>IF(DATOS!$I752="","",IFERROR(VLOOKUP(DATOS!$I752,CONFIG_ASIGNATURAS!$B$2:$J$61,9,FALSE()),""))</f>
      </c>
    </row>
    <row r="753">
      <c r="E753">
        <f>IF(DATOS!$I753="","",IFERROR(VLOOKUP(DATOS!$I753,CONFIG_ASIGNATURAS!$B$2:$J$61,9,FALSE()),""))</f>
      </c>
    </row>
    <row r="754">
      <c r="E754">
        <f>IF(DATOS!$I754="","",IFERROR(VLOOKUP(DATOS!$I754,CONFIG_ASIGNATURAS!$B$2:$J$61,9,FALSE()),""))</f>
      </c>
    </row>
    <row r="755">
      <c r="E755">
        <f>IF(DATOS!$I755="","",IFERROR(VLOOKUP(DATOS!$I755,CONFIG_ASIGNATURAS!$B$2:$J$61,9,FALSE()),""))</f>
      </c>
    </row>
    <row r="756">
      <c r="E756">
        <f>IF(DATOS!$I756="","",IFERROR(VLOOKUP(DATOS!$I756,CONFIG_ASIGNATURAS!$B$2:$J$61,9,FALSE()),""))</f>
      </c>
    </row>
    <row r="757">
      <c r="E757">
        <f>IF(DATOS!$I757="","",IFERROR(VLOOKUP(DATOS!$I757,CONFIG_ASIGNATURAS!$B$2:$J$61,9,FALSE()),""))</f>
      </c>
    </row>
    <row r="758">
      <c r="E758">
        <f>IF(DATOS!$I758="","",IFERROR(VLOOKUP(DATOS!$I758,CONFIG_ASIGNATURAS!$B$2:$J$61,9,FALSE()),""))</f>
      </c>
    </row>
    <row r="759">
      <c r="E759">
        <f>IF(DATOS!$I759="","",IFERROR(VLOOKUP(DATOS!$I759,CONFIG_ASIGNATURAS!$B$2:$J$61,9,FALSE()),""))</f>
      </c>
    </row>
    <row r="760">
      <c r="E760">
        <f>IF(DATOS!$I760="","",IFERROR(VLOOKUP(DATOS!$I760,CONFIG_ASIGNATURAS!$B$2:$J$61,9,FALSE()),""))</f>
      </c>
    </row>
    <row r="761">
      <c r="E761">
        <f>IF(DATOS!$I761="","",IFERROR(VLOOKUP(DATOS!$I761,CONFIG_ASIGNATURAS!$B$2:$J$61,9,FALSE()),""))</f>
      </c>
    </row>
    <row r="762">
      <c r="E762">
        <f>IF(DATOS!$I762="","",IFERROR(VLOOKUP(DATOS!$I762,CONFIG_ASIGNATURAS!$B$2:$J$61,9,FALSE()),""))</f>
      </c>
    </row>
    <row r="763">
      <c r="E763">
        <f>IF(DATOS!$I763="","",IFERROR(VLOOKUP(DATOS!$I763,CONFIG_ASIGNATURAS!$B$2:$J$61,9,FALSE()),""))</f>
      </c>
    </row>
    <row r="764">
      <c r="E764">
        <f>IF(DATOS!$I764="","",IFERROR(VLOOKUP(DATOS!$I764,CONFIG_ASIGNATURAS!$B$2:$J$61,9,FALSE()),""))</f>
      </c>
    </row>
    <row r="765">
      <c r="E765">
        <f>IF(DATOS!$I765="","",IFERROR(VLOOKUP(DATOS!$I765,CONFIG_ASIGNATURAS!$B$2:$J$61,9,FALSE()),""))</f>
      </c>
    </row>
    <row r="766">
      <c r="E766">
        <f>IF(DATOS!$I766="","",IFERROR(VLOOKUP(DATOS!$I766,CONFIG_ASIGNATURAS!$B$2:$J$61,9,FALSE()),""))</f>
      </c>
    </row>
    <row r="767">
      <c r="E767">
        <f>IF(DATOS!$I767="","",IFERROR(VLOOKUP(DATOS!$I767,CONFIG_ASIGNATURAS!$B$2:$J$61,9,FALSE()),""))</f>
      </c>
    </row>
    <row r="768">
      <c r="E768">
        <f>IF(DATOS!$I768="","",IFERROR(VLOOKUP(DATOS!$I768,CONFIG_ASIGNATURAS!$B$2:$J$61,9,FALSE()),""))</f>
      </c>
    </row>
    <row r="769">
      <c r="E769">
        <f>IF(DATOS!$I769="","",IFERROR(VLOOKUP(DATOS!$I769,CONFIG_ASIGNATURAS!$B$2:$J$61,9,FALSE()),""))</f>
      </c>
    </row>
    <row r="770">
      <c r="E770">
        <f>IF(DATOS!$I770="","",IFERROR(VLOOKUP(DATOS!$I770,CONFIG_ASIGNATURAS!$B$2:$J$61,9,FALSE()),""))</f>
      </c>
    </row>
    <row r="771">
      <c r="E771">
        <f>IF(DATOS!$I771="","",IFERROR(VLOOKUP(DATOS!$I771,CONFIG_ASIGNATURAS!$B$2:$J$61,9,FALSE()),""))</f>
      </c>
    </row>
    <row r="772">
      <c r="E772">
        <f>IF(DATOS!$I772="","",IFERROR(VLOOKUP(DATOS!$I772,CONFIG_ASIGNATURAS!$B$2:$J$61,9,FALSE()),""))</f>
      </c>
    </row>
    <row r="773">
      <c r="E773">
        <f>IF(DATOS!$I773="","",IFERROR(VLOOKUP(DATOS!$I773,CONFIG_ASIGNATURAS!$B$2:$J$61,9,FALSE()),""))</f>
      </c>
    </row>
    <row r="774">
      <c r="E774">
        <f>IF(DATOS!$I774="","",IFERROR(VLOOKUP(DATOS!$I774,CONFIG_ASIGNATURAS!$B$2:$J$61,9,FALSE()),""))</f>
      </c>
    </row>
    <row r="775">
      <c r="E775">
        <f>IF(DATOS!$I775="","",IFERROR(VLOOKUP(DATOS!$I775,CONFIG_ASIGNATURAS!$B$2:$J$61,9,FALSE()),""))</f>
      </c>
    </row>
    <row r="776">
      <c r="E776">
        <f>IF(DATOS!$I776="","",IFERROR(VLOOKUP(DATOS!$I776,CONFIG_ASIGNATURAS!$B$2:$J$61,9,FALSE()),""))</f>
      </c>
    </row>
    <row r="777">
      <c r="E777">
        <f>IF(DATOS!$I777="","",IFERROR(VLOOKUP(DATOS!$I777,CONFIG_ASIGNATURAS!$B$2:$J$61,9,FALSE()),""))</f>
      </c>
    </row>
    <row r="778">
      <c r="E778">
        <f>IF(DATOS!$I778="","",IFERROR(VLOOKUP(DATOS!$I778,CONFIG_ASIGNATURAS!$B$2:$J$61,9,FALSE()),""))</f>
      </c>
    </row>
    <row r="779">
      <c r="E779">
        <f>IF(DATOS!$I779="","",IFERROR(VLOOKUP(DATOS!$I779,CONFIG_ASIGNATURAS!$B$2:$J$61,9,FALSE()),""))</f>
      </c>
    </row>
    <row r="780">
      <c r="E780">
        <f>IF(DATOS!$I780="","",IFERROR(VLOOKUP(DATOS!$I780,CONFIG_ASIGNATURAS!$B$2:$J$61,9,FALSE()),""))</f>
      </c>
    </row>
    <row r="781">
      <c r="E781">
        <f>IF(DATOS!$I781="","",IFERROR(VLOOKUP(DATOS!$I781,CONFIG_ASIGNATURAS!$B$2:$J$61,9,FALSE()),""))</f>
      </c>
    </row>
    <row r="782">
      <c r="E782">
        <f>IF(DATOS!$I782="","",IFERROR(VLOOKUP(DATOS!$I782,CONFIG_ASIGNATURAS!$B$2:$J$61,9,FALSE()),""))</f>
      </c>
    </row>
    <row r="783">
      <c r="E783">
        <f>IF(DATOS!$I783="","",IFERROR(VLOOKUP(DATOS!$I783,CONFIG_ASIGNATURAS!$B$2:$J$61,9,FALSE()),""))</f>
      </c>
    </row>
    <row r="784">
      <c r="E784">
        <f>IF(DATOS!$I784="","",IFERROR(VLOOKUP(DATOS!$I784,CONFIG_ASIGNATURAS!$B$2:$J$61,9,FALSE()),""))</f>
      </c>
    </row>
    <row r="785">
      <c r="E785">
        <f>IF(DATOS!$I785="","",IFERROR(VLOOKUP(DATOS!$I785,CONFIG_ASIGNATURAS!$B$2:$J$61,9,FALSE()),""))</f>
      </c>
    </row>
    <row r="786">
      <c r="E786">
        <f>IF(DATOS!$I786="","",IFERROR(VLOOKUP(DATOS!$I786,CONFIG_ASIGNATURAS!$B$2:$J$61,9,FALSE()),""))</f>
      </c>
    </row>
    <row r="787">
      <c r="E787">
        <f>IF(DATOS!$I787="","",IFERROR(VLOOKUP(DATOS!$I787,CONFIG_ASIGNATURAS!$B$2:$J$61,9,FALSE()),""))</f>
      </c>
    </row>
    <row r="788">
      <c r="E788">
        <f>IF(DATOS!$I788="","",IFERROR(VLOOKUP(DATOS!$I788,CONFIG_ASIGNATURAS!$B$2:$J$61,9,FALSE()),""))</f>
      </c>
    </row>
    <row r="789">
      <c r="E789">
        <f>IF(DATOS!$I789="","",IFERROR(VLOOKUP(DATOS!$I789,CONFIG_ASIGNATURAS!$B$2:$J$61,9,FALSE()),""))</f>
      </c>
    </row>
    <row r="790">
      <c r="E790">
        <f>IF(DATOS!$I790="","",IFERROR(VLOOKUP(DATOS!$I790,CONFIG_ASIGNATURAS!$B$2:$J$61,9,FALSE()),""))</f>
      </c>
    </row>
    <row r="791">
      <c r="E791">
        <f>IF(DATOS!$I791="","",IFERROR(VLOOKUP(DATOS!$I791,CONFIG_ASIGNATURAS!$B$2:$J$61,9,FALSE()),""))</f>
      </c>
    </row>
    <row r="792">
      <c r="E792">
        <f>IF(DATOS!$I792="","",IFERROR(VLOOKUP(DATOS!$I792,CONFIG_ASIGNATURAS!$B$2:$J$61,9,FALSE()),""))</f>
      </c>
    </row>
    <row r="793">
      <c r="E793">
        <f>IF(DATOS!$I793="","",IFERROR(VLOOKUP(DATOS!$I793,CONFIG_ASIGNATURAS!$B$2:$J$61,9,FALSE()),""))</f>
      </c>
    </row>
    <row r="794">
      <c r="E794">
        <f>IF(DATOS!$I794="","",IFERROR(VLOOKUP(DATOS!$I794,CONFIG_ASIGNATURAS!$B$2:$J$61,9,FALSE()),""))</f>
      </c>
    </row>
    <row r="795">
      <c r="E795">
        <f>IF(DATOS!$I795="","",IFERROR(VLOOKUP(DATOS!$I795,CONFIG_ASIGNATURAS!$B$2:$J$61,9,FALSE()),""))</f>
      </c>
    </row>
    <row r="796">
      <c r="E796">
        <f>IF(DATOS!$I796="","",IFERROR(VLOOKUP(DATOS!$I796,CONFIG_ASIGNATURAS!$B$2:$J$61,9,FALSE()),""))</f>
      </c>
    </row>
    <row r="797">
      <c r="E797">
        <f>IF(DATOS!$I797="","",IFERROR(VLOOKUP(DATOS!$I797,CONFIG_ASIGNATURAS!$B$2:$J$61,9,FALSE()),""))</f>
      </c>
    </row>
    <row r="798">
      <c r="E798">
        <f>IF(DATOS!$I798="","",IFERROR(VLOOKUP(DATOS!$I798,CONFIG_ASIGNATURAS!$B$2:$J$61,9,FALSE()),""))</f>
      </c>
    </row>
    <row r="799">
      <c r="E799">
        <f>IF(DATOS!$I799="","",IFERROR(VLOOKUP(DATOS!$I799,CONFIG_ASIGNATURAS!$B$2:$J$61,9,FALSE()),""))</f>
      </c>
    </row>
    <row r="800">
      <c r="E800">
        <f>IF(DATOS!$I800="","",IFERROR(VLOOKUP(DATOS!$I800,CONFIG_ASIGNATURAS!$B$2:$J$61,9,FALSE()),""))</f>
      </c>
    </row>
    <row r="801">
      <c r="E801">
        <f>IF(DATOS!$I801="","",IFERROR(VLOOKUP(DATOS!$I801,CONFIG_ASIGNATURAS!$B$2:$J$61,9,FALSE()),""))</f>
      </c>
    </row>
    <row r="802">
      <c r="E802">
        <f>IF(DATOS!$I802="","",IFERROR(VLOOKUP(DATOS!$I802,CONFIG_ASIGNATURAS!$B$2:$J$61,9,FALSE()),""))</f>
      </c>
    </row>
    <row r="803">
      <c r="E803">
        <f>IF(DATOS!$I803="","",IFERROR(VLOOKUP(DATOS!$I803,CONFIG_ASIGNATURAS!$B$2:$J$61,9,FALSE()),""))</f>
      </c>
    </row>
    <row r="804">
      <c r="E804">
        <f>IF(DATOS!$I804="","",IFERROR(VLOOKUP(DATOS!$I804,CONFIG_ASIGNATURAS!$B$2:$J$61,9,FALSE()),""))</f>
      </c>
    </row>
    <row r="805">
      <c r="E805">
        <f>IF(DATOS!$I805="","",IFERROR(VLOOKUP(DATOS!$I805,CONFIG_ASIGNATURAS!$B$2:$J$61,9,FALSE()),""))</f>
      </c>
    </row>
    <row r="806">
      <c r="E806">
        <f>IF(DATOS!$I806="","",IFERROR(VLOOKUP(DATOS!$I806,CONFIG_ASIGNATURAS!$B$2:$J$61,9,FALSE()),""))</f>
      </c>
    </row>
    <row r="807">
      <c r="E807">
        <f>IF(DATOS!$I807="","",IFERROR(VLOOKUP(DATOS!$I807,CONFIG_ASIGNATURAS!$B$2:$J$61,9,FALSE()),""))</f>
      </c>
    </row>
    <row r="808">
      <c r="E808">
        <f>IF(DATOS!$I808="","",IFERROR(VLOOKUP(DATOS!$I808,CONFIG_ASIGNATURAS!$B$2:$J$61,9,FALSE()),""))</f>
      </c>
    </row>
    <row r="809">
      <c r="E809">
        <f>IF(DATOS!$I809="","",IFERROR(VLOOKUP(DATOS!$I809,CONFIG_ASIGNATURAS!$B$2:$J$61,9,FALSE()),""))</f>
      </c>
    </row>
    <row r="810">
      <c r="E810">
        <f>IF(DATOS!$I810="","",IFERROR(VLOOKUP(DATOS!$I810,CONFIG_ASIGNATURAS!$B$2:$J$61,9,FALSE()),""))</f>
      </c>
    </row>
    <row r="811">
      <c r="E811">
        <f>IF(DATOS!$I811="","",IFERROR(VLOOKUP(DATOS!$I811,CONFIG_ASIGNATURAS!$B$2:$J$61,9,FALSE()),""))</f>
      </c>
    </row>
    <row r="812">
      <c r="E812">
        <f>IF(DATOS!$I812="","",IFERROR(VLOOKUP(DATOS!$I812,CONFIG_ASIGNATURAS!$B$2:$J$61,9,FALSE()),""))</f>
      </c>
    </row>
    <row r="813">
      <c r="E813">
        <f>IF(DATOS!$I813="","",IFERROR(VLOOKUP(DATOS!$I813,CONFIG_ASIGNATURAS!$B$2:$J$61,9,FALSE()),""))</f>
      </c>
    </row>
    <row r="814">
      <c r="E814">
        <f>IF(DATOS!$I814="","",IFERROR(VLOOKUP(DATOS!$I814,CONFIG_ASIGNATURAS!$B$2:$J$61,9,FALSE()),""))</f>
      </c>
    </row>
    <row r="815">
      <c r="E815">
        <f>IF(DATOS!$I815="","",IFERROR(VLOOKUP(DATOS!$I815,CONFIG_ASIGNATURAS!$B$2:$J$61,9,FALSE()),""))</f>
      </c>
    </row>
    <row r="816">
      <c r="E816">
        <f>IF(DATOS!$I816="","",IFERROR(VLOOKUP(DATOS!$I816,CONFIG_ASIGNATURAS!$B$2:$J$61,9,FALSE()),""))</f>
      </c>
    </row>
    <row r="817">
      <c r="E817">
        <f>IF(DATOS!$I817="","",IFERROR(VLOOKUP(DATOS!$I817,CONFIG_ASIGNATURAS!$B$2:$J$61,9,FALSE()),""))</f>
      </c>
    </row>
    <row r="818">
      <c r="E818">
        <f>IF(DATOS!$I818="","",IFERROR(VLOOKUP(DATOS!$I818,CONFIG_ASIGNATURAS!$B$2:$J$61,9,FALSE()),""))</f>
      </c>
    </row>
    <row r="819">
      <c r="E819">
        <f>IF(DATOS!$I819="","",IFERROR(VLOOKUP(DATOS!$I819,CONFIG_ASIGNATURAS!$B$2:$J$61,9,FALSE()),""))</f>
      </c>
    </row>
    <row r="820">
      <c r="E820">
        <f>IF(DATOS!$I820="","",IFERROR(VLOOKUP(DATOS!$I820,CONFIG_ASIGNATURAS!$B$2:$J$61,9,FALSE()),""))</f>
      </c>
    </row>
    <row r="821">
      <c r="E821">
        <f>IF(DATOS!$I821="","",IFERROR(VLOOKUP(DATOS!$I821,CONFIG_ASIGNATURAS!$B$2:$J$61,9,FALSE()),""))</f>
      </c>
    </row>
    <row r="822">
      <c r="E822">
        <f>IF(DATOS!$I822="","",IFERROR(VLOOKUP(DATOS!$I822,CONFIG_ASIGNATURAS!$B$2:$J$61,9,FALSE()),""))</f>
      </c>
    </row>
    <row r="823">
      <c r="E823">
        <f>IF(DATOS!$I823="","",IFERROR(VLOOKUP(DATOS!$I823,CONFIG_ASIGNATURAS!$B$2:$J$61,9,FALSE()),""))</f>
      </c>
    </row>
    <row r="824">
      <c r="E824">
        <f>IF(DATOS!$I824="","",IFERROR(VLOOKUP(DATOS!$I824,CONFIG_ASIGNATURAS!$B$2:$J$61,9,FALSE()),""))</f>
      </c>
    </row>
    <row r="825">
      <c r="E825">
        <f>IF(DATOS!$I825="","",IFERROR(VLOOKUP(DATOS!$I825,CONFIG_ASIGNATURAS!$B$2:$J$61,9,FALSE()),""))</f>
      </c>
    </row>
    <row r="826">
      <c r="E826">
        <f>IF(DATOS!$I826="","",IFERROR(VLOOKUP(DATOS!$I826,CONFIG_ASIGNATURAS!$B$2:$J$61,9,FALSE()),""))</f>
      </c>
    </row>
    <row r="827">
      <c r="E827">
        <f>IF(DATOS!$I827="","",IFERROR(VLOOKUP(DATOS!$I827,CONFIG_ASIGNATURAS!$B$2:$J$61,9,FALSE()),""))</f>
      </c>
    </row>
    <row r="828">
      <c r="E828">
        <f>IF(DATOS!$I828="","",IFERROR(VLOOKUP(DATOS!$I828,CONFIG_ASIGNATURAS!$B$2:$J$61,9,FALSE()),""))</f>
      </c>
    </row>
    <row r="829">
      <c r="E829">
        <f>IF(DATOS!$I829="","",IFERROR(VLOOKUP(DATOS!$I829,CONFIG_ASIGNATURAS!$B$2:$J$61,9,FALSE()),""))</f>
      </c>
    </row>
    <row r="830">
      <c r="E830">
        <f>IF(DATOS!$I830="","",IFERROR(VLOOKUP(DATOS!$I830,CONFIG_ASIGNATURAS!$B$2:$J$61,9,FALSE()),""))</f>
      </c>
    </row>
    <row r="831">
      <c r="E831">
        <f>IF(DATOS!$I831="","",IFERROR(VLOOKUP(DATOS!$I831,CONFIG_ASIGNATURAS!$B$2:$J$61,9,FALSE()),""))</f>
      </c>
    </row>
    <row r="832">
      <c r="E832">
        <f>IF(DATOS!$I832="","",IFERROR(VLOOKUP(DATOS!$I832,CONFIG_ASIGNATURAS!$B$2:$J$61,9,FALSE()),""))</f>
      </c>
    </row>
    <row r="833">
      <c r="E833">
        <f>IF(DATOS!$I833="","",IFERROR(VLOOKUP(DATOS!$I833,CONFIG_ASIGNATURAS!$B$2:$J$61,9,FALSE()),""))</f>
      </c>
    </row>
    <row r="834">
      <c r="E834">
        <f>IF(DATOS!$I834="","",IFERROR(VLOOKUP(DATOS!$I834,CONFIG_ASIGNATURAS!$B$2:$J$61,9,FALSE()),""))</f>
      </c>
    </row>
    <row r="835">
      <c r="E835">
        <f>IF(DATOS!$I835="","",IFERROR(VLOOKUP(DATOS!$I835,CONFIG_ASIGNATURAS!$B$2:$J$61,9,FALSE()),""))</f>
      </c>
    </row>
    <row r="836">
      <c r="E836">
        <f>IF(DATOS!$I836="","",IFERROR(VLOOKUP(DATOS!$I836,CONFIG_ASIGNATURAS!$B$2:$J$61,9,FALSE()),""))</f>
      </c>
    </row>
    <row r="837">
      <c r="E837">
        <f>IF(DATOS!$I837="","",IFERROR(VLOOKUP(DATOS!$I837,CONFIG_ASIGNATURAS!$B$2:$J$61,9,FALSE()),""))</f>
      </c>
    </row>
    <row r="838">
      <c r="E838">
        <f>IF(DATOS!$I838="","",IFERROR(VLOOKUP(DATOS!$I838,CONFIG_ASIGNATURAS!$B$2:$J$61,9,FALSE()),""))</f>
      </c>
    </row>
    <row r="839">
      <c r="E839">
        <f>IF(DATOS!$I839="","",IFERROR(VLOOKUP(DATOS!$I839,CONFIG_ASIGNATURAS!$B$2:$J$61,9,FALSE()),""))</f>
      </c>
    </row>
    <row r="840">
      <c r="E840">
        <f>IF(DATOS!$I840="","",IFERROR(VLOOKUP(DATOS!$I840,CONFIG_ASIGNATURAS!$B$2:$J$61,9,FALSE()),""))</f>
      </c>
    </row>
    <row r="841">
      <c r="E841">
        <f>IF(DATOS!$I841="","",IFERROR(VLOOKUP(DATOS!$I841,CONFIG_ASIGNATURAS!$B$2:$J$61,9,FALSE()),""))</f>
      </c>
    </row>
    <row r="842">
      <c r="E842">
        <f>IF(DATOS!$I842="","",IFERROR(VLOOKUP(DATOS!$I842,CONFIG_ASIGNATURAS!$B$2:$J$61,9,FALSE()),""))</f>
      </c>
    </row>
    <row r="843">
      <c r="E843">
        <f>IF(DATOS!$I843="","",IFERROR(VLOOKUP(DATOS!$I843,CONFIG_ASIGNATURAS!$B$2:$J$61,9,FALSE()),""))</f>
      </c>
    </row>
    <row r="844">
      <c r="E844">
        <f>IF(DATOS!$I844="","",IFERROR(VLOOKUP(DATOS!$I844,CONFIG_ASIGNATURAS!$B$2:$J$61,9,FALSE()),""))</f>
      </c>
    </row>
    <row r="845">
      <c r="E845">
        <f>IF(DATOS!$I845="","",IFERROR(VLOOKUP(DATOS!$I845,CONFIG_ASIGNATURAS!$B$2:$J$61,9,FALSE()),""))</f>
      </c>
    </row>
    <row r="846">
      <c r="E846">
        <f>IF(DATOS!$I846="","",IFERROR(VLOOKUP(DATOS!$I846,CONFIG_ASIGNATURAS!$B$2:$J$61,9,FALSE()),""))</f>
      </c>
    </row>
    <row r="847">
      <c r="E847">
        <f>IF(DATOS!$I847="","",IFERROR(VLOOKUP(DATOS!$I847,CONFIG_ASIGNATURAS!$B$2:$J$61,9,FALSE()),""))</f>
      </c>
    </row>
    <row r="848">
      <c r="E848">
        <f>IF(DATOS!$I848="","",IFERROR(VLOOKUP(DATOS!$I848,CONFIG_ASIGNATURAS!$B$2:$J$61,9,FALSE()),""))</f>
      </c>
    </row>
    <row r="849">
      <c r="E849">
        <f>IF(DATOS!$I849="","",IFERROR(VLOOKUP(DATOS!$I849,CONFIG_ASIGNATURAS!$B$2:$J$61,9,FALSE()),""))</f>
      </c>
    </row>
    <row r="850">
      <c r="E850">
        <f>IF(DATOS!$I850="","",IFERROR(VLOOKUP(DATOS!$I850,CONFIG_ASIGNATURAS!$B$2:$J$61,9,FALSE()),""))</f>
      </c>
    </row>
    <row r="851">
      <c r="E851">
        <f>IF(DATOS!$I851="","",IFERROR(VLOOKUP(DATOS!$I851,CONFIG_ASIGNATURAS!$B$2:$J$61,9,FALSE()),""))</f>
      </c>
    </row>
    <row r="852">
      <c r="E852">
        <f>IF(DATOS!$I852="","",IFERROR(VLOOKUP(DATOS!$I852,CONFIG_ASIGNATURAS!$B$2:$J$61,9,FALSE()),""))</f>
      </c>
    </row>
    <row r="853">
      <c r="E853">
        <f>IF(DATOS!$I853="","",IFERROR(VLOOKUP(DATOS!$I853,CONFIG_ASIGNATURAS!$B$2:$J$61,9,FALSE()),""))</f>
      </c>
    </row>
    <row r="854">
      <c r="E854">
        <f>IF(DATOS!$I854="","",IFERROR(VLOOKUP(DATOS!$I854,CONFIG_ASIGNATURAS!$B$2:$J$61,9,FALSE()),""))</f>
      </c>
    </row>
    <row r="855">
      <c r="E855">
        <f>IF(DATOS!$I855="","",IFERROR(VLOOKUP(DATOS!$I855,CONFIG_ASIGNATURAS!$B$2:$J$61,9,FALSE()),""))</f>
      </c>
    </row>
    <row r="856">
      <c r="E856">
        <f>IF(DATOS!$I856="","",IFERROR(VLOOKUP(DATOS!$I856,CONFIG_ASIGNATURAS!$B$2:$J$61,9,FALSE()),""))</f>
      </c>
    </row>
    <row r="857">
      <c r="E857">
        <f>IF(DATOS!$I857="","",IFERROR(VLOOKUP(DATOS!$I857,CONFIG_ASIGNATURAS!$B$2:$J$61,9,FALSE()),""))</f>
      </c>
    </row>
    <row r="858">
      <c r="E858">
        <f>IF(DATOS!$I858="","",IFERROR(VLOOKUP(DATOS!$I858,CONFIG_ASIGNATURAS!$B$2:$J$61,9,FALSE()),""))</f>
      </c>
    </row>
    <row r="859">
      <c r="E859">
        <f>IF(DATOS!$I859="","",IFERROR(VLOOKUP(DATOS!$I859,CONFIG_ASIGNATURAS!$B$2:$J$61,9,FALSE()),""))</f>
      </c>
    </row>
    <row r="860">
      <c r="E860">
        <f>IF(DATOS!$I860="","",IFERROR(VLOOKUP(DATOS!$I860,CONFIG_ASIGNATURAS!$B$2:$J$61,9,FALSE()),""))</f>
      </c>
    </row>
    <row r="861">
      <c r="E861">
        <f>IF(DATOS!$I861="","",IFERROR(VLOOKUP(DATOS!$I861,CONFIG_ASIGNATURAS!$B$2:$J$61,9,FALSE()),""))</f>
      </c>
    </row>
    <row r="862">
      <c r="E862">
        <f>IF(DATOS!$I862="","",IFERROR(VLOOKUP(DATOS!$I862,CONFIG_ASIGNATURAS!$B$2:$J$61,9,FALSE()),""))</f>
      </c>
    </row>
    <row r="863">
      <c r="E863">
        <f>IF(DATOS!$I863="","",IFERROR(VLOOKUP(DATOS!$I863,CONFIG_ASIGNATURAS!$B$2:$J$61,9,FALSE()),""))</f>
      </c>
    </row>
    <row r="864">
      <c r="E864">
        <f>IF(DATOS!$I864="","",IFERROR(VLOOKUP(DATOS!$I864,CONFIG_ASIGNATURAS!$B$2:$J$61,9,FALSE()),""))</f>
      </c>
    </row>
    <row r="865">
      <c r="E865">
        <f>IF(DATOS!$I865="","",IFERROR(VLOOKUP(DATOS!$I865,CONFIG_ASIGNATURAS!$B$2:$J$61,9,FALSE()),""))</f>
      </c>
    </row>
    <row r="866">
      <c r="E866">
        <f>IF(DATOS!$I866="","",IFERROR(VLOOKUP(DATOS!$I866,CONFIG_ASIGNATURAS!$B$2:$J$61,9,FALSE()),""))</f>
      </c>
    </row>
    <row r="867">
      <c r="E867">
        <f>IF(DATOS!$I867="","",IFERROR(VLOOKUP(DATOS!$I867,CONFIG_ASIGNATURAS!$B$2:$J$61,9,FALSE()),""))</f>
      </c>
    </row>
    <row r="868">
      <c r="E868">
        <f>IF(DATOS!$I868="","",IFERROR(VLOOKUP(DATOS!$I868,CONFIG_ASIGNATURAS!$B$2:$J$61,9,FALSE()),""))</f>
      </c>
    </row>
    <row r="869">
      <c r="E869">
        <f>IF(DATOS!$I869="","",IFERROR(VLOOKUP(DATOS!$I869,CONFIG_ASIGNATURAS!$B$2:$J$61,9,FALSE()),""))</f>
      </c>
    </row>
    <row r="870">
      <c r="E870">
        <f>IF(DATOS!$I870="","",IFERROR(VLOOKUP(DATOS!$I870,CONFIG_ASIGNATURAS!$B$2:$J$61,9,FALSE()),""))</f>
      </c>
    </row>
    <row r="871">
      <c r="E871">
        <f>IF(DATOS!$I871="","",IFERROR(VLOOKUP(DATOS!$I871,CONFIG_ASIGNATURAS!$B$2:$J$61,9,FALSE()),""))</f>
      </c>
    </row>
    <row r="872">
      <c r="E872">
        <f>IF(DATOS!$I872="","",IFERROR(VLOOKUP(DATOS!$I872,CONFIG_ASIGNATURAS!$B$2:$J$61,9,FALSE()),""))</f>
      </c>
    </row>
    <row r="873">
      <c r="E873">
        <f>IF(DATOS!$I873="","",IFERROR(VLOOKUP(DATOS!$I873,CONFIG_ASIGNATURAS!$B$2:$J$61,9,FALSE()),""))</f>
      </c>
    </row>
    <row r="874">
      <c r="E874">
        <f>IF(DATOS!$I874="","",IFERROR(VLOOKUP(DATOS!$I874,CONFIG_ASIGNATURAS!$B$2:$J$61,9,FALSE()),""))</f>
      </c>
    </row>
    <row r="875">
      <c r="E875">
        <f>IF(DATOS!$I875="","",IFERROR(VLOOKUP(DATOS!$I875,CONFIG_ASIGNATURAS!$B$2:$J$61,9,FALSE()),""))</f>
      </c>
    </row>
    <row r="876">
      <c r="E876">
        <f>IF(DATOS!$I876="","",IFERROR(VLOOKUP(DATOS!$I876,CONFIG_ASIGNATURAS!$B$2:$J$61,9,FALSE()),""))</f>
      </c>
    </row>
    <row r="877">
      <c r="E877">
        <f>IF(DATOS!$I877="","",IFERROR(VLOOKUP(DATOS!$I877,CONFIG_ASIGNATURAS!$B$2:$J$61,9,FALSE()),""))</f>
      </c>
    </row>
    <row r="878">
      <c r="E878">
        <f>IF(DATOS!$I878="","",IFERROR(VLOOKUP(DATOS!$I878,CONFIG_ASIGNATURAS!$B$2:$J$61,9,FALSE()),""))</f>
      </c>
    </row>
    <row r="879">
      <c r="E879">
        <f>IF(DATOS!$I879="","",IFERROR(VLOOKUP(DATOS!$I879,CONFIG_ASIGNATURAS!$B$2:$J$61,9,FALSE()),""))</f>
      </c>
    </row>
    <row r="880">
      <c r="E880">
        <f>IF(DATOS!$I880="","",IFERROR(VLOOKUP(DATOS!$I880,CONFIG_ASIGNATURAS!$B$2:$J$61,9,FALSE()),""))</f>
      </c>
    </row>
    <row r="881">
      <c r="E881">
        <f>IF(DATOS!$I881="","",IFERROR(VLOOKUP(DATOS!$I881,CONFIG_ASIGNATURAS!$B$2:$J$61,9,FALSE()),""))</f>
      </c>
    </row>
    <row r="882">
      <c r="E882">
        <f>IF(DATOS!$I882="","",IFERROR(VLOOKUP(DATOS!$I882,CONFIG_ASIGNATURAS!$B$2:$J$61,9,FALSE()),""))</f>
      </c>
    </row>
    <row r="883">
      <c r="E883">
        <f>IF(DATOS!$I883="","",IFERROR(VLOOKUP(DATOS!$I883,CONFIG_ASIGNATURAS!$B$2:$J$61,9,FALSE()),""))</f>
      </c>
    </row>
    <row r="884">
      <c r="E884">
        <f>IF(DATOS!$I884="","",IFERROR(VLOOKUP(DATOS!$I884,CONFIG_ASIGNATURAS!$B$2:$J$61,9,FALSE()),""))</f>
      </c>
    </row>
    <row r="885">
      <c r="E885">
        <f>IF(DATOS!$I885="","",IFERROR(VLOOKUP(DATOS!$I885,CONFIG_ASIGNATURAS!$B$2:$J$61,9,FALSE()),""))</f>
      </c>
    </row>
    <row r="886">
      <c r="E886">
        <f>IF(DATOS!$I886="","",IFERROR(VLOOKUP(DATOS!$I886,CONFIG_ASIGNATURAS!$B$2:$J$61,9,FALSE()),""))</f>
      </c>
    </row>
    <row r="887">
      <c r="E887">
        <f>IF(DATOS!$I887="","",IFERROR(VLOOKUP(DATOS!$I887,CONFIG_ASIGNATURAS!$B$2:$J$61,9,FALSE()),""))</f>
      </c>
    </row>
    <row r="888">
      <c r="E888">
        <f>IF(DATOS!$I888="","",IFERROR(VLOOKUP(DATOS!$I888,CONFIG_ASIGNATURAS!$B$2:$J$61,9,FALSE()),""))</f>
      </c>
    </row>
    <row r="889">
      <c r="E889">
        <f>IF(DATOS!$I889="","",IFERROR(VLOOKUP(DATOS!$I889,CONFIG_ASIGNATURAS!$B$2:$J$61,9,FALSE()),""))</f>
      </c>
    </row>
    <row r="890">
      <c r="E890">
        <f>IF(DATOS!$I890="","",IFERROR(VLOOKUP(DATOS!$I890,CONFIG_ASIGNATURAS!$B$2:$J$61,9,FALSE()),""))</f>
      </c>
    </row>
    <row r="891">
      <c r="E891">
        <f>IF(DATOS!$I891="","",IFERROR(VLOOKUP(DATOS!$I891,CONFIG_ASIGNATURAS!$B$2:$J$61,9,FALSE()),""))</f>
      </c>
    </row>
    <row r="892">
      <c r="E892">
        <f>IF(DATOS!$I892="","",IFERROR(VLOOKUP(DATOS!$I892,CONFIG_ASIGNATURAS!$B$2:$J$61,9,FALSE()),""))</f>
      </c>
    </row>
    <row r="893">
      <c r="E893">
        <f>IF(DATOS!$I893="","",IFERROR(VLOOKUP(DATOS!$I893,CONFIG_ASIGNATURAS!$B$2:$J$61,9,FALSE()),""))</f>
      </c>
    </row>
    <row r="894">
      <c r="E894">
        <f>IF(DATOS!$I894="","",IFERROR(VLOOKUP(DATOS!$I894,CONFIG_ASIGNATURAS!$B$2:$J$61,9,FALSE()),""))</f>
      </c>
    </row>
    <row r="895">
      <c r="E895">
        <f>IF(DATOS!$I895="","",IFERROR(VLOOKUP(DATOS!$I895,CONFIG_ASIGNATURAS!$B$2:$J$61,9,FALSE()),""))</f>
      </c>
    </row>
    <row r="896">
      <c r="E896">
        <f>IF(DATOS!$I896="","",IFERROR(VLOOKUP(DATOS!$I896,CONFIG_ASIGNATURAS!$B$2:$J$61,9,FALSE()),""))</f>
      </c>
    </row>
    <row r="897">
      <c r="E897">
        <f>IF(DATOS!$I897="","",IFERROR(VLOOKUP(DATOS!$I897,CONFIG_ASIGNATURAS!$B$2:$J$61,9,FALSE()),""))</f>
      </c>
    </row>
    <row r="898">
      <c r="E898">
        <f>IF(DATOS!$I898="","",IFERROR(VLOOKUP(DATOS!$I898,CONFIG_ASIGNATURAS!$B$2:$J$61,9,FALSE()),""))</f>
      </c>
    </row>
    <row r="899">
      <c r="E899">
        <f>IF(DATOS!$I899="","",IFERROR(VLOOKUP(DATOS!$I899,CONFIG_ASIGNATURAS!$B$2:$J$61,9,FALSE()),""))</f>
      </c>
    </row>
    <row r="900">
      <c r="E900">
        <f>IF(DATOS!$I900="","",IFERROR(VLOOKUP(DATOS!$I900,CONFIG_ASIGNATURAS!$B$2:$J$61,9,FALSE()),""))</f>
      </c>
    </row>
    <row r="901">
      <c r="E901">
        <f>IF(DATOS!$I901="","",IFERROR(VLOOKUP(DATOS!$I901,CONFIG_ASIGNATURAS!$B$2:$J$61,9,FALSE()),""))</f>
      </c>
    </row>
    <row r="902">
      <c r="E902">
        <f>IF(DATOS!$I902="","",IFERROR(VLOOKUP(DATOS!$I902,CONFIG_ASIGNATURAS!$B$2:$J$61,9,FALSE()),""))</f>
      </c>
    </row>
    <row r="903">
      <c r="E903">
        <f>IF(DATOS!$I903="","",IFERROR(VLOOKUP(DATOS!$I903,CONFIG_ASIGNATURAS!$B$2:$J$61,9,FALSE()),""))</f>
      </c>
    </row>
    <row r="904">
      <c r="E904">
        <f>IF(DATOS!$I904="","",IFERROR(VLOOKUP(DATOS!$I904,CONFIG_ASIGNATURAS!$B$2:$J$61,9,FALSE()),""))</f>
      </c>
    </row>
    <row r="905">
      <c r="E905">
        <f>IF(DATOS!$I905="","",IFERROR(VLOOKUP(DATOS!$I905,CONFIG_ASIGNATURAS!$B$2:$J$61,9,FALSE()),""))</f>
      </c>
    </row>
    <row r="906">
      <c r="E906">
        <f>IF(DATOS!$I906="","",IFERROR(VLOOKUP(DATOS!$I906,CONFIG_ASIGNATURAS!$B$2:$J$61,9,FALSE()),""))</f>
      </c>
    </row>
    <row r="907">
      <c r="E907">
        <f>IF(DATOS!$I907="","",IFERROR(VLOOKUP(DATOS!$I907,CONFIG_ASIGNATURAS!$B$2:$J$61,9,FALSE()),""))</f>
      </c>
    </row>
    <row r="908">
      <c r="E908">
        <f>IF(DATOS!$I908="","",IFERROR(VLOOKUP(DATOS!$I908,CONFIG_ASIGNATURAS!$B$2:$J$61,9,FALSE()),""))</f>
      </c>
    </row>
    <row r="909">
      <c r="E909">
        <f>IF(DATOS!$I909="","",IFERROR(VLOOKUP(DATOS!$I909,CONFIG_ASIGNATURAS!$B$2:$J$61,9,FALSE()),""))</f>
      </c>
    </row>
    <row r="910">
      <c r="E910">
        <f>IF(DATOS!$I910="","",IFERROR(VLOOKUP(DATOS!$I910,CONFIG_ASIGNATURAS!$B$2:$J$61,9,FALSE()),""))</f>
      </c>
    </row>
    <row r="911">
      <c r="E911">
        <f>IF(DATOS!$I911="","",IFERROR(VLOOKUP(DATOS!$I911,CONFIG_ASIGNATURAS!$B$2:$J$61,9,FALSE()),""))</f>
      </c>
    </row>
    <row r="912">
      <c r="E912">
        <f>IF(DATOS!$I912="","",IFERROR(VLOOKUP(DATOS!$I912,CONFIG_ASIGNATURAS!$B$2:$J$61,9,FALSE()),""))</f>
      </c>
    </row>
    <row r="913">
      <c r="E913">
        <f>IF(DATOS!$I913="","",IFERROR(VLOOKUP(DATOS!$I913,CONFIG_ASIGNATURAS!$B$2:$J$61,9,FALSE()),""))</f>
      </c>
    </row>
    <row r="914">
      <c r="E914">
        <f>IF(DATOS!$I914="","",IFERROR(VLOOKUP(DATOS!$I914,CONFIG_ASIGNATURAS!$B$2:$J$61,9,FALSE()),""))</f>
      </c>
    </row>
    <row r="915">
      <c r="E915">
        <f>IF(DATOS!$I915="","",IFERROR(VLOOKUP(DATOS!$I915,CONFIG_ASIGNATURAS!$B$2:$J$61,9,FALSE()),""))</f>
      </c>
    </row>
    <row r="916">
      <c r="E916">
        <f>IF(DATOS!$I916="","",IFERROR(VLOOKUP(DATOS!$I916,CONFIG_ASIGNATURAS!$B$2:$J$61,9,FALSE()),""))</f>
      </c>
    </row>
    <row r="917">
      <c r="E917">
        <f>IF(DATOS!$I917="","",IFERROR(VLOOKUP(DATOS!$I917,CONFIG_ASIGNATURAS!$B$2:$J$61,9,FALSE()),""))</f>
      </c>
    </row>
    <row r="918">
      <c r="E918">
        <f>IF(DATOS!$I918="","",IFERROR(VLOOKUP(DATOS!$I918,CONFIG_ASIGNATURAS!$B$2:$J$61,9,FALSE()),""))</f>
      </c>
    </row>
    <row r="919">
      <c r="E919">
        <f>IF(DATOS!$I919="","",IFERROR(VLOOKUP(DATOS!$I919,CONFIG_ASIGNATURAS!$B$2:$J$61,9,FALSE()),""))</f>
      </c>
    </row>
    <row r="920">
      <c r="E920">
        <f>IF(DATOS!$I920="","",IFERROR(VLOOKUP(DATOS!$I920,CONFIG_ASIGNATURAS!$B$2:$J$61,9,FALSE()),""))</f>
      </c>
    </row>
    <row r="921">
      <c r="E921">
        <f>IF(DATOS!$I921="","",IFERROR(VLOOKUP(DATOS!$I921,CONFIG_ASIGNATURAS!$B$2:$J$61,9,FALSE()),""))</f>
      </c>
    </row>
    <row r="922">
      <c r="E922">
        <f>IF(DATOS!$I922="","",IFERROR(VLOOKUP(DATOS!$I922,CONFIG_ASIGNATURAS!$B$2:$J$61,9,FALSE()),""))</f>
      </c>
    </row>
    <row r="923">
      <c r="E923">
        <f>IF(DATOS!$I923="","",IFERROR(VLOOKUP(DATOS!$I923,CONFIG_ASIGNATURAS!$B$2:$J$61,9,FALSE()),""))</f>
      </c>
    </row>
    <row r="924">
      <c r="E924">
        <f>IF(DATOS!$I924="","",IFERROR(VLOOKUP(DATOS!$I924,CONFIG_ASIGNATURAS!$B$2:$J$61,9,FALSE()),""))</f>
      </c>
    </row>
    <row r="925">
      <c r="E925">
        <f>IF(DATOS!$I925="","",IFERROR(VLOOKUP(DATOS!$I925,CONFIG_ASIGNATURAS!$B$2:$J$61,9,FALSE()),""))</f>
      </c>
    </row>
    <row r="926">
      <c r="E926">
        <f>IF(DATOS!$I926="","",IFERROR(VLOOKUP(DATOS!$I926,CONFIG_ASIGNATURAS!$B$2:$J$61,9,FALSE()),""))</f>
      </c>
    </row>
    <row r="927">
      <c r="E927">
        <f>IF(DATOS!$I927="","",IFERROR(VLOOKUP(DATOS!$I927,CONFIG_ASIGNATURAS!$B$2:$J$61,9,FALSE()),""))</f>
      </c>
    </row>
    <row r="928">
      <c r="E928">
        <f>IF(DATOS!$I928="","",IFERROR(VLOOKUP(DATOS!$I928,CONFIG_ASIGNATURAS!$B$2:$J$61,9,FALSE()),""))</f>
      </c>
    </row>
    <row r="929">
      <c r="E929">
        <f>IF(DATOS!$I929="","",IFERROR(VLOOKUP(DATOS!$I929,CONFIG_ASIGNATURAS!$B$2:$J$61,9,FALSE()),""))</f>
      </c>
    </row>
    <row r="930">
      <c r="E930">
        <f>IF(DATOS!$I930="","",IFERROR(VLOOKUP(DATOS!$I930,CONFIG_ASIGNATURAS!$B$2:$J$61,9,FALSE()),""))</f>
      </c>
    </row>
    <row r="931">
      <c r="E931">
        <f>IF(DATOS!$I931="","",IFERROR(VLOOKUP(DATOS!$I931,CONFIG_ASIGNATURAS!$B$2:$J$61,9,FALSE()),""))</f>
      </c>
    </row>
    <row r="932">
      <c r="E932">
        <f>IF(DATOS!$I932="","",IFERROR(VLOOKUP(DATOS!$I932,CONFIG_ASIGNATURAS!$B$2:$J$61,9,FALSE()),""))</f>
      </c>
    </row>
    <row r="933">
      <c r="E933">
        <f>IF(DATOS!$I933="","",IFERROR(VLOOKUP(DATOS!$I933,CONFIG_ASIGNATURAS!$B$2:$J$61,9,FALSE()),""))</f>
      </c>
    </row>
    <row r="934">
      <c r="E934">
        <f>IF(DATOS!$I934="","",IFERROR(VLOOKUP(DATOS!$I934,CONFIG_ASIGNATURAS!$B$2:$J$61,9,FALSE()),""))</f>
      </c>
    </row>
    <row r="935">
      <c r="E935">
        <f>IF(DATOS!$I935="","",IFERROR(VLOOKUP(DATOS!$I935,CONFIG_ASIGNATURAS!$B$2:$J$61,9,FALSE()),""))</f>
      </c>
    </row>
    <row r="936">
      <c r="E936">
        <f>IF(DATOS!$I936="","",IFERROR(VLOOKUP(DATOS!$I936,CONFIG_ASIGNATURAS!$B$2:$J$61,9,FALSE()),""))</f>
      </c>
    </row>
    <row r="937">
      <c r="E937">
        <f>IF(DATOS!$I937="","",IFERROR(VLOOKUP(DATOS!$I937,CONFIG_ASIGNATURAS!$B$2:$J$61,9,FALSE()),""))</f>
      </c>
    </row>
    <row r="938">
      <c r="E938">
        <f>IF(DATOS!$I938="","",IFERROR(VLOOKUP(DATOS!$I938,CONFIG_ASIGNATURAS!$B$2:$J$61,9,FALSE()),""))</f>
      </c>
    </row>
    <row r="939">
      <c r="E939">
        <f>IF(DATOS!$I939="","",IFERROR(VLOOKUP(DATOS!$I939,CONFIG_ASIGNATURAS!$B$2:$J$61,9,FALSE()),""))</f>
      </c>
    </row>
    <row r="940">
      <c r="E940">
        <f>IF(DATOS!$I940="","",IFERROR(VLOOKUP(DATOS!$I940,CONFIG_ASIGNATURAS!$B$2:$J$61,9,FALSE()),""))</f>
      </c>
    </row>
    <row r="941">
      <c r="E941">
        <f>IF(DATOS!$I941="","",IFERROR(VLOOKUP(DATOS!$I941,CONFIG_ASIGNATURAS!$B$2:$J$61,9,FALSE()),""))</f>
      </c>
    </row>
    <row r="942">
      <c r="E942">
        <f>IF(DATOS!$I942="","",IFERROR(VLOOKUP(DATOS!$I942,CONFIG_ASIGNATURAS!$B$2:$J$61,9,FALSE()),""))</f>
      </c>
    </row>
    <row r="943">
      <c r="E943">
        <f>IF(DATOS!$I943="","",IFERROR(VLOOKUP(DATOS!$I943,CONFIG_ASIGNATURAS!$B$2:$J$61,9,FALSE()),""))</f>
      </c>
    </row>
    <row r="944">
      <c r="E944">
        <f>IF(DATOS!$I944="","",IFERROR(VLOOKUP(DATOS!$I944,CONFIG_ASIGNATURAS!$B$2:$J$61,9,FALSE()),""))</f>
      </c>
    </row>
    <row r="945">
      <c r="E945">
        <f>IF(DATOS!$I945="","",IFERROR(VLOOKUP(DATOS!$I945,CONFIG_ASIGNATURAS!$B$2:$J$61,9,FALSE()),""))</f>
      </c>
    </row>
    <row r="946">
      <c r="E946">
        <f>IF(DATOS!$I946="","",IFERROR(VLOOKUP(DATOS!$I946,CONFIG_ASIGNATURAS!$B$2:$J$61,9,FALSE()),""))</f>
      </c>
    </row>
    <row r="947">
      <c r="E947">
        <f>IF(DATOS!$I947="","",IFERROR(VLOOKUP(DATOS!$I947,CONFIG_ASIGNATURAS!$B$2:$J$61,9,FALSE()),""))</f>
      </c>
    </row>
    <row r="948">
      <c r="E948">
        <f>IF(DATOS!$I948="","",IFERROR(VLOOKUP(DATOS!$I948,CONFIG_ASIGNATURAS!$B$2:$J$61,9,FALSE()),""))</f>
      </c>
    </row>
    <row r="949">
      <c r="E949">
        <f>IF(DATOS!$I949="","",IFERROR(VLOOKUP(DATOS!$I949,CONFIG_ASIGNATURAS!$B$2:$J$61,9,FALSE()),""))</f>
      </c>
    </row>
    <row r="950">
      <c r="E950">
        <f>IF(DATOS!$I950="","",IFERROR(VLOOKUP(DATOS!$I950,CONFIG_ASIGNATURAS!$B$2:$J$61,9,FALSE()),""))</f>
      </c>
    </row>
    <row r="951">
      <c r="E951">
        <f>IF(DATOS!$I951="","",IFERROR(VLOOKUP(DATOS!$I951,CONFIG_ASIGNATURAS!$B$2:$J$61,9,FALSE()),""))</f>
      </c>
    </row>
    <row r="952">
      <c r="E952">
        <f>IF(DATOS!$I952="","",IFERROR(VLOOKUP(DATOS!$I952,CONFIG_ASIGNATURAS!$B$2:$J$61,9,FALSE()),""))</f>
      </c>
    </row>
    <row r="953">
      <c r="E953">
        <f>IF(DATOS!$I953="","",IFERROR(VLOOKUP(DATOS!$I953,CONFIG_ASIGNATURAS!$B$2:$J$61,9,FALSE()),""))</f>
      </c>
    </row>
    <row r="954">
      <c r="E954">
        <f>IF(DATOS!$I954="","",IFERROR(VLOOKUP(DATOS!$I954,CONFIG_ASIGNATURAS!$B$2:$J$61,9,FALSE()),""))</f>
      </c>
    </row>
    <row r="955">
      <c r="E955">
        <f>IF(DATOS!$I955="","",IFERROR(VLOOKUP(DATOS!$I955,CONFIG_ASIGNATURAS!$B$2:$J$61,9,FALSE()),""))</f>
      </c>
    </row>
    <row r="956">
      <c r="E956">
        <f>IF(DATOS!$I956="","",IFERROR(VLOOKUP(DATOS!$I956,CONFIG_ASIGNATURAS!$B$2:$J$61,9,FALSE()),""))</f>
      </c>
    </row>
    <row r="957">
      <c r="E957">
        <f>IF(DATOS!$I957="","",IFERROR(VLOOKUP(DATOS!$I957,CONFIG_ASIGNATURAS!$B$2:$J$61,9,FALSE()),""))</f>
      </c>
    </row>
    <row r="958">
      <c r="E958">
        <f>IF(DATOS!$I958="","",IFERROR(VLOOKUP(DATOS!$I958,CONFIG_ASIGNATURAS!$B$2:$J$61,9,FALSE()),""))</f>
      </c>
    </row>
    <row r="959">
      <c r="E959">
        <f>IF(DATOS!$I959="","",IFERROR(VLOOKUP(DATOS!$I959,CONFIG_ASIGNATURAS!$B$2:$J$61,9,FALSE()),""))</f>
      </c>
    </row>
    <row r="960">
      <c r="E960">
        <f>IF(DATOS!$I960="","",IFERROR(VLOOKUP(DATOS!$I960,CONFIG_ASIGNATURAS!$B$2:$J$61,9,FALSE()),""))</f>
      </c>
    </row>
    <row r="961">
      <c r="E961">
        <f>IF(DATOS!$I961="","",IFERROR(VLOOKUP(DATOS!$I961,CONFIG_ASIGNATURAS!$B$2:$J$61,9,FALSE()),""))</f>
      </c>
    </row>
    <row r="962">
      <c r="E962">
        <f>IF(DATOS!$I962="","",IFERROR(VLOOKUP(DATOS!$I962,CONFIG_ASIGNATURAS!$B$2:$J$61,9,FALSE()),""))</f>
      </c>
    </row>
    <row r="963">
      <c r="E963">
        <f>IF(DATOS!$I963="","",IFERROR(VLOOKUP(DATOS!$I963,CONFIG_ASIGNATURAS!$B$2:$J$61,9,FALSE()),""))</f>
      </c>
    </row>
    <row r="964">
      <c r="E964">
        <f>IF(DATOS!$I964="","",IFERROR(VLOOKUP(DATOS!$I964,CONFIG_ASIGNATURAS!$B$2:$J$61,9,FALSE()),""))</f>
      </c>
    </row>
    <row r="965">
      <c r="E965">
        <f>IF(DATOS!$I965="","",IFERROR(VLOOKUP(DATOS!$I965,CONFIG_ASIGNATURAS!$B$2:$J$61,9,FALSE()),""))</f>
      </c>
    </row>
    <row r="966">
      <c r="E966">
        <f>IF(DATOS!$I966="","",IFERROR(VLOOKUP(DATOS!$I966,CONFIG_ASIGNATURAS!$B$2:$J$61,9,FALSE()),""))</f>
      </c>
    </row>
    <row r="967">
      <c r="E967">
        <f>IF(DATOS!$I967="","",IFERROR(VLOOKUP(DATOS!$I967,CONFIG_ASIGNATURAS!$B$2:$J$61,9,FALSE()),""))</f>
      </c>
    </row>
    <row r="968">
      <c r="E968">
        <f>IF(DATOS!$I968="","",IFERROR(VLOOKUP(DATOS!$I968,CONFIG_ASIGNATURAS!$B$2:$J$61,9,FALSE()),""))</f>
      </c>
    </row>
    <row r="969">
      <c r="E969">
        <f>IF(DATOS!$I969="","",IFERROR(VLOOKUP(DATOS!$I969,CONFIG_ASIGNATURAS!$B$2:$J$61,9,FALSE()),""))</f>
      </c>
    </row>
    <row r="970">
      <c r="E970">
        <f>IF(DATOS!$I970="","",IFERROR(VLOOKUP(DATOS!$I970,CONFIG_ASIGNATURAS!$B$2:$J$61,9,FALSE()),""))</f>
      </c>
    </row>
    <row r="971">
      <c r="E971">
        <f>IF(DATOS!$I971="","",IFERROR(VLOOKUP(DATOS!$I971,CONFIG_ASIGNATURAS!$B$2:$J$61,9,FALSE()),""))</f>
      </c>
    </row>
    <row r="972">
      <c r="E972">
        <f>IF(DATOS!$I972="","",IFERROR(VLOOKUP(DATOS!$I972,CONFIG_ASIGNATURAS!$B$2:$J$61,9,FALSE()),""))</f>
      </c>
    </row>
    <row r="973">
      <c r="E973">
        <f>IF(DATOS!$I973="","",IFERROR(VLOOKUP(DATOS!$I973,CONFIG_ASIGNATURAS!$B$2:$J$61,9,FALSE()),""))</f>
      </c>
    </row>
    <row r="974">
      <c r="E974">
        <f>IF(DATOS!$I974="","",IFERROR(VLOOKUP(DATOS!$I974,CONFIG_ASIGNATURAS!$B$2:$J$61,9,FALSE()),""))</f>
      </c>
    </row>
    <row r="975">
      <c r="E975">
        <f>IF(DATOS!$I975="","",IFERROR(VLOOKUP(DATOS!$I975,CONFIG_ASIGNATURAS!$B$2:$J$61,9,FALSE()),""))</f>
      </c>
    </row>
    <row r="976">
      <c r="E976">
        <f>IF(DATOS!$I976="","",IFERROR(VLOOKUP(DATOS!$I976,CONFIG_ASIGNATURAS!$B$2:$J$61,9,FALSE()),""))</f>
      </c>
    </row>
    <row r="977">
      <c r="E977">
        <f>IF(DATOS!$I977="","",IFERROR(VLOOKUP(DATOS!$I977,CONFIG_ASIGNATURAS!$B$2:$J$61,9,FALSE()),""))</f>
      </c>
    </row>
    <row r="978">
      <c r="E978">
        <f>IF(DATOS!$I978="","",IFERROR(VLOOKUP(DATOS!$I978,CONFIG_ASIGNATURAS!$B$2:$J$61,9,FALSE()),""))</f>
      </c>
    </row>
    <row r="979">
      <c r="E979">
        <f>IF(DATOS!$I979="","",IFERROR(VLOOKUP(DATOS!$I979,CONFIG_ASIGNATURAS!$B$2:$J$61,9,FALSE()),""))</f>
      </c>
    </row>
    <row r="980">
      <c r="E980">
        <f>IF(DATOS!$I980="","",IFERROR(VLOOKUP(DATOS!$I980,CONFIG_ASIGNATURAS!$B$2:$J$61,9,FALSE()),""))</f>
      </c>
    </row>
    <row r="981">
      <c r="E981">
        <f>IF(DATOS!$I981="","",IFERROR(VLOOKUP(DATOS!$I981,CONFIG_ASIGNATURAS!$B$2:$J$61,9,FALSE()),""))</f>
      </c>
    </row>
    <row r="982">
      <c r="E982">
        <f>IF(DATOS!$I982="","",IFERROR(VLOOKUP(DATOS!$I982,CONFIG_ASIGNATURAS!$B$2:$J$61,9,FALSE()),""))</f>
      </c>
    </row>
    <row r="983">
      <c r="E983">
        <f>IF(DATOS!$I983="","",IFERROR(VLOOKUP(DATOS!$I983,CONFIG_ASIGNATURAS!$B$2:$J$61,9,FALSE()),""))</f>
      </c>
    </row>
    <row r="984">
      <c r="E984">
        <f>IF(DATOS!$I984="","",IFERROR(VLOOKUP(DATOS!$I984,CONFIG_ASIGNATURAS!$B$2:$J$61,9,FALSE()),""))</f>
      </c>
    </row>
    <row r="985">
      <c r="E985">
        <f>IF(DATOS!$I985="","",IFERROR(VLOOKUP(DATOS!$I985,CONFIG_ASIGNATURAS!$B$2:$J$61,9,FALSE()),""))</f>
      </c>
    </row>
    <row r="986">
      <c r="E986">
        <f>IF(DATOS!$I986="","",IFERROR(VLOOKUP(DATOS!$I986,CONFIG_ASIGNATURAS!$B$2:$J$61,9,FALSE()),""))</f>
      </c>
    </row>
    <row r="987">
      <c r="E987">
        <f>IF(DATOS!$I987="","",IFERROR(VLOOKUP(DATOS!$I987,CONFIG_ASIGNATURAS!$B$2:$J$61,9,FALSE()),""))</f>
      </c>
    </row>
    <row r="988">
      <c r="E988">
        <f>IF(DATOS!$I988="","",IFERROR(VLOOKUP(DATOS!$I988,CONFIG_ASIGNATURAS!$B$2:$J$61,9,FALSE()),""))</f>
      </c>
    </row>
    <row r="989">
      <c r="E989">
        <f>IF(DATOS!$I989="","",IFERROR(VLOOKUP(DATOS!$I989,CONFIG_ASIGNATURAS!$B$2:$J$61,9,FALSE()),""))</f>
      </c>
    </row>
    <row r="990">
      <c r="E990">
        <f>IF(DATOS!$I990="","",IFERROR(VLOOKUP(DATOS!$I990,CONFIG_ASIGNATURAS!$B$2:$J$61,9,FALSE()),""))</f>
      </c>
    </row>
    <row r="991">
      <c r="E991">
        <f>IF(DATOS!$I991="","",IFERROR(VLOOKUP(DATOS!$I991,CONFIG_ASIGNATURAS!$B$2:$J$61,9,FALSE()),""))</f>
      </c>
    </row>
    <row r="992">
      <c r="E992">
        <f>IF(DATOS!$I992="","",IFERROR(VLOOKUP(DATOS!$I992,CONFIG_ASIGNATURAS!$B$2:$J$61,9,FALSE()),""))</f>
      </c>
    </row>
    <row r="993">
      <c r="E993">
        <f>IF(DATOS!$I993="","",IFERROR(VLOOKUP(DATOS!$I993,CONFIG_ASIGNATURAS!$B$2:$J$61,9,FALSE()),""))</f>
      </c>
    </row>
    <row r="994">
      <c r="E994">
        <f>IF(DATOS!$I994="","",IFERROR(VLOOKUP(DATOS!$I994,CONFIG_ASIGNATURAS!$B$2:$J$61,9,FALSE()),""))</f>
      </c>
    </row>
    <row r="995">
      <c r="E995">
        <f>IF(DATOS!$I995="","",IFERROR(VLOOKUP(DATOS!$I995,CONFIG_ASIGNATURAS!$B$2:$J$61,9,FALSE()),""))</f>
      </c>
    </row>
    <row r="996">
      <c r="E996">
        <f>IF(DATOS!$I996="","",IFERROR(VLOOKUP(DATOS!$I996,CONFIG_ASIGNATURAS!$B$2:$J$61,9,FALSE()),""))</f>
      </c>
    </row>
    <row r="997">
      <c r="E997">
        <f>IF(DATOS!$I997="","",IFERROR(VLOOKUP(DATOS!$I997,CONFIG_ASIGNATURAS!$B$2:$J$61,9,FALSE()),""))</f>
      </c>
    </row>
    <row r="998">
      <c r="E998">
        <f>IF(DATOS!$I998="","",IFERROR(VLOOKUP(DATOS!$I998,CONFIG_ASIGNATURAS!$B$2:$J$61,9,FALSE()),""))</f>
      </c>
    </row>
    <row r="999">
      <c r="E999">
        <f>IF(DATOS!$I999="","",IFERROR(VLOOKUP(DATOS!$I999,CONFIG_ASIGNATURAS!$B$2:$J$61,9,FALSE()),""))</f>
      </c>
    </row>
    <row r="1000">
      <c r="E1000">
        <f>IF(DATOS!$I1000="","",IFERROR(VLOOKUP(DATOS!$I1000,CONFIG_ASIGNATURAS!$B$2:$J$61,9,FALSE()),""))</f>
      </c>
    </row>
    <row r="1001">
      <c r="E1001">
        <f>IF(DATOS!$I1001="","",IFERROR(VLOOKUP(DATOS!$I1001,CONFIG_ASIGNATURAS!$B$2:$J$61,9,FALSE()),""))</f>
      </c>
    </row>
    <row r="1002">
      <c r="E1002">
        <f>IF(DATOS!$I1002="","",IFERROR(VLOOKUP(DATOS!$I1002,CONFIG_ASIGNATURAS!$B$2:$J$61,9,FALSE()),""))</f>
      </c>
    </row>
    <row r="1003">
      <c r="E1003">
        <f>IF(DATOS!$I1003="","",IFERROR(VLOOKUP(DATOS!$I1003,CONFIG_ASIGNATURAS!$B$2:$J$61,9,FALSE()),""))</f>
      </c>
    </row>
    <row r="1004">
      <c r="E1004">
        <f>IF(DATOS!$I1004="","",IFERROR(VLOOKUP(DATOS!$I1004,CONFIG_ASIGNATURAS!$B$2:$J$61,9,FALSE()),""))</f>
      </c>
    </row>
    <row r="1005">
      <c r="E1005">
        <f>IF(DATOS!$I1005="","",IFERROR(VLOOKUP(DATOS!$I1005,CONFIG_ASIGNATURAS!$B$2:$J$61,9,FALSE()),""))</f>
      </c>
    </row>
    <row r="1006">
      <c r="E1006">
        <f>IF(DATOS!$I1006="","",IFERROR(VLOOKUP(DATOS!$I1006,CONFIG_ASIGNATURAS!$B$2:$J$61,9,FALSE()),""))</f>
      </c>
    </row>
    <row r="1007">
      <c r="E1007">
        <f>IF(DATOS!$I1007="","",IFERROR(VLOOKUP(DATOS!$I1007,CONFIG_ASIGNATURAS!$B$2:$J$61,9,FALSE()),""))</f>
      </c>
    </row>
    <row r="1008">
      <c r="E1008">
        <f>IF(DATOS!$I1008="","",IFERROR(VLOOKUP(DATOS!$I1008,CONFIG_ASIGNATURAS!$B$2:$J$61,9,FALSE()),""))</f>
      </c>
    </row>
    <row r="1009">
      <c r="E1009">
        <f>IF(DATOS!$I1009="","",IFERROR(VLOOKUP(DATOS!$I1009,CONFIG_ASIGNATURAS!$B$2:$J$61,9,FALSE()),""))</f>
      </c>
    </row>
    <row r="1010">
      <c r="E1010">
        <f>IF(DATOS!$I1010="","",IFERROR(VLOOKUP(DATOS!$I1010,CONFIG_ASIGNATURAS!$B$2:$J$61,9,FALSE()),""))</f>
      </c>
    </row>
    <row r="1011">
      <c r="E1011">
        <f>IF(DATOS!$I1011="","",IFERROR(VLOOKUP(DATOS!$I1011,CONFIG_ASIGNATURAS!$B$2:$J$61,9,FALSE()),""))</f>
      </c>
    </row>
    <row r="1012">
      <c r="E1012">
        <f>IF(DATOS!$I1012="","",IFERROR(VLOOKUP(DATOS!$I1012,CONFIG_ASIGNATURAS!$B$2:$J$61,9,FALSE()),""))</f>
      </c>
    </row>
    <row r="1013">
      <c r="E1013">
        <f>IF(DATOS!$I1013="","",IFERROR(VLOOKUP(DATOS!$I1013,CONFIG_ASIGNATURAS!$B$2:$J$61,9,FALSE()),""))</f>
      </c>
    </row>
    <row r="1014">
      <c r="E1014">
        <f>IF(DATOS!$I1014="","",IFERROR(VLOOKUP(DATOS!$I1014,CONFIG_ASIGNATURAS!$B$2:$J$61,9,FALSE()),""))</f>
      </c>
    </row>
    <row r="1015">
      <c r="E1015">
        <f>IF(DATOS!$I1015="","",IFERROR(VLOOKUP(DATOS!$I1015,CONFIG_ASIGNATURAS!$B$2:$J$61,9,FALSE()),""))</f>
      </c>
    </row>
    <row r="1016">
      <c r="E1016">
        <f>IF(DATOS!$I1016="","",IFERROR(VLOOKUP(DATOS!$I1016,CONFIG_ASIGNATURAS!$B$2:$J$61,9,FALSE()),""))</f>
      </c>
    </row>
    <row r="1017">
      <c r="E1017">
        <f>IF(DATOS!$I1017="","",IFERROR(VLOOKUP(DATOS!$I1017,CONFIG_ASIGNATURAS!$B$2:$J$61,9,FALSE()),""))</f>
      </c>
    </row>
    <row r="1018">
      <c r="E1018">
        <f>IF(DATOS!$I1018="","",IFERROR(VLOOKUP(DATOS!$I1018,CONFIG_ASIGNATURAS!$B$2:$J$61,9,FALSE()),""))</f>
      </c>
    </row>
    <row r="1019">
      <c r="E1019">
        <f>IF(DATOS!$I1019="","",IFERROR(VLOOKUP(DATOS!$I1019,CONFIG_ASIGNATURAS!$B$2:$J$61,9,FALSE()),""))</f>
      </c>
    </row>
    <row r="1020">
      <c r="E1020">
        <f>IF(DATOS!$I1020="","",IFERROR(VLOOKUP(DATOS!$I1020,CONFIG_ASIGNATURAS!$B$2:$J$61,9,FALSE()),""))</f>
      </c>
    </row>
    <row r="1021">
      <c r="E1021">
        <f>IF(DATOS!$I1021="","",IFERROR(VLOOKUP(DATOS!$I1021,CONFIG_ASIGNATURAS!$B$2:$J$61,9,FALSE()),""))</f>
      </c>
    </row>
    <row r="1022">
      <c r="E1022">
        <f>IF(DATOS!$I1022="","",IFERROR(VLOOKUP(DATOS!$I1022,CONFIG_ASIGNATURAS!$B$2:$J$61,9,FALSE()),""))</f>
      </c>
    </row>
    <row r="1023">
      <c r="E1023">
        <f>IF(DATOS!$I1023="","",IFERROR(VLOOKUP(DATOS!$I1023,CONFIG_ASIGNATURAS!$B$2:$J$61,9,FALSE()),""))</f>
      </c>
    </row>
    <row r="1024">
      <c r="E1024">
        <f>IF(DATOS!$I1024="","",IFERROR(VLOOKUP(DATOS!$I1024,CONFIG_ASIGNATURAS!$B$2:$J$61,9,FALSE()),""))</f>
      </c>
    </row>
    <row r="1025">
      <c r="E1025">
        <f>IF(DATOS!$I1025="","",IFERROR(VLOOKUP(DATOS!$I1025,CONFIG_ASIGNATURAS!$B$2:$J$61,9,FALSE()),""))</f>
      </c>
    </row>
    <row r="1026">
      <c r="E1026">
        <f>IF(DATOS!$I1026="","",IFERROR(VLOOKUP(DATOS!$I1026,CONFIG_ASIGNATURAS!$B$2:$J$61,9,FALSE()),""))</f>
      </c>
    </row>
    <row r="1027">
      <c r="E1027">
        <f>IF(DATOS!$I1027="","",IFERROR(VLOOKUP(DATOS!$I1027,CONFIG_ASIGNATURAS!$B$2:$J$61,9,FALSE()),""))</f>
      </c>
    </row>
    <row r="1028">
      <c r="E1028">
        <f>IF(DATOS!$I1028="","",IFERROR(VLOOKUP(DATOS!$I1028,CONFIG_ASIGNATURAS!$B$2:$J$61,9,FALSE()),""))</f>
      </c>
    </row>
    <row r="1029">
      <c r="E1029">
        <f>IF(DATOS!$I1029="","",IFERROR(VLOOKUP(DATOS!$I1029,CONFIG_ASIGNATURAS!$B$2:$J$61,9,FALSE()),""))</f>
      </c>
    </row>
    <row r="1030">
      <c r="E1030">
        <f>IF(DATOS!$I1030="","",IFERROR(VLOOKUP(DATOS!$I1030,CONFIG_ASIGNATURAS!$B$2:$J$61,9,FALSE()),""))</f>
      </c>
    </row>
    <row r="1031">
      <c r="E1031">
        <f>IF(DATOS!$I1031="","",IFERROR(VLOOKUP(DATOS!$I1031,CONFIG_ASIGNATURAS!$B$2:$J$61,9,FALSE()),""))</f>
      </c>
    </row>
    <row r="1032">
      <c r="E1032">
        <f>IF(DATOS!$I1032="","",IFERROR(VLOOKUP(DATOS!$I1032,CONFIG_ASIGNATURAS!$B$2:$J$61,9,FALSE()),""))</f>
      </c>
    </row>
    <row r="1033">
      <c r="E1033">
        <f>IF(DATOS!$I1033="","",IFERROR(VLOOKUP(DATOS!$I1033,CONFIG_ASIGNATURAS!$B$2:$J$61,9,FALSE()),""))</f>
      </c>
    </row>
    <row r="1034">
      <c r="E1034">
        <f>IF(DATOS!$I1034="","",IFERROR(VLOOKUP(DATOS!$I1034,CONFIG_ASIGNATURAS!$B$2:$J$61,9,FALSE()),""))</f>
      </c>
    </row>
    <row r="1035">
      <c r="E1035">
        <f>IF(DATOS!$I1035="","",IFERROR(VLOOKUP(DATOS!$I1035,CONFIG_ASIGNATURAS!$B$2:$J$61,9,FALSE()),""))</f>
      </c>
    </row>
    <row r="1036">
      <c r="E1036">
        <f>IF(DATOS!$I1036="","",IFERROR(VLOOKUP(DATOS!$I1036,CONFIG_ASIGNATURAS!$B$2:$J$61,9,FALSE()),""))</f>
      </c>
    </row>
    <row r="1037">
      <c r="E1037">
        <f>IF(DATOS!$I1037="","",IFERROR(VLOOKUP(DATOS!$I1037,CONFIG_ASIGNATURAS!$B$2:$J$61,9,FALSE()),""))</f>
      </c>
    </row>
    <row r="1038">
      <c r="E1038">
        <f>IF(DATOS!$I1038="","",IFERROR(VLOOKUP(DATOS!$I1038,CONFIG_ASIGNATURAS!$B$2:$J$61,9,FALSE()),""))</f>
      </c>
    </row>
    <row r="1039">
      <c r="E1039">
        <f>IF(DATOS!$I1039="","",IFERROR(VLOOKUP(DATOS!$I1039,CONFIG_ASIGNATURAS!$B$2:$J$61,9,FALSE()),""))</f>
      </c>
    </row>
    <row r="1040">
      <c r="E1040">
        <f>IF(DATOS!$I1040="","",IFERROR(VLOOKUP(DATOS!$I1040,CONFIG_ASIGNATURAS!$B$2:$J$61,9,FALSE()),""))</f>
      </c>
    </row>
    <row r="1041">
      <c r="E1041">
        <f>IF(DATOS!$I1041="","",IFERROR(VLOOKUP(DATOS!$I1041,CONFIG_ASIGNATURAS!$B$2:$J$61,9,FALSE()),""))</f>
      </c>
    </row>
    <row r="1042">
      <c r="E1042">
        <f>IF(DATOS!$I1042="","",IFERROR(VLOOKUP(DATOS!$I1042,CONFIG_ASIGNATURAS!$B$2:$J$61,9,FALSE()),""))</f>
      </c>
    </row>
    <row r="1043">
      <c r="E1043">
        <f>IF(DATOS!$I1043="","",IFERROR(VLOOKUP(DATOS!$I1043,CONFIG_ASIGNATURAS!$B$2:$J$61,9,FALSE()),""))</f>
      </c>
    </row>
    <row r="1044">
      <c r="E1044">
        <f>IF(DATOS!$I1044="","",IFERROR(VLOOKUP(DATOS!$I1044,CONFIG_ASIGNATURAS!$B$2:$J$61,9,FALSE()),""))</f>
      </c>
    </row>
    <row r="1045">
      <c r="E1045">
        <f>IF(DATOS!$I1045="","",IFERROR(VLOOKUP(DATOS!$I1045,CONFIG_ASIGNATURAS!$B$2:$J$61,9,FALSE()),""))</f>
      </c>
    </row>
    <row r="1046">
      <c r="E1046">
        <f>IF(DATOS!$I1046="","",IFERROR(VLOOKUP(DATOS!$I1046,CONFIG_ASIGNATURAS!$B$2:$J$61,9,FALSE()),""))</f>
      </c>
    </row>
    <row r="1047">
      <c r="E1047">
        <f>IF(DATOS!$I1047="","",IFERROR(VLOOKUP(DATOS!$I1047,CONFIG_ASIGNATURAS!$B$2:$J$61,9,FALSE()),""))</f>
      </c>
    </row>
    <row r="1048">
      <c r="E1048">
        <f>IF(DATOS!$I1048="","",IFERROR(VLOOKUP(DATOS!$I1048,CONFIG_ASIGNATURAS!$B$2:$J$61,9,FALSE()),""))</f>
      </c>
    </row>
    <row r="1049">
      <c r="E1049">
        <f>IF(DATOS!$I1049="","",IFERROR(VLOOKUP(DATOS!$I1049,CONFIG_ASIGNATURAS!$B$2:$J$61,9,FALSE()),""))</f>
      </c>
    </row>
    <row r="1050">
      <c r="E1050">
        <f>IF(DATOS!$I1050="","",IFERROR(VLOOKUP(DATOS!$I1050,CONFIG_ASIGNATURAS!$B$2:$J$61,9,FALSE()),""))</f>
      </c>
    </row>
    <row r="1051">
      <c r="E1051">
        <f>IF(DATOS!$I1051="","",IFERROR(VLOOKUP(DATOS!$I1051,CONFIG_ASIGNATURAS!$B$2:$J$61,9,FALSE()),""))</f>
      </c>
    </row>
    <row r="1052">
      <c r="E1052">
        <f>IF(DATOS!$I1052="","",IFERROR(VLOOKUP(DATOS!$I1052,CONFIG_ASIGNATURAS!$B$2:$J$61,9,FALSE()),""))</f>
      </c>
    </row>
    <row r="1053">
      <c r="E1053">
        <f>IF(DATOS!$I1053="","",IFERROR(VLOOKUP(DATOS!$I1053,CONFIG_ASIGNATURAS!$B$2:$J$61,9,FALSE()),""))</f>
      </c>
    </row>
    <row r="1054">
      <c r="E1054">
        <f>IF(DATOS!$I1054="","",IFERROR(VLOOKUP(DATOS!$I1054,CONFIG_ASIGNATURAS!$B$2:$J$61,9,FALSE()),""))</f>
      </c>
    </row>
    <row r="1055">
      <c r="E1055">
        <f>IF(DATOS!$I1055="","",IFERROR(VLOOKUP(DATOS!$I1055,CONFIG_ASIGNATURAS!$B$2:$J$61,9,FALSE()),""))</f>
      </c>
    </row>
    <row r="1056">
      <c r="E1056">
        <f>IF(DATOS!$I1056="","",IFERROR(VLOOKUP(DATOS!$I1056,CONFIG_ASIGNATURAS!$B$2:$J$61,9,FALSE()),""))</f>
      </c>
    </row>
    <row r="1057">
      <c r="E1057">
        <f>IF(DATOS!$I1057="","",IFERROR(VLOOKUP(DATOS!$I1057,CONFIG_ASIGNATURAS!$B$2:$J$61,9,FALSE()),""))</f>
      </c>
    </row>
    <row r="1058">
      <c r="E1058">
        <f>IF(DATOS!$I1058="","",IFERROR(VLOOKUP(DATOS!$I1058,CONFIG_ASIGNATURAS!$B$2:$J$61,9,FALSE()),""))</f>
      </c>
    </row>
    <row r="1059">
      <c r="E1059">
        <f>IF(DATOS!$I1059="","",IFERROR(VLOOKUP(DATOS!$I1059,CONFIG_ASIGNATURAS!$B$2:$J$61,9,FALSE()),""))</f>
      </c>
    </row>
    <row r="1060">
      <c r="E1060">
        <f>IF(DATOS!$I1060="","",IFERROR(VLOOKUP(DATOS!$I1060,CONFIG_ASIGNATURAS!$B$2:$J$61,9,FALSE()),""))</f>
      </c>
    </row>
    <row r="1061">
      <c r="E1061">
        <f>IF(DATOS!$I1061="","",IFERROR(VLOOKUP(DATOS!$I1061,CONFIG_ASIGNATURAS!$B$2:$J$61,9,FALSE()),""))</f>
      </c>
    </row>
    <row r="1062">
      <c r="E1062">
        <f>IF(DATOS!$I1062="","",IFERROR(VLOOKUP(DATOS!$I1062,CONFIG_ASIGNATURAS!$B$2:$J$61,9,FALSE()),""))</f>
      </c>
    </row>
    <row r="1063">
      <c r="E1063">
        <f>IF(DATOS!$I1063="","",IFERROR(VLOOKUP(DATOS!$I1063,CONFIG_ASIGNATURAS!$B$2:$J$61,9,FALSE()),""))</f>
      </c>
    </row>
    <row r="1064">
      <c r="E1064">
        <f>IF(DATOS!$I1064="","",IFERROR(VLOOKUP(DATOS!$I1064,CONFIG_ASIGNATURAS!$B$2:$J$61,9,FALSE()),""))</f>
      </c>
    </row>
    <row r="1065">
      <c r="E1065">
        <f>IF(DATOS!$I1065="","",IFERROR(VLOOKUP(DATOS!$I1065,CONFIG_ASIGNATURAS!$B$2:$J$61,9,FALSE()),""))</f>
      </c>
    </row>
    <row r="1066">
      <c r="E1066">
        <f>IF(DATOS!$I1066="","",IFERROR(VLOOKUP(DATOS!$I1066,CONFIG_ASIGNATURAS!$B$2:$J$61,9,FALSE()),""))</f>
      </c>
    </row>
    <row r="1067">
      <c r="E1067">
        <f>IF(DATOS!$I1067="","",IFERROR(VLOOKUP(DATOS!$I1067,CONFIG_ASIGNATURAS!$B$2:$J$61,9,FALSE()),""))</f>
      </c>
    </row>
    <row r="1068">
      <c r="E1068">
        <f>IF(DATOS!$I1068="","",IFERROR(VLOOKUP(DATOS!$I1068,CONFIG_ASIGNATURAS!$B$2:$J$61,9,FALSE()),""))</f>
      </c>
    </row>
    <row r="1069">
      <c r="E1069">
        <f>IF(DATOS!$I1069="","",IFERROR(VLOOKUP(DATOS!$I1069,CONFIG_ASIGNATURAS!$B$2:$J$61,9,FALSE()),""))</f>
      </c>
    </row>
    <row r="1070">
      <c r="E1070">
        <f>IF(DATOS!$I1070="","",IFERROR(VLOOKUP(DATOS!$I1070,CONFIG_ASIGNATURAS!$B$2:$J$61,9,FALSE()),""))</f>
      </c>
    </row>
    <row r="1071">
      <c r="E1071">
        <f>IF(DATOS!$I1071="","",IFERROR(VLOOKUP(DATOS!$I1071,CONFIG_ASIGNATURAS!$B$2:$J$61,9,FALSE()),""))</f>
      </c>
    </row>
    <row r="1072">
      <c r="E1072">
        <f>IF(DATOS!$I1072="","",IFERROR(VLOOKUP(DATOS!$I1072,CONFIG_ASIGNATURAS!$B$2:$J$61,9,FALSE()),""))</f>
      </c>
    </row>
    <row r="1073">
      <c r="E1073">
        <f>IF(DATOS!$I1073="","",IFERROR(VLOOKUP(DATOS!$I1073,CONFIG_ASIGNATURAS!$B$2:$J$61,9,FALSE()),""))</f>
      </c>
    </row>
    <row r="1074">
      <c r="E1074">
        <f>IF(DATOS!$I1074="","",IFERROR(VLOOKUP(DATOS!$I1074,CONFIG_ASIGNATURAS!$B$2:$J$61,9,FALSE()),""))</f>
      </c>
    </row>
    <row r="1075">
      <c r="E1075">
        <f>IF(DATOS!$I1075="","",IFERROR(VLOOKUP(DATOS!$I1075,CONFIG_ASIGNATURAS!$B$2:$J$61,9,FALSE()),""))</f>
      </c>
    </row>
    <row r="1076">
      <c r="E1076">
        <f>IF(DATOS!$I1076="","",IFERROR(VLOOKUP(DATOS!$I1076,CONFIG_ASIGNATURAS!$B$2:$J$61,9,FALSE()),""))</f>
      </c>
    </row>
    <row r="1077">
      <c r="E1077">
        <f>IF(DATOS!$I1077="","",IFERROR(VLOOKUP(DATOS!$I1077,CONFIG_ASIGNATURAS!$B$2:$J$61,9,FALSE()),""))</f>
      </c>
    </row>
    <row r="1078">
      <c r="E1078">
        <f>IF(DATOS!$I1078="","",IFERROR(VLOOKUP(DATOS!$I1078,CONFIG_ASIGNATURAS!$B$2:$J$61,9,FALSE()),""))</f>
      </c>
    </row>
    <row r="1079">
      <c r="E1079">
        <f>IF(DATOS!$I1079="","",IFERROR(VLOOKUP(DATOS!$I1079,CONFIG_ASIGNATURAS!$B$2:$J$61,9,FALSE()),""))</f>
      </c>
    </row>
    <row r="1080">
      <c r="E1080">
        <f>IF(DATOS!$I1080="","",IFERROR(VLOOKUP(DATOS!$I1080,CONFIG_ASIGNATURAS!$B$2:$J$61,9,FALSE()),""))</f>
      </c>
    </row>
    <row r="1081">
      <c r="E1081">
        <f>IF(DATOS!$I1081="","",IFERROR(VLOOKUP(DATOS!$I1081,CONFIG_ASIGNATURAS!$B$2:$J$61,9,FALSE()),""))</f>
      </c>
    </row>
    <row r="1082">
      <c r="E1082">
        <f>IF(DATOS!$I1082="","",IFERROR(VLOOKUP(DATOS!$I1082,CONFIG_ASIGNATURAS!$B$2:$J$61,9,FALSE()),""))</f>
      </c>
    </row>
    <row r="1083">
      <c r="E1083">
        <f>IF(DATOS!$I1083="","",IFERROR(VLOOKUP(DATOS!$I1083,CONFIG_ASIGNATURAS!$B$2:$J$61,9,FALSE()),""))</f>
      </c>
    </row>
    <row r="1084">
      <c r="E1084">
        <f>IF(DATOS!$I1084="","",IFERROR(VLOOKUP(DATOS!$I1084,CONFIG_ASIGNATURAS!$B$2:$J$61,9,FALSE()),""))</f>
      </c>
    </row>
    <row r="1085">
      <c r="E1085">
        <f>IF(DATOS!$I1085="","",IFERROR(VLOOKUP(DATOS!$I1085,CONFIG_ASIGNATURAS!$B$2:$J$61,9,FALSE()),""))</f>
      </c>
    </row>
    <row r="1086">
      <c r="E1086">
        <f>IF(DATOS!$I1086="","",IFERROR(VLOOKUP(DATOS!$I1086,CONFIG_ASIGNATURAS!$B$2:$J$61,9,FALSE()),""))</f>
      </c>
    </row>
    <row r="1087">
      <c r="E1087">
        <f>IF(DATOS!$I1087="","",IFERROR(VLOOKUP(DATOS!$I1087,CONFIG_ASIGNATURAS!$B$2:$J$61,9,FALSE()),""))</f>
      </c>
    </row>
    <row r="1088">
      <c r="E1088">
        <f>IF(DATOS!$I1088="","",IFERROR(VLOOKUP(DATOS!$I1088,CONFIG_ASIGNATURAS!$B$2:$J$61,9,FALSE()),""))</f>
      </c>
    </row>
    <row r="1089">
      <c r="E1089">
        <f>IF(DATOS!$I1089="","",IFERROR(VLOOKUP(DATOS!$I1089,CONFIG_ASIGNATURAS!$B$2:$J$61,9,FALSE()),""))</f>
      </c>
    </row>
    <row r="1090">
      <c r="E1090">
        <f>IF(DATOS!$I1090="","",IFERROR(VLOOKUP(DATOS!$I1090,CONFIG_ASIGNATURAS!$B$2:$J$61,9,FALSE()),""))</f>
      </c>
    </row>
    <row r="1091">
      <c r="E1091">
        <f>IF(DATOS!$I1091="","",IFERROR(VLOOKUP(DATOS!$I1091,CONFIG_ASIGNATURAS!$B$2:$J$61,9,FALSE()),""))</f>
      </c>
    </row>
    <row r="1092">
      <c r="E1092">
        <f>IF(DATOS!$I1092="","",IFERROR(VLOOKUP(DATOS!$I1092,CONFIG_ASIGNATURAS!$B$2:$J$61,9,FALSE()),""))</f>
      </c>
    </row>
    <row r="1093">
      <c r="E1093">
        <f>IF(DATOS!$I1093="","",IFERROR(VLOOKUP(DATOS!$I1093,CONFIG_ASIGNATURAS!$B$2:$J$61,9,FALSE()),""))</f>
      </c>
    </row>
    <row r="1094">
      <c r="E1094">
        <f>IF(DATOS!$I1094="","",IFERROR(VLOOKUP(DATOS!$I1094,CONFIG_ASIGNATURAS!$B$2:$J$61,9,FALSE()),""))</f>
      </c>
    </row>
    <row r="1095">
      <c r="E1095">
        <f>IF(DATOS!$I1095="","",IFERROR(VLOOKUP(DATOS!$I1095,CONFIG_ASIGNATURAS!$B$2:$J$61,9,FALSE()),""))</f>
      </c>
    </row>
    <row r="1096">
      <c r="E1096">
        <f>IF(DATOS!$I1096="","",IFERROR(VLOOKUP(DATOS!$I1096,CONFIG_ASIGNATURAS!$B$2:$J$61,9,FALSE()),""))</f>
      </c>
    </row>
    <row r="1097">
      <c r="E1097">
        <f>IF(DATOS!$I1097="","",IFERROR(VLOOKUP(DATOS!$I1097,CONFIG_ASIGNATURAS!$B$2:$J$61,9,FALSE()),""))</f>
      </c>
    </row>
    <row r="1098">
      <c r="E1098">
        <f>IF(DATOS!$I1098="","",IFERROR(VLOOKUP(DATOS!$I1098,CONFIG_ASIGNATURAS!$B$2:$J$61,9,FALSE()),""))</f>
      </c>
    </row>
    <row r="1099">
      <c r="E1099">
        <f>IF(DATOS!$I1099="","",IFERROR(VLOOKUP(DATOS!$I1099,CONFIG_ASIGNATURAS!$B$2:$J$61,9,FALSE()),""))</f>
      </c>
    </row>
    <row r="1100">
      <c r="E1100">
        <f>IF(DATOS!$I1100="","",IFERROR(VLOOKUP(DATOS!$I1100,CONFIG_ASIGNATURAS!$B$2:$J$61,9,FALSE()),""))</f>
      </c>
    </row>
    <row r="1101">
      <c r="E1101">
        <f>IF(DATOS!$I1101="","",IFERROR(VLOOKUP(DATOS!$I1101,CONFIG_ASIGNATURAS!$B$2:$J$61,9,FALSE()),""))</f>
      </c>
    </row>
    <row r="1102">
      <c r="E1102">
        <f>IF(DATOS!$I1102="","",IFERROR(VLOOKUP(DATOS!$I1102,CONFIG_ASIGNATURAS!$B$2:$J$61,9,FALSE()),""))</f>
      </c>
    </row>
    <row r="1103">
      <c r="E1103">
        <f>IF(DATOS!$I1103="","",IFERROR(VLOOKUP(DATOS!$I1103,CONFIG_ASIGNATURAS!$B$2:$J$61,9,FALSE()),""))</f>
      </c>
    </row>
    <row r="1104">
      <c r="E1104">
        <f>IF(DATOS!$I1104="","",IFERROR(VLOOKUP(DATOS!$I1104,CONFIG_ASIGNATURAS!$B$2:$J$61,9,FALSE()),""))</f>
      </c>
    </row>
    <row r="1105">
      <c r="E1105">
        <f>IF(DATOS!$I1105="","",IFERROR(VLOOKUP(DATOS!$I1105,CONFIG_ASIGNATURAS!$B$2:$J$61,9,FALSE()),""))</f>
      </c>
    </row>
    <row r="1106">
      <c r="E1106">
        <f>IF(DATOS!$I1106="","",IFERROR(VLOOKUP(DATOS!$I1106,CONFIG_ASIGNATURAS!$B$2:$J$61,9,FALSE()),""))</f>
      </c>
    </row>
    <row r="1107">
      <c r="E1107">
        <f>IF(DATOS!$I1107="","",IFERROR(VLOOKUP(DATOS!$I1107,CONFIG_ASIGNATURAS!$B$2:$J$61,9,FALSE()),""))</f>
      </c>
    </row>
    <row r="1108">
      <c r="E1108">
        <f>IF(DATOS!$I1108="","",IFERROR(VLOOKUP(DATOS!$I1108,CONFIG_ASIGNATURAS!$B$2:$J$61,9,FALSE()),""))</f>
      </c>
    </row>
    <row r="1109">
      <c r="E1109">
        <f>IF(DATOS!$I1109="","",IFERROR(VLOOKUP(DATOS!$I1109,CONFIG_ASIGNATURAS!$B$2:$J$61,9,FALSE()),""))</f>
      </c>
    </row>
    <row r="1110">
      <c r="E1110">
        <f>IF(DATOS!$I1110="","",IFERROR(VLOOKUP(DATOS!$I1110,CONFIG_ASIGNATURAS!$B$2:$J$61,9,FALSE()),""))</f>
      </c>
    </row>
    <row r="1111">
      <c r="E1111">
        <f>IF(DATOS!$I1111="","",IFERROR(VLOOKUP(DATOS!$I1111,CONFIG_ASIGNATURAS!$B$2:$J$61,9,FALSE()),""))</f>
      </c>
    </row>
    <row r="1112">
      <c r="E1112">
        <f>IF(DATOS!$I1112="","",IFERROR(VLOOKUP(DATOS!$I1112,CONFIG_ASIGNATURAS!$B$2:$J$61,9,FALSE()),""))</f>
      </c>
    </row>
    <row r="1113">
      <c r="E1113">
        <f>IF(DATOS!$I1113="","",IFERROR(VLOOKUP(DATOS!$I1113,CONFIG_ASIGNATURAS!$B$2:$J$61,9,FALSE()),""))</f>
      </c>
    </row>
    <row r="1114">
      <c r="E1114">
        <f>IF(DATOS!$I1114="","",IFERROR(VLOOKUP(DATOS!$I1114,CONFIG_ASIGNATURAS!$B$2:$J$61,9,FALSE()),""))</f>
      </c>
    </row>
    <row r="1115">
      <c r="E1115">
        <f>IF(DATOS!$I1115="","",IFERROR(VLOOKUP(DATOS!$I1115,CONFIG_ASIGNATURAS!$B$2:$J$61,9,FALSE()),""))</f>
      </c>
    </row>
    <row r="1116">
      <c r="E1116">
        <f>IF(DATOS!$I1116="","",IFERROR(VLOOKUP(DATOS!$I1116,CONFIG_ASIGNATURAS!$B$2:$J$61,9,FALSE()),""))</f>
      </c>
    </row>
    <row r="1117">
      <c r="E1117">
        <f>IF(DATOS!$I1117="","",IFERROR(VLOOKUP(DATOS!$I1117,CONFIG_ASIGNATURAS!$B$2:$J$61,9,FALSE()),""))</f>
      </c>
    </row>
    <row r="1118">
      <c r="E1118">
        <f>IF(DATOS!$I1118="","",IFERROR(VLOOKUP(DATOS!$I1118,CONFIG_ASIGNATURAS!$B$2:$J$61,9,FALSE()),""))</f>
      </c>
    </row>
    <row r="1119">
      <c r="E1119">
        <f>IF(DATOS!$I1119="","",IFERROR(VLOOKUP(DATOS!$I1119,CONFIG_ASIGNATURAS!$B$2:$J$61,9,FALSE()),""))</f>
      </c>
    </row>
    <row r="1120">
      <c r="E1120">
        <f>IF(DATOS!$I1120="","",IFERROR(VLOOKUP(DATOS!$I1120,CONFIG_ASIGNATURAS!$B$2:$J$61,9,FALSE()),""))</f>
      </c>
    </row>
    <row r="1121">
      <c r="E1121">
        <f>IF(DATOS!$I1121="","",IFERROR(VLOOKUP(DATOS!$I1121,CONFIG_ASIGNATURAS!$B$2:$J$61,9,FALSE()),""))</f>
      </c>
    </row>
    <row r="1122">
      <c r="E1122">
        <f>IF(DATOS!$I1122="","",IFERROR(VLOOKUP(DATOS!$I1122,CONFIG_ASIGNATURAS!$B$2:$J$61,9,FALSE()),""))</f>
      </c>
    </row>
    <row r="1123">
      <c r="E1123">
        <f>IF(DATOS!$I1123="","",IFERROR(VLOOKUP(DATOS!$I1123,CONFIG_ASIGNATURAS!$B$2:$J$61,9,FALSE()),""))</f>
      </c>
    </row>
    <row r="1124">
      <c r="E1124">
        <f>IF(DATOS!$I1124="","",IFERROR(VLOOKUP(DATOS!$I1124,CONFIG_ASIGNATURAS!$B$2:$J$61,9,FALSE()),""))</f>
      </c>
    </row>
    <row r="1125">
      <c r="E1125">
        <f>IF(DATOS!$I1125="","",IFERROR(VLOOKUP(DATOS!$I1125,CONFIG_ASIGNATURAS!$B$2:$J$61,9,FALSE()),""))</f>
      </c>
    </row>
    <row r="1126">
      <c r="E1126">
        <f>IF(DATOS!$I1126="","",IFERROR(VLOOKUP(DATOS!$I1126,CONFIG_ASIGNATURAS!$B$2:$J$61,9,FALSE()),""))</f>
      </c>
    </row>
    <row r="1127">
      <c r="E1127">
        <f>IF(DATOS!$I1127="","",IFERROR(VLOOKUP(DATOS!$I1127,CONFIG_ASIGNATURAS!$B$2:$J$61,9,FALSE()),""))</f>
      </c>
    </row>
    <row r="1128">
      <c r="E1128">
        <f>IF(DATOS!$I1128="","",IFERROR(VLOOKUP(DATOS!$I1128,CONFIG_ASIGNATURAS!$B$2:$J$61,9,FALSE()),""))</f>
      </c>
    </row>
    <row r="1129">
      <c r="E1129">
        <f>IF(DATOS!$I1129="","",IFERROR(VLOOKUP(DATOS!$I1129,CONFIG_ASIGNATURAS!$B$2:$J$61,9,FALSE()),""))</f>
      </c>
    </row>
    <row r="1130">
      <c r="E1130">
        <f>IF(DATOS!$I1130="","",IFERROR(VLOOKUP(DATOS!$I1130,CONFIG_ASIGNATURAS!$B$2:$J$61,9,FALSE()),""))</f>
      </c>
    </row>
    <row r="1131">
      <c r="E1131">
        <f>IF(DATOS!$I1131="","",IFERROR(VLOOKUP(DATOS!$I1131,CONFIG_ASIGNATURAS!$B$2:$J$61,9,FALSE()),""))</f>
      </c>
    </row>
    <row r="1132">
      <c r="E1132">
        <f>IF(DATOS!$I1132="","",IFERROR(VLOOKUP(DATOS!$I1132,CONFIG_ASIGNATURAS!$B$2:$J$61,9,FALSE()),""))</f>
      </c>
    </row>
    <row r="1133">
      <c r="E1133">
        <f>IF(DATOS!$I1133="","",IFERROR(VLOOKUP(DATOS!$I1133,CONFIG_ASIGNATURAS!$B$2:$J$61,9,FALSE()),""))</f>
      </c>
    </row>
    <row r="1134">
      <c r="E1134">
        <f>IF(DATOS!$I1134="","",IFERROR(VLOOKUP(DATOS!$I1134,CONFIG_ASIGNATURAS!$B$2:$J$61,9,FALSE()),""))</f>
      </c>
    </row>
    <row r="1135">
      <c r="E1135">
        <f>IF(DATOS!$I1135="","",IFERROR(VLOOKUP(DATOS!$I1135,CONFIG_ASIGNATURAS!$B$2:$J$61,9,FALSE()),""))</f>
      </c>
    </row>
    <row r="1136">
      <c r="E1136">
        <f>IF(DATOS!$I1136="","",IFERROR(VLOOKUP(DATOS!$I1136,CONFIG_ASIGNATURAS!$B$2:$J$61,9,FALSE()),""))</f>
      </c>
    </row>
    <row r="1137">
      <c r="E1137">
        <f>IF(DATOS!$I1137="","",IFERROR(VLOOKUP(DATOS!$I1137,CONFIG_ASIGNATURAS!$B$2:$J$61,9,FALSE()),""))</f>
      </c>
    </row>
    <row r="1138">
      <c r="E1138">
        <f>IF(DATOS!$I1138="","",IFERROR(VLOOKUP(DATOS!$I1138,CONFIG_ASIGNATURAS!$B$2:$J$61,9,FALSE()),""))</f>
      </c>
    </row>
    <row r="1139">
      <c r="E1139">
        <f>IF(DATOS!$I1139="","",IFERROR(VLOOKUP(DATOS!$I1139,CONFIG_ASIGNATURAS!$B$2:$J$61,9,FALSE()),""))</f>
      </c>
    </row>
    <row r="1140">
      <c r="E1140">
        <f>IF(DATOS!$I1140="","",IFERROR(VLOOKUP(DATOS!$I1140,CONFIG_ASIGNATURAS!$B$2:$J$61,9,FALSE()),""))</f>
      </c>
    </row>
    <row r="1141">
      <c r="E1141">
        <f>IF(DATOS!$I1141="","",IFERROR(VLOOKUP(DATOS!$I1141,CONFIG_ASIGNATURAS!$B$2:$J$61,9,FALSE()),""))</f>
      </c>
    </row>
    <row r="1142">
      <c r="E1142">
        <f>IF(DATOS!$I1142="","",IFERROR(VLOOKUP(DATOS!$I1142,CONFIG_ASIGNATURAS!$B$2:$J$61,9,FALSE()),""))</f>
      </c>
    </row>
    <row r="1143">
      <c r="E1143">
        <f>IF(DATOS!$I1143="","",IFERROR(VLOOKUP(DATOS!$I1143,CONFIG_ASIGNATURAS!$B$2:$J$61,9,FALSE()),""))</f>
      </c>
    </row>
    <row r="1144">
      <c r="E1144">
        <f>IF(DATOS!$I1144="","",IFERROR(VLOOKUP(DATOS!$I1144,CONFIG_ASIGNATURAS!$B$2:$J$61,9,FALSE()),""))</f>
      </c>
    </row>
    <row r="1145">
      <c r="E1145">
        <f>IF(DATOS!$I1145="","",IFERROR(VLOOKUP(DATOS!$I1145,CONFIG_ASIGNATURAS!$B$2:$J$61,9,FALSE()),""))</f>
      </c>
    </row>
    <row r="1146">
      <c r="E1146">
        <f>IF(DATOS!$I1146="","",IFERROR(VLOOKUP(DATOS!$I1146,CONFIG_ASIGNATURAS!$B$2:$J$61,9,FALSE()),""))</f>
      </c>
    </row>
    <row r="1147">
      <c r="E1147">
        <f>IF(DATOS!$I1147="","",IFERROR(VLOOKUP(DATOS!$I1147,CONFIG_ASIGNATURAS!$B$2:$J$61,9,FALSE()),""))</f>
      </c>
    </row>
    <row r="1148">
      <c r="E1148">
        <f>IF(DATOS!$I1148="","",IFERROR(VLOOKUP(DATOS!$I1148,CONFIG_ASIGNATURAS!$B$2:$J$61,9,FALSE()),""))</f>
      </c>
    </row>
    <row r="1149">
      <c r="E1149">
        <f>IF(DATOS!$I1149="","",IFERROR(VLOOKUP(DATOS!$I1149,CONFIG_ASIGNATURAS!$B$2:$J$61,9,FALSE()),""))</f>
      </c>
    </row>
    <row r="1150">
      <c r="E1150">
        <f>IF(DATOS!$I1150="","",IFERROR(VLOOKUP(DATOS!$I1150,CONFIG_ASIGNATURAS!$B$2:$J$61,9,FALSE()),""))</f>
      </c>
    </row>
    <row r="1151">
      <c r="E1151">
        <f>IF(DATOS!$I1151="","",IFERROR(VLOOKUP(DATOS!$I1151,CONFIG_ASIGNATURAS!$B$2:$J$61,9,FALSE()),""))</f>
      </c>
    </row>
    <row r="1152">
      <c r="E1152">
        <f>IF(DATOS!$I1152="","",IFERROR(VLOOKUP(DATOS!$I1152,CONFIG_ASIGNATURAS!$B$2:$J$61,9,FALSE()),""))</f>
      </c>
    </row>
    <row r="1153">
      <c r="E1153">
        <f>IF(DATOS!$I1153="","",IFERROR(VLOOKUP(DATOS!$I1153,CONFIG_ASIGNATURAS!$B$2:$J$61,9,FALSE()),""))</f>
      </c>
    </row>
    <row r="1154">
      <c r="E1154">
        <f>IF(DATOS!$I1154="","",IFERROR(VLOOKUP(DATOS!$I1154,CONFIG_ASIGNATURAS!$B$2:$J$61,9,FALSE()),""))</f>
      </c>
    </row>
    <row r="1155">
      <c r="E1155">
        <f>IF(DATOS!$I1155="","",IFERROR(VLOOKUP(DATOS!$I1155,CONFIG_ASIGNATURAS!$B$2:$J$61,9,FALSE()),""))</f>
      </c>
    </row>
    <row r="1156">
      <c r="E1156">
        <f>IF(DATOS!$I1156="","",IFERROR(VLOOKUP(DATOS!$I1156,CONFIG_ASIGNATURAS!$B$2:$J$61,9,FALSE()),""))</f>
      </c>
    </row>
    <row r="1157">
      <c r="E1157">
        <f>IF(DATOS!$I1157="","",IFERROR(VLOOKUP(DATOS!$I1157,CONFIG_ASIGNATURAS!$B$2:$J$61,9,FALSE()),""))</f>
      </c>
    </row>
    <row r="1158">
      <c r="E1158">
        <f>IF(DATOS!$I1158="","",IFERROR(VLOOKUP(DATOS!$I1158,CONFIG_ASIGNATURAS!$B$2:$J$61,9,FALSE()),""))</f>
      </c>
    </row>
    <row r="1159">
      <c r="E1159">
        <f>IF(DATOS!$I1159="","",IFERROR(VLOOKUP(DATOS!$I1159,CONFIG_ASIGNATURAS!$B$2:$J$61,9,FALSE()),""))</f>
      </c>
    </row>
    <row r="1160">
      <c r="E1160">
        <f>IF(DATOS!$I1160="","",IFERROR(VLOOKUP(DATOS!$I1160,CONFIG_ASIGNATURAS!$B$2:$J$61,9,FALSE()),""))</f>
      </c>
    </row>
    <row r="1161">
      <c r="E1161">
        <f>IF(DATOS!$I1161="","",IFERROR(VLOOKUP(DATOS!$I1161,CONFIG_ASIGNATURAS!$B$2:$J$61,9,FALSE()),""))</f>
      </c>
    </row>
    <row r="1162">
      <c r="E1162">
        <f>IF(DATOS!$I1162="","",IFERROR(VLOOKUP(DATOS!$I1162,CONFIG_ASIGNATURAS!$B$2:$J$61,9,FALSE()),""))</f>
      </c>
    </row>
    <row r="1163">
      <c r="E1163">
        <f>IF(DATOS!$I1163="","",IFERROR(VLOOKUP(DATOS!$I1163,CONFIG_ASIGNATURAS!$B$2:$J$61,9,FALSE()),""))</f>
      </c>
    </row>
    <row r="1164">
      <c r="E1164">
        <f>IF(DATOS!$I1164="","",IFERROR(VLOOKUP(DATOS!$I1164,CONFIG_ASIGNATURAS!$B$2:$J$61,9,FALSE()),""))</f>
      </c>
    </row>
    <row r="1165">
      <c r="E1165">
        <f>IF(DATOS!$I1165="","",IFERROR(VLOOKUP(DATOS!$I1165,CONFIG_ASIGNATURAS!$B$2:$J$61,9,FALSE()),""))</f>
      </c>
    </row>
    <row r="1166">
      <c r="E1166">
        <f>IF(DATOS!$I1166="","",IFERROR(VLOOKUP(DATOS!$I1166,CONFIG_ASIGNATURAS!$B$2:$J$61,9,FALSE()),""))</f>
      </c>
    </row>
    <row r="1167">
      <c r="E1167">
        <f>IF(DATOS!$I1167="","",IFERROR(VLOOKUP(DATOS!$I1167,CONFIG_ASIGNATURAS!$B$2:$J$61,9,FALSE()),""))</f>
      </c>
    </row>
    <row r="1168">
      <c r="E1168">
        <f>IF(DATOS!$I1168="","",IFERROR(VLOOKUP(DATOS!$I1168,CONFIG_ASIGNATURAS!$B$2:$J$61,9,FALSE()),""))</f>
      </c>
    </row>
    <row r="1169">
      <c r="E1169">
        <f>IF(DATOS!$I1169="","",IFERROR(VLOOKUP(DATOS!$I1169,CONFIG_ASIGNATURAS!$B$2:$J$61,9,FALSE()),""))</f>
      </c>
    </row>
    <row r="1170">
      <c r="E1170">
        <f>IF(DATOS!$I1170="","",IFERROR(VLOOKUP(DATOS!$I1170,CONFIG_ASIGNATURAS!$B$2:$J$61,9,FALSE()),""))</f>
      </c>
    </row>
    <row r="1171">
      <c r="E1171">
        <f>IF(DATOS!$I1171="","",IFERROR(VLOOKUP(DATOS!$I1171,CONFIG_ASIGNATURAS!$B$2:$J$61,9,FALSE()),""))</f>
      </c>
    </row>
    <row r="1172">
      <c r="E1172">
        <f>IF(DATOS!$I1172="","",IFERROR(VLOOKUP(DATOS!$I1172,CONFIG_ASIGNATURAS!$B$2:$J$61,9,FALSE()),""))</f>
      </c>
    </row>
    <row r="1173">
      <c r="E1173">
        <f>IF(DATOS!$I1173="","",IFERROR(VLOOKUP(DATOS!$I1173,CONFIG_ASIGNATURAS!$B$2:$J$61,9,FALSE()),""))</f>
      </c>
    </row>
    <row r="1174">
      <c r="E1174">
        <f>IF(DATOS!$I1174="","",IFERROR(VLOOKUP(DATOS!$I1174,CONFIG_ASIGNATURAS!$B$2:$J$61,9,FALSE()),""))</f>
      </c>
    </row>
    <row r="1175">
      <c r="E1175">
        <f>IF(DATOS!$I1175="","",IFERROR(VLOOKUP(DATOS!$I1175,CONFIG_ASIGNATURAS!$B$2:$J$61,9,FALSE()),""))</f>
      </c>
    </row>
    <row r="1176">
      <c r="E1176">
        <f>IF(DATOS!$I1176="","",IFERROR(VLOOKUP(DATOS!$I1176,CONFIG_ASIGNATURAS!$B$2:$J$61,9,FALSE()),""))</f>
      </c>
    </row>
    <row r="1177">
      <c r="E1177">
        <f>IF(DATOS!$I1177="","",IFERROR(VLOOKUP(DATOS!$I1177,CONFIG_ASIGNATURAS!$B$2:$J$61,9,FALSE()),""))</f>
      </c>
    </row>
    <row r="1178">
      <c r="E1178">
        <f>IF(DATOS!$I1178="","",IFERROR(VLOOKUP(DATOS!$I1178,CONFIG_ASIGNATURAS!$B$2:$J$61,9,FALSE()),""))</f>
      </c>
    </row>
    <row r="1179">
      <c r="E1179">
        <f>IF(DATOS!$I1179="","",IFERROR(VLOOKUP(DATOS!$I1179,CONFIG_ASIGNATURAS!$B$2:$J$61,9,FALSE()),""))</f>
      </c>
    </row>
    <row r="1180">
      <c r="E1180">
        <f>IF(DATOS!$I1180="","",IFERROR(VLOOKUP(DATOS!$I1180,CONFIG_ASIGNATURAS!$B$2:$J$61,9,FALSE()),""))</f>
      </c>
    </row>
    <row r="1181">
      <c r="E1181">
        <f>IF(DATOS!$I1181="","",IFERROR(VLOOKUP(DATOS!$I1181,CONFIG_ASIGNATURAS!$B$2:$J$61,9,FALSE()),""))</f>
      </c>
    </row>
    <row r="1182">
      <c r="E1182">
        <f>IF(DATOS!$I1182="","",IFERROR(VLOOKUP(DATOS!$I1182,CONFIG_ASIGNATURAS!$B$2:$J$61,9,FALSE()),""))</f>
      </c>
    </row>
    <row r="1183">
      <c r="E1183">
        <f>IF(DATOS!$I1183="","",IFERROR(VLOOKUP(DATOS!$I1183,CONFIG_ASIGNATURAS!$B$2:$J$61,9,FALSE()),""))</f>
      </c>
    </row>
    <row r="1184">
      <c r="E1184">
        <f>IF(DATOS!$I1184="","",IFERROR(VLOOKUP(DATOS!$I1184,CONFIG_ASIGNATURAS!$B$2:$J$61,9,FALSE()),""))</f>
      </c>
    </row>
    <row r="1185">
      <c r="E1185">
        <f>IF(DATOS!$I1185="","",IFERROR(VLOOKUP(DATOS!$I1185,CONFIG_ASIGNATURAS!$B$2:$J$61,9,FALSE()),""))</f>
      </c>
    </row>
    <row r="1186">
      <c r="E1186">
        <f>IF(DATOS!$I1186="","",IFERROR(VLOOKUP(DATOS!$I1186,CONFIG_ASIGNATURAS!$B$2:$J$61,9,FALSE()),""))</f>
      </c>
    </row>
    <row r="1187">
      <c r="E1187">
        <f>IF(DATOS!$I1187="","",IFERROR(VLOOKUP(DATOS!$I1187,CONFIG_ASIGNATURAS!$B$2:$J$61,9,FALSE()),""))</f>
      </c>
    </row>
    <row r="1188">
      <c r="E1188">
        <f>IF(DATOS!$I1188="","",IFERROR(VLOOKUP(DATOS!$I1188,CONFIG_ASIGNATURAS!$B$2:$J$61,9,FALSE()),""))</f>
      </c>
    </row>
    <row r="1189">
      <c r="E1189">
        <f>IF(DATOS!$I1189="","",IFERROR(VLOOKUP(DATOS!$I1189,CONFIG_ASIGNATURAS!$B$2:$J$61,9,FALSE()),""))</f>
      </c>
    </row>
    <row r="1190">
      <c r="E1190">
        <f>IF(DATOS!$I1190="","",IFERROR(VLOOKUP(DATOS!$I1190,CONFIG_ASIGNATURAS!$B$2:$J$61,9,FALSE()),""))</f>
      </c>
    </row>
    <row r="1191">
      <c r="E1191">
        <f>IF(DATOS!$I1191="","",IFERROR(VLOOKUP(DATOS!$I1191,CONFIG_ASIGNATURAS!$B$2:$J$61,9,FALSE()),""))</f>
      </c>
    </row>
    <row r="1192">
      <c r="E1192">
        <f>IF(DATOS!$I1192="","",IFERROR(VLOOKUP(DATOS!$I1192,CONFIG_ASIGNATURAS!$B$2:$J$61,9,FALSE()),""))</f>
      </c>
    </row>
    <row r="1193">
      <c r="E1193">
        <f>IF(DATOS!$I1193="","",IFERROR(VLOOKUP(DATOS!$I1193,CONFIG_ASIGNATURAS!$B$2:$J$61,9,FALSE()),""))</f>
      </c>
    </row>
    <row r="1194">
      <c r="E1194">
        <f>IF(DATOS!$I1194="","",IFERROR(VLOOKUP(DATOS!$I1194,CONFIG_ASIGNATURAS!$B$2:$J$61,9,FALSE()),""))</f>
      </c>
    </row>
    <row r="1195">
      <c r="E1195">
        <f>IF(DATOS!$I1195="","",IFERROR(VLOOKUP(DATOS!$I1195,CONFIG_ASIGNATURAS!$B$2:$J$61,9,FALSE()),""))</f>
      </c>
    </row>
    <row r="1196">
      <c r="E1196">
        <f>IF(DATOS!$I1196="","",IFERROR(VLOOKUP(DATOS!$I1196,CONFIG_ASIGNATURAS!$B$2:$J$61,9,FALSE()),""))</f>
      </c>
    </row>
    <row r="1197">
      <c r="E1197">
        <f>IF(DATOS!$I1197="","",IFERROR(VLOOKUP(DATOS!$I1197,CONFIG_ASIGNATURAS!$B$2:$J$61,9,FALSE()),""))</f>
      </c>
    </row>
    <row r="1198">
      <c r="E1198">
        <f>IF(DATOS!$I1198="","",IFERROR(VLOOKUP(DATOS!$I1198,CONFIG_ASIGNATURAS!$B$2:$J$61,9,FALSE()),""))</f>
      </c>
    </row>
    <row r="1199">
      <c r="E1199">
        <f>IF(DATOS!$I1199="","",IFERROR(VLOOKUP(DATOS!$I1199,CONFIG_ASIGNATURAS!$B$2:$J$61,9,FALSE()),""))</f>
      </c>
    </row>
    <row r="1200">
      <c r="E1200">
        <f>IF(DATOS!$I1200="","",IFERROR(VLOOKUP(DATOS!$I1200,CONFIG_ASIGNATURAS!$B$2:$J$61,9,FALSE()),""))</f>
      </c>
    </row>
    <row r="1201">
      <c r="E1201">
        <f>IF(DATOS!$I1201="","",IFERROR(VLOOKUP(DATOS!$I1201,CONFIG_ASIGNATURAS!$B$2:$J$61,9,FALSE()),""))</f>
      </c>
    </row>
    <row r="1202">
      <c r="E1202">
        <f>IF(DATOS!$I1202="","",IFERROR(VLOOKUP(DATOS!$I1202,CONFIG_ASIGNATURAS!$B$2:$J$61,9,FALSE()),""))</f>
      </c>
    </row>
    <row r="1203">
      <c r="E1203">
        <f>IF(DATOS!$I1203="","",IFERROR(VLOOKUP(DATOS!$I1203,CONFIG_ASIGNATURAS!$B$2:$J$61,9,FALSE()),""))</f>
      </c>
    </row>
    <row r="1204">
      <c r="E1204">
        <f>IF(DATOS!$I1204="","",IFERROR(VLOOKUP(DATOS!$I1204,CONFIG_ASIGNATURAS!$B$2:$J$61,9,FALSE()),""))</f>
      </c>
    </row>
    <row r="1205">
      <c r="E1205">
        <f>IF(DATOS!$I1205="","",IFERROR(VLOOKUP(DATOS!$I1205,CONFIG_ASIGNATURAS!$B$2:$J$61,9,FALSE()),""))</f>
      </c>
    </row>
    <row r="1206">
      <c r="E1206">
        <f>IF(DATOS!$I1206="","",IFERROR(VLOOKUP(DATOS!$I1206,CONFIG_ASIGNATURAS!$B$2:$J$61,9,FALSE()),""))</f>
      </c>
    </row>
    <row r="1207">
      <c r="E1207">
        <f>IF(DATOS!$I1207="","",IFERROR(VLOOKUP(DATOS!$I1207,CONFIG_ASIGNATURAS!$B$2:$J$61,9,FALSE()),""))</f>
      </c>
    </row>
    <row r="1208">
      <c r="E1208">
        <f>IF(DATOS!$I1208="","",IFERROR(VLOOKUP(DATOS!$I1208,CONFIG_ASIGNATURAS!$B$2:$J$61,9,FALSE()),""))</f>
      </c>
    </row>
    <row r="1209">
      <c r="E1209">
        <f>IF(DATOS!$I1209="","",IFERROR(VLOOKUP(DATOS!$I1209,CONFIG_ASIGNATURAS!$B$2:$J$61,9,FALSE()),""))</f>
      </c>
    </row>
    <row r="1210">
      <c r="E1210">
        <f>IF(DATOS!$I1210="","",IFERROR(VLOOKUP(DATOS!$I1210,CONFIG_ASIGNATURAS!$B$2:$J$61,9,FALSE()),""))</f>
      </c>
    </row>
    <row r="1211">
      <c r="E1211">
        <f>IF(DATOS!$I1211="","",IFERROR(VLOOKUP(DATOS!$I1211,CONFIG_ASIGNATURAS!$B$2:$J$61,9,FALSE()),""))</f>
      </c>
    </row>
    <row r="1212">
      <c r="E1212">
        <f>IF(DATOS!$I1212="","",IFERROR(VLOOKUP(DATOS!$I1212,CONFIG_ASIGNATURAS!$B$2:$J$61,9,FALSE()),""))</f>
      </c>
    </row>
    <row r="1213">
      <c r="E1213">
        <f>IF(DATOS!$I1213="","",IFERROR(VLOOKUP(DATOS!$I1213,CONFIG_ASIGNATURAS!$B$2:$J$61,9,FALSE()),""))</f>
      </c>
    </row>
    <row r="1214">
      <c r="E1214">
        <f>IF(DATOS!$I1214="","",IFERROR(VLOOKUP(DATOS!$I1214,CONFIG_ASIGNATURAS!$B$2:$J$61,9,FALSE()),""))</f>
      </c>
    </row>
    <row r="1215">
      <c r="E1215">
        <f>IF(DATOS!$I1215="","",IFERROR(VLOOKUP(DATOS!$I1215,CONFIG_ASIGNATURAS!$B$2:$J$61,9,FALSE()),""))</f>
      </c>
    </row>
    <row r="1216">
      <c r="E1216">
        <f>IF(DATOS!$I1216="","",IFERROR(VLOOKUP(DATOS!$I1216,CONFIG_ASIGNATURAS!$B$2:$J$61,9,FALSE()),""))</f>
      </c>
    </row>
    <row r="1217">
      <c r="E1217">
        <f>IF(DATOS!$I1217="","",IFERROR(VLOOKUP(DATOS!$I1217,CONFIG_ASIGNATURAS!$B$2:$J$61,9,FALSE()),""))</f>
      </c>
    </row>
    <row r="1218">
      <c r="E1218">
        <f>IF(DATOS!$I1218="","",IFERROR(VLOOKUP(DATOS!$I1218,CONFIG_ASIGNATURAS!$B$2:$J$61,9,FALSE()),""))</f>
      </c>
    </row>
    <row r="1219">
      <c r="E1219">
        <f>IF(DATOS!$I1219="","",IFERROR(VLOOKUP(DATOS!$I1219,CONFIG_ASIGNATURAS!$B$2:$J$61,9,FALSE()),""))</f>
      </c>
    </row>
    <row r="1220">
      <c r="E1220">
        <f>IF(DATOS!$I1220="","",IFERROR(VLOOKUP(DATOS!$I1220,CONFIG_ASIGNATURAS!$B$2:$J$61,9,FALSE()),""))</f>
      </c>
    </row>
    <row r="1221">
      <c r="E1221">
        <f>IF(DATOS!$I1221="","",IFERROR(VLOOKUP(DATOS!$I1221,CONFIG_ASIGNATURAS!$B$2:$J$61,9,FALSE()),""))</f>
      </c>
    </row>
    <row r="1222">
      <c r="E1222">
        <f>IF(DATOS!$I1222="","",IFERROR(VLOOKUP(DATOS!$I1222,CONFIG_ASIGNATURAS!$B$2:$J$61,9,FALSE()),""))</f>
      </c>
    </row>
    <row r="1223">
      <c r="E1223">
        <f>IF(DATOS!$I1223="","",IFERROR(VLOOKUP(DATOS!$I1223,CONFIG_ASIGNATURAS!$B$2:$J$61,9,FALSE()),""))</f>
      </c>
    </row>
    <row r="1224">
      <c r="E1224">
        <f>IF(DATOS!$I1224="","",IFERROR(VLOOKUP(DATOS!$I1224,CONFIG_ASIGNATURAS!$B$2:$J$61,9,FALSE()),""))</f>
      </c>
    </row>
    <row r="1225">
      <c r="E1225">
        <f>IF(DATOS!$I1225="","",IFERROR(VLOOKUP(DATOS!$I1225,CONFIG_ASIGNATURAS!$B$2:$J$61,9,FALSE()),""))</f>
      </c>
    </row>
    <row r="1226">
      <c r="E1226">
        <f>IF(DATOS!$I1226="","",IFERROR(VLOOKUP(DATOS!$I1226,CONFIG_ASIGNATURAS!$B$2:$J$61,9,FALSE()),""))</f>
      </c>
    </row>
    <row r="1227">
      <c r="E1227">
        <f>IF(DATOS!$I1227="","",IFERROR(VLOOKUP(DATOS!$I1227,CONFIG_ASIGNATURAS!$B$2:$J$61,9,FALSE()),""))</f>
      </c>
    </row>
    <row r="1228">
      <c r="E1228">
        <f>IF(DATOS!$I1228="","",IFERROR(VLOOKUP(DATOS!$I1228,CONFIG_ASIGNATURAS!$B$2:$J$61,9,FALSE()),""))</f>
      </c>
    </row>
    <row r="1229">
      <c r="E1229">
        <f>IF(DATOS!$I1229="","",IFERROR(VLOOKUP(DATOS!$I1229,CONFIG_ASIGNATURAS!$B$2:$J$61,9,FALSE()),""))</f>
      </c>
    </row>
    <row r="1230">
      <c r="E1230">
        <f>IF(DATOS!$I1230="","",IFERROR(VLOOKUP(DATOS!$I1230,CONFIG_ASIGNATURAS!$B$2:$J$61,9,FALSE()),""))</f>
      </c>
    </row>
    <row r="1231">
      <c r="E1231">
        <f>IF(DATOS!$I1231="","",IFERROR(VLOOKUP(DATOS!$I1231,CONFIG_ASIGNATURAS!$B$2:$J$61,9,FALSE()),""))</f>
      </c>
    </row>
    <row r="1232">
      <c r="E1232">
        <f>IF(DATOS!$I1232="","",IFERROR(VLOOKUP(DATOS!$I1232,CONFIG_ASIGNATURAS!$B$2:$J$61,9,FALSE()),""))</f>
      </c>
    </row>
    <row r="1233">
      <c r="E1233">
        <f>IF(DATOS!$I1233="","",IFERROR(VLOOKUP(DATOS!$I1233,CONFIG_ASIGNATURAS!$B$2:$J$61,9,FALSE()),""))</f>
      </c>
    </row>
    <row r="1234">
      <c r="E1234">
        <f>IF(DATOS!$I1234="","",IFERROR(VLOOKUP(DATOS!$I1234,CONFIG_ASIGNATURAS!$B$2:$J$61,9,FALSE()),""))</f>
      </c>
    </row>
    <row r="1235">
      <c r="E1235">
        <f>IF(DATOS!$I1235="","",IFERROR(VLOOKUP(DATOS!$I1235,CONFIG_ASIGNATURAS!$B$2:$J$61,9,FALSE()),""))</f>
      </c>
    </row>
    <row r="1236">
      <c r="E1236">
        <f>IF(DATOS!$I1236="","",IFERROR(VLOOKUP(DATOS!$I1236,CONFIG_ASIGNATURAS!$B$2:$J$61,9,FALSE()),""))</f>
      </c>
    </row>
    <row r="1237">
      <c r="E1237">
        <f>IF(DATOS!$I1237="","",IFERROR(VLOOKUP(DATOS!$I1237,CONFIG_ASIGNATURAS!$B$2:$J$61,9,FALSE()),""))</f>
      </c>
    </row>
    <row r="1238">
      <c r="E1238">
        <f>IF(DATOS!$I1238="","",IFERROR(VLOOKUP(DATOS!$I1238,CONFIG_ASIGNATURAS!$B$2:$J$61,9,FALSE()),""))</f>
      </c>
    </row>
    <row r="1239">
      <c r="E1239">
        <f>IF(DATOS!$I1239="","",IFERROR(VLOOKUP(DATOS!$I1239,CONFIG_ASIGNATURAS!$B$2:$J$61,9,FALSE()),""))</f>
      </c>
    </row>
    <row r="1240">
      <c r="E1240">
        <f>IF(DATOS!$I1240="","",IFERROR(VLOOKUP(DATOS!$I1240,CONFIG_ASIGNATURAS!$B$2:$J$61,9,FALSE()),""))</f>
      </c>
    </row>
    <row r="1241">
      <c r="E1241">
        <f>IF(DATOS!$I1241="","",IFERROR(VLOOKUP(DATOS!$I1241,CONFIG_ASIGNATURAS!$B$2:$J$61,9,FALSE()),""))</f>
      </c>
    </row>
    <row r="1242">
      <c r="E1242">
        <f>IF(DATOS!$I1242="","",IFERROR(VLOOKUP(DATOS!$I1242,CONFIG_ASIGNATURAS!$B$2:$J$61,9,FALSE()),""))</f>
      </c>
    </row>
    <row r="1243">
      <c r="E1243">
        <f>IF(DATOS!$I1243="","",IFERROR(VLOOKUP(DATOS!$I1243,CONFIG_ASIGNATURAS!$B$2:$J$61,9,FALSE()),""))</f>
      </c>
    </row>
    <row r="1244">
      <c r="E1244">
        <f>IF(DATOS!$I1244="","",IFERROR(VLOOKUP(DATOS!$I1244,CONFIG_ASIGNATURAS!$B$2:$J$61,9,FALSE()),""))</f>
      </c>
    </row>
    <row r="1245">
      <c r="E1245">
        <f>IF(DATOS!$I1245="","",IFERROR(VLOOKUP(DATOS!$I1245,CONFIG_ASIGNATURAS!$B$2:$J$61,9,FALSE()),""))</f>
      </c>
    </row>
    <row r="1246">
      <c r="E1246">
        <f>IF(DATOS!$I1246="","",IFERROR(VLOOKUP(DATOS!$I1246,CONFIG_ASIGNATURAS!$B$2:$J$61,9,FALSE()),""))</f>
      </c>
    </row>
    <row r="1247">
      <c r="E1247">
        <f>IF(DATOS!$I1247="","",IFERROR(VLOOKUP(DATOS!$I1247,CONFIG_ASIGNATURAS!$B$2:$J$61,9,FALSE()),""))</f>
      </c>
    </row>
    <row r="1248">
      <c r="E1248">
        <f>IF(DATOS!$I1248="","",IFERROR(VLOOKUP(DATOS!$I1248,CONFIG_ASIGNATURAS!$B$2:$J$61,9,FALSE()),""))</f>
      </c>
    </row>
    <row r="1249">
      <c r="E1249">
        <f>IF(DATOS!$I1249="","",IFERROR(VLOOKUP(DATOS!$I1249,CONFIG_ASIGNATURAS!$B$2:$J$61,9,FALSE()),""))</f>
      </c>
    </row>
    <row r="1250">
      <c r="E1250">
        <f>IF(DATOS!$I1250="","",IFERROR(VLOOKUP(DATOS!$I1250,CONFIG_ASIGNATURAS!$B$2:$J$61,9,FALSE()),""))</f>
      </c>
    </row>
    <row r="1251">
      <c r="E1251">
        <f>IF(DATOS!$I1251="","",IFERROR(VLOOKUP(DATOS!$I1251,CONFIG_ASIGNATURAS!$B$2:$J$61,9,FALSE()),""))</f>
      </c>
    </row>
    <row r="1252">
      <c r="E1252">
        <f>IF(DATOS!$I1252="","",IFERROR(VLOOKUP(DATOS!$I1252,CONFIG_ASIGNATURAS!$B$2:$J$61,9,FALSE()),""))</f>
      </c>
    </row>
    <row r="1253">
      <c r="E1253">
        <f>IF(DATOS!$I1253="","",IFERROR(VLOOKUP(DATOS!$I1253,CONFIG_ASIGNATURAS!$B$2:$J$61,9,FALSE()),""))</f>
      </c>
    </row>
    <row r="1254">
      <c r="E1254">
        <f>IF(DATOS!$I1254="","",IFERROR(VLOOKUP(DATOS!$I1254,CONFIG_ASIGNATURAS!$B$2:$J$61,9,FALSE()),""))</f>
      </c>
    </row>
    <row r="1255">
      <c r="E1255">
        <f>IF(DATOS!$I1255="","",IFERROR(VLOOKUP(DATOS!$I1255,CONFIG_ASIGNATURAS!$B$2:$J$61,9,FALSE()),""))</f>
      </c>
    </row>
    <row r="1256">
      <c r="E1256">
        <f>IF(DATOS!$I1256="","",IFERROR(VLOOKUP(DATOS!$I1256,CONFIG_ASIGNATURAS!$B$2:$J$61,9,FALSE()),""))</f>
      </c>
    </row>
    <row r="1257">
      <c r="E1257">
        <f>IF(DATOS!$I1257="","",IFERROR(VLOOKUP(DATOS!$I1257,CONFIG_ASIGNATURAS!$B$2:$J$61,9,FALSE()),""))</f>
      </c>
    </row>
    <row r="1258">
      <c r="E1258">
        <f>IF(DATOS!$I1258="","",IFERROR(VLOOKUP(DATOS!$I1258,CONFIG_ASIGNATURAS!$B$2:$J$61,9,FALSE()),""))</f>
      </c>
    </row>
    <row r="1259">
      <c r="E1259">
        <f>IF(DATOS!$I1259="","",IFERROR(VLOOKUP(DATOS!$I1259,CONFIG_ASIGNATURAS!$B$2:$J$61,9,FALSE()),""))</f>
      </c>
    </row>
    <row r="1260">
      <c r="E1260">
        <f>IF(DATOS!$I1260="","",IFERROR(VLOOKUP(DATOS!$I1260,CONFIG_ASIGNATURAS!$B$2:$J$61,9,FALSE()),""))</f>
      </c>
    </row>
    <row r="1261">
      <c r="E1261">
        <f>IF(DATOS!$I1261="","",IFERROR(VLOOKUP(DATOS!$I1261,CONFIG_ASIGNATURAS!$B$2:$J$61,9,FALSE()),""))</f>
      </c>
    </row>
    <row r="1262">
      <c r="E1262">
        <f>IF(DATOS!$I1262="","",IFERROR(VLOOKUP(DATOS!$I1262,CONFIG_ASIGNATURAS!$B$2:$J$61,9,FALSE()),""))</f>
      </c>
    </row>
    <row r="1263">
      <c r="E1263">
        <f>IF(DATOS!$I1263="","",IFERROR(VLOOKUP(DATOS!$I1263,CONFIG_ASIGNATURAS!$B$2:$J$61,9,FALSE()),""))</f>
      </c>
    </row>
    <row r="1264">
      <c r="E1264">
        <f>IF(DATOS!$I1264="","",IFERROR(VLOOKUP(DATOS!$I1264,CONFIG_ASIGNATURAS!$B$2:$J$61,9,FALSE()),""))</f>
      </c>
    </row>
    <row r="1265">
      <c r="E1265">
        <f>IF(DATOS!$I1265="","",IFERROR(VLOOKUP(DATOS!$I1265,CONFIG_ASIGNATURAS!$B$2:$J$61,9,FALSE()),""))</f>
      </c>
    </row>
    <row r="1266">
      <c r="E1266">
        <f>IF(DATOS!$I1266="","",IFERROR(VLOOKUP(DATOS!$I1266,CONFIG_ASIGNATURAS!$B$2:$J$61,9,FALSE()),""))</f>
      </c>
    </row>
    <row r="1267">
      <c r="E1267">
        <f>IF(DATOS!$I1267="","",IFERROR(VLOOKUP(DATOS!$I1267,CONFIG_ASIGNATURAS!$B$2:$J$61,9,FALSE()),""))</f>
      </c>
    </row>
    <row r="1268">
      <c r="E1268">
        <f>IF(DATOS!$I1268="","",IFERROR(VLOOKUP(DATOS!$I1268,CONFIG_ASIGNATURAS!$B$2:$J$61,9,FALSE()),""))</f>
      </c>
    </row>
    <row r="1269">
      <c r="E1269">
        <f>IF(DATOS!$I1269="","",IFERROR(VLOOKUP(DATOS!$I1269,CONFIG_ASIGNATURAS!$B$2:$J$61,9,FALSE()),""))</f>
      </c>
    </row>
    <row r="1270">
      <c r="E1270">
        <f>IF(DATOS!$I1270="","",IFERROR(VLOOKUP(DATOS!$I1270,CONFIG_ASIGNATURAS!$B$2:$J$61,9,FALSE()),""))</f>
      </c>
    </row>
    <row r="1271">
      <c r="E1271">
        <f>IF(DATOS!$I1271="","",IFERROR(VLOOKUP(DATOS!$I1271,CONFIG_ASIGNATURAS!$B$2:$J$61,9,FALSE()),""))</f>
      </c>
    </row>
    <row r="1272">
      <c r="E1272">
        <f>IF(DATOS!$I1272="","",IFERROR(VLOOKUP(DATOS!$I1272,CONFIG_ASIGNATURAS!$B$2:$J$61,9,FALSE()),""))</f>
      </c>
    </row>
    <row r="1273">
      <c r="E1273">
        <f>IF(DATOS!$I1273="","",IFERROR(VLOOKUP(DATOS!$I1273,CONFIG_ASIGNATURAS!$B$2:$J$61,9,FALSE()),""))</f>
      </c>
    </row>
    <row r="1274">
      <c r="E1274">
        <f>IF(DATOS!$I1274="","",IFERROR(VLOOKUP(DATOS!$I1274,CONFIG_ASIGNATURAS!$B$2:$J$61,9,FALSE()),""))</f>
      </c>
    </row>
    <row r="1275">
      <c r="E1275">
        <f>IF(DATOS!$I1275="","",IFERROR(VLOOKUP(DATOS!$I1275,CONFIG_ASIGNATURAS!$B$2:$J$61,9,FALSE()),""))</f>
      </c>
    </row>
    <row r="1276">
      <c r="E1276">
        <f>IF(DATOS!$I1276="","",IFERROR(VLOOKUP(DATOS!$I1276,CONFIG_ASIGNATURAS!$B$2:$J$61,9,FALSE()),""))</f>
      </c>
    </row>
    <row r="1277">
      <c r="E1277">
        <f>IF(DATOS!$I1277="","",IFERROR(VLOOKUP(DATOS!$I1277,CONFIG_ASIGNATURAS!$B$2:$J$61,9,FALSE()),""))</f>
      </c>
    </row>
    <row r="1278">
      <c r="E1278">
        <f>IF(DATOS!$I1278="","",IFERROR(VLOOKUP(DATOS!$I1278,CONFIG_ASIGNATURAS!$B$2:$J$61,9,FALSE()),""))</f>
      </c>
    </row>
    <row r="1279">
      <c r="E1279">
        <f>IF(DATOS!$I1279="","",IFERROR(VLOOKUP(DATOS!$I1279,CONFIG_ASIGNATURAS!$B$2:$J$61,9,FALSE()),""))</f>
      </c>
    </row>
    <row r="1280">
      <c r="E1280">
        <f>IF(DATOS!$I1280="","",IFERROR(VLOOKUP(DATOS!$I1280,CONFIG_ASIGNATURAS!$B$2:$J$61,9,FALSE()),""))</f>
      </c>
    </row>
    <row r="1281">
      <c r="E1281">
        <f>IF(DATOS!$I1281="","",IFERROR(VLOOKUP(DATOS!$I1281,CONFIG_ASIGNATURAS!$B$2:$J$61,9,FALSE()),""))</f>
      </c>
    </row>
    <row r="1282">
      <c r="E1282">
        <f>IF(DATOS!$I1282="","",IFERROR(VLOOKUP(DATOS!$I1282,CONFIG_ASIGNATURAS!$B$2:$J$61,9,FALSE()),""))</f>
      </c>
    </row>
    <row r="1283">
      <c r="E1283">
        <f>IF(DATOS!$I1283="","",IFERROR(VLOOKUP(DATOS!$I1283,CONFIG_ASIGNATURAS!$B$2:$J$61,9,FALSE()),""))</f>
      </c>
    </row>
    <row r="1284">
      <c r="E1284">
        <f>IF(DATOS!$I1284="","",IFERROR(VLOOKUP(DATOS!$I1284,CONFIG_ASIGNATURAS!$B$2:$J$61,9,FALSE()),""))</f>
      </c>
    </row>
    <row r="1285">
      <c r="E1285">
        <f>IF(DATOS!$I1285="","",IFERROR(VLOOKUP(DATOS!$I1285,CONFIG_ASIGNATURAS!$B$2:$J$61,9,FALSE()),""))</f>
      </c>
    </row>
    <row r="1286">
      <c r="E1286">
        <f>IF(DATOS!$I1286="","",IFERROR(VLOOKUP(DATOS!$I1286,CONFIG_ASIGNATURAS!$B$2:$J$61,9,FALSE()),""))</f>
      </c>
    </row>
    <row r="1287">
      <c r="E1287">
        <f>IF(DATOS!$I1287="","",IFERROR(VLOOKUP(DATOS!$I1287,CONFIG_ASIGNATURAS!$B$2:$J$61,9,FALSE()),""))</f>
      </c>
    </row>
    <row r="1288">
      <c r="E1288">
        <f>IF(DATOS!$I1288="","",IFERROR(VLOOKUP(DATOS!$I1288,CONFIG_ASIGNATURAS!$B$2:$J$61,9,FALSE()),""))</f>
      </c>
    </row>
    <row r="1289">
      <c r="E1289">
        <f>IF(DATOS!$I1289="","",IFERROR(VLOOKUP(DATOS!$I1289,CONFIG_ASIGNATURAS!$B$2:$J$61,9,FALSE()),""))</f>
      </c>
    </row>
    <row r="1290">
      <c r="E1290">
        <f>IF(DATOS!$I1290="","",IFERROR(VLOOKUP(DATOS!$I1290,CONFIG_ASIGNATURAS!$B$2:$J$61,9,FALSE()),""))</f>
      </c>
    </row>
    <row r="1291">
      <c r="E1291">
        <f>IF(DATOS!$I1291="","",IFERROR(VLOOKUP(DATOS!$I1291,CONFIG_ASIGNATURAS!$B$2:$J$61,9,FALSE()),""))</f>
      </c>
    </row>
    <row r="1292">
      <c r="E1292">
        <f>IF(DATOS!$I1292="","",IFERROR(VLOOKUP(DATOS!$I1292,CONFIG_ASIGNATURAS!$B$2:$J$61,9,FALSE()),""))</f>
      </c>
    </row>
    <row r="1293">
      <c r="E1293">
        <f>IF(DATOS!$I1293="","",IFERROR(VLOOKUP(DATOS!$I1293,CONFIG_ASIGNATURAS!$B$2:$J$61,9,FALSE()),""))</f>
      </c>
    </row>
    <row r="1294">
      <c r="E1294">
        <f>IF(DATOS!$I1294="","",IFERROR(VLOOKUP(DATOS!$I1294,CONFIG_ASIGNATURAS!$B$2:$J$61,9,FALSE()),""))</f>
      </c>
    </row>
    <row r="1295">
      <c r="E1295">
        <f>IF(DATOS!$I1295="","",IFERROR(VLOOKUP(DATOS!$I1295,CONFIG_ASIGNATURAS!$B$2:$J$61,9,FALSE()),""))</f>
      </c>
    </row>
    <row r="1296">
      <c r="E1296">
        <f>IF(DATOS!$I1296="","",IFERROR(VLOOKUP(DATOS!$I1296,CONFIG_ASIGNATURAS!$B$2:$J$61,9,FALSE()),""))</f>
      </c>
    </row>
    <row r="1297">
      <c r="E1297">
        <f>IF(DATOS!$I1297="","",IFERROR(VLOOKUP(DATOS!$I1297,CONFIG_ASIGNATURAS!$B$2:$J$61,9,FALSE()),""))</f>
      </c>
    </row>
    <row r="1298">
      <c r="E1298">
        <f>IF(DATOS!$I1298="","",IFERROR(VLOOKUP(DATOS!$I1298,CONFIG_ASIGNATURAS!$B$2:$J$61,9,FALSE()),""))</f>
      </c>
    </row>
    <row r="1299">
      <c r="E1299">
        <f>IF(DATOS!$I1299="","",IFERROR(VLOOKUP(DATOS!$I1299,CONFIG_ASIGNATURAS!$B$2:$J$61,9,FALSE()),""))</f>
      </c>
    </row>
    <row r="1300">
      <c r="E1300">
        <f>IF(DATOS!$I1300="","",IFERROR(VLOOKUP(DATOS!$I1300,CONFIG_ASIGNATURAS!$B$2:$J$61,9,FALSE()),""))</f>
      </c>
    </row>
    <row r="1301">
      <c r="E1301">
        <f>IF(DATOS!$I1301="","",IFERROR(VLOOKUP(DATOS!$I1301,CONFIG_ASIGNATURAS!$B$2:$J$61,9,FALSE()),""))</f>
      </c>
    </row>
    <row r="1302">
      <c r="E1302">
        <f>IF(DATOS!$I1302="","",IFERROR(VLOOKUP(DATOS!$I1302,CONFIG_ASIGNATURAS!$B$2:$J$61,9,FALSE()),""))</f>
      </c>
    </row>
    <row r="1303">
      <c r="E1303">
        <f>IF(DATOS!$I1303="","",IFERROR(VLOOKUP(DATOS!$I1303,CONFIG_ASIGNATURAS!$B$2:$J$61,9,FALSE()),""))</f>
      </c>
    </row>
    <row r="1304">
      <c r="E1304">
        <f>IF(DATOS!$I1304="","",IFERROR(VLOOKUP(DATOS!$I1304,CONFIG_ASIGNATURAS!$B$2:$J$61,9,FALSE()),""))</f>
      </c>
    </row>
    <row r="1305">
      <c r="E1305">
        <f>IF(DATOS!$I1305="","",IFERROR(VLOOKUP(DATOS!$I1305,CONFIG_ASIGNATURAS!$B$2:$J$61,9,FALSE()),""))</f>
      </c>
    </row>
    <row r="1306">
      <c r="E1306">
        <f>IF(DATOS!$I1306="","",IFERROR(VLOOKUP(DATOS!$I1306,CONFIG_ASIGNATURAS!$B$2:$J$61,9,FALSE()),""))</f>
      </c>
    </row>
    <row r="1307">
      <c r="E1307">
        <f>IF(DATOS!$I1307="","",IFERROR(VLOOKUP(DATOS!$I1307,CONFIG_ASIGNATURAS!$B$2:$J$61,9,FALSE()),""))</f>
      </c>
    </row>
    <row r="1308">
      <c r="E1308">
        <f>IF(DATOS!$I1308="","",IFERROR(VLOOKUP(DATOS!$I1308,CONFIG_ASIGNATURAS!$B$2:$J$61,9,FALSE()),""))</f>
      </c>
    </row>
    <row r="1309">
      <c r="E1309">
        <f>IF(DATOS!$I1309="","",IFERROR(VLOOKUP(DATOS!$I1309,CONFIG_ASIGNATURAS!$B$2:$J$61,9,FALSE()),""))</f>
      </c>
    </row>
    <row r="1310">
      <c r="E1310">
        <f>IF(DATOS!$I1310="","",IFERROR(VLOOKUP(DATOS!$I1310,CONFIG_ASIGNATURAS!$B$2:$J$61,9,FALSE()),""))</f>
      </c>
    </row>
    <row r="1311">
      <c r="E1311">
        <f>IF(DATOS!$I1311="","",IFERROR(VLOOKUP(DATOS!$I1311,CONFIG_ASIGNATURAS!$B$2:$J$61,9,FALSE()),""))</f>
      </c>
    </row>
    <row r="1312">
      <c r="E1312">
        <f>IF(DATOS!$I1312="","",IFERROR(VLOOKUP(DATOS!$I1312,CONFIG_ASIGNATURAS!$B$2:$J$61,9,FALSE()),""))</f>
      </c>
    </row>
    <row r="1313">
      <c r="E1313">
        <f>IF(DATOS!$I1313="","",IFERROR(VLOOKUP(DATOS!$I1313,CONFIG_ASIGNATURAS!$B$2:$J$61,9,FALSE()),""))</f>
      </c>
    </row>
    <row r="1314">
      <c r="E1314">
        <f>IF(DATOS!$I1314="","",IFERROR(VLOOKUP(DATOS!$I1314,CONFIG_ASIGNATURAS!$B$2:$J$61,9,FALSE()),""))</f>
      </c>
    </row>
    <row r="1315">
      <c r="E1315">
        <f>IF(DATOS!$I1315="","",IFERROR(VLOOKUP(DATOS!$I1315,CONFIG_ASIGNATURAS!$B$2:$J$61,9,FALSE()),""))</f>
      </c>
    </row>
    <row r="1316">
      <c r="E1316">
        <f>IF(DATOS!$I1316="","",IFERROR(VLOOKUP(DATOS!$I1316,CONFIG_ASIGNATURAS!$B$2:$J$61,9,FALSE()),""))</f>
      </c>
    </row>
    <row r="1317">
      <c r="E1317">
        <f>IF(DATOS!$I1317="","",IFERROR(VLOOKUP(DATOS!$I1317,CONFIG_ASIGNATURAS!$B$2:$J$61,9,FALSE()),""))</f>
      </c>
    </row>
    <row r="1318">
      <c r="E1318">
        <f>IF(DATOS!$I1318="","",IFERROR(VLOOKUP(DATOS!$I1318,CONFIG_ASIGNATURAS!$B$2:$J$61,9,FALSE()),""))</f>
      </c>
    </row>
    <row r="1319">
      <c r="E1319">
        <f>IF(DATOS!$I1319="","",IFERROR(VLOOKUP(DATOS!$I1319,CONFIG_ASIGNATURAS!$B$2:$J$61,9,FALSE()),""))</f>
      </c>
    </row>
    <row r="1320">
      <c r="E1320">
        <f>IF(DATOS!$I1320="","",IFERROR(VLOOKUP(DATOS!$I1320,CONFIG_ASIGNATURAS!$B$2:$J$61,9,FALSE()),""))</f>
      </c>
    </row>
    <row r="1321">
      <c r="E1321">
        <f>IF(DATOS!$I1321="","",IFERROR(VLOOKUP(DATOS!$I1321,CONFIG_ASIGNATURAS!$B$2:$J$61,9,FALSE()),""))</f>
      </c>
    </row>
    <row r="1322">
      <c r="E1322">
        <f>IF(DATOS!$I1322="","",IFERROR(VLOOKUP(DATOS!$I1322,CONFIG_ASIGNATURAS!$B$2:$J$61,9,FALSE()),""))</f>
      </c>
    </row>
    <row r="1323">
      <c r="E1323">
        <f>IF(DATOS!$I1323="","",IFERROR(VLOOKUP(DATOS!$I1323,CONFIG_ASIGNATURAS!$B$2:$J$61,9,FALSE()),""))</f>
      </c>
    </row>
    <row r="1324">
      <c r="E1324">
        <f>IF(DATOS!$I1324="","",IFERROR(VLOOKUP(DATOS!$I1324,CONFIG_ASIGNATURAS!$B$2:$J$61,9,FALSE()),""))</f>
      </c>
    </row>
    <row r="1325">
      <c r="E1325">
        <f>IF(DATOS!$I1325="","",IFERROR(VLOOKUP(DATOS!$I1325,CONFIG_ASIGNATURAS!$B$2:$J$61,9,FALSE()),""))</f>
      </c>
    </row>
    <row r="1326">
      <c r="E1326">
        <f>IF(DATOS!$I1326="","",IFERROR(VLOOKUP(DATOS!$I1326,CONFIG_ASIGNATURAS!$B$2:$J$61,9,FALSE()),""))</f>
      </c>
    </row>
    <row r="1327">
      <c r="E1327">
        <f>IF(DATOS!$I1327="","",IFERROR(VLOOKUP(DATOS!$I1327,CONFIG_ASIGNATURAS!$B$2:$J$61,9,FALSE()),""))</f>
      </c>
    </row>
    <row r="1328">
      <c r="E1328">
        <f>IF(DATOS!$I1328="","",IFERROR(VLOOKUP(DATOS!$I1328,CONFIG_ASIGNATURAS!$B$2:$J$61,9,FALSE()),""))</f>
      </c>
    </row>
    <row r="1329">
      <c r="E1329">
        <f>IF(DATOS!$I1329="","",IFERROR(VLOOKUP(DATOS!$I1329,CONFIG_ASIGNATURAS!$B$2:$J$61,9,FALSE()),""))</f>
      </c>
    </row>
    <row r="1330">
      <c r="E1330">
        <f>IF(DATOS!$I1330="","",IFERROR(VLOOKUP(DATOS!$I1330,CONFIG_ASIGNATURAS!$B$2:$J$61,9,FALSE()),""))</f>
      </c>
    </row>
    <row r="1331">
      <c r="E1331">
        <f>IF(DATOS!$I1331="","",IFERROR(VLOOKUP(DATOS!$I1331,CONFIG_ASIGNATURAS!$B$2:$J$61,9,FALSE()),""))</f>
      </c>
    </row>
    <row r="1332">
      <c r="E1332">
        <f>IF(DATOS!$I1332="","",IFERROR(VLOOKUP(DATOS!$I1332,CONFIG_ASIGNATURAS!$B$2:$J$61,9,FALSE()),""))</f>
      </c>
    </row>
    <row r="1333">
      <c r="E1333">
        <f>IF(DATOS!$I1333="","",IFERROR(VLOOKUP(DATOS!$I1333,CONFIG_ASIGNATURAS!$B$2:$J$61,9,FALSE()),""))</f>
      </c>
    </row>
    <row r="1334">
      <c r="E1334">
        <f>IF(DATOS!$I1334="","",IFERROR(VLOOKUP(DATOS!$I1334,CONFIG_ASIGNATURAS!$B$2:$J$61,9,FALSE()),""))</f>
      </c>
    </row>
    <row r="1335">
      <c r="E1335">
        <f>IF(DATOS!$I1335="","",IFERROR(VLOOKUP(DATOS!$I1335,CONFIG_ASIGNATURAS!$B$2:$J$61,9,FALSE()),""))</f>
      </c>
    </row>
    <row r="1336">
      <c r="E1336">
        <f>IF(DATOS!$I1336="","",IFERROR(VLOOKUP(DATOS!$I1336,CONFIG_ASIGNATURAS!$B$2:$J$61,9,FALSE()),""))</f>
      </c>
    </row>
    <row r="1337">
      <c r="E1337">
        <f>IF(DATOS!$I1337="","",IFERROR(VLOOKUP(DATOS!$I1337,CONFIG_ASIGNATURAS!$B$2:$J$61,9,FALSE()),""))</f>
      </c>
    </row>
    <row r="1338">
      <c r="E1338">
        <f>IF(DATOS!$I1338="","",IFERROR(VLOOKUP(DATOS!$I1338,CONFIG_ASIGNATURAS!$B$2:$J$61,9,FALSE()),""))</f>
      </c>
    </row>
    <row r="1339">
      <c r="E1339">
        <f>IF(DATOS!$I1339="","",IFERROR(VLOOKUP(DATOS!$I1339,CONFIG_ASIGNATURAS!$B$2:$J$61,9,FALSE()),""))</f>
      </c>
    </row>
    <row r="1340">
      <c r="E1340">
        <f>IF(DATOS!$I1340="","",IFERROR(VLOOKUP(DATOS!$I1340,CONFIG_ASIGNATURAS!$B$2:$J$61,9,FALSE()),""))</f>
      </c>
    </row>
    <row r="1341">
      <c r="E1341">
        <f>IF(DATOS!$I1341="","",IFERROR(VLOOKUP(DATOS!$I1341,CONFIG_ASIGNATURAS!$B$2:$J$61,9,FALSE()),""))</f>
      </c>
    </row>
    <row r="1342">
      <c r="E1342">
        <f>IF(DATOS!$I1342="","",IFERROR(VLOOKUP(DATOS!$I1342,CONFIG_ASIGNATURAS!$B$2:$J$61,9,FALSE()),""))</f>
      </c>
    </row>
    <row r="1343">
      <c r="E1343">
        <f>IF(DATOS!$I1343="","",IFERROR(VLOOKUP(DATOS!$I1343,CONFIG_ASIGNATURAS!$B$2:$J$61,9,FALSE()),""))</f>
      </c>
    </row>
    <row r="1344">
      <c r="E1344">
        <f>IF(DATOS!$I1344="","",IFERROR(VLOOKUP(DATOS!$I1344,CONFIG_ASIGNATURAS!$B$2:$J$61,9,FALSE()),""))</f>
      </c>
    </row>
    <row r="1345">
      <c r="E1345">
        <f>IF(DATOS!$I1345="","",IFERROR(VLOOKUP(DATOS!$I1345,CONFIG_ASIGNATURAS!$B$2:$J$61,9,FALSE()),""))</f>
      </c>
    </row>
    <row r="1346">
      <c r="E1346">
        <f>IF(DATOS!$I1346="","",IFERROR(VLOOKUP(DATOS!$I1346,CONFIG_ASIGNATURAS!$B$2:$J$61,9,FALSE()),""))</f>
      </c>
    </row>
    <row r="1347">
      <c r="E1347">
        <f>IF(DATOS!$I1347="","",IFERROR(VLOOKUP(DATOS!$I1347,CONFIG_ASIGNATURAS!$B$2:$J$61,9,FALSE()),""))</f>
      </c>
    </row>
    <row r="1348">
      <c r="E1348">
        <f>IF(DATOS!$I1348="","",IFERROR(VLOOKUP(DATOS!$I1348,CONFIG_ASIGNATURAS!$B$2:$J$61,9,FALSE()),""))</f>
      </c>
    </row>
    <row r="1349">
      <c r="E1349">
        <f>IF(DATOS!$I1349="","",IFERROR(VLOOKUP(DATOS!$I1349,CONFIG_ASIGNATURAS!$B$2:$J$61,9,FALSE()),""))</f>
      </c>
    </row>
    <row r="1350">
      <c r="E1350">
        <f>IF(DATOS!$I1350="","",IFERROR(VLOOKUP(DATOS!$I1350,CONFIG_ASIGNATURAS!$B$2:$J$61,9,FALSE()),""))</f>
      </c>
    </row>
    <row r="1351">
      <c r="E1351">
        <f>IF(DATOS!$I1351="","",IFERROR(VLOOKUP(DATOS!$I1351,CONFIG_ASIGNATURAS!$B$2:$J$61,9,FALSE()),""))</f>
      </c>
    </row>
    <row r="1352">
      <c r="E1352">
        <f>IF(DATOS!$I1352="","",IFERROR(VLOOKUP(DATOS!$I1352,CONFIG_ASIGNATURAS!$B$2:$J$61,9,FALSE()),""))</f>
      </c>
    </row>
    <row r="1353">
      <c r="E1353">
        <f>IF(DATOS!$I1353="","",IFERROR(VLOOKUP(DATOS!$I1353,CONFIG_ASIGNATURAS!$B$2:$J$61,9,FALSE()),""))</f>
      </c>
    </row>
    <row r="1354">
      <c r="E1354">
        <f>IF(DATOS!$I1354="","",IFERROR(VLOOKUP(DATOS!$I1354,CONFIG_ASIGNATURAS!$B$2:$J$61,9,FALSE()),""))</f>
      </c>
    </row>
    <row r="1355">
      <c r="E1355">
        <f>IF(DATOS!$I1355="","",IFERROR(VLOOKUP(DATOS!$I1355,CONFIG_ASIGNATURAS!$B$2:$J$61,9,FALSE()),""))</f>
      </c>
    </row>
    <row r="1356">
      <c r="E1356">
        <f>IF(DATOS!$I1356="","",IFERROR(VLOOKUP(DATOS!$I1356,CONFIG_ASIGNATURAS!$B$2:$J$61,9,FALSE()),""))</f>
      </c>
    </row>
    <row r="1357">
      <c r="E1357">
        <f>IF(DATOS!$I1357="","",IFERROR(VLOOKUP(DATOS!$I1357,CONFIG_ASIGNATURAS!$B$2:$J$61,9,FALSE()),""))</f>
      </c>
    </row>
    <row r="1358">
      <c r="E1358">
        <f>IF(DATOS!$I1358="","",IFERROR(VLOOKUP(DATOS!$I1358,CONFIG_ASIGNATURAS!$B$2:$J$61,9,FALSE()),""))</f>
      </c>
    </row>
    <row r="1359">
      <c r="E1359">
        <f>IF(DATOS!$I1359="","",IFERROR(VLOOKUP(DATOS!$I1359,CONFIG_ASIGNATURAS!$B$2:$J$61,9,FALSE()),""))</f>
      </c>
    </row>
    <row r="1360">
      <c r="E1360">
        <f>IF(DATOS!$I1360="","",IFERROR(VLOOKUP(DATOS!$I1360,CONFIG_ASIGNATURAS!$B$2:$J$61,9,FALSE()),""))</f>
      </c>
    </row>
    <row r="1361">
      <c r="E1361">
        <f>IF(DATOS!$I1361="","",IFERROR(VLOOKUP(DATOS!$I1361,CONFIG_ASIGNATURAS!$B$2:$J$61,9,FALSE()),""))</f>
      </c>
    </row>
    <row r="1362">
      <c r="E1362">
        <f>IF(DATOS!$I1362="","",IFERROR(VLOOKUP(DATOS!$I1362,CONFIG_ASIGNATURAS!$B$2:$J$61,9,FALSE()),""))</f>
      </c>
    </row>
    <row r="1363">
      <c r="E1363">
        <f>IF(DATOS!$I1363="","",IFERROR(VLOOKUP(DATOS!$I1363,CONFIG_ASIGNATURAS!$B$2:$J$61,9,FALSE()),""))</f>
      </c>
    </row>
    <row r="1364">
      <c r="E1364">
        <f>IF(DATOS!$I1364="","",IFERROR(VLOOKUP(DATOS!$I1364,CONFIG_ASIGNATURAS!$B$2:$J$61,9,FALSE()),""))</f>
      </c>
    </row>
    <row r="1365">
      <c r="E1365">
        <f>IF(DATOS!$I1365="","",IFERROR(VLOOKUP(DATOS!$I1365,CONFIG_ASIGNATURAS!$B$2:$J$61,9,FALSE()),""))</f>
      </c>
    </row>
    <row r="1366">
      <c r="E1366">
        <f>IF(DATOS!$I1366="","",IFERROR(VLOOKUP(DATOS!$I1366,CONFIG_ASIGNATURAS!$B$2:$J$61,9,FALSE()),""))</f>
      </c>
    </row>
    <row r="1367">
      <c r="E1367">
        <f>IF(DATOS!$I1367="","",IFERROR(VLOOKUP(DATOS!$I1367,CONFIG_ASIGNATURAS!$B$2:$J$61,9,FALSE()),""))</f>
      </c>
    </row>
    <row r="1368">
      <c r="E1368">
        <f>IF(DATOS!$I1368="","",IFERROR(VLOOKUP(DATOS!$I1368,CONFIG_ASIGNATURAS!$B$2:$J$61,9,FALSE()),""))</f>
      </c>
    </row>
    <row r="1369">
      <c r="E1369">
        <f>IF(DATOS!$I1369="","",IFERROR(VLOOKUP(DATOS!$I1369,CONFIG_ASIGNATURAS!$B$2:$J$61,9,FALSE()),""))</f>
      </c>
    </row>
    <row r="1370">
      <c r="E1370">
        <f>IF(DATOS!$I1370="","",IFERROR(VLOOKUP(DATOS!$I1370,CONFIG_ASIGNATURAS!$B$2:$J$61,9,FALSE()),""))</f>
      </c>
    </row>
    <row r="1371">
      <c r="E1371">
        <f>IF(DATOS!$I1371="","",IFERROR(VLOOKUP(DATOS!$I1371,CONFIG_ASIGNATURAS!$B$2:$J$61,9,FALSE()),""))</f>
      </c>
    </row>
    <row r="1372">
      <c r="E1372">
        <f>IF(DATOS!$I1372="","",IFERROR(VLOOKUP(DATOS!$I1372,CONFIG_ASIGNATURAS!$B$2:$J$61,9,FALSE()),""))</f>
      </c>
    </row>
    <row r="1373">
      <c r="E1373">
        <f>IF(DATOS!$I1373="","",IFERROR(VLOOKUP(DATOS!$I1373,CONFIG_ASIGNATURAS!$B$2:$J$61,9,FALSE()),""))</f>
      </c>
    </row>
    <row r="1374">
      <c r="E1374">
        <f>IF(DATOS!$I1374="","",IFERROR(VLOOKUP(DATOS!$I1374,CONFIG_ASIGNATURAS!$B$2:$J$61,9,FALSE()),""))</f>
      </c>
    </row>
    <row r="1375">
      <c r="E1375">
        <f>IF(DATOS!$I1375="","",IFERROR(VLOOKUP(DATOS!$I1375,CONFIG_ASIGNATURAS!$B$2:$J$61,9,FALSE()),""))</f>
      </c>
    </row>
    <row r="1376">
      <c r="E1376">
        <f>IF(DATOS!$I1376="","",IFERROR(VLOOKUP(DATOS!$I1376,CONFIG_ASIGNATURAS!$B$2:$J$61,9,FALSE()),""))</f>
      </c>
    </row>
    <row r="1377">
      <c r="E1377">
        <f>IF(DATOS!$I1377="","",IFERROR(VLOOKUP(DATOS!$I1377,CONFIG_ASIGNATURAS!$B$2:$J$61,9,FALSE()),""))</f>
      </c>
    </row>
    <row r="1378">
      <c r="E1378">
        <f>IF(DATOS!$I1378="","",IFERROR(VLOOKUP(DATOS!$I1378,CONFIG_ASIGNATURAS!$B$2:$J$61,9,FALSE()),""))</f>
      </c>
    </row>
    <row r="1379">
      <c r="E1379">
        <f>IF(DATOS!$I1379="","",IFERROR(VLOOKUP(DATOS!$I1379,CONFIG_ASIGNATURAS!$B$2:$J$61,9,FALSE()),""))</f>
      </c>
    </row>
    <row r="1380">
      <c r="E1380">
        <f>IF(DATOS!$I1380="","",IFERROR(VLOOKUP(DATOS!$I1380,CONFIG_ASIGNATURAS!$B$2:$J$61,9,FALSE()),""))</f>
      </c>
    </row>
    <row r="1381">
      <c r="E1381">
        <f>IF(DATOS!$I1381="","",IFERROR(VLOOKUP(DATOS!$I1381,CONFIG_ASIGNATURAS!$B$2:$J$61,9,FALSE()),""))</f>
      </c>
    </row>
    <row r="1382">
      <c r="E1382">
        <f>IF(DATOS!$I1382="","",IFERROR(VLOOKUP(DATOS!$I1382,CONFIG_ASIGNATURAS!$B$2:$J$61,9,FALSE()),""))</f>
      </c>
    </row>
    <row r="1383">
      <c r="E1383">
        <f>IF(DATOS!$I1383="","",IFERROR(VLOOKUP(DATOS!$I1383,CONFIG_ASIGNATURAS!$B$2:$J$61,9,FALSE()),""))</f>
      </c>
    </row>
    <row r="1384">
      <c r="E1384">
        <f>IF(DATOS!$I1384="","",IFERROR(VLOOKUP(DATOS!$I1384,CONFIG_ASIGNATURAS!$B$2:$J$61,9,FALSE()),""))</f>
      </c>
    </row>
    <row r="1385">
      <c r="E1385">
        <f>IF(DATOS!$I1385="","",IFERROR(VLOOKUP(DATOS!$I1385,CONFIG_ASIGNATURAS!$B$2:$J$61,9,FALSE()),""))</f>
      </c>
    </row>
    <row r="1386">
      <c r="E1386">
        <f>IF(DATOS!$I1386="","",IFERROR(VLOOKUP(DATOS!$I1386,CONFIG_ASIGNATURAS!$B$2:$J$61,9,FALSE()),""))</f>
      </c>
    </row>
    <row r="1387">
      <c r="E1387">
        <f>IF(DATOS!$I1387="","",IFERROR(VLOOKUP(DATOS!$I1387,CONFIG_ASIGNATURAS!$B$2:$J$61,9,FALSE()),""))</f>
      </c>
    </row>
    <row r="1388">
      <c r="E1388">
        <f>IF(DATOS!$I1388="","",IFERROR(VLOOKUP(DATOS!$I1388,CONFIG_ASIGNATURAS!$B$2:$J$61,9,FALSE()),""))</f>
      </c>
    </row>
    <row r="1389">
      <c r="E1389">
        <f>IF(DATOS!$I1389="","",IFERROR(VLOOKUP(DATOS!$I1389,CONFIG_ASIGNATURAS!$B$2:$J$61,9,FALSE()),""))</f>
      </c>
    </row>
    <row r="1390">
      <c r="E1390">
        <f>IF(DATOS!$I1390="","",IFERROR(VLOOKUP(DATOS!$I1390,CONFIG_ASIGNATURAS!$B$2:$J$61,9,FALSE()),""))</f>
      </c>
    </row>
    <row r="1391">
      <c r="E1391">
        <f>IF(DATOS!$I1391="","",IFERROR(VLOOKUP(DATOS!$I1391,CONFIG_ASIGNATURAS!$B$2:$J$61,9,FALSE()),""))</f>
      </c>
    </row>
    <row r="1392">
      <c r="E1392">
        <f>IF(DATOS!$I1392="","",IFERROR(VLOOKUP(DATOS!$I1392,CONFIG_ASIGNATURAS!$B$2:$J$61,9,FALSE()),""))</f>
      </c>
    </row>
    <row r="1393">
      <c r="E1393">
        <f>IF(DATOS!$I1393="","",IFERROR(VLOOKUP(DATOS!$I1393,CONFIG_ASIGNATURAS!$B$2:$J$61,9,FALSE()),""))</f>
      </c>
    </row>
    <row r="1394">
      <c r="E1394">
        <f>IF(DATOS!$I1394="","",IFERROR(VLOOKUP(DATOS!$I1394,CONFIG_ASIGNATURAS!$B$2:$J$61,9,FALSE()),""))</f>
      </c>
    </row>
    <row r="1395">
      <c r="E1395">
        <f>IF(DATOS!$I1395="","",IFERROR(VLOOKUP(DATOS!$I1395,CONFIG_ASIGNATURAS!$B$2:$J$61,9,FALSE()),""))</f>
      </c>
    </row>
    <row r="1396">
      <c r="E1396">
        <f>IF(DATOS!$I1396="","",IFERROR(VLOOKUP(DATOS!$I1396,CONFIG_ASIGNATURAS!$B$2:$J$61,9,FALSE()),""))</f>
      </c>
    </row>
    <row r="1397">
      <c r="E1397">
        <f>IF(DATOS!$I1397="","",IFERROR(VLOOKUP(DATOS!$I1397,CONFIG_ASIGNATURAS!$B$2:$J$61,9,FALSE()),""))</f>
      </c>
    </row>
    <row r="1398">
      <c r="E1398">
        <f>IF(DATOS!$I1398="","",IFERROR(VLOOKUP(DATOS!$I1398,CONFIG_ASIGNATURAS!$B$2:$J$61,9,FALSE()),""))</f>
      </c>
    </row>
    <row r="1399">
      <c r="E1399">
        <f>IF(DATOS!$I1399="","",IFERROR(VLOOKUP(DATOS!$I1399,CONFIG_ASIGNATURAS!$B$2:$J$61,9,FALSE()),""))</f>
      </c>
    </row>
    <row r="1400">
      <c r="E1400">
        <f>IF(DATOS!$I1400="","",IFERROR(VLOOKUP(DATOS!$I1400,CONFIG_ASIGNATURAS!$B$2:$J$61,9,FALSE()),""))</f>
      </c>
    </row>
    <row r="1401">
      <c r="E1401">
        <f>IF(DATOS!$I1401="","",IFERROR(VLOOKUP(DATOS!$I1401,CONFIG_ASIGNATURAS!$B$2:$J$61,9,FALSE()),""))</f>
      </c>
    </row>
    <row r="1402">
      <c r="E1402">
        <f>IF(DATOS!$I1402="","",IFERROR(VLOOKUP(DATOS!$I1402,CONFIG_ASIGNATURAS!$B$2:$J$61,9,FALSE()),""))</f>
      </c>
    </row>
    <row r="1403">
      <c r="E1403">
        <f>IF(DATOS!$I1403="","",IFERROR(VLOOKUP(DATOS!$I1403,CONFIG_ASIGNATURAS!$B$2:$J$61,9,FALSE()),""))</f>
      </c>
    </row>
    <row r="1404">
      <c r="E1404">
        <f>IF(DATOS!$I1404="","",IFERROR(VLOOKUP(DATOS!$I1404,CONFIG_ASIGNATURAS!$B$2:$J$61,9,FALSE()),""))</f>
      </c>
    </row>
    <row r="1405">
      <c r="E1405">
        <f>IF(DATOS!$I1405="","",IFERROR(VLOOKUP(DATOS!$I1405,CONFIG_ASIGNATURAS!$B$2:$J$61,9,FALSE()),""))</f>
      </c>
    </row>
    <row r="1406">
      <c r="E1406">
        <f>IF(DATOS!$I1406="","",IFERROR(VLOOKUP(DATOS!$I1406,CONFIG_ASIGNATURAS!$B$2:$J$61,9,FALSE()),""))</f>
      </c>
    </row>
    <row r="1407">
      <c r="E1407">
        <f>IF(DATOS!$I1407="","",IFERROR(VLOOKUP(DATOS!$I1407,CONFIG_ASIGNATURAS!$B$2:$J$61,9,FALSE()),""))</f>
      </c>
    </row>
    <row r="1408">
      <c r="E1408">
        <f>IF(DATOS!$I1408="","",IFERROR(VLOOKUP(DATOS!$I1408,CONFIG_ASIGNATURAS!$B$2:$J$61,9,FALSE()),""))</f>
      </c>
    </row>
    <row r="1409">
      <c r="E1409">
        <f>IF(DATOS!$I1409="","",IFERROR(VLOOKUP(DATOS!$I1409,CONFIG_ASIGNATURAS!$B$2:$J$61,9,FALSE()),""))</f>
      </c>
    </row>
    <row r="1410">
      <c r="E1410">
        <f>IF(DATOS!$I1410="","",IFERROR(VLOOKUP(DATOS!$I1410,CONFIG_ASIGNATURAS!$B$2:$J$61,9,FALSE()),""))</f>
      </c>
    </row>
    <row r="1411">
      <c r="E1411">
        <f>IF(DATOS!$I1411="","",IFERROR(VLOOKUP(DATOS!$I1411,CONFIG_ASIGNATURAS!$B$2:$J$61,9,FALSE()),""))</f>
      </c>
    </row>
    <row r="1412">
      <c r="E1412">
        <f>IF(DATOS!$I1412="","",IFERROR(VLOOKUP(DATOS!$I1412,CONFIG_ASIGNATURAS!$B$2:$J$61,9,FALSE()),""))</f>
      </c>
    </row>
    <row r="1413">
      <c r="E1413">
        <f>IF(DATOS!$I1413="","",IFERROR(VLOOKUP(DATOS!$I1413,CONFIG_ASIGNATURAS!$B$2:$J$61,9,FALSE()),""))</f>
      </c>
    </row>
    <row r="1414">
      <c r="E1414">
        <f>IF(DATOS!$I1414="","",IFERROR(VLOOKUP(DATOS!$I1414,CONFIG_ASIGNATURAS!$B$2:$J$61,9,FALSE()),""))</f>
      </c>
    </row>
    <row r="1415">
      <c r="E1415">
        <f>IF(DATOS!$I1415="","",IFERROR(VLOOKUP(DATOS!$I1415,CONFIG_ASIGNATURAS!$B$2:$J$61,9,FALSE()),""))</f>
      </c>
    </row>
    <row r="1416">
      <c r="E1416">
        <f>IF(DATOS!$I1416="","",IFERROR(VLOOKUP(DATOS!$I1416,CONFIG_ASIGNATURAS!$B$2:$J$61,9,FALSE()),""))</f>
      </c>
    </row>
    <row r="1417">
      <c r="E1417">
        <f>IF(DATOS!$I1417="","",IFERROR(VLOOKUP(DATOS!$I1417,CONFIG_ASIGNATURAS!$B$2:$J$61,9,FALSE()),""))</f>
      </c>
    </row>
    <row r="1418">
      <c r="E1418">
        <f>IF(DATOS!$I1418="","",IFERROR(VLOOKUP(DATOS!$I1418,CONFIG_ASIGNATURAS!$B$2:$J$61,9,FALSE()),""))</f>
      </c>
    </row>
    <row r="1419">
      <c r="E1419">
        <f>IF(DATOS!$I1419="","",IFERROR(VLOOKUP(DATOS!$I1419,CONFIG_ASIGNATURAS!$B$2:$J$61,9,FALSE()),""))</f>
      </c>
    </row>
    <row r="1420">
      <c r="E1420">
        <f>IF(DATOS!$I1420="","",IFERROR(VLOOKUP(DATOS!$I1420,CONFIG_ASIGNATURAS!$B$2:$J$61,9,FALSE()),""))</f>
      </c>
    </row>
    <row r="1421">
      <c r="E1421">
        <f>IF(DATOS!$I1421="","",IFERROR(VLOOKUP(DATOS!$I1421,CONFIG_ASIGNATURAS!$B$2:$J$61,9,FALSE()),""))</f>
      </c>
    </row>
    <row r="1422">
      <c r="E1422">
        <f>IF(DATOS!$I1422="","",IFERROR(VLOOKUP(DATOS!$I1422,CONFIG_ASIGNATURAS!$B$2:$J$61,9,FALSE()),""))</f>
      </c>
    </row>
    <row r="1423">
      <c r="E1423">
        <f>IF(DATOS!$I1423="","",IFERROR(VLOOKUP(DATOS!$I1423,CONFIG_ASIGNATURAS!$B$2:$J$61,9,FALSE()),""))</f>
      </c>
    </row>
    <row r="1424">
      <c r="E1424">
        <f>IF(DATOS!$I1424="","",IFERROR(VLOOKUP(DATOS!$I1424,CONFIG_ASIGNATURAS!$B$2:$J$61,9,FALSE()),""))</f>
      </c>
    </row>
    <row r="1425">
      <c r="E1425">
        <f>IF(DATOS!$I1425="","",IFERROR(VLOOKUP(DATOS!$I1425,CONFIG_ASIGNATURAS!$B$2:$J$61,9,FALSE()),""))</f>
      </c>
    </row>
    <row r="1426">
      <c r="E1426">
        <f>IF(DATOS!$I1426="","",IFERROR(VLOOKUP(DATOS!$I1426,CONFIG_ASIGNATURAS!$B$2:$J$61,9,FALSE()),""))</f>
      </c>
    </row>
    <row r="1427">
      <c r="E1427">
        <f>IF(DATOS!$I1427="","",IFERROR(VLOOKUP(DATOS!$I1427,CONFIG_ASIGNATURAS!$B$2:$J$61,9,FALSE()),""))</f>
      </c>
    </row>
    <row r="1428">
      <c r="E1428">
        <f>IF(DATOS!$I1428="","",IFERROR(VLOOKUP(DATOS!$I1428,CONFIG_ASIGNATURAS!$B$2:$J$61,9,FALSE()),""))</f>
      </c>
    </row>
    <row r="1429">
      <c r="E1429">
        <f>IF(DATOS!$I1429="","",IFERROR(VLOOKUP(DATOS!$I1429,CONFIG_ASIGNATURAS!$B$2:$J$61,9,FALSE()),""))</f>
      </c>
    </row>
    <row r="1430">
      <c r="E1430">
        <f>IF(DATOS!$I1430="","",IFERROR(VLOOKUP(DATOS!$I1430,CONFIG_ASIGNATURAS!$B$2:$J$61,9,FALSE()),""))</f>
      </c>
    </row>
    <row r="1431">
      <c r="E1431">
        <f>IF(DATOS!$I1431="","",IFERROR(VLOOKUP(DATOS!$I1431,CONFIG_ASIGNATURAS!$B$2:$J$61,9,FALSE()),""))</f>
      </c>
    </row>
    <row r="1432">
      <c r="E1432">
        <f>IF(DATOS!$I1432="","",IFERROR(VLOOKUP(DATOS!$I1432,CONFIG_ASIGNATURAS!$B$2:$J$61,9,FALSE()),""))</f>
      </c>
    </row>
    <row r="1433">
      <c r="E1433">
        <f>IF(DATOS!$I1433="","",IFERROR(VLOOKUP(DATOS!$I1433,CONFIG_ASIGNATURAS!$B$2:$J$61,9,FALSE()),""))</f>
      </c>
    </row>
    <row r="1434">
      <c r="E1434">
        <f>IF(DATOS!$I1434="","",IFERROR(VLOOKUP(DATOS!$I1434,CONFIG_ASIGNATURAS!$B$2:$J$61,9,FALSE()),""))</f>
      </c>
    </row>
    <row r="1435">
      <c r="E1435">
        <f>IF(DATOS!$I1435="","",IFERROR(VLOOKUP(DATOS!$I1435,CONFIG_ASIGNATURAS!$B$2:$J$61,9,FALSE()),""))</f>
      </c>
    </row>
    <row r="1436">
      <c r="E1436">
        <f>IF(DATOS!$I1436="","",IFERROR(VLOOKUP(DATOS!$I1436,CONFIG_ASIGNATURAS!$B$2:$J$61,9,FALSE()),""))</f>
      </c>
    </row>
    <row r="1437">
      <c r="E1437">
        <f>IF(DATOS!$I1437="","",IFERROR(VLOOKUP(DATOS!$I1437,CONFIG_ASIGNATURAS!$B$2:$J$61,9,FALSE()),""))</f>
      </c>
    </row>
    <row r="1438">
      <c r="E1438">
        <f>IF(DATOS!$I1438="","",IFERROR(VLOOKUP(DATOS!$I1438,CONFIG_ASIGNATURAS!$B$2:$J$61,9,FALSE()),""))</f>
      </c>
    </row>
    <row r="1439">
      <c r="E1439">
        <f>IF(DATOS!$I1439="","",IFERROR(VLOOKUP(DATOS!$I1439,CONFIG_ASIGNATURAS!$B$2:$J$61,9,FALSE()),""))</f>
      </c>
    </row>
    <row r="1440">
      <c r="E1440">
        <f>IF(DATOS!$I1440="","",IFERROR(VLOOKUP(DATOS!$I1440,CONFIG_ASIGNATURAS!$B$2:$J$61,9,FALSE()),""))</f>
      </c>
    </row>
    <row r="1441">
      <c r="E1441">
        <f>IF(DATOS!$I1441="","",IFERROR(VLOOKUP(DATOS!$I1441,CONFIG_ASIGNATURAS!$B$2:$J$61,9,FALSE()),""))</f>
      </c>
    </row>
    <row r="1442">
      <c r="E1442">
        <f>IF(DATOS!$I1442="","",IFERROR(VLOOKUP(DATOS!$I1442,CONFIG_ASIGNATURAS!$B$2:$J$61,9,FALSE()),""))</f>
      </c>
    </row>
    <row r="1443">
      <c r="E1443">
        <f>IF(DATOS!$I1443="","",IFERROR(VLOOKUP(DATOS!$I1443,CONFIG_ASIGNATURAS!$B$2:$J$61,9,FALSE()),""))</f>
      </c>
    </row>
    <row r="1444">
      <c r="E1444">
        <f>IF(DATOS!$I1444="","",IFERROR(VLOOKUP(DATOS!$I1444,CONFIG_ASIGNATURAS!$B$2:$J$61,9,FALSE()),""))</f>
      </c>
    </row>
    <row r="1445">
      <c r="E1445">
        <f>IF(DATOS!$I1445="","",IFERROR(VLOOKUP(DATOS!$I1445,CONFIG_ASIGNATURAS!$B$2:$J$61,9,FALSE()),""))</f>
      </c>
    </row>
    <row r="1446">
      <c r="E1446">
        <f>IF(DATOS!$I1446="","",IFERROR(VLOOKUP(DATOS!$I1446,CONFIG_ASIGNATURAS!$B$2:$J$61,9,FALSE()),""))</f>
      </c>
    </row>
    <row r="1447">
      <c r="E1447">
        <f>IF(DATOS!$I1447="","",IFERROR(VLOOKUP(DATOS!$I1447,CONFIG_ASIGNATURAS!$B$2:$J$61,9,FALSE()),""))</f>
      </c>
    </row>
    <row r="1448">
      <c r="E1448">
        <f>IF(DATOS!$I1448="","",IFERROR(VLOOKUP(DATOS!$I1448,CONFIG_ASIGNATURAS!$B$2:$J$61,9,FALSE()),""))</f>
      </c>
    </row>
    <row r="1449">
      <c r="E1449">
        <f>IF(DATOS!$I1449="","",IFERROR(VLOOKUP(DATOS!$I1449,CONFIG_ASIGNATURAS!$B$2:$J$61,9,FALSE()),""))</f>
      </c>
    </row>
    <row r="1450">
      <c r="E1450">
        <f>IF(DATOS!$I1450="","",IFERROR(VLOOKUP(DATOS!$I1450,CONFIG_ASIGNATURAS!$B$2:$J$61,9,FALSE()),""))</f>
      </c>
    </row>
    <row r="1451">
      <c r="E1451">
        <f>IF(DATOS!$I1451="","",IFERROR(VLOOKUP(DATOS!$I1451,CONFIG_ASIGNATURAS!$B$2:$J$61,9,FALSE()),""))</f>
      </c>
    </row>
    <row r="1452">
      <c r="E1452">
        <f>IF(DATOS!$I1452="","",IFERROR(VLOOKUP(DATOS!$I1452,CONFIG_ASIGNATURAS!$B$2:$J$61,9,FALSE()),""))</f>
      </c>
    </row>
    <row r="1453">
      <c r="E1453">
        <f>IF(DATOS!$I1453="","",IFERROR(VLOOKUP(DATOS!$I1453,CONFIG_ASIGNATURAS!$B$2:$J$61,9,FALSE()),""))</f>
      </c>
    </row>
    <row r="1454">
      <c r="E1454">
        <f>IF(DATOS!$I1454="","",IFERROR(VLOOKUP(DATOS!$I1454,CONFIG_ASIGNATURAS!$B$2:$J$61,9,FALSE()),""))</f>
      </c>
    </row>
    <row r="1455">
      <c r="E1455">
        <f>IF(DATOS!$I1455="","",IFERROR(VLOOKUP(DATOS!$I1455,CONFIG_ASIGNATURAS!$B$2:$J$61,9,FALSE()),""))</f>
      </c>
    </row>
    <row r="1456">
      <c r="E1456">
        <f>IF(DATOS!$I1456="","",IFERROR(VLOOKUP(DATOS!$I1456,CONFIG_ASIGNATURAS!$B$2:$J$61,9,FALSE()),""))</f>
      </c>
    </row>
    <row r="1457">
      <c r="E1457">
        <f>IF(DATOS!$I1457="","",IFERROR(VLOOKUP(DATOS!$I1457,CONFIG_ASIGNATURAS!$B$2:$J$61,9,FALSE()),""))</f>
      </c>
    </row>
    <row r="1458">
      <c r="E1458">
        <f>IF(DATOS!$I1458="","",IFERROR(VLOOKUP(DATOS!$I1458,CONFIG_ASIGNATURAS!$B$2:$J$61,9,FALSE()),""))</f>
      </c>
    </row>
    <row r="1459">
      <c r="E1459">
        <f>IF(DATOS!$I1459="","",IFERROR(VLOOKUP(DATOS!$I1459,CONFIG_ASIGNATURAS!$B$2:$J$61,9,FALSE()),""))</f>
      </c>
    </row>
    <row r="1460">
      <c r="E1460">
        <f>IF(DATOS!$I1460="","",IFERROR(VLOOKUP(DATOS!$I1460,CONFIG_ASIGNATURAS!$B$2:$J$61,9,FALSE()),""))</f>
      </c>
    </row>
    <row r="1461">
      <c r="E1461">
        <f>IF(DATOS!$I1461="","",IFERROR(VLOOKUP(DATOS!$I1461,CONFIG_ASIGNATURAS!$B$2:$J$61,9,FALSE()),""))</f>
      </c>
    </row>
    <row r="1462">
      <c r="E1462">
        <f>IF(DATOS!$I1462="","",IFERROR(VLOOKUP(DATOS!$I1462,CONFIG_ASIGNATURAS!$B$2:$J$61,9,FALSE()),""))</f>
      </c>
    </row>
    <row r="1463">
      <c r="E1463">
        <f>IF(DATOS!$I1463="","",IFERROR(VLOOKUP(DATOS!$I1463,CONFIG_ASIGNATURAS!$B$2:$J$61,9,FALSE()),""))</f>
      </c>
    </row>
    <row r="1464">
      <c r="E1464">
        <f>IF(DATOS!$I1464="","",IFERROR(VLOOKUP(DATOS!$I1464,CONFIG_ASIGNATURAS!$B$2:$J$61,9,FALSE()),""))</f>
      </c>
    </row>
    <row r="1465">
      <c r="E1465">
        <f>IF(DATOS!$I1465="","",IFERROR(VLOOKUP(DATOS!$I1465,CONFIG_ASIGNATURAS!$B$2:$J$61,9,FALSE()),""))</f>
      </c>
    </row>
    <row r="1466">
      <c r="E1466">
        <f>IF(DATOS!$I1466="","",IFERROR(VLOOKUP(DATOS!$I1466,CONFIG_ASIGNATURAS!$B$2:$J$61,9,FALSE()),""))</f>
      </c>
    </row>
    <row r="1467">
      <c r="E1467">
        <f>IF(DATOS!$I1467="","",IFERROR(VLOOKUP(DATOS!$I1467,CONFIG_ASIGNATURAS!$B$2:$J$61,9,FALSE()),""))</f>
      </c>
    </row>
    <row r="1468">
      <c r="E1468">
        <f>IF(DATOS!$I1468="","",IFERROR(VLOOKUP(DATOS!$I1468,CONFIG_ASIGNATURAS!$B$2:$J$61,9,FALSE()),""))</f>
      </c>
    </row>
    <row r="1469">
      <c r="E1469">
        <f>IF(DATOS!$I1469="","",IFERROR(VLOOKUP(DATOS!$I1469,CONFIG_ASIGNATURAS!$B$2:$J$61,9,FALSE()),""))</f>
      </c>
    </row>
    <row r="1470">
      <c r="E1470">
        <f>IF(DATOS!$I1470="","",IFERROR(VLOOKUP(DATOS!$I1470,CONFIG_ASIGNATURAS!$B$2:$J$61,9,FALSE()),""))</f>
      </c>
    </row>
    <row r="1471">
      <c r="E1471">
        <f>IF(DATOS!$I1471="","",IFERROR(VLOOKUP(DATOS!$I1471,CONFIG_ASIGNATURAS!$B$2:$J$61,9,FALSE()),""))</f>
      </c>
    </row>
    <row r="1472">
      <c r="E1472">
        <f>IF(DATOS!$I1472="","",IFERROR(VLOOKUP(DATOS!$I1472,CONFIG_ASIGNATURAS!$B$2:$J$61,9,FALSE()),""))</f>
      </c>
    </row>
    <row r="1473">
      <c r="E1473">
        <f>IF(DATOS!$I1473="","",IFERROR(VLOOKUP(DATOS!$I1473,CONFIG_ASIGNATURAS!$B$2:$J$61,9,FALSE()),""))</f>
      </c>
    </row>
    <row r="1474">
      <c r="E1474">
        <f>IF(DATOS!$I1474="","",IFERROR(VLOOKUP(DATOS!$I1474,CONFIG_ASIGNATURAS!$B$2:$J$61,9,FALSE()),""))</f>
      </c>
    </row>
    <row r="1475">
      <c r="E1475">
        <f>IF(DATOS!$I1475="","",IFERROR(VLOOKUP(DATOS!$I1475,CONFIG_ASIGNATURAS!$B$2:$J$61,9,FALSE()),""))</f>
      </c>
    </row>
    <row r="1476">
      <c r="E1476">
        <f>IF(DATOS!$I1476="","",IFERROR(VLOOKUP(DATOS!$I1476,CONFIG_ASIGNATURAS!$B$2:$J$61,9,FALSE()),""))</f>
      </c>
    </row>
    <row r="1477">
      <c r="E1477">
        <f>IF(DATOS!$I1477="","",IFERROR(VLOOKUP(DATOS!$I1477,CONFIG_ASIGNATURAS!$B$2:$J$61,9,FALSE()),""))</f>
      </c>
    </row>
    <row r="1478">
      <c r="E1478">
        <f>IF(DATOS!$I1478="","",IFERROR(VLOOKUP(DATOS!$I1478,CONFIG_ASIGNATURAS!$B$2:$J$61,9,FALSE()),""))</f>
      </c>
    </row>
    <row r="1479">
      <c r="E1479">
        <f>IF(DATOS!$I1479="","",IFERROR(VLOOKUP(DATOS!$I1479,CONFIG_ASIGNATURAS!$B$2:$J$61,9,FALSE()),""))</f>
      </c>
    </row>
    <row r="1480">
      <c r="E1480">
        <f>IF(DATOS!$I1480="","",IFERROR(VLOOKUP(DATOS!$I1480,CONFIG_ASIGNATURAS!$B$2:$J$61,9,FALSE()),""))</f>
      </c>
    </row>
    <row r="1481">
      <c r="E1481">
        <f>IF(DATOS!$I1481="","",IFERROR(VLOOKUP(DATOS!$I1481,CONFIG_ASIGNATURAS!$B$2:$J$61,9,FALSE()),""))</f>
      </c>
    </row>
    <row r="1482">
      <c r="E1482">
        <f>IF(DATOS!$I1482="","",IFERROR(VLOOKUP(DATOS!$I1482,CONFIG_ASIGNATURAS!$B$2:$J$61,9,FALSE()),""))</f>
      </c>
    </row>
    <row r="1483">
      <c r="E1483">
        <f>IF(DATOS!$I1483="","",IFERROR(VLOOKUP(DATOS!$I1483,CONFIG_ASIGNATURAS!$B$2:$J$61,9,FALSE()),""))</f>
      </c>
    </row>
    <row r="1484">
      <c r="E1484">
        <f>IF(DATOS!$I1484="","",IFERROR(VLOOKUP(DATOS!$I1484,CONFIG_ASIGNATURAS!$B$2:$J$61,9,FALSE()),""))</f>
      </c>
    </row>
    <row r="1485">
      <c r="E1485">
        <f>IF(DATOS!$I1485="","",IFERROR(VLOOKUP(DATOS!$I1485,CONFIG_ASIGNATURAS!$B$2:$J$61,9,FALSE()),""))</f>
      </c>
    </row>
    <row r="1486">
      <c r="E1486">
        <f>IF(DATOS!$I1486="","",IFERROR(VLOOKUP(DATOS!$I1486,CONFIG_ASIGNATURAS!$B$2:$J$61,9,FALSE()),""))</f>
      </c>
    </row>
    <row r="1487">
      <c r="E1487">
        <f>IF(DATOS!$I1487="","",IFERROR(VLOOKUP(DATOS!$I1487,CONFIG_ASIGNATURAS!$B$2:$J$61,9,FALSE()),""))</f>
      </c>
    </row>
    <row r="1488">
      <c r="E1488">
        <f>IF(DATOS!$I1488="","",IFERROR(VLOOKUP(DATOS!$I1488,CONFIG_ASIGNATURAS!$B$2:$J$61,9,FALSE()),""))</f>
      </c>
    </row>
    <row r="1489">
      <c r="E1489">
        <f>IF(DATOS!$I1489="","",IFERROR(VLOOKUP(DATOS!$I1489,CONFIG_ASIGNATURAS!$B$2:$J$61,9,FALSE()),""))</f>
      </c>
    </row>
    <row r="1490">
      <c r="E1490">
        <f>IF(DATOS!$I1490="","",IFERROR(VLOOKUP(DATOS!$I1490,CONFIG_ASIGNATURAS!$B$2:$J$61,9,FALSE()),""))</f>
      </c>
    </row>
    <row r="1491">
      <c r="E1491">
        <f>IF(DATOS!$I1491="","",IFERROR(VLOOKUP(DATOS!$I1491,CONFIG_ASIGNATURAS!$B$2:$J$61,9,FALSE()),""))</f>
      </c>
    </row>
    <row r="1492">
      <c r="E1492">
        <f>IF(DATOS!$I1492="","",IFERROR(VLOOKUP(DATOS!$I1492,CONFIG_ASIGNATURAS!$B$2:$J$61,9,FALSE()),""))</f>
      </c>
    </row>
    <row r="1493">
      <c r="E1493">
        <f>IF(DATOS!$I1493="","",IFERROR(VLOOKUP(DATOS!$I1493,CONFIG_ASIGNATURAS!$B$2:$J$61,9,FALSE()),""))</f>
      </c>
    </row>
    <row r="1494">
      <c r="E1494">
        <f>IF(DATOS!$I1494="","",IFERROR(VLOOKUP(DATOS!$I1494,CONFIG_ASIGNATURAS!$B$2:$J$61,9,FALSE()),""))</f>
      </c>
    </row>
    <row r="1495">
      <c r="E1495">
        <f>IF(DATOS!$I1495="","",IFERROR(VLOOKUP(DATOS!$I1495,CONFIG_ASIGNATURAS!$B$2:$J$61,9,FALSE()),""))</f>
      </c>
    </row>
    <row r="1496">
      <c r="E1496">
        <f>IF(DATOS!$I1496="","",IFERROR(VLOOKUP(DATOS!$I1496,CONFIG_ASIGNATURAS!$B$2:$J$61,9,FALSE()),""))</f>
      </c>
    </row>
    <row r="1497">
      <c r="E1497">
        <f>IF(DATOS!$I1497="","",IFERROR(VLOOKUP(DATOS!$I1497,CONFIG_ASIGNATURAS!$B$2:$J$61,9,FALSE()),""))</f>
      </c>
    </row>
    <row r="1498">
      <c r="E1498">
        <f>IF(DATOS!$I1498="","",IFERROR(VLOOKUP(DATOS!$I1498,CONFIG_ASIGNATURAS!$B$2:$J$61,9,FALSE()),""))</f>
      </c>
    </row>
    <row r="1499">
      <c r="E1499">
        <f>IF(DATOS!$I1499="","",IFERROR(VLOOKUP(DATOS!$I1499,CONFIG_ASIGNATURAS!$B$2:$J$61,9,FALSE()),""))</f>
      </c>
    </row>
    <row r="1500">
      <c r="E1500">
        <f>IF(DATOS!$I1500="","",IFERROR(VLOOKUP(DATOS!$I1500,CONFIG_ASIGNATURAS!$B$2:$J$61,9,FALSE()),""))</f>
      </c>
    </row>
    <row r="1501">
      <c r="E1501">
        <f>IF(DATOS!$I1501="","",IFERROR(VLOOKUP(DATOS!$I1501,CONFIG_ASIGNATURAS!$B$2:$J$61,9,FALSE()),""))</f>
      </c>
    </row>
    <row r="1502">
      <c r="E1502">
        <f>IF(DATOS!$I1502="","",IFERROR(VLOOKUP(DATOS!$I1502,CONFIG_ASIGNATURAS!$B$2:$J$61,9,FALSE()),""))</f>
      </c>
    </row>
    <row r="1503">
      <c r="E1503">
        <f>IF(DATOS!$I1503="","",IFERROR(VLOOKUP(DATOS!$I1503,CONFIG_ASIGNATURAS!$B$2:$J$61,9,FALSE()),""))</f>
      </c>
    </row>
    <row r="1504">
      <c r="E1504">
        <f>IF(DATOS!$I1504="","",IFERROR(VLOOKUP(DATOS!$I1504,CONFIG_ASIGNATURAS!$B$2:$J$61,9,FALSE()),""))</f>
      </c>
    </row>
    <row r="1505">
      <c r="E1505">
        <f>IF(DATOS!$I1505="","",IFERROR(VLOOKUP(DATOS!$I1505,CONFIG_ASIGNATURAS!$B$2:$J$61,9,FALSE()),""))</f>
      </c>
    </row>
    <row r="1506">
      <c r="E1506">
        <f>IF(DATOS!$I1506="","",IFERROR(VLOOKUP(DATOS!$I1506,CONFIG_ASIGNATURAS!$B$2:$J$61,9,FALSE()),""))</f>
      </c>
    </row>
    <row r="1507">
      <c r="E1507">
        <f>IF(DATOS!$I1507="","",IFERROR(VLOOKUP(DATOS!$I1507,CONFIG_ASIGNATURAS!$B$2:$J$61,9,FALSE()),""))</f>
      </c>
    </row>
    <row r="1508">
      <c r="E1508">
        <f>IF(DATOS!$I1508="","",IFERROR(VLOOKUP(DATOS!$I1508,CONFIG_ASIGNATURAS!$B$2:$J$61,9,FALSE()),""))</f>
      </c>
    </row>
    <row r="1509">
      <c r="E1509">
        <f>IF(DATOS!$I1509="","",IFERROR(VLOOKUP(DATOS!$I1509,CONFIG_ASIGNATURAS!$B$2:$J$61,9,FALSE()),""))</f>
      </c>
    </row>
    <row r="1510">
      <c r="E1510">
        <f>IF(DATOS!$I1510="","",IFERROR(VLOOKUP(DATOS!$I1510,CONFIG_ASIGNATURAS!$B$2:$J$61,9,FALSE()),""))</f>
      </c>
    </row>
    <row r="1511">
      <c r="E1511">
        <f>IF(DATOS!$I1511="","",IFERROR(VLOOKUP(DATOS!$I1511,CONFIG_ASIGNATURAS!$B$2:$J$61,9,FALSE()),""))</f>
      </c>
    </row>
    <row r="1512">
      <c r="E1512">
        <f>IF(DATOS!$I1512="","",IFERROR(VLOOKUP(DATOS!$I1512,CONFIG_ASIGNATURAS!$B$2:$J$61,9,FALSE()),""))</f>
      </c>
    </row>
    <row r="1513">
      <c r="E1513">
        <f>IF(DATOS!$I1513="","",IFERROR(VLOOKUP(DATOS!$I1513,CONFIG_ASIGNATURAS!$B$2:$J$61,9,FALSE()),""))</f>
      </c>
    </row>
    <row r="1514">
      <c r="E1514">
        <f>IF(DATOS!$I1514="","",IFERROR(VLOOKUP(DATOS!$I1514,CONFIG_ASIGNATURAS!$B$2:$J$61,9,FALSE()),""))</f>
      </c>
    </row>
    <row r="1515">
      <c r="E1515">
        <f>IF(DATOS!$I1515="","",IFERROR(VLOOKUP(DATOS!$I1515,CONFIG_ASIGNATURAS!$B$2:$J$61,9,FALSE()),""))</f>
      </c>
    </row>
    <row r="1516">
      <c r="E1516">
        <f>IF(DATOS!$I1516="","",IFERROR(VLOOKUP(DATOS!$I1516,CONFIG_ASIGNATURAS!$B$2:$J$61,9,FALSE()),""))</f>
      </c>
    </row>
    <row r="1517">
      <c r="E1517">
        <f>IF(DATOS!$I1517="","",IFERROR(VLOOKUP(DATOS!$I1517,CONFIG_ASIGNATURAS!$B$2:$J$61,9,FALSE()),""))</f>
      </c>
    </row>
    <row r="1518">
      <c r="E1518">
        <f>IF(DATOS!$I1518="","",IFERROR(VLOOKUP(DATOS!$I1518,CONFIG_ASIGNATURAS!$B$2:$J$61,9,FALSE()),""))</f>
      </c>
    </row>
    <row r="1519">
      <c r="E1519">
        <f>IF(DATOS!$I1519="","",IFERROR(VLOOKUP(DATOS!$I1519,CONFIG_ASIGNATURAS!$B$2:$J$61,9,FALSE()),""))</f>
      </c>
    </row>
    <row r="1520">
      <c r="E1520">
        <f>IF(DATOS!$I1520="","",IFERROR(VLOOKUP(DATOS!$I1520,CONFIG_ASIGNATURAS!$B$2:$J$61,9,FALSE()),""))</f>
      </c>
    </row>
    <row r="1521">
      <c r="E1521">
        <f>IF(DATOS!$I1521="","",IFERROR(VLOOKUP(DATOS!$I1521,CONFIG_ASIGNATURAS!$B$2:$J$61,9,FALSE()),""))</f>
      </c>
    </row>
    <row r="1522">
      <c r="E1522">
        <f>IF(DATOS!$I1522="","",IFERROR(VLOOKUP(DATOS!$I1522,CONFIG_ASIGNATURAS!$B$2:$J$61,9,FALSE()),""))</f>
      </c>
    </row>
    <row r="1523">
      <c r="E1523">
        <f>IF(DATOS!$I1523="","",IFERROR(VLOOKUP(DATOS!$I1523,CONFIG_ASIGNATURAS!$B$2:$J$61,9,FALSE()),""))</f>
      </c>
    </row>
    <row r="1524">
      <c r="E1524">
        <f>IF(DATOS!$I1524="","",IFERROR(VLOOKUP(DATOS!$I1524,CONFIG_ASIGNATURAS!$B$2:$J$61,9,FALSE()),""))</f>
      </c>
    </row>
    <row r="1525">
      <c r="E1525">
        <f>IF(DATOS!$I1525="","",IFERROR(VLOOKUP(DATOS!$I1525,CONFIG_ASIGNATURAS!$B$2:$J$61,9,FALSE()),""))</f>
      </c>
    </row>
    <row r="1526">
      <c r="E1526">
        <f>IF(DATOS!$I1526="","",IFERROR(VLOOKUP(DATOS!$I1526,CONFIG_ASIGNATURAS!$B$2:$J$61,9,FALSE()),""))</f>
      </c>
    </row>
    <row r="1527">
      <c r="E1527">
        <f>IF(DATOS!$I1527="","",IFERROR(VLOOKUP(DATOS!$I1527,CONFIG_ASIGNATURAS!$B$2:$J$61,9,FALSE()),""))</f>
      </c>
    </row>
    <row r="1528">
      <c r="E1528">
        <f>IF(DATOS!$I1528="","",IFERROR(VLOOKUP(DATOS!$I1528,CONFIG_ASIGNATURAS!$B$2:$J$61,9,FALSE()),""))</f>
      </c>
    </row>
    <row r="1529">
      <c r="E1529">
        <f>IF(DATOS!$I1529="","",IFERROR(VLOOKUP(DATOS!$I1529,CONFIG_ASIGNATURAS!$B$2:$J$61,9,FALSE()),""))</f>
      </c>
    </row>
    <row r="1530">
      <c r="E1530">
        <f>IF(DATOS!$I1530="","",IFERROR(VLOOKUP(DATOS!$I1530,CONFIG_ASIGNATURAS!$B$2:$J$61,9,FALSE()),""))</f>
      </c>
    </row>
    <row r="1531">
      <c r="E1531">
        <f>IF(DATOS!$I1531="","",IFERROR(VLOOKUP(DATOS!$I1531,CONFIG_ASIGNATURAS!$B$2:$J$61,9,FALSE()),""))</f>
      </c>
    </row>
    <row r="1532">
      <c r="E1532">
        <f>IF(DATOS!$I1532="","",IFERROR(VLOOKUP(DATOS!$I1532,CONFIG_ASIGNATURAS!$B$2:$J$61,9,FALSE()),""))</f>
      </c>
    </row>
    <row r="1533">
      <c r="E1533">
        <f>IF(DATOS!$I1533="","",IFERROR(VLOOKUP(DATOS!$I1533,CONFIG_ASIGNATURAS!$B$2:$J$61,9,FALSE()),""))</f>
      </c>
    </row>
    <row r="1534">
      <c r="E1534">
        <f>IF(DATOS!$I1534="","",IFERROR(VLOOKUP(DATOS!$I1534,CONFIG_ASIGNATURAS!$B$2:$J$61,9,FALSE()),""))</f>
      </c>
    </row>
    <row r="1535">
      <c r="E1535">
        <f>IF(DATOS!$I1535="","",IFERROR(VLOOKUP(DATOS!$I1535,CONFIG_ASIGNATURAS!$B$2:$J$61,9,FALSE()),""))</f>
      </c>
    </row>
    <row r="1536">
      <c r="E1536">
        <f>IF(DATOS!$I1536="","",IFERROR(VLOOKUP(DATOS!$I1536,CONFIG_ASIGNATURAS!$B$2:$J$61,9,FALSE()),""))</f>
      </c>
    </row>
    <row r="1537">
      <c r="E1537">
        <f>IF(DATOS!$I1537="","",IFERROR(VLOOKUP(DATOS!$I1537,CONFIG_ASIGNATURAS!$B$2:$J$61,9,FALSE()),""))</f>
      </c>
    </row>
    <row r="1538">
      <c r="E1538">
        <f>IF(DATOS!$I1538="","",IFERROR(VLOOKUP(DATOS!$I1538,CONFIG_ASIGNATURAS!$B$2:$J$61,9,FALSE()),""))</f>
      </c>
    </row>
    <row r="1539">
      <c r="E1539">
        <f>IF(DATOS!$I1539="","",IFERROR(VLOOKUP(DATOS!$I1539,CONFIG_ASIGNATURAS!$B$2:$J$61,9,FALSE()),""))</f>
      </c>
    </row>
    <row r="1540">
      <c r="E1540">
        <f>IF(DATOS!$I1540="","",IFERROR(VLOOKUP(DATOS!$I1540,CONFIG_ASIGNATURAS!$B$2:$J$61,9,FALSE()),""))</f>
      </c>
    </row>
    <row r="1541">
      <c r="E1541">
        <f>IF(DATOS!$I1541="","",IFERROR(VLOOKUP(DATOS!$I1541,CONFIG_ASIGNATURAS!$B$2:$J$61,9,FALSE()),""))</f>
      </c>
    </row>
    <row r="1542">
      <c r="E1542">
        <f>IF(DATOS!$I1542="","",IFERROR(VLOOKUP(DATOS!$I1542,CONFIG_ASIGNATURAS!$B$2:$J$61,9,FALSE()),""))</f>
      </c>
    </row>
    <row r="1543">
      <c r="E1543">
        <f>IF(DATOS!$I1543="","",IFERROR(VLOOKUP(DATOS!$I1543,CONFIG_ASIGNATURAS!$B$2:$J$61,9,FALSE()),""))</f>
      </c>
    </row>
    <row r="1544">
      <c r="E1544">
        <f>IF(DATOS!$I1544="","",IFERROR(VLOOKUP(DATOS!$I1544,CONFIG_ASIGNATURAS!$B$2:$J$61,9,FALSE()),""))</f>
      </c>
    </row>
    <row r="1545">
      <c r="E1545">
        <f>IF(DATOS!$I1545="","",IFERROR(VLOOKUP(DATOS!$I1545,CONFIG_ASIGNATURAS!$B$2:$J$61,9,FALSE()),""))</f>
      </c>
    </row>
    <row r="1546">
      <c r="E1546">
        <f>IF(DATOS!$I1546="","",IFERROR(VLOOKUP(DATOS!$I1546,CONFIG_ASIGNATURAS!$B$2:$J$61,9,FALSE()),""))</f>
      </c>
    </row>
    <row r="1547">
      <c r="E1547">
        <f>IF(DATOS!$I1547="","",IFERROR(VLOOKUP(DATOS!$I1547,CONFIG_ASIGNATURAS!$B$2:$J$61,9,FALSE()),""))</f>
      </c>
    </row>
    <row r="1548">
      <c r="E1548">
        <f>IF(DATOS!$I1548="","",IFERROR(VLOOKUP(DATOS!$I1548,CONFIG_ASIGNATURAS!$B$2:$J$61,9,FALSE()),""))</f>
      </c>
    </row>
    <row r="1549">
      <c r="E1549">
        <f>IF(DATOS!$I1549="","",IFERROR(VLOOKUP(DATOS!$I1549,CONFIG_ASIGNATURAS!$B$2:$J$61,9,FALSE()),""))</f>
      </c>
    </row>
    <row r="1550">
      <c r="E1550">
        <f>IF(DATOS!$I1550="","",IFERROR(VLOOKUP(DATOS!$I1550,CONFIG_ASIGNATURAS!$B$2:$J$61,9,FALSE()),""))</f>
      </c>
    </row>
    <row r="1551">
      <c r="E1551">
        <f>IF(DATOS!$I1551="","",IFERROR(VLOOKUP(DATOS!$I1551,CONFIG_ASIGNATURAS!$B$2:$J$61,9,FALSE()),""))</f>
      </c>
    </row>
    <row r="1552">
      <c r="E1552">
        <f>IF(DATOS!$I1552="","",IFERROR(VLOOKUP(DATOS!$I1552,CONFIG_ASIGNATURAS!$B$2:$J$61,9,FALSE()),""))</f>
      </c>
    </row>
    <row r="1553">
      <c r="E1553">
        <f>IF(DATOS!$I1553="","",IFERROR(VLOOKUP(DATOS!$I1553,CONFIG_ASIGNATURAS!$B$2:$J$61,9,FALSE()),""))</f>
      </c>
    </row>
    <row r="1554">
      <c r="E1554">
        <f>IF(DATOS!$I1554="","",IFERROR(VLOOKUP(DATOS!$I1554,CONFIG_ASIGNATURAS!$B$2:$J$61,9,FALSE()),""))</f>
      </c>
    </row>
    <row r="1555">
      <c r="E1555">
        <f>IF(DATOS!$I1555="","",IFERROR(VLOOKUP(DATOS!$I1555,CONFIG_ASIGNATURAS!$B$2:$J$61,9,FALSE()),""))</f>
      </c>
    </row>
    <row r="1556">
      <c r="E1556">
        <f>IF(DATOS!$I1556="","",IFERROR(VLOOKUP(DATOS!$I1556,CONFIG_ASIGNATURAS!$B$2:$J$61,9,FALSE()),""))</f>
      </c>
    </row>
    <row r="1557">
      <c r="E1557">
        <f>IF(DATOS!$I1557="","",IFERROR(VLOOKUP(DATOS!$I1557,CONFIG_ASIGNATURAS!$B$2:$J$61,9,FALSE()),""))</f>
      </c>
    </row>
    <row r="1558">
      <c r="E1558">
        <f>IF(DATOS!$I1558="","",IFERROR(VLOOKUP(DATOS!$I1558,CONFIG_ASIGNATURAS!$B$2:$J$61,9,FALSE()),""))</f>
      </c>
    </row>
    <row r="1559">
      <c r="E1559">
        <f>IF(DATOS!$I1559="","",IFERROR(VLOOKUP(DATOS!$I1559,CONFIG_ASIGNATURAS!$B$2:$J$61,9,FALSE()),""))</f>
      </c>
    </row>
    <row r="1560">
      <c r="E1560">
        <f>IF(DATOS!$I1560="","",IFERROR(VLOOKUP(DATOS!$I1560,CONFIG_ASIGNATURAS!$B$2:$J$61,9,FALSE()),""))</f>
      </c>
    </row>
    <row r="1561">
      <c r="E1561">
        <f>IF(DATOS!$I1561="","",IFERROR(VLOOKUP(DATOS!$I1561,CONFIG_ASIGNATURAS!$B$2:$J$61,9,FALSE()),""))</f>
      </c>
    </row>
    <row r="1562">
      <c r="E1562">
        <f>IF(DATOS!$I1562="","",IFERROR(VLOOKUP(DATOS!$I1562,CONFIG_ASIGNATURAS!$B$2:$J$61,9,FALSE()),""))</f>
      </c>
    </row>
    <row r="1563">
      <c r="E1563">
        <f>IF(DATOS!$I1563="","",IFERROR(VLOOKUP(DATOS!$I1563,CONFIG_ASIGNATURAS!$B$2:$J$61,9,FALSE()),""))</f>
      </c>
    </row>
    <row r="1564">
      <c r="E1564">
        <f>IF(DATOS!$I1564="","",IFERROR(VLOOKUP(DATOS!$I1564,CONFIG_ASIGNATURAS!$B$2:$J$61,9,FALSE()),""))</f>
      </c>
    </row>
    <row r="1565">
      <c r="E1565">
        <f>IF(DATOS!$I1565="","",IFERROR(VLOOKUP(DATOS!$I1565,CONFIG_ASIGNATURAS!$B$2:$J$61,9,FALSE()),""))</f>
      </c>
    </row>
    <row r="1566">
      <c r="E1566">
        <f>IF(DATOS!$I1566="","",IFERROR(VLOOKUP(DATOS!$I1566,CONFIG_ASIGNATURAS!$B$2:$J$61,9,FALSE()),""))</f>
      </c>
    </row>
    <row r="1567">
      <c r="E1567">
        <f>IF(DATOS!$I1567="","",IFERROR(VLOOKUP(DATOS!$I1567,CONFIG_ASIGNATURAS!$B$2:$J$61,9,FALSE()),""))</f>
      </c>
    </row>
    <row r="1568">
      <c r="E1568">
        <f>IF(DATOS!$I1568="","",IFERROR(VLOOKUP(DATOS!$I1568,CONFIG_ASIGNATURAS!$B$2:$J$61,9,FALSE()),""))</f>
      </c>
    </row>
    <row r="1569">
      <c r="E1569">
        <f>IF(DATOS!$I1569="","",IFERROR(VLOOKUP(DATOS!$I1569,CONFIG_ASIGNATURAS!$B$2:$J$61,9,FALSE()),""))</f>
      </c>
    </row>
    <row r="1570">
      <c r="E1570">
        <f>IF(DATOS!$I1570="","",IFERROR(VLOOKUP(DATOS!$I1570,CONFIG_ASIGNATURAS!$B$2:$J$61,9,FALSE()),""))</f>
      </c>
    </row>
    <row r="1571">
      <c r="E1571">
        <f>IF(DATOS!$I1571="","",IFERROR(VLOOKUP(DATOS!$I1571,CONFIG_ASIGNATURAS!$B$2:$J$61,9,FALSE()),""))</f>
      </c>
    </row>
    <row r="1572">
      <c r="E1572">
        <f>IF(DATOS!$I1572="","",IFERROR(VLOOKUP(DATOS!$I1572,CONFIG_ASIGNATURAS!$B$2:$J$61,9,FALSE()),""))</f>
      </c>
    </row>
    <row r="1573">
      <c r="E1573">
        <f>IF(DATOS!$I1573="","",IFERROR(VLOOKUP(DATOS!$I1573,CONFIG_ASIGNATURAS!$B$2:$J$61,9,FALSE()),""))</f>
      </c>
    </row>
    <row r="1574">
      <c r="E1574">
        <f>IF(DATOS!$I1574="","",IFERROR(VLOOKUP(DATOS!$I1574,CONFIG_ASIGNATURAS!$B$2:$J$61,9,FALSE()),""))</f>
      </c>
    </row>
    <row r="1575">
      <c r="E1575">
        <f>IF(DATOS!$I1575="","",IFERROR(VLOOKUP(DATOS!$I1575,CONFIG_ASIGNATURAS!$B$2:$J$61,9,FALSE()),""))</f>
      </c>
    </row>
    <row r="1576">
      <c r="E1576">
        <f>IF(DATOS!$I1576="","",IFERROR(VLOOKUP(DATOS!$I1576,CONFIG_ASIGNATURAS!$B$2:$J$61,9,FALSE()),""))</f>
      </c>
    </row>
    <row r="1577">
      <c r="E1577">
        <f>IF(DATOS!$I1577="","",IFERROR(VLOOKUP(DATOS!$I1577,CONFIG_ASIGNATURAS!$B$2:$J$61,9,FALSE()),""))</f>
      </c>
    </row>
    <row r="1578">
      <c r="E1578">
        <f>IF(DATOS!$I1578="","",IFERROR(VLOOKUP(DATOS!$I1578,CONFIG_ASIGNATURAS!$B$2:$J$61,9,FALSE()),""))</f>
      </c>
    </row>
    <row r="1579">
      <c r="E1579">
        <f>IF(DATOS!$I1579="","",IFERROR(VLOOKUP(DATOS!$I1579,CONFIG_ASIGNATURAS!$B$2:$J$61,9,FALSE()),""))</f>
      </c>
    </row>
    <row r="1580">
      <c r="E1580">
        <f>IF(DATOS!$I1580="","",IFERROR(VLOOKUP(DATOS!$I1580,CONFIG_ASIGNATURAS!$B$2:$J$61,9,FALSE()),""))</f>
      </c>
    </row>
    <row r="1581">
      <c r="E1581">
        <f>IF(DATOS!$I1581="","",IFERROR(VLOOKUP(DATOS!$I1581,CONFIG_ASIGNATURAS!$B$2:$J$61,9,FALSE()),""))</f>
      </c>
    </row>
    <row r="1582">
      <c r="E1582">
        <f>IF(DATOS!$I1582="","",IFERROR(VLOOKUP(DATOS!$I1582,CONFIG_ASIGNATURAS!$B$2:$J$61,9,FALSE()),""))</f>
      </c>
    </row>
    <row r="1583">
      <c r="E1583">
        <f>IF(DATOS!$I1583="","",IFERROR(VLOOKUP(DATOS!$I1583,CONFIG_ASIGNATURAS!$B$2:$J$61,9,FALSE()),""))</f>
      </c>
    </row>
    <row r="1584">
      <c r="E1584">
        <f>IF(DATOS!$I1584="","",IFERROR(VLOOKUP(DATOS!$I1584,CONFIG_ASIGNATURAS!$B$2:$J$61,9,FALSE()),""))</f>
      </c>
    </row>
    <row r="1585">
      <c r="E1585">
        <f>IF(DATOS!$I1585="","",IFERROR(VLOOKUP(DATOS!$I1585,CONFIG_ASIGNATURAS!$B$2:$J$61,9,FALSE()),""))</f>
      </c>
    </row>
    <row r="1586">
      <c r="E1586">
        <f>IF(DATOS!$I1586="","",IFERROR(VLOOKUP(DATOS!$I1586,CONFIG_ASIGNATURAS!$B$2:$J$61,9,FALSE()),""))</f>
      </c>
    </row>
    <row r="1587">
      <c r="E1587">
        <f>IF(DATOS!$I1587="","",IFERROR(VLOOKUP(DATOS!$I1587,CONFIG_ASIGNATURAS!$B$2:$J$61,9,FALSE()),""))</f>
      </c>
    </row>
    <row r="1588">
      <c r="E1588">
        <f>IF(DATOS!$I1588="","",IFERROR(VLOOKUP(DATOS!$I1588,CONFIG_ASIGNATURAS!$B$2:$J$61,9,FALSE()),""))</f>
      </c>
    </row>
    <row r="1589">
      <c r="E1589">
        <f>IF(DATOS!$I1589="","",IFERROR(VLOOKUP(DATOS!$I1589,CONFIG_ASIGNATURAS!$B$2:$J$61,9,FALSE()),""))</f>
      </c>
    </row>
    <row r="1590">
      <c r="E1590">
        <f>IF(DATOS!$I1590="","",IFERROR(VLOOKUP(DATOS!$I1590,CONFIG_ASIGNATURAS!$B$2:$J$61,9,FALSE()),""))</f>
      </c>
    </row>
    <row r="1591">
      <c r="E1591">
        <f>IF(DATOS!$I1591="","",IFERROR(VLOOKUP(DATOS!$I1591,CONFIG_ASIGNATURAS!$B$2:$J$61,9,FALSE()),""))</f>
      </c>
    </row>
    <row r="1592">
      <c r="E1592">
        <f>IF(DATOS!$I1592="","",IFERROR(VLOOKUP(DATOS!$I1592,CONFIG_ASIGNATURAS!$B$2:$J$61,9,FALSE()),""))</f>
      </c>
    </row>
    <row r="1593">
      <c r="E1593">
        <f>IF(DATOS!$I1593="","",IFERROR(VLOOKUP(DATOS!$I1593,CONFIG_ASIGNATURAS!$B$2:$J$61,9,FALSE()),""))</f>
      </c>
    </row>
    <row r="1594">
      <c r="E1594">
        <f>IF(DATOS!$I1594="","",IFERROR(VLOOKUP(DATOS!$I1594,CONFIG_ASIGNATURAS!$B$2:$J$61,9,FALSE()),""))</f>
      </c>
    </row>
    <row r="1595">
      <c r="E1595">
        <f>IF(DATOS!$I1595="","",IFERROR(VLOOKUP(DATOS!$I1595,CONFIG_ASIGNATURAS!$B$2:$J$61,9,FALSE()),""))</f>
      </c>
    </row>
    <row r="1596">
      <c r="E1596">
        <f>IF(DATOS!$I1596="","",IFERROR(VLOOKUP(DATOS!$I1596,CONFIG_ASIGNATURAS!$B$2:$J$61,9,FALSE()),""))</f>
      </c>
    </row>
    <row r="1597">
      <c r="E1597">
        <f>IF(DATOS!$I1597="","",IFERROR(VLOOKUP(DATOS!$I1597,CONFIG_ASIGNATURAS!$B$2:$J$61,9,FALSE()),""))</f>
      </c>
    </row>
    <row r="1598">
      <c r="E1598">
        <f>IF(DATOS!$I1598="","",IFERROR(VLOOKUP(DATOS!$I1598,CONFIG_ASIGNATURAS!$B$2:$J$61,9,FALSE()),""))</f>
      </c>
    </row>
    <row r="1599">
      <c r="E1599">
        <f>IF(DATOS!$I1599="","",IFERROR(VLOOKUP(DATOS!$I1599,CONFIG_ASIGNATURAS!$B$2:$J$61,9,FALSE()),""))</f>
      </c>
    </row>
    <row r="1600">
      <c r="E1600">
        <f>IF(DATOS!$I1600="","",IFERROR(VLOOKUP(DATOS!$I1600,CONFIG_ASIGNATURAS!$B$2:$J$61,9,FALSE()),""))</f>
      </c>
    </row>
    <row r="1601">
      <c r="E1601">
        <f>IF(DATOS!$I1601="","",IFERROR(VLOOKUP(DATOS!$I1601,CONFIG_ASIGNATURAS!$B$2:$J$61,9,FALSE()),""))</f>
      </c>
    </row>
    <row r="1602">
      <c r="E1602">
        <f>IF(DATOS!$I1602="","",IFERROR(VLOOKUP(DATOS!$I1602,CONFIG_ASIGNATURAS!$B$2:$J$61,9,FALSE()),""))</f>
      </c>
    </row>
    <row r="1603">
      <c r="E1603">
        <f>IF(DATOS!$I1603="","",IFERROR(VLOOKUP(DATOS!$I1603,CONFIG_ASIGNATURAS!$B$2:$J$61,9,FALSE()),""))</f>
      </c>
    </row>
    <row r="1604">
      <c r="E1604">
        <f>IF(DATOS!$I1604="","",IFERROR(VLOOKUP(DATOS!$I1604,CONFIG_ASIGNATURAS!$B$2:$J$61,9,FALSE()),""))</f>
      </c>
    </row>
    <row r="1605">
      <c r="E1605">
        <f>IF(DATOS!$I1605="","",IFERROR(VLOOKUP(DATOS!$I1605,CONFIG_ASIGNATURAS!$B$2:$J$61,9,FALSE()),""))</f>
      </c>
    </row>
    <row r="1606">
      <c r="E1606">
        <f>IF(DATOS!$I1606="","",IFERROR(VLOOKUP(DATOS!$I1606,CONFIG_ASIGNATURAS!$B$2:$J$61,9,FALSE()),""))</f>
      </c>
    </row>
    <row r="1607">
      <c r="E1607">
        <f>IF(DATOS!$I1607="","",IFERROR(VLOOKUP(DATOS!$I1607,CONFIG_ASIGNATURAS!$B$2:$J$61,9,FALSE()),""))</f>
      </c>
    </row>
    <row r="1608">
      <c r="E1608">
        <f>IF(DATOS!$I1608="","",IFERROR(VLOOKUP(DATOS!$I1608,CONFIG_ASIGNATURAS!$B$2:$J$61,9,FALSE()),""))</f>
      </c>
    </row>
    <row r="1609">
      <c r="E1609">
        <f>IF(DATOS!$I1609="","",IFERROR(VLOOKUP(DATOS!$I1609,CONFIG_ASIGNATURAS!$B$2:$J$61,9,FALSE()),""))</f>
      </c>
    </row>
    <row r="1610">
      <c r="E1610">
        <f>IF(DATOS!$I1610="","",IFERROR(VLOOKUP(DATOS!$I1610,CONFIG_ASIGNATURAS!$B$2:$J$61,9,FALSE()),""))</f>
      </c>
    </row>
    <row r="1611">
      <c r="E1611">
        <f>IF(DATOS!$I1611="","",IFERROR(VLOOKUP(DATOS!$I1611,CONFIG_ASIGNATURAS!$B$2:$J$61,9,FALSE()),""))</f>
      </c>
    </row>
    <row r="1612">
      <c r="E1612">
        <f>IF(DATOS!$I1612="","",IFERROR(VLOOKUP(DATOS!$I1612,CONFIG_ASIGNATURAS!$B$2:$J$61,9,FALSE()),""))</f>
      </c>
    </row>
    <row r="1613">
      <c r="E1613">
        <f>IF(DATOS!$I1613="","",IFERROR(VLOOKUP(DATOS!$I1613,CONFIG_ASIGNATURAS!$B$2:$J$61,9,FALSE()),""))</f>
      </c>
    </row>
    <row r="1614">
      <c r="E1614">
        <f>IF(DATOS!$I1614="","",IFERROR(VLOOKUP(DATOS!$I1614,CONFIG_ASIGNATURAS!$B$2:$J$61,9,FALSE()),""))</f>
      </c>
    </row>
    <row r="1615">
      <c r="E1615">
        <f>IF(DATOS!$I1615="","",IFERROR(VLOOKUP(DATOS!$I1615,CONFIG_ASIGNATURAS!$B$2:$J$61,9,FALSE()),""))</f>
      </c>
    </row>
    <row r="1616">
      <c r="E1616">
        <f>IF(DATOS!$I1616="","",IFERROR(VLOOKUP(DATOS!$I1616,CONFIG_ASIGNATURAS!$B$2:$J$61,9,FALSE()),""))</f>
      </c>
    </row>
    <row r="1617">
      <c r="E1617">
        <f>IF(DATOS!$I1617="","",IFERROR(VLOOKUP(DATOS!$I1617,CONFIG_ASIGNATURAS!$B$2:$J$61,9,FALSE()),""))</f>
      </c>
    </row>
    <row r="1618">
      <c r="E1618">
        <f>IF(DATOS!$I1618="","",IFERROR(VLOOKUP(DATOS!$I1618,CONFIG_ASIGNATURAS!$B$2:$J$61,9,FALSE()),""))</f>
      </c>
    </row>
    <row r="1619">
      <c r="E1619">
        <f>IF(DATOS!$I1619="","",IFERROR(VLOOKUP(DATOS!$I1619,CONFIG_ASIGNATURAS!$B$2:$J$61,9,FALSE()),""))</f>
      </c>
    </row>
    <row r="1620">
      <c r="E1620">
        <f>IF(DATOS!$I1620="","",IFERROR(VLOOKUP(DATOS!$I1620,CONFIG_ASIGNATURAS!$B$2:$J$61,9,FALSE()),""))</f>
      </c>
    </row>
    <row r="1621">
      <c r="E1621">
        <f>IF(DATOS!$I1621="","",IFERROR(VLOOKUP(DATOS!$I1621,CONFIG_ASIGNATURAS!$B$2:$J$61,9,FALSE()),""))</f>
      </c>
    </row>
    <row r="1622">
      <c r="E1622">
        <f>IF(DATOS!$I1622="","",IFERROR(VLOOKUP(DATOS!$I1622,CONFIG_ASIGNATURAS!$B$2:$J$61,9,FALSE()),""))</f>
      </c>
    </row>
    <row r="1623">
      <c r="E1623">
        <f>IF(DATOS!$I1623="","",IFERROR(VLOOKUP(DATOS!$I1623,CONFIG_ASIGNATURAS!$B$2:$J$61,9,FALSE()),""))</f>
      </c>
    </row>
    <row r="1624">
      <c r="E1624">
        <f>IF(DATOS!$I1624="","",IFERROR(VLOOKUP(DATOS!$I1624,CONFIG_ASIGNATURAS!$B$2:$J$61,9,FALSE()),""))</f>
      </c>
    </row>
    <row r="1625">
      <c r="E1625">
        <f>IF(DATOS!$I1625="","",IFERROR(VLOOKUP(DATOS!$I1625,CONFIG_ASIGNATURAS!$B$2:$J$61,9,FALSE()),""))</f>
      </c>
    </row>
    <row r="1626">
      <c r="E1626">
        <f>IF(DATOS!$I1626="","",IFERROR(VLOOKUP(DATOS!$I1626,CONFIG_ASIGNATURAS!$B$2:$J$61,9,FALSE()),""))</f>
      </c>
    </row>
    <row r="1627">
      <c r="E1627">
        <f>IF(DATOS!$I1627="","",IFERROR(VLOOKUP(DATOS!$I1627,CONFIG_ASIGNATURAS!$B$2:$J$61,9,FALSE()),""))</f>
      </c>
    </row>
    <row r="1628">
      <c r="E1628">
        <f>IF(DATOS!$I1628="","",IFERROR(VLOOKUP(DATOS!$I1628,CONFIG_ASIGNATURAS!$B$2:$J$61,9,FALSE()),""))</f>
      </c>
    </row>
    <row r="1629">
      <c r="E1629">
        <f>IF(DATOS!$I1629="","",IFERROR(VLOOKUP(DATOS!$I1629,CONFIG_ASIGNATURAS!$B$2:$J$61,9,FALSE()),""))</f>
      </c>
    </row>
    <row r="1630">
      <c r="E1630">
        <f>IF(DATOS!$I1630="","",IFERROR(VLOOKUP(DATOS!$I1630,CONFIG_ASIGNATURAS!$B$2:$J$61,9,FALSE()),""))</f>
      </c>
    </row>
    <row r="1631">
      <c r="E1631">
        <f>IF(DATOS!$I1631="","",IFERROR(VLOOKUP(DATOS!$I1631,CONFIG_ASIGNATURAS!$B$2:$J$61,9,FALSE()),""))</f>
      </c>
    </row>
    <row r="1632">
      <c r="E1632">
        <f>IF(DATOS!$I1632="","",IFERROR(VLOOKUP(DATOS!$I1632,CONFIG_ASIGNATURAS!$B$2:$J$61,9,FALSE()),""))</f>
      </c>
    </row>
    <row r="1633">
      <c r="E1633">
        <f>IF(DATOS!$I1633="","",IFERROR(VLOOKUP(DATOS!$I1633,CONFIG_ASIGNATURAS!$B$2:$J$61,9,FALSE()),""))</f>
      </c>
    </row>
    <row r="1634">
      <c r="E1634">
        <f>IF(DATOS!$I1634="","",IFERROR(VLOOKUP(DATOS!$I1634,CONFIG_ASIGNATURAS!$B$2:$J$61,9,FALSE()),""))</f>
      </c>
    </row>
    <row r="1635">
      <c r="E1635">
        <f>IF(DATOS!$I1635="","",IFERROR(VLOOKUP(DATOS!$I1635,CONFIG_ASIGNATURAS!$B$2:$J$61,9,FALSE()),""))</f>
      </c>
    </row>
    <row r="1636">
      <c r="E1636">
        <f>IF(DATOS!$I1636="","",IFERROR(VLOOKUP(DATOS!$I1636,CONFIG_ASIGNATURAS!$B$2:$J$61,9,FALSE()),""))</f>
      </c>
    </row>
    <row r="1637">
      <c r="E1637">
        <f>IF(DATOS!$I1637="","",IFERROR(VLOOKUP(DATOS!$I1637,CONFIG_ASIGNATURAS!$B$2:$J$61,9,FALSE()),""))</f>
      </c>
    </row>
    <row r="1638">
      <c r="E1638">
        <f>IF(DATOS!$I1638="","",IFERROR(VLOOKUP(DATOS!$I1638,CONFIG_ASIGNATURAS!$B$2:$J$61,9,FALSE()),""))</f>
      </c>
    </row>
    <row r="1639">
      <c r="E1639">
        <f>IF(DATOS!$I1639="","",IFERROR(VLOOKUP(DATOS!$I1639,CONFIG_ASIGNATURAS!$B$2:$J$61,9,FALSE()),""))</f>
      </c>
    </row>
    <row r="1640">
      <c r="E1640">
        <f>IF(DATOS!$I1640="","",IFERROR(VLOOKUP(DATOS!$I1640,CONFIG_ASIGNATURAS!$B$2:$J$61,9,FALSE()),""))</f>
      </c>
    </row>
    <row r="1641">
      <c r="E1641">
        <f>IF(DATOS!$I1641="","",IFERROR(VLOOKUP(DATOS!$I1641,CONFIG_ASIGNATURAS!$B$2:$J$61,9,FALSE()),""))</f>
      </c>
    </row>
    <row r="1642">
      <c r="E1642">
        <f>IF(DATOS!$I1642="","",IFERROR(VLOOKUP(DATOS!$I1642,CONFIG_ASIGNATURAS!$B$2:$J$61,9,FALSE()),""))</f>
      </c>
    </row>
    <row r="1643">
      <c r="E1643">
        <f>IF(DATOS!$I1643="","",IFERROR(VLOOKUP(DATOS!$I1643,CONFIG_ASIGNATURAS!$B$2:$J$61,9,FALSE()),""))</f>
      </c>
    </row>
    <row r="1644">
      <c r="E1644">
        <f>IF(DATOS!$I1644="","",IFERROR(VLOOKUP(DATOS!$I1644,CONFIG_ASIGNATURAS!$B$2:$J$61,9,FALSE()),""))</f>
      </c>
    </row>
    <row r="1645">
      <c r="E1645">
        <f>IF(DATOS!$I1645="","",IFERROR(VLOOKUP(DATOS!$I1645,CONFIG_ASIGNATURAS!$B$2:$J$61,9,FALSE()),""))</f>
      </c>
    </row>
    <row r="1646">
      <c r="E1646">
        <f>IF(DATOS!$I1646="","",IFERROR(VLOOKUP(DATOS!$I1646,CONFIG_ASIGNATURAS!$B$2:$J$61,9,FALSE()),""))</f>
      </c>
    </row>
    <row r="1647">
      <c r="E1647">
        <f>IF(DATOS!$I1647="","",IFERROR(VLOOKUP(DATOS!$I1647,CONFIG_ASIGNATURAS!$B$2:$J$61,9,FALSE()),""))</f>
      </c>
    </row>
    <row r="1648">
      <c r="E1648">
        <f>IF(DATOS!$I1648="","",IFERROR(VLOOKUP(DATOS!$I1648,CONFIG_ASIGNATURAS!$B$2:$J$61,9,FALSE()),""))</f>
      </c>
    </row>
    <row r="1649">
      <c r="E1649">
        <f>IF(DATOS!$I1649="","",IFERROR(VLOOKUP(DATOS!$I1649,CONFIG_ASIGNATURAS!$B$2:$J$61,9,FALSE()),""))</f>
      </c>
    </row>
    <row r="1650">
      <c r="E1650">
        <f>IF(DATOS!$I1650="","",IFERROR(VLOOKUP(DATOS!$I1650,CONFIG_ASIGNATURAS!$B$2:$J$61,9,FALSE()),""))</f>
      </c>
    </row>
    <row r="1651">
      <c r="E1651">
        <f>IF(DATOS!$I1651="","",IFERROR(VLOOKUP(DATOS!$I1651,CONFIG_ASIGNATURAS!$B$2:$J$61,9,FALSE()),""))</f>
      </c>
    </row>
    <row r="1652">
      <c r="E1652">
        <f>IF(DATOS!$I1652="","",IFERROR(VLOOKUP(DATOS!$I1652,CONFIG_ASIGNATURAS!$B$2:$J$61,9,FALSE()),""))</f>
      </c>
    </row>
    <row r="1653">
      <c r="E1653">
        <f>IF(DATOS!$I1653="","",IFERROR(VLOOKUP(DATOS!$I1653,CONFIG_ASIGNATURAS!$B$2:$J$61,9,FALSE()),""))</f>
      </c>
    </row>
    <row r="1654">
      <c r="E1654">
        <f>IF(DATOS!$I1654="","",IFERROR(VLOOKUP(DATOS!$I1654,CONFIG_ASIGNATURAS!$B$2:$J$61,9,FALSE()),""))</f>
      </c>
    </row>
    <row r="1655">
      <c r="E1655">
        <f>IF(DATOS!$I1655="","",IFERROR(VLOOKUP(DATOS!$I1655,CONFIG_ASIGNATURAS!$B$2:$J$61,9,FALSE()),""))</f>
      </c>
    </row>
    <row r="1656">
      <c r="E1656">
        <f>IF(DATOS!$I1656="","",IFERROR(VLOOKUP(DATOS!$I1656,CONFIG_ASIGNATURAS!$B$2:$J$61,9,FALSE()),""))</f>
      </c>
    </row>
    <row r="1657">
      <c r="E1657">
        <f>IF(DATOS!$I1657="","",IFERROR(VLOOKUP(DATOS!$I1657,CONFIG_ASIGNATURAS!$B$2:$J$61,9,FALSE()),""))</f>
      </c>
    </row>
    <row r="1658">
      <c r="E1658">
        <f>IF(DATOS!$I1658="","",IFERROR(VLOOKUP(DATOS!$I1658,CONFIG_ASIGNATURAS!$B$2:$J$61,9,FALSE()),""))</f>
      </c>
    </row>
    <row r="1659">
      <c r="E1659">
        <f>IF(DATOS!$I1659="","",IFERROR(VLOOKUP(DATOS!$I1659,CONFIG_ASIGNATURAS!$B$2:$J$61,9,FALSE()),""))</f>
      </c>
    </row>
    <row r="1660">
      <c r="E1660">
        <f>IF(DATOS!$I1660="","",IFERROR(VLOOKUP(DATOS!$I1660,CONFIG_ASIGNATURAS!$B$2:$J$61,9,FALSE()),""))</f>
      </c>
    </row>
    <row r="1661">
      <c r="E1661">
        <f>IF(DATOS!$I1661="","",IFERROR(VLOOKUP(DATOS!$I1661,CONFIG_ASIGNATURAS!$B$2:$J$61,9,FALSE()),""))</f>
      </c>
    </row>
    <row r="1662">
      <c r="E1662">
        <f>IF(DATOS!$I1662="","",IFERROR(VLOOKUP(DATOS!$I1662,CONFIG_ASIGNATURAS!$B$2:$J$61,9,FALSE()),""))</f>
      </c>
    </row>
    <row r="1663">
      <c r="E1663">
        <f>IF(DATOS!$I1663="","",IFERROR(VLOOKUP(DATOS!$I1663,CONFIG_ASIGNATURAS!$B$2:$J$61,9,FALSE()),""))</f>
      </c>
    </row>
    <row r="1664">
      <c r="E1664">
        <f>IF(DATOS!$I1664="","",IFERROR(VLOOKUP(DATOS!$I1664,CONFIG_ASIGNATURAS!$B$2:$J$61,9,FALSE()),""))</f>
      </c>
    </row>
    <row r="1665">
      <c r="E1665">
        <f>IF(DATOS!$I1665="","",IFERROR(VLOOKUP(DATOS!$I1665,CONFIG_ASIGNATURAS!$B$2:$J$61,9,FALSE()),""))</f>
      </c>
    </row>
    <row r="1666">
      <c r="E1666">
        <f>IF(DATOS!$I1666="","",IFERROR(VLOOKUP(DATOS!$I1666,CONFIG_ASIGNATURAS!$B$2:$J$61,9,FALSE()),""))</f>
      </c>
    </row>
    <row r="1667">
      <c r="E1667">
        <f>IF(DATOS!$I1667="","",IFERROR(VLOOKUP(DATOS!$I1667,CONFIG_ASIGNATURAS!$B$2:$J$61,9,FALSE()),""))</f>
      </c>
    </row>
    <row r="1668">
      <c r="E1668">
        <f>IF(DATOS!$I1668="","",IFERROR(VLOOKUP(DATOS!$I1668,CONFIG_ASIGNATURAS!$B$2:$J$61,9,FALSE()),""))</f>
      </c>
    </row>
    <row r="1669">
      <c r="E1669">
        <f>IF(DATOS!$I1669="","",IFERROR(VLOOKUP(DATOS!$I1669,CONFIG_ASIGNATURAS!$B$2:$J$61,9,FALSE()),""))</f>
      </c>
    </row>
    <row r="1670">
      <c r="E1670">
        <f>IF(DATOS!$I1670="","",IFERROR(VLOOKUP(DATOS!$I1670,CONFIG_ASIGNATURAS!$B$2:$J$61,9,FALSE()),""))</f>
      </c>
    </row>
    <row r="1671">
      <c r="E1671">
        <f>IF(DATOS!$I1671="","",IFERROR(VLOOKUP(DATOS!$I1671,CONFIG_ASIGNATURAS!$B$2:$J$61,9,FALSE()),""))</f>
      </c>
    </row>
    <row r="1672">
      <c r="E1672">
        <f>IF(DATOS!$I1672="","",IFERROR(VLOOKUP(DATOS!$I1672,CONFIG_ASIGNATURAS!$B$2:$J$61,9,FALSE()),""))</f>
      </c>
    </row>
    <row r="1673">
      <c r="E1673">
        <f>IF(DATOS!$I1673="","",IFERROR(VLOOKUP(DATOS!$I1673,CONFIG_ASIGNATURAS!$B$2:$J$61,9,FALSE()),""))</f>
      </c>
    </row>
    <row r="1674">
      <c r="E1674">
        <f>IF(DATOS!$I1674="","",IFERROR(VLOOKUP(DATOS!$I1674,CONFIG_ASIGNATURAS!$B$2:$J$61,9,FALSE()),""))</f>
      </c>
    </row>
    <row r="1675">
      <c r="E1675">
        <f>IF(DATOS!$I1675="","",IFERROR(VLOOKUP(DATOS!$I1675,CONFIG_ASIGNATURAS!$B$2:$J$61,9,FALSE()),""))</f>
      </c>
    </row>
    <row r="1676">
      <c r="E1676">
        <f>IF(DATOS!$I1676="","",IFERROR(VLOOKUP(DATOS!$I1676,CONFIG_ASIGNATURAS!$B$2:$J$61,9,FALSE()),""))</f>
      </c>
    </row>
    <row r="1677">
      <c r="E1677">
        <f>IF(DATOS!$I1677="","",IFERROR(VLOOKUP(DATOS!$I1677,CONFIG_ASIGNATURAS!$B$2:$J$61,9,FALSE()),""))</f>
      </c>
    </row>
    <row r="1678">
      <c r="E1678">
        <f>IF(DATOS!$I1678="","",IFERROR(VLOOKUP(DATOS!$I1678,CONFIG_ASIGNATURAS!$B$2:$J$61,9,FALSE()),""))</f>
      </c>
    </row>
    <row r="1679">
      <c r="E1679">
        <f>IF(DATOS!$I1679="","",IFERROR(VLOOKUP(DATOS!$I1679,CONFIG_ASIGNATURAS!$B$2:$J$61,9,FALSE()),""))</f>
      </c>
    </row>
    <row r="1680">
      <c r="E1680">
        <f>IF(DATOS!$I1680="","",IFERROR(VLOOKUP(DATOS!$I1680,CONFIG_ASIGNATURAS!$B$2:$J$61,9,FALSE()),""))</f>
      </c>
    </row>
    <row r="1681">
      <c r="E1681">
        <f>IF(DATOS!$I1681="","",IFERROR(VLOOKUP(DATOS!$I1681,CONFIG_ASIGNATURAS!$B$2:$J$61,9,FALSE()),""))</f>
      </c>
    </row>
    <row r="1682">
      <c r="E1682">
        <f>IF(DATOS!$I1682="","",IFERROR(VLOOKUP(DATOS!$I1682,CONFIG_ASIGNATURAS!$B$2:$J$61,9,FALSE()),""))</f>
      </c>
    </row>
    <row r="1683">
      <c r="E1683">
        <f>IF(DATOS!$I1683="","",IFERROR(VLOOKUP(DATOS!$I1683,CONFIG_ASIGNATURAS!$B$2:$J$61,9,FALSE()),""))</f>
      </c>
    </row>
    <row r="1684">
      <c r="E1684">
        <f>IF(DATOS!$I1684="","",IFERROR(VLOOKUP(DATOS!$I1684,CONFIG_ASIGNATURAS!$B$2:$J$61,9,FALSE()),""))</f>
      </c>
    </row>
    <row r="1685">
      <c r="E1685">
        <f>IF(DATOS!$I1685="","",IFERROR(VLOOKUP(DATOS!$I1685,CONFIG_ASIGNATURAS!$B$2:$J$61,9,FALSE()),""))</f>
      </c>
    </row>
    <row r="1686">
      <c r="E1686">
        <f>IF(DATOS!$I1686="","",IFERROR(VLOOKUP(DATOS!$I1686,CONFIG_ASIGNATURAS!$B$2:$J$61,9,FALSE()),""))</f>
      </c>
    </row>
    <row r="1687">
      <c r="E1687">
        <f>IF(DATOS!$I1687="","",IFERROR(VLOOKUP(DATOS!$I1687,CONFIG_ASIGNATURAS!$B$2:$J$61,9,FALSE()),""))</f>
      </c>
    </row>
    <row r="1688">
      <c r="E1688">
        <f>IF(DATOS!$I1688="","",IFERROR(VLOOKUP(DATOS!$I1688,CONFIG_ASIGNATURAS!$B$2:$J$61,9,FALSE()),""))</f>
      </c>
    </row>
    <row r="1689">
      <c r="E1689">
        <f>IF(DATOS!$I1689="","",IFERROR(VLOOKUP(DATOS!$I1689,CONFIG_ASIGNATURAS!$B$2:$J$61,9,FALSE()),""))</f>
      </c>
    </row>
    <row r="1690">
      <c r="E1690">
        <f>IF(DATOS!$I1690="","",IFERROR(VLOOKUP(DATOS!$I1690,CONFIG_ASIGNATURAS!$B$2:$J$61,9,FALSE()),""))</f>
      </c>
    </row>
    <row r="1691">
      <c r="E1691">
        <f>IF(DATOS!$I1691="","",IFERROR(VLOOKUP(DATOS!$I1691,CONFIG_ASIGNATURAS!$B$2:$J$61,9,FALSE()),""))</f>
      </c>
    </row>
    <row r="1692">
      <c r="E1692">
        <f>IF(DATOS!$I1692="","",IFERROR(VLOOKUP(DATOS!$I1692,CONFIG_ASIGNATURAS!$B$2:$J$61,9,FALSE()),""))</f>
      </c>
    </row>
    <row r="1693">
      <c r="E1693">
        <f>IF(DATOS!$I1693="","",IFERROR(VLOOKUP(DATOS!$I1693,CONFIG_ASIGNATURAS!$B$2:$J$61,9,FALSE()),""))</f>
      </c>
    </row>
    <row r="1694">
      <c r="E1694">
        <f>IF(DATOS!$I1694="","",IFERROR(VLOOKUP(DATOS!$I1694,CONFIG_ASIGNATURAS!$B$2:$J$61,9,FALSE()),""))</f>
      </c>
    </row>
    <row r="1695">
      <c r="E1695">
        <f>IF(DATOS!$I1695="","",IFERROR(VLOOKUP(DATOS!$I1695,CONFIG_ASIGNATURAS!$B$2:$J$61,9,FALSE()),""))</f>
      </c>
    </row>
    <row r="1696">
      <c r="E1696">
        <f>IF(DATOS!$I1696="","",IFERROR(VLOOKUP(DATOS!$I1696,CONFIG_ASIGNATURAS!$B$2:$J$61,9,FALSE()),""))</f>
      </c>
    </row>
    <row r="1697">
      <c r="E1697">
        <f>IF(DATOS!$I1697="","",IFERROR(VLOOKUP(DATOS!$I1697,CONFIG_ASIGNATURAS!$B$2:$J$61,9,FALSE()),""))</f>
      </c>
    </row>
    <row r="1698">
      <c r="E1698">
        <f>IF(DATOS!$I1698="","",IFERROR(VLOOKUP(DATOS!$I1698,CONFIG_ASIGNATURAS!$B$2:$J$61,9,FALSE()),""))</f>
      </c>
    </row>
    <row r="1699">
      <c r="E1699">
        <f>IF(DATOS!$I1699="","",IFERROR(VLOOKUP(DATOS!$I1699,CONFIG_ASIGNATURAS!$B$2:$J$61,9,FALSE()),""))</f>
      </c>
    </row>
    <row r="1700">
      <c r="E1700">
        <f>IF(DATOS!$I1700="","",IFERROR(VLOOKUP(DATOS!$I1700,CONFIG_ASIGNATURAS!$B$2:$J$61,9,FALSE()),""))</f>
      </c>
    </row>
    <row r="1701">
      <c r="E1701">
        <f>IF(DATOS!$I1701="","",IFERROR(VLOOKUP(DATOS!$I1701,CONFIG_ASIGNATURAS!$B$2:$J$61,9,FALSE()),""))</f>
      </c>
    </row>
    <row r="1702">
      <c r="E1702">
        <f>IF(DATOS!$I1702="","",IFERROR(VLOOKUP(DATOS!$I1702,CONFIG_ASIGNATURAS!$B$2:$J$61,9,FALSE()),""))</f>
      </c>
    </row>
    <row r="1703">
      <c r="E1703">
        <f>IF(DATOS!$I1703="","",IFERROR(VLOOKUP(DATOS!$I1703,CONFIG_ASIGNATURAS!$B$2:$J$61,9,FALSE()),""))</f>
      </c>
    </row>
    <row r="1704">
      <c r="E1704">
        <f>IF(DATOS!$I1704="","",IFERROR(VLOOKUP(DATOS!$I1704,CONFIG_ASIGNATURAS!$B$2:$J$61,9,FALSE()),""))</f>
      </c>
    </row>
    <row r="1705">
      <c r="E1705">
        <f>IF(DATOS!$I1705="","",IFERROR(VLOOKUP(DATOS!$I1705,CONFIG_ASIGNATURAS!$B$2:$J$61,9,FALSE()),""))</f>
      </c>
    </row>
    <row r="1706">
      <c r="E1706">
        <f>IF(DATOS!$I1706="","",IFERROR(VLOOKUP(DATOS!$I1706,CONFIG_ASIGNATURAS!$B$2:$J$61,9,FALSE()),""))</f>
      </c>
    </row>
    <row r="1707">
      <c r="E1707">
        <f>IF(DATOS!$I1707="","",IFERROR(VLOOKUP(DATOS!$I1707,CONFIG_ASIGNATURAS!$B$2:$J$61,9,FALSE()),""))</f>
      </c>
    </row>
    <row r="1708">
      <c r="E1708">
        <f>IF(DATOS!$I1708="","",IFERROR(VLOOKUP(DATOS!$I1708,CONFIG_ASIGNATURAS!$B$2:$J$61,9,FALSE()),""))</f>
      </c>
    </row>
    <row r="1709">
      <c r="E1709">
        <f>IF(DATOS!$I1709="","",IFERROR(VLOOKUP(DATOS!$I1709,CONFIG_ASIGNATURAS!$B$2:$J$61,9,FALSE()),""))</f>
      </c>
    </row>
    <row r="1710">
      <c r="E1710">
        <f>IF(DATOS!$I1710="","",IFERROR(VLOOKUP(DATOS!$I1710,CONFIG_ASIGNATURAS!$B$2:$J$61,9,FALSE()),""))</f>
      </c>
    </row>
    <row r="1711">
      <c r="E1711">
        <f>IF(DATOS!$I1711="","",IFERROR(VLOOKUP(DATOS!$I1711,CONFIG_ASIGNATURAS!$B$2:$J$61,9,FALSE()),""))</f>
      </c>
    </row>
    <row r="1712">
      <c r="E1712">
        <f>IF(DATOS!$I1712="","",IFERROR(VLOOKUP(DATOS!$I1712,CONFIG_ASIGNATURAS!$B$2:$J$61,9,FALSE()),""))</f>
      </c>
    </row>
    <row r="1713">
      <c r="E1713">
        <f>IF(DATOS!$I1713="","",IFERROR(VLOOKUP(DATOS!$I1713,CONFIG_ASIGNATURAS!$B$2:$J$61,9,FALSE()),""))</f>
      </c>
    </row>
    <row r="1714">
      <c r="E1714">
        <f>IF(DATOS!$I1714="","",IFERROR(VLOOKUP(DATOS!$I1714,CONFIG_ASIGNATURAS!$B$2:$J$61,9,FALSE()),""))</f>
      </c>
    </row>
    <row r="1715">
      <c r="E1715">
        <f>IF(DATOS!$I1715="","",IFERROR(VLOOKUP(DATOS!$I1715,CONFIG_ASIGNATURAS!$B$2:$J$61,9,FALSE()),""))</f>
      </c>
    </row>
    <row r="1716">
      <c r="E1716">
        <f>IF(DATOS!$I1716="","",IFERROR(VLOOKUP(DATOS!$I1716,CONFIG_ASIGNATURAS!$B$2:$J$61,9,FALSE()),""))</f>
      </c>
    </row>
    <row r="1717">
      <c r="E1717">
        <f>IF(DATOS!$I1717="","",IFERROR(VLOOKUP(DATOS!$I1717,CONFIG_ASIGNATURAS!$B$2:$J$61,9,FALSE()),""))</f>
      </c>
    </row>
    <row r="1718">
      <c r="E1718">
        <f>IF(DATOS!$I1718="","",IFERROR(VLOOKUP(DATOS!$I1718,CONFIG_ASIGNATURAS!$B$2:$J$61,9,FALSE()),""))</f>
      </c>
    </row>
    <row r="1719">
      <c r="E1719">
        <f>IF(DATOS!$I1719="","",IFERROR(VLOOKUP(DATOS!$I1719,CONFIG_ASIGNATURAS!$B$2:$J$61,9,FALSE()),""))</f>
      </c>
    </row>
    <row r="1720">
      <c r="E1720">
        <f>IF(DATOS!$I1720="","",IFERROR(VLOOKUP(DATOS!$I1720,CONFIG_ASIGNATURAS!$B$2:$J$61,9,FALSE()),""))</f>
      </c>
    </row>
    <row r="1721">
      <c r="E1721">
        <f>IF(DATOS!$I1721="","",IFERROR(VLOOKUP(DATOS!$I1721,CONFIG_ASIGNATURAS!$B$2:$J$61,9,FALSE()),""))</f>
      </c>
    </row>
    <row r="1722">
      <c r="E1722">
        <f>IF(DATOS!$I1722="","",IFERROR(VLOOKUP(DATOS!$I1722,CONFIG_ASIGNATURAS!$B$2:$J$61,9,FALSE()),""))</f>
      </c>
    </row>
    <row r="1723">
      <c r="E1723">
        <f>IF(DATOS!$I1723="","",IFERROR(VLOOKUP(DATOS!$I1723,CONFIG_ASIGNATURAS!$B$2:$J$61,9,FALSE()),""))</f>
      </c>
    </row>
    <row r="1724">
      <c r="E1724">
        <f>IF(DATOS!$I1724="","",IFERROR(VLOOKUP(DATOS!$I1724,CONFIG_ASIGNATURAS!$B$2:$J$61,9,FALSE()),""))</f>
      </c>
    </row>
    <row r="1725">
      <c r="E1725">
        <f>IF(DATOS!$I1725="","",IFERROR(VLOOKUP(DATOS!$I1725,CONFIG_ASIGNATURAS!$B$2:$J$61,9,FALSE()),""))</f>
      </c>
    </row>
    <row r="1726">
      <c r="E1726">
        <f>IF(DATOS!$I1726="","",IFERROR(VLOOKUP(DATOS!$I1726,CONFIG_ASIGNATURAS!$B$2:$J$61,9,FALSE()),""))</f>
      </c>
    </row>
    <row r="1727">
      <c r="E1727">
        <f>IF(DATOS!$I1727="","",IFERROR(VLOOKUP(DATOS!$I1727,CONFIG_ASIGNATURAS!$B$2:$J$61,9,FALSE()),""))</f>
      </c>
    </row>
    <row r="1728">
      <c r="E1728">
        <f>IF(DATOS!$I1728="","",IFERROR(VLOOKUP(DATOS!$I1728,CONFIG_ASIGNATURAS!$B$2:$J$61,9,FALSE()),""))</f>
      </c>
    </row>
    <row r="1729">
      <c r="E1729">
        <f>IF(DATOS!$I1729="","",IFERROR(VLOOKUP(DATOS!$I1729,CONFIG_ASIGNATURAS!$B$2:$J$61,9,FALSE()),""))</f>
      </c>
    </row>
    <row r="1730">
      <c r="E1730">
        <f>IF(DATOS!$I1730="","",IFERROR(VLOOKUP(DATOS!$I1730,CONFIG_ASIGNATURAS!$B$2:$J$61,9,FALSE()),""))</f>
      </c>
    </row>
    <row r="1731">
      <c r="E1731">
        <f>IF(DATOS!$I1731="","",IFERROR(VLOOKUP(DATOS!$I1731,CONFIG_ASIGNATURAS!$B$2:$J$61,9,FALSE()),""))</f>
      </c>
    </row>
    <row r="1732">
      <c r="E1732">
        <f>IF(DATOS!$I1732="","",IFERROR(VLOOKUP(DATOS!$I1732,CONFIG_ASIGNATURAS!$B$2:$J$61,9,FALSE()),""))</f>
      </c>
    </row>
    <row r="1733">
      <c r="E1733">
        <f>IF(DATOS!$I1733="","",IFERROR(VLOOKUP(DATOS!$I1733,CONFIG_ASIGNATURAS!$B$2:$J$61,9,FALSE()),""))</f>
      </c>
    </row>
    <row r="1734">
      <c r="E1734">
        <f>IF(DATOS!$I1734="","",IFERROR(VLOOKUP(DATOS!$I1734,CONFIG_ASIGNATURAS!$B$2:$J$61,9,FALSE()),""))</f>
      </c>
    </row>
    <row r="1735">
      <c r="E1735">
        <f>IF(DATOS!$I1735="","",IFERROR(VLOOKUP(DATOS!$I1735,CONFIG_ASIGNATURAS!$B$2:$J$61,9,FALSE()),""))</f>
      </c>
    </row>
    <row r="1736">
      <c r="E1736">
        <f>IF(DATOS!$I1736="","",IFERROR(VLOOKUP(DATOS!$I1736,CONFIG_ASIGNATURAS!$B$2:$J$61,9,FALSE()),""))</f>
      </c>
    </row>
    <row r="1737">
      <c r="E1737">
        <f>IF(DATOS!$I1737="","",IFERROR(VLOOKUP(DATOS!$I1737,CONFIG_ASIGNATURAS!$B$2:$J$61,9,FALSE()),""))</f>
      </c>
    </row>
    <row r="1738">
      <c r="E1738">
        <f>IF(DATOS!$I1738="","",IFERROR(VLOOKUP(DATOS!$I1738,CONFIG_ASIGNATURAS!$B$2:$J$61,9,FALSE()),""))</f>
      </c>
    </row>
    <row r="1739">
      <c r="E1739">
        <f>IF(DATOS!$I1739="","",IFERROR(VLOOKUP(DATOS!$I1739,CONFIG_ASIGNATURAS!$B$2:$J$61,9,FALSE()),""))</f>
      </c>
    </row>
    <row r="1740">
      <c r="E1740">
        <f>IF(DATOS!$I1740="","",IFERROR(VLOOKUP(DATOS!$I1740,CONFIG_ASIGNATURAS!$B$2:$J$61,9,FALSE()),""))</f>
      </c>
    </row>
    <row r="1741">
      <c r="E1741">
        <f>IF(DATOS!$I1741="","",IFERROR(VLOOKUP(DATOS!$I1741,CONFIG_ASIGNATURAS!$B$2:$J$61,9,FALSE()),""))</f>
      </c>
    </row>
    <row r="1742">
      <c r="E1742">
        <f>IF(DATOS!$I1742="","",IFERROR(VLOOKUP(DATOS!$I1742,CONFIG_ASIGNATURAS!$B$2:$J$61,9,FALSE()),""))</f>
      </c>
    </row>
    <row r="1743">
      <c r="E1743">
        <f>IF(DATOS!$I1743="","",IFERROR(VLOOKUP(DATOS!$I1743,CONFIG_ASIGNATURAS!$B$2:$J$61,9,FALSE()),""))</f>
      </c>
    </row>
    <row r="1744">
      <c r="E1744">
        <f>IF(DATOS!$I1744="","",IFERROR(VLOOKUP(DATOS!$I1744,CONFIG_ASIGNATURAS!$B$2:$J$61,9,FALSE()),""))</f>
      </c>
    </row>
    <row r="1745">
      <c r="E1745">
        <f>IF(DATOS!$I1745="","",IFERROR(VLOOKUP(DATOS!$I1745,CONFIG_ASIGNATURAS!$B$2:$J$61,9,FALSE()),""))</f>
      </c>
    </row>
    <row r="1746">
      <c r="E1746">
        <f>IF(DATOS!$I1746="","",IFERROR(VLOOKUP(DATOS!$I1746,CONFIG_ASIGNATURAS!$B$2:$J$61,9,FALSE()),""))</f>
      </c>
    </row>
    <row r="1747">
      <c r="E1747">
        <f>IF(DATOS!$I1747="","",IFERROR(VLOOKUP(DATOS!$I1747,CONFIG_ASIGNATURAS!$B$2:$J$61,9,FALSE()),""))</f>
      </c>
    </row>
    <row r="1748">
      <c r="E1748">
        <f>IF(DATOS!$I1748="","",IFERROR(VLOOKUP(DATOS!$I1748,CONFIG_ASIGNATURAS!$B$2:$J$61,9,FALSE()),""))</f>
      </c>
    </row>
    <row r="1749">
      <c r="E1749">
        <f>IF(DATOS!$I1749="","",IFERROR(VLOOKUP(DATOS!$I1749,CONFIG_ASIGNATURAS!$B$2:$J$61,9,FALSE()),""))</f>
      </c>
    </row>
    <row r="1750">
      <c r="E1750">
        <f>IF(DATOS!$I1750="","",IFERROR(VLOOKUP(DATOS!$I1750,CONFIG_ASIGNATURAS!$B$2:$J$61,9,FALSE()),""))</f>
      </c>
    </row>
    <row r="1751">
      <c r="E1751">
        <f>IF(DATOS!$I1751="","",IFERROR(VLOOKUP(DATOS!$I1751,CONFIG_ASIGNATURAS!$B$2:$J$61,9,FALSE()),""))</f>
      </c>
    </row>
    <row r="1752">
      <c r="E1752">
        <f>IF(DATOS!$I1752="","",IFERROR(VLOOKUP(DATOS!$I1752,CONFIG_ASIGNATURAS!$B$2:$J$61,9,FALSE()),""))</f>
      </c>
    </row>
    <row r="1753">
      <c r="E1753">
        <f>IF(DATOS!$I1753="","",IFERROR(VLOOKUP(DATOS!$I1753,CONFIG_ASIGNATURAS!$B$2:$J$61,9,FALSE()),""))</f>
      </c>
    </row>
    <row r="1754">
      <c r="E1754">
        <f>IF(DATOS!$I1754="","",IFERROR(VLOOKUP(DATOS!$I1754,CONFIG_ASIGNATURAS!$B$2:$J$61,9,FALSE()),""))</f>
      </c>
    </row>
    <row r="1755">
      <c r="E1755">
        <f>IF(DATOS!$I1755="","",IFERROR(VLOOKUP(DATOS!$I1755,CONFIG_ASIGNATURAS!$B$2:$J$61,9,FALSE()),""))</f>
      </c>
    </row>
    <row r="1756">
      <c r="E1756">
        <f>IF(DATOS!$I1756="","",IFERROR(VLOOKUP(DATOS!$I1756,CONFIG_ASIGNATURAS!$B$2:$J$61,9,FALSE()),""))</f>
      </c>
    </row>
    <row r="1757">
      <c r="E1757">
        <f>IF(DATOS!$I1757="","",IFERROR(VLOOKUP(DATOS!$I1757,CONFIG_ASIGNATURAS!$B$2:$J$61,9,FALSE()),""))</f>
      </c>
    </row>
    <row r="1758">
      <c r="E1758">
        <f>IF(DATOS!$I1758="","",IFERROR(VLOOKUP(DATOS!$I1758,CONFIG_ASIGNATURAS!$B$2:$J$61,9,FALSE()),""))</f>
      </c>
    </row>
    <row r="1759">
      <c r="E1759">
        <f>IF(DATOS!$I1759="","",IFERROR(VLOOKUP(DATOS!$I1759,CONFIG_ASIGNATURAS!$B$2:$J$61,9,FALSE()),""))</f>
      </c>
    </row>
    <row r="1760">
      <c r="E1760">
        <f>IF(DATOS!$I1760="","",IFERROR(VLOOKUP(DATOS!$I1760,CONFIG_ASIGNATURAS!$B$2:$J$61,9,FALSE()),""))</f>
      </c>
    </row>
    <row r="1761">
      <c r="E1761">
        <f>IF(DATOS!$I1761="","",IFERROR(VLOOKUP(DATOS!$I1761,CONFIG_ASIGNATURAS!$B$2:$J$61,9,FALSE()),""))</f>
      </c>
    </row>
    <row r="1762">
      <c r="E1762">
        <f>IF(DATOS!$I1762="","",IFERROR(VLOOKUP(DATOS!$I1762,CONFIG_ASIGNATURAS!$B$2:$J$61,9,FALSE()),""))</f>
      </c>
    </row>
    <row r="1763">
      <c r="E1763">
        <f>IF(DATOS!$I1763="","",IFERROR(VLOOKUP(DATOS!$I1763,CONFIG_ASIGNATURAS!$B$2:$J$61,9,FALSE()),""))</f>
      </c>
    </row>
    <row r="1764">
      <c r="E1764">
        <f>IF(DATOS!$I1764="","",IFERROR(VLOOKUP(DATOS!$I1764,CONFIG_ASIGNATURAS!$B$2:$J$61,9,FALSE()),""))</f>
      </c>
    </row>
    <row r="1765">
      <c r="E1765">
        <f>IF(DATOS!$I1765="","",IFERROR(VLOOKUP(DATOS!$I1765,CONFIG_ASIGNATURAS!$B$2:$J$61,9,FALSE()),""))</f>
      </c>
    </row>
    <row r="1766">
      <c r="E1766">
        <f>IF(DATOS!$I1766="","",IFERROR(VLOOKUP(DATOS!$I1766,CONFIG_ASIGNATURAS!$B$2:$J$61,9,FALSE()),""))</f>
      </c>
    </row>
    <row r="1767">
      <c r="E1767">
        <f>IF(DATOS!$I1767="","",IFERROR(VLOOKUP(DATOS!$I1767,CONFIG_ASIGNATURAS!$B$2:$J$61,9,FALSE()),""))</f>
      </c>
    </row>
    <row r="1768">
      <c r="E1768">
        <f>IF(DATOS!$I1768="","",IFERROR(VLOOKUP(DATOS!$I1768,CONFIG_ASIGNATURAS!$B$2:$J$61,9,FALSE()),""))</f>
      </c>
    </row>
    <row r="1769">
      <c r="E1769">
        <f>IF(DATOS!$I1769="","",IFERROR(VLOOKUP(DATOS!$I1769,CONFIG_ASIGNATURAS!$B$2:$J$61,9,FALSE()),""))</f>
      </c>
    </row>
    <row r="1770">
      <c r="E1770">
        <f>IF(DATOS!$I1770="","",IFERROR(VLOOKUP(DATOS!$I1770,CONFIG_ASIGNATURAS!$B$2:$J$61,9,FALSE()),""))</f>
      </c>
    </row>
    <row r="1771">
      <c r="E1771">
        <f>IF(DATOS!$I1771="","",IFERROR(VLOOKUP(DATOS!$I1771,CONFIG_ASIGNATURAS!$B$2:$J$61,9,FALSE()),""))</f>
      </c>
    </row>
    <row r="1772">
      <c r="E1772">
        <f>IF(DATOS!$I1772="","",IFERROR(VLOOKUP(DATOS!$I1772,CONFIG_ASIGNATURAS!$B$2:$J$61,9,FALSE()),""))</f>
      </c>
    </row>
    <row r="1773">
      <c r="E1773">
        <f>IF(DATOS!$I1773="","",IFERROR(VLOOKUP(DATOS!$I1773,CONFIG_ASIGNATURAS!$B$2:$J$61,9,FALSE()),""))</f>
      </c>
    </row>
    <row r="1774">
      <c r="E1774">
        <f>IF(DATOS!$I1774="","",IFERROR(VLOOKUP(DATOS!$I1774,CONFIG_ASIGNATURAS!$B$2:$J$61,9,FALSE()),""))</f>
      </c>
    </row>
    <row r="1775">
      <c r="E1775">
        <f>IF(DATOS!$I1775="","",IFERROR(VLOOKUP(DATOS!$I1775,CONFIG_ASIGNATURAS!$B$2:$J$61,9,FALSE()),""))</f>
      </c>
    </row>
    <row r="1776">
      <c r="E1776">
        <f>IF(DATOS!$I1776="","",IFERROR(VLOOKUP(DATOS!$I1776,CONFIG_ASIGNATURAS!$B$2:$J$61,9,FALSE()),""))</f>
      </c>
    </row>
    <row r="1777">
      <c r="E1777">
        <f>IF(DATOS!$I1777="","",IFERROR(VLOOKUP(DATOS!$I1777,CONFIG_ASIGNATURAS!$B$2:$J$61,9,FALSE()),""))</f>
      </c>
    </row>
    <row r="1778">
      <c r="E1778">
        <f>IF(DATOS!$I1778="","",IFERROR(VLOOKUP(DATOS!$I1778,CONFIG_ASIGNATURAS!$B$2:$J$61,9,FALSE()),""))</f>
      </c>
    </row>
    <row r="1779">
      <c r="E1779">
        <f>IF(DATOS!$I1779="","",IFERROR(VLOOKUP(DATOS!$I1779,CONFIG_ASIGNATURAS!$B$2:$J$61,9,FALSE()),""))</f>
      </c>
    </row>
    <row r="1780">
      <c r="E1780">
        <f>IF(DATOS!$I1780="","",IFERROR(VLOOKUP(DATOS!$I1780,CONFIG_ASIGNATURAS!$B$2:$J$61,9,FALSE()),""))</f>
      </c>
    </row>
    <row r="1781">
      <c r="E1781">
        <f>IF(DATOS!$I1781="","",IFERROR(VLOOKUP(DATOS!$I1781,CONFIG_ASIGNATURAS!$B$2:$J$61,9,FALSE()),""))</f>
      </c>
    </row>
    <row r="1782">
      <c r="E1782">
        <f>IF(DATOS!$I1782="","",IFERROR(VLOOKUP(DATOS!$I1782,CONFIG_ASIGNATURAS!$B$2:$J$61,9,FALSE()),""))</f>
      </c>
    </row>
    <row r="1783">
      <c r="E1783">
        <f>IF(DATOS!$I1783="","",IFERROR(VLOOKUP(DATOS!$I1783,CONFIG_ASIGNATURAS!$B$2:$J$61,9,FALSE()),""))</f>
      </c>
    </row>
    <row r="1784">
      <c r="E1784">
        <f>IF(DATOS!$I1784="","",IFERROR(VLOOKUP(DATOS!$I1784,CONFIG_ASIGNATURAS!$B$2:$J$61,9,FALSE()),""))</f>
      </c>
    </row>
    <row r="1785">
      <c r="E1785">
        <f>IF(DATOS!$I1785="","",IFERROR(VLOOKUP(DATOS!$I1785,CONFIG_ASIGNATURAS!$B$2:$J$61,9,FALSE()),""))</f>
      </c>
    </row>
    <row r="1786">
      <c r="E1786">
        <f>IF(DATOS!$I1786="","",IFERROR(VLOOKUP(DATOS!$I1786,CONFIG_ASIGNATURAS!$B$2:$J$61,9,FALSE()),""))</f>
      </c>
    </row>
    <row r="1787">
      <c r="E1787">
        <f>IF(DATOS!$I1787="","",IFERROR(VLOOKUP(DATOS!$I1787,CONFIG_ASIGNATURAS!$B$2:$J$61,9,FALSE()),""))</f>
      </c>
    </row>
    <row r="1788">
      <c r="E1788">
        <f>IF(DATOS!$I1788="","",IFERROR(VLOOKUP(DATOS!$I1788,CONFIG_ASIGNATURAS!$B$2:$J$61,9,FALSE()),""))</f>
      </c>
    </row>
    <row r="1789">
      <c r="E1789">
        <f>IF(DATOS!$I1789="","",IFERROR(VLOOKUP(DATOS!$I1789,CONFIG_ASIGNATURAS!$B$2:$J$61,9,FALSE()),""))</f>
      </c>
    </row>
    <row r="1790">
      <c r="E1790">
        <f>IF(DATOS!$I1790="","",IFERROR(VLOOKUP(DATOS!$I1790,CONFIG_ASIGNATURAS!$B$2:$J$61,9,FALSE()),""))</f>
      </c>
    </row>
    <row r="1791">
      <c r="E1791">
        <f>IF(DATOS!$I1791="","",IFERROR(VLOOKUP(DATOS!$I1791,CONFIG_ASIGNATURAS!$B$2:$J$61,9,FALSE()),""))</f>
      </c>
    </row>
    <row r="1792">
      <c r="E1792">
        <f>IF(DATOS!$I1792="","",IFERROR(VLOOKUP(DATOS!$I1792,CONFIG_ASIGNATURAS!$B$2:$J$61,9,FALSE()),""))</f>
      </c>
    </row>
    <row r="1793">
      <c r="E1793">
        <f>IF(DATOS!$I1793="","",IFERROR(VLOOKUP(DATOS!$I1793,CONFIG_ASIGNATURAS!$B$2:$J$61,9,FALSE()),""))</f>
      </c>
    </row>
    <row r="1794">
      <c r="E1794">
        <f>IF(DATOS!$I1794="","",IFERROR(VLOOKUP(DATOS!$I1794,CONFIG_ASIGNATURAS!$B$2:$J$61,9,FALSE()),""))</f>
      </c>
    </row>
    <row r="1795">
      <c r="E1795">
        <f>IF(DATOS!$I1795="","",IFERROR(VLOOKUP(DATOS!$I1795,CONFIG_ASIGNATURAS!$B$2:$J$61,9,FALSE()),""))</f>
      </c>
    </row>
    <row r="1796">
      <c r="E1796">
        <f>IF(DATOS!$I1796="","",IFERROR(VLOOKUP(DATOS!$I1796,CONFIG_ASIGNATURAS!$B$2:$J$61,9,FALSE()),""))</f>
      </c>
    </row>
    <row r="1797">
      <c r="E1797">
        <f>IF(DATOS!$I1797="","",IFERROR(VLOOKUP(DATOS!$I1797,CONFIG_ASIGNATURAS!$B$2:$J$61,9,FALSE()),""))</f>
      </c>
    </row>
    <row r="1798">
      <c r="E1798">
        <f>IF(DATOS!$I1798="","",IFERROR(VLOOKUP(DATOS!$I1798,CONFIG_ASIGNATURAS!$B$2:$J$61,9,FALSE()),""))</f>
      </c>
    </row>
    <row r="1799">
      <c r="E1799">
        <f>IF(DATOS!$I1799="","",IFERROR(VLOOKUP(DATOS!$I1799,CONFIG_ASIGNATURAS!$B$2:$J$61,9,FALSE()),""))</f>
      </c>
    </row>
    <row r="1800">
      <c r="E1800">
        <f>IF(DATOS!$I1800="","",IFERROR(VLOOKUP(DATOS!$I1800,CONFIG_ASIGNATURAS!$B$2:$J$61,9,FALSE()),""))</f>
      </c>
    </row>
    <row r="1801">
      <c r="E1801">
        <f>IF(DATOS!$I1801="","",IFERROR(VLOOKUP(DATOS!$I1801,CONFIG_ASIGNATURAS!$B$2:$J$61,9,FALSE()),""))</f>
      </c>
    </row>
    <row r="1802">
      <c r="E1802">
        <f>IF(DATOS!$I1802="","",IFERROR(VLOOKUP(DATOS!$I1802,CONFIG_ASIGNATURAS!$B$2:$J$61,9,FALSE()),""))</f>
      </c>
    </row>
    <row r="1803">
      <c r="E1803">
        <f>IF(DATOS!$I1803="","",IFERROR(VLOOKUP(DATOS!$I1803,CONFIG_ASIGNATURAS!$B$2:$J$61,9,FALSE()),""))</f>
      </c>
    </row>
    <row r="1804">
      <c r="E1804">
        <f>IF(DATOS!$I1804="","",IFERROR(VLOOKUP(DATOS!$I1804,CONFIG_ASIGNATURAS!$B$2:$J$61,9,FALSE()),""))</f>
      </c>
    </row>
    <row r="1805">
      <c r="E1805">
        <f>IF(DATOS!$I1805="","",IFERROR(VLOOKUP(DATOS!$I1805,CONFIG_ASIGNATURAS!$B$2:$J$61,9,FALSE()),""))</f>
      </c>
    </row>
    <row r="1806">
      <c r="E1806">
        <f>IF(DATOS!$I1806="","",IFERROR(VLOOKUP(DATOS!$I1806,CONFIG_ASIGNATURAS!$B$2:$J$61,9,FALSE()),""))</f>
      </c>
    </row>
    <row r="1807">
      <c r="E1807">
        <f>IF(DATOS!$I1807="","",IFERROR(VLOOKUP(DATOS!$I1807,CONFIG_ASIGNATURAS!$B$2:$J$61,9,FALSE()),""))</f>
      </c>
    </row>
    <row r="1808">
      <c r="E1808">
        <f>IF(DATOS!$I1808="","",IFERROR(VLOOKUP(DATOS!$I1808,CONFIG_ASIGNATURAS!$B$2:$J$61,9,FALSE()),""))</f>
      </c>
    </row>
    <row r="1809">
      <c r="E1809">
        <f>IF(DATOS!$I1809="","",IFERROR(VLOOKUP(DATOS!$I1809,CONFIG_ASIGNATURAS!$B$2:$J$61,9,FALSE()),""))</f>
      </c>
    </row>
    <row r="1810">
      <c r="E1810">
        <f>IF(DATOS!$I1810="","",IFERROR(VLOOKUP(DATOS!$I1810,CONFIG_ASIGNATURAS!$B$2:$J$61,9,FALSE()),""))</f>
      </c>
    </row>
    <row r="1811">
      <c r="E1811">
        <f>IF(DATOS!$I1811="","",IFERROR(VLOOKUP(DATOS!$I1811,CONFIG_ASIGNATURAS!$B$2:$J$61,9,FALSE()),""))</f>
      </c>
    </row>
    <row r="1812">
      <c r="E1812">
        <f>IF(DATOS!$I1812="","",IFERROR(VLOOKUP(DATOS!$I1812,CONFIG_ASIGNATURAS!$B$2:$J$61,9,FALSE()),""))</f>
      </c>
    </row>
    <row r="1813">
      <c r="E1813">
        <f>IF(DATOS!$I1813="","",IFERROR(VLOOKUP(DATOS!$I1813,CONFIG_ASIGNATURAS!$B$2:$J$61,9,FALSE()),""))</f>
      </c>
    </row>
    <row r="1814">
      <c r="E1814">
        <f>IF(DATOS!$I1814="","",IFERROR(VLOOKUP(DATOS!$I1814,CONFIG_ASIGNATURAS!$B$2:$J$61,9,FALSE()),""))</f>
      </c>
    </row>
    <row r="1815">
      <c r="E1815">
        <f>IF(DATOS!$I1815="","",IFERROR(VLOOKUP(DATOS!$I1815,CONFIG_ASIGNATURAS!$B$2:$J$61,9,FALSE()),""))</f>
      </c>
    </row>
    <row r="1816">
      <c r="E1816">
        <f>IF(DATOS!$I1816="","",IFERROR(VLOOKUP(DATOS!$I1816,CONFIG_ASIGNATURAS!$B$2:$J$61,9,FALSE()),""))</f>
      </c>
    </row>
    <row r="1817">
      <c r="E1817">
        <f>IF(DATOS!$I1817="","",IFERROR(VLOOKUP(DATOS!$I1817,CONFIG_ASIGNATURAS!$B$2:$J$61,9,FALSE()),""))</f>
      </c>
    </row>
    <row r="1818">
      <c r="E1818">
        <f>IF(DATOS!$I1818="","",IFERROR(VLOOKUP(DATOS!$I1818,CONFIG_ASIGNATURAS!$B$2:$J$61,9,FALSE()),""))</f>
      </c>
    </row>
    <row r="1819">
      <c r="E1819">
        <f>IF(DATOS!$I1819="","",IFERROR(VLOOKUP(DATOS!$I1819,CONFIG_ASIGNATURAS!$B$2:$J$61,9,FALSE()),""))</f>
      </c>
    </row>
    <row r="1820">
      <c r="E1820">
        <f>IF(DATOS!$I1820="","",IFERROR(VLOOKUP(DATOS!$I1820,CONFIG_ASIGNATURAS!$B$2:$J$61,9,FALSE()),""))</f>
      </c>
    </row>
    <row r="1821">
      <c r="E1821">
        <f>IF(DATOS!$I1821="","",IFERROR(VLOOKUP(DATOS!$I1821,CONFIG_ASIGNATURAS!$B$2:$J$61,9,FALSE()),""))</f>
      </c>
    </row>
    <row r="1822">
      <c r="E1822">
        <f>IF(DATOS!$I1822="","",IFERROR(VLOOKUP(DATOS!$I1822,CONFIG_ASIGNATURAS!$B$2:$J$61,9,FALSE()),""))</f>
      </c>
    </row>
    <row r="1823">
      <c r="E1823">
        <f>IF(DATOS!$I1823="","",IFERROR(VLOOKUP(DATOS!$I1823,CONFIG_ASIGNATURAS!$B$2:$J$61,9,FALSE()),""))</f>
      </c>
    </row>
    <row r="1824">
      <c r="E1824">
        <f>IF(DATOS!$I1824="","",IFERROR(VLOOKUP(DATOS!$I1824,CONFIG_ASIGNATURAS!$B$2:$J$61,9,FALSE()),""))</f>
      </c>
    </row>
    <row r="1825">
      <c r="E1825">
        <f>IF(DATOS!$I1825="","",IFERROR(VLOOKUP(DATOS!$I1825,CONFIG_ASIGNATURAS!$B$2:$J$61,9,FALSE()),""))</f>
      </c>
    </row>
    <row r="1826">
      <c r="E1826">
        <f>IF(DATOS!$I1826="","",IFERROR(VLOOKUP(DATOS!$I1826,CONFIG_ASIGNATURAS!$B$2:$J$61,9,FALSE()),""))</f>
      </c>
    </row>
    <row r="1827">
      <c r="E1827">
        <f>IF(DATOS!$I1827="","",IFERROR(VLOOKUP(DATOS!$I1827,CONFIG_ASIGNATURAS!$B$2:$J$61,9,FALSE()),""))</f>
      </c>
    </row>
    <row r="1828">
      <c r="E1828">
        <f>IF(DATOS!$I1828="","",IFERROR(VLOOKUP(DATOS!$I1828,CONFIG_ASIGNATURAS!$B$2:$J$61,9,FALSE()),""))</f>
      </c>
    </row>
    <row r="1829">
      <c r="E1829">
        <f>IF(DATOS!$I1829="","",IFERROR(VLOOKUP(DATOS!$I1829,CONFIG_ASIGNATURAS!$B$2:$J$61,9,FALSE()),""))</f>
      </c>
    </row>
    <row r="1830">
      <c r="E1830">
        <f>IF(DATOS!$I1830="","",IFERROR(VLOOKUP(DATOS!$I1830,CONFIG_ASIGNATURAS!$B$2:$J$61,9,FALSE()),""))</f>
      </c>
    </row>
    <row r="1831">
      <c r="E1831">
        <f>IF(DATOS!$I1831="","",IFERROR(VLOOKUP(DATOS!$I1831,CONFIG_ASIGNATURAS!$B$2:$J$61,9,FALSE()),""))</f>
      </c>
    </row>
    <row r="1832">
      <c r="E1832">
        <f>IF(DATOS!$I1832="","",IFERROR(VLOOKUP(DATOS!$I1832,CONFIG_ASIGNATURAS!$B$2:$J$61,9,FALSE()),""))</f>
      </c>
    </row>
    <row r="1833">
      <c r="E1833">
        <f>IF(DATOS!$I1833="","",IFERROR(VLOOKUP(DATOS!$I1833,CONFIG_ASIGNATURAS!$B$2:$J$61,9,FALSE()),""))</f>
      </c>
    </row>
    <row r="1834">
      <c r="E1834">
        <f>IF(DATOS!$I1834="","",IFERROR(VLOOKUP(DATOS!$I1834,CONFIG_ASIGNATURAS!$B$2:$J$61,9,FALSE()),""))</f>
      </c>
    </row>
    <row r="1835">
      <c r="E1835">
        <f>IF(DATOS!$I1835="","",IFERROR(VLOOKUP(DATOS!$I1835,CONFIG_ASIGNATURAS!$B$2:$J$61,9,FALSE()),""))</f>
      </c>
    </row>
    <row r="1836">
      <c r="E1836">
        <f>IF(DATOS!$I1836="","",IFERROR(VLOOKUP(DATOS!$I1836,CONFIG_ASIGNATURAS!$B$2:$J$61,9,FALSE()),""))</f>
      </c>
    </row>
    <row r="1837">
      <c r="E1837">
        <f>IF(DATOS!$I1837="","",IFERROR(VLOOKUP(DATOS!$I1837,CONFIG_ASIGNATURAS!$B$2:$J$61,9,FALSE()),""))</f>
      </c>
    </row>
    <row r="1838">
      <c r="E1838">
        <f>IF(DATOS!$I1838="","",IFERROR(VLOOKUP(DATOS!$I1838,CONFIG_ASIGNATURAS!$B$2:$J$61,9,FALSE()),""))</f>
      </c>
    </row>
    <row r="1839">
      <c r="E1839">
        <f>IF(DATOS!$I1839="","",IFERROR(VLOOKUP(DATOS!$I1839,CONFIG_ASIGNATURAS!$B$2:$J$61,9,FALSE()),""))</f>
      </c>
    </row>
    <row r="1840">
      <c r="E1840">
        <f>IF(DATOS!$I1840="","",IFERROR(VLOOKUP(DATOS!$I1840,CONFIG_ASIGNATURAS!$B$2:$J$61,9,FALSE()),""))</f>
      </c>
    </row>
    <row r="1841">
      <c r="E1841">
        <f>IF(DATOS!$I1841="","",IFERROR(VLOOKUP(DATOS!$I1841,CONFIG_ASIGNATURAS!$B$2:$J$61,9,FALSE()),""))</f>
      </c>
    </row>
    <row r="1842">
      <c r="E1842">
        <f>IF(DATOS!$I1842="","",IFERROR(VLOOKUP(DATOS!$I1842,CONFIG_ASIGNATURAS!$B$2:$J$61,9,FALSE()),""))</f>
      </c>
    </row>
    <row r="1843">
      <c r="E1843">
        <f>IF(DATOS!$I1843="","",IFERROR(VLOOKUP(DATOS!$I1843,CONFIG_ASIGNATURAS!$B$2:$J$61,9,FALSE()),""))</f>
      </c>
    </row>
    <row r="1844">
      <c r="E1844">
        <f>IF(DATOS!$I1844="","",IFERROR(VLOOKUP(DATOS!$I1844,CONFIG_ASIGNATURAS!$B$2:$J$61,9,FALSE()),""))</f>
      </c>
    </row>
    <row r="1845">
      <c r="E1845">
        <f>IF(DATOS!$I1845="","",IFERROR(VLOOKUP(DATOS!$I1845,CONFIG_ASIGNATURAS!$B$2:$J$61,9,FALSE()),""))</f>
      </c>
    </row>
    <row r="1846">
      <c r="E1846">
        <f>IF(DATOS!$I1846="","",IFERROR(VLOOKUP(DATOS!$I1846,CONFIG_ASIGNATURAS!$B$2:$J$61,9,FALSE()),""))</f>
      </c>
    </row>
    <row r="1847">
      <c r="E1847">
        <f>IF(DATOS!$I1847="","",IFERROR(VLOOKUP(DATOS!$I1847,CONFIG_ASIGNATURAS!$B$2:$J$61,9,FALSE()),""))</f>
      </c>
    </row>
    <row r="1848">
      <c r="E1848">
        <f>IF(DATOS!$I1848="","",IFERROR(VLOOKUP(DATOS!$I1848,CONFIG_ASIGNATURAS!$B$2:$J$61,9,FALSE()),""))</f>
      </c>
    </row>
    <row r="1849">
      <c r="E1849">
        <f>IF(DATOS!$I1849="","",IFERROR(VLOOKUP(DATOS!$I1849,CONFIG_ASIGNATURAS!$B$2:$J$61,9,FALSE()),""))</f>
      </c>
    </row>
    <row r="1850">
      <c r="E1850">
        <f>IF(DATOS!$I1850="","",IFERROR(VLOOKUP(DATOS!$I1850,CONFIG_ASIGNATURAS!$B$2:$J$61,9,FALSE()),""))</f>
      </c>
    </row>
    <row r="1851">
      <c r="E1851">
        <f>IF(DATOS!$I1851="","",IFERROR(VLOOKUP(DATOS!$I1851,CONFIG_ASIGNATURAS!$B$2:$J$61,9,FALSE()),""))</f>
      </c>
    </row>
    <row r="1852">
      <c r="E1852">
        <f>IF(DATOS!$I1852="","",IFERROR(VLOOKUP(DATOS!$I1852,CONFIG_ASIGNATURAS!$B$2:$J$61,9,FALSE()),""))</f>
      </c>
    </row>
    <row r="1853">
      <c r="E1853">
        <f>IF(DATOS!$I1853="","",IFERROR(VLOOKUP(DATOS!$I1853,CONFIG_ASIGNATURAS!$B$2:$J$61,9,FALSE()),""))</f>
      </c>
    </row>
    <row r="1854">
      <c r="E1854">
        <f>IF(DATOS!$I1854="","",IFERROR(VLOOKUP(DATOS!$I1854,CONFIG_ASIGNATURAS!$B$2:$J$61,9,FALSE()),""))</f>
      </c>
    </row>
    <row r="1855">
      <c r="E1855">
        <f>IF(DATOS!$I1855="","",IFERROR(VLOOKUP(DATOS!$I1855,CONFIG_ASIGNATURAS!$B$2:$J$61,9,FALSE()),""))</f>
      </c>
    </row>
    <row r="1856">
      <c r="E1856">
        <f>IF(DATOS!$I1856="","",IFERROR(VLOOKUP(DATOS!$I1856,CONFIG_ASIGNATURAS!$B$2:$J$61,9,FALSE()),""))</f>
      </c>
    </row>
    <row r="1857">
      <c r="E1857">
        <f>IF(DATOS!$I1857="","",IFERROR(VLOOKUP(DATOS!$I1857,CONFIG_ASIGNATURAS!$B$2:$J$61,9,FALSE()),""))</f>
      </c>
    </row>
    <row r="1858">
      <c r="E1858">
        <f>IF(DATOS!$I1858="","",IFERROR(VLOOKUP(DATOS!$I1858,CONFIG_ASIGNATURAS!$B$2:$J$61,9,FALSE()),""))</f>
      </c>
    </row>
    <row r="1859">
      <c r="E1859">
        <f>IF(DATOS!$I1859="","",IFERROR(VLOOKUP(DATOS!$I1859,CONFIG_ASIGNATURAS!$B$2:$J$61,9,FALSE()),""))</f>
      </c>
    </row>
    <row r="1860">
      <c r="E1860">
        <f>IF(DATOS!$I1860="","",IFERROR(VLOOKUP(DATOS!$I1860,CONFIG_ASIGNATURAS!$B$2:$J$61,9,FALSE()),""))</f>
      </c>
    </row>
    <row r="1861">
      <c r="E1861">
        <f>IF(DATOS!$I1861="","",IFERROR(VLOOKUP(DATOS!$I1861,CONFIG_ASIGNATURAS!$B$2:$J$61,9,FALSE()),""))</f>
      </c>
    </row>
    <row r="1862">
      <c r="E1862">
        <f>IF(DATOS!$I1862="","",IFERROR(VLOOKUP(DATOS!$I1862,CONFIG_ASIGNATURAS!$B$2:$J$61,9,FALSE()),""))</f>
      </c>
    </row>
    <row r="1863">
      <c r="E1863">
        <f>IF(DATOS!$I1863="","",IFERROR(VLOOKUP(DATOS!$I1863,CONFIG_ASIGNATURAS!$B$2:$J$61,9,FALSE()),""))</f>
      </c>
    </row>
    <row r="1864">
      <c r="E1864">
        <f>IF(DATOS!$I1864="","",IFERROR(VLOOKUP(DATOS!$I1864,CONFIG_ASIGNATURAS!$B$2:$J$61,9,FALSE()),""))</f>
      </c>
    </row>
    <row r="1865">
      <c r="E1865">
        <f>IF(DATOS!$I1865="","",IFERROR(VLOOKUP(DATOS!$I1865,CONFIG_ASIGNATURAS!$B$2:$J$61,9,FALSE()),""))</f>
      </c>
    </row>
    <row r="1866">
      <c r="E1866">
        <f>IF(DATOS!$I1866="","",IFERROR(VLOOKUP(DATOS!$I1866,CONFIG_ASIGNATURAS!$B$2:$J$61,9,FALSE()),""))</f>
      </c>
    </row>
    <row r="1867">
      <c r="E1867">
        <f>IF(DATOS!$I1867="","",IFERROR(VLOOKUP(DATOS!$I1867,CONFIG_ASIGNATURAS!$B$2:$J$61,9,FALSE()),""))</f>
      </c>
    </row>
    <row r="1868">
      <c r="E1868">
        <f>IF(DATOS!$I1868="","",IFERROR(VLOOKUP(DATOS!$I1868,CONFIG_ASIGNATURAS!$B$2:$J$61,9,FALSE()),""))</f>
      </c>
    </row>
    <row r="1869">
      <c r="E1869">
        <f>IF(DATOS!$I1869="","",IFERROR(VLOOKUP(DATOS!$I1869,CONFIG_ASIGNATURAS!$B$2:$J$61,9,FALSE()),""))</f>
      </c>
    </row>
    <row r="1870">
      <c r="E1870">
        <f>IF(DATOS!$I1870="","",IFERROR(VLOOKUP(DATOS!$I1870,CONFIG_ASIGNATURAS!$B$2:$J$61,9,FALSE()),""))</f>
      </c>
    </row>
    <row r="1871">
      <c r="E1871">
        <f>IF(DATOS!$I1871="","",IFERROR(VLOOKUP(DATOS!$I1871,CONFIG_ASIGNATURAS!$B$2:$J$61,9,FALSE()),""))</f>
      </c>
    </row>
    <row r="1872">
      <c r="E1872">
        <f>IF(DATOS!$I1872="","",IFERROR(VLOOKUP(DATOS!$I1872,CONFIG_ASIGNATURAS!$B$2:$J$61,9,FALSE()),""))</f>
      </c>
    </row>
    <row r="1873">
      <c r="E1873">
        <f>IF(DATOS!$I1873="","",IFERROR(VLOOKUP(DATOS!$I1873,CONFIG_ASIGNATURAS!$B$2:$J$61,9,FALSE()),""))</f>
      </c>
    </row>
    <row r="1874">
      <c r="E1874">
        <f>IF(DATOS!$I1874="","",IFERROR(VLOOKUP(DATOS!$I1874,CONFIG_ASIGNATURAS!$B$2:$J$61,9,FALSE()),""))</f>
      </c>
    </row>
    <row r="1875">
      <c r="E1875">
        <f>IF(DATOS!$I1875="","",IFERROR(VLOOKUP(DATOS!$I1875,CONFIG_ASIGNATURAS!$B$2:$J$61,9,FALSE()),""))</f>
      </c>
    </row>
    <row r="1876">
      <c r="E1876">
        <f>IF(DATOS!$I1876="","",IFERROR(VLOOKUP(DATOS!$I1876,CONFIG_ASIGNATURAS!$B$2:$J$61,9,FALSE()),""))</f>
      </c>
    </row>
    <row r="1877">
      <c r="E1877">
        <f>IF(DATOS!$I1877="","",IFERROR(VLOOKUP(DATOS!$I1877,CONFIG_ASIGNATURAS!$B$2:$J$61,9,FALSE()),""))</f>
      </c>
    </row>
    <row r="1878">
      <c r="E1878">
        <f>IF(DATOS!$I1878="","",IFERROR(VLOOKUP(DATOS!$I1878,CONFIG_ASIGNATURAS!$B$2:$J$61,9,FALSE()),""))</f>
      </c>
    </row>
    <row r="1879">
      <c r="E1879">
        <f>IF(DATOS!$I1879="","",IFERROR(VLOOKUP(DATOS!$I1879,CONFIG_ASIGNATURAS!$B$2:$J$61,9,FALSE()),""))</f>
      </c>
    </row>
    <row r="1880">
      <c r="E1880">
        <f>IF(DATOS!$I1880="","",IFERROR(VLOOKUP(DATOS!$I1880,CONFIG_ASIGNATURAS!$B$2:$J$61,9,FALSE()),""))</f>
      </c>
    </row>
    <row r="1881">
      <c r="E1881">
        <f>IF(DATOS!$I1881="","",IFERROR(VLOOKUP(DATOS!$I1881,CONFIG_ASIGNATURAS!$B$2:$J$61,9,FALSE()),""))</f>
      </c>
    </row>
    <row r="1882">
      <c r="E1882">
        <f>IF(DATOS!$I1882="","",IFERROR(VLOOKUP(DATOS!$I1882,CONFIG_ASIGNATURAS!$B$2:$J$61,9,FALSE()),""))</f>
      </c>
    </row>
    <row r="1883">
      <c r="E1883">
        <f>IF(DATOS!$I1883="","",IFERROR(VLOOKUP(DATOS!$I1883,CONFIG_ASIGNATURAS!$B$2:$J$61,9,FALSE()),""))</f>
      </c>
    </row>
    <row r="1884">
      <c r="E1884">
        <f>IF(DATOS!$I1884="","",IFERROR(VLOOKUP(DATOS!$I1884,CONFIG_ASIGNATURAS!$B$2:$J$61,9,FALSE()),""))</f>
      </c>
    </row>
    <row r="1885">
      <c r="E1885">
        <f>IF(DATOS!$I1885="","",IFERROR(VLOOKUP(DATOS!$I1885,CONFIG_ASIGNATURAS!$B$2:$J$61,9,FALSE()),""))</f>
      </c>
    </row>
    <row r="1886">
      <c r="E1886">
        <f>IF(DATOS!$I1886="","",IFERROR(VLOOKUP(DATOS!$I1886,CONFIG_ASIGNATURAS!$B$2:$J$61,9,FALSE()),""))</f>
      </c>
    </row>
    <row r="1887">
      <c r="E1887">
        <f>IF(DATOS!$I1887="","",IFERROR(VLOOKUP(DATOS!$I1887,CONFIG_ASIGNATURAS!$B$2:$J$61,9,FALSE()),""))</f>
      </c>
    </row>
    <row r="1888">
      <c r="E1888">
        <f>IF(DATOS!$I1888="","",IFERROR(VLOOKUP(DATOS!$I1888,CONFIG_ASIGNATURAS!$B$2:$J$61,9,FALSE()),""))</f>
      </c>
    </row>
    <row r="1889">
      <c r="E1889">
        <f>IF(DATOS!$I1889="","",IFERROR(VLOOKUP(DATOS!$I1889,CONFIG_ASIGNATURAS!$B$2:$J$61,9,FALSE()),""))</f>
      </c>
    </row>
    <row r="1890">
      <c r="E1890">
        <f>IF(DATOS!$I1890="","",IFERROR(VLOOKUP(DATOS!$I1890,CONFIG_ASIGNATURAS!$B$2:$J$61,9,FALSE()),""))</f>
      </c>
    </row>
    <row r="1891">
      <c r="E1891">
        <f>IF(DATOS!$I1891="","",IFERROR(VLOOKUP(DATOS!$I1891,CONFIG_ASIGNATURAS!$B$2:$J$61,9,FALSE()),""))</f>
      </c>
    </row>
    <row r="1892">
      <c r="E1892">
        <f>IF(DATOS!$I1892="","",IFERROR(VLOOKUP(DATOS!$I1892,CONFIG_ASIGNATURAS!$B$2:$J$61,9,FALSE()),""))</f>
      </c>
    </row>
    <row r="1893">
      <c r="E1893">
        <f>IF(DATOS!$I1893="","",IFERROR(VLOOKUP(DATOS!$I1893,CONFIG_ASIGNATURAS!$B$2:$J$61,9,FALSE()),""))</f>
      </c>
    </row>
    <row r="1894">
      <c r="E1894">
        <f>IF(DATOS!$I1894="","",IFERROR(VLOOKUP(DATOS!$I1894,CONFIG_ASIGNATURAS!$B$2:$J$61,9,FALSE()),""))</f>
      </c>
    </row>
    <row r="1895">
      <c r="E1895">
        <f>IF(DATOS!$I1895="","",IFERROR(VLOOKUP(DATOS!$I1895,CONFIG_ASIGNATURAS!$B$2:$J$61,9,FALSE()),""))</f>
      </c>
    </row>
    <row r="1896">
      <c r="E1896">
        <f>IF(DATOS!$I1896="","",IFERROR(VLOOKUP(DATOS!$I1896,CONFIG_ASIGNATURAS!$B$2:$J$61,9,FALSE()),""))</f>
      </c>
    </row>
    <row r="1897">
      <c r="E1897">
        <f>IF(DATOS!$I1897="","",IFERROR(VLOOKUP(DATOS!$I1897,CONFIG_ASIGNATURAS!$B$2:$J$61,9,FALSE()),""))</f>
      </c>
    </row>
    <row r="1898">
      <c r="E1898">
        <f>IF(DATOS!$I1898="","",IFERROR(VLOOKUP(DATOS!$I1898,CONFIG_ASIGNATURAS!$B$2:$J$61,9,FALSE()),""))</f>
      </c>
    </row>
    <row r="1899">
      <c r="E1899">
        <f>IF(DATOS!$I1899="","",IFERROR(VLOOKUP(DATOS!$I1899,CONFIG_ASIGNATURAS!$B$2:$J$61,9,FALSE()),""))</f>
      </c>
    </row>
    <row r="1900">
      <c r="E1900">
        <f>IF(DATOS!$I1900="","",IFERROR(VLOOKUP(DATOS!$I1900,CONFIG_ASIGNATURAS!$B$2:$J$61,9,FALSE()),""))</f>
      </c>
    </row>
    <row r="1901">
      <c r="E1901">
        <f>IF(DATOS!$I1901="","",IFERROR(VLOOKUP(DATOS!$I1901,CONFIG_ASIGNATURAS!$B$2:$J$61,9,FALSE()),""))</f>
      </c>
    </row>
    <row r="1902">
      <c r="E1902">
        <f>IF(DATOS!$I1902="","",IFERROR(VLOOKUP(DATOS!$I1902,CONFIG_ASIGNATURAS!$B$2:$J$61,9,FALSE()),""))</f>
      </c>
    </row>
    <row r="1903">
      <c r="E1903">
        <f>IF(DATOS!$I1903="","",IFERROR(VLOOKUP(DATOS!$I1903,CONFIG_ASIGNATURAS!$B$2:$J$61,9,FALSE()),""))</f>
      </c>
    </row>
    <row r="1904">
      <c r="E1904">
        <f>IF(DATOS!$I1904="","",IFERROR(VLOOKUP(DATOS!$I1904,CONFIG_ASIGNATURAS!$B$2:$J$61,9,FALSE()),""))</f>
      </c>
    </row>
    <row r="1905">
      <c r="E1905">
        <f>IF(DATOS!$I1905="","",IFERROR(VLOOKUP(DATOS!$I1905,CONFIG_ASIGNATURAS!$B$2:$J$61,9,FALSE()),""))</f>
      </c>
    </row>
    <row r="1906">
      <c r="E1906">
        <f>IF(DATOS!$I1906="","",IFERROR(VLOOKUP(DATOS!$I1906,CONFIG_ASIGNATURAS!$B$2:$J$61,9,FALSE()),""))</f>
      </c>
    </row>
    <row r="1907">
      <c r="E1907">
        <f>IF(DATOS!$I1907="","",IFERROR(VLOOKUP(DATOS!$I1907,CONFIG_ASIGNATURAS!$B$2:$J$61,9,FALSE()),""))</f>
      </c>
    </row>
    <row r="1908">
      <c r="E1908">
        <f>IF(DATOS!$I1908="","",IFERROR(VLOOKUP(DATOS!$I1908,CONFIG_ASIGNATURAS!$B$2:$J$61,9,FALSE()),""))</f>
      </c>
    </row>
    <row r="1909">
      <c r="E1909">
        <f>IF(DATOS!$I1909="","",IFERROR(VLOOKUP(DATOS!$I1909,CONFIG_ASIGNATURAS!$B$2:$J$61,9,FALSE()),""))</f>
      </c>
    </row>
    <row r="1910">
      <c r="E1910">
        <f>IF(DATOS!$I1910="","",IFERROR(VLOOKUP(DATOS!$I1910,CONFIG_ASIGNATURAS!$B$2:$J$61,9,FALSE()),""))</f>
      </c>
    </row>
    <row r="1911">
      <c r="E1911">
        <f>IF(DATOS!$I1911="","",IFERROR(VLOOKUP(DATOS!$I1911,CONFIG_ASIGNATURAS!$B$2:$J$61,9,FALSE()),""))</f>
      </c>
    </row>
    <row r="1912">
      <c r="E1912">
        <f>IF(DATOS!$I1912="","",IFERROR(VLOOKUP(DATOS!$I1912,CONFIG_ASIGNATURAS!$B$2:$J$61,9,FALSE()),""))</f>
      </c>
    </row>
    <row r="1913">
      <c r="E1913">
        <f>IF(DATOS!$I1913="","",IFERROR(VLOOKUP(DATOS!$I1913,CONFIG_ASIGNATURAS!$B$2:$J$61,9,FALSE()),""))</f>
      </c>
    </row>
    <row r="1914">
      <c r="E1914">
        <f>IF(DATOS!$I1914="","",IFERROR(VLOOKUP(DATOS!$I1914,CONFIG_ASIGNATURAS!$B$2:$J$61,9,FALSE()),""))</f>
      </c>
    </row>
    <row r="1915">
      <c r="E1915">
        <f>IF(DATOS!$I1915="","",IFERROR(VLOOKUP(DATOS!$I1915,CONFIG_ASIGNATURAS!$B$2:$J$61,9,FALSE()),""))</f>
      </c>
    </row>
    <row r="1916">
      <c r="E1916">
        <f>IF(DATOS!$I1916="","",IFERROR(VLOOKUP(DATOS!$I1916,CONFIG_ASIGNATURAS!$B$2:$J$61,9,FALSE()),""))</f>
      </c>
    </row>
    <row r="1917">
      <c r="E1917">
        <f>IF(DATOS!$I1917="","",IFERROR(VLOOKUP(DATOS!$I1917,CONFIG_ASIGNATURAS!$B$2:$J$61,9,FALSE()),""))</f>
      </c>
    </row>
    <row r="1918">
      <c r="E1918">
        <f>IF(DATOS!$I1918="","",IFERROR(VLOOKUP(DATOS!$I1918,CONFIG_ASIGNATURAS!$B$2:$J$61,9,FALSE()),""))</f>
      </c>
    </row>
    <row r="1919">
      <c r="E1919">
        <f>IF(DATOS!$I1919="","",IFERROR(VLOOKUP(DATOS!$I1919,CONFIG_ASIGNATURAS!$B$2:$J$61,9,FALSE()),""))</f>
      </c>
    </row>
    <row r="1920">
      <c r="E1920">
        <f>IF(DATOS!$I1920="","",IFERROR(VLOOKUP(DATOS!$I1920,CONFIG_ASIGNATURAS!$B$2:$J$61,9,FALSE()),""))</f>
      </c>
    </row>
    <row r="1921">
      <c r="E1921">
        <f>IF(DATOS!$I1921="","",IFERROR(VLOOKUP(DATOS!$I1921,CONFIG_ASIGNATURAS!$B$2:$J$61,9,FALSE()),""))</f>
      </c>
    </row>
    <row r="1922">
      <c r="E1922">
        <f>IF(DATOS!$I1922="","",IFERROR(VLOOKUP(DATOS!$I1922,CONFIG_ASIGNATURAS!$B$2:$J$61,9,FALSE()),""))</f>
      </c>
    </row>
    <row r="1923">
      <c r="E1923">
        <f>IF(DATOS!$I1923="","",IFERROR(VLOOKUP(DATOS!$I1923,CONFIG_ASIGNATURAS!$B$2:$J$61,9,FALSE()),""))</f>
      </c>
    </row>
    <row r="1924">
      <c r="E1924">
        <f>IF(DATOS!$I1924="","",IFERROR(VLOOKUP(DATOS!$I1924,CONFIG_ASIGNATURAS!$B$2:$J$61,9,FALSE()),""))</f>
      </c>
    </row>
    <row r="1925">
      <c r="E1925">
        <f>IF(DATOS!$I1925="","",IFERROR(VLOOKUP(DATOS!$I1925,CONFIG_ASIGNATURAS!$B$2:$J$61,9,FALSE()),""))</f>
      </c>
    </row>
    <row r="1926">
      <c r="E1926">
        <f>IF(DATOS!$I1926="","",IFERROR(VLOOKUP(DATOS!$I1926,CONFIG_ASIGNATURAS!$B$2:$J$61,9,FALSE()),""))</f>
      </c>
    </row>
    <row r="1927">
      <c r="E1927">
        <f>IF(DATOS!$I1927="","",IFERROR(VLOOKUP(DATOS!$I1927,CONFIG_ASIGNATURAS!$B$2:$J$61,9,FALSE()),""))</f>
      </c>
    </row>
    <row r="1928">
      <c r="E1928">
        <f>IF(DATOS!$I1928="","",IFERROR(VLOOKUP(DATOS!$I1928,CONFIG_ASIGNATURAS!$B$2:$J$61,9,FALSE()),""))</f>
      </c>
    </row>
    <row r="1929">
      <c r="E1929">
        <f>IF(DATOS!$I1929="","",IFERROR(VLOOKUP(DATOS!$I1929,CONFIG_ASIGNATURAS!$B$2:$J$61,9,FALSE()),""))</f>
      </c>
    </row>
    <row r="1930">
      <c r="E1930">
        <f>IF(DATOS!$I1930="","",IFERROR(VLOOKUP(DATOS!$I1930,CONFIG_ASIGNATURAS!$B$2:$J$61,9,FALSE()),""))</f>
      </c>
    </row>
    <row r="1931">
      <c r="E1931">
        <f>IF(DATOS!$I1931="","",IFERROR(VLOOKUP(DATOS!$I1931,CONFIG_ASIGNATURAS!$B$2:$J$61,9,FALSE()),""))</f>
      </c>
    </row>
    <row r="1932">
      <c r="E1932">
        <f>IF(DATOS!$I1932="","",IFERROR(VLOOKUP(DATOS!$I1932,CONFIG_ASIGNATURAS!$B$2:$J$61,9,FALSE()),""))</f>
      </c>
    </row>
    <row r="1933">
      <c r="E1933">
        <f>IF(DATOS!$I1933="","",IFERROR(VLOOKUP(DATOS!$I1933,CONFIG_ASIGNATURAS!$B$2:$J$61,9,FALSE()),""))</f>
      </c>
    </row>
    <row r="1934">
      <c r="E1934">
        <f>IF(DATOS!$I1934="","",IFERROR(VLOOKUP(DATOS!$I1934,CONFIG_ASIGNATURAS!$B$2:$J$61,9,FALSE()),""))</f>
      </c>
    </row>
    <row r="1935">
      <c r="E1935">
        <f>IF(DATOS!$I1935="","",IFERROR(VLOOKUP(DATOS!$I1935,CONFIG_ASIGNATURAS!$B$2:$J$61,9,FALSE()),""))</f>
      </c>
    </row>
    <row r="1936">
      <c r="E1936">
        <f>IF(DATOS!$I1936="","",IFERROR(VLOOKUP(DATOS!$I1936,CONFIG_ASIGNATURAS!$B$2:$J$61,9,FALSE()),""))</f>
      </c>
    </row>
    <row r="1937">
      <c r="E1937">
        <f>IF(DATOS!$I1937="","",IFERROR(VLOOKUP(DATOS!$I1937,CONFIG_ASIGNATURAS!$B$2:$J$61,9,FALSE()),""))</f>
      </c>
    </row>
    <row r="1938">
      <c r="E1938">
        <f>IF(DATOS!$I1938="","",IFERROR(VLOOKUP(DATOS!$I1938,CONFIG_ASIGNATURAS!$B$2:$J$61,9,FALSE()),""))</f>
      </c>
    </row>
    <row r="1939">
      <c r="E1939">
        <f>IF(DATOS!$I1939="","",IFERROR(VLOOKUP(DATOS!$I1939,CONFIG_ASIGNATURAS!$B$2:$J$61,9,FALSE()),""))</f>
      </c>
    </row>
    <row r="1940">
      <c r="E1940">
        <f>IF(DATOS!$I1940="","",IFERROR(VLOOKUP(DATOS!$I1940,CONFIG_ASIGNATURAS!$B$2:$J$61,9,FALSE()),""))</f>
      </c>
    </row>
    <row r="1941">
      <c r="E1941">
        <f>IF(DATOS!$I1941="","",IFERROR(VLOOKUP(DATOS!$I1941,CONFIG_ASIGNATURAS!$B$2:$J$61,9,FALSE()),""))</f>
      </c>
    </row>
    <row r="1942">
      <c r="E1942">
        <f>IF(DATOS!$I1942="","",IFERROR(VLOOKUP(DATOS!$I1942,CONFIG_ASIGNATURAS!$B$2:$J$61,9,FALSE()),""))</f>
      </c>
    </row>
    <row r="1943">
      <c r="E1943">
        <f>IF(DATOS!$I1943="","",IFERROR(VLOOKUP(DATOS!$I1943,CONFIG_ASIGNATURAS!$B$2:$J$61,9,FALSE()),""))</f>
      </c>
    </row>
    <row r="1944">
      <c r="E1944">
        <f>IF(DATOS!$I1944="","",IFERROR(VLOOKUP(DATOS!$I1944,CONFIG_ASIGNATURAS!$B$2:$J$61,9,FALSE()),""))</f>
      </c>
    </row>
    <row r="1945">
      <c r="E1945">
        <f>IF(DATOS!$I1945="","",IFERROR(VLOOKUP(DATOS!$I1945,CONFIG_ASIGNATURAS!$B$2:$J$61,9,FALSE()),""))</f>
      </c>
    </row>
    <row r="1946">
      <c r="E1946">
        <f>IF(DATOS!$I1946="","",IFERROR(VLOOKUP(DATOS!$I1946,CONFIG_ASIGNATURAS!$B$2:$J$61,9,FALSE()),""))</f>
      </c>
    </row>
    <row r="1947">
      <c r="E1947">
        <f>IF(DATOS!$I1947="","",IFERROR(VLOOKUP(DATOS!$I1947,CONFIG_ASIGNATURAS!$B$2:$J$61,9,FALSE()),""))</f>
      </c>
    </row>
    <row r="1948">
      <c r="E1948">
        <f>IF(DATOS!$I1948="","",IFERROR(VLOOKUP(DATOS!$I1948,CONFIG_ASIGNATURAS!$B$2:$J$61,9,FALSE()),""))</f>
      </c>
    </row>
    <row r="1949">
      <c r="E1949">
        <f>IF(DATOS!$I1949="","",IFERROR(VLOOKUP(DATOS!$I1949,CONFIG_ASIGNATURAS!$B$2:$J$61,9,FALSE()),""))</f>
      </c>
    </row>
    <row r="1950">
      <c r="E1950">
        <f>IF(DATOS!$I1950="","",IFERROR(VLOOKUP(DATOS!$I1950,CONFIG_ASIGNATURAS!$B$2:$J$61,9,FALSE()),""))</f>
      </c>
    </row>
    <row r="1951">
      <c r="E1951">
        <f>IF(DATOS!$I1951="","",IFERROR(VLOOKUP(DATOS!$I1951,CONFIG_ASIGNATURAS!$B$2:$J$61,9,FALSE()),""))</f>
      </c>
    </row>
    <row r="1952">
      <c r="E1952">
        <f>IF(DATOS!$I1952="","",IFERROR(VLOOKUP(DATOS!$I1952,CONFIG_ASIGNATURAS!$B$2:$J$61,9,FALSE()),""))</f>
      </c>
    </row>
    <row r="1953">
      <c r="E1953">
        <f>IF(DATOS!$I1953="","",IFERROR(VLOOKUP(DATOS!$I1953,CONFIG_ASIGNATURAS!$B$2:$J$61,9,FALSE()),""))</f>
      </c>
    </row>
    <row r="1954">
      <c r="E1954">
        <f>IF(DATOS!$I1954="","",IFERROR(VLOOKUP(DATOS!$I1954,CONFIG_ASIGNATURAS!$B$2:$J$61,9,FALSE()),""))</f>
      </c>
    </row>
    <row r="1955">
      <c r="E1955">
        <f>IF(DATOS!$I1955="","",IFERROR(VLOOKUP(DATOS!$I1955,CONFIG_ASIGNATURAS!$B$2:$J$61,9,FALSE()),""))</f>
      </c>
    </row>
    <row r="1956">
      <c r="E1956">
        <f>IF(DATOS!$I1956="","",IFERROR(VLOOKUP(DATOS!$I1956,CONFIG_ASIGNATURAS!$B$2:$J$61,9,FALSE()),""))</f>
      </c>
    </row>
    <row r="1957">
      <c r="E1957">
        <f>IF(DATOS!$I1957="","",IFERROR(VLOOKUP(DATOS!$I1957,CONFIG_ASIGNATURAS!$B$2:$J$61,9,FALSE()),""))</f>
      </c>
    </row>
    <row r="1958">
      <c r="E1958">
        <f>IF(DATOS!$I1958="","",IFERROR(VLOOKUP(DATOS!$I1958,CONFIG_ASIGNATURAS!$B$2:$J$61,9,FALSE()),""))</f>
      </c>
    </row>
    <row r="1959">
      <c r="E1959">
        <f>IF(DATOS!$I1959="","",IFERROR(VLOOKUP(DATOS!$I1959,CONFIG_ASIGNATURAS!$B$2:$J$61,9,FALSE()),""))</f>
      </c>
    </row>
    <row r="1960">
      <c r="E1960">
        <f>IF(DATOS!$I1960="","",IFERROR(VLOOKUP(DATOS!$I1960,CONFIG_ASIGNATURAS!$B$2:$J$61,9,FALSE()),""))</f>
      </c>
    </row>
    <row r="1961">
      <c r="E1961">
        <f>IF(DATOS!$I1961="","",IFERROR(VLOOKUP(DATOS!$I1961,CONFIG_ASIGNATURAS!$B$2:$J$61,9,FALSE()),""))</f>
      </c>
    </row>
    <row r="1962">
      <c r="E1962">
        <f>IF(DATOS!$I1962="","",IFERROR(VLOOKUP(DATOS!$I1962,CONFIG_ASIGNATURAS!$B$2:$J$61,9,FALSE()),""))</f>
      </c>
    </row>
    <row r="1963">
      <c r="E1963">
        <f>IF(DATOS!$I1963="","",IFERROR(VLOOKUP(DATOS!$I1963,CONFIG_ASIGNATURAS!$B$2:$J$61,9,FALSE()),""))</f>
      </c>
    </row>
    <row r="1964">
      <c r="E1964">
        <f>IF(DATOS!$I1964="","",IFERROR(VLOOKUP(DATOS!$I1964,CONFIG_ASIGNATURAS!$B$2:$J$61,9,FALSE()),""))</f>
      </c>
    </row>
    <row r="1965">
      <c r="E1965">
        <f>IF(DATOS!$I1965="","",IFERROR(VLOOKUP(DATOS!$I1965,CONFIG_ASIGNATURAS!$B$2:$J$61,9,FALSE()),""))</f>
      </c>
    </row>
    <row r="1966">
      <c r="E1966">
        <f>IF(DATOS!$I1966="","",IFERROR(VLOOKUP(DATOS!$I1966,CONFIG_ASIGNATURAS!$B$2:$J$61,9,FALSE()),""))</f>
      </c>
    </row>
    <row r="1967">
      <c r="E1967">
        <f>IF(DATOS!$I1967="","",IFERROR(VLOOKUP(DATOS!$I1967,CONFIG_ASIGNATURAS!$B$2:$J$61,9,FALSE()),""))</f>
      </c>
    </row>
    <row r="1968">
      <c r="E1968">
        <f>IF(DATOS!$I1968="","",IFERROR(VLOOKUP(DATOS!$I1968,CONFIG_ASIGNATURAS!$B$2:$J$61,9,FALSE()),""))</f>
      </c>
    </row>
    <row r="1969">
      <c r="E1969">
        <f>IF(DATOS!$I1969="","",IFERROR(VLOOKUP(DATOS!$I1969,CONFIG_ASIGNATURAS!$B$2:$J$61,9,FALSE()),""))</f>
      </c>
    </row>
    <row r="1970">
      <c r="E1970">
        <f>IF(DATOS!$I1970="","",IFERROR(VLOOKUP(DATOS!$I1970,CONFIG_ASIGNATURAS!$B$2:$J$61,9,FALSE()),""))</f>
      </c>
    </row>
    <row r="1971">
      <c r="E1971">
        <f>IF(DATOS!$I1971="","",IFERROR(VLOOKUP(DATOS!$I1971,CONFIG_ASIGNATURAS!$B$2:$J$61,9,FALSE()),""))</f>
      </c>
    </row>
    <row r="1972">
      <c r="E1972">
        <f>IF(DATOS!$I1972="","",IFERROR(VLOOKUP(DATOS!$I1972,CONFIG_ASIGNATURAS!$B$2:$J$61,9,FALSE()),""))</f>
      </c>
    </row>
    <row r="1973">
      <c r="E1973">
        <f>IF(DATOS!$I1973="","",IFERROR(VLOOKUP(DATOS!$I1973,CONFIG_ASIGNATURAS!$B$2:$J$61,9,FALSE()),""))</f>
      </c>
    </row>
    <row r="1974">
      <c r="E1974">
        <f>IF(DATOS!$I1974="","",IFERROR(VLOOKUP(DATOS!$I1974,CONFIG_ASIGNATURAS!$B$2:$J$61,9,FALSE()),""))</f>
      </c>
    </row>
    <row r="1975">
      <c r="E1975">
        <f>IF(DATOS!$I1975="","",IFERROR(VLOOKUP(DATOS!$I1975,CONFIG_ASIGNATURAS!$B$2:$J$61,9,FALSE()),""))</f>
      </c>
    </row>
    <row r="1976">
      <c r="E1976">
        <f>IF(DATOS!$I1976="","",IFERROR(VLOOKUP(DATOS!$I1976,CONFIG_ASIGNATURAS!$B$2:$J$61,9,FALSE()),""))</f>
      </c>
    </row>
    <row r="1977">
      <c r="E1977">
        <f>IF(DATOS!$I1977="","",IFERROR(VLOOKUP(DATOS!$I1977,CONFIG_ASIGNATURAS!$B$2:$J$61,9,FALSE()),""))</f>
      </c>
    </row>
    <row r="1978">
      <c r="E1978">
        <f>IF(DATOS!$I1978="","",IFERROR(VLOOKUP(DATOS!$I1978,CONFIG_ASIGNATURAS!$B$2:$J$61,9,FALSE()),""))</f>
      </c>
    </row>
    <row r="1979">
      <c r="E1979">
        <f>IF(DATOS!$I1979="","",IFERROR(VLOOKUP(DATOS!$I1979,CONFIG_ASIGNATURAS!$B$2:$J$61,9,FALSE()),""))</f>
      </c>
    </row>
    <row r="1980">
      <c r="E1980">
        <f>IF(DATOS!$I1980="","",IFERROR(VLOOKUP(DATOS!$I1980,CONFIG_ASIGNATURAS!$B$2:$J$61,9,FALSE()),""))</f>
      </c>
    </row>
    <row r="1981">
      <c r="E1981">
        <f>IF(DATOS!$I1981="","",IFERROR(VLOOKUP(DATOS!$I1981,CONFIG_ASIGNATURAS!$B$2:$J$61,9,FALSE()),""))</f>
      </c>
    </row>
    <row r="1982">
      <c r="E1982">
        <f>IF(DATOS!$I1982="","",IFERROR(VLOOKUP(DATOS!$I1982,CONFIG_ASIGNATURAS!$B$2:$J$61,9,FALSE()),""))</f>
      </c>
    </row>
    <row r="1983">
      <c r="E1983">
        <f>IF(DATOS!$I1983="","",IFERROR(VLOOKUP(DATOS!$I1983,CONFIG_ASIGNATURAS!$B$2:$J$61,9,FALSE()),""))</f>
      </c>
    </row>
    <row r="1984">
      <c r="E1984">
        <f>IF(DATOS!$I1984="","",IFERROR(VLOOKUP(DATOS!$I1984,CONFIG_ASIGNATURAS!$B$2:$J$61,9,FALSE()),""))</f>
      </c>
    </row>
    <row r="1985">
      <c r="E1985">
        <f>IF(DATOS!$I1985="","",IFERROR(VLOOKUP(DATOS!$I1985,CONFIG_ASIGNATURAS!$B$2:$J$61,9,FALSE()),""))</f>
      </c>
    </row>
    <row r="1986">
      <c r="E1986">
        <f>IF(DATOS!$I1986="","",IFERROR(VLOOKUP(DATOS!$I1986,CONFIG_ASIGNATURAS!$B$2:$J$61,9,FALSE()),""))</f>
      </c>
    </row>
    <row r="1987">
      <c r="E1987">
        <f>IF(DATOS!$I1987="","",IFERROR(VLOOKUP(DATOS!$I1987,CONFIG_ASIGNATURAS!$B$2:$J$61,9,FALSE()),""))</f>
      </c>
    </row>
    <row r="1988">
      <c r="E1988">
        <f>IF(DATOS!$I1988="","",IFERROR(VLOOKUP(DATOS!$I1988,CONFIG_ASIGNATURAS!$B$2:$J$61,9,FALSE()),""))</f>
      </c>
    </row>
    <row r="1989">
      <c r="E1989">
        <f>IF(DATOS!$I1989="","",IFERROR(VLOOKUP(DATOS!$I1989,CONFIG_ASIGNATURAS!$B$2:$J$61,9,FALSE()),""))</f>
      </c>
    </row>
    <row r="1990">
      <c r="E1990">
        <f>IF(DATOS!$I1990="","",IFERROR(VLOOKUP(DATOS!$I1990,CONFIG_ASIGNATURAS!$B$2:$J$61,9,FALSE()),""))</f>
      </c>
    </row>
    <row r="1991">
      <c r="E1991">
        <f>IF(DATOS!$I1991="","",IFERROR(VLOOKUP(DATOS!$I1991,CONFIG_ASIGNATURAS!$B$2:$J$61,9,FALSE()),""))</f>
      </c>
    </row>
    <row r="1992">
      <c r="E1992">
        <f>IF(DATOS!$I1992="","",IFERROR(VLOOKUP(DATOS!$I1992,CONFIG_ASIGNATURAS!$B$2:$J$61,9,FALSE()),""))</f>
      </c>
    </row>
    <row r="1993">
      <c r="E1993">
        <f>IF(DATOS!$I1993="","",IFERROR(VLOOKUP(DATOS!$I1993,CONFIG_ASIGNATURAS!$B$2:$J$61,9,FALSE()),""))</f>
      </c>
    </row>
    <row r="1994">
      <c r="E1994">
        <f>IF(DATOS!$I1994="","",IFERROR(VLOOKUP(DATOS!$I1994,CONFIG_ASIGNATURAS!$B$2:$J$61,9,FALSE()),""))</f>
      </c>
    </row>
    <row r="1995">
      <c r="E1995">
        <f>IF(DATOS!$I1995="","",IFERROR(VLOOKUP(DATOS!$I1995,CONFIG_ASIGNATURAS!$B$2:$J$61,9,FALSE()),""))</f>
      </c>
    </row>
    <row r="1996">
      <c r="E1996">
        <f>IF(DATOS!$I1996="","",IFERROR(VLOOKUP(DATOS!$I1996,CONFIG_ASIGNATURAS!$B$2:$J$61,9,FALSE()),""))</f>
      </c>
    </row>
    <row r="1997">
      <c r="E1997">
        <f>IF(DATOS!$I1997="","",IFERROR(VLOOKUP(DATOS!$I1997,CONFIG_ASIGNATURAS!$B$2:$J$61,9,FALSE()),""))</f>
      </c>
    </row>
    <row r="1998">
      <c r="E1998">
        <f>IF(DATOS!$I1998="","",IFERROR(VLOOKUP(DATOS!$I1998,CONFIG_ASIGNATURAS!$B$2:$J$61,9,FALSE()),""))</f>
      </c>
    </row>
    <row r="1999">
      <c r="E1999">
        <f>IF(DATOS!$I1999="","",IFERROR(VLOOKUP(DATOS!$I1999,CONFIG_ASIGNATURAS!$B$2:$J$61,9,FALSE()),""))</f>
      </c>
    </row>
    <row r="2000">
      <c r="E2000">
        <f>IF(DATOS!$I2000="","",IFERROR(VLOOKUP(DATOS!$I2000,CONFIG_ASIGNATURAS!$B$2:$J$61,9,FALSE()),""))</f>
      </c>
    </row>
    <row r="2001">
      <c r="E2001">
        <f>IF(DATOS!$I2001="","",IFERROR(VLOOKUP(DATOS!$I2001,CONFIG_ASIGNATURAS!$B$2:$J$61,9,FALSE()),""))</f>
      </c>
    </row>
    <row r="2002">
      <c r="E2002">
        <f>IF(DATOS!$I2002="","",IFERROR(VLOOKUP(DATOS!$I2002,CONFIG_ASIGNATURAS!$B$2:$J$61,9,FALSE()),""))</f>
      </c>
    </row>
    <row r="2003">
      <c r="E2003">
        <f>IF(DATOS!$I2003="","",IFERROR(VLOOKUP(DATOS!$I2003,CONFIG_ASIGNATURAS!$B$2:$J$61,9,FALSE()),""))</f>
      </c>
    </row>
    <row r="2004">
      <c r="E2004">
        <f>IF(DATOS!$I2004="","",IFERROR(VLOOKUP(DATOS!$I2004,CONFIG_ASIGNATURAS!$B$2:$J$61,9,FALSE()),""))</f>
      </c>
    </row>
    <row r="2005">
      <c r="E2005">
        <f>IF(DATOS!$I2005="","",IFERROR(VLOOKUP(DATOS!$I2005,CONFIG_ASIGNATURAS!$B$2:$J$61,9,FALSE()),""))</f>
      </c>
    </row>
    <row r="2006">
      <c r="E2006">
        <f>IF(DATOS!$I2006="","",IFERROR(VLOOKUP(DATOS!$I2006,CONFIG_ASIGNATURAS!$B$2:$J$61,9,FALSE()),""))</f>
      </c>
    </row>
    <row r="2007">
      <c r="E2007">
        <f>IF(DATOS!$I2007="","",IFERROR(VLOOKUP(DATOS!$I2007,CONFIG_ASIGNATURAS!$B$2:$J$61,9,FALSE()),""))</f>
      </c>
    </row>
    <row r="2008">
      <c r="E2008">
        <f>IF(DATOS!$I2008="","",IFERROR(VLOOKUP(DATOS!$I2008,CONFIG_ASIGNATURAS!$B$2:$J$61,9,FALSE()),""))</f>
      </c>
    </row>
    <row r="2009">
      <c r="E2009">
        <f>IF(DATOS!$I2009="","",IFERROR(VLOOKUP(DATOS!$I2009,CONFIG_ASIGNATURAS!$B$2:$J$61,9,FALSE()),""))</f>
      </c>
    </row>
    <row r="2010">
      <c r="E2010">
        <f>IF(DATOS!$I2010="","",IFERROR(VLOOKUP(DATOS!$I2010,CONFIG_ASIGNATURAS!$B$2:$J$61,9,FALSE()),""))</f>
      </c>
    </row>
    <row r="2011">
      <c r="E2011">
        <f>IF(DATOS!$I2011="","",IFERROR(VLOOKUP(DATOS!$I2011,CONFIG_ASIGNATURAS!$B$2:$J$61,9,FALSE()),""))</f>
      </c>
    </row>
    <row r="2012">
      <c r="E2012">
        <f>IF(DATOS!$I2012="","",IFERROR(VLOOKUP(DATOS!$I2012,CONFIG_ASIGNATURAS!$B$2:$J$61,9,FALSE()),""))</f>
      </c>
    </row>
    <row r="2013">
      <c r="E2013">
        <f>IF(DATOS!$I2013="","",IFERROR(VLOOKUP(DATOS!$I2013,CONFIG_ASIGNATURAS!$B$2:$J$61,9,FALSE()),""))</f>
      </c>
    </row>
    <row r="2014">
      <c r="E2014">
        <f>IF(DATOS!$I2014="","",IFERROR(VLOOKUP(DATOS!$I2014,CONFIG_ASIGNATURAS!$B$2:$J$61,9,FALSE()),""))</f>
      </c>
    </row>
    <row r="2015">
      <c r="E2015">
        <f>IF(DATOS!$I2015="","",IFERROR(VLOOKUP(DATOS!$I2015,CONFIG_ASIGNATURAS!$B$2:$J$61,9,FALSE()),""))</f>
      </c>
    </row>
    <row r="2016">
      <c r="E2016">
        <f>IF(DATOS!$I2016="","",IFERROR(VLOOKUP(DATOS!$I2016,CONFIG_ASIGNATURAS!$B$2:$J$61,9,FALSE()),""))</f>
      </c>
    </row>
    <row r="2017">
      <c r="E2017">
        <f>IF(DATOS!$I2017="","",IFERROR(VLOOKUP(DATOS!$I2017,CONFIG_ASIGNATURAS!$B$2:$J$61,9,FALSE()),""))</f>
      </c>
    </row>
    <row r="2018">
      <c r="E2018">
        <f>IF(DATOS!$I2018="","",IFERROR(VLOOKUP(DATOS!$I2018,CONFIG_ASIGNATURAS!$B$2:$J$61,9,FALSE()),""))</f>
      </c>
    </row>
    <row r="2019">
      <c r="E2019">
        <f>IF(DATOS!$I2019="","",IFERROR(VLOOKUP(DATOS!$I2019,CONFIG_ASIGNATURAS!$B$2:$J$61,9,FALSE()),""))</f>
      </c>
    </row>
    <row r="2020">
      <c r="E2020">
        <f>IF(DATOS!$I2020="","",IFERROR(VLOOKUP(DATOS!$I2020,CONFIG_ASIGNATURAS!$B$2:$J$61,9,FALSE()),""))</f>
      </c>
    </row>
    <row r="2021">
      <c r="E2021">
        <f>IF(DATOS!$I2021="","",IFERROR(VLOOKUP(DATOS!$I2021,CONFIG_ASIGNATURAS!$B$2:$J$61,9,FALSE()),""))</f>
      </c>
    </row>
    <row r="2022">
      <c r="E2022">
        <f>IF(DATOS!$I2022="","",IFERROR(VLOOKUP(DATOS!$I2022,CONFIG_ASIGNATURAS!$B$2:$J$61,9,FALSE()),""))</f>
      </c>
    </row>
    <row r="2023">
      <c r="E2023">
        <f>IF(DATOS!$I2023="","",IFERROR(VLOOKUP(DATOS!$I2023,CONFIG_ASIGNATURAS!$B$2:$J$61,9,FALSE()),""))</f>
      </c>
    </row>
    <row r="2024">
      <c r="E2024">
        <f>IF(DATOS!$I2024="","",IFERROR(VLOOKUP(DATOS!$I2024,CONFIG_ASIGNATURAS!$B$2:$J$61,9,FALSE()),""))</f>
      </c>
    </row>
    <row r="2025">
      <c r="E2025">
        <f>IF(DATOS!$I2025="","",IFERROR(VLOOKUP(DATOS!$I2025,CONFIG_ASIGNATURAS!$B$2:$J$61,9,FALSE()),""))</f>
      </c>
    </row>
    <row r="2026">
      <c r="E2026">
        <f>IF(DATOS!$I2026="","",IFERROR(VLOOKUP(DATOS!$I2026,CONFIG_ASIGNATURAS!$B$2:$J$61,9,FALSE()),""))</f>
      </c>
    </row>
    <row r="2027">
      <c r="E2027">
        <f>IF(DATOS!$I2027="","",IFERROR(VLOOKUP(DATOS!$I2027,CONFIG_ASIGNATURAS!$B$2:$J$61,9,FALSE()),""))</f>
      </c>
    </row>
    <row r="2028">
      <c r="E2028">
        <f>IF(DATOS!$I2028="","",IFERROR(VLOOKUP(DATOS!$I2028,CONFIG_ASIGNATURAS!$B$2:$J$61,9,FALSE()),""))</f>
      </c>
    </row>
    <row r="2029">
      <c r="E2029">
        <f>IF(DATOS!$I2029="","",IFERROR(VLOOKUP(DATOS!$I2029,CONFIG_ASIGNATURAS!$B$2:$J$61,9,FALSE()),""))</f>
      </c>
    </row>
    <row r="2030">
      <c r="E2030">
        <f>IF(DATOS!$I2030="","",IFERROR(VLOOKUP(DATOS!$I2030,CONFIG_ASIGNATURAS!$B$2:$J$61,9,FALSE()),""))</f>
      </c>
    </row>
    <row r="2031">
      <c r="E2031">
        <f>IF(DATOS!$I2031="","",IFERROR(VLOOKUP(DATOS!$I2031,CONFIG_ASIGNATURAS!$B$2:$J$61,9,FALSE()),""))</f>
      </c>
    </row>
    <row r="2032">
      <c r="E2032">
        <f>IF(DATOS!$I2032="","",IFERROR(VLOOKUP(DATOS!$I2032,CONFIG_ASIGNATURAS!$B$2:$J$61,9,FALSE()),""))</f>
      </c>
    </row>
    <row r="2033">
      <c r="E2033">
        <f>IF(DATOS!$I2033="","",IFERROR(VLOOKUP(DATOS!$I2033,CONFIG_ASIGNATURAS!$B$2:$J$61,9,FALSE()),""))</f>
      </c>
    </row>
    <row r="2034">
      <c r="E2034">
        <f>IF(DATOS!$I2034="","",IFERROR(VLOOKUP(DATOS!$I2034,CONFIG_ASIGNATURAS!$B$2:$J$61,9,FALSE()),""))</f>
      </c>
    </row>
    <row r="2035">
      <c r="E2035">
        <f>IF(DATOS!$I2035="","",IFERROR(VLOOKUP(DATOS!$I2035,CONFIG_ASIGNATURAS!$B$2:$J$61,9,FALSE()),""))</f>
      </c>
    </row>
    <row r="2036">
      <c r="E2036">
        <f>IF(DATOS!$I2036="","",IFERROR(VLOOKUP(DATOS!$I2036,CONFIG_ASIGNATURAS!$B$2:$J$61,9,FALSE()),""))</f>
      </c>
    </row>
    <row r="2037">
      <c r="E2037">
        <f>IF(DATOS!$I2037="","",IFERROR(VLOOKUP(DATOS!$I2037,CONFIG_ASIGNATURAS!$B$2:$J$61,9,FALSE()),""))</f>
      </c>
    </row>
    <row r="2038">
      <c r="E2038">
        <f>IF(DATOS!$I2038="","",IFERROR(VLOOKUP(DATOS!$I2038,CONFIG_ASIGNATURAS!$B$2:$J$61,9,FALSE()),""))</f>
      </c>
    </row>
    <row r="2039">
      <c r="E2039">
        <f>IF(DATOS!$I2039="","",IFERROR(VLOOKUP(DATOS!$I2039,CONFIG_ASIGNATURAS!$B$2:$J$61,9,FALSE()),""))</f>
      </c>
    </row>
    <row r="2040">
      <c r="E2040">
        <f>IF(DATOS!$I2040="","",IFERROR(VLOOKUP(DATOS!$I2040,CONFIG_ASIGNATURAS!$B$2:$J$61,9,FALSE()),""))</f>
      </c>
    </row>
    <row r="2041">
      <c r="E2041">
        <f>IF(DATOS!$I2041="","",IFERROR(VLOOKUP(DATOS!$I2041,CONFIG_ASIGNATURAS!$B$2:$J$61,9,FALSE()),""))</f>
      </c>
    </row>
    <row r="2042">
      <c r="E2042">
        <f>IF(DATOS!$I2042="","",IFERROR(VLOOKUP(DATOS!$I2042,CONFIG_ASIGNATURAS!$B$2:$J$61,9,FALSE()),""))</f>
      </c>
    </row>
    <row r="2043">
      <c r="E2043">
        <f>IF(DATOS!$I2043="","",IFERROR(VLOOKUP(DATOS!$I2043,CONFIG_ASIGNATURAS!$B$2:$J$61,9,FALSE()),""))</f>
      </c>
    </row>
    <row r="2044">
      <c r="E2044">
        <f>IF(DATOS!$I2044="","",IFERROR(VLOOKUP(DATOS!$I2044,CONFIG_ASIGNATURAS!$B$2:$J$61,9,FALSE()),""))</f>
      </c>
    </row>
    <row r="2045">
      <c r="E2045">
        <f>IF(DATOS!$I2045="","",IFERROR(VLOOKUP(DATOS!$I2045,CONFIG_ASIGNATURAS!$B$2:$J$61,9,FALSE()),""))</f>
      </c>
    </row>
    <row r="2046">
      <c r="E2046">
        <f>IF(DATOS!$I2046="","",IFERROR(VLOOKUP(DATOS!$I2046,CONFIG_ASIGNATURAS!$B$2:$J$61,9,FALSE()),""))</f>
      </c>
    </row>
    <row r="2047">
      <c r="E2047">
        <f>IF(DATOS!$I2047="","",IFERROR(VLOOKUP(DATOS!$I2047,CONFIG_ASIGNATURAS!$B$2:$J$61,9,FALSE()),""))</f>
      </c>
    </row>
    <row r="2048">
      <c r="E2048">
        <f>IF(DATOS!$I2048="","",IFERROR(VLOOKUP(DATOS!$I2048,CONFIG_ASIGNATURAS!$B$2:$J$61,9,FALSE()),""))</f>
      </c>
    </row>
    <row r="2049">
      <c r="E2049">
        <f>IF(DATOS!$I2049="","",IFERROR(VLOOKUP(DATOS!$I2049,CONFIG_ASIGNATURAS!$B$2:$J$61,9,FALSE()),""))</f>
      </c>
    </row>
    <row r="2050">
      <c r="E2050">
        <f>IF(DATOS!$I2050="","",IFERROR(VLOOKUP(DATOS!$I2050,CONFIG_ASIGNATURAS!$B$2:$J$61,9,FALSE()),""))</f>
      </c>
    </row>
    <row r="2051">
      <c r="E2051">
        <f>IF(DATOS!$I2051="","",IFERROR(VLOOKUP(DATOS!$I2051,CONFIG_ASIGNATURAS!$B$2:$J$61,9,FALSE()),""))</f>
      </c>
    </row>
    <row r="2052">
      <c r="E2052">
        <f>IF(DATOS!$I2052="","",IFERROR(VLOOKUP(DATOS!$I2052,CONFIG_ASIGNATURAS!$B$2:$J$61,9,FALSE()),""))</f>
      </c>
    </row>
    <row r="2053">
      <c r="E2053">
        <f>IF(DATOS!$I2053="","",IFERROR(VLOOKUP(DATOS!$I2053,CONFIG_ASIGNATURAS!$B$2:$J$61,9,FALSE()),""))</f>
      </c>
    </row>
    <row r="2054">
      <c r="E2054">
        <f>IF(DATOS!$I2054="","",IFERROR(VLOOKUP(DATOS!$I2054,CONFIG_ASIGNATURAS!$B$2:$J$61,9,FALSE()),""))</f>
      </c>
    </row>
    <row r="2055">
      <c r="E2055">
        <f>IF(DATOS!$I2055="","",IFERROR(VLOOKUP(DATOS!$I2055,CONFIG_ASIGNATURAS!$B$2:$J$61,9,FALSE()),""))</f>
      </c>
    </row>
    <row r="2056">
      <c r="E2056">
        <f>IF(DATOS!$I2056="","",IFERROR(VLOOKUP(DATOS!$I2056,CONFIG_ASIGNATURAS!$B$2:$J$61,9,FALSE()),""))</f>
      </c>
    </row>
    <row r="2057">
      <c r="E2057">
        <f>IF(DATOS!$I2057="","",IFERROR(VLOOKUP(DATOS!$I2057,CONFIG_ASIGNATURAS!$B$2:$J$61,9,FALSE()),""))</f>
      </c>
    </row>
    <row r="2058">
      <c r="E2058">
        <f>IF(DATOS!$I2058="","",IFERROR(VLOOKUP(DATOS!$I2058,CONFIG_ASIGNATURAS!$B$2:$J$61,9,FALSE()),""))</f>
      </c>
    </row>
    <row r="2059">
      <c r="E2059">
        <f>IF(DATOS!$I2059="","",IFERROR(VLOOKUP(DATOS!$I2059,CONFIG_ASIGNATURAS!$B$2:$J$61,9,FALSE()),""))</f>
      </c>
    </row>
    <row r="2060">
      <c r="E2060">
        <f>IF(DATOS!$I2060="","",IFERROR(VLOOKUP(DATOS!$I2060,CONFIG_ASIGNATURAS!$B$2:$J$61,9,FALSE()),""))</f>
      </c>
    </row>
    <row r="2061">
      <c r="E2061">
        <f>IF(DATOS!$I2061="","",IFERROR(VLOOKUP(DATOS!$I2061,CONFIG_ASIGNATURAS!$B$2:$J$61,9,FALSE()),""))</f>
      </c>
    </row>
    <row r="2062">
      <c r="E2062">
        <f>IF(DATOS!$I2062="","",IFERROR(VLOOKUP(DATOS!$I2062,CONFIG_ASIGNATURAS!$B$2:$J$61,9,FALSE()),""))</f>
      </c>
    </row>
    <row r="2063">
      <c r="E2063">
        <f>IF(DATOS!$I2063="","",IFERROR(VLOOKUP(DATOS!$I2063,CONFIG_ASIGNATURAS!$B$2:$J$61,9,FALSE()),""))</f>
      </c>
    </row>
    <row r="2064">
      <c r="E2064">
        <f>IF(DATOS!$I2064="","",IFERROR(VLOOKUP(DATOS!$I2064,CONFIG_ASIGNATURAS!$B$2:$J$61,9,FALSE()),""))</f>
      </c>
    </row>
    <row r="2065">
      <c r="E2065">
        <f>IF(DATOS!$I2065="","",IFERROR(VLOOKUP(DATOS!$I2065,CONFIG_ASIGNATURAS!$B$2:$J$61,9,FALSE()),""))</f>
      </c>
    </row>
    <row r="2066">
      <c r="E2066">
        <f>IF(DATOS!$I2066="","",IFERROR(VLOOKUP(DATOS!$I2066,CONFIG_ASIGNATURAS!$B$2:$J$61,9,FALSE()),""))</f>
      </c>
    </row>
    <row r="2067">
      <c r="E2067">
        <f>IF(DATOS!$I2067="","",IFERROR(VLOOKUP(DATOS!$I2067,CONFIG_ASIGNATURAS!$B$2:$J$61,9,FALSE()),""))</f>
      </c>
    </row>
    <row r="2068">
      <c r="E2068">
        <f>IF(DATOS!$I2068="","",IFERROR(VLOOKUP(DATOS!$I2068,CONFIG_ASIGNATURAS!$B$2:$J$61,9,FALSE()),""))</f>
      </c>
    </row>
    <row r="2069">
      <c r="E2069">
        <f>IF(DATOS!$I2069="","",IFERROR(VLOOKUP(DATOS!$I2069,CONFIG_ASIGNATURAS!$B$2:$J$61,9,FALSE()),""))</f>
      </c>
    </row>
    <row r="2070">
      <c r="E2070">
        <f>IF(DATOS!$I2070="","",IFERROR(VLOOKUP(DATOS!$I2070,CONFIG_ASIGNATURAS!$B$2:$J$61,9,FALSE()),""))</f>
      </c>
    </row>
    <row r="2071">
      <c r="E2071">
        <f>IF(DATOS!$I2071="","",IFERROR(VLOOKUP(DATOS!$I2071,CONFIG_ASIGNATURAS!$B$2:$J$61,9,FALSE()),""))</f>
      </c>
    </row>
    <row r="2072">
      <c r="E2072">
        <f>IF(DATOS!$I2072="","",IFERROR(VLOOKUP(DATOS!$I2072,CONFIG_ASIGNATURAS!$B$2:$J$61,9,FALSE()),""))</f>
      </c>
    </row>
    <row r="2073">
      <c r="E2073">
        <f>IF(DATOS!$I2073="","",IFERROR(VLOOKUP(DATOS!$I2073,CONFIG_ASIGNATURAS!$B$2:$J$61,9,FALSE()),""))</f>
      </c>
    </row>
    <row r="2074">
      <c r="E2074">
        <f>IF(DATOS!$I2074="","",IFERROR(VLOOKUP(DATOS!$I2074,CONFIG_ASIGNATURAS!$B$2:$J$61,9,FALSE()),""))</f>
      </c>
    </row>
    <row r="2075">
      <c r="E2075">
        <f>IF(DATOS!$I2075="","",IFERROR(VLOOKUP(DATOS!$I2075,CONFIG_ASIGNATURAS!$B$2:$J$61,9,FALSE()),""))</f>
      </c>
    </row>
    <row r="2076">
      <c r="E2076">
        <f>IF(DATOS!$I2076="","",IFERROR(VLOOKUP(DATOS!$I2076,CONFIG_ASIGNATURAS!$B$2:$J$61,9,FALSE()),""))</f>
      </c>
    </row>
    <row r="2077">
      <c r="E2077">
        <f>IF(DATOS!$I2077="","",IFERROR(VLOOKUP(DATOS!$I2077,CONFIG_ASIGNATURAS!$B$2:$J$61,9,FALSE()),""))</f>
      </c>
    </row>
    <row r="2078">
      <c r="E2078">
        <f>IF(DATOS!$I2078="","",IFERROR(VLOOKUP(DATOS!$I2078,CONFIG_ASIGNATURAS!$B$2:$J$61,9,FALSE()),""))</f>
      </c>
    </row>
    <row r="2079">
      <c r="E2079">
        <f>IF(DATOS!$I2079="","",IFERROR(VLOOKUP(DATOS!$I2079,CONFIG_ASIGNATURAS!$B$2:$J$61,9,FALSE()),""))</f>
      </c>
    </row>
    <row r="2080">
      <c r="E2080">
        <f>IF(DATOS!$I2080="","",IFERROR(VLOOKUP(DATOS!$I2080,CONFIG_ASIGNATURAS!$B$2:$J$61,9,FALSE()),""))</f>
      </c>
    </row>
    <row r="2081">
      <c r="E2081">
        <f>IF(DATOS!$I2081="","",IFERROR(VLOOKUP(DATOS!$I2081,CONFIG_ASIGNATURAS!$B$2:$J$61,9,FALSE()),""))</f>
      </c>
    </row>
    <row r="2082">
      <c r="E2082">
        <f>IF(DATOS!$I2082="","",IFERROR(VLOOKUP(DATOS!$I2082,CONFIG_ASIGNATURAS!$B$2:$J$61,9,FALSE()),""))</f>
      </c>
    </row>
    <row r="2083">
      <c r="E2083">
        <f>IF(DATOS!$I2083="","",IFERROR(VLOOKUP(DATOS!$I2083,CONFIG_ASIGNATURAS!$B$2:$J$61,9,FALSE()),""))</f>
      </c>
    </row>
    <row r="2084">
      <c r="E2084">
        <f>IF(DATOS!$I2084="","",IFERROR(VLOOKUP(DATOS!$I2084,CONFIG_ASIGNATURAS!$B$2:$J$61,9,FALSE()),""))</f>
      </c>
    </row>
    <row r="2085">
      <c r="E2085">
        <f>IF(DATOS!$I2085="","",IFERROR(VLOOKUP(DATOS!$I2085,CONFIG_ASIGNATURAS!$B$2:$J$61,9,FALSE()),""))</f>
      </c>
    </row>
    <row r="2086">
      <c r="E2086">
        <f>IF(DATOS!$I2086="","",IFERROR(VLOOKUP(DATOS!$I2086,CONFIG_ASIGNATURAS!$B$2:$J$61,9,FALSE()),""))</f>
      </c>
    </row>
    <row r="2087">
      <c r="E2087">
        <f>IF(DATOS!$I2087="","",IFERROR(VLOOKUP(DATOS!$I2087,CONFIG_ASIGNATURAS!$B$2:$J$61,9,FALSE()),""))</f>
      </c>
    </row>
    <row r="2088">
      <c r="E2088">
        <f>IF(DATOS!$I2088="","",IFERROR(VLOOKUP(DATOS!$I2088,CONFIG_ASIGNATURAS!$B$2:$J$61,9,FALSE()),""))</f>
      </c>
    </row>
    <row r="2089">
      <c r="E2089">
        <f>IF(DATOS!$I2089="","",IFERROR(VLOOKUP(DATOS!$I2089,CONFIG_ASIGNATURAS!$B$2:$J$61,9,FALSE()),""))</f>
      </c>
    </row>
    <row r="2090">
      <c r="E2090">
        <f>IF(DATOS!$I2090="","",IFERROR(VLOOKUP(DATOS!$I2090,CONFIG_ASIGNATURAS!$B$2:$J$61,9,FALSE()),""))</f>
      </c>
    </row>
    <row r="2091">
      <c r="E2091">
        <f>IF(DATOS!$I2091="","",IFERROR(VLOOKUP(DATOS!$I2091,CONFIG_ASIGNATURAS!$B$2:$J$61,9,FALSE()),""))</f>
      </c>
    </row>
    <row r="2092">
      <c r="E2092">
        <f>IF(DATOS!$I2092="","",IFERROR(VLOOKUP(DATOS!$I2092,CONFIG_ASIGNATURAS!$B$2:$J$61,9,FALSE()),""))</f>
      </c>
    </row>
    <row r="2093">
      <c r="E2093">
        <f>IF(DATOS!$I2093="","",IFERROR(VLOOKUP(DATOS!$I2093,CONFIG_ASIGNATURAS!$B$2:$J$61,9,FALSE()),""))</f>
      </c>
    </row>
    <row r="2094">
      <c r="E2094">
        <f>IF(DATOS!$I2094="","",IFERROR(VLOOKUP(DATOS!$I2094,CONFIG_ASIGNATURAS!$B$2:$J$61,9,FALSE()),""))</f>
      </c>
    </row>
    <row r="2095">
      <c r="E2095">
        <f>IF(DATOS!$I2095="","",IFERROR(VLOOKUP(DATOS!$I2095,CONFIG_ASIGNATURAS!$B$2:$J$61,9,FALSE()),""))</f>
      </c>
    </row>
    <row r="2096">
      <c r="E2096">
        <f>IF(DATOS!$I2096="","",IFERROR(VLOOKUP(DATOS!$I2096,CONFIG_ASIGNATURAS!$B$2:$J$61,9,FALSE()),""))</f>
      </c>
    </row>
    <row r="2097">
      <c r="E2097">
        <f>IF(DATOS!$I2097="","",IFERROR(VLOOKUP(DATOS!$I2097,CONFIG_ASIGNATURAS!$B$2:$J$61,9,FALSE()),""))</f>
      </c>
    </row>
    <row r="2098">
      <c r="E2098">
        <f>IF(DATOS!$I2098="","",IFERROR(VLOOKUP(DATOS!$I2098,CONFIG_ASIGNATURAS!$B$2:$J$61,9,FALSE()),""))</f>
      </c>
    </row>
    <row r="2099">
      <c r="E2099">
        <f>IF(DATOS!$I2099="","",IFERROR(VLOOKUP(DATOS!$I2099,CONFIG_ASIGNATURAS!$B$2:$J$61,9,FALSE()),""))</f>
      </c>
    </row>
    <row r="2100">
      <c r="E2100">
        <f>IF(DATOS!$I2100="","",IFERROR(VLOOKUP(DATOS!$I2100,CONFIG_ASIGNATURAS!$B$2:$J$61,9,FALSE()),""))</f>
      </c>
    </row>
    <row r="2101">
      <c r="E2101">
        <f>IF(DATOS!$I2101="","",IFERROR(VLOOKUP(DATOS!$I2101,CONFIG_ASIGNATURAS!$B$2:$J$61,9,FALSE()),""))</f>
      </c>
    </row>
    <row r="2102">
      <c r="E2102">
        <f>IF(DATOS!$I2102="","",IFERROR(VLOOKUP(DATOS!$I2102,CONFIG_ASIGNATURAS!$B$2:$J$61,9,FALSE()),""))</f>
      </c>
    </row>
    <row r="2103">
      <c r="E2103">
        <f>IF(DATOS!$I2103="","",IFERROR(VLOOKUP(DATOS!$I2103,CONFIG_ASIGNATURAS!$B$2:$J$61,9,FALSE()),""))</f>
      </c>
    </row>
    <row r="2104">
      <c r="E2104">
        <f>IF(DATOS!$I2104="","",IFERROR(VLOOKUP(DATOS!$I2104,CONFIG_ASIGNATURAS!$B$2:$J$61,9,FALSE()),""))</f>
      </c>
    </row>
    <row r="2105">
      <c r="E2105">
        <f>IF(DATOS!$I2105="","",IFERROR(VLOOKUP(DATOS!$I2105,CONFIG_ASIGNATURAS!$B$2:$J$61,9,FALSE()),""))</f>
      </c>
    </row>
    <row r="2106">
      <c r="E2106">
        <f>IF(DATOS!$I2106="","",IFERROR(VLOOKUP(DATOS!$I2106,CONFIG_ASIGNATURAS!$B$2:$J$61,9,FALSE()),""))</f>
      </c>
    </row>
    <row r="2107">
      <c r="E2107">
        <f>IF(DATOS!$I2107="","",IFERROR(VLOOKUP(DATOS!$I2107,CONFIG_ASIGNATURAS!$B$2:$J$61,9,FALSE()),""))</f>
      </c>
    </row>
    <row r="2108">
      <c r="E2108">
        <f>IF(DATOS!$I2108="","",IFERROR(VLOOKUP(DATOS!$I2108,CONFIG_ASIGNATURAS!$B$2:$J$61,9,FALSE()),""))</f>
      </c>
    </row>
    <row r="2109">
      <c r="E2109">
        <f>IF(DATOS!$I2109="","",IFERROR(VLOOKUP(DATOS!$I2109,CONFIG_ASIGNATURAS!$B$2:$J$61,9,FALSE()),""))</f>
      </c>
    </row>
    <row r="2110">
      <c r="E2110">
        <f>IF(DATOS!$I2110="","",IFERROR(VLOOKUP(DATOS!$I2110,CONFIG_ASIGNATURAS!$B$2:$J$61,9,FALSE()),""))</f>
      </c>
    </row>
    <row r="2111">
      <c r="E2111">
        <f>IF(DATOS!$I2111="","",IFERROR(VLOOKUP(DATOS!$I2111,CONFIG_ASIGNATURAS!$B$2:$J$61,9,FALSE()),""))</f>
      </c>
    </row>
    <row r="2112">
      <c r="E2112">
        <f>IF(DATOS!$I2112="","",IFERROR(VLOOKUP(DATOS!$I2112,CONFIG_ASIGNATURAS!$B$2:$J$61,9,FALSE()),""))</f>
      </c>
    </row>
    <row r="2113">
      <c r="E2113">
        <f>IF(DATOS!$I2113="","",IFERROR(VLOOKUP(DATOS!$I2113,CONFIG_ASIGNATURAS!$B$2:$J$61,9,FALSE()),""))</f>
      </c>
    </row>
    <row r="2114">
      <c r="E2114">
        <f>IF(DATOS!$I2114="","",IFERROR(VLOOKUP(DATOS!$I2114,CONFIG_ASIGNATURAS!$B$2:$J$61,9,FALSE()),""))</f>
      </c>
    </row>
    <row r="2115">
      <c r="E2115">
        <f>IF(DATOS!$I2115="","",IFERROR(VLOOKUP(DATOS!$I2115,CONFIG_ASIGNATURAS!$B$2:$J$61,9,FALSE()),""))</f>
      </c>
    </row>
    <row r="2116">
      <c r="E2116">
        <f>IF(DATOS!$I2116="","",IFERROR(VLOOKUP(DATOS!$I2116,CONFIG_ASIGNATURAS!$B$2:$J$61,9,FALSE()),""))</f>
      </c>
    </row>
    <row r="2117">
      <c r="E2117">
        <f>IF(DATOS!$I2117="","",IFERROR(VLOOKUP(DATOS!$I2117,CONFIG_ASIGNATURAS!$B$2:$J$61,9,FALSE()),""))</f>
      </c>
    </row>
    <row r="2118">
      <c r="E2118">
        <f>IF(DATOS!$I2118="","",IFERROR(VLOOKUP(DATOS!$I2118,CONFIG_ASIGNATURAS!$B$2:$J$61,9,FALSE()),""))</f>
      </c>
    </row>
    <row r="2119">
      <c r="E2119">
        <f>IF(DATOS!$I2119="","",IFERROR(VLOOKUP(DATOS!$I2119,CONFIG_ASIGNATURAS!$B$2:$J$61,9,FALSE()),""))</f>
      </c>
    </row>
    <row r="2120">
      <c r="E2120">
        <f>IF(DATOS!$I2120="","",IFERROR(VLOOKUP(DATOS!$I2120,CONFIG_ASIGNATURAS!$B$2:$J$61,9,FALSE()),""))</f>
      </c>
    </row>
    <row r="2121">
      <c r="E2121">
        <f>IF(DATOS!$I2121="","",IFERROR(VLOOKUP(DATOS!$I2121,CONFIG_ASIGNATURAS!$B$2:$J$61,9,FALSE()),""))</f>
      </c>
    </row>
    <row r="2122">
      <c r="E2122">
        <f>IF(DATOS!$I2122="","",IFERROR(VLOOKUP(DATOS!$I2122,CONFIG_ASIGNATURAS!$B$2:$J$61,9,FALSE()),""))</f>
      </c>
    </row>
    <row r="2123">
      <c r="E2123">
        <f>IF(DATOS!$I2123="","",IFERROR(VLOOKUP(DATOS!$I2123,CONFIG_ASIGNATURAS!$B$2:$J$61,9,FALSE()),""))</f>
      </c>
    </row>
    <row r="2124">
      <c r="E2124">
        <f>IF(DATOS!$I2124="","",IFERROR(VLOOKUP(DATOS!$I2124,CONFIG_ASIGNATURAS!$B$2:$J$61,9,FALSE()),""))</f>
      </c>
    </row>
    <row r="2125">
      <c r="E2125">
        <f>IF(DATOS!$I2125="","",IFERROR(VLOOKUP(DATOS!$I2125,CONFIG_ASIGNATURAS!$B$2:$J$61,9,FALSE()),""))</f>
      </c>
    </row>
    <row r="2126">
      <c r="E2126">
        <f>IF(DATOS!$I2126="","",IFERROR(VLOOKUP(DATOS!$I2126,CONFIG_ASIGNATURAS!$B$2:$J$61,9,FALSE()),""))</f>
      </c>
    </row>
    <row r="2127">
      <c r="E2127">
        <f>IF(DATOS!$I2127="","",IFERROR(VLOOKUP(DATOS!$I2127,CONFIG_ASIGNATURAS!$B$2:$J$61,9,FALSE()),""))</f>
      </c>
    </row>
    <row r="2128">
      <c r="E2128">
        <f>IF(DATOS!$I2128="","",IFERROR(VLOOKUP(DATOS!$I2128,CONFIG_ASIGNATURAS!$B$2:$J$61,9,FALSE()),""))</f>
      </c>
    </row>
    <row r="2129">
      <c r="E2129">
        <f>IF(DATOS!$I2129="","",IFERROR(VLOOKUP(DATOS!$I2129,CONFIG_ASIGNATURAS!$B$2:$J$61,9,FALSE()),""))</f>
      </c>
    </row>
    <row r="2130">
      <c r="E2130">
        <f>IF(DATOS!$I2130="","",IFERROR(VLOOKUP(DATOS!$I2130,CONFIG_ASIGNATURAS!$B$2:$J$61,9,FALSE()),""))</f>
      </c>
    </row>
    <row r="2131">
      <c r="E2131">
        <f>IF(DATOS!$I2131="","",IFERROR(VLOOKUP(DATOS!$I2131,CONFIG_ASIGNATURAS!$B$2:$J$61,9,FALSE()),""))</f>
      </c>
    </row>
    <row r="2132">
      <c r="E2132">
        <f>IF(DATOS!$I2132="","",IFERROR(VLOOKUP(DATOS!$I2132,CONFIG_ASIGNATURAS!$B$2:$J$61,9,FALSE()),""))</f>
      </c>
    </row>
    <row r="2133">
      <c r="E2133">
        <f>IF(DATOS!$I2133="","",IFERROR(VLOOKUP(DATOS!$I2133,CONFIG_ASIGNATURAS!$B$2:$J$61,9,FALSE()),""))</f>
      </c>
    </row>
    <row r="2134">
      <c r="E2134">
        <f>IF(DATOS!$I2134="","",IFERROR(VLOOKUP(DATOS!$I2134,CONFIG_ASIGNATURAS!$B$2:$J$61,9,FALSE()),""))</f>
      </c>
    </row>
    <row r="2135">
      <c r="E2135">
        <f>IF(DATOS!$I2135="","",IFERROR(VLOOKUP(DATOS!$I2135,CONFIG_ASIGNATURAS!$B$2:$J$61,9,FALSE()),""))</f>
      </c>
    </row>
    <row r="2136">
      <c r="E2136">
        <f>IF(DATOS!$I2136="","",IFERROR(VLOOKUP(DATOS!$I2136,CONFIG_ASIGNATURAS!$B$2:$J$61,9,FALSE()),""))</f>
      </c>
    </row>
    <row r="2137">
      <c r="E2137">
        <f>IF(DATOS!$I2137="","",IFERROR(VLOOKUP(DATOS!$I2137,CONFIG_ASIGNATURAS!$B$2:$J$61,9,FALSE()),""))</f>
      </c>
    </row>
    <row r="2138">
      <c r="E2138">
        <f>IF(DATOS!$I2138="","",IFERROR(VLOOKUP(DATOS!$I2138,CONFIG_ASIGNATURAS!$B$2:$J$61,9,FALSE()),""))</f>
      </c>
    </row>
    <row r="2139">
      <c r="E2139">
        <f>IF(DATOS!$I2139="","",IFERROR(VLOOKUP(DATOS!$I2139,CONFIG_ASIGNATURAS!$B$2:$J$61,9,FALSE()),""))</f>
      </c>
    </row>
    <row r="2140">
      <c r="E2140">
        <f>IF(DATOS!$I2140="","",IFERROR(VLOOKUP(DATOS!$I2140,CONFIG_ASIGNATURAS!$B$2:$J$61,9,FALSE()),""))</f>
      </c>
    </row>
    <row r="2141">
      <c r="E2141">
        <f>IF(DATOS!$I2141="","",IFERROR(VLOOKUP(DATOS!$I2141,CONFIG_ASIGNATURAS!$B$2:$J$61,9,FALSE()),""))</f>
      </c>
    </row>
    <row r="2142">
      <c r="E2142">
        <f>IF(DATOS!$I2142="","",IFERROR(VLOOKUP(DATOS!$I2142,CONFIG_ASIGNATURAS!$B$2:$J$61,9,FALSE()),""))</f>
      </c>
    </row>
    <row r="2143">
      <c r="E2143">
        <f>IF(DATOS!$I2143="","",IFERROR(VLOOKUP(DATOS!$I2143,CONFIG_ASIGNATURAS!$B$2:$J$61,9,FALSE()),""))</f>
      </c>
    </row>
    <row r="2144">
      <c r="E2144">
        <f>IF(DATOS!$I2144="","",IFERROR(VLOOKUP(DATOS!$I2144,CONFIG_ASIGNATURAS!$B$2:$J$61,9,FALSE()),""))</f>
      </c>
    </row>
    <row r="2145">
      <c r="E2145">
        <f>IF(DATOS!$I2145="","",IFERROR(VLOOKUP(DATOS!$I2145,CONFIG_ASIGNATURAS!$B$2:$J$61,9,FALSE()),""))</f>
      </c>
    </row>
    <row r="2146">
      <c r="E2146">
        <f>IF(DATOS!$I2146="","",IFERROR(VLOOKUP(DATOS!$I2146,CONFIG_ASIGNATURAS!$B$2:$J$61,9,FALSE()),""))</f>
      </c>
    </row>
    <row r="2147">
      <c r="E2147">
        <f>IF(DATOS!$I2147="","",IFERROR(VLOOKUP(DATOS!$I2147,CONFIG_ASIGNATURAS!$B$2:$J$61,9,FALSE()),""))</f>
      </c>
    </row>
    <row r="2148">
      <c r="E2148">
        <f>IF(DATOS!$I2148="","",IFERROR(VLOOKUP(DATOS!$I2148,CONFIG_ASIGNATURAS!$B$2:$J$61,9,FALSE()),""))</f>
      </c>
    </row>
    <row r="2149">
      <c r="E2149">
        <f>IF(DATOS!$I2149="","",IFERROR(VLOOKUP(DATOS!$I2149,CONFIG_ASIGNATURAS!$B$2:$J$61,9,FALSE()),""))</f>
      </c>
    </row>
    <row r="2150">
      <c r="E2150">
        <f>IF(DATOS!$I2150="","",IFERROR(VLOOKUP(DATOS!$I2150,CONFIG_ASIGNATURAS!$B$2:$J$61,9,FALSE()),""))</f>
      </c>
    </row>
    <row r="2151">
      <c r="E2151">
        <f>IF(DATOS!$I2151="","",IFERROR(VLOOKUP(DATOS!$I2151,CONFIG_ASIGNATURAS!$B$2:$J$61,9,FALSE()),""))</f>
      </c>
    </row>
    <row r="2152">
      <c r="E2152">
        <f>IF(DATOS!$I2152="","",IFERROR(VLOOKUP(DATOS!$I2152,CONFIG_ASIGNATURAS!$B$2:$J$61,9,FALSE()),""))</f>
      </c>
    </row>
    <row r="2153">
      <c r="E2153">
        <f>IF(DATOS!$I2153="","",IFERROR(VLOOKUP(DATOS!$I2153,CONFIG_ASIGNATURAS!$B$2:$J$61,9,FALSE()),""))</f>
      </c>
    </row>
    <row r="2154">
      <c r="E2154">
        <f>IF(DATOS!$I2154="","",IFERROR(VLOOKUP(DATOS!$I2154,CONFIG_ASIGNATURAS!$B$2:$J$61,9,FALSE()),""))</f>
      </c>
    </row>
    <row r="2155">
      <c r="E2155">
        <f>IF(DATOS!$I2155="","",IFERROR(VLOOKUP(DATOS!$I2155,CONFIG_ASIGNATURAS!$B$2:$J$61,9,FALSE()),""))</f>
      </c>
    </row>
    <row r="2156">
      <c r="E2156">
        <f>IF(DATOS!$I2156="","",IFERROR(VLOOKUP(DATOS!$I2156,CONFIG_ASIGNATURAS!$B$2:$J$61,9,FALSE()),""))</f>
      </c>
    </row>
    <row r="2157">
      <c r="E2157">
        <f>IF(DATOS!$I2157="","",IFERROR(VLOOKUP(DATOS!$I2157,CONFIG_ASIGNATURAS!$B$2:$J$61,9,FALSE()),""))</f>
      </c>
    </row>
    <row r="2158">
      <c r="E2158">
        <f>IF(DATOS!$I2158="","",IFERROR(VLOOKUP(DATOS!$I2158,CONFIG_ASIGNATURAS!$B$2:$J$61,9,FALSE()),""))</f>
      </c>
    </row>
    <row r="2159">
      <c r="E2159">
        <f>IF(DATOS!$I2159="","",IFERROR(VLOOKUP(DATOS!$I2159,CONFIG_ASIGNATURAS!$B$2:$J$61,9,FALSE()),""))</f>
      </c>
    </row>
    <row r="2160">
      <c r="E2160">
        <f>IF(DATOS!$I2160="","",IFERROR(VLOOKUP(DATOS!$I2160,CONFIG_ASIGNATURAS!$B$2:$J$61,9,FALSE()),""))</f>
      </c>
    </row>
    <row r="2161">
      <c r="E2161">
        <f>IF(DATOS!$I2161="","",IFERROR(VLOOKUP(DATOS!$I2161,CONFIG_ASIGNATURAS!$B$2:$J$61,9,FALSE()),""))</f>
      </c>
    </row>
    <row r="2162">
      <c r="E2162">
        <f>IF(DATOS!$I2162="","",IFERROR(VLOOKUP(DATOS!$I2162,CONFIG_ASIGNATURAS!$B$2:$J$61,9,FALSE()),""))</f>
      </c>
    </row>
    <row r="2163">
      <c r="E2163">
        <f>IF(DATOS!$I2163="","",IFERROR(VLOOKUP(DATOS!$I2163,CONFIG_ASIGNATURAS!$B$2:$J$61,9,FALSE()),""))</f>
      </c>
    </row>
    <row r="2164">
      <c r="E2164">
        <f>IF(DATOS!$I2164="","",IFERROR(VLOOKUP(DATOS!$I2164,CONFIG_ASIGNATURAS!$B$2:$J$61,9,FALSE()),""))</f>
      </c>
    </row>
    <row r="2165">
      <c r="E2165">
        <f>IF(DATOS!$I2165="","",IFERROR(VLOOKUP(DATOS!$I2165,CONFIG_ASIGNATURAS!$B$2:$J$61,9,FALSE()),""))</f>
      </c>
    </row>
    <row r="2166">
      <c r="E2166">
        <f>IF(DATOS!$I2166="","",IFERROR(VLOOKUP(DATOS!$I2166,CONFIG_ASIGNATURAS!$B$2:$J$61,9,FALSE()),""))</f>
      </c>
    </row>
    <row r="2167">
      <c r="E2167">
        <f>IF(DATOS!$I2167="","",IFERROR(VLOOKUP(DATOS!$I2167,CONFIG_ASIGNATURAS!$B$2:$J$61,9,FALSE()),""))</f>
      </c>
    </row>
    <row r="2168">
      <c r="E2168">
        <f>IF(DATOS!$I2168="","",IFERROR(VLOOKUP(DATOS!$I2168,CONFIG_ASIGNATURAS!$B$2:$J$61,9,FALSE()),""))</f>
      </c>
    </row>
    <row r="2169">
      <c r="E2169">
        <f>IF(DATOS!$I2169="","",IFERROR(VLOOKUP(DATOS!$I2169,CONFIG_ASIGNATURAS!$B$2:$J$61,9,FALSE()),""))</f>
      </c>
    </row>
    <row r="2170">
      <c r="E2170">
        <f>IF(DATOS!$I2170="","",IFERROR(VLOOKUP(DATOS!$I2170,CONFIG_ASIGNATURAS!$B$2:$J$61,9,FALSE()),""))</f>
      </c>
    </row>
    <row r="2171">
      <c r="E2171">
        <f>IF(DATOS!$I2171="","",IFERROR(VLOOKUP(DATOS!$I2171,CONFIG_ASIGNATURAS!$B$2:$J$61,9,FALSE()),""))</f>
      </c>
    </row>
    <row r="2172">
      <c r="E2172">
        <f>IF(DATOS!$I2172="","",IFERROR(VLOOKUP(DATOS!$I2172,CONFIG_ASIGNATURAS!$B$2:$J$61,9,FALSE()),""))</f>
      </c>
    </row>
    <row r="2173">
      <c r="E2173">
        <f>IF(DATOS!$I2173="","",IFERROR(VLOOKUP(DATOS!$I2173,CONFIG_ASIGNATURAS!$B$2:$J$61,9,FALSE()),""))</f>
      </c>
    </row>
    <row r="2174">
      <c r="E2174">
        <f>IF(DATOS!$I2174="","",IFERROR(VLOOKUP(DATOS!$I2174,CONFIG_ASIGNATURAS!$B$2:$J$61,9,FALSE()),""))</f>
      </c>
    </row>
    <row r="2175">
      <c r="E2175">
        <f>IF(DATOS!$I2175="","",IFERROR(VLOOKUP(DATOS!$I2175,CONFIG_ASIGNATURAS!$B$2:$J$61,9,FALSE()),""))</f>
      </c>
    </row>
    <row r="2176">
      <c r="E2176">
        <f>IF(DATOS!$I2176="","",IFERROR(VLOOKUP(DATOS!$I2176,CONFIG_ASIGNATURAS!$B$2:$J$61,9,FALSE()),""))</f>
      </c>
    </row>
    <row r="2177">
      <c r="E2177">
        <f>IF(DATOS!$I2177="","",IFERROR(VLOOKUP(DATOS!$I2177,CONFIG_ASIGNATURAS!$B$2:$J$61,9,FALSE()),""))</f>
      </c>
    </row>
    <row r="2178">
      <c r="E2178">
        <f>IF(DATOS!$I2178="","",IFERROR(VLOOKUP(DATOS!$I2178,CONFIG_ASIGNATURAS!$B$2:$J$61,9,FALSE()),""))</f>
      </c>
    </row>
    <row r="2179">
      <c r="E2179">
        <f>IF(DATOS!$I2179="","",IFERROR(VLOOKUP(DATOS!$I2179,CONFIG_ASIGNATURAS!$B$2:$J$61,9,FALSE()),""))</f>
      </c>
    </row>
    <row r="2180">
      <c r="E2180">
        <f>IF(DATOS!$I2180="","",IFERROR(VLOOKUP(DATOS!$I2180,CONFIG_ASIGNATURAS!$B$2:$J$61,9,FALSE()),""))</f>
      </c>
    </row>
    <row r="2181">
      <c r="E2181">
        <f>IF(DATOS!$I2181="","",IFERROR(VLOOKUP(DATOS!$I2181,CONFIG_ASIGNATURAS!$B$2:$J$61,9,FALSE()),""))</f>
      </c>
    </row>
    <row r="2182">
      <c r="E2182">
        <f>IF(DATOS!$I2182="","",IFERROR(VLOOKUP(DATOS!$I2182,CONFIG_ASIGNATURAS!$B$2:$J$61,9,FALSE()),""))</f>
      </c>
    </row>
    <row r="2183">
      <c r="E2183">
        <f>IF(DATOS!$I2183="","",IFERROR(VLOOKUP(DATOS!$I2183,CONFIG_ASIGNATURAS!$B$2:$J$61,9,FALSE()),""))</f>
      </c>
    </row>
    <row r="2184">
      <c r="E2184">
        <f>IF(DATOS!$I2184="","",IFERROR(VLOOKUP(DATOS!$I2184,CONFIG_ASIGNATURAS!$B$2:$J$61,9,FALSE()),""))</f>
      </c>
    </row>
    <row r="2185">
      <c r="E2185">
        <f>IF(DATOS!$I2185="","",IFERROR(VLOOKUP(DATOS!$I2185,CONFIG_ASIGNATURAS!$B$2:$J$61,9,FALSE()),""))</f>
      </c>
    </row>
    <row r="2186">
      <c r="E2186">
        <f>IF(DATOS!$I2186="","",IFERROR(VLOOKUP(DATOS!$I2186,CONFIG_ASIGNATURAS!$B$2:$J$61,9,FALSE()),""))</f>
      </c>
    </row>
    <row r="2187">
      <c r="E2187">
        <f>IF(DATOS!$I2187="","",IFERROR(VLOOKUP(DATOS!$I2187,CONFIG_ASIGNATURAS!$B$2:$J$61,9,FALSE()),""))</f>
      </c>
    </row>
    <row r="2188">
      <c r="E2188">
        <f>IF(DATOS!$I2188="","",IFERROR(VLOOKUP(DATOS!$I2188,CONFIG_ASIGNATURAS!$B$2:$J$61,9,FALSE()),""))</f>
      </c>
    </row>
    <row r="2189">
      <c r="E2189">
        <f>IF(DATOS!$I2189="","",IFERROR(VLOOKUP(DATOS!$I2189,CONFIG_ASIGNATURAS!$B$2:$J$61,9,FALSE()),""))</f>
      </c>
    </row>
    <row r="2190">
      <c r="E2190">
        <f>IF(DATOS!$I2190="","",IFERROR(VLOOKUP(DATOS!$I2190,CONFIG_ASIGNATURAS!$B$2:$J$61,9,FALSE()),""))</f>
      </c>
    </row>
    <row r="2191">
      <c r="E2191">
        <f>IF(DATOS!$I2191="","",IFERROR(VLOOKUP(DATOS!$I2191,CONFIG_ASIGNATURAS!$B$2:$J$61,9,FALSE()),""))</f>
      </c>
    </row>
    <row r="2192">
      <c r="E2192">
        <f>IF(DATOS!$I2192="","",IFERROR(VLOOKUP(DATOS!$I2192,CONFIG_ASIGNATURAS!$B$2:$J$61,9,FALSE()),""))</f>
      </c>
    </row>
    <row r="2193">
      <c r="E2193">
        <f>IF(DATOS!$I2193="","",IFERROR(VLOOKUP(DATOS!$I2193,CONFIG_ASIGNATURAS!$B$2:$J$61,9,FALSE()),""))</f>
      </c>
    </row>
    <row r="2194">
      <c r="E2194">
        <f>IF(DATOS!$I2194="","",IFERROR(VLOOKUP(DATOS!$I2194,CONFIG_ASIGNATURAS!$B$2:$J$61,9,FALSE()),""))</f>
      </c>
    </row>
    <row r="2195">
      <c r="E2195">
        <f>IF(DATOS!$I2195="","",IFERROR(VLOOKUP(DATOS!$I2195,CONFIG_ASIGNATURAS!$B$2:$J$61,9,FALSE()),""))</f>
      </c>
    </row>
    <row r="2196">
      <c r="E2196">
        <f>IF(DATOS!$I2196="","",IFERROR(VLOOKUP(DATOS!$I2196,CONFIG_ASIGNATURAS!$B$2:$J$61,9,FALSE()),""))</f>
      </c>
    </row>
    <row r="2197">
      <c r="E2197">
        <f>IF(DATOS!$I2197="","",IFERROR(VLOOKUP(DATOS!$I2197,CONFIG_ASIGNATURAS!$B$2:$J$61,9,FALSE()),""))</f>
      </c>
    </row>
    <row r="2198">
      <c r="E2198">
        <f>IF(DATOS!$I2198="","",IFERROR(VLOOKUP(DATOS!$I2198,CONFIG_ASIGNATURAS!$B$2:$J$61,9,FALSE()),""))</f>
      </c>
    </row>
    <row r="2199">
      <c r="E2199">
        <f>IF(DATOS!$I2199="","",IFERROR(VLOOKUP(DATOS!$I2199,CONFIG_ASIGNATURAS!$B$2:$J$61,9,FALSE()),""))</f>
      </c>
    </row>
    <row r="2200">
      <c r="E2200">
        <f>IF(DATOS!$I2200="","",IFERROR(VLOOKUP(DATOS!$I2200,CONFIG_ASIGNATURAS!$B$2:$J$61,9,FALSE()),""))</f>
      </c>
    </row>
    <row r="2201">
      <c r="E2201">
        <f>IF(DATOS!$I2201="","",IFERROR(VLOOKUP(DATOS!$I2201,CONFIG_ASIGNATURAS!$B$2:$J$61,9,FALSE()),""))</f>
      </c>
    </row>
    <row r="2202">
      <c r="E2202">
        <f>IF(DATOS!$I2202="","",IFERROR(VLOOKUP(DATOS!$I2202,CONFIG_ASIGNATURAS!$B$2:$J$61,9,FALSE()),""))</f>
      </c>
    </row>
    <row r="2203">
      <c r="E2203">
        <f>IF(DATOS!$I2203="","",IFERROR(VLOOKUP(DATOS!$I2203,CONFIG_ASIGNATURAS!$B$2:$J$61,9,FALSE()),""))</f>
      </c>
    </row>
    <row r="2204">
      <c r="E2204">
        <f>IF(DATOS!$I2204="","",IFERROR(VLOOKUP(DATOS!$I2204,CONFIG_ASIGNATURAS!$B$2:$J$61,9,FALSE()),""))</f>
      </c>
    </row>
    <row r="2205">
      <c r="E2205">
        <f>IF(DATOS!$I2205="","",IFERROR(VLOOKUP(DATOS!$I2205,CONFIG_ASIGNATURAS!$B$2:$J$61,9,FALSE()),""))</f>
      </c>
    </row>
    <row r="2206">
      <c r="E2206">
        <f>IF(DATOS!$I2206="","",IFERROR(VLOOKUP(DATOS!$I2206,CONFIG_ASIGNATURAS!$B$2:$J$61,9,FALSE()),""))</f>
      </c>
    </row>
    <row r="2207">
      <c r="E2207">
        <f>IF(DATOS!$I2207="","",IFERROR(VLOOKUP(DATOS!$I2207,CONFIG_ASIGNATURAS!$B$2:$J$61,9,FALSE()),""))</f>
      </c>
    </row>
    <row r="2208">
      <c r="E2208">
        <f>IF(DATOS!$I2208="","",IFERROR(VLOOKUP(DATOS!$I2208,CONFIG_ASIGNATURAS!$B$2:$J$61,9,FALSE()),""))</f>
      </c>
    </row>
    <row r="2209">
      <c r="E2209">
        <f>IF(DATOS!$I2209="","",IFERROR(VLOOKUP(DATOS!$I2209,CONFIG_ASIGNATURAS!$B$2:$J$61,9,FALSE()),""))</f>
      </c>
    </row>
    <row r="2210">
      <c r="E2210">
        <f>IF(DATOS!$I2210="","",IFERROR(VLOOKUP(DATOS!$I2210,CONFIG_ASIGNATURAS!$B$2:$J$61,9,FALSE()),""))</f>
      </c>
    </row>
    <row r="2211">
      <c r="E2211">
        <f>IF(DATOS!$I2211="","",IFERROR(VLOOKUP(DATOS!$I2211,CONFIG_ASIGNATURAS!$B$2:$J$61,9,FALSE()),""))</f>
      </c>
    </row>
    <row r="2212">
      <c r="E2212">
        <f>IF(DATOS!$I2212="","",IFERROR(VLOOKUP(DATOS!$I2212,CONFIG_ASIGNATURAS!$B$2:$J$61,9,FALSE()),""))</f>
      </c>
    </row>
    <row r="2213">
      <c r="E2213">
        <f>IF(DATOS!$I2213="","",IFERROR(VLOOKUP(DATOS!$I2213,CONFIG_ASIGNATURAS!$B$2:$J$61,9,FALSE()),""))</f>
      </c>
    </row>
    <row r="2214">
      <c r="E2214">
        <f>IF(DATOS!$I2214="","",IFERROR(VLOOKUP(DATOS!$I2214,CONFIG_ASIGNATURAS!$B$2:$J$61,9,FALSE()),""))</f>
      </c>
    </row>
    <row r="2215">
      <c r="E2215">
        <f>IF(DATOS!$I2215="","",IFERROR(VLOOKUP(DATOS!$I2215,CONFIG_ASIGNATURAS!$B$2:$J$61,9,FALSE()),""))</f>
      </c>
    </row>
    <row r="2216">
      <c r="E2216">
        <f>IF(DATOS!$I2216="","",IFERROR(VLOOKUP(DATOS!$I2216,CONFIG_ASIGNATURAS!$B$2:$J$61,9,FALSE()),""))</f>
      </c>
    </row>
    <row r="2217">
      <c r="E2217">
        <f>IF(DATOS!$I2217="","",IFERROR(VLOOKUP(DATOS!$I2217,CONFIG_ASIGNATURAS!$B$2:$J$61,9,FALSE()),""))</f>
      </c>
    </row>
    <row r="2218">
      <c r="E2218">
        <f>IF(DATOS!$I2218="","",IFERROR(VLOOKUP(DATOS!$I2218,CONFIG_ASIGNATURAS!$B$2:$J$61,9,FALSE()),""))</f>
      </c>
    </row>
    <row r="2219">
      <c r="E2219">
        <f>IF(DATOS!$I2219="","",IFERROR(VLOOKUP(DATOS!$I2219,CONFIG_ASIGNATURAS!$B$2:$J$61,9,FALSE()),""))</f>
      </c>
    </row>
    <row r="2220">
      <c r="E2220">
        <f>IF(DATOS!$I2220="","",IFERROR(VLOOKUP(DATOS!$I2220,CONFIG_ASIGNATURAS!$B$2:$J$61,9,FALSE()),""))</f>
      </c>
    </row>
    <row r="2221">
      <c r="E2221">
        <f>IF(DATOS!$I2221="","",IFERROR(VLOOKUP(DATOS!$I2221,CONFIG_ASIGNATURAS!$B$2:$J$61,9,FALSE()),""))</f>
      </c>
    </row>
    <row r="2222">
      <c r="E2222">
        <f>IF(DATOS!$I2222="","",IFERROR(VLOOKUP(DATOS!$I2222,CONFIG_ASIGNATURAS!$B$2:$J$61,9,FALSE()),""))</f>
      </c>
    </row>
    <row r="2223">
      <c r="E2223">
        <f>IF(DATOS!$I2223="","",IFERROR(VLOOKUP(DATOS!$I2223,CONFIG_ASIGNATURAS!$B$2:$J$61,9,FALSE()),""))</f>
      </c>
    </row>
    <row r="2224">
      <c r="E2224">
        <f>IF(DATOS!$I2224="","",IFERROR(VLOOKUP(DATOS!$I2224,CONFIG_ASIGNATURAS!$B$2:$J$61,9,FALSE()),""))</f>
      </c>
    </row>
    <row r="2225">
      <c r="E2225">
        <f>IF(DATOS!$I2225="","",IFERROR(VLOOKUP(DATOS!$I2225,CONFIG_ASIGNATURAS!$B$2:$J$61,9,FALSE()),""))</f>
      </c>
    </row>
    <row r="2226">
      <c r="E2226">
        <f>IF(DATOS!$I2226="","",IFERROR(VLOOKUP(DATOS!$I2226,CONFIG_ASIGNATURAS!$B$2:$J$61,9,FALSE()),""))</f>
      </c>
    </row>
    <row r="2227">
      <c r="E2227">
        <f>IF(DATOS!$I2227="","",IFERROR(VLOOKUP(DATOS!$I2227,CONFIG_ASIGNATURAS!$B$2:$J$61,9,FALSE()),""))</f>
      </c>
    </row>
    <row r="2228">
      <c r="E2228">
        <f>IF(DATOS!$I2228="","",IFERROR(VLOOKUP(DATOS!$I2228,CONFIG_ASIGNATURAS!$B$2:$J$61,9,FALSE()),""))</f>
      </c>
    </row>
    <row r="2229">
      <c r="E2229">
        <f>IF(DATOS!$I2229="","",IFERROR(VLOOKUP(DATOS!$I2229,CONFIG_ASIGNATURAS!$B$2:$J$61,9,FALSE()),""))</f>
      </c>
    </row>
    <row r="2230">
      <c r="E2230">
        <f>IF(DATOS!$I2230="","",IFERROR(VLOOKUP(DATOS!$I2230,CONFIG_ASIGNATURAS!$B$2:$J$61,9,FALSE()),""))</f>
      </c>
    </row>
    <row r="2231">
      <c r="E2231">
        <f>IF(DATOS!$I2231="","",IFERROR(VLOOKUP(DATOS!$I2231,CONFIG_ASIGNATURAS!$B$2:$J$61,9,FALSE()),""))</f>
      </c>
    </row>
    <row r="2232">
      <c r="E2232">
        <f>IF(DATOS!$I2232="","",IFERROR(VLOOKUP(DATOS!$I2232,CONFIG_ASIGNATURAS!$B$2:$J$61,9,FALSE()),""))</f>
      </c>
    </row>
    <row r="2233">
      <c r="E2233">
        <f>IF(DATOS!$I2233="","",IFERROR(VLOOKUP(DATOS!$I2233,CONFIG_ASIGNATURAS!$B$2:$J$61,9,FALSE()),""))</f>
      </c>
    </row>
    <row r="2234">
      <c r="E2234">
        <f>IF(DATOS!$I2234="","",IFERROR(VLOOKUP(DATOS!$I2234,CONFIG_ASIGNATURAS!$B$2:$J$61,9,FALSE()),""))</f>
      </c>
    </row>
    <row r="2235">
      <c r="E2235">
        <f>IF(DATOS!$I2235="","",IFERROR(VLOOKUP(DATOS!$I2235,CONFIG_ASIGNATURAS!$B$2:$J$61,9,FALSE()),""))</f>
      </c>
    </row>
    <row r="2236">
      <c r="E2236">
        <f>IF(DATOS!$I2236="","",IFERROR(VLOOKUP(DATOS!$I2236,CONFIG_ASIGNATURAS!$B$2:$J$61,9,FALSE()),""))</f>
      </c>
    </row>
    <row r="2237">
      <c r="E2237">
        <f>IF(DATOS!$I2237="","",IFERROR(VLOOKUP(DATOS!$I2237,CONFIG_ASIGNATURAS!$B$2:$J$61,9,FALSE()),""))</f>
      </c>
    </row>
    <row r="2238">
      <c r="E2238">
        <f>IF(DATOS!$I2238="","",IFERROR(VLOOKUP(DATOS!$I2238,CONFIG_ASIGNATURAS!$B$2:$J$61,9,FALSE()),""))</f>
      </c>
    </row>
    <row r="2239">
      <c r="E2239">
        <f>IF(DATOS!$I2239="","",IFERROR(VLOOKUP(DATOS!$I2239,CONFIG_ASIGNATURAS!$B$2:$J$61,9,FALSE()),""))</f>
      </c>
    </row>
    <row r="2240">
      <c r="E2240">
        <f>IF(DATOS!$I2240="","",IFERROR(VLOOKUP(DATOS!$I2240,CONFIG_ASIGNATURAS!$B$2:$J$61,9,FALSE()),""))</f>
      </c>
    </row>
    <row r="2241">
      <c r="E2241">
        <f>IF(DATOS!$I2241="","",IFERROR(VLOOKUP(DATOS!$I2241,CONFIG_ASIGNATURAS!$B$2:$J$61,9,FALSE()),""))</f>
      </c>
    </row>
    <row r="2242">
      <c r="E2242">
        <f>IF(DATOS!$I2242="","",IFERROR(VLOOKUP(DATOS!$I2242,CONFIG_ASIGNATURAS!$B$2:$J$61,9,FALSE()),""))</f>
      </c>
    </row>
    <row r="2243">
      <c r="E2243">
        <f>IF(DATOS!$I2243="","",IFERROR(VLOOKUP(DATOS!$I2243,CONFIG_ASIGNATURAS!$B$2:$J$61,9,FALSE()),""))</f>
      </c>
    </row>
    <row r="2244">
      <c r="E2244">
        <f>IF(DATOS!$I2244="","",IFERROR(VLOOKUP(DATOS!$I2244,CONFIG_ASIGNATURAS!$B$2:$J$61,9,FALSE()),""))</f>
      </c>
    </row>
    <row r="2245">
      <c r="E2245">
        <f>IF(DATOS!$I2245="","",IFERROR(VLOOKUP(DATOS!$I2245,CONFIG_ASIGNATURAS!$B$2:$J$61,9,FALSE()),""))</f>
      </c>
    </row>
    <row r="2246">
      <c r="E2246">
        <f>IF(DATOS!$I2246="","",IFERROR(VLOOKUP(DATOS!$I2246,CONFIG_ASIGNATURAS!$B$2:$J$61,9,FALSE()),""))</f>
      </c>
    </row>
    <row r="2247">
      <c r="E2247">
        <f>IF(DATOS!$I2247="","",IFERROR(VLOOKUP(DATOS!$I2247,CONFIG_ASIGNATURAS!$B$2:$J$61,9,FALSE()),""))</f>
      </c>
    </row>
    <row r="2248">
      <c r="E2248">
        <f>IF(DATOS!$I2248="","",IFERROR(VLOOKUP(DATOS!$I2248,CONFIG_ASIGNATURAS!$B$2:$J$61,9,FALSE()),""))</f>
      </c>
    </row>
    <row r="2249">
      <c r="E2249">
        <f>IF(DATOS!$I2249="","",IFERROR(VLOOKUP(DATOS!$I2249,CONFIG_ASIGNATURAS!$B$2:$J$61,9,FALSE()),""))</f>
      </c>
    </row>
    <row r="2250">
      <c r="E2250">
        <f>IF(DATOS!$I2250="","",IFERROR(VLOOKUP(DATOS!$I2250,CONFIG_ASIGNATURAS!$B$2:$J$61,9,FALSE()),""))</f>
      </c>
    </row>
    <row r="2251">
      <c r="E2251">
        <f>IF(DATOS!$I2251="","",IFERROR(VLOOKUP(DATOS!$I2251,CONFIG_ASIGNATURAS!$B$2:$J$61,9,FALSE()),""))</f>
      </c>
    </row>
    <row r="2252">
      <c r="E2252">
        <f>IF(DATOS!$I2252="","",IFERROR(VLOOKUP(DATOS!$I2252,CONFIG_ASIGNATURAS!$B$2:$J$61,9,FALSE()),""))</f>
      </c>
    </row>
    <row r="2253">
      <c r="E2253">
        <f>IF(DATOS!$I2253="","",IFERROR(VLOOKUP(DATOS!$I2253,CONFIG_ASIGNATURAS!$B$2:$J$61,9,FALSE()),""))</f>
      </c>
    </row>
    <row r="2254">
      <c r="E2254">
        <f>IF(DATOS!$I2254="","",IFERROR(VLOOKUP(DATOS!$I2254,CONFIG_ASIGNATURAS!$B$2:$J$61,9,FALSE()),""))</f>
      </c>
    </row>
    <row r="2255">
      <c r="E2255">
        <f>IF(DATOS!$I2255="","",IFERROR(VLOOKUP(DATOS!$I2255,CONFIG_ASIGNATURAS!$B$2:$J$61,9,FALSE()),""))</f>
      </c>
    </row>
    <row r="2256">
      <c r="E2256">
        <f>IF(DATOS!$I2256="","",IFERROR(VLOOKUP(DATOS!$I2256,CONFIG_ASIGNATURAS!$B$2:$J$61,9,FALSE()),""))</f>
      </c>
    </row>
    <row r="2257">
      <c r="E2257">
        <f>IF(DATOS!$I2257="","",IFERROR(VLOOKUP(DATOS!$I2257,CONFIG_ASIGNATURAS!$B$2:$J$61,9,FALSE()),""))</f>
      </c>
    </row>
    <row r="2258">
      <c r="E2258">
        <f>IF(DATOS!$I2258="","",IFERROR(VLOOKUP(DATOS!$I2258,CONFIG_ASIGNATURAS!$B$2:$J$61,9,FALSE()),""))</f>
      </c>
    </row>
    <row r="2259">
      <c r="E2259">
        <f>IF(DATOS!$I2259="","",IFERROR(VLOOKUP(DATOS!$I2259,CONFIG_ASIGNATURAS!$B$2:$J$61,9,FALSE()),""))</f>
      </c>
    </row>
    <row r="2260">
      <c r="E2260">
        <f>IF(DATOS!$I2260="","",IFERROR(VLOOKUP(DATOS!$I2260,CONFIG_ASIGNATURAS!$B$2:$J$61,9,FALSE()),""))</f>
      </c>
    </row>
    <row r="2261">
      <c r="E2261">
        <f>IF(DATOS!$I2261="","",IFERROR(VLOOKUP(DATOS!$I2261,CONFIG_ASIGNATURAS!$B$2:$J$61,9,FALSE()),""))</f>
      </c>
    </row>
    <row r="2262">
      <c r="E2262">
        <f>IF(DATOS!$I2262="","",IFERROR(VLOOKUP(DATOS!$I2262,CONFIG_ASIGNATURAS!$B$2:$J$61,9,FALSE()),""))</f>
      </c>
    </row>
    <row r="2263">
      <c r="E2263">
        <f>IF(DATOS!$I2263="","",IFERROR(VLOOKUP(DATOS!$I2263,CONFIG_ASIGNATURAS!$B$2:$J$61,9,FALSE()),""))</f>
      </c>
    </row>
    <row r="2264">
      <c r="E2264">
        <f>IF(DATOS!$I2264="","",IFERROR(VLOOKUP(DATOS!$I2264,CONFIG_ASIGNATURAS!$B$2:$J$61,9,FALSE()),""))</f>
      </c>
    </row>
    <row r="2265">
      <c r="E2265">
        <f>IF(DATOS!$I2265="","",IFERROR(VLOOKUP(DATOS!$I2265,CONFIG_ASIGNATURAS!$B$2:$J$61,9,FALSE()),""))</f>
      </c>
    </row>
    <row r="2266">
      <c r="E2266">
        <f>IF(DATOS!$I2266="","",IFERROR(VLOOKUP(DATOS!$I2266,CONFIG_ASIGNATURAS!$B$2:$J$61,9,FALSE()),""))</f>
      </c>
    </row>
    <row r="2267">
      <c r="E2267">
        <f>IF(DATOS!$I2267="","",IFERROR(VLOOKUP(DATOS!$I2267,CONFIG_ASIGNATURAS!$B$2:$J$61,9,FALSE()),""))</f>
      </c>
    </row>
    <row r="2268">
      <c r="E2268">
        <f>IF(DATOS!$I2268="","",IFERROR(VLOOKUP(DATOS!$I2268,CONFIG_ASIGNATURAS!$B$2:$J$61,9,FALSE()),""))</f>
      </c>
    </row>
    <row r="2269">
      <c r="E2269">
        <f>IF(DATOS!$I2269="","",IFERROR(VLOOKUP(DATOS!$I2269,CONFIG_ASIGNATURAS!$B$2:$J$61,9,FALSE()),""))</f>
      </c>
    </row>
    <row r="2270">
      <c r="E2270">
        <f>IF(DATOS!$I2270="","",IFERROR(VLOOKUP(DATOS!$I2270,CONFIG_ASIGNATURAS!$B$2:$J$61,9,FALSE()),""))</f>
      </c>
    </row>
    <row r="2271">
      <c r="E2271">
        <f>IF(DATOS!$I2271="","",IFERROR(VLOOKUP(DATOS!$I2271,CONFIG_ASIGNATURAS!$B$2:$J$61,9,FALSE()),""))</f>
      </c>
    </row>
    <row r="2272">
      <c r="E2272">
        <f>IF(DATOS!$I2272="","",IFERROR(VLOOKUP(DATOS!$I2272,CONFIG_ASIGNATURAS!$B$2:$J$61,9,FALSE()),""))</f>
      </c>
    </row>
    <row r="2273">
      <c r="E2273">
        <f>IF(DATOS!$I2273="","",IFERROR(VLOOKUP(DATOS!$I2273,CONFIG_ASIGNATURAS!$B$2:$J$61,9,FALSE()),""))</f>
      </c>
    </row>
    <row r="2274">
      <c r="E2274">
        <f>IF(DATOS!$I2274="","",IFERROR(VLOOKUP(DATOS!$I2274,CONFIG_ASIGNATURAS!$B$2:$J$61,9,FALSE()),""))</f>
      </c>
    </row>
    <row r="2275">
      <c r="E2275">
        <f>IF(DATOS!$I2275="","",IFERROR(VLOOKUP(DATOS!$I2275,CONFIG_ASIGNATURAS!$B$2:$J$61,9,FALSE()),""))</f>
      </c>
    </row>
    <row r="2276">
      <c r="E2276">
        <f>IF(DATOS!$I2276="","",IFERROR(VLOOKUP(DATOS!$I2276,CONFIG_ASIGNATURAS!$B$2:$J$61,9,FALSE()),""))</f>
      </c>
    </row>
    <row r="2277">
      <c r="E2277">
        <f>IF(DATOS!$I2277="","",IFERROR(VLOOKUP(DATOS!$I2277,CONFIG_ASIGNATURAS!$B$2:$J$61,9,FALSE()),""))</f>
      </c>
    </row>
    <row r="2278">
      <c r="E2278">
        <f>IF(DATOS!$I2278="","",IFERROR(VLOOKUP(DATOS!$I2278,CONFIG_ASIGNATURAS!$B$2:$J$61,9,FALSE()),""))</f>
      </c>
    </row>
    <row r="2279">
      <c r="E2279">
        <f>IF(DATOS!$I2279="","",IFERROR(VLOOKUP(DATOS!$I2279,CONFIG_ASIGNATURAS!$B$2:$J$61,9,FALSE()),""))</f>
      </c>
    </row>
    <row r="2280">
      <c r="E2280">
        <f>IF(DATOS!$I2280="","",IFERROR(VLOOKUP(DATOS!$I2280,CONFIG_ASIGNATURAS!$B$2:$J$61,9,FALSE()),""))</f>
      </c>
    </row>
    <row r="2281">
      <c r="E2281">
        <f>IF(DATOS!$I2281="","",IFERROR(VLOOKUP(DATOS!$I2281,CONFIG_ASIGNATURAS!$B$2:$J$61,9,FALSE()),""))</f>
      </c>
    </row>
    <row r="2282">
      <c r="E2282">
        <f>IF(DATOS!$I2282="","",IFERROR(VLOOKUP(DATOS!$I2282,CONFIG_ASIGNATURAS!$B$2:$J$61,9,FALSE()),""))</f>
      </c>
    </row>
    <row r="2283">
      <c r="E2283">
        <f>IF(DATOS!$I2283="","",IFERROR(VLOOKUP(DATOS!$I2283,CONFIG_ASIGNATURAS!$B$2:$J$61,9,FALSE()),""))</f>
      </c>
    </row>
    <row r="2284">
      <c r="E2284">
        <f>IF(DATOS!$I2284="","",IFERROR(VLOOKUP(DATOS!$I2284,CONFIG_ASIGNATURAS!$B$2:$J$61,9,FALSE()),""))</f>
      </c>
    </row>
    <row r="2285">
      <c r="E2285">
        <f>IF(DATOS!$I2285="","",IFERROR(VLOOKUP(DATOS!$I2285,CONFIG_ASIGNATURAS!$B$2:$J$61,9,FALSE()),""))</f>
      </c>
    </row>
    <row r="2286">
      <c r="E2286">
        <f>IF(DATOS!$I2286="","",IFERROR(VLOOKUP(DATOS!$I2286,CONFIG_ASIGNATURAS!$B$2:$J$61,9,FALSE()),""))</f>
      </c>
    </row>
    <row r="2287">
      <c r="E2287">
        <f>IF(DATOS!$I2287="","",IFERROR(VLOOKUP(DATOS!$I2287,CONFIG_ASIGNATURAS!$B$2:$J$61,9,FALSE()),""))</f>
      </c>
    </row>
    <row r="2288">
      <c r="E2288">
        <f>IF(DATOS!$I2288="","",IFERROR(VLOOKUP(DATOS!$I2288,CONFIG_ASIGNATURAS!$B$2:$J$61,9,FALSE()),""))</f>
      </c>
    </row>
    <row r="2289">
      <c r="E2289">
        <f>IF(DATOS!$I2289="","",IFERROR(VLOOKUP(DATOS!$I2289,CONFIG_ASIGNATURAS!$B$2:$J$61,9,FALSE()),""))</f>
      </c>
    </row>
    <row r="2290">
      <c r="E2290">
        <f>IF(DATOS!$I2290="","",IFERROR(VLOOKUP(DATOS!$I2290,CONFIG_ASIGNATURAS!$B$2:$J$61,9,FALSE()),""))</f>
      </c>
    </row>
    <row r="2291">
      <c r="E2291">
        <f>IF(DATOS!$I2291="","",IFERROR(VLOOKUP(DATOS!$I2291,CONFIG_ASIGNATURAS!$B$2:$J$61,9,FALSE()),""))</f>
      </c>
    </row>
    <row r="2292">
      <c r="E2292">
        <f>IF(DATOS!$I2292="","",IFERROR(VLOOKUP(DATOS!$I2292,CONFIG_ASIGNATURAS!$B$2:$J$61,9,FALSE()),""))</f>
      </c>
    </row>
    <row r="2293">
      <c r="E2293">
        <f>IF(DATOS!$I2293="","",IFERROR(VLOOKUP(DATOS!$I2293,CONFIG_ASIGNATURAS!$B$2:$J$61,9,FALSE()),""))</f>
      </c>
    </row>
    <row r="2294">
      <c r="E2294">
        <f>IF(DATOS!$I2294="","",IFERROR(VLOOKUP(DATOS!$I2294,CONFIG_ASIGNATURAS!$B$2:$J$61,9,FALSE()),""))</f>
      </c>
    </row>
    <row r="2295">
      <c r="E2295">
        <f>IF(DATOS!$I2295="","",IFERROR(VLOOKUP(DATOS!$I2295,CONFIG_ASIGNATURAS!$B$2:$J$61,9,FALSE()),""))</f>
      </c>
    </row>
    <row r="2296">
      <c r="E2296">
        <f>IF(DATOS!$I2296="","",IFERROR(VLOOKUP(DATOS!$I2296,CONFIG_ASIGNATURAS!$B$2:$J$61,9,FALSE()),""))</f>
      </c>
    </row>
    <row r="2297">
      <c r="E2297">
        <f>IF(DATOS!$I2297="","",IFERROR(VLOOKUP(DATOS!$I2297,CONFIG_ASIGNATURAS!$B$2:$J$61,9,FALSE()),""))</f>
      </c>
    </row>
    <row r="2298">
      <c r="E2298">
        <f>IF(DATOS!$I2298="","",IFERROR(VLOOKUP(DATOS!$I2298,CONFIG_ASIGNATURAS!$B$2:$J$61,9,FALSE()),""))</f>
      </c>
    </row>
    <row r="2299">
      <c r="E2299">
        <f>IF(DATOS!$I2299="","",IFERROR(VLOOKUP(DATOS!$I2299,CONFIG_ASIGNATURAS!$B$2:$J$61,9,FALSE()),""))</f>
      </c>
    </row>
    <row r="2300">
      <c r="E2300">
        <f>IF(DATOS!$I2300="","",IFERROR(VLOOKUP(DATOS!$I2300,CONFIG_ASIGNATURAS!$B$2:$J$61,9,FALSE()),""))</f>
      </c>
    </row>
    <row r="2301">
      <c r="E2301">
        <f>IF(DATOS!$I2301="","",IFERROR(VLOOKUP(DATOS!$I2301,CONFIG_ASIGNATURAS!$B$2:$J$61,9,FALSE()),""))</f>
      </c>
    </row>
    <row r="2302">
      <c r="E2302">
        <f>IF(DATOS!$I2302="","",IFERROR(VLOOKUP(DATOS!$I2302,CONFIG_ASIGNATURAS!$B$2:$J$61,9,FALSE()),""))</f>
      </c>
    </row>
    <row r="2303">
      <c r="E2303">
        <f>IF(DATOS!$I2303="","",IFERROR(VLOOKUP(DATOS!$I2303,CONFIG_ASIGNATURAS!$B$2:$J$61,9,FALSE()),""))</f>
      </c>
    </row>
    <row r="2304">
      <c r="E2304">
        <f>IF(DATOS!$I2304="","",IFERROR(VLOOKUP(DATOS!$I2304,CONFIG_ASIGNATURAS!$B$2:$J$61,9,FALSE()),""))</f>
      </c>
    </row>
    <row r="2305">
      <c r="E2305">
        <f>IF(DATOS!$I2305="","",IFERROR(VLOOKUP(DATOS!$I2305,CONFIG_ASIGNATURAS!$B$2:$J$61,9,FALSE()),""))</f>
      </c>
    </row>
    <row r="2306">
      <c r="E2306">
        <f>IF(DATOS!$I2306="","",IFERROR(VLOOKUP(DATOS!$I2306,CONFIG_ASIGNATURAS!$B$2:$J$61,9,FALSE()),""))</f>
      </c>
    </row>
    <row r="2307">
      <c r="E2307">
        <f>IF(DATOS!$I2307="","",IFERROR(VLOOKUP(DATOS!$I2307,CONFIG_ASIGNATURAS!$B$2:$J$61,9,FALSE()),""))</f>
      </c>
    </row>
    <row r="2308">
      <c r="E2308">
        <f>IF(DATOS!$I2308="","",IFERROR(VLOOKUP(DATOS!$I2308,CONFIG_ASIGNATURAS!$B$2:$J$61,9,FALSE()),""))</f>
      </c>
    </row>
    <row r="2309">
      <c r="E2309">
        <f>IF(DATOS!$I2309="","",IFERROR(VLOOKUP(DATOS!$I2309,CONFIG_ASIGNATURAS!$B$2:$J$61,9,FALSE()),""))</f>
      </c>
    </row>
    <row r="2310">
      <c r="E2310">
        <f>IF(DATOS!$I2310="","",IFERROR(VLOOKUP(DATOS!$I2310,CONFIG_ASIGNATURAS!$B$2:$J$61,9,FALSE()),""))</f>
      </c>
    </row>
    <row r="2311">
      <c r="E2311">
        <f>IF(DATOS!$I2311="","",IFERROR(VLOOKUP(DATOS!$I2311,CONFIG_ASIGNATURAS!$B$2:$J$61,9,FALSE()),""))</f>
      </c>
    </row>
    <row r="2312">
      <c r="E2312">
        <f>IF(DATOS!$I2312="","",IFERROR(VLOOKUP(DATOS!$I2312,CONFIG_ASIGNATURAS!$B$2:$J$61,9,FALSE()),""))</f>
      </c>
    </row>
    <row r="2313">
      <c r="E2313">
        <f>IF(DATOS!$I2313="","",IFERROR(VLOOKUP(DATOS!$I2313,CONFIG_ASIGNATURAS!$B$2:$J$61,9,FALSE()),""))</f>
      </c>
    </row>
    <row r="2314">
      <c r="E2314">
        <f>IF(DATOS!$I2314="","",IFERROR(VLOOKUP(DATOS!$I2314,CONFIG_ASIGNATURAS!$B$2:$J$61,9,FALSE()),""))</f>
      </c>
    </row>
    <row r="2315">
      <c r="E2315">
        <f>IF(DATOS!$I2315="","",IFERROR(VLOOKUP(DATOS!$I2315,CONFIG_ASIGNATURAS!$B$2:$J$61,9,FALSE()),""))</f>
      </c>
    </row>
    <row r="2316">
      <c r="E2316">
        <f>IF(DATOS!$I2316="","",IFERROR(VLOOKUP(DATOS!$I2316,CONFIG_ASIGNATURAS!$B$2:$J$61,9,FALSE()),""))</f>
      </c>
    </row>
    <row r="2317">
      <c r="E2317">
        <f>IF(DATOS!$I2317="","",IFERROR(VLOOKUP(DATOS!$I2317,CONFIG_ASIGNATURAS!$B$2:$J$61,9,FALSE()),""))</f>
      </c>
    </row>
    <row r="2318">
      <c r="E2318">
        <f>IF(DATOS!$I2318="","",IFERROR(VLOOKUP(DATOS!$I2318,CONFIG_ASIGNATURAS!$B$2:$J$61,9,FALSE()),""))</f>
      </c>
    </row>
    <row r="2319">
      <c r="E2319">
        <f>IF(DATOS!$I2319="","",IFERROR(VLOOKUP(DATOS!$I2319,CONFIG_ASIGNATURAS!$B$2:$J$61,9,FALSE()),""))</f>
      </c>
    </row>
    <row r="2320">
      <c r="E2320">
        <f>IF(DATOS!$I2320="","",IFERROR(VLOOKUP(DATOS!$I2320,CONFIG_ASIGNATURAS!$B$2:$J$61,9,FALSE()),""))</f>
      </c>
    </row>
    <row r="2321">
      <c r="E2321">
        <f>IF(DATOS!$I2321="","",IFERROR(VLOOKUP(DATOS!$I2321,CONFIG_ASIGNATURAS!$B$2:$J$61,9,FALSE()),""))</f>
      </c>
    </row>
    <row r="2322">
      <c r="E2322">
        <f>IF(DATOS!$I2322="","",IFERROR(VLOOKUP(DATOS!$I2322,CONFIG_ASIGNATURAS!$B$2:$J$61,9,FALSE()),""))</f>
      </c>
    </row>
    <row r="2323">
      <c r="E2323">
        <f>IF(DATOS!$I2323="","",IFERROR(VLOOKUP(DATOS!$I2323,CONFIG_ASIGNATURAS!$B$2:$J$61,9,FALSE()),""))</f>
      </c>
    </row>
    <row r="2324">
      <c r="E2324">
        <f>IF(DATOS!$I2324="","",IFERROR(VLOOKUP(DATOS!$I2324,CONFIG_ASIGNATURAS!$B$2:$J$61,9,FALSE()),""))</f>
      </c>
    </row>
    <row r="2325">
      <c r="E2325">
        <f>IF(DATOS!$I2325="","",IFERROR(VLOOKUP(DATOS!$I2325,CONFIG_ASIGNATURAS!$B$2:$J$61,9,FALSE()),""))</f>
      </c>
    </row>
    <row r="2326">
      <c r="E2326">
        <f>IF(DATOS!$I2326="","",IFERROR(VLOOKUP(DATOS!$I2326,CONFIG_ASIGNATURAS!$B$2:$J$61,9,FALSE()),""))</f>
      </c>
    </row>
    <row r="2327">
      <c r="E2327">
        <f>IF(DATOS!$I2327="","",IFERROR(VLOOKUP(DATOS!$I2327,CONFIG_ASIGNATURAS!$B$2:$J$61,9,FALSE()),""))</f>
      </c>
    </row>
    <row r="2328">
      <c r="E2328">
        <f>IF(DATOS!$I2328="","",IFERROR(VLOOKUP(DATOS!$I2328,CONFIG_ASIGNATURAS!$B$2:$J$61,9,FALSE()),""))</f>
      </c>
    </row>
    <row r="2329">
      <c r="E2329">
        <f>IF(DATOS!$I2329="","",IFERROR(VLOOKUP(DATOS!$I2329,CONFIG_ASIGNATURAS!$B$2:$J$61,9,FALSE()),""))</f>
      </c>
    </row>
    <row r="2330">
      <c r="E2330">
        <f>IF(DATOS!$I2330="","",IFERROR(VLOOKUP(DATOS!$I2330,CONFIG_ASIGNATURAS!$B$2:$J$61,9,FALSE()),""))</f>
      </c>
    </row>
    <row r="2331">
      <c r="E2331">
        <f>IF(DATOS!$I2331="","",IFERROR(VLOOKUP(DATOS!$I2331,CONFIG_ASIGNATURAS!$B$2:$J$61,9,FALSE()),""))</f>
      </c>
    </row>
    <row r="2332">
      <c r="E2332">
        <f>IF(DATOS!$I2332="","",IFERROR(VLOOKUP(DATOS!$I2332,CONFIG_ASIGNATURAS!$B$2:$J$61,9,FALSE()),""))</f>
      </c>
    </row>
    <row r="2333">
      <c r="E2333">
        <f>IF(DATOS!$I2333="","",IFERROR(VLOOKUP(DATOS!$I2333,CONFIG_ASIGNATURAS!$B$2:$J$61,9,FALSE()),""))</f>
      </c>
    </row>
    <row r="2334">
      <c r="E2334">
        <f>IF(DATOS!$I2334="","",IFERROR(VLOOKUP(DATOS!$I2334,CONFIG_ASIGNATURAS!$B$2:$J$61,9,FALSE()),""))</f>
      </c>
    </row>
    <row r="2335">
      <c r="E2335">
        <f>IF(DATOS!$I2335="","",IFERROR(VLOOKUP(DATOS!$I2335,CONFIG_ASIGNATURAS!$B$2:$J$61,9,FALSE()),""))</f>
      </c>
    </row>
    <row r="2336">
      <c r="E2336">
        <f>IF(DATOS!$I2336="","",IFERROR(VLOOKUP(DATOS!$I2336,CONFIG_ASIGNATURAS!$B$2:$J$61,9,FALSE()),""))</f>
      </c>
    </row>
    <row r="2337">
      <c r="E2337">
        <f>IF(DATOS!$I2337="","",IFERROR(VLOOKUP(DATOS!$I2337,CONFIG_ASIGNATURAS!$B$2:$J$61,9,FALSE()),""))</f>
      </c>
    </row>
    <row r="2338">
      <c r="E2338">
        <f>IF(DATOS!$I2338="","",IFERROR(VLOOKUP(DATOS!$I2338,CONFIG_ASIGNATURAS!$B$2:$J$61,9,FALSE()),""))</f>
      </c>
    </row>
    <row r="2339">
      <c r="E2339">
        <f>IF(DATOS!$I2339="","",IFERROR(VLOOKUP(DATOS!$I2339,CONFIG_ASIGNATURAS!$B$2:$J$61,9,FALSE()),""))</f>
      </c>
    </row>
    <row r="2340">
      <c r="E2340">
        <f>IF(DATOS!$I2340="","",IFERROR(VLOOKUP(DATOS!$I2340,CONFIG_ASIGNATURAS!$B$2:$J$61,9,FALSE()),""))</f>
      </c>
    </row>
    <row r="2341">
      <c r="E2341">
        <f>IF(DATOS!$I2341="","",IFERROR(VLOOKUP(DATOS!$I2341,CONFIG_ASIGNATURAS!$B$2:$J$61,9,FALSE()),""))</f>
      </c>
    </row>
    <row r="2342">
      <c r="E2342">
        <f>IF(DATOS!$I2342="","",IFERROR(VLOOKUP(DATOS!$I2342,CONFIG_ASIGNATURAS!$B$2:$J$61,9,FALSE()),""))</f>
      </c>
    </row>
    <row r="2343">
      <c r="E2343">
        <f>IF(DATOS!$I2343="","",IFERROR(VLOOKUP(DATOS!$I2343,CONFIG_ASIGNATURAS!$B$2:$J$61,9,FALSE()),""))</f>
      </c>
    </row>
    <row r="2344">
      <c r="E2344">
        <f>IF(DATOS!$I2344="","",IFERROR(VLOOKUP(DATOS!$I2344,CONFIG_ASIGNATURAS!$B$2:$J$61,9,FALSE()),""))</f>
      </c>
    </row>
    <row r="2345">
      <c r="E2345">
        <f>IF(DATOS!$I2345="","",IFERROR(VLOOKUP(DATOS!$I2345,CONFIG_ASIGNATURAS!$B$2:$J$61,9,FALSE()),""))</f>
      </c>
    </row>
    <row r="2346">
      <c r="E2346">
        <f>IF(DATOS!$I2346="","",IFERROR(VLOOKUP(DATOS!$I2346,CONFIG_ASIGNATURAS!$B$2:$J$61,9,FALSE()),""))</f>
      </c>
    </row>
    <row r="2347">
      <c r="E2347">
        <f>IF(DATOS!$I2347="","",IFERROR(VLOOKUP(DATOS!$I2347,CONFIG_ASIGNATURAS!$B$2:$J$61,9,FALSE()),""))</f>
      </c>
    </row>
    <row r="2348">
      <c r="E2348">
        <f>IF(DATOS!$I2348="","",IFERROR(VLOOKUP(DATOS!$I2348,CONFIG_ASIGNATURAS!$B$2:$J$61,9,FALSE()),""))</f>
      </c>
    </row>
    <row r="2349">
      <c r="E2349">
        <f>IF(DATOS!$I2349="","",IFERROR(VLOOKUP(DATOS!$I2349,CONFIG_ASIGNATURAS!$B$2:$J$61,9,FALSE()),""))</f>
      </c>
    </row>
    <row r="2350">
      <c r="E2350">
        <f>IF(DATOS!$I2350="","",IFERROR(VLOOKUP(DATOS!$I2350,CONFIG_ASIGNATURAS!$B$2:$J$61,9,FALSE()),""))</f>
      </c>
    </row>
    <row r="2351">
      <c r="E2351">
        <f>IF(DATOS!$I2351="","",IFERROR(VLOOKUP(DATOS!$I2351,CONFIG_ASIGNATURAS!$B$2:$J$61,9,FALSE()),""))</f>
      </c>
    </row>
    <row r="2352">
      <c r="E2352">
        <f>IF(DATOS!$I2352="","",IFERROR(VLOOKUP(DATOS!$I2352,CONFIG_ASIGNATURAS!$B$2:$J$61,9,FALSE()),""))</f>
      </c>
    </row>
    <row r="2353">
      <c r="E2353">
        <f>IF(DATOS!$I2353="","",IFERROR(VLOOKUP(DATOS!$I2353,CONFIG_ASIGNATURAS!$B$2:$J$61,9,FALSE()),""))</f>
      </c>
    </row>
    <row r="2354">
      <c r="E2354">
        <f>IF(DATOS!$I2354="","",IFERROR(VLOOKUP(DATOS!$I2354,CONFIG_ASIGNATURAS!$B$2:$J$61,9,FALSE()),""))</f>
      </c>
    </row>
    <row r="2355">
      <c r="E2355">
        <f>IF(DATOS!$I2355="","",IFERROR(VLOOKUP(DATOS!$I2355,CONFIG_ASIGNATURAS!$B$2:$J$61,9,FALSE()),""))</f>
      </c>
    </row>
    <row r="2356">
      <c r="E2356">
        <f>IF(DATOS!$I2356="","",IFERROR(VLOOKUP(DATOS!$I2356,CONFIG_ASIGNATURAS!$B$2:$J$61,9,FALSE()),""))</f>
      </c>
    </row>
    <row r="2357">
      <c r="E2357">
        <f>IF(DATOS!$I2357="","",IFERROR(VLOOKUP(DATOS!$I2357,CONFIG_ASIGNATURAS!$B$2:$J$61,9,FALSE()),""))</f>
      </c>
    </row>
    <row r="2358">
      <c r="E2358">
        <f>IF(DATOS!$I2358="","",IFERROR(VLOOKUP(DATOS!$I2358,CONFIG_ASIGNATURAS!$B$2:$J$61,9,FALSE()),""))</f>
      </c>
    </row>
    <row r="2359">
      <c r="E2359">
        <f>IF(DATOS!$I2359="","",IFERROR(VLOOKUP(DATOS!$I2359,CONFIG_ASIGNATURAS!$B$2:$J$61,9,FALSE()),""))</f>
      </c>
    </row>
    <row r="2360">
      <c r="E2360">
        <f>IF(DATOS!$I2360="","",IFERROR(VLOOKUP(DATOS!$I2360,CONFIG_ASIGNATURAS!$B$2:$J$61,9,FALSE()),""))</f>
      </c>
    </row>
    <row r="2361">
      <c r="E2361">
        <f>IF(DATOS!$I2361="","",IFERROR(VLOOKUP(DATOS!$I2361,CONFIG_ASIGNATURAS!$B$2:$J$61,9,FALSE()),""))</f>
      </c>
    </row>
    <row r="2362">
      <c r="E2362">
        <f>IF(DATOS!$I2362="","",IFERROR(VLOOKUP(DATOS!$I2362,CONFIG_ASIGNATURAS!$B$2:$J$61,9,FALSE()),""))</f>
      </c>
    </row>
    <row r="2363">
      <c r="E2363">
        <f>IF(DATOS!$I2363="","",IFERROR(VLOOKUP(DATOS!$I2363,CONFIG_ASIGNATURAS!$B$2:$J$61,9,FALSE()),""))</f>
      </c>
    </row>
    <row r="2364">
      <c r="E2364">
        <f>IF(DATOS!$I2364="","",IFERROR(VLOOKUP(DATOS!$I2364,CONFIG_ASIGNATURAS!$B$2:$J$61,9,FALSE()),""))</f>
      </c>
    </row>
    <row r="2365">
      <c r="E2365">
        <f>IF(DATOS!$I2365="","",IFERROR(VLOOKUP(DATOS!$I2365,CONFIG_ASIGNATURAS!$B$2:$J$61,9,FALSE()),""))</f>
      </c>
    </row>
    <row r="2366">
      <c r="E2366">
        <f>IF(DATOS!$I2366="","",IFERROR(VLOOKUP(DATOS!$I2366,CONFIG_ASIGNATURAS!$B$2:$J$61,9,FALSE()),""))</f>
      </c>
    </row>
    <row r="2367">
      <c r="E2367">
        <f>IF(DATOS!$I2367="","",IFERROR(VLOOKUP(DATOS!$I2367,CONFIG_ASIGNATURAS!$B$2:$J$61,9,FALSE()),""))</f>
      </c>
    </row>
    <row r="2368">
      <c r="E2368">
        <f>IF(DATOS!$I2368="","",IFERROR(VLOOKUP(DATOS!$I2368,CONFIG_ASIGNATURAS!$B$2:$J$61,9,FALSE()),""))</f>
      </c>
    </row>
    <row r="2369">
      <c r="E2369">
        <f>IF(DATOS!$I2369="","",IFERROR(VLOOKUP(DATOS!$I2369,CONFIG_ASIGNATURAS!$B$2:$J$61,9,FALSE()),""))</f>
      </c>
    </row>
    <row r="2370">
      <c r="E2370">
        <f>IF(DATOS!$I2370="","",IFERROR(VLOOKUP(DATOS!$I2370,CONFIG_ASIGNATURAS!$B$2:$J$61,9,FALSE()),""))</f>
      </c>
    </row>
    <row r="2371">
      <c r="E2371">
        <f>IF(DATOS!$I2371="","",IFERROR(VLOOKUP(DATOS!$I2371,CONFIG_ASIGNATURAS!$B$2:$J$61,9,FALSE()),""))</f>
      </c>
    </row>
    <row r="2372">
      <c r="E2372">
        <f>IF(DATOS!$I2372="","",IFERROR(VLOOKUP(DATOS!$I2372,CONFIG_ASIGNATURAS!$B$2:$J$61,9,FALSE()),""))</f>
      </c>
    </row>
    <row r="2373">
      <c r="E2373">
        <f>IF(DATOS!$I2373="","",IFERROR(VLOOKUP(DATOS!$I2373,CONFIG_ASIGNATURAS!$B$2:$J$61,9,FALSE()),""))</f>
      </c>
    </row>
    <row r="2374">
      <c r="E2374">
        <f>IF(DATOS!$I2374="","",IFERROR(VLOOKUP(DATOS!$I2374,CONFIG_ASIGNATURAS!$B$2:$J$61,9,FALSE()),""))</f>
      </c>
    </row>
    <row r="2375">
      <c r="E2375">
        <f>IF(DATOS!$I2375="","",IFERROR(VLOOKUP(DATOS!$I2375,CONFIG_ASIGNATURAS!$B$2:$J$61,9,FALSE()),""))</f>
      </c>
    </row>
    <row r="2376">
      <c r="E2376">
        <f>IF(DATOS!$I2376="","",IFERROR(VLOOKUP(DATOS!$I2376,CONFIG_ASIGNATURAS!$B$2:$J$61,9,FALSE()),""))</f>
      </c>
    </row>
    <row r="2377">
      <c r="E2377">
        <f>IF(DATOS!$I2377="","",IFERROR(VLOOKUP(DATOS!$I2377,CONFIG_ASIGNATURAS!$B$2:$J$61,9,FALSE()),""))</f>
      </c>
    </row>
    <row r="2378">
      <c r="E2378">
        <f>IF(DATOS!$I2378="","",IFERROR(VLOOKUP(DATOS!$I2378,CONFIG_ASIGNATURAS!$B$2:$J$61,9,FALSE()),""))</f>
      </c>
    </row>
    <row r="2379">
      <c r="E2379">
        <f>IF(DATOS!$I2379="","",IFERROR(VLOOKUP(DATOS!$I2379,CONFIG_ASIGNATURAS!$B$2:$J$61,9,FALSE()),""))</f>
      </c>
    </row>
    <row r="2380">
      <c r="E2380">
        <f>IF(DATOS!$I2380="","",IFERROR(VLOOKUP(DATOS!$I2380,CONFIG_ASIGNATURAS!$B$2:$J$61,9,FALSE()),""))</f>
      </c>
    </row>
    <row r="2381">
      <c r="E2381">
        <f>IF(DATOS!$I2381="","",IFERROR(VLOOKUP(DATOS!$I2381,CONFIG_ASIGNATURAS!$B$2:$J$61,9,FALSE()),""))</f>
      </c>
    </row>
    <row r="2382">
      <c r="E2382">
        <f>IF(DATOS!$I2382="","",IFERROR(VLOOKUP(DATOS!$I2382,CONFIG_ASIGNATURAS!$B$2:$J$61,9,FALSE()),""))</f>
      </c>
    </row>
    <row r="2383">
      <c r="E2383">
        <f>IF(DATOS!$I2383="","",IFERROR(VLOOKUP(DATOS!$I2383,CONFIG_ASIGNATURAS!$B$2:$J$61,9,FALSE()),""))</f>
      </c>
    </row>
    <row r="2384">
      <c r="E2384">
        <f>IF(DATOS!$I2384="","",IFERROR(VLOOKUP(DATOS!$I2384,CONFIG_ASIGNATURAS!$B$2:$J$61,9,FALSE()),""))</f>
      </c>
    </row>
    <row r="2385">
      <c r="E2385">
        <f>IF(DATOS!$I2385="","",IFERROR(VLOOKUP(DATOS!$I2385,CONFIG_ASIGNATURAS!$B$2:$J$61,9,FALSE()),""))</f>
      </c>
    </row>
    <row r="2386">
      <c r="E2386">
        <f>IF(DATOS!$I2386="","",IFERROR(VLOOKUP(DATOS!$I2386,CONFIG_ASIGNATURAS!$B$2:$J$61,9,FALSE()),""))</f>
      </c>
    </row>
    <row r="2387">
      <c r="E2387">
        <f>IF(DATOS!$I2387="","",IFERROR(VLOOKUP(DATOS!$I2387,CONFIG_ASIGNATURAS!$B$2:$J$61,9,FALSE()),""))</f>
      </c>
    </row>
    <row r="2388">
      <c r="E2388">
        <f>IF(DATOS!$I2388="","",IFERROR(VLOOKUP(DATOS!$I2388,CONFIG_ASIGNATURAS!$B$2:$J$61,9,FALSE()),""))</f>
      </c>
    </row>
    <row r="2389">
      <c r="E2389">
        <f>IF(DATOS!$I2389="","",IFERROR(VLOOKUP(DATOS!$I2389,CONFIG_ASIGNATURAS!$B$2:$J$61,9,FALSE()),""))</f>
      </c>
    </row>
    <row r="2390">
      <c r="E2390">
        <f>IF(DATOS!$I2390="","",IFERROR(VLOOKUP(DATOS!$I2390,CONFIG_ASIGNATURAS!$B$2:$J$61,9,FALSE()),""))</f>
      </c>
    </row>
    <row r="2391">
      <c r="E2391">
        <f>IF(DATOS!$I2391="","",IFERROR(VLOOKUP(DATOS!$I2391,CONFIG_ASIGNATURAS!$B$2:$J$61,9,FALSE()),""))</f>
      </c>
    </row>
    <row r="2392">
      <c r="E2392">
        <f>IF(DATOS!$I2392="","",IFERROR(VLOOKUP(DATOS!$I2392,CONFIG_ASIGNATURAS!$B$2:$J$61,9,FALSE()),""))</f>
      </c>
    </row>
    <row r="2393">
      <c r="E2393">
        <f>IF(DATOS!$I2393="","",IFERROR(VLOOKUP(DATOS!$I2393,CONFIG_ASIGNATURAS!$B$2:$J$61,9,FALSE()),""))</f>
      </c>
    </row>
    <row r="2394">
      <c r="E2394">
        <f>IF(DATOS!$I2394="","",IFERROR(VLOOKUP(DATOS!$I2394,CONFIG_ASIGNATURAS!$B$2:$J$61,9,FALSE()),""))</f>
      </c>
    </row>
    <row r="2395">
      <c r="E2395">
        <f>IF(DATOS!$I2395="","",IFERROR(VLOOKUP(DATOS!$I2395,CONFIG_ASIGNATURAS!$B$2:$J$61,9,FALSE()),""))</f>
      </c>
    </row>
    <row r="2396">
      <c r="E2396">
        <f>IF(DATOS!$I2396="","",IFERROR(VLOOKUP(DATOS!$I2396,CONFIG_ASIGNATURAS!$B$2:$J$61,9,FALSE()),""))</f>
      </c>
    </row>
    <row r="2397">
      <c r="E2397">
        <f>IF(DATOS!$I2397="","",IFERROR(VLOOKUP(DATOS!$I2397,CONFIG_ASIGNATURAS!$B$2:$J$61,9,FALSE()),""))</f>
      </c>
    </row>
    <row r="2398">
      <c r="E2398">
        <f>IF(DATOS!$I2398="","",IFERROR(VLOOKUP(DATOS!$I2398,CONFIG_ASIGNATURAS!$B$2:$J$61,9,FALSE()),""))</f>
      </c>
    </row>
    <row r="2399">
      <c r="E2399">
        <f>IF(DATOS!$I2399="","",IFERROR(VLOOKUP(DATOS!$I2399,CONFIG_ASIGNATURAS!$B$2:$J$61,9,FALSE()),""))</f>
      </c>
    </row>
    <row r="2400">
      <c r="E2400">
        <f>IF(DATOS!$I2400="","",IFERROR(VLOOKUP(DATOS!$I2400,CONFIG_ASIGNATURAS!$B$2:$J$61,9,FALSE()),""))</f>
      </c>
    </row>
    <row r="2401">
      <c r="E2401">
        <f>IF(DATOS!$I2401="","",IFERROR(VLOOKUP(DATOS!$I2401,CONFIG_ASIGNATURAS!$B$2:$J$61,9,FALSE()),""))</f>
      </c>
    </row>
    <row r="2402">
      <c r="E2402">
        <f>IF(DATOS!$I2402="","",IFERROR(VLOOKUP(DATOS!$I2402,CONFIG_ASIGNATURAS!$B$2:$J$61,9,FALSE()),""))</f>
      </c>
    </row>
    <row r="2403">
      <c r="E2403">
        <f>IF(DATOS!$I2403="","",IFERROR(VLOOKUP(DATOS!$I2403,CONFIG_ASIGNATURAS!$B$2:$J$61,9,FALSE()),""))</f>
      </c>
    </row>
    <row r="2404">
      <c r="E2404">
        <f>IF(DATOS!$I2404="","",IFERROR(VLOOKUP(DATOS!$I2404,CONFIG_ASIGNATURAS!$B$2:$J$61,9,FALSE()),""))</f>
      </c>
    </row>
    <row r="2405">
      <c r="E2405">
        <f>IF(DATOS!$I2405="","",IFERROR(VLOOKUP(DATOS!$I2405,CONFIG_ASIGNATURAS!$B$2:$J$61,9,FALSE()),""))</f>
      </c>
    </row>
    <row r="2406">
      <c r="E2406">
        <f>IF(DATOS!$I2406="","",IFERROR(VLOOKUP(DATOS!$I2406,CONFIG_ASIGNATURAS!$B$2:$J$61,9,FALSE()),""))</f>
      </c>
    </row>
    <row r="2407">
      <c r="E2407">
        <f>IF(DATOS!$I2407="","",IFERROR(VLOOKUP(DATOS!$I2407,CONFIG_ASIGNATURAS!$B$2:$J$61,9,FALSE()),""))</f>
      </c>
    </row>
    <row r="2408">
      <c r="E2408">
        <f>IF(DATOS!$I2408="","",IFERROR(VLOOKUP(DATOS!$I2408,CONFIG_ASIGNATURAS!$B$2:$J$61,9,FALSE()),""))</f>
      </c>
    </row>
    <row r="2409">
      <c r="E2409">
        <f>IF(DATOS!$I2409="","",IFERROR(VLOOKUP(DATOS!$I2409,CONFIG_ASIGNATURAS!$B$2:$J$61,9,FALSE()),""))</f>
      </c>
    </row>
    <row r="2410">
      <c r="E2410">
        <f>IF(DATOS!$I2410="","",IFERROR(VLOOKUP(DATOS!$I2410,CONFIG_ASIGNATURAS!$B$2:$J$61,9,FALSE()),""))</f>
      </c>
    </row>
    <row r="2411">
      <c r="E2411">
        <f>IF(DATOS!$I2411="","",IFERROR(VLOOKUP(DATOS!$I2411,CONFIG_ASIGNATURAS!$B$2:$J$61,9,FALSE()),""))</f>
      </c>
    </row>
    <row r="2412">
      <c r="E2412">
        <f>IF(DATOS!$I2412="","",IFERROR(VLOOKUP(DATOS!$I2412,CONFIG_ASIGNATURAS!$B$2:$J$61,9,FALSE()),""))</f>
      </c>
    </row>
    <row r="2413">
      <c r="E2413">
        <f>IF(DATOS!$I2413="","",IFERROR(VLOOKUP(DATOS!$I2413,CONFIG_ASIGNATURAS!$B$2:$J$61,9,FALSE()),""))</f>
      </c>
    </row>
    <row r="2414">
      <c r="E2414">
        <f>IF(DATOS!$I2414="","",IFERROR(VLOOKUP(DATOS!$I2414,CONFIG_ASIGNATURAS!$B$2:$J$61,9,FALSE()),""))</f>
      </c>
    </row>
    <row r="2415">
      <c r="E2415">
        <f>IF(DATOS!$I2415="","",IFERROR(VLOOKUP(DATOS!$I2415,CONFIG_ASIGNATURAS!$B$2:$J$61,9,FALSE()),""))</f>
      </c>
    </row>
    <row r="2416">
      <c r="E2416">
        <f>IF(DATOS!$I2416="","",IFERROR(VLOOKUP(DATOS!$I2416,CONFIG_ASIGNATURAS!$B$2:$J$61,9,FALSE()),""))</f>
      </c>
    </row>
    <row r="2417">
      <c r="E2417">
        <f>IF(DATOS!$I2417="","",IFERROR(VLOOKUP(DATOS!$I2417,CONFIG_ASIGNATURAS!$B$2:$J$61,9,FALSE()),""))</f>
      </c>
    </row>
    <row r="2418">
      <c r="E2418">
        <f>IF(DATOS!$I2418="","",IFERROR(VLOOKUP(DATOS!$I2418,CONFIG_ASIGNATURAS!$B$2:$J$61,9,FALSE()),""))</f>
      </c>
    </row>
    <row r="2419">
      <c r="E2419">
        <f>IF(DATOS!$I2419="","",IFERROR(VLOOKUP(DATOS!$I2419,CONFIG_ASIGNATURAS!$B$2:$J$61,9,FALSE()),""))</f>
      </c>
    </row>
    <row r="2420">
      <c r="E2420">
        <f>IF(DATOS!$I2420="","",IFERROR(VLOOKUP(DATOS!$I2420,CONFIG_ASIGNATURAS!$B$2:$J$61,9,FALSE()),""))</f>
      </c>
    </row>
    <row r="2421">
      <c r="E2421">
        <f>IF(DATOS!$I2421="","",IFERROR(VLOOKUP(DATOS!$I2421,CONFIG_ASIGNATURAS!$B$2:$J$61,9,FALSE()),""))</f>
      </c>
    </row>
    <row r="2422">
      <c r="E2422">
        <f>IF(DATOS!$I2422="","",IFERROR(VLOOKUP(DATOS!$I2422,CONFIG_ASIGNATURAS!$B$2:$J$61,9,FALSE()),""))</f>
      </c>
    </row>
    <row r="2423">
      <c r="E2423">
        <f>IF(DATOS!$I2423="","",IFERROR(VLOOKUP(DATOS!$I2423,CONFIG_ASIGNATURAS!$B$2:$J$61,9,FALSE()),""))</f>
      </c>
    </row>
    <row r="2424">
      <c r="E2424">
        <f>IF(DATOS!$I2424="","",IFERROR(VLOOKUP(DATOS!$I2424,CONFIG_ASIGNATURAS!$B$2:$J$61,9,FALSE()),""))</f>
      </c>
    </row>
    <row r="2425">
      <c r="E2425">
        <f>IF(DATOS!$I2425="","",IFERROR(VLOOKUP(DATOS!$I2425,CONFIG_ASIGNATURAS!$B$2:$J$61,9,FALSE()),""))</f>
      </c>
    </row>
    <row r="2426">
      <c r="E2426">
        <f>IF(DATOS!$I2426="","",IFERROR(VLOOKUP(DATOS!$I2426,CONFIG_ASIGNATURAS!$B$2:$J$61,9,FALSE()),""))</f>
      </c>
    </row>
    <row r="2427">
      <c r="E2427">
        <f>IF(DATOS!$I2427="","",IFERROR(VLOOKUP(DATOS!$I2427,CONFIG_ASIGNATURAS!$B$2:$J$61,9,FALSE()),""))</f>
      </c>
    </row>
    <row r="2428">
      <c r="E2428">
        <f>IF(DATOS!$I2428="","",IFERROR(VLOOKUP(DATOS!$I2428,CONFIG_ASIGNATURAS!$B$2:$J$61,9,FALSE()),""))</f>
      </c>
    </row>
    <row r="2429">
      <c r="E2429">
        <f>IF(DATOS!$I2429="","",IFERROR(VLOOKUP(DATOS!$I2429,CONFIG_ASIGNATURAS!$B$2:$J$61,9,FALSE()),""))</f>
      </c>
    </row>
    <row r="2430">
      <c r="E2430">
        <f>IF(DATOS!$I2430="","",IFERROR(VLOOKUP(DATOS!$I2430,CONFIG_ASIGNATURAS!$B$2:$J$61,9,FALSE()),""))</f>
      </c>
    </row>
    <row r="2431">
      <c r="E2431">
        <f>IF(DATOS!$I2431="","",IFERROR(VLOOKUP(DATOS!$I2431,CONFIG_ASIGNATURAS!$B$2:$J$61,9,FALSE()),""))</f>
      </c>
    </row>
    <row r="2432">
      <c r="E2432">
        <f>IF(DATOS!$I2432="","",IFERROR(VLOOKUP(DATOS!$I2432,CONFIG_ASIGNATURAS!$B$2:$J$61,9,FALSE()),""))</f>
      </c>
    </row>
    <row r="2433">
      <c r="E2433">
        <f>IF(DATOS!$I2433="","",IFERROR(VLOOKUP(DATOS!$I2433,CONFIG_ASIGNATURAS!$B$2:$J$61,9,FALSE()),""))</f>
      </c>
    </row>
    <row r="2434">
      <c r="E2434">
        <f>IF(DATOS!$I2434="","",IFERROR(VLOOKUP(DATOS!$I2434,CONFIG_ASIGNATURAS!$B$2:$J$61,9,FALSE()),""))</f>
      </c>
    </row>
    <row r="2435">
      <c r="E2435">
        <f>IF(DATOS!$I2435="","",IFERROR(VLOOKUP(DATOS!$I2435,CONFIG_ASIGNATURAS!$B$2:$J$61,9,FALSE()),""))</f>
      </c>
    </row>
    <row r="2436">
      <c r="E2436">
        <f>IF(DATOS!$I2436="","",IFERROR(VLOOKUP(DATOS!$I2436,CONFIG_ASIGNATURAS!$B$2:$J$61,9,FALSE()),""))</f>
      </c>
    </row>
    <row r="2437">
      <c r="E2437">
        <f>IF(DATOS!$I2437="","",IFERROR(VLOOKUP(DATOS!$I2437,CONFIG_ASIGNATURAS!$B$2:$J$61,9,FALSE()),""))</f>
      </c>
    </row>
    <row r="2438">
      <c r="E2438">
        <f>IF(DATOS!$I2438="","",IFERROR(VLOOKUP(DATOS!$I2438,CONFIG_ASIGNATURAS!$B$2:$J$61,9,FALSE()),""))</f>
      </c>
    </row>
    <row r="2439">
      <c r="E2439">
        <f>IF(DATOS!$I2439="","",IFERROR(VLOOKUP(DATOS!$I2439,CONFIG_ASIGNATURAS!$B$2:$J$61,9,FALSE()),""))</f>
      </c>
    </row>
    <row r="2440">
      <c r="E2440">
        <f>IF(DATOS!$I2440="","",IFERROR(VLOOKUP(DATOS!$I2440,CONFIG_ASIGNATURAS!$B$2:$J$61,9,FALSE()),""))</f>
      </c>
    </row>
    <row r="2441">
      <c r="E2441">
        <f>IF(DATOS!$I2441="","",IFERROR(VLOOKUP(DATOS!$I2441,CONFIG_ASIGNATURAS!$B$2:$J$61,9,FALSE()),""))</f>
      </c>
    </row>
    <row r="2442">
      <c r="E2442">
        <f>IF(DATOS!$I2442="","",IFERROR(VLOOKUP(DATOS!$I2442,CONFIG_ASIGNATURAS!$B$2:$J$61,9,FALSE()),""))</f>
      </c>
    </row>
    <row r="2443">
      <c r="E2443">
        <f>IF(DATOS!$I2443="","",IFERROR(VLOOKUP(DATOS!$I2443,CONFIG_ASIGNATURAS!$B$2:$J$61,9,FALSE()),""))</f>
      </c>
    </row>
    <row r="2444">
      <c r="E2444">
        <f>IF(DATOS!$I2444="","",IFERROR(VLOOKUP(DATOS!$I2444,CONFIG_ASIGNATURAS!$B$2:$J$61,9,FALSE()),""))</f>
      </c>
    </row>
    <row r="2445">
      <c r="E2445">
        <f>IF(DATOS!$I2445="","",IFERROR(VLOOKUP(DATOS!$I2445,CONFIG_ASIGNATURAS!$B$2:$J$61,9,FALSE()),""))</f>
      </c>
    </row>
    <row r="2446">
      <c r="E2446">
        <f>IF(DATOS!$I2446="","",IFERROR(VLOOKUP(DATOS!$I2446,CONFIG_ASIGNATURAS!$B$2:$J$61,9,FALSE()),""))</f>
      </c>
    </row>
    <row r="2447">
      <c r="E2447">
        <f>IF(DATOS!$I2447="","",IFERROR(VLOOKUP(DATOS!$I2447,CONFIG_ASIGNATURAS!$B$2:$J$61,9,FALSE()),""))</f>
      </c>
    </row>
    <row r="2448">
      <c r="E2448">
        <f>IF(DATOS!$I2448="","",IFERROR(VLOOKUP(DATOS!$I2448,CONFIG_ASIGNATURAS!$B$2:$J$61,9,FALSE()),""))</f>
      </c>
    </row>
    <row r="2449">
      <c r="E2449">
        <f>IF(DATOS!$I2449="","",IFERROR(VLOOKUP(DATOS!$I2449,CONFIG_ASIGNATURAS!$B$2:$J$61,9,FALSE()),""))</f>
      </c>
    </row>
    <row r="2450">
      <c r="E2450">
        <f>IF(DATOS!$I2450="","",IFERROR(VLOOKUP(DATOS!$I2450,CONFIG_ASIGNATURAS!$B$2:$J$61,9,FALSE()),""))</f>
      </c>
    </row>
    <row r="2451">
      <c r="E2451">
        <f>IF(DATOS!$I2451="","",IFERROR(VLOOKUP(DATOS!$I2451,CONFIG_ASIGNATURAS!$B$2:$J$61,9,FALSE()),""))</f>
      </c>
    </row>
    <row r="2452">
      <c r="E2452">
        <f>IF(DATOS!$I2452="","",IFERROR(VLOOKUP(DATOS!$I2452,CONFIG_ASIGNATURAS!$B$2:$J$61,9,FALSE()),""))</f>
      </c>
    </row>
    <row r="2453">
      <c r="E2453">
        <f>IF(DATOS!$I2453="","",IFERROR(VLOOKUP(DATOS!$I2453,CONFIG_ASIGNATURAS!$B$2:$J$61,9,FALSE()),""))</f>
      </c>
    </row>
    <row r="2454">
      <c r="E2454">
        <f>IF(DATOS!$I2454="","",IFERROR(VLOOKUP(DATOS!$I2454,CONFIG_ASIGNATURAS!$B$2:$J$61,9,FALSE()),""))</f>
      </c>
    </row>
    <row r="2455">
      <c r="E2455">
        <f>IF(DATOS!$I2455="","",IFERROR(VLOOKUP(DATOS!$I2455,CONFIG_ASIGNATURAS!$B$2:$J$61,9,FALSE()),""))</f>
      </c>
    </row>
    <row r="2456">
      <c r="E2456">
        <f>IF(DATOS!$I2456="","",IFERROR(VLOOKUP(DATOS!$I2456,CONFIG_ASIGNATURAS!$B$2:$J$61,9,FALSE()),""))</f>
      </c>
    </row>
    <row r="2457">
      <c r="E2457">
        <f>IF(DATOS!$I2457="","",IFERROR(VLOOKUP(DATOS!$I2457,CONFIG_ASIGNATURAS!$B$2:$J$61,9,FALSE()),""))</f>
      </c>
    </row>
    <row r="2458">
      <c r="E2458">
        <f>IF(DATOS!$I2458="","",IFERROR(VLOOKUP(DATOS!$I2458,CONFIG_ASIGNATURAS!$B$2:$J$61,9,FALSE()),""))</f>
      </c>
    </row>
    <row r="2459">
      <c r="E2459">
        <f>IF(DATOS!$I2459="","",IFERROR(VLOOKUP(DATOS!$I2459,CONFIG_ASIGNATURAS!$B$2:$J$61,9,FALSE()),""))</f>
      </c>
    </row>
    <row r="2460">
      <c r="E2460">
        <f>IF(DATOS!$I2460="","",IFERROR(VLOOKUP(DATOS!$I2460,CONFIG_ASIGNATURAS!$B$2:$J$61,9,FALSE()),""))</f>
      </c>
    </row>
    <row r="2461">
      <c r="E2461">
        <f>IF(DATOS!$I2461="","",IFERROR(VLOOKUP(DATOS!$I2461,CONFIG_ASIGNATURAS!$B$2:$J$61,9,FALSE()),""))</f>
      </c>
    </row>
    <row r="2462">
      <c r="E2462">
        <f>IF(DATOS!$I2462="","",IFERROR(VLOOKUP(DATOS!$I2462,CONFIG_ASIGNATURAS!$B$2:$J$61,9,FALSE()),""))</f>
      </c>
    </row>
    <row r="2463">
      <c r="E2463">
        <f>IF(DATOS!$I2463="","",IFERROR(VLOOKUP(DATOS!$I2463,CONFIG_ASIGNATURAS!$B$2:$J$61,9,FALSE()),""))</f>
      </c>
    </row>
    <row r="2464">
      <c r="E2464">
        <f>IF(DATOS!$I2464="","",IFERROR(VLOOKUP(DATOS!$I2464,CONFIG_ASIGNATURAS!$B$2:$J$61,9,FALSE()),""))</f>
      </c>
    </row>
    <row r="2465">
      <c r="E2465">
        <f>IF(DATOS!$I2465="","",IFERROR(VLOOKUP(DATOS!$I2465,CONFIG_ASIGNATURAS!$B$2:$J$61,9,FALSE()),""))</f>
      </c>
    </row>
    <row r="2466">
      <c r="E2466">
        <f>IF(DATOS!$I2466="","",IFERROR(VLOOKUP(DATOS!$I2466,CONFIG_ASIGNATURAS!$B$2:$J$61,9,FALSE()),""))</f>
      </c>
    </row>
    <row r="2467">
      <c r="E2467">
        <f>IF(DATOS!$I2467="","",IFERROR(VLOOKUP(DATOS!$I2467,CONFIG_ASIGNATURAS!$B$2:$J$61,9,FALSE()),""))</f>
      </c>
    </row>
    <row r="2468">
      <c r="E2468">
        <f>IF(DATOS!$I2468="","",IFERROR(VLOOKUP(DATOS!$I2468,CONFIG_ASIGNATURAS!$B$2:$J$61,9,FALSE()),""))</f>
      </c>
    </row>
    <row r="2469">
      <c r="E2469">
        <f>IF(DATOS!$I2469="","",IFERROR(VLOOKUP(DATOS!$I2469,CONFIG_ASIGNATURAS!$B$2:$J$61,9,FALSE()),""))</f>
      </c>
    </row>
    <row r="2470">
      <c r="E2470">
        <f>IF(DATOS!$I2470="","",IFERROR(VLOOKUP(DATOS!$I2470,CONFIG_ASIGNATURAS!$B$2:$J$61,9,FALSE()),""))</f>
      </c>
    </row>
    <row r="2471">
      <c r="E2471">
        <f>IF(DATOS!$I2471="","",IFERROR(VLOOKUP(DATOS!$I2471,CONFIG_ASIGNATURAS!$B$2:$J$61,9,FALSE()),""))</f>
      </c>
    </row>
    <row r="2472">
      <c r="E2472">
        <f>IF(DATOS!$I2472="","",IFERROR(VLOOKUP(DATOS!$I2472,CONFIG_ASIGNATURAS!$B$2:$J$61,9,FALSE()),""))</f>
      </c>
    </row>
    <row r="2473">
      <c r="E2473">
        <f>IF(DATOS!$I2473="","",IFERROR(VLOOKUP(DATOS!$I2473,CONFIG_ASIGNATURAS!$B$2:$J$61,9,FALSE()),""))</f>
      </c>
    </row>
    <row r="2474">
      <c r="E2474">
        <f>IF(DATOS!$I2474="","",IFERROR(VLOOKUP(DATOS!$I2474,CONFIG_ASIGNATURAS!$B$2:$J$61,9,FALSE()),""))</f>
      </c>
    </row>
    <row r="2475">
      <c r="E2475">
        <f>IF(DATOS!$I2475="","",IFERROR(VLOOKUP(DATOS!$I2475,CONFIG_ASIGNATURAS!$B$2:$J$61,9,FALSE()),""))</f>
      </c>
    </row>
    <row r="2476">
      <c r="E2476">
        <f>IF(DATOS!$I2476="","",IFERROR(VLOOKUP(DATOS!$I2476,CONFIG_ASIGNATURAS!$B$2:$J$61,9,FALSE()),""))</f>
      </c>
    </row>
    <row r="2477">
      <c r="E2477">
        <f>IF(DATOS!$I2477="","",IFERROR(VLOOKUP(DATOS!$I2477,CONFIG_ASIGNATURAS!$B$2:$J$61,9,FALSE()),""))</f>
      </c>
    </row>
    <row r="2478">
      <c r="E2478">
        <f>IF(DATOS!$I2478="","",IFERROR(VLOOKUP(DATOS!$I2478,CONFIG_ASIGNATURAS!$B$2:$J$61,9,FALSE()),""))</f>
      </c>
    </row>
    <row r="2479">
      <c r="E2479">
        <f>IF(DATOS!$I2479="","",IFERROR(VLOOKUP(DATOS!$I2479,CONFIG_ASIGNATURAS!$B$2:$J$61,9,FALSE()),""))</f>
      </c>
    </row>
    <row r="2480">
      <c r="E2480">
        <f>IF(DATOS!$I2480="","",IFERROR(VLOOKUP(DATOS!$I2480,CONFIG_ASIGNATURAS!$B$2:$J$61,9,FALSE()),""))</f>
      </c>
    </row>
    <row r="2481">
      <c r="E2481">
        <f>IF(DATOS!$I2481="","",IFERROR(VLOOKUP(DATOS!$I2481,CONFIG_ASIGNATURAS!$B$2:$J$61,9,FALSE()),""))</f>
      </c>
    </row>
    <row r="2482">
      <c r="E2482">
        <f>IF(DATOS!$I2482="","",IFERROR(VLOOKUP(DATOS!$I2482,CONFIG_ASIGNATURAS!$B$2:$J$61,9,FALSE()),""))</f>
      </c>
    </row>
    <row r="2483">
      <c r="E2483">
        <f>IF(DATOS!$I2483="","",IFERROR(VLOOKUP(DATOS!$I2483,CONFIG_ASIGNATURAS!$B$2:$J$61,9,FALSE()),""))</f>
      </c>
    </row>
    <row r="2484">
      <c r="E2484">
        <f>IF(DATOS!$I2484="","",IFERROR(VLOOKUP(DATOS!$I2484,CONFIG_ASIGNATURAS!$B$2:$J$61,9,FALSE()),""))</f>
      </c>
    </row>
    <row r="2485">
      <c r="E2485">
        <f>IF(DATOS!$I2485="","",IFERROR(VLOOKUP(DATOS!$I2485,CONFIG_ASIGNATURAS!$B$2:$J$61,9,FALSE()),""))</f>
      </c>
    </row>
    <row r="2486">
      <c r="E2486">
        <f>IF(DATOS!$I2486="","",IFERROR(VLOOKUP(DATOS!$I2486,CONFIG_ASIGNATURAS!$B$2:$J$61,9,FALSE()),""))</f>
      </c>
    </row>
    <row r="2487">
      <c r="E2487">
        <f>IF(DATOS!$I2487="","",IFERROR(VLOOKUP(DATOS!$I2487,CONFIG_ASIGNATURAS!$B$2:$J$61,9,FALSE()),""))</f>
      </c>
    </row>
    <row r="2488">
      <c r="E2488">
        <f>IF(DATOS!$I2488="","",IFERROR(VLOOKUP(DATOS!$I2488,CONFIG_ASIGNATURAS!$B$2:$J$61,9,FALSE()),""))</f>
      </c>
    </row>
    <row r="2489">
      <c r="E2489">
        <f>IF(DATOS!$I2489="","",IFERROR(VLOOKUP(DATOS!$I2489,CONFIG_ASIGNATURAS!$B$2:$J$61,9,FALSE()),""))</f>
      </c>
    </row>
    <row r="2490">
      <c r="E2490">
        <f>IF(DATOS!$I2490="","",IFERROR(VLOOKUP(DATOS!$I2490,CONFIG_ASIGNATURAS!$B$2:$J$61,9,FALSE()),""))</f>
      </c>
    </row>
    <row r="2491">
      <c r="E2491">
        <f>IF(DATOS!$I2491="","",IFERROR(VLOOKUP(DATOS!$I2491,CONFIG_ASIGNATURAS!$B$2:$J$61,9,FALSE()),""))</f>
      </c>
    </row>
    <row r="2492">
      <c r="E2492">
        <f>IF(DATOS!$I2492="","",IFERROR(VLOOKUP(DATOS!$I2492,CONFIG_ASIGNATURAS!$B$2:$J$61,9,FALSE()),""))</f>
      </c>
    </row>
    <row r="2493">
      <c r="E2493">
        <f>IF(DATOS!$I2493="","",IFERROR(VLOOKUP(DATOS!$I2493,CONFIG_ASIGNATURAS!$B$2:$J$61,9,FALSE()),""))</f>
      </c>
    </row>
    <row r="2494">
      <c r="E2494">
        <f>IF(DATOS!$I2494="","",IFERROR(VLOOKUP(DATOS!$I2494,CONFIG_ASIGNATURAS!$B$2:$J$61,9,FALSE()),""))</f>
      </c>
    </row>
    <row r="2495">
      <c r="E2495">
        <f>IF(DATOS!$I2495="","",IFERROR(VLOOKUP(DATOS!$I2495,CONFIG_ASIGNATURAS!$B$2:$J$61,9,FALSE()),""))</f>
      </c>
    </row>
    <row r="2496">
      <c r="E2496">
        <f>IF(DATOS!$I2496="","",IFERROR(VLOOKUP(DATOS!$I2496,CONFIG_ASIGNATURAS!$B$2:$J$61,9,FALSE()),""))</f>
      </c>
    </row>
    <row r="2497">
      <c r="E2497">
        <f>IF(DATOS!$I2497="","",IFERROR(VLOOKUP(DATOS!$I2497,CONFIG_ASIGNATURAS!$B$2:$J$61,9,FALSE()),""))</f>
      </c>
    </row>
    <row r="2498">
      <c r="E2498">
        <f>IF(DATOS!$I2498="","",IFERROR(VLOOKUP(DATOS!$I2498,CONFIG_ASIGNATURAS!$B$2:$J$61,9,FALSE()),""))</f>
      </c>
    </row>
    <row r="2499">
      <c r="E2499">
        <f>IF(DATOS!$I2499="","",IFERROR(VLOOKUP(DATOS!$I2499,CONFIG_ASIGNATURAS!$B$2:$J$61,9,FALSE()),""))</f>
      </c>
    </row>
    <row r="2500">
      <c r="E2500">
        <f>IF(DATOS!$I2500="","",IFERROR(VLOOKUP(DATOS!$I2500,CONFIG_ASIGNATURAS!$B$2:$J$61,9,FALSE()),""))</f>
      </c>
    </row>
    <row r="2501">
      <c r="E2501">
        <f>IF(DATOS!$I2501="","",IFERROR(VLOOKUP(DATOS!$I2501,CONFIG_ASIGNATURAS!$B$2:$J$61,9,FALSE()),""))</f>
      </c>
    </row>
    <row r="2502">
      <c r="E2502">
        <f>IF(DATOS!$I2502="","",IFERROR(VLOOKUP(DATOS!$I2502,CONFIG_ASIGNATURAS!$B$2:$J$61,9,FALSE()),""))</f>
      </c>
    </row>
    <row r="2503">
      <c r="E2503">
        <f>IF(DATOS!$I2503="","",IFERROR(VLOOKUP(DATOS!$I2503,CONFIG_ASIGNATURAS!$B$2:$J$61,9,FALSE()),""))</f>
      </c>
    </row>
    <row r="2504">
      <c r="E2504">
        <f>IF(DATOS!$I2504="","",IFERROR(VLOOKUP(DATOS!$I2504,CONFIG_ASIGNATURAS!$B$2:$J$61,9,FALSE()),""))</f>
      </c>
    </row>
    <row r="2505">
      <c r="E2505">
        <f>IF(DATOS!$I2505="","",IFERROR(VLOOKUP(DATOS!$I2505,CONFIG_ASIGNATURAS!$B$2:$J$61,9,FALSE()),""))</f>
      </c>
    </row>
    <row r="2506">
      <c r="E2506">
        <f>IF(DATOS!$I2506="","",IFERROR(VLOOKUP(DATOS!$I2506,CONFIG_ASIGNATURAS!$B$2:$J$61,9,FALSE()),""))</f>
      </c>
    </row>
    <row r="2507">
      <c r="E2507">
        <f>IF(DATOS!$I2507="","",IFERROR(VLOOKUP(DATOS!$I2507,CONFIG_ASIGNATURAS!$B$2:$J$61,9,FALSE()),""))</f>
      </c>
    </row>
    <row r="2508">
      <c r="E2508">
        <f>IF(DATOS!$I2508="","",IFERROR(VLOOKUP(DATOS!$I2508,CONFIG_ASIGNATURAS!$B$2:$J$61,9,FALSE()),""))</f>
      </c>
    </row>
    <row r="2509">
      <c r="E2509">
        <f>IF(DATOS!$I2509="","",IFERROR(VLOOKUP(DATOS!$I2509,CONFIG_ASIGNATURAS!$B$2:$J$61,9,FALSE()),""))</f>
      </c>
    </row>
    <row r="2510">
      <c r="E2510">
        <f>IF(DATOS!$I2510="","",IFERROR(VLOOKUP(DATOS!$I2510,CONFIG_ASIGNATURAS!$B$2:$J$61,9,FALSE()),""))</f>
      </c>
    </row>
    <row r="2511">
      <c r="E2511">
        <f>IF(DATOS!$I2511="","",IFERROR(VLOOKUP(DATOS!$I2511,CONFIG_ASIGNATURAS!$B$2:$J$61,9,FALSE()),""))</f>
      </c>
    </row>
    <row r="2512">
      <c r="E2512">
        <f>IF(DATOS!$I2512="","",IFERROR(VLOOKUP(DATOS!$I2512,CONFIG_ASIGNATURAS!$B$2:$J$61,9,FALSE()),""))</f>
      </c>
    </row>
    <row r="2513">
      <c r="E2513">
        <f>IF(DATOS!$I2513="","",IFERROR(VLOOKUP(DATOS!$I2513,CONFIG_ASIGNATURAS!$B$2:$J$61,9,FALSE()),""))</f>
      </c>
    </row>
    <row r="2514">
      <c r="E2514">
        <f>IF(DATOS!$I2514="","",IFERROR(VLOOKUP(DATOS!$I2514,CONFIG_ASIGNATURAS!$B$2:$J$61,9,FALSE()),""))</f>
      </c>
    </row>
    <row r="2515">
      <c r="E2515">
        <f>IF(DATOS!$I2515="","",IFERROR(VLOOKUP(DATOS!$I2515,CONFIG_ASIGNATURAS!$B$2:$J$61,9,FALSE()),""))</f>
      </c>
    </row>
    <row r="2516">
      <c r="E2516">
        <f>IF(DATOS!$I2516="","",IFERROR(VLOOKUP(DATOS!$I2516,CONFIG_ASIGNATURAS!$B$2:$J$61,9,FALSE()),""))</f>
      </c>
    </row>
    <row r="2517">
      <c r="E2517">
        <f>IF(DATOS!$I2517="","",IFERROR(VLOOKUP(DATOS!$I2517,CONFIG_ASIGNATURAS!$B$2:$J$61,9,FALSE()),""))</f>
      </c>
    </row>
    <row r="2518">
      <c r="E2518">
        <f>IF(DATOS!$I2518="","",IFERROR(VLOOKUP(DATOS!$I2518,CONFIG_ASIGNATURAS!$B$2:$J$61,9,FALSE()),""))</f>
      </c>
    </row>
    <row r="2519">
      <c r="E2519">
        <f>IF(DATOS!$I2519="","",IFERROR(VLOOKUP(DATOS!$I2519,CONFIG_ASIGNATURAS!$B$2:$J$61,9,FALSE()),""))</f>
      </c>
    </row>
    <row r="2520">
      <c r="E2520">
        <f>IF(DATOS!$I2520="","",IFERROR(VLOOKUP(DATOS!$I2520,CONFIG_ASIGNATURAS!$B$2:$J$61,9,FALSE()),""))</f>
      </c>
    </row>
    <row r="2521">
      <c r="E2521">
        <f>IF(DATOS!$I2521="","",IFERROR(VLOOKUP(DATOS!$I2521,CONFIG_ASIGNATURAS!$B$2:$J$61,9,FALSE()),""))</f>
      </c>
    </row>
    <row r="2522">
      <c r="E2522">
        <f>IF(DATOS!$I2522="","",IFERROR(VLOOKUP(DATOS!$I2522,CONFIG_ASIGNATURAS!$B$2:$J$61,9,FALSE()),""))</f>
      </c>
    </row>
    <row r="2523">
      <c r="E2523">
        <f>IF(DATOS!$I2523="","",IFERROR(VLOOKUP(DATOS!$I2523,CONFIG_ASIGNATURAS!$B$2:$J$61,9,FALSE()),""))</f>
      </c>
    </row>
    <row r="2524">
      <c r="E2524">
        <f>IF(DATOS!$I2524="","",IFERROR(VLOOKUP(DATOS!$I2524,CONFIG_ASIGNATURAS!$B$2:$J$61,9,FALSE()),""))</f>
      </c>
    </row>
    <row r="2525">
      <c r="E2525">
        <f>IF(DATOS!$I2525="","",IFERROR(VLOOKUP(DATOS!$I2525,CONFIG_ASIGNATURAS!$B$2:$J$61,9,FALSE()),""))</f>
      </c>
    </row>
    <row r="2526">
      <c r="E2526">
        <f>IF(DATOS!$I2526="","",IFERROR(VLOOKUP(DATOS!$I2526,CONFIG_ASIGNATURAS!$B$2:$J$61,9,FALSE()),""))</f>
      </c>
    </row>
    <row r="2527">
      <c r="E2527">
        <f>IF(DATOS!$I2527="","",IFERROR(VLOOKUP(DATOS!$I2527,CONFIG_ASIGNATURAS!$B$2:$J$61,9,FALSE()),""))</f>
      </c>
    </row>
    <row r="2528">
      <c r="E2528">
        <f>IF(DATOS!$I2528="","",IFERROR(VLOOKUP(DATOS!$I2528,CONFIG_ASIGNATURAS!$B$2:$J$61,9,FALSE()),""))</f>
      </c>
    </row>
    <row r="2529">
      <c r="E2529">
        <f>IF(DATOS!$I2529="","",IFERROR(VLOOKUP(DATOS!$I2529,CONFIG_ASIGNATURAS!$B$2:$J$61,9,FALSE()),""))</f>
      </c>
    </row>
    <row r="2530">
      <c r="E2530">
        <f>IF(DATOS!$I2530="","",IFERROR(VLOOKUP(DATOS!$I2530,CONFIG_ASIGNATURAS!$B$2:$J$61,9,FALSE()),""))</f>
      </c>
    </row>
    <row r="2531">
      <c r="E2531">
        <f>IF(DATOS!$I2531="","",IFERROR(VLOOKUP(DATOS!$I2531,CONFIG_ASIGNATURAS!$B$2:$J$61,9,FALSE()),""))</f>
      </c>
    </row>
    <row r="2532">
      <c r="E2532">
        <f>IF(DATOS!$I2532="","",IFERROR(VLOOKUP(DATOS!$I2532,CONFIG_ASIGNATURAS!$B$2:$J$61,9,FALSE()),""))</f>
      </c>
    </row>
    <row r="2533">
      <c r="E2533">
        <f>IF(DATOS!$I2533="","",IFERROR(VLOOKUP(DATOS!$I2533,CONFIG_ASIGNATURAS!$B$2:$J$61,9,FALSE()),""))</f>
      </c>
    </row>
    <row r="2534">
      <c r="E2534">
        <f>IF(DATOS!$I2534="","",IFERROR(VLOOKUP(DATOS!$I2534,CONFIG_ASIGNATURAS!$B$2:$J$61,9,FALSE()),""))</f>
      </c>
    </row>
    <row r="2535">
      <c r="E2535">
        <f>IF(DATOS!$I2535="","",IFERROR(VLOOKUP(DATOS!$I2535,CONFIG_ASIGNATURAS!$B$2:$J$61,9,FALSE()),""))</f>
      </c>
    </row>
    <row r="2536">
      <c r="E2536">
        <f>IF(DATOS!$I2536="","",IFERROR(VLOOKUP(DATOS!$I2536,CONFIG_ASIGNATURAS!$B$2:$J$61,9,FALSE()),""))</f>
      </c>
    </row>
    <row r="2537">
      <c r="E2537">
        <f>IF(DATOS!$I2537="","",IFERROR(VLOOKUP(DATOS!$I2537,CONFIG_ASIGNATURAS!$B$2:$J$61,9,FALSE()),""))</f>
      </c>
    </row>
    <row r="2538">
      <c r="E2538">
        <f>IF(DATOS!$I2538="","",IFERROR(VLOOKUP(DATOS!$I2538,CONFIG_ASIGNATURAS!$B$2:$J$61,9,FALSE()),""))</f>
      </c>
    </row>
    <row r="2539">
      <c r="E2539">
        <f>IF(DATOS!$I2539="","",IFERROR(VLOOKUP(DATOS!$I2539,CONFIG_ASIGNATURAS!$B$2:$J$61,9,FALSE()),""))</f>
      </c>
    </row>
    <row r="2540">
      <c r="E2540">
        <f>IF(DATOS!$I2540="","",IFERROR(VLOOKUP(DATOS!$I2540,CONFIG_ASIGNATURAS!$B$2:$J$61,9,FALSE()),""))</f>
      </c>
    </row>
    <row r="2541">
      <c r="E2541">
        <f>IF(DATOS!$I2541="","",IFERROR(VLOOKUP(DATOS!$I2541,CONFIG_ASIGNATURAS!$B$2:$J$61,9,FALSE()),""))</f>
      </c>
    </row>
    <row r="2542">
      <c r="E2542">
        <f>IF(DATOS!$I2542="","",IFERROR(VLOOKUP(DATOS!$I2542,CONFIG_ASIGNATURAS!$B$2:$J$61,9,FALSE()),""))</f>
      </c>
    </row>
    <row r="2543">
      <c r="E2543">
        <f>IF(DATOS!$I2543="","",IFERROR(VLOOKUP(DATOS!$I2543,CONFIG_ASIGNATURAS!$B$2:$J$61,9,FALSE()),""))</f>
      </c>
    </row>
    <row r="2544">
      <c r="E2544">
        <f>IF(DATOS!$I2544="","",IFERROR(VLOOKUP(DATOS!$I2544,CONFIG_ASIGNATURAS!$B$2:$J$61,9,FALSE()),""))</f>
      </c>
    </row>
    <row r="2545">
      <c r="E2545">
        <f>IF(DATOS!$I2545="","",IFERROR(VLOOKUP(DATOS!$I2545,CONFIG_ASIGNATURAS!$B$2:$J$61,9,FALSE()),""))</f>
      </c>
    </row>
    <row r="2546">
      <c r="E2546">
        <f>IF(DATOS!$I2546="","",IFERROR(VLOOKUP(DATOS!$I2546,CONFIG_ASIGNATURAS!$B$2:$J$61,9,FALSE()),""))</f>
      </c>
    </row>
    <row r="2547">
      <c r="E2547">
        <f>IF(DATOS!$I2547="","",IFERROR(VLOOKUP(DATOS!$I2547,CONFIG_ASIGNATURAS!$B$2:$J$61,9,FALSE()),""))</f>
      </c>
    </row>
    <row r="2548">
      <c r="E2548">
        <f>IF(DATOS!$I2548="","",IFERROR(VLOOKUP(DATOS!$I2548,CONFIG_ASIGNATURAS!$B$2:$J$61,9,FALSE()),""))</f>
      </c>
    </row>
    <row r="2549">
      <c r="E2549">
        <f>IF(DATOS!$I2549="","",IFERROR(VLOOKUP(DATOS!$I2549,CONFIG_ASIGNATURAS!$B$2:$J$61,9,FALSE()),""))</f>
      </c>
    </row>
    <row r="2550">
      <c r="E2550">
        <f>IF(DATOS!$I2550="","",IFERROR(VLOOKUP(DATOS!$I2550,CONFIG_ASIGNATURAS!$B$2:$J$61,9,FALSE()),""))</f>
      </c>
    </row>
    <row r="2551">
      <c r="E2551">
        <f>IF(DATOS!$I2551="","",IFERROR(VLOOKUP(DATOS!$I2551,CONFIG_ASIGNATURAS!$B$2:$J$61,9,FALSE()),""))</f>
      </c>
    </row>
    <row r="2552">
      <c r="E2552">
        <f>IF(DATOS!$I2552="","",IFERROR(VLOOKUP(DATOS!$I2552,CONFIG_ASIGNATURAS!$B$2:$J$61,9,FALSE()),""))</f>
      </c>
    </row>
    <row r="2553">
      <c r="E2553">
        <f>IF(DATOS!$I2553="","",IFERROR(VLOOKUP(DATOS!$I2553,CONFIG_ASIGNATURAS!$B$2:$J$61,9,FALSE()),""))</f>
      </c>
    </row>
    <row r="2554">
      <c r="E2554">
        <f>IF(DATOS!$I2554="","",IFERROR(VLOOKUP(DATOS!$I2554,CONFIG_ASIGNATURAS!$B$2:$J$61,9,FALSE()),""))</f>
      </c>
    </row>
    <row r="2555">
      <c r="E2555">
        <f>IF(DATOS!$I2555="","",IFERROR(VLOOKUP(DATOS!$I2555,CONFIG_ASIGNATURAS!$B$2:$J$61,9,FALSE()),""))</f>
      </c>
    </row>
    <row r="2556">
      <c r="E2556">
        <f>IF(DATOS!$I2556="","",IFERROR(VLOOKUP(DATOS!$I2556,CONFIG_ASIGNATURAS!$B$2:$J$61,9,FALSE()),""))</f>
      </c>
    </row>
    <row r="2557">
      <c r="E2557">
        <f>IF(DATOS!$I2557="","",IFERROR(VLOOKUP(DATOS!$I2557,CONFIG_ASIGNATURAS!$B$2:$J$61,9,FALSE()),""))</f>
      </c>
    </row>
    <row r="2558">
      <c r="E2558">
        <f>IF(DATOS!$I2558="","",IFERROR(VLOOKUP(DATOS!$I2558,CONFIG_ASIGNATURAS!$B$2:$J$61,9,FALSE()),""))</f>
      </c>
    </row>
    <row r="2559">
      <c r="E2559">
        <f>IF(DATOS!$I2559="","",IFERROR(VLOOKUP(DATOS!$I2559,CONFIG_ASIGNATURAS!$B$2:$J$61,9,FALSE()),""))</f>
      </c>
    </row>
    <row r="2560">
      <c r="E2560">
        <f>IF(DATOS!$I2560="","",IFERROR(VLOOKUP(DATOS!$I2560,CONFIG_ASIGNATURAS!$B$2:$J$61,9,FALSE()),""))</f>
      </c>
    </row>
    <row r="2561">
      <c r="E2561">
        <f>IF(DATOS!$I2561="","",IFERROR(VLOOKUP(DATOS!$I2561,CONFIG_ASIGNATURAS!$B$2:$J$61,9,FALSE()),""))</f>
      </c>
    </row>
    <row r="2562">
      <c r="E2562">
        <f>IF(DATOS!$I2562="","",IFERROR(VLOOKUP(DATOS!$I2562,CONFIG_ASIGNATURAS!$B$2:$J$61,9,FALSE()),""))</f>
      </c>
    </row>
    <row r="2563">
      <c r="E2563">
        <f>IF(DATOS!$I2563="","",IFERROR(VLOOKUP(DATOS!$I2563,CONFIG_ASIGNATURAS!$B$2:$J$61,9,FALSE()),""))</f>
      </c>
    </row>
    <row r="2564">
      <c r="E2564">
        <f>IF(DATOS!$I2564="","",IFERROR(VLOOKUP(DATOS!$I2564,CONFIG_ASIGNATURAS!$B$2:$J$61,9,FALSE()),""))</f>
      </c>
    </row>
    <row r="2565">
      <c r="E2565">
        <f>IF(DATOS!$I2565="","",IFERROR(VLOOKUP(DATOS!$I2565,CONFIG_ASIGNATURAS!$B$2:$J$61,9,FALSE()),""))</f>
      </c>
    </row>
    <row r="2566">
      <c r="E2566">
        <f>IF(DATOS!$I2566="","",IFERROR(VLOOKUP(DATOS!$I2566,CONFIG_ASIGNATURAS!$B$2:$J$61,9,FALSE()),""))</f>
      </c>
    </row>
    <row r="2567">
      <c r="E2567">
        <f>IF(DATOS!$I2567="","",IFERROR(VLOOKUP(DATOS!$I2567,CONFIG_ASIGNATURAS!$B$2:$J$61,9,FALSE()),""))</f>
      </c>
    </row>
    <row r="2568">
      <c r="E2568">
        <f>IF(DATOS!$I2568="","",IFERROR(VLOOKUP(DATOS!$I2568,CONFIG_ASIGNATURAS!$B$2:$J$61,9,FALSE()),""))</f>
      </c>
    </row>
    <row r="2569">
      <c r="E2569">
        <f>IF(DATOS!$I2569="","",IFERROR(VLOOKUP(DATOS!$I2569,CONFIG_ASIGNATURAS!$B$2:$J$61,9,FALSE()),""))</f>
      </c>
    </row>
    <row r="2570">
      <c r="E2570">
        <f>IF(DATOS!$I2570="","",IFERROR(VLOOKUP(DATOS!$I2570,CONFIG_ASIGNATURAS!$B$2:$J$61,9,FALSE()),""))</f>
      </c>
    </row>
    <row r="2571">
      <c r="E2571">
        <f>IF(DATOS!$I2571="","",IFERROR(VLOOKUP(DATOS!$I2571,CONFIG_ASIGNATURAS!$B$2:$J$61,9,FALSE()),""))</f>
      </c>
    </row>
    <row r="2572">
      <c r="E2572">
        <f>IF(DATOS!$I2572="","",IFERROR(VLOOKUP(DATOS!$I2572,CONFIG_ASIGNATURAS!$B$2:$J$61,9,FALSE()),""))</f>
      </c>
    </row>
    <row r="2573">
      <c r="E2573">
        <f>IF(DATOS!$I2573="","",IFERROR(VLOOKUP(DATOS!$I2573,CONFIG_ASIGNATURAS!$B$2:$J$61,9,FALSE()),""))</f>
      </c>
    </row>
    <row r="2574">
      <c r="E2574">
        <f>IF(DATOS!$I2574="","",IFERROR(VLOOKUP(DATOS!$I2574,CONFIG_ASIGNATURAS!$B$2:$J$61,9,FALSE()),""))</f>
      </c>
    </row>
    <row r="2575">
      <c r="E2575">
        <f>IF(DATOS!$I2575="","",IFERROR(VLOOKUP(DATOS!$I2575,CONFIG_ASIGNATURAS!$B$2:$J$61,9,FALSE()),""))</f>
      </c>
    </row>
    <row r="2576">
      <c r="E2576">
        <f>IF(DATOS!$I2576="","",IFERROR(VLOOKUP(DATOS!$I2576,CONFIG_ASIGNATURAS!$B$2:$J$61,9,FALSE()),""))</f>
      </c>
    </row>
    <row r="2577">
      <c r="E2577">
        <f>IF(DATOS!$I2577="","",IFERROR(VLOOKUP(DATOS!$I2577,CONFIG_ASIGNATURAS!$B$2:$J$61,9,FALSE()),""))</f>
      </c>
    </row>
    <row r="2578">
      <c r="E2578">
        <f>IF(DATOS!$I2578="","",IFERROR(VLOOKUP(DATOS!$I2578,CONFIG_ASIGNATURAS!$B$2:$J$61,9,FALSE()),""))</f>
      </c>
    </row>
    <row r="2579">
      <c r="E2579">
        <f>IF(DATOS!$I2579="","",IFERROR(VLOOKUP(DATOS!$I2579,CONFIG_ASIGNATURAS!$B$2:$J$61,9,FALSE()),""))</f>
      </c>
    </row>
    <row r="2580">
      <c r="E2580">
        <f>IF(DATOS!$I2580="","",IFERROR(VLOOKUP(DATOS!$I2580,CONFIG_ASIGNATURAS!$B$2:$J$61,9,FALSE()),""))</f>
      </c>
    </row>
    <row r="2581">
      <c r="E2581">
        <f>IF(DATOS!$I2581="","",IFERROR(VLOOKUP(DATOS!$I2581,CONFIG_ASIGNATURAS!$B$2:$J$61,9,FALSE()),""))</f>
      </c>
    </row>
    <row r="2582">
      <c r="E2582">
        <f>IF(DATOS!$I2582="","",IFERROR(VLOOKUP(DATOS!$I2582,CONFIG_ASIGNATURAS!$B$2:$J$61,9,FALSE()),""))</f>
      </c>
    </row>
    <row r="2583">
      <c r="E2583">
        <f>IF(DATOS!$I2583="","",IFERROR(VLOOKUP(DATOS!$I2583,CONFIG_ASIGNATURAS!$B$2:$J$61,9,FALSE()),""))</f>
      </c>
    </row>
    <row r="2584">
      <c r="E2584">
        <f>IF(DATOS!$I2584="","",IFERROR(VLOOKUP(DATOS!$I2584,CONFIG_ASIGNATURAS!$B$2:$J$61,9,FALSE()),""))</f>
      </c>
    </row>
    <row r="2585">
      <c r="E2585">
        <f>IF(DATOS!$I2585="","",IFERROR(VLOOKUP(DATOS!$I2585,CONFIG_ASIGNATURAS!$B$2:$J$61,9,FALSE()),""))</f>
      </c>
    </row>
    <row r="2586">
      <c r="E2586">
        <f>IF(DATOS!$I2586="","",IFERROR(VLOOKUP(DATOS!$I2586,CONFIG_ASIGNATURAS!$B$2:$J$61,9,FALSE()),""))</f>
      </c>
    </row>
    <row r="2587">
      <c r="E2587">
        <f>IF(DATOS!$I2587="","",IFERROR(VLOOKUP(DATOS!$I2587,CONFIG_ASIGNATURAS!$B$2:$J$61,9,FALSE()),""))</f>
      </c>
    </row>
    <row r="2588">
      <c r="E2588">
        <f>IF(DATOS!$I2588="","",IFERROR(VLOOKUP(DATOS!$I2588,CONFIG_ASIGNATURAS!$B$2:$J$61,9,FALSE()),""))</f>
      </c>
    </row>
    <row r="2589">
      <c r="E2589">
        <f>IF(DATOS!$I2589="","",IFERROR(VLOOKUP(DATOS!$I2589,CONFIG_ASIGNATURAS!$B$2:$J$61,9,FALSE()),""))</f>
      </c>
    </row>
    <row r="2590">
      <c r="E2590">
        <f>IF(DATOS!$I2590="","",IFERROR(VLOOKUP(DATOS!$I2590,CONFIG_ASIGNATURAS!$B$2:$J$61,9,FALSE()),""))</f>
      </c>
    </row>
    <row r="2591">
      <c r="E2591">
        <f>IF(DATOS!$I2591="","",IFERROR(VLOOKUP(DATOS!$I2591,CONFIG_ASIGNATURAS!$B$2:$J$61,9,FALSE()),""))</f>
      </c>
    </row>
    <row r="2592">
      <c r="E2592">
        <f>IF(DATOS!$I2592="","",IFERROR(VLOOKUP(DATOS!$I2592,CONFIG_ASIGNATURAS!$B$2:$J$61,9,FALSE()),""))</f>
      </c>
    </row>
    <row r="2593">
      <c r="E2593">
        <f>IF(DATOS!$I2593="","",IFERROR(VLOOKUP(DATOS!$I2593,CONFIG_ASIGNATURAS!$B$2:$J$61,9,FALSE()),""))</f>
      </c>
    </row>
    <row r="2594">
      <c r="E2594">
        <f>IF(DATOS!$I2594="","",IFERROR(VLOOKUP(DATOS!$I2594,CONFIG_ASIGNATURAS!$B$2:$J$61,9,FALSE()),""))</f>
      </c>
    </row>
    <row r="2595">
      <c r="E2595">
        <f>IF(DATOS!$I2595="","",IFERROR(VLOOKUP(DATOS!$I2595,CONFIG_ASIGNATURAS!$B$2:$J$61,9,FALSE()),""))</f>
      </c>
    </row>
    <row r="2596">
      <c r="E2596">
        <f>IF(DATOS!$I2596="","",IFERROR(VLOOKUP(DATOS!$I2596,CONFIG_ASIGNATURAS!$B$2:$J$61,9,FALSE()),""))</f>
      </c>
    </row>
    <row r="2597">
      <c r="E2597">
        <f>IF(DATOS!$I2597="","",IFERROR(VLOOKUP(DATOS!$I2597,CONFIG_ASIGNATURAS!$B$2:$J$61,9,FALSE()),""))</f>
      </c>
    </row>
    <row r="2598">
      <c r="E2598">
        <f>IF(DATOS!$I2598="","",IFERROR(VLOOKUP(DATOS!$I2598,CONFIG_ASIGNATURAS!$B$2:$J$61,9,FALSE()),""))</f>
      </c>
    </row>
    <row r="2599">
      <c r="E2599">
        <f>IF(DATOS!$I2599="","",IFERROR(VLOOKUP(DATOS!$I2599,CONFIG_ASIGNATURAS!$B$2:$J$61,9,FALSE()),""))</f>
      </c>
    </row>
    <row r="2600">
      <c r="E2600">
        <f>IF(DATOS!$I2600="","",IFERROR(VLOOKUP(DATOS!$I2600,CONFIG_ASIGNATURAS!$B$2:$J$61,9,FALSE()),""))</f>
      </c>
    </row>
    <row r="2601">
      <c r="E2601">
        <f>IF(DATOS!$I2601="","",IFERROR(VLOOKUP(DATOS!$I2601,CONFIG_ASIGNATURAS!$B$2:$J$61,9,FALSE()),""))</f>
      </c>
    </row>
    <row r="2602">
      <c r="E2602">
        <f>IF(DATOS!$I2602="","",IFERROR(VLOOKUP(DATOS!$I2602,CONFIG_ASIGNATURAS!$B$2:$J$61,9,FALSE()),""))</f>
      </c>
    </row>
    <row r="2603">
      <c r="E2603">
        <f>IF(DATOS!$I2603="","",IFERROR(VLOOKUP(DATOS!$I2603,CONFIG_ASIGNATURAS!$B$2:$J$61,9,FALSE()),""))</f>
      </c>
    </row>
    <row r="2604">
      <c r="E2604">
        <f>IF(DATOS!$I2604="","",IFERROR(VLOOKUP(DATOS!$I2604,CONFIG_ASIGNATURAS!$B$2:$J$61,9,FALSE()),""))</f>
      </c>
    </row>
    <row r="2605">
      <c r="E2605">
        <f>IF(DATOS!$I2605="","",IFERROR(VLOOKUP(DATOS!$I2605,CONFIG_ASIGNATURAS!$B$2:$J$61,9,FALSE()),""))</f>
      </c>
    </row>
    <row r="2606">
      <c r="E2606">
        <f>IF(DATOS!$I2606="","",IFERROR(VLOOKUP(DATOS!$I2606,CONFIG_ASIGNATURAS!$B$2:$J$61,9,FALSE()),""))</f>
      </c>
    </row>
    <row r="2607">
      <c r="E2607">
        <f>IF(DATOS!$I2607="","",IFERROR(VLOOKUP(DATOS!$I2607,CONFIG_ASIGNATURAS!$B$2:$J$61,9,FALSE()),""))</f>
      </c>
    </row>
    <row r="2608">
      <c r="E2608">
        <f>IF(DATOS!$I2608="","",IFERROR(VLOOKUP(DATOS!$I2608,CONFIG_ASIGNATURAS!$B$2:$J$61,9,FALSE()),""))</f>
      </c>
    </row>
    <row r="2609">
      <c r="E2609">
        <f>IF(DATOS!$I2609="","",IFERROR(VLOOKUP(DATOS!$I2609,CONFIG_ASIGNATURAS!$B$2:$J$61,9,FALSE()),""))</f>
      </c>
    </row>
    <row r="2610">
      <c r="E2610">
        <f>IF(DATOS!$I2610="","",IFERROR(VLOOKUP(DATOS!$I2610,CONFIG_ASIGNATURAS!$B$2:$J$61,9,FALSE()),""))</f>
      </c>
    </row>
    <row r="2611">
      <c r="E2611">
        <f>IF(DATOS!$I2611="","",IFERROR(VLOOKUP(DATOS!$I2611,CONFIG_ASIGNATURAS!$B$2:$J$61,9,FALSE()),""))</f>
      </c>
    </row>
    <row r="2612">
      <c r="E2612">
        <f>IF(DATOS!$I2612="","",IFERROR(VLOOKUP(DATOS!$I2612,CONFIG_ASIGNATURAS!$B$2:$J$61,9,FALSE()),""))</f>
      </c>
    </row>
    <row r="2613">
      <c r="E2613">
        <f>IF(DATOS!$I2613="","",IFERROR(VLOOKUP(DATOS!$I2613,CONFIG_ASIGNATURAS!$B$2:$J$61,9,FALSE()),""))</f>
      </c>
    </row>
    <row r="2614">
      <c r="E2614">
        <f>IF(DATOS!$I2614="","",IFERROR(VLOOKUP(DATOS!$I2614,CONFIG_ASIGNATURAS!$B$2:$J$61,9,FALSE()),""))</f>
      </c>
    </row>
    <row r="2615">
      <c r="E2615">
        <f>IF(DATOS!$I2615="","",IFERROR(VLOOKUP(DATOS!$I2615,CONFIG_ASIGNATURAS!$B$2:$J$61,9,FALSE()),""))</f>
      </c>
    </row>
    <row r="2616">
      <c r="E2616">
        <f>IF(DATOS!$I2616="","",IFERROR(VLOOKUP(DATOS!$I2616,CONFIG_ASIGNATURAS!$B$2:$J$61,9,FALSE()),""))</f>
      </c>
    </row>
    <row r="2617">
      <c r="E2617">
        <f>IF(DATOS!$I2617="","",IFERROR(VLOOKUP(DATOS!$I2617,CONFIG_ASIGNATURAS!$B$2:$J$61,9,FALSE()),""))</f>
      </c>
    </row>
    <row r="2618">
      <c r="E2618">
        <f>IF(DATOS!$I2618="","",IFERROR(VLOOKUP(DATOS!$I2618,CONFIG_ASIGNATURAS!$B$2:$J$61,9,FALSE()),""))</f>
      </c>
    </row>
    <row r="2619">
      <c r="E2619">
        <f>IF(DATOS!$I2619="","",IFERROR(VLOOKUP(DATOS!$I2619,CONFIG_ASIGNATURAS!$B$2:$J$61,9,FALSE()),""))</f>
      </c>
    </row>
    <row r="2620">
      <c r="E2620">
        <f>IF(DATOS!$I2620="","",IFERROR(VLOOKUP(DATOS!$I2620,CONFIG_ASIGNATURAS!$B$2:$J$61,9,FALSE()),""))</f>
      </c>
    </row>
    <row r="2621">
      <c r="E2621">
        <f>IF(DATOS!$I2621="","",IFERROR(VLOOKUP(DATOS!$I2621,CONFIG_ASIGNATURAS!$B$2:$J$61,9,FALSE()),""))</f>
      </c>
    </row>
    <row r="2622">
      <c r="E2622">
        <f>IF(DATOS!$I2622="","",IFERROR(VLOOKUP(DATOS!$I2622,CONFIG_ASIGNATURAS!$B$2:$J$61,9,FALSE()),""))</f>
      </c>
    </row>
    <row r="2623">
      <c r="E2623">
        <f>IF(DATOS!$I2623="","",IFERROR(VLOOKUP(DATOS!$I2623,CONFIG_ASIGNATURAS!$B$2:$J$61,9,FALSE()),""))</f>
      </c>
    </row>
    <row r="2624">
      <c r="E2624">
        <f>IF(DATOS!$I2624="","",IFERROR(VLOOKUP(DATOS!$I2624,CONFIG_ASIGNATURAS!$B$2:$J$61,9,FALSE()),""))</f>
      </c>
    </row>
    <row r="2625">
      <c r="E2625">
        <f>IF(DATOS!$I2625="","",IFERROR(VLOOKUP(DATOS!$I2625,CONFIG_ASIGNATURAS!$B$2:$J$61,9,FALSE()),""))</f>
      </c>
    </row>
    <row r="2626">
      <c r="E2626">
        <f>IF(DATOS!$I2626="","",IFERROR(VLOOKUP(DATOS!$I2626,CONFIG_ASIGNATURAS!$B$2:$J$61,9,FALSE()),""))</f>
      </c>
    </row>
    <row r="2627">
      <c r="E2627">
        <f>IF(DATOS!$I2627="","",IFERROR(VLOOKUP(DATOS!$I2627,CONFIG_ASIGNATURAS!$B$2:$J$61,9,FALSE()),""))</f>
      </c>
    </row>
    <row r="2628">
      <c r="E2628">
        <f>IF(DATOS!$I2628="","",IFERROR(VLOOKUP(DATOS!$I2628,CONFIG_ASIGNATURAS!$B$2:$J$61,9,FALSE()),""))</f>
      </c>
    </row>
    <row r="2629">
      <c r="E2629">
        <f>IF(DATOS!$I2629="","",IFERROR(VLOOKUP(DATOS!$I2629,CONFIG_ASIGNATURAS!$B$2:$J$61,9,FALSE()),""))</f>
      </c>
    </row>
    <row r="2630">
      <c r="E2630">
        <f>IF(DATOS!$I2630="","",IFERROR(VLOOKUP(DATOS!$I2630,CONFIG_ASIGNATURAS!$B$2:$J$61,9,FALSE()),""))</f>
      </c>
    </row>
    <row r="2631">
      <c r="E2631">
        <f>IF(DATOS!$I2631="","",IFERROR(VLOOKUP(DATOS!$I2631,CONFIG_ASIGNATURAS!$B$2:$J$61,9,FALSE()),""))</f>
      </c>
    </row>
    <row r="2632">
      <c r="E2632">
        <f>IF(DATOS!$I2632="","",IFERROR(VLOOKUP(DATOS!$I2632,CONFIG_ASIGNATURAS!$B$2:$J$61,9,FALSE()),""))</f>
      </c>
    </row>
    <row r="2633">
      <c r="E2633">
        <f>IF(DATOS!$I2633="","",IFERROR(VLOOKUP(DATOS!$I2633,CONFIG_ASIGNATURAS!$B$2:$J$61,9,FALSE()),""))</f>
      </c>
    </row>
    <row r="2634">
      <c r="E2634">
        <f>IF(DATOS!$I2634="","",IFERROR(VLOOKUP(DATOS!$I2634,CONFIG_ASIGNATURAS!$B$2:$J$61,9,FALSE()),""))</f>
      </c>
    </row>
    <row r="2635">
      <c r="E2635">
        <f>IF(DATOS!$I2635="","",IFERROR(VLOOKUP(DATOS!$I2635,CONFIG_ASIGNATURAS!$B$2:$J$61,9,FALSE()),""))</f>
      </c>
    </row>
    <row r="2636">
      <c r="E2636">
        <f>IF(DATOS!$I2636="","",IFERROR(VLOOKUP(DATOS!$I2636,CONFIG_ASIGNATURAS!$B$2:$J$61,9,FALSE()),""))</f>
      </c>
    </row>
    <row r="2637">
      <c r="E2637">
        <f>IF(DATOS!$I2637="","",IFERROR(VLOOKUP(DATOS!$I2637,CONFIG_ASIGNATURAS!$B$2:$J$61,9,FALSE()),""))</f>
      </c>
    </row>
    <row r="2638">
      <c r="E2638">
        <f>IF(DATOS!$I2638="","",IFERROR(VLOOKUP(DATOS!$I2638,CONFIG_ASIGNATURAS!$B$2:$J$61,9,FALSE()),""))</f>
      </c>
    </row>
    <row r="2639">
      <c r="E2639">
        <f>IF(DATOS!$I2639="","",IFERROR(VLOOKUP(DATOS!$I2639,CONFIG_ASIGNATURAS!$B$2:$J$61,9,FALSE()),""))</f>
      </c>
    </row>
    <row r="2640">
      <c r="E2640">
        <f>IF(DATOS!$I2640="","",IFERROR(VLOOKUP(DATOS!$I2640,CONFIG_ASIGNATURAS!$B$2:$J$61,9,FALSE()),""))</f>
      </c>
    </row>
    <row r="2641">
      <c r="E2641">
        <f>IF(DATOS!$I2641="","",IFERROR(VLOOKUP(DATOS!$I2641,CONFIG_ASIGNATURAS!$B$2:$J$61,9,FALSE()),""))</f>
      </c>
    </row>
    <row r="2642">
      <c r="E2642">
        <f>IF(DATOS!$I2642="","",IFERROR(VLOOKUP(DATOS!$I2642,CONFIG_ASIGNATURAS!$B$2:$J$61,9,FALSE()),""))</f>
      </c>
    </row>
    <row r="2643">
      <c r="E2643">
        <f>IF(DATOS!$I2643="","",IFERROR(VLOOKUP(DATOS!$I2643,CONFIG_ASIGNATURAS!$B$2:$J$61,9,FALSE()),""))</f>
      </c>
    </row>
    <row r="2644">
      <c r="E2644">
        <f>IF(DATOS!$I2644="","",IFERROR(VLOOKUP(DATOS!$I2644,CONFIG_ASIGNATURAS!$B$2:$J$61,9,FALSE()),""))</f>
      </c>
    </row>
    <row r="2645">
      <c r="E2645">
        <f>IF(DATOS!$I2645="","",IFERROR(VLOOKUP(DATOS!$I2645,CONFIG_ASIGNATURAS!$B$2:$J$61,9,FALSE()),""))</f>
      </c>
    </row>
    <row r="2646">
      <c r="E2646">
        <f>IF(DATOS!$I2646="","",IFERROR(VLOOKUP(DATOS!$I2646,CONFIG_ASIGNATURAS!$B$2:$J$61,9,FALSE()),""))</f>
      </c>
    </row>
    <row r="2647">
      <c r="E2647">
        <f>IF(DATOS!$I2647="","",IFERROR(VLOOKUP(DATOS!$I2647,CONFIG_ASIGNATURAS!$B$2:$J$61,9,FALSE()),""))</f>
      </c>
    </row>
    <row r="2648">
      <c r="E2648">
        <f>IF(DATOS!$I2648="","",IFERROR(VLOOKUP(DATOS!$I2648,CONFIG_ASIGNATURAS!$B$2:$J$61,9,FALSE()),""))</f>
      </c>
    </row>
    <row r="2649">
      <c r="E2649">
        <f>IF(DATOS!$I2649="","",IFERROR(VLOOKUP(DATOS!$I2649,CONFIG_ASIGNATURAS!$B$2:$J$61,9,FALSE()),""))</f>
      </c>
    </row>
    <row r="2650">
      <c r="E2650">
        <f>IF(DATOS!$I2650="","",IFERROR(VLOOKUP(DATOS!$I2650,CONFIG_ASIGNATURAS!$B$2:$J$61,9,FALSE()),""))</f>
      </c>
    </row>
    <row r="2651">
      <c r="E2651">
        <f>IF(DATOS!$I2651="","",IFERROR(VLOOKUP(DATOS!$I2651,CONFIG_ASIGNATURAS!$B$2:$J$61,9,FALSE()),""))</f>
      </c>
    </row>
    <row r="2652">
      <c r="E2652">
        <f>IF(DATOS!$I2652="","",IFERROR(VLOOKUP(DATOS!$I2652,CONFIG_ASIGNATURAS!$B$2:$J$61,9,FALSE()),""))</f>
      </c>
    </row>
    <row r="2653">
      <c r="E2653">
        <f>IF(DATOS!$I2653="","",IFERROR(VLOOKUP(DATOS!$I2653,CONFIG_ASIGNATURAS!$B$2:$J$61,9,FALSE()),""))</f>
      </c>
    </row>
    <row r="2654">
      <c r="E2654">
        <f>IF(DATOS!$I2654="","",IFERROR(VLOOKUP(DATOS!$I2654,CONFIG_ASIGNATURAS!$B$2:$J$61,9,FALSE()),""))</f>
      </c>
    </row>
    <row r="2655">
      <c r="E2655">
        <f>IF(DATOS!$I2655="","",IFERROR(VLOOKUP(DATOS!$I2655,CONFIG_ASIGNATURAS!$B$2:$J$61,9,FALSE()),""))</f>
      </c>
    </row>
    <row r="2656">
      <c r="E2656">
        <f>IF(DATOS!$I2656="","",IFERROR(VLOOKUP(DATOS!$I2656,CONFIG_ASIGNATURAS!$B$2:$J$61,9,FALSE()),""))</f>
      </c>
    </row>
    <row r="2657">
      <c r="E2657">
        <f>IF(DATOS!$I2657="","",IFERROR(VLOOKUP(DATOS!$I2657,CONFIG_ASIGNATURAS!$B$2:$J$61,9,FALSE()),""))</f>
      </c>
    </row>
    <row r="2658">
      <c r="E2658">
        <f>IF(DATOS!$I2658="","",IFERROR(VLOOKUP(DATOS!$I2658,CONFIG_ASIGNATURAS!$B$2:$J$61,9,FALSE()),""))</f>
      </c>
    </row>
    <row r="2659">
      <c r="E2659">
        <f>IF(DATOS!$I2659="","",IFERROR(VLOOKUP(DATOS!$I2659,CONFIG_ASIGNATURAS!$B$2:$J$61,9,FALSE()),""))</f>
      </c>
    </row>
    <row r="2660">
      <c r="E2660">
        <f>IF(DATOS!$I2660="","",IFERROR(VLOOKUP(DATOS!$I2660,CONFIG_ASIGNATURAS!$B$2:$J$61,9,FALSE()),""))</f>
      </c>
    </row>
    <row r="2661">
      <c r="E2661">
        <f>IF(DATOS!$I2661="","",IFERROR(VLOOKUP(DATOS!$I2661,CONFIG_ASIGNATURAS!$B$2:$J$61,9,FALSE()),""))</f>
      </c>
    </row>
    <row r="2662">
      <c r="E2662">
        <f>IF(DATOS!$I2662="","",IFERROR(VLOOKUP(DATOS!$I2662,CONFIG_ASIGNATURAS!$B$2:$J$61,9,FALSE()),""))</f>
      </c>
    </row>
    <row r="2663">
      <c r="E2663">
        <f>IF(DATOS!$I2663="","",IFERROR(VLOOKUP(DATOS!$I2663,CONFIG_ASIGNATURAS!$B$2:$J$61,9,FALSE()),""))</f>
      </c>
    </row>
    <row r="2664">
      <c r="E2664">
        <f>IF(DATOS!$I2664="","",IFERROR(VLOOKUP(DATOS!$I2664,CONFIG_ASIGNATURAS!$B$2:$J$61,9,FALSE()),""))</f>
      </c>
    </row>
    <row r="2665">
      <c r="E2665">
        <f>IF(DATOS!$I2665="","",IFERROR(VLOOKUP(DATOS!$I2665,CONFIG_ASIGNATURAS!$B$2:$J$61,9,FALSE()),""))</f>
      </c>
    </row>
    <row r="2666">
      <c r="E2666">
        <f>IF(DATOS!$I2666="","",IFERROR(VLOOKUP(DATOS!$I2666,CONFIG_ASIGNATURAS!$B$2:$J$61,9,FALSE()),""))</f>
      </c>
    </row>
    <row r="2667">
      <c r="E2667">
        <f>IF(DATOS!$I2667="","",IFERROR(VLOOKUP(DATOS!$I2667,CONFIG_ASIGNATURAS!$B$2:$J$61,9,FALSE()),""))</f>
      </c>
    </row>
    <row r="2668">
      <c r="E2668">
        <f>IF(DATOS!$I2668="","",IFERROR(VLOOKUP(DATOS!$I2668,CONFIG_ASIGNATURAS!$B$2:$J$61,9,FALSE()),""))</f>
      </c>
    </row>
    <row r="2669">
      <c r="E2669">
        <f>IF(DATOS!$I2669="","",IFERROR(VLOOKUP(DATOS!$I2669,CONFIG_ASIGNATURAS!$B$2:$J$61,9,FALSE()),""))</f>
      </c>
    </row>
    <row r="2670">
      <c r="E2670">
        <f>IF(DATOS!$I2670="","",IFERROR(VLOOKUP(DATOS!$I2670,CONFIG_ASIGNATURAS!$B$2:$J$61,9,FALSE()),""))</f>
      </c>
    </row>
    <row r="2671">
      <c r="E2671">
        <f>IF(DATOS!$I2671="","",IFERROR(VLOOKUP(DATOS!$I2671,CONFIG_ASIGNATURAS!$B$2:$J$61,9,FALSE()),""))</f>
      </c>
    </row>
    <row r="2672">
      <c r="E2672">
        <f>IF(DATOS!$I2672="","",IFERROR(VLOOKUP(DATOS!$I2672,CONFIG_ASIGNATURAS!$B$2:$J$61,9,FALSE()),""))</f>
      </c>
    </row>
    <row r="2673">
      <c r="E2673">
        <f>IF(DATOS!$I2673="","",IFERROR(VLOOKUP(DATOS!$I2673,CONFIG_ASIGNATURAS!$B$2:$J$61,9,FALSE()),""))</f>
      </c>
    </row>
    <row r="2674">
      <c r="E2674">
        <f>IF(DATOS!$I2674="","",IFERROR(VLOOKUP(DATOS!$I2674,CONFIG_ASIGNATURAS!$B$2:$J$61,9,FALSE()),""))</f>
      </c>
    </row>
    <row r="2675">
      <c r="E2675">
        <f>IF(DATOS!$I2675="","",IFERROR(VLOOKUP(DATOS!$I2675,CONFIG_ASIGNATURAS!$B$2:$J$61,9,FALSE()),""))</f>
      </c>
    </row>
    <row r="2676">
      <c r="E2676">
        <f>IF(DATOS!$I2676="","",IFERROR(VLOOKUP(DATOS!$I2676,CONFIG_ASIGNATURAS!$B$2:$J$61,9,FALSE()),""))</f>
      </c>
    </row>
    <row r="2677">
      <c r="E2677">
        <f>IF(DATOS!$I2677="","",IFERROR(VLOOKUP(DATOS!$I2677,CONFIG_ASIGNATURAS!$B$2:$J$61,9,FALSE()),""))</f>
      </c>
    </row>
    <row r="2678">
      <c r="E2678">
        <f>IF(DATOS!$I2678="","",IFERROR(VLOOKUP(DATOS!$I2678,CONFIG_ASIGNATURAS!$B$2:$J$61,9,FALSE()),""))</f>
      </c>
    </row>
    <row r="2679">
      <c r="E2679">
        <f>IF(DATOS!$I2679="","",IFERROR(VLOOKUP(DATOS!$I2679,CONFIG_ASIGNATURAS!$B$2:$J$61,9,FALSE()),""))</f>
      </c>
    </row>
    <row r="2680">
      <c r="E2680">
        <f>IF(DATOS!$I2680="","",IFERROR(VLOOKUP(DATOS!$I2680,CONFIG_ASIGNATURAS!$B$2:$J$61,9,FALSE()),""))</f>
      </c>
    </row>
    <row r="2681">
      <c r="E2681">
        <f>IF(DATOS!$I2681="","",IFERROR(VLOOKUP(DATOS!$I2681,CONFIG_ASIGNATURAS!$B$2:$J$61,9,FALSE()),""))</f>
      </c>
    </row>
    <row r="2682">
      <c r="E2682">
        <f>IF(DATOS!$I2682="","",IFERROR(VLOOKUP(DATOS!$I2682,CONFIG_ASIGNATURAS!$B$2:$J$61,9,FALSE()),""))</f>
      </c>
    </row>
    <row r="2683">
      <c r="E2683">
        <f>IF(DATOS!$I2683="","",IFERROR(VLOOKUP(DATOS!$I2683,CONFIG_ASIGNATURAS!$B$2:$J$61,9,FALSE()),""))</f>
      </c>
    </row>
    <row r="2684">
      <c r="E2684">
        <f>IF(DATOS!$I2684="","",IFERROR(VLOOKUP(DATOS!$I2684,CONFIG_ASIGNATURAS!$B$2:$J$61,9,FALSE()),""))</f>
      </c>
    </row>
    <row r="2685">
      <c r="E2685">
        <f>IF(DATOS!$I2685="","",IFERROR(VLOOKUP(DATOS!$I2685,CONFIG_ASIGNATURAS!$B$2:$J$61,9,FALSE()),""))</f>
      </c>
    </row>
    <row r="2686">
      <c r="E2686">
        <f>IF(DATOS!$I2686="","",IFERROR(VLOOKUP(DATOS!$I2686,CONFIG_ASIGNATURAS!$B$2:$J$61,9,FALSE()),""))</f>
      </c>
    </row>
    <row r="2687">
      <c r="E2687">
        <f>IF(DATOS!$I2687="","",IFERROR(VLOOKUP(DATOS!$I2687,CONFIG_ASIGNATURAS!$B$2:$J$61,9,FALSE()),""))</f>
      </c>
    </row>
    <row r="2688">
      <c r="E2688">
        <f>IF(DATOS!$I2688="","",IFERROR(VLOOKUP(DATOS!$I2688,CONFIG_ASIGNATURAS!$B$2:$J$61,9,FALSE()),""))</f>
      </c>
    </row>
    <row r="2689">
      <c r="E2689">
        <f>IF(DATOS!$I2689="","",IFERROR(VLOOKUP(DATOS!$I2689,CONFIG_ASIGNATURAS!$B$2:$J$61,9,FALSE()),""))</f>
      </c>
    </row>
    <row r="2690">
      <c r="E2690">
        <f>IF(DATOS!$I2690="","",IFERROR(VLOOKUP(DATOS!$I2690,CONFIG_ASIGNATURAS!$B$2:$J$61,9,FALSE()),""))</f>
      </c>
    </row>
    <row r="2691">
      <c r="E2691">
        <f>IF(DATOS!$I2691="","",IFERROR(VLOOKUP(DATOS!$I2691,CONFIG_ASIGNATURAS!$B$2:$J$61,9,FALSE()),""))</f>
      </c>
    </row>
    <row r="2692">
      <c r="E2692">
        <f>IF(DATOS!$I2692="","",IFERROR(VLOOKUP(DATOS!$I2692,CONFIG_ASIGNATURAS!$B$2:$J$61,9,FALSE()),""))</f>
      </c>
    </row>
    <row r="2693">
      <c r="E2693">
        <f>IF(DATOS!$I2693="","",IFERROR(VLOOKUP(DATOS!$I2693,CONFIG_ASIGNATURAS!$B$2:$J$61,9,FALSE()),""))</f>
      </c>
    </row>
    <row r="2694">
      <c r="E2694">
        <f>IF(DATOS!$I2694="","",IFERROR(VLOOKUP(DATOS!$I2694,CONFIG_ASIGNATURAS!$B$2:$J$61,9,FALSE()),""))</f>
      </c>
    </row>
    <row r="2695">
      <c r="E2695">
        <f>IF(DATOS!$I2695="","",IFERROR(VLOOKUP(DATOS!$I2695,CONFIG_ASIGNATURAS!$B$2:$J$61,9,FALSE()),""))</f>
      </c>
    </row>
    <row r="2696">
      <c r="E2696">
        <f>IF(DATOS!$I2696="","",IFERROR(VLOOKUP(DATOS!$I2696,CONFIG_ASIGNATURAS!$B$2:$J$61,9,FALSE()),""))</f>
      </c>
    </row>
    <row r="2697">
      <c r="E2697">
        <f>IF(DATOS!$I2697="","",IFERROR(VLOOKUP(DATOS!$I2697,CONFIG_ASIGNATURAS!$B$2:$J$61,9,FALSE()),""))</f>
      </c>
    </row>
    <row r="2698">
      <c r="E2698">
        <f>IF(DATOS!$I2698="","",IFERROR(VLOOKUP(DATOS!$I2698,CONFIG_ASIGNATURAS!$B$2:$J$61,9,FALSE()),""))</f>
      </c>
    </row>
    <row r="2699">
      <c r="E2699">
        <f>IF(DATOS!$I2699="","",IFERROR(VLOOKUP(DATOS!$I2699,CONFIG_ASIGNATURAS!$B$2:$J$61,9,FALSE()),""))</f>
      </c>
    </row>
    <row r="2700">
      <c r="E2700">
        <f>IF(DATOS!$I2700="","",IFERROR(VLOOKUP(DATOS!$I2700,CONFIG_ASIGNATURAS!$B$2:$J$61,9,FALSE()),""))</f>
      </c>
    </row>
    <row r="2701">
      <c r="E2701">
        <f>IF(DATOS!$I2701="","",IFERROR(VLOOKUP(DATOS!$I2701,CONFIG_ASIGNATURAS!$B$2:$J$61,9,FALSE()),""))</f>
      </c>
    </row>
    <row r="2702">
      <c r="E2702">
        <f>IF(DATOS!$I2702="","",IFERROR(VLOOKUP(DATOS!$I2702,CONFIG_ASIGNATURAS!$B$2:$J$61,9,FALSE()),""))</f>
      </c>
    </row>
    <row r="2703">
      <c r="E2703">
        <f>IF(DATOS!$I2703="","",IFERROR(VLOOKUP(DATOS!$I2703,CONFIG_ASIGNATURAS!$B$2:$J$61,9,FALSE()),""))</f>
      </c>
    </row>
    <row r="2704">
      <c r="E2704">
        <f>IF(DATOS!$I2704="","",IFERROR(VLOOKUP(DATOS!$I2704,CONFIG_ASIGNATURAS!$B$2:$J$61,9,FALSE()),""))</f>
      </c>
    </row>
    <row r="2705">
      <c r="E2705">
        <f>IF(DATOS!$I2705="","",IFERROR(VLOOKUP(DATOS!$I2705,CONFIG_ASIGNATURAS!$B$2:$J$61,9,FALSE()),""))</f>
      </c>
    </row>
    <row r="2706">
      <c r="E2706">
        <f>IF(DATOS!$I2706="","",IFERROR(VLOOKUP(DATOS!$I2706,CONFIG_ASIGNATURAS!$B$2:$J$61,9,FALSE()),""))</f>
      </c>
    </row>
    <row r="2707">
      <c r="E2707">
        <f>IF(DATOS!$I2707="","",IFERROR(VLOOKUP(DATOS!$I2707,CONFIG_ASIGNATURAS!$B$2:$J$61,9,FALSE()),""))</f>
      </c>
    </row>
    <row r="2708">
      <c r="E2708">
        <f>IF(DATOS!$I2708="","",IFERROR(VLOOKUP(DATOS!$I2708,CONFIG_ASIGNATURAS!$B$2:$J$61,9,FALSE()),""))</f>
      </c>
    </row>
    <row r="2709">
      <c r="E2709">
        <f>IF(DATOS!$I2709="","",IFERROR(VLOOKUP(DATOS!$I2709,CONFIG_ASIGNATURAS!$B$2:$J$61,9,FALSE()),""))</f>
      </c>
    </row>
    <row r="2710">
      <c r="E2710">
        <f>IF(DATOS!$I2710="","",IFERROR(VLOOKUP(DATOS!$I2710,CONFIG_ASIGNATURAS!$B$2:$J$61,9,FALSE()),""))</f>
      </c>
    </row>
    <row r="2711">
      <c r="E2711">
        <f>IF(DATOS!$I2711="","",IFERROR(VLOOKUP(DATOS!$I2711,CONFIG_ASIGNATURAS!$B$2:$J$61,9,FALSE()),""))</f>
      </c>
    </row>
    <row r="2712">
      <c r="E2712">
        <f>IF(DATOS!$I2712="","",IFERROR(VLOOKUP(DATOS!$I2712,CONFIG_ASIGNATURAS!$B$2:$J$61,9,FALSE()),""))</f>
      </c>
    </row>
    <row r="2713">
      <c r="E2713">
        <f>IF(DATOS!$I2713="","",IFERROR(VLOOKUP(DATOS!$I2713,CONFIG_ASIGNATURAS!$B$2:$J$61,9,FALSE()),""))</f>
      </c>
    </row>
    <row r="2714">
      <c r="E2714">
        <f>IF(DATOS!$I2714="","",IFERROR(VLOOKUP(DATOS!$I2714,CONFIG_ASIGNATURAS!$B$2:$J$61,9,FALSE()),""))</f>
      </c>
    </row>
    <row r="2715">
      <c r="E2715">
        <f>IF(DATOS!$I2715="","",IFERROR(VLOOKUP(DATOS!$I2715,CONFIG_ASIGNATURAS!$B$2:$J$61,9,FALSE()),""))</f>
      </c>
    </row>
    <row r="2716">
      <c r="E2716">
        <f>IF(DATOS!$I2716="","",IFERROR(VLOOKUP(DATOS!$I2716,CONFIG_ASIGNATURAS!$B$2:$J$61,9,FALSE()),""))</f>
      </c>
    </row>
    <row r="2717">
      <c r="E2717">
        <f>IF(DATOS!$I2717="","",IFERROR(VLOOKUP(DATOS!$I2717,CONFIG_ASIGNATURAS!$B$2:$J$61,9,FALSE()),""))</f>
      </c>
    </row>
    <row r="2718">
      <c r="E2718">
        <f>IF(DATOS!$I2718="","",IFERROR(VLOOKUP(DATOS!$I2718,CONFIG_ASIGNATURAS!$B$2:$J$61,9,FALSE()),""))</f>
      </c>
    </row>
    <row r="2719">
      <c r="E2719">
        <f>IF(DATOS!$I2719="","",IFERROR(VLOOKUP(DATOS!$I2719,CONFIG_ASIGNATURAS!$B$2:$J$61,9,FALSE()),""))</f>
      </c>
    </row>
    <row r="2720">
      <c r="E2720">
        <f>IF(DATOS!$I2720="","",IFERROR(VLOOKUP(DATOS!$I2720,CONFIG_ASIGNATURAS!$B$2:$J$61,9,FALSE()),""))</f>
      </c>
    </row>
    <row r="2721">
      <c r="E2721">
        <f>IF(DATOS!$I2721="","",IFERROR(VLOOKUP(DATOS!$I2721,CONFIG_ASIGNATURAS!$B$2:$J$61,9,FALSE()),""))</f>
      </c>
    </row>
    <row r="2722">
      <c r="E2722">
        <f>IF(DATOS!$I2722="","",IFERROR(VLOOKUP(DATOS!$I2722,CONFIG_ASIGNATURAS!$B$2:$J$61,9,FALSE()),""))</f>
      </c>
    </row>
    <row r="2723">
      <c r="E2723">
        <f>IF(DATOS!$I2723="","",IFERROR(VLOOKUP(DATOS!$I2723,CONFIG_ASIGNATURAS!$B$2:$J$61,9,FALSE()),""))</f>
      </c>
    </row>
    <row r="2724">
      <c r="E2724">
        <f>IF(DATOS!$I2724="","",IFERROR(VLOOKUP(DATOS!$I2724,CONFIG_ASIGNATURAS!$B$2:$J$61,9,FALSE()),""))</f>
      </c>
    </row>
    <row r="2725">
      <c r="E2725">
        <f>IF(DATOS!$I2725="","",IFERROR(VLOOKUP(DATOS!$I2725,CONFIG_ASIGNATURAS!$B$2:$J$61,9,FALSE()),""))</f>
      </c>
    </row>
    <row r="2726">
      <c r="E2726">
        <f>IF(DATOS!$I2726="","",IFERROR(VLOOKUP(DATOS!$I2726,CONFIG_ASIGNATURAS!$B$2:$J$61,9,FALSE()),""))</f>
      </c>
    </row>
    <row r="2727">
      <c r="E2727">
        <f>IF(DATOS!$I2727="","",IFERROR(VLOOKUP(DATOS!$I2727,CONFIG_ASIGNATURAS!$B$2:$J$61,9,FALSE()),""))</f>
      </c>
    </row>
    <row r="2728">
      <c r="E2728">
        <f>IF(DATOS!$I2728="","",IFERROR(VLOOKUP(DATOS!$I2728,CONFIG_ASIGNATURAS!$B$2:$J$61,9,FALSE()),""))</f>
      </c>
    </row>
    <row r="2729">
      <c r="E2729">
        <f>IF(DATOS!$I2729="","",IFERROR(VLOOKUP(DATOS!$I2729,CONFIG_ASIGNATURAS!$B$2:$J$61,9,FALSE()),""))</f>
      </c>
    </row>
    <row r="2730">
      <c r="E2730">
        <f>IF(DATOS!$I2730="","",IFERROR(VLOOKUP(DATOS!$I2730,CONFIG_ASIGNATURAS!$B$2:$J$61,9,FALSE()),""))</f>
      </c>
    </row>
    <row r="2731">
      <c r="E2731">
        <f>IF(DATOS!$I2731="","",IFERROR(VLOOKUP(DATOS!$I2731,CONFIG_ASIGNATURAS!$B$2:$J$61,9,FALSE()),""))</f>
      </c>
    </row>
    <row r="2732">
      <c r="E2732">
        <f>IF(DATOS!$I2732="","",IFERROR(VLOOKUP(DATOS!$I2732,CONFIG_ASIGNATURAS!$B$2:$J$61,9,FALSE()),""))</f>
      </c>
    </row>
    <row r="2733">
      <c r="E2733">
        <f>IF(DATOS!$I2733="","",IFERROR(VLOOKUP(DATOS!$I2733,CONFIG_ASIGNATURAS!$B$2:$J$61,9,FALSE()),""))</f>
      </c>
    </row>
    <row r="2734">
      <c r="E2734">
        <f>IF(DATOS!$I2734="","",IFERROR(VLOOKUP(DATOS!$I2734,CONFIG_ASIGNATURAS!$B$2:$J$61,9,FALSE()),""))</f>
      </c>
    </row>
    <row r="2735">
      <c r="E2735">
        <f>IF(DATOS!$I2735="","",IFERROR(VLOOKUP(DATOS!$I2735,CONFIG_ASIGNATURAS!$B$2:$J$61,9,FALSE()),""))</f>
      </c>
    </row>
    <row r="2736">
      <c r="E2736">
        <f>IF(DATOS!$I2736="","",IFERROR(VLOOKUP(DATOS!$I2736,CONFIG_ASIGNATURAS!$B$2:$J$61,9,FALSE()),""))</f>
      </c>
    </row>
    <row r="2737">
      <c r="E2737">
        <f>IF(DATOS!$I2737="","",IFERROR(VLOOKUP(DATOS!$I2737,CONFIG_ASIGNATURAS!$B$2:$J$61,9,FALSE()),""))</f>
      </c>
    </row>
    <row r="2738">
      <c r="E2738">
        <f>IF(DATOS!$I2738="","",IFERROR(VLOOKUP(DATOS!$I2738,CONFIG_ASIGNATURAS!$B$2:$J$61,9,FALSE()),""))</f>
      </c>
    </row>
    <row r="2739">
      <c r="E2739">
        <f>IF(DATOS!$I2739="","",IFERROR(VLOOKUP(DATOS!$I2739,CONFIG_ASIGNATURAS!$B$2:$J$61,9,FALSE()),""))</f>
      </c>
    </row>
    <row r="2740">
      <c r="E2740">
        <f>IF(DATOS!$I2740="","",IFERROR(VLOOKUP(DATOS!$I2740,CONFIG_ASIGNATURAS!$B$2:$J$61,9,FALSE()),""))</f>
      </c>
    </row>
    <row r="2741">
      <c r="E2741">
        <f>IF(DATOS!$I2741="","",IFERROR(VLOOKUP(DATOS!$I2741,CONFIG_ASIGNATURAS!$B$2:$J$61,9,FALSE()),""))</f>
      </c>
    </row>
    <row r="2742">
      <c r="E2742">
        <f>IF(DATOS!$I2742="","",IFERROR(VLOOKUP(DATOS!$I2742,CONFIG_ASIGNATURAS!$B$2:$J$61,9,FALSE()),""))</f>
      </c>
    </row>
    <row r="2743">
      <c r="E2743">
        <f>IF(DATOS!$I2743="","",IFERROR(VLOOKUP(DATOS!$I2743,CONFIG_ASIGNATURAS!$B$2:$J$61,9,FALSE()),""))</f>
      </c>
    </row>
    <row r="2744">
      <c r="E2744">
        <f>IF(DATOS!$I2744="","",IFERROR(VLOOKUP(DATOS!$I2744,CONFIG_ASIGNATURAS!$B$2:$J$61,9,FALSE()),""))</f>
      </c>
    </row>
    <row r="2745">
      <c r="E2745">
        <f>IF(DATOS!$I2745="","",IFERROR(VLOOKUP(DATOS!$I2745,CONFIG_ASIGNATURAS!$B$2:$J$61,9,FALSE()),""))</f>
      </c>
    </row>
    <row r="2746">
      <c r="E2746">
        <f>IF(DATOS!$I2746="","",IFERROR(VLOOKUP(DATOS!$I2746,CONFIG_ASIGNATURAS!$B$2:$J$61,9,FALSE()),""))</f>
      </c>
    </row>
    <row r="2747">
      <c r="E2747">
        <f>IF(DATOS!$I2747="","",IFERROR(VLOOKUP(DATOS!$I2747,CONFIG_ASIGNATURAS!$B$2:$J$61,9,FALSE()),""))</f>
      </c>
    </row>
    <row r="2748">
      <c r="E2748">
        <f>IF(DATOS!$I2748="","",IFERROR(VLOOKUP(DATOS!$I2748,CONFIG_ASIGNATURAS!$B$2:$J$61,9,FALSE()),""))</f>
      </c>
    </row>
    <row r="2749">
      <c r="E2749">
        <f>IF(DATOS!$I2749="","",IFERROR(VLOOKUP(DATOS!$I2749,CONFIG_ASIGNATURAS!$B$2:$J$61,9,FALSE()),""))</f>
      </c>
    </row>
    <row r="2750">
      <c r="E2750">
        <f>IF(DATOS!$I2750="","",IFERROR(VLOOKUP(DATOS!$I2750,CONFIG_ASIGNATURAS!$B$2:$J$61,9,FALSE()),""))</f>
      </c>
    </row>
    <row r="2751">
      <c r="E2751">
        <f>IF(DATOS!$I2751="","",IFERROR(VLOOKUP(DATOS!$I2751,CONFIG_ASIGNATURAS!$B$2:$J$61,9,FALSE()),""))</f>
      </c>
    </row>
    <row r="2752">
      <c r="E2752">
        <f>IF(DATOS!$I2752="","",IFERROR(VLOOKUP(DATOS!$I2752,CONFIG_ASIGNATURAS!$B$2:$J$61,9,FALSE()),""))</f>
      </c>
    </row>
    <row r="2753">
      <c r="E2753">
        <f>IF(DATOS!$I2753="","",IFERROR(VLOOKUP(DATOS!$I2753,CONFIG_ASIGNATURAS!$B$2:$J$61,9,FALSE()),""))</f>
      </c>
    </row>
    <row r="2754">
      <c r="E2754">
        <f>IF(DATOS!$I2754="","",IFERROR(VLOOKUP(DATOS!$I2754,CONFIG_ASIGNATURAS!$B$2:$J$61,9,FALSE()),""))</f>
      </c>
    </row>
    <row r="2755">
      <c r="E2755">
        <f>IF(DATOS!$I2755="","",IFERROR(VLOOKUP(DATOS!$I2755,CONFIG_ASIGNATURAS!$B$2:$J$61,9,FALSE()),""))</f>
      </c>
    </row>
    <row r="2756">
      <c r="E2756">
        <f>IF(DATOS!$I2756="","",IFERROR(VLOOKUP(DATOS!$I2756,CONFIG_ASIGNATURAS!$B$2:$J$61,9,FALSE()),""))</f>
      </c>
    </row>
    <row r="2757">
      <c r="E2757">
        <f>IF(DATOS!$I2757="","",IFERROR(VLOOKUP(DATOS!$I2757,CONFIG_ASIGNATURAS!$B$2:$J$61,9,FALSE()),""))</f>
      </c>
    </row>
    <row r="2758">
      <c r="E2758">
        <f>IF(DATOS!$I2758="","",IFERROR(VLOOKUP(DATOS!$I2758,CONFIG_ASIGNATURAS!$B$2:$J$61,9,FALSE()),""))</f>
      </c>
    </row>
    <row r="2759">
      <c r="E2759">
        <f>IF(DATOS!$I2759="","",IFERROR(VLOOKUP(DATOS!$I2759,CONFIG_ASIGNATURAS!$B$2:$J$61,9,FALSE()),""))</f>
      </c>
    </row>
    <row r="2760">
      <c r="E2760">
        <f>IF(DATOS!$I2760="","",IFERROR(VLOOKUP(DATOS!$I2760,CONFIG_ASIGNATURAS!$B$2:$J$61,9,FALSE()),""))</f>
      </c>
    </row>
    <row r="2761">
      <c r="E2761">
        <f>IF(DATOS!$I2761="","",IFERROR(VLOOKUP(DATOS!$I2761,CONFIG_ASIGNATURAS!$B$2:$J$61,9,FALSE()),""))</f>
      </c>
    </row>
    <row r="2762">
      <c r="E2762">
        <f>IF(DATOS!$I2762="","",IFERROR(VLOOKUP(DATOS!$I2762,CONFIG_ASIGNATURAS!$B$2:$J$61,9,FALSE()),""))</f>
      </c>
    </row>
    <row r="2763">
      <c r="E2763">
        <f>IF(DATOS!$I2763="","",IFERROR(VLOOKUP(DATOS!$I2763,CONFIG_ASIGNATURAS!$B$2:$J$61,9,FALSE()),""))</f>
      </c>
    </row>
    <row r="2764">
      <c r="E2764">
        <f>IF(DATOS!$I2764="","",IFERROR(VLOOKUP(DATOS!$I2764,CONFIG_ASIGNATURAS!$B$2:$J$61,9,FALSE()),""))</f>
      </c>
    </row>
    <row r="2765">
      <c r="E2765">
        <f>IF(DATOS!$I2765="","",IFERROR(VLOOKUP(DATOS!$I2765,CONFIG_ASIGNATURAS!$B$2:$J$61,9,FALSE()),""))</f>
      </c>
    </row>
    <row r="2766">
      <c r="E2766">
        <f>IF(DATOS!$I2766="","",IFERROR(VLOOKUP(DATOS!$I2766,CONFIG_ASIGNATURAS!$B$2:$J$61,9,FALSE()),""))</f>
      </c>
    </row>
    <row r="2767">
      <c r="E2767">
        <f>IF(DATOS!$I2767="","",IFERROR(VLOOKUP(DATOS!$I2767,CONFIG_ASIGNATURAS!$B$2:$J$61,9,FALSE()),""))</f>
      </c>
    </row>
    <row r="2768">
      <c r="E2768">
        <f>IF(DATOS!$I2768="","",IFERROR(VLOOKUP(DATOS!$I2768,CONFIG_ASIGNATURAS!$B$2:$J$61,9,FALSE()),""))</f>
      </c>
    </row>
    <row r="2769">
      <c r="E2769">
        <f>IF(DATOS!$I2769="","",IFERROR(VLOOKUP(DATOS!$I2769,CONFIG_ASIGNATURAS!$B$2:$J$61,9,FALSE()),""))</f>
      </c>
    </row>
    <row r="2770">
      <c r="E2770">
        <f>IF(DATOS!$I2770="","",IFERROR(VLOOKUP(DATOS!$I2770,CONFIG_ASIGNATURAS!$B$2:$J$61,9,FALSE()),""))</f>
      </c>
    </row>
    <row r="2771">
      <c r="E2771">
        <f>IF(DATOS!$I2771="","",IFERROR(VLOOKUP(DATOS!$I2771,CONFIG_ASIGNATURAS!$B$2:$J$61,9,FALSE()),""))</f>
      </c>
    </row>
    <row r="2772">
      <c r="E2772">
        <f>IF(DATOS!$I2772="","",IFERROR(VLOOKUP(DATOS!$I2772,CONFIG_ASIGNATURAS!$B$2:$J$61,9,FALSE()),""))</f>
      </c>
    </row>
    <row r="2773">
      <c r="E2773">
        <f>IF(DATOS!$I2773="","",IFERROR(VLOOKUP(DATOS!$I2773,CONFIG_ASIGNATURAS!$B$2:$J$61,9,FALSE()),""))</f>
      </c>
    </row>
    <row r="2774">
      <c r="E2774">
        <f>IF(DATOS!$I2774="","",IFERROR(VLOOKUP(DATOS!$I2774,CONFIG_ASIGNATURAS!$B$2:$J$61,9,FALSE()),""))</f>
      </c>
    </row>
    <row r="2775">
      <c r="E2775">
        <f>IF(DATOS!$I2775="","",IFERROR(VLOOKUP(DATOS!$I2775,CONFIG_ASIGNATURAS!$B$2:$J$61,9,FALSE()),""))</f>
      </c>
    </row>
    <row r="2776">
      <c r="E2776">
        <f>IF(DATOS!$I2776="","",IFERROR(VLOOKUP(DATOS!$I2776,CONFIG_ASIGNATURAS!$B$2:$J$61,9,FALSE()),""))</f>
      </c>
    </row>
    <row r="2777">
      <c r="E2777">
        <f>IF(DATOS!$I2777="","",IFERROR(VLOOKUP(DATOS!$I2777,CONFIG_ASIGNATURAS!$B$2:$J$61,9,FALSE()),""))</f>
      </c>
    </row>
    <row r="2778">
      <c r="E2778">
        <f>IF(DATOS!$I2778="","",IFERROR(VLOOKUP(DATOS!$I2778,CONFIG_ASIGNATURAS!$B$2:$J$61,9,FALSE()),""))</f>
      </c>
    </row>
    <row r="2779">
      <c r="E2779">
        <f>IF(DATOS!$I2779="","",IFERROR(VLOOKUP(DATOS!$I2779,CONFIG_ASIGNATURAS!$B$2:$J$61,9,FALSE()),""))</f>
      </c>
    </row>
    <row r="2780">
      <c r="E2780">
        <f>IF(DATOS!$I2780="","",IFERROR(VLOOKUP(DATOS!$I2780,CONFIG_ASIGNATURAS!$B$2:$J$61,9,FALSE()),""))</f>
      </c>
    </row>
    <row r="2781">
      <c r="E2781">
        <f>IF(DATOS!$I2781="","",IFERROR(VLOOKUP(DATOS!$I2781,CONFIG_ASIGNATURAS!$B$2:$J$61,9,FALSE()),""))</f>
      </c>
    </row>
    <row r="2782">
      <c r="E2782">
        <f>IF(DATOS!$I2782="","",IFERROR(VLOOKUP(DATOS!$I2782,CONFIG_ASIGNATURAS!$B$2:$J$61,9,FALSE()),""))</f>
      </c>
    </row>
    <row r="2783">
      <c r="E2783">
        <f>IF(DATOS!$I2783="","",IFERROR(VLOOKUP(DATOS!$I2783,CONFIG_ASIGNATURAS!$B$2:$J$61,9,FALSE()),""))</f>
      </c>
    </row>
    <row r="2784">
      <c r="E2784">
        <f>IF(DATOS!$I2784="","",IFERROR(VLOOKUP(DATOS!$I2784,CONFIG_ASIGNATURAS!$B$2:$J$61,9,FALSE()),""))</f>
      </c>
    </row>
    <row r="2785">
      <c r="E2785">
        <f>IF(DATOS!$I2785="","",IFERROR(VLOOKUP(DATOS!$I2785,CONFIG_ASIGNATURAS!$B$2:$J$61,9,FALSE()),""))</f>
      </c>
    </row>
    <row r="2786">
      <c r="E2786">
        <f>IF(DATOS!$I2786="","",IFERROR(VLOOKUP(DATOS!$I2786,CONFIG_ASIGNATURAS!$B$2:$J$61,9,FALSE()),""))</f>
      </c>
    </row>
    <row r="2787">
      <c r="E2787">
        <f>IF(DATOS!$I2787="","",IFERROR(VLOOKUP(DATOS!$I2787,CONFIG_ASIGNATURAS!$B$2:$J$61,9,FALSE()),""))</f>
      </c>
    </row>
    <row r="2788">
      <c r="E2788">
        <f>IF(DATOS!$I2788="","",IFERROR(VLOOKUP(DATOS!$I2788,CONFIG_ASIGNATURAS!$B$2:$J$61,9,FALSE()),""))</f>
      </c>
    </row>
    <row r="2789">
      <c r="E2789">
        <f>IF(DATOS!$I2789="","",IFERROR(VLOOKUP(DATOS!$I2789,CONFIG_ASIGNATURAS!$B$2:$J$61,9,FALSE()),""))</f>
      </c>
    </row>
    <row r="2790">
      <c r="E2790">
        <f>IF(DATOS!$I2790="","",IFERROR(VLOOKUP(DATOS!$I2790,CONFIG_ASIGNATURAS!$B$2:$J$61,9,FALSE()),""))</f>
      </c>
    </row>
    <row r="2791">
      <c r="E2791">
        <f>IF(DATOS!$I2791="","",IFERROR(VLOOKUP(DATOS!$I2791,CONFIG_ASIGNATURAS!$B$2:$J$61,9,FALSE()),""))</f>
      </c>
    </row>
    <row r="2792">
      <c r="E2792">
        <f>IF(DATOS!$I2792="","",IFERROR(VLOOKUP(DATOS!$I2792,CONFIG_ASIGNATURAS!$B$2:$J$61,9,FALSE()),""))</f>
      </c>
    </row>
    <row r="2793">
      <c r="E2793">
        <f>IF(DATOS!$I2793="","",IFERROR(VLOOKUP(DATOS!$I2793,CONFIG_ASIGNATURAS!$B$2:$J$61,9,FALSE()),""))</f>
      </c>
    </row>
    <row r="2794">
      <c r="E2794">
        <f>IF(DATOS!$I2794="","",IFERROR(VLOOKUP(DATOS!$I2794,CONFIG_ASIGNATURAS!$B$2:$J$61,9,FALSE()),""))</f>
      </c>
    </row>
    <row r="2795">
      <c r="E2795">
        <f>IF(DATOS!$I2795="","",IFERROR(VLOOKUP(DATOS!$I2795,CONFIG_ASIGNATURAS!$B$2:$J$61,9,FALSE()),""))</f>
      </c>
    </row>
    <row r="2796">
      <c r="E2796">
        <f>IF(DATOS!$I2796="","",IFERROR(VLOOKUP(DATOS!$I2796,CONFIG_ASIGNATURAS!$B$2:$J$61,9,FALSE()),""))</f>
      </c>
    </row>
    <row r="2797">
      <c r="E2797">
        <f>IF(DATOS!$I2797="","",IFERROR(VLOOKUP(DATOS!$I2797,CONFIG_ASIGNATURAS!$B$2:$J$61,9,FALSE()),""))</f>
      </c>
    </row>
    <row r="2798">
      <c r="E2798">
        <f>IF(DATOS!$I2798="","",IFERROR(VLOOKUP(DATOS!$I2798,CONFIG_ASIGNATURAS!$B$2:$J$61,9,FALSE()),""))</f>
      </c>
    </row>
    <row r="2799">
      <c r="E2799">
        <f>IF(DATOS!$I2799="","",IFERROR(VLOOKUP(DATOS!$I2799,CONFIG_ASIGNATURAS!$B$2:$J$61,9,FALSE()),""))</f>
      </c>
    </row>
    <row r="2800">
      <c r="E2800">
        <f>IF(DATOS!$I2800="","",IFERROR(VLOOKUP(DATOS!$I2800,CONFIG_ASIGNATURAS!$B$2:$J$61,9,FALSE()),""))</f>
      </c>
    </row>
    <row r="2801">
      <c r="E2801">
        <f>IF(DATOS!$I2801="","",IFERROR(VLOOKUP(DATOS!$I2801,CONFIG_ASIGNATURAS!$B$2:$J$61,9,FALSE()),""))</f>
      </c>
    </row>
    <row r="2802">
      <c r="E2802">
        <f>IF(DATOS!$I2802="","",IFERROR(VLOOKUP(DATOS!$I2802,CONFIG_ASIGNATURAS!$B$2:$J$61,9,FALSE()),""))</f>
      </c>
    </row>
    <row r="2803">
      <c r="E2803">
        <f>IF(DATOS!$I2803="","",IFERROR(VLOOKUP(DATOS!$I2803,CONFIG_ASIGNATURAS!$B$2:$J$61,9,FALSE()),""))</f>
      </c>
    </row>
    <row r="2804">
      <c r="E2804">
        <f>IF(DATOS!$I2804="","",IFERROR(VLOOKUP(DATOS!$I2804,CONFIG_ASIGNATURAS!$B$2:$J$61,9,FALSE()),""))</f>
      </c>
    </row>
    <row r="2805">
      <c r="E2805">
        <f>IF(DATOS!$I2805="","",IFERROR(VLOOKUP(DATOS!$I2805,CONFIG_ASIGNATURAS!$B$2:$J$61,9,FALSE()),""))</f>
      </c>
    </row>
    <row r="2806">
      <c r="E2806">
        <f>IF(DATOS!$I2806="","",IFERROR(VLOOKUP(DATOS!$I2806,CONFIG_ASIGNATURAS!$B$2:$J$61,9,FALSE()),""))</f>
      </c>
    </row>
    <row r="2807">
      <c r="E2807">
        <f>IF(DATOS!$I2807="","",IFERROR(VLOOKUP(DATOS!$I2807,CONFIG_ASIGNATURAS!$B$2:$J$61,9,FALSE()),""))</f>
      </c>
    </row>
    <row r="2808">
      <c r="E2808">
        <f>IF(DATOS!$I2808="","",IFERROR(VLOOKUP(DATOS!$I2808,CONFIG_ASIGNATURAS!$B$2:$J$61,9,FALSE()),""))</f>
      </c>
    </row>
    <row r="2809">
      <c r="E2809">
        <f>IF(DATOS!$I2809="","",IFERROR(VLOOKUP(DATOS!$I2809,CONFIG_ASIGNATURAS!$B$2:$J$61,9,FALSE()),""))</f>
      </c>
    </row>
    <row r="2810">
      <c r="E2810">
        <f>IF(DATOS!$I2810="","",IFERROR(VLOOKUP(DATOS!$I2810,CONFIG_ASIGNATURAS!$B$2:$J$61,9,FALSE()),""))</f>
      </c>
    </row>
    <row r="2811">
      <c r="E2811">
        <f>IF(DATOS!$I2811="","",IFERROR(VLOOKUP(DATOS!$I2811,CONFIG_ASIGNATURAS!$B$2:$J$61,9,FALSE()),""))</f>
      </c>
    </row>
    <row r="2812">
      <c r="E2812">
        <f>IF(DATOS!$I2812="","",IFERROR(VLOOKUP(DATOS!$I2812,CONFIG_ASIGNATURAS!$B$2:$J$61,9,FALSE()),""))</f>
      </c>
    </row>
    <row r="2813">
      <c r="E2813">
        <f>IF(DATOS!$I2813="","",IFERROR(VLOOKUP(DATOS!$I2813,CONFIG_ASIGNATURAS!$B$2:$J$61,9,FALSE()),""))</f>
      </c>
    </row>
    <row r="2814">
      <c r="E2814">
        <f>IF(DATOS!$I2814="","",IFERROR(VLOOKUP(DATOS!$I2814,CONFIG_ASIGNATURAS!$B$2:$J$61,9,FALSE()),""))</f>
      </c>
    </row>
    <row r="2815">
      <c r="E2815">
        <f>IF(DATOS!$I2815="","",IFERROR(VLOOKUP(DATOS!$I2815,CONFIG_ASIGNATURAS!$B$2:$J$61,9,FALSE()),""))</f>
      </c>
    </row>
    <row r="2816">
      <c r="E2816">
        <f>IF(DATOS!$I2816="","",IFERROR(VLOOKUP(DATOS!$I2816,CONFIG_ASIGNATURAS!$B$2:$J$61,9,FALSE()),""))</f>
      </c>
    </row>
    <row r="2817">
      <c r="E2817">
        <f>IF(DATOS!$I2817="","",IFERROR(VLOOKUP(DATOS!$I2817,CONFIG_ASIGNATURAS!$B$2:$J$61,9,FALSE()),""))</f>
      </c>
    </row>
    <row r="2818">
      <c r="E2818">
        <f>IF(DATOS!$I2818="","",IFERROR(VLOOKUP(DATOS!$I2818,CONFIG_ASIGNATURAS!$B$2:$J$61,9,FALSE()),""))</f>
      </c>
    </row>
    <row r="2819">
      <c r="E2819">
        <f>IF(DATOS!$I2819="","",IFERROR(VLOOKUP(DATOS!$I2819,CONFIG_ASIGNATURAS!$B$2:$J$61,9,FALSE()),""))</f>
      </c>
    </row>
    <row r="2820">
      <c r="E2820">
        <f>IF(DATOS!$I2820="","",IFERROR(VLOOKUP(DATOS!$I2820,CONFIG_ASIGNATURAS!$B$2:$J$61,9,FALSE()),""))</f>
      </c>
    </row>
    <row r="2821">
      <c r="E2821">
        <f>IF(DATOS!$I2821="","",IFERROR(VLOOKUP(DATOS!$I2821,CONFIG_ASIGNATURAS!$B$2:$J$61,9,FALSE()),""))</f>
      </c>
    </row>
    <row r="2822">
      <c r="E2822">
        <f>IF(DATOS!$I2822="","",IFERROR(VLOOKUP(DATOS!$I2822,CONFIG_ASIGNATURAS!$B$2:$J$61,9,FALSE()),""))</f>
      </c>
    </row>
    <row r="2823">
      <c r="E2823">
        <f>IF(DATOS!$I2823="","",IFERROR(VLOOKUP(DATOS!$I2823,CONFIG_ASIGNATURAS!$B$2:$J$61,9,FALSE()),""))</f>
      </c>
    </row>
    <row r="2824">
      <c r="E2824">
        <f>IF(DATOS!$I2824="","",IFERROR(VLOOKUP(DATOS!$I2824,CONFIG_ASIGNATURAS!$B$2:$J$61,9,FALSE()),""))</f>
      </c>
    </row>
    <row r="2825">
      <c r="E2825">
        <f>IF(DATOS!$I2825="","",IFERROR(VLOOKUP(DATOS!$I2825,CONFIG_ASIGNATURAS!$B$2:$J$61,9,FALSE()),""))</f>
      </c>
    </row>
    <row r="2826">
      <c r="E2826">
        <f>IF(DATOS!$I2826="","",IFERROR(VLOOKUP(DATOS!$I2826,CONFIG_ASIGNATURAS!$B$2:$J$61,9,FALSE()),""))</f>
      </c>
    </row>
    <row r="2827">
      <c r="E2827">
        <f>IF(DATOS!$I2827="","",IFERROR(VLOOKUP(DATOS!$I2827,CONFIG_ASIGNATURAS!$B$2:$J$61,9,FALSE()),""))</f>
      </c>
    </row>
    <row r="2828">
      <c r="E2828">
        <f>IF(DATOS!$I2828="","",IFERROR(VLOOKUP(DATOS!$I2828,CONFIG_ASIGNATURAS!$B$2:$J$61,9,FALSE()),""))</f>
      </c>
    </row>
    <row r="2829">
      <c r="E2829">
        <f>IF(DATOS!$I2829="","",IFERROR(VLOOKUP(DATOS!$I2829,CONFIG_ASIGNATURAS!$B$2:$J$61,9,FALSE()),""))</f>
      </c>
    </row>
    <row r="2830">
      <c r="E2830">
        <f>IF(DATOS!$I2830="","",IFERROR(VLOOKUP(DATOS!$I2830,CONFIG_ASIGNATURAS!$B$2:$J$61,9,FALSE()),""))</f>
      </c>
    </row>
    <row r="2831">
      <c r="E2831">
        <f>IF(DATOS!$I2831="","",IFERROR(VLOOKUP(DATOS!$I2831,CONFIG_ASIGNATURAS!$B$2:$J$61,9,FALSE()),""))</f>
      </c>
    </row>
    <row r="2832">
      <c r="E2832">
        <f>IF(DATOS!$I2832="","",IFERROR(VLOOKUP(DATOS!$I2832,CONFIG_ASIGNATURAS!$B$2:$J$61,9,FALSE()),""))</f>
      </c>
    </row>
    <row r="2833">
      <c r="E2833">
        <f>IF(DATOS!$I2833="","",IFERROR(VLOOKUP(DATOS!$I2833,CONFIG_ASIGNATURAS!$B$2:$J$61,9,FALSE()),""))</f>
      </c>
    </row>
    <row r="2834">
      <c r="E2834">
        <f>IF(DATOS!$I2834="","",IFERROR(VLOOKUP(DATOS!$I2834,CONFIG_ASIGNATURAS!$B$2:$J$61,9,FALSE()),""))</f>
      </c>
    </row>
    <row r="2835">
      <c r="E2835">
        <f>IF(DATOS!$I2835="","",IFERROR(VLOOKUP(DATOS!$I2835,CONFIG_ASIGNATURAS!$B$2:$J$61,9,FALSE()),""))</f>
      </c>
    </row>
    <row r="2836">
      <c r="E2836">
        <f>IF(DATOS!$I2836="","",IFERROR(VLOOKUP(DATOS!$I2836,CONFIG_ASIGNATURAS!$B$2:$J$61,9,FALSE()),""))</f>
      </c>
    </row>
    <row r="2837">
      <c r="E2837">
        <f>IF(DATOS!$I2837="","",IFERROR(VLOOKUP(DATOS!$I2837,CONFIG_ASIGNATURAS!$B$2:$J$61,9,FALSE()),""))</f>
      </c>
    </row>
    <row r="2838">
      <c r="E2838">
        <f>IF(DATOS!$I2838="","",IFERROR(VLOOKUP(DATOS!$I2838,CONFIG_ASIGNATURAS!$B$2:$J$61,9,FALSE()),""))</f>
      </c>
    </row>
    <row r="2839">
      <c r="E2839">
        <f>IF(DATOS!$I2839="","",IFERROR(VLOOKUP(DATOS!$I2839,CONFIG_ASIGNATURAS!$B$2:$J$61,9,FALSE()),""))</f>
      </c>
    </row>
    <row r="2840">
      <c r="E2840">
        <f>IF(DATOS!$I2840="","",IFERROR(VLOOKUP(DATOS!$I2840,CONFIG_ASIGNATURAS!$B$2:$J$61,9,FALSE()),""))</f>
      </c>
    </row>
    <row r="2841">
      <c r="E2841">
        <f>IF(DATOS!$I2841="","",IFERROR(VLOOKUP(DATOS!$I2841,CONFIG_ASIGNATURAS!$B$2:$J$61,9,FALSE()),""))</f>
      </c>
    </row>
    <row r="2842">
      <c r="E2842">
        <f>IF(DATOS!$I2842="","",IFERROR(VLOOKUP(DATOS!$I2842,CONFIG_ASIGNATURAS!$B$2:$J$61,9,FALSE()),""))</f>
      </c>
    </row>
    <row r="2843">
      <c r="E2843">
        <f>IF(DATOS!$I2843="","",IFERROR(VLOOKUP(DATOS!$I2843,CONFIG_ASIGNATURAS!$B$2:$J$61,9,FALSE()),""))</f>
      </c>
    </row>
    <row r="2844">
      <c r="E2844">
        <f>IF(DATOS!$I2844="","",IFERROR(VLOOKUP(DATOS!$I2844,CONFIG_ASIGNATURAS!$B$2:$J$61,9,FALSE()),""))</f>
      </c>
    </row>
    <row r="2845">
      <c r="E2845">
        <f>IF(DATOS!$I2845="","",IFERROR(VLOOKUP(DATOS!$I2845,CONFIG_ASIGNATURAS!$B$2:$J$61,9,FALSE()),""))</f>
      </c>
    </row>
    <row r="2846">
      <c r="E2846">
        <f>IF(DATOS!$I2846="","",IFERROR(VLOOKUP(DATOS!$I2846,CONFIG_ASIGNATURAS!$B$2:$J$61,9,FALSE()),""))</f>
      </c>
    </row>
    <row r="2847">
      <c r="E2847">
        <f>IF(DATOS!$I2847="","",IFERROR(VLOOKUP(DATOS!$I2847,CONFIG_ASIGNATURAS!$B$2:$J$61,9,FALSE()),""))</f>
      </c>
    </row>
    <row r="2848">
      <c r="E2848">
        <f>IF(DATOS!$I2848="","",IFERROR(VLOOKUP(DATOS!$I2848,CONFIG_ASIGNATURAS!$B$2:$J$61,9,FALSE()),""))</f>
      </c>
    </row>
    <row r="2849">
      <c r="E2849">
        <f>IF(DATOS!$I2849="","",IFERROR(VLOOKUP(DATOS!$I2849,CONFIG_ASIGNATURAS!$B$2:$J$61,9,FALSE()),""))</f>
      </c>
    </row>
    <row r="2850">
      <c r="E2850">
        <f>IF(DATOS!$I2850="","",IFERROR(VLOOKUP(DATOS!$I2850,CONFIG_ASIGNATURAS!$B$2:$J$61,9,FALSE()),""))</f>
      </c>
    </row>
    <row r="2851">
      <c r="E2851">
        <f>IF(DATOS!$I2851="","",IFERROR(VLOOKUP(DATOS!$I2851,CONFIG_ASIGNATURAS!$B$2:$J$61,9,FALSE()),""))</f>
      </c>
    </row>
    <row r="2852">
      <c r="E2852">
        <f>IF(DATOS!$I2852="","",IFERROR(VLOOKUP(DATOS!$I2852,CONFIG_ASIGNATURAS!$B$2:$J$61,9,FALSE()),""))</f>
      </c>
    </row>
    <row r="2853">
      <c r="E2853">
        <f>IF(DATOS!$I2853="","",IFERROR(VLOOKUP(DATOS!$I2853,CONFIG_ASIGNATURAS!$B$2:$J$61,9,FALSE()),""))</f>
      </c>
    </row>
    <row r="2854">
      <c r="E2854">
        <f>IF(DATOS!$I2854="","",IFERROR(VLOOKUP(DATOS!$I2854,CONFIG_ASIGNATURAS!$B$2:$J$61,9,FALSE()),""))</f>
      </c>
    </row>
    <row r="2855">
      <c r="E2855">
        <f>IF(DATOS!$I2855="","",IFERROR(VLOOKUP(DATOS!$I2855,CONFIG_ASIGNATURAS!$B$2:$J$61,9,FALSE()),""))</f>
      </c>
    </row>
    <row r="2856">
      <c r="E2856">
        <f>IF(DATOS!$I2856="","",IFERROR(VLOOKUP(DATOS!$I2856,CONFIG_ASIGNATURAS!$B$2:$J$61,9,FALSE()),""))</f>
      </c>
    </row>
    <row r="2857">
      <c r="E2857">
        <f>IF(DATOS!$I2857="","",IFERROR(VLOOKUP(DATOS!$I2857,CONFIG_ASIGNATURAS!$B$2:$J$61,9,FALSE()),""))</f>
      </c>
    </row>
    <row r="2858">
      <c r="E2858">
        <f>IF(DATOS!$I2858="","",IFERROR(VLOOKUP(DATOS!$I2858,CONFIG_ASIGNATURAS!$B$2:$J$61,9,FALSE()),""))</f>
      </c>
    </row>
    <row r="2859">
      <c r="E2859">
        <f>IF(DATOS!$I2859="","",IFERROR(VLOOKUP(DATOS!$I2859,CONFIG_ASIGNATURAS!$B$2:$J$61,9,FALSE()),""))</f>
      </c>
    </row>
    <row r="2860">
      <c r="E2860">
        <f>IF(DATOS!$I2860="","",IFERROR(VLOOKUP(DATOS!$I2860,CONFIG_ASIGNATURAS!$B$2:$J$61,9,FALSE()),""))</f>
      </c>
    </row>
    <row r="2861">
      <c r="E2861">
        <f>IF(DATOS!$I2861="","",IFERROR(VLOOKUP(DATOS!$I2861,CONFIG_ASIGNATURAS!$B$2:$J$61,9,FALSE()),""))</f>
      </c>
    </row>
    <row r="2862">
      <c r="E2862">
        <f>IF(DATOS!$I2862="","",IFERROR(VLOOKUP(DATOS!$I2862,CONFIG_ASIGNATURAS!$B$2:$J$61,9,FALSE()),""))</f>
      </c>
    </row>
    <row r="2863">
      <c r="E2863">
        <f>IF(DATOS!$I2863="","",IFERROR(VLOOKUP(DATOS!$I2863,CONFIG_ASIGNATURAS!$B$2:$J$61,9,FALSE()),""))</f>
      </c>
    </row>
    <row r="2864">
      <c r="E2864">
        <f>IF(DATOS!$I2864="","",IFERROR(VLOOKUP(DATOS!$I2864,CONFIG_ASIGNATURAS!$B$2:$J$61,9,FALSE()),""))</f>
      </c>
    </row>
    <row r="2865">
      <c r="E2865">
        <f>IF(DATOS!$I2865="","",IFERROR(VLOOKUP(DATOS!$I2865,CONFIG_ASIGNATURAS!$B$2:$J$61,9,FALSE()),""))</f>
      </c>
    </row>
    <row r="2866">
      <c r="E2866">
        <f>IF(DATOS!$I2866="","",IFERROR(VLOOKUP(DATOS!$I2866,CONFIG_ASIGNATURAS!$B$2:$J$61,9,FALSE()),""))</f>
      </c>
    </row>
    <row r="2867">
      <c r="E2867">
        <f>IF(DATOS!$I2867="","",IFERROR(VLOOKUP(DATOS!$I2867,CONFIG_ASIGNATURAS!$B$2:$J$61,9,FALSE()),""))</f>
      </c>
    </row>
    <row r="2868">
      <c r="E2868">
        <f>IF(DATOS!$I2868="","",IFERROR(VLOOKUP(DATOS!$I2868,CONFIG_ASIGNATURAS!$B$2:$J$61,9,FALSE()),""))</f>
      </c>
    </row>
    <row r="2869">
      <c r="E2869">
        <f>IF(DATOS!$I2869="","",IFERROR(VLOOKUP(DATOS!$I2869,CONFIG_ASIGNATURAS!$B$2:$J$61,9,FALSE()),""))</f>
      </c>
    </row>
    <row r="2870">
      <c r="E2870">
        <f>IF(DATOS!$I2870="","",IFERROR(VLOOKUP(DATOS!$I2870,CONFIG_ASIGNATURAS!$B$2:$J$61,9,FALSE()),""))</f>
      </c>
    </row>
    <row r="2871">
      <c r="E2871">
        <f>IF(DATOS!$I2871="","",IFERROR(VLOOKUP(DATOS!$I2871,CONFIG_ASIGNATURAS!$B$2:$J$61,9,FALSE()),""))</f>
      </c>
    </row>
    <row r="2872">
      <c r="E2872">
        <f>IF(DATOS!$I2872="","",IFERROR(VLOOKUP(DATOS!$I2872,CONFIG_ASIGNATURAS!$B$2:$J$61,9,FALSE()),""))</f>
      </c>
    </row>
    <row r="2873">
      <c r="E2873">
        <f>IF(DATOS!$I2873="","",IFERROR(VLOOKUP(DATOS!$I2873,CONFIG_ASIGNATURAS!$B$2:$J$61,9,FALSE()),""))</f>
      </c>
    </row>
    <row r="2874">
      <c r="E2874">
        <f>IF(DATOS!$I2874="","",IFERROR(VLOOKUP(DATOS!$I2874,CONFIG_ASIGNATURAS!$B$2:$J$61,9,FALSE()),""))</f>
      </c>
    </row>
    <row r="2875">
      <c r="E2875">
        <f>IF(DATOS!$I2875="","",IFERROR(VLOOKUP(DATOS!$I2875,CONFIG_ASIGNATURAS!$B$2:$J$61,9,FALSE()),""))</f>
      </c>
    </row>
    <row r="2876">
      <c r="E2876">
        <f>IF(DATOS!$I2876="","",IFERROR(VLOOKUP(DATOS!$I2876,CONFIG_ASIGNATURAS!$B$2:$J$61,9,FALSE()),""))</f>
      </c>
    </row>
    <row r="2877">
      <c r="E2877">
        <f>IF(DATOS!$I2877="","",IFERROR(VLOOKUP(DATOS!$I2877,CONFIG_ASIGNATURAS!$B$2:$J$61,9,FALSE()),""))</f>
      </c>
    </row>
    <row r="2878">
      <c r="E2878">
        <f>IF(DATOS!$I2878="","",IFERROR(VLOOKUP(DATOS!$I2878,CONFIG_ASIGNATURAS!$B$2:$J$61,9,FALSE()),""))</f>
      </c>
    </row>
    <row r="2879">
      <c r="E2879">
        <f>IF(DATOS!$I2879="","",IFERROR(VLOOKUP(DATOS!$I2879,CONFIG_ASIGNATURAS!$B$2:$J$61,9,FALSE()),""))</f>
      </c>
    </row>
    <row r="2880">
      <c r="E2880">
        <f>IF(DATOS!$I2880="","",IFERROR(VLOOKUP(DATOS!$I2880,CONFIG_ASIGNATURAS!$B$2:$J$61,9,FALSE()),""))</f>
      </c>
    </row>
    <row r="2881">
      <c r="E2881">
        <f>IF(DATOS!$I2881="","",IFERROR(VLOOKUP(DATOS!$I2881,CONFIG_ASIGNATURAS!$B$2:$J$61,9,FALSE()),""))</f>
      </c>
    </row>
    <row r="2882">
      <c r="E2882">
        <f>IF(DATOS!$I2882="","",IFERROR(VLOOKUP(DATOS!$I2882,CONFIG_ASIGNATURAS!$B$2:$J$61,9,FALSE()),""))</f>
      </c>
    </row>
    <row r="2883">
      <c r="E2883">
        <f>IF(DATOS!$I2883="","",IFERROR(VLOOKUP(DATOS!$I2883,CONFIG_ASIGNATURAS!$B$2:$J$61,9,FALSE()),""))</f>
      </c>
    </row>
    <row r="2884">
      <c r="E2884">
        <f>IF(DATOS!$I2884="","",IFERROR(VLOOKUP(DATOS!$I2884,CONFIG_ASIGNATURAS!$B$2:$J$61,9,FALSE()),""))</f>
      </c>
    </row>
    <row r="2885">
      <c r="E2885">
        <f>IF(DATOS!$I2885="","",IFERROR(VLOOKUP(DATOS!$I2885,CONFIG_ASIGNATURAS!$B$2:$J$61,9,FALSE()),""))</f>
      </c>
    </row>
    <row r="2886">
      <c r="E2886">
        <f>IF(DATOS!$I2886="","",IFERROR(VLOOKUP(DATOS!$I2886,CONFIG_ASIGNATURAS!$B$2:$J$61,9,FALSE()),""))</f>
      </c>
    </row>
    <row r="2887">
      <c r="E2887">
        <f>IF(DATOS!$I2887="","",IFERROR(VLOOKUP(DATOS!$I2887,CONFIG_ASIGNATURAS!$B$2:$J$61,9,FALSE()),""))</f>
      </c>
    </row>
    <row r="2888">
      <c r="E2888">
        <f>IF(DATOS!$I2888="","",IFERROR(VLOOKUP(DATOS!$I2888,CONFIG_ASIGNATURAS!$B$2:$J$61,9,FALSE()),""))</f>
      </c>
    </row>
    <row r="2889">
      <c r="E2889">
        <f>IF(DATOS!$I2889="","",IFERROR(VLOOKUP(DATOS!$I2889,CONFIG_ASIGNATURAS!$B$2:$J$61,9,FALSE()),""))</f>
      </c>
    </row>
    <row r="2890">
      <c r="E2890">
        <f>IF(DATOS!$I2890="","",IFERROR(VLOOKUP(DATOS!$I2890,CONFIG_ASIGNATURAS!$B$2:$J$61,9,FALSE()),""))</f>
      </c>
    </row>
    <row r="2891">
      <c r="E2891">
        <f>IF(DATOS!$I2891="","",IFERROR(VLOOKUP(DATOS!$I2891,CONFIG_ASIGNATURAS!$B$2:$J$61,9,FALSE()),""))</f>
      </c>
    </row>
    <row r="2892">
      <c r="E2892">
        <f>IF(DATOS!$I2892="","",IFERROR(VLOOKUP(DATOS!$I2892,CONFIG_ASIGNATURAS!$B$2:$J$61,9,FALSE()),""))</f>
      </c>
    </row>
    <row r="2893">
      <c r="E2893">
        <f>IF(DATOS!$I2893="","",IFERROR(VLOOKUP(DATOS!$I2893,CONFIG_ASIGNATURAS!$B$2:$J$61,9,FALSE()),""))</f>
      </c>
    </row>
    <row r="2894">
      <c r="E2894">
        <f>IF(DATOS!$I2894="","",IFERROR(VLOOKUP(DATOS!$I2894,CONFIG_ASIGNATURAS!$B$2:$J$61,9,FALSE()),""))</f>
      </c>
    </row>
    <row r="2895">
      <c r="E2895">
        <f>IF(DATOS!$I2895="","",IFERROR(VLOOKUP(DATOS!$I2895,CONFIG_ASIGNATURAS!$B$2:$J$61,9,FALSE()),""))</f>
      </c>
    </row>
    <row r="2896">
      <c r="E2896">
        <f>IF(DATOS!$I2896="","",IFERROR(VLOOKUP(DATOS!$I2896,CONFIG_ASIGNATURAS!$B$2:$J$61,9,FALSE()),""))</f>
      </c>
    </row>
    <row r="2897">
      <c r="E2897">
        <f>IF(DATOS!$I2897="","",IFERROR(VLOOKUP(DATOS!$I2897,CONFIG_ASIGNATURAS!$B$2:$J$61,9,FALSE()),""))</f>
      </c>
    </row>
    <row r="2898">
      <c r="E2898">
        <f>IF(DATOS!$I2898="","",IFERROR(VLOOKUP(DATOS!$I2898,CONFIG_ASIGNATURAS!$B$2:$J$61,9,FALSE()),""))</f>
      </c>
    </row>
    <row r="2899">
      <c r="E2899">
        <f>IF(DATOS!$I2899="","",IFERROR(VLOOKUP(DATOS!$I2899,CONFIG_ASIGNATURAS!$B$2:$J$61,9,FALSE()),""))</f>
      </c>
    </row>
    <row r="2900">
      <c r="E2900">
        <f>IF(DATOS!$I2900="","",IFERROR(VLOOKUP(DATOS!$I2900,CONFIG_ASIGNATURAS!$B$2:$J$61,9,FALSE()),""))</f>
      </c>
    </row>
    <row r="2901">
      <c r="E2901">
        <f>IF(DATOS!$I2901="","",IFERROR(VLOOKUP(DATOS!$I2901,CONFIG_ASIGNATURAS!$B$2:$J$61,9,FALSE()),""))</f>
      </c>
    </row>
    <row r="2902">
      <c r="E2902">
        <f>IF(DATOS!$I2902="","",IFERROR(VLOOKUP(DATOS!$I2902,CONFIG_ASIGNATURAS!$B$2:$J$61,9,FALSE()),""))</f>
      </c>
    </row>
    <row r="2903">
      <c r="E2903">
        <f>IF(DATOS!$I2903="","",IFERROR(VLOOKUP(DATOS!$I2903,CONFIG_ASIGNATURAS!$B$2:$J$61,9,FALSE()),""))</f>
      </c>
    </row>
    <row r="2904">
      <c r="E2904">
        <f>IF(DATOS!$I2904="","",IFERROR(VLOOKUP(DATOS!$I2904,CONFIG_ASIGNATURAS!$B$2:$J$61,9,FALSE()),""))</f>
      </c>
    </row>
    <row r="2905">
      <c r="E2905">
        <f>IF(DATOS!$I2905="","",IFERROR(VLOOKUP(DATOS!$I2905,CONFIG_ASIGNATURAS!$B$2:$J$61,9,FALSE()),""))</f>
      </c>
    </row>
    <row r="2906">
      <c r="E2906">
        <f>IF(DATOS!$I2906="","",IFERROR(VLOOKUP(DATOS!$I2906,CONFIG_ASIGNATURAS!$B$2:$J$61,9,FALSE()),""))</f>
      </c>
    </row>
    <row r="2907">
      <c r="E2907">
        <f>IF(DATOS!$I2907="","",IFERROR(VLOOKUP(DATOS!$I2907,CONFIG_ASIGNATURAS!$B$2:$J$61,9,FALSE()),""))</f>
      </c>
    </row>
    <row r="2908">
      <c r="E2908">
        <f>IF(DATOS!$I2908="","",IFERROR(VLOOKUP(DATOS!$I2908,CONFIG_ASIGNATURAS!$B$2:$J$61,9,FALSE()),""))</f>
      </c>
    </row>
    <row r="2909">
      <c r="E2909">
        <f>IF(DATOS!$I2909="","",IFERROR(VLOOKUP(DATOS!$I2909,CONFIG_ASIGNATURAS!$B$2:$J$61,9,FALSE()),""))</f>
      </c>
    </row>
    <row r="2910">
      <c r="E2910">
        <f>IF(DATOS!$I2910="","",IFERROR(VLOOKUP(DATOS!$I2910,CONFIG_ASIGNATURAS!$B$2:$J$61,9,FALSE()),""))</f>
      </c>
    </row>
    <row r="2911">
      <c r="E2911">
        <f>IF(DATOS!$I2911="","",IFERROR(VLOOKUP(DATOS!$I2911,CONFIG_ASIGNATURAS!$B$2:$J$61,9,FALSE()),""))</f>
      </c>
    </row>
    <row r="2912">
      <c r="E2912">
        <f>IF(DATOS!$I2912="","",IFERROR(VLOOKUP(DATOS!$I2912,CONFIG_ASIGNATURAS!$B$2:$J$61,9,FALSE()),""))</f>
      </c>
    </row>
    <row r="2913">
      <c r="E2913">
        <f>IF(DATOS!$I2913="","",IFERROR(VLOOKUP(DATOS!$I2913,CONFIG_ASIGNATURAS!$B$2:$J$61,9,FALSE()),""))</f>
      </c>
    </row>
    <row r="2914">
      <c r="E2914">
        <f>IF(DATOS!$I2914="","",IFERROR(VLOOKUP(DATOS!$I2914,CONFIG_ASIGNATURAS!$B$2:$J$61,9,FALSE()),""))</f>
      </c>
    </row>
    <row r="2915">
      <c r="E2915">
        <f>IF(DATOS!$I2915="","",IFERROR(VLOOKUP(DATOS!$I2915,CONFIG_ASIGNATURAS!$B$2:$J$61,9,FALSE()),""))</f>
      </c>
    </row>
    <row r="2916">
      <c r="E2916">
        <f>IF(DATOS!$I2916="","",IFERROR(VLOOKUP(DATOS!$I2916,CONFIG_ASIGNATURAS!$B$2:$J$61,9,FALSE()),""))</f>
      </c>
    </row>
    <row r="2917">
      <c r="E2917">
        <f>IF(DATOS!$I2917="","",IFERROR(VLOOKUP(DATOS!$I2917,CONFIG_ASIGNATURAS!$B$2:$J$61,9,FALSE()),""))</f>
      </c>
    </row>
    <row r="2918">
      <c r="E2918">
        <f>IF(DATOS!$I2918="","",IFERROR(VLOOKUP(DATOS!$I2918,CONFIG_ASIGNATURAS!$B$2:$J$61,9,FALSE()),""))</f>
      </c>
    </row>
    <row r="2919">
      <c r="E2919">
        <f>IF(DATOS!$I2919="","",IFERROR(VLOOKUP(DATOS!$I2919,CONFIG_ASIGNATURAS!$B$2:$J$61,9,FALSE()),""))</f>
      </c>
    </row>
    <row r="2920">
      <c r="E2920">
        <f>IF(DATOS!$I2920="","",IFERROR(VLOOKUP(DATOS!$I2920,CONFIG_ASIGNATURAS!$B$2:$J$61,9,FALSE()),""))</f>
      </c>
    </row>
    <row r="2921">
      <c r="E2921">
        <f>IF(DATOS!$I2921="","",IFERROR(VLOOKUP(DATOS!$I2921,CONFIG_ASIGNATURAS!$B$2:$J$61,9,FALSE()),""))</f>
      </c>
    </row>
    <row r="2922">
      <c r="E2922">
        <f>IF(DATOS!$I2922="","",IFERROR(VLOOKUP(DATOS!$I2922,CONFIG_ASIGNATURAS!$B$2:$J$61,9,FALSE()),""))</f>
      </c>
    </row>
    <row r="2923">
      <c r="E2923">
        <f>IF(DATOS!$I2923="","",IFERROR(VLOOKUP(DATOS!$I2923,CONFIG_ASIGNATURAS!$B$2:$J$61,9,FALSE()),""))</f>
      </c>
    </row>
    <row r="2924">
      <c r="E2924">
        <f>IF(DATOS!$I2924="","",IFERROR(VLOOKUP(DATOS!$I2924,CONFIG_ASIGNATURAS!$B$2:$J$61,9,FALSE()),""))</f>
      </c>
    </row>
    <row r="2925">
      <c r="E2925">
        <f>IF(DATOS!$I2925="","",IFERROR(VLOOKUP(DATOS!$I2925,CONFIG_ASIGNATURAS!$B$2:$J$61,9,FALSE()),""))</f>
      </c>
    </row>
    <row r="2926">
      <c r="E2926">
        <f>IF(DATOS!$I2926="","",IFERROR(VLOOKUP(DATOS!$I2926,CONFIG_ASIGNATURAS!$B$2:$J$61,9,FALSE()),""))</f>
      </c>
    </row>
    <row r="2927">
      <c r="E2927">
        <f>IF(DATOS!$I2927="","",IFERROR(VLOOKUP(DATOS!$I2927,CONFIG_ASIGNATURAS!$B$2:$J$61,9,FALSE()),""))</f>
      </c>
    </row>
    <row r="2928">
      <c r="E2928">
        <f>IF(DATOS!$I2928="","",IFERROR(VLOOKUP(DATOS!$I2928,CONFIG_ASIGNATURAS!$B$2:$J$61,9,FALSE()),""))</f>
      </c>
    </row>
    <row r="2929">
      <c r="E2929">
        <f>IF(DATOS!$I2929="","",IFERROR(VLOOKUP(DATOS!$I2929,CONFIG_ASIGNATURAS!$B$2:$J$61,9,FALSE()),""))</f>
      </c>
    </row>
    <row r="2930">
      <c r="E2930">
        <f>IF(DATOS!$I2930="","",IFERROR(VLOOKUP(DATOS!$I2930,CONFIG_ASIGNATURAS!$B$2:$J$61,9,FALSE()),""))</f>
      </c>
    </row>
    <row r="2931">
      <c r="E2931">
        <f>IF(DATOS!$I2931="","",IFERROR(VLOOKUP(DATOS!$I2931,CONFIG_ASIGNATURAS!$B$2:$J$61,9,FALSE()),""))</f>
      </c>
    </row>
    <row r="2932">
      <c r="E2932">
        <f>IF(DATOS!$I2932="","",IFERROR(VLOOKUP(DATOS!$I2932,CONFIG_ASIGNATURAS!$B$2:$J$61,9,FALSE()),""))</f>
      </c>
    </row>
    <row r="2933">
      <c r="E2933">
        <f>IF(DATOS!$I2933="","",IFERROR(VLOOKUP(DATOS!$I2933,CONFIG_ASIGNATURAS!$B$2:$J$61,9,FALSE()),""))</f>
      </c>
    </row>
    <row r="2934">
      <c r="E2934">
        <f>IF(DATOS!$I2934="","",IFERROR(VLOOKUP(DATOS!$I2934,CONFIG_ASIGNATURAS!$B$2:$J$61,9,FALSE()),""))</f>
      </c>
    </row>
    <row r="2935">
      <c r="E2935">
        <f>IF(DATOS!$I2935="","",IFERROR(VLOOKUP(DATOS!$I2935,CONFIG_ASIGNATURAS!$B$2:$J$61,9,FALSE()),""))</f>
      </c>
    </row>
    <row r="2936">
      <c r="E2936">
        <f>IF(DATOS!$I2936="","",IFERROR(VLOOKUP(DATOS!$I2936,CONFIG_ASIGNATURAS!$B$2:$J$61,9,FALSE()),""))</f>
      </c>
    </row>
    <row r="2937">
      <c r="E2937">
        <f>IF(DATOS!$I2937="","",IFERROR(VLOOKUP(DATOS!$I2937,CONFIG_ASIGNATURAS!$B$2:$J$61,9,FALSE()),""))</f>
      </c>
    </row>
    <row r="2938">
      <c r="E2938">
        <f>IF(DATOS!$I2938="","",IFERROR(VLOOKUP(DATOS!$I2938,CONFIG_ASIGNATURAS!$B$2:$J$61,9,FALSE()),""))</f>
      </c>
    </row>
    <row r="2939">
      <c r="E2939">
        <f>IF(DATOS!$I2939="","",IFERROR(VLOOKUP(DATOS!$I2939,CONFIG_ASIGNATURAS!$B$2:$J$61,9,FALSE()),""))</f>
      </c>
    </row>
    <row r="2940">
      <c r="E2940">
        <f>IF(DATOS!$I2940="","",IFERROR(VLOOKUP(DATOS!$I2940,CONFIG_ASIGNATURAS!$B$2:$J$61,9,FALSE()),""))</f>
      </c>
    </row>
    <row r="2941">
      <c r="E2941">
        <f>IF(DATOS!$I2941="","",IFERROR(VLOOKUP(DATOS!$I2941,CONFIG_ASIGNATURAS!$B$2:$J$61,9,FALSE()),""))</f>
      </c>
    </row>
    <row r="2942">
      <c r="E2942">
        <f>IF(DATOS!$I2942="","",IFERROR(VLOOKUP(DATOS!$I2942,CONFIG_ASIGNATURAS!$B$2:$J$61,9,FALSE()),""))</f>
      </c>
    </row>
    <row r="2943">
      <c r="E2943">
        <f>IF(DATOS!$I2943="","",IFERROR(VLOOKUP(DATOS!$I2943,CONFIG_ASIGNATURAS!$B$2:$J$61,9,FALSE()),""))</f>
      </c>
    </row>
    <row r="2944">
      <c r="E2944">
        <f>IF(DATOS!$I2944="","",IFERROR(VLOOKUP(DATOS!$I2944,CONFIG_ASIGNATURAS!$B$2:$J$61,9,FALSE()),""))</f>
      </c>
    </row>
    <row r="2945">
      <c r="E2945">
        <f>IF(DATOS!$I2945="","",IFERROR(VLOOKUP(DATOS!$I2945,CONFIG_ASIGNATURAS!$B$2:$J$61,9,FALSE()),""))</f>
      </c>
    </row>
    <row r="2946">
      <c r="E2946">
        <f>IF(DATOS!$I2946="","",IFERROR(VLOOKUP(DATOS!$I2946,CONFIG_ASIGNATURAS!$B$2:$J$61,9,FALSE()),""))</f>
      </c>
    </row>
    <row r="2947">
      <c r="E2947">
        <f>IF(DATOS!$I2947="","",IFERROR(VLOOKUP(DATOS!$I2947,CONFIG_ASIGNATURAS!$B$2:$J$61,9,FALSE()),""))</f>
      </c>
    </row>
    <row r="2948">
      <c r="E2948">
        <f>IF(DATOS!$I2948="","",IFERROR(VLOOKUP(DATOS!$I2948,CONFIG_ASIGNATURAS!$B$2:$J$61,9,FALSE()),""))</f>
      </c>
    </row>
    <row r="2949">
      <c r="E2949">
        <f>IF(DATOS!$I2949="","",IFERROR(VLOOKUP(DATOS!$I2949,CONFIG_ASIGNATURAS!$B$2:$J$61,9,FALSE()),""))</f>
      </c>
    </row>
    <row r="2950">
      <c r="E2950">
        <f>IF(DATOS!$I2950="","",IFERROR(VLOOKUP(DATOS!$I2950,CONFIG_ASIGNATURAS!$B$2:$J$61,9,FALSE()),""))</f>
      </c>
    </row>
    <row r="2951">
      <c r="E2951">
        <f>IF(DATOS!$I2951="","",IFERROR(VLOOKUP(DATOS!$I2951,CONFIG_ASIGNATURAS!$B$2:$J$61,9,FALSE()),""))</f>
      </c>
    </row>
    <row r="2952">
      <c r="E2952">
        <f>IF(DATOS!$I2952="","",IFERROR(VLOOKUP(DATOS!$I2952,CONFIG_ASIGNATURAS!$B$2:$J$61,9,FALSE()),""))</f>
      </c>
    </row>
    <row r="2953">
      <c r="E2953">
        <f>IF(DATOS!$I2953="","",IFERROR(VLOOKUP(DATOS!$I2953,CONFIG_ASIGNATURAS!$B$2:$J$61,9,FALSE()),""))</f>
      </c>
    </row>
    <row r="2954">
      <c r="E2954">
        <f>IF(DATOS!$I2954="","",IFERROR(VLOOKUP(DATOS!$I2954,CONFIG_ASIGNATURAS!$B$2:$J$61,9,FALSE()),""))</f>
      </c>
    </row>
    <row r="2955">
      <c r="E2955">
        <f>IF(DATOS!$I2955="","",IFERROR(VLOOKUP(DATOS!$I2955,CONFIG_ASIGNATURAS!$B$2:$J$61,9,FALSE()),""))</f>
      </c>
    </row>
    <row r="2956">
      <c r="E2956">
        <f>IF(DATOS!$I2956="","",IFERROR(VLOOKUP(DATOS!$I2956,CONFIG_ASIGNATURAS!$B$2:$J$61,9,FALSE()),""))</f>
      </c>
    </row>
    <row r="2957">
      <c r="E2957">
        <f>IF(DATOS!$I2957="","",IFERROR(VLOOKUP(DATOS!$I2957,CONFIG_ASIGNATURAS!$B$2:$J$61,9,FALSE()),""))</f>
      </c>
    </row>
    <row r="2958">
      <c r="E2958">
        <f>IF(DATOS!$I2958="","",IFERROR(VLOOKUP(DATOS!$I2958,CONFIG_ASIGNATURAS!$B$2:$J$61,9,FALSE()),""))</f>
      </c>
    </row>
    <row r="2959">
      <c r="E2959">
        <f>IF(DATOS!$I2959="","",IFERROR(VLOOKUP(DATOS!$I2959,CONFIG_ASIGNATURAS!$B$2:$J$61,9,FALSE()),""))</f>
      </c>
    </row>
    <row r="2960">
      <c r="E2960">
        <f>IF(DATOS!$I2960="","",IFERROR(VLOOKUP(DATOS!$I2960,CONFIG_ASIGNATURAS!$B$2:$J$61,9,FALSE()),""))</f>
      </c>
    </row>
    <row r="2961">
      <c r="E2961">
        <f>IF(DATOS!$I2961="","",IFERROR(VLOOKUP(DATOS!$I2961,CONFIG_ASIGNATURAS!$B$2:$J$61,9,FALSE()),""))</f>
      </c>
    </row>
    <row r="2962">
      <c r="E2962">
        <f>IF(DATOS!$I2962="","",IFERROR(VLOOKUP(DATOS!$I2962,CONFIG_ASIGNATURAS!$B$2:$J$61,9,FALSE()),""))</f>
      </c>
    </row>
    <row r="2963">
      <c r="E2963">
        <f>IF(DATOS!$I2963="","",IFERROR(VLOOKUP(DATOS!$I2963,CONFIG_ASIGNATURAS!$B$2:$J$61,9,FALSE()),""))</f>
      </c>
    </row>
    <row r="2964">
      <c r="E2964">
        <f>IF(DATOS!$I2964="","",IFERROR(VLOOKUP(DATOS!$I2964,CONFIG_ASIGNATURAS!$B$2:$J$61,9,FALSE()),""))</f>
      </c>
    </row>
    <row r="2965">
      <c r="E2965">
        <f>IF(DATOS!$I2965="","",IFERROR(VLOOKUP(DATOS!$I2965,CONFIG_ASIGNATURAS!$B$2:$J$61,9,FALSE()),""))</f>
      </c>
    </row>
    <row r="2966">
      <c r="E2966">
        <f>IF(DATOS!$I2966="","",IFERROR(VLOOKUP(DATOS!$I2966,CONFIG_ASIGNATURAS!$B$2:$J$61,9,FALSE()),""))</f>
      </c>
    </row>
    <row r="2967">
      <c r="E2967">
        <f>IF(DATOS!$I2967="","",IFERROR(VLOOKUP(DATOS!$I2967,CONFIG_ASIGNATURAS!$B$2:$J$61,9,FALSE()),""))</f>
      </c>
    </row>
    <row r="2968">
      <c r="E2968">
        <f>IF(DATOS!$I2968="","",IFERROR(VLOOKUP(DATOS!$I2968,CONFIG_ASIGNATURAS!$B$2:$J$61,9,FALSE()),""))</f>
      </c>
    </row>
    <row r="2969">
      <c r="E2969">
        <f>IF(DATOS!$I2969="","",IFERROR(VLOOKUP(DATOS!$I2969,CONFIG_ASIGNATURAS!$B$2:$J$61,9,FALSE()),""))</f>
      </c>
    </row>
    <row r="2970">
      <c r="E2970">
        <f>IF(DATOS!$I2970="","",IFERROR(VLOOKUP(DATOS!$I2970,CONFIG_ASIGNATURAS!$B$2:$J$61,9,FALSE()),""))</f>
      </c>
    </row>
    <row r="2971">
      <c r="E2971">
        <f>IF(DATOS!$I2971="","",IFERROR(VLOOKUP(DATOS!$I2971,CONFIG_ASIGNATURAS!$B$2:$J$61,9,FALSE()),""))</f>
      </c>
    </row>
    <row r="2972">
      <c r="E2972">
        <f>IF(DATOS!$I2972="","",IFERROR(VLOOKUP(DATOS!$I2972,CONFIG_ASIGNATURAS!$B$2:$J$61,9,FALSE()),""))</f>
      </c>
    </row>
    <row r="2973">
      <c r="E2973">
        <f>IF(DATOS!$I2973="","",IFERROR(VLOOKUP(DATOS!$I2973,CONFIG_ASIGNATURAS!$B$2:$J$61,9,FALSE()),""))</f>
      </c>
    </row>
    <row r="2974">
      <c r="E2974">
        <f>IF(DATOS!$I2974="","",IFERROR(VLOOKUP(DATOS!$I2974,CONFIG_ASIGNATURAS!$B$2:$J$61,9,FALSE()),""))</f>
      </c>
    </row>
    <row r="2975">
      <c r="E2975">
        <f>IF(DATOS!$I2975="","",IFERROR(VLOOKUP(DATOS!$I2975,CONFIG_ASIGNATURAS!$B$2:$J$61,9,FALSE()),""))</f>
      </c>
    </row>
    <row r="2976">
      <c r="E2976">
        <f>IF(DATOS!$I2976="","",IFERROR(VLOOKUP(DATOS!$I2976,CONFIG_ASIGNATURAS!$B$2:$J$61,9,FALSE()),""))</f>
      </c>
    </row>
    <row r="2977">
      <c r="E2977">
        <f>IF(DATOS!$I2977="","",IFERROR(VLOOKUP(DATOS!$I2977,CONFIG_ASIGNATURAS!$B$2:$J$61,9,FALSE()),""))</f>
      </c>
    </row>
    <row r="2978">
      <c r="E2978">
        <f>IF(DATOS!$I2978="","",IFERROR(VLOOKUP(DATOS!$I2978,CONFIG_ASIGNATURAS!$B$2:$J$61,9,FALSE()),""))</f>
      </c>
    </row>
    <row r="2979">
      <c r="E2979">
        <f>IF(DATOS!$I2979="","",IFERROR(VLOOKUP(DATOS!$I2979,CONFIG_ASIGNATURAS!$B$2:$J$61,9,FALSE()),""))</f>
      </c>
    </row>
    <row r="2980">
      <c r="E2980">
        <f>IF(DATOS!$I2980="","",IFERROR(VLOOKUP(DATOS!$I2980,CONFIG_ASIGNATURAS!$B$2:$J$61,9,FALSE()),""))</f>
      </c>
    </row>
    <row r="2981">
      <c r="E2981">
        <f>IF(DATOS!$I2981="","",IFERROR(VLOOKUP(DATOS!$I2981,CONFIG_ASIGNATURAS!$B$2:$J$61,9,FALSE()),""))</f>
      </c>
    </row>
    <row r="2982">
      <c r="E2982">
        <f>IF(DATOS!$I2982="","",IFERROR(VLOOKUP(DATOS!$I2982,CONFIG_ASIGNATURAS!$B$2:$J$61,9,FALSE()),""))</f>
      </c>
    </row>
    <row r="2983">
      <c r="E2983">
        <f>IF(DATOS!$I2983="","",IFERROR(VLOOKUP(DATOS!$I2983,CONFIG_ASIGNATURAS!$B$2:$J$61,9,FALSE()),""))</f>
      </c>
    </row>
    <row r="2984">
      <c r="E2984">
        <f>IF(DATOS!$I2984="","",IFERROR(VLOOKUP(DATOS!$I2984,CONFIG_ASIGNATURAS!$B$2:$J$61,9,FALSE()),""))</f>
      </c>
    </row>
    <row r="2985">
      <c r="E2985">
        <f>IF(DATOS!$I2985="","",IFERROR(VLOOKUP(DATOS!$I2985,CONFIG_ASIGNATURAS!$B$2:$J$61,9,FALSE()),""))</f>
      </c>
    </row>
    <row r="2986">
      <c r="E2986">
        <f>IF(DATOS!$I2986="","",IFERROR(VLOOKUP(DATOS!$I2986,CONFIG_ASIGNATURAS!$B$2:$J$61,9,FALSE()),""))</f>
      </c>
    </row>
    <row r="2987">
      <c r="E2987">
        <f>IF(DATOS!$I2987="","",IFERROR(VLOOKUP(DATOS!$I2987,CONFIG_ASIGNATURAS!$B$2:$J$61,9,FALSE()),""))</f>
      </c>
    </row>
    <row r="2988">
      <c r="E2988">
        <f>IF(DATOS!$I2988="","",IFERROR(VLOOKUP(DATOS!$I2988,CONFIG_ASIGNATURAS!$B$2:$J$61,9,FALSE()),""))</f>
      </c>
    </row>
    <row r="2989">
      <c r="E2989">
        <f>IF(DATOS!$I2989="","",IFERROR(VLOOKUP(DATOS!$I2989,CONFIG_ASIGNATURAS!$B$2:$J$61,9,FALSE()),""))</f>
      </c>
    </row>
    <row r="2990">
      <c r="E2990">
        <f>IF(DATOS!$I2990="","",IFERROR(VLOOKUP(DATOS!$I2990,CONFIG_ASIGNATURAS!$B$2:$J$61,9,FALSE()),""))</f>
      </c>
    </row>
    <row r="2991">
      <c r="E2991">
        <f>IF(DATOS!$I2991="","",IFERROR(VLOOKUP(DATOS!$I2991,CONFIG_ASIGNATURAS!$B$2:$J$61,9,FALSE()),""))</f>
      </c>
    </row>
    <row r="2992">
      <c r="E2992">
        <f>IF(DATOS!$I2992="","",IFERROR(VLOOKUP(DATOS!$I2992,CONFIG_ASIGNATURAS!$B$2:$J$61,9,FALSE()),""))</f>
      </c>
    </row>
    <row r="2993">
      <c r="E2993">
        <f>IF(DATOS!$I2993="","",IFERROR(VLOOKUP(DATOS!$I2993,CONFIG_ASIGNATURAS!$B$2:$J$61,9,FALSE()),""))</f>
      </c>
    </row>
    <row r="2994">
      <c r="E2994">
        <f>IF(DATOS!$I2994="","",IFERROR(VLOOKUP(DATOS!$I2994,CONFIG_ASIGNATURAS!$B$2:$J$61,9,FALSE()),""))</f>
      </c>
    </row>
    <row r="2995">
      <c r="E2995">
        <f>IF(DATOS!$I2995="","",IFERROR(VLOOKUP(DATOS!$I2995,CONFIG_ASIGNATURAS!$B$2:$J$61,9,FALSE()),""))</f>
      </c>
    </row>
    <row r="2996">
      <c r="E2996">
        <f>IF(DATOS!$I2996="","",IFERROR(VLOOKUP(DATOS!$I2996,CONFIG_ASIGNATURAS!$B$2:$J$61,9,FALSE()),""))</f>
      </c>
    </row>
    <row r="2997">
      <c r="E2997">
        <f>IF(DATOS!$I2997="","",IFERROR(VLOOKUP(DATOS!$I2997,CONFIG_ASIGNATURAS!$B$2:$J$61,9,FALSE()),""))</f>
      </c>
    </row>
    <row r="2998">
      <c r="E2998">
        <f>IF(DATOS!$I2998="","",IFERROR(VLOOKUP(DATOS!$I2998,CONFIG_ASIGNATURAS!$B$2:$J$61,9,FALSE()),""))</f>
      </c>
    </row>
    <row r="2999">
      <c r="E2999">
        <f>IF(DATOS!$I2999="","",IFERROR(VLOOKUP(DATOS!$I2999,CONFIG_ASIGNATURAS!$B$2:$J$61,9,FALSE()),""))</f>
      </c>
    </row>
    <row r="3000">
      <c r="E3000">
        <f>IF(DATOS!$I3000="","",IFERROR(VLOOKUP(DATOS!$I3000,CONFIG_ASIGNATURAS!$B$2:$J$61,9,FALSE()),""))</f>
      </c>
    </row>
    <row r="3001">
      <c r="E3001">
        <f>IF(DATOS!$I3001="","",IFERROR(VLOOKUP(DATOS!$I3001,CONFIG_ASIGNATURAS!$B$2:$J$61,9,FALSE()),""))</f>
      </c>
    </row>
    <row r="3002">
      <c r="E3002">
        <f>IF(DATOS!$I3002="","",IFERROR(VLOOKUP(DATOS!$I3002,CONFIG_ASIGNATURAS!$B$2:$J$61,9,FALSE()),""))</f>
      </c>
    </row>
    <row r="3003">
      <c r="E3003">
        <f>IF(DATOS!$I3003="","",IFERROR(VLOOKUP(DATOS!$I3003,CONFIG_ASIGNATURAS!$B$2:$J$61,9,FALSE()),""))</f>
      </c>
    </row>
    <row r="3004">
      <c r="E3004">
        <f>IF(DATOS!$I3004="","",IFERROR(VLOOKUP(DATOS!$I3004,CONFIG_ASIGNATURAS!$B$2:$J$61,9,FALSE()),""))</f>
      </c>
    </row>
    <row r="3005">
      <c r="E3005">
        <f>IF(DATOS!$I3005="","",IFERROR(VLOOKUP(DATOS!$I3005,CONFIG_ASIGNATURAS!$B$2:$J$61,9,FALSE()),""))</f>
      </c>
    </row>
    <row r="3006">
      <c r="E3006">
        <f>IF(DATOS!$I3006="","",IFERROR(VLOOKUP(DATOS!$I3006,CONFIG_ASIGNATURAS!$B$2:$J$61,9,FALSE()),""))</f>
      </c>
    </row>
    <row r="3007">
      <c r="E3007">
        <f>IF(DATOS!$I3007="","",IFERROR(VLOOKUP(DATOS!$I3007,CONFIG_ASIGNATURAS!$B$2:$J$61,9,FALSE()),""))</f>
      </c>
    </row>
    <row r="3008">
      <c r="E3008">
        <f>IF(DATOS!$I3008="","",IFERROR(VLOOKUP(DATOS!$I3008,CONFIG_ASIGNATURAS!$B$2:$J$61,9,FALSE()),""))</f>
      </c>
    </row>
    <row r="3009">
      <c r="E3009">
        <f>IF(DATOS!$I3009="","",IFERROR(VLOOKUP(DATOS!$I3009,CONFIG_ASIGNATURAS!$B$2:$J$61,9,FALSE()),""))</f>
      </c>
    </row>
    <row r="3010">
      <c r="E3010">
        <f>IF(DATOS!$I3010="","",IFERROR(VLOOKUP(DATOS!$I3010,CONFIG_ASIGNATURAS!$B$2:$J$61,9,FALSE()),""))</f>
      </c>
    </row>
    <row r="3011">
      <c r="E3011">
        <f>IF(DATOS!$I3011="","",IFERROR(VLOOKUP(DATOS!$I3011,CONFIG_ASIGNATURAS!$B$2:$J$61,9,FALSE()),""))</f>
      </c>
    </row>
    <row r="3012">
      <c r="E3012">
        <f>IF(DATOS!$I3012="","",IFERROR(VLOOKUP(DATOS!$I3012,CONFIG_ASIGNATURAS!$B$2:$J$61,9,FALSE()),""))</f>
      </c>
    </row>
    <row r="3013">
      <c r="E3013">
        <f>IF(DATOS!$I3013="","",IFERROR(VLOOKUP(DATOS!$I3013,CONFIG_ASIGNATURAS!$B$2:$J$61,9,FALSE()),""))</f>
      </c>
    </row>
    <row r="3014">
      <c r="E3014">
        <f>IF(DATOS!$I3014="","",IFERROR(VLOOKUP(DATOS!$I3014,CONFIG_ASIGNATURAS!$B$2:$J$61,9,FALSE()),""))</f>
      </c>
    </row>
    <row r="3015">
      <c r="E3015">
        <f>IF(DATOS!$I3015="","",IFERROR(VLOOKUP(DATOS!$I3015,CONFIG_ASIGNATURAS!$B$2:$J$61,9,FALSE()),""))</f>
      </c>
    </row>
    <row r="3016">
      <c r="E3016">
        <f>IF(DATOS!$I3016="","",IFERROR(VLOOKUP(DATOS!$I3016,CONFIG_ASIGNATURAS!$B$2:$J$61,9,FALSE()),""))</f>
      </c>
    </row>
    <row r="3017">
      <c r="E3017">
        <f>IF(DATOS!$I3017="","",IFERROR(VLOOKUP(DATOS!$I3017,CONFIG_ASIGNATURAS!$B$2:$J$61,9,FALSE()),""))</f>
      </c>
    </row>
    <row r="3018">
      <c r="E3018">
        <f>IF(DATOS!$I3018="","",IFERROR(VLOOKUP(DATOS!$I3018,CONFIG_ASIGNATURAS!$B$2:$J$61,9,FALSE()),""))</f>
      </c>
    </row>
    <row r="3019">
      <c r="E3019">
        <f>IF(DATOS!$I3019="","",IFERROR(VLOOKUP(DATOS!$I3019,CONFIG_ASIGNATURAS!$B$2:$J$61,9,FALSE()),""))</f>
      </c>
    </row>
    <row r="3020">
      <c r="E3020">
        <f>IF(DATOS!$I3020="","",IFERROR(VLOOKUP(DATOS!$I3020,CONFIG_ASIGNATURAS!$B$2:$J$61,9,FALSE()),""))</f>
      </c>
    </row>
    <row r="3021">
      <c r="E3021">
        <f>IF(DATOS!$I3021="","",IFERROR(VLOOKUP(DATOS!$I3021,CONFIG_ASIGNATURAS!$B$2:$J$61,9,FALSE()),""))</f>
      </c>
    </row>
    <row r="3022">
      <c r="E3022">
        <f>IF(DATOS!$I3022="","",IFERROR(VLOOKUP(DATOS!$I3022,CONFIG_ASIGNATURAS!$B$2:$J$61,9,FALSE()),""))</f>
      </c>
    </row>
    <row r="3023">
      <c r="E3023">
        <f>IF(DATOS!$I3023="","",IFERROR(VLOOKUP(DATOS!$I3023,CONFIG_ASIGNATURAS!$B$2:$J$61,9,FALSE()),""))</f>
      </c>
    </row>
    <row r="3024">
      <c r="E3024">
        <f>IF(DATOS!$I3024="","",IFERROR(VLOOKUP(DATOS!$I3024,CONFIG_ASIGNATURAS!$B$2:$J$61,9,FALSE()),""))</f>
      </c>
    </row>
    <row r="3025">
      <c r="E3025">
        <f>IF(DATOS!$I3025="","",IFERROR(VLOOKUP(DATOS!$I3025,CONFIG_ASIGNATURAS!$B$2:$J$61,9,FALSE()),""))</f>
      </c>
    </row>
    <row r="3026">
      <c r="E3026">
        <f>IF(DATOS!$I3026="","",IFERROR(VLOOKUP(DATOS!$I3026,CONFIG_ASIGNATURAS!$B$2:$J$61,9,FALSE()),""))</f>
      </c>
    </row>
    <row r="3027">
      <c r="E3027">
        <f>IF(DATOS!$I3027="","",IFERROR(VLOOKUP(DATOS!$I3027,CONFIG_ASIGNATURAS!$B$2:$J$61,9,FALSE()),""))</f>
      </c>
    </row>
    <row r="3028">
      <c r="E3028">
        <f>IF(DATOS!$I3028="","",IFERROR(VLOOKUP(DATOS!$I3028,CONFIG_ASIGNATURAS!$B$2:$J$61,9,FALSE()),""))</f>
      </c>
    </row>
    <row r="3029">
      <c r="E3029">
        <f>IF(DATOS!$I3029="","",IFERROR(VLOOKUP(DATOS!$I3029,CONFIG_ASIGNATURAS!$B$2:$J$61,9,FALSE()),""))</f>
      </c>
    </row>
    <row r="3030">
      <c r="E3030">
        <f>IF(DATOS!$I3030="","",IFERROR(VLOOKUP(DATOS!$I3030,CONFIG_ASIGNATURAS!$B$2:$J$61,9,FALSE()),""))</f>
      </c>
    </row>
    <row r="3031">
      <c r="E3031">
        <f>IF(DATOS!$I3031="","",IFERROR(VLOOKUP(DATOS!$I3031,CONFIG_ASIGNATURAS!$B$2:$J$61,9,FALSE()),""))</f>
      </c>
    </row>
    <row r="3032">
      <c r="E3032">
        <f>IF(DATOS!$I3032="","",IFERROR(VLOOKUP(DATOS!$I3032,CONFIG_ASIGNATURAS!$B$2:$J$61,9,FALSE()),""))</f>
      </c>
    </row>
    <row r="3033">
      <c r="E3033">
        <f>IF(DATOS!$I3033="","",IFERROR(VLOOKUP(DATOS!$I3033,CONFIG_ASIGNATURAS!$B$2:$J$61,9,FALSE()),""))</f>
      </c>
    </row>
    <row r="3034">
      <c r="E3034">
        <f>IF(DATOS!$I3034="","",IFERROR(VLOOKUP(DATOS!$I3034,CONFIG_ASIGNATURAS!$B$2:$J$61,9,FALSE()),""))</f>
      </c>
    </row>
    <row r="3035">
      <c r="E3035">
        <f>IF(DATOS!$I3035="","",IFERROR(VLOOKUP(DATOS!$I3035,CONFIG_ASIGNATURAS!$B$2:$J$61,9,FALSE()),""))</f>
      </c>
    </row>
    <row r="3036">
      <c r="E3036">
        <f>IF(DATOS!$I3036="","",IFERROR(VLOOKUP(DATOS!$I3036,CONFIG_ASIGNATURAS!$B$2:$J$61,9,FALSE()),""))</f>
      </c>
    </row>
    <row r="3037">
      <c r="E3037">
        <f>IF(DATOS!$I3037="","",IFERROR(VLOOKUP(DATOS!$I3037,CONFIG_ASIGNATURAS!$B$2:$J$61,9,FALSE()),""))</f>
      </c>
    </row>
    <row r="3038">
      <c r="E3038">
        <f>IF(DATOS!$I3038="","",IFERROR(VLOOKUP(DATOS!$I3038,CONFIG_ASIGNATURAS!$B$2:$J$61,9,FALSE()),""))</f>
      </c>
    </row>
    <row r="3039">
      <c r="E3039">
        <f>IF(DATOS!$I3039="","",IFERROR(VLOOKUP(DATOS!$I3039,CONFIG_ASIGNATURAS!$B$2:$J$61,9,FALSE()),""))</f>
      </c>
    </row>
    <row r="3040">
      <c r="E3040">
        <f>IF(DATOS!$I3040="","",IFERROR(VLOOKUP(DATOS!$I3040,CONFIG_ASIGNATURAS!$B$2:$J$61,9,FALSE()),""))</f>
      </c>
    </row>
    <row r="3041">
      <c r="E3041">
        <f>IF(DATOS!$I3041="","",IFERROR(VLOOKUP(DATOS!$I3041,CONFIG_ASIGNATURAS!$B$2:$J$61,9,FALSE()),""))</f>
      </c>
    </row>
    <row r="3042">
      <c r="E3042">
        <f>IF(DATOS!$I3042="","",IFERROR(VLOOKUP(DATOS!$I3042,CONFIG_ASIGNATURAS!$B$2:$J$61,9,FALSE()),""))</f>
      </c>
    </row>
    <row r="3043">
      <c r="E3043">
        <f>IF(DATOS!$I3043="","",IFERROR(VLOOKUP(DATOS!$I3043,CONFIG_ASIGNATURAS!$B$2:$J$61,9,FALSE()),""))</f>
      </c>
    </row>
    <row r="3044">
      <c r="E3044">
        <f>IF(DATOS!$I3044="","",IFERROR(VLOOKUP(DATOS!$I3044,CONFIG_ASIGNATURAS!$B$2:$J$61,9,FALSE()),""))</f>
      </c>
    </row>
    <row r="3045">
      <c r="E3045">
        <f>IF(DATOS!$I3045="","",IFERROR(VLOOKUP(DATOS!$I3045,CONFIG_ASIGNATURAS!$B$2:$J$61,9,FALSE()),""))</f>
      </c>
    </row>
    <row r="3046">
      <c r="E3046">
        <f>IF(DATOS!$I3046="","",IFERROR(VLOOKUP(DATOS!$I3046,CONFIG_ASIGNATURAS!$B$2:$J$61,9,FALSE()),""))</f>
      </c>
    </row>
    <row r="3047">
      <c r="E3047">
        <f>IF(DATOS!$I3047="","",IFERROR(VLOOKUP(DATOS!$I3047,CONFIG_ASIGNATURAS!$B$2:$J$61,9,FALSE()),""))</f>
      </c>
    </row>
    <row r="3048">
      <c r="E3048">
        <f>IF(DATOS!$I3048="","",IFERROR(VLOOKUP(DATOS!$I3048,CONFIG_ASIGNATURAS!$B$2:$J$61,9,FALSE()),""))</f>
      </c>
    </row>
    <row r="3049">
      <c r="E3049">
        <f>IF(DATOS!$I3049="","",IFERROR(VLOOKUP(DATOS!$I3049,CONFIG_ASIGNATURAS!$B$2:$J$61,9,FALSE()),""))</f>
      </c>
    </row>
    <row r="3050">
      <c r="E3050">
        <f>IF(DATOS!$I3050="","",IFERROR(VLOOKUP(DATOS!$I3050,CONFIG_ASIGNATURAS!$B$2:$J$61,9,FALSE()),""))</f>
      </c>
    </row>
    <row r="3051">
      <c r="E3051">
        <f>IF(DATOS!$I3051="","",IFERROR(VLOOKUP(DATOS!$I3051,CONFIG_ASIGNATURAS!$B$2:$J$61,9,FALSE()),""))</f>
      </c>
    </row>
    <row r="3052">
      <c r="E3052">
        <f>IF(DATOS!$I3052="","",IFERROR(VLOOKUP(DATOS!$I3052,CONFIG_ASIGNATURAS!$B$2:$J$61,9,FALSE()),""))</f>
      </c>
    </row>
    <row r="3053">
      <c r="E3053">
        <f>IF(DATOS!$I3053="","",IFERROR(VLOOKUP(DATOS!$I3053,CONFIG_ASIGNATURAS!$B$2:$J$61,9,FALSE()),""))</f>
      </c>
    </row>
    <row r="3054">
      <c r="E3054">
        <f>IF(DATOS!$I3054="","",IFERROR(VLOOKUP(DATOS!$I3054,CONFIG_ASIGNATURAS!$B$2:$J$61,9,FALSE()),""))</f>
      </c>
    </row>
    <row r="3055">
      <c r="E3055">
        <f>IF(DATOS!$I3055="","",IFERROR(VLOOKUP(DATOS!$I3055,CONFIG_ASIGNATURAS!$B$2:$J$61,9,FALSE()),""))</f>
      </c>
    </row>
    <row r="3056">
      <c r="E3056">
        <f>IF(DATOS!$I3056="","",IFERROR(VLOOKUP(DATOS!$I3056,CONFIG_ASIGNATURAS!$B$2:$J$61,9,FALSE()),""))</f>
      </c>
    </row>
    <row r="3057">
      <c r="E3057">
        <f>IF(DATOS!$I3057="","",IFERROR(VLOOKUP(DATOS!$I3057,CONFIG_ASIGNATURAS!$B$2:$J$61,9,FALSE()),""))</f>
      </c>
    </row>
    <row r="3058">
      <c r="E3058">
        <f>IF(DATOS!$I3058="","",IFERROR(VLOOKUP(DATOS!$I3058,CONFIG_ASIGNATURAS!$B$2:$J$61,9,FALSE()),""))</f>
      </c>
    </row>
    <row r="3059">
      <c r="E3059">
        <f>IF(DATOS!$I3059="","",IFERROR(VLOOKUP(DATOS!$I3059,CONFIG_ASIGNATURAS!$B$2:$J$61,9,FALSE()),""))</f>
      </c>
    </row>
    <row r="3060">
      <c r="E3060">
        <f>IF(DATOS!$I3060="","",IFERROR(VLOOKUP(DATOS!$I3060,CONFIG_ASIGNATURAS!$B$2:$J$61,9,FALSE()),""))</f>
      </c>
    </row>
    <row r="3061">
      <c r="E3061">
        <f>IF(DATOS!$I3061="","",IFERROR(VLOOKUP(DATOS!$I3061,CONFIG_ASIGNATURAS!$B$2:$J$61,9,FALSE()),""))</f>
      </c>
    </row>
    <row r="3062">
      <c r="E3062">
        <f>IF(DATOS!$I3062="","",IFERROR(VLOOKUP(DATOS!$I3062,CONFIG_ASIGNATURAS!$B$2:$J$61,9,FALSE()),""))</f>
      </c>
    </row>
    <row r="3063">
      <c r="E3063">
        <f>IF(DATOS!$I3063="","",IFERROR(VLOOKUP(DATOS!$I3063,CONFIG_ASIGNATURAS!$B$2:$J$61,9,FALSE()),""))</f>
      </c>
    </row>
    <row r="3064">
      <c r="E3064">
        <f>IF(DATOS!$I3064="","",IFERROR(VLOOKUP(DATOS!$I3064,CONFIG_ASIGNATURAS!$B$2:$J$61,9,FALSE()),""))</f>
      </c>
    </row>
    <row r="3065">
      <c r="E3065">
        <f>IF(DATOS!$I3065="","",IFERROR(VLOOKUP(DATOS!$I3065,CONFIG_ASIGNATURAS!$B$2:$J$61,9,FALSE()),""))</f>
      </c>
    </row>
    <row r="3066">
      <c r="E3066">
        <f>IF(DATOS!$I3066="","",IFERROR(VLOOKUP(DATOS!$I3066,CONFIG_ASIGNATURAS!$B$2:$J$61,9,FALSE()),""))</f>
      </c>
    </row>
    <row r="3067">
      <c r="E3067">
        <f>IF(DATOS!$I3067="","",IFERROR(VLOOKUP(DATOS!$I3067,CONFIG_ASIGNATURAS!$B$2:$J$61,9,FALSE()),""))</f>
      </c>
    </row>
    <row r="3068">
      <c r="E3068">
        <f>IF(DATOS!$I3068="","",IFERROR(VLOOKUP(DATOS!$I3068,CONFIG_ASIGNATURAS!$B$2:$J$61,9,FALSE()),""))</f>
      </c>
    </row>
    <row r="3069">
      <c r="E3069">
        <f>IF(DATOS!$I3069="","",IFERROR(VLOOKUP(DATOS!$I3069,CONFIG_ASIGNATURAS!$B$2:$J$61,9,FALSE()),""))</f>
      </c>
    </row>
    <row r="3070">
      <c r="E3070">
        <f>IF(DATOS!$I3070="","",IFERROR(VLOOKUP(DATOS!$I3070,CONFIG_ASIGNATURAS!$B$2:$J$61,9,FALSE()),""))</f>
      </c>
    </row>
    <row r="3071">
      <c r="E3071">
        <f>IF(DATOS!$I3071="","",IFERROR(VLOOKUP(DATOS!$I3071,CONFIG_ASIGNATURAS!$B$2:$J$61,9,FALSE()),""))</f>
      </c>
    </row>
    <row r="3072">
      <c r="E3072">
        <f>IF(DATOS!$I3072="","",IFERROR(VLOOKUP(DATOS!$I3072,CONFIG_ASIGNATURAS!$B$2:$J$61,9,FALSE()),""))</f>
      </c>
    </row>
    <row r="3073">
      <c r="E3073">
        <f>IF(DATOS!$I3073="","",IFERROR(VLOOKUP(DATOS!$I3073,CONFIG_ASIGNATURAS!$B$2:$J$61,9,FALSE()),""))</f>
      </c>
    </row>
    <row r="3074">
      <c r="E3074">
        <f>IF(DATOS!$I3074="","",IFERROR(VLOOKUP(DATOS!$I3074,CONFIG_ASIGNATURAS!$B$2:$J$61,9,FALSE()),""))</f>
      </c>
    </row>
    <row r="3075">
      <c r="E3075">
        <f>IF(DATOS!$I3075="","",IFERROR(VLOOKUP(DATOS!$I3075,CONFIG_ASIGNATURAS!$B$2:$J$61,9,FALSE()),""))</f>
      </c>
    </row>
    <row r="3076">
      <c r="E3076">
        <f>IF(DATOS!$I3076="","",IFERROR(VLOOKUP(DATOS!$I3076,CONFIG_ASIGNATURAS!$B$2:$J$61,9,FALSE()),""))</f>
      </c>
    </row>
    <row r="3077">
      <c r="E3077">
        <f>IF(DATOS!$I3077="","",IFERROR(VLOOKUP(DATOS!$I3077,CONFIG_ASIGNATURAS!$B$2:$J$61,9,FALSE()),""))</f>
      </c>
    </row>
    <row r="3078">
      <c r="E3078">
        <f>IF(DATOS!$I3078="","",IFERROR(VLOOKUP(DATOS!$I3078,CONFIG_ASIGNATURAS!$B$2:$J$61,9,FALSE()),""))</f>
      </c>
    </row>
    <row r="3079">
      <c r="E3079">
        <f>IF(DATOS!$I3079="","",IFERROR(VLOOKUP(DATOS!$I3079,CONFIG_ASIGNATURAS!$B$2:$J$61,9,FALSE()),""))</f>
      </c>
    </row>
    <row r="3080">
      <c r="E3080">
        <f>IF(DATOS!$I3080="","",IFERROR(VLOOKUP(DATOS!$I3080,CONFIG_ASIGNATURAS!$B$2:$J$61,9,FALSE()),""))</f>
      </c>
    </row>
    <row r="3081">
      <c r="E3081">
        <f>IF(DATOS!$I3081="","",IFERROR(VLOOKUP(DATOS!$I3081,CONFIG_ASIGNATURAS!$B$2:$J$61,9,FALSE()),""))</f>
      </c>
    </row>
    <row r="3082">
      <c r="E3082">
        <f>IF(DATOS!$I3082="","",IFERROR(VLOOKUP(DATOS!$I3082,CONFIG_ASIGNATURAS!$B$2:$J$61,9,FALSE()),""))</f>
      </c>
    </row>
    <row r="3083">
      <c r="E3083">
        <f>IF(DATOS!$I3083="","",IFERROR(VLOOKUP(DATOS!$I3083,CONFIG_ASIGNATURAS!$B$2:$J$61,9,FALSE()),""))</f>
      </c>
    </row>
    <row r="3084">
      <c r="E3084">
        <f>IF(DATOS!$I3084="","",IFERROR(VLOOKUP(DATOS!$I3084,CONFIG_ASIGNATURAS!$B$2:$J$61,9,FALSE()),""))</f>
      </c>
    </row>
    <row r="3085">
      <c r="E3085">
        <f>IF(DATOS!$I3085="","",IFERROR(VLOOKUP(DATOS!$I3085,CONFIG_ASIGNATURAS!$B$2:$J$61,9,FALSE()),""))</f>
      </c>
    </row>
    <row r="3086">
      <c r="E3086">
        <f>IF(DATOS!$I3086="","",IFERROR(VLOOKUP(DATOS!$I3086,CONFIG_ASIGNATURAS!$B$2:$J$61,9,FALSE()),""))</f>
      </c>
    </row>
    <row r="3087">
      <c r="E3087">
        <f>IF(DATOS!$I3087="","",IFERROR(VLOOKUP(DATOS!$I3087,CONFIG_ASIGNATURAS!$B$2:$J$61,9,FALSE()),""))</f>
      </c>
    </row>
    <row r="3088">
      <c r="E3088">
        <f>IF(DATOS!$I3088="","",IFERROR(VLOOKUP(DATOS!$I3088,CONFIG_ASIGNATURAS!$B$2:$J$61,9,FALSE()),""))</f>
      </c>
    </row>
    <row r="3089">
      <c r="E3089">
        <f>IF(DATOS!$I3089="","",IFERROR(VLOOKUP(DATOS!$I3089,CONFIG_ASIGNATURAS!$B$2:$J$61,9,FALSE()),""))</f>
      </c>
    </row>
    <row r="3090">
      <c r="E3090">
        <f>IF(DATOS!$I3090="","",IFERROR(VLOOKUP(DATOS!$I3090,CONFIG_ASIGNATURAS!$B$2:$J$61,9,FALSE()),""))</f>
      </c>
    </row>
    <row r="3091">
      <c r="E3091">
        <f>IF(DATOS!$I3091="","",IFERROR(VLOOKUP(DATOS!$I3091,CONFIG_ASIGNATURAS!$B$2:$J$61,9,FALSE()),""))</f>
      </c>
    </row>
    <row r="3092">
      <c r="E3092">
        <f>IF(DATOS!$I3092="","",IFERROR(VLOOKUP(DATOS!$I3092,CONFIG_ASIGNATURAS!$B$2:$J$61,9,FALSE()),""))</f>
      </c>
    </row>
    <row r="3093">
      <c r="E3093">
        <f>IF(DATOS!$I3093="","",IFERROR(VLOOKUP(DATOS!$I3093,CONFIG_ASIGNATURAS!$B$2:$J$61,9,FALSE()),""))</f>
      </c>
    </row>
    <row r="3094">
      <c r="E3094">
        <f>IF(DATOS!$I3094="","",IFERROR(VLOOKUP(DATOS!$I3094,CONFIG_ASIGNATURAS!$B$2:$J$61,9,FALSE()),""))</f>
      </c>
    </row>
    <row r="3095">
      <c r="E3095">
        <f>IF(DATOS!$I3095="","",IFERROR(VLOOKUP(DATOS!$I3095,CONFIG_ASIGNATURAS!$B$2:$J$61,9,FALSE()),""))</f>
      </c>
    </row>
    <row r="3096">
      <c r="E3096">
        <f>IF(DATOS!$I3096="","",IFERROR(VLOOKUP(DATOS!$I3096,CONFIG_ASIGNATURAS!$B$2:$J$61,9,FALSE()),""))</f>
      </c>
    </row>
    <row r="3097">
      <c r="E3097">
        <f>IF(DATOS!$I3097="","",IFERROR(VLOOKUP(DATOS!$I3097,CONFIG_ASIGNATURAS!$B$2:$J$61,9,FALSE()),""))</f>
      </c>
    </row>
    <row r="3098">
      <c r="E3098">
        <f>IF(DATOS!$I3098="","",IFERROR(VLOOKUP(DATOS!$I3098,CONFIG_ASIGNATURAS!$B$2:$J$61,9,FALSE()),""))</f>
      </c>
    </row>
    <row r="3099">
      <c r="E3099">
        <f>IF(DATOS!$I3099="","",IFERROR(VLOOKUP(DATOS!$I3099,CONFIG_ASIGNATURAS!$B$2:$J$61,9,FALSE()),""))</f>
      </c>
    </row>
    <row r="3100">
      <c r="E3100">
        <f>IF(DATOS!$I3100="","",IFERROR(VLOOKUP(DATOS!$I3100,CONFIG_ASIGNATURAS!$B$2:$J$61,9,FALSE()),""))</f>
      </c>
    </row>
    <row r="3101">
      <c r="E3101">
        <f>IF(DATOS!$I3101="","",IFERROR(VLOOKUP(DATOS!$I3101,CONFIG_ASIGNATURAS!$B$2:$J$61,9,FALSE()),""))</f>
      </c>
    </row>
    <row r="3102">
      <c r="E3102">
        <f>IF(DATOS!$I3102="","",IFERROR(VLOOKUP(DATOS!$I3102,CONFIG_ASIGNATURAS!$B$2:$J$61,9,FALSE()),""))</f>
      </c>
    </row>
    <row r="3103">
      <c r="E3103">
        <f>IF(DATOS!$I3103="","",IFERROR(VLOOKUP(DATOS!$I3103,CONFIG_ASIGNATURAS!$B$2:$J$61,9,FALSE()),""))</f>
      </c>
    </row>
    <row r="3104">
      <c r="E3104">
        <f>IF(DATOS!$I3104="","",IFERROR(VLOOKUP(DATOS!$I3104,CONFIG_ASIGNATURAS!$B$2:$J$61,9,FALSE()),""))</f>
      </c>
    </row>
    <row r="3105">
      <c r="E3105">
        <f>IF(DATOS!$I3105="","",IFERROR(VLOOKUP(DATOS!$I3105,CONFIG_ASIGNATURAS!$B$2:$J$61,9,FALSE()),""))</f>
      </c>
    </row>
    <row r="3106">
      <c r="E3106">
        <f>IF(DATOS!$I3106="","",IFERROR(VLOOKUP(DATOS!$I3106,CONFIG_ASIGNATURAS!$B$2:$J$61,9,FALSE()),""))</f>
      </c>
    </row>
    <row r="3107">
      <c r="E3107">
        <f>IF(DATOS!$I3107="","",IFERROR(VLOOKUP(DATOS!$I3107,CONFIG_ASIGNATURAS!$B$2:$J$61,9,FALSE()),""))</f>
      </c>
    </row>
    <row r="3108">
      <c r="E3108">
        <f>IF(DATOS!$I3108="","",IFERROR(VLOOKUP(DATOS!$I3108,CONFIG_ASIGNATURAS!$B$2:$J$61,9,FALSE()),""))</f>
      </c>
    </row>
    <row r="3109">
      <c r="E3109">
        <f>IF(DATOS!$I3109="","",IFERROR(VLOOKUP(DATOS!$I3109,CONFIG_ASIGNATURAS!$B$2:$J$61,9,FALSE()),""))</f>
      </c>
    </row>
    <row r="3110">
      <c r="E3110">
        <f>IF(DATOS!$I3110="","",IFERROR(VLOOKUP(DATOS!$I3110,CONFIG_ASIGNATURAS!$B$2:$J$61,9,FALSE()),""))</f>
      </c>
    </row>
    <row r="3111">
      <c r="E3111">
        <f>IF(DATOS!$I3111="","",IFERROR(VLOOKUP(DATOS!$I3111,CONFIG_ASIGNATURAS!$B$2:$J$61,9,FALSE()),""))</f>
      </c>
    </row>
    <row r="3112">
      <c r="E3112">
        <f>IF(DATOS!$I3112="","",IFERROR(VLOOKUP(DATOS!$I3112,CONFIG_ASIGNATURAS!$B$2:$J$61,9,FALSE()),""))</f>
      </c>
    </row>
    <row r="3113">
      <c r="E3113">
        <f>IF(DATOS!$I3113="","",IFERROR(VLOOKUP(DATOS!$I3113,CONFIG_ASIGNATURAS!$B$2:$J$61,9,FALSE()),""))</f>
      </c>
    </row>
    <row r="3114">
      <c r="E3114">
        <f>IF(DATOS!$I3114="","",IFERROR(VLOOKUP(DATOS!$I3114,CONFIG_ASIGNATURAS!$B$2:$J$61,9,FALSE()),""))</f>
      </c>
    </row>
    <row r="3115">
      <c r="E3115">
        <f>IF(DATOS!$I3115="","",IFERROR(VLOOKUP(DATOS!$I3115,CONFIG_ASIGNATURAS!$B$2:$J$61,9,FALSE()),""))</f>
      </c>
    </row>
    <row r="3116">
      <c r="E3116">
        <f>IF(DATOS!$I3116="","",IFERROR(VLOOKUP(DATOS!$I3116,CONFIG_ASIGNATURAS!$B$2:$J$61,9,FALSE()),""))</f>
      </c>
    </row>
    <row r="3117">
      <c r="E3117">
        <f>IF(DATOS!$I3117="","",IFERROR(VLOOKUP(DATOS!$I3117,CONFIG_ASIGNATURAS!$B$2:$J$61,9,FALSE()),""))</f>
      </c>
    </row>
    <row r="3118">
      <c r="E3118">
        <f>IF(DATOS!$I3118="","",IFERROR(VLOOKUP(DATOS!$I3118,CONFIG_ASIGNATURAS!$B$2:$J$61,9,FALSE()),""))</f>
      </c>
    </row>
    <row r="3119">
      <c r="E3119">
        <f>IF(DATOS!$I3119="","",IFERROR(VLOOKUP(DATOS!$I3119,CONFIG_ASIGNATURAS!$B$2:$J$61,9,FALSE()),""))</f>
      </c>
    </row>
    <row r="3120">
      <c r="E3120">
        <f>IF(DATOS!$I3120="","",IFERROR(VLOOKUP(DATOS!$I3120,CONFIG_ASIGNATURAS!$B$2:$J$61,9,FALSE()),""))</f>
      </c>
    </row>
    <row r="3121">
      <c r="E3121">
        <f>IF(DATOS!$I3121="","",IFERROR(VLOOKUP(DATOS!$I3121,CONFIG_ASIGNATURAS!$B$2:$J$61,9,FALSE()),""))</f>
      </c>
    </row>
    <row r="3122">
      <c r="E3122">
        <f>IF(DATOS!$I3122="","",IFERROR(VLOOKUP(DATOS!$I3122,CONFIG_ASIGNATURAS!$B$2:$J$61,9,FALSE()),""))</f>
      </c>
    </row>
    <row r="3123">
      <c r="E3123">
        <f>IF(DATOS!$I3123="","",IFERROR(VLOOKUP(DATOS!$I3123,CONFIG_ASIGNATURAS!$B$2:$J$61,9,FALSE()),""))</f>
      </c>
    </row>
    <row r="3124">
      <c r="E3124">
        <f>IF(DATOS!$I3124="","",IFERROR(VLOOKUP(DATOS!$I3124,CONFIG_ASIGNATURAS!$B$2:$J$61,9,FALSE()),""))</f>
      </c>
    </row>
    <row r="3125">
      <c r="E3125">
        <f>IF(DATOS!$I3125="","",IFERROR(VLOOKUP(DATOS!$I3125,CONFIG_ASIGNATURAS!$B$2:$J$61,9,FALSE()),""))</f>
      </c>
    </row>
    <row r="3126">
      <c r="E3126">
        <f>IF(DATOS!$I3126="","",IFERROR(VLOOKUP(DATOS!$I3126,CONFIG_ASIGNATURAS!$B$2:$J$61,9,FALSE()),""))</f>
      </c>
    </row>
    <row r="3127">
      <c r="E3127">
        <f>IF(DATOS!$I3127="","",IFERROR(VLOOKUP(DATOS!$I3127,CONFIG_ASIGNATURAS!$B$2:$J$61,9,FALSE()),""))</f>
      </c>
    </row>
    <row r="3128">
      <c r="E3128">
        <f>IF(DATOS!$I3128="","",IFERROR(VLOOKUP(DATOS!$I3128,CONFIG_ASIGNATURAS!$B$2:$J$61,9,FALSE()),""))</f>
      </c>
    </row>
    <row r="3129">
      <c r="E3129">
        <f>IF(DATOS!$I3129="","",IFERROR(VLOOKUP(DATOS!$I3129,CONFIG_ASIGNATURAS!$B$2:$J$61,9,FALSE()),""))</f>
      </c>
    </row>
    <row r="3130">
      <c r="E3130">
        <f>IF(DATOS!$I3130="","",IFERROR(VLOOKUP(DATOS!$I3130,CONFIG_ASIGNATURAS!$B$2:$J$61,9,FALSE()),""))</f>
      </c>
    </row>
    <row r="3131">
      <c r="E3131">
        <f>IF(DATOS!$I3131="","",IFERROR(VLOOKUP(DATOS!$I3131,CONFIG_ASIGNATURAS!$B$2:$J$61,9,FALSE()),""))</f>
      </c>
    </row>
    <row r="3132">
      <c r="E3132">
        <f>IF(DATOS!$I3132="","",IFERROR(VLOOKUP(DATOS!$I3132,CONFIG_ASIGNATURAS!$B$2:$J$61,9,FALSE()),""))</f>
      </c>
    </row>
    <row r="3133">
      <c r="E3133">
        <f>IF(DATOS!$I3133="","",IFERROR(VLOOKUP(DATOS!$I3133,CONFIG_ASIGNATURAS!$B$2:$J$61,9,FALSE()),""))</f>
      </c>
    </row>
    <row r="3134">
      <c r="E3134">
        <f>IF(DATOS!$I3134="","",IFERROR(VLOOKUP(DATOS!$I3134,CONFIG_ASIGNATURAS!$B$2:$J$61,9,FALSE()),""))</f>
      </c>
    </row>
    <row r="3135">
      <c r="E3135">
        <f>IF(DATOS!$I3135="","",IFERROR(VLOOKUP(DATOS!$I3135,CONFIG_ASIGNATURAS!$B$2:$J$61,9,FALSE()),""))</f>
      </c>
    </row>
    <row r="3136">
      <c r="E3136">
        <f>IF(DATOS!$I3136="","",IFERROR(VLOOKUP(DATOS!$I3136,CONFIG_ASIGNATURAS!$B$2:$J$61,9,FALSE()),""))</f>
      </c>
    </row>
    <row r="3137">
      <c r="E3137">
        <f>IF(DATOS!$I3137="","",IFERROR(VLOOKUP(DATOS!$I3137,CONFIG_ASIGNATURAS!$B$2:$J$61,9,FALSE()),""))</f>
      </c>
    </row>
    <row r="3138">
      <c r="E3138">
        <f>IF(DATOS!$I3138="","",IFERROR(VLOOKUP(DATOS!$I3138,CONFIG_ASIGNATURAS!$B$2:$J$61,9,FALSE()),""))</f>
      </c>
    </row>
    <row r="3139">
      <c r="E3139">
        <f>IF(DATOS!$I3139="","",IFERROR(VLOOKUP(DATOS!$I3139,CONFIG_ASIGNATURAS!$B$2:$J$61,9,FALSE()),""))</f>
      </c>
    </row>
    <row r="3140">
      <c r="E3140">
        <f>IF(DATOS!$I3140="","",IFERROR(VLOOKUP(DATOS!$I3140,CONFIG_ASIGNATURAS!$B$2:$J$61,9,FALSE()),""))</f>
      </c>
    </row>
    <row r="3141">
      <c r="E3141">
        <f>IF(DATOS!$I3141="","",IFERROR(VLOOKUP(DATOS!$I3141,CONFIG_ASIGNATURAS!$B$2:$J$61,9,FALSE()),""))</f>
      </c>
    </row>
    <row r="3142">
      <c r="E3142">
        <f>IF(DATOS!$I3142="","",IFERROR(VLOOKUP(DATOS!$I3142,CONFIG_ASIGNATURAS!$B$2:$J$61,9,FALSE()),""))</f>
      </c>
    </row>
    <row r="3143">
      <c r="E3143">
        <f>IF(DATOS!$I3143="","",IFERROR(VLOOKUP(DATOS!$I3143,CONFIG_ASIGNATURAS!$B$2:$J$61,9,FALSE()),""))</f>
      </c>
    </row>
    <row r="3144">
      <c r="E3144">
        <f>IF(DATOS!$I3144="","",IFERROR(VLOOKUP(DATOS!$I3144,CONFIG_ASIGNATURAS!$B$2:$J$61,9,FALSE()),""))</f>
      </c>
    </row>
    <row r="3145">
      <c r="E3145">
        <f>IF(DATOS!$I3145="","",IFERROR(VLOOKUP(DATOS!$I3145,CONFIG_ASIGNATURAS!$B$2:$J$61,9,FALSE()),""))</f>
      </c>
    </row>
    <row r="3146">
      <c r="E3146">
        <f>IF(DATOS!$I3146="","",IFERROR(VLOOKUP(DATOS!$I3146,CONFIG_ASIGNATURAS!$B$2:$J$61,9,FALSE()),""))</f>
      </c>
    </row>
    <row r="3147">
      <c r="E3147">
        <f>IF(DATOS!$I3147="","",IFERROR(VLOOKUP(DATOS!$I3147,CONFIG_ASIGNATURAS!$B$2:$J$61,9,FALSE()),""))</f>
      </c>
    </row>
    <row r="3148">
      <c r="E3148">
        <f>IF(DATOS!$I3148="","",IFERROR(VLOOKUP(DATOS!$I3148,CONFIG_ASIGNATURAS!$B$2:$J$61,9,FALSE()),""))</f>
      </c>
    </row>
    <row r="3149">
      <c r="E3149">
        <f>IF(DATOS!$I3149="","",IFERROR(VLOOKUP(DATOS!$I3149,CONFIG_ASIGNATURAS!$B$2:$J$61,9,FALSE()),""))</f>
      </c>
    </row>
    <row r="3150">
      <c r="E3150">
        <f>IF(DATOS!$I3150="","",IFERROR(VLOOKUP(DATOS!$I3150,CONFIG_ASIGNATURAS!$B$2:$J$61,9,FALSE()),""))</f>
      </c>
    </row>
    <row r="3151">
      <c r="E3151">
        <f>IF(DATOS!$I3151="","",IFERROR(VLOOKUP(DATOS!$I3151,CONFIG_ASIGNATURAS!$B$2:$J$61,9,FALSE()),""))</f>
      </c>
    </row>
    <row r="3152">
      <c r="E3152">
        <f>IF(DATOS!$I3152="","",IFERROR(VLOOKUP(DATOS!$I3152,CONFIG_ASIGNATURAS!$B$2:$J$61,9,FALSE()),""))</f>
      </c>
    </row>
    <row r="3153">
      <c r="E3153">
        <f>IF(DATOS!$I3153="","",IFERROR(VLOOKUP(DATOS!$I3153,CONFIG_ASIGNATURAS!$B$2:$J$61,9,FALSE()),""))</f>
      </c>
    </row>
    <row r="3154">
      <c r="E3154">
        <f>IF(DATOS!$I3154="","",IFERROR(VLOOKUP(DATOS!$I3154,CONFIG_ASIGNATURAS!$B$2:$J$61,9,FALSE()),""))</f>
      </c>
    </row>
    <row r="3155">
      <c r="E3155">
        <f>IF(DATOS!$I3155="","",IFERROR(VLOOKUP(DATOS!$I3155,CONFIG_ASIGNATURAS!$B$2:$J$61,9,FALSE()),""))</f>
      </c>
    </row>
    <row r="3156">
      <c r="E3156">
        <f>IF(DATOS!$I3156="","",IFERROR(VLOOKUP(DATOS!$I3156,CONFIG_ASIGNATURAS!$B$2:$J$61,9,FALSE()),""))</f>
      </c>
    </row>
    <row r="3157">
      <c r="E3157">
        <f>IF(DATOS!$I3157="","",IFERROR(VLOOKUP(DATOS!$I3157,CONFIG_ASIGNATURAS!$B$2:$J$61,9,FALSE()),""))</f>
      </c>
    </row>
    <row r="3158">
      <c r="E3158">
        <f>IF(DATOS!$I3158="","",IFERROR(VLOOKUP(DATOS!$I3158,CONFIG_ASIGNATURAS!$B$2:$J$61,9,FALSE()),""))</f>
      </c>
    </row>
    <row r="3159">
      <c r="E3159">
        <f>IF(DATOS!$I3159="","",IFERROR(VLOOKUP(DATOS!$I3159,CONFIG_ASIGNATURAS!$B$2:$J$61,9,FALSE()),""))</f>
      </c>
    </row>
    <row r="3160">
      <c r="E3160">
        <f>IF(DATOS!$I3160="","",IFERROR(VLOOKUP(DATOS!$I3160,CONFIG_ASIGNATURAS!$B$2:$J$61,9,FALSE()),""))</f>
      </c>
    </row>
    <row r="3161">
      <c r="E3161">
        <f>IF(DATOS!$I3161="","",IFERROR(VLOOKUP(DATOS!$I3161,CONFIG_ASIGNATURAS!$B$2:$J$61,9,FALSE()),""))</f>
      </c>
    </row>
    <row r="3162">
      <c r="E3162">
        <f>IF(DATOS!$I3162="","",IFERROR(VLOOKUP(DATOS!$I3162,CONFIG_ASIGNATURAS!$B$2:$J$61,9,FALSE()),""))</f>
      </c>
    </row>
    <row r="3163">
      <c r="E3163">
        <f>IF(DATOS!$I3163="","",IFERROR(VLOOKUP(DATOS!$I3163,CONFIG_ASIGNATURAS!$B$2:$J$61,9,FALSE()),""))</f>
      </c>
    </row>
    <row r="3164">
      <c r="E3164">
        <f>IF(DATOS!$I3164="","",IFERROR(VLOOKUP(DATOS!$I3164,CONFIG_ASIGNATURAS!$B$2:$J$61,9,FALSE()),""))</f>
      </c>
    </row>
    <row r="3165">
      <c r="E3165">
        <f>IF(DATOS!$I3165="","",IFERROR(VLOOKUP(DATOS!$I3165,CONFIG_ASIGNATURAS!$B$2:$J$61,9,FALSE()),""))</f>
      </c>
    </row>
    <row r="3166">
      <c r="E3166">
        <f>IF(DATOS!$I3166="","",IFERROR(VLOOKUP(DATOS!$I3166,CONFIG_ASIGNATURAS!$B$2:$J$61,9,FALSE()),""))</f>
      </c>
    </row>
    <row r="3167">
      <c r="E3167">
        <f>IF(DATOS!$I3167="","",IFERROR(VLOOKUP(DATOS!$I3167,CONFIG_ASIGNATURAS!$B$2:$J$61,9,FALSE()),""))</f>
      </c>
    </row>
    <row r="3168">
      <c r="E3168">
        <f>IF(DATOS!$I3168="","",IFERROR(VLOOKUP(DATOS!$I3168,CONFIG_ASIGNATURAS!$B$2:$J$61,9,FALSE()),""))</f>
      </c>
    </row>
    <row r="3169">
      <c r="E3169">
        <f>IF(DATOS!$I3169="","",IFERROR(VLOOKUP(DATOS!$I3169,CONFIG_ASIGNATURAS!$B$2:$J$61,9,FALSE()),""))</f>
      </c>
    </row>
    <row r="3170">
      <c r="E3170">
        <f>IF(DATOS!$I3170="","",IFERROR(VLOOKUP(DATOS!$I3170,CONFIG_ASIGNATURAS!$B$2:$J$61,9,FALSE()),""))</f>
      </c>
    </row>
    <row r="3171">
      <c r="E3171">
        <f>IF(DATOS!$I3171="","",IFERROR(VLOOKUP(DATOS!$I3171,CONFIG_ASIGNATURAS!$B$2:$J$61,9,FALSE()),""))</f>
      </c>
    </row>
    <row r="3172">
      <c r="E3172">
        <f>IF(DATOS!$I3172="","",IFERROR(VLOOKUP(DATOS!$I3172,CONFIG_ASIGNATURAS!$B$2:$J$61,9,FALSE()),""))</f>
      </c>
    </row>
    <row r="3173">
      <c r="E3173">
        <f>IF(DATOS!$I3173="","",IFERROR(VLOOKUP(DATOS!$I3173,CONFIG_ASIGNATURAS!$B$2:$J$61,9,FALSE()),""))</f>
      </c>
    </row>
    <row r="3174">
      <c r="E3174">
        <f>IF(DATOS!$I3174="","",IFERROR(VLOOKUP(DATOS!$I3174,CONFIG_ASIGNATURAS!$B$2:$J$61,9,FALSE()),""))</f>
      </c>
    </row>
    <row r="3175">
      <c r="E3175">
        <f>IF(DATOS!$I3175="","",IFERROR(VLOOKUP(DATOS!$I3175,CONFIG_ASIGNATURAS!$B$2:$J$61,9,FALSE()),""))</f>
      </c>
    </row>
    <row r="3176">
      <c r="E3176">
        <f>IF(DATOS!$I3176="","",IFERROR(VLOOKUP(DATOS!$I3176,CONFIG_ASIGNATURAS!$B$2:$J$61,9,FALSE()),""))</f>
      </c>
    </row>
    <row r="3177">
      <c r="E3177">
        <f>IF(DATOS!$I3177="","",IFERROR(VLOOKUP(DATOS!$I3177,CONFIG_ASIGNATURAS!$B$2:$J$61,9,FALSE()),""))</f>
      </c>
    </row>
    <row r="3178">
      <c r="E3178">
        <f>IF(DATOS!$I3178="","",IFERROR(VLOOKUP(DATOS!$I3178,CONFIG_ASIGNATURAS!$B$2:$J$61,9,FALSE()),""))</f>
      </c>
    </row>
    <row r="3179">
      <c r="E3179">
        <f>IF(DATOS!$I3179="","",IFERROR(VLOOKUP(DATOS!$I3179,CONFIG_ASIGNATURAS!$B$2:$J$61,9,FALSE()),""))</f>
      </c>
    </row>
    <row r="3180">
      <c r="E3180">
        <f>IF(DATOS!$I3180="","",IFERROR(VLOOKUP(DATOS!$I3180,CONFIG_ASIGNATURAS!$B$2:$J$61,9,FALSE()),""))</f>
      </c>
    </row>
    <row r="3181">
      <c r="E3181">
        <f>IF(DATOS!$I3181="","",IFERROR(VLOOKUP(DATOS!$I3181,CONFIG_ASIGNATURAS!$B$2:$J$61,9,FALSE()),""))</f>
      </c>
    </row>
    <row r="3182">
      <c r="E3182">
        <f>IF(DATOS!$I3182="","",IFERROR(VLOOKUP(DATOS!$I3182,CONFIG_ASIGNATURAS!$B$2:$J$61,9,FALSE()),""))</f>
      </c>
    </row>
    <row r="3183">
      <c r="E3183">
        <f>IF(DATOS!$I3183="","",IFERROR(VLOOKUP(DATOS!$I3183,CONFIG_ASIGNATURAS!$B$2:$J$61,9,FALSE()),""))</f>
      </c>
    </row>
    <row r="3184">
      <c r="E3184">
        <f>IF(DATOS!$I3184="","",IFERROR(VLOOKUP(DATOS!$I3184,CONFIG_ASIGNATURAS!$B$2:$J$61,9,FALSE()),""))</f>
      </c>
    </row>
    <row r="3185">
      <c r="E3185">
        <f>IF(DATOS!$I3185="","",IFERROR(VLOOKUP(DATOS!$I3185,CONFIG_ASIGNATURAS!$B$2:$J$61,9,FALSE()),""))</f>
      </c>
    </row>
    <row r="3186">
      <c r="E3186">
        <f>IF(DATOS!$I3186="","",IFERROR(VLOOKUP(DATOS!$I3186,CONFIG_ASIGNATURAS!$B$2:$J$61,9,FALSE()),""))</f>
      </c>
    </row>
    <row r="3187">
      <c r="E3187">
        <f>IF(DATOS!$I3187="","",IFERROR(VLOOKUP(DATOS!$I3187,CONFIG_ASIGNATURAS!$B$2:$J$61,9,FALSE()),""))</f>
      </c>
    </row>
    <row r="3188">
      <c r="E3188">
        <f>IF(DATOS!$I3188="","",IFERROR(VLOOKUP(DATOS!$I3188,CONFIG_ASIGNATURAS!$B$2:$J$61,9,FALSE()),""))</f>
      </c>
    </row>
    <row r="3189">
      <c r="E3189">
        <f>IF(DATOS!$I3189="","",IFERROR(VLOOKUP(DATOS!$I3189,CONFIG_ASIGNATURAS!$B$2:$J$61,9,FALSE()),""))</f>
      </c>
    </row>
    <row r="3190">
      <c r="E3190">
        <f>IF(DATOS!$I3190="","",IFERROR(VLOOKUP(DATOS!$I3190,CONFIG_ASIGNATURAS!$B$2:$J$61,9,FALSE()),""))</f>
      </c>
    </row>
    <row r="3191">
      <c r="E3191">
        <f>IF(DATOS!$I3191="","",IFERROR(VLOOKUP(DATOS!$I3191,CONFIG_ASIGNATURAS!$B$2:$J$61,9,FALSE()),""))</f>
      </c>
    </row>
    <row r="3192">
      <c r="E3192">
        <f>IF(DATOS!$I3192="","",IFERROR(VLOOKUP(DATOS!$I3192,CONFIG_ASIGNATURAS!$B$2:$J$61,9,FALSE()),""))</f>
      </c>
    </row>
    <row r="3193">
      <c r="E3193">
        <f>IF(DATOS!$I3193="","",IFERROR(VLOOKUP(DATOS!$I3193,CONFIG_ASIGNATURAS!$B$2:$J$61,9,FALSE()),""))</f>
      </c>
    </row>
    <row r="3194">
      <c r="E3194">
        <f>IF(DATOS!$I3194="","",IFERROR(VLOOKUP(DATOS!$I3194,CONFIG_ASIGNATURAS!$B$2:$J$61,9,FALSE()),""))</f>
      </c>
    </row>
    <row r="3195">
      <c r="E3195">
        <f>IF(DATOS!$I3195="","",IFERROR(VLOOKUP(DATOS!$I3195,CONFIG_ASIGNATURAS!$B$2:$J$61,9,FALSE()),""))</f>
      </c>
    </row>
    <row r="3196">
      <c r="E3196">
        <f>IF(DATOS!$I3196="","",IFERROR(VLOOKUP(DATOS!$I3196,CONFIG_ASIGNATURAS!$B$2:$J$61,9,FALSE()),""))</f>
      </c>
    </row>
    <row r="3197">
      <c r="E3197">
        <f>IF(DATOS!$I3197="","",IFERROR(VLOOKUP(DATOS!$I3197,CONFIG_ASIGNATURAS!$B$2:$J$61,9,FALSE()),""))</f>
      </c>
    </row>
    <row r="3198">
      <c r="E3198">
        <f>IF(DATOS!$I3198="","",IFERROR(VLOOKUP(DATOS!$I3198,CONFIG_ASIGNATURAS!$B$2:$J$61,9,FALSE()),""))</f>
      </c>
    </row>
    <row r="3199">
      <c r="E3199">
        <f>IF(DATOS!$I3199="","",IFERROR(VLOOKUP(DATOS!$I3199,CONFIG_ASIGNATURAS!$B$2:$J$61,9,FALSE()),""))</f>
      </c>
    </row>
    <row r="3200">
      <c r="E3200">
        <f>IF(DATOS!$I3200="","",IFERROR(VLOOKUP(DATOS!$I3200,CONFIG_ASIGNATURAS!$B$2:$J$61,9,FALSE()),""))</f>
      </c>
    </row>
    <row r="3201">
      <c r="E3201">
        <f>IF(DATOS!$I3201="","",IFERROR(VLOOKUP(DATOS!$I3201,CONFIG_ASIGNATURAS!$B$2:$J$61,9,FALSE()),""))</f>
      </c>
    </row>
    <row r="3202">
      <c r="E3202">
        <f>IF(DATOS!$I3202="","",IFERROR(VLOOKUP(DATOS!$I3202,CONFIG_ASIGNATURAS!$B$2:$J$61,9,FALSE()),""))</f>
      </c>
    </row>
    <row r="3203">
      <c r="E3203">
        <f>IF(DATOS!$I3203="","",IFERROR(VLOOKUP(DATOS!$I3203,CONFIG_ASIGNATURAS!$B$2:$J$61,9,FALSE()),""))</f>
      </c>
    </row>
    <row r="3204">
      <c r="E3204">
        <f>IF(DATOS!$I3204="","",IFERROR(VLOOKUP(DATOS!$I3204,CONFIG_ASIGNATURAS!$B$2:$J$61,9,FALSE()),""))</f>
      </c>
    </row>
    <row r="3205">
      <c r="E3205">
        <f>IF(DATOS!$I3205="","",IFERROR(VLOOKUP(DATOS!$I3205,CONFIG_ASIGNATURAS!$B$2:$J$61,9,FALSE()),""))</f>
      </c>
    </row>
    <row r="3206">
      <c r="E3206">
        <f>IF(DATOS!$I3206="","",IFERROR(VLOOKUP(DATOS!$I3206,CONFIG_ASIGNATURAS!$B$2:$J$61,9,FALSE()),""))</f>
      </c>
    </row>
    <row r="3207">
      <c r="E3207">
        <f>IF(DATOS!$I3207="","",IFERROR(VLOOKUP(DATOS!$I3207,CONFIG_ASIGNATURAS!$B$2:$J$61,9,FALSE()),""))</f>
      </c>
    </row>
    <row r="3208">
      <c r="E3208">
        <f>IF(DATOS!$I3208="","",IFERROR(VLOOKUP(DATOS!$I3208,CONFIG_ASIGNATURAS!$B$2:$J$61,9,FALSE()),""))</f>
      </c>
    </row>
    <row r="3209">
      <c r="E3209">
        <f>IF(DATOS!$I3209="","",IFERROR(VLOOKUP(DATOS!$I3209,CONFIG_ASIGNATURAS!$B$2:$J$61,9,FALSE()),""))</f>
      </c>
    </row>
    <row r="3210">
      <c r="E3210">
        <f>IF(DATOS!$I3210="","",IFERROR(VLOOKUP(DATOS!$I3210,CONFIG_ASIGNATURAS!$B$2:$J$61,9,FALSE()),""))</f>
      </c>
    </row>
    <row r="3211">
      <c r="E3211">
        <f>IF(DATOS!$I3211="","",IFERROR(VLOOKUP(DATOS!$I3211,CONFIG_ASIGNATURAS!$B$2:$J$61,9,FALSE()),""))</f>
      </c>
    </row>
    <row r="3212">
      <c r="E3212">
        <f>IF(DATOS!$I3212="","",IFERROR(VLOOKUP(DATOS!$I3212,CONFIG_ASIGNATURAS!$B$2:$J$61,9,FALSE()),""))</f>
      </c>
    </row>
    <row r="3213">
      <c r="E3213">
        <f>IF(DATOS!$I3213="","",IFERROR(VLOOKUP(DATOS!$I3213,CONFIG_ASIGNATURAS!$B$2:$J$61,9,FALSE()),""))</f>
      </c>
    </row>
    <row r="3214">
      <c r="E3214">
        <f>IF(DATOS!$I3214="","",IFERROR(VLOOKUP(DATOS!$I3214,CONFIG_ASIGNATURAS!$B$2:$J$61,9,FALSE()),""))</f>
      </c>
    </row>
    <row r="3215">
      <c r="E3215">
        <f>IF(DATOS!$I3215="","",IFERROR(VLOOKUP(DATOS!$I3215,CONFIG_ASIGNATURAS!$B$2:$J$61,9,FALSE()),""))</f>
      </c>
    </row>
    <row r="3216">
      <c r="E3216">
        <f>IF(DATOS!$I3216="","",IFERROR(VLOOKUP(DATOS!$I3216,CONFIG_ASIGNATURAS!$B$2:$J$61,9,FALSE()),""))</f>
      </c>
    </row>
    <row r="3217">
      <c r="E3217">
        <f>IF(DATOS!$I3217="","",IFERROR(VLOOKUP(DATOS!$I3217,CONFIG_ASIGNATURAS!$B$2:$J$61,9,FALSE()),""))</f>
      </c>
    </row>
    <row r="3218">
      <c r="E3218">
        <f>IF(DATOS!$I3218="","",IFERROR(VLOOKUP(DATOS!$I3218,CONFIG_ASIGNATURAS!$B$2:$J$61,9,FALSE()),""))</f>
      </c>
    </row>
    <row r="3219">
      <c r="E3219">
        <f>IF(DATOS!$I3219="","",IFERROR(VLOOKUP(DATOS!$I3219,CONFIG_ASIGNATURAS!$B$2:$J$61,9,FALSE()),""))</f>
      </c>
    </row>
    <row r="3220">
      <c r="E3220">
        <f>IF(DATOS!$I3220="","",IFERROR(VLOOKUP(DATOS!$I3220,CONFIG_ASIGNATURAS!$B$2:$J$61,9,FALSE()),""))</f>
      </c>
    </row>
    <row r="3221">
      <c r="E3221">
        <f>IF(DATOS!$I3221="","",IFERROR(VLOOKUP(DATOS!$I3221,CONFIG_ASIGNATURAS!$B$2:$J$61,9,FALSE()),""))</f>
      </c>
    </row>
    <row r="3222">
      <c r="E3222">
        <f>IF(DATOS!$I3222="","",IFERROR(VLOOKUP(DATOS!$I3222,CONFIG_ASIGNATURAS!$B$2:$J$61,9,FALSE()),""))</f>
      </c>
    </row>
    <row r="3223">
      <c r="E3223">
        <f>IF(DATOS!$I3223="","",IFERROR(VLOOKUP(DATOS!$I3223,CONFIG_ASIGNATURAS!$B$2:$J$61,9,FALSE()),""))</f>
      </c>
    </row>
    <row r="3224">
      <c r="E3224">
        <f>IF(DATOS!$I3224="","",IFERROR(VLOOKUP(DATOS!$I3224,CONFIG_ASIGNATURAS!$B$2:$J$61,9,FALSE()),""))</f>
      </c>
    </row>
    <row r="3225">
      <c r="E3225">
        <f>IF(DATOS!$I3225="","",IFERROR(VLOOKUP(DATOS!$I3225,CONFIG_ASIGNATURAS!$B$2:$J$61,9,FALSE()),""))</f>
      </c>
    </row>
    <row r="3226">
      <c r="E3226">
        <f>IF(DATOS!$I3226="","",IFERROR(VLOOKUP(DATOS!$I3226,CONFIG_ASIGNATURAS!$B$2:$J$61,9,FALSE()),""))</f>
      </c>
    </row>
    <row r="3227">
      <c r="E3227">
        <f>IF(DATOS!$I3227="","",IFERROR(VLOOKUP(DATOS!$I3227,CONFIG_ASIGNATURAS!$B$2:$J$61,9,FALSE()),""))</f>
      </c>
    </row>
    <row r="3228">
      <c r="E3228">
        <f>IF(DATOS!$I3228="","",IFERROR(VLOOKUP(DATOS!$I3228,CONFIG_ASIGNATURAS!$B$2:$J$61,9,FALSE()),""))</f>
      </c>
    </row>
    <row r="3229">
      <c r="E3229">
        <f>IF(DATOS!$I3229="","",IFERROR(VLOOKUP(DATOS!$I3229,CONFIG_ASIGNATURAS!$B$2:$J$61,9,FALSE()),""))</f>
      </c>
    </row>
    <row r="3230">
      <c r="E3230">
        <f>IF(DATOS!$I3230="","",IFERROR(VLOOKUP(DATOS!$I3230,CONFIG_ASIGNATURAS!$B$2:$J$61,9,FALSE()),""))</f>
      </c>
    </row>
    <row r="3231">
      <c r="E3231">
        <f>IF(DATOS!$I3231="","",IFERROR(VLOOKUP(DATOS!$I3231,CONFIG_ASIGNATURAS!$B$2:$J$61,9,FALSE()),""))</f>
      </c>
    </row>
    <row r="3232">
      <c r="E3232">
        <f>IF(DATOS!$I3232="","",IFERROR(VLOOKUP(DATOS!$I3232,CONFIG_ASIGNATURAS!$B$2:$J$61,9,FALSE()),""))</f>
      </c>
    </row>
    <row r="3233">
      <c r="E3233">
        <f>IF(DATOS!$I3233="","",IFERROR(VLOOKUP(DATOS!$I3233,CONFIG_ASIGNATURAS!$B$2:$J$61,9,FALSE()),""))</f>
      </c>
    </row>
    <row r="3234">
      <c r="E3234">
        <f>IF(DATOS!$I3234="","",IFERROR(VLOOKUP(DATOS!$I3234,CONFIG_ASIGNATURAS!$B$2:$J$61,9,FALSE()),""))</f>
      </c>
    </row>
    <row r="3235">
      <c r="E3235">
        <f>IF(DATOS!$I3235="","",IFERROR(VLOOKUP(DATOS!$I3235,CONFIG_ASIGNATURAS!$B$2:$J$61,9,FALSE()),""))</f>
      </c>
    </row>
    <row r="3236">
      <c r="E3236">
        <f>IF(DATOS!$I3236="","",IFERROR(VLOOKUP(DATOS!$I3236,CONFIG_ASIGNATURAS!$B$2:$J$61,9,FALSE()),""))</f>
      </c>
    </row>
    <row r="3237">
      <c r="E3237">
        <f>IF(DATOS!$I3237="","",IFERROR(VLOOKUP(DATOS!$I3237,CONFIG_ASIGNATURAS!$B$2:$J$61,9,FALSE()),""))</f>
      </c>
    </row>
    <row r="3238">
      <c r="E3238">
        <f>IF(DATOS!$I3238="","",IFERROR(VLOOKUP(DATOS!$I3238,CONFIG_ASIGNATURAS!$B$2:$J$61,9,FALSE()),""))</f>
      </c>
    </row>
    <row r="3239">
      <c r="E3239">
        <f>IF(DATOS!$I3239="","",IFERROR(VLOOKUP(DATOS!$I3239,CONFIG_ASIGNATURAS!$B$2:$J$61,9,FALSE()),""))</f>
      </c>
    </row>
    <row r="3240">
      <c r="E3240">
        <f>IF(DATOS!$I3240="","",IFERROR(VLOOKUP(DATOS!$I3240,CONFIG_ASIGNATURAS!$B$2:$J$61,9,FALSE()),""))</f>
      </c>
    </row>
    <row r="3241">
      <c r="E3241">
        <f>IF(DATOS!$I3241="","",IFERROR(VLOOKUP(DATOS!$I3241,CONFIG_ASIGNATURAS!$B$2:$J$61,9,FALSE()),""))</f>
      </c>
    </row>
    <row r="3242">
      <c r="E3242">
        <f>IF(DATOS!$I3242="","",IFERROR(VLOOKUP(DATOS!$I3242,CONFIG_ASIGNATURAS!$B$2:$J$61,9,FALSE()),""))</f>
      </c>
    </row>
    <row r="3243">
      <c r="E3243">
        <f>IF(DATOS!$I3243="","",IFERROR(VLOOKUP(DATOS!$I3243,CONFIG_ASIGNATURAS!$B$2:$J$61,9,FALSE()),""))</f>
      </c>
    </row>
    <row r="3244">
      <c r="E3244">
        <f>IF(DATOS!$I3244="","",IFERROR(VLOOKUP(DATOS!$I3244,CONFIG_ASIGNATURAS!$B$2:$J$61,9,FALSE()),""))</f>
      </c>
    </row>
    <row r="3245">
      <c r="E3245">
        <f>IF(DATOS!$I3245="","",IFERROR(VLOOKUP(DATOS!$I3245,CONFIG_ASIGNATURAS!$B$2:$J$61,9,FALSE()),""))</f>
      </c>
    </row>
    <row r="3246">
      <c r="E3246">
        <f>IF(DATOS!$I3246="","",IFERROR(VLOOKUP(DATOS!$I3246,CONFIG_ASIGNATURAS!$B$2:$J$61,9,FALSE()),""))</f>
      </c>
    </row>
    <row r="3247">
      <c r="E3247">
        <f>IF(DATOS!$I3247="","",IFERROR(VLOOKUP(DATOS!$I3247,CONFIG_ASIGNATURAS!$B$2:$J$61,9,FALSE()),""))</f>
      </c>
    </row>
    <row r="3248">
      <c r="E3248">
        <f>IF(DATOS!$I3248="","",IFERROR(VLOOKUP(DATOS!$I3248,CONFIG_ASIGNATURAS!$B$2:$J$61,9,FALSE()),""))</f>
      </c>
    </row>
    <row r="3249">
      <c r="E3249">
        <f>IF(DATOS!$I3249="","",IFERROR(VLOOKUP(DATOS!$I3249,CONFIG_ASIGNATURAS!$B$2:$J$61,9,FALSE()),""))</f>
      </c>
    </row>
    <row r="3250">
      <c r="E3250">
        <f>IF(DATOS!$I3250="","",IFERROR(VLOOKUP(DATOS!$I3250,CONFIG_ASIGNATURAS!$B$2:$J$61,9,FALSE()),""))</f>
      </c>
    </row>
    <row r="3251">
      <c r="E3251">
        <f>IF(DATOS!$I3251="","",IFERROR(VLOOKUP(DATOS!$I3251,CONFIG_ASIGNATURAS!$B$2:$J$61,9,FALSE()),""))</f>
      </c>
    </row>
    <row r="3252">
      <c r="E3252">
        <f>IF(DATOS!$I3252="","",IFERROR(VLOOKUP(DATOS!$I3252,CONFIG_ASIGNATURAS!$B$2:$J$61,9,FALSE()),""))</f>
      </c>
    </row>
    <row r="3253">
      <c r="E3253">
        <f>IF(DATOS!$I3253="","",IFERROR(VLOOKUP(DATOS!$I3253,CONFIG_ASIGNATURAS!$B$2:$J$61,9,FALSE()),""))</f>
      </c>
    </row>
    <row r="3254">
      <c r="E3254">
        <f>IF(DATOS!$I3254="","",IFERROR(VLOOKUP(DATOS!$I3254,CONFIG_ASIGNATURAS!$B$2:$J$61,9,FALSE()),""))</f>
      </c>
    </row>
    <row r="3255">
      <c r="E3255">
        <f>IF(DATOS!$I3255="","",IFERROR(VLOOKUP(DATOS!$I3255,CONFIG_ASIGNATURAS!$B$2:$J$61,9,FALSE()),""))</f>
      </c>
    </row>
    <row r="3256">
      <c r="E3256">
        <f>IF(DATOS!$I3256="","",IFERROR(VLOOKUP(DATOS!$I3256,CONFIG_ASIGNATURAS!$B$2:$J$61,9,FALSE()),""))</f>
      </c>
    </row>
    <row r="3257">
      <c r="E3257">
        <f>IF(DATOS!$I3257="","",IFERROR(VLOOKUP(DATOS!$I3257,CONFIG_ASIGNATURAS!$B$2:$J$61,9,FALSE()),""))</f>
      </c>
    </row>
    <row r="3258">
      <c r="E3258">
        <f>IF(DATOS!$I3258="","",IFERROR(VLOOKUP(DATOS!$I3258,CONFIG_ASIGNATURAS!$B$2:$J$61,9,FALSE()),""))</f>
      </c>
    </row>
    <row r="3259">
      <c r="E3259">
        <f>IF(DATOS!$I3259="","",IFERROR(VLOOKUP(DATOS!$I3259,CONFIG_ASIGNATURAS!$B$2:$J$61,9,FALSE()),""))</f>
      </c>
    </row>
    <row r="3260">
      <c r="E3260">
        <f>IF(DATOS!$I3260="","",IFERROR(VLOOKUP(DATOS!$I3260,CONFIG_ASIGNATURAS!$B$2:$J$61,9,FALSE()),""))</f>
      </c>
    </row>
    <row r="3261">
      <c r="E3261">
        <f>IF(DATOS!$I3261="","",IFERROR(VLOOKUP(DATOS!$I3261,CONFIG_ASIGNATURAS!$B$2:$J$61,9,FALSE()),""))</f>
      </c>
    </row>
    <row r="3262">
      <c r="E3262">
        <f>IF(DATOS!$I3262="","",IFERROR(VLOOKUP(DATOS!$I3262,CONFIG_ASIGNATURAS!$B$2:$J$61,9,FALSE()),""))</f>
      </c>
    </row>
    <row r="3263">
      <c r="E3263">
        <f>IF(DATOS!$I3263="","",IFERROR(VLOOKUP(DATOS!$I3263,CONFIG_ASIGNATURAS!$B$2:$J$61,9,FALSE()),""))</f>
      </c>
    </row>
    <row r="3264">
      <c r="E3264">
        <f>IF(DATOS!$I3264="","",IFERROR(VLOOKUP(DATOS!$I3264,CONFIG_ASIGNATURAS!$B$2:$J$61,9,FALSE()),""))</f>
      </c>
    </row>
    <row r="3265">
      <c r="E3265">
        <f>IF(DATOS!$I3265="","",IFERROR(VLOOKUP(DATOS!$I3265,CONFIG_ASIGNATURAS!$B$2:$J$61,9,FALSE()),""))</f>
      </c>
    </row>
    <row r="3266">
      <c r="E3266">
        <f>IF(DATOS!$I3266="","",IFERROR(VLOOKUP(DATOS!$I3266,CONFIG_ASIGNATURAS!$B$2:$J$61,9,FALSE()),""))</f>
      </c>
    </row>
    <row r="3267">
      <c r="E3267">
        <f>IF(DATOS!$I3267="","",IFERROR(VLOOKUP(DATOS!$I3267,CONFIG_ASIGNATURAS!$B$2:$J$61,9,FALSE()),""))</f>
      </c>
    </row>
    <row r="3268">
      <c r="E3268">
        <f>IF(DATOS!$I3268="","",IFERROR(VLOOKUP(DATOS!$I3268,CONFIG_ASIGNATURAS!$B$2:$J$61,9,FALSE()),""))</f>
      </c>
    </row>
    <row r="3269">
      <c r="E3269">
        <f>IF(DATOS!$I3269="","",IFERROR(VLOOKUP(DATOS!$I3269,CONFIG_ASIGNATURAS!$B$2:$J$61,9,FALSE()),""))</f>
      </c>
    </row>
    <row r="3270">
      <c r="E3270">
        <f>IF(DATOS!$I3270="","",IFERROR(VLOOKUP(DATOS!$I3270,CONFIG_ASIGNATURAS!$B$2:$J$61,9,FALSE()),""))</f>
      </c>
    </row>
    <row r="3271">
      <c r="E3271">
        <f>IF(DATOS!$I3271="","",IFERROR(VLOOKUP(DATOS!$I3271,CONFIG_ASIGNATURAS!$B$2:$J$61,9,FALSE()),""))</f>
      </c>
    </row>
    <row r="3272">
      <c r="E3272">
        <f>IF(DATOS!$I3272="","",IFERROR(VLOOKUP(DATOS!$I3272,CONFIG_ASIGNATURAS!$B$2:$J$61,9,FALSE()),""))</f>
      </c>
    </row>
    <row r="3273">
      <c r="E3273">
        <f>IF(DATOS!$I3273="","",IFERROR(VLOOKUP(DATOS!$I3273,CONFIG_ASIGNATURAS!$B$2:$J$61,9,FALSE()),""))</f>
      </c>
    </row>
    <row r="3274">
      <c r="E3274">
        <f>IF(DATOS!$I3274="","",IFERROR(VLOOKUP(DATOS!$I3274,CONFIG_ASIGNATURAS!$B$2:$J$61,9,FALSE()),""))</f>
      </c>
    </row>
    <row r="3275">
      <c r="E3275">
        <f>IF(DATOS!$I3275="","",IFERROR(VLOOKUP(DATOS!$I3275,CONFIG_ASIGNATURAS!$B$2:$J$61,9,FALSE()),""))</f>
      </c>
    </row>
    <row r="3276">
      <c r="E3276">
        <f>IF(DATOS!$I3276="","",IFERROR(VLOOKUP(DATOS!$I3276,CONFIG_ASIGNATURAS!$B$2:$J$61,9,FALSE()),""))</f>
      </c>
    </row>
    <row r="3277">
      <c r="E3277">
        <f>IF(DATOS!$I3277="","",IFERROR(VLOOKUP(DATOS!$I3277,CONFIG_ASIGNATURAS!$B$2:$J$61,9,FALSE()),""))</f>
      </c>
    </row>
    <row r="3278">
      <c r="E3278">
        <f>IF(DATOS!$I3278="","",IFERROR(VLOOKUP(DATOS!$I3278,CONFIG_ASIGNATURAS!$B$2:$J$61,9,FALSE()),""))</f>
      </c>
    </row>
    <row r="3279">
      <c r="E3279">
        <f>IF(DATOS!$I3279="","",IFERROR(VLOOKUP(DATOS!$I3279,CONFIG_ASIGNATURAS!$B$2:$J$61,9,FALSE()),""))</f>
      </c>
    </row>
    <row r="3280">
      <c r="E3280">
        <f>IF(DATOS!$I3280="","",IFERROR(VLOOKUP(DATOS!$I3280,CONFIG_ASIGNATURAS!$B$2:$J$61,9,FALSE()),""))</f>
      </c>
    </row>
    <row r="3281">
      <c r="E3281">
        <f>IF(DATOS!$I3281="","",IFERROR(VLOOKUP(DATOS!$I3281,CONFIG_ASIGNATURAS!$B$2:$J$61,9,FALSE()),""))</f>
      </c>
    </row>
    <row r="3282">
      <c r="E3282">
        <f>IF(DATOS!$I3282="","",IFERROR(VLOOKUP(DATOS!$I3282,CONFIG_ASIGNATURAS!$B$2:$J$61,9,FALSE()),""))</f>
      </c>
    </row>
    <row r="3283">
      <c r="E3283">
        <f>IF(DATOS!$I3283="","",IFERROR(VLOOKUP(DATOS!$I3283,CONFIG_ASIGNATURAS!$B$2:$J$61,9,FALSE()),""))</f>
      </c>
    </row>
    <row r="3284">
      <c r="E3284">
        <f>IF(DATOS!$I3284="","",IFERROR(VLOOKUP(DATOS!$I3284,CONFIG_ASIGNATURAS!$B$2:$J$61,9,FALSE()),""))</f>
      </c>
    </row>
    <row r="3285">
      <c r="E3285">
        <f>IF(DATOS!$I3285="","",IFERROR(VLOOKUP(DATOS!$I3285,CONFIG_ASIGNATURAS!$B$2:$J$61,9,FALSE()),""))</f>
      </c>
    </row>
    <row r="3286">
      <c r="E3286">
        <f>IF(DATOS!$I3286="","",IFERROR(VLOOKUP(DATOS!$I3286,CONFIG_ASIGNATURAS!$B$2:$J$61,9,FALSE()),""))</f>
      </c>
    </row>
    <row r="3287">
      <c r="E3287">
        <f>IF(DATOS!$I3287="","",IFERROR(VLOOKUP(DATOS!$I3287,CONFIG_ASIGNATURAS!$B$2:$J$61,9,FALSE()),""))</f>
      </c>
    </row>
    <row r="3288">
      <c r="E3288">
        <f>IF(DATOS!$I3288="","",IFERROR(VLOOKUP(DATOS!$I3288,CONFIG_ASIGNATURAS!$B$2:$J$61,9,FALSE()),""))</f>
      </c>
    </row>
    <row r="3289">
      <c r="E3289">
        <f>IF(DATOS!$I3289="","",IFERROR(VLOOKUP(DATOS!$I3289,CONFIG_ASIGNATURAS!$B$2:$J$61,9,FALSE()),""))</f>
      </c>
    </row>
    <row r="3290">
      <c r="E3290">
        <f>IF(DATOS!$I3290="","",IFERROR(VLOOKUP(DATOS!$I3290,CONFIG_ASIGNATURAS!$B$2:$J$61,9,FALSE()),""))</f>
      </c>
    </row>
    <row r="3291">
      <c r="E3291">
        <f>IF(DATOS!$I3291="","",IFERROR(VLOOKUP(DATOS!$I3291,CONFIG_ASIGNATURAS!$B$2:$J$61,9,FALSE()),""))</f>
      </c>
    </row>
    <row r="3292">
      <c r="E3292">
        <f>IF(DATOS!$I3292="","",IFERROR(VLOOKUP(DATOS!$I3292,CONFIG_ASIGNATURAS!$B$2:$J$61,9,FALSE()),""))</f>
      </c>
    </row>
    <row r="3293">
      <c r="E3293">
        <f>IF(DATOS!$I3293="","",IFERROR(VLOOKUP(DATOS!$I3293,CONFIG_ASIGNATURAS!$B$2:$J$61,9,FALSE()),""))</f>
      </c>
    </row>
    <row r="3294">
      <c r="E3294">
        <f>IF(DATOS!$I3294="","",IFERROR(VLOOKUP(DATOS!$I3294,CONFIG_ASIGNATURAS!$B$2:$J$61,9,FALSE()),""))</f>
      </c>
    </row>
    <row r="3295">
      <c r="E3295">
        <f>IF(DATOS!$I3295="","",IFERROR(VLOOKUP(DATOS!$I3295,CONFIG_ASIGNATURAS!$B$2:$J$61,9,FALSE()),""))</f>
      </c>
    </row>
    <row r="3296">
      <c r="E3296">
        <f>IF(DATOS!$I3296="","",IFERROR(VLOOKUP(DATOS!$I3296,CONFIG_ASIGNATURAS!$B$2:$J$61,9,FALSE()),""))</f>
      </c>
    </row>
    <row r="3297">
      <c r="E3297">
        <f>IF(DATOS!$I3297="","",IFERROR(VLOOKUP(DATOS!$I3297,CONFIG_ASIGNATURAS!$B$2:$J$61,9,FALSE()),""))</f>
      </c>
    </row>
    <row r="3298">
      <c r="E3298">
        <f>IF(DATOS!$I3298="","",IFERROR(VLOOKUP(DATOS!$I3298,CONFIG_ASIGNATURAS!$B$2:$J$61,9,FALSE()),""))</f>
      </c>
    </row>
    <row r="3299">
      <c r="E3299">
        <f>IF(DATOS!$I3299="","",IFERROR(VLOOKUP(DATOS!$I3299,CONFIG_ASIGNATURAS!$B$2:$J$61,9,FALSE()),""))</f>
      </c>
    </row>
    <row r="3300">
      <c r="E3300">
        <f>IF(DATOS!$I3300="","",IFERROR(VLOOKUP(DATOS!$I3300,CONFIG_ASIGNATURAS!$B$2:$J$61,9,FALSE()),""))</f>
      </c>
    </row>
    <row r="3301">
      <c r="E3301">
        <f>IF(DATOS!$I3301="","",IFERROR(VLOOKUP(DATOS!$I3301,CONFIG_ASIGNATURAS!$B$2:$J$61,9,FALSE()),""))</f>
      </c>
    </row>
    <row r="3302">
      <c r="E3302">
        <f>IF(DATOS!$I3302="","",IFERROR(VLOOKUP(DATOS!$I3302,CONFIG_ASIGNATURAS!$B$2:$J$61,9,FALSE()),""))</f>
      </c>
    </row>
    <row r="3303">
      <c r="E3303">
        <f>IF(DATOS!$I3303="","",IFERROR(VLOOKUP(DATOS!$I3303,CONFIG_ASIGNATURAS!$B$2:$J$61,9,FALSE()),""))</f>
      </c>
    </row>
    <row r="3304">
      <c r="E3304">
        <f>IF(DATOS!$I3304="","",IFERROR(VLOOKUP(DATOS!$I3304,CONFIG_ASIGNATURAS!$B$2:$J$61,9,FALSE()),""))</f>
      </c>
    </row>
    <row r="3305">
      <c r="E3305">
        <f>IF(DATOS!$I3305="","",IFERROR(VLOOKUP(DATOS!$I3305,CONFIG_ASIGNATURAS!$B$2:$J$61,9,FALSE()),""))</f>
      </c>
    </row>
    <row r="3306">
      <c r="E3306">
        <f>IF(DATOS!$I3306="","",IFERROR(VLOOKUP(DATOS!$I3306,CONFIG_ASIGNATURAS!$B$2:$J$61,9,FALSE()),""))</f>
      </c>
    </row>
    <row r="3307">
      <c r="E3307">
        <f>IF(DATOS!$I3307="","",IFERROR(VLOOKUP(DATOS!$I3307,CONFIG_ASIGNATURAS!$B$2:$J$61,9,FALSE()),""))</f>
      </c>
    </row>
    <row r="3308">
      <c r="E3308">
        <f>IF(DATOS!$I3308="","",IFERROR(VLOOKUP(DATOS!$I3308,CONFIG_ASIGNATURAS!$B$2:$J$61,9,FALSE()),""))</f>
      </c>
    </row>
    <row r="3309">
      <c r="E3309">
        <f>IF(DATOS!$I3309="","",IFERROR(VLOOKUP(DATOS!$I3309,CONFIG_ASIGNATURAS!$B$2:$J$61,9,FALSE()),""))</f>
      </c>
    </row>
    <row r="3310">
      <c r="E3310">
        <f>IF(DATOS!$I3310="","",IFERROR(VLOOKUP(DATOS!$I3310,CONFIG_ASIGNATURAS!$B$2:$J$61,9,FALSE()),""))</f>
      </c>
    </row>
    <row r="3311">
      <c r="E3311">
        <f>IF(DATOS!$I3311="","",IFERROR(VLOOKUP(DATOS!$I3311,CONFIG_ASIGNATURAS!$B$2:$J$61,9,FALSE()),""))</f>
      </c>
    </row>
    <row r="3312">
      <c r="E3312">
        <f>IF(DATOS!$I3312="","",IFERROR(VLOOKUP(DATOS!$I3312,CONFIG_ASIGNATURAS!$B$2:$J$61,9,FALSE()),""))</f>
      </c>
    </row>
    <row r="3313">
      <c r="E3313">
        <f>IF(DATOS!$I3313="","",IFERROR(VLOOKUP(DATOS!$I3313,CONFIG_ASIGNATURAS!$B$2:$J$61,9,FALSE()),""))</f>
      </c>
    </row>
    <row r="3314">
      <c r="E3314">
        <f>IF(DATOS!$I3314="","",IFERROR(VLOOKUP(DATOS!$I3314,CONFIG_ASIGNATURAS!$B$2:$J$61,9,FALSE()),""))</f>
      </c>
    </row>
    <row r="3315">
      <c r="E3315">
        <f>IF(DATOS!$I3315="","",IFERROR(VLOOKUP(DATOS!$I3315,CONFIG_ASIGNATURAS!$B$2:$J$61,9,FALSE()),""))</f>
      </c>
    </row>
    <row r="3316">
      <c r="E3316">
        <f>IF(DATOS!$I3316="","",IFERROR(VLOOKUP(DATOS!$I3316,CONFIG_ASIGNATURAS!$B$2:$J$61,9,FALSE()),""))</f>
      </c>
    </row>
    <row r="3317">
      <c r="E3317">
        <f>IF(DATOS!$I3317="","",IFERROR(VLOOKUP(DATOS!$I3317,CONFIG_ASIGNATURAS!$B$2:$J$61,9,FALSE()),""))</f>
      </c>
    </row>
    <row r="3318">
      <c r="E3318">
        <f>IF(DATOS!$I3318="","",IFERROR(VLOOKUP(DATOS!$I3318,CONFIG_ASIGNATURAS!$B$2:$J$61,9,FALSE()),""))</f>
      </c>
    </row>
    <row r="3319">
      <c r="E3319">
        <f>IF(DATOS!$I3319="","",IFERROR(VLOOKUP(DATOS!$I3319,CONFIG_ASIGNATURAS!$B$2:$J$61,9,FALSE()),""))</f>
      </c>
    </row>
    <row r="3320">
      <c r="E3320">
        <f>IF(DATOS!$I3320="","",IFERROR(VLOOKUP(DATOS!$I3320,CONFIG_ASIGNATURAS!$B$2:$J$61,9,FALSE()),""))</f>
      </c>
    </row>
    <row r="3321">
      <c r="E3321">
        <f>IF(DATOS!$I3321="","",IFERROR(VLOOKUP(DATOS!$I3321,CONFIG_ASIGNATURAS!$B$2:$J$61,9,FALSE()),""))</f>
      </c>
    </row>
    <row r="3322">
      <c r="E3322">
        <f>IF(DATOS!$I3322="","",IFERROR(VLOOKUP(DATOS!$I3322,CONFIG_ASIGNATURAS!$B$2:$J$61,9,FALSE()),""))</f>
      </c>
    </row>
    <row r="3323">
      <c r="E3323">
        <f>IF(DATOS!$I3323="","",IFERROR(VLOOKUP(DATOS!$I3323,CONFIG_ASIGNATURAS!$B$2:$J$61,9,FALSE()),""))</f>
      </c>
    </row>
    <row r="3324">
      <c r="E3324">
        <f>IF(DATOS!$I3324="","",IFERROR(VLOOKUP(DATOS!$I3324,CONFIG_ASIGNATURAS!$B$2:$J$61,9,FALSE()),""))</f>
      </c>
    </row>
    <row r="3325">
      <c r="E3325">
        <f>IF(DATOS!$I3325="","",IFERROR(VLOOKUP(DATOS!$I3325,CONFIG_ASIGNATURAS!$B$2:$J$61,9,FALSE()),""))</f>
      </c>
    </row>
    <row r="3326">
      <c r="E3326">
        <f>IF(DATOS!$I3326="","",IFERROR(VLOOKUP(DATOS!$I3326,CONFIG_ASIGNATURAS!$B$2:$J$61,9,FALSE()),""))</f>
      </c>
    </row>
    <row r="3327">
      <c r="E3327">
        <f>IF(DATOS!$I3327="","",IFERROR(VLOOKUP(DATOS!$I3327,CONFIG_ASIGNATURAS!$B$2:$J$61,9,FALSE()),""))</f>
      </c>
    </row>
    <row r="3328">
      <c r="E3328">
        <f>IF(DATOS!$I3328="","",IFERROR(VLOOKUP(DATOS!$I3328,CONFIG_ASIGNATURAS!$B$2:$J$61,9,FALSE()),""))</f>
      </c>
    </row>
    <row r="3329">
      <c r="E3329">
        <f>IF(DATOS!$I3329="","",IFERROR(VLOOKUP(DATOS!$I3329,CONFIG_ASIGNATURAS!$B$2:$J$61,9,FALSE()),""))</f>
      </c>
    </row>
    <row r="3330">
      <c r="E3330">
        <f>IF(DATOS!$I3330="","",IFERROR(VLOOKUP(DATOS!$I3330,CONFIG_ASIGNATURAS!$B$2:$J$61,9,FALSE()),""))</f>
      </c>
    </row>
    <row r="3331">
      <c r="E3331">
        <f>IF(DATOS!$I3331="","",IFERROR(VLOOKUP(DATOS!$I3331,CONFIG_ASIGNATURAS!$B$2:$J$61,9,FALSE()),""))</f>
      </c>
    </row>
    <row r="3332">
      <c r="E3332">
        <f>IF(DATOS!$I3332="","",IFERROR(VLOOKUP(DATOS!$I3332,CONFIG_ASIGNATURAS!$B$2:$J$61,9,FALSE()),""))</f>
      </c>
    </row>
    <row r="3333">
      <c r="E3333">
        <f>IF(DATOS!$I3333="","",IFERROR(VLOOKUP(DATOS!$I3333,CONFIG_ASIGNATURAS!$B$2:$J$61,9,FALSE()),""))</f>
      </c>
    </row>
    <row r="3334">
      <c r="E3334">
        <f>IF(DATOS!$I3334="","",IFERROR(VLOOKUP(DATOS!$I3334,CONFIG_ASIGNATURAS!$B$2:$J$61,9,FALSE()),""))</f>
      </c>
    </row>
    <row r="3335">
      <c r="E3335">
        <f>IF(DATOS!$I3335="","",IFERROR(VLOOKUP(DATOS!$I3335,CONFIG_ASIGNATURAS!$B$2:$J$61,9,FALSE()),""))</f>
      </c>
    </row>
    <row r="3336">
      <c r="E3336">
        <f>IF(DATOS!$I3336="","",IFERROR(VLOOKUP(DATOS!$I3336,CONFIG_ASIGNATURAS!$B$2:$J$61,9,FALSE()),""))</f>
      </c>
    </row>
    <row r="3337">
      <c r="E3337">
        <f>IF(DATOS!$I3337="","",IFERROR(VLOOKUP(DATOS!$I3337,CONFIG_ASIGNATURAS!$B$2:$J$61,9,FALSE()),""))</f>
      </c>
    </row>
    <row r="3338">
      <c r="E3338">
        <f>IF(DATOS!$I3338="","",IFERROR(VLOOKUP(DATOS!$I3338,CONFIG_ASIGNATURAS!$B$2:$J$61,9,FALSE()),""))</f>
      </c>
    </row>
    <row r="3339">
      <c r="E3339">
        <f>IF(DATOS!$I3339="","",IFERROR(VLOOKUP(DATOS!$I3339,CONFIG_ASIGNATURAS!$B$2:$J$61,9,FALSE()),""))</f>
      </c>
    </row>
    <row r="3340">
      <c r="E3340">
        <f>IF(DATOS!$I3340="","",IFERROR(VLOOKUP(DATOS!$I3340,CONFIG_ASIGNATURAS!$B$2:$J$61,9,FALSE()),""))</f>
      </c>
    </row>
    <row r="3341">
      <c r="E3341">
        <f>IF(DATOS!$I3341="","",IFERROR(VLOOKUP(DATOS!$I3341,CONFIG_ASIGNATURAS!$B$2:$J$61,9,FALSE()),""))</f>
      </c>
    </row>
    <row r="3342">
      <c r="E3342">
        <f>IF(DATOS!$I3342="","",IFERROR(VLOOKUP(DATOS!$I3342,CONFIG_ASIGNATURAS!$B$2:$J$61,9,FALSE()),""))</f>
      </c>
    </row>
    <row r="3343">
      <c r="E3343">
        <f>IF(DATOS!$I3343="","",IFERROR(VLOOKUP(DATOS!$I3343,CONFIG_ASIGNATURAS!$B$2:$J$61,9,FALSE()),""))</f>
      </c>
    </row>
    <row r="3344">
      <c r="E3344">
        <f>IF(DATOS!$I3344="","",IFERROR(VLOOKUP(DATOS!$I3344,CONFIG_ASIGNATURAS!$B$2:$J$61,9,FALSE()),""))</f>
      </c>
    </row>
    <row r="3345">
      <c r="E3345">
        <f>IF(DATOS!$I3345="","",IFERROR(VLOOKUP(DATOS!$I3345,CONFIG_ASIGNATURAS!$B$2:$J$61,9,FALSE()),""))</f>
      </c>
    </row>
    <row r="3346">
      <c r="E3346">
        <f>IF(DATOS!$I3346="","",IFERROR(VLOOKUP(DATOS!$I3346,CONFIG_ASIGNATURAS!$B$2:$J$61,9,FALSE()),""))</f>
      </c>
    </row>
    <row r="3347">
      <c r="E3347">
        <f>IF(DATOS!$I3347="","",IFERROR(VLOOKUP(DATOS!$I3347,CONFIG_ASIGNATURAS!$B$2:$J$61,9,FALSE()),""))</f>
      </c>
    </row>
    <row r="3348">
      <c r="E3348">
        <f>IF(DATOS!$I3348="","",IFERROR(VLOOKUP(DATOS!$I3348,CONFIG_ASIGNATURAS!$B$2:$J$61,9,FALSE()),""))</f>
      </c>
    </row>
    <row r="3349">
      <c r="E3349">
        <f>IF(DATOS!$I3349="","",IFERROR(VLOOKUP(DATOS!$I3349,CONFIG_ASIGNATURAS!$B$2:$J$61,9,FALSE()),""))</f>
      </c>
    </row>
    <row r="3350">
      <c r="E3350">
        <f>IF(DATOS!$I3350="","",IFERROR(VLOOKUP(DATOS!$I3350,CONFIG_ASIGNATURAS!$B$2:$J$61,9,FALSE()),""))</f>
      </c>
    </row>
    <row r="3351">
      <c r="E3351">
        <f>IF(DATOS!$I3351="","",IFERROR(VLOOKUP(DATOS!$I3351,CONFIG_ASIGNATURAS!$B$2:$J$61,9,FALSE()),""))</f>
      </c>
    </row>
    <row r="3352">
      <c r="E3352">
        <f>IF(DATOS!$I3352="","",IFERROR(VLOOKUP(DATOS!$I3352,CONFIG_ASIGNATURAS!$B$2:$J$61,9,FALSE()),""))</f>
      </c>
    </row>
    <row r="3353">
      <c r="E3353">
        <f>IF(DATOS!$I3353="","",IFERROR(VLOOKUP(DATOS!$I3353,CONFIG_ASIGNATURAS!$B$2:$J$61,9,FALSE()),""))</f>
      </c>
    </row>
    <row r="3354">
      <c r="E3354">
        <f>IF(DATOS!$I3354="","",IFERROR(VLOOKUP(DATOS!$I3354,CONFIG_ASIGNATURAS!$B$2:$J$61,9,FALSE()),""))</f>
      </c>
    </row>
    <row r="3355">
      <c r="E3355">
        <f>IF(DATOS!$I3355="","",IFERROR(VLOOKUP(DATOS!$I3355,CONFIG_ASIGNATURAS!$B$2:$J$61,9,FALSE()),""))</f>
      </c>
    </row>
    <row r="3356">
      <c r="E3356">
        <f>IF(DATOS!$I3356="","",IFERROR(VLOOKUP(DATOS!$I3356,CONFIG_ASIGNATURAS!$B$2:$J$61,9,FALSE()),""))</f>
      </c>
    </row>
    <row r="3357">
      <c r="E3357">
        <f>IF(DATOS!$I3357="","",IFERROR(VLOOKUP(DATOS!$I3357,CONFIG_ASIGNATURAS!$B$2:$J$61,9,FALSE()),""))</f>
      </c>
    </row>
    <row r="3358">
      <c r="E3358">
        <f>IF(DATOS!$I3358="","",IFERROR(VLOOKUP(DATOS!$I3358,CONFIG_ASIGNATURAS!$B$2:$J$61,9,FALSE()),""))</f>
      </c>
    </row>
    <row r="3359">
      <c r="E3359">
        <f>IF(DATOS!$I3359="","",IFERROR(VLOOKUP(DATOS!$I3359,CONFIG_ASIGNATURAS!$B$2:$J$61,9,FALSE()),""))</f>
      </c>
    </row>
    <row r="3360">
      <c r="E3360">
        <f>IF(DATOS!$I3360="","",IFERROR(VLOOKUP(DATOS!$I3360,CONFIG_ASIGNATURAS!$B$2:$J$61,9,FALSE()),""))</f>
      </c>
    </row>
    <row r="3361">
      <c r="E3361">
        <f>IF(DATOS!$I3361="","",IFERROR(VLOOKUP(DATOS!$I3361,CONFIG_ASIGNATURAS!$B$2:$J$61,9,FALSE()),""))</f>
      </c>
    </row>
    <row r="3362">
      <c r="E3362">
        <f>IF(DATOS!$I3362="","",IFERROR(VLOOKUP(DATOS!$I3362,CONFIG_ASIGNATURAS!$B$2:$J$61,9,FALSE()),""))</f>
      </c>
    </row>
    <row r="3363">
      <c r="E3363">
        <f>IF(DATOS!$I3363="","",IFERROR(VLOOKUP(DATOS!$I3363,CONFIG_ASIGNATURAS!$B$2:$J$61,9,FALSE()),""))</f>
      </c>
    </row>
    <row r="3364">
      <c r="E3364">
        <f>IF(DATOS!$I3364="","",IFERROR(VLOOKUP(DATOS!$I3364,CONFIG_ASIGNATURAS!$B$2:$J$61,9,FALSE()),""))</f>
      </c>
    </row>
    <row r="3365">
      <c r="E3365">
        <f>IF(DATOS!$I3365="","",IFERROR(VLOOKUP(DATOS!$I3365,CONFIG_ASIGNATURAS!$B$2:$J$61,9,FALSE()),""))</f>
      </c>
    </row>
    <row r="3366">
      <c r="E3366">
        <f>IF(DATOS!$I3366="","",IFERROR(VLOOKUP(DATOS!$I3366,CONFIG_ASIGNATURAS!$B$2:$J$61,9,FALSE()),""))</f>
      </c>
    </row>
    <row r="3367">
      <c r="E3367">
        <f>IF(DATOS!$I3367="","",IFERROR(VLOOKUP(DATOS!$I3367,CONFIG_ASIGNATURAS!$B$2:$J$61,9,FALSE()),""))</f>
      </c>
    </row>
    <row r="3368">
      <c r="E3368">
        <f>IF(DATOS!$I3368="","",IFERROR(VLOOKUP(DATOS!$I3368,CONFIG_ASIGNATURAS!$B$2:$J$61,9,FALSE()),""))</f>
      </c>
    </row>
    <row r="3369">
      <c r="E3369">
        <f>IF(DATOS!$I3369="","",IFERROR(VLOOKUP(DATOS!$I3369,CONFIG_ASIGNATURAS!$B$2:$J$61,9,FALSE()),""))</f>
      </c>
    </row>
    <row r="3370">
      <c r="E3370">
        <f>IF(DATOS!$I3370="","",IFERROR(VLOOKUP(DATOS!$I3370,CONFIG_ASIGNATURAS!$B$2:$J$61,9,FALSE()),""))</f>
      </c>
    </row>
    <row r="3371">
      <c r="E3371">
        <f>IF(DATOS!$I3371="","",IFERROR(VLOOKUP(DATOS!$I3371,CONFIG_ASIGNATURAS!$B$2:$J$61,9,FALSE()),""))</f>
      </c>
    </row>
    <row r="3372">
      <c r="E3372">
        <f>IF(DATOS!$I3372="","",IFERROR(VLOOKUP(DATOS!$I3372,CONFIG_ASIGNATURAS!$B$2:$J$61,9,FALSE()),""))</f>
      </c>
    </row>
    <row r="3373">
      <c r="E3373">
        <f>IF(DATOS!$I3373="","",IFERROR(VLOOKUP(DATOS!$I3373,CONFIG_ASIGNATURAS!$B$2:$J$61,9,FALSE()),""))</f>
      </c>
    </row>
    <row r="3374">
      <c r="E3374">
        <f>IF(DATOS!$I3374="","",IFERROR(VLOOKUP(DATOS!$I3374,CONFIG_ASIGNATURAS!$B$2:$J$61,9,FALSE()),""))</f>
      </c>
    </row>
    <row r="3375">
      <c r="E3375">
        <f>IF(DATOS!$I3375="","",IFERROR(VLOOKUP(DATOS!$I3375,CONFIG_ASIGNATURAS!$B$2:$J$61,9,FALSE()),""))</f>
      </c>
    </row>
    <row r="3376">
      <c r="E3376">
        <f>IF(DATOS!$I3376="","",IFERROR(VLOOKUP(DATOS!$I3376,CONFIG_ASIGNATURAS!$B$2:$J$61,9,FALSE()),""))</f>
      </c>
    </row>
    <row r="3377">
      <c r="E3377">
        <f>IF(DATOS!$I3377="","",IFERROR(VLOOKUP(DATOS!$I3377,CONFIG_ASIGNATURAS!$B$2:$J$61,9,FALSE()),""))</f>
      </c>
    </row>
    <row r="3378">
      <c r="E3378">
        <f>IF(DATOS!$I3378="","",IFERROR(VLOOKUP(DATOS!$I3378,CONFIG_ASIGNATURAS!$B$2:$J$61,9,FALSE()),""))</f>
      </c>
    </row>
    <row r="3379">
      <c r="E3379">
        <f>IF(DATOS!$I3379="","",IFERROR(VLOOKUP(DATOS!$I3379,CONFIG_ASIGNATURAS!$B$2:$J$61,9,FALSE()),""))</f>
      </c>
    </row>
    <row r="3380">
      <c r="E3380">
        <f>IF(DATOS!$I3380="","",IFERROR(VLOOKUP(DATOS!$I3380,CONFIG_ASIGNATURAS!$B$2:$J$61,9,FALSE()),""))</f>
      </c>
    </row>
    <row r="3381">
      <c r="E3381">
        <f>IF(DATOS!$I3381="","",IFERROR(VLOOKUP(DATOS!$I3381,CONFIG_ASIGNATURAS!$B$2:$J$61,9,FALSE()),""))</f>
      </c>
    </row>
    <row r="3382">
      <c r="E3382">
        <f>IF(DATOS!$I3382="","",IFERROR(VLOOKUP(DATOS!$I3382,CONFIG_ASIGNATURAS!$B$2:$J$61,9,FALSE()),""))</f>
      </c>
    </row>
    <row r="3383">
      <c r="E3383">
        <f>IF(DATOS!$I3383="","",IFERROR(VLOOKUP(DATOS!$I3383,CONFIG_ASIGNATURAS!$B$2:$J$61,9,FALSE()),""))</f>
      </c>
    </row>
    <row r="3384">
      <c r="E3384">
        <f>IF(DATOS!$I3384="","",IFERROR(VLOOKUP(DATOS!$I3384,CONFIG_ASIGNATURAS!$B$2:$J$61,9,FALSE()),""))</f>
      </c>
    </row>
    <row r="3385">
      <c r="E3385">
        <f>IF(DATOS!$I3385="","",IFERROR(VLOOKUP(DATOS!$I3385,CONFIG_ASIGNATURAS!$B$2:$J$61,9,FALSE()),""))</f>
      </c>
    </row>
    <row r="3386">
      <c r="E3386">
        <f>IF(DATOS!$I3386="","",IFERROR(VLOOKUP(DATOS!$I3386,CONFIG_ASIGNATURAS!$B$2:$J$61,9,FALSE()),""))</f>
      </c>
    </row>
    <row r="3387">
      <c r="E3387">
        <f>IF(DATOS!$I3387="","",IFERROR(VLOOKUP(DATOS!$I3387,CONFIG_ASIGNATURAS!$B$2:$J$61,9,FALSE()),""))</f>
      </c>
    </row>
    <row r="3388">
      <c r="E3388">
        <f>IF(DATOS!$I3388="","",IFERROR(VLOOKUP(DATOS!$I3388,CONFIG_ASIGNATURAS!$B$2:$J$61,9,FALSE()),""))</f>
      </c>
    </row>
    <row r="3389">
      <c r="E3389">
        <f>IF(DATOS!$I3389="","",IFERROR(VLOOKUP(DATOS!$I3389,CONFIG_ASIGNATURAS!$B$2:$J$61,9,FALSE()),""))</f>
      </c>
    </row>
    <row r="3390">
      <c r="E3390">
        <f>IF(DATOS!$I3390="","",IFERROR(VLOOKUP(DATOS!$I3390,CONFIG_ASIGNATURAS!$B$2:$J$61,9,FALSE()),""))</f>
      </c>
    </row>
    <row r="3391">
      <c r="E3391">
        <f>IF(DATOS!$I3391="","",IFERROR(VLOOKUP(DATOS!$I3391,CONFIG_ASIGNATURAS!$B$2:$J$61,9,FALSE()),""))</f>
      </c>
    </row>
    <row r="3392">
      <c r="E3392">
        <f>IF(DATOS!$I3392="","",IFERROR(VLOOKUP(DATOS!$I3392,CONFIG_ASIGNATURAS!$B$2:$J$61,9,FALSE()),""))</f>
      </c>
    </row>
    <row r="3393">
      <c r="E3393">
        <f>IF(DATOS!$I3393="","",IFERROR(VLOOKUP(DATOS!$I3393,CONFIG_ASIGNATURAS!$B$2:$J$61,9,FALSE()),""))</f>
      </c>
    </row>
    <row r="3394">
      <c r="E3394">
        <f>IF(DATOS!$I3394="","",IFERROR(VLOOKUP(DATOS!$I3394,CONFIG_ASIGNATURAS!$B$2:$J$61,9,FALSE()),""))</f>
      </c>
    </row>
    <row r="3395">
      <c r="E3395">
        <f>IF(DATOS!$I3395="","",IFERROR(VLOOKUP(DATOS!$I3395,CONFIG_ASIGNATURAS!$B$2:$J$61,9,FALSE()),""))</f>
      </c>
    </row>
    <row r="3396">
      <c r="E3396">
        <f>IF(DATOS!$I3396="","",IFERROR(VLOOKUP(DATOS!$I3396,CONFIG_ASIGNATURAS!$B$2:$J$61,9,FALSE()),""))</f>
      </c>
    </row>
    <row r="3397">
      <c r="E3397">
        <f>IF(DATOS!$I3397="","",IFERROR(VLOOKUP(DATOS!$I3397,CONFIG_ASIGNATURAS!$B$2:$J$61,9,FALSE()),""))</f>
      </c>
    </row>
    <row r="3398">
      <c r="E3398">
        <f>IF(DATOS!$I3398="","",IFERROR(VLOOKUP(DATOS!$I3398,CONFIG_ASIGNATURAS!$B$2:$J$61,9,FALSE()),""))</f>
      </c>
    </row>
    <row r="3399">
      <c r="E3399">
        <f>IF(DATOS!$I3399="","",IFERROR(VLOOKUP(DATOS!$I3399,CONFIG_ASIGNATURAS!$B$2:$J$61,9,FALSE()),""))</f>
      </c>
    </row>
    <row r="3400">
      <c r="E3400">
        <f>IF(DATOS!$I3400="","",IFERROR(VLOOKUP(DATOS!$I3400,CONFIG_ASIGNATURAS!$B$2:$J$61,9,FALSE()),""))</f>
      </c>
    </row>
    <row r="3401">
      <c r="E3401">
        <f>IF(DATOS!$I3401="","",IFERROR(VLOOKUP(DATOS!$I3401,CONFIG_ASIGNATURAS!$B$2:$J$61,9,FALSE()),""))</f>
      </c>
    </row>
    <row r="3402">
      <c r="E3402">
        <f>IF(DATOS!$I3402="","",IFERROR(VLOOKUP(DATOS!$I3402,CONFIG_ASIGNATURAS!$B$2:$J$61,9,FALSE()),""))</f>
      </c>
    </row>
    <row r="3403">
      <c r="E3403">
        <f>IF(DATOS!$I3403="","",IFERROR(VLOOKUP(DATOS!$I3403,CONFIG_ASIGNATURAS!$B$2:$J$61,9,FALSE()),""))</f>
      </c>
    </row>
    <row r="3404">
      <c r="E3404">
        <f>IF(DATOS!$I3404="","",IFERROR(VLOOKUP(DATOS!$I3404,CONFIG_ASIGNATURAS!$B$2:$J$61,9,FALSE()),""))</f>
      </c>
    </row>
    <row r="3405">
      <c r="E3405">
        <f>IF(DATOS!$I3405="","",IFERROR(VLOOKUP(DATOS!$I3405,CONFIG_ASIGNATURAS!$B$2:$J$61,9,FALSE()),""))</f>
      </c>
    </row>
    <row r="3406">
      <c r="E3406">
        <f>IF(DATOS!$I3406="","",IFERROR(VLOOKUP(DATOS!$I3406,CONFIG_ASIGNATURAS!$B$2:$J$61,9,FALSE()),""))</f>
      </c>
    </row>
    <row r="3407">
      <c r="E3407">
        <f>IF(DATOS!$I3407="","",IFERROR(VLOOKUP(DATOS!$I3407,CONFIG_ASIGNATURAS!$B$2:$J$61,9,FALSE()),""))</f>
      </c>
    </row>
    <row r="3408">
      <c r="E3408">
        <f>IF(DATOS!$I3408="","",IFERROR(VLOOKUP(DATOS!$I3408,CONFIG_ASIGNATURAS!$B$2:$J$61,9,FALSE()),""))</f>
      </c>
    </row>
    <row r="3409">
      <c r="E3409">
        <f>IF(DATOS!$I3409="","",IFERROR(VLOOKUP(DATOS!$I3409,CONFIG_ASIGNATURAS!$B$2:$J$61,9,FALSE()),""))</f>
      </c>
    </row>
    <row r="3410">
      <c r="E3410">
        <f>IF(DATOS!$I3410="","",IFERROR(VLOOKUP(DATOS!$I3410,CONFIG_ASIGNATURAS!$B$2:$J$61,9,FALSE()),""))</f>
      </c>
    </row>
    <row r="3411">
      <c r="E3411">
        <f>IF(DATOS!$I3411="","",IFERROR(VLOOKUP(DATOS!$I3411,CONFIG_ASIGNATURAS!$B$2:$J$61,9,FALSE()),""))</f>
      </c>
    </row>
    <row r="3412">
      <c r="E3412">
        <f>IF(DATOS!$I3412="","",IFERROR(VLOOKUP(DATOS!$I3412,CONFIG_ASIGNATURAS!$B$2:$J$61,9,FALSE()),""))</f>
      </c>
    </row>
    <row r="3413">
      <c r="E3413">
        <f>IF(DATOS!$I3413="","",IFERROR(VLOOKUP(DATOS!$I3413,CONFIG_ASIGNATURAS!$B$2:$J$61,9,FALSE()),""))</f>
      </c>
    </row>
    <row r="3414">
      <c r="E3414">
        <f>IF(DATOS!$I3414="","",IFERROR(VLOOKUP(DATOS!$I3414,CONFIG_ASIGNATURAS!$B$2:$J$61,9,FALSE()),""))</f>
      </c>
    </row>
    <row r="3415">
      <c r="E3415">
        <f>IF(DATOS!$I3415="","",IFERROR(VLOOKUP(DATOS!$I3415,CONFIG_ASIGNATURAS!$B$2:$J$61,9,FALSE()),""))</f>
      </c>
    </row>
    <row r="3416">
      <c r="E3416">
        <f>IF(DATOS!$I3416="","",IFERROR(VLOOKUP(DATOS!$I3416,CONFIG_ASIGNATURAS!$B$2:$J$61,9,FALSE()),""))</f>
      </c>
    </row>
    <row r="3417">
      <c r="E3417">
        <f>IF(DATOS!$I3417="","",IFERROR(VLOOKUP(DATOS!$I3417,CONFIG_ASIGNATURAS!$B$2:$J$61,9,FALSE()),""))</f>
      </c>
    </row>
    <row r="3418">
      <c r="E3418">
        <f>IF(DATOS!$I3418="","",IFERROR(VLOOKUP(DATOS!$I3418,CONFIG_ASIGNATURAS!$B$2:$J$61,9,FALSE()),""))</f>
      </c>
    </row>
    <row r="3419">
      <c r="E3419">
        <f>IF(DATOS!$I3419="","",IFERROR(VLOOKUP(DATOS!$I3419,CONFIG_ASIGNATURAS!$B$2:$J$61,9,FALSE()),""))</f>
      </c>
    </row>
    <row r="3420">
      <c r="E3420">
        <f>IF(DATOS!$I3420="","",IFERROR(VLOOKUP(DATOS!$I3420,CONFIG_ASIGNATURAS!$B$2:$J$61,9,FALSE()),""))</f>
      </c>
    </row>
    <row r="3421">
      <c r="E3421">
        <f>IF(DATOS!$I3421="","",IFERROR(VLOOKUP(DATOS!$I3421,CONFIG_ASIGNATURAS!$B$2:$J$61,9,FALSE()),""))</f>
      </c>
    </row>
    <row r="3422">
      <c r="E3422">
        <f>IF(DATOS!$I3422="","",IFERROR(VLOOKUP(DATOS!$I3422,CONFIG_ASIGNATURAS!$B$2:$J$61,9,FALSE()),""))</f>
      </c>
    </row>
    <row r="3423">
      <c r="E3423">
        <f>IF(DATOS!$I3423="","",IFERROR(VLOOKUP(DATOS!$I3423,CONFIG_ASIGNATURAS!$B$2:$J$61,9,FALSE()),""))</f>
      </c>
    </row>
    <row r="3424">
      <c r="E3424">
        <f>IF(DATOS!$I3424="","",IFERROR(VLOOKUP(DATOS!$I3424,CONFIG_ASIGNATURAS!$B$2:$J$61,9,FALSE()),""))</f>
      </c>
    </row>
    <row r="3425">
      <c r="E3425">
        <f>IF(DATOS!$I3425="","",IFERROR(VLOOKUP(DATOS!$I3425,CONFIG_ASIGNATURAS!$B$2:$J$61,9,FALSE()),""))</f>
      </c>
    </row>
    <row r="3426">
      <c r="E3426">
        <f>IF(DATOS!$I3426="","",IFERROR(VLOOKUP(DATOS!$I3426,CONFIG_ASIGNATURAS!$B$2:$J$61,9,FALSE()),""))</f>
      </c>
    </row>
    <row r="3427">
      <c r="E3427">
        <f>IF(DATOS!$I3427="","",IFERROR(VLOOKUP(DATOS!$I3427,CONFIG_ASIGNATURAS!$B$2:$J$61,9,FALSE()),""))</f>
      </c>
    </row>
    <row r="3428">
      <c r="E3428">
        <f>IF(DATOS!$I3428="","",IFERROR(VLOOKUP(DATOS!$I3428,CONFIG_ASIGNATURAS!$B$2:$J$61,9,FALSE()),""))</f>
      </c>
    </row>
    <row r="3429">
      <c r="E3429">
        <f>IF(DATOS!$I3429="","",IFERROR(VLOOKUP(DATOS!$I3429,CONFIG_ASIGNATURAS!$B$2:$J$61,9,FALSE()),""))</f>
      </c>
    </row>
    <row r="3430">
      <c r="E3430">
        <f>IF(DATOS!$I3430="","",IFERROR(VLOOKUP(DATOS!$I3430,CONFIG_ASIGNATURAS!$B$2:$J$61,9,FALSE()),""))</f>
      </c>
    </row>
    <row r="3431">
      <c r="E3431">
        <f>IF(DATOS!$I3431="","",IFERROR(VLOOKUP(DATOS!$I3431,CONFIG_ASIGNATURAS!$B$2:$J$61,9,FALSE()),""))</f>
      </c>
    </row>
    <row r="3432">
      <c r="E3432">
        <f>IF(DATOS!$I3432="","",IFERROR(VLOOKUP(DATOS!$I3432,CONFIG_ASIGNATURAS!$B$2:$J$61,9,FALSE()),""))</f>
      </c>
    </row>
    <row r="3433">
      <c r="E3433">
        <f>IF(DATOS!$I3433="","",IFERROR(VLOOKUP(DATOS!$I3433,CONFIG_ASIGNATURAS!$B$2:$J$61,9,FALSE()),""))</f>
      </c>
    </row>
    <row r="3434">
      <c r="E3434">
        <f>IF(DATOS!$I3434="","",IFERROR(VLOOKUP(DATOS!$I3434,CONFIG_ASIGNATURAS!$B$2:$J$61,9,FALSE()),""))</f>
      </c>
    </row>
    <row r="3435">
      <c r="E3435">
        <f>IF(DATOS!$I3435="","",IFERROR(VLOOKUP(DATOS!$I3435,CONFIG_ASIGNATURAS!$B$2:$J$61,9,FALSE()),""))</f>
      </c>
    </row>
    <row r="3436">
      <c r="E3436">
        <f>IF(DATOS!$I3436="","",IFERROR(VLOOKUP(DATOS!$I3436,CONFIG_ASIGNATURAS!$B$2:$J$61,9,FALSE()),""))</f>
      </c>
    </row>
    <row r="3437">
      <c r="E3437">
        <f>IF(DATOS!$I3437="","",IFERROR(VLOOKUP(DATOS!$I3437,CONFIG_ASIGNATURAS!$B$2:$J$61,9,FALSE()),""))</f>
      </c>
    </row>
    <row r="3438">
      <c r="E3438">
        <f>IF(DATOS!$I3438="","",IFERROR(VLOOKUP(DATOS!$I3438,CONFIG_ASIGNATURAS!$B$2:$J$61,9,FALSE()),""))</f>
      </c>
    </row>
    <row r="3439">
      <c r="E3439">
        <f>IF(DATOS!$I3439="","",IFERROR(VLOOKUP(DATOS!$I3439,CONFIG_ASIGNATURAS!$B$2:$J$61,9,FALSE()),""))</f>
      </c>
    </row>
    <row r="3440">
      <c r="E3440">
        <f>IF(DATOS!$I3440="","",IFERROR(VLOOKUP(DATOS!$I3440,CONFIG_ASIGNATURAS!$B$2:$J$61,9,FALSE()),""))</f>
      </c>
    </row>
    <row r="3441">
      <c r="E3441">
        <f>IF(DATOS!$I3441="","",IFERROR(VLOOKUP(DATOS!$I3441,CONFIG_ASIGNATURAS!$B$2:$J$61,9,FALSE()),""))</f>
      </c>
    </row>
    <row r="3442">
      <c r="E3442">
        <f>IF(DATOS!$I3442="","",IFERROR(VLOOKUP(DATOS!$I3442,CONFIG_ASIGNATURAS!$B$2:$J$61,9,FALSE()),""))</f>
      </c>
    </row>
    <row r="3443">
      <c r="E3443">
        <f>IF(DATOS!$I3443="","",IFERROR(VLOOKUP(DATOS!$I3443,CONFIG_ASIGNATURAS!$B$2:$J$61,9,FALSE()),""))</f>
      </c>
    </row>
    <row r="3444">
      <c r="E3444">
        <f>IF(DATOS!$I3444="","",IFERROR(VLOOKUP(DATOS!$I3444,CONFIG_ASIGNATURAS!$B$2:$J$61,9,FALSE()),""))</f>
      </c>
    </row>
    <row r="3445">
      <c r="E3445">
        <f>IF(DATOS!$I3445="","",IFERROR(VLOOKUP(DATOS!$I3445,CONFIG_ASIGNATURAS!$B$2:$J$61,9,FALSE()),""))</f>
      </c>
    </row>
    <row r="3446">
      <c r="E3446">
        <f>IF(DATOS!$I3446="","",IFERROR(VLOOKUP(DATOS!$I3446,CONFIG_ASIGNATURAS!$B$2:$J$61,9,FALSE()),""))</f>
      </c>
    </row>
    <row r="3447">
      <c r="E3447">
        <f>IF(DATOS!$I3447="","",IFERROR(VLOOKUP(DATOS!$I3447,CONFIG_ASIGNATURAS!$B$2:$J$61,9,FALSE()),""))</f>
      </c>
    </row>
    <row r="3448">
      <c r="E3448">
        <f>IF(DATOS!$I3448="","",IFERROR(VLOOKUP(DATOS!$I3448,CONFIG_ASIGNATURAS!$B$2:$J$61,9,FALSE()),""))</f>
      </c>
    </row>
    <row r="3449">
      <c r="E3449">
        <f>IF(DATOS!$I3449="","",IFERROR(VLOOKUP(DATOS!$I3449,CONFIG_ASIGNATURAS!$B$2:$J$61,9,FALSE()),""))</f>
      </c>
    </row>
    <row r="3450">
      <c r="E3450">
        <f>IF(DATOS!$I3450="","",IFERROR(VLOOKUP(DATOS!$I3450,CONFIG_ASIGNATURAS!$B$2:$J$61,9,FALSE()),""))</f>
      </c>
    </row>
    <row r="3451">
      <c r="E3451">
        <f>IF(DATOS!$I3451="","",IFERROR(VLOOKUP(DATOS!$I3451,CONFIG_ASIGNATURAS!$B$2:$J$61,9,FALSE()),""))</f>
      </c>
    </row>
    <row r="3452">
      <c r="E3452">
        <f>IF(DATOS!$I3452="","",IFERROR(VLOOKUP(DATOS!$I3452,CONFIG_ASIGNATURAS!$B$2:$J$61,9,FALSE()),""))</f>
      </c>
    </row>
    <row r="3453">
      <c r="E3453">
        <f>IF(DATOS!$I3453="","",IFERROR(VLOOKUP(DATOS!$I3453,CONFIG_ASIGNATURAS!$B$2:$J$61,9,FALSE()),""))</f>
      </c>
    </row>
    <row r="3454">
      <c r="E3454">
        <f>IF(DATOS!$I3454="","",IFERROR(VLOOKUP(DATOS!$I3454,CONFIG_ASIGNATURAS!$B$2:$J$61,9,FALSE()),""))</f>
      </c>
    </row>
    <row r="3455">
      <c r="E3455">
        <f>IF(DATOS!$I3455="","",IFERROR(VLOOKUP(DATOS!$I3455,CONFIG_ASIGNATURAS!$B$2:$J$61,9,FALSE()),""))</f>
      </c>
    </row>
    <row r="3456">
      <c r="E3456">
        <f>IF(DATOS!$I3456="","",IFERROR(VLOOKUP(DATOS!$I3456,CONFIG_ASIGNATURAS!$B$2:$J$61,9,FALSE()),""))</f>
      </c>
    </row>
    <row r="3457">
      <c r="E3457">
        <f>IF(DATOS!$I3457="","",IFERROR(VLOOKUP(DATOS!$I3457,CONFIG_ASIGNATURAS!$B$2:$J$61,9,FALSE()),""))</f>
      </c>
    </row>
    <row r="3458">
      <c r="E3458">
        <f>IF(DATOS!$I3458="","",IFERROR(VLOOKUP(DATOS!$I3458,CONFIG_ASIGNATURAS!$B$2:$J$61,9,FALSE()),""))</f>
      </c>
    </row>
    <row r="3459">
      <c r="E3459">
        <f>IF(DATOS!$I3459="","",IFERROR(VLOOKUP(DATOS!$I3459,CONFIG_ASIGNATURAS!$B$2:$J$61,9,FALSE()),""))</f>
      </c>
    </row>
    <row r="3460">
      <c r="E3460">
        <f>IF(DATOS!$I3460="","",IFERROR(VLOOKUP(DATOS!$I3460,CONFIG_ASIGNATURAS!$B$2:$J$61,9,FALSE()),""))</f>
      </c>
    </row>
    <row r="3461">
      <c r="E3461">
        <f>IF(DATOS!$I3461="","",IFERROR(VLOOKUP(DATOS!$I3461,CONFIG_ASIGNATURAS!$B$2:$J$61,9,FALSE()),""))</f>
      </c>
    </row>
    <row r="3462">
      <c r="E3462">
        <f>IF(DATOS!$I3462="","",IFERROR(VLOOKUP(DATOS!$I3462,CONFIG_ASIGNATURAS!$B$2:$J$61,9,FALSE()),""))</f>
      </c>
    </row>
    <row r="3463">
      <c r="E3463">
        <f>IF(DATOS!$I3463="","",IFERROR(VLOOKUP(DATOS!$I3463,CONFIG_ASIGNATURAS!$B$2:$J$61,9,FALSE()),""))</f>
      </c>
    </row>
    <row r="3464">
      <c r="E3464">
        <f>IF(DATOS!$I3464="","",IFERROR(VLOOKUP(DATOS!$I3464,CONFIG_ASIGNATURAS!$B$2:$J$61,9,FALSE()),""))</f>
      </c>
    </row>
    <row r="3465">
      <c r="E3465">
        <f>IF(DATOS!$I3465="","",IFERROR(VLOOKUP(DATOS!$I3465,CONFIG_ASIGNATURAS!$B$2:$J$61,9,FALSE()),""))</f>
      </c>
    </row>
    <row r="3466">
      <c r="E3466">
        <f>IF(DATOS!$I3466="","",IFERROR(VLOOKUP(DATOS!$I3466,CONFIG_ASIGNATURAS!$B$2:$J$61,9,FALSE()),""))</f>
      </c>
    </row>
    <row r="3467">
      <c r="E3467">
        <f>IF(DATOS!$I3467="","",IFERROR(VLOOKUP(DATOS!$I3467,CONFIG_ASIGNATURAS!$B$2:$J$61,9,FALSE()),""))</f>
      </c>
    </row>
    <row r="3468">
      <c r="E3468">
        <f>IF(DATOS!$I3468="","",IFERROR(VLOOKUP(DATOS!$I3468,CONFIG_ASIGNATURAS!$B$2:$J$61,9,FALSE()),""))</f>
      </c>
    </row>
    <row r="3469">
      <c r="E3469">
        <f>IF(DATOS!$I3469="","",IFERROR(VLOOKUP(DATOS!$I3469,CONFIG_ASIGNATURAS!$B$2:$J$61,9,FALSE()),""))</f>
      </c>
    </row>
    <row r="3470">
      <c r="E3470">
        <f>IF(DATOS!$I3470="","",IFERROR(VLOOKUP(DATOS!$I3470,CONFIG_ASIGNATURAS!$B$2:$J$61,9,FALSE()),""))</f>
      </c>
    </row>
    <row r="3471">
      <c r="E3471">
        <f>IF(DATOS!$I3471="","",IFERROR(VLOOKUP(DATOS!$I3471,CONFIG_ASIGNATURAS!$B$2:$J$61,9,FALSE()),""))</f>
      </c>
    </row>
    <row r="3472">
      <c r="E3472">
        <f>IF(DATOS!$I3472="","",IFERROR(VLOOKUP(DATOS!$I3472,CONFIG_ASIGNATURAS!$B$2:$J$61,9,FALSE()),""))</f>
      </c>
    </row>
    <row r="3473">
      <c r="E3473">
        <f>IF(DATOS!$I3473="","",IFERROR(VLOOKUP(DATOS!$I3473,CONFIG_ASIGNATURAS!$B$2:$J$61,9,FALSE()),""))</f>
      </c>
    </row>
    <row r="3474">
      <c r="E3474">
        <f>IF(DATOS!$I3474="","",IFERROR(VLOOKUP(DATOS!$I3474,CONFIG_ASIGNATURAS!$B$2:$J$61,9,FALSE()),""))</f>
      </c>
    </row>
    <row r="3475">
      <c r="E3475">
        <f>IF(DATOS!$I3475="","",IFERROR(VLOOKUP(DATOS!$I3475,CONFIG_ASIGNATURAS!$B$2:$J$61,9,FALSE()),""))</f>
      </c>
    </row>
    <row r="3476">
      <c r="E3476">
        <f>IF(DATOS!$I3476="","",IFERROR(VLOOKUP(DATOS!$I3476,CONFIG_ASIGNATURAS!$B$2:$J$61,9,FALSE()),""))</f>
      </c>
    </row>
    <row r="3477">
      <c r="E3477">
        <f>IF(DATOS!$I3477="","",IFERROR(VLOOKUP(DATOS!$I3477,CONFIG_ASIGNATURAS!$B$2:$J$61,9,FALSE()),""))</f>
      </c>
    </row>
    <row r="3478">
      <c r="E3478">
        <f>IF(DATOS!$I3478="","",IFERROR(VLOOKUP(DATOS!$I3478,CONFIG_ASIGNATURAS!$B$2:$J$61,9,FALSE()),""))</f>
      </c>
    </row>
    <row r="3479">
      <c r="E3479">
        <f>IF(DATOS!$I3479="","",IFERROR(VLOOKUP(DATOS!$I3479,CONFIG_ASIGNATURAS!$B$2:$J$61,9,FALSE()),""))</f>
      </c>
    </row>
    <row r="3480">
      <c r="E3480">
        <f>IF(DATOS!$I3480="","",IFERROR(VLOOKUP(DATOS!$I3480,CONFIG_ASIGNATURAS!$B$2:$J$61,9,FALSE()),""))</f>
      </c>
    </row>
    <row r="3481">
      <c r="E3481">
        <f>IF(DATOS!$I3481="","",IFERROR(VLOOKUP(DATOS!$I3481,CONFIG_ASIGNATURAS!$B$2:$J$61,9,FALSE()),""))</f>
      </c>
    </row>
    <row r="3482">
      <c r="E3482">
        <f>IF(DATOS!$I3482="","",IFERROR(VLOOKUP(DATOS!$I3482,CONFIG_ASIGNATURAS!$B$2:$J$61,9,FALSE()),""))</f>
      </c>
    </row>
    <row r="3483">
      <c r="E3483">
        <f>IF(DATOS!$I3483="","",IFERROR(VLOOKUP(DATOS!$I3483,CONFIG_ASIGNATURAS!$B$2:$J$61,9,FALSE()),""))</f>
      </c>
    </row>
    <row r="3484">
      <c r="E3484">
        <f>IF(DATOS!$I3484="","",IFERROR(VLOOKUP(DATOS!$I3484,CONFIG_ASIGNATURAS!$B$2:$J$61,9,FALSE()),""))</f>
      </c>
    </row>
    <row r="3485">
      <c r="E3485">
        <f>IF(DATOS!$I3485="","",IFERROR(VLOOKUP(DATOS!$I3485,CONFIG_ASIGNATURAS!$B$2:$J$61,9,FALSE()),""))</f>
      </c>
    </row>
    <row r="3486">
      <c r="E3486">
        <f>IF(DATOS!$I3486="","",IFERROR(VLOOKUP(DATOS!$I3486,CONFIG_ASIGNATURAS!$B$2:$J$61,9,FALSE()),""))</f>
      </c>
    </row>
    <row r="3487">
      <c r="E3487">
        <f>IF(DATOS!$I3487="","",IFERROR(VLOOKUP(DATOS!$I3487,CONFIG_ASIGNATURAS!$B$2:$J$61,9,FALSE()),""))</f>
      </c>
    </row>
    <row r="3488">
      <c r="E3488">
        <f>IF(DATOS!$I3488="","",IFERROR(VLOOKUP(DATOS!$I3488,CONFIG_ASIGNATURAS!$B$2:$J$61,9,FALSE()),""))</f>
      </c>
    </row>
    <row r="3489">
      <c r="E3489">
        <f>IF(DATOS!$I3489="","",IFERROR(VLOOKUP(DATOS!$I3489,CONFIG_ASIGNATURAS!$B$2:$J$61,9,FALSE()),""))</f>
      </c>
    </row>
    <row r="3490">
      <c r="E3490">
        <f>IF(DATOS!$I3490="","",IFERROR(VLOOKUP(DATOS!$I3490,CONFIG_ASIGNATURAS!$B$2:$J$61,9,FALSE()),""))</f>
      </c>
    </row>
    <row r="3491">
      <c r="E3491">
        <f>IF(DATOS!$I3491="","",IFERROR(VLOOKUP(DATOS!$I3491,CONFIG_ASIGNATURAS!$B$2:$J$61,9,FALSE()),""))</f>
      </c>
    </row>
    <row r="3492">
      <c r="E3492">
        <f>IF(DATOS!$I3492="","",IFERROR(VLOOKUP(DATOS!$I3492,CONFIG_ASIGNATURAS!$B$2:$J$61,9,FALSE()),""))</f>
      </c>
    </row>
    <row r="3493">
      <c r="E3493">
        <f>IF(DATOS!$I3493="","",IFERROR(VLOOKUP(DATOS!$I3493,CONFIG_ASIGNATURAS!$B$2:$J$61,9,FALSE()),""))</f>
      </c>
    </row>
    <row r="3494">
      <c r="E3494">
        <f>IF(DATOS!$I3494="","",IFERROR(VLOOKUP(DATOS!$I3494,CONFIG_ASIGNATURAS!$B$2:$J$61,9,FALSE()),""))</f>
      </c>
    </row>
    <row r="3495">
      <c r="E3495">
        <f>IF(DATOS!$I3495="","",IFERROR(VLOOKUP(DATOS!$I3495,CONFIG_ASIGNATURAS!$B$2:$J$61,9,FALSE()),""))</f>
      </c>
    </row>
    <row r="3496">
      <c r="E3496">
        <f>IF(DATOS!$I3496="","",IFERROR(VLOOKUP(DATOS!$I3496,CONFIG_ASIGNATURAS!$B$2:$J$61,9,FALSE()),""))</f>
      </c>
    </row>
    <row r="3497">
      <c r="E3497">
        <f>IF(DATOS!$I3497="","",IFERROR(VLOOKUP(DATOS!$I3497,CONFIG_ASIGNATURAS!$B$2:$J$61,9,FALSE()),""))</f>
      </c>
    </row>
    <row r="3498">
      <c r="E3498">
        <f>IF(DATOS!$I3498="","",IFERROR(VLOOKUP(DATOS!$I3498,CONFIG_ASIGNATURAS!$B$2:$J$61,9,FALSE()),""))</f>
      </c>
    </row>
    <row r="3499">
      <c r="E3499">
        <f>IF(DATOS!$I3499="","",IFERROR(VLOOKUP(DATOS!$I3499,CONFIG_ASIGNATURAS!$B$2:$J$61,9,FALSE()),""))</f>
      </c>
    </row>
    <row r="3500">
      <c r="E3500">
        <f>IF(DATOS!$I3500="","",IFERROR(VLOOKUP(DATOS!$I3500,CONFIG_ASIGNATURAS!$B$2:$J$61,9,FALSE()),""))</f>
      </c>
    </row>
    <row r="3501">
      <c r="E3501">
        <f>IF(DATOS!$I3501="","",IFERROR(VLOOKUP(DATOS!$I3501,CONFIG_ASIGNATURAS!$B$2:$J$61,9,FALSE()),""))</f>
      </c>
    </row>
    <row r="3502">
      <c r="E3502">
        <f>IF(DATOS!$I3502="","",IFERROR(VLOOKUP(DATOS!$I3502,CONFIG_ASIGNATURAS!$B$2:$J$61,9,FALSE()),""))</f>
      </c>
    </row>
    <row r="3503">
      <c r="E3503">
        <f>IF(DATOS!$I3503="","",IFERROR(VLOOKUP(DATOS!$I3503,CONFIG_ASIGNATURAS!$B$2:$J$61,9,FALSE()),""))</f>
      </c>
    </row>
    <row r="3504">
      <c r="E3504">
        <f>IF(DATOS!$I3504="","",IFERROR(VLOOKUP(DATOS!$I3504,CONFIG_ASIGNATURAS!$B$2:$J$61,9,FALSE()),""))</f>
      </c>
    </row>
    <row r="3505">
      <c r="E3505">
        <f>IF(DATOS!$I3505="","",IFERROR(VLOOKUP(DATOS!$I3505,CONFIG_ASIGNATURAS!$B$2:$J$61,9,FALSE()),""))</f>
      </c>
    </row>
    <row r="3506">
      <c r="E3506">
        <f>IF(DATOS!$I3506="","",IFERROR(VLOOKUP(DATOS!$I3506,CONFIG_ASIGNATURAS!$B$2:$J$61,9,FALSE()),""))</f>
      </c>
    </row>
    <row r="3507">
      <c r="E3507">
        <f>IF(DATOS!$I3507="","",IFERROR(VLOOKUP(DATOS!$I3507,CONFIG_ASIGNATURAS!$B$2:$J$61,9,FALSE()),""))</f>
      </c>
    </row>
    <row r="3508">
      <c r="E3508">
        <f>IF(DATOS!$I3508="","",IFERROR(VLOOKUP(DATOS!$I3508,CONFIG_ASIGNATURAS!$B$2:$J$61,9,FALSE()),""))</f>
      </c>
    </row>
    <row r="3509">
      <c r="E3509">
        <f>IF(DATOS!$I3509="","",IFERROR(VLOOKUP(DATOS!$I3509,CONFIG_ASIGNATURAS!$B$2:$J$61,9,FALSE()),""))</f>
      </c>
    </row>
    <row r="3510">
      <c r="E3510">
        <f>IF(DATOS!$I3510="","",IFERROR(VLOOKUP(DATOS!$I3510,CONFIG_ASIGNATURAS!$B$2:$J$61,9,FALSE()),""))</f>
      </c>
    </row>
    <row r="3511">
      <c r="E3511">
        <f>IF(DATOS!$I3511="","",IFERROR(VLOOKUP(DATOS!$I3511,CONFIG_ASIGNATURAS!$B$2:$J$61,9,FALSE()),""))</f>
      </c>
    </row>
    <row r="3512">
      <c r="E3512">
        <f>IF(DATOS!$I3512="","",IFERROR(VLOOKUP(DATOS!$I3512,CONFIG_ASIGNATURAS!$B$2:$J$61,9,FALSE()),""))</f>
      </c>
    </row>
    <row r="3513">
      <c r="E3513">
        <f>IF(DATOS!$I3513="","",IFERROR(VLOOKUP(DATOS!$I3513,CONFIG_ASIGNATURAS!$B$2:$J$61,9,FALSE()),""))</f>
      </c>
    </row>
    <row r="3514">
      <c r="E3514">
        <f>IF(DATOS!$I3514="","",IFERROR(VLOOKUP(DATOS!$I3514,CONFIG_ASIGNATURAS!$B$2:$J$61,9,FALSE()),""))</f>
      </c>
    </row>
    <row r="3515">
      <c r="E3515">
        <f>IF(DATOS!$I3515="","",IFERROR(VLOOKUP(DATOS!$I3515,CONFIG_ASIGNATURAS!$B$2:$J$61,9,FALSE()),""))</f>
      </c>
    </row>
    <row r="3516">
      <c r="E3516">
        <f>IF(DATOS!$I3516="","",IFERROR(VLOOKUP(DATOS!$I3516,CONFIG_ASIGNATURAS!$B$2:$J$61,9,FALSE()),""))</f>
      </c>
    </row>
    <row r="3517">
      <c r="E3517">
        <f>IF(DATOS!$I3517="","",IFERROR(VLOOKUP(DATOS!$I3517,CONFIG_ASIGNATURAS!$B$2:$J$61,9,FALSE()),""))</f>
      </c>
    </row>
    <row r="3518">
      <c r="E3518">
        <f>IF(DATOS!$I3518="","",IFERROR(VLOOKUP(DATOS!$I3518,CONFIG_ASIGNATURAS!$B$2:$J$61,9,FALSE()),""))</f>
      </c>
    </row>
    <row r="3519">
      <c r="E3519">
        <f>IF(DATOS!$I3519="","",IFERROR(VLOOKUP(DATOS!$I3519,CONFIG_ASIGNATURAS!$B$2:$J$61,9,FALSE()),""))</f>
      </c>
    </row>
    <row r="3520">
      <c r="E3520">
        <f>IF(DATOS!$I3520="","",IFERROR(VLOOKUP(DATOS!$I3520,CONFIG_ASIGNATURAS!$B$2:$J$61,9,FALSE()),""))</f>
      </c>
    </row>
    <row r="3521">
      <c r="E3521">
        <f>IF(DATOS!$I3521="","",IFERROR(VLOOKUP(DATOS!$I3521,CONFIG_ASIGNATURAS!$B$2:$J$61,9,FALSE()),""))</f>
      </c>
    </row>
    <row r="3522">
      <c r="E3522">
        <f>IF(DATOS!$I3522="","",IFERROR(VLOOKUP(DATOS!$I3522,CONFIG_ASIGNATURAS!$B$2:$J$61,9,FALSE()),""))</f>
      </c>
    </row>
    <row r="3523">
      <c r="E3523">
        <f>IF(DATOS!$I3523="","",IFERROR(VLOOKUP(DATOS!$I3523,CONFIG_ASIGNATURAS!$B$2:$J$61,9,FALSE()),""))</f>
      </c>
    </row>
    <row r="3524">
      <c r="E3524">
        <f>IF(DATOS!$I3524="","",IFERROR(VLOOKUP(DATOS!$I3524,CONFIG_ASIGNATURAS!$B$2:$J$61,9,FALSE()),""))</f>
      </c>
    </row>
    <row r="3525">
      <c r="E3525">
        <f>IF(DATOS!$I3525="","",IFERROR(VLOOKUP(DATOS!$I3525,CONFIG_ASIGNATURAS!$B$2:$J$61,9,FALSE()),""))</f>
      </c>
    </row>
    <row r="3526">
      <c r="E3526">
        <f>IF(DATOS!$I3526="","",IFERROR(VLOOKUP(DATOS!$I3526,CONFIG_ASIGNATURAS!$B$2:$J$61,9,FALSE()),""))</f>
      </c>
    </row>
    <row r="3527">
      <c r="E3527">
        <f>IF(DATOS!$I3527="","",IFERROR(VLOOKUP(DATOS!$I3527,CONFIG_ASIGNATURAS!$B$2:$J$61,9,FALSE()),""))</f>
      </c>
    </row>
    <row r="3528">
      <c r="E3528">
        <f>IF(DATOS!$I3528="","",IFERROR(VLOOKUP(DATOS!$I3528,CONFIG_ASIGNATURAS!$B$2:$J$61,9,FALSE()),""))</f>
      </c>
    </row>
    <row r="3529">
      <c r="E3529">
        <f>IF(DATOS!$I3529="","",IFERROR(VLOOKUP(DATOS!$I3529,CONFIG_ASIGNATURAS!$B$2:$J$61,9,FALSE()),""))</f>
      </c>
    </row>
    <row r="3530">
      <c r="E3530">
        <f>IF(DATOS!$I3530="","",IFERROR(VLOOKUP(DATOS!$I3530,CONFIG_ASIGNATURAS!$B$2:$J$61,9,FALSE()),""))</f>
      </c>
    </row>
    <row r="3531">
      <c r="E3531">
        <f>IF(DATOS!$I3531="","",IFERROR(VLOOKUP(DATOS!$I3531,CONFIG_ASIGNATURAS!$B$2:$J$61,9,FALSE()),""))</f>
      </c>
    </row>
    <row r="3532">
      <c r="E3532">
        <f>IF(DATOS!$I3532="","",IFERROR(VLOOKUP(DATOS!$I3532,CONFIG_ASIGNATURAS!$B$2:$J$61,9,FALSE()),""))</f>
      </c>
    </row>
    <row r="3533">
      <c r="E3533">
        <f>IF(DATOS!$I3533="","",IFERROR(VLOOKUP(DATOS!$I3533,CONFIG_ASIGNATURAS!$B$2:$J$61,9,FALSE()),""))</f>
      </c>
    </row>
    <row r="3534">
      <c r="E3534">
        <f>IF(DATOS!$I3534="","",IFERROR(VLOOKUP(DATOS!$I3534,CONFIG_ASIGNATURAS!$B$2:$J$61,9,FALSE()),""))</f>
      </c>
    </row>
    <row r="3535">
      <c r="E3535">
        <f>IF(DATOS!$I3535="","",IFERROR(VLOOKUP(DATOS!$I3535,CONFIG_ASIGNATURAS!$B$2:$J$61,9,FALSE()),""))</f>
      </c>
    </row>
    <row r="3536">
      <c r="E3536">
        <f>IF(DATOS!$I3536="","",IFERROR(VLOOKUP(DATOS!$I3536,CONFIG_ASIGNATURAS!$B$2:$J$61,9,FALSE()),""))</f>
      </c>
    </row>
    <row r="3537">
      <c r="E3537">
        <f>IF(DATOS!$I3537="","",IFERROR(VLOOKUP(DATOS!$I3537,CONFIG_ASIGNATURAS!$B$2:$J$61,9,FALSE()),""))</f>
      </c>
    </row>
    <row r="3538">
      <c r="E3538">
        <f>IF(DATOS!$I3538="","",IFERROR(VLOOKUP(DATOS!$I3538,CONFIG_ASIGNATURAS!$B$2:$J$61,9,FALSE()),""))</f>
      </c>
    </row>
    <row r="3539">
      <c r="E3539">
        <f>IF(DATOS!$I3539="","",IFERROR(VLOOKUP(DATOS!$I3539,CONFIG_ASIGNATURAS!$B$2:$J$61,9,FALSE()),""))</f>
      </c>
    </row>
    <row r="3540">
      <c r="E3540">
        <f>IF(DATOS!$I3540="","",IFERROR(VLOOKUP(DATOS!$I3540,CONFIG_ASIGNATURAS!$B$2:$J$61,9,FALSE()),""))</f>
      </c>
    </row>
    <row r="3541">
      <c r="E3541">
        <f>IF(DATOS!$I3541="","",IFERROR(VLOOKUP(DATOS!$I3541,CONFIG_ASIGNATURAS!$B$2:$J$61,9,FALSE()),""))</f>
      </c>
    </row>
    <row r="3542">
      <c r="E3542">
        <f>IF(DATOS!$I3542="","",IFERROR(VLOOKUP(DATOS!$I3542,CONFIG_ASIGNATURAS!$B$2:$J$61,9,FALSE()),""))</f>
      </c>
    </row>
    <row r="3543">
      <c r="E3543">
        <f>IF(DATOS!$I3543="","",IFERROR(VLOOKUP(DATOS!$I3543,CONFIG_ASIGNATURAS!$B$2:$J$61,9,FALSE()),""))</f>
      </c>
    </row>
    <row r="3544">
      <c r="E3544">
        <f>IF(DATOS!$I3544="","",IFERROR(VLOOKUP(DATOS!$I3544,CONFIG_ASIGNATURAS!$B$2:$J$61,9,FALSE()),""))</f>
      </c>
    </row>
    <row r="3545">
      <c r="E3545">
        <f>IF(DATOS!$I3545="","",IFERROR(VLOOKUP(DATOS!$I3545,CONFIG_ASIGNATURAS!$B$2:$J$61,9,FALSE()),""))</f>
      </c>
    </row>
    <row r="3546">
      <c r="E3546">
        <f>IF(DATOS!$I3546="","",IFERROR(VLOOKUP(DATOS!$I3546,CONFIG_ASIGNATURAS!$B$2:$J$61,9,FALSE()),""))</f>
      </c>
    </row>
    <row r="3547">
      <c r="E3547">
        <f>IF(DATOS!$I3547="","",IFERROR(VLOOKUP(DATOS!$I3547,CONFIG_ASIGNATURAS!$B$2:$J$61,9,FALSE()),""))</f>
      </c>
    </row>
    <row r="3548">
      <c r="E3548">
        <f>IF(DATOS!$I3548="","",IFERROR(VLOOKUP(DATOS!$I3548,CONFIG_ASIGNATURAS!$B$2:$J$61,9,FALSE()),""))</f>
      </c>
    </row>
    <row r="3549">
      <c r="E3549">
        <f>IF(DATOS!$I3549="","",IFERROR(VLOOKUP(DATOS!$I3549,CONFIG_ASIGNATURAS!$B$2:$J$61,9,FALSE()),""))</f>
      </c>
    </row>
    <row r="3550">
      <c r="E3550">
        <f>IF(DATOS!$I3550="","",IFERROR(VLOOKUP(DATOS!$I3550,CONFIG_ASIGNATURAS!$B$2:$J$61,9,FALSE()),""))</f>
      </c>
    </row>
    <row r="3551">
      <c r="E3551">
        <f>IF(DATOS!$I3551="","",IFERROR(VLOOKUP(DATOS!$I3551,CONFIG_ASIGNATURAS!$B$2:$J$61,9,FALSE()),""))</f>
      </c>
    </row>
    <row r="3552">
      <c r="E3552">
        <f>IF(DATOS!$I3552="","",IFERROR(VLOOKUP(DATOS!$I3552,CONFIG_ASIGNATURAS!$B$2:$J$61,9,FALSE()),""))</f>
      </c>
    </row>
    <row r="3553">
      <c r="E3553">
        <f>IF(DATOS!$I3553="","",IFERROR(VLOOKUP(DATOS!$I3553,CONFIG_ASIGNATURAS!$B$2:$J$61,9,FALSE()),""))</f>
      </c>
    </row>
    <row r="3554">
      <c r="E3554">
        <f>IF(DATOS!$I3554="","",IFERROR(VLOOKUP(DATOS!$I3554,CONFIG_ASIGNATURAS!$B$2:$J$61,9,FALSE()),""))</f>
      </c>
    </row>
    <row r="3555">
      <c r="E3555">
        <f>IF(DATOS!$I3555="","",IFERROR(VLOOKUP(DATOS!$I3555,CONFIG_ASIGNATURAS!$B$2:$J$61,9,FALSE()),""))</f>
      </c>
    </row>
    <row r="3556">
      <c r="E3556">
        <f>IF(DATOS!$I3556="","",IFERROR(VLOOKUP(DATOS!$I3556,CONFIG_ASIGNATURAS!$B$2:$J$61,9,FALSE()),""))</f>
      </c>
    </row>
    <row r="3557">
      <c r="E3557">
        <f>IF(DATOS!$I3557="","",IFERROR(VLOOKUP(DATOS!$I3557,CONFIG_ASIGNATURAS!$B$2:$J$61,9,FALSE()),""))</f>
      </c>
    </row>
    <row r="3558">
      <c r="E3558">
        <f>IF(DATOS!$I3558="","",IFERROR(VLOOKUP(DATOS!$I3558,CONFIG_ASIGNATURAS!$B$2:$J$61,9,FALSE()),""))</f>
      </c>
    </row>
    <row r="3559">
      <c r="E3559">
        <f>IF(DATOS!$I3559="","",IFERROR(VLOOKUP(DATOS!$I3559,CONFIG_ASIGNATURAS!$B$2:$J$61,9,FALSE()),""))</f>
      </c>
    </row>
    <row r="3560">
      <c r="E3560">
        <f>IF(DATOS!$I3560="","",IFERROR(VLOOKUP(DATOS!$I3560,CONFIG_ASIGNATURAS!$B$2:$J$61,9,FALSE()),""))</f>
      </c>
    </row>
    <row r="3561">
      <c r="E3561">
        <f>IF(DATOS!$I3561="","",IFERROR(VLOOKUP(DATOS!$I3561,CONFIG_ASIGNATURAS!$B$2:$J$61,9,FALSE()),""))</f>
      </c>
    </row>
    <row r="3562">
      <c r="E3562">
        <f>IF(DATOS!$I3562="","",IFERROR(VLOOKUP(DATOS!$I3562,CONFIG_ASIGNATURAS!$B$2:$J$61,9,FALSE()),""))</f>
      </c>
    </row>
    <row r="3563">
      <c r="E3563">
        <f>IF(DATOS!$I3563="","",IFERROR(VLOOKUP(DATOS!$I3563,CONFIG_ASIGNATURAS!$B$2:$J$61,9,FALSE()),""))</f>
      </c>
    </row>
    <row r="3564">
      <c r="E3564">
        <f>IF(DATOS!$I3564="","",IFERROR(VLOOKUP(DATOS!$I3564,CONFIG_ASIGNATURAS!$B$2:$J$61,9,FALSE()),""))</f>
      </c>
    </row>
    <row r="3565">
      <c r="E3565">
        <f>IF(DATOS!$I3565="","",IFERROR(VLOOKUP(DATOS!$I3565,CONFIG_ASIGNATURAS!$B$2:$J$61,9,FALSE()),""))</f>
      </c>
    </row>
    <row r="3566">
      <c r="E3566">
        <f>IF(DATOS!$I3566="","",IFERROR(VLOOKUP(DATOS!$I3566,CONFIG_ASIGNATURAS!$B$2:$J$61,9,FALSE()),""))</f>
      </c>
    </row>
    <row r="3567">
      <c r="E3567">
        <f>IF(DATOS!$I3567="","",IFERROR(VLOOKUP(DATOS!$I3567,CONFIG_ASIGNATURAS!$B$2:$J$61,9,FALSE()),""))</f>
      </c>
    </row>
    <row r="3568">
      <c r="E3568">
        <f>IF(DATOS!$I3568="","",IFERROR(VLOOKUP(DATOS!$I3568,CONFIG_ASIGNATURAS!$B$2:$J$61,9,FALSE()),""))</f>
      </c>
    </row>
    <row r="3569">
      <c r="E3569">
        <f>IF(DATOS!$I3569="","",IFERROR(VLOOKUP(DATOS!$I3569,CONFIG_ASIGNATURAS!$B$2:$J$61,9,FALSE()),""))</f>
      </c>
    </row>
    <row r="3570">
      <c r="E3570">
        <f>IF(DATOS!$I3570="","",IFERROR(VLOOKUP(DATOS!$I3570,CONFIG_ASIGNATURAS!$B$2:$J$61,9,FALSE()),""))</f>
      </c>
    </row>
    <row r="3571">
      <c r="E3571">
        <f>IF(DATOS!$I3571="","",IFERROR(VLOOKUP(DATOS!$I3571,CONFIG_ASIGNATURAS!$B$2:$J$61,9,FALSE()),""))</f>
      </c>
    </row>
    <row r="3572">
      <c r="E3572">
        <f>IF(DATOS!$I3572="","",IFERROR(VLOOKUP(DATOS!$I3572,CONFIG_ASIGNATURAS!$B$2:$J$61,9,FALSE()),""))</f>
      </c>
    </row>
    <row r="3573">
      <c r="E3573">
        <f>IF(DATOS!$I3573="","",IFERROR(VLOOKUP(DATOS!$I3573,CONFIG_ASIGNATURAS!$B$2:$J$61,9,FALSE()),""))</f>
      </c>
    </row>
    <row r="3574">
      <c r="E3574">
        <f>IF(DATOS!$I3574="","",IFERROR(VLOOKUP(DATOS!$I3574,CONFIG_ASIGNATURAS!$B$2:$J$61,9,FALSE()),""))</f>
      </c>
    </row>
    <row r="3575">
      <c r="E3575">
        <f>IF(DATOS!$I3575="","",IFERROR(VLOOKUP(DATOS!$I3575,CONFIG_ASIGNATURAS!$B$2:$J$61,9,FALSE()),""))</f>
      </c>
    </row>
    <row r="3576">
      <c r="E3576">
        <f>IF(DATOS!$I3576="","",IFERROR(VLOOKUP(DATOS!$I3576,CONFIG_ASIGNATURAS!$B$2:$J$61,9,FALSE()),""))</f>
      </c>
    </row>
    <row r="3577">
      <c r="E3577">
        <f>IF(DATOS!$I3577="","",IFERROR(VLOOKUP(DATOS!$I3577,CONFIG_ASIGNATURAS!$B$2:$J$61,9,FALSE()),""))</f>
      </c>
    </row>
    <row r="3578">
      <c r="E3578">
        <f>IF(DATOS!$I3578="","",IFERROR(VLOOKUP(DATOS!$I3578,CONFIG_ASIGNATURAS!$B$2:$J$61,9,FALSE()),""))</f>
      </c>
    </row>
    <row r="3579">
      <c r="E3579">
        <f>IF(DATOS!$I3579="","",IFERROR(VLOOKUP(DATOS!$I3579,CONFIG_ASIGNATURAS!$B$2:$J$61,9,FALSE()),""))</f>
      </c>
    </row>
    <row r="3580">
      <c r="E3580">
        <f>IF(DATOS!$I3580="","",IFERROR(VLOOKUP(DATOS!$I3580,CONFIG_ASIGNATURAS!$B$2:$J$61,9,FALSE()),""))</f>
      </c>
    </row>
    <row r="3581">
      <c r="E3581">
        <f>IF(DATOS!$I3581="","",IFERROR(VLOOKUP(DATOS!$I3581,CONFIG_ASIGNATURAS!$B$2:$J$61,9,FALSE()),""))</f>
      </c>
    </row>
    <row r="3582">
      <c r="E3582">
        <f>IF(DATOS!$I3582="","",IFERROR(VLOOKUP(DATOS!$I3582,CONFIG_ASIGNATURAS!$B$2:$J$61,9,FALSE()),""))</f>
      </c>
    </row>
    <row r="3583">
      <c r="E3583">
        <f>IF(DATOS!$I3583="","",IFERROR(VLOOKUP(DATOS!$I3583,CONFIG_ASIGNATURAS!$B$2:$J$61,9,FALSE()),""))</f>
      </c>
    </row>
    <row r="3584">
      <c r="E3584">
        <f>IF(DATOS!$I3584="","",IFERROR(VLOOKUP(DATOS!$I3584,CONFIG_ASIGNATURAS!$B$2:$J$61,9,FALSE()),""))</f>
      </c>
    </row>
    <row r="3585">
      <c r="E3585">
        <f>IF(DATOS!$I3585="","",IFERROR(VLOOKUP(DATOS!$I3585,CONFIG_ASIGNATURAS!$B$2:$J$61,9,FALSE()),""))</f>
      </c>
    </row>
    <row r="3586">
      <c r="E3586">
        <f>IF(DATOS!$I3586="","",IFERROR(VLOOKUP(DATOS!$I3586,CONFIG_ASIGNATURAS!$B$2:$J$61,9,FALSE()),""))</f>
      </c>
    </row>
    <row r="3587">
      <c r="E3587">
        <f>IF(DATOS!$I3587="","",IFERROR(VLOOKUP(DATOS!$I3587,CONFIG_ASIGNATURAS!$B$2:$J$61,9,FALSE()),""))</f>
      </c>
    </row>
    <row r="3588">
      <c r="E3588">
        <f>IF(DATOS!$I3588="","",IFERROR(VLOOKUP(DATOS!$I3588,CONFIG_ASIGNATURAS!$B$2:$J$61,9,FALSE()),""))</f>
      </c>
    </row>
    <row r="3589">
      <c r="E3589">
        <f>IF(DATOS!$I3589="","",IFERROR(VLOOKUP(DATOS!$I3589,CONFIG_ASIGNATURAS!$B$2:$J$61,9,FALSE()),""))</f>
      </c>
    </row>
    <row r="3590">
      <c r="E3590">
        <f>IF(DATOS!$I3590="","",IFERROR(VLOOKUP(DATOS!$I3590,CONFIG_ASIGNATURAS!$B$2:$J$61,9,FALSE()),""))</f>
      </c>
    </row>
    <row r="3591">
      <c r="E3591">
        <f>IF(DATOS!$I3591="","",IFERROR(VLOOKUP(DATOS!$I3591,CONFIG_ASIGNATURAS!$B$2:$J$61,9,FALSE()),""))</f>
      </c>
    </row>
    <row r="3592">
      <c r="E3592">
        <f>IF(DATOS!$I3592="","",IFERROR(VLOOKUP(DATOS!$I3592,CONFIG_ASIGNATURAS!$B$2:$J$61,9,FALSE()),""))</f>
      </c>
    </row>
    <row r="3593">
      <c r="E3593">
        <f>IF(DATOS!$I3593="","",IFERROR(VLOOKUP(DATOS!$I3593,CONFIG_ASIGNATURAS!$B$2:$J$61,9,FALSE()),""))</f>
      </c>
    </row>
    <row r="3594">
      <c r="E3594">
        <f>IF(DATOS!$I3594="","",IFERROR(VLOOKUP(DATOS!$I3594,CONFIG_ASIGNATURAS!$B$2:$J$61,9,FALSE()),""))</f>
      </c>
    </row>
    <row r="3595">
      <c r="E3595">
        <f>IF(DATOS!$I3595="","",IFERROR(VLOOKUP(DATOS!$I3595,CONFIG_ASIGNATURAS!$B$2:$J$61,9,FALSE()),""))</f>
      </c>
    </row>
    <row r="3596">
      <c r="E3596">
        <f>IF(DATOS!$I3596="","",IFERROR(VLOOKUP(DATOS!$I3596,CONFIG_ASIGNATURAS!$B$2:$J$61,9,FALSE()),""))</f>
      </c>
    </row>
    <row r="3597">
      <c r="E3597">
        <f>IF(DATOS!$I3597="","",IFERROR(VLOOKUP(DATOS!$I3597,CONFIG_ASIGNATURAS!$B$2:$J$61,9,FALSE()),""))</f>
      </c>
    </row>
    <row r="3598">
      <c r="E3598">
        <f>IF(DATOS!$I3598="","",IFERROR(VLOOKUP(DATOS!$I3598,CONFIG_ASIGNATURAS!$B$2:$J$61,9,FALSE()),""))</f>
      </c>
    </row>
    <row r="3599">
      <c r="E3599">
        <f>IF(DATOS!$I3599="","",IFERROR(VLOOKUP(DATOS!$I3599,CONFIG_ASIGNATURAS!$B$2:$J$61,9,FALSE()),""))</f>
      </c>
    </row>
    <row r="3600">
      <c r="E3600">
        <f>IF(DATOS!$I3600="","",IFERROR(VLOOKUP(DATOS!$I3600,CONFIG_ASIGNATURAS!$B$2:$J$61,9,FALSE()),""))</f>
      </c>
    </row>
    <row r="3601">
      <c r="E3601">
        <f>IF(DATOS!$I3601="","",IFERROR(VLOOKUP(DATOS!$I3601,CONFIG_ASIGNATURAS!$B$2:$J$61,9,FALSE()),""))</f>
      </c>
    </row>
    <row r="3602">
      <c r="E3602">
        <f>IF(DATOS!$I3602="","",IFERROR(VLOOKUP(DATOS!$I3602,CONFIG_ASIGNATURAS!$B$2:$J$61,9,FALSE()),""))</f>
      </c>
    </row>
    <row r="3603">
      <c r="E3603">
        <f>IF(DATOS!$I3603="","",IFERROR(VLOOKUP(DATOS!$I3603,CONFIG_ASIGNATURAS!$B$2:$J$61,9,FALSE()),""))</f>
      </c>
    </row>
    <row r="3604">
      <c r="E3604">
        <f>IF(DATOS!$I3604="","",IFERROR(VLOOKUP(DATOS!$I3604,CONFIG_ASIGNATURAS!$B$2:$J$61,9,FALSE()),""))</f>
      </c>
    </row>
    <row r="3605">
      <c r="E3605">
        <f>IF(DATOS!$I3605="","",IFERROR(VLOOKUP(DATOS!$I3605,CONFIG_ASIGNATURAS!$B$2:$J$61,9,FALSE()),""))</f>
      </c>
    </row>
    <row r="3606">
      <c r="E3606">
        <f>IF(DATOS!$I3606="","",IFERROR(VLOOKUP(DATOS!$I3606,CONFIG_ASIGNATURAS!$B$2:$J$61,9,FALSE()),""))</f>
      </c>
    </row>
    <row r="3607">
      <c r="E3607">
        <f>IF(DATOS!$I3607="","",IFERROR(VLOOKUP(DATOS!$I3607,CONFIG_ASIGNATURAS!$B$2:$J$61,9,FALSE()),""))</f>
      </c>
    </row>
    <row r="3608">
      <c r="E3608">
        <f>IF(DATOS!$I3608="","",IFERROR(VLOOKUP(DATOS!$I3608,CONFIG_ASIGNATURAS!$B$2:$J$61,9,FALSE()),""))</f>
      </c>
    </row>
    <row r="3609">
      <c r="E3609">
        <f>IF(DATOS!$I3609="","",IFERROR(VLOOKUP(DATOS!$I3609,CONFIG_ASIGNATURAS!$B$2:$J$61,9,FALSE()),""))</f>
      </c>
    </row>
    <row r="3610">
      <c r="E3610">
        <f>IF(DATOS!$I3610="","",IFERROR(VLOOKUP(DATOS!$I3610,CONFIG_ASIGNATURAS!$B$2:$J$61,9,FALSE()),""))</f>
      </c>
    </row>
    <row r="3611">
      <c r="E3611">
        <f>IF(DATOS!$I3611="","",IFERROR(VLOOKUP(DATOS!$I3611,CONFIG_ASIGNATURAS!$B$2:$J$61,9,FALSE()),""))</f>
      </c>
    </row>
    <row r="3612">
      <c r="E3612">
        <f>IF(DATOS!$I3612="","",IFERROR(VLOOKUP(DATOS!$I3612,CONFIG_ASIGNATURAS!$B$2:$J$61,9,FALSE()),""))</f>
      </c>
    </row>
    <row r="3613">
      <c r="E3613">
        <f>IF(DATOS!$I3613="","",IFERROR(VLOOKUP(DATOS!$I3613,CONFIG_ASIGNATURAS!$B$2:$J$61,9,FALSE()),""))</f>
      </c>
    </row>
    <row r="3614">
      <c r="E3614">
        <f>IF(DATOS!$I3614="","",IFERROR(VLOOKUP(DATOS!$I3614,CONFIG_ASIGNATURAS!$B$2:$J$61,9,FALSE()),""))</f>
      </c>
    </row>
    <row r="3615">
      <c r="E3615">
        <f>IF(DATOS!$I3615="","",IFERROR(VLOOKUP(DATOS!$I3615,CONFIG_ASIGNATURAS!$B$2:$J$61,9,FALSE()),""))</f>
      </c>
    </row>
    <row r="3616">
      <c r="E3616">
        <f>IF(DATOS!$I3616="","",IFERROR(VLOOKUP(DATOS!$I3616,CONFIG_ASIGNATURAS!$B$2:$J$61,9,FALSE()),""))</f>
      </c>
    </row>
    <row r="3617">
      <c r="E3617">
        <f>IF(DATOS!$I3617="","",IFERROR(VLOOKUP(DATOS!$I3617,CONFIG_ASIGNATURAS!$B$2:$J$61,9,FALSE()),""))</f>
      </c>
    </row>
    <row r="3618">
      <c r="E3618">
        <f>IF(DATOS!$I3618="","",IFERROR(VLOOKUP(DATOS!$I3618,CONFIG_ASIGNATURAS!$B$2:$J$61,9,FALSE()),""))</f>
      </c>
    </row>
    <row r="3619">
      <c r="E3619">
        <f>IF(DATOS!$I3619="","",IFERROR(VLOOKUP(DATOS!$I3619,CONFIG_ASIGNATURAS!$B$2:$J$61,9,FALSE()),""))</f>
      </c>
    </row>
    <row r="3620">
      <c r="E3620">
        <f>IF(DATOS!$I3620="","",IFERROR(VLOOKUP(DATOS!$I3620,CONFIG_ASIGNATURAS!$B$2:$J$61,9,FALSE()),""))</f>
      </c>
    </row>
    <row r="3621">
      <c r="E3621">
        <f>IF(DATOS!$I3621="","",IFERROR(VLOOKUP(DATOS!$I3621,CONFIG_ASIGNATURAS!$B$2:$J$61,9,FALSE()),""))</f>
      </c>
    </row>
    <row r="3622">
      <c r="E3622">
        <f>IF(DATOS!$I3622="","",IFERROR(VLOOKUP(DATOS!$I3622,CONFIG_ASIGNATURAS!$B$2:$J$61,9,FALSE()),""))</f>
      </c>
    </row>
    <row r="3623">
      <c r="E3623">
        <f>IF(DATOS!$I3623="","",IFERROR(VLOOKUP(DATOS!$I3623,CONFIG_ASIGNATURAS!$B$2:$J$61,9,FALSE()),""))</f>
      </c>
    </row>
    <row r="3624">
      <c r="E3624">
        <f>IF(DATOS!$I3624="","",IFERROR(VLOOKUP(DATOS!$I3624,CONFIG_ASIGNATURAS!$B$2:$J$61,9,FALSE()),""))</f>
      </c>
    </row>
    <row r="3625">
      <c r="E3625">
        <f>IF(DATOS!$I3625="","",IFERROR(VLOOKUP(DATOS!$I3625,CONFIG_ASIGNATURAS!$B$2:$J$61,9,FALSE()),""))</f>
      </c>
    </row>
    <row r="3626">
      <c r="E3626">
        <f>IF(DATOS!$I3626="","",IFERROR(VLOOKUP(DATOS!$I3626,CONFIG_ASIGNATURAS!$B$2:$J$61,9,FALSE()),""))</f>
      </c>
    </row>
    <row r="3627">
      <c r="E3627">
        <f>IF(DATOS!$I3627="","",IFERROR(VLOOKUP(DATOS!$I3627,CONFIG_ASIGNATURAS!$B$2:$J$61,9,FALSE()),""))</f>
      </c>
    </row>
    <row r="3628">
      <c r="E3628">
        <f>IF(DATOS!$I3628="","",IFERROR(VLOOKUP(DATOS!$I3628,CONFIG_ASIGNATURAS!$B$2:$J$61,9,FALSE()),""))</f>
      </c>
    </row>
    <row r="3629">
      <c r="E3629">
        <f>IF(DATOS!$I3629="","",IFERROR(VLOOKUP(DATOS!$I3629,CONFIG_ASIGNATURAS!$B$2:$J$61,9,FALSE()),""))</f>
      </c>
    </row>
    <row r="3630">
      <c r="E3630">
        <f>IF(DATOS!$I3630="","",IFERROR(VLOOKUP(DATOS!$I3630,CONFIG_ASIGNATURAS!$B$2:$J$61,9,FALSE()),""))</f>
      </c>
    </row>
    <row r="3631">
      <c r="E3631">
        <f>IF(DATOS!$I3631="","",IFERROR(VLOOKUP(DATOS!$I3631,CONFIG_ASIGNATURAS!$B$2:$J$61,9,FALSE()),""))</f>
      </c>
    </row>
    <row r="3632">
      <c r="E3632">
        <f>IF(DATOS!$I3632="","",IFERROR(VLOOKUP(DATOS!$I3632,CONFIG_ASIGNATURAS!$B$2:$J$61,9,FALSE()),""))</f>
      </c>
    </row>
    <row r="3633">
      <c r="E3633">
        <f>IF(DATOS!$I3633="","",IFERROR(VLOOKUP(DATOS!$I3633,CONFIG_ASIGNATURAS!$B$2:$J$61,9,FALSE()),""))</f>
      </c>
    </row>
    <row r="3634">
      <c r="E3634">
        <f>IF(DATOS!$I3634="","",IFERROR(VLOOKUP(DATOS!$I3634,CONFIG_ASIGNATURAS!$B$2:$J$61,9,FALSE()),""))</f>
      </c>
    </row>
    <row r="3635">
      <c r="E3635">
        <f>IF(DATOS!$I3635="","",IFERROR(VLOOKUP(DATOS!$I3635,CONFIG_ASIGNATURAS!$B$2:$J$61,9,FALSE()),""))</f>
      </c>
    </row>
    <row r="3636">
      <c r="E3636">
        <f>IF(DATOS!$I3636="","",IFERROR(VLOOKUP(DATOS!$I3636,CONFIG_ASIGNATURAS!$B$2:$J$61,9,FALSE()),""))</f>
      </c>
    </row>
    <row r="3637">
      <c r="E3637">
        <f>IF(DATOS!$I3637="","",IFERROR(VLOOKUP(DATOS!$I3637,CONFIG_ASIGNATURAS!$B$2:$J$61,9,FALSE()),""))</f>
      </c>
    </row>
    <row r="3638">
      <c r="E3638">
        <f>IF(DATOS!$I3638="","",IFERROR(VLOOKUP(DATOS!$I3638,CONFIG_ASIGNATURAS!$B$2:$J$61,9,FALSE()),""))</f>
      </c>
    </row>
    <row r="3639">
      <c r="E3639">
        <f>IF(DATOS!$I3639="","",IFERROR(VLOOKUP(DATOS!$I3639,CONFIG_ASIGNATURAS!$B$2:$J$61,9,FALSE()),""))</f>
      </c>
    </row>
    <row r="3640">
      <c r="E3640">
        <f>IF(DATOS!$I3640="","",IFERROR(VLOOKUP(DATOS!$I3640,CONFIG_ASIGNATURAS!$B$2:$J$61,9,FALSE()),""))</f>
      </c>
    </row>
    <row r="3641">
      <c r="E3641">
        <f>IF(DATOS!$I3641="","",IFERROR(VLOOKUP(DATOS!$I3641,CONFIG_ASIGNATURAS!$B$2:$J$61,9,FALSE()),""))</f>
      </c>
    </row>
    <row r="3642">
      <c r="E3642">
        <f>IF(DATOS!$I3642="","",IFERROR(VLOOKUP(DATOS!$I3642,CONFIG_ASIGNATURAS!$B$2:$J$61,9,FALSE()),""))</f>
      </c>
    </row>
    <row r="3643">
      <c r="E3643">
        <f>IF(DATOS!$I3643="","",IFERROR(VLOOKUP(DATOS!$I3643,CONFIG_ASIGNATURAS!$B$2:$J$61,9,FALSE()),""))</f>
      </c>
    </row>
    <row r="3644">
      <c r="E3644">
        <f>IF(DATOS!$I3644="","",IFERROR(VLOOKUP(DATOS!$I3644,CONFIG_ASIGNATURAS!$B$2:$J$61,9,FALSE()),""))</f>
      </c>
    </row>
    <row r="3645">
      <c r="E3645">
        <f>IF(DATOS!$I3645="","",IFERROR(VLOOKUP(DATOS!$I3645,CONFIG_ASIGNATURAS!$B$2:$J$61,9,FALSE()),""))</f>
      </c>
    </row>
    <row r="3646">
      <c r="E3646">
        <f>IF(DATOS!$I3646="","",IFERROR(VLOOKUP(DATOS!$I3646,CONFIG_ASIGNATURAS!$B$2:$J$61,9,FALSE()),""))</f>
      </c>
    </row>
    <row r="3647">
      <c r="E3647">
        <f>IF(DATOS!$I3647="","",IFERROR(VLOOKUP(DATOS!$I3647,CONFIG_ASIGNATURAS!$B$2:$J$61,9,FALSE()),""))</f>
      </c>
    </row>
    <row r="3648">
      <c r="E3648">
        <f>IF(DATOS!$I3648="","",IFERROR(VLOOKUP(DATOS!$I3648,CONFIG_ASIGNATURAS!$B$2:$J$61,9,FALSE()),""))</f>
      </c>
    </row>
    <row r="3649">
      <c r="E3649">
        <f>IF(DATOS!$I3649="","",IFERROR(VLOOKUP(DATOS!$I3649,CONFIG_ASIGNATURAS!$B$2:$J$61,9,FALSE()),""))</f>
      </c>
    </row>
    <row r="3650">
      <c r="E3650">
        <f>IF(DATOS!$I3650="","",IFERROR(VLOOKUP(DATOS!$I3650,CONFIG_ASIGNATURAS!$B$2:$J$61,9,FALSE()),""))</f>
      </c>
    </row>
    <row r="3651">
      <c r="E3651">
        <f>IF(DATOS!$I3651="","",IFERROR(VLOOKUP(DATOS!$I3651,CONFIG_ASIGNATURAS!$B$2:$J$61,9,FALSE()),""))</f>
      </c>
    </row>
    <row r="3652">
      <c r="E3652">
        <f>IF(DATOS!$I3652="","",IFERROR(VLOOKUP(DATOS!$I3652,CONFIG_ASIGNATURAS!$B$2:$J$61,9,FALSE()),""))</f>
      </c>
    </row>
    <row r="3653">
      <c r="E3653">
        <f>IF(DATOS!$I3653="","",IFERROR(VLOOKUP(DATOS!$I3653,CONFIG_ASIGNATURAS!$B$2:$J$61,9,FALSE()),""))</f>
      </c>
    </row>
    <row r="3654">
      <c r="E3654">
        <f>IF(DATOS!$I3654="","",IFERROR(VLOOKUP(DATOS!$I3654,CONFIG_ASIGNATURAS!$B$2:$J$61,9,FALSE()),""))</f>
      </c>
    </row>
    <row r="3655">
      <c r="E3655">
        <f>IF(DATOS!$I3655="","",IFERROR(VLOOKUP(DATOS!$I3655,CONFIG_ASIGNATURAS!$B$2:$J$61,9,FALSE()),""))</f>
      </c>
    </row>
    <row r="3656">
      <c r="E3656">
        <f>IF(DATOS!$I3656="","",IFERROR(VLOOKUP(DATOS!$I3656,CONFIG_ASIGNATURAS!$B$2:$J$61,9,FALSE()),""))</f>
      </c>
    </row>
    <row r="3657">
      <c r="E3657">
        <f>IF(DATOS!$I3657="","",IFERROR(VLOOKUP(DATOS!$I3657,CONFIG_ASIGNATURAS!$B$2:$J$61,9,FALSE()),""))</f>
      </c>
    </row>
    <row r="3658">
      <c r="E3658">
        <f>IF(DATOS!$I3658="","",IFERROR(VLOOKUP(DATOS!$I3658,CONFIG_ASIGNATURAS!$B$2:$J$61,9,FALSE()),""))</f>
      </c>
    </row>
    <row r="3659">
      <c r="E3659">
        <f>IF(DATOS!$I3659="","",IFERROR(VLOOKUP(DATOS!$I3659,CONFIG_ASIGNATURAS!$B$2:$J$61,9,FALSE()),""))</f>
      </c>
    </row>
    <row r="3660">
      <c r="E3660">
        <f>IF(DATOS!$I3660="","",IFERROR(VLOOKUP(DATOS!$I3660,CONFIG_ASIGNATURAS!$B$2:$J$61,9,FALSE()),""))</f>
      </c>
    </row>
    <row r="3661">
      <c r="E3661">
        <f>IF(DATOS!$I3661="","",IFERROR(VLOOKUP(DATOS!$I3661,CONFIG_ASIGNATURAS!$B$2:$J$61,9,FALSE()),""))</f>
      </c>
    </row>
    <row r="3662">
      <c r="E3662">
        <f>IF(DATOS!$I3662="","",IFERROR(VLOOKUP(DATOS!$I3662,CONFIG_ASIGNATURAS!$B$2:$J$61,9,FALSE()),""))</f>
      </c>
    </row>
    <row r="3663">
      <c r="E3663">
        <f>IF(DATOS!$I3663="","",IFERROR(VLOOKUP(DATOS!$I3663,CONFIG_ASIGNATURAS!$B$2:$J$61,9,FALSE()),""))</f>
      </c>
    </row>
    <row r="3664">
      <c r="E3664">
        <f>IF(DATOS!$I3664="","",IFERROR(VLOOKUP(DATOS!$I3664,CONFIG_ASIGNATURAS!$B$2:$J$61,9,FALSE()),""))</f>
      </c>
    </row>
    <row r="3665">
      <c r="E3665">
        <f>IF(DATOS!$I3665="","",IFERROR(VLOOKUP(DATOS!$I3665,CONFIG_ASIGNATURAS!$B$2:$J$61,9,FALSE()),""))</f>
      </c>
    </row>
    <row r="3666">
      <c r="E3666">
        <f>IF(DATOS!$I3666="","",IFERROR(VLOOKUP(DATOS!$I3666,CONFIG_ASIGNATURAS!$B$2:$J$61,9,FALSE()),""))</f>
      </c>
    </row>
    <row r="3667">
      <c r="E3667">
        <f>IF(DATOS!$I3667="","",IFERROR(VLOOKUP(DATOS!$I3667,CONFIG_ASIGNATURAS!$B$2:$J$61,9,FALSE()),""))</f>
      </c>
    </row>
    <row r="3668">
      <c r="E3668">
        <f>IF(DATOS!$I3668="","",IFERROR(VLOOKUP(DATOS!$I3668,CONFIG_ASIGNATURAS!$B$2:$J$61,9,FALSE()),""))</f>
      </c>
    </row>
    <row r="3669">
      <c r="E3669">
        <f>IF(DATOS!$I3669="","",IFERROR(VLOOKUP(DATOS!$I3669,CONFIG_ASIGNATURAS!$B$2:$J$61,9,FALSE()),""))</f>
      </c>
    </row>
    <row r="3670">
      <c r="E3670">
        <f>IF(DATOS!$I3670="","",IFERROR(VLOOKUP(DATOS!$I3670,CONFIG_ASIGNATURAS!$B$2:$J$61,9,FALSE()),""))</f>
      </c>
    </row>
    <row r="3671">
      <c r="E3671">
        <f>IF(DATOS!$I3671="","",IFERROR(VLOOKUP(DATOS!$I3671,CONFIG_ASIGNATURAS!$B$2:$J$61,9,FALSE()),""))</f>
      </c>
    </row>
    <row r="3672">
      <c r="E3672">
        <f>IF(DATOS!$I3672="","",IFERROR(VLOOKUP(DATOS!$I3672,CONFIG_ASIGNATURAS!$B$2:$J$61,9,FALSE()),""))</f>
      </c>
    </row>
    <row r="3673">
      <c r="E3673">
        <f>IF(DATOS!$I3673="","",IFERROR(VLOOKUP(DATOS!$I3673,CONFIG_ASIGNATURAS!$B$2:$J$61,9,FALSE()),""))</f>
      </c>
    </row>
    <row r="3674">
      <c r="E3674">
        <f>IF(DATOS!$I3674="","",IFERROR(VLOOKUP(DATOS!$I3674,CONFIG_ASIGNATURAS!$B$2:$J$61,9,FALSE()),""))</f>
      </c>
    </row>
    <row r="3675">
      <c r="E3675">
        <f>IF(DATOS!$I3675="","",IFERROR(VLOOKUP(DATOS!$I3675,CONFIG_ASIGNATURAS!$B$2:$J$61,9,FALSE()),""))</f>
      </c>
    </row>
    <row r="3676">
      <c r="E3676">
        <f>IF(DATOS!$I3676="","",IFERROR(VLOOKUP(DATOS!$I3676,CONFIG_ASIGNATURAS!$B$2:$J$61,9,FALSE()),""))</f>
      </c>
    </row>
    <row r="3677">
      <c r="E3677">
        <f>IF(DATOS!$I3677="","",IFERROR(VLOOKUP(DATOS!$I3677,CONFIG_ASIGNATURAS!$B$2:$J$61,9,FALSE()),""))</f>
      </c>
    </row>
    <row r="3678">
      <c r="E3678">
        <f>IF(DATOS!$I3678="","",IFERROR(VLOOKUP(DATOS!$I3678,CONFIG_ASIGNATURAS!$B$2:$J$61,9,FALSE()),""))</f>
      </c>
    </row>
    <row r="3679">
      <c r="E3679">
        <f>IF(DATOS!$I3679="","",IFERROR(VLOOKUP(DATOS!$I3679,CONFIG_ASIGNATURAS!$B$2:$J$61,9,FALSE()),""))</f>
      </c>
    </row>
    <row r="3680">
      <c r="E3680">
        <f>IF(DATOS!$I3680="","",IFERROR(VLOOKUP(DATOS!$I3680,CONFIG_ASIGNATURAS!$B$2:$J$61,9,FALSE()),""))</f>
      </c>
    </row>
    <row r="3681">
      <c r="E3681">
        <f>IF(DATOS!$I3681="","",IFERROR(VLOOKUP(DATOS!$I3681,CONFIG_ASIGNATURAS!$B$2:$J$61,9,FALSE()),""))</f>
      </c>
    </row>
    <row r="3682">
      <c r="E3682">
        <f>IF(DATOS!$I3682="","",IFERROR(VLOOKUP(DATOS!$I3682,CONFIG_ASIGNATURAS!$B$2:$J$61,9,FALSE()),""))</f>
      </c>
    </row>
    <row r="3683">
      <c r="E3683">
        <f>IF(DATOS!$I3683="","",IFERROR(VLOOKUP(DATOS!$I3683,CONFIG_ASIGNATURAS!$B$2:$J$61,9,FALSE()),""))</f>
      </c>
    </row>
    <row r="3684">
      <c r="E3684">
        <f>IF(DATOS!$I3684="","",IFERROR(VLOOKUP(DATOS!$I3684,CONFIG_ASIGNATURAS!$B$2:$J$61,9,FALSE()),""))</f>
      </c>
    </row>
    <row r="3685">
      <c r="E3685">
        <f>IF(DATOS!$I3685="","",IFERROR(VLOOKUP(DATOS!$I3685,CONFIG_ASIGNATURAS!$B$2:$J$61,9,FALSE()),""))</f>
      </c>
    </row>
    <row r="3686">
      <c r="E3686">
        <f>IF(DATOS!$I3686="","",IFERROR(VLOOKUP(DATOS!$I3686,CONFIG_ASIGNATURAS!$B$2:$J$61,9,FALSE()),""))</f>
      </c>
    </row>
    <row r="3687">
      <c r="E3687">
        <f>IF(DATOS!$I3687="","",IFERROR(VLOOKUP(DATOS!$I3687,CONFIG_ASIGNATURAS!$B$2:$J$61,9,FALSE()),""))</f>
      </c>
    </row>
    <row r="3688">
      <c r="E3688">
        <f>IF(DATOS!$I3688="","",IFERROR(VLOOKUP(DATOS!$I3688,CONFIG_ASIGNATURAS!$B$2:$J$61,9,FALSE()),""))</f>
      </c>
    </row>
    <row r="3689">
      <c r="E3689">
        <f>IF(DATOS!$I3689="","",IFERROR(VLOOKUP(DATOS!$I3689,CONFIG_ASIGNATURAS!$B$2:$J$61,9,FALSE()),""))</f>
      </c>
    </row>
    <row r="3690">
      <c r="E3690">
        <f>IF(DATOS!$I3690="","",IFERROR(VLOOKUP(DATOS!$I3690,CONFIG_ASIGNATURAS!$B$2:$J$61,9,FALSE()),""))</f>
      </c>
    </row>
    <row r="3691">
      <c r="E3691">
        <f>IF(DATOS!$I3691="","",IFERROR(VLOOKUP(DATOS!$I3691,CONFIG_ASIGNATURAS!$B$2:$J$61,9,FALSE()),""))</f>
      </c>
    </row>
    <row r="3692">
      <c r="E3692">
        <f>IF(DATOS!$I3692="","",IFERROR(VLOOKUP(DATOS!$I3692,CONFIG_ASIGNATURAS!$B$2:$J$61,9,FALSE()),""))</f>
      </c>
    </row>
    <row r="3693">
      <c r="E3693">
        <f>IF(DATOS!$I3693="","",IFERROR(VLOOKUP(DATOS!$I3693,CONFIG_ASIGNATURAS!$B$2:$J$61,9,FALSE()),""))</f>
      </c>
    </row>
    <row r="3694">
      <c r="E3694">
        <f>IF(DATOS!$I3694="","",IFERROR(VLOOKUP(DATOS!$I3694,CONFIG_ASIGNATURAS!$B$2:$J$61,9,FALSE()),""))</f>
      </c>
    </row>
    <row r="3695">
      <c r="E3695">
        <f>IF(DATOS!$I3695="","",IFERROR(VLOOKUP(DATOS!$I3695,CONFIG_ASIGNATURAS!$B$2:$J$61,9,FALSE()),""))</f>
      </c>
    </row>
    <row r="3696">
      <c r="E3696">
        <f>IF(DATOS!$I3696="","",IFERROR(VLOOKUP(DATOS!$I3696,CONFIG_ASIGNATURAS!$B$2:$J$61,9,FALSE()),""))</f>
      </c>
    </row>
    <row r="3697">
      <c r="E3697">
        <f>IF(DATOS!$I3697="","",IFERROR(VLOOKUP(DATOS!$I3697,CONFIG_ASIGNATURAS!$B$2:$J$61,9,FALSE()),""))</f>
      </c>
    </row>
    <row r="3698">
      <c r="E3698">
        <f>IF(DATOS!$I3698="","",IFERROR(VLOOKUP(DATOS!$I3698,CONFIG_ASIGNATURAS!$B$2:$J$61,9,FALSE()),""))</f>
      </c>
    </row>
    <row r="3699">
      <c r="E3699">
        <f>IF(DATOS!$I3699="","",IFERROR(VLOOKUP(DATOS!$I3699,CONFIG_ASIGNATURAS!$B$2:$J$61,9,FALSE()),""))</f>
      </c>
    </row>
    <row r="3700">
      <c r="E3700">
        <f>IF(DATOS!$I3700="","",IFERROR(VLOOKUP(DATOS!$I3700,CONFIG_ASIGNATURAS!$B$2:$J$61,9,FALSE()),""))</f>
      </c>
    </row>
    <row r="3701">
      <c r="E3701">
        <f>IF(DATOS!$I3701="","",IFERROR(VLOOKUP(DATOS!$I3701,CONFIG_ASIGNATURAS!$B$2:$J$61,9,FALSE()),""))</f>
      </c>
    </row>
    <row r="3702">
      <c r="E3702">
        <f>IF(DATOS!$I3702="","",IFERROR(VLOOKUP(DATOS!$I3702,CONFIG_ASIGNATURAS!$B$2:$J$61,9,FALSE()),""))</f>
      </c>
    </row>
    <row r="3703">
      <c r="E3703">
        <f>IF(DATOS!$I3703="","",IFERROR(VLOOKUP(DATOS!$I3703,CONFIG_ASIGNATURAS!$B$2:$J$61,9,FALSE()),""))</f>
      </c>
    </row>
    <row r="3704">
      <c r="E3704">
        <f>IF(DATOS!$I3704="","",IFERROR(VLOOKUP(DATOS!$I3704,CONFIG_ASIGNATURAS!$B$2:$J$61,9,FALSE()),""))</f>
      </c>
    </row>
    <row r="3705">
      <c r="E3705">
        <f>IF(DATOS!$I3705="","",IFERROR(VLOOKUP(DATOS!$I3705,CONFIG_ASIGNATURAS!$B$2:$J$61,9,FALSE()),""))</f>
      </c>
    </row>
    <row r="3706">
      <c r="E3706">
        <f>IF(DATOS!$I3706="","",IFERROR(VLOOKUP(DATOS!$I3706,CONFIG_ASIGNATURAS!$B$2:$J$61,9,FALSE()),""))</f>
      </c>
    </row>
    <row r="3707">
      <c r="E3707">
        <f>IF(DATOS!$I3707="","",IFERROR(VLOOKUP(DATOS!$I3707,CONFIG_ASIGNATURAS!$B$2:$J$61,9,FALSE()),""))</f>
      </c>
    </row>
    <row r="3708">
      <c r="E3708">
        <f>IF(DATOS!$I3708="","",IFERROR(VLOOKUP(DATOS!$I3708,CONFIG_ASIGNATURAS!$B$2:$J$61,9,FALSE()),""))</f>
      </c>
    </row>
    <row r="3709">
      <c r="E3709">
        <f>IF(DATOS!$I3709="","",IFERROR(VLOOKUP(DATOS!$I3709,CONFIG_ASIGNATURAS!$B$2:$J$61,9,FALSE()),""))</f>
      </c>
    </row>
    <row r="3710">
      <c r="E3710">
        <f>IF(DATOS!$I3710="","",IFERROR(VLOOKUP(DATOS!$I3710,CONFIG_ASIGNATURAS!$B$2:$J$61,9,FALSE()),""))</f>
      </c>
    </row>
    <row r="3711">
      <c r="E3711">
        <f>IF(DATOS!$I3711="","",IFERROR(VLOOKUP(DATOS!$I3711,CONFIG_ASIGNATURAS!$B$2:$J$61,9,FALSE()),""))</f>
      </c>
    </row>
    <row r="3712">
      <c r="E3712">
        <f>IF(DATOS!$I3712="","",IFERROR(VLOOKUP(DATOS!$I3712,CONFIG_ASIGNATURAS!$B$2:$J$61,9,FALSE()),""))</f>
      </c>
    </row>
    <row r="3713">
      <c r="E3713">
        <f>IF(DATOS!$I3713="","",IFERROR(VLOOKUP(DATOS!$I3713,CONFIG_ASIGNATURAS!$B$2:$J$61,9,FALSE()),""))</f>
      </c>
    </row>
    <row r="3714">
      <c r="E3714">
        <f>IF(DATOS!$I3714="","",IFERROR(VLOOKUP(DATOS!$I3714,CONFIG_ASIGNATURAS!$B$2:$J$61,9,FALSE()),""))</f>
      </c>
    </row>
    <row r="3715">
      <c r="E3715">
        <f>IF(DATOS!$I3715="","",IFERROR(VLOOKUP(DATOS!$I3715,CONFIG_ASIGNATURAS!$B$2:$J$61,9,FALSE()),""))</f>
      </c>
    </row>
    <row r="3716">
      <c r="E3716">
        <f>IF(DATOS!$I3716="","",IFERROR(VLOOKUP(DATOS!$I3716,CONFIG_ASIGNATURAS!$B$2:$J$61,9,FALSE()),""))</f>
      </c>
    </row>
    <row r="3717">
      <c r="E3717">
        <f>IF(DATOS!$I3717="","",IFERROR(VLOOKUP(DATOS!$I3717,CONFIG_ASIGNATURAS!$B$2:$J$61,9,FALSE()),""))</f>
      </c>
    </row>
    <row r="3718">
      <c r="E3718">
        <f>IF(DATOS!$I3718="","",IFERROR(VLOOKUP(DATOS!$I3718,CONFIG_ASIGNATURAS!$B$2:$J$61,9,FALSE()),""))</f>
      </c>
    </row>
    <row r="3719">
      <c r="E3719">
        <f>IF(DATOS!$I3719="","",IFERROR(VLOOKUP(DATOS!$I3719,CONFIG_ASIGNATURAS!$B$2:$J$61,9,FALSE()),""))</f>
      </c>
    </row>
    <row r="3720">
      <c r="E3720">
        <f>IF(DATOS!$I3720="","",IFERROR(VLOOKUP(DATOS!$I3720,CONFIG_ASIGNATURAS!$B$2:$J$61,9,FALSE()),""))</f>
      </c>
    </row>
    <row r="3721">
      <c r="E3721">
        <f>IF(DATOS!$I3721="","",IFERROR(VLOOKUP(DATOS!$I3721,CONFIG_ASIGNATURAS!$B$2:$J$61,9,FALSE()),""))</f>
      </c>
    </row>
    <row r="3722">
      <c r="E3722">
        <f>IF(DATOS!$I3722="","",IFERROR(VLOOKUP(DATOS!$I3722,CONFIG_ASIGNATURAS!$B$2:$J$61,9,FALSE()),""))</f>
      </c>
    </row>
    <row r="3723">
      <c r="E3723">
        <f>IF(DATOS!$I3723="","",IFERROR(VLOOKUP(DATOS!$I3723,CONFIG_ASIGNATURAS!$B$2:$J$61,9,FALSE()),""))</f>
      </c>
    </row>
    <row r="3724">
      <c r="E3724">
        <f>IF(DATOS!$I3724="","",IFERROR(VLOOKUP(DATOS!$I3724,CONFIG_ASIGNATURAS!$B$2:$J$61,9,FALSE()),""))</f>
      </c>
    </row>
    <row r="3725">
      <c r="E3725">
        <f>IF(DATOS!$I3725="","",IFERROR(VLOOKUP(DATOS!$I3725,CONFIG_ASIGNATURAS!$B$2:$J$61,9,FALSE()),""))</f>
      </c>
    </row>
    <row r="3726">
      <c r="E3726">
        <f>IF(DATOS!$I3726="","",IFERROR(VLOOKUP(DATOS!$I3726,CONFIG_ASIGNATURAS!$B$2:$J$61,9,FALSE()),""))</f>
      </c>
    </row>
    <row r="3727">
      <c r="E3727">
        <f>IF(DATOS!$I3727="","",IFERROR(VLOOKUP(DATOS!$I3727,CONFIG_ASIGNATURAS!$B$2:$J$61,9,FALSE()),""))</f>
      </c>
    </row>
    <row r="3728">
      <c r="E3728">
        <f>IF(DATOS!$I3728="","",IFERROR(VLOOKUP(DATOS!$I3728,CONFIG_ASIGNATURAS!$B$2:$J$61,9,FALSE()),""))</f>
      </c>
    </row>
    <row r="3729">
      <c r="E3729">
        <f>IF(DATOS!$I3729="","",IFERROR(VLOOKUP(DATOS!$I3729,CONFIG_ASIGNATURAS!$B$2:$J$61,9,FALSE()),""))</f>
      </c>
    </row>
    <row r="3730">
      <c r="E3730">
        <f>IF(DATOS!$I3730="","",IFERROR(VLOOKUP(DATOS!$I3730,CONFIG_ASIGNATURAS!$B$2:$J$61,9,FALSE()),""))</f>
      </c>
    </row>
    <row r="3731">
      <c r="E3731">
        <f>IF(DATOS!$I3731="","",IFERROR(VLOOKUP(DATOS!$I3731,CONFIG_ASIGNATURAS!$B$2:$J$61,9,FALSE()),""))</f>
      </c>
    </row>
    <row r="3732">
      <c r="E3732">
        <f>IF(DATOS!$I3732="","",IFERROR(VLOOKUP(DATOS!$I3732,CONFIG_ASIGNATURAS!$B$2:$J$61,9,FALSE()),""))</f>
      </c>
    </row>
    <row r="3733">
      <c r="E3733">
        <f>IF(DATOS!$I3733="","",IFERROR(VLOOKUP(DATOS!$I3733,CONFIG_ASIGNATURAS!$B$2:$J$61,9,FALSE()),""))</f>
      </c>
    </row>
    <row r="3734">
      <c r="E3734">
        <f>IF(DATOS!$I3734="","",IFERROR(VLOOKUP(DATOS!$I3734,CONFIG_ASIGNATURAS!$B$2:$J$61,9,FALSE()),""))</f>
      </c>
    </row>
    <row r="3735">
      <c r="E3735">
        <f>IF(DATOS!$I3735="","",IFERROR(VLOOKUP(DATOS!$I3735,CONFIG_ASIGNATURAS!$B$2:$J$61,9,FALSE()),""))</f>
      </c>
    </row>
    <row r="3736">
      <c r="E3736">
        <f>IF(DATOS!$I3736="","",IFERROR(VLOOKUP(DATOS!$I3736,CONFIG_ASIGNATURAS!$B$2:$J$61,9,FALSE()),""))</f>
      </c>
    </row>
    <row r="3737">
      <c r="E3737">
        <f>IF(DATOS!$I3737="","",IFERROR(VLOOKUP(DATOS!$I3737,CONFIG_ASIGNATURAS!$B$2:$J$61,9,FALSE()),""))</f>
      </c>
    </row>
    <row r="3738">
      <c r="E3738">
        <f>IF(DATOS!$I3738="","",IFERROR(VLOOKUP(DATOS!$I3738,CONFIG_ASIGNATURAS!$B$2:$J$61,9,FALSE()),""))</f>
      </c>
    </row>
    <row r="3739">
      <c r="E3739">
        <f>IF(DATOS!$I3739="","",IFERROR(VLOOKUP(DATOS!$I3739,CONFIG_ASIGNATURAS!$B$2:$J$61,9,FALSE()),""))</f>
      </c>
    </row>
    <row r="3740">
      <c r="E3740">
        <f>IF(DATOS!$I3740="","",IFERROR(VLOOKUP(DATOS!$I3740,CONFIG_ASIGNATURAS!$B$2:$J$61,9,FALSE()),""))</f>
      </c>
    </row>
    <row r="3741">
      <c r="E3741">
        <f>IF(DATOS!$I3741="","",IFERROR(VLOOKUP(DATOS!$I3741,CONFIG_ASIGNATURAS!$B$2:$J$61,9,FALSE()),""))</f>
      </c>
    </row>
    <row r="3742">
      <c r="E3742">
        <f>IF(DATOS!$I3742="","",IFERROR(VLOOKUP(DATOS!$I3742,CONFIG_ASIGNATURAS!$B$2:$J$61,9,FALSE()),""))</f>
      </c>
    </row>
    <row r="3743">
      <c r="E3743">
        <f>IF(DATOS!$I3743="","",IFERROR(VLOOKUP(DATOS!$I3743,CONFIG_ASIGNATURAS!$B$2:$J$61,9,FALSE()),""))</f>
      </c>
    </row>
    <row r="3744">
      <c r="E3744">
        <f>IF(DATOS!$I3744="","",IFERROR(VLOOKUP(DATOS!$I3744,CONFIG_ASIGNATURAS!$B$2:$J$61,9,FALSE()),""))</f>
      </c>
    </row>
    <row r="3745">
      <c r="E3745">
        <f>IF(DATOS!$I3745="","",IFERROR(VLOOKUP(DATOS!$I3745,CONFIG_ASIGNATURAS!$B$2:$J$61,9,FALSE()),""))</f>
      </c>
    </row>
    <row r="3746">
      <c r="E3746">
        <f>IF(DATOS!$I3746="","",IFERROR(VLOOKUP(DATOS!$I3746,CONFIG_ASIGNATURAS!$B$2:$J$61,9,FALSE()),""))</f>
      </c>
    </row>
    <row r="3747">
      <c r="E3747">
        <f>IF(DATOS!$I3747="","",IFERROR(VLOOKUP(DATOS!$I3747,CONFIG_ASIGNATURAS!$B$2:$J$61,9,FALSE()),""))</f>
      </c>
    </row>
    <row r="3748">
      <c r="E3748">
        <f>IF(DATOS!$I3748="","",IFERROR(VLOOKUP(DATOS!$I3748,CONFIG_ASIGNATURAS!$B$2:$J$61,9,FALSE()),""))</f>
      </c>
    </row>
    <row r="3749">
      <c r="E3749">
        <f>IF(DATOS!$I3749="","",IFERROR(VLOOKUP(DATOS!$I3749,CONFIG_ASIGNATURAS!$B$2:$J$61,9,FALSE()),""))</f>
      </c>
    </row>
    <row r="3750">
      <c r="E3750">
        <f>IF(DATOS!$I3750="","",IFERROR(VLOOKUP(DATOS!$I3750,CONFIG_ASIGNATURAS!$B$2:$J$61,9,FALSE()),""))</f>
      </c>
    </row>
    <row r="3751">
      <c r="E3751">
        <f>IF(DATOS!$I3751="","",IFERROR(VLOOKUP(DATOS!$I3751,CONFIG_ASIGNATURAS!$B$2:$J$61,9,FALSE()),""))</f>
      </c>
    </row>
    <row r="3752">
      <c r="E3752">
        <f>IF(DATOS!$I3752="","",IFERROR(VLOOKUP(DATOS!$I3752,CONFIG_ASIGNATURAS!$B$2:$J$61,9,FALSE()),""))</f>
      </c>
    </row>
    <row r="3753">
      <c r="E3753">
        <f>IF(DATOS!$I3753="","",IFERROR(VLOOKUP(DATOS!$I3753,CONFIG_ASIGNATURAS!$B$2:$J$61,9,FALSE()),""))</f>
      </c>
    </row>
    <row r="3754">
      <c r="E3754">
        <f>IF(DATOS!$I3754="","",IFERROR(VLOOKUP(DATOS!$I3754,CONFIG_ASIGNATURAS!$B$2:$J$61,9,FALSE()),""))</f>
      </c>
    </row>
    <row r="3755">
      <c r="E3755">
        <f>IF(DATOS!$I3755="","",IFERROR(VLOOKUP(DATOS!$I3755,CONFIG_ASIGNATURAS!$B$2:$J$61,9,FALSE()),""))</f>
      </c>
    </row>
    <row r="3756">
      <c r="E3756">
        <f>IF(DATOS!$I3756="","",IFERROR(VLOOKUP(DATOS!$I3756,CONFIG_ASIGNATURAS!$B$2:$J$61,9,FALSE()),""))</f>
      </c>
    </row>
    <row r="3757">
      <c r="E3757">
        <f>IF(DATOS!$I3757="","",IFERROR(VLOOKUP(DATOS!$I3757,CONFIG_ASIGNATURAS!$B$2:$J$61,9,FALSE()),""))</f>
      </c>
    </row>
    <row r="3758">
      <c r="E3758">
        <f>IF(DATOS!$I3758="","",IFERROR(VLOOKUP(DATOS!$I3758,CONFIG_ASIGNATURAS!$B$2:$J$61,9,FALSE()),""))</f>
      </c>
    </row>
    <row r="3759">
      <c r="E3759">
        <f>IF(DATOS!$I3759="","",IFERROR(VLOOKUP(DATOS!$I3759,CONFIG_ASIGNATURAS!$B$2:$J$61,9,FALSE()),""))</f>
      </c>
    </row>
    <row r="3760">
      <c r="E3760">
        <f>IF(DATOS!$I3760="","",IFERROR(VLOOKUP(DATOS!$I3760,CONFIG_ASIGNATURAS!$B$2:$J$61,9,FALSE()),""))</f>
      </c>
    </row>
    <row r="3761">
      <c r="E3761">
        <f>IF(DATOS!$I3761="","",IFERROR(VLOOKUP(DATOS!$I3761,CONFIG_ASIGNATURAS!$B$2:$J$61,9,FALSE()),""))</f>
      </c>
    </row>
    <row r="3762">
      <c r="E3762">
        <f>IF(DATOS!$I3762="","",IFERROR(VLOOKUP(DATOS!$I3762,CONFIG_ASIGNATURAS!$B$2:$J$61,9,FALSE()),""))</f>
      </c>
    </row>
    <row r="3763">
      <c r="E3763">
        <f>IF(DATOS!$I3763="","",IFERROR(VLOOKUP(DATOS!$I3763,CONFIG_ASIGNATURAS!$B$2:$J$61,9,FALSE()),""))</f>
      </c>
    </row>
    <row r="3764">
      <c r="E3764">
        <f>IF(DATOS!$I3764="","",IFERROR(VLOOKUP(DATOS!$I3764,CONFIG_ASIGNATURAS!$B$2:$J$61,9,FALSE()),""))</f>
      </c>
    </row>
    <row r="3765">
      <c r="E3765">
        <f>IF(DATOS!$I3765="","",IFERROR(VLOOKUP(DATOS!$I3765,CONFIG_ASIGNATURAS!$B$2:$J$61,9,FALSE()),""))</f>
      </c>
    </row>
    <row r="3766">
      <c r="E3766">
        <f>IF(DATOS!$I3766="","",IFERROR(VLOOKUP(DATOS!$I3766,CONFIG_ASIGNATURAS!$B$2:$J$61,9,FALSE()),""))</f>
      </c>
    </row>
    <row r="3767">
      <c r="E3767">
        <f>IF(DATOS!$I3767="","",IFERROR(VLOOKUP(DATOS!$I3767,CONFIG_ASIGNATURAS!$B$2:$J$61,9,FALSE()),""))</f>
      </c>
    </row>
    <row r="3768">
      <c r="E3768">
        <f>IF(DATOS!$I3768="","",IFERROR(VLOOKUP(DATOS!$I3768,CONFIG_ASIGNATURAS!$B$2:$J$61,9,FALSE()),""))</f>
      </c>
    </row>
    <row r="3769">
      <c r="E3769">
        <f>IF(DATOS!$I3769="","",IFERROR(VLOOKUP(DATOS!$I3769,CONFIG_ASIGNATURAS!$B$2:$J$61,9,FALSE()),""))</f>
      </c>
    </row>
    <row r="3770">
      <c r="E3770">
        <f>IF(DATOS!$I3770="","",IFERROR(VLOOKUP(DATOS!$I3770,CONFIG_ASIGNATURAS!$B$2:$J$61,9,FALSE()),""))</f>
      </c>
    </row>
    <row r="3771">
      <c r="E3771">
        <f>IF(DATOS!$I3771="","",IFERROR(VLOOKUP(DATOS!$I3771,CONFIG_ASIGNATURAS!$B$2:$J$61,9,FALSE()),""))</f>
      </c>
    </row>
    <row r="3772">
      <c r="E3772">
        <f>IF(DATOS!$I3772="","",IFERROR(VLOOKUP(DATOS!$I3772,CONFIG_ASIGNATURAS!$B$2:$J$61,9,FALSE()),""))</f>
      </c>
    </row>
    <row r="3773">
      <c r="E3773">
        <f>IF(DATOS!$I3773="","",IFERROR(VLOOKUP(DATOS!$I3773,CONFIG_ASIGNATURAS!$B$2:$J$61,9,FALSE()),""))</f>
      </c>
    </row>
    <row r="3774">
      <c r="E3774">
        <f>IF(DATOS!$I3774="","",IFERROR(VLOOKUP(DATOS!$I3774,CONFIG_ASIGNATURAS!$B$2:$J$61,9,FALSE()),""))</f>
      </c>
    </row>
    <row r="3775">
      <c r="E3775">
        <f>IF(DATOS!$I3775="","",IFERROR(VLOOKUP(DATOS!$I3775,CONFIG_ASIGNATURAS!$B$2:$J$61,9,FALSE()),""))</f>
      </c>
    </row>
    <row r="3776">
      <c r="E3776">
        <f>IF(DATOS!$I3776="","",IFERROR(VLOOKUP(DATOS!$I3776,CONFIG_ASIGNATURAS!$B$2:$J$61,9,FALSE()),""))</f>
      </c>
    </row>
    <row r="3777">
      <c r="E3777">
        <f>IF(DATOS!$I3777="","",IFERROR(VLOOKUP(DATOS!$I3777,CONFIG_ASIGNATURAS!$B$2:$J$61,9,FALSE()),""))</f>
      </c>
    </row>
    <row r="3778">
      <c r="E3778">
        <f>IF(DATOS!$I3778="","",IFERROR(VLOOKUP(DATOS!$I3778,CONFIG_ASIGNATURAS!$B$2:$J$61,9,FALSE()),""))</f>
      </c>
    </row>
    <row r="3779">
      <c r="E3779">
        <f>IF(DATOS!$I3779="","",IFERROR(VLOOKUP(DATOS!$I3779,CONFIG_ASIGNATURAS!$B$2:$J$61,9,FALSE()),""))</f>
      </c>
    </row>
    <row r="3780">
      <c r="E3780">
        <f>IF(DATOS!$I3780="","",IFERROR(VLOOKUP(DATOS!$I3780,CONFIG_ASIGNATURAS!$B$2:$J$61,9,FALSE()),""))</f>
      </c>
    </row>
    <row r="3781">
      <c r="E3781">
        <f>IF(DATOS!$I3781="","",IFERROR(VLOOKUP(DATOS!$I3781,CONFIG_ASIGNATURAS!$B$2:$J$61,9,FALSE()),""))</f>
      </c>
    </row>
    <row r="3782">
      <c r="E3782">
        <f>IF(DATOS!$I3782="","",IFERROR(VLOOKUP(DATOS!$I3782,CONFIG_ASIGNATURAS!$B$2:$J$61,9,FALSE()),""))</f>
      </c>
    </row>
    <row r="3783">
      <c r="E3783">
        <f>IF(DATOS!$I3783="","",IFERROR(VLOOKUP(DATOS!$I3783,CONFIG_ASIGNATURAS!$B$2:$J$61,9,FALSE()),""))</f>
      </c>
    </row>
    <row r="3784">
      <c r="E3784">
        <f>IF(DATOS!$I3784="","",IFERROR(VLOOKUP(DATOS!$I3784,CONFIG_ASIGNATURAS!$B$2:$J$61,9,FALSE()),""))</f>
      </c>
    </row>
    <row r="3785">
      <c r="E3785">
        <f>IF(DATOS!$I3785="","",IFERROR(VLOOKUP(DATOS!$I3785,CONFIG_ASIGNATURAS!$B$2:$J$61,9,FALSE()),""))</f>
      </c>
    </row>
    <row r="3786">
      <c r="E3786">
        <f>IF(DATOS!$I3786="","",IFERROR(VLOOKUP(DATOS!$I3786,CONFIG_ASIGNATURAS!$B$2:$J$61,9,FALSE()),""))</f>
      </c>
    </row>
    <row r="3787">
      <c r="E3787">
        <f>IF(DATOS!$I3787="","",IFERROR(VLOOKUP(DATOS!$I3787,CONFIG_ASIGNATURAS!$B$2:$J$61,9,FALSE()),""))</f>
      </c>
    </row>
    <row r="3788">
      <c r="E3788">
        <f>IF(DATOS!$I3788="","",IFERROR(VLOOKUP(DATOS!$I3788,CONFIG_ASIGNATURAS!$B$2:$J$61,9,FALSE()),""))</f>
      </c>
    </row>
    <row r="3789">
      <c r="E3789">
        <f>IF(DATOS!$I3789="","",IFERROR(VLOOKUP(DATOS!$I3789,CONFIG_ASIGNATURAS!$B$2:$J$61,9,FALSE()),""))</f>
      </c>
    </row>
    <row r="3790">
      <c r="E3790">
        <f>IF(DATOS!$I3790="","",IFERROR(VLOOKUP(DATOS!$I3790,CONFIG_ASIGNATURAS!$B$2:$J$61,9,FALSE()),""))</f>
      </c>
    </row>
    <row r="3791">
      <c r="E3791">
        <f>IF(DATOS!$I3791="","",IFERROR(VLOOKUP(DATOS!$I3791,CONFIG_ASIGNATURAS!$B$2:$J$61,9,FALSE()),""))</f>
      </c>
    </row>
    <row r="3792">
      <c r="E3792">
        <f>IF(DATOS!$I3792="","",IFERROR(VLOOKUP(DATOS!$I3792,CONFIG_ASIGNATURAS!$B$2:$J$61,9,FALSE()),""))</f>
      </c>
    </row>
    <row r="3793">
      <c r="E3793">
        <f>IF(DATOS!$I3793="","",IFERROR(VLOOKUP(DATOS!$I3793,CONFIG_ASIGNATURAS!$B$2:$J$61,9,FALSE()),""))</f>
      </c>
    </row>
    <row r="3794">
      <c r="E3794">
        <f>IF(DATOS!$I3794="","",IFERROR(VLOOKUP(DATOS!$I3794,CONFIG_ASIGNATURAS!$B$2:$J$61,9,FALSE()),""))</f>
      </c>
    </row>
    <row r="3795">
      <c r="E3795">
        <f>IF(DATOS!$I3795="","",IFERROR(VLOOKUP(DATOS!$I3795,CONFIG_ASIGNATURAS!$B$2:$J$61,9,FALSE()),""))</f>
      </c>
    </row>
    <row r="3796">
      <c r="E3796">
        <f>IF(DATOS!$I3796="","",IFERROR(VLOOKUP(DATOS!$I3796,CONFIG_ASIGNATURAS!$B$2:$J$61,9,FALSE()),""))</f>
      </c>
    </row>
    <row r="3797">
      <c r="E3797">
        <f>IF(DATOS!$I3797="","",IFERROR(VLOOKUP(DATOS!$I3797,CONFIG_ASIGNATURAS!$B$2:$J$61,9,FALSE()),""))</f>
      </c>
    </row>
    <row r="3798">
      <c r="E3798">
        <f>IF(DATOS!$I3798="","",IFERROR(VLOOKUP(DATOS!$I3798,CONFIG_ASIGNATURAS!$B$2:$J$61,9,FALSE()),""))</f>
      </c>
    </row>
    <row r="3799">
      <c r="E3799">
        <f>IF(DATOS!$I3799="","",IFERROR(VLOOKUP(DATOS!$I3799,CONFIG_ASIGNATURAS!$B$2:$J$61,9,FALSE()),""))</f>
      </c>
    </row>
    <row r="3800">
      <c r="E3800">
        <f>IF(DATOS!$I3800="","",IFERROR(VLOOKUP(DATOS!$I3800,CONFIG_ASIGNATURAS!$B$2:$J$61,9,FALSE()),""))</f>
      </c>
    </row>
    <row r="3801">
      <c r="E3801">
        <f>IF(DATOS!$I3801="","",IFERROR(VLOOKUP(DATOS!$I3801,CONFIG_ASIGNATURAS!$B$2:$J$61,9,FALSE()),""))</f>
      </c>
    </row>
    <row r="3802">
      <c r="E3802">
        <f>IF(DATOS!$I3802="","",IFERROR(VLOOKUP(DATOS!$I3802,CONFIG_ASIGNATURAS!$B$2:$J$61,9,FALSE()),""))</f>
      </c>
    </row>
    <row r="3803">
      <c r="E3803">
        <f>IF(DATOS!$I3803="","",IFERROR(VLOOKUP(DATOS!$I3803,CONFIG_ASIGNATURAS!$B$2:$J$61,9,FALSE()),""))</f>
      </c>
    </row>
    <row r="3804">
      <c r="E3804">
        <f>IF(DATOS!$I3804="","",IFERROR(VLOOKUP(DATOS!$I3804,CONFIG_ASIGNATURAS!$B$2:$J$61,9,FALSE()),""))</f>
      </c>
    </row>
    <row r="3805">
      <c r="E3805">
        <f>IF(DATOS!$I3805="","",IFERROR(VLOOKUP(DATOS!$I3805,CONFIG_ASIGNATURAS!$B$2:$J$61,9,FALSE()),""))</f>
      </c>
    </row>
    <row r="3806">
      <c r="E3806">
        <f>IF(DATOS!$I3806="","",IFERROR(VLOOKUP(DATOS!$I3806,CONFIG_ASIGNATURAS!$B$2:$J$61,9,FALSE()),""))</f>
      </c>
    </row>
    <row r="3807">
      <c r="E3807">
        <f>IF(DATOS!$I3807="","",IFERROR(VLOOKUP(DATOS!$I3807,CONFIG_ASIGNATURAS!$B$2:$J$61,9,FALSE()),""))</f>
      </c>
    </row>
    <row r="3808">
      <c r="E3808">
        <f>IF(DATOS!$I3808="","",IFERROR(VLOOKUP(DATOS!$I3808,CONFIG_ASIGNATURAS!$B$2:$J$61,9,FALSE()),""))</f>
      </c>
    </row>
    <row r="3809">
      <c r="E3809">
        <f>IF(DATOS!$I3809="","",IFERROR(VLOOKUP(DATOS!$I3809,CONFIG_ASIGNATURAS!$B$2:$J$61,9,FALSE()),""))</f>
      </c>
    </row>
    <row r="3810">
      <c r="E3810">
        <f>IF(DATOS!$I3810="","",IFERROR(VLOOKUP(DATOS!$I3810,CONFIG_ASIGNATURAS!$B$2:$J$61,9,FALSE()),""))</f>
      </c>
    </row>
    <row r="3811">
      <c r="E3811">
        <f>IF(DATOS!$I3811="","",IFERROR(VLOOKUP(DATOS!$I3811,CONFIG_ASIGNATURAS!$B$2:$J$61,9,FALSE()),""))</f>
      </c>
    </row>
    <row r="3812">
      <c r="E3812">
        <f>IF(DATOS!$I3812="","",IFERROR(VLOOKUP(DATOS!$I3812,CONFIG_ASIGNATURAS!$B$2:$J$61,9,FALSE()),""))</f>
      </c>
    </row>
    <row r="3813">
      <c r="E3813">
        <f>IF(DATOS!$I3813="","",IFERROR(VLOOKUP(DATOS!$I3813,CONFIG_ASIGNATURAS!$B$2:$J$61,9,FALSE()),""))</f>
      </c>
    </row>
    <row r="3814">
      <c r="E3814">
        <f>IF(DATOS!$I3814="","",IFERROR(VLOOKUP(DATOS!$I3814,CONFIG_ASIGNATURAS!$B$2:$J$61,9,FALSE()),""))</f>
      </c>
    </row>
    <row r="3815">
      <c r="E3815">
        <f>IF(DATOS!$I3815="","",IFERROR(VLOOKUP(DATOS!$I3815,CONFIG_ASIGNATURAS!$B$2:$J$61,9,FALSE()),""))</f>
      </c>
    </row>
    <row r="3816">
      <c r="E3816">
        <f>IF(DATOS!$I3816="","",IFERROR(VLOOKUP(DATOS!$I3816,CONFIG_ASIGNATURAS!$B$2:$J$61,9,FALSE()),""))</f>
      </c>
    </row>
    <row r="3817">
      <c r="E3817">
        <f>IF(DATOS!$I3817="","",IFERROR(VLOOKUP(DATOS!$I3817,CONFIG_ASIGNATURAS!$B$2:$J$61,9,FALSE()),""))</f>
      </c>
    </row>
    <row r="3818">
      <c r="E3818">
        <f>IF(DATOS!$I3818="","",IFERROR(VLOOKUP(DATOS!$I3818,CONFIG_ASIGNATURAS!$B$2:$J$61,9,FALSE()),""))</f>
      </c>
    </row>
    <row r="3819">
      <c r="E3819">
        <f>IF(DATOS!$I3819="","",IFERROR(VLOOKUP(DATOS!$I3819,CONFIG_ASIGNATURAS!$B$2:$J$61,9,FALSE()),""))</f>
      </c>
    </row>
    <row r="3820">
      <c r="E3820">
        <f>IF(DATOS!$I3820="","",IFERROR(VLOOKUP(DATOS!$I3820,CONFIG_ASIGNATURAS!$B$2:$J$61,9,FALSE()),""))</f>
      </c>
    </row>
    <row r="3821">
      <c r="E3821">
        <f>IF(DATOS!$I3821="","",IFERROR(VLOOKUP(DATOS!$I3821,CONFIG_ASIGNATURAS!$B$2:$J$61,9,FALSE()),""))</f>
      </c>
    </row>
    <row r="3822">
      <c r="E3822">
        <f>IF(DATOS!$I3822="","",IFERROR(VLOOKUP(DATOS!$I3822,CONFIG_ASIGNATURAS!$B$2:$J$61,9,FALSE()),""))</f>
      </c>
    </row>
    <row r="3823">
      <c r="E3823">
        <f>IF(DATOS!$I3823="","",IFERROR(VLOOKUP(DATOS!$I3823,CONFIG_ASIGNATURAS!$B$2:$J$61,9,FALSE()),""))</f>
      </c>
    </row>
    <row r="3824">
      <c r="E3824">
        <f>IF(DATOS!$I3824="","",IFERROR(VLOOKUP(DATOS!$I3824,CONFIG_ASIGNATURAS!$B$2:$J$61,9,FALSE()),""))</f>
      </c>
    </row>
    <row r="3825">
      <c r="E3825">
        <f>IF(DATOS!$I3825="","",IFERROR(VLOOKUP(DATOS!$I3825,CONFIG_ASIGNATURAS!$B$2:$J$61,9,FALSE()),""))</f>
      </c>
    </row>
    <row r="3826">
      <c r="E3826">
        <f>IF(DATOS!$I3826="","",IFERROR(VLOOKUP(DATOS!$I3826,CONFIG_ASIGNATURAS!$B$2:$J$61,9,FALSE()),""))</f>
      </c>
    </row>
    <row r="3827">
      <c r="E3827">
        <f>IF(DATOS!$I3827="","",IFERROR(VLOOKUP(DATOS!$I3827,CONFIG_ASIGNATURAS!$B$2:$J$61,9,FALSE()),""))</f>
      </c>
    </row>
    <row r="3828">
      <c r="E3828">
        <f>IF(DATOS!$I3828="","",IFERROR(VLOOKUP(DATOS!$I3828,CONFIG_ASIGNATURAS!$B$2:$J$61,9,FALSE()),""))</f>
      </c>
    </row>
    <row r="3829">
      <c r="E3829">
        <f>IF(DATOS!$I3829="","",IFERROR(VLOOKUP(DATOS!$I3829,CONFIG_ASIGNATURAS!$B$2:$J$61,9,FALSE()),""))</f>
      </c>
    </row>
    <row r="3830">
      <c r="E3830">
        <f>IF(DATOS!$I3830="","",IFERROR(VLOOKUP(DATOS!$I3830,CONFIG_ASIGNATURAS!$B$2:$J$61,9,FALSE()),""))</f>
      </c>
    </row>
    <row r="3831">
      <c r="E3831">
        <f>IF(DATOS!$I3831="","",IFERROR(VLOOKUP(DATOS!$I3831,CONFIG_ASIGNATURAS!$B$2:$J$61,9,FALSE()),""))</f>
      </c>
    </row>
    <row r="3832">
      <c r="E3832">
        <f>IF(DATOS!$I3832="","",IFERROR(VLOOKUP(DATOS!$I3832,CONFIG_ASIGNATURAS!$B$2:$J$61,9,FALSE()),""))</f>
      </c>
    </row>
    <row r="3833">
      <c r="E3833">
        <f>IF(DATOS!$I3833="","",IFERROR(VLOOKUP(DATOS!$I3833,CONFIG_ASIGNATURAS!$B$2:$J$61,9,FALSE()),""))</f>
      </c>
    </row>
    <row r="3834">
      <c r="E3834">
        <f>IF(DATOS!$I3834="","",IFERROR(VLOOKUP(DATOS!$I3834,CONFIG_ASIGNATURAS!$B$2:$J$61,9,FALSE()),""))</f>
      </c>
    </row>
    <row r="3835">
      <c r="E3835">
        <f>IF(DATOS!$I3835="","",IFERROR(VLOOKUP(DATOS!$I3835,CONFIG_ASIGNATURAS!$B$2:$J$61,9,FALSE()),""))</f>
      </c>
    </row>
    <row r="3836">
      <c r="E3836">
        <f>IF(DATOS!$I3836="","",IFERROR(VLOOKUP(DATOS!$I3836,CONFIG_ASIGNATURAS!$B$2:$J$61,9,FALSE()),""))</f>
      </c>
    </row>
    <row r="3837">
      <c r="E3837">
        <f>IF(DATOS!$I3837="","",IFERROR(VLOOKUP(DATOS!$I3837,CONFIG_ASIGNATURAS!$B$2:$J$61,9,FALSE()),""))</f>
      </c>
    </row>
    <row r="3838">
      <c r="E3838">
        <f>IF(DATOS!$I3838="","",IFERROR(VLOOKUP(DATOS!$I3838,CONFIG_ASIGNATURAS!$B$2:$J$61,9,FALSE()),""))</f>
      </c>
    </row>
    <row r="3839">
      <c r="E3839">
        <f>IF(DATOS!$I3839="","",IFERROR(VLOOKUP(DATOS!$I3839,CONFIG_ASIGNATURAS!$B$2:$J$61,9,FALSE()),""))</f>
      </c>
    </row>
    <row r="3840">
      <c r="E3840">
        <f>IF(DATOS!$I3840="","",IFERROR(VLOOKUP(DATOS!$I3840,CONFIG_ASIGNATURAS!$B$2:$J$61,9,FALSE()),""))</f>
      </c>
    </row>
    <row r="3841">
      <c r="E3841">
        <f>IF(DATOS!$I3841="","",IFERROR(VLOOKUP(DATOS!$I3841,CONFIG_ASIGNATURAS!$B$2:$J$61,9,FALSE()),""))</f>
      </c>
    </row>
    <row r="3842">
      <c r="E3842">
        <f>IF(DATOS!$I3842="","",IFERROR(VLOOKUP(DATOS!$I3842,CONFIG_ASIGNATURAS!$B$2:$J$61,9,FALSE()),""))</f>
      </c>
    </row>
    <row r="3843">
      <c r="E3843">
        <f>IF(DATOS!$I3843="","",IFERROR(VLOOKUP(DATOS!$I3843,CONFIG_ASIGNATURAS!$B$2:$J$61,9,FALSE()),""))</f>
      </c>
    </row>
    <row r="3844">
      <c r="E3844">
        <f>IF(DATOS!$I3844="","",IFERROR(VLOOKUP(DATOS!$I3844,CONFIG_ASIGNATURAS!$B$2:$J$61,9,FALSE()),""))</f>
      </c>
    </row>
    <row r="3845">
      <c r="E3845">
        <f>IF(DATOS!$I3845="","",IFERROR(VLOOKUP(DATOS!$I3845,CONFIG_ASIGNATURAS!$B$2:$J$61,9,FALSE()),""))</f>
      </c>
    </row>
    <row r="3846">
      <c r="E3846">
        <f>IF(DATOS!$I3846="","",IFERROR(VLOOKUP(DATOS!$I3846,CONFIG_ASIGNATURAS!$B$2:$J$61,9,FALSE()),""))</f>
      </c>
    </row>
    <row r="3847">
      <c r="E3847">
        <f>IF(DATOS!$I3847="","",IFERROR(VLOOKUP(DATOS!$I3847,CONFIG_ASIGNATURAS!$B$2:$J$61,9,FALSE()),""))</f>
      </c>
    </row>
    <row r="3848">
      <c r="E3848">
        <f>IF(DATOS!$I3848="","",IFERROR(VLOOKUP(DATOS!$I3848,CONFIG_ASIGNATURAS!$B$2:$J$61,9,FALSE()),""))</f>
      </c>
    </row>
    <row r="3849">
      <c r="E3849">
        <f>IF(DATOS!$I3849="","",IFERROR(VLOOKUP(DATOS!$I3849,CONFIG_ASIGNATURAS!$B$2:$J$61,9,FALSE()),""))</f>
      </c>
    </row>
    <row r="3850">
      <c r="E3850">
        <f>IF(DATOS!$I3850="","",IFERROR(VLOOKUP(DATOS!$I3850,CONFIG_ASIGNATURAS!$B$2:$J$61,9,FALSE()),""))</f>
      </c>
    </row>
    <row r="3851">
      <c r="E3851">
        <f>IF(DATOS!$I3851="","",IFERROR(VLOOKUP(DATOS!$I3851,CONFIG_ASIGNATURAS!$B$2:$J$61,9,FALSE()),""))</f>
      </c>
    </row>
    <row r="3852">
      <c r="E3852">
        <f>IF(DATOS!$I3852="","",IFERROR(VLOOKUP(DATOS!$I3852,CONFIG_ASIGNATURAS!$B$2:$J$61,9,FALSE()),""))</f>
      </c>
    </row>
    <row r="3853">
      <c r="E3853">
        <f>IF(DATOS!$I3853="","",IFERROR(VLOOKUP(DATOS!$I3853,CONFIG_ASIGNATURAS!$B$2:$J$61,9,FALSE()),""))</f>
      </c>
    </row>
    <row r="3854">
      <c r="E3854">
        <f>IF(DATOS!$I3854="","",IFERROR(VLOOKUP(DATOS!$I3854,CONFIG_ASIGNATURAS!$B$2:$J$61,9,FALSE()),""))</f>
      </c>
    </row>
    <row r="3855">
      <c r="E3855">
        <f>IF(DATOS!$I3855="","",IFERROR(VLOOKUP(DATOS!$I3855,CONFIG_ASIGNATURAS!$B$2:$J$61,9,FALSE()),""))</f>
      </c>
    </row>
    <row r="3856">
      <c r="E3856">
        <f>IF(DATOS!$I3856="","",IFERROR(VLOOKUP(DATOS!$I3856,CONFIG_ASIGNATURAS!$B$2:$J$61,9,FALSE()),""))</f>
      </c>
    </row>
    <row r="3857">
      <c r="E3857">
        <f>IF(DATOS!$I3857="","",IFERROR(VLOOKUP(DATOS!$I3857,CONFIG_ASIGNATURAS!$B$2:$J$61,9,FALSE()),""))</f>
      </c>
    </row>
    <row r="3858">
      <c r="E3858">
        <f>IF(DATOS!$I3858="","",IFERROR(VLOOKUP(DATOS!$I3858,CONFIG_ASIGNATURAS!$B$2:$J$61,9,FALSE()),""))</f>
      </c>
    </row>
    <row r="3859">
      <c r="E3859">
        <f>IF(DATOS!$I3859="","",IFERROR(VLOOKUP(DATOS!$I3859,CONFIG_ASIGNATURAS!$B$2:$J$61,9,FALSE()),""))</f>
      </c>
    </row>
    <row r="3860">
      <c r="E3860">
        <f>IF(DATOS!$I3860="","",IFERROR(VLOOKUP(DATOS!$I3860,CONFIG_ASIGNATURAS!$B$2:$J$61,9,FALSE()),""))</f>
      </c>
    </row>
    <row r="3861">
      <c r="E3861">
        <f>IF(DATOS!$I3861="","",IFERROR(VLOOKUP(DATOS!$I3861,CONFIG_ASIGNATURAS!$B$2:$J$61,9,FALSE()),""))</f>
      </c>
    </row>
    <row r="3862">
      <c r="E3862">
        <f>IF(DATOS!$I3862="","",IFERROR(VLOOKUP(DATOS!$I3862,CONFIG_ASIGNATURAS!$B$2:$J$61,9,FALSE()),""))</f>
      </c>
    </row>
    <row r="3863">
      <c r="E3863">
        <f>IF(DATOS!$I3863="","",IFERROR(VLOOKUP(DATOS!$I3863,CONFIG_ASIGNATURAS!$B$2:$J$61,9,FALSE()),""))</f>
      </c>
    </row>
    <row r="3864">
      <c r="E3864">
        <f>IF(DATOS!$I3864="","",IFERROR(VLOOKUP(DATOS!$I3864,CONFIG_ASIGNATURAS!$B$2:$J$61,9,FALSE()),""))</f>
      </c>
    </row>
    <row r="3865">
      <c r="E3865">
        <f>IF(DATOS!$I3865="","",IFERROR(VLOOKUP(DATOS!$I3865,CONFIG_ASIGNATURAS!$B$2:$J$61,9,FALSE()),""))</f>
      </c>
    </row>
    <row r="3866">
      <c r="E3866">
        <f>IF(DATOS!$I3866="","",IFERROR(VLOOKUP(DATOS!$I3866,CONFIG_ASIGNATURAS!$B$2:$J$61,9,FALSE()),""))</f>
      </c>
    </row>
    <row r="3867">
      <c r="E3867">
        <f>IF(DATOS!$I3867="","",IFERROR(VLOOKUP(DATOS!$I3867,CONFIG_ASIGNATURAS!$B$2:$J$61,9,FALSE()),""))</f>
      </c>
    </row>
    <row r="3868">
      <c r="E3868">
        <f>IF(DATOS!$I3868="","",IFERROR(VLOOKUP(DATOS!$I3868,CONFIG_ASIGNATURAS!$B$2:$J$61,9,FALSE()),""))</f>
      </c>
    </row>
    <row r="3869">
      <c r="E3869">
        <f>IF(DATOS!$I3869="","",IFERROR(VLOOKUP(DATOS!$I3869,CONFIG_ASIGNATURAS!$B$2:$J$61,9,FALSE()),""))</f>
      </c>
    </row>
    <row r="3870">
      <c r="E3870">
        <f>IF(DATOS!$I3870="","",IFERROR(VLOOKUP(DATOS!$I3870,CONFIG_ASIGNATURAS!$B$2:$J$61,9,FALSE()),""))</f>
      </c>
    </row>
    <row r="3871">
      <c r="E3871">
        <f>IF(DATOS!$I3871="","",IFERROR(VLOOKUP(DATOS!$I3871,CONFIG_ASIGNATURAS!$B$2:$J$61,9,FALSE()),""))</f>
      </c>
    </row>
    <row r="3872">
      <c r="E3872">
        <f>IF(DATOS!$I3872="","",IFERROR(VLOOKUP(DATOS!$I3872,CONFIG_ASIGNATURAS!$B$2:$J$61,9,FALSE()),""))</f>
      </c>
    </row>
    <row r="3873">
      <c r="E3873">
        <f>IF(DATOS!$I3873="","",IFERROR(VLOOKUP(DATOS!$I3873,CONFIG_ASIGNATURAS!$B$2:$J$61,9,FALSE()),""))</f>
      </c>
    </row>
    <row r="3874">
      <c r="E3874">
        <f>IF(DATOS!$I3874="","",IFERROR(VLOOKUP(DATOS!$I3874,CONFIG_ASIGNATURAS!$B$2:$J$61,9,FALSE()),""))</f>
      </c>
    </row>
    <row r="3875">
      <c r="E3875">
        <f>IF(DATOS!$I3875="","",IFERROR(VLOOKUP(DATOS!$I3875,CONFIG_ASIGNATURAS!$B$2:$J$61,9,FALSE()),""))</f>
      </c>
    </row>
    <row r="3876">
      <c r="E3876">
        <f>IF(DATOS!$I3876="","",IFERROR(VLOOKUP(DATOS!$I3876,CONFIG_ASIGNATURAS!$B$2:$J$61,9,FALSE()),""))</f>
      </c>
    </row>
    <row r="3877">
      <c r="E3877">
        <f>IF(DATOS!$I3877="","",IFERROR(VLOOKUP(DATOS!$I3877,CONFIG_ASIGNATURAS!$B$2:$J$61,9,FALSE()),""))</f>
      </c>
    </row>
    <row r="3878">
      <c r="E3878">
        <f>IF(DATOS!$I3878="","",IFERROR(VLOOKUP(DATOS!$I3878,CONFIG_ASIGNATURAS!$B$2:$J$61,9,FALSE()),""))</f>
      </c>
    </row>
    <row r="3879">
      <c r="E3879">
        <f>IF(DATOS!$I3879="","",IFERROR(VLOOKUP(DATOS!$I3879,CONFIG_ASIGNATURAS!$B$2:$J$61,9,FALSE()),""))</f>
      </c>
    </row>
    <row r="3880">
      <c r="E3880">
        <f>IF(DATOS!$I3880="","",IFERROR(VLOOKUP(DATOS!$I3880,CONFIG_ASIGNATURAS!$B$2:$J$61,9,FALSE()),""))</f>
      </c>
    </row>
    <row r="3881">
      <c r="E3881">
        <f>IF(DATOS!$I3881="","",IFERROR(VLOOKUP(DATOS!$I3881,CONFIG_ASIGNATURAS!$B$2:$J$61,9,FALSE()),""))</f>
      </c>
    </row>
    <row r="3882">
      <c r="E3882">
        <f>IF(DATOS!$I3882="","",IFERROR(VLOOKUP(DATOS!$I3882,CONFIG_ASIGNATURAS!$B$2:$J$61,9,FALSE()),""))</f>
      </c>
    </row>
    <row r="3883">
      <c r="E3883">
        <f>IF(DATOS!$I3883="","",IFERROR(VLOOKUP(DATOS!$I3883,CONFIG_ASIGNATURAS!$B$2:$J$61,9,FALSE()),""))</f>
      </c>
    </row>
    <row r="3884">
      <c r="E3884">
        <f>IF(DATOS!$I3884="","",IFERROR(VLOOKUP(DATOS!$I3884,CONFIG_ASIGNATURAS!$B$2:$J$61,9,FALSE()),""))</f>
      </c>
    </row>
    <row r="3885">
      <c r="E3885">
        <f>IF(DATOS!$I3885="","",IFERROR(VLOOKUP(DATOS!$I3885,CONFIG_ASIGNATURAS!$B$2:$J$61,9,FALSE()),""))</f>
      </c>
    </row>
    <row r="3886">
      <c r="E3886">
        <f>IF(DATOS!$I3886="","",IFERROR(VLOOKUP(DATOS!$I3886,CONFIG_ASIGNATURAS!$B$2:$J$61,9,FALSE()),""))</f>
      </c>
    </row>
    <row r="3887">
      <c r="E3887">
        <f>IF(DATOS!$I3887="","",IFERROR(VLOOKUP(DATOS!$I3887,CONFIG_ASIGNATURAS!$B$2:$J$61,9,FALSE()),""))</f>
      </c>
    </row>
    <row r="3888">
      <c r="E3888">
        <f>IF(DATOS!$I3888="","",IFERROR(VLOOKUP(DATOS!$I3888,CONFIG_ASIGNATURAS!$B$2:$J$61,9,FALSE()),""))</f>
      </c>
    </row>
    <row r="3889">
      <c r="E3889">
        <f>IF(DATOS!$I3889="","",IFERROR(VLOOKUP(DATOS!$I3889,CONFIG_ASIGNATURAS!$B$2:$J$61,9,FALSE()),""))</f>
      </c>
    </row>
    <row r="3890">
      <c r="E3890">
        <f>IF(DATOS!$I3890="","",IFERROR(VLOOKUP(DATOS!$I3890,CONFIG_ASIGNATURAS!$B$2:$J$61,9,FALSE()),""))</f>
      </c>
    </row>
    <row r="3891">
      <c r="E3891">
        <f>IF(DATOS!$I3891="","",IFERROR(VLOOKUP(DATOS!$I3891,CONFIG_ASIGNATURAS!$B$2:$J$61,9,FALSE()),""))</f>
      </c>
    </row>
    <row r="3892">
      <c r="E3892">
        <f>IF(DATOS!$I3892="","",IFERROR(VLOOKUP(DATOS!$I3892,CONFIG_ASIGNATURAS!$B$2:$J$61,9,FALSE()),""))</f>
      </c>
    </row>
    <row r="3893">
      <c r="E3893">
        <f>IF(DATOS!$I3893="","",IFERROR(VLOOKUP(DATOS!$I3893,CONFIG_ASIGNATURAS!$B$2:$J$61,9,FALSE()),""))</f>
      </c>
    </row>
    <row r="3894">
      <c r="E3894">
        <f>IF(DATOS!$I3894="","",IFERROR(VLOOKUP(DATOS!$I3894,CONFIG_ASIGNATURAS!$B$2:$J$61,9,FALSE()),""))</f>
      </c>
    </row>
    <row r="3895">
      <c r="E3895">
        <f>IF(DATOS!$I3895="","",IFERROR(VLOOKUP(DATOS!$I3895,CONFIG_ASIGNATURAS!$B$2:$J$61,9,FALSE()),""))</f>
      </c>
    </row>
    <row r="3896">
      <c r="E3896">
        <f>IF(DATOS!$I3896="","",IFERROR(VLOOKUP(DATOS!$I3896,CONFIG_ASIGNATURAS!$B$2:$J$61,9,FALSE()),""))</f>
      </c>
    </row>
    <row r="3897">
      <c r="E3897">
        <f>IF(DATOS!$I3897="","",IFERROR(VLOOKUP(DATOS!$I3897,CONFIG_ASIGNATURAS!$B$2:$J$61,9,FALSE()),""))</f>
      </c>
    </row>
    <row r="3898">
      <c r="E3898">
        <f>IF(DATOS!$I3898="","",IFERROR(VLOOKUP(DATOS!$I3898,CONFIG_ASIGNATURAS!$B$2:$J$61,9,FALSE()),""))</f>
      </c>
    </row>
    <row r="3899">
      <c r="E3899">
        <f>IF(DATOS!$I3899="","",IFERROR(VLOOKUP(DATOS!$I3899,CONFIG_ASIGNATURAS!$B$2:$J$61,9,FALSE()),""))</f>
      </c>
    </row>
    <row r="3900">
      <c r="E3900">
        <f>IF(DATOS!$I3900="","",IFERROR(VLOOKUP(DATOS!$I3900,CONFIG_ASIGNATURAS!$B$2:$J$61,9,FALSE()),""))</f>
      </c>
    </row>
    <row r="3901">
      <c r="E3901">
        <f>IF(DATOS!$I3901="","",IFERROR(VLOOKUP(DATOS!$I3901,CONFIG_ASIGNATURAS!$B$2:$J$61,9,FALSE()),""))</f>
      </c>
    </row>
    <row r="3902">
      <c r="E3902">
        <f>IF(DATOS!$I3902="","",IFERROR(VLOOKUP(DATOS!$I3902,CONFIG_ASIGNATURAS!$B$2:$J$61,9,FALSE()),""))</f>
      </c>
    </row>
    <row r="3903">
      <c r="E3903">
        <f>IF(DATOS!$I3903="","",IFERROR(VLOOKUP(DATOS!$I3903,CONFIG_ASIGNATURAS!$B$2:$J$61,9,FALSE()),""))</f>
      </c>
    </row>
    <row r="3904">
      <c r="E3904">
        <f>IF(DATOS!$I3904="","",IFERROR(VLOOKUP(DATOS!$I3904,CONFIG_ASIGNATURAS!$B$2:$J$61,9,FALSE()),""))</f>
      </c>
    </row>
    <row r="3905">
      <c r="E3905">
        <f>IF(DATOS!$I3905="","",IFERROR(VLOOKUP(DATOS!$I3905,CONFIG_ASIGNATURAS!$B$2:$J$61,9,FALSE()),""))</f>
      </c>
    </row>
    <row r="3906">
      <c r="E3906">
        <f>IF(DATOS!$I3906="","",IFERROR(VLOOKUP(DATOS!$I3906,CONFIG_ASIGNATURAS!$B$2:$J$61,9,FALSE()),""))</f>
      </c>
    </row>
    <row r="3907">
      <c r="E3907">
        <f>IF(DATOS!$I3907="","",IFERROR(VLOOKUP(DATOS!$I3907,CONFIG_ASIGNATURAS!$B$2:$J$61,9,FALSE()),""))</f>
      </c>
    </row>
    <row r="3908">
      <c r="E3908">
        <f>IF(DATOS!$I3908="","",IFERROR(VLOOKUP(DATOS!$I3908,CONFIG_ASIGNATURAS!$B$2:$J$61,9,FALSE()),""))</f>
      </c>
    </row>
    <row r="3909">
      <c r="E3909">
        <f>IF(DATOS!$I3909="","",IFERROR(VLOOKUP(DATOS!$I3909,CONFIG_ASIGNATURAS!$B$2:$J$61,9,FALSE()),""))</f>
      </c>
    </row>
    <row r="3910">
      <c r="E3910">
        <f>IF(DATOS!$I3910="","",IFERROR(VLOOKUP(DATOS!$I3910,CONFIG_ASIGNATURAS!$B$2:$J$61,9,FALSE()),""))</f>
      </c>
    </row>
    <row r="3911">
      <c r="E3911">
        <f>IF(DATOS!$I3911="","",IFERROR(VLOOKUP(DATOS!$I3911,CONFIG_ASIGNATURAS!$B$2:$J$61,9,FALSE()),""))</f>
      </c>
    </row>
    <row r="3912">
      <c r="E3912">
        <f>IF(DATOS!$I3912="","",IFERROR(VLOOKUP(DATOS!$I3912,CONFIG_ASIGNATURAS!$B$2:$J$61,9,FALSE()),""))</f>
      </c>
    </row>
    <row r="3913">
      <c r="E3913">
        <f>IF(DATOS!$I3913="","",IFERROR(VLOOKUP(DATOS!$I3913,CONFIG_ASIGNATURAS!$B$2:$J$61,9,FALSE()),""))</f>
      </c>
    </row>
    <row r="3914">
      <c r="E3914">
        <f>IF(DATOS!$I3914="","",IFERROR(VLOOKUP(DATOS!$I3914,CONFIG_ASIGNATURAS!$B$2:$J$61,9,FALSE()),""))</f>
      </c>
    </row>
    <row r="3915">
      <c r="E3915">
        <f>IF(DATOS!$I3915="","",IFERROR(VLOOKUP(DATOS!$I3915,CONFIG_ASIGNATURAS!$B$2:$J$61,9,FALSE()),""))</f>
      </c>
    </row>
    <row r="3916">
      <c r="E3916">
        <f>IF(DATOS!$I3916="","",IFERROR(VLOOKUP(DATOS!$I3916,CONFIG_ASIGNATURAS!$B$2:$J$61,9,FALSE()),""))</f>
      </c>
    </row>
    <row r="3917">
      <c r="E3917">
        <f>IF(DATOS!$I3917="","",IFERROR(VLOOKUP(DATOS!$I3917,CONFIG_ASIGNATURAS!$B$2:$J$61,9,FALSE()),""))</f>
      </c>
    </row>
    <row r="3918">
      <c r="E3918">
        <f>IF(DATOS!$I3918="","",IFERROR(VLOOKUP(DATOS!$I3918,CONFIG_ASIGNATURAS!$B$2:$J$61,9,FALSE()),""))</f>
      </c>
    </row>
    <row r="3919">
      <c r="E3919">
        <f>IF(DATOS!$I3919="","",IFERROR(VLOOKUP(DATOS!$I3919,CONFIG_ASIGNATURAS!$B$2:$J$61,9,FALSE()),""))</f>
      </c>
    </row>
    <row r="3920">
      <c r="E3920">
        <f>IF(DATOS!$I3920="","",IFERROR(VLOOKUP(DATOS!$I3920,CONFIG_ASIGNATURAS!$B$2:$J$61,9,FALSE()),""))</f>
      </c>
    </row>
    <row r="3921">
      <c r="E3921">
        <f>IF(DATOS!$I3921="","",IFERROR(VLOOKUP(DATOS!$I3921,CONFIG_ASIGNATURAS!$B$2:$J$61,9,FALSE()),""))</f>
      </c>
    </row>
    <row r="3922">
      <c r="E3922">
        <f>IF(DATOS!$I3922="","",IFERROR(VLOOKUP(DATOS!$I3922,CONFIG_ASIGNATURAS!$B$2:$J$61,9,FALSE()),""))</f>
      </c>
    </row>
    <row r="3923">
      <c r="E3923">
        <f>IF(DATOS!$I3923="","",IFERROR(VLOOKUP(DATOS!$I3923,CONFIG_ASIGNATURAS!$B$2:$J$61,9,FALSE()),""))</f>
      </c>
    </row>
    <row r="3924">
      <c r="E3924">
        <f>IF(DATOS!$I3924="","",IFERROR(VLOOKUP(DATOS!$I3924,CONFIG_ASIGNATURAS!$B$2:$J$61,9,FALSE()),""))</f>
      </c>
    </row>
    <row r="3925">
      <c r="E3925">
        <f>IF(DATOS!$I3925="","",IFERROR(VLOOKUP(DATOS!$I3925,CONFIG_ASIGNATURAS!$B$2:$J$61,9,FALSE()),""))</f>
      </c>
    </row>
    <row r="3926">
      <c r="E3926">
        <f>IF(DATOS!$I3926="","",IFERROR(VLOOKUP(DATOS!$I3926,CONFIG_ASIGNATURAS!$B$2:$J$61,9,FALSE()),""))</f>
      </c>
    </row>
    <row r="3927">
      <c r="E3927">
        <f>IF(DATOS!$I3927="","",IFERROR(VLOOKUP(DATOS!$I3927,CONFIG_ASIGNATURAS!$B$2:$J$61,9,FALSE()),""))</f>
      </c>
    </row>
    <row r="3928">
      <c r="E3928">
        <f>IF(DATOS!$I3928="","",IFERROR(VLOOKUP(DATOS!$I3928,CONFIG_ASIGNATURAS!$B$2:$J$61,9,FALSE()),""))</f>
      </c>
    </row>
    <row r="3929">
      <c r="E3929">
        <f>IF(DATOS!$I3929="","",IFERROR(VLOOKUP(DATOS!$I3929,CONFIG_ASIGNATURAS!$B$2:$J$61,9,FALSE()),""))</f>
      </c>
    </row>
    <row r="3930">
      <c r="E3930">
        <f>IF(DATOS!$I3930="","",IFERROR(VLOOKUP(DATOS!$I3930,CONFIG_ASIGNATURAS!$B$2:$J$61,9,FALSE()),""))</f>
      </c>
    </row>
    <row r="3931">
      <c r="E3931">
        <f>IF(DATOS!$I3931="","",IFERROR(VLOOKUP(DATOS!$I3931,CONFIG_ASIGNATURAS!$B$2:$J$61,9,FALSE()),""))</f>
      </c>
    </row>
    <row r="3932">
      <c r="E3932">
        <f>IF(DATOS!$I3932="","",IFERROR(VLOOKUP(DATOS!$I3932,CONFIG_ASIGNATURAS!$B$2:$J$61,9,FALSE()),""))</f>
      </c>
    </row>
    <row r="3933">
      <c r="E3933">
        <f>IF(DATOS!$I3933="","",IFERROR(VLOOKUP(DATOS!$I3933,CONFIG_ASIGNATURAS!$B$2:$J$61,9,FALSE()),""))</f>
      </c>
    </row>
    <row r="3934">
      <c r="E3934">
        <f>IF(DATOS!$I3934="","",IFERROR(VLOOKUP(DATOS!$I3934,CONFIG_ASIGNATURAS!$B$2:$J$61,9,FALSE()),""))</f>
      </c>
    </row>
    <row r="3935">
      <c r="E3935">
        <f>IF(DATOS!$I3935="","",IFERROR(VLOOKUP(DATOS!$I3935,CONFIG_ASIGNATURAS!$B$2:$J$61,9,FALSE()),""))</f>
      </c>
    </row>
    <row r="3936">
      <c r="E3936">
        <f>IF(DATOS!$I3936="","",IFERROR(VLOOKUP(DATOS!$I3936,CONFIG_ASIGNATURAS!$B$2:$J$61,9,FALSE()),""))</f>
      </c>
    </row>
    <row r="3937">
      <c r="E3937">
        <f>IF(DATOS!$I3937="","",IFERROR(VLOOKUP(DATOS!$I3937,CONFIG_ASIGNATURAS!$B$2:$J$61,9,FALSE()),""))</f>
      </c>
    </row>
    <row r="3938">
      <c r="E3938">
        <f>IF(DATOS!$I3938="","",IFERROR(VLOOKUP(DATOS!$I3938,CONFIG_ASIGNATURAS!$B$2:$J$61,9,FALSE()),""))</f>
      </c>
    </row>
    <row r="3939">
      <c r="E3939">
        <f>IF(DATOS!$I3939="","",IFERROR(VLOOKUP(DATOS!$I3939,CONFIG_ASIGNATURAS!$B$2:$J$61,9,FALSE()),""))</f>
      </c>
    </row>
    <row r="3940">
      <c r="E3940">
        <f>IF(DATOS!$I3940="","",IFERROR(VLOOKUP(DATOS!$I3940,CONFIG_ASIGNATURAS!$B$2:$J$61,9,FALSE()),""))</f>
      </c>
    </row>
    <row r="3941">
      <c r="E3941">
        <f>IF(DATOS!$I3941="","",IFERROR(VLOOKUP(DATOS!$I3941,CONFIG_ASIGNATURAS!$B$2:$J$61,9,FALSE()),""))</f>
      </c>
    </row>
    <row r="3942">
      <c r="E3942">
        <f>IF(DATOS!$I3942="","",IFERROR(VLOOKUP(DATOS!$I3942,CONFIG_ASIGNATURAS!$B$2:$J$61,9,FALSE()),""))</f>
      </c>
    </row>
    <row r="3943">
      <c r="E3943">
        <f>IF(DATOS!$I3943="","",IFERROR(VLOOKUP(DATOS!$I3943,CONFIG_ASIGNATURAS!$B$2:$J$61,9,FALSE()),""))</f>
      </c>
    </row>
    <row r="3944">
      <c r="E3944">
        <f>IF(DATOS!$I3944="","",IFERROR(VLOOKUP(DATOS!$I3944,CONFIG_ASIGNATURAS!$B$2:$J$61,9,FALSE()),""))</f>
      </c>
    </row>
    <row r="3945">
      <c r="E3945">
        <f>IF(DATOS!$I3945="","",IFERROR(VLOOKUP(DATOS!$I3945,CONFIG_ASIGNATURAS!$B$2:$J$61,9,FALSE()),""))</f>
      </c>
    </row>
    <row r="3946">
      <c r="E3946">
        <f>IF(DATOS!$I3946="","",IFERROR(VLOOKUP(DATOS!$I3946,CONFIG_ASIGNATURAS!$B$2:$J$61,9,FALSE()),""))</f>
      </c>
    </row>
    <row r="3947">
      <c r="E3947">
        <f>IF(DATOS!$I3947="","",IFERROR(VLOOKUP(DATOS!$I3947,CONFIG_ASIGNATURAS!$B$2:$J$61,9,FALSE()),""))</f>
      </c>
    </row>
    <row r="3948">
      <c r="E3948">
        <f>IF(DATOS!$I3948="","",IFERROR(VLOOKUP(DATOS!$I3948,CONFIG_ASIGNATURAS!$B$2:$J$61,9,FALSE()),""))</f>
      </c>
    </row>
    <row r="3949">
      <c r="E3949">
        <f>IF(DATOS!$I3949="","",IFERROR(VLOOKUP(DATOS!$I3949,CONFIG_ASIGNATURAS!$B$2:$J$61,9,FALSE()),""))</f>
      </c>
    </row>
    <row r="3950">
      <c r="E3950">
        <f>IF(DATOS!$I3950="","",IFERROR(VLOOKUP(DATOS!$I3950,CONFIG_ASIGNATURAS!$B$2:$J$61,9,FALSE()),""))</f>
      </c>
    </row>
    <row r="3951">
      <c r="E3951">
        <f>IF(DATOS!$I3951="","",IFERROR(VLOOKUP(DATOS!$I3951,CONFIG_ASIGNATURAS!$B$2:$J$61,9,FALSE()),""))</f>
      </c>
    </row>
    <row r="3952">
      <c r="E3952">
        <f>IF(DATOS!$I3952="","",IFERROR(VLOOKUP(DATOS!$I3952,CONFIG_ASIGNATURAS!$B$2:$J$61,9,FALSE()),""))</f>
      </c>
    </row>
    <row r="3953">
      <c r="E3953">
        <f>IF(DATOS!$I3953="","",IFERROR(VLOOKUP(DATOS!$I3953,CONFIG_ASIGNATURAS!$B$2:$J$61,9,FALSE()),""))</f>
      </c>
    </row>
    <row r="3954">
      <c r="E3954">
        <f>IF(DATOS!$I3954="","",IFERROR(VLOOKUP(DATOS!$I3954,CONFIG_ASIGNATURAS!$B$2:$J$61,9,FALSE()),""))</f>
      </c>
    </row>
    <row r="3955">
      <c r="E3955">
        <f>IF(DATOS!$I3955="","",IFERROR(VLOOKUP(DATOS!$I3955,CONFIG_ASIGNATURAS!$B$2:$J$61,9,FALSE()),""))</f>
      </c>
    </row>
    <row r="3956">
      <c r="E3956">
        <f>IF(DATOS!$I3956="","",IFERROR(VLOOKUP(DATOS!$I3956,CONFIG_ASIGNATURAS!$B$2:$J$61,9,FALSE()),""))</f>
      </c>
    </row>
    <row r="3957">
      <c r="E3957">
        <f>IF(DATOS!$I3957="","",IFERROR(VLOOKUP(DATOS!$I3957,CONFIG_ASIGNATURAS!$B$2:$J$61,9,FALSE()),""))</f>
      </c>
    </row>
    <row r="3958">
      <c r="E3958">
        <f>IF(DATOS!$I3958="","",IFERROR(VLOOKUP(DATOS!$I3958,CONFIG_ASIGNATURAS!$B$2:$J$61,9,FALSE()),""))</f>
      </c>
    </row>
    <row r="3959">
      <c r="E3959">
        <f>IF(DATOS!$I3959="","",IFERROR(VLOOKUP(DATOS!$I3959,CONFIG_ASIGNATURAS!$B$2:$J$61,9,FALSE()),""))</f>
      </c>
    </row>
    <row r="3960">
      <c r="E3960">
        <f>IF(DATOS!$I3960="","",IFERROR(VLOOKUP(DATOS!$I3960,CONFIG_ASIGNATURAS!$B$2:$J$61,9,FALSE()),""))</f>
      </c>
    </row>
    <row r="3961">
      <c r="E3961">
        <f>IF(DATOS!$I3961="","",IFERROR(VLOOKUP(DATOS!$I3961,CONFIG_ASIGNATURAS!$B$2:$J$61,9,FALSE()),""))</f>
      </c>
    </row>
    <row r="3962">
      <c r="E3962">
        <f>IF(DATOS!$I3962="","",IFERROR(VLOOKUP(DATOS!$I3962,CONFIG_ASIGNATURAS!$B$2:$J$61,9,FALSE()),""))</f>
      </c>
    </row>
    <row r="3963">
      <c r="E3963">
        <f>IF(DATOS!$I3963="","",IFERROR(VLOOKUP(DATOS!$I3963,CONFIG_ASIGNATURAS!$B$2:$J$61,9,FALSE()),""))</f>
      </c>
    </row>
    <row r="3964">
      <c r="E3964">
        <f>IF(DATOS!$I3964="","",IFERROR(VLOOKUP(DATOS!$I3964,CONFIG_ASIGNATURAS!$B$2:$J$61,9,FALSE()),""))</f>
      </c>
    </row>
    <row r="3965">
      <c r="E3965">
        <f>IF(DATOS!$I3965="","",IFERROR(VLOOKUP(DATOS!$I3965,CONFIG_ASIGNATURAS!$B$2:$J$61,9,FALSE()),""))</f>
      </c>
    </row>
    <row r="3966">
      <c r="E3966">
        <f>IF(DATOS!$I3966="","",IFERROR(VLOOKUP(DATOS!$I3966,CONFIG_ASIGNATURAS!$B$2:$J$61,9,FALSE()),""))</f>
      </c>
    </row>
    <row r="3967">
      <c r="E3967">
        <f>IF(DATOS!$I3967="","",IFERROR(VLOOKUP(DATOS!$I3967,CONFIG_ASIGNATURAS!$B$2:$J$61,9,FALSE()),""))</f>
      </c>
    </row>
    <row r="3968">
      <c r="E3968">
        <f>IF(DATOS!$I3968="","",IFERROR(VLOOKUP(DATOS!$I3968,CONFIG_ASIGNATURAS!$B$2:$J$61,9,FALSE()),""))</f>
      </c>
    </row>
    <row r="3969">
      <c r="E3969">
        <f>IF(DATOS!$I3969="","",IFERROR(VLOOKUP(DATOS!$I3969,CONFIG_ASIGNATURAS!$B$2:$J$61,9,FALSE()),""))</f>
      </c>
    </row>
    <row r="3970">
      <c r="E3970">
        <f>IF(DATOS!$I3970="","",IFERROR(VLOOKUP(DATOS!$I3970,CONFIG_ASIGNATURAS!$B$2:$J$61,9,FALSE()),""))</f>
      </c>
    </row>
    <row r="3971">
      <c r="E3971">
        <f>IF(DATOS!$I3971="","",IFERROR(VLOOKUP(DATOS!$I3971,CONFIG_ASIGNATURAS!$B$2:$J$61,9,FALSE()),""))</f>
      </c>
    </row>
    <row r="3972">
      <c r="E3972">
        <f>IF(DATOS!$I3972="","",IFERROR(VLOOKUP(DATOS!$I3972,CONFIG_ASIGNATURAS!$B$2:$J$61,9,FALSE()),""))</f>
      </c>
    </row>
    <row r="3973">
      <c r="E3973">
        <f>IF(DATOS!$I3973="","",IFERROR(VLOOKUP(DATOS!$I3973,CONFIG_ASIGNATURAS!$B$2:$J$61,9,FALSE()),""))</f>
      </c>
    </row>
    <row r="3974">
      <c r="E3974">
        <f>IF(DATOS!$I3974="","",IFERROR(VLOOKUP(DATOS!$I3974,CONFIG_ASIGNATURAS!$B$2:$J$61,9,FALSE()),""))</f>
      </c>
    </row>
    <row r="3975">
      <c r="E3975">
        <f>IF(DATOS!$I3975="","",IFERROR(VLOOKUP(DATOS!$I3975,CONFIG_ASIGNATURAS!$B$2:$J$61,9,FALSE()),""))</f>
      </c>
    </row>
    <row r="3976">
      <c r="E3976">
        <f>IF(DATOS!$I3976="","",IFERROR(VLOOKUP(DATOS!$I3976,CONFIG_ASIGNATURAS!$B$2:$J$61,9,FALSE()),""))</f>
      </c>
    </row>
    <row r="3977">
      <c r="E3977">
        <f>IF(DATOS!$I3977="","",IFERROR(VLOOKUP(DATOS!$I3977,CONFIG_ASIGNATURAS!$B$2:$J$61,9,FALSE()),""))</f>
      </c>
    </row>
    <row r="3978">
      <c r="E3978">
        <f>IF(DATOS!$I3978="","",IFERROR(VLOOKUP(DATOS!$I3978,CONFIG_ASIGNATURAS!$B$2:$J$61,9,FALSE()),""))</f>
      </c>
    </row>
    <row r="3979">
      <c r="E3979">
        <f>IF(DATOS!$I3979="","",IFERROR(VLOOKUP(DATOS!$I3979,CONFIG_ASIGNATURAS!$B$2:$J$61,9,FALSE()),""))</f>
      </c>
    </row>
    <row r="3980">
      <c r="E3980">
        <f>IF(DATOS!$I3980="","",IFERROR(VLOOKUP(DATOS!$I3980,CONFIG_ASIGNATURAS!$B$2:$J$61,9,FALSE()),""))</f>
      </c>
    </row>
    <row r="3981">
      <c r="E3981">
        <f>IF(DATOS!$I3981="","",IFERROR(VLOOKUP(DATOS!$I3981,CONFIG_ASIGNATURAS!$B$2:$J$61,9,FALSE()),""))</f>
      </c>
    </row>
    <row r="3982">
      <c r="E3982">
        <f>IF(DATOS!$I3982="","",IFERROR(VLOOKUP(DATOS!$I3982,CONFIG_ASIGNATURAS!$B$2:$J$61,9,FALSE()),""))</f>
      </c>
    </row>
    <row r="3983">
      <c r="E3983">
        <f>IF(DATOS!$I3983="","",IFERROR(VLOOKUP(DATOS!$I3983,CONFIG_ASIGNATURAS!$B$2:$J$61,9,FALSE()),""))</f>
      </c>
    </row>
    <row r="3984">
      <c r="E3984">
        <f>IF(DATOS!$I3984="","",IFERROR(VLOOKUP(DATOS!$I3984,CONFIG_ASIGNATURAS!$B$2:$J$61,9,FALSE()),""))</f>
      </c>
    </row>
    <row r="3985">
      <c r="E3985">
        <f>IF(DATOS!$I3985="","",IFERROR(VLOOKUP(DATOS!$I3985,CONFIG_ASIGNATURAS!$B$2:$J$61,9,FALSE()),""))</f>
      </c>
    </row>
    <row r="3986">
      <c r="E3986">
        <f>IF(DATOS!$I3986="","",IFERROR(VLOOKUP(DATOS!$I3986,CONFIG_ASIGNATURAS!$B$2:$J$61,9,FALSE()),""))</f>
      </c>
    </row>
    <row r="3987">
      <c r="E3987">
        <f>IF(DATOS!$I3987="","",IFERROR(VLOOKUP(DATOS!$I3987,CONFIG_ASIGNATURAS!$B$2:$J$61,9,FALSE()),""))</f>
      </c>
    </row>
    <row r="3988">
      <c r="E3988">
        <f>IF(DATOS!$I3988="","",IFERROR(VLOOKUP(DATOS!$I3988,CONFIG_ASIGNATURAS!$B$2:$J$61,9,FALSE()),""))</f>
      </c>
    </row>
    <row r="3989">
      <c r="E3989">
        <f>IF(DATOS!$I3989="","",IFERROR(VLOOKUP(DATOS!$I3989,CONFIG_ASIGNATURAS!$B$2:$J$61,9,FALSE()),""))</f>
      </c>
    </row>
    <row r="3990">
      <c r="E3990">
        <f>IF(DATOS!$I3990="","",IFERROR(VLOOKUP(DATOS!$I3990,CONFIG_ASIGNATURAS!$B$2:$J$61,9,FALSE()),""))</f>
      </c>
    </row>
    <row r="3991">
      <c r="E3991">
        <f>IF(DATOS!$I3991="","",IFERROR(VLOOKUP(DATOS!$I3991,CONFIG_ASIGNATURAS!$B$2:$J$61,9,FALSE()),""))</f>
      </c>
    </row>
    <row r="3992">
      <c r="E3992">
        <f>IF(DATOS!$I3992="","",IFERROR(VLOOKUP(DATOS!$I3992,CONFIG_ASIGNATURAS!$B$2:$J$61,9,FALSE()),""))</f>
      </c>
    </row>
    <row r="3993">
      <c r="E3993">
        <f>IF(DATOS!$I3993="","",IFERROR(VLOOKUP(DATOS!$I3993,CONFIG_ASIGNATURAS!$B$2:$J$61,9,FALSE()),""))</f>
      </c>
    </row>
    <row r="3994">
      <c r="E3994">
        <f>IF(DATOS!$I3994="","",IFERROR(VLOOKUP(DATOS!$I3994,CONFIG_ASIGNATURAS!$B$2:$J$61,9,FALSE()),""))</f>
      </c>
    </row>
    <row r="3995">
      <c r="E3995">
        <f>IF(DATOS!$I3995="","",IFERROR(VLOOKUP(DATOS!$I3995,CONFIG_ASIGNATURAS!$B$2:$J$61,9,FALSE()),""))</f>
      </c>
    </row>
    <row r="3996">
      <c r="E3996">
        <f>IF(DATOS!$I3996="","",IFERROR(VLOOKUP(DATOS!$I3996,CONFIG_ASIGNATURAS!$B$2:$J$61,9,FALSE()),""))</f>
      </c>
    </row>
    <row r="3997">
      <c r="E3997">
        <f>IF(DATOS!$I3997="","",IFERROR(VLOOKUP(DATOS!$I3997,CONFIG_ASIGNATURAS!$B$2:$J$61,9,FALSE()),""))</f>
      </c>
    </row>
    <row r="3998">
      <c r="E3998">
        <f>IF(DATOS!$I3998="","",IFERROR(VLOOKUP(DATOS!$I3998,CONFIG_ASIGNATURAS!$B$2:$J$61,9,FALSE()),""))</f>
      </c>
    </row>
    <row r="3999">
      <c r="E3999">
        <f>IF(DATOS!$I3999="","",IFERROR(VLOOKUP(DATOS!$I3999,CONFIG_ASIGNATURAS!$B$2:$J$61,9,FALSE()),""))</f>
      </c>
    </row>
    <row r="4000">
      <c r="E4000">
        <f>IF(DATOS!$I4000="","",IFERROR(VLOOKUP(DATOS!$I4000,CONFIG_ASIGNATURAS!$B$2:$J$61,9,FALSE()),""))</f>
      </c>
    </row>
    <row r="4001">
      <c r="E4001">
        <f>IF(DATOS!$I4001="","",IFERROR(VLOOKUP(DATOS!$I4001,CONFIG_ASIGNATURAS!$B$2:$J$61,9,FALSE()),""))</f>
      </c>
    </row>
    <row r="4002">
      <c r="E4002">
        <f>IF(DATOS!$I4002="","",IFERROR(VLOOKUP(DATOS!$I4002,CONFIG_ASIGNATURAS!$B$2:$J$61,9,FALSE()),""))</f>
      </c>
    </row>
    <row r="4003">
      <c r="E4003">
        <f>IF(DATOS!$I4003="","",IFERROR(VLOOKUP(DATOS!$I4003,CONFIG_ASIGNATURAS!$B$2:$J$61,9,FALSE()),""))</f>
      </c>
    </row>
    <row r="4004">
      <c r="E4004">
        <f>IF(DATOS!$I4004="","",IFERROR(VLOOKUP(DATOS!$I4004,CONFIG_ASIGNATURAS!$B$2:$J$61,9,FALSE()),""))</f>
      </c>
    </row>
    <row r="4005">
      <c r="E4005">
        <f>IF(DATOS!$I4005="","",IFERROR(VLOOKUP(DATOS!$I4005,CONFIG_ASIGNATURAS!$B$2:$J$61,9,FALSE()),""))</f>
      </c>
    </row>
    <row r="4006">
      <c r="E4006">
        <f>IF(DATOS!$I4006="","",IFERROR(VLOOKUP(DATOS!$I4006,CONFIG_ASIGNATURAS!$B$2:$J$61,9,FALSE()),""))</f>
      </c>
    </row>
    <row r="4007">
      <c r="E4007">
        <f>IF(DATOS!$I4007="","",IFERROR(VLOOKUP(DATOS!$I4007,CONFIG_ASIGNATURAS!$B$2:$J$61,9,FALSE()),""))</f>
      </c>
    </row>
    <row r="4008">
      <c r="E4008">
        <f>IF(DATOS!$I4008="","",IFERROR(VLOOKUP(DATOS!$I4008,CONFIG_ASIGNATURAS!$B$2:$J$61,9,FALSE()),""))</f>
      </c>
    </row>
    <row r="4009">
      <c r="E4009">
        <f>IF(DATOS!$I4009="","",IFERROR(VLOOKUP(DATOS!$I4009,CONFIG_ASIGNATURAS!$B$2:$J$61,9,FALSE()),""))</f>
      </c>
    </row>
    <row r="4010">
      <c r="E4010">
        <f>IF(DATOS!$I4010="","",IFERROR(VLOOKUP(DATOS!$I4010,CONFIG_ASIGNATURAS!$B$2:$J$61,9,FALSE()),""))</f>
      </c>
    </row>
    <row r="4011">
      <c r="E4011">
        <f>IF(DATOS!$I4011="","",IFERROR(VLOOKUP(DATOS!$I4011,CONFIG_ASIGNATURAS!$B$2:$J$61,9,FALSE()),""))</f>
      </c>
    </row>
    <row r="4012">
      <c r="E4012">
        <f>IF(DATOS!$I4012="","",IFERROR(VLOOKUP(DATOS!$I4012,CONFIG_ASIGNATURAS!$B$2:$J$61,9,FALSE()),""))</f>
      </c>
    </row>
    <row r="4013">
      <c r="E4013">
        <f>IF(DATOS!$I4013="","",IFERROR(VLOOKUP(DATOS!$I4013,CONFIG_ASIGNATURAS!$B$2:$J$61,9,FALSE()),""))</f>
      </c>
    </row>
    <row r="4014">
      <c r="E4014">
        <f>IF(DATOS!$I4014="","",IFERROR(VLOOKUP(DATOS!$I4014,CONFIG_ASIGNATURAS!$B$2:$J$61,9,FALSE()),""))</f>
      </c>
    </row>
    <row r="4015">
      <c r="E4015">
        <f>IF(DATOS!$I4015="","",IFERROR(VLOOKUP(DATOS!$I4015,CONFIG_ASIGNATURAS!$B$2:$J$61,9,FALSE()),""))</f>
      </c>
    </row>
    <row r="4016">
      <c r="E4016">
        <f>IF(DATOS!$I4016="","",IFERROR(VLOOKUP(DATOS!$I4016,CONFIG_ASIGNATURAS!$B$2:$J$61,9,FALSE()),""))</f>
      </c>
    </row>
    <row r="4017">
      <c r="E4017">
        <f>IF(DATOS!$I4017="","",IFERROR(VLOOKUP(DATOS!$I4017,CONFIG_ASIGNATURAS!$B$2:$J$61,9,FALSE()),""))</f>
      </c>
    </row>
    <row r="4018">
      <c r="E4018">
        <f>IF(DATOS!$I4018="","",IFERROR(VLOOKUP(DATOS!$I4018,CONFIG_ASIGNATURAS!$B$2:$J$61,9,FALSE()),""))</f>
      </c>
    </row>
    <row r="4019">
      <c r="E4019">
        <f>IF(DATOS!$I4019="","",IFERROR(VLOOKUP(DATOS!$I4019,CONFIG_ASIGNATURAS!$B$2:$J$61,9,FALSE()),""))</f>
      </c>
    </row>
    <row r="4020">
      <c r="E4020">
        <f>IF(DATOS!$I4020="","",IFERROR(VLOOKUP(DATOS!$I4020,CONFIG_ASIGNATURAS!$B$2:$J$61,9,FALSE()),""))</f>
      </c>
    </row>
    <row r="4021">
      <c r="E4021">
        <f>IF(DATOS!$I4021="","",IFERROR(VLOOKUP(DATOS!$I4021,CONFIG_ASIGNATURAS!$B$2:$J$61,9,FALSE()),""))</f>
      </c>
    </row>
    <row r="4022">
      <c r="E4022">
        <f>IF(DATOS!$I4022="","",IFERROR(VLOOKUP(DATOS!$I4022,CONFIG_ASIGNATURAS!$B$2:$J$61,9,FALSE()),""))</f>
      </c>
    </row>
    <row r="4023">
      <c r="E4023">
        <f>IF(DATOS!$I4023="","",IFERROR(VLOOKUP(DATOS!$I4023,CONFIG_ASIGNATURAS!$B$2:$J$61,9,FALSE()),""))</f>
      </c>
    </row>
    <row r="4024">
      <c r="E4024">
        <f>IF(DATOS!$I4024="","",IFERROR(VLOOKUP(DATOS!$I4024,CONFIG_ASIGNATURAS!$B$2:$J$61,9,FALSE()),""))</f>
      </c>
    </row>
    <row r="4025">
      <c r="E4025">
        <f>IF(DATOS!$I4025="","",IFERROR(VLOOKUP(DATOS!$I4025,CONFIG_ASIGNATURAS!$B$2:$J$61,9,FALSE()),""))</f>
      </c>
    </row>
    <row r="4026">
      <c r="E4026">
        <f>IF(DATOS!$I4026="","",IFERROR(VLOOKUP(DATOS!$I4026,CONFIG_ASIGNATURAS!$B$2:$J$61,9,FALSE()),""))</f>
      </c>
    </row>
    <row r="4027">
      <c r="E4027">
        <f>IF(DATOS!$I4027="","",IFERROR(VLOOKUP(DATOS!$I4027,CONFIG_ASIGNATURAS!$B$2:$J$61,9,FALSE()),""))</f>
      </c>
    </row>
    <row r="4028">
      <c r="E4028">
        <f>IF(DATOS!$I4028="","",IFERROR(VLOOKUP(DATOS!$I4028,CONFIG_ASIGNATURAS!$B$2:$J$61,9,FALSE()),""))</f>
      </c>
    </row>
    <row r="4029">
      <c r="E4029">
        <f>IF(DATOS!$I4029="","",IFERROR(VLOOKUP(DATOS!$I4029,CONFIG_ASIGNATURAS!$B$2:$J$61,9,FALSE()),""))</f>
      </c>
    </row>
    <row r="4030">
      <c r="E4030">
        <f>IF(DATOS!$I4030="","",IFERROR(VLOOKUP(DATOS!$I4030,CONFIG_ASIGNATURAS!$B$2:$J$61,9,FALSE()),""))</f>
      </c>
    </row>
    <row r="4031">
      <c r="E4031">
        <f>IF(DATOS!$I4031="","",IFERROR(VLOOKUP(DATOS!$I4031,CONFIG_ASIGNATURAS!$B$2:$J$61,9,FALSE()),""))</f>
      </c>
    </row>
    <row r="4032">
      <c r="E4032">
        <f>IF(DATOS!$I4032="","",IFERROR(VLOOKUP(DATOS!$I4032,CONFIG_ASIGNATURAS!$B$2:$J$61,9,FALSE()),""))</f>
      </c>
    </row>
    <row r="4033">
      <c r="E4033">
        <f>IF(DATOS!$I4033="","",IFERROR(VLOOKUP(DATOS!$I4033,CONFIG_ASIGNATURAS!$B$2:$J$61,9,FALSE()),""))</f>
      </c>
    </row>
    <row r="4034">
      <c r="E4034">
        <f>IF(DATOS!$I4034="","",IFERROR(VLOOKUP(DATOS!$I4034,CONFIG_ASIGNATURAS!$B$2:$J$61,9,FALSE()),""))</f>
      </c>
    </row>
    <row r="4035">
      <c r="E4035">
        <f>IF(DATOS!$I4035="","",IFERROR(VLOOKUP(DATOS!$I4035,CONFIG_ASIGNATURAS!$B$2:$J$61,9,FALSE()),""))</f>
      </c>
    </row>
    <row r="4036">
      <c r="E4036">
        <f>IF(DATOS!$I4036="","",IFERROR(VLOOKUP(DATOS!$I4036,CONFIG_ASIGNATURAS!$B$2:$J$61,9,FALSE()),""))</f>
      </c>
    </row>
    <row r="4037">
      <c r="E4037">
        <f>IF(DATOS!$I4037="","",IFERROR(VLOOKUP(DATOS!$I4037,CONFIG_ASIGNATURAS!$B$2:$J$61,9,FALSE()),""))</f>
      </c>
    </row>
    <row r="4038">
      <c r="E4038">
        <f>IF(DATOS!$I4038="","",IFERROR(VLOOKUP(DATOS!$I4038,CONFIG_ASIGNATURAS!$B$2:$J$61,9,FALSE()),""))</f>
      </c>
    </row>
    <row r="4039">
      <c r="E4039">
        <f>IF(DATOS!$I4039="","",IFERROR(VLOOKUP(DATOS!$I4039,CONFIG_ASIGNATURAS!$B$2:$J$61,9,FALSE()),""))</f>
      </c>
    </row>
    <row r="4040">
      <c r="E4040">
        <f>IF(DATOS!$I4040="","",IFERROR(VLOOKUP(DATOS!$I4040,CONFIG_ASIGNATURAS!$B$2:$J$61,9,FALSE()),""))</f>
      </c>
    </row>
    <row r="4041">
      <c r="E4041">
        <f>IF(DATOS!$I4041="","",IFERROR(VLOOKUP(DATOS!$I4041,CONFIG_ASIGNATURAS!$B$2:$J$61,9,FALSE()),""))</f>
      </c>
    </row>
    <row r="4042">
      <c r="E4042">
        <f>IF(DATOS!$I4042="","",IFERROR(VLOOKUP(DATOS!$I4042,CONFIG_ASIGNATURAS!$B$2:$J$61,9,FALSE()),""))</f>
      </c>
    </row>
    <row r="4043">
      <c r="E4043">
        <f>IF(DATOS!$I4043="","",IFERROR(VLOOKUP(DATOS!$I4043,CONFIG_ASIGNATURAS!$B$2:$J$61,9,FALSE()),""))</f>
      </c>
    </row>
    <row r="4044">
      <c r="E4044">
        <f>IF(DATOS!$I4044="","",IFERROR(VLOOKUP(DATOS!$I4044,CONFIG_ASIGNATURAS!$B$2:$J$61,9,FALSE()),""))</f>
      </c>
    </row>
    <row r="4045">
      <c r="E4045">
        <f>IF(DATOS!$I4045="","",IFERROR(VLOOKUP(DATOS!$I4045,CONFIG_ASIGNATURAS!$B$2:$J$61,9,FALSE()),""))</f>
      </c>
    </row>
    <row r="4046">
      <c r="E4046">
        <f>IF(DATOS!$I4046="","",IFERROR(VLOOKUP(DATOS!$I4046,CONFIG_ASIGNATURAS!$B$2:$J$61,9,FALSE()),""))</f>
      </c>
    </row>
    <row r="4047">
      <c r="E4047">
        <f>IF(DATOS!$I4047="","",IFERROR(VLOOKUP(DATOS!$I4047,CONFIG_ASIGNATURAS!$B$2:$J$61,9,FALSE()),""))</f>
      </c>
    </row>
    <row r="4048">
      <c r="E4048">
        <f>IF(DATOS!$I4048="","",IFERROR(VLOOKUP(DATOS!$I4048,CONFIG_ASIGNATURAS!$B$2:$J$61,9,FALSE()),""))</f>
      </c>
    </row>
    <row r="4049">
      <c r="E4049">
        <f>IF(DATOS!$I4049="","",IFERROR(VLOOKUP(DATOS!$I4049,CONFIG_ASIGNATURAS!$B$2:$J$61,9,FALSE()),""))</f>
      </c>
    </row>
    <row r="4050">
      <c r="E4050">
        <f>IF(DATOS!$I4050="","",IFERROR(VLOOKUP(DATOS!$I4050,CONFIG_ASIGNATURAS!$B$2:$J$61,9,FALSE()),""))</f>
      </c>
    </row>
    <row r="4051">
      <c r="E4051">
        <f>IF(DATOS!$I4051="","",IFERROR(VLOOKUP(DATOS!$I4051,CONFIG_ASIGNATURAS!$B$2:$J$61,9,FALSE()),""))</f>
      </c>
    </row>
    <row r="4052">
      <c r="E4052">
        <f>IF(DATOS!$I4052="","",IFERROR(VLOOKUP(DATOS!$I4052,CONFIG_ASIGNATURAS!$B$2:$J$61,9,FALSE()),""))</f>
      </c>
    </row>
    <row r="4053">
      <c r="E4053">
        <f>IF(DATOS!$I4053="","",IFERROR(VLOOKUP(DATOS!$I4053,CONFIG_ASIGNATURAS!$B$2:$J$61,9,FALSE()),""))</f>
      </c>
    </row>
    <row r="4054">
      <c r="E4054">
        <f>IF(DATOS!$I4054="","",IFERROR(VLOOKUP(DATOS!$I4054,CONFIG_ASIGNATURAS!$B$2:$J$61,9,FALSE()),""))</f>
      </c>
    </row>
    <row r="4055">
      <c r="E4055">
        <f>IF(DATOS!$I4055="","",IFERROR(VLOOKUP(DATOS!$I4055,CONFIG_ASIGNATURAS!$B$2:$J$61,9,FALSE()),""))</f>
      </c>
    </row>
    <row r="4056">
      <c r="E4056">
        <f>IF(DATOS!$I4056="","",IFERROR(VLOOKUP(DATOS!$I4056,CONFIG_ASIGNATURAS!$B$2:$J$61,9,FALSE()),""))</f>
      </c>
    </row>
    <row r="4057">
      <c r="E4057">
        <f>IF(DATOS!$I4057="","",IFERROR(VLOOKUP(DATOS!$I4057,CONFIG_ASIGNATURAS!$B$2:$J$61,9,FALSE()),""))</f>
      </c>
    </row>
    <row r="4058">
      <c r="E4058">
        <f>IF(DATOS!$I4058="","",IFERROR(VLOOKUP(DATOS!$I4058,CONFIG_ASIGNATURAS!$B$2:$J$61,9,FALSE()),""))</f>
      </c>
    </row>
    <row r="4059">
      <c r="E4059">
        <f>IF(DATOS!$I4059="","",IFERROR(VLOOKUP(DATOS!$I4059,CONFIG_ASIGNATURAS!$B$2:$J$61,9,FALSE()),""))</f>
      </c>
    </row>
    <row r="4060">
      <c r="E4060">
        <f>IF(DATOS!$I4060="","",IFERROR(VLOOKUP(DATOS!$I4060,CONFIG_ASIGNATURAS!$B$2:$J$61,9,FALSE()),""))</f>
      </c>
    </row>
    <row r="4061">
      <c r="E4061">
        <f>IF(DATOS!$I4061="","",IFERROR(VLOOKUP(DATOS!$I4061,CONFIG_ASIGNATURAS!$B$2:$J$61,9,FALSE()),""))</f>
      </c>
    </row>
    <row r="4062">
      <c r="E4062">
        <f>IF(DATOS!$I4062="","",IFERROR(VLOOKUP(DATOS!$I4062,CONFIG_ASIGNATURAS!$B$2:$J$61,9,FALSE()),""))</f>
      </c>
    </row>
    <row r="4063">
      <c r="E4063">
        <f>IF(DATOS!$I4063="","",IFERROR(VLOOKUP(DATOS!$I4063,CONFIG_ASIGNATURAS!$B$2:$J$61,9,FALSE()),""))</f>
      </c>
    </row>
    <row r="4064">
      <c r="E4064">
        <f>IF(DATOS!$I4064="","",IFERROR(VLOOKUP(DATOS!$I4064,CONFIG_ASIGNATURAS!$B$2:$J$61,9,FALSE()),""))</f>
      </c>
    </row>
    <row r="4065">
      <c r="E4065">
        <f>IF(DATOS!$I4065="","",IFERROR(VLOOKUP(DATOS!$I4065,CONFIG_ASIGNATURAS!$B$2:$J$61,9,FALSE()),""))</f>
      </c>
    </row>
    <row r="4066">
      <c r="E4066">
        <f>IF(DATOS!$I4066="","",IFERROR(VLOOKUP(DATOS!$I4066,CONFIG_ASIGNATURAS!$B$2:$J$61,9,FALSE()),""))</f>
      </c>
    </row>
    <row r="4067">
      <c r="E4067">
        <f>IF(DATOS!$I4067="","",IFERROR(VLOOKUP(DATOS!$I4067,CONFIG_ASIGNATURAS!$B$2:$J$61,9,FALSE()),""))</f>
      </c>
    </row>
    <row r="4068">
      <c r="E4068">
        <f>IF(DATOS!$I4068="","",IFERROR(VLOOKUP(DATOS!$I4068,CONFIG_ASIGNATURAS!$B$2:$J$61,9,FALSE()),""))</f>
      </c>
    </row>
    <row r="4069">
      <c r="E4069">
        <f>IF(DATOS!$I4069="","",IFERROR(VLOOKUP(DATOS!$I4069,CONFIG_ASIGNATURAS!$B$2:$J$61,9,FALSE()),""))</f>
      </c>
    </row>
    <row r="4070">
      <c r="E4070">
        <f>IF(DATOS!$I4070="","",IFERROR(VLOOKUP(DATOS!$I4070,CONFIG_ASIGNATURAS!$B$2:$J$61,9,FALSE()),""))</f>
      </c>
    </row>
    <row r="4071">
      <c r="E4071">
        <f>IF(DATOS!$I4071="","",IFERROR(VLOOKUP(DATOS!$I4071,CONFIG_ASIGNATURAS!$B$2:$J$61,9,FALSE()),""))</f>
      </c>
    </row>
    <row r="4072">
      <c r="E4072">
        <f>IF(DATOS!$I4072="","",IFERROR(VLOOKUP(DATOS!$I4072,CONFIG_ASIGNATURAS!$B$2:$J$61,9,FALSE()),""))</f>
      </c>
    </row>
    <row r="4073">
      <c r="E4073">
        <f>IF(DATOS!$I4073="","",IFERROR(VLOOKUP(DATOS!$I4073,CONFIG_ASIGNATURAS!$B$2:$J$61,9,FALSE()),""))</f>
      </c>
    </row>
    <row r="4074">
      <c r="E4074">
        <f>IF(DATOS!$I4074="","",IFERROR(VLOOKUP(DATOS!$I4074,CONFIG_ASIGNATURAS!$B$2:$J$61,9,FALSE()),""))</f>
      </c>
    </row>
    <row r="4075">
      <c r="E4075">
        <f>IF(DATOS!$I4075="","",IFERROR(VLOOKUP(DATOS!$I4075,CONFIG_ASIGNATURAS!$B$2:$J$61,9,FALSE()),""))</f>
      </c>
    </row>
    <row r="4076">
      <c r="E4076">
        <f>IF(DATOS!$I4076="","",IFERROR(VLOOKUP(DATOS!$I4076,CONFIG_ASIGNATURAS!$B$2:$J$61,9,FALSE()),""))</f>
      </c>
    </row>
    <row r="4077">
      <c r="E4077">
        <f>IF(DATOS!$I4077="","",IFERROR(VLOOKUP(DATOS!$I4077,CONFIG_ASIGNATURAS!$B$2:$J$61,9,FALSE()),""))</f>
      </c>
    </row>
    <row r="4078">
      <c r="E4078">
        <f>IF(DATOS!$I4078="","",IFERROR(VLOOKUP(DATOS!$I4078,CONFIG_ASIGNATURAS!$B$2:$J$61,9,FALSE()),""))</f>
      </c>
    </row>
    <row r="4079">
      <c r="E4079">
        <f>IF(DATOS!$I4079="","",IFERROR(VLOOKUP(DATOS!$I4079,CONFIG_ASIGNATURAS!$B$2:$J$61,9,FALSE()),""))</f>
      </c>
    </row>
    <row r="4080">
      <c r="E4080">
        <f>IF(DATOS!$I4080="","",IFERROR(VLOOKUP(DATOS!$I4080,CONFIG_ASIGNATURAS!$B$2:$J$61,9,FALSE()),""))</f>
      </c>
    </row>
    <row r="4081">
      <c r="E4081">
        <f>IF(DATOS!$I4081="","",IFERROR(VLOOKUP(DATOS!$I4081,CONFIG_ASIGNATURAS!$B$2:$J$61,9,FALSE()),""))</f>
      </c>
    </row>
    <row r="4082">
      <c r="E4082">
        <f>IF(DATOS!$I4082="","",IFERROR(VLOOKUP(DATOS!$I4082,CONFIG_ASIGNATURAS!$B$2:$J$61,9,FALSE()),""))</f>
      </c>
    </row>
    <row r="4083">
      <c r="E4083">
        <f>IF(DATOS!$I4083="","",IFERROR(VLOOKUP(DATOS!$I4083,CONFIG_ASIGNATURAS!$B$2:$J$61,9,FALSE()),""))</f>
      </c>
    </row>
    <row r="4084">
      <c r="E4084">
        <f>IF(DATOS!$I4084="","",IFERROR(VLOOKUP(DATOS!$I4084,CONFIG_ASIGNATURAS!$B$2:$J$61,9,FALSE()),""))</f>
      </c>
    </row>
    <row r="4085">
      <c r="E4085">
        <f>IF(DATOS!$I4085="","",IFERROR(VLOOKUP(DATOS!$I4085,CONFIG_ASIGNATURAS!$B$2:$J$61,9,FALSE()),""))</f>
      </c>
    </row>
    <row r="4086">
      <c r="E4086">
        <f>IF(DATOS!$I4086="","",IFERROR(VLOOKUP(DATOS!$I4086,CONFIG_ASIGNATURAS!$B$2:$J$61,9,FALSE()),""))</f>
      </c>
    </row>
    <row r="4087">
      <c r="E4087">
        <f>IF(DATOS!$I4087="","",IFERROR(VLOOKUP(DATOS!$I4087,CONFIG_ASIGNATURAS!$B$2:$J$61,9,FALSE()),""))</f>
      </c>
    </row>
    <row r="4088">
      <c r="E4088">
        <f>IF(DATOS!$I4088="","",IFERROR(VLOOKUP(DATOS!$I4088,CONFIG_ASIGNATURAS!$B$2:$J$61,9,FALSE()),""))</f>
      </c>
    </row>
    <row r="4089">
      <c r="E4089">
        <f>IF(DATOS!$I4089="","",IFERROR(VLOOKUP(DATOS!$I4089,CONFIG_ASIGNATURAS!$B$2:$J$61,9,FALSE()),""))</f>
      </c>
    </row>
    <row r="4090">
      <c r="E4090">
        <f>IF(DATOS!$I4090="","",IFERROR(VLOOKUP(DATOS!$I4090,CONFIG_ASIGNATURAS!$B$2:$J$61,9,FALSE()),""))</f>
      </c>
    </row>
    <row r="4091">
      <c r="E4091">
        <f>IF(DATOS!$I4091="","",IFERROR(VLOOKUP(DATOS!$I4091,CONFIG_ASIGNATURAS!$B$2:$J$61,9,FALSE()),""))</f>
      </c>
    </row>
    <row r="4092">
      <c r="E4092">
        <f>IF(DATOS!$I4092="","",IFERROR(VLOOKUP(DATOS!$I4092,CONFIG_ASIGNATURAS!$B$2:$J$61,9,FALSE()),""))</f>
      </c>
    </row>
    <row r="4093">
      <c r="E4093">
        <f>IF(DATOS!$I4093="","",IFERROR(VLOOKUP(DATOS!$I4093,CONFIG_ASIGNATURAS!$B$2:$J$61,9,FALSE()),""))</f>
      </c>
    </row>
    <row r="4094">
      <c r="E4094">
        <f>IF(DATOS!$I4094="","",IFERROR(VLOOKUP(DATOS!$I4094,CONFIG_ASIGNATURAS!$B$2:$J$61,9,FALSE()),""))</f>
      </c>
    </row>
    <row r="4095">
      <c r="E4095">
        <f>IF(DATOS!$I4095="","",IFERROR(VLOOKUP(DATOS!$I4095,CONFIG_ASIGNATURAS!$B$2:$J$61,9,FALSE()),""))</f>
      </c>
    </row>
    <row r="4096">
      <c r="E4096">
        <f>IF(DATOS!$I4096="","",IFERROR(VLOOKUP(DATOS!$I4096,CONFIG_ASIGNATURAS!$B$2:$J$61,9,FALSE()),""))</f>
      </c>
    </row>
    <row r="4097">
      <c r="E4097">
        <f>IF(DATOS!$I4097="","",IFERROR(VLOOKUP(DATOS!$I4097,CONFIG_ASIGNATURAS!$B$2:$J$61,9,FALSE()),""))</f>
      </c>
    </row>
    <row r="4098">
      <c r="E4098">
        <f>IF(DATOS!$I4098="","",IFERROR(VLOOKUP(DATOS!$I4098,CONFIG_ASIGNATURAS!$B$2:$J$61,9,FALSE()),""))</f>
      </c>
    </row>
    <row r="4099">
      <c r="E4099">
        <f>IF(DATOS!$I4099="","",IFERROR(VLOOKUP(DATOS!$I4099,CONFIG_ASIGNATURAS!$B$2:$J$61,9,FALSE()),""))</f>
      </c>
    </row>
    <row r="4100">
      <c r="E4100">
        <f>IF(DATOS!$I4100="","",IFERROR(VLOOKUP(DATOS!$I4100,CONFIG_ASIGNATURAS!$B$2:$J$61,9,FALSE()),""))</f>
      </c>
    </row>
    <row r="4101">
      <c r="E4101">
        <f>IF(DATOS!$I4101="","",IFERROR(VLOOKUP(DATOS!$I4101,CONFIG_ASIGNATURAS!$B$2:$J$61,9,FALSE()),""))</f>
      </c>
    </row>
    <row r="4102">
      <c r="E4102">
        <f>IF(DATOS!$I4102="","",IFERROR(VLOOKUP(DATOS!$I4102,CONFIG_ASIGNATURAS!$B$2:$J$61,9,FALSE()),""))</f>
      </c>
    </row>
    <row r="4103">
      <c r="E4103">
        <f>IF(DATOS!$I4103="","",IFERROR(VLOOKUP(DATOS!$I4103,CONFIG_ASIGNATURAS!$B$2:$J$61,9,FALSE()),""))</f>
      </c>
    </row>
    <row r="4104">
      <c r="E4104">
        <f>IF(DATOS!$I4104="","",IFERROR(VLOOKUP(DATOS!$I4104,CONFIG_ASIGNATURAS!$B$2:$J$61,9,FALSE()),""))</f>
      </c>
    </row>
    <row r="4105">
      <c r="E4105">
        <f>IF(DATOS!$I4105="","",IFERROR(VLOOKUP(DATOS!$I4105,CONFIG_ASIGNATURAS!$B$2:$J$61,9,FALSE()),""))</f>
      </c>
    </row>
    <row r="4106">
      <c r="E4106">
        <f>IF(DATOS!$I4106="","",IFERROR(VLOOKUP(DATOS!$I4106,CONFIG_ASIGNATURAS!$B$2:$J$61,9,FALSE()),""))</f>
      </c>
    </row>
    <row r="4107">
      <c r="E4107">
        <f>IF(DATOS!$I4107="","",IFERROR(VLOOKUP(DATOS!$I4107,CONFIG_ASIGNATURAS!$B$2:$J$61,9,FALSE()),""))</f>
      </c>
    </row>
    <row r="4108">
      <c r="E4108">
        <f>IF(DATOS!$I4108="","",IFERROR(VLOOKUP(DATOS!$I4108,CONFIG_ASIGNATURAS!$B$2:$J$61,9,FALSE()),""))</f>
      </c>
    </row>
    <row r="4109">
      <c r="E4109">
        <f>IF(DATOS!$I4109="","",IFERROR(VLOOKUP(DATOS!$I4109,CONFIG_ASIGNATURAS!$B$2:$J$61,9,FALSE()),""))</f>
      </c>
    </row>
    <row r="4110">
      <c r="E4110">
        <f>IF(DATOS!$I4110="","",IFERROR(VLOOKUP(DATOS!$I4110,CONFIG_ASIGNATURAS!$B$2:$J$61,9,FALSE()),""))</f>
      </c>
    </row>
    <row r="4111">
      <c r="E4111">
        <f>IF(DATOS!$I4111="","",IFERROR(VLOOKUP(DATOS!$I4111,CONFIG_ASIGNATURAS!$B$2:$J$61,9,FALSE()),""))</f>
      </c>
    </row>
    <row r="4112">
      <c r="E4112">
        <f>IF(DATOS!$I4112="","",IFERROR(VLOOKUP(DATOS!$I4112,CONFIG_ASIGNATURAS!$B$2:$J$61,9,FALSE()),""))</f>
      </c>
    </row>
    <row r="4113">
      <c r="E4113">
        <f>IF(DATOS!$I4113="","",IFERROR(VLOOKUP(DATOS!$I4113,CONFIG_ASIGNATURAS!$B$2:$J$61,9,FALSE()),""))</f>
      </c>
    </row>
    <row r="4114">
      <c r="E4114">
        <f>IF(DATOS!$I4114="","",IFERROR(VLOOKUP(DATOS!$I4114,CONFIG_ASIGNATURAS!$B$2:$J$61,9,FALSE()),""))</f>
      </c>
    </row>
    <row r="4115">
      <c r="E4115">
        <f>IF(DATOS!$I4115="","",IFERROR(VLOOKUP(DATOS!$I4115,CONFIG_ASIGNATURAS!$B$2:$J$61,9,FALSE()),""))</f>
      </c>
    </row>
    <row r="4116">
      <c r="E4116">
        <f>IF(DATOS!$I4116="","",IFERROR(VLOOKUP(DATOS!$I4116,CONFIG_ASIGNATURAS!$B$2:$J$61,9,FALSE()),""))</f>
      </c>
    </row>
    <row r="4117">
      <c r="E4117">
        <f>IF(DATOS!$I4117="","",IFERROR(VLOOKUP(DATOS!$I4117,CONFIG_ASIGNATURAS!$B$2:$J$61,9,FALSE()),""))</f>
      </c>
    </row>
    <row r="4118">
      <c r="E4118">
        <f>IF(DATOS!$I4118="","",IFERROR(VLOOKUP(DATOS!$I4118,CONFIG_ASIGNATURAS!$B$2:$J$61,9,FALSE()),""))</f>
      </c>
    </row>
    <row r="4119">
      <c r="E4119">
        <f>IF(DATOS!$I4119="","",IFERROR(VLOOKUP(DATOS!$I4119,CONFIG_ASIGNATURAS!$B$2:$J$61,9,FALSE()),""))</f>
      </c>
    </row>
    <row r="4120">
      <c r="E4120">
        <f>IF(DATOS!$I4120="","",IFERROR(VLOOKUP(DATOS!$I4120,CONFIG_ASIGNATURAS!$B$2:$J$61,9,FALSE()),""))</f>
      </c>
    </row>
    <row r="4121">
      <c r="E4121">
        <f>IF(DATOS!$I4121="","",IFERROR(VLOOKUP(DATOS!$I4121,CONFIG_ASIGNATURAS!$B$2:$J$61,9,FALSE()),""))</f>
      </c>
    </row>
    <row r="4122">
      <c r="E4122">
        <f>IF(DATOS!$I4122="","",IFERROR(VLOOKUP(DATOS!$I4122,CONFIG_ASIGNATURAS!$B$2:$J$61,9,FALSE()),""))</f>
      </c>
    </row>
    <row r="4123">
      <c r="E4123">
        <f>IF(DATOS!$I4123="","",IFERROR(VLOOKUP(DATOS!$I4123,CONFIG_ASIGNATURAS!$B$2:$J$61,9,FALSE()),""))</f>
      </c>
    </row>
    <row r="4124">
      <c r="E4124">
        <f>IF(DATOS!$I4124="","",IFERROR(VLOOKUP(DATOS!$I4124,CONFIG_ASIGNATURAS!$B$2:$J$61,9,FALSE()),""))</f>
      </c>
    </row>
    <row r="4125">
      <c r="E4125">
        <f>IF(DATOS!$I4125="","",IFERROR(VLOOKUP(DATOS!$I4125,CONFIG_ASIGNATURAS!$B$2:$J$61,9,FALSE()),""))</f>
      </c>
    </row>
    <row r="4126">
      <c r="E4126">
        <f>IF(DATOS!$I4126="","",IFERROR(VLOOKUP(DATOS!$I4126,CONFIG_ASIGNATURAS!$B$2:$J$61,9,FALSE()),""))</f>
      </c>
    </row>
    <row r="4127">
      <c r="E4127">
        <f>IF(DATOS!$I4127="","",IFERROR(VLOOKUP(DATOS!$I4127,CONFIG_ASIGNATURAS!$B$2:$J$61,9,FALSE()),""))</f>
      </c>
    </row>
    <row r="4128">
      <c r="E4128">
        <f>IF(DATOS!$I4128="","",IFERROR(VLOOKUP(DATOS!$I4128,CONFIG_ASIGNATURAS!$B$2:$J$61,9,FALSE()),""))</f>
      </c>
    </row>
    <row r="4129">
      <c r="E4129">
        <f>IF(DATOS!$I4129="","",IFERROR(VLOOKUP(DATOS!$I4129,CONFIG_ASIGNATURAS!$B$2:$J$61,9,FALSE()),""))</f>
      </c>
    </row>
    <row r="4130">
      <c r="E4130">
        <f>IF(DATOS!$I4130="","",IFERROR(VLOOKUP(DATOS!$I4130,CONFIG_ASIGNATURAS!$B$2:$J$61,9,FALSE()),""))</f>
      </c>
    </row>
    <row r="4131">
      <c r="E4131">
        <f>IF(DATOS!$I4131="","",IFERROR(VLOOKUP(DATOS!$I4131,CONFIG_ASIGNATURAS!$B$2:$J$61,9,FALSE()),""))</f>
      </c>
    </row>
    <row r="4132">
      <c r="E4132">
        <f>IF(DATOS!$I4132="","",IFERROR(VLOOKUP(DATOS!$I4132,CONFIG_ASIGNATURAS!$B$2:$J$61,9,FALSE()),""))</f>
      </c>
    </row>
    <row r="4133">
      <c r="E4133">
        <f>IF(DATOS!$I4133="","",IFERROR(VLOOKUP(DATOS!$I4133,CONFIG_ASIGNATURAS!$B$2:$J$61,9,FALSE()),""))</f>
      </c>
    </row>
    <row r="4134">
      <c r="E4134">
        <f>IF(DATOS!$I4134="","",IFERROR(VLOOKUP(DATOS!$I4134,CONFIG_ASIGNATURAS!$B$2:$J$61,9,FALSE()),""))</f>
      </c>
    </row>
    <row r="4135">
      <c r="E4135">
        <f>IF(DATOS!$I4135="","",IFERROR(VLOOKUP(DATOS!$I4135,CONFIG_ASIGNATURAS!$B$2:$J$61,9,FALSE()),""))</f>
      </c>
    </row>
    <row r="4136">
      <c r="E4136">
        <f>IF(DATOS!$I4136="","",IFERROR(VLOOKUP(DATOS!$I4136,CONFIG_ASIGNATURAS!$B$2:$J$61,9,FALSE()),""))</f>
      </c>
    </row>
    <row r="4137">
      <c r="E4137">
        <f>IF(DATOS!$I4137="","",IFERROR(VLOOKUP(DATOS!$I4137,CONFIG_ASIGNATURAS!$B$2:$J$61,9,FALSE()),""))</f>
      </c>
    </row>
    <row r="4138">
      <c r="E4138">
        <f>IF(DATOS!$I4138="","",IFERROR(VLOOKUP(DATOS!$I4138,CONFIG_ASIGNATURAS!$B$2:$J$61,9,FALSE()),""))</f>
      </c>
    </row>
    <row r="4139">
      <c r="E4139">
        <f>IF(DATOS!$I4139="","",IFERROR(VLOOKUP(DATOS!$I4139,CONFIG_ASIGNATURAS!$B$2:$J$61,9,FALSE()),""))</f>
      </c>
    </row>
    <row r="4140">
      <c r="E4140">
        <f>IF(DATOS!$I4140="","",IFERROR(VLOOKUP(DATOS!$I4140,CONFIG_ASIGNATURAS!$B$2:$J$61,9,FALSE()),""))</f>
      </c>
    </row>
    <row r="4141">
      <c r="E4141">
        <f>IF(DATOS!$I4141="","",IFERROR(VLOOKUP(DATOS!$I4141,CONFIG_ASIGNATURAS!$B$2:$J$61,9,FALSE()),""))</f>
      </c>
    </row>
    <row r="4142">
      <c r="E4142">
        <f>IF(DATOS!$I4142="","",IFERROR(VLOOKUP(DATOS!$I4142,CONFIG_ASIGNATURAS!$B$2:$J$61,9,FALSE()),""))</f>
      </c>
    </row>
    <row r="4143">
      <c r="E4143">
        <f>IF(DATOS!$I4143="","",IFERROR(VLOOKUP(DATOS!$I4143,CONFIG_ASIGNATURAS!$B$2:$J$61,9,FALSE()),""))</f>
      </c>
    </row>
    <row r="4144">
      <c r="E4144">
        <f>IF(DATOS!$I4144="","",IFERROR(VLOOKUP(DATOS!$I4144,CONFIG_ASIGNATURAS!$B$2:$J$61,9,FALSE()),""))</f>
      </c>
    </row>
    <row r="4145">
      <c r="E4145">
        <f>IF(DATOS!$I4145="","",IFERROR(VLOOKUP(DATOS!$I4145,CONFIG_ASIGNATURAS!$B$2:$J$61,9,FALSE()),""))</f>
      </c>
    </row>
    <row r="4146">
      <c r="E4146">
        <f>IF(DATOS!$I4146="","",IFERROR(VLOOKUP(DATOS!$I4146,CONFIG_ASIGNATURAS!$B$2:$J$61,9,FALSE()),""))</f>
      </c>
    </row>
    <row r="4147">
      <c r="E4147">
        <f>IF(DATOS!$I4147="","",IFERROR(VLOOKUP(DATOS!$I4147,CONFIG_ASIGNATURAS!$B$2:$J$61,9,FALSE()),""))</f>
      </c>
    </row>
    <row r="4148">
      <c r="E4148">
        <f>IF(DATOS!$I4148="","",IFERROR(VLOOKUP(DATOS!$I4148,CONFIG_ASIGNATURAS!$B$2:$J$61,9,FALSE()),""))</f>
      </c>
    </row>
    <row r="4149">
      <c r="E4149">
        <f>IF(DATOS!$I4149="","",IFERROR(VLOOKUP(DATOS!$I4149,CONFIG_ASIGNATURAS!$B$2:$J$61,9,FALSE()),""))</f>
      </c>
    </row>
    <row r="4150">
      <c r="E4150">
        <f>IF(DATOS!$I4150="","",IFERROR(VLOOKUP(DATOS!$I4150,CONFIG_ASIGNATURAS!$B$2:$J$61,9,FALSE()),""))</f>
      </c>
    </row>
    <row r="4151">
      <c r="E4151">
        <f>IF(DATOS!$I4151="","",IFERROR(VLOOKUP(DATOS!$I4151,CONFIG_ASIGNATURAS!$B$2:$J$61,9,FALSE()),""))</f>
      </c>
    </row>
    <row r="4152">
      <c r="E4152">
        <f>IF(DATOS!$I4152="","",IFERROR(VLOOKUP(DATOS!$I4152,CONFIG_ASIGNATURAS!$B$2:$J$61,9,FALSE()),""))</f>
      </c>
    </row>
    <row r="4153">
      <c r="E4153">
        <f>IF(DATOS!$I4153="","",IFERROR(VLOOKUP(DATOS!$I4153,CONFIG_ASIGNATURAS!$B$2:$J$61,9,FALSE()),""))</f>
      </c>
    </row>
    <row r="4154">
      <c r="E4154">
        <f>IF(DATOS!$I4154="","",IFERROR(VLOOKUP(DATOS!$I4154,CONFIG_ASIGNATURAS!$B$2:$J$61,9,FALSE()),""))</f>
      </c>
    </row>
    <row r="4155">
      <c r="E4155">
        <f>IF(DATOS!$I4155="","",IFERROR(VLOOKUP(DATOS!$I4155,CONFIG_ASIGNATURAS!$B$2:$J$61,9,FALSE()),""))</f>
      </c>
    </row>
    <row r="4156">
      <c r="E4156">
        <f>IF(DATOS!$I4156="","",IFERROR(VLOOKUP(DATOS!$I4156,CONFIG_ASIGNATURAS!$B$2:$J$61,9,FALSE()),""))</f>
      </c>
    </row>
    <row r="4157">
      <c r="E4157">
        <f>IF(DATOS!$I4157="","",IFERROR(VLOOKUP(DATOS!$I4157,CONFIG_ASIGNATURAS!$B$2:$J$61,9,FALSE()),""))</f>
      </c>
    </row>
    <row r="4158">
      <c r="E4158">
        <f>IF(DATOS!$I4158="","",IFERROR(VLOOKUP(DATOS!$I4158,CONFIG_ASIGNATURAS!$B$2:$J$61,9,FALSE()),""))</f>
      </c>
    </row>
    <row r="4159">
      <c r="E4159">
        <f>IF(DATOS!$I4159="","",IFERROR(VLOOKUP(DATOS!$I4159,CONFIG_ASIGNATURAS!$B$2:$J$61,9,FALSE()),""))</f>
      </c>
    </row>
    <row r="4160">
      <c r="E4160">
        <f>IF(DATOS!$I4160="","",IFERROR(VLOOKUP(DATOS!$I4160,CONFIG_ASIGNATURAS!$B$2:$J$61,9,FALSE()),""))</f>
      </c>
    </row>
    <row r="4161">
      <c r="E4161">
        <f>IF(DATOS!$I4161="","",IFERROR(VLOOKUP(DATOS!$I4161,CONFIG_ASIGNATURAS!$B$2:$J$61,9,FALSE()),""))</f>
      </c>
    </row>
    <row r="4162">
      <c r="E4162">
        <f>IF(DATOS!$I4162="","",IFERROR(VLOOKUP(DATOS!$I4162,CONFIG_ASIGNATURAS!$B$2:$J$61,9,FALSE()),""))</f>
      </c>
    </row>
    <row r="4163">
      <c r="E4163">
        <f>IF(DATOS!$I4163="","",IFERROR(VLOOKUP(DATOS!$I4163,CONFIG_ASIGNATURAS!$B$2:$J$61,9,FALSE()),""))</f>
      </c>
    </row>
    <row r="4164">
      <c r="E4164">
        <f>IF(DATOS!$I4164="","",IFERROR(VLOOKUP(DATOS!$I4164,CONFIG_ASIGNATURAS!$B$2:$J$61,9,FALSE()),""))</f>
      </c>
    </row>
    <row r="4165">
      <c r="E4165">
        <f>IF(DATOS!$I4165="","",IFERROR(VLOOKUP(DATOS!$I4165,CONFIG_ASIGNATURAS!$B$2:$J$61,9,FALSE()),""))</f>
      </c>
    </row>
    <row r="4166">
      <c r="E4166">
        <f>IF(DATOS!$I4166="","",IFERROR(VLOOKUP(DATOS!$I4166,CONFIG_ASIGNATURAS!$B$2:$J$61,9,FALSE()),""))</f>
      </c>
    </row>
    <row r="4167">
      <c r="E4167">
        <f>IF(DATOS!$I4167="","",IFERROR(VLOOKUP(DATOS!$I4167,CONFIG_ASIGNATURAS!$B$2:$J$61,9,FALSE()),""))</f>
      </c>
    </row>
    <row r="4168">
      <c r="E4168">
        <f>IF(DATOS!$I4168="","",IFERROR(VLOOKUP(DATOS!$I4168,CONFIG_ASIGNATURAS!$B$2:$J$61,9,FALSE()),""))</f>
      </c>
    </row>
    <row r="4169">
      <c r="E4169">
        <f>IF(DATOS!$I4169="","",IFERROR(VLOOKUP(DATOS!$I4169,CONFIG_ASIGNATURAS!$B$2:$J$61,9,FALSE()),""))</f>
      </c>
    </row>
    <row r="4170">
      <c r="E4170">
        <f>IF(DATOS!$I4170="","",IFERROR(VLOOKUP(DATOS!$I4170,CONFIG_ASIGNATURAS!$B$2:$J$61,9,FALSE()),""))</f>
      </c>
    </row>
    <row r="4171">
      <c r="E4171">
        <f>IF(DATOS!$I4171="","",IFERROR(VLOOKUP(DATOS!$I4171,CONFIG_ASIGNATURAS!$B$2:$J$61,9,FALSE()),""))</f>
      </c>
    </row>
    <row r="4172">
      <c r="E4172">
        <f>IF(DATOS!$I4172="","",IFERROR(VLOOKUP(DATOS!$I4172,CONFIG_ASIGNATURAS!$B$2:$J$61,9,FALSE()),""))</f>
      </c>
    </row>
    <row r="4173">
      <c r="E4173">
        <f>IF(DATOS!$I4173="","",IFERROR(VLOOKUP(DATOS!$I4173,CONFIG_ASIGNATURAS!$B$2:$J$61,9,FALSE()),""))</f>
      </c>
    </row>
    <row r="4174">
      <c r="E4174">
        <f>IF(DATOS!$I4174="","",IFERROR(VLOOKUP(DATOS!$I4174,CONFIG_ASIGNATURAS!$B$2:$J$61,9,FALSE()),""))</f>
      </c>
    </row>
    <row r="4175">
      <c r="E4175">
        <f>IF(DATOS!$I4175="","",IFERROR(VLOOKUP(DATOS!$I4175,CONFIG_ASIGNATURAS!$B$2:$J$61,9,FALSE()),""))</f>
      </c>
    </row>
    <row r="4176">
      <c r="E4176">
        <f>IF(DATOS!$I4176="","",IFERROR(VLOOKUP(DATOS!$I4176,CONFIG_ASIGNATURAS!$B$2:$J$61,9,FALSE()),""))</f>
      </c>
    </row>
    <row r="4177">
      <c r="E4177">
        <f>IF(DATOS!$I4177="","",IFERROR(VLOOKUP(DATOS!$I4177,CONFIG_ASIGNATURAS!$B$2:$J$61,9,FALSE()),""))</f>
      </c>
    </row>
    <row r="4178">
      <c r="E4178">
        <f>IF(DATOS!$I4178="","",IFERROR(VLOOKUP(DATOS!$I4178,CONFIG_ASIGNATURAS!$B$2:$J$61,9,FALSE()),""))</f>
      </c>
    </row>
    <row r="4179">
      <c r="E4179">
        <f>IF(DATOS!$I4179="","",IFERROR(VLOOKUP(DATOS!$I4179,CONFIG_ASIGNATURAS!$B$2:$J$61,9,FALSE()),""))</f>
      </c>
    </row>
    <row r="4180">
      <c r="E4180">
        <f>IF(DATOS!$I4180="","",IFERROR(VLOOKUP(DATOS!$I4180,CONFIG_ASIGNATURAS!$B$2:$J$61,9,FALSE()),""))</f>
      </c>
    </row>
    <row r="4181">
      <c r="E4181">
        <f>IF(DATOS!$I4181="","",IFERROR(VLOOKUP(DATOS!$I4181,CONFIG_ASIGNATURAS!$B$2:$J$61,9,FALSE()),""))</f>
      </c>
    </row>
    <row r="4182">
      <c r="E4182">
        <f>IF(DATOS!$I4182="","",IFERROR(VLOOKUP(DATOS!$I4182,CONFIG_ASIGNATURAS!$B$2:$J$61,9,FALSE()),""))</f>
      </c>
    </row>
    <row r="4183">
      <c r="E4183">
        <f>IF(DATOS!$I4183="","",IFERROR(VLOOKUP(DATOS!$I4183,CONFIG_ASIGNATURAS!$B$2:$J$61,9,FALSE()),""))</f>
      </c>
    </row>
    <row r="4184">
      <c r="E4184">
        <f>IF(DATOS!$I4184="","",IFERROR(VLOOKUP(DATOS!$I4184,CONFIG_ASIGNATURAS!$B$2:$J$61,9,FALSE()),""))</f>
      </c>
    </row>
    <row r="4185">
      <c r="E4185">
        <f>IF(DATOS!$I4185="","",IFERROR(VLOOKUP(DATOS!$I4185,CONFIG_ASIGNATURAS!$B$2:$J$61,9,FALSE()),""))</f>
      </c>
    </row>
    <row r="4186">
      <c r="E4186">
        <f>IF(DATOS!$I4186="","",IFERROR(VLOOKUP(DATOS!$I4186,CONFIG_ASIGNATURAS!$B$2:$J$61,9,FALSE()),""))</f>
      </c>
    </row>
    <row r="4187">
      <c r="E4187">
        <f>IF(DATOS!$I4187="","",IFERROR(VLOOKUP(DATOS!$I4187,CONFIG_ASIGNATURAS!$B$2:$J$61,9,FALSE()),""))</f>
      </c>
    </row>
    <row r="4188">
      <c r="E4188">
        <f>IF(DATOS!$I4188="","",IFERROR(VLOOKUP(DATOS!$I4188,CONFIG_ASIGNATURAS!$B$2:$J$61,9,FALSE()),""))</f>
      </c>
    </row>
    <row r="4189">
      <c r="E4189">
        <f>IF(DATOS!$I4189="","",IFERROR(VLOOKUP(DATOS!$I4189,CONFIG_ASIGNATURAS!$B$2:$J$61,9,FALSE()),""))</f>
      </c>
    </row>
    <row r="4190">
      <c r="E4190">
        <f>IF(DATOS!$I4190="","",IFERROR(VLOOKUP(DATOS!$I4190,CONFIG_ASIGNATURAS!$B$2:$J$61,9,FALSE()),""))</f>
      </c>
    </row>
    <row r="4191">
      <c r="E4191">
        <f>IF(DATOS!$I4191="","",IFERROR(VLOOKUP(DATOS!$I4191,CONFIG_ASIGNATURAS!$B$2:$J$61,9,FALSE()),""))</f>
      </c>
    </row>
    <row r="4192">
      <c r="E4192">
        <f>IF(DATOS!$I4192="","",IFERROR(VLOOKUP(DATOS!$I4192,CONFIG_ASIGNATURAS!$B$2:$J$61,9,FALSE()),""))</f>
      </c>
    </row>
    <row r="4193">
      <c r="E4193">
        <f>IF(DATOS!$I4193="","",IFERROR(VLOOKUP(DATOS!$I4193,CONFIG_ASIGNATURAS!$B$2:$J$61,9,FALSE()),""))</f>
      </c>
    </row>
    <row r="4194">
      <c r="E4194">
        <f>IF(DATOS!$I4194="","",IFERROR(VLOOKUP(DATOS!$I4194,CONFIG_ASIGNATURAS!$B$2:$J$61,9,FALSE()),""))</f>
      </c>
    </row>
    <row r="4195">
      <c r="E4195">
        <f>IF(DATOS!$I4195="","",IFERROR(VLOOKUP(DATOS!$I4195,CONFIG_ASIGNATURAS!$B$2:$J$61,9,FALSE()),""))</f>
      </c>
    </row>
    <row r="4196">
      <c r="E4196">
        <f>IF(DATOS!$I4196="","",IFERROR(VLOOKUP(DATOS!$I4196,CONFIG_ASIGNATURAS!$B$2:$J$61,9,FALSE()),""))</f>
      </c>
    </row>
    <row r="4197">
      <c r="E4197">
        <f>IF(DATOS!$I4197="","",IFERROR(VLOOKUP(DATOS!$I4197,CONFIG_ASIGNATURAS!$B$2:$J$61,9,FALSE()),""))</f>
      </c>
    </row>
    <row r="4198">
      <c r="E4198">
        <f>IF(DATOS!$I4198="","",IFERROR(VLOOKUP(DATOS!$I4198,CONFIG_ASIGNATURAS!$B$2:$J$61,9,FALSE()),""))</f>
      </c>
    </row>
    <row r="4199">
      <c r="E4199">
        <f>IF(DATOS!$I4199="","",IFERROR(VLOOKUP(DATOS!$I4199,CONFIG_ASIGNATURAS!$B$2:$J$61,9,FALSE()),""))</f>
      </c>
    </row>
    <row r="4200">
      <c r="E4200">
        <f>IF(DATOS!$I4200="","",IFERROR(VLOOKUP(DATOS!$I4200,CONFIG_ASIGNATURAS!$B$2:$J$61,9,FALSE()),""))</f>
      </c>
    </row>
    <row r="4201">
      <c r="E4201">
        <f>IF(DATOS!$I4201="","",IFERROR(VLOOKUP(DATOS!$I4201,CONFIG_ASIGNATURAS!$B$2:$J$61,9,FALSE()),""))</f>
      </c>
    </row>
    <row r="4202">
      <c r="E4202">
        <f>IF(DATOS!$I4202="","",IFERROR(VLOOKUP(DATOS!$I4202,CONFIG_ASIGNATURAS!$B$2:$J$61,9,FALSE()),""))</f>
      </c>
    </row>
    <row r="4203">
      <c r="E4203">
        <f>IF(DATOS!$I4203="","",IFERROR(VLOOKUP(DATOS!$I4203,CONFIG_ASIGNATURAS!$B$2:$J$61,9,FALSE()),""))</f>
      </c>
    </row>
    <row r="4204">
      <c r="E4204">
        <f>IF(DATOS!$I4204="","",IFERROR(VLOOKUP(DATOS!$I4204,CONFIG_ASIGNATURAS!$B$2:$J$61,9,FALSE()),""))</f>
      </c>
    </row>
    <row r="4205">
      <c r="E4205">
        <f>IF(DATOS!$I4205="","",IFERROR(VLOOKUP(DATOS!$I4205,CONFIG_ASIGNATURAS!$B$2:$J$61,9,FALSE()),""))</f>
      </c>
    </row>
    <row r="4206">
      <c r="E4206">
        <f>IF(DATOS!$I4206="","",IFERROR(VLOOKUP(DATOS!$I4206,CONFIG_ASIGNATURAS!$B$2:$J$61,9,FALSE()),""))</f>
      </c>
    </row>
    <row r="4207">
      <c r="E4207">
        <f>IF(DATOS!$I4207="","",IFERROR(VLOOKUP(DATOS!$I4207,CONFIG_ASIGNATURAS!$B$2:$J$61,9,FALSE()),""))</f>
      </c>
    </row>
    <row r="4208">
      <c r="E4208">
        <f>IF(DATOS!$I4208="","",IFERROR(VLOOKUP(DATOS!$I4208,CONFIG_ASIGNATURAS!$B$2:$J$61,9,FALSE()),""))</f>
      </c>
    </row>
    <row r="4209">
      <c r="E4209">
        <f>IF(DATOS!$I4209="","",IFERROR(VLOOKUP(DATOS!$I4209,CONFIG_ASIGNATURAS!$B$2:$J$61,9,FALSE()),""))</f>
      </c>
    </row>
    <row r="4210">
      <c r="E4210">
        <f>IF(DATOS!$I4210="","",IFERROR(VLOOKUP(DATOS!$I4210,CONFIG_ASIGNATURAS!$B$2:$J$61,9,FALSE()),""))</f>
      </c>
    </row>
    <row r="4211">
      <c r="E4211">
        <f>IF(DATOS!$I4211="","",IFERROR(VLOOKUP(DATOS!$I4211,CONFIG_ASIGNATURAS!$B$2:$J$61,9,FALSE()),""))</f>
      </c>
    </row>
    <row r="4212">
      <c r="E4212">
        <f>IF(DATOS!$I4212="","",IFERROR(VLOOKUP(DATOS!$I4212,CONFIG_ASIGNATURAS!$B$2:$J$61,9,FALSE()),""))</f>
      </c>
    </row>
    <row r="4213">
      <c r="E4213">
        <f>IF(DATOS!$I4213="","",IFERROR(VLOOKUP(DATOS!$I4213,CONFIG_ASIGNATURAS!$B$2:$J$61,9,FALSE()),""))</f>
      </c>
    </row>
    <row r="4214">
      <c r="E4214">
        <f>IF(DATOS!$I4214="","",IFERROR(VLOOKUP(DATOS!$I4214,CONFIG_ASIGNATURAS!$B$2:$J$61,9,FALSE()),""))</f>
      </c>
    </row>
    <row r="4215">
      <c r="E4215">
        <f>IF(DATOS!$I4215="","",IFERROR(VLOOKUP(DATOS!$I4215,CONFIG_ASIGNATURAS!$B$2:$J$61,9,FALSE()),""))</f>
      </c>
    </row>
    <row r="4216">
      <c r="E4216">
        <f>IF(DATOS!$I4216="","",IFERROR(VLOOKUP(DATOS!$I4216,CONFIG_ASIGNATURAS!$B$2:$J$61,9,FALSE()),""))</f>
      </c>
    </row>
    <row r="4217">
      <c r="E4217">
        <f>IF(DATOS!$I4217="","",IFERROR(VLOOKUP(DATOS!$I4217,CONFIG_ASIGNATURAS!$B$2:$J$61,9,FALSE()),""))</f>
      </c>
    </row>
    <row r="4218">
      <c r="E4218">
        <f>IF(DATOS!$I4218="","",IFERROR(VLOOKUP(DATOS!$I4218,CONFIG_ASIGNATURAS!$B$2:$J$61,9,FALSE()),""))</f>
      </c>
    </row>
    <row r="4219">
      <c r="E4219">
        <f>IF(DATOS!$I4219="","",IFERROR(VLOOKUP(DATOS!$I4219,CONFIG_ASIGNATURAS!$B$2:$J$61,9,FALSE()),""))</f>
      </c>
    </row>
    <row r="4220">
      <c r="E4220">
        <f>IF(DATOS!$I4220="","",IFERROR(VLOOKUP(DATOS!$I4220,CONFIG_ASIGNATURAS!$B$2:$J$61,9,FALSE()),""))</f>
      </c>
    </row>
    <row r="4221">
      <c r="E4221">
        <f>IF(DATOS!$I4221="","",IFERROR(VLOOKUP(DATOS!$I4221,CONFIG_ASIGNATURAS!$B$2:$J$61,9,FALSE()),""))</f>
      </c>
    </row>
    <row r="4222">
      <c r="E4222">
        <f>IF(DATOS!$I4222="","",IFERROR(VLOOKUP(DATOS!$I4222,CONFIG_ASIGNATURAS!$B$2:$J$61,9,FALSE()),""))</f>
      </c>
    </row>
    <row r="4223">
      <c r="E4223">
        <f>IF(DATOS!$I4223="","",IFERROR(VLOOKUP(DATOS!$I4223,CONFIG_ASIGNATURAS!$B$2:$J$61,9,FALSE()),""))</f>
      </c>
    </row>
    <row r="4224">
      <c r="E4224">
        <f>IF(DATOS!$I4224="","",IFERROR(VLOOKUP(DATOS!$I4224,CONFIG_ASIGNATURAS!$B$2:$J$61,9,FALSE()),""))</f>
      </c>
    </row>
    <row r="4225">
      <c r="E4225">
        <f>IF(DATOS!$I4225="","",IFERROR(VLOOKUP(DATOS!$I4225,CONFIG_ASIGNATURAS!$B$2:$J$61,9,FALSE()),""))</f>
      </c>
    </row>
    <row r="4226">
      <c r="E4226">
        <f>IF(DATOS!$I4226="","",IFERROR(VLOOKUP(DATOS!$I4226,CONFIG_ASIGNATURAS!$B$2:$J$61,9,FALSE()),""))</f>
      </c>
    </row>
    <row r="4227">
      <c r="E4227">
        <f>IF(DATOS!$I4227="","",IFERROR(VLOOKUP(DATOS!$I4227,CONFIG_ASIGNATURAS!$B$2:$J$61,9,FALSE()),""))</f>
      </c>
    </row>
    <row r="4228">
      <c r="E4228">
        <f>IF(DATOS!$I4228="","",IFERROR(VLOOKUP(DATOS!$I4228,CONFIG_ASIGNATURAS!$B$2:$J$61,9,FALSE()),""))</f>
      </c>
    </row>
    <row r="4229">
      <c r="E4229">
        <f>IF(DATOS!$I4229="","",IFERROR(VLOOKUP(DATOS!$I4229,CONFIG_ASIGNATURAS!$B$2:$J$61,9,FALSE()),""))</f>
      </c>
    </row>
    <row r="4230">
      <c r="E4230">
        <f>IF(DATOS!$I4230="","",IFERROR(VLOOKUP(DATOS!$I4230,CONFIG_ASIGNATURAS!$B$2:$J$61,9,FALSE()),""))</f>
      </c>
    </row>
    <row r="4231">
      <c r="E4231">
        <f>IF(DATOS!$I4231="","",IFERROR(VLOOKUP(DATOS!$I4231,CONFIG_ASIGNATURAS!$B$2:$J$61,9,FALSE()),""))</f>
      </c>
    </row>
    <row r="4232">
      <c r="E4232">
        <f>IF(DATOS!$I4232="","",IFERROR(VLOOKUP(DATOS!$I4232,CONFIG_ASIGNATURAS!$B$2:$J$61,9,FALSE()),""))</f>
      </c>
    </row>
    <row r="4233">
      <c r="E4233">
        <f>IF(DATOS!$I4233="","",IFERROR(VLOOKUP(DATOS!$I4233,CONFIG_ASIGNATURAS!$B$2:$J$61,9,FALSE()),""))</f>
      </c>
    </row>
    <row r="4234">
      <c r="E4234">
        <f>IF(DATOS!$I4234="","",IFERROR(VLOOKUP(DATOS!$I4234,CONFIG_ASIGNATURAS!$B$2:$J$61,9,FALSE()),""))</f>
      </c>
    </row>
    <row r="4235">
      <c r="E4235">
        <f>IF(DATOS!$I4235="","",IFERROR(VLOOKUP(DATOS!$I4235,CONFIG_ASIGNATURAS!$B$2:$J$61,9,FALSE()),""))</f>
      </c>
    </row>
    <row r="4236">
      <c r="E4236">
        <f>IF(DATOS!$I4236="","",IFERROR(VLOOKUP(DATOS!$I4236,CONFIG_ASIGNATURAS!$B$2:$J$61,9,FALSE()),""))</f>
      </c>
    </row>
    <row r="4237">
      <c r="E4237">
        <f>IF(DATOS!$I4237="","",IFERROR(VLOOKUP(DATOS!$I4237,CONFIG_ASIGNATURAS!$B$2:$J$61,9,FALSE()),""))</f>
      </c>
    </row>
    <row r="4238">
      <c r="E4238">
        <f>IF(DATOS!$I4238="","",IFERROR(VLOOKUP(DATOS!$I4238,CONFIG_ASIGNATURAS!$B$2:$J$61,9,FALSE()),""))</f>
      </c>
    </row>
    <row r="4239">
      <c r="E4239">
        <f>IF(DATOS!$I4239="","",IFERROR(VLOOKUP(DATOS!$I4239,CONFIG_ASIGNATURAS!$B$2:$J$61,9,FALSE()),""))</f>
      </c>
    </row>
    <row r="4240">
      <c r="E4240">
        <f>IF(DATOS!$I4240="","",IFERROR(VLOOKUP(DATOS!$I4240,CONFIG_ASIGNATURAS!$B$2:$J$61,9,FALSE()),""))</f>
      </c>
    </row>
    <row r="4241">
      <c r="E4241">
        <f>IF(DATOS!$I4241="","",IFERROR(VLOOKUP(DATOS!$I4241,CONFIG_ASIGNATURAS!$B$2:$J$61,9,FALSE()),""))</f>
      </c>
    </row>
    <row r="4242">
      <c r="E4242">
        <f>IF(DATOS!$I4242="","",IFERROR(VLOOKUP(DATOS!$I4242,CONFIG_ASIGNATURAS!$B$2:$J$61,9,FALSE()),""))</f>
      </c>
    </row>
    <row r="4243">
      <c r="E4243">
        <f>IF(DATOS!$I4243="","",IFERROR(VLOOKUP(DATOS!$I4243,CONFIG_ASIGNATURAS!$B$2:$J$61,9,FALSE()),""))</f>
      </c>
    </row>
    <row r="4244">
      <c r="E4244">
        <f>IF(DATOS!$I4244="","",IFERROR(VLOOKUP(DATOS!$I4244,CONFIG_ASIGNATURAS!$B$2:$J$61,9,FALSE()),""))</f>
      </c>
    </row>
    <row r="4245">
      <c r="E4245">
        <f>IF(DATOS!$I4245="","",IFERROR(VLOOKUP(DATOS!$I4245,CONFIG_ASIGNATURAS!$B$2:$J$61,9,FALSE()),""))</f>
      </c>
    </row>
    <row r="4246">
      <c r="E4246">
        <f>IF(DATOS!$I4246="","",IFERROR(VLOOKUP(DATOS!$I4246,CONFIG_ASIGNATURAS!$B$2:$J$61,9,FALSE()),""))</f>
      </c>
    </row>
    <row r="4247">
      <c r="E4247">
        <f>IF(DATOS!$I4247="","",IFERROR(VLOOKUP(DATOS!$I4247,CONFIG_ASIGNATURAS!$B$2:$J$61,9,FALSE()),""))</f>
      </c>
    </row>
    <row r="4248">
      <c r="E4248">
        <f>IF(DATOS!$I4248="","",IFERROR(VLOOKUP(DATOS!$I4248,CONFIG_ASIGNATURAS!$B$2:$J$61,9,FALSE()),""))</f>
      </c>
    </row>
    <row r="4249">
      <c r="E4249">
        <f>IF(DATOS!$I4249="","",IFERROR(VLOOKUP(DATOS!$I4249,CONFIG_ASIGNATURAS!$B$2:$J$61,9,FALSE()),""))</f>
      </c>
    </row>
    <row r="4250">
      <c r="E4250">
        <f>IF(DATOS!$I4250="","",IFERROR(VLOOKUP(DATOS!$I4250,CONFIG_ASIGNATURAS!$B$2:$J$61,9,FALSE()),""))</f>
      </c>
    </row>
    <row r="4251">
      <c r="E4251">
        <f>IF(DATOS!$I4251="","",IFERROR(VLOOKUP(DATOS!$I4251,CONFIG_ASIGNATURAS!$B$2:$J$61,9,FALSE()),""))</f>
      </c>
    </row>
    <row r="4252">
      <c r="E4252">
        <f>IF(DATOS!$I4252="","",IFERROR(VLOOKUP(DATOS!$I4252,CONFIG_ASIGNATURAS!$B$2:$J$61,9,FALSE()),""))</f>
      </c>
    </row>
    <row r="4253">
      <c r="E4253">
        <f>IF(DATOS!$I4253="","",IFERROR(VLOOKUP(DATOS!$I4253,CONFIG_ASIGNATURAS!$B$2:$J$61,9,FALSE()),""))</f>
      </c>
    </row>
    <row r="4254">
      <c r="E4254">
        <f>IF(DATOS!$I4254="","",IFERROR(VLOOKUP(DATOS!$I4254,CONFIG_ASIGNATURAS!$B$2:$J$61,9,FALSE()),""))</f>
      </c>
    </row>
    <row r="4255">
      <c r="E4255">
        <f>IF(DATOS!$I4255="","",IFERROR(VLOOKUP(DATOS!$I4255,CONFIG_ASIGNATURAS!$B$2:$J$61,9,FALSE()),""))</f>
      </c>
    </row>
    <row r="4256">
      <c r="E4256">
        <f>IF(DATOS!$I4256="","",IFERROR(VLOOKUP(DATOS!$I4256,CONFIG_ASIGNATURAS!$B$2:$J$61,9,FALSE()),""))</f>
      </c>
    </row>
    <row r="4257">
      <c r="E4257">
        <f>IF(DATOS!$I4257="","",IFERROR(VLOOKUP(DATOS!$I4257,CONFIG_ASIGNATURAS!$B$2:$J$61,9,FALSE()),""))</f>
      </c>
    </row>
    <row r="4258">
      <c r="E4258">
        <f>IF(DATOS!$I4258="","",IFERROR(VLOOKUP(DATOS!$I4258,CONFIG_ASIGNATURAS!$B$2:$J$61,9,FALSE()),""))</f>
      </c>
    </row>
    <row r="4259">
      <c r="E4259">
        <f>IF(DATOS!$I4259="","",IFERROR(VLOOKUP(DATOS!$I4259,CONFIG_ASIGNATURAS!$B$2:$J$61,9,FALSE()),""))</f>
      </c>
    </row>
    <row r="4260">
      <c r="E4260">
        <f>IF(DATOS!$I4260="","",IFERROR(VLOOKUP(DATOS!$I4260,CONFIG_ASIGNATURAS!$B$2:$J$61,9,FALSE()),""))</f>
      </c>
    </row>
    <row r="4261">
      <c r="E4261">
        <f>IF(DATOS!$I4261="","",IFERROR(VLOOKUP(DATOS!$I4261,CONFIG_ASIGNATURAS!$B$2:$J$61,9,FALSE()),""))</f>
      </c>
    </row>
    <row r="4262">
      <c r="E4262">
        <f>IF(DATOS!$I4262="","",IFERROR(VLOOKUP(DATOS!$I4262,CONFIG_ASIGNATURAS!$B$2:$J$61,9,FALSE()),""))</f>
      </c>
    </row>
    <row r="4263">
      <c r="E4263">
        <f>IF(DATOS!$I4263="","",IFERROR(VLOOKUP(DATOS!$I4263,CONFIG_ASIGNATURAS!$B$2:$J$61,9,FALSE()),""))</f>
      </c>
    </row>
    <row r="4264">
      <c r="E4264">
        <f>IF(DATOS!$I4264="","",IFERROR(VLOOKUP(DATOS!$I4264,CONFIG_ASIGNATURAS!$B$2:$J$61,9,FALSE()),""))</f>
      </c>
    </row>
    <row r="4265">
      <c r="E4265">
        <f>IF(DATOS!$I4265="","",IFERROR(VLOOKUP(DATOS!$I4265,CONFIG_ASIGNATURAS!$B$2:$J$61,9,FALSE()),""))</f>
      </c>
    </row>
    <row r="4266">
      <c r="E4266">
        <f>IF(DATOS!$I4266="","",IFERROR(VLOOKUP(DATOS!$I4266,CONFIG_ASIGNATURAS!$B$2:$J$61,9,FALSE()),""))</f>
      </c>
    </row>
    <row r="4267">
      <c r="E4267">
        <f>IF(DATOS!$I4267="","",IFERROR(VLOOKUP(DATOS!$I4267,CONFIG_ASIGNATURAS!$B$2:$J$61,9,FALSE()),""))</f>
      </c>
    </row>
    <row r="4268">
      <c r="E4268">
        <f>IF(DATOS!$I4268="","",IFERROR(VLOOKUP(DATOS!$I4268,CONFIG_ASIGNATURAS!$B$2:$J$61,9,FALSE()),""))</f>
      </c>
    </row>
    <row r="4269">
      <c r="E4269">
        <f>IF(DATOS!$I4269="","",IFERROR(VLOOKUP(DATOS!$I4269,CONFIG_ASIGNATURAS!$B$2:$J$61,9,FALSE()),""))</f>
      </c>
    </row>
    <row r="4270">
      <c r="E4270">
        <f>IF(DATOS!$I4270="","",IFERROR(VLOOKUP(DATOS!$I4270,CONFIG_ASIGNATURAS!$B$2:$J$61,9,FALSE()),""))</f>
      </c>
    </row>
    <row r="4271">
      <c r="E4271">
        <f>IF(DATOS!$I4271="","",IFERROR(VLOOKUP(DATOS!$I4271,CONFIG_ASIGNATURAS!$B$2:$J$61,9,FALSE()),""))</f>
      </c>
    </row>
    <row r="4272">
      <c r="E4272">
        <f>IF(DATOS!$I4272="","",IFERROR(VLOOKUP(DATOS!$I4272,CONFIG_ASIGNATURAS!$B$2:$J$61,9,FALSE()),""))</f>
      </c>
    </row>
    <row r="4273">
      <c r="E4273">
        <f>IF(DATOS!$I4273="","",IFERROR(VLOOKUP(DATOS!$I4273,CONFIG_ASIGNATURAS!$B$2:$J$61,9,FALSE()),""))</f>
      </c>
    </row>
    <row r="4274">
      <c r="E4274">
        <f>IF(DATOS!$I4274="","",IFERROR(VLOOKUP(DATOS!$I4274,CONFIG_ASIGNATURAS!$B$2:$J$61,9,FALSE()),""))</f>
      </c>
    </row>
    <row r="4275">
      <c r="E4275">
        <f>IF(DATOS!$I4275="","",IFERROR(VLOOKUP(DATOS!$I4275,CONFIG_ASIGNATURAS!$B$2:$J$61,9,FALSE()),""))</f>
      </c>
    </row>
    <row r="4276">
      <c r="E4276">
        <f>IF(DATOS!$I4276="","",IFERROR(VLOOKUP(DATOS!$I4276,CONFIG_ASIGNATURAS!$B$2:$J$61,9,FALSE()),""))</f>
      </c>
    </row>
    <row r="4277">
      <c r="E4277">
        <f>IF(DATOS!$I4277="","",IFERROR(VLOOKUP(DATOS!$I4277,CONFIG_ASIGNATURAS!$B$2:$J$61,9,FALSE()),""))</f>
      </c>
    </row>
    <row r="4278">
      <c r="E4278">
        <f>IF(DATOS!$I4278="","",IFERROR(VLOOKUP(DATOS!$I4278,CONFIG_ASIGNATURAS!$B$2:$J$61,9,FALSE()),""))</f>
      </c>
    </row>
    <row r="4279">
      <c r="E4279">
        <f>IF(DATOS!$I4279="","",IFERROR(VLOOKUP(DATOS!$I4279,CONFIG_ASIGNATURAS!$B$2:$J$61,9,FALSE()),""))</f>
      </c>
    </row>
    <row r="4280">
      <c r="E4280">
        <f>IF(DATOS!$I4280="","",IFERROR(VLOOKUP(DATOS!$I4280,CONFIG_ASIGNATURAS!$B$2:$J$61,9,FALSE()),""))</f>
      </c>
    </row>
    <row r="4281">
      <c r="E4281">
        <f>IF(DATOS!$I4281="","",IFERROR(VLOOKUP(DATOS!$I4281,CONFIG_ASIGNATURAS!$B$2:$J$61,9,FALSE()),""))</f>
      </c>
    </row>
    <row r="4282">
      <c r="E4282">
        <f>IF(DATOS!$I4282="","",IFERROR(VLOOKUP(DATOS!$I4282,CONFIG_ASIGNATURAS!$B$2:$J$61,9,FALSE()),""))</f>
      </c>
    </row>
    <row r="4283">
      <c r="E4283">
        <f>IF(DATOS!$I4283="","",IFERROR(VLOOKUP(DATOS!$I4283,CONFIG_ASIGNATURAS!$B$2:$J$61,9,FALSE()),""))</f>
      </c>
    </row>
    <row r="4284">
      <c r="E4284">
        <f>IF(DATOS!$I4284="","",IFERROR(VLOOKUP(DATOS!$I4284,CONFIG_ASIGNATURAS!$B$2:$J$61,9,FALSE()),""))</f>
      </c>
    </row>
    <row r="4285">
      <c r="E4285">
        <f>IF(DATOS!$I4285="","",IFERROR(VLOOKUP(DATOS!$I4285,CONFIG_ASIGNATURAS!$B$2:$J$61,9,FALSE()),""))</f>
      </c>
    </row>
    <row r="4286">
      <c r="E4286">
        <f>IF(DATOS!$I4286="","",IFERROR(VLOOKUP(DATOS!$I4286,CONFIG_ASIGNATURAS!$B$2:$J$61,9,FALSE()),""))</f>
      </c>
    </row>
    <row r="4287">
      <c r="E4287">
        <f>IF(DATOS!$I4287="","",IFERROR(VLOOKUP(DATOS!$I4287,CONFIG_ASIGNATURAS!$B$2:$J$61,9,FALSE()),""))</f>
      </c>
    </row>
    <row r="4288">
      <c r="E4288">
        <f>IF(DATOS!$I4288="","",IFERROR(VLOOKUP(DATOS!$I4288,CONFIG_ASIGNATURAS!$B$2:$J$61,9,FALSE()),""))</f>
      </c>
    </row>
    <row r="4289">
      <c r="E4289">
        <f>IF(DATOS!$I4289="","",IFERROR(VLOOKUP(DATOS!$I4289,CONFIG_ASIGNATURAS!$B$2:$J$61,9,FALSE()),""))</f>
      </c>
    </row>
    <row r="4290">
      <c r="E4290">
        <f>IF(DATOS!$I4290="","",IFERROR(VLOOKUP(DATOS!$I4290,CONFIG_ASIGNATURAS!$B$2:$J$61,9,FALSE()),""))</f>
      </c>
    </row>
    <row r="4291">
      <c r="E4291">
        <f>IF(DATOS!$I4291="","",IFERROR(VLOOKUP(DATOS!$I4291,CONFIG_ASIGNATURAS!$B$2:$J$61,9,FALSE()),""))</f>
      </c>
    </row>
    <row r="4292">
      <c r="E4292">
        <f>IF(DATOS!$I4292="","",IFERROR(VLOOKUP(DATOS!$I4292,CONFIG_ASIGNATURAS!$B$2:$J$61,9,FALSE()),""))</f>
      </c>
    </row>
    <row r="4293">
      <c r="E4293">
        <f>IF(DATOS!$I4293="","",IFERROR(VLOOKUP(DATOS!$I4293,CONFIG_ASIGNATURAS!$B$2:$J$61,9,FALSE()),""))</f>
      </c>
    </row>
    <row r="4294">
      <c r="E4294">
        <f>IF(DATOS!$I4294="","",IFERROR(VLOOKUP(DATOS!$I4294,CONFIG_ASIGNATURAS!$B$2:$J$61,9,FALSE()),""))</f>
      </c>
    </row>
    <row r="4295">
      <c r="E4295">
        <f>IF(DATOS!$I4295="","",IFERROR(VLOOKUP(DATOS!$I4295,CONFIG_ASIGNATURAS!$B$2:$J$61,9,FALSE()),""))</f>
      </c>
    </row>
    <row r="4296">
      <c r="E4296">
        <f>IF(DATOS!$I4296="","",IFERROR(VLOOKUP(DATOS!$I4296,CONFIG_ASIGNATURAS!$B$2:$J$61,9,FALSE()),""))</f>
      </c>
    </row>
    <row r="4297">
      <c r="E4297">
        <f>IF(DATOS!$I4297="","",IFERROR(VLOOKUP(DATOS!$I4297,CONFIG_ASIGNATURAS!$B$2:$J$61,9,FALSE()),""))</f>
      </c>
    </row>
    <row r="4298">
      <c r="E4298">
        <f>IF(DATOS!$I4298="","",IFERROR(VLOOKUP(DATOS!$I4298,CONFIG_ASIGNATURAS!$B$2:$J$61,9,FALSE()),""))</f>
      </c>
    </row>
    <row r="4299">
      <c r="E4299">
        <f>IF(DATOS!$I4299="","",IFERROR(VLOOKUP(DATOS!$I4299,CONFIG_ASIGNATURAS!$B$2:$J$61,9,FALSE()),""))</f>
      </c>
    </row>
    <row r="4300">
      <c r="E4300">
        <f>IF(DATOS!$I4300="","",IFERROR(VLOOKUP(DATOS!$I4300,CONFIG_ASIGNATURAS!$B$2:$J$61,9,FALSE()),""))</f>
      </c>
    </row>
    <row r="4301">
      <c r="E4301">
        <f>IF(DATOS!$I4301="","",IFERROR(VLOOKUP(DATOS!$I4301,CONFIG_ASIGNATURAS!$B$2:$J$61,9,FALSE()),""))</f>
      </c>
    </row>
    <row r="4302">
      <c r="E4302">
        <f>IF(DATOS!$I4302="","",IFERROR(VLOOKUP(DATOS!$I4302,CONFIG_ASIGNATURAS!$B$2:$J$61,9,FALSE()),""))</f>
      </c>
    </row>
    <row r="4303">
      <c r="E4303">
        <f>IF(DATOS!$I4303="","",IFERROR(VLOOKUP(DATOS!$I4303,CONFIG_ASIGNATURAS!$B$2:$J$61,9,FALSE()),""))</f>
      </c>
    </row>
    <row r="4304">
      <c r="E4304">
        <f>IF(DATOS!$I4304="","",IFERROR(VLOOKUP(DATOS!$I4304,CONFIG_ASIGNATURAS!$B$2:$J$61,9,FALSE()),""))</f>
      </c>
    </row>
    <row r="4305">
      <c r="E4305">
        <f>IF(DATOS!$I4305="","",IFERROR(VLOOKUP(DATOS!$I4305,CONFIG_ASIGNATURAS!$B$2:$J$61,9,FALSE()),""))</f>
      </c>
    </row>
    <row r="4306">
      <c r="E4306">
        <f>IF(DATOS!$I4306="","",IFERROR(VLOOKUP(DATOS!$I4306,CONFIG_ASIGNATURAS!$B$2:$J$61,9,FALSE()),""))</f>
      </c>
    </row>
    <row r="4307">
      <c r="E4307">
        <f>IF(DATOS!$I4307="","",IFERROR(VLOOKUP(DATOS!$I4307,CONFIG_ASIGNATURAS!$B$2:$J$61,9,FALSE()),""))</f>
      </c>
    </row>
    <row r="4308">
      <c r="E4308">
        <f>IF(DATOS!$I4308="","",IFERROR(VLOOKUP(DATOS!$I4308,CONFIG_ASIGNATURAS!$B$2:$J$61,9,FALSE()),""))</f>
      </c>
    </row>
    <row r="4309">
      <c r="E4309">
        <f>IF(DATOS!$I4309="","",IFERROR(VLOOKUP(DATOS!$I4309,CONFIG_ASIGNATURAS!$B$2:$J$61,9,FALSE()),""))</f>
      </c>
    </row>
    <row r="4310">
      <c r="E4310">
        <f>IF(DATOS!$I4310="","",IFERROR(VLOOKUP(DATOS!$I4310,CONFIG_ASIGNATURAS!$B$2:$J$61,9,FALSE()),""))</f>
      </c>
    </row>
    <row r="4311">
      <c r="E4311">
        <f>IF(DATOS!$I4311="","",IFERROR(VLOOKUP(DATOS!$I4311,CONFIG_ASIGNATURAS!$B$2:$J$61,9,FALSE()),""))</f>
      </c>
    </row>
    <row r="4312">
      <c r="E4312">
        <f>IF(DATOS!$I4312="","",IFERROR(VLOOKUP(DATOS!$I4312,CONFIG_ASIGNATURAS!$B$2:$J$61,9,FALSE()),""))</f>
      </c>
    </row>
    <row r="4313">
      <c r="E4313">
        <f>IF(DATOS!$I4313="","",IFERROR(VLOOKUP(DATOS!$I4313,CONFIG_ASIGNATURAS!$B$2:$J$61,9,FALSE()),""))</f>
      </c>
    </row>
    <row r="4314">
      <c r="E4314">
        <f>IF(DATOS!$I4314="","",IFERROR(VLOOKUP(DATOS!$I4314,CONFIG_ASIGNATURAS!$B$2:$J$61,9,FALSE()),""))</f>
      </c>
    </row>
    <row r="4315">
      <c r="E4315">
        <f>IF(DATOS!$I4315="","",IFERROR(VLOOKUP(DATOS!$I4315,CONFIG_ASIGNATURAS!$B$2:$J$61,9,FALSE()),""))</f>
      </c>
    </row>
    <row r="4316">
      <c r="E4316">
        <f>IF(DATOS!$I4316="","",IFERROR(VLOOKUP(DATOS!$I4316,CONFIG_ASIGNATURAS!$B$2:$J$61,9,FALSE()),""))</f>
      </c>
    </row>
    <row r="4317">
      <c r="E4317">
        <f>IF(DATOS!$I4317="","",IFERROR(VLOOKUP(DATOS!$I4317,CONFIG_ASIGNATURAS!$B$2:$J$61,9,FALSE()),""))</f>
      </c>
    </row>
    <row r="4318">
      <c r="E4318">
        <f>IF(DATOS!$I4318="","",IFERROR(VLOOKUP(DATOS!$I4318,CONFIG_ASIGNATURAS!$B$2:$J$61,9,FALSE()),""))</f>
      </c>
    </row>
    <row r="4319">
      <c r="E4319">
        <f>IF(DATOS!$I4319="","",IFERROR(VLOOKUP(DATOS!$I4319,CONFIG_ASIGNATURAS!$B$2:$J$61,9,FALSE()),""))</f>
      </c>
    </row>
    <row r="4320">
      <c r="E4320">
        <f>IF(DATOS!$I4320="","",IFERROR(VLOOKUP(DATOS!$I4320,CONFIG_ASIGNATURAS!$B$2:$J$61,9,FALSE()),""))</f>
      </c>
    </row>
    <row r="4321">
      <c r="E4321">
        <f>IF(DATOS!$I4321="","",IFERROR(VLOOKUP(DATOS!$I4321,CONFIG_ASIGNATURAS!$B$2:$J$61,9,FALSE()),""))</f>
      </c>
    </row>
    <row r="4322">
      <c r="E4322">
        <f>IF(DATOS!$I4322="","",IFERROR(VLOOKUP(DATOS!$I4322,CONFIG_ASIGNATURAS!$B$2:$J$61,9,FALSE()),""))</f>
      </c>
    </row>
    <row r="4323">
      <c r="E4323">
        <f>IF(DATOS!$I4323="","",IFERROR(VLOOKUP(DATOS!$I4323,CONFIG_ASIGNATURAS!$B$2:$J$61,9,FALSE()),""))</f>
      </c>
    </row>
    <row r="4324">
      <c r="E4324">
        <f>IF(DATOS!$I4324="","",IFERROR(VLOOKUP(DATOS!$I4324,CONFIG_ASIGNATURAS!$B$2:$J$61,9,FALSE()),""))</f>
      </c>
    </row>
    <row r="4325">
      <c r="E4325">
        <f>IF(DATOS!$I4325="","",IFERROR(VLOOKUP(DATOS!$I4325,CONFIG_ASIGNATURAS!$B$2:$J$61,9,FALSE()),""))</f>
      </c>
    </row>
    <row r="4326">
      <c r="E4326">
        <f>IF(DATOS!$I4326="","",IFERROR(VLOOKUP(DATOS!$I4326,CONFIG_ASIGNATURAS!$B$2:$J$61,9,FALSE()),""))</f>
      </c>
    </row>
    <row r="4327">
      <c r="E4327">
        <f>IF(DATOS!$I4327="","",IFERROR(VLOOKUP(DATOS!$I4327,CONFIG_ASIGNATURAS!$B$2:$J$61,9,FALSE()),""))</f>
      </c>
    </row>
    <row r="4328">
      <c r="E4328">
        <f>IF(DATOS!$I4328="","",IFERROR(VLOOKUP(DATOS!$I4328,CONFIG_ASIGNATURAS!$B$2:$J$61,9,FALSE()),""))</f>
      </c>
    </row>
    <row r="4329">
      <c r="E4329">
        <f>IF(DATOS!$I4329="","",IFERROR(VLOOKUP(DATOS!$I4329,CONFIG_ASIGNATURAS!$B$2:$J$61,9,FALSE()),""))</f>
      </c>
    </row>
    <row r="4330">
      <c r="E4330">
        <f>IF(DATOS!$I4330="","",IFERROR(VLOOKUP(DATOS!$I4330,CONFIG_ASIGNATURAS!$B$2:$J$61,9,FALSE()),""))</f>
      </c>
    </row>
    <row r="4331">
      <c r="E4331">
        <f>IF(DATOS!$I4331="","",IFERROR(VLOOKUP(DATOS!$I4331,CONFIG_ASIGNATURAS!$B$2:$J$61,9,FALSE()),""))</f>
      </c>
    </row>
    <row r="4332">
      <c r="E4332">
        <f>IF(DATOS!$I4332="","",IFERROR(VLOOKUP(DATOS!$I4332,CONFIG_ASIGNATURAS!$B$2:$J$61,9,FALSE()),""))</f>
      </c>
    </row>
    <row r="4333">
      <c r="E4333">
        <f>IF(DATOS!$I4333="","",IFERROR(VLOOKUP(DATOS!$I4333,CONFIG_ASIGNATURAS!$B$2:$J$61,9,FALSE()),""))</f>
      </c>
    </row>
    <row r="4334">
      <c r="E4334">
        <f>IF(DATOS!$I4334="","",IFERROR(VLOOKUP(DATOS!$I4334,CONFIG_ASIGNATURAS!$B$2:$J$61,9,FALSE()),""))</f>
      </c>
    </row>
    <row r="4335">
      <c r="E4335">
        <f>IF(DATOS!$I4335="","",IFERROR(VLOOKUP(DATOS!$I4335,CONFIG_ASIGNATURAS!$B$2:$J$61,9,FALSE()),""))</f>
      </c>
    </row>
    <row r="4336">
      <c r="E4336">
        <f>IF(DATOS!$I4336="","",IFERROR(VLOOKUP(DATOS!$I4336,CONFIG_ASIGNATURAS!$B$2:$J$61,9,FALSE()),""))</f>
      </c>
    </row>
    <row r="4337">
      <c r="E4337">
        <f>IF(DATOS!$I4337="","",IFERROR(VLOOKUP(DATOS!$I4337,CONFIG_ASIGNATURAS!$B$2:$J$61,9,FALSE()),""))</f>
      </c>
    </row>
    <row r="4338">
      <c r="E4338">
        <f>IF(DATOS!$I4338="","",IFERROR(VLOOKUP(DATOS!$I4338,CONFIG_ASIGNATURAS!$B$2:$J$61,9,FALSE()),""))</f>
      </c>
    </row>
    <row r="4339">
      <c r="E4339">
        <f>IF(DATOS!$I4339="","",IFERROR(VLOOKUP(DATOS!$I4339,CONFIG_ASIGNATURAS!$B$2:$J$61,9,FALSE()),""))</f>
      </c>
    </row>
    <row r="4340">
      <c r="E4340">
        <f>IF(DATOS!$I4340="","",IFERROR(VLOOKUP(DATOS!$I4340,CONFIG_ASIGNATURAS!$B$2:$J$61,9,FALSE()),""))</f>
      </c>
    </row>
    <row r="4341">
      <c r="E4341">
        <f>IF(DATOS!$I4341="","",IFERROR(VLOOKUP(DATOS!$I4341,CONFIG_ASIGNATURAS!$B$2:$J$61,9,FALSE()),""))</f>
      </c>
    </row>
    <row r="4342">
      <c r="E4342">
        <f>IF(DATOS!$I4342="","",IFERROR(VLOOKUP(DATOS!$I4342,CONFIG_ASIGNATURAS!$B$2:$J$61,9,FALSE()),""))</f>
      </c>
    </row>
    <row r="4343">
      <c r="E4343">
        <f>IF(DATOS!$I4343="","",IFERROR(VLOOKUP(DATOS!$I4343,CONFIG_ASIGNATURAS!$B$2:$J$61,9,FALSE()),""))</f>
      </c>
    </row>
    <row r="4344">
      <c r="E4344">
        <f>IF(DATOS!$I4344="","",IFERROR(VLOOKUP(DATOS!$I4344,CONFIG_ASIGNATURAS!$B$2:$J$61,9,FALSE()),""))</f>
      </c>
    </row>
    <row r="4345">
      <c r="E4345">
        <f>IF(DATOS!$I4345="","",IFERROR(VLOOKUP(DATOS!$I4345,CONFIG_ASIGNATURAS!$B$2:$J$61,9,FALSE()),""))</f>
      </c>
    </row>
    <row r="4346">
      <c r="E4346">
        <f>IF(DATOS!$I4346="","",IFERROR(VLOOKUP(DATOS!$I4346,CONFIG_ASIGNATURAS!$B$2:$J$61,9,FALSE()),""))</f>
      </c>
    </row>
    <row r="4347">
      <c r="E4347">
        <f>IF(DATOS!$I4347="","",IFERROR(VLOOKUP(DATOS!$I4347,CONFIG_ASIGNATURAS!$B$2:$J$61,9,FALSE()),""))</f>
      </c>
    </row>
    <row r="4348">
      <c r="E4348">
        <f>IF(DATOS!$I4348="","",IFERROR(VLOOKUP(DATOS!$I4348,CONFIG_ASIGNATURAS!$B$2:$J$61,9,FALSE()),""))</f>
      </c>
    </row>
    <row r="4349">
      <c r="E4349">
        <f>IF(DATOS!$I4349="","",IFERROR(VLOOKUP(DATOS!$I4349,CONFIG_ASIGNATURAS!$B$2:$J$61,9,FALSE()),""))</f>
      </c>
    </row>
    <row r="4350">
      <c r="E4350">
        <f>IF(DATOS!$I4350="","",IFERROR(VLOOKUP(DATOS!$I4350,CONFIG_ASIGNATURAS!$B$2:$J$61,9,FALSE()),""))</f>
      </c>
    </row>
    <row r="4351">
      <c r="E4351">
        <f>IF(DATOS!$I4351="","",IFERROR(VLOOKUP(DATOS!$I4351,CONFIG_ASIGNATURAS!$B$2:$J$61,9,FALSE()),""))</f>
      </c>
    </row>
    <row r="4352">
      <c r="E4352">
        <f>IF(DATOS!$I4352="","",IFERROR(VLOOKUP(DATOS!$I4352,CONFIG_ASIGNATURAS!$B$2:$J$61,9,FALSE()),""))</f>
      </c>
    </row>
    <row r="4353">
      <c r="E4353">
        <f>IF(DATOS!$I4353="","",IFERROR(VLOOKUP(DATOS!$I4353,CONFIG_ASIGNATURAS!$B$2:$J$61,9,FALSE()),""))</f>
      </c>
    </row>
    <row r="4354">
      <c r="E4354">
        <f>IF(DATOS!$I4354="","",IFERROR(VLOOKUP(DATOS!$I4354,CONFIG_ASIGNATURAS!$B$2:$J$61,9,FALSE()),""))</f>
      </c>
    </row>
    <row r="4355">
      <c r="E4355">
        <f>IF(DATOS!$I4355="","",IFERROR(VLOOKUP(DATOS!$I4355,CONFIG_ASIGNATURAS!$B$2:$J$61,9,FALSE()),""))</f>
      </c>
    </row>
    <row r="4356">
      <c r="E4356">
        <f>IF(DATOS!$I4356="","",IFERROR(VLOOKUP(DATOS!$I4356,CONFIG_ASIGNATURAS!$B$2:$J$61,9,FALSE()),""))</f>
      </c>
    </row>
    <row r="4357">
      <c r="E4357">
        <f>IF(DATOS!$I4357="","",IFERROR(VLOOKUP(DATOS!$I4357,CONFIG_ASIGNATURAS!$B$2:$J$61,9,FALSE()),""))</f>
      </c>
    </row>
    <row r="4358">
      <c r="E4358">
        <f>IF(DATOS!$I4358="","",IFERROR(VLOOKUP(DATOS!$I4358,CONFIG_ASIGNATURAS!$B$2:$J$61,9,FALSE()),""))</f>
      </c>
    </row>
    <row r="4359">
      <c r="E4359">
        <f>IF(DATOS!$I4359="","",IFERROR(VLOOKUP(DATOS!$I4359,CONFIG_ASIGNATURAS!$B$2:$J$61,9,FALSE()),""))</f>
      </c>
    </row>
    <row r="4360">
      <c r="E4360">
        <f>IF(DATOS!$I4360="","",IFERROR(VLOOKUP(DATOS!$I4360,CONFIG_ASIGNATURAS!$B$2:$J$61,9,FALSE()),""))</f>
      </c>
    </row>
    <row r="4361">
      <c r="E4361">
        <f>IF(DATOS!$I4361="","",IFERROR(VLOOKUP(DATOS!$I4361,CONFIG_ASIGNATURAS!$B$2:$J$61,9,FALSE()),""))</f>
      </c>
    </row>
    <row r="4362">
      <c r="E4362">
        <f>IF(DATOS!$I4362="","",IFERROR(VLOOKUP(DATOS!$I4362,CONFIG_ASIGNATURAS!$B$2:$J$61,9,FALSE()),""))</f>
      </c>
    </row>
    <row r="4363">
      <c r="E4363">
        <f>IF(DATOS!$I4363="","",IFERROR(VLOOKUP(DATOS!$I4363,CONFIG_ASIGNATURAS!$B$2:$J$61,9,FALSE()),""))</f>
      </c>
    </row>
    <row r="4364">
      <c r="E4364">
        <f>IF(DATOS!$I4364="","",IFERROR(VLOOKUP(DATOS!$I4364,CONFIG_ASIGNATURAS!$B$2:$J$61,9,FALSE()),""))</f>
      </c>
    </row>
    <row r="4365">
      <c r="E4365">
        <f>IF(DATOS!$I4365="","",IFERROR(VLOOKUP(DATOS!$I4365,CONFIG_ASIGNATURAS!$B$2:$J$61,9,FALSE()),""))</f>
      </c>
    </row>
    <row r="4366">
      <c r="E4366">
        <f>IF(DATOS!$I4366="","",IFERROR(VLOOKUP(DATOS!$I4366,CONFIG_ASIGNATURAS!$B$2:$J$61,9,FALSE()),""))</f>
      </c>
    </row>
    <row r="4367">
      <c r="E4367">
        <f>IF(DATOS!$I4367="","",IFERROR(VLOOKUP(DATOS!$I4367,CONFIG_ASIGNATURAS!$B$2:$J$61,9,FALSE()),""))</f>
      </c>
    </row>
    <row r="4368">
      <c r="E4368">
        <f>IF(DATOS!$I4368="","",IFERROR(VLOOKUP(DATOS!$I4368,CONFIG_ASIGNATURAS!$B$2:$J$61,9,FALSE()),""))</f>
      </c>
    </row>
    <row r="4369">
      <c r="E4369">
        <f>IF(DATOS!$I4369="","",IFERROR(VLOOKUP(DATOS!$I4369,CONFIG_ASIGNATURAS!$B$2:$J$61,9,FALSE()),""))</f>
      </c>
    </row>
    <row r="4370">
      <c r="E4370">
        <f>IF(DATOS!$I4370="","",IFERROR(VLOOKUP(DATOS!$I4370,CONFIG_ASIGNATURAS!$B$2:$J$61,9,FALSE()),""))</f>
      </c>
    </row>
    <row r="4371">
      <c r="E4371">
        <f>IF(DATOS!$I4371="","",IFERROR(VLOOKUP(DATOS!$I4371,CONFIG_ASIGNATURAS!$B$2:$J$61,9,FALSE()),""))</f>
      </c>
    </row>
    <row r="4372">
      <c r="E4372">
        <f>IF(DATOS!$I4372="","",IFERROR(VLOOKUP(DATOS!$I4372,CONFIG_ASIGNATURAS!$B$2:$J$61,9,FALSE()),""))</f>
      </c>
    </row>
    <row r="4373">
      <c r="E4373">
        <f>IF(DATOS!$I4373="","",IFERROR(VLOOKUP(DATOS!$I4373,CONFIG_ASIGNATURAS!$B$2:$J$61,9,FALSE()),""))</f>
      </c>
    </row>
    <row r="4374">
      <c r="E4374">
        <f>IF(DATOS!$I4374="","",IFERROR(VLOOKUP(DATOS!$I4374,CONFIG_ASIGNATURAS!$B$2:$J$61,9,FALSE()),""))</f>
      </c>
    </row>
    <row r="4375">
      <c r="E4375">
        <f>IF(DATOS!$I4375="","",IFERROR(VLOOKUP(DATOS!$I4375,CONFIG_ASIGNATURAS!$B$2:$J$61,9,FALSE()),""))</f>
      </c>
    </row>
    <row r="4376">
      <c r="E4376">
        <f>IF(DATOS!$I4376="","",IFERROR(VLOOKUP(DATOS!$I4376,CONFIG_ASIGNATURAS!$B$2:$J$61,9,FALSE()),""))</f>
      </c>
    </row>
    <row r="4377">
      <c r="E4377">
        <f>IF(DATOS!$I4377="","",IFERROR(VLOOKUP(DATOS!$I4377,CONFIG_ASIGNATURAS!$B$2:$J$61,9,FALSE()),""))</f>
      </c>
    </row>
    <row r="4378">
      <c r="E4378">
        <f>IF(DATOS!$I4378="","",IFERROR(VLOOKUP(DATOS!$I4378,CONFIG_ASIGNATURAS!$B$2:$J$61,9,FALSE()),""))</f>
      </c>
    </row>
    <row r="4379">
      <c r="E4379">
        <f>IF(DATOS!$I4379="","",IFERROR(VLOOKUP(DATOS!$I4379,CONFIG_ASIGNATURAS!$B$2:$J$61,9,FALSE()),""))</f>
      </c>
    </row>
    <row r="4380">
      <c r="E4380">
        <f>IF(DATOS!$I4380="","",IFERROR(VLOOKUP(DATOS!$I4380,CONFIG_ASIGNATURAS!$B$2:$J$61,9,FALSE()),""))</f>
      </c>
    </row>
    <row r="4381">
      <c r="E4381">
        <f>IF(DATOS!$I4381="","",IFERROR(VLOOKUP(DATOS!$I4381,CONFIG_ASIGNATURAS!$B$2:$J$61,9,FALSE()),""))</f>
      </c>
    </row>
    <row r="4382">
      <c r="E4382">
        <f>IF(DATOS!$I4382="","",IFERROR(VLOOKUP(DATOS!$I4382,CONFIG_ASIGNATURAS!$B$2:$J$61,9,FALSE()),""))</f>
      </c>
    </row>
    <row r="4383">
      <c r="E4383">
        <f>IF(DATOS!$I4383="","",IFERROR(VLOOKUP(DATOS!$I4383,CONFIG_ASIGNATURAS!$B$2:$J$61,9,FALSE()),""))</f>
      </c>
    </row>
    <row r="4384">
      <c r="E4384">
        <f>IF(DATOS!$I4384="","",IFERROR(VLOOKUP(DATOS!$I4384,CONFIG_ASIGNATURAS!$B$2:$J$61,9,FALSE()),""))</f>
      </c>
    </row>
    <row r="4385">
      <c r="E4385">
        <f>IF(DATOS!$I4385="","",IFERROR(VLOOKUP(DATOS!$I4385,CONFIG_ASIGNATURAS!$B$2:$J$61,9,FALSE()),""))</f>
      </c>
    </row>
    <row r="4386">
      <c r="E4386">
        <f>IF(DATOS!$I4386="","",IFERROR(VLOOKUP(DATOS!$I4386,CONFIG_ASIGNATURAS!$B$2:$J$61,9,FALSE()),""))</f>
      </c>
    </row>
    <row r="4387">
      <c r="E4387">
        <f>IF(DATOS!$I4387="","",IFERROR(VLOOKUP(DATOS!$I4387,CONFIG_ASIGNATURAS!$B$2:$J$61,9,FALSE()),""))</f>
      </c>
    </row>
    <row r="4388">
      <c r="E4388">
        <f>IF(DATOS!$I4388="","",IFERROR(VLOOKUP(DATOS!$I4388,CONFIG_ASIGNATURAS!$B$2:$J$61,9,FALSE()),""))</f>
      </c>
    </row>
    <row r="4389">
      <c r="E4389">
        <f>IF(DATOS!$I4389="","",IFERROR(VLOOKUP(DATOS!$I4389,CONFIG_ASIGNATURAS!$B$2:$J$61,9,FALSE()),""))</f>
      </c>
    </row>
    <row r="4390">
      <c r="E4390">
        <f>IF(DATOS!$I4390="","",IFERROR(VLOOKUP(DATOS!$I4390,CONFIG_ASIGNATURAS!$B$2:$J$61,9,FALSE()),""))</f>
      </c>
    </row>
    <row r="4391">
      <c r="E4391">
        <f>IF(DATOS!$I4391="","",IFERROR(VLOOKUP(DATOS!$I4391,CONFIG_ASIGNATURAS!$B$2:$J$61,9,FALSE()),""))</f>
      </c>
    </row>
    <row r="4392">
      <c r="E4392">
        <f>IF(DATOS!$I4392="","",IFERROR(VLOOKUP(DATOS!$I4392,CONFIG_ASIGNATURAS!$B$2:$J$61,9,FALSE()),""))</f>
      </c>
    </row>
    <row r="4393">
      <c r="E4393">
        <f>IF(DATOS!$I4393="","",IFERROR(VLOOKUP(DATOS!$I4393,CONFIG_ASIGNATURAS!$B$2:$J$61,9,FALSE()),""))</f>
      </c>
    </row>
    <row r="4394">
      <c r="E4394">
        <f>IF(DATOS!$I4394="","",IFERROR(VLOOKUP(DATOS!$I4394,CONFIG_ASIGNATURAS!$B$2:$J$61,9,FALSE()),""))</f>
      </c>
    </row>
    <row r="4395">
      <c r="E4395">
        <f>IF(DATOS!$I4395="","",IFERROR(VLOOKUP(DATOS!$I4395,CONFIG_ASIGNATURAS!$B$2:$J$61,9,FALSE()),""))</f>
      </c>
    </row>
    <row r="4396">
      <c r="E4396">
        <f>IF(DATOS!$I4396="","",IFERROR(VLOOKUP(DATOS!$I4396,CONFIG_ASIGNATURAS!$B$2:$J$61,9,FALSE()),""))</f>
      </c>
    </row>
    <row r="4397">
      <c r="E4397">
        <f>IF(DATOS!$I4397="","",IFERROR(VLOOKUP(DATOS!$I4397,CONFIG_ASIGNATURAS!$B$2:$J$61,9,FALSE()),""))</f>
      </c>
    </row>
    <row r="4398">
      <c r="E4398">
        <f>IF(DATOS!$I4398="","",IFERROR(VLOOKUP(DATOS!$I4398,CONFIG_ASIGNATURAS!$B$2:$J$61,9,FALSE()),""))</f>
      </c>
    </row>
    <row r="4399">
      <c r="E4399">
        <f>IF(DATOS!$I4399="","",IFERROR(VLOOKUP(DATOS!$I4399,CONFIG_ASIGNATURAS!$B$2:$J$61,9,FALSE()),""))</f>
      </c>
    </row>
    <row r="4400">
      <c r="E4400">
        <f>IF(DATOS!$I4400="","",IFERROR(VLOOKUP(DATOS!$I4400,CONFIG_ASIGNATURAS!$B$2:$J$61,9,FALSE()),""))</f>
      </c>
    </row>
    <row r="4401">
      <c r="E4401">
        <f>IF(DATOS!$I4401="","",IFERROR(VLOOKUP(DATOS!$I4401,CONFIG_ASIGNATURAS!$B$2:$J$61,9,FALSE()),""))</f>
      </c>
    </row>
    <row r="4402">
      <c r="E4402">
        <f>IF(DATOS!$I4402="","",IFERROR(VLOOKUP(DATOS!$I4402,CONFIG_ASIGNATURAS!$B$2:$J$61,9,FALSE()),""))</f>
      </c>
    </row>
    <row r="4403">
      <c r="E4403">
        <f>IF(DATOS!$I4403="","",IFERROR(VLOOKUP(DATOS!$I4403,CONFIG_ASIGNATURAS!$B$2:$J$61,9,FALSE()),""))</f>
      </c>
    </row>
    <row r="4404">
      <c r="E4404">
        <f>IF(DATOS!$I4404="","",IFERROR(VLOOKUP(DATOS!$I4404,CONFIG_ASIGNATURAS!$B$2:$J$61,9,FALSE()),""))</f>
      </c>
    </row>
    <row r="4405">
      <c r="E4405">
        <f>IF(DATOS!$I4405="","",IFERROR(VLOOKUP(DATOS!$I4405,CONFIG_ASIGNATURAS!$B$2:$J$61,9,FALSE()),""))</f>
      </c>
    </row>
    <row r="4406">
      <c r="E4406">
        <f>IF(DATOS!$I4406="","",IFERROR(VLOOKUP(DATOS!$I4406,CONFIG_ASIGNATURAS!$B$2:$J$61,9,FALSE()),""))</f>
      </c>
    </row>
    <row r="4407">
      <c r="E4407">
        <f>IF(DATOS!$I4407="","",IFERROR(VLOOKUP(DATOS!$I4407,CONFIG_ASIGNATURAS!$B$2:$J$61,9,FALSE()),""))</f>
      </c>
    </row>
    <row r="4408">
      <c r="E4408">
        <f>IF(DATOS!$I4408="","",IFERROR(VLOOKUP(DATOS!$I4408,CONFIG_ASIGNATURAS!$B$2:$J$61,9,FALSE()),""))</f>
      </c>
    </row>
    <row r="4409">
      <c r="E4409">
        <f>IF(DATOS!$I4409="","",IFERROR(VLOOKUP(DATOS!$I4409,CONFIG_ASIGNATURAS!$B$2:$J$61,9,FALSE()),""))</f>
      </c>
    </row>
    <row r="4410">
      <c r="E4410">
        <f>IF(DATOS!$I4410="","",IFERROR(VLOOKUP(DATOS!$I4410,CONFIG_ASIGNATURAS!$B$2:$J$61,9,FALSE()),""))</f>
      </c>
    </row>
    <row r="4411">
      <c r="E4411">
        <f>IF(DATOS!$I4411="","",IFERROR(VLOOKUP(DATOS!$I4411,CONFIG_ASIGNATURAS!$B$2:$J$61,9,FALSE()),""))</f>
      </c>
    </row>
    <row r="4412">
      <c r="E4412">
        <f>IF(DATOS!$I4412="","",IFERROR(VLOOKUP(DATOS!$I4412,CONFIG_ASIGNATURAS!$B$2:$J$61,9,FALSE()),""))</f>
      </c>
    </row>
    <row r="4413">
      <c r="E4413">
        <f>IF(DATOS!$I4413="","",IFERROR(VLOOKUP(DATOS!$I4413,CONFIG_ASIGNATURAS!$B$2:$J$61,9,FALSE()),""))</f>
      </c>
    </row>
    <row r="4414">
      <c r="E4414">
        <f>IF(DATOS!$I4414="","",IFERROR(VLOOKUP(DATOS!$I4414,CONFIG_ASIGNATURAS!$B$2:$J$61,9,FALSE()),""))</f>
      </c>
    </row>
    <row r="4415">
      <c r="E4415">
        <f>IF(DATOS!$I4415="","",IFERROR(VLOOKUP(DATOS!$I4415,CONFIG_ASIGNATURAS!$B$2:$J$61,9,FALSE()),""))</f>
      </c>
    </row>
    <row r="4416">
      <c r="E4416">
        <f>IF(DATOS!$I4416="","",IFERROR(VLOOKUP(DATOS!$I4416,CONFIG_ASIGNATURAS!$B$2:$J$61,9,FALSE()),""))</f>
      </c>
    </row>
    <row r="4417">
      <c r="E4417">
        <f>IF(DATOS!$I4417="","",IFERROR(VLOOKUP(DATOS!$I4417,CONFIG_ASIGNATURAS!$B$2:$J$61,9,FALSE()),""))</f>
      </c>
    </row>
    <row r="4418">
      <c r="E4418">
        <f>IF(DATOS!$I4418="","",IFERROR(VLOOKUP(DATOS!$I4418,CONFIG_ASIGNATURAS!$B$2:$J$61,9,FALSE()),""))</f>
      </c>
    </row>
    <row r="4419">
      <c r="E4419">
        <f>IF(DATOS!$I4419="","",IFERROR(VLOOKUP(DATOS!$I4419,CONFIG_ASIGNATURAS!$B$2:$J$61,9,FALSE()),""))</f>
      </c>
    </row>
    <row r="4420">
      <c r="E4420">
        <f>IF(DATOS!$I4420="","",IFERROR(VLOOKUP(DATOS!$I4420,CONFIG_ASIGNATURAS!$B$2:$J$61,9,FALSE()),""))</f>
      </c>
    </row>
    <row r="4421">
      <c r="E4421">
        <f>IF(DATOS!$I4421="","",IFERROR(VLOOKUP(DATOS!$I4421,CONFIG_ASIGNATURAS!$B$2:$J$61,9,FALSE()),""))</f>
      </c>
    </row>
    <row r="4422">
      <c r="E4422">
        <f>IF(DATOS!$I4422="","",IFERROR(VLOOKUP(DATOS!$I4422,CONFIG_ASIGNATURAS!$B$2:$J$61,9,FALSE()),""))</f>
      </c>
    </row>
    <row r="4423">
      <c r="E4423">
        <f>IF(DATOS!$I4423="","",IFERROR(VLOOKUP(DATOS!$I4423,CONFIG_ASIGNATURAS!$B$2:$J$61,9,FALSE()),""))</f>
      </c>
    </row>
    <row r="4424">
      <c r="E4424">
        <f>IF(DATOS!$I4424="","",IFERROR(VLOOKUP(DATOS!$I4424,CONFIG_ASIGNATURAS!$B$2:$J$61,9,FALSE()),""))</f>
      </c>
    </row>
    <row r="4425">
      <c r="E4425">
        <f>IF(DATOS!$I4425="","",IFERROR(VLOOKUP(DATOS!$I4425,CONFIG_ASIGNATURAS!$B$2:$J$61,9,FALSE()),""))</f>
      </c>
    </row>
    <row r="4426">
      <c r="E4426">
        <f>IF(DATOS!$I4426="","",IFERROR(VLOOKUP(DATOS!$I4426,CONFIG_ASIGNATURAS!$B$2:$J$61,9,FALSE()),""))</f>
      </c>
    </row>
    <row r="4427">
      <c r="E4427">
        <f>IF(DATOS!$I4427="","",IFERROR(VLOOKUP(DATOS!$I4427,CONFIG_ASIGNATURAS!$B$2:$J$61,9,FALSE()),""))</f>
      </c>
    </row>
    <row r="4428">
      <c r="E4428">
        <f>IF(DATOS!$I4428="","",IFERROR(VLOOKUP(DATOS!$I4428,CONFIG_ASIGNATURAS!$B$2:$J$61,9,FALSE()),""))</f>
      </c>
    </row>
    <row r="4429">
      <c r="E4429">
        <f>IF(DATOS!$I4429="","",IFERROR(VLOOKUP(DATOS!$I4429,CONFIG_ASIGNATURAS!$B$2:$J$61,9,FALSE()),""))</f>
      </c>
    </row>
    <row r="4430">
      <c r="E4430">
        <f>IF(DATOS!$I4430="","",IFERROR(VLOOKUP(DATOS!$I4430,CONFIG_ASIGNATURAS!$B$2:$J$61,9,FALSE()),""))</f>
      </c>
    </row>
    <row r="4431">
      <c r="E4431">
        <f>IF(DATOS!$I4431="","",IFERROR(VLOOKUP(DATOS!$I4431,CONFIG_ASIGNATURAS!$B$2:$J$61,9,FALSE()),""))</f>
      </c>
    </row>
    <row r="4432">
      <c r="E4432">
        <f>IF(DATOS!$I4432="","",IFERROR(VLOOKUP(DATOS!$I4432,CONFIG_ASIGNATURAS!$B$2:$J$61,9,FALSE()),""))</f>
      </c>
    </row>
    <row r="4433">
      <c r="E4433">
        <f>IF(DATOS!$I4433="","",IFERROR(VLOOKUP(DATOS!$I4433,CONFIG_ASIGNATURAS!$B$2:$J$61,9,FALSE()),""))</f>
      </c>
    </row>
    <row r="4434">
      <c r="E4434">
        <f>IF(DATOS!$I4434="","",IFERROR(VLOOKUP(DATOS!$I4434,CONFIG_ASIGNATURAS!$B$2:$J$61,9,FALSE()),""))</f>
      </c>
    </row>
    <row r="4435">
      <c r="E4435">
        <f>IF(DATOS!$I4435="","",IFERROR(VLOOKUP(DATOS!$I4435,CONFIG_ASIGNATURAS!$B$2:$J$61,9,FALSE()),""))</f>
      </c>
    </row>
    <row r="4436">
      <c r="E4436">
        <f>IF(DATOS!$I4436="","",IFERROR(VLOOKUP(DATOS!$I4436,CONFIG_ASIGNATURAS!$B$2:$J$61,9,FALSE()),""))</f>
      </c>
    </row>
    <row r="4437">
      <c r="E4437">
        <f>IF(DATOS!$I4437="","",IFERROR(VLOOKUP(DATOS!$I4437,CONFIG_ASIGNATURAS!$B$2:$J$61,9,FALSE()),""))</f>
      </c>
    </row>
    <row r="4438">
      <c r="E4438">
        <f>IF(DATOS!$I4438="","",IFERROR(VLOOKUP(DATOS!$I4438,CONFIG_ASIGNATURAS!$B$2:$J$61,9,FALSE()),""))</f>
      </c>
    </row>
    <row r="4439">
      <c r="E4439">
        <f>IF(DATOS!$I4439="","",IFERROR(VLOOKUP(DATOS!$I4439,CONFIG_ASIGNATURAS!$B$2:$J$61,9,FALSE()),""))</f>
      </c>
    </row>
    <row r="4440">
      <c r="E4440">
        <f>IF(DATOS!$I4440="","",IFERROR(VLOOKUP(DATOS!$I4440,CONFIG_ASIGNATURAS!$B$2:$J$61,9,FALSE()),""))</f>
      </c>
    </row>
    <row r="4441">
      <c r="E4441">
        <f>IF(DATOS!$I4441="","",IFERROR(VLOOKUP(DATOS!$I4441,CONFIG_ASIGNATURAS!$B$2:$J$61,9,FALSE()),""))</f>
      </c>
    </row>
    <row r="4442">
      <c r="E4442">
        <f>IF(DATOS!$I4442="","",IFERROR(VLOOKUP(DATOS!$I4442,CONFIG_ASIGNATURAS!$B$2:$J$61,9,FALSE()),""))</f>
      </c>
    </row>
    <row r="4443">
      <c r="E4443">
        <f>IF(DATOS!$I4443="","",IFERROR(VLOOKUP(DATOS!$I4443,CONFIG_ASIGNATURAS!$B$2:$J$61,9,FALSE()),""))</f>
      </c>
    </row>
    <row r="4444">
      <c r="E4444">
        <f>IF(DATOS!$I4444="","",IFERROR(VLOOKUP(DATOS!$I4444,CONFIG_ASIGNATURAS!$B$2:$J$61,9,FALSE()),""))</f>
      </c>
    </row>
    <row r="4445">
      <c r="E4445">
        <f>IF(DATOS!$I4445="","",IFERROR(VLOOKUP(DATOS!$I4445,CONFIG_ASIGNATURAS!$B$2:$J$61,9,FALSE()),""))</f>
      </c>
    </row>
    <row r="4446">
      <c r="E4446">
        <f>IF(DATOS!$I4446="","",IFERROR(VLOOKUP(DATOS!$I4446,CONFIG_ASIGNATURAS!$B$2:$J$61,9,FALSE()),""))</f>
      </c>
    </row>
    <row r="4447">
      <c r="E4447">
        <f>IF(DATOS!$I4447="","",IFERROR(VLOOKUP(DATOS!$I4447,CONFIG_ASIGNATURAS!$B$2:$J$61,9,FALSE()),""))</f>
      </c>
    </row>
    <row r="4448">
      <c r="E4448">
        <f>IF(DATOS!$I4448="","",IFERROR(VLOOKUP(DATOS!$I4448,CONFIG_ASIGNATURAS!$B$2:$J$61,9,FALSE()),""))</f>
      </c>
    </row>
    <row r="4449">
      <c r="E4449">
        <f>IF(DATOS!$I4449="","",IFERROR(VLOOKUP(DATOS!$I4449,CONFIG_ASIGNATURAS!$B$2:$J$61,9,FALSE()),""))</f>
      </c>
    </row>
    <row r="4450">
      <c r="E4450">
        <f>IF(DATOS!$I4450="","",IFERROR(VLOOKUP(DATOS!$I4450,CONFIG_ASIGNATURAS!$B$2:$J$61,9,FALSE()),""))</f>
      </c>
    </row>
    <row r="4451">
      <c r="E4451">
        <f>IF(DATOS!$I4451="","",IFERROR(VLOOKUP(DATOS!$I4451,CONFIG_ASIGNATURAS!$B$2:$J$61,9,FALSE()),""))</f>
      </c>
    </row>
    <row r="4452">
      <c r="E4452">
        <f>IF(DATOS!$I4452="","",IFERROR(VLOOKUP(DATOS!$I4452,CONFIG_ASIGNATURAS!$B$2:$J$61,9,FALSE()),""))</f>
      </c>
    </row>
    <row r="4453">
      <c r="E4453">
        <f>IF(DATOS!$I4453="","",IFERROR(VLOOKUP(DATOS!$I4453,CONFIG_ASIGNATURAS!$B$2:$J$61,9,FALSE()),""))</f>
      </c>
    </row>
    <row r="4454">
      <c r="E4454">
        <f>IF(DATOS!$I4454="","",IFERROR(VLOOKUP(DATOS!$I4454,CONFIG_ASIGNATURAS!$B$2:$J$61,9,FALSE()),""))</f>
      </c>
    </row>
    <row r="4455">
      <c r="E4455">
        <f>IF(DATOS!$I4455="","",IFERROR(VLOOKUP(DATOS!$I4455,CONFIG_ASIGNATURAS!$B$2:$J$61,9,FALSE()),""))</f>
      </c>
    </row>
    <row r="4456">
      <c r="E4456">
        <f>IF(DATOS!$I4456="","",IFERROR(VLOOKUP(DATOS!$I4456,CONFIG_ASIGNATURAS!$B$2:$J$61,9,FALSE()),""))</f>
      </c>
    </row>
    <row r="4457">
      <c r="E4457">
        <f>IF(DATOS!$I4457="","",IFERROR(VLOOKUP(DATOS!$I4457,CONFIG_ASIGNATURAS!$B$2:$J$61,9,FALSE()),""))</f>
      </c>
    </row>
    <row r="4458">
      <c r="E4458">
        <f>IF(DATOS!$I4458="","",IFERROR(VLOOKUP(DATOS!$I4458,CONFIG_ASIGNATURAS!$B$2:$J$61,9,FALSE()),""))</f>
      </c>
    </row>
    <row r="4459">
      <c r="E4459">
        <f>IF(DATOS!$I4459="","",IFERROR(VLOOKUP(DATOS!$I4459,CONFIG_ASIGNATURAS!$B$2:$J$61,9,FALSE()),""))</f>
      </c>
    </row>
    <row r="4460">
      <c r="E4460">
        <f>IF(DATOS!$I4460="","",IFERROR(VLOOKUP(DATOS!$I4460,CONFIG_ASIGNATURAS!$B$2:$J$61,9,FALSE()),""))</f>
      </c>
    </row>
    <row r="4461">
      <c r="E4461">
        <f>IF(DATOS!$I4461="","",IFERROR(VLOOKUP(DATOS!$I4461,CONFIG_ASIGNATURAS!$B$2:$J$61,9,FALSE()),""))</f>
      </c>
    </row>
    <row r="4462">
      <c r="E4462">
        <f>IF(DATOS!$I4462="","",IFERROR(VLOOKUP(DATOS!$I4462,CONFIG_ASIGNATURAS!$B$2:$J$61,9,FALSE()),""))</f>
      </c>
    </row>
    <row r="4463">
      <c r="E4463">
        <f>IF(DATOS!$I4463="","",IFERROR(VLOOKUP(DATOS!$I4463,CONFIG_ASIGNATURAS!$B$2:$J$61,9,FALSE()),""))</f>
      </c>
    </row>
    <row r="4464">
      <c r="E4464">
        <f>IF(DATOS!$I4464="","",IFERROR(VLOOKUP(DATOS!$I4464,CONFIG_ASIGNATURAS!$B$2:$J$61,9,FALSE()),""))</f>
      </c>
    </row>
    <row r="4465">
      <c r="E4465">
        <f>IF(DATOS!$I4465="","",IFERROR(VLOOKUP(DATOS!$I4465,CONFIG_ASIGNATURAS!$B$2:$J$61,9,FALSE()),""))</f>
      </c>
    </row>
    <row r="4466">
      <c r="E4466">
        <f>IF(DATOS!$I4466="","",IFERROR(VLOOKUP(DATOS!$I4466,CONFIG_ASIGNATURAS!$B$2:$J$61,9,FALSE()),""))</f>
      </c>
    </row>
    <row r="4467">
      <c r="E4467">
        <f>IF(DATOS!$I4467="","",IFERROR(VLOOKUP(DATOS!$I4467,CONFIG_ASIGNATURAS!$B$2:$J$61,9,FALSE()),""))</f>
      </c>
    </row>
    <row r="4468">
      <c r="E4468">
        <f>IF(DATOS!$I4468="","",IFERROR(VLOOKUP(DATOS!$I4468,CONFIG_ASIGNATURAS!$B$2:$J$61,9,FALSE()),""))</f>
      </c>
    </row>
    <row r="4469">
      <c r="E4469">
        <f>IF(DATOS!$I4469="","",IFERROR(VLOOKUP(DATOS!$I4469,CONFIG_ASIGNATURAS!$B$2:$J$61,9,FALSE()),""))</f>
      </c>
    </row>
    <row r="4470">
      <c r="E4470">
        <f>IF(DATOS!$I4470="","",IFERROR(VLOOKUP(DATOS!$I4470,CONFIG_ASIGNATURAS!$B$2:$J$61,9,FALSE()),""))</f>
      </c>
    </row>
    <row r="4471">
      <c r="E4471">
        <f>IF(DATOS!$I4471="","",IFERROR(VLOOKUP(DATOS!$I4471,CONFIG_ASIGNATURAS!$B$2:$J$61,9,FALSE()),""))</f>
      </c>
    </row>
    <row r="4472">
      <c r="E4472">
        <f>IF(DATOS!$I4472="","",IFERROR(VLOOKUP(DATOS!$I4472,CONFIG_ASIGNATURAS!$B$2:$J$61,9,FALSE()),""))</f>
      </c>
    </row>
    <row r="4473">
      <c r="E4473">
        <f>IF(DATOS!$I4473="","",IFERROR(VLOOKUP(DATOS!$I4473,CONFIG_ASIGNATURAS!$B$2:$J$61,9,FALSE()),""))</f>
      </c>
    </row>
    <row r="4474">
      <c r="E4474">
        <f>IF(DATOS!$I4474="","",IFERROR(VLOOKUP(DATOS!$I4474,CONFIG_ASIGNATURAS!$B$2:$J$61,9,FALSE()),""))</f>
      </c>
    </row>
    <row r="4475">
      <c r="E4475">
        <f>IF(DATOS!$I4475="","",IFERROR(VLOOKUP(DATOS!$I4475,CONFIG_ASIGNATURAS!$B$2:$J$61,9,FALSE()),""))</f>
      </c>
    </row>
    <row r="4476">
      <c r="E4476">
        <f>IF(DATOS!$I4476="","",IFERROR(VLOOKUP(DATOS!$I4476,CONFIG_ASIGNATURAS!$B$2:$J$61,9,FALSE()),""))</f>
      </c>
    </row>
    <row r="4477">
      <c r="E4477">
        <f>IF(DATOS!$I4477="","",IFERROR(VLOOKUP(DATOS!$I4477,CONFIG_ASIGNATURAS!$B$2:$J$61,9,FALSE()),""))</f>
      </c>
    </row>
    <row r="4478">
      <c r="E4478">
        <f>IF(DATOS!$I4478="","",IFERROR(VLOOKUP(DATOS!$I4478,CONFIG_ASIGNATURAS!$B$2:$J$61,9,FALSE()),""))</f>
      </c>
    </row>
    <row r="4479">
      <c r="E4479">
        <f>IF(DATOS!$I4479="","",IFERROR(VLOOKUP(DATOS!$I4479,CONFIG_ASIGNATURAS!$B$2:$J$61,9,FALSE()),""))</f>
      </c>
    </row>
    <row r="4480">
      <c r="E4480">
        <f>IF(DATOS!$I4480="","",IFERROR(VLOOKUP(DATOS!$I4480,CONFIG_ASIGNATURAS!$B$2:$J$61,9,FALSE()),""))</f>
      </c>
    </row>
    <row r="4481">
      <c r="E4481">
        <f>IF(DATOS!$I4481="","",IFERROR(VLOOKUP(DATOS!$I4481,CONFIG_ASIGNATURAS!$B$2:$J$61,9,FALSE()),""))</f>
      </c>
    </row>
    <row r="4482">
      <c r="E4482">
        <f>IF(DATOS!$I4482="","",IFERROR(VLOOKUP(DATOS!$I4482,CONFIG_ASIGNATURAS!$B$2:$J$61,9,FALSE()),""))</f>
      </c>
    </row>
    <row r="4483">
      <c r="E4483">
        <f>IF(DATOS!$I4483="","",IFERROR(VLOOKUP(DATOS!$I4483,CONFIG_ASIGNATURAS!$B$2:$J$61,9,FALSE()),""))</f>
      </c>
    </row>
    <row r="4484">
      <c r="E4484">
        <f>IF(DATOS!$I4484="","",IFERROR(VLOOKUP(DATOS!$I4484,CONFIG_ASIGNATURAS!$B$2:$J$61,9,FALSE()),""))</f>
      </c>
    </row>
    <row r="4485">
      <c r="E4485">
        <f>IF(DATOS!$I4485="","",IFERROR(VLOOKUP(DATOS!$I4485,CONFIG_ASIGNATURAS!$B$2:$J$61,9,FALSE()),""))</f>
      </c>
    </row>
    <row r="4486">
      <c r="E4486">
        <f>IF(DATOS!$I4486="","",IFERROR(VLOOKUP(DATOS!$I4486,CONFIG_ASIGNATURAS!$B$2:$J$61,9,FALSE()),""))</f>
      </c>
    </row>
    <row r="4487">
      <c r="E4487">
        <f>IF(DATOS!$I4487="","",IFERROR(VLOOKUP(DATOS!$I4487,CONFIG_ASIGNATURAS!$B$2:$J$61,9,FALSE()),""))</f>
      </c>
    </row>
    <row r="4488">
      <c r="E4488">
        <f>IF(DATOS!$I4488="","",IFERROR(VLOOKUP(DATOS!$I4488,CONFIG_ASIGNATURAS!$B$2:$J$61,9,FALSE()),""))</f>
      </c>
    </row>
    <row r="4489">
      <c r="E4489">
        <f>IF(DATOS!$I4489="","",IFERROR(VLOOKUP(DATOS!$I4489,CONFIG_ASIGNATURAS!$B$2:$J$61,9,FALSE()),""))</f>
      </c>
    </row>
    <row r="4490">
      <c r="E4490">
        <f>IF(DATOS!$I4490="","",IFERROR(VLOOKUP(DATOS!$I4490,CONFIG_ASIGNATURAS!$B$2:$J$61,9,FALSE()),""))</f>
      </c>
    </row>
    <row r="4491">
      <c r="E4491">
        <f>IF(DATOS!$I4491="","",IFERROR(VLOOKUP(DATOS!$I4491,CONFIG_ASIGNATURAS!$B$2:$J$61,9,FALSE()),""))</f>
      </c>
    </row>
    <row r="4492">
      <c r="E4492">
        <f>IF(DATOS!$I4492="","",IFERROR(VLOOKUP(DATOS!$I4492,CONFIG_ASIGNATURAS!$B$2:$J$61,9,FALSE()),""))</f>
      </c>
    </row>
    <row r="4493">
      <c r="E4493">
        <f>IF(DATOS!$I4493="","",IFERROR(VLOOKUP(DATOS!$I4493,CONFIG_ASIGNATURAS!$B$2:$J$61,9,FALSE()),""))</f>
      </c>
    </row>
    <row r="4494">
      <c r="E4494">
        <f>IF(DATOS!$I4494="","",IFERROR(VLOOKUP(DATOS!$I4494,CONFIG_ASIGNATURAS!$B$2:$J$61,9,FALSE()),""))</f>
      </c>
    </row>
    <row r="4495">
      <c r="E4495">
        <f>IF(DATOS!$I4495="","",IFERROR(VLOOKUP(DATOS!$I4495,CONFIG_ASIGNATURAS!$B$2:$J$61,9,FALSE()),""))</f>
      </c>
    </row>
    <row r="4496">
      <c r="E4496">
        <f>IF(DATOS!$I4496="","",IFERROR(VLOOKUP(DATOS!$I4496,CONFIG_ASIGNATURAS!$B$2:$J$61,9,FALSE()),""))</f>
      </c>
    </row>
    <row r="4497">
      <c r="E4497">
        <f>IF(DATOS!$I4497="","",IFERROR(VLOOKUP(DATOS!$I4497,CONFIG_ASIGNATURAS!$B$2:$J$61,9,FALSE()),""))</f>
      </c>
    </row>
    <row r="4498">
      <c r="E4498">
        <f>IF(DATOS!$I4498="","",IFERROR(VLOOKUP(DATOS!$I4498,CONFIG_ASIGNATURAS!$B$2:$J$61,9,FALSE()),""))</f>
      </c>
    </row>
    <row r="4499">
      <c r="E4499">
        <f>IF(DATOS!$I4499="","",IFERROR(VLOOKUP(DATOS!$I4499,CONFIG_ASIGNATURAS!$B$2:$J$61,9,FALSE()),""))</f>
      </c>
    </row>
    <row r="4500">
      <c r="E4500">
        <f>IF(DATOS!$I4500="","",IFERROR(VLOOKUP(DATOS!$I4500,CONFIG_ASIGNATURAS!$B$2:$J$61,9,FALSE()),""))</f>
      </c>
    </row>
    <row r="4501">
      <c r="E4501">
        <f>IF(DATOS!$I4501="","",IFERROR(VLOOKUP(DATOS!$I4501,CONFIG_ASIGNATURAS!$B$2:$J$61,9,FALSE()),""))</f>
      </c>
    </row>
    <row r="4502">
      <c r="E4502">
        <f>IF(DATOS!$I4502="","",IFERROR(VLOOKUP(DATOS!$I4502,CONFIG_ASIGNATURAS!$B$2:$J$61,9,FALSE()),""))</f>
      </c>
    </row>
    <row r="4503">
      <c r="E4503">
        <f>IF(DATOS!$I4503="","",IFERROR(VLOOKUP(DATOS!$I4503,CONFIG_ASIGNATURAS!$B$2:$J$61,9,FALSE()),""))</f>
      </c>
    </row>
    <row r="4504">
      <c r="E4504">
        <f>IF(DATOS!$I4504="","",IFERROR(VLOOKUP(DATOS!$I4504,CONFIG_ASIGNATURAS!$B$2:$J$61,9,FALSE()),""))</f>
      </c>
    </row>
    <row r="4505">
      <c r="E4505">
        <f>IF(DATOS!$I4505="","",IFERROR(VLOOKUP(DATOS!$I4505,CONFIG_ASIGNATURAS!$B$2:$J$61,9,FALSE()),""))</f>
      </c>
    </row>
    <row r="4506">
      <c r="E4506">
        <f>IF(DATOS!$I4506="","",IFERROR(VLOOKUP(DATOS!$I4506,CONFIG_ASIGNATURAS!$B$2:$J$61,9,FALSE()),""))</f>
      </c>
    </row>
    <row r="4507">
      <c r="E4507">
        <f>IF(DATOS!$I4507="","",IFERROR(VLOOKUP(DATOS!$I4507,CONFIG_ASIGNATURAS!$B$2:$J$61,9,FALSE()),""))</f>
      </c>
    </row>
    <row r="4508">
      <c r="E4508">
        <f>IF(DATOS!$I4508="","",IFERROR(VLOOKUP(DATOS!$I4508,CONFIG_ASIGNATURAS!$B$2:$J$61,9,FALSE()),""))</f>
      </c>
    </row>
    <row r="4509">
      <c r="E4509">
        <f>IF(DATOS!$I4509="","",IFERROR(VLOOKUP(DATOS!$I4509,CONFIG_ASIGNATURAS!$B$2:$J$61,9,FALSE()),""))</f>
      </c>
    </row>
    <row r="4510">
      <c r="E4510">
        <f>IF(DATOS!$I4510="","",IFERROR(VLOOKUP(DATOS!$I4510,CONFIG_ASIGNATURAS!$B$2:$J$61,9,FALSE()),""))</f>
      </c>
    </row>
    <row r="4511">
      <c r="E4511">
        <f>IF(DATOS!$I4511="","",IFERROR(VLOOKUP(DATOS!$I4511,CONFIG_ASIGNATURAS!$B$2:$J$61,9,FALSE()),""))</f>
      </c>
    </row>
    <row r="4512">
      <c r="E4512">
        <f>IF(DATOS!$I4512="","",IFERROR(VLOOKUP(DATOS!$I4512,CONFIG_ASIGNATURAS!$B$2:$J$61,9,FALSE()),""))</f>
      </c>
    </row>
    <row r="4513">
      <c r="E4513">
        <f>IF(DATOS!$I4513="","",IFERROR(VLOOKUP(DATOS!$I4513,CONFIG_ASIGNATURAS!$B$2:$J$61,9,FALSE()),""))</f>
      </c>
    </row>
    <row r="4514">
      <c r="E4514">
        <f>IF(DATOS!$I4514="","",IFERROR(VLOOKUP(DATOS!$I4514,CONFIG_ASIGNATURAS!$B$2:$J$61,9,FALSE()),""))</f>
      </c>
    </row>
    <row r="4515">
      <c r="E4515">
        <f>IF(DATOS!$I4515="","",IFERROR(VLOOKUP(DATOS!$I4515,CONFIG_ASIGNATURAS!$B$2:$J$61,9,FALSE()),""))</f>
      </c>
    </row>
    <row r="4516">
      <c r="E4516">
        <f>IF(DATOS!$I4516="","",IFERROR(VLOOKUP(DATOS!$I4516,CONFIG_ASIGNATURAS!$B$2:$J$61,9,FALSE()),""))</f>
      </c>
    </row>
    <row r="4517">
      <c r="E4517">
        <f>IF(DATOS!$I4517="","",IFERROR(VLOOKUP(DATOS!$I4517,CONFIG_ASIGNATURAS!$B$2:$J$61,9,FALSE()),""))</f>
      </c>
    </row>
    <row r="4518">
      <c r="E4518">
        <f>IF(DATOS!$I4518="","",IFERROR(VLOOKUP(DATOS!$I4518,CONFIG_ASIGNATURAS!$B$2:$J$61,9,FALSE()),""))</f>
      </c>
    </row>
    <row r="4519">
      <c r="E4519">
        <f>IF(DATOS!$I4519="","",IFERROR(VLOOKUP(DATOS!$I4519,CONFIG_ASIGNATURAS!$B$2:$J$61,9,FALSE()),""))</f>
      </c>
    </row>
    <row r="4520">
      <c r="E4520">
        <f>IF(DATOS!$I4520="","",IFERROR(VLOOKUP(DATOS!$I4520,CONFIG_ASIGNATURAS!$B$2:$J$61,9,FALSE()),""))</f>
      </c>
    </row>
    <row r="4521">
      <c r="E4521">
        <f>IF(DATOS!$I4521="","",IFERROR(VLOOKUP(DATOS!$I4521,CONFIG_ASIGNATURAS!$B$2:$J$61,9,FALSE()),""))</f>
      </c>
    </row>
    <row r="4522">
      <c r="E4522">
        <f>IF(DATOS!$I4522="","",IFERROR(VLOOKUP(DATOS!$I4522,CONFIG_ASIGNATURAS!$B$2:$J$61,9,FALSE()),""))</f>
      </c>
    </row>
    <row r="4523">
      <c r="E4523">
        <f>IF(DATOS!$I4523="","",IFERROR(VLOOKUP(DATOS!$I4523,CONFIG_ASIGNATURAS!$B$2:$J$61,9,FALSE()),""))</f>
      </c>
    </row>
    <row r="4524">
      <c r="E4524">
        <f>IF(DATOS!$I4524="","",IFERROR(VLOOKUP(DATOS!$I4524,CONFIG_ASIGNATURAS!$B$2:$J$61,9,FALSE()),""))</f>
      </c>
    </row>
    <row r="4525">
      <c r="E4525">
        <f>IF(DATOS!$I4525="","",IFERROR(VLOOKUP(DATOS!$I4525,CONFIG_ASIGNATURAS!$B$2:$J$61,9,FALSE()),""))</f>
      </c>
    </row>
    <row r="4526">
      <c r="E4526">
        <f>IF(DATOS!$I4526="","",IFERROR(VLOOKUP(DATOS!$I4526,CONFIG_ASIGNATURAS!$B$2:$J$61,9,FALSE()),""))</f>
      </c>
    </row>
    <row r="4527">
      <c r="E4527">
        <f>IF(DATOS!$I4527="","",IFERROR(VLOOKUP(DATOS!$I4527,CONFIG_ASIGNATURAS!$B$2:$J$61,9,FALSE()),""))</f>
      </c>
    </row>
    <row r="4528">
      <c r="E4528">
        <f>IF(DATOS!$I4528="","",IFERROR(VLOOKUP(DATOS!$I4528,CONFIG_ASIGNATURAS!$B$2:$J$61,9,FALSE()),""))</f>
      </c>
    </row>
    <row r="4529">
      <c r="E4529">
        <f>IF(DATOS!$I4529="","",IFERROR(VLOOKUP(DATOS!$I4529,CONFIG_ASIGNATURAS!$B$2:$J$61,9,FALSE()),""))</f>
      </c>
    </row>
    <row r="4530">
      <c r="E4530">
        <f>IF(DATOS!$I4530="","",IFERROR(VLOOKUP(DATOS!$I4530,CONFIG_ASIGNATURAS!$B$2:$J$61,9,FALSE()),""))</f>
      </c>
    </row>
    <row r="4531">
      <c r="E4531">
        <f>IF(DATOS!$I4531="","",IFERROR(VLOOKUP(DATOS!$I4531,CONFIG_ASIGNATURAS!$B$2:$J$61,9,FALSE()),""))</f>
      </c>
    </row>
    <row r="4532">
      <c r="E4532">
        <f>IF(DATOS!$I4532="","",IFERROR(VLOOKUP(DATOS!$I4532,CONFIG_ASIGNATURAS!$B$2:$J$61,9,FALSE()),""))</f>
      </c>
    </row>
    <row r="4533">
      <c r="E4533">
        <f>IF(DATOS!$I4533="","",IFERROR(VLOOKUP(DATOS!$I4533,CONFIG_ASIGNATURAS!$B$2:$J$61,9,FALSE()),""))</f>
      </c>
    </row>
    <row r="4534">
      <c r="E4534">
        <f>IF(DATOS!$I4534="","",IFERROR(VLOOKUP(DATOS!$I4534,CONFIG_ASIGNATURAS!$B$2:$J$61,9,FALSE()),""))</f>
      </c>
    </row>
    <row r="4535">
      <c r="E4535">
        <f>IF(DATOS!$I4535="","",IFERROR(VLOOKUP(DATOS!$I4535,CONFIG_ASIGNATURAS!$B$2:$J$61,9,FALSE()),""))</f>
      </c>
    </row>
    <row r="4536">
      <c r="E4536">
        <f>IF(DATOS!$I4536="","",IFERROR(VLOOKUP(DATOS!$I4536,CONFIG_ASIGNATURAS!$B$2:$J$61,9,FALSE()),""))</f>
      </c>
    </row>
    <row r="4537">
      <c r="E4537">
        <f>IF(DATOS!$I4537="","",IFERROR(VLOOKUP(DATOS!$I4537,CONFIG_ASIGNATURAS!$B$2:$J$61,9,FALSE()),""))</f>
      </c>
    </row>
    <row r="4538">
      <c r="E4538">
        <f>IF(DATOS!$I4538="","",IFERROR(VLOOKUP(DATOS!$I4538,CONFIG_ASIGNATURAS!$B$2:$J$61,9,FALSE()),""))</f>
      </c>
    </row>
    <row r="4539">
      <c r="E4539">
        <f>IF(DATOS!$I4539="","",IFERROR(VLOOKUP(DATOS!$I4539,CONFIG_ASIGNATURAS!$B$2:$J$61,9,FALSE()),""))</f>
      </c>
    </row>
    <row r="4540">
      <c r="E4540">
        <f>IF(DATOS!$I4540="","",IFERROR(VLOOKUP(DATOS!$I4540,CONFIG_ASIGNATURAS!$B$2:$J$61,9,FALSE()),""))</f>
      </c>
    </row>
    <row r="4541">
      <c r="E4541">
        <f>IF(DATOS!$I4541="","",IFERROR(VLOOKUP(DATOS!$I4541,CONFIG_ASIGNATURAS!$B$2:$J$61,9,FALSE()),""))</f>
      </c>
    </row>
    <row r="4542">
      <c r="E4542">
        <f>IF(DATOS!$I4542="","",IFERROR(VLOOKUP(DATOS!$I4542,CONFIG_ASIGNATURAS!$B$2:$J$61,9,FALSE()),""))</f>
      </c>
    </row>
    <row r="4543">
      <c r="E4543">
        <f>IF(DATOS!$I4543="","",IFERROR(VLOOKUP(DATOS!$I4543,CONFIG_ASIGNATURAS!$B$2:$J$61,9,FALSE()),""))</f>
      </c>
    </row>
    <row r="4544">
      <c r="E4544">
        <f>IF(DATOS!$I4544="","",IFERROR(VLOOKUP(DATOS!$I4544,CONFIG_ASIGNATURAS!$B$2:$J$61,9,FALSE()),""))</f>
      </c>
    </row>
    <row r="4545">
      <c r="E4545">
        <f>IF(DATOS!$I4545="","",IFERROR(VLOOKUP(DATOS!$I4545,CONFIG_ASIGNATURAS!$B$2:$J$61,9,FALSE()),""))</f>
      </c>
    </row>
    <row r="4546">
      <c r="E4546">
        <f>IF(DATOS!$I4546="","",IFERROR(VLOOKUP(DATOS!$I4546,CONFIG_ASIGNATURAS!$B$2:$J$61,9,FALSE()),""))</f>
      </c>
    </row>
    <row r="4547">
      <c r="E4547">
        <f>IF(DATOS!$I4547="","",IFERROR(VLOOKUP(DATOS!$I4547,CONFIG_ASIGNATURAS!$B$2:$J$61,9,FALSE()),""))</f>
      </c>
    </row>
    <row r="4548">
      <c r="E4548">
        <f>IF(DATOS!$I4548="","",IFERROR(VLOOKUP(DATOS!$I4548,CONFIG_ASIGNATURAS!$B$2:$J$61,9,FALSE()),""))</f>
      </c>
    </row>
    <row r="4549">
      <c r="E4549">
        <f>IF(DATOS!$I4549="","",IFERROR(VLOOKUP(DATOS!$I4549,CONFIG_ASIGNATURAS!$B$2:$J$61,9,FALSE()),""))</f>
      </c>
    </row>
    <row r="4550">
      <c r="E4550">
        <f>IF(DATOS!$I4550="","",IFERROR(VLOOKUP(DATOS!$I4550,CONFIG_ASIGNATURAS!$B$2:$J$61,9,FALSE()),""))</f>
      </c>
    </row>
    <row r="4551">
      <c r="E4551">
        <f>IF(DATOS!$I4551="","",IFERROR(VLOOKUP(DATOS!$I4551,CONFIG_ASIGNATURAS!$B$2:$J$61,9,FALSE()),""))</f>
      </c>
    </row>
    <row r="4552">
      <c r="E4552">
        <f>IF(DATOS!$I4552="","",IFERROR(VLOOKUP(DATOS!$I4552,CONFIG_ASIGNATURAS!$B$2:$J$61,9,FALSE()),""))</f>
      </c>
    </row>
    <row r="4553">
      <c r="E4553">
        <f>IF(DATOS!$I4553="","",IFERROR(VLOOKUP(DATOS!$I4553,CONFIG_ASIGNATURAS!$B$2:$J$61,9,FALSE()),""))</f>
      </c>
    </row>
    <row r="4554">
      <c r="E4554">
        <f>IF(DATOS!$I4554="","",IFERROR(VLOOKUP(DATOS!$I4554,CONFIG_ASIGNATURAS!$B$2:$J$61,9,FALSE()),""))</f>
      </c>
    </row>
    <row r="4555">
      <c r="E4555">
        <f>IF(DATOS!$I4555="","",IFERROR(VLOOKUP(DATOS!$I4555,CONFIG_ASIGNATURAS!$B$2:$J$61,9,FALSE()),""))</f>
      </c>
    </row>
    <row r="4556">
      <c r="E4556">
        <f>IF(DATOS!$I4556="","",IFERROR(VLOOKUP(DATOS!$I4556,CONFIG_ASIGNATURAS!$B$2:$J$61,9,FALSE()),""))</f>
      </c>
    </row>
    <row r="4557">
      <c r="E4557">
        <f>IF(DATOS!$I4557="","",IFERROR(VLOOKUP(DATOS!$I4557,CONFIG_ASIGNATURAS!$B$2:$J$61,9,FALSE()),""))</f>
      </c>
    </row>
    <row r="4558">
      <c r="E4558">
        <f>IF(DATOS!$I4558="","",IFERROR(VLOOKUP(DATOS!$I4558,CONFIG_ASIGNATURAS!$B$2:$J$61,9,FALSE()),""))</f>
      </c>
    </row>
    <row r="4559">
      <c r="E4559">
        <f>IF(DATOS!$I4559="","",IFERROR(VLOOKUP(DATOS!$I4559,CONFIG_ASIGNATURAS!$B$2:$J$61,9,FALSE()),""))</f>
      </c>
    </row>
    <row r="4560">
      <c r="E4560">
        <f>IF(DATOS!$I4560="","",IFERROR(VLOOKUP(DATOS!$I4560,CONFIG_ASIGNATURAS!$B$2:$J$61,9,FALSE()),""))</f>
      </c>
    </row>
    <row r="4561">
      <c r="E4561">
        <f>IF(DATOS!$I4561="","",IFERROR(VLOOKUP(DATOS!$I4561,CONFIG_ASIGNATURAS!$B$2:$J$61,9,FALSE()),""))</f>
      </c>
    </row>
    <row r="4562">
      <c r="E4562">
        <f>IF(DATOS!$I4562="","",IFERROR(VLOOKUP(DATOS!$I4562,CONFIG_ASIGNATURAS!$B$2:$J$61,9,FALSE()),""))</f>
      </c>
    </row>
    <row r="4563">
      <c r="E4563">
        <f>IF(DATOS!$I4563="","",IFERROR(VLOOKUP(DATOS!$I4563,CONFIG_ASIGNATURAS!$B$2:$J$61,9,FALSE()),""))</f>
      </c>
    </row>
    <row r="4564">
      <c r="E4564">
        <f>IF(DATOS!$I4564="","",IFERROR(VLOOKUP(DATOS!$I4564,CONFIG_ASIGNATURAS!$B$2:$J$61,9,FALSE()),""))</f>
      </c>
    </row>
    <row r="4565">
      <c r="E4565">
        <f>IF(DATOS!$I4565="","",IFERROR(VLOOKUP(DATOS!$I4565,CONFIG_ASIGNATURAS!$B$2:$J$61,9,FALSE()),""))</f>
      </c>
    </row>
    <row r="4566">
      <c r="E4566">
        <f>IF(DATOS!$I4566="","",IFERROR(VLOOKUP(DATOS!$I4566,CONFIG_ASIGNATURAS!$B$2:$J$61,9,FALSE()),""))</f>
      </c>
    </row>
    <row r="4567">
      <c r="E4567">
        <f>IF(DATOS!$I4567="","",IFERROR(VLOOKUP(DATOS!$I4567,CONFIG_ASIGNATURAS!$B$2:$J$61,9,FALSE()),""))</f>
      </c>
    </row>
    <row r="4568">
      <c r="E4568">
        <f>IF(DATOS!$I4568="","",IFERROR(VLOOKUP(DATOS!$I4568,CONFIG_ASIGNATURAS!$B$2:$J$61,9,FALSE()),""))</f>
      </c>
    </row>
    <row r="4569">
      <c r="E4569">
        <f>IF(DATOS!$I4569="","",IFERROR(VLOOKUP(DATOS!$I4569,CONFIG_ASIGNATURAS!$B$2:$J$61,9,FALSE()),""))</f>
      </c>
    </row>
    <row r="4570">
      <c r="E4570">
        <f>IF(DATOS!$I4570="","",IFERROR(VLOOKUP(DATOS!$I4570,CONFIG_ASIGNATURAS!$B$2:$J$61,9,FALSE()),""))</f>
      </c>
    </row>
    <row r="4571">
      <c r="E4571">
        <f>IF(DATOS!$I4571="","",IFERROR(VLOOKUP(DATOS!$I4571,CONFIG_ASIGNATURAS!$B$2:$J$61,9,FALSE()),""))</f>
      </c>
    </row>
    <row r="4572">
      <c r="E4572">
        <f>IF(DATOS!$I4572="","",IFERROR(VLOOKUP(DATOS!$I4572,CONFIG_ASIGNATURAS!$B$2:$J$61,9,FALSE()),""))</f>
      </c>
    </row>
    <row r="4573">
      <c r="E4573">
        <f>IF(DATOS!$I4573="","",IFERROR(VLOOKUP(DATOS!$I4573,CONFIG_ASIGNATURAS!$B$2:$J$61,9,FALSE()),""))</f>
      </c>
    </row>
    <row r="4574">
      <c r="E4574">
        <f>IF(DATOS!$I4574="","",IFERROR(VLOOKUP(DATOS!$I4574,CONFIG_ASIGNATURAS!$B$2:$J$61,9,FALSE()),""))</f>
      </c>
    </row>
    <row r="4575">
      <c r="E4575">
        <f>IF(DATOS!$I4575="","",IFERROR(VLOOKUP(DATOS!$I4575,CONFIG_ASIGNATURAS!$B$2:$J$61,9,FALSE()),""))</f>
      </c>
    </row>
    <row r="4576">
      <c r="E4576">
        <f>IF(DATOS!$I4576="","",IFERROR(VLOOKUP(DATOS!$I4576,CONFIG_ASIGNATURAS!$B$2:$J$61,9,FALSE()),""))</f>
      </c>
    </row>
    <row r="4577">
      <c r="E4577">
        <f>IF(DATOS!$I4577="","",IFERROR(VLOOKUP(DATOS!$I4577,CONFIG_ASIGNATURAS!$B$2:$J$61,9,FALSE()),""))</f>
      </c>
    </row>
    <row r="4578">
      <c r="E4578">
        <f>IF(DATOS!$I4578="","",IFERROR(VLOOKUP(DATOS!$I4578,CONFIG_ASIGNATURAS!$B$2:$J$61,9,FALSE()),""))</f>
      </c>
    </row>
    <row r="4579">
      <c r="E4579">
        <f>IF(DATOS!$I4579="","",IFERROR(VLOOKUP(DATOS!$I4579,CONFIG_ASIGNATURAS!$B$2:$J$61,9,FALSE()),""))</f>
      </c>
    </row>
    <row r="4580">
      <c r="E4580">
        <f>IF(DATOS!$I4580="","",IFERROR(VLOOKUP(DATOS!$I4580,CONFIG_ASIGNATURAS!$B$2:$J$61,9,FALSE()),""))</f>
      </c>
    </row>
    <row r="4581">
      <c r="E4581">
        <f>IF(DATOS!$I4581="","",IFERROR(VLOOKUP(DATOS!$I4581,CONFIG_ASIGNATURAS!$B$2:$J$61,9,FALSE()),""))</f>
      </c>
    </row>
    <row r="4582">
      <c r="E4582">
        <f>IF(DATOS!$I4582="","",IFERROR(VLOOKUP(DATOS!$I4582,CONFIG_ASIGNATURAS!$B$2:$J$61,9,FALSE()),""))</f>
      </c>
    </row>
    <row r="4583">
      <c r="E4583">
        <f>IF(DATOS!$I4583="","",IFERROR(VLOOKUP(DATOS!$I4583,CONFIG_ASIGNATURAS!$B$2:$J$61,9,FALSE()),""))</f>
      </c>
    </row>
    <row r="4584">
      <c r="E4584">
        <f>IF(DATOS!$I4584="","",IFERROR(VLOOKUP(DATOS!$I4584,CONFIG_ASIGNATURAS!$B$2:$J$61,9,FALSE()),""))</f>
      </c>
    </row>
    <row r="4585">
      <c r="E4585">
        <f>IF(DATOS!$I4585="","",IFERROR(VLOOKUP(DATOS!$I4585,CONFIG_ASIGNATURAS!$B$2:$J$61,9,FALSE()),""))</f>
      </c>
    </row>
    <row r="4586">
      <c r="E4586">
        <f>IF(DATOS!$I4586="","",IFERROR(VLOOKUP(DATOS!$I4586,CONFIG_ASIGNATURAS!$B$2:$J$61,9,FALSE()),""))</f>
      </c>
    </row>
    <row r="4587">
      <c r="E4587">
        <f>IF(DATOS!$I4587="","",IFERROR(VLOOKUP(DATOS!$I4587,CONFIG_ASIGNATURAS!$B$2:$J$61,9,FALSE()),""))</f>
      </c>
    </row>
    <row r="4588">
      <c r="E4588">
        <f>IF(DATOS!$I4588="","",IFERROR(VLOOKUP(DATOS!$I4588,CONFIG_ASIGNATURAS!$B$2:$J$61,9,FALSE()),""))</f>
      </c>
    </row>
    <row r="4589">
      <c r="E4589">
        <f>IF(DATOS!$I4589="","",IFERROR(VLOOKUP(DATOS!$I4589,CONFIG_ASIGNATURAS!$B$2:$J$61,9,FALSE()),""))</f>
      </c>
    </row>
    <row r="4590">
      <c r="E4590">
        <f>IF(DATOS!$I4590="","",IFERROR(VLOOKUP(DATOS!$I4590,CONFIG_ASIGNATURAS!$B$2:$J$61,9,FALSE()),""))</f>
      </c>
    </row>
    <row r="4591">
      <c r="E4591">
        <f>IF(DATOS!$I4591="","",IFERROR(VLOOKUP(DATOS!$I4591,CONFIG_ASIGNATURAS!$B$2:$J$61,9,FALSE()),""))</f>
      </c>
    </row>
    <row r="4592">
      <c r="E4592">
        <f>IF(DATOS!$I4592="","",IFERROR(VLOOKUP(DATOS!$I4592,CONFIG_ASIGNATURAS!$B$2:$J$61,9,FALSE()),""))</f>
      </c>
    </row>
    <row r="4593">
      <c r="E4593">
        <f>IF(DATOS!$I4593="","",IFERROR(VLOOKUP(DATOS!$I4593,CONFIG_ASIGNATURAS!$B$2:$J$61,9,FALSE()),""))</f>
      </c>
    </row>
    <row r="4594">
      <c r="E4594">
        <f>IF(DATOS!$I4594="","",IFERROR(VLOOKUP(DATOS!$I4594,CONFIG_ASIGNATURAS!$B$2:$J$61,9,FALSE()),""))</f>
      </c>
    </row>
    <row r="4595">
      <c r="E4595">
        <f>IF(DATOS!$I4595="","",IFERROR(VLOOKUP(DATOS!$I4595,CONFIG_ASIGNATURAS!$B$2:$J$61,9,FALSE()),""))</f>
      </c>
    </row>
    <row r="4596">
      <c r="E4596">
        <f>IF(DATOS!$I4596="","",IFERROR(VLOOKUP(DATOS!$I4596,CONFIG_ASIGNATURAS!$B$2:$J$61,9,FALSE()),""))</f>
      </c>
    </row>
    <row r="4597">
      <c r="E4597">
        <f>IF(DATOS!$I4597="","",IFERROR(VLOOKUP(DATOS!$I4597,CONFIG_ASIGNATURAS!$B$2:$J$61,9,FALSE()),""))</f>
      </c>
    </row>
    <row r="4598">
      <c r="E4598">
        <f>IF(DATOS!$I4598="","",IFERROR(VLOOKUP(DATOS!$I4598,CONFIG_ASIGNATURAS!$B$2:$J$61,9,FALSE()),""))</f>
      </c>
    </row>
    <row r="4599">
      <c r="E4599">
        <f>IF(DATOS!$I4599="","",IFERROR(VLOOKUP(DATOS!$I4599,CONFIG_ASIGNATURAS!$B$2:$J$61,9,FALSE()),""))</f>
      </c>
    </row>
    <row r="4600">
      <c r="E4600">
        <f>IF(DATOS!$I4600="","",IFERROR(VLOOKUP(DATOS!$I4600,CONFIG_ASIGNATURAS!$B$2:$J$61,9,FALSE()),""))</f>
      </c>
    </row>
    <row r="4601">
      <c r="E4601">
        <f>IF(DATOS!$I4601="","",IFERROR(VLOOKUP(DATOS!$I4601,CONFIG_ASIGNATURAS!$B$2:$J$61,9,FALSE()),""))</f>
      </c>
    </row>
    <row r="4602">
      <c r="E4602">
        <f>IF(DATOS!$I4602="","",IFERROR(VLOOKUP(DATOS!$I4602,CONFIG_ASIGNATURAS!$B$2:$J$61,9,FALSE()),""))</f>
      </c>
    </row>
    <row r="4603">
      <c r="E4603">
        <f>IF(DATOS!$I4603="","",IFERROR(VLOOKUP(DATOS!$I4603,CONFIG_ASIGNATURAS!$B$2:$J$61,9,FALSE()),""))</f>
      </c>
    </row>
    <row r="4604">
      <c r="E4604">
        <f>IF(DATOS!$I4604="","",IFERROR(VLOOKUP(DATOS!$I4604,CONFIG_ASIGNATURAS!$B$2:$J$61,9,FALSE()),""))</f>
      </c>
    </row>
    <row r="4605">
      <c r="E4605">
        <f>IF(DATOS!$I4605="","",IFERROR(VLOOKUP(DATOS!$I4605,CONFIG_ASIGNATURAS!$B$2:$J$61,9,FALSE()),""))</f>
      </c>
    </row>
    <row r="4606">
      <c r="E4606">
        <f>IF(DATOS!$I4606="","",IFERROR(VLOOKUP(DATOS!$I4606,CONFIG_ASIGNATURAS!$B$2:$J$61,9,FALSE()),""))</f>
      </c>
    </row>
    <row r="4607">
      <c r="E4607">
        <f>IF(DATOS!$I4607="","",IFERROR(VLOOKUP(DATOS!$I4607,CONFIG_ASIGNATURAS!$B$2:$J$61,9,FALSE()),""))</f>
      </c>
    </row>
    <row r="4608">
      <c r="E4608">
        <f>IF(DATOS!$I4608="","",IFERROR(VLOOKUP(DATOS!$I4608,CONFIG_ASIGNATURAS!$B$2:$J$61,9,FALSE()),""))</f>
      </c>
    </row>
    <row r="4609">
      <c r="E4609">
        <f>IF(DATOS!$I4609="","",IFERROR(VLOOKUP(DATOS!$I4609,CONFIG_ASIGNATURAS!$B$2:$J$61,9,FALSE()),""))</f>
      </c>
    </row>
    <row r="4610">
      <c r="E4610">
        <f>IF(DATOS!$I4610="","",IFERROR(VLOOKUP(DATOS!$I4610,CONFIG_ASIGNATURAS!$B$2:$J$61,9,FALSE()),""))</f>
      </c>
    </row>
    <row r="4611">
      <c r="E4611">
        <f>IF(DATOS!$I4611="","",IFERROR(VLOOKUP(DATOS!$I4611,CONFIG_ASIGNATURAS!$B$2:$J$61,9,FALSE()),""))</f>
      </c>
    </row>
    <row r="4612">
      <c r="E4612">
        <f>IF(DATOS!$I4612="","",IFERROR(VLOOKUP(DATOS!$I4612,CONFIG_ASIGNATURAS!$B$2:$J$61,9,FALSE()),""))</f>
      </c>
    </row>
    <row r="4613">
      <c r="E4613">
        <f>IF(DATOS!$I4613="","",IFERROR(VLOOKUP(DATOS!$I4613,CONFIG_ASIGNATURAS!$B$2:$J$61,9,FALSE()),""))</f>
      </c>
    </row>
    <row r="4614">
      <c r="E4614">
        <f>IF(DATOS!$I4614="","",IFERROR(VLOOKUP(DATOS!$I4614,CONFIG_ASIGNATURAS!$B$2:$J$61,9,FALSE()),""))</f>
      </c>
    </row>
    <row r="4615">
      <c r="E4615">
        <f>IF(DATOS!$I4615="","",IFERROR(VLOOKUP(DATOS!$I4615,CONFIG_ASIGNATURAS!$B$2:$J$61,9,FALSE()),""))</f>
      </c>
    </row>
    <row r="4616">
      <c r="E4616">
        <f>IF(DATOS!$I4616="","",IFERROR(VLOOKUP(DATOS!$I4616,CONFIG_ASIGNATURAS!$B$2:$J$61,9,FALSE()),""))</f>
      </c>
    </row>
    <row r="4617">
      <c r="E4617">
        <f>IF(DATOS!$I4617="","",IFERROR(VLOOKUP(DATOS!$I4617,CONFIG_ASIGNATURAS!$B$2:$J$61,9,FALSE()),""))</f>
      </c>
    </row>
    <row r="4618">
      <c r="E4618">
        <f>IF(DATOS!$I4618="","",IFERROR(VLOOKUP(DATOS!$I4618,CONFIG_ASIGNATURAS!$B$2:$J$61,9,FALSE()),""))</f>
      </c>
    </row>
    <row r="4619">
      <c r="E4619">
        <f>IF(DATOS!$I4619="","",IFERROR(VLOOKUP(DATOS!$I4619,CONFIG_ASIGNATURAS!$B$2:$J$61,9,FALSE()),""))</f>
      </c>
    </row>
    <row r="4620">
      <c r="E4620">
        <f>IF(DATOS!$I4620="","",IFERROR(VLOOKUP(DATOS!$I4620,CONFIG_ASIGNATURAS!$B$2:$J$61,9,FALSE()),""))</f>
      </c>
    </row>
    <row r="4621">
      <c r="E4621">
        <f>IF(DATOS!$I4621="","",IFERROR(VLOOKUP(DATOS!$I4621,CONFIG_ASIGNATURAS!$B$2:$J$61,9,FALSE()),""))</f>
      </c>
    </row>
    <row r="4622">
      <c r="E4622">
        <f>IF(DATOS!$I4622="","",IFERROR(VLOOKUP(DATOS!$I4622,CONFIG_ASIGNATURAS!$B$2:$J$61,9,FALSE()),""))</f>
      </c>
    </row>
    <row r="4623">
      <c r="E4623">
        <f>IF(DATOS!$I4623="","",IFERROR(VLOOKUP(DATOS!$I4623,CONFIG_ASIGNATURAS!$B$2:$J$61,9,FALSE()),""))</f>
      </c>
    </row>
    <row r="4624">
      <c r="E4624">
        <f>IF(DATOS!$I4624="","",IFERROR(VLOOKUP(DATOS!$I4624,CONFIG_ASIGNATURAS!$B$2:$J$61,9,FALSE()),""))</f>
      </c>
    </row>
    <row r="4625">
      <c r="E4625">
        <f>IF(DATOS!$I4625="","",IFERROR(VLOOKUP(DATOS!$I4625,CONFIG_ASIGNATURAS!$B$2:$J$61,9,FALSE()),""))</f>
      </c>
    </row>
    <row r="4626">
      <c r="E4626">
        <f>IF(DATOS!$I4626="","",IFERROR(VLOOKUP(DATOS!$I4626,CONFIG_ASIGNATURAS!$B$2:$J$61,9,FALSE()),""))</f>
      </c>
    </row>
    <row r="4627">
      <c r="E4627">
        <f>IF(DATOS!$I4627="","",IFERROR(VLOOKUP(DATOS!$I4627,CONFIG_ASIGNATURAS!$B$2:$J$61,9,FALSE()),""))</f>
      </c>
    </row>
    <row r="4628">
      <c r="E4628">
        <f>IF(DATOS!$I4628="","",IFERROR(VLOOKUP(DATOS!$I4628,CONFIG_ASIGNATURAS!$B$2:$J$61,9,FALSE()),""))</f>
      </c>
    </row>
    <row r="4629">
      <c r="E4629">
        <f>IF(DATOS!$I4629="","",IFERROR(VLOOKUP(DATOS!$I4629,CONFIG_ASIGNATURAS!$B$2:$J$61,9,FALSE()),""))</f>
      </c>
    </row>
    <row r="4630">
      <c r="E4630">
        <f>IF(DATOS!$I4630="","",IFERROR(VLOOKUP(DATOS!$I4630,CONFIG_ASIGNATURAS!$B$2:$J$61,9,FALSE()),""))</f>
      </c>
    </row>
    <row r="4631">
      <c r="E4631">
        <f>IF(DATOS!$I4631="","",IFERROR(VLOOKUP(DATOS!$I4631,CONFIG_ASIGNATURAS!$B$2:$J$61,9,FALSE()),""))</f>
      </c>
    </row>
    <row r="4632">
      <c r="E4632">
        <f>IF(DATOS!$I4632="","",IFERROR(VLOOKUP(DATOS!$I4632,CONFIG_ASIGNATURAS!$B$2:$J$61,9,FALSE()),""))</f>
      </c>
    </row>
    <row r="4633">
      <c r="E4633">
        <f>IF(DATOS!$I4633="","",IFERROR(VLOOKUP(DATOS!$I4633,CONFIG_ASIGNATURAS!$B$2:$J$61,9,FALSE()),""))</f>
      </c>
    </row>
    <row r="4634">
      <c r="E4634">
        <f>IF(DATOS!$I4634="","",IFERROR(VLOOKUP(DATOS!$I4634,CONFIG_ASIGNATURAS!$B$2:$J$61,9,FALSE()),""))</f>
      </c>
    </row>
    <row r="4635">
      <c r="E4635">
        <f>IF(DATOS!$I4635="","",IFERROR(VLOOKUP(DATOS!$I4635,CONFIG_ASIGNATURAS!$B$2:$J$61,9,FALSE()),""))</f>
      </c>
    </row>
    <row r="4636">
      <c r="E4636">
        <f>IF(DATOS!$I4636="","",IFERROR(VLOOKUP(DATOS!$I4636,CONFIG_ASIGNATURAS!$B$2:$J$61,9,FALSE()),""))</f>
      </c>
    </row>
    <row r="4637">
      <c r="E4637">
        <f>IF(DATOS!$I4637="","",IFERROR(VLOOKUP(DATOS!$I4637,CONFIG_ASIGNATURAS!$B$2:$J$61,9,FALSE()),""))</f>
      </c>
    </row>
    <row r="4638">
      <c r="E4638">
        <f>IF(DATOS!$I4638="","",IFERROR(VLOOKUP(DATOS!$I4638,CONFIG_ASIGNATURAS!$B$2:$J$61,9,FALSE()),""))</f>
      </c>
    </row>
    <row r="4639">
      <c r="E4639">
        <f>IF(DATOS!$I4639="","",IFERROR(VLOOKUP(DATOS!$I4639,CONFIG_ASIGNATURAS!$B$2:$J$61,9,FALSE()),""))</f>
      </c>
    </row>
    <row r="4640">
      <c r="E4640">
        <f>IF(DATOS!$I4640="","",IFERROR(VLOOKUP(DATOS!$I4640,CONFIG_ASIGNATURAS!$B$2:$J$61,9,FALSE()),""))</f>
      </c>
    </row>
    <row r="4641">
      <c r="E4641">
        <f>IF(DATOS!$I4641="","",IFERROR(VLOOKUP(DATOS!$I4641,CONFIG_ASIGNATURAS!$B$2:$J$61,9,FALSE()),""))</f>
      </c>
    </row>
    <row r="4642">
      <c r="E4642">
        <f>IF(DATOS!$I4642="","",IFERROR(VLOOKUP(DATOS!$I4642,CONFIG_ASIGNATURAS!$B$2:$J$61,9,FALSE()),""))</f>
      </c>
    </row>
    <row r="4643">
      <c r="E4643">
        <f>IF(DATOS!$I4643="","",IFERROR(VLOOKUP(DATOS!$I4643,CONFIG_ASIGNATURAS!$B$2:$J$61,9,FALSE()),""))</f>
      </c>
    </row>
    <row r="4644">
      <c r="E4644">
        <f>IF(DATOS!$I4644="","",IFERROR(VLOOKUP(DATOS!$I4644,CONFIG_ASIGNATURAS!$B$2:$J$61,9,FALSE()),""))</f>
      </c>
    </row>
    <row r="4645">
      <c r="E4645">
        <f>IF(DATOS!$I4645="","",IFERROR(VLOOKUP(DATOS!$I4645,CONFIG_ASIGNATURAS!$B$2:$J$61,9,FALSE()),""))</f>
      </c>
    </row>
    <row r="4646">
      <c r="E4646">
        <f>IF(DATOS!$I4646="","",IFERROR(VLOOKUP(DATOS!$I4646,CONFIG_ASIGNATURAS!$B$2:$J$61,9,FALSE()),""))</f>
      </c>
    </row>
    <row r="4647">
      <c r="E4647">
        <f>IF(DATOS!$I4647="","",IFERROR(VLOOKUP(DATOS!$I4647,CONFIG_ASIGNATURAS!$B$2:$J$61,9,FALSE()),""))</f>
      </c>
    </row>
    <row r="4648">
      <c r="E4648">
        <f>IF(DATOS!$I4648="","",IFERROR(VLOOKUP(DATOS!$I4648,CONFIG_ASIGNATURAS!$B$2:$J$61,9,FALSE()),""))</f>
      </c>
    </row>
    <row r="4649">
      <c r="E4649">
        <f>IF(DATOS!$I4649="","",IFERROR(VLOOKUP(DATOS!$I4649,CONFIG_ASIGNATURAS!$B$2:$J$61,9,FALSE()),""))</f>
      </c>
    </row>
    <row r="4650">
      <c r="E4650">
        <f>IF(DATOS!$I4650="","",IFERROR(VLOOKUP(DATOS!$I4650,CONFIG_ASIGNATURAS!$B$2:$J$61,9,FALSE()),""))</f>
      </c>
    </row>
    <row r="4651">
      <c r="E4651">
        <f>IF(DATOS!$I4651="","",IFERROR(VLOOKUP(DATOS!$I4651,CONFIG_ASIGNATURAS!$B$2:$J$61,9,FALSE()),""))</f>
      </c>
    </row>
    <row r="4652">
      <c r="E4652">
        <f>IF(DATOS!$I4652="","",IFERROR(VLOOKUP(DATOS!$I4652,CONFIG_ASIGNATURAS!$B$2:$J$61,9,FALSE()),""))</f>
      </c>
    </row>
    <row r="4653">
      <c r="E4653">
        <f>IF(DATOS!$I4653="","",IFERROR(VLOOKUP(DATOS!$I4653,CONFIG_ASIGNATURAS!$B$2:$J$61,9,FALSE()),""))</f>
      </c>
    </row>
    <row r="4654">
      <c r="E4654">
        <f>IF(DATOS!$I4654="","",IFERROR(VLOOKUP(DATOS!$I4654,CONFIG_ASIGNATURAS!$B$2:$J$61,9,FALSE()),""))</f>
      </c>
    </row>
    <row r="4655">
      <c r="E4655">
        <f>IF(DATOS!$I4655="","",IFERROR(VLOOKUP(DATOS!$I4655,CONFIG_ASIGNATURAS!$B$2:$J$61,9,FALSE()),""))</f>
      </c>
    </row>
    <row r="4656">
      <c r="E4656">
        <f>IF(DATOS!$I4656="","",IFERROR(VLOOKUP(DATOS!$I4656,CONFIG_ASIGNATURAS!$B$2:$J$61,9,FALSE()),""))</f>
      </c>
    </row>
    <row r="4657">
      <c r="E4657">
        <f>IF(DATOS!$I4657="","",IFERROR(VLOOKUP(DATOS!$I4657,CONFIG_ASIGNATURAS!$B$2:$J$61,9,FALSE()),""))</f>
      </c>
    </row>
    <row r="4658">
      <c r="E4658">
        <f>IF(DATOS!$I4658="","",IFERROR(VLOOKUP(DATOS!$I4658,CONFIG_ASIGNATURAS!$B$2:$J$61,9,FALSE()),""))</f>
      </c>
    </row>
    <row r="4659">
      <c r="E4659">
        <f>IF(DATOS!$I4659="","",IFERROR(VLOOKUP(DATOS!$I4659,CONFIG_ASIGNATURAS!$B$2:$J$61,9,FALSE()),""))</f>
      </c>
    </row>
    <row r="4660">
      <c r="E4660">
        <f>IF(DATOS!$I4660="","",IFERROR(VLOOKUP(DATOS!$I4660,CONFIG_ASIGNATURAS!$B$2:$J$61,9,FALSE()),""))</f>
      </c>
    </row>
    <row r="4661">
      <c r="E4661">
        <f>IF(DATOS!$I4661="","",IFERROR(VLOOKUP(DATOS!$I4661,CONFIG_ASIGNATURAS!$B$2:$J$61,9,FALSE()),""))</f>
      </c>
    </row>
    <row r="4662">
      <c r="E4662">
        <f>IF(DATOS!$I4662="","",IFERROR(VLOOKUP(DATOS!$I4662,CONFIG_ASIGNATURAS!$B$2:$J$61,9,FALSE()),""))</f>
      </c>
    </row>
    <row r="4663">
      <c r="E4663">
        <f>IF(DATOS!$I4663="","",IFERROR(VLOOKUP(DATOS!$I4663,CONFIG_ASIGNATURAS!$B$2:$J$61,9,FALSE()),""))</f>
      </c>
    </row>
    <row r="4664">
      <c r="E4664">
        <f>IF(DATOS!$I4664="","",IFERROR(VLOOKUP(DATOS!$I4664,CONFIG_ASIGNATURAS!$B$2:$J$61,9,FALSE()),""))</f>
      </c>
    </row>
    <row r="4665">
      <c r="E4665">
        <f>IF(DATOS!$I4665="","",IFERROR(VLOOKUP(DATOS!$I4665,CONFIG_ASIGNATURAS!$B$2:$J$61,9,FALSE()),""))</f>
      </c>
    </row>
    <row r="4666">
      <c r="E4666">
        <f>IF(DATOS!$I4666="","",IFERROR(VLOOKUP(DATOS!$I4666,CONFIG_ASIGNATURAS!$B$2:$J$61,9,FALSE()),""))</f>
      </c>
    </row>
    <row r="4667">
      <c r="E4667">
        <f>IF(DATOS!$I4667="","",IFERROR(VLOOKUP(DATOS!$I4667,CONFIG_ASIGNATURAS!$B$2:$J$61,9,FALSE()),""))</f>
      </c>
    </row>
    <row r="4668">
      <c r="E4668">
        <f>IF(DATOS!$I4668="","",IFERROR(VLOOKUP(DATOS!$I4668,CONFIG_ASIGNATURAS!$B$2:$J$61,9,FALSE()),""))</f>
      </c>
    </row>
    <row r="4669">
      <c r="E4669">
        <f>IF(DATOS!$I4669="","",IFERROR(VLOOKUP(DATOS!$I4669,CONFIG_ASIGNATURAS!$B$2:$J$61,9,FALSE()),""))</f>
      </c>
    </row>
    <row r="4670">
      <c r="E4670">
        <f>IF(DATOS!$I4670="","",IFERROR(VLOOKUP(DATOS!$I4670,CONFIG_ASIGNATURAS!$B$2:$J$61,9,FALSE()),""))</f>
      </c>
    </row>
    <row r="4671">
      <c r="E4671">
        <f>IF(DATOS!$I4671="","",IFERROR(VLOOKUP(DATOS!$I4671,CONFIG_ASIGNATURAS!$B$2:$J$61,9,FALSE()),""))</f>
      </c>
    </row>
    <row r="4672">
      <c r="E4672">
        <f>IF(DATOS!$I4672="","",IFERROR(VLOOKUP(DATOS!$I4672,CONFIG_ASIGNATURAS!$B$2:$J$61,9,FALSE()),""))</f>
      </c>
    </row>
    <row r="4673">
      <c r="E4673">
        <f>IF(DATOS!$I4673="","",IFERROR(VLOOKUP(DATOS!$I4673,CONFIG_ASIGNATURAS!$B$2:$J$61,9,FALSE()),""))</f>
      </c>
    </row>
    <row r="4674">
      <c r="E4674">
        <f>IF(DATOS!$I4674="","",IFERROR(VLOOKUP(DATOS!$I4674,CONFIG_ASIGNATURAS!$B$2:$J$61,9,FALSE()),""))</f>
      </c>
    </row>
    <row r="4675">
      <c r="E4675">
        <f>IF(DATOS!$I4675="","",IFERROR(VLOOKUP(DATOS!$I4675,CONFIG_ASIGNATURAS!$B$2:$J$61,9,FALSE()),""))</f>
      </c>
    </row>
    <row r="4676">
      <c r="E4676">
        <f>IF(DATOS!$I4676="","",IFERROR(VLOOKUP(DATOS!$I4676,CONFIG_ASIGNATURAS!$B$2:$J$61,9,FALSE()),""))</f>
      </c>
    </row>
    <row r="4677">
      <c r="E4677">
        <f>IF(DATOS!$I4677="","",IFERROR(VLOOKUP(DATOS!$I4677,CONFIG_ASIGNATURAS!$B$2:$J$61,9,FALSE()),""))</f>
      </c>
    </row>
    <row r="4678">
      <c r="E4678">
        <f>IF(DATOS!$I4678="","",IFERROR(VLOOKUP(DATOS!$I4678,CONFIG_ASIGNATURAS!$B$2:$J$61,9,FALSE()),""))</f>
      </c>
    </row>
    <row r="4679">
      <c r="E4679">
        <f>IF(DATOS!$I4679="","",IFERROR(VLOOKUP(DATOS!$I4679,CONFIG_ASIGNATURAS!$B$2:$J$61,9,FALSE()),""))</f>
      </c>
    </row>
    <row r="4680">
      <c r="E4680">
        <f>IF(DATOS!$I4680="","",IFERROR(VLOOKUP(DATOS!$I4680,CONFIG_ASIGNATURAS!$B$2:$J$61,9,FALSE()),""))</f>
      </c>
    </row>
    <row r="4681">
      <c r="E4681">
        <f>IF(DATOS!$I4681="","",IFERROR(VLOOKUP(DATOS!$I4681,CONFIG_ASIGNATURAS!$B$2:$J$61,9,FALSE()),""))</f>
      </c>
    </row>
    <row r="4682">
      <c r="E4682">
        <f>IF(DATOS!$I4682="","",IFERROR(VLOOKUP(DATOS!$I4682,CONFIG_ASIGNATURAS!$B$2:$J$61,9,FALSE()),""))</f>
      </c>
    </row>
    <row r="4683">
      <c r="E4683">
        <f>IF(DATOS!$I4683="","",IFERROR(VLOOKUP(DATOS!$I4683,CONFIG_ASIGNATURAS!$B$2:$J$61,9,FALSE()),""))</f>
      </c>
    </row>
    <row r="4684">
      <c r="E4684">
        <f>IF(DATOS!$I4684="","",IFERROR(VLOOKUP(DATOS!$I4684,CONFIG_ASIGNATURAS!$B$2:$J$61,9,FALSE()),""))</f>
      </c>
    </row>
    <row r="4685">
      <c r="E4685">
        <f>IF(DATOS!$I4685="","",IFERROR(VLOOKUP(DATOS!$I4685,CONFIG_ASIGNATURAS!$B$2:$J$61,9,FALSE()),""))</f>
      </c>
    </row>
    <row r="4686">
      <c r="E4686">
        <f>IF(DATOS!$I4686="","",IFERROR(VLOOKUP(DATOS!$I4686,CONFIG_ASIGNATURAS!$B$2:$J$61,9,FALSE()),""))</f>
      </c>
    </row>
    <row r="4687">
      <c r="E4687">
        <f>IF(DATOS!$I4687="","",IFERROR(VLOOKUP(DATOS!$I4687,CONFIG_ASIGNATURAS!$B$2:$J$61,9,FALSE()),""))</f>
      </c>
    </row>
    <row r="4688">
      <c r="E4688">
        <f>IF(DATOS!$I4688="","",IFERROR(VLOOKUP(DATOS!$I4688,CONFIG_ASIGNATURAS!$B$2:$J$61,9,FALSE()),""))</f>
      </c>
    </row>
    <row r="4689">
      <c r="E4689">
        <f>IF(DATOS!$I4689="","",IFERROR(VLOOKUP(DATOS!$I4689,CONFIG_ASIGNATURAS!$B$2:$J$61,9,FALSE()),""))</f>
      </c>
    </row>
    <row r="4690">
      <c r="E4690">
        <f>IF(DATOS!$I4690="","",IFERROR(VLOOKUP(DATOS!$I4690,CONFIG_ASIGNATURAS!$B$2:$J$61,9,FALSE()),""))</f>
      </c>
    </row>
    <row r="4691">
      <c r="E4691">
        <f>IF(DATOS!$I4691="","",IFERROR(VLOOKUP(DATOS!$I4691,CONFIG_ASIGNATURAS!$B$2:$J$61,9,FALSE()),""))</f>
      </c>
    </row>
    <row r="4692">
      <c r="E4692">
        <f>IF(DATOS!$I4692="","",IFERROR(VLOOKUP(DATOS!$I4692,CONFIG_ASIGNATURAS!$B$2:$J$61,9,FALSE()),""))</f>
      </c>
    </row>
    <row r="4693">
      <c r="E4693">
        <f>IF(DATOS!$I4693="","",IFERROR(VLOOKUP(DATOS!$I4693,CONFIG_ASIGNATURAS!$B$2:$J$61,9,FALSE()),""))</f>
      </c>
    </row>
    <row r="4694">
      <c r="E4694">
        <f>IF(DATOS!$I4694="","",IFERROR(VLOOKUP(DATOS!$I4694,CONFIG_ASIGNATURAS!$B$2:$J$61,9,FALSE()),""))</f>
      </c>
    </row>
    <row r="4695">
      <c r="E4695">
        <f>IF(DATOS!$I4695="","",IFERROR(VLOOKUP(DATOS!$I4695,CONFIG_ASIGNATURAS!$B$2:$J$61,9,FALSE()),""))</f>
      </c>
    </row>
    <row r="4696">
      <c r="E4696">
        <f>IF(DATOS!$I4696="","",IFERROR(VLOOKUP(DATOS!$I4696,CONFIG_ASIGNATURAS!$B$2:$J$61,9,FALSE()),""))</f>
      </c>
    </row>
    <row r="4697">
      <c r="E4697">
        <f>IF(DATOS!$I4697="","",IFERROR(VLOOKUP(DATOS!$I4697,CONFIG_ASIGNATURAS!$B$2:$J$61,9,FALSE()),""))</f>
      </c>
    </row>
    <row r="4698">
      <c r="E4698">
        <f>IF(DATOS!$I4698="","",IFERROR(VLOOKUP(DATOS!$I4698,CONFIG_ASIGNATURAS!$B$2:$J$61,9,FALSE()),""))</f>
      </c>
    </row>
    <row r="4699">
      <c r="E4699">
        <f>IF(DATOS!$I4699="","",IFERROR(VLOOKUP(DATOS!$I4699,CONFIG_ASIGNATURAS!$B$2:$J$61,9,FALSE()),""))</f>
      </c>
    </row>
    <row r="4700">
      <c r="E4700">
        <f>IF(DATOS!$I4700="","",IFERROR(VLOOKUP(DATOS!$I4700,CONFIG_ASIGNATURAS!$B$2:$J$61,9,FALSE()),""))</f>
      </c>
    </row>
    <row r="4701">
      <c r="E4701">
        <f>IF(DATOS!$I4701="","",IFERROR(VLOOKUP(DATOS!$I4701,CONFIG_ASIGNATURAS!$B$2:$J$61,9,FALSE()),""))</f>
      </c>
    </row>
    <row r="4702">
      <c r="E4702">
        <f>IF(DATOS!$I4702="","",IFERROR(VLOOKUP(DATOS!$I4702,CONFIG_ASIGNATURAS!$B$2:$J$61,9,FALSE()),""))</f>
      </c>
    </row>
    <row r="4703">
      <c r="E4703">
        <f>IF(DATOS!$I4703="","",IFERROR(VLOOKUP(DATOS!$I4703,CONFIG_ASIGNATURAS!$B$2:$J$61,9,FALSE()),""))</f>
      </c>
    </row>
    <row r="4704">
      <c r="E4704">
        <f>IF(DATOS!$I4704="","",IFERROR(VLOOKUP(DATOS!$I4704,CONFIG_ASIGNATURAS!$B$2:$J$61,9,FALSE()),""))</f>
      </c>
    </row>
    <row r="4705">
      <c r="E4705">
        <f>IF(DATOS!$I4705="","",IFERROR(VLOOKUP(DATOS!$I4705,CONFIG_ASIGNATURAS!$B$2:$J$61,9,FALSE()),""))</f>
      </c>
    </row>
    <row r="4706">
      <c r="E4706">
        <f>IF(DATOS!$I4706="","",IFERROR(VLOOKUP(DATOS!$I4706,CONFIG_ASIGNATURAS!$B$2:$J$61,9,FALSE()),""))</f>
      </c>
    </row>
    <row r="4707">
      <c r="E4707">
        <f>IF(DATOS!$I4707="","",IFERROR(VLOOKUP(DATOS!$I4707,CONFIG_ASIGNATURAS!$B$2:$J$61,9,FALSE()),""))</f>
      </c>
    </row>
    <row r="4708">
      <c r="E4708">
        <f>IF(DATOS!$I4708="","",IFERROR(VLOOKUP(DATOS!$I4708,CONFIG_ASIGNATURAS!$B$2:$J$61,9,FALSE()),""))</f>
      </c>
    </row>
    <row r="4709">
      <c r="E4709">
        <f>IF(DATOS!$I4709="","",IFERROR(VLOOKUP(DATOS!$I4709,CONFIG_ASIGNATURAS!$B$2:$J$61,9,FALSE()),""))</f>
      </c>
    </row>
    <row r="4710">
      <c r="E4710">
        <f>IF(DATOS!$I4710="","",IFERROR(VLOOKUP(DATOS!$I4710,CONFIG_ASIGNATURAS!$B$2:$J$61,9,FALSE()),""))</f>
      </c>
    </row>
    <row r="4711">
      <c r="E4711">
        <f>IF(DATOS!$I4711="","",IFERROR(VLOOKUP(DATOS!$I4711,CONFIG_ASIGNATURAS!$B$2:$J$61,9,FALSE()),""))</f>
      </c>
    </row>
    <row r="4712">
      <c r="E4712">
        <f>IF(DATOS!$I4712="","",IFERROR(VLOOKUP(DATOS!$I4712,CONFIG_ASIGNATURAS!$B$2:$J$61,9,FALSE()),""))</f>
      </c>
    </row>
    <row r="4713">
      <c r="E4713">
        <f>IF(DATOS!$I4713="","",IFERROR(VLOOKUP(DATOS!$I4713,CONFIG_ASIGNATURAS!$B$2:$J$61,9,FALSE()),""))</f>
      </c>
    </row>
    <row r="4714">
      <c r="E4714">
        <f>IF(DATOS!$I4714="","",IFERROR(VLOOKUP(DATOS!$I4714,CONFIG_ASIGNATURAS!$B$2:$J$61,9,FALSE()),""))</f>
      </c>
    </row>
    <row r="4715">
      <c r="E4715">
        <f>IF(DATOS!$I4715="","",IFERROR(VLOOKUP(DATOS!$I4715,CONFIG_ASIGNATURAS!$B$2:$J$61,9,FALSE()),""))</f>
      </c>
    </row>
    <row r="4716">
      <c r="E4716">
        <f>IF(DATOS!$I4716="","",IFERROR(VLOOKUP(DATOS!$I4716,CONFIG_ASIGNATURAS!$B$2:$J$61,9,FALSE()),""))</f>
      </c>
    </row>
    <row r="4717">
      <c r="E4717">
        <f>IF(DATOS!$I4717="","",IFERROR(VLOOKUP(DATOS!$I4717,CONFIG_ASIGNATURAS!$B$2:$J$61,9,FALSE()),""))</f>
      </c>
    </row>
    <row r="4718">
      <c r="E4718">
        <f>IF(DATOS!$I4718="","",IFERROR(VLOOKUP(DATOS!$I4718,CONFIG_ASIGNATURAS!$B$2:$J$61,9,FALSE()),""))</f>
      </c>
    </row>
    <row r="4719">
      <c r="E4719">
        <f>IF(DATOS!$I4719="","",IFERROR(VLOOKUP(DATOS!$I4719,CONFIG_ASIGNATURAS!$B$2:$J$61,9,FALSE()),""))</f>
      </c>
    </row>
    <row r="4720">
      <c r="E4720">
        <f>IF(DATOS!$I4720="","",IFERROR(VLOOKUP(DATOS!$I4720,CONFIG_ASIGNATURAS!$B$2:$J$61,9,FALSE()),""))</f>
      </c>
    </row>
    <row r="4721">
      <c r="E4721">
        <f>IF(DATOS!$I4721="","",IFERROR(VLOOKUP(DATOS!$I4721,CONFIG_ASIGNATURAS!$B$2:$J$61,9,FALSE()),""))</f>
      </c>
    </row>
    <row r="4722">
      <c r="E4722">
        <f>IF(DATOS!$I4722="","",IFERROR(VLOOKUP(DATOS!$I4722,CONFIG_ASIGNATURAS!$B$2:$J$61,9,FALSE()),""))</f>
      </c>
    </row>
    <row r="4723">
      <c r="E4723">
        <f>IF(DATOS!$I4723="","",IFERROR(VLOOKUP(DATOS!$I4723,CONFIG_ASIGNATURAS!$B$2:$J$61,9,FALSE()),""))</f>
      </c>
    </row>
    <row r="4724">
      <c r="E4724">
        <f>IF(DATOS!$I4724="","",IFERROR(VLOOKUP(DATOS!$I4724,CONFIG_ASIGNATURAS!$B$2:$J$61,9,FALSE()),""))</f>
      </c>
    </row>
    <row r="4725">
      <c r="E4725">
        <f>IF(DATOS!$I4725="","",IFERROR(VLOOKUP(DATOS!$I4725,CONFIG_ASIGNATURAS!$B$2:$J$61,9,FALSE()),""))</f>
      </c>
    </row>
    <row r="4726">
      <c r="E4726">
        <f>IF(DATOS!$I4726="","",IFERROR(VLOOKUP(DATOS!$I4726,CONFIG_ASIGNATURAS!$B$2:$J$61,9,FALSE()),""))</f>
      </c>
    </row>
    <row r="4727">
      <c r="E4727">
        <f>IF(DATOS!$I4727="","",IFERROR(VLOOKUP(DATOS!$I4727,CONFIG_ASIGNATURAS!$B$2:$J$61,9,FALSE()),""))</f>
      </c>
    </row>
    <row r="4728">
      <c r="E4728">
        <f>IF(DATOS!$I4728="","",IFERROR(VLOOKUP(DATOS!$I4728,CONFIG_ASIGNATURAS!$B$2:$J$61,9,FALSE()),""))</f>
      </c>
    </row>
    <row r="4729">
      <c r="E4729">
        <f>IF(DATOS!$I4729="","",IFERROR(VLOOKUP(DATOS!$I4729,CONFIG_ASIGNATURAS!$B$2:$J$61,9,FALSE()),""))</f>
      </c>
    </row>
    <row r="4730">
      <c r="E4730">
        <f>IF(DATOS!$I4730="","",IFERROR(VLOOKUP(DATOS!$I4730,CONFIG_ASIGNATURAS!$B$2:$J$61,9,FALSE()),""))</f>
      </c>
    </row>
    <row r="4731">
      <c r="E4731">
        <f>IF(DATOS!$I4731="","",IFERROR(VLOOKUP(DATOS!$I4731,CONFIG_ASIGNATURAS!$B$2:$J$61,9,FALSE()),""))</f>
      </c>
    </row>
    <row r="4732">
      <c r="E4732">
        <f>IF(DATOS!$I4732="","",IFERROR(VLOOKUP(DATOS!$I4732,CONFIG_ASIGNATURAS!$B$2:$J$61,9,FALSE()),""))</f>
      </c>
    </row>
    <row r="4733">
      <c r="E4733">
        <f>IF(DATOS!$I4733="","",IFERROR(VLOOKUP(DATOS!$I4733,CONFIG_ASIGNATURAS!$B$2:$J$61,9,FALSE()),""))</f>
      </c>
    </row>
    <row r="4734">
      <c r="E4734">
        <f>IF(DATOS!$I4734="","",IFERROR(VLOOKUP(DATOS!$I4734,CONFIG_ASIGNATURAS!$B$2:$J$61,9,FALSE()),""))</f>
      </c>
    </row>
    <row r="4735">
      <c r="E4735">
        <f>IF(DATOS!$I4735="","",IFERROR(VLOOKUP(DATOS!$I4735,CONFIG_ASIGNATURAS!$B$2:$J$61,9,FALSE()),""))</f>
      </c>
    </row>
    <row r="4736">
      <c r="E4736">
        <f>IF(DATOS!$I4736="","",IFERROR(VLOOKUP(DATOS!$I4736,CONFIG_ASIGNATURAS!$B$2:$J$61,9,FALSE()),""))</f>
      </c>
    </row>
    <row r="4737">
      <c r="E4737">
        <f>IF(DATOS!$I4737="","",IFERROR(VLOOKUP(DATOS!$I4737,CONFIG_ASIGNATURAS!$B$2:$J$61,9,FALSE()),""))</f>
      </c>
    </row>
    <row r="4738">
      <c r="E4738">
        <f>IF(DATOS!$I4738="","",IFERROR(VLOOKUP(DATOS!$I4738,CONFIG_ASIGNATURAS!$B$2:$J$61,9,FALSE()),""))</f>
      </c>
    </row>
    <row r="4739">
      <c r="E4739">
        <f>IF(DATOS!$I4739="","",IFERROR(VLOOKUP(DATOS!$I4739,CONFIG_ASIGNATURAS!$B$2:$J$61,9,FALSE()),""))</f>
      </c>
    </row>
    <row r="4740">
      <c r="E4740">
        <f>IF(DATOS!$I4740="","",IFERROR(VLOOKUP(DATOS!$I4740,CONFIG_ASIGNATURAS!$B$2:$J$61,9,FALSE()),""))</f>
      </c>
    </row>
    <row r="4741">
      <c r="E4741">
        <f>IF(DATOS!$I4741="","",IFERROR(VLOOKUP(DATOS!$I4741,CONFIG_ASIGNATURAS!$B$2:$J$61,9,FALSE()),""))</f>
      </c>
    </row>
    <row r="4742">
      <c r="E4742">
        <f>IF(DATOS!$I4742="","",IFERROR(VLOOKUP(DATOS!$I4742,CONFIG_ASIGNATURAS!$B$2:$J$61,9,FALSE()),""))</f>
      </c>
    </row>
    <row r="4743">
      <c r="E4743">
        <f>IF(DATOS!$I4743="","",IFERROR(VLOOKUP(DATOS!$I4743,CONFIG_ASIGNATURAS!$B$2:$J$61,9,FALSE()),""))</f>
      </c>
    </row>
    <row r="4744">
      <c r="E4744">
        <f>IF(DATOS!$I4744="","",IFERROR(VLOOKUP(DATOS!$I4744,CONFIG_ASIGNATURAS!$B$2:$J$61,9,FALSE()),""))</f>
      </c>
    </row>
    <row r="4745">
      <c r="E4745">
        <f>IF(DATOS!$I4745="","",IFERROR(VLOOKUP(DATOS!$I4745,CONFIG_ASIGNATURAS!$B$2:$J$61,9,FALSE()),""))</f>
      </c>
    </row>
    <row r="4746">
      <c r="E4746">
        <f>IF(DATOS!$I4746="","",IFERROR(VLOOKUP(DATOS!$I4746,CONFIG_ASIGNATURAS!$B$2:$J$61,9,FALSE()),""))</f>
      </c>
    </row>
    <row r="4747">
      <c r="E4747">
        <f>IF(DATOS!$I4747="","",IFERROR(VLOOKUP(DATOS!$I4747,CONFIG_ASIGNATURAS!$B$2:$J$61,9,FALSE()),""))</f>
      </c>
    </row>
    <row r="4748">
      <c r="E4748">
        <f>IF(DATOS!$I4748="","",IFERROR(VLOOKUP(DATOS!$I4748,CONFIG_ASIGNATURAS!$B$2:$J$61,9,FALSE()),""))</f>
      </c>
    </row>
    <row r="4749">
      <c r="E4749">
        <f>IF(DATOS!$I4749="","",IFERROR(VLOOKUP(DATOS!$I4749,CONFIG_ASIGNATURAS!$B$2:$J$61,9,FALSE()),""))</f>
      </c>
    </row>
    <row r="4750">
      <c r="E4750">
        <f>IF(DATOS!$I4750="","",IFERROR(VLOOKUP(DATOS!$I4750,CONFIG_ASIGNATURAS!$B$2:$J$61,9,FALSE()),""))</f>
      </c>
    </row>
    <row r="4751">
      <c r="E4751">
        <f>IF(DATOS!$I4751="","",IFERROR(VLOOKUP(DATOS!$I4751,CONFIG_ASIGNATURAS!$B$2:$J$61,9,FALSE()),""))</f>
      </c>
    </row>
    <row r="4752">
      <c r="E4752">
        <f>IF(DATOS!$I4752="","",IFERROR(VLOOKUP(DATOS!$I4752,CONFIG_ASIGNATURAS!$B$2:$J$61,9,FALSE()),""))</f>
      </c>
    </row>
    <row r="4753">
      <c r="E4753">
        <f>IF(DATOS!$I4753="","",IFERROR(VLOOKUP(DATOS!$I4753,CONFIG_ASIGNATURAS!$B$2:$J$61,9,FALSE()),""))</f>
      </c>
    </row>
    <row r="4754">
      <c r="E4754">
        <f>IF(DATOS!$I4754="","",IFERROR(VLOOKUP(DATOS!$I4754,CONFIG_ASIGNATURAS!$B$2:$J$61,9,FALSE()),""))</f>
      </c>
    </row>
    <row r="4755">
      <c r="E4755">
        <f>IF(DATOS!$I4755="","",IFERROR(VLOOKUP(DATOS!$I4755,CONFIG_ASIGNATURAS!$B$2:$J$61,9,FALSE()),""))</f>
      </c>
    </row>
    <row r="4756">
      <c r="E4756">
        <f>IF(DATOS!$I4756="","",IFERROR(VLOOKUP(DATOS!$I4756,CONFIG_ASIGNATURAS!$B$2:$J$61,9,FALSE()),""))</f>
      </c>
    </row>
    <row r="4757">
      <c r="E4757">
        <f>IF(DATOS!$I4757="","",IFERROR(VLOOKUP(DATOS!$I4757,CONFIG_ASIGNATURAS!$B$2:$J$61,9,FALSE()),""))</f>
      </c>
    </row>
    <row r="4758">
      <c r="E4758">
        <f>IF(DATOS!$I4758="","",IFERROR(VLOOKUP(DATOS!$I4758,CONFIG_ASIGNATURAS!$B$2:$J$61,9,FALSE()),""))</f>
      </c>
    </row>
    <row r="4759">
      <c r="E4759">
        <f>IF(DATOS!$I4759="","",IFERROR(VLOOKUP(DATOS!$I4759,CONFIG_ASIGNATURAS!$B$2:$J$61,9,FALSE()),""))</f>
      </c>
    </row>
    <row r="4760">
      <c r="E4760">
        <f>IF(DATOS!$I4760="","",IFERROR(VLOOKUP(DATOS!$I4760,CONFIG_ASIGNATURAS!$B$2:$J$61,9,FALSE()),""))</f>
      </c>
    </row>
    <row r="4761">
      <c r="E4761">
        <f>IF(DATOS!$I4761="","",IFERROR(VLOOKUP(DATOS!$I4761,CONFIG_ASIGNATURAS!$B$2:$J$61,9,FALSE()),""))</f>
      </c>
    </row>
    <row r="4762">
      <c r="E4762">
        <f>IF(DATOS!$I4762="","",IFERROR(VLOOKUP(DATOS!$I4762,CONFIG_ASIGNATURAS!$B$2:$J$61,9,FALSE()),""))</f>
      </c>
    </row>
    <row r="4763">
      <c r="E4763">
        <f>IF(DATOS!$I4763="","",IFERROR(VLOOKUP(DATOS!$I4763,CONFIG_ASIGNATURAS!$B$2:$J$61,9,FALSE()),""))</f>
      </c>
    </row>
    <row r="4764">
      <c r="E4764">
        <f>IF(DATOS!$I4764="","",IFERROR(VLOOKUP(DATOS!$I4764,CONFIG_ASIGNATURAS!$B$2:$J$61,9,FALSE()),""))</f>
      </c>
    </row>
    <row r="4765">
      <c r="E4765">
        <f>IF(DATOS!$I4765="","",IFERROR(VLOOKUP(DATOS!$I4765,CONFIG_ASIGNATURAS!$B$2:$J$61,9,FALSE()),""))</f>
      </c>
    </row>
    <row r="4766">
      <c r="E4766">
        <f>IF(DATOS!$I4766="","",IFERROR(VLOOKUP(DATOS!$I4766,CONFIG_ASIGNATURAS!$B$2:$J$61,9,FALSE()),""))</f>
      </c>
    </row>
    <row r="4767">
      <c r="E4767">
        <f>IF(DATOS!$I4767="","",IFERROR(VLOOKUP(DATOS!$I4767,CONFIG_ASIGNATURAS!$B$2:$J$61,9,FALSE()),""))</f>
      </c>
    </row>
    <row r="4768">
      <c r="E4768">
        <f>IF(DATOS!$I4768="","",IFERROR(VLOOKUP(DATOS!$I4768,CONFIG_ASIGNATURAS!$B$2:$J$61,9,FALSE()),""))</f>
      </c>
    </row>
    <row r="4769">
      <c r="E4769">
        <f>IF(DATOS!$I4769="","",IFERROR(VLOOKUP(DATOS!$I4769,CONFIG_ASIGNATURAS!$B$2:$J$61,9,FALSE()),""))</f>
      </c>
    </row>
    <row r="4770">
      <c r="E4770">
        <f>IF(DATOS!$I4770="","",IFERROR(VLOOKUP(DATOS!$I4770,CONFIG_ASIGNATURAS!$B$2:$J$61,9,FALSE()),""))</f>
      </c>
    </row>
    <row r="4771">
      <c r="E4771">
        <f>IF(DATOS!$I4771="","",IFERROR(VLOOKUP(DATOS!$I4771,CONFIG_ASIGNATURAS!$B$2:$J$61,9,FALSE()),""))</f>
      </c>
    </row>
    <row r="4772">
      <c r="E4772">
        <f>IF(DATOS!$I4772="","",IFERROR(VLOOKUP(DATOS!$I4772,CONFIG_ASIGNATURAS!$B$2:$J$61,9,FALSE()),""))</f>
      </c>
    </row>
    <row r="4773">
      <c r="E4773">
        <f>IF(DATOS!$I4773="","",IFERROR(VLOOKUP(DATOS!$I4773,CONFIG_ASIGNATURAS!$B$2:$J$61,9,FALSE()),""))</f>
      </c>
    </row>
    <row r="4774">
      <c r="E4774">
        <f>IF(DATOS!$I4774="","",IFERROR(VLOOKUP(DATOS!$I4774,CONFIG_ASIGNATURAS!$B$2:$J$61,9,FALSE()),""))</f>
      </c>
    </row>
    <row r="4775">
      <c r="E4775">
        <f>IF(DATOS!$I4775="","",IFERROR(VLOOKUP(DATOS!$I4775,CONFIG_ASIGNATURAS!$B$2:$J$61,9,FALSE()),""))</f>
      </c>
    </row>
    <row r="4776">
      <c r="E4776">
        <f>IF(DATOS!$I4776="","",IFERROR(VLOOKUP(DATOS!$I4776,CONFIG_ASIGNATURAS!$B$2:$J$61,9,FALSE()),""))</f>
      </c>
    </row>
    <row r="4777">
      <c r="E4777">
        <f>IF(DATOS!$I4777="","",IFERROR(VLOOKUP(DATOS!$I4777,CONFIG_ASIGNATURAS!$B$2:$J$61,9,FALSE()),""))</f>
      </c>
    </row>
    <row r="4778">
      <c r="E4778">
        <f>IF(DATOS!$I4778="","",IFERROR(VLOOKUP(DATOS!$I4778,CONFIG_ASIGNATURAS!$B$2:$J$61,9,FALSE()),""))</f>
      </c>
    </row>
    <row r="4779">
      <c r="E4779">
        <f>IF(DATOS!$I4779="","",IFERROR(VLOOKUP(DATOS!$I4779,CONFIG_ASIGNATURAS!$B$2:$J$61,9,FALSE()),""))</f>
      </c>
    </row>
    <row r="4780">
      <c r="E4780">
        <f>IF(DATOS!$I4780="","",IFERROR(VLOOKUP(DATOS!$I4780,CONFIG_ASIGNATURAS!$B$2:$J$61,9,FALSE()),""))</f>
      </c>
    </row>
    <row r="4781">
      <c r="E4781">
        <f>IF(DATOS!$I4781="","",IFERROR(VLOOKUP(DATOS!$I4781,CONFIG_ASIGNATURAS!$B$2:$J$61,9,FALSE()),""))</f>
      </c>
    </row>
    <row r="4782">
      <c r="E4782">
        <f>IF(DATOS!$I4782="","",IFERROR(VLOOKUP(DATOS!$I4782,CONFIG_ASIGNATURAS!$B$2:$J$61,9,FALSE()),""))</f>
      </c>
    </row>
    <row r="4783">
      <c r="E4783">
        <f>IF(DATOS!$I4783="","",IFERROR(VLOOKUP(DATOS!$I4783,CONFIG_ASIGNATURAS!$B$2:$J$61,9,FALSE()),""))</f>
      </c>
    </row>
    <row r="4784">
      <c r="E4784">
        <f>IF(DATOS!$I4784="","",IFERROR(VLOOKUP(DATOS!$I4784,CONFIG_ASIGNATURAS!$B$2:$J$61,9,FALSE()),""))</f>
      </c>
    </row>
    <row r="4785">
      <c r="E4785">
        <f>IF(DATOS!$I4785="","",IFERROR(VLOOKUP(DATOS!$I4785,CONFIG_ASIGNATURAS!$B$2:$J$61,9,FALSE()),""))</f>
      </c>
    </row>
    <row r="4786">
      <c r="E4786">
        <f>IF(DATOS!$I4786="","",IFERROR(VLOOKUP(DATOS!$I4786,CONFIG_ASIGNATURAS!$B$2:$J$61,9,FALSE()),""))</f>
      </c>
    </row>
    <row r="4787">
      <c r="E4787">
        <f>IF(DATOS!$I4787="","",IFERROR(VLOOKUP(DATOS!$I4787,CONFIG_ASIGNATURAS!$B$2:$J$61,9,FALSE()),""))</f>
      </c>
    </row>
    <row r="4788">
      <c r="E4788">
        <f>IF(DATOS!$I4788="","",IFERROR(VLOOKUP(DATOS!$I4788,CONFIG_ASIGNATURAS!$B$2:$J$61,9,FALSE()),""))</f>
      </c>
    </row>
    <row r="4789">
      <c r="E4789">
        <f>IF(DATOS!$I4789="","",IFERROR(VLOOKUP(DATOS!$I4789,CONFIG_ASIGNATURAS!$B$2:$J$61,9,FALSE()),""))</f>
      </c>
    </row>
    <row r="4790">
      <c r="E4790">
        <f>IF(DATOS!$I4790="","",IFERROR(VLOOKUP(DATOS!$I4790,CONFIG_ASIGNATURAS!$B$2:$J$61,9,FALSE()),""))</f>
      </c>
    </row>
    <row r="4791">
      <c r="E4791">
        <f>IF(DATOS!$I4791="","",IFERROR(VLOOKUP(DATOS!$I4791,CONFIG_ASIGNATURAS!$B$2:$J$61,9,FALSE()),""))</f>
      </c>
    </row>
    <row r="4792">
      <c r="E4792">
        <f>IF(DATOS!$I4792="","",IFERROR(VLOOKUP(DATOS!$I4792,CONFIG_ASIGNATURAS!$B$2:$J$61,9,FALSE()),""))</f>
      </c>
    </row>
    <row r="4793">
      <c r="E4793">
        <f>IF(DATOS!$I4793="","",IFERROR(VLOOKUP(DATOS!$I4793,CONFIG_ASIGNATURAS!$B$2:$J$61,9,FALSE()),""))</f>
      </c>
    </row>
    <row r="4794">
      <c r="E4794">
        <f>IF(DATOS!$I4794="","",IFERROR(VLOOKUP(DATOS!$I4794,CONFIG_ASIGNATURAS!$B$2:$J$61,9,FALSE()),""))</f>
      </c>
    </row>
    <row r="4795">
      <c r="E4795">
        <f>IF(DATOS!$I4795="","",IFERROR(VLOOKUP(DATOS!$I4795,CONFIG_ASIGNATURAS!$B$2:$J$61,9,FALSE()),""))</f>
      </c>
    </row>
    <row r="4796">
      <c r="E4796">
        <f>IF(DATOS!$I4796="","",IFERROR(VLOOKUP(DATOS!$I4796,CONFIG_ASIGNATURAS!$B$2:$J$61,9,FALSE()),""))</f>
      </c>
    </row>
    <row r="4797">
      <c r="E4797">
        <f>IF(DATOS!$I4797="","",IFERROR(VLOOKUP(DATOS!$I4797,CONFIG_ASIGNATURAS!$B$2:$J$61,9,FALSE()),""))</f>
      </c>
    </row>
    <row r="4798">
      <c r="E4798">
        <f>IF(DATOS!$I4798="","",IFERROR(VLOOKUP(DATOS!$I4798,CONFIG_ASIGNATURAS!$B$2:$J$61,9,FALSE()),""))</f>
      </c>
    </row>
    <row r="4799">
      <c r="E4799">
        <f>IF(DATOS!$I4799="","",IFERROR(VLOOKUP(DATOS!$I4799,CONFIG_ASIGNATURAS!$B$2:$J$61,9,FALSE()),""))</f>
      </c>
    </row>
    <row r="4800">
      <c r="E4800">
        <f>IF(DATOS!$I4800="","",IFERROR(VLOOKUP(DATOS!$I4800,CONFIG_ASIGNATURAS!$B$2:$J$61,9,FALSE()),""))</f>
      </c>
    </row>
    <row r="4801">
      <c r="E4801">
        <f>IF(DATOS!$I4801="","",IFERROR(VLOOKUP(DATOS!$I4801,CONFIG_ASIGNATURAS!$B$2:$J$61,9,FALSE()),""))</f>
      </c>
    </row>
    <row r="4802">
      <c r="E4802">
        <f>IF(DATOS!$I4802="","",IFERROR(VLOOKUP(DATOS!$I4802,CONFIG_ASIGNATURAS!$B$2:$J$61,9,FALSE()),""))</f>
      </c>
    </row>
    <row r="4803">
      <c r="E4803">
        <f>IF(DATOS!$I4803="","",IFERROR(VLOOKUP(DATOS!$I4803,CONFIG_ASIGNATURAS!$B$2:$J$61,9,FALSE()),""))</f>
      </c>
    </row>
    <row r="4804">
      <c r="E4804">
        <f>IF(DATOS!$I4804="","",IFERROR(VLOOKUP(DATOS!$I4804,CONFIG_ASIGNATURAS!$B$2:$J$61,9,FALSE()),""))</f>
      </c>
    </row>
    <row r="4805">
      <c r="E4805">
        <f>IF(DATOS!$I4805="","",IFERROR(VLOOKUP(DATOS!$I4805,CONFIG_ASIGNATURAS!$B$2:$J$61,9,FALSE()),""))</f>
      </c>
    </row>
    <row r="4806">
      <c r="E4806">
        <f>IF(DATOS!$I4806="","",IFERROR(VLOOKUP(DATOS!$I4806,CONFIG_ASIGNATURAS!$B$2:$J$61,9,FALSE()),""))</f>
      </c>
    </row>
    <row r="4807">
      <c r="E4807">
        <f>IF(DATOS!$I4807="","",IFERROR(VLOOKUP(DATOS!$I4807,CONFIG_ASIGNATURAS!$B$2:$J$61,9,FALSE()),""))</f>
      </c>
    </row>
    <row r="4808">
      <c r="E4808">
        <f>IF(DATOS!$I4808="","",IFERROR(VLOOKUP(DATOS!$I4808,CONFIG_ASIGNATURAS!$B$2:$J$61,9,FALSE()),""))</f>
      </c>
    </row>
    <row r="4809">
      <c r="E4809">
        <f>IF(DATOS!$I4809="","",IFERROR(VLOOKUP(DATOS!$I4809,CONFIG_ASIGNATURAS!$B$2:$J$61,9,FALSE()),""))</f>
      </c>
    </row>
    <row r="4810">
      <c r="E4810">
        <f>IF(DATOS!$I4810="","",IFERROR(VLOOKUP(DATOS!$I4810,CONFIG_ASIGNATURAS!$B$2:$J$61,9,FALSE()),""))</f>
      </c>
    </row>
    <row r="4811">
      <c r="E4811">
        <f>IF(DATOS!$I4811="","",IFERROR(VLOOKUP(DATOS!$I4811,CONFIG_ASIGNATURAS!$B$2:$J$61,9,FALSE()),""))</f>
      </c>
    </row>
    <row r="4812">
      <c r="E4812">
        <f>IF(DATOS!$I4812="","",IFERROR(VLOOKUP(DATOS!$I4812,CONFIG_ASIGNATURAS!$B$2:$J$61,9,FALSE()),""))</f>
      </c>
    </row>
    <row r="4813">
      <c r="E4813">
        <f>IF(DATOS!$I4813="","",IFERROR(VLOOKUP(DATOS!$I4813,CONFIG_ASIGNATURAS!$B$2:$J$61,9,FALSE()),""))</f>
      </c>
    </row>
    <row r="4814">
      <c r="E4814">
        <f>IF(DATOS!$I4814="","",IFERROR(VLOOKUP(DATOS!$I4814,CONFIG_ASIGNATURAS!$B$2:$J$61,9,FALSE()),""))</f>
      </c>
    </row>
    <row r="4815">
      <c r="E4815">
        <f>IF(DATOS!$I4815="","",IFERROR(VLOOKUP(DATOS!$I4815,CONFIG_ASIGNATURAS!$B$2:$J$61,9,FALSE()),""))</f>
      </c>
    </row>
    <row r="4816">
      <c r="E4816">
        <f>IF(DATOS!$I4816="","",IFERROR(VLOOKUP(DATOS!$I4816,CONFIG_ASIGNATURAS!$B$2:$J$61,9,FALSE()),""))</f>
      </c>
    </row>
    <row r="4817">
      <c r="E4817">
        <f>IF(DATOS!$I4817="","",IFERROR(VLOOKUP(DATOS!$I4817,CONFIG_ASIGNATURAS!$B$2:$J$61,9,FALSE()),""))</f>
      </c>
    </row>
    <row r="4818">
      <c r="E4818">
        <f>IF(DATOS!$I4818="","",IFERROR(VLOOKUP(DATOS!$I4818,CONFIG_ASIGNATURAS!$B$2:$J$61,9,FALSE()),""))</f>
      </c>
    </row>
    <row r="4819">
      <c r="E4819">
        <f>IF(DATOS!$I4819="","",IFERROR(VLOOKUP(DATOS!$I4819,CONFIG_ASIGNATURAS!$B$2:$J$61,9,FALSE()),""))</f>
      </c>
    </row>
    <row r="4820">
      <c r="E4820">
        <f>IF(DATOS!$I4820="","",IFERROR(VLOOKUP(DATOS!$I4820,CONFIG_ASIGNATURAS!$B$2:$J$61,9,FALSE()),""))</f>
      </c>
    </row>
    <row r="4821">
      <c r="E4821">
        <f>IF(DATOS!$I4821="","",IFERROR(VLOOKUP(DATOS!$I4821,CONFIG_ASIGNATURAS!$B$2:$J$61,9,FALSE()),""))</f>
      </c>
    </row>
    <row r="4822">
      <c r="E4822">
        <f>IF(DATOS!$I4822="","",IFERROR(VLOOKUP(DATOS!$I4822,CONFIG_ASIGNATURAS!$B$2:$J$61,9,FALSE()),""))</f>
      </c>
    </row>
    <row r="4823">
      <c r="E4823">
        <f>IF(DATOS!$I4823="","",IFERROR(VLOOKUP(DATOS!$I4823,CONFIG_ASIGNATURAS!$B$2:$J$61,9,FALSE()),""))</f>
      </c>
    </row>
    <row r="4824">
      <c r="E4824">
        <f>IF(DATOS!$I4824="","",IFERROR(VLOOKUP(DATOS!$I4824,CONFIG_ASIGNATURAS!$B$2:$J$61,9,FALSE()),""))</f>
      </c>
    </row>
    <row r="4825">
      <c r="E4825">
        <f>IF(DATOS!$I4825="","",IFERROR(VLOOKUP(DATOS!$I4825,CONFIG_ASIGNATURAS!$B$2:$J$61,9,FALSE()),""))</f>
      </c>
    </row>
    <row r="4826">
      <c r="E4826">
        <f>IF(DATOS!$I4826="","",IFERROR(VLOOKUP(DATOS!$I4826,CONFIG_ASIGNATURAS!$B$2:$J$61,9,FALSE()),""))</f>
      </c>
    </row>
    <row r="4827">
      <c r="E4827">
        <f>IF(DATOS!$I4827="","",IFERROR(VLOOKUP(DATOS!$I4827,CONFIG_ASIGNATURAS!$B$2:$J$61,9,FALSE()),""))</f>
      </c>
    </row>
    <row r="4828">
      <c r="E4828">
        <f>IF(DATOS!$I4828="","",IFERROR(VLOOKUP(DATOS!$I4828,CONFIG_ASIGNATURAS!$B$2:$J$61,9,FALSE()),""))</f>
      </c>
    </row>
    <row r="4829">
      <c r="E4829">
        <f>IF(DATOS!$I4829="","",IFERROR(VLOOKUP(DATOS!$I4829,CONFIG_ASIGNATURAS!$B$2:$J$61,9,FALSE()),""))</f>
      </c>
    </row>
    <row r="4830">
      <c r="E4830">
        <f>IF(DATOS!$I4830="","",IFERROR(VLOOKUP(DATOS!$I4830,CONFIG_ASIGNATURAS!$B$2:$J$61,9,FALSE()),""))</f>
      </c>
    </row>
    <row r="4831">
      <c r="E4831">
        <f>IF(DATOS!$I4831="","",IFERROR(VLOOKUP(DATOS!$I4831,CONFIG_ASIGNATURAS!$B$2:$J$61,9,FALSE()),""))</f>
      </c>
    </row>
    <row r="4832">
      <c r="E4832">
        <f>IF(DATOS!$I4832="","",IFERROR(VLOOKUP(DATOS!$I4832,CONFIG_ASIGNATURAS!$B$2:$J$61,9,FALSE()),""))</f>
      </c>
    </row>
    <row r="4833">
      <c r="E4833">
        <f>IF(DATOS!$I4833="","",IFERROR(VLOOKUP(DATOS!$I4833,CONFIG_ASIGNATURAS!$B$2:$J$61,9,FALSE()),""))</f>
      </c>
    </row>
    <row r="4834">
      <c r="E4834">
        <f>IF(DATOS!$I4834="","",IFERROR(VLOOKUP(DATOS!$I4834,CONFIG_ASIGNATURAS!$B$2:$J$61,9,FALSE()),""))</f>
      </c>
    </row>
    <row r="4835">
      <c r="E4835">
        <f>IF(DATOS!$I4835="","",IFERROR(VLOOKUP(DATOS!$I4835,CONFIG_ASIGNATURAS!$B$2:$J$61,9,FALSE()),""))</f>
      </c>
    </row>
    <row r="4836">
      <c r="E4836">
        <f>IF(DATOS!$I4836="","",IFERROR(VLOOKUP(DATOS!$I4836,CONFIG_ASIGNATURAS!$B$2:$J$61,9,FALSE()),""))</f>
      </c>
    </row>
    <row r="4837">
      <c r="E4837">
        <f>IF(DATOS!$I4837="","",IFERROR(VLOOKUP(DATOS!$I4837,CONFIG_ASIGNATURAS!$B$2:$J$61,9,FALSE()),""))</f>
      </c>
    </row>
    <row r="4838">
      <c r="E4838">
        <f>IF(DATOS!$I4838="","",IFERROR(VLOOKUP(DATOS!$I4838,CONFIG_ASIGNATURAS!$B$2:$J$61,9,FALSE()),""))</f>
      </c>
    </row>
    <row r="4839">
      <c r="E4839">
        <f>IF(DATOS!$I4839="","",IFERROR(VLOOKUP(DATOS!$I4839,CONFIG_ASIGNATURAS!$B$2:$J$61,9,FALSE()),""))</f>
      </c>
    </row>
    <row r="4840">
      <c r="E4840">
        <f>IF(DATOS!$I4840="","",IFERROR(VLOOKUP(DATOS!$I4840,CONFIG_ASIGNATURAS!$B$2:$J$61,9,FALSE()),""))</f>
      </c>
    </row>
    <row r="4841">
      <c r="E4841">
        <f>IF(DATOS!$I4841="","",IFERROR(VLOOKUP(DATOS!$I4841,CONFIG_ASIGNATURAS!$B$2:$J$61,9,FALSE()),""))</f>
      </c>
    </row>
    <row r="4842">
      <c r="E4842">
        <f>IF(DATOS!$I4842="","",IFERROR(VLOOKUP(DATOS!$I4842,CONFIG_ASIGNATURAS!$B$2:$J$61,9,FALSE()),""))</f>
      </c>
    </row>
    <row r="4843">
      <c r="E4843">
        <f>IF(DATOS!$I4843="","",IFERROR(VLOOKUP(DATOS!$I4843,CONFIG_ASIGNATURAS!$B$2:$J$61,9,FALSE()),""))</f>
      </c>
    </row>
    <row r="4844">
      <c r="E4844">
        <f>IF(DATOS!$I4844="","",IFERROR(VLOOKUP(DATOS!$I4844,CONFIG_ASIGNATURAS!$B$2:$J$61,9,FALSE()),""))</f>
      </c>
    </row>
    <row r="4845">
      <c r="E4845">
        <f>IF(DATOS!$I4845="","",IFERROR(VLOOKUP(DATOS!$I4845,CONFIG_ASIGNATURAS!$B$2:$J$61,9,FALSE()),""))</f>
      </c>
    </row>
    <row r="4846">
      <c r="E4846">
        <f>IF(DATOS!$I4846="","",IFERROR(VLOOKUP(DATOS!$I4846,CONFIG_ASIGNATURAS!$B$2:$J$61,9,FALSE()),""))</f>
      </c>
    </row>
    <row r="4847">
      <c r="E4847">
        <f>IF(DATOS!$I4847="","",IFERROR(VLOOKUP(DATOS!$I4847,CONFIG_ASIGNATURAS!$B$2:$J$61,9,FALSE()),""))</f>
      </c>
    </row>
    <row r="4848">
      <c r="E4848">
        <f>IF(DATOS!$I4848="","",IFERROR(VLOOKUP(DATOS!$I4848,CONFIG_ASIGNATURAS!$B$2:$J$61,9,FALSE()),""))</f>
      </c>
    </row>
    <row r="4849">
      <c r="E4849">
        <f>IF(DATOS!$I4849="","",IFERROR(VLOOKUP(DATOS!$I4849,CONFIG_ASIGNATURAS!$B$2:$J$61,9,FALSE()),""))</f>
      </c>
    </row>
    <row r="4850">
      <c r="E4850">
        <f>IF(DATOS!$I4850="","",IFERROR(VLOOKUP(DATOS!$I4850,CONFIG_ASIGNATURAS!$B$2:$J$61,9,FALSE()),""))</f>
      </c>
    </row>
    <row r="4851">
      <c r="E4851">
        <f>IF(DATOS!$I4851="","",IFERROR(VLOOKUP(DATOS!$I4851,CONFIG_ASIGNATURAS!$B$2:$J$61,9,FALSE()),""))</f>
      </c>
    </row>
    <row r="4852">
      <c r="E4852">
        <f>IF(DATOS!$I4852="","",IFERROR(VLOOKUP(DATOS!$I4852,CONFIG_ASIGNATURAS!$B$2:$J$61,9,FALSE()),""))</f>
      </c>
    </row>
    <row r="4853">
      <c r="E4853">
        <f>IF(DATOS!$I4853="","",IFERROR(VLOOKUP(DATOS!$I4853,CONFIG_ASIGNATURAS!$B$2:$J$61,9,FALSE()),""))</f>
      </c>
    </row>
    <row r="4854">
      <c r="E4854">
        <f>IF(DATOS!$I4854="","",IFERROR(VLOOKUP(DATOS!$I4854,CONFIG_ASIGNATURAS!$B$2:$J$61,9,FALSE()),""))</f>
      </c>
    </row>
    <row r="4855">
      <c r="E4855">
        <f>IF(DATOS!$I4855="","",IFERROR(VLOOKUP(DATOS!$I4855,CONFIG_ASIGNATURAS!$B$2:$J$61,9,FALSE()),""))</f>
      </c>
    </row>
    <row r="4856">
      <c r="E4856">
        <f>IF(DATOS!$I4856="","",IFERROR(VLOOKUP(DATOS!$I4856,CONFIG_ASIGNATURAS!$B$2:$J$61,9,FALSE()),""))</f>
      </c>
    </row>
    <row r="4857">
      <c r="E4857">
        <f>IF(DATOS!$I4857="","",IFERROR(VLOOKUP(DATOS!$I4857,CONFIG_ASIGNATURAS!$B$2:$J$61,9,FALSE()),""))</f>
      </c>
    </row>
    <row r="4858">
      <c r="E4858">
        <f>IF(DATOS!$I4858="","",IFERROR(VLOOKUP(DATOS!$I4858,CONFIG_ASIGNATURAS!$B$2:$J$61,9,FALSE()),""))</f>
      </c>
    </row>
    <row r="4859">
      <c r="E4859">
        <f>IF(DATOS!$I4859="","",IFERROR(VLOOKUP(DATOS!$I4859,CONFIG_ASIGNATURAS!$B$2:$J$61,9,FALSE()),""))</f>
      </c>
    </row>
    <row r="4860">
      <c r="E4860">
        <f>IF(DATOS!$I4860="","",IFERROR(VLOOKUP(DATOS!$I4860,CONFIG_ASIGNATURAS!$B$2:$J$61,9,FALSE()),""))</f>
      </c>
    </row>
    <row r="4861">
      <c r="E4861">
        <f>IF(DATOS!$I4861="","",IFERROR(VLOOKUP(DATOS!$I4861,CONFIG_ASIGNATURAS!$B$2:$J$61,9,FALSE()),""))</f>
      </c>
    </row>
    <row r="4862">
      <c r="E4862">
        <f>IF(DATOS!$I4862="","",IFERROR(VLOOKUP(DATOS!$I4862,CONFIG_ASIGNATURAS!$B$2:$J$61,9,FALSE()),""))</f>
      </c>
    </row>
    <row r="4863">
      <c r="E4863">
        <f>IF(DATOS!$I4863="","",IFERROR(VLOOKUP(DATOS!$I4863,CONFIG_ASIGNATURAS!$B$2:$J$61,9,FALSE()),""))</f>
      </c>
    </row>
    <row r="4864">
      <c r="E4864">
        <f>IF(DATOS!$I4864="","",IFERROR(VLOOKUP(DATOS!$I4864,CONFIG_ASIGNATURAS!$B$2:$J$61,9,FALSE()),""))</f>
      </c>
    </row>
    <row r="4865">
      <c r="E4865">
        <f>IF(DATOS!$I4865="","",IFERROR(VLOOKUP(DATOS!$I4865,CONFIG_ASIGNATURAS!$B$2:$J$61,9,FALSE()),""))</f>
      </c>
    </row>
    <row r="4866">
      <c r="E4866">
        <f>IF(DATOS!$I4866="","",IFERROR(VLOOKUP(DATOS!$I4866,CONFIG_ASIGNATURAS!$B$2:$J$61,9,FALSE()),""))</f>
      </c>
    </row>
    <row r="4867">
      <c r="E4867">
        <f>IF(DATOS!$I4867="","",IFERROR(VLOOKUP(DATOS!$I4867,CONFIG_ASIGNATURAS!$B$2:$J$61,9,FALSE()),""))</f>
      </c>
    </row>
    <row r="4868">
      <c r="E4868">
        <f>IF(DATOS!$I4868="","",IFERROR(VLOOKUP(DATOS!$I4868,CONFIG_ASIGNATURAS!$B$2:$J$61,9,FALSE()),""))</f>
      </c>
    </row>
    <row r="4869">
      <c r="E4869">
        <f>IF(DATOS!$I4869="","",IFERROR(VLOOKUP(DATOS!$I4869,CONFIG_ASIGNATURAS!$B$2:$J$61,9,FALSE()),""))</f>
      </c>
    </row>
    <row r="4870">
      <c r="E4870">
        <f>IF(DATOS!$I4870="","",IFERROR(VLOOKUP(DATOS!$I4870,CONFIG_ASIGNATURAS!$B$2:$J$61,9,FALSE()),""))</f>
      </c>
    </row>
    <row r="4871">
      <c r="E4871">
        <f>IF(DATOS!$I4871="","",IFERROR(VLOOKUP(DATOS!$I4871,CONFIG_ASIGNATURAS!$B$2:$J$61,9,FALSE()),""))</f>
      </c>
    </row>
    <row r="4872">
      <c r="E4872">
        <f>IF(DATOS!$I4872="","",IFERROR(VLOOKUP(DATOS!$I4872,CONFIG_ASIGNATURAS!$B$2:$J$61,9,FALSE()),""))</f>
      </c>
    </row>
    <row r="4873">
      <c r="E4873">
        <f>IF(DATOS!$I4873="","",IFERROR(VLOOKUP(DATOS!$I4873,CONFIG_ASIGNATURAS!$B$2:$J$61,9,FALSE()),""))</f>
      </c>
    </row>
    <row r="4874">
      <c r="E4874">
        <f>IF(DATOS!$I4874="","",IFERROR(VLOOKUP(DATOS!$I4874,CONFIG_ASIGNATURAS!$B$2:$J$61,9,FALSE()),""))</f>
      </c>
    </row>
    <row r="4875">
      <c r="E4875">
        <f>IF(DATOS!$I4875="","",IFERROR(VLOOKUP(DATOS!$I4875,CONFIG_ASIGNATURAS!$B$2:$J$61,9,FALSE()),""))</f>
      </c>
    </row>
    <row r="4876">
      <c r="E4876">
        <f>IF(DATOS!$I4876="","",IFERROR(VLOOKUP(DATOS!$I4876,CONFIG_ASIGNATURAS!$B$2:$J$61,9,FALSE()),""))</f>
      </c>
    </row>
    <row r="4877">
      <c r="E4877">
        <f>IF(DATOS!$I4877="","",IFERROR(VLOOKUP(DATOS!$I4877,CONFIG_ASIGNATURAS!$B$2:$J$61,9,FALSE()),""))</f>
      </c>
    </row>
    <row r="4878">
      <c r="E4878">
        <f>IF(DATOS!$I4878="","",IFERROR(VLOOKUP(DATOS!$I4878,CONFIG_ASIGNATURAS!$B$2:$J$61,9,FALSE()),""))</f>
      </c>
    </row>
    <row r="4879">
      <c r="E4879">
        <f>IF(DATOS!$I4879="","",IFERROR(VLOOKUP(DATOS!$I4879,CONFIG_ASIGNATURAS!$B$2:$J$61,9,FALSE()),""))</f>
      </c>
    </row>
    <row r="4880">
      <c r="E4880">
        <f>IF(DATOS!$I4880="","",IFERROR(VLOOKUP(DATOS!$I4880,CONFIG_ASIGNATURAS!$B$2:$J$61,9,FALSE()),""))</f>
      </c>
    </row>
    <row r="4881">
      <c r="E4881">
        <f>IF(DATOS!$I4881="","",IFERROR(VLOOKUP(DATOS!$I4881,CONFIG_ASIGNATURAS!$B$2:$J$61,9,FALSE()),""))</f>
      </c>
    </row>
    <row r="4882">
      <c r="E4882">
        <f>IF(DATOS!$I4882="","",IFERROR(VLOOKUP(DATOS!$I4882,CONFIG_ASIGNATURAS!$B$2:$J$61,9,FALSE()),""))</f>
      </c>
    </row>
    <row r="4883">
      <c r="E4883">
        <f>IF(DATOS!$I4883="","",IFERROR(VLOOKUP(DATOS!$I4883,CONFIG_ASIGNATURAS!$B$2:$J$61,9,FALSE()),""))</f>
      </c>
    </row>
    <row r="4884">
      <c r="E4884">
        <f>IF(DATOS!$I4884="","",IFERROR(VLOOKUP(DATOS!$I4884,CONFIG_ASIGNATURAS!$B$2:$J$61,9,FALSE()),""))</f>
      </c>
    </row>
    <row r="4885">
      <c r="E4885">
        <f>IF(DATOS!$I4885="","",IFERROR(VLOOKUP(DATOS!$I4885,CONFIG_ASIGNATURAS!$B$2:$J$61,9,FALSE()),""))</f>
      </c>
    </row>
    <row r="4886">
      <c r="E4886">
        <f>IF(DATOS!$I4886="","",IFERROR(VLOOKUP(DATOS!$I4886,CONFIG_ASIGNATURAS!$B$2:$J$61,9,FALSE()),""))</f>
      </c>
    </row>
    <row r="4887">
      <c r="E4887">
        <f>IF(DATOS!$I4887="","",IFERROR(VLOOKUP(DATOS!$I4887,CONFIG_ASIGNATURAS!$B$2:$J$61,9,FALSE()),""))</f>
      </c>
    </row>
    <row r="4888">
      <c r="E4888">
        <f>IF(DATOS!$I4888="","",IFERROR(VLOOKUP(DATOS!$I4888,CONFIG_ASIGNATURAS!$B$2:$J$61,9,FALSE()),""))</f>
      </c>
    </row>
    <row r="4889">
      <c r="E4889">
        <f>IF(DATOS!$I4889="","",IFERROR(VLOOKUP(DATOS!$I4889,CONFIG_ASIGNATURAS!$B$2:$J$61,9,FALSE()),""))</f>
      </c>
    </row>
    <row r="4890">
      <c r="E4890">
        <f>IF(DATOS!$I4890="","",IFERROR(VLOOKUP(DATOS!$I4890,CONFIG_ASIGNATURAS!$B$2:$J$61,9,FALSE()),""))</f>
      </c>
    </row>
    <row r="4891">
      <c r="E4891">
        <f>IF(DATOS!$I4891="","",IFERROR(VLOOKUP(DATOS!$I4891,CONFIG_ASIGNATURAS!$B$2:$J$61,9,FALSE()),""))</f>
      </c>
    </row>
    <row r="4892">
      <c r="E4892">
        <f>IF(DATOS!$I4892="","",IFERROR(VLOOKUP(DATOS!$I4892,CONFIG_ASIGNATURAS!$B$2:$J$61,9,FALSE()),""))</f>
      </c>
    </row>
    <row r="4893">
      <c r="E4893">
        <f>IF(DATOS!$I4893="","",IFERROR(VLOOKUP(DATOS!$I4893,CONFIG_ASIGNATURAS!$B$2:$J$61,9,FALSE()),""))</f>
      </c>
    </row>
    <row r="4894">
      <c r="E4894">
        <f>IF(DATOS!$I4894="","",IFERROR(VLOOKUP(DATOS!$I4894,CONFIG_ASIGNATURAS!$B$2:$J$61,9,FALSE()),""))</f>
      </c>
    </row>
    <row r="4895">
      <c r="E4895">
        <f>IF(DATOS!$I4895="","",IFERROR(VLOOKUP(DATOS!$I4895,CONFIG_ASIGNATURAS!$B$2:$J$61,9,FALSE()),""))</f>
      </c>
    </row>
    <row r="4896">
      <c r="E4896">
        <f>IF(DATOS!$I4896="","",IFERROR(VLOOKUP(DATOS!$I4896,CONFIG_ASIGNATURAS!$B$2:$J$61,9,FALSE()),""))</f>
      </c>
    </row>
    <row r="4897">
      <c r="E4897">
        <f>IF(DATOS!$I4897="","",IFERROR(VLOOKUP(DATOS!$I4897,CONFIG_ASIGNATURAS!$B$2:$J$61,9,FALSE()),""))</f>
      </c>
    </row>
    <row r="4898">
      <c r="E4898">
        <f>IF(DATOS!$I4898="","",IFERROR(VLOOKUP(DATOS!$I4898,CONFIG_ASIGNATURAS!$B$2:$J$61,9,FALSE()),""))</f>
      </c>
    </row>
    <row r="4899">
      <c r="E4899">
        <f>IF(DATOS!$I4899="","",IFERROR(VLOOKUP(DATOS!$I4899,CONFIG_ASIGNATURAS!$B$2:$J$61,9,FALSE()),""))</f>
      </c>
    </row>
    <row r="4900">
      <c r="E4900">
        <f>IF(DATOS!$I4900="","",IFERROR(VLOOKUP(DATOS!$I4900,CONFIG_ASIGNATURAS!$B$2:$J$61,9,FALSE()),""))</f>
      </c>
    </row>
    <row r="4901">
      <c r="E4901">
        <f>IF(DATOS!$I4901="","",IFERROR(VLOOKUP(DATOS!$I4901,CONFIG_ASIGNATURAS!$B$2:$J$61,9,FALSE()),""))</f>
      </c>
    </row>
    <row r="4902">
      <c r="E4902">
        <f>IF(DATOS!$I4902="","",IFERROR(VLOOKUP(DATOS!$I4902,CONFIG_ASIGNATURAS!$B$2:$J$61,9,FALSE()),""))</f>
      </c>
    </row>
    <row r="4903">
      <c r="E4903">
        <f>IF(DATOS!$I4903="","",IFERROR(VLOOKUP(DATOS!$I4903,CONFIG_ASIGNATURAS!$B$2:$J$61,9,FALSE()),""))</f>
      </c>
    </row>
    <row r="4904">
      <c r="E4904">
        <f>IF(DATOS!$I4904="","",IFERROR(VLOOKUP(DATOS!$I4904,CONFIG_ASIGNATURAS!$B$2:$J$61,9,FALSE()),""))</f>
      </c>
    </row>
    <row r="4905">
      <c r="E4905">
        <f>IF(DATOS!$I4905="","",IFERROR(VLOOKUP(DATOS!$I4905,CONFIG_ASIGNATURAS!$B$2:$J$61,9,FALSE()),""))</f>
      </c>
    </row>
    <row r="4906">
      <c r="E4906">
        <f>IF(DATOS!$I4906="","",IFERROR(VLOOKUP(DATOS!$I4906,CONFIG_ASIGNATURAS!$B$2:$J$61,9,FALSE()),""))</f>
      </c>
    </row>
    <row r="4907">
      <c r="E4907">
        <f>IF(DATOS!$I4907="","",IFERROR(VLOOKUP(DATOS!$I4907,CONFIG_ASIGNATURAS!$B$2:$J$61,9,FALSE()),""))</f>
      </c>
    </row>
    <row r="4908">
      <c r="E4908">
        <f>IF(DATOS!$I4908="","",IFERROR(VLOOKUP(DATOS!$I4908,CONFIG_ASIGNATURAS!$B$2:$J$61,9,FALSE()),""))</f>
      </c>
    </row>
    <row r="4909">
      <c r="E4909">
        <f>IF(DATOS!$I4909="","",IFERROR(VLOOKUP(DATOS!$I4909,CONFIG_ASIGNATURAS!$B$2:$J$61,9,FALSE()),""))</f>
      </c>
    </row>
    <row r="4910">
      <c r="E4910">
        <f>IF(DATOS!$I4910="","",IFERROR(VLOOKUP(DATOS!$I4910,CONFIG_ASIGNATURAS!$B$2:$J$61,9,FALSE()),""))</f>
      </c>
    </row>
    <row r="4911">
      <c r="E4911">
        <f>IF(DATOS!$I4911="","",IFERROR(VLOOKUP(DATOS!$I4911,CONFIG_ASIGNATURAS!$B$2:$J$61,9,FALSE()),""))</f>
      </c>
    </row>
    <row r="4912">
      <c r="E4912">
        <f>IF(DATOS!$I4912="","",IFERROR(VLOOKUP(DATOS!$I4912,CONFIG_ASIGNATURAS!$B$2:$J$61,9,FALSE()),""))</f>
      </c>
    </row>
    <row r="4913">
      <c r="E4913">
        <f>IF(DATOS!$I4913="","",IFERROR(VLOOKUP(DATOS!$I4913,CONFIG_ASIGNATURAS!$B$2:$J$61,9,FALSE()),""))</f>
      </c>
    </row>
    <row r="4914">
      <c r="E4914">
        <f>IF(DATOS!$I4914="","",IFERROR(VLOOKUP(DATOS!$I4914,CONFIG_ASIGNATURAS!$B$2:$J$61,9,FALSE()),""))</f>
      </c>
    </row>
    <row r="4915">
      <c r="E4915">
        <f>IF(DATOS!$I4915="","",IFERROR(VLOOKUP(DATOS!$I4915,CONFIG_ASIGNATURAS!$B$2:$J$61,9,FALSE()),""))</f>
      </c>
    </row>
    <row r="4916">
      <c r="E4916">
        <f>IF(DATOS!$I4916="","",IFERROR(VLOOKUP(DATOS!$I4916,CONFIG_ASIGNATURAS!$B$2:$J$61,9,FALSE()),""))</f>
      </c>
    </row>
    <row r="4917">
      <c r="E4917">
        <f>IF(DATOS!$I4917="","",IFERROR(VLOOKUP(DATOS!$I4917,CONFIG_ASIGNATURAS!$B$2:$J$61,9,FALSE()),""))</f>
      </c>
    </row>
    <row r="4918">
      <c r="E4918">
        <f>IF(DATOS!$I4918="","",IFERROR(VLOOKUP(DATOS!$I4918,CONFIG_ASIGNATURAS!$B$2:$J$61,9,FALSE()),""))</f>
      </c>
    </row>
    <row r="4919">
      <c r="E4919">
        <f>IF(DATOS!$I4919="","",IFERROR(VLOOKUP(DATOS!$I4919,CONFIG_ASIGNATURAS!$B$2:$J$61,9,FALSE()),""))</f>
      </c>
    </row>
    <row r="4920">
      <c r="E4920">
        <f>IF(DATOS!$I4920="","",IFERROR(VLOOKUP(DATOS!$I4920,CONFIG_ASIGNATURAS!$B$2:$J$61,9,FALSE()),""))</f>
      </c>
    </row>
    <row r="4921">
      <c r="E4921">
        <f>IF(DATOS!$I4921="","",IFERROR(VLOOKUP(DATOS!$I4921,CONFIG_ASIGNATURAS!$B$2:$J$61,9,FALSE()),""))</f>
      </c>
    </row>
    <row r="4922">
      <c r="E4922">
        <f>IF(DATOS!$I4922="","",IFERROR(VLOOKUP(DATOS!$I4922,CONFIG_ASIGNATURAS!$B$2:$J$61,9,FALSE()),""))</f>
      </c>
    </row>
    <row r="4923">
      <c r="E4923">
        <f>IF(DATOS!$I4923="","",IFERROR(VLOOKUP(DATOS!$I4923,CONFIG_ASIGNATURAS!$B$2:$J$61,9,FALSE()),""))</f>
      </c>
    </row>
    <row r="4924">
      <c r="E4924">
        <f>IF(DATOS!$I4924="","",IFERROR(VLOOKUP(DATOS!$I4924,CONFIG_ASIGNATURAS!$B$2:$J$61,9,FALSE()),""))</f>
      </c>
    </row>
    <row r="4925">
      <c r="E4925">
        <f>IF(DATOS!$I4925="","",IFERROR(VLOOKUP(DATOS!$I4925,CONFIG_ASIGNATURAS!$B$2:$J$61,9,FALSE()),""))</f>
      </c>
    </row>
    <row r="4926">
      <c r="E4926">
        <f>IF(DATOS!$I4926="","",IFERROR(VLOOKUP(DATOS!$I4926,CONFIG_ASIGNATURAS!$B$2:$J$61,9,FALSE()),""))</f>
      </c>
    </row>
    <row r="4927">
      <c r="E4927">
        <f>IF(DATOS!$I4927="","",IFERROR(VLOOKUP(DATOS!$I4927,CONFIG_ASIGNATURAS!$B$2:$J$61,9,FALSE()),""))</f>
      </c>
    </row>
    <row r="4928">
      <c r="E4928">
        <f>IF(DATOS!$I4928="","",IFERROR(VLOOKUP(DATOS!$I4928,CONFIG_ASIGNATURAS!$B$2:$J$61,9,FALSE()),""))</f>
      </c>
    </row>
    <row r="4929">
      <c r="E4929">
        <f>IF(DATOS!$I4929="","",IFERROR(VLOOKUP(DATOS!$I4929,CONFIG_ASIGNATURAS!$B$2:$J$61,9,FALSE()),""))</f>
      </c>
    </row>
    <row r="4930">
      <c r="E4930">
        <f>IF(DATOS!$I4930="","",IFERROR(VLOOKUP(DATOS!$I4930,CONFIG_ASIGNATURAS!$B$2:$J$61,9,FALSE()),""))</f>
      </c>
    </row>
    <row r="4931">
      <c r="E4931">
        <f>IF(DATOS!$I4931="","",IFERROR(VLOOKUP(DATOS!$I4931,CONFIG_ASIGNATURAS!$B$2:$J$61,9,FALSE()),""))</f>
      </c>
    </row>
    <row r="4932">
      <c r="E4932">
        <f>IF(DATOS!$I4932="","",IFERROR(VLOOKUP(DATOS!$I4932,CONFIG_ASIGNATURAS!$B$2:$J$61,9,FALSE()),""))</f>
      </c>
    </row>
    <row r="4933">
      <c r="E4933">
        <f>IF(DATOS!$I4933="","",IFERROR(VLOOKUP(DATOS!$I4933,CONFIG_ASIGNATURAS!$B$2:$J$61,9,FALSE()),""))</f>
      </c>
    </row>
    <row r="4934">
      <c r="E4934">
        <f>IF(DATOS!$I4934="","",IFERROR(VLOOKUP(DATOS!$I4934,CONFIG_ASIGNATURAS!$B$2:$J$61,9,FALSE()),""))</f>
      </c>
    </row>
    <row r="4935">
      <c r="E4935">
        <f>IF(DATOS!$I4935="","",IFERROR(VLOOKUP(DATOS!$I4935,CONFIG_ASIGNATURAS!$B$2:$J$61,9,FALSE()),""))</f>
      </c>
    </row>
    <row r="4936">
      <c r="E4936">
        <f>IF(DATOS!$I4936="","",IFERROR(VLOOKUP(DATOS!$I4936,CONFIG_ASIGNATURAS!$B$2:$J$61,9,FALSE()),""))</f>
      </c>
    </row>
    <row r="4937">
      <c r="E4937">
        <f>IF(DATOS!$I4937="","",IFERROR(VLOOKUP(DATOS!$I4937,CONFIG_ASIGNATURAS!$B$2:$J$61,9,FALSE()),""))</f>
      </c>
    </row>
    <row r="4938">
      <c r="E4938">
        <f>IF(DATOS!$I4938="","",IFERROR(VLOOKUP(DATOS!$I4938,CONFIG_ASIGNATURAS!$B$2:$J$61,9,FALSE()),""))</f>
      </c>
    </row>
    <row r="4939">
      <c r="E4939">
        <f>IF(DATOS!$I4939="","",IFERROR(VLOOKUP(DATOS!$I4939,CONFIG_ASIGNATURAS!$B$2:$J$61,9,FALSE()),""))</f>
      </c>
    </row>
    <row r="4940">
      <c r="E4940">
        <f>IF(DATOS!$I4940="","",IFERROR(VLOOKUP(DATOS!$I4940,CONFIG_ASIGNATURAS!$B$2:$J$61,9,FALSE()),""))</f>
      </c>
    </row>
    <row r="4941">
      <c r="E4941">
        <f>IF(DATOS!$I4941="","",IFERROR(VLOOKUP(DATOS!$I4941,CONFIG_ASIGNATURAS!$B$2:$J$61,9,FALSE()),""))</f>
      </c>
    </row>
    <row r="4942">
      <c r="E4942">
        <f>IF(DATOS!$I4942="","",IFERROR(VLOOKUP(DATOS!$I4942,CONFIG_ASIGNATURAS!$B$2:$J$61,9,FALSE()),""))</f>
      </c>
    </row>
    <row r="4943">
      <c r="E4943">
        <f>IF(DATOS!$I4943="","",IFERROR(VLOOKUP(DATOS!$I4943,CONFIG_ASIGNATURAS!$B$2:$J$61,9,FALSE()),""))</f>
      </c>
    </row>
    <row r="4944">
      <c r="E4944">
        <f>IF(DATOS!$I4944="","",IFERROR(VLOOKUP(DATOS!$I4944,CONFIG_ASIGNATURAS!$B$2:$J$61,9,FALSE()),""))</f>
      </c>
    </row>
    <row r="4945">
      <c r="E4945">
        <f>IF(DATOS!$I4945="","",IFERROR(VLOOKUP(DATOS!$I4945,CONFIG_ASIGNATURAS!$B$2:$J$61,9,FALSE()),""))</f>
      </c>
    </row>
    <row r="4946">
      <c r="E4946">
        <f>IF(DATOS!$I4946="","",IFERROR(VLOOKUP(DATOS!$I4946,CONFIG_ASIGNATURAS!$B$2:$J$61,9,FALSE()),""))</f>
      </c>
    </row>
    <row r="4947">
      <c r="E4947">
        <f>IF(DATOS!$I4947="","",IFERROR(VLOOKUP(DATOS!$I4947,CONFIG_ASIGNATURAS!$B$2:$J$61,9,FALSE()),""))</f>
      </c>
    </row>
    <row r="4948">
      <c r="E4948">
        <f>IF(DATOS!$I4948="","",IFERROR(VLOOKUP(DATOS!$I4948,CONFIG_ASIGNATURAS!$B$2:$J$61,9,FALSE()),""))</f>
      </c>
    </row>
    <row r="4949">
      <c r="E4949">
        <f>IF(DATOS!$I4949="","",IFERROR(VLOOKUP(DATOS!$I4949,CONFIG_ASIGNATURAS!$B$2:$J$61,9,FALSE()),""))</f>
      </c>
    </row>
    <row r="4950">
      <c r="E4950">
        <f>IF(DATOS!$I4950="","",IFERROR(VLOOKUP(DATOS!$I4950,CONFIG_ASIGNATURAS!$B$2:$J$61,9,FALSE()),""))</f>
      </c>
    </row>
    <row r="4951">
      <c r="E4951">
        <f>IF(DATOS!$I4951="","",IFERROR(VLOOKUP(DATOS!$I4951,CONFIG_ASIGNATURAS!$B$2:$J$61,9,FALSE()),""))</f>
      </c>
    </row>
    <row r="4952">
      <c r="E4952">
        <f>IF(DATOS!$I4952="","",IFERROR(VLOOKUP(DATOS!$I4952,CONFIG_ASIGNATURAS!$B$2:$J$61,9,FALSE()),""))</f>
      </c>
    </row>
    <row r="4953">
      <c r="E4953">
        <f>IF(DATOS!$I4953="","",IFERROR(VLOOKUP(DATOS!$I4953,CONFIG_ASIGNATURAS!$B$2:$J$61,9,FALSE()),""))</f>
      </c>
    </row>
    <row r="4954">
      <c r="E4954">
        <f>IF(DATOS!$I4954="","",IFERROR(VLOOKUP(DATOS!$I4954,CONFIG_ASIGNATURAS!$B$2:$J$61,9,FALSE()),""))</f>
      </c>
    </row>
    <row r="4955">
      <c r="E4955">
        <f>IF(DATOS!$I4955="","",IFERROR(VLOOKUP(DATOS!$I4955,CONFIG_ASIGNATURAS!$B$2:$J$61,9,FALSE()),""))</f>
      </c>
    </row>
    <row r="4956">
      <c r="E4956">
        <f>IF(DATOS!$I4956="","",IFERROR(VLOOKUP(DATOS!$I4956,CONFIG_ASIGNATURAS!$B$2:$J$61,9,FALSE()),""))</f>
      </c>
    </row>
    <row r="4957">
      <c r="E4957">
        <f>IF(DATOS!$I4957="","",IFERROR(VLOOKUP(DATOS!$I4957,CONFIG_ASIGNATURAS!$B$2:$J$61,9,FALSE()),""))</f>
      </c>
    </row>
    <row r="4958">
      <c r="E4958">
        <f>IF(DATOS!$I4958="","",IFERROR(VLOOKUP(DATOS!$I4958,CONFIG_ASIGNATURAS!$B$2:$J$61,9,FALSE()),""))</f>
      </c>
    </row>
    <row r="4959">
      <c r="E4959">
        <f>IF(DATOS!$I4959="","",IFERROR(VLOOKUP(DATOS!$I4959,CONFIG_ASIGNATURAS!$B$2:$J$61,9,FALSE()),""))</f>
      </c>
    </row>
    <row r="4960">
      <c r="E4960">
        <f>IF(DATOS!$I4960="","",IFERROR(VLOOKUP(DATOS!$I4960,CONFIG_ASIGNATURAS!$B$2:$J$61,9,FALSE()),""))</f>
      </c>
    </row>
    <row r="4961">
      <c r="E4961">
        <f>IF(DATOS!$I4961="","",IFERROR(VLOOKUP(DATOS!$I4961,CONFIG_ASIGNATURAS!$B$2:$J$61,9,FALSE()),""))</f>
      </c>
    </row>
    <row r="4962">
      <c r="E4962">
        <f>IF(DATOS!$I4962="","",IFERROR(VLOOKUP(DATOS!$I4962,CONFIG_ASIGNATURAS!$B$2:$J$61,9,FALSE()),""))</f>
      </c>
    </row>
    <row r="4963">
      <c r="E4963">
        <f>IF(DATOS!$I4963="","",IFERROR(VLOOKUP(DATOS!$I4963,CONFIG_ASIGNATURAS!$B$2:$J$61,9,FALSE()),""))</f>
      </c>
    </row>
    <row r="4964">
      <c r="E4964">
        <f>IF(DATOS!$I4964="","",IFERROR(VLOOKUP(DATOS!$I4964,CONFIG_ASIGNATURAS!$B$2:$J$61,9,FALSE()),""))</f>
      </c>
    </row>
    <row r="4965">
      <c r="E4965">
        <f>IF(DATOS!$I4965="","",IFERROR(VLOOKUP(DATOS!$I4965,CONFIG_ASIGNATURAS!$B$2:$J$61,9,FALSE()),""))</f>
      </c>
    </row>
    <row r="4966">
      <c r="E4966">
        <f>IF(DATOS!$I4966="","",IFERROR(VLOOKUP(DATOS!$I4966,CONFIG_ASIGNATURAS!$B$2:$J$61,9,FALSE()),""))</f>
      </c>
    </row>
    <row r="4967">
      <c r="E4967">
        <f>IF(DATOS!$I4967="","",IFERROR(VLOOKUP(DATOS!$I4967,CONFIG_ASIGNATURAS!$B$2:$J$61,9,FALSE()),""))</f>
      </c>
    </row>
    <row r="4968">
      <c r="E4968">
        <f>IF(DATOS!$I4968="","",IFERROR(VLOOKUP(DATOS!$I4968,CONFIG_ASIGNATURAS!$B$2:$J$61,9,FALSE()),""))</f>
      </c>
    </row>
    <row r="4969">
      <c r="E4969">
        <f>IF(DATOS!$I4969="","",IFERROR(VLOOKUP(DATOS!$I4969,CONFIG_ASIGNATURAS!$B$2:$J$61,9,FALSE()),""))</f>
      </c>
    </row>
    <row r="4970">
      <c r="E4970">
        <f>IF(DATOS!$I4970="","",IFERROR(VLOOKUP(DATOS!$I4970,CONFIG_ASIGNATURAS!$B$2:$J$61,9,FALSE()),""))</f>
      </c>
    </row>
    <row r="4971">
      <c r="E4971">
        <f>IF(DATOS!$I4971="","",IFERROR(VLOOKUP(DATOS!$I4971,CONFIG_ASIGNATURAS!$B$2:$J$61,9,FALSE()),""))</f>
      </c>
    </row>
    <row r="4972">
      <c r="E4972">
        <f>IF(DATOS!$I4972="","",IFERROR(VLOOKUP(DATOS!$I4972,CONFIG_ASIGNATURAS!$B$2:$J$61,9,FALSE()),""))</f>
      </c>
    </row>
    <row r="4973">
      <c r="E4973">
        <f>IF(DATOS!$I4973="","",IFERROR(VLOOKUP(DATOS!$I4973,CONFIG_ASIGNATURAS!$B$2:$J$61,9,FALSE()),""))</f>
      </c>
    </row>
    <row r="4974">
      <c r="E4974">
        <f>IF(DATOS!$I4974="","",IFERROR(VLOOKUP(DATOS!$I4974,CONFIG_ASIGNATURAS!$B$2:$J$61,9,FALSE()),""))</f>
      </c>
    </row>
    <row r="4975">
      <c r="E4975">
        <f>IF(DATOS!$I4975="","",IFERROR(VLOOKUP(DATOS!$I4975,CONFIG_ASIGNATURAS!$B$2:$J$61,9,FALSE()),""))</f>
      </c>
    </row>
    <row r="4976">
      <c r="E4976">
        <f>IF(DATOS!$I4976="","",IFERROR(VLOOKUP(DATOS!$I4976,CONFIG_ASIGNATURAS!$B$2:$J$61,9,FALSE()),""))</f>
      </c>
    </row>
    <row r="4977">
      <c r="E4977">
        <f>IF(DATOS!$I4977="","",IFERROR(VLOOKUP(DATOS!$I4977,CONFIG_ASIGNATURAS!$B$2:$J$61,9,FALSE()),""))</f>
      </c>
    </row>
    <row r="4978">
      <c r="E4978">
        <f>IF(DATOS!$I4978="","",IFERROR(VLOOKUP(DATOS!$I4978,CONFIG_ASIGNATURAS!$B$2:$J$61,9,FALSE()),""))</f>
      </c>
    </row>
    <row r="4979">
      <c r="E4979">
        <f>IF(DATOS!$I4979="","",IFERROR(VLOOKUP(DATOS!$I4979,CONFIG_ASIGNATURAS!$B$2:$J$61,9,FALSE()),""))</f>
      </c>
    </row>
    <row r="4980">
      <c r="E4980">
        <f>IF(DATOS!$I4980="","",IFERROR(VLOOKUP(DATOS!$I4980,CONFIG_ASIGNATURAS!$B$2:$J$61,9,FALSE()),""))</f>
      </c>
    </row>
    <row r="4981">
      <c r="E4981">
        <f>IF(DATOS!$I4981="","",IFERROR(VLOOKUP(DATOS!$I4981,CONFIG_ASIGNATURAS!$B$2:$J$61,9,FALSE()),""))</f>
      </c>
    </row>
    <row r="4982">
      <c r="E4982">
        <f>IF(DATOS!$I4982="","",IFERROR(VLOOKUP(DATOS!$I4982,CONFIG_ASIGNATURAS!$B$2:$J$61,9,FALSE()),""))</f>
      </c>
    </row>
    <row r="4983">
      <c r="E4983">
        <f>IF(DATOS!$I4983="","",IFERROR(VLOOKUP(DATOS!$I4983,CONFIG_ASIGNATURAS!$B$2:$J$61,9,FALSE()),""))</f>
      </c>
    </row>
    <row r="4984">
      <c r="E4984">
        <f>IF(DATOS!$I4984="","",IFERROR(VLOOKUP(DATOS!$I4984,CONFIG_ASIGNATURAS!$B$2:$J$61,9,FALSE()),""))</f>
      </c>
    </row>
    <row r="4985">
      <c r="E4985">
        <f>IF(DATOS!$I4985="","",IFERROR(VLOOKUP(DATOS!$I4985,CONFIG_ASIGNATURAS!$B$2:$J$61,9,FALSE()),""))</f>
      </c>
    </row>
    <row r="4986">
      <c r="E4986">
        <f>IF(DATOS!$I4986="","",IFERROR(VLOOKUP(DATOS!$I4986,CONFIG_ASIGNATURAS!$B$2:$J$61,9,FALSE()),""))</f>
      </c>
    </row>
    <row r="4987">
      <c r="E4987">
        <f>IF(DATOS!$I4987="","",IFERROR(VLOOKUP(DATOS!$I4987,CONFIG_ASIGNATURAS!$B$2:$J$61,9,FALSE()),""))</f>
      </c>
    </row>
    <row r="4988">
      <c r="E4988">
        <f>IF(DATOS!$I4988="","",IFERROR(VLOOKUP(DATOS!$I4988,CONFIG_ASIGNATURAS!$B$2:$J$61,9,FALSE()),""))</f>
      </c>
    </row>
    <row r="4989">
      <c r="E4989">
        <f>IF(DATOS!$I4989="","",IFERROR(VLOOKUP(DATOS!$I4989,CONFIG_ASIGNATURAS!$B$2:$J$61,9,FALSE()),""))</f>
      </c>
    </row>
    <row r="4990">
      <c r="E4990">
        <f>IF(DATOS!$I4990="","",IFERROR(VLOOKUP(DATOS!$I4990,CONFIG_ASIGNATURAS!$B$2:$J$61,9,FALSE()),""))</f>
      </c>
    </row>
    <row r="4991">
      <c r="E4991">
        <f>IF(DATOS!$I4991="","",IFERROR(VLOOKUP(DATOS!$I4991,CONFIG_ASIGNATURAS!$B$2:$J$61,9,FALSE()),""))</f>
      </c>
    </row>
    <row r="4992">
      <c r="E4992">
        <f>IF(DATOS!$I4992="","",IFERROR(VLOOKUP(DATOS!$I4992,CONFIG_ASIGNATURAS!$B$2:$J$61,9,FALSE()),""))</f>
      </c>
    </row>
    <row r="4993">
      <c r="E4993">
        <f>IF(DATOS!$I4993="","",IFERROR(VLOOKUP(DATOS!$I4993,CONFIG_ASIGNATURAS!$B$2:$J$61,9,FALSE()),""))</f>
      </c>
    </row>
    <row r="4994">
      <c r="E4994">
        <f>IF(DATOS!$I4994="","",IFERROR(VLOOKUP(DATOS!$I4994,CONFIG_ASIGNATURAS!$B$2:$J$61,9,FALSE()),""))</f>
      </c>
    </row>
    <row r="4995">
      <c r="E4995">
        <f>IF(DATOS!$I4995="","",IFERROR(VLOOKUP(DATOS!$I4995,CONFIG_ASIGNATURAS!$B$2:$J$61,9,FALSE()),""))</f>
      </c>
    </row>
    <row r="4996">
      <c r="E4996">
        <f>IF(DATOS!$I4996="","",IFERROR(VLOOKUP(DATOS!$I4996,CONFIG_ASIGNATURAS!$B$2:$J$61,9,FALSE()),""))</f>
      </c>
    </row>
    <row r="4997">
      <c r="E4997">
        <f>IF(DATOS!$I4997="","",IFERROR(VLOOKUP(DATOS!$I4997,CONFIG_ASIGNATURAS!$B$2:$J$61,9,FALSE()),""))</f>
      </c>
    </row>
    <row r="4998">
      <c r="E4998">
        <f>IF(DATOS!$I4998="","",IFERROR(VLOOKUP(DATOS!$I4998,CONFIG_ASIGNATURAS!$B$2:$J$61,9,FALSE()),""))</f>
      </c>
    </row>
    <row r="4999">
      <c r="E4999">
        <f>IF(DATOS!$I4999="","",IFERROR(VLOOKUP(DATOS!$I4999,CONFIG_ASIGNATURAS!$B$2:$J$61,9,FALSE()),""))</f>
      </c>
    </row>
    <row r="5000">
      <c r="E5000">
        <f>IF(DATOS!$I5000="","",IFERROR(VLOOKUP(DATOS!$I5000,CONFIG_ASIGNATURAS!$B$2:$J$61,9,FALSE()),""))</f>
      </c>
    </row>
    <row r="5001">
      <c r="E5001">
        <f>IF(DATOS!$I5001="","",IFERROR(VLOOKUP(DATOS!$I5001,CONFIG_ASIGNATURAS!$B$2:$J$61,9,FALSE()),""))</f>
      </c>
    </row>
    <row r="5002">
      <c r="E5002">
        <f>IF(DATOS!$I5002="","",IFERROR(VLOOKUP(DATOS!$I5002,CONFIG_ASIGNATURAS!$B$2:$J$61,9,FALSE()),""))</f>
      </c>
    </row>
    <row r="5003">
      <c r="E5003">
        <f>IF(DATOS!$I5003="","",IFERROR(VLOOKUP(DATOS!$I5003,CONFIG_ASIGNATURAS!$B$2:$J$61,9,FALSE()),""))</f>
      </c>
    </row>
    <row r="5004">
      <c r="E5004">
        <f>IF(DATOS!$I5004="","",IFERROR(VLOOKUP(DATOS!$I5004,CONFIG_ASIGNATURAS!$B$2:$J$61,9,FALSE()),""))</f>
      </c>
    </row>
    <row r="5005">
      <c r="E5005">
        <f>IF(DATOS!$I5005="","",IFERROR(VLOOKUP(DATOS!$I5005,CONFIG_ASIGNATURAS!$B$2:$J$61,9,FALSE()),""))</f>
      </c>
    </row>
    <row r="5006">
      <c r="E5006">
        <f>IF(DATOS!$I5006="","",IFERROR(VLOOKUP(DATOS!$I5006,CONFIG_ASIGNATURAS!$B$2:$J$61,9,FALSE()),""))</f>
      </c>
    </row>
    <row r="5007">
      <c r="E5007">
        <f>IF(DATOS!$I5007="","",IFERROR(VLOOKUP(DATOS!$I5007,CONFIG_ASIGNATURAS!$B$2:$J$61,9,FALSE()),""))</f>
      </c>
    </row>
    <row r="5008">
      <c r="E5008">
        <f>IF(DATOS!$I5008="","",IFERROR(VLOOKUP(DATOS!$I5008,CONFIG_ASIGNATURAS!$B$2:$J$61,9,FALSE()),""))</f>
      </c>
    </row>
    <row r="5009">
      <c r="E5009">
        <f>IF(DATOS!$I5009="","",IFERROR(VLOOKUP(DATOS!$I5009,CONFIG_ASIGNATURAS!$B$2:$J$61,9,FALSE()),""))</f>
      </c>
    </row>
    <row r="5010">
      <c r="E5010">
        <f>IF(DATOS!$I5010="","",IFERROR(VLOOKUP(DATOS!$I5010,CONFIG_ASIGNATURAS!$B$2:$J$61,9,FALSE()),""))</f>
      </c>
    </row>
    <row r="5011">
      <c r="E5011">
        <f>IF(DATOS!$I5011="","",IFERROR(VLOOKUP(DATOS!$I5011,CONFIG_ASIGNATURAS!$B$2:$J$61,9,FALSE()),""))</f>
      </c>
    </row>
    <row r="5012">
      <c r="E5012">
        <f>IF(DATOS!$I5012="","",IFERROR(VLOOKUP(DATOS!$I5012,CONFIG_ASIGNATURAS!$B$2:$J$61,9,FALSE()),""))</f>
      </c>
    </row>
    <row r="5013">
      <c r="E5013">
        <f>IF(DATOS!$I5013="","",IFERROR(VLOOKUP(DATOS!$I5013,CONFIG_ASIGNATURAS!$B$2:$J$61,9,FALSE()),""))</f>
      </c>
    </row>
    <row r="5014">
      <c r="E5014">
        <f>IF(DATOS!$I5014="","",IFERROR(VLOOKUP(DATOS!$I5014,CONFIG_ASIGNATURAS!$B$2:$J$61,9,FALSE()),""))</f>
      </c>
    </row>
    <row r="5015">
      <c r="E5015">
        <f>IF(DATOS!$I5015="","",IFERROR(VLOOKUP(DATOS!$I5015,CONFIG_ASIGNATURAS!$B$2:$J$61,9,FALSE()),""))</f>
      </c>
    </row>
    <row r="5016">
      <c r="E5016">
        <f>IF(DATOS!$I5016="","",IFERROR(VLOOKUP(DATOS!$I5016,CONFIG_ASIGNATURAS!$B$2:$J$61,9,FALSE()),""))</f>
      </c>
    </row>
    <row r="5017">
      <c r="E5017">
        <f>IF(DATOS!$I5017="","",IFERROR(VLOOKUP(DATOS!$I5017,CONFIG_ASIGNATURAS!$B$2:$J$61,9,FALSE()),""))</f>
      </c>
    </row>
    <row r="5018">
      <c r="E5018">
        <f>IF(DATOS!$I5018="","",IFERROR(VLOOKUP(DATOS!$I5018,CONFIG_ASIGNATURAS!$B$2:$J$61,9,FALSE()),""))</f>
      </c>
    </row>
    <row r="5019">
      <c r="E5019">
        <f>IF(DATOS!$I5019="","",IFERROR(VLOOKUP(DATOS!$I5019,CONFIG_ASIGNATURAS!$B$2:$J$61,9,FALSE()),""))</f>
      </c>
    </row>
    <row r="5020">
      <c r="E5020">
        <f>IF(DATOS!$I5020="","",IFERROR(VLOOKUP(DATOS!$I5020,CONFIG_ASIGNATURAS!$B$2:$J$61,9,FALSE()),""))</f>
      </c>
    </row>
    <row r="5021">
      <c r="E5021">
        <f>IF(DATOS!$I5021="","",IFERROR(VLOOKUP(DATOS!$I5021,CONFIG_ASIGNATURAS!$B$2:$J$61,9,FALSE()),""))</f>
      </c>
    </row>
    <row r="5022">
      <c r="E5022">
        <f>IF(DATOS!$I5022="","",IFERROR(VLOOKUP(DATOS!$I5022,CONFIG_ASIGNATURAS!$B$2:$J$61,9,FALSE()),""))</f>
      </c>
    </row>
    <row r="5023">
      <c r="E5023">
        <f>IF(DATOS!$I5023="","",IFERROR(VLOOKUP(DATOS!$I5023,CONFIG_ASIGNATURAS!$B$2:$J$61,9,FALSE()),""))</f>
      </c>
    </row>
    <row r="5024">
      <c r="E5024">
        <f>IF(DATOS!$I5024="","",IFERROR(VLOOKUP(DATOS!$I5024,CONFIG_ASIGNATURAS!$B$2:$J$61,9,FALSE()),""))</f>
      </c>
    </row>
    <row r="5025">
      <c r="E5025">
        <f>IF(DATOS!$I5025="","",IFERROR(VLOOKUP(DATOS!$I5025,CONFIG_ASIGNATURAS!$B$2:$J$61,9,FALSE()),""))</f>
      </c>
    </row>
    <row r="5026">
      <c r="E5026">
        <f>IF(DATOS!$I5026="","",IFERROR(VLOOKUP(DATOS!$I5026,CONFIG_ASIGNATURAS!$B$2:$J$61,9,FALSE()),""))</f>
      </c>
    </row>
    <row r="5027">
      <c r="E5027">
        <f>IF(DATOS!$I5027="","",IFERROR(VLOOKUP(DATOS!$I5027,CONFIG_ASIGNATURAS!$B$2:$J$61,9,FALSE()),""))</f>
      </c>
    </row>
    <row r="5028">
      <c r="E5028">
        <f>IF(DATOS!$I5028="","",IFERROR(VLOOKUP(DATOS!$I5028,CONFIG_ASIGNATURAS!$B$2:$J$61,9,FALSE()),""))</f>
      </c>
    </row>
    <row r="5029">
      <c r="E5029">
        <f>IF(DATOS!$I5029="","",IFERROR(VLOOKUP(DATOS!$I5029,CONFIG_ASIGNATURAS!$B$2:$J$61,9,FALSE()),""))</f>
      </c>
    </row>
    <row r="5030">
      <c r="E5030">
        <f>IF(DATOS!$I5030="","",IFERROR(VLOOKUP(DATOS!$I5030,CONFIG_ASIGNATURAS!$B$2:$J$61,9,FALSE()),""))</f>
      </c>
    </row>
    <row r="5031">
      <c r="E5031">
        <f>IF(DATOS!$I5031="","",IFERROR(VLOOKUP(DATOS!$I5031,CONFIG_ASIGNATURAS!$B$2:$J$61,9,FALSE()),""))</f>
      </c>
    </row>
    <row r="5032">
      <c r="E5032">
        <f>IF(DATOS!$I5032="","",IFERROR(VLOOKUP(DATOS!$I5032,CONFIG_ASIGNATURAS!$B$2:$J$61,9,FALSE()),""))</f>
      </c>
    </row>
    <row r="5033">
      <c r="E5033">
        <f>IF(DATOS!$I5033="","",IFERROR(VLOOKUP(DATOS!$I5033,CONFIG_ASIGNATURAS!$B$2:$J$61,9,FALSE()),""))</f>
      </c>
    </row>
    <row r="5034">
      <c r="E5034">
        <f>IF(DATOS!$I5034="","",IFERROR(VLOOKUP(DATOS!$I5034,CONFIG_ASIGNATURAS!$B$2:$J$61,9,FALSE()),""))</f>
      </c>
    </row>
    <row r="5035">
      <c r="E5035">
        <f>IF(DATOS!$I5035="","",IFERROR(VLOOKUP(DATOS!$I5035,CONFIG_ASIGNATURAS!$B$2:$J$61,9,FALSE()),""))</f>
      </c>
    </row>
    <row r="5036">
      <c r="E5036">
        <f>IF(DATOS!$I5036="","",IFERROR(VLOOKUP(DATOS!$I5036,CONFIG_ASIGNATURAS!$B$2:$J$61,9,FALSE()),""))</f>
      </c>
    </row>
    <row r="5037">
      <c r="E5037">
        <f>IF(DATOS!$I5037="","",IFERROR(VLOOKUP(DATOS!$I5037,CONFIG_ASIGNATURAS!$B$2:$J$61,9,FALSE()),""))</f>
      </c>
    </row>
    <row r="5038">
      <c r="E5038">
        <f>IF(DATOS!$I5038="","",IFERROR(VLOOKUP(DATOS!$I5038,CONFIG_ASIGNATURAS!$B$2:$J$61,9,FALSE()),""))</f>
      </c>
    </row>
    <row r="5039">
      <c r="E5039">
        <f>IF(DATOS!$I5039="","",IFERROR(VLOOKUP(DATOS!$I5039,CONFIG_ASIGNATURAS!$B$2:$J$61,9,FALSE()),""))</f>
      </c>
    </row>
    <row r="5040">
      <c r="E5040">
        <f>IF(DATOS!$I5040="","",IFERROR(VLOOKUP(DATOS!$I5040,CONFIG_ASIGNATURAS!$B$2:$J$61,9,FALSE()),""))</f>
      </c>
    </row>
    <row r="5041">
      <c r="E5041">
        <f>IF(DATOS!$I5041="","",IFERROR(VLOOKUP(DATOS!$I5041,CONFIG_ASIGNATURAS!$B$2:$J$61,9,FALSE()),""))</f>
      </c>
    </row>
    <row r="5042">
      <c r="E5042">
        <f>IF(DATOS!$I5042="","",IFERROR(VLOOKUP(DATOS!$I5042,CONFIG_ASIGNATURAS!$B$2:$J$61,9,FALSE()),""))</f>
      </c>
    </row>
    <row r="5043">
      <c r="E5043">
        <f>IF(DATOS!$I5043="","",IFERROR(VLOOKUP(DATOS!$I5043,CONFIG_ASIGNATURAS!$B$2:$J$61,9,FALSE()),""))</f>
      </c>
    </row>
    <row r="5044">
      <c r="E5044">
        <f>IF(DATOS!$I5044="","",IFERROR(VLOOKUP(DATOS!$I5044,CONFIG_ASIGNATURAS!$B$2:$J$61,9,FALSE()),""))</f>
      </c>
    </row>
    <row r="5045">
      <c r="E5045">
        <f>IF(DATOS!$I5045="","",IFERROR(VLOOKUP(DATOS!$I5045,CONFIG_ASIGNATURAS!$B$2:$J$61,9,FALSE()),""))</f>
      </c>
    </row>
    <row r="5046">
      <c r="E5046">
        <f>IF(DATOS!$I5046="","",IFERROR(VLOOKUP(DATOS!$I5046,CONFIG_ASIGNATURAS!$B$2:$J$61,9,FALSE()),""))</f>
      </c>
    </row>
    <row r="5047">
      <c r="E5047">
        <f>IF(DATOS!$I5047="","",IFERROR(VLOOKUP(DATOS!$I5047,CONFIG_ASIGNATURAS!$B$2:$J$61,9,FALSE()),""))</f>
      </c>
    </row>
    <row r="5048">
      <c r="E5048">
        <f>IF(DATOS!$I5048="","",IFERROR(VLOOKUP(DATOS!$I5048,CONFIG_ASIGNATURAS!$B$2:$J$61,9,FALSE()),""))</f>
      </c>
    </row>
    <row r="5049">
      <c r="E5049">
        <f>IF(DATOS!$I5049="","",IFERROR(VLOOKUP(DATOS!$I5049,CONFIG_ASIGNATURAS!$B$2:$J$61,9,FALSE()),""))</f>
      </c>
    </row>
    <row r="5050">
      <c r="E5050">
        <f>IF(DATOS!$I5050="","",IFERROR(VLOOKUP(DATOS!$I5050,CONFIG_ASIGNATURAS!$B$2:$J$61,9,FALSE()),""))</f>
      </c>
    </row>
    <row r="5051">
      <c r="E5051">
        <f>IF(DATOS!$I5051="","",IFERROR(VLOOKUP(DATOS!$I5051,CONFIG_ASIGNATURAS!$B$2:$J$61,9,FALSE()),""))</f>
      </c>
    </row>
    <row r="5052">
      <c r="E5052">
        <f>IF(DATOS!$I5052="","",IFERROR(VLOOKUP(DATOS!$I5052,CONFIG_ASIGNATURAS!$B$2:$J$61,9,FALSE()),""))</f>
      </c>
    </row>
    <row r="5053">
      <c r="E5053">
        <f>IF(DATOS!$I5053="","",IFERROR(VLOOKUP(DATOS!$I5053,CONFIG_ASIGNATURAS!$B$2:$J$61,9,FALSE()),""))</f>
      </c>
    </row>
    <row r="5054">
      <c r="E5054">
        <f>IF(DATOS!$I5054="","",IFERROR(VLOOKUP(DATOS!$I5054,CONFIG_ASIGNATURAS!$B$2:$J$61,9,FALSE()),""))</f>
      </c>
    </row>
    <row r="5055">
      <c r="E5055">
        <f>IF(DATOS!$I5055="","",IFERROR(VLOOKUP(DATOS!$I5055,CONFIG_ASIGNATURAS!$B$2:$J$61,9,FALSE()),""))</f>
      </c>
    </row>
    <row r="5056">
      <c r="E5056">
        <f>IF(DATOS!$I5056="","",IFERROR(VLOOKUP(DATOS!$I5056,CONFIG_ASIGNATURAS!$B$2:$J$61,9,FALSE()),""))</f>
      </c>
    </row>
    <row r="5057">
      <c r="E5057">
        <f>IF(DATOS!$I5057="","",IFERROR(VLOOKUP(DATOS!$I5057,CONFIG_ASIGNATURAS!$B$2:$J$61,9,FALSE()),""))</f>
      </c>
    </row>
    <row r="5058">
      <c r="E5058">
        <f>IF(DATOS!$I5058="","",IFERROR(VLOOKUP(DATOS!$I5058,CONFIG_ASIGNATURAS!$B$2:$J$61,9,FALSE()),""))</f>
      </c>
    </row>
    <row r="5059">
      <c r="E5059">
        <f>IF(DATOS!$I5059="","",IFERROR(VLOOKUP(DATOS!$I5059,CONFIG_ASIGNATURAS!$B$2:$J$61,9,FALSE()),""))</f>
      </c>
    </row>
    <row r="5060">
      <c r="E5060">
        <f>IF(DATOS!$I5060="","",IFERROR(VLOOKUP(DATOS!$I5060,CONFIG_ASIGNATURAS!$B$2:$J$61,9,FALSE()),""))</f>
      </c>
    </row>
    <row r="5061">
      <c r="E5061">
        <f>IF(DATOS!$I5061="","",IFERROR(VLOOKUP(DATOS!$I5061,CONFIG_ASIGNATURAS!$B$2:$J$61,9,FALSE()),""))</f>
      </c>
    </row>
    <row r="5062">
      <c r="E5062">
        <f>IF(DATOS!$I5062="","",IFERROR(VLOOKUP(DATOS!$I5062,CONFIG_ASIGNATURAS!$B$2:$J$61,9,FALSE()),""))</f>
      </c>
    </row>
    <row r="5063">
      <c r="E5063">
        <f>IF(DATOS!$I5063="","",IFERROR(VLOOKUP(DATOS!$I5063,CONFIG_ASIGNATURAS!$B$2:$J$61,9,FALSE()),""))</f>
      </c>
    </row>
    <row r="5064">
      <c r="E5064">
        <f>IF(DATOS!$I5064="","",IFERROR(VLOOKUP(DATOS!$I5064,CONFIG_ASIGNATURAS!$B$2:$J$61,9,FALSE()),""))</f>
      </c>
    </row>
    <row r="5065">
      <c r="E5065">
        <f>IF(DATOS!$I5065="","",IFERROR(VLOOKUP(DATOS!$I5065,CONFIG_ASIGNATURAS!$B$2:$J$61,9,FALSE()),""))</f>
      </c>
    </row>
    <row r="5066">
      <c r="E5066">
        <f>IF(DATOS!$I5066="","",IFERROR(VLOOKUP(DATOS!$I5066,CONFIG_ASIGNATURAS!$B$2:$J$61,9,FALSE()),""))</f>
      </c>
    </row>
    <row r="5067">
      <c r="E5067">
        <f>IF(DATOS!$I5067="","",IFERROR(VLOOKUP(DATOS!$I5067,CONFIG_ASIGNATURAS!$B$2:$J$61,9,FALSE()),""))</f>
      </c>
    </row>
    <row r="5068">
      <c r="E5068">
        <f>IF(DATOS!$I5068="","",IFERROR(VLOOKUP(DATOS!$I5068,CONFIG_ASIGNATURAS!$B$2:$J$61,9,FALSE()),""))</f>
      </c>
    </row>
    <row r="5069">
      <c r="E5069">
        <f>IF(DATOS!$I5069="","",IFERROR(VLOOKUP(DATOS!$I5069,CONFIG_ASIGNATURAS!$B$2:$J$61,9,FALSE()),""))</f>
      </c>
    </row>
    <row r="5070">
      <c r="E5070">
        <f>IF(DATOS!$I5070="","",IFERROR(VLOOKUP(DATOS!$I5070,CONFIG_ASIGNATURAS!$B$2:$J$61,9,FALSE()),""))</f>
      </c>
    </row>
    <row r="5071">
      <c r="E5071">
        <f>IF(DATOS!$I5071="","",IFERROR(VLOOKUP(DATOS!$I5071,CONFIG_ASIGNATURAS!$B$2:$J$61,9,FALSE()),""))</f>
      </c>
    </row>
    <row r="5072">
      <c r="E5072">
        <f>IF(DATOS!$I5072="","",IFERROR(VLOOKUP(DATOS!$I5072,CONFIG_ASIGNATURAS!$B$2:$J$61,9,FALSE()),""))</f>
      </c>
    </row>
    <row r="5073">
      <c r="E5073">
        <f>IF(DATOS!$I5073="","",IFERROR(VLOOKUP(DATOS!$I5073,CONFIG_ASIGNATURAS!$B$2:$J$61,9,FALSE()),""))</f>
      </c>
    </row>
    <row r="5074">
      <c r="E5074">
        <f>IF(DATOS!$I5074="","",IFERROR(VLOOKUP(DATOS!$I5074,CONFIG_ASIGNATURAS!$B$2:$J$61,9,FALSE()),""))</f>
      </c>
    </row>
    <row r="5075">
      <c r="E5075">
        <f>IF(DATOS!$I5075="","",IFERROR(VLOOKUP(DATOS!$I5075,CONFIG_ASIGNATURAS!$B$2:$J$61,9,FALSE()),""))</f>
      </c>
    </row>
    <row r="5076">
      <c r="E5076">
        <f>IF(DATOS!$I5076="","",IFERROR(VLOOKUP(DATOS!$I5076,CONFIG_ASIGNATURAS!$B$2:$J$61,9,FALSE()),""))</f>
      </c>
    </row>
    <row r="5077">
      <c r="E5077">
        <f>IF(DATOS!$I5077="","",IFERROR(VLOOKUP(DATOS!$I5077,CONFIG_ASIGNATURAS!$B$2:$J$61,9,FALSE()),""))</f>
      </c>
    </row>
    <row r="5078">
      <c r="E5078">
        <f>IF(DATOS!$I5078="","",IFERROR(VLOOKUP(DATOS!$I5078,CONFIG_ASIGNATURAS!$B$2:$J$61,9,FALSE()),""))</f>
      </c>
    </row>
    <row r="5079">
      <c r="E5079">
        <f>IF(DATOS!$I5079="","",IFERROR(VLOOKUP(DATOS!$I5079,CONFIG_ASIGNATURAS!$B$2:$J$61,9,FALSE()),""))</f>
      </c>
    </row>
    <row r="5080">
      <c r="E5080">
        <f>IF(DATOS!$I5080="","",IFERROR(VLOOKUP(DATOS!$I5080,CONFIG_ASIGNATURAS!$B$2:$J$61,9,FALSE()),""))</f>
      </c>
    </row>
    <row r="5081">
      <c r="E5081">
        <f>IF(DATOS!$I5081="","",IFERROR(VLOOKUP(DATOS!$I5081,CONFIG_ASIGNATURAS!$B$2:$J$61,9,FALSE()),""))</f>
      </c>
    </row>
    <row r="5082">
      <c r="E5082">
        <f>IF(DATOS!$I5082="","",IFERROR(VLOOKUP(DATOS!$I5082,CONFIG_ASIGNATURAS!$B$2:$J$61,9,FALSE()),""))</f>
      </c>
    </row>
    <row r="5083">
      <c r="E5083">
        <f>IF(DATOS!$I5083="","",IFERROR(VLOOKUP(DATOS!$I5083,CONFIG_ASIGNATURAS!$B$2:$J$61,9,FALSE()),""))</f>
      </c>
    </row>
    <row r="5084">
      <c r="E5084">
        <f>IF(DATOS!$I5084="","",IFERROR(VLOOKUP(DATOS!$I5084,CONFIG_ASIGNATURAS!$B$2:$J$61,9,FALSE()),""))</f>
      </c>
    </row>
    <row r="5085">
      <c r="E5085">
        <f>IF(DATOS!$I5085="","",IFERROR(VLOOKUP(DATOS!$I5085,CONFIG_ASIGNATURAS!$B$2:$J$61,9,FALSE()),""))</f>
      </c>
    </row>
    <row r="5086">
      <c r="E5086">
        <f>IF(DATOS!$I5086="","",IFERROR(VLOOKUP(DATOS!$I5086,CONFIG_ASIGNATURAS!$B$2:$J$61,9,FALSE()),""))</f>
      </c>
    </row>
    <row r="5087">
      <c r="E5087">
        <f>IF(DATOS!$I5087="","",IFERROR(VLOOKUP(DATOS!$I5087,CONFIG_ASIGNATURAS!$B$2:$J$61,9,FALSE()),""))</f>
      </c>
    </row>
    <row r="5088">
      <c r="E5088">
        <f>IF(DATOS!$I5088="","",IFERROR(VLOOKUP(DATOS!$I5088,CONFIG_ASIGNATURAS!$B$2:$J$61,9,FALSE()),""))</f>
      </c>
    </row>
    <row r="5089">
      <c r="E5089">
        <f>IF(DATOS!$I5089="","",IFERROR(VLOOKUP(DATOS!$I5089,CONFIG_ASIGNATURAS!$B$2:$J$61,9,FALSE()),""))</f>
      </c>
    </row>
    <row r="5090">
      <c r="E5090">
        <f>IF(DATOS!$I5090="","",IFERROR(VLOOKUP(DATOS!$I5090,CONFIG_ASIGNATURAS!$B$2:$J$61,9,FALSE()),""))</f>
      </c>
    </row>
    <row r="5091">
      <c r="E5091">
        <f>IF(DATOS!$I5091="","",IFERROR(VLOOKUP(DATOS!$I5091,CONFIG_ASIGNATURAS!$B$2:$J$61,9,FALSE()),""))</f>
      </c>
    </row>
    <row r="5092">
      <c r="E5092">
        <f>IF(DATOS!$I5092="","",IFERROR(VLOOKUP(DATOS!$I5092,CONFIG_ASIGNATURAS!$B$2:$J$61,9,FALSE()),""))</f>
      </c>
    </row>
    <row r="5093">
      <c r="E5093">
        <f>IF(DATOS!$I5093="","",IFERROR(VLOOKUP(DATOS!$I5093,CONFIG_ASIGNATURAS!$B$2:$J$61,9,FALSE()),""))</f>
      </c>
    </row>
    <row r="5094">
      <c r="E5094">
        <f>IF(DATOS!$I5094="","",IFERROR(VLOOKUP(DATOS!$I5094,CONFIG_ASIGNATURAS!$B$2:$J$61,9,FALSE()),""))</f>
      </c>
    </row>
    <row r="5095">
      <c r="E5095">
        <f>IF(DATOS!$I5095="","",IFERROR(VLOOKUP(DATOS!$I5095,CONFIG_ASIGNATURAS!$B$2:$J$61,9,FALSE()),""))</f>
      </c>
    </row>
    <row r="5096">
      <c r="E5096">
        <f>IF(DATOS!$I5096="","",IFERROR(VLOOKUP(DATOS!$I5096,CONFIG_ASIGNATURAS!$B$2:$J$61,9,FALSE()),""))</f>
      </c>
    </row>
    <row r="5097">
      <c r="E5097">
        <f>IF(DATOS!$I5097="","",IFERROR(VLOOKUP(DATOS!$I5097,CONFIG_ASIGNATURAS!$B$2:$J$61,9,FALSE()),""))</f>
      </c>
    </row>
    <row r="5098">
      <c r="E5098">
        <f>IF(DATOS!$I5098="","",IFERROR(VLOOKUP(DATOS!$I5098,CONFIG_ASIGNATURAS!$B$2:$J$61,9,FALSE()),""))</f>
      </c>
    </row>
    <row r="5099">
      <c r="E5099">
        <f>IF(DATOS!$I5099="","",IFERROR(VLOOKUP(DATOS!$I5099,CONFIG_ASIGNATURAS!$B$2:$J$61,9,FALSE()),""))</f>
      </c>
    </row>
    <row r="5100">
      <c r="E5100">
        <f>IF(DATOS!$I5100="","",IFERROR(VLOOKUP(DATOS!$I5100,CONFIG_ASIGNATURAS!$B$2:$J$61,9,FALSE()),""))</f>
      </c>
    </row>
    <row r="5101">
      <c r="E5101">
        <f>IF(DATOS!$I5101="","",IFERROR(VLOOKUP(DATOS!$I5101,CONFIG_ASIGNATURAS!$B$2:$J$61,9,FALSE()),""))</f>
      </c>
    </row>
    <row r="5102">
      <c r="E5102">
        <f>IF(DATOS!$I5102="","",IFERROR(VLOOKUP(DATOS!$I5102,CONFIG_ASIGNATURAS!$B$2:$J$61,9,FALSE()),""))</f>
      </c>
    </row>
    <row r="5103">
      <c r="E5103">
        <f>IF(DATOS!$I5103="","",IFERROR(VLOOKUP(DATOS!$I5103,CONFIG_ASIGNATURAS!$B$2:$J$61,9,FALSE()),""))</f>
      </c>
    </row>
    <row r="5104">
      <c r="E5104">
        <f>IF(DATOS!$I5104="","",IFERROR(VLOOKUP(DATOS!$I5104,CONFIG_ASIGNATURAS!$B$2:$J$61,9,FALSE()),""))</f>
      </c>
    </row>
    <row r="5105">
      <c r="E5105">
        <f>IF(DATOS!$I5105="","",IFERROR(VLOOKUP(DATOS!$I5105,CONFIG_ASIGNATURAS!$B$2:$J$61,9,FALSE()),""))</f>
      </c>
    </row>
    <row r="5106">
      <c r="E5106">
        <f>IF(DATOS!$I5106="","",IFERROR(VLOOKUP(DATOS!$I5106,CONFIG_ASIGNATURAS!$B$2:$J$61,9,FALSE()),""))</f>
      </c>
    </row>
    <row r="5107">
      <c r="E5107">
        <f>IF(DATOS!$I5107="","",IFERROR(VLOOKUP(DATOS!$I5107,CONFIG_ASIGNATURAS!$B$2:$J$61,9,FALSE()),""))</f>
      </c>
    </row>
    <row r="5108">
      <c r="E5108">
        <f>IF(DATOS!$I5108="","",IFERROR(VLOOKUP(DATOS!$I5108,CONFIG_ASIGNATURAS!$B$2:$J$61,9,FALSE()),""))</f>
      </c>
    </row>
    <row r="5109">
      <c r="E5109">
        <f>IF(DATOS!$I5109="","",IFERROR(VLOOKUP(DATOS!$I5109,CONFIG_ASIGNATURAS!$B$2:$J$61,9,FALSE()),""))</f>
      </c>
    </row>
    <row r="5110">
      <c r="E5110">
        <f>IF(DATOS!$I5110="","",IFERROR(VLOOKUP(DATOS!$I5110,CONFIG_ASIGNATURAS!$B$2:$J$61,9,FALSE()),""))</f>
      </c>
    </row>
    <row r="5111">
      <c r="E5111">
        <f>IF(DATOS!$I5111="","",IFERROR(VLOOKUP(DATOS!$I5111,CONFIG_ASIGNATURAS!$B$2:$J$61,9,FALSE()),""))</f>
      </c>
    </row>
    <row r="5112">
      <c r="E5112">
        <f>IF(DATOS!$I5112="","",IFERROR(VLOOKUP(DATOS!$I5112,CONFIG_ASIGNATURAS!$B$2:$J$61,9,FALSE()),""))</f>
      </c>
    </row>
    <row r="5113">
      <c r="E5113">
        <f>IF(DATOS!$I5113="","",IFERROR(VLOOKUP(DATOS!$I5113,CONFIG_ASIGNATURAS!$B$2:$J$61,9,FALSE()),""))</f>
      </c>
    </row>
    <row r="5114">
      <c r="E5114">
        <f>IF(DATOS!$I5114="","",IFERROR(VLOOKUP(DATOS!$I5114,CONFIG_ASIGNATURAS!$B$2:$J$61,9,FALSE()),""))</f>
      </c>
    </row>
    <row r="5115">
      <c r="E5115">
        <f>IF(DATOS!$I5115="","",IFERROR(VLOOKUP(DATOS!$I5115,CONFIG_ASIGNATURAS!$B$2:$J$61,9,FALSE()),""))</f>
      </c>
    </row>
    <row r="5116">
      <c r="E5116">
        <f>IF(DATOS!$I5116="","",IFERROR(VLOOKUP(DATOS!$I5116,CONFIG_ASIGNATURAS!$B$2:$J$61,9,FALSE()),""))</f>
      </c>
    </row>
    <row r="5117">
      <c r="E5117">
        <f>IF(DATOS!$I5117="","",IFERROR(VLOOKUP(DATOS!$I5117,CONFIG_ASIGNATURAS!$B$2:$J$61,9,FALSE()),""))</f>
      </c>
    </row>
    <row r="5118">
      <c r="E5118">
        <f>IF(DATOS!$I5118="","",IFERROR(VLOOKUP(DATOS!$I5118,CONFIG_ASIGNATURAS!$B$2:$J$61,9,FALSE()),""))</f>
      </c>
    </row>
    <row r="5119">
      <c r="E5119">
        <f>IF(DATOS!$I5119="","",IFERROR(VLOOKUP(DATOS!$I5119,CONFIG_ASIGNATURAS!$B$2:$J$61,9,FALSE()),""))</f>
      </c>
    </row>
    <row r="5120">
      <c r="E5120">
        <f>IF(DATOS!$I5120="","",IFERROR(VLOOKUP(DATOS!$I5120,CONFIG_ASIGNATURAS!$B$2:$J$61,9,FALSE()),""))</f>
      </c>
    </row>
    <row r="5121">
      <c r="E5121">
        <f>IF(DATOS!$I5121="","",IFERROR(VLOOKUP(DATOS!$I5121,CONFIG_ASIGNATURAS!$B$2:$J$61,9,FALSE()),""))</f>
      </c>
    </row>
    <row r="5122">
      <c r="E5122">
        <f>IF(DATOS!$I5122="","",IFERROR(VLOOKUP(DATOS!$I5122,CONFIG_ASIGNATURAS!$B$2:$J$61,9,FALSE()),""))</f>
      </c>
    </row>
    <row r="5123">
      <c r="E5123">
        <f>IF(DATOS!$I5123="","",IFERROR(VLOOKUP(DATOS!$I5123,CONFIG_ASIGNATURAS!$B$2:$J$61,9,FALSE()),""))</f>
      </c>
    </row>
    <row r="5124">
      <c r="E5124">
        <f>IF(DATOS!$I5124="","",IFERROR(VLOOKUP(DATOS!$I5124,CONFIG_ASIGNATURAS!$B$2:$J$61,9,FALSE()),""))</f>
      </c>
    </row>
    <row r="5125">
      <c r="E5125">
        <f>IF(DATOS!$I5125="","",IFERROR(VLOOKUP(DATOS!$I5125,CONFIG_ASIGNATURAS!$B$2:$J$61,9,FALSE()),""))</f>
      </c>
    </row>
    <row r="5126">
      <c r="E5126">
        <f>IF(DATOS!$I5126="","",IFERROR(VLOOKUP(DATOS!$I5126,CONFIG_ASIGNATURAS!$B$2:$J$61,9,FALSE()),""))</f>
      </c>
    </row>
    <row r="5127">
      <c r="E5127">
        <f>IF(DATOS!$I5127="","",IFERROR(VLOOKUP(DATOS!$I5127,CONFIG_ASIGNATURAS!$B$2:$J$61,9,FALSE()),""))</f>
      </c>
    </row>
    <row r="5128">
      <c r="E5128">
        <f>IF(DATOS!$I5128="","",IFERROR(VLOOKUP(DATOS!$I5128,CONFIG_ASIGNATURAS!$B$2:$J$61,9,FALSE()),""))</f>
      </c>
    </row>
    <row r="5129">
      <c r="E5129">
        <f>IF(DATOS!$I5129="","",IFERROR(VLOOKUP(DATOS!$I5129,CONFIG_ASIGNATURAS!$B$2:$J$61,9,FALSE()),""))</f>
      </c>
    </row>
    <row r="5130">
      <c r="E5130">
        <f>IF(DATOS!$I5130="","",IFERROR(VLOOKUP(DATOS!$I5130,CONFIG_ASIGNATURAS!$B$2:$J$61,9,FALSE()),""))</f>
      </c>
    </row>
    <row r="5131">
      <c r="E5131">
        <f>IF(DATOS!$I5131="","",IFERROR(VLOOKUP(DATOS!$I5131,CONFIG_ASIGNATURAS!$B$2:$J$61,9,FALSE()),""))</f>
      </c>
    </row>
    <row r="5132">
      <c r="E5132">
        <f>IF(DATOS!$I5132="","",IFERROR(VLOOKUP(DATOS!$I5132,CONFIG_ASIGNATURAS!$B$2:$J$61,9,FALSE()),""))</f>
      </c>
    </row>
    <row r="5133">
      <c r="E5133">
        <f>IF(DATOS!$I5133="","",IFERROR(VLOOKUP(DATOS!$I5133,CONFIG_ASIGNATURAS!$B$2:$J$61,9,FALSE()),""))</f>
      </c>
    </row>
    <row r="5134">
      <c r="E5134">
        <f>IF(DATOS!$I5134="","",IFERROR(VLOOKUP(DATOS!$I5134,CONFIG_ASIGNATURAS!$B$2:$J$61,9,FALSE()),""))</f>
      </c>
    </row>
    <row r="5135">
      <c r="E5135">
        <f>IF(DATOS!$I5135="","",IFERROR(VLOOKUP(DATOS!$I5135,CONFIG_ASIGNATURAS!$B$2:$J$61,9,FALSE()),""))</f>
      </c>
    </row>
    <row r="5136">
      <c r="E5136">
        <f>IF(DATOS!$I5136="","",IFERROR(VLOOKUP(DATOS!$I5136,CONFIG_ASIGNATURAS!$B$2:$J$61,9,FALSE()),""))</f>
      </c>
    </row>
    <row r="5137">
      <c r="E5137">
        <f>IF(DATOS!$I5137="","",IFERROR(VLOOKUP(DATOS!$I5137,CONFIG_ASIGNATURAS!$B$2:$J$61,9,FALSE()),""))</f>
      </c>
    </row>
    <row r="5138">
      <c r="E5138">
        <f>IF(DATOS!$I5138="","",IFERROR(VLOOKUP(DATOS!$I5138,CONFIG_ASIGNATURAS!$B$2:$J$61,9,FALSE()),""))</f>
      </c>
    </row>
    <row r="5139">
      <c r="E5139">
        <f>IF(DATOS!$I5139="","",IFERROR(VLOOKUP(DATOS!$I5139,CONFIG_ASIGNATURAS!$B$2:$J$61,9,FALSE()),""))</f>
      </c>
    </row>
    <row r="5140">
      <c r="E5140">
        <f>IF(DATOS!$I5140="","",IFERROR(VLOOKUP(DATOS!$I5140,CONFIG_ASIGNATURAS!$B$2:$J$61,9,FALSE()),""))</f>
      </c>
    </row>
    <row r="5141">
      <c r="E5141">
        <f>IF(DATOS!$I5141="","",IFERROR(VLOOKUP(DATOS!$I5141,CONFIG_ASIGNATURAS!$B$2:$J$61,9,FALSE()),""))</f>
      </c>
    </row>
    <row r="5142">
      <c r="E5142">
        <f>IF(DATOS!$I5142="","",IFERROR(VLOOKUP(DATOS!$I5142,CONFIG_ASIGNATURAS!$B$2:$J$61,9,FALSE()),""))</f>
      </c>
    </row>
    <row r="5143">
      <c r="E5143">
        <f>IF(DATOS!$I5143="","",IFERROR(VLOOKUP(DATOS!$I5143,CONFIG_ASIGNATURAS!$B$2:$J$61,9,FALSE()),""))</f>
      </c>
    </row>
    <row r="5144">
      <c r="E5144">
        <f>IF(DATOS!$I5144="","",IFERROR(VLOOKUP(DATOS!$I5144,CONFIG_ASIGNATURAS!$B$2:$J$61,9,FALSE()),""))</f>
      </c>
    </row>
    <row r="5145">
      <c r="E5145">
        <f>IF(DATOS!$I5145="","",IFERROR(VLOOKUP(DATOS!$I5145,CONFIG_ASIGNATURAS!$B$2:$J$61,9,FALSE()),""))</f>
      </c>
    </row>
    <row r="5146">
      <c r="E5146">
        <f>IF(DATOS!$I5146="","",IFERROR(VLOOKUP(DATOS!$I5146,CONFIG_ASIGNATURAS!$B$2:$J$61,9,FALSE()),""))</f>
      </c>
    </row>
    <row r="5147">
      <c r="E5147">
        <f>IF(DATOS!$I5147="","",IFERROR(VLOOKUP(DATOS!$I5147,CONFIG_ASIGNATURAS!$B$2:$J$61,9,FALSE()),""))</f>
      </c>
    </row>
    <row r="5148">
      <c r="E5148">
        <f>IF(DATOS!$I5148="","",IFERROR(VLOOKUP(DATOS!$I5148,CONFIG_ASIGNATURAS!$B$2:$J$61,9,FALSE()),""))</f>
      </c>
    </row>
    <row r="5149">
      <c r="E5149">
        <f>IF(DATOS!$I5149="","",IFERROR(VLOOKUP(DATOS!$I5149,CONFIG_ASIGNATURAS!$B$2:$J$61,9,FALSE()),""))</f>
      </c>
    </row>
    <row r="5150">
      <c r="E5150">
        <f>IF(DATOS!$I5150="","",IFERROR(VLOOKUP(DATOS!$I5150,CONFIG_ASIGNATURAS!$B$2:$J$61,9,FALSE()),""))</f>
      </c>
    </row>
    <row r="5151">
      <c r="E5151">
        <f>IF(DATOS!$I5151="","",IFERROR(VLOOKUP(DATOS!$I5151,CONFIG_ASIGNATURAS!$B$2:$J$61,9,FALSE()),""))</f>
      </c>
    </row>
    <row r="5152">
      <c r="E5152">
        <f>IF(DATOS!$I5152="","",IFERROR(VLOOKUP(DATOS!$I5152,CONFIG_ASIGNATURAS!$B$2:$J$61,9,FALSE()),""))</f>
      </c>
    </row>
    <row r="5153">
      <c r="E5153">
        <f>IF(DATOS!$I5153="","",IFERROR(VLOOKUP(DATOS!$I5153,CONFIG_ASIGNATURAS!$B$2:$J$61,9,FALSE()),""))</f>
      </c>
    </row>
    <row r="5154">
      <c r="E5154">
        <f>IF(DATOS!$I5154="","",IFERROR(VLOOKUP(DATOS!$I5154,CONFIG_ASIGNATURAS!$B$2:$J$61,9,FALSE()),""))</f>
      </c>
    </row>
    <row r="5155">
      <c r="E5155">
        <f>IF(DATOS!$I5155="","",IFERROR(VLOOKUP(DATOS!$I5155,CONFIG_ASIGNATURAS!$B$2:$J$61,9,FALSE()),""))</f>
      </c>
    </row>
    <row r="5156">
      <c r="E5156">
        <f>IF(DATOS!$I5156="","",IFERROR(VLOOKUP(DATOS!$I5156,CONFIG_ASIGNATURAS!$B$2:$J$61,9,FALSE()),""))</f>
      </c>
    </row>
    <row r="5157">
      <c r="E5157">
        <f>IF(DATOS!$I5157="","",IFERROR(VLOOKUP(DATOS!$I5157,CONFIG_ASIGNATURAS!$B$2:$J$61,9,FALSE()),""))</f>
      </c>
    </row>
    <row r="5158">
      <c r="E5158">
        <f>IF(DATOS!$I5158="","",IFERROR(VLOOKUP(DATOS!$I5158,CONFIG_ASIGNATURAS!$B$2:$J$61,9,FALSE()),""))</f>
      </c>
    </row>
    <row r="5159">
      <c r="E5159">
        <f>IF(DATOS!$I5159="","",IFERROR(VLOOKUP(DATOS!$I5159,CONFIG_ASIGNATURAS!$B$2:$J$61,9,FALSE()),""))</f>
      </c>
    </row>
    <row r="5160">
      <c r="E5160">
        <f>IF(DATOS!$I5160="","",IFERROR(VLOOKUP(DATOS!$I5160,CONFIG_ASIGNATURAS!$B$2:$J$61,9,FALSE()),""))</f>
      </c>
    </row>
    <row r="5161">
      <c r="E5161">
        <f>IF(DATOS!$I5161="","",IFERROR(VLOOKUP(DATOS!$I5161,CONFIG_ASIGNATURAS!$B$2:$J$61,9,FALSE()),""))</f>
      </c>
    </row>
    <row r="5162">
      <c r="E5162">
        <f>IF(DATOS!$I5162="","",IFERROR(VLOOKUP(DATOS!$I5162,CONFIG_ASIGNATURAS!$B$2:$J$61,9,FALSE()),""))</f>
      </c>
    </row>
    <row r="5163">
      <c r="E5163">
        <f>IF(DATOS!$I5163="","",IFERROR(VLOOKUP(DATOS!$I5163,CONFIG_ASIGNATURAS!$B$2:$J$61,9,FALSE()),""))</f>
      </c>
    </row>
    <row r="5164">
      <c r="E5164">
        <f>IF(DATOS!$I5164="","",IFERROR(VLOOKUP(DATOS!$I5164,CONFIG_ASIGNATURAS!$B$2:$J$61,9,FALSE()),""))</f>
      </c>
    </row>
    <row r="5165">
      <c r="E5165">
        <f>IF(DATOS!$I5165="","",IFERROR(VLOOKUP(DATOS!$I5165,CONFIG_ASIGNATURAS!$B$2:$J$61,9,FALSE()),""))</f>
      </c>
    </row>
    <row r="5166">
      <c r="E5166">
        <f>IF(DATOS!$I5166="","",IFERROR(VLOOKUP(DATOS!$I5166,CONFIG_ASIGNATURAS!$B$2:$J$61,9,FALSE()),""))</f>
      </c>
    </row>
    <row r="5167">
      <c r="E5167">
        <f>IF(DATOS!$I5167="","",IFERROR(VLOOKUP(DATOS!$I5167,CONFIG_ASIGNATURAS!$B$2:$J$61,9,FALSE()),""))</f>
      </c>
    </row>
    <row r="5168">
      <c r="E5168">
        <f>IF(DATOS!$I5168="","",IFERROR(VLOOKUP(DATOS!$I5168,CONFIG_ASIGNATURAS!$B$2:$J$61,9,FALSE()),""))</f>
      </c>
    </row>
    <row r="5169">
      <c r="E5169">
        <f>IF(DATOS!$I5169="","",IFERROR(VLOOKUP(DATOS!$I5169,CONFIG_ASIGNATURAS!$B$2:$J$61,9,FALSE()),""))</f>
      </c>
    </row>
    <row r="5170">
      <c r="E5170">
        <f>IF(DATOS!$I5170="","",IFERROR(VLOOKUP(DATOS!$I5170,CONFIG_ASIGNATURAS!$B$2:$J$61,9,FALSE()),""))</f>
      </c>
    </row>
    <row r="5171">
      <c r="E5171">
        <f>IF(DATOS!$I5171="","",IFERROR(VLOOKUP(DATOS!$I5171,CONFIG_ASIGNATURAS!$B$2:$J$61,9,FALSE()),""))</f>
      </c>
    </row>
    <row r="5172">
      <c r="E5172">
        <f>IF(DATOS!$I5172="","",IFERROR(VLOOKUP(DATOS!$I5172,CONFIG_ASIGNATURAS!$B$2:$J$61,9,FALSE()),""))</f>
      </c>
    </row>
    <row r="5173">
      <c r="E5173">
        <f>IF(DATOS!$I5173="","",IFERROR(VLOOKUP(DATOS!$I5173,CONFIG_ASIGNATURAS!$B$2:$J$61,9,FALSE()),""))</f>
      </c>
    </row>
    <row r="5174">
      <c r="E5174">
        <f>IF(DATOS!$I5174="","",IFERROR(VLOOKUP(DATOS!$I5174,CONFIG_ASIGNATURAS!$B$2:$J$61,9,FALSE()),""))</f>
      </c>
    </row>
    <row r="5175">
      <c r="E5175">
        <f>IF(DATOS!$I5175="","",IFERROR(VLOOKUP(DATOS!$I5175,CONFIG_ASIGNATURAS!$B$2:$J$61,9,FALSE()),""))</f>
      </c>
    </row>
    <row r="5176">
      <c r="E5176">
        <f>IF(DATOS!$I5176="","",IFERROR(VLOOKUP(DATOS!$I5176,CONFIG_ASIGNATURAS!$B$2:$J$61,9,FALSE()),""))</f>
      </c>
    </row>
    <row r="5177">
      <c r="E5177">
        <f>IF(DATOS!$I5177="","",IFERROR(VLOOKUP(DATOS!$I5177,CONFIG_ASIGNATURAS!$B$2:$J$61,9,FALSE()),""))</f>
      </c>
    </row>
    <row r="5178">
      <c r="E5178">
        <f>IF(DATOS!$I5178="","",IFERROR(VLOOKUP(DATOS!$I5178,CONFIG_ASIGNATURAS!$B$2:$J$61,9,FALSE()),""))</f>
      </c>
    </row>
    <row r="5179">
      <c r="E5179">
        <f>IF(DATOS!$I5179="","",IFERROR(VLOOKUP(DATOS!$I5179,CONFIG_ASIGNATURAS!$B$2:$J$61,9,FALSE()),""))</f>
      </c>
    </row>
    <row r="5180">
      <c r="E5180">
        <f>IF(DATOS!$I5180="","",IFERROR(VLOOKUP(DATOS!$I5180,CONFIG_ASIGNATURAS!$B$2:$J$61,9,FALSE()),""))</f>
      </c>
    </row>
    <row r="5181">
      <c r="E5181">
        <f>IF(DATOS!$I5181="","",IFERROR(VLOOKUP(DATOS!$I5181,CONFIG_ASIGNATURAS!$B$2:$J$61,9,FALSE()),""))</f>
      </c>
    </row>
    <row r="5182">
      <c r="E5182">
        <f>IF(DATOS!$I5182="","",IFERROR(VLOOKUP(DATOS!$I5182,CONFIG_ASIGNATURAS!$B$2:$J$61,9,FALSE()),""))</f>
      </c>
    </row>
    <row r="5183">
      <c r="E5183">
        <f>IF(DATOS!$I5183="","",IFERROR(VLOOKUP(DATOS!$I5183,CONFIG_ASIGNATURAS!$B$2:$J$61,9,FALSE()),""))</f>
      </c>
    </row>
    <row r="5184">
      <c r="E5184">
        <f>IF(DATOS!$I5184="","",IFERROR(VLOOKUP(DATOS!$I5184,CONFIG_ASIGNATURAS!$B$2:$J$61,9,FALSE()),""))</f>
      </c>
    </row>
    <row r="5185">
      <c r="E5185">
        <f>IF(DATOS!$I5185="","",IFERROR(VLOOKUP(DATOS!$I5185,CONFIG_ASIGNATURAS!$B$2:$J$61,9,FALSE()),""))</f>
      </c>
    </row>
    <row r="5186">
      <c r="E5186">
        <f>IF(DATOS!$I5186="","",IFERROR(VLOOKUP(DATOS!$I5186,CONFIG_ASIGNATURAS!$B$2:$J$61,9,FALSE()),""))</f>
      </c>
    </row>
    <row r="5187">
      <c r="E5187">
        <f>IF(DATOS!$I5187="","",IFERROR(VLOOKUP(DATOS!$I5187,CONFIG_ASIGNATURAS!$B$2:$J$61,9,FALSE()),""))</f>
      </c>
    </row>
    <row r="5188">
      <c r="E5188">
        <f>IF(DATOS!$I5188="","",IFERROR(VLOOKUP(DATOS!$I5188,CONFIG_ASIGNATURAS!$B$2:$J$61,9,FALSE()),""))</f>
      </c>
    </row>
    <row r="5189">
      <c r="E5189">
        <f>IF(DATOS!$I5189="","",IFERROR(VLOOKUP(DATOS!$I5189,CONFIG_ASIGNATURAS!$B$2:$J$61,9,FALSE()),""))</f>
      </c>
    </row>
    <row r="5190">
      <c r="E5190">
        <f>IF(DATOS!$I5190="","",IFERROR(VLOOKUP(DATOS!$I5190,CONFIG_ASIGNATURAS!$B$2:$J$61,9,FALSE()),""))</f>
      </c>
    </row>
    <row r="5191">
      <c r="E5191">
        <f>IF(DATOS!$I5191="","",IFERROR(VLOOKUP(DATOS!$I5191,CONFIG_ASIGNATURAS!$B$2:$J$61,9,FALSE()),""))</f>
      </c>
    </row>
    <row r="5192">
      <c r="E5192">
        <f>IF(DATOS!$I5192="","",IFERROR(VLOOKUP(DATOS!$I5192,CONFIG_ASIGNATURAS!$B$2:$J$61,9,FALSE()),""))</f>
      </c>
    </row>
    <row r="5193">
      <c r="E5193">
        <f>IF(DATOS!$I5193="","",IFERROR(VLOOKUP(DATOS!$I5193,CONFIG_ASIGNATURAS!$B$2:$J$61,9,FALSE()),""))</f>
      </c>
    </row>
    <row r="5194">
      <c r="E5194">
        <f>IF(DATOS!$I5194="","",IFERROR(VLOOKUP(DATOS!$I5194,CONFIG_ASIGNATURAS!$B$2:$J$61,9,FALSE()),""))</f>
      </c>
    </row>
    <row r="5195">
      <c r="E5195">
        <f>IF(DATOS!$I5195="","",IFERROR(VLOOKUP(DATOS!$I5195,CONFIG_ASIGNATURAS!$B$2:$J$61,9,FALSE()),""))</f>
      </c>
    </row>
    <row r="5196">
      <c r="E5196">
        <f>IF(DATOS!$I5196="","",IFERROR(VLOOKUP(DATOS!$I5196,CONFIG_ASIGNATURAS!$B$2:$J$61,9,FALSE()),""))</f>
      </c>
    </row>
    <row r="5197">
      <c r="E5197">
        <f>IF(DATOS!$I5197="","",IFERROR(VLOOKUP(DATOS!$I5197,CONFIG_ASIGNATURAS!$B$2:$J$61,9,FALSE()),""))</f>
      </c>
    </row>
    <row r="5198">
      <c r="E5198">
        <f>IF(DATOS!$I5198="","",IFERROR(VLOOKUP(DATOS!$I5198,CONFIG_ASIGNATURAS!$B$2:$J$61,9,FALSE()),""))</f>
      </c>
    </row>
    <row r="5199">
      <c r="E5199">
        <f>IF(DATOS!$I5199="","",IFERROR(VLOOKUP(DATOS!$I5199,CONFIG_ASIGNATURAS!$B$2:$J$61,9,FALSE()),""))</f>
      </c>
    </row>
    <row r="5200">
      <c r="E5200">
        <f>IF(DATOS!$I5200="","",IFERROR(VLOOKUP(DATOS!$I5200,CONFIG_ASIGNATURAS!$B$2:$J$61,9,FALSE()),""))</f>
      </c>
    </row>
    <row r="5201">
      <c r="E5201">
        <f>IF(DATOS!$I5201="","",IFERROR(VLOOKUP(DATOS!$I5201,CONFIG_ASIGNATURAS!$B$2:$J$61,9,FALSE()),""))</f>
      </c>
    </row>
    <row r="5202">
      <c r="E5202">
        <f>IF(DATOS!$I5202="","",IFERROR(VLOOKUP(DATOS!$I5202,CONFIG_ASIGNATURAS!$B$2:$J$61,9,FALSE()),""))</f>
      </c>
    </row>
    <row r="5203">
      <c r="E5203">
        <f>IF(DATOS!$I5203="","",IFERROR(VLOOKUP(DATOS!$I5203,CONFIG_ASIGNATURAS!$B$2:$J$61,9,FALSE()),""))</f>
      </c>
    </row>
    <row r="5204">
      <c r="E5204">
        <f>IF(DATOS!$I5204="","",IFERROR(VLOOKUP(DATOS!$I5204,CONFIG_ASIGNATURAS!$B$2:$J$61,9,FALSE()),""))</f>
      </c>
    </row>
    <row r="5205">
      <c r="E5205">
        <f>IF(DATOS!$I5205="","",IFERROR(VLOOKUP(DATOS!$I5205,CONFIG_ASIGNATURAS!$B$2:$J$61,9,FALSE()),""))</f>
      </c>
    </row>
    <row r="5206">
      <c r="E5206">
        <f>IF(DATOS!$I5206="","",IFERROR(VLOOKUP(DATOS!$I5206,CONFIG_ASIGNATURAS!$B$2:$J$61,9,FALSE()),""))</f>
      </c>
    </row>
    <row r="5207">
      <c r="E5207">
        <f>IF(DATOS!$I5207="","",IFERROR(VLOOKUP(DATOS!$I5207,CONFIG_ASIGNATURAS!$B$2:$J$61,9,FALSE()),""))</f>
      </c>
    </row>
    <row r="5208">
      <c r="E5208">
        <f>IF(DATOS!$I5208="","",IFERROR(VLOOKUP(DATOS!$I5208,CONFIG_ASIGNATURAS!$B$2:$J$61,9,FALSE()),""))</f>
      </c>
    </row>
    <row r="5209">
      <c r="E5209">
        <f>IF(DATOS!$I5209="","",IFERROR(VLOOKUP(DATOS!$I5209,CONFIG_ASIGNATURAS!$B$2:$J$61,9,FALSE()),""))</f>
      </c>
    </row>
    <row r="5210">
      <c r="E5210">
        <f>IF(DATOS!$I5210="","",IFERROR(VLOOKUP(DATOS!$I5210,CONFIG_ASIGNATURAS!$B$2:$J$61,9,FALSE()),""))</f>
      </c>
    </row>
    <row r="5211">
      <c r="E5211">
        <f>IF(DATOS!$I5211="","",IFERROR(VLOOKUP(DATOS!$I5211,CONFIG_ASIGNATURAS!$B$2:$J$61,9,FALSE()),""))</f>
      </c>
    </row>
    <row r="5212">
      <c r="E5212">
        <f>IF(DATOS!$I5212="","",IFERROR(VLOOKUP(DATOS!$I5212,CONFIG_ASIGNATURAS!$B$2:$J$61,9,FALSE()),""))</f>
      </c>
    </row>
    <row r="5213">
      <c r="E5213">
        <f>IF(DATOS!$I5213="","",IFERROR(VLOOKUP(DATOS!$I5213,CONFIG_ASIGNATURAS!$B$2:$J$61,9,FALSE()),""))</f>
      </c>
    </row>
    <row r="5214">
      <c r="E5214">
        <f>IF(DATOS!$I5214="","",IFERROR(VLOOKUP(DATOS!$I5214,CONFIG_ASIGNATURAS!$B$2:$J$61,9,FALSE()),""))</f>
      </c>
    </row>
    <row r="5215">
      <c r="E5215">
        <f>IF(DATOS!$I5215="","",IFERROR(VLOOKUP(DATOS!$I5215,CONFIG_ASIGNATURAS!$B$2:$J$61,9,FALSE()),""))</f>
      </c>
    </row>
    <row r="5216">
      <c r="E5216">
        <f>IF(DATOS!$I5216="","",IFERROR(VLOOKUP(DATOS!$I5216,CONFIG_ASIGNATURAS!$B$2:$J$61,9,FALSE()),""))</f>
      </c>
    </row>
    <row r="5217">
      <c r="E5217">
        <f>IF(DATOS!$I5217="","",IFERROR(VLOOKUP(DATOS!$I5217,CONFIG_ASIGNATURAS!$B$2:$J$61,9,FALSE()),""))</f>
      </c>
    </row>
    <row r="5218">
      <c r="E5218">
        <f>IF(DATOS!$I5218="","",IFERROR(VLOOKUP(DATOS!$I5218,CONFIG_ASIGNATURAS!$B$2:$J$61,9,FALSE()),""))</f>
      </c>
    </row>
    <row r="5219">
      <c r="E5219">
        <f>IF(DATOS!$I5219="","",IFERROR(VLOOKUP(DATOS!$I5219,CONFIG_ASIGNATURAS!$B$2:$J$61,9,FALSE()),""))</f>
      </c>
    </row>
    <row r="5220">
      <c r="E5220">
        <f>IF(DATOS!$I5220="","",IFERROR(VLOOKUP(DATOS!$I5220,CONFIG_ASIGNATURAS!$B$2:$J$61,9,FALSE()),""))</f>
      </c>
    </row>
    <row r="5221">
      <c r="E5221">
        <f>IF(DATOS!$I5221="","",IFERROR(VLOOKUP(DATOS!$I5221,CONFIG_ASIGNATURAS!$B$2:$J$61,9,FALSE()),""))</f>
      </c>
    </row>
    <row r="5222">
      <c r="E5222">
        <f>IF(DATOS!$I5222="","",IFERROR(VLOOKUP(DATOS!$I5222,CONFIG_ASIGNATURAS!$B$2:$J$61,9,FALSE()),""))</f>
      </c>
    </row>
    <row r="5223">
      <c r="E5223">
        <f>IF(DATOS!$I5223="","",IFERROR(VLOOKUP(DATOS!$I5223,CONFIG_ASIGNATURAS!$B$2:$J$61,9,FALSE()),""))</f>
      </c>
    </row>
    <row r="5224">
      <c r="E5224">
        <f>IF(DATOS!$I5224="","",IFERROR(VLOOKUP(DATOS!$I5224,CONFIG_ASIGNATURAS!$B$2:$J$61,9,FALSE()),""))</f>
      </c>
    </row>
    <row r="5225">
      <c r="E5225">
        <f>IF(DATOS!$I5225="","",IFERROR(VLOOKUP(DATOS!$I5225,CONFIG_ASIGNATURAS!$B$2:$J$61,9,FALSE()),""))</f>
      </c>
    </row>
    <row r="5226">
      <c r="E5226">
        <f>IF(DATOS!$I5226="","",IFERROR(VLOOKUP(DATOS!$I5226,CONFIG_ASIGNATURAS!$B$2:$J$61,9,FALSE()),""))</f>
      </c>
    </row>
    <row r="5227">
      <c r="E5227">
        <f>IF(DATOS!$I5227="","",IFERROR(VLOOKUP(DATOS!$I5227,CONFIG_ASIGNATURAS!$B$2:$J$61,9,FALSE()),""))</f>
      </c>
    </row>
    <row r="5228">
      <c r="E5228">
        <f>IF(DATOS!$I5228="","",IFERROR(VLOOKUP(DATOS!$I5228,CONFIG_ASIGNATURAS!$B$2:$J$61,9,FALSE()),""))</f>
      </c>
    </row>
    <row r="5229">
      <c r="E5229">
        <f>IF(DATOS!$I5229="","",IFERROR(VLOOKUP(DATOS!$I5229,CONFIG_ASIGNATURAS!$B$2:$J$61,9,FALSE()),""))</f>
      </c>
    </row>
    <row r="5230">
      <c r="E5230">
        <f>IF(DATOS!$I5230="","",IFERROR(VLOOKUP(DATOS!$I5230,CONFIG_ASIGNATURAS!$B$2:$J$61,9,FALSE()),""))</f>
      </c>
    </row>
    <row r="5231">
      <c r="E5231">
        <f>IF(DATOS!$I5231="","",IFERROR(VLOOKUP(DATOS!$I5231,CONFIG_ASIGNATURAS!$B$2:$J$61,9,FALSE()),""))</f>
      </c>
    </row>
    <row r="5232">
      <c r="E5232">
        <f>IF(DATOS!$I5232="","",IFERROR(VLOOKUP(DATOS!$I5232,CONFIG_ASIGNATURAS!$B$2:$J$61,9,FALSE()),""))</f>
      </c>
    </row>
    <row r="5233">
      <c r="E5233">
        <f>IF(DATOS!$I5233="","",IFERROR(VLOOKUP(DATOS!$I5233,CONFIG_ASIGNATURAS!$B$2:$J$61,9,FALSE()),""))</f>
      </c>
    </row>
    <row r="5234">
      <c r="E5234">
        <f>IF(DATOS!$I5234="","",IFERROR(VLOOKUP(DATOS!$I5234,CONFIG_ASIGNATURAS!$B$2:$J$61,9,FALSE()),""))</f>
      </c>
    </row>
    <row r="5235">
      <c r="E5235">
        <f>IF(DATOS!$I5235="","",IFERROR(VLOOKUP(DATOS!$I5235,CONFIG_ASIGNATURAS!$B$2:$J$61,9,FALSE()),""))</f>
      </c>
    </row>
    <row r="5236">
      <c r="E5236">
        <f>IF(DATOS!$I5236="","",IFERROR(VLOOKUP(DATOS!$I5236,CONFIG_ASIGNATURAS!$B$2:$J$61,9,FALSE()),""))</f>
      </c>
    </row>
    <row r="5237">
      <c r="E5237">
        <f>IF(DATOS!$I5237="","",IFERROR(VLOOKUP(DATOS!$I5237,CONFIG_ASIGNATURAS!$B$2:$J$61,9,FALSE()),""))</f>
      </c>
    </row>
    <row r="5238">
      <c r="E5238">
        <f>IF(DATOS!$I5238="","",IFERROR(VLOOKUP(DATOS!$I5238,CONFIG_ASIGNATURAS!$B$2:$J$61,9,FALSE()),""))</f>
      </c>
    </row>
    <row r="5239">
      <c r="E5239">
        <f>IF(DATOS!$I5239="","",IFERROR(VLOOKUP(DATOS!$I5239,CONFIG_ASIGNATURAS!$B$2:$J$61,9,FALSE()),""))</f>
      </c>
    </row>
    <row r="5240">
      <c r="E5240">
        <f>IF(DATOS!$I5240="","",IFERROR(VLOOKUP(DATOS!$I5240,CONFIG_ASIGNATURAS!$B$2:$J$61,9,FALSE()),""))</f>
      </c>
    </row>
    <row r="5241">
      <c r="E5241">
        <f>IF(DATOS!$I5241="","",IFERROR(VLOOKUP(DATOS!$I5241,CONFIG_ASIGNATURAS!$B$2:$J$61,9,FALSE()),""))</f>
      </c>
    </row>
    <row r="5242">
      <c r="E5242">
        <f>IF(DATOS!$I5242="","",IFERROR(VLOOKUP(DATOS!$I5242,CONFIG_ASIGNATURAS!$B$2:$J$61,9,FALSE()),""))</f>
      </c>
    </row>
    <row r="5243">
      <c r="E5243">
        <f>IF(DATOS!$I5243="","",IFERROR(VLOOKUP(DATOS!$I5243,CONFIG_ASIGNATURAS!$B$2:$J$61,9,FALSE()),""))</f>
      </c>
    </row>
    <row r="5244">
      <c r="E5244">
        <f>IF(DATOS!$I5244="","",IFERROR(VLOOKUP(DATOS!$I5244,CONFIG_ASIGNATURAS!$B$2:$J$61,9,FALSE()),""))</f>
      </c>
    </row>
    <row r="5245">
      <c r="E5245">
        <f>IF(DATOS!$I5245="","",IFERROR(VLOOKUP(DATOS!$I5245,CONFIG_ASIGNATURAS!$B$2:$J$61,9,FALSE()),""))</f>
      </c>
    </row>
    <row r="5246">
      <c r="E5246">
        <f>IF(DATOS!$I5246="","",IFERROR(VLOOKUP(DATOS!$I5246,CONFIG_ASIGNATURAS!$B$2:$J$61,9,FALSE()),""))</f>
      </c>
    </row>
    <row r="5247">
      <c r="E5247">
        <f>IF(DATOS!$I5247="","",IFERROR(VLOOKUP(DATOS!$I5247,CONFIG_ASIGNATURAS!$B$2:$J$61,9,FALSE()),""))</f>
      </c>
    </row>
    <row r="5248">
      <c r="E5248">
        <f>IF(DATOS!$I5248="","",IFERROR(VLOOKUP(DATOS!$I5248,CONFIG_ASIGNATURAS!$B$2:$J$61,9,FALSE()),""))</f>
      </c>
    </row>
    <row r="5249">
      <c r="E5249">
        <f>IF(DATOS!$I5249="","",IFERROR(VLOOKUP(DATOS!$I5249,CONFIG_ASIGNATURAS!$B$2:$J$61,9,FALSE()),""))</f>
      </c>
    </row>
    <row r="5250">
      <c r="E5250">
        <f>IF(DATOS!$I5250="","",IFERROR(VLOOKUP(DATOS!$I5250,CONFIG_ASIGNATURAS!$B$2:$J$61,9,FALSE()),""))</f>
      </c>
    </row>
    <row r="5251">
      <c r="E5251">
        <f>IF(DATOS!$I5251="","",IFERROR(VLOOKUP(DATOS!$I5251,CONFIG_ASIGNATURAS!$B$2:$J$61,9,FALSE()),""))</f>
      </c>
    </row>
    <row r="5252">
      <c r="E5252">
        <f>IF(DATOS!$I5252="","",IFERROR(VLOOKUP(DATOS!$I5252,CONFIG_ASIGNATURAS!$B$2:$J$61,9,FALSE()),""))</f>
      </c>
    </row>
    <row r="5253">
      <c r="E5253">
        <f>IF(DATOS!$I5253="","",IFERROR(VLOOKUP(DATOS!$I5253,CONFIG_ASIGNATURAS!$B$2:$J$61,9,FALSE()),""))</f>
      </c>
    </row>
    <row r="5254">
      <c r="E5254">
        <f>IF(DATOS!$I5254="","",IFERROR(VLOOKUP(DATOS!$I5254,CONFIG_ASIGNATURAS!$B$2:$J$61,9,FALSE()),""))</f>
      </c>
    </row>
    <row r="5255">
      <c r="E5255">
        <f>IF(DATOS!$I5255="","",IFERROR(VLOOKUP(DATOS!$I5255,CONFIG_ASIGNATURAS!$B$2:$J$61,9,FALSE()),""))</f>
      </c>
    </row>
    <row r="5256">
      <c r="E5256">
        <f>IF(DATOS!$I5256="","",IFERROR(VLOOKUP(DATOS!$I5256,CONFIG_ASIGNATURAS!$B$2:$J$61,9,FALSE()),""))</f>
      </c>
    </row>
    <row r="5257">
      <c r="E5257">
        <f>IF(DATOS!$I5257="","",IFERROR(VLOOKUP(DATOS!$I5257,CONFIG_ASIGNATURAS!$B$2:$J$61,9,FALSE()),""))</f>
      </c>
    </row>
    <row r="5258">
      <c r="E5258">
        <f>IF(DATOS!$I5258="","",IFERROR(VLOOKUP(DATOS!$I5258,CONFIG_ASIGNATURAS!$B$2:$J$61,9,FALSE()),""))</f>
      </c>
    </row>
    <row r="5259">
      <c r="E5259">
        <f>IF(DATOS!$I5259="","",IFERROR(VLOOKUP(DATOS!$I5259,CONFIG_ASIGNATURAS!$B$2:$J$61,9,FALSE()),""))</f>
      </c>
    </row>
    <row r="5260">
      <c r="E5260">
        <f>IF(DATOS!$I5260="","",IFERROR(VLOOKUP(DATOS!$I5260,CONFIG_ASIGNATURAS!$B$2:$J$61,9,FALSE()),""))</f>
      </c>
    </row>
    <row r="5261">
      <c r="E5261">
        <f>IF(DATOS!$I5261="","",IFERROR(VLOOKUP(DATOS!$I5261,CONFIG_ASIGNATURAS!$B$2:$J$61,9,FALSE()),""))</f>
      </c>
    </row>
    <row r="5262">
      <c r="E5262">
        <f>IF(DATOS!$I5262="","",IFERROR(VLOOKUP(DATOS!$I5262,CONFIG_ASIGNATURAS!$B$2:$J$61,9,FALSE()),""))</f>
      </c>
    </row>
    <row r="5263">
      <c r="E5263">
        <f>IF(DATOS!$I5263="","",IFERROR(VLOOKUP(DATOS!$I5263,CONFIG_ASIGNATURAS!$B$2:$J$61,9,FALSE()),""))</f>
      </c>
    </row>
    <row r="5264">
      <c r="E5264">
        <f>IF(DATOS!$I5264="","",IFERROR(VLOOKUP(DATOS!$I5264,CONFIG_ASIGNATURAS!$B$2:$J$61,9,FALSE()),""))</f>
      </c>
    </row>
    <row r="5265">
      <c r="E5265">
        <f>IF(DATOS!$I5265="","",IFERROR(VLOOKUP(DATOS!$I5265,CONFIG_ASIGNATURAS!$B$2:$J$61,9,FALSE()),""))</f>
      </c>
    </row>
    <row r="5266">
      <c r="E5266">
        <f>IF(DATOS!$I5266="","",IFERROR(VLOOKUP(DATOS!$I5266,CONFIG_ASIGNATURAS!$B$2:$J$61,9,FALSE()),""))</f>
      </c>
    </row>
    <row r="5267">
      <c r="E5267">
        <f>IF(DATOS!$I5267="","",IFERROR(VLOOKUP(DATOS!$I5267,CONFIG_ASIGNATURAS!$B$2:$J$61,9,FALSE()),""))</f>
      </c>
    </row>
    <row r="5268">
      <c r="E5268">
        <f>IF(DATOS!$I5268="","",IFERROR(VLOOKUP(DATOS!$I5268,CONFIG_ASIGNATURAS!$B$2:$J$61,9,FALSE()),""))</f>
      </c>
    </row>
    <row r="5269">
      <c r="E5269">
        <f>IF(DATOS!$I5269="","",IFERROR(VLOOKUP(DATOS!$I5269,CONFIG_ASIGNATURAS!$B$2:$J$61,9,FALSE()),""))</f>
      </c>
    </row>
    <row r="5270">
      <c r="E5270">
        <f>IF(DATOS!$I5270="","",IFERROR(VLOOKUP(DATOS!$I5270,CONFIG_ASIGNATURAS!$B$2:$J$61,9,FALSE()),""))</f>
      </c>
    </row>
    <row r="5271">
      <c r="E5271">
        <f>IF(DATOS!$I5271="","",IFERROR(VLOOKUP(DATOS!$I5271,CONFIG_ASIGNATURAS!$B$2:$J$61,9,FALSE()),""))</f>
      </c>
    </row>
    <row r="5272">
      <c r="E5272">
        <f>IF(DATOS!$I5272="","",IFERROR(VLOOKUP(DATOS!$I5272,CONFIG_ASIGNATURAS!$B$2:$J$61,9,FALSE()),""))</f>
      </c>
    </row>
    <row r="5273">
      <c r="E5273">
        <f>IF(DATOS!$I5273="","",IFERROR(VLOOKUP(DATOS!$I5273,CONFIG_ASIGNATURAS!$B$2:$J$61,9,FALSE()),""))</f>
      </c>
    </row>
    <row r="5274">
      <c r="E5274">
        <f>IF(DATOS!$I5274="","",IFERROR(VLOOKUP(DATOS!$I5274,CONFIG_ASIGNATURAS!$B$2:$J$61,9,FALSE()),""))</f>
      </c>
    </row>
    <row r="5275">
      <c r="E5275">
        <f>IF(DATOS!$I5275="","",IFERROR(VLOOKUP(DATOS!$I5275,CONFIG_ASIGNATURAS!$B$2:$J$61,9,FALSE()),""))</f>
      </c>
    </row>
    <row r="5276">
      <c r="E5276">
        <f>IF(DATOS!$I5276="","",IFERROR(VLOOKUP(DATOS!$I5276,CONFIG_ASIGNATURAS!$B$2:$J$61,9,FALSE()),""))</f>
      </c>
    </row>
    <row r="5277">
      <c r="E5277">
        <f>IF(DATOS!$I5277="","",IFERROR(VLOOKUP(DATOS!$I5277,CONFIG_ASIGNATURAS!$B$2:$J$61,9,FALSE()),""))</f>
      </c>
    </row>
    <row r="5278">
      <c r="E5278">
        <f>IF(DATOS!$I5278="","",IFERROR(VLOOKUP(DATOS!$I5278,CONFIG_ASIGNATURAS!$B$2:$J$61,9,FALSE()),""))</f>
      </c>
    </row>
    <row r="5279">
      <c r="E5279">
        <f>IF(DATOS!$I5279="","",IFERROR(VLOOKUP(DATOS!$I5279,CONFIG_ASIGNATURAS!$B$2:$J$61,9,FALSE()),""))</f>
      </c>
    </row>
    <row r="5280">
      <c r="E5280">
        <f>IF(DATOS!$I5280="","",IFERROR(VLOOKUP(DATOS!$I5280,CONFIG_ASIGNATURAS!$B$2:$J$61,9,FALSE()),""))</f>
      </c>
    </row>
    <row r="5281">
      <c r="E5281">
        <f>IF(DATOS!$I5281="","",IFERROR(VLOOKUP(DATOS!$I5281,CONFIG_ASIGNATURAS!$B$2:$J$61,9,FALSE()),""))</f>
      </c>
    </row>
    <row r="5282">
      <c r="E5282">
        <f>IF(DATOS!$I5282="","",IFERROR(VLOOKUP(DATOS!$I5282,CONFIG_ASIGNATURAS!$B$2:$J$61,9,FALSE()),""))</f>
      </c>
    </row>
    <row r="5283">
      <c r="E5283">
        <f>IF(DATOS!$I5283="","",IFERROR(VLOOKUP(DATOS!$I5283,CONFIG_ASIGNATURAS!$B$2:$J$61,9,FALSE()),""))</f>
      </c>
    </row>
    <row r="5284">
      <c r="E5284">
        <f>IF(DATOS!$I5284="","",IFERROR(VLOOKUP(DATOS!$I5284,CONFIG_ASIGNATURAS!$B$2:$J$61,9,FALSE()),""))</f>
      </c>
    </row>
    <row r="5285">
      <c r="E5285">
        <f>IF(DATOS!$I5285="","",IFERROR(VLOOKUP(DATOS!$I5285,CONFIG_ASIGNATURAS!$B$2:$J$61,9,FALSE()),""))</f>
      </c>
    </row>
    <row r="5286">
      <c r="E5286">
        <f>IF(DATOS!$I5286="","",IFERROR(VLOOKUP(DATOS!$I5286,CONFIG_ASIGNATURAS!$B$2:$J$61,9,FALSE()),""))</f>
      </c>
    </row>
    <row r="5287">
      <c r="E5287">
        <f>IF(DATOS!$I5287="","",IFERROR(VLOOKUP(DATOS!$I5287,CONFIG_ASIGNATURAS!$B$2:$J$61,9,FALSE()),""))</f>
      </c>
    </row>
    <row r="5288">
      <c r="E5288">
        <f>IF(DATOS!$I5288="","",IFERROR(VLOOKUP(DATOS!$I5288,CONFIG_ASIGNATURAS!$B$2:$J$61,9,FALSE()),""))</f>
      </c>
    </row>
    <row r="5289">
      <c r="E5289">
        <f>IF(DATOS!$I5289="","",IFERROR(VLOOKUP(DATOS!$I5289,CONFIG_ASIGNATURAS!$B$2:$J$61,9,FALSE()),""))</f>
      </c>
    </row>
    <row r="5290">
      <c r="E5290">
        <f>IF(DATOS!$I5290="","",IFERROR(VLOOKUP(DATOS!$I5290,CONFIG_ASIGNATURAS!$B$2:$J$61,9,FALSE()),""))</f>
      </c>
    </row>
    <row r="5291">
      <c r="E5291">
        <f>IF(DATOS!$I5291="","",IFERROR(VLOOKUP(DATOS!$I5291,CONFIG_ASIGNATURAS!$B$2:$J$61,9,FALSE()),""))</f>
      </c>
    </row>
    <row r="5292">
      <c r="E5292">
        <f>IF(DATOS!$I5292="","",IFERROR(VLOOKUP(DATOS!$I5292,CONFIG_ASIGNATURAS!$B$2:$J$61,9,FALSE()),""))</f>
      </c>
    </row>
    <row r="5293">
      <c r="E5293">
        <f>IF(DATOS!$I5293="","",IFERROR(VLOOKUP(DATOS!$I5293,CONFIG_ASIGNATURAS!$B$2:$J$61,9,FALSE()),""))</f>
      </c>
    </row>
    <row r="5294">
      <c r="E5294">
        <f>IF(DATOS!$I5294="","",IFERROR(VLOOKUP(DATOS!$I5294,CONFIG_ASIGNATURAS!$B$2:$J$61,9,FALSE()),""))</f>
      </c>
    </row>
    <row r="5295">
      <c r="E5295">
        <f>IF(DATOS!$I5295="","",IFERROR(VLOOKUP(DATOS!$I5295,CONFIG_ASIGNATURAS!$B$2:$J$61,9,FALSE()),""))</f>
      </c>
    </row>
    <row r="5296">
      <c r="E5296">
        <f>IF(DATOS!$I5296="","",IFERROR(VLOOKUP(DATOS!$I5296,CONFIG_ASIGNATURAS!$B$2:$J$61,9,FALSE()),""))</f>
      </c>
    </row>
    <row r="5297">
      <c r="E5297">
        <f>IF(DATOS!$I5297="","",IFERROR(VLOOKUP(DATOS!$I5297,CONFIG_ASIGNATURAS!$B$2:$J$61,9,FALSE()),""))</f>
      </c>
    </row>
    <row r="5298">
      <c r="E5298">
        <f>IF(DATOS!$I5298="","",IFERROR(VLOOKUP(DATOS!$I5298,CONFIG_ASIGNATURAS!$B$2:$J$61,9,FALSE()),""))</f>
      </c>
    </row>
    <row r="5299">
      <c r="E5299">
        <f>IF(DATOS!$I5299="","",IFERROR(VLOOKUP(DATOS!$I5299,CONFIG_ASIGNATURAS!$B$2:$J$61,9,FALSE()),""))</f>
      </c>
    </row>
    <row r="5300">
      <c r="E5300">
        <f>IF(DATOS!$I5300="","",IFERROR(VLOOKUP(DATOS!$I5300,CONFIG_ASIGNATURAS!$B$2:$J$61,9,FALSE()),""))</f>
      </c>
    </row>
    <row r="5301">
      <c r="E5301">
        <f>IF(DATOS!$I5301="","",IFERROR(VLOOKUP(DATOS!$I5301,CONFIG_ASIGNATURAS!$B$2:$J$61,9,FALSE()),""))</f>
      </c>
    </row>
    <row r="5302">
      <c r="E5302">
        <f>IF(DATOS!$I5302="","",IFERROR(VLOOKUP(DATOS!$I5302,CONFIG_ASIGNATURAS!$B$2:$J$61,9,FALSE()),""))</f>
      </c>
    </row>
    <row r="5303">
      <c r="E5303">
        <f>IF(DATOS!$I5303="","",IFERROR(VLOOKUP(DATOS!$I5303,CONFIG_ASIGNATURAS!$B$2:$J$61,9,FALSE()),""))</f>
      </c>
    </row>
    <row r="5304">
      <c r="E5304">
        <f>IF(DATOS!$I5304="","",IFERROR(VLOOKUP(DATOS!$I5304,CONFIG_ASIGNATURAS!$B$2:$J$61,9,FALSE()),""))</f>
      </c>
    </row>
    <row r="5305">
      <c r="E5305">
        <f>IF(DATOS!$I5305="","",IFERROR(VLOOKUP(DATOS!$I5305,CONFIG_ASIGNATURAS!$B$2:$J$61,9,FALSE()),""))</f>
      </c>
    </row>
    <row r="5306">
      <c r="E5306">
        <f>IF(DATOS!$I5306="","",IFERROR(VLOOKUP(DATOS!$I5306,CONFIG_ASIGNATURAS!$B$2:$J$61,9,FALSE()),""))</f>
      </c>
    </row>
    <row r="5307">
      <c r="E5307">
        <f>IF(DATOS!$I5307="","",IFERROR(VLOOKUP(DATOS!$I5307,CONFIG_ASIGNATURAS!$B$2:$J$61,9,FALSE()),""))</f>
      </c>
    </row>
    <row r="5308">
      <c r="E5308">
        <f>IF(DATOS!$I5308="","",IFERROR(VLOOKUP(DATOS!$I5308,CONFIG_ASIGNATURAS!$B$2:$J$61,9,FALSE()),""))</f>
      </c>
    </row>
    <row r="5309">
      <c r="E5309">
        <f>IF(DATOS!$I5309="","",IFERROR(VLOOKUP(DATOS!$I5309,CONFIG_ASIGNATURAS!$B$2:$J$61,9,FALSE()),""))</f>
      </c>
    </row>
    <row r="5310">
      <c r="E5310">
        <f>IF(DATOS!$I5310="","",IFERROR(VLOOKUP(DATOS!$I5310,CONFIG_ASIGNATURAS!$B$2:$J$61,9,FALSE()),""))</f>
      </c>
    </row>
    <row r="5311">
      <c r="E5311">
        <f>IF(DATOS!$I5311="","",IFERROR(VLOOKUP(DATOS!$I5311,CONFIG_ASIGNATURAS!$B$2:$J$61,9,FALSE()),""))</f>
      </c>
    </row>
    <row r="5312">
      <c r="E5312">
        <f>IF(DATOS!$I5312="","",IFERROR(VLOOKUP(DATOS!$I5312,CONFIG_ASIGNATURAS!$B$2:$J$61,9,FALSE()),""))</f>
      </c>
    </row>
    <row r="5313">
      <c r="E5313">
        <f>IF(DATOS!$I5313="","",IFERROR(VLOOKUP(DATOS!$I5313,CONFIG_ASIGNATURAS!$B$2:$J$61,9,FALSE()),""))</f>
      </c>
    </row>
    <row r="5314">
      <c r="E5314">
        <f>IF(DATOS!$I5314="","",IFERROR(VLOOKUP(DATOS!$I5314,CONFIG_ASIGNATURAS!$B$2:$J$61,9,FALSE()),""))</f>
      </c>
    </row>
    <row r="5315">
      <c r="E5315">
        <f>IF(DATOS!$I5315="","",IFERROR(VLOOKUP(DATOS!$I5315,CONFIG_ASIGNATURAS!$B$2:$J$61,9,FALSE()),""))</f>
      </c>
    </row>
    <row r="5316">
      <c r="E5316">
        <f>IF(DATOS!$I5316="","",IFERROR(VLOOKUP(DATOS!$I5316,CONFIG_ASIGNATURAS!$B$2:$J$61,9,FALSE()),""))</f>
      </c>
    </row>
    <row r="5317">
      <c r="E5317">
        <f>IF(DATOS!$I5317="","",IFERROR(VLOOKUP(DATOS!$I5317,CONFIG_ASIGNATURAS!$B$2:$J$61,9,FALSE()),""))</f>
      </c>
    </row>
    <row r="5318">
      <c r="E5318">
        <f>IF(DATOS!$I5318="","",IFERROR(VLOOKUP(DATOS!$I5318,CONFIG_ASIGNATURAS!$B$2:$J$61,9,FALSE()),""))</f>
      </c>
    </row>
    <row r="5319">
      <c r="E5319">
        <f>IF(DATOS!$I5319="","",IFERROR(VLOOKUP(DATOS!$I5319,CONFIG_ASIGNATURAS!$B$2:$J$61,9,FALSE()),""))</f>
      </c>
    </row>
    <row r="5320">
      <c r="E5320">
        <f>IF(DATOS!$I5320="","",IFERROR(VLOOKUP(DATOS!$I5320,CONFIG_ASIGNATURAS!$B$2:$J$61,9,FALSE()),""))</f>
      </c>
    </row>
    <row r="5321">
      <c r="E5321">
        <f>IF(DATOS!$I5321="","",IFERROR(VLOOKUP(DATOS!$I5321,CONFIG_ASIGNATURAS!$B$2:$J$61,9,FALSE()),""))</f>
      </c>
    </row>
    <row r="5322">
      <c r="E5322">
        <f>IF(DATOS!$I5322="","",IFERROR(VLOOKUP(DATOS!$I5322,CONFIG_ASIGNATURAS!$B$2:$J$61,9,FALSE()),""))</f>
      </c>
    </row>
    <row r="5323">
      <c r="E5323">
        <f>IF(DATOS!$I5323="","",IFERROR(VLOOKUP(DATOS!$I5323,CONFIG_ASIGNATURAS!$B$2:$J$61,9,FALSE()),""))</f>
      </c>
    </row>
    <row r="5324">
      <c r="E5324">
        <f>IF(DATOS!$I5324="","",IFERROR(VLOOKUP(DATOS!$I5324,CONFIG_ASIGNATURAS!$B$2:$J$61,9,FALSE()),""))</f>
      </c>
    </row>
    <row r="5325">
      <c r="E5325">
        <f>IF(DATOS!$I5325="","",IFERROR(VLOOKUP(DATOS!$I5325,CONFIG_ASIGNATURAS!$B$2:$J$61,9,FALSE()),""))</f>
      </c>
    </row>
    <row r="5326">
      <c r="E5326">
        <f>IF(DATOS!$I5326="","",IFERROR(VLOOKUP(DATOS!$I5326,CONFIG_ASIGNATURAS!$B$2:$J$61,9,FALSE()),""))</f>
      </c>
    </row>
    <row r="5327">
      <c r="E5327">
        <f>IF(DATOS!$I5327="","",IFERROR(VLOOKUP(DATOS!$I5327,CONFIG_ASIGNATURAS!$B$2:$J$61,9,FALSE()),""))</f>
      </c>
    </row>
    <row r="5328">
      <c r="E5328">
        <f>IF(DATOS!$I5328="","",IFERROR(VLOOKUP(DATOS!$I5328,CONFIG_ASIGNATURAS!$B$2:$J$61,9,FALSE()),""))</f>
      </c>
    </row>
    <row r="5329">
      <c r="E5329">
        <f>IF(DATOS!$I5329="","",IFERROR(VLOOKUP(DATOS!$I5329,CONFIG_ASIGNATURAS!$B$2:$J$61,9,FALSE()),""))</f>
      </c>
    </row>
    <row r="5330">
      <c r="E5330">
        <f>IF(DATOS!$I5330="","",IFERROR(VLOOKUP(DATOS!$I5330,CONFIG_ASIGNATURAS!$B$2:$J$61,9,FALSE()),""))</f>
      </c>
    </row>
    <row r="5331">
      <c r="E5331">
        <f>IF(DATOS!$I5331="","",IFERROR(VLOOKUP(DATOS!$I5331,CONFIG_ASIGNATURAS!$B$2:$J$61,9,FALSE()),""))</f>
      </c>
    </row>
    <row r="5332">
      <c r="E5332">
        <f>IF(DATOS!$I5332="","",IFERROR(VLOOKUP(DATOS!$I5332,CONFIG_ASIGNATURAS!$B$2:$J$61,9,FALSE()),""))</f>
      </c>
    </row>
    <row r="5333">
      <c r="E5333">
        <f>IF(DATOS!$I5333="","",IFERROR(VLOOKUP(DATOS!$I5333,CONFIG_ASIGNATURAS!$B$2:$J$61,9,FALSE()),""))</f>
      </c>
    </row>
    <row r="5334">
      <c r="E5334">
        <f>IF(DATOS!$I5334="","",IFERROR(VLOOKUP(DATOS!$I5334,CONFIG_ASIGNATURAS!$B$2:$J$61,9,FALSE()),""))</f>
      </c>
    </row>
    <row r="5335">
      <c r="E5335">
        <f>IF(DATOS!$I5335="","",IFERROR(VLOOKUP(DATOS!$I5335,CONFIG_ASIGNATURAS!$B$2:$J$61,9,FALSE()),""))</f>
      </c>
    </row>
    <row r="5336">
      <c r="E5336">
        <f>IF(DATOS!$I5336="","",IFERROR(VLOOKUP(DATOS!$I5336,CONFIG_ASIGNATURAS!$B$2:$J$61,9,FALSE()),""))</f>
      </c>
    </row>
    <row r="5337">
      <c r="E5337">
        <f>IF(DATOS!$I5337="","",IFERROR(VLOOKUP(DATOS!$I5337,CONFIG_ASIGNATURAS!$B$2:$J$61,9,FALSE()),""))</f>
      </c>
    </row>
    <row r="5338">
      <c r="E5338">
        <f>IF(DATOS!$I5338="","",IFERROR(VLOOKUP(DATOS!$I5338,CONFIG_ASIGNATURAS!$B$2:$J$61,9,FALSE()),""))</f>
      </c>
    </row>
    <row r="5339">
      <c r="E5339">
        <f>IF(DATOS!$I5339="","",IFERROR(VLOOKUP(DATOS!$I5339,CONFIG_ASIGNATURAS!$B$2:$J$61,9,FALSE()),""))</f>
      </c>
    </row>
    <row r="5340">
      <c r="E5340">
        <f>IF(DATOS!$I5340="","",IFERROR(VLOOKUP(DATOS!$I5340,CONFIG_ASIGNATURAS!$B$2:$J$61,9,FALSE()),""))</f>
      </c>
    </row>
    <row r="5341">
      <c r="E5341">
        <f>IF(DATOS!$I5341="","",IFERROR(VLOOKUP(DATOS!$I5341,CONFIG_ASIGNATURAS!$B$2:$J$61,9,FALSE()),""))</f>
      </c>
    </row>
    <row r="5342">
      <c r="E5342">
        <f>IF(DATOS!$I5342="","",IFERROR(VLOOKUP(DATOS!$I5342,CONFIG_ASIGNATURAS!$B$2:$J$61,9,FALSE()),""))</f>
      </c>
    </row>
    <row r="5343">
      <c r="E5343">
        <f>IF(DATOS!$I5343="","",IFERROR(VLOOKUP(DATOS!$I5343,CONFIG_ASIGNATURAS!$B$2:$J$61,9,FALSE()),""))</f>
      </c>
    </row>
    <row r="5344">
      <c r="E5344">
        <f>IF(DATOS!$I5344="","",IFERROR(VLOOKUP(DATOS!$I5344,CONFIG_ASIGNATURAS!$B$2:$J$61,9,FALSE()),""))</f>
      </c>
    </row>
    <row r="5345">
      <c r="E5345">
        <f>IF(DATOS!$I5345="","",IFERROR(VLOOKUP(DATOS!$I5345,CONFIG_ASIGNATURAS!$B$2:$J$61,9,FALSE()),""))</f>
      </c>
    </row>
    <row r="5346">
      <c r="E5346">
        <f>IF(DATOS!$I5346="","",IFERROR(VLOOKUP(DATOS!$I5346,CONFIG_ASIGNATURAS!$B$2:$J$61,9,FALSE()),""))</f>
      </c>
    </row>
    <row r="5347">
      <c r="E5347">
        <f>IF(DATOS!$I5347="","",IFERROR(VLOOKUP(DATOS!$I5347,CONFIG_ASIGNATURAS!$B$2:$J$61,9,FALSE()),""))</f>
      </c>
    </row>
    <row r="5348">
      <c r="E5348">
        <f>IF(DATOS!$I5348="","",IFERROR(VLOOKUP(DATOS!$I5348,CONFIG_ASIGNATURAS!$B$2:$J$61,9,FALSE()),""))</f>
      </c>
    </row>
    <row r="5349">
      <c r="E5349">
        <f>IF(DATOS!$I5349="","",IFERROR(VLOOKUP(DATOS!$I5349,CONFIG_ASIGNATURAS!$B$2:$J$61,9,FALSE()),""))</f>
      </c>
    </row>
    <row r="5350">
      <c r="E5350">
        <f>IF(DATOS!$I5350="","",IFERROR(VLOOKUP(DATOS!$I5350,CONFIG_ASIGNATURAS!$B$2:$J$61,9,FALSE()),""))</f>
      </c>
    </row>
    <row r="5351">
      <c r="E5351">
        <f>IF(DATOS!$I5351="","",IFERROR(VLOOKUP(DATOS!$I5351,CONFIG_ASIGNATURAS!$B$2:$J$61,9,FALSE()),""))</f>
      </c>
    </row>
    <row r="5352">
      <c r="E5352">
        <f>IF(DATOS!$I5352="","",IFERROR(VLOOKUP(DATOS!$I5352,CONFIG_ASIGNATURAS!$B$2:$J$61,9,FALSE()),""))</f>
      </c>
    </row>
    <row r="5353">
      <c r="E5353">
        <f>IF(DATOS!$I5353="","",IFERROR(VLOOKUP(DATOS!$I5353,CONFIG_ASIGNATURAS!$B$2:$J$61,9,FALSE()),""))</f>
      </c>
    </row>
    <row r="5354">
      <c r="E5354">
        <f>IF(DATOS!$I5354="","",IFERROR(VLOOKUP(DATOS!$I5354,CONFIG_ASIGNATURAS!$B$2:$J$61,9,FALSE()),""))</f>
      </c>
    </row>
    <row r="5355">
      <c r="E5355">
        <f>IF(DATOS!$I5355="","",IFERROR(VLOOKUP(DATOS!$I5355,CONFIG_ASIGNATURAS!$B$2:$J$61,9,FALSE()),""))</f>
      </c>
    </row>
    <row r="5356">
      <c r="E5356">
        <f>IF(DATOS!$I5356="","",IFERROR(VLOOKUP(DATOS!$I5356,CONFIG_ASIGNATURAS!$B$2:$J$61,9,FALSE()),""))</f>
      </c>
    </row>
    <row r="5357">
      <c r="E5357">
        <f>IF(DATOS!$I5357="","",IFERROR(VLOOKUP(DATOS!$I5357,CONFIG_ASIGNATURAS!$B$2:$J$61,9,FALSE()),""))</f>
      </c>
    </row>
    <row r="5358">
      <c r="E5358">
        <f>IF(DATOS!$I5358="","",IFERROR(VLOOKUP(DATOS!$I5358,CONFIG_ASIGNATURAS!$B$2:$J$61,9,FALSE()),""))</f>
      </c>
    </row>
    <row r="5359">
      <c r="E5359">
        <f>IF(DATOS!$I5359="","",IFERROR(VLOOKUP(DATOS!$I5359,CONFIG_ASIGNATURAS!$B$2:$J$61,9,FALSE()),""))</f>
      </c>
    </row>
    <row r="5360">
      <c r="E5360">
        <f>IF(DATOS!$I5360="","",IFERROR(VLOOKUP(DATOS!$I5360,CONFIG_ASIGNATURAS!$B$2:$J$61,9,FALSE()),""))</f>
      </c>
    </row>
    <row r="5361">
      <c r="E5361">
        <f>IF(DATOS!$I5361="","",IFERROR(VLOOKUP(DATOS!$I5361,CONFIG_ASIGNATURAS!$B$2:$J$61,9,FALSE()),""))</f>
      </c>
    </row>
    <row r="5362">
      <c r="E5362">
        <f>IF(DATOS!$I5362="","",IFERROR(VLOOKUP(DATOS!$I5362,CONFIG_ASIGNATURAS!$B$2:$J$61,9,FALSE()),""))</f>
      </c>
    </row>
    <row r="5363">
      <c r="E5363">
        <f>IF(DATOS!$I5363="","",IFERROR(VLOOKUP(DATOS!$I5363,CONFIG_ASIGNATURAS!$B$2:$J$61,9,FALSE()),""))</f>
      </c>
    </row>
    <row r="5364">
      <c r="E5364">
        <f>IF(DATOS!$I5364="","",IFERROR(VLOOKUP(DATOS!$I5364,CONFIG_ASIGNATURAS!$B$2:$J$61,9,FALSE()),""))</f>
      </c>
    </row>
    <row r="5365">
      <c r="E5365">
        <f>IF(DATOS!$I5365="","",IFERROR(VLOOKUP(DATOS!$I5365,CONFIG_ASIGNATURAS!$B$2:$J$61,9,FALSE()),""))</f>
      </c>
    </row>
    <row r="5366">
      <c r="E5366">
        <f>IF(DATOS!$I5366="","",IFERROR(VLOOKUP(DATOS!$I5366,CONFIG_ASIGNATURAS!$B$2:$J$61,9,FALSE()),""))</f>
      </c>
    </row>
    <row r="5367">
      <c r="E5367">
        <f>IF(DATOS!$I5367="","",IFERROR(VLOOKUP(DATOS!$I5367,CONFIG_ASIGNATURAS!$B$2:$J$61,9,FALSE()),""))</f>
      </c>
    </row>
    <row r="5368">
      <c r="E5368">
        <f>IF(DATOS!$I5368="","",IFERROR(VLOOKUP(DATOS!$I5368,CONFIG_ASIGNATURAS!$B$2:$J$61,9,FALSE()),""))</f>
      </c>
    </row>
    <row r="5369">
      <c r="E5369">
        <f>IF(DATOS!$I5369="","",IFERROR(VLOOKUP(DATOS!$I5369,CONFIG_ASIGNATURAS!$B$2:$J$61,9,FALSE()),""))</f>
      </c>
    </row>
    <row r="5370">
      <c r="E5370">
        <f>IF(DATOS!$I5370="","",IFERROR(VLOOKUP(DATOS!$I5370,CONFIG_ASIGNATURAS!$B$2:$J$61,9,FALSE()),""))</f>
      </c>
    </row>
    <row r="5371">
      <c r="E5371">
        <f>IF(DATOS!$I5371="","",IFERROR(VLOOKUP(DATOS!$I5371,CONFIG_ASIGNATURAS!$B$2:$J$61,9,FALSE()),""))</f>
      </c>
    </row>
    <row r="5372">
      <c r="E5372">
        <f>IF(DATOS!$I5372="","",IFERROR(VLOOKUP(DATOS!$I5372,CONFIG_ASIGNATURAS!$B$2:$J$61,9,FALSE()),""))</f>
      </c>
    </row>
    <row r="5373">
      <c r="E5373">
        <f>IF(DATOS!$I5373="","",IFERROR(VLOOKUP(DATOS!$I5373,CONFIG_ASIGNATURAS!$B$2:$J$61,9,FALSE()),""))</f>
      </c>
    </row>
    <row r="5374">
      <c r="E5374">
        <f>IF(DATOS!$I5374="","",IFERROR(VLOOKUP(DATOS!$I5374,CONFIG_ASIGNATURAS!$B$2:$J$61,9,FALSE()),""))</f>
      </c>
    </row>
    <row r="5375">
      <c r="E5375">
        <f>IF(DATOS!$I5375="","",IFERROR(VLOOKUP(DATOS!$I5375,CONFIG_ASIGNATURAS!$B$2:$J$61,9,FALSE()),""))</f>
      </c>
    </row>
    <row r="5376">
      <c r="E5376">
        <f>IF(DATOS!$I5376="","",IFERROR(VLOOKUP(DATOS!$I5376,CONFIG_ASIGNATURAS!$B$2:$J$61,9,FALSE()),""))</f>
      </c>
    </row>
    <row r="5377">
      <c r="E5377">
        <f>IF(DATOS!$I5377="","",IFERROR(VLOOKUP(DATOS!$I5377,CONFIG_ASIGNATURAS!$B$2:$J$61,9,FALSE()),""))</f>
      </c>
    </row>
    <row r="5378">
      <c r="E5378">
        <f>IF(DATOS!$I5378="","",IFERROR(VLOOKUP(DATOS!$I5378,CONFIG_ASIGNATURAS!$B$2:$J$61,9,FALSE()),""))</f>
      </c>
    </row>
    <row r="5379">
      <c r="E5379">
        <f>IF(DATOS!$I5379="","",IFERROR(VLOOKUP(DATOS!$I5379,CONFIG_ASIGNATURAS!$B$2:$J$61,9,FALSE()),""))</f>
      </c>
    </row>
    <row r="5380">
      <c r="E5380">
        <f>IF(DATOS!$I5380="","",IFERROR(VLOOKUP(DATOS!$I5380,CONFIG_ASIGNATURAS!$B$2:$J$61,9,FALSE()),""))</f>
      </c>
    </row>
    <row r="5381">
      <c r="E5381">
        <f>IF(DATOS!$I5381="","",IFERROR(VLOOKUP(DATOS!$I5381,CONFIG_ASIGNATURAS!$B$2:$J$61,9,FALSE()),""))</f>
      </c>
    </row>
    <row r="5382">
      <c r="E5382">
        <f>IF(DATOS!$I5382="","",IFERROR(VLOOKUP(DATOS!$I5382,CONFIG_ASIGNATURAS!$B$2:$J$61,9,FALSE()),""))</f>
      </c>
    </row>
    <row r="5383">
      <c r="E5383">
        <f>IF(DATOS!$I5383="","",IFERROR(VLOOKUP(DATOS!$I5383,CONFIG_ASIGNATURAS!$B$2:$J$61,9,FALSE()),""))</f>
      </c>
    </row>
    <row r="5384">
      <c r="E5384">
        <f>IF(DATOS!$I5384="","",IFERROR(VLOOKUP(DATOS!$I5384,CONFIG_ASIGNATURAS!$B$2:$J$61,9,FALSE()),""))</f>
      </c>
    </row>
    <row r="5385">
      <c r="E5385">
        <f>IF(DATOS!$I5385="","",IFERROR(VLOOKUP(DATOS!$I5385,CONFIG_ASIGNATURAS!$B$2:$J$61,9,FALSE()),""))</f>
      </c>
    </row>
    <row r="5386">
      <c r="E5386">
        <f>IF(DATOS!$I5386="","",IFERROR(VLOOKUP(DATOS!$I5386,CONFIG_ASIGNATURAS!$B$2:$J$61,9,FALSE()),""))</f>
      </c>
    </row>
    <row r="5387">
      <c r="E5387">
        <f>IF(DATOS!$I5387="","",IFERROR(VLOOKUP(DATOS!$I5387,CONFIG_ASIGNATURAS!$B$2:$J$61,9,FALSE()),""))</f>
      </c>
    </row>
    <row r="5388">
      <c r="E5388">
        <f>IF(DATOS!$I5388="","",IFERROR(VLOOKUP(DATOS!$I5388,CONFIG_ASIGNATURAS!$B$2:$J$61,9,FALSE()),""))</f>
      </c>
    </row>
    <row r="5389">
      <c r="E5389">
        <f>IF(DATOS!$I5389="","",IFERROR(VLOOKUP(DATOS!$I5389,CONFIG_ASIGNATURAS!$B$2:$J$61,9,FALSE()),""))</f>
      </c>
    </row>
    <row r="5390">
      <c r="E5390">
        <f>IF(DATOS!$I5390="","",IFERROR(VLOOKUP(DATOS!$I5390,CONFIG_ASIGNATURAS!$B$2:$J$61,9,FALSE()),""))</f>
      </c>
    </row>
    <row r="5391">
      <c r="E5391">
        <f>IF(DATOS!$I5391="","",IFERROR(VLOOKUP(DATOS!$I5391,CONFIG_ASIGNATURAS!$B$2:$J$61,9,FALSE()),""))</f>
      </c>
    </row>
    <row r="5392">
      <c r="E5392">
        <f>IF(DATOS!$I5392="","",IFERROR(VLOOKUP(DATOS!$I5392,CONFIG_ASIGNATURAS!$B$2:$J$61,9,FALSE()),""))</f>
      </c>
    </row>
    <row r="5393">
      <c r="E5393">
        <f>IF(DATOS!$I5393="","",IFERROR(VLOOKUP(DATOS!$I5393,CONFIG_ASIGNATURAS!$B$2:$J$61,9,FALSE()),""))</f>
      </c>
    </row>
    <row r="5394">
      <c r="E5394">
        <f>IF(DATOS!$I5394="","",IFERROR(VLOOKUP(DATOS!$I5394,CONFIG_ASIGNATURAS!$B$2:$J$61,9,FALSE()),""))</f>
      </c>
    </row>
    <row r="5395">
      <c r="E5395">
        <f>IF(DATOS!$I5395="","",IFERROR(VLOOKUP(DATOS!$I5395,CONFIG_ASIGNATURAS!$B$2:$J$61,9,FALSE()),""))</f>
      </c>
    </row>
    <row r="5396">
      <c r="E5396">
        <f>IF(DATOS!$I5396="","",IFERROR(VLOOKUP(DATOS!$I5396,CONFIG_ASIGNATURAS!$B$2:$J$61,9,FALSE()),""))</f>
      </c>
    </row>
    <row r="5397">
      <c r="E5397">
        <f>IF(DATOS!$I5397="","",IFERROR(VLOOKUP(DATOS!$I5397,CONFIG_ASIGNATURAS!$B$2:$J$61,9,FALSE()),""))</f>
      </c>
    </row>
    <row r="5398">
      <c r="E5398">
        <f>IF(DATOS!$I5398="","",IFERROR(VLOOKUP(DATOS!$I5398,CONFIG_ASIGNATURAS!$B$2:$J$61,9,FALSE()),""))</f>
      </c>
    </row>
    <row r="5399">
      <c r="E5399">
        <f>IF(DATOS!$I5399="","",IFERROR(VLOOKUP(DATOS!$I5399,CONFIG_ASIGNATURAS!$B$2:$J$61,9,FALSE()),""))</f>
      </c>
    </row>
    <row r="5400">
      <c r="E5400">
        <f>IF(DATOS!$I5400="","",IFERROR(VLOOKUP(DATOS!$I5400,CONFIG_ASIGNATURAS!$B$2:$J$61,9,FALSE()),""))</f>
      </c>
    </row>
    <row r="5401">
      <c r="E5401">
        <f>IF(DATOS!$I5401="","",IFERROR(VLOOKUP(DATOS!$I5401,CONFIG_ASIGNATURAS!$B$2:$J$61,9,FALSE()),""))</f>
      </c>
    </row>
    <row r="5402">
      <c r="E5402">
        <f>IF(DATOS!$I5402="","",IFERROR(VLOOKUP(DATOS!$I5402,CONFIG_ASIGNATURAS!$B$2:$J$61,9,FALSE()),""))</f>
      </c>
    </row>
    <row r="5403">
      <c r="E5403">
        <f>IF(DATOS!$I5403="","",IFERROR(VLOOKUP(DATOS!$I5403,CONFIG_ASIGNATURAS!$B$2:$J$61,9,FALSE()),""))</f>
      </c>
    </row>
    <row r="5404">
      <c r="E5404">
        <f>IF(DATOS!$I5404="","",IFERROR(VLOOKUP(DATOS!$I5404,CONFIG_ASIGNATURAS!$B$2:$J$61,9,FALSE()),""))</f>
      </c>
    </row>
    <row r="5405">
      <c r="E5405">
        <f>IF(DATOS!$I5405="","",IFERROR(VLOOKUP(DATOS!$I5405,CONFIG_ASIGNATURAS!$B$2:$J$61,9,FALSE()),""))</f>
      </c>
    </row>
    <row r="5406">
      <c r="E5406">
        <f>IF(DATOS!$I5406="","",IFERROR(VLOOKUP(DATOS!$I5406,CONFIG_ASIGNATURAS!$B$2:$J$61,9,FALSE()),""))</f>
      </c>
    </row>
    <row r="5407">
      <c r="E5407">
        <f>IF(DATOS!$I5407="","",IFERROR(VLOOKUP(DATOS!$I5407,CONFIG_ASIGNATURAS!$B$2:$J$61,9,FALSE()),""))</f>
      </c>
    </row>
    <row r="5408">
      <c r="E5408">
        <f>IF(DATOS!$I5408="","",IFERROR(VLOOKUP(DATOS!$I5408,CONFIG_ASIGNATURAS!$B$2:$J$61,9,FALSE()),""))</f>
      </c>
    </row>
    <row r="5409">
      <c r="E5409">
        <f>IF(DATOS!$I5409="","",IFERROR(VLOOKUP(DATOS!$I5409,CONFIG_ASIGNATURAS!$B$2:$J$61,9,FALSE()),""))</f>
      </c>
    </row>
    <row r="5410">
      <c r="E5410">
        <f>IF(DATOS!$I5410="","",IFERROR(VLOOKUP(DATOS!$I5410,CONFIG_ASIGNATURAS!$B$2:$J$61,9,FALSE()),""))</f>
      </c>
    </row>
    <row r="5411">
      <c r="E5411">
        <f>IF(DATOS!$I5411="","",IFERROR(VLOOKUP(DATOS!$I5411,CONFIG_ASIGNATURAS!$B$2:$J$61,9,FALSE()),""))</f>
      </c>
    </row>
    <row r="5412">
      <c r="E5412">
        <f>IF(DATOS!$I5412="","",IFERROR(VLOOKUP(DATOS!$I5412,CONFIG_ASIGNATURAS!$B$2:$J$61,9,FALSE()),""))</f>
      </c>
    </row>
    <row r="5413">
      <c r="E5413">
        <f>IF(DATOS!$I5413="","",IFERROR(VLOOKUP(DATOS!$I5413,CONFIG_ASIGNATURAS!$B$2:$J$61,9,FALSE()),""))</f>
      </c>
    </row>
    <row r="5414">
      <c r="E5414">
        <f>IF(DATOS!$I5414="","",IFERROR(VLOOKUP(DATOS!$I5414,CONFIG_ASIGNATURAS!$B$2:$J$61,9,FALSE()),""))</f>
      </c>
    </row>
    <row r="5415">
      <c r="E5415">
        <f>IF(DATOS!$I5415="","",IFERROR(VLOOKUP(DATOS!$I5415,CONFIG_ASIGNATURAS!$B$2:$J$61,9,FALSE()),""))</f>
      </c>
    </row>
    <row r="5416">
      <c r="E5416">
        <f>IF(DATOS!$I5416="","",IFERROR(VLOOKUP(DATOS!$I5416,CONFIG_ASIGNATURAS!$B$2:$J$61,9,FALSE()),""))</f>
      </c>
    </row>
    <row r="5417">
      <c r="E5417">
        <f>IF(DATOS!$I5417="","",IFERROR(VLOOKUP(DATOS!$I5417,CONFIG_ASIGNATURAS!$B$2:$J$61,9,FALSE()),""))</f>
      </c>
    </row>
    <row r="5418">
      <c r="E5418">
        <f>IF(DATOS!$I5418="","",IFERROR(VLOOKUP(DATOS!$I5418,CONFIG_ASIGNATURAS!$B$2:$J$61,9,FALSE()),""))</f>
      </c>
    </row>
    <row r="5419">
      <c r="E5419">
        <f>IF(DATOS!$I5419="","",IFERROR(VLOOKUP(DATOS!$I5419,CONFIG_ASIGNATURAS!$B$2:$J$61,9,FALSE()),""))</f>
      </c>
    </row>
    <row r="5420">
      <c r="E5420">
        <f>IF(DATOS!$I5420="","",IFERROR(VLOOKUP(DATOS!$I5420,CONFIG_ASIGNATURAS!$B$2:$J$61,9,FALSE()),""))</f>
      </c>
    </row>
    <row r="5421">
      <c r="E5421">
        <f>IF(DATOS!$I5421="","",IFERROR(VLOOKUP(DATOS!$I5421,CONFIG_ASIGNATURAS!$B$2:$J$61,9,FALSE()),""))</f>
      </c>
    </row>
    <row r="5422">
      <c r="E5422">
        <f>IF(DATOS!$I5422="","",IFERROR(VLOOKUP(DATOS!$I5422,CONFIG_ASIGNATURAS!$B$2:$J$61,9,FALSE()),""))</f>
      </c>
    </row>
    <row r="5423">
      <c r="E5423">
        <f>IF(DATOS!$I5423="","",IFERROR(VLOOKUP(DATOS!$I5423,CONFIG_ASIGNATURAS!$B$2:$J$61,9,FALSE()),""))</f>
      </c>
    </row>
    <row r="5424">
      <c r="E5424">
        <f>IF(DATOS!$I5424="","",IFERROR(VLOOKUP(DATOS!$I5424,CONFIG_ASIGNATURAS!$B$2:$J$61,9,FALSE()),""))</f>
      </c>
    </row>
    <row r="5425">
      <c r="E5425">
        <f>IF(DATOS!$I5425="","",IFERROR(VLOOKUP(DATOS!$I5425,CONFIG_ASIGNATURAS!$B$2:$J$61,9,FALSE()),""))</f>
      </c>
    </row>
    <row r="5426">
      <c r="E5426">
        <f>IF(DATOS!$I5426="","",IFERROR(VLOOKUP(DATOS!$I5426,CONFIG_ASIGNATURAS!$B$2:$J$61,9,FALSE()),""))</f>
      </c>
    </row>
    <row r="5427">
      <c r="E5427">
        <f>IF(DATOS!$I5427="","",IFERROR(VLOOKUP(DATOS!$I5427,CONFIG_ASIGNATURAS!$B$2:$J$61,9,FALSE()),""))</f>
      </c>
    </row>
    <row r="5428">
      <c r="E5428">
        <f>IF(DATOS!$I5428="","",IFERROR(VLOOKUP(DATOS!$I5428,CONFIG_ASIGNATURAS!$B$2:$J$61,9,FALSE()),""))</f>
      </c>
    </row>
    <row r="5429">
      <c r="E5429">
        <f>IF(DATOS!$I5429="","",IFERROR(VLOOKUP(DATOS!$I5429,CONFIG_ASIGNATURAS!$B$2:$J$61,9,FALSE()),""))</f>
      </c>
    </row>
    <row r="5430">
      <c r="E5430">
        <f>IF(DATOS!$I5430="","",IFERROR(VLOOKUP(DATOS!$I5430,CONFIG_ASIGNATURAS!$B$2:$J$61,9,FALSE()),""))</f>
      </c>
    </row>
    <row r="5431">
      <c r="E5431">
        <f>IF(DATOS!$I5431="","",IFERROR(VLOOKUP(DATOS!$I5431,CONFIG_ASIGNATURAS!$B$2:$J$61,9,FALSE()),""))</f>
      </c>
    </row>
    <row r="5432">
      <c r="E5432">
        <f>IF(DATOS!$I5432="","",IFERROR(VLOOKUP(DATOS!$I5432,CONFIG_ASIGNATURAS!$B$2:$J$61,9,FALSE()),""))</f>
      </c>
    </row>
    <row r="5433">
      <c r="E5433">
        <f>IF(DATOS!$I5433="","",IFERROR(VLOOKUP(DATOS!$I5433,CONFIG_ASIGNATURAS!$B$2:$J$61,9,FALSE()),""))</f>
      </c>
    </row>
    <row r="5434">
      <c r="E5434">
        <f>IF(DATOS!$I5434="","",IFERROR(VLOOKUP(DATOS!$I5434,CONFIG_ASIGNATURAS!$B$2:$J$61,9,FALSE()),""))</f>
      </c>
    </row>
    <row r="5435">
      <c r="E5435">
        <f>IF(DATOS!$I5435="","",IFERROR(VLOOKUP(DATOS!$I5435,CONFIG_ASIGNATURAS!$B$2:$J$61,9,FALSE()),""))</f>
      </c>
    </row>
    <row r="5436">
      <c r="E5436">
        <f>IF(DATOS!$I5436="","",IFERROR(VLOOKUP(DATOS!$I5436,CONFIG_ASIGNATURAS!$B$2:$J$61,9,FALSE()),""))</f>
      </c>
    </row>
    <row r="5437">
      <c r="E5437">
        <f>IF(DATOS!$I5437="","",IFERROR(VLOOKUP(DATOS!$I5437,CONFIG_ASIGNATURAS!$B$2:$J$61,9,FALSE()),""))</f>
      </c>
    </row>
    <row r="5438">
      <c r="E5438">
        <f>IF(DATOS!$I5438="","",IFERROR(VLOOKUP(DATOS!$I5438,CONFIG_ASIGNATURAS!$B$2:$J$61,9,FALSE()),""))</f>
      </c>
    </row>
    <row r="5439">
      <c r="E5439">
        <f>IF(DATOS!$I5439="","",IFERROR(VLOOKUP(DATOS!$I5439,CONFIG_ASIGNATURAS!$B$2:$J$61,9,FALSE()),""))</f>
      </c>
    </row>
    <row r="5440">
      <c r="E5440">
        <f>IF(DATOS!$I5440="","",IFERROR(VLOOKUP(DATOS!$I5440,CONFIG_ASIGNATURAS!$B$2:$J$61,9,FALSE()),""))</f>
      </c>
    </row>
    <row r="5441">
      <c r="E5441">
        <f>IF(DATOS!$I5441="","",IFERROR(VLOOKUP(DATOS!$I5441,CONFIG_ASIGNATURAS!$B$2:$J$61,9,FALSE()),""))</f>
      </c>
    </row>
    <row r="5442">
      <c r="E5442">
        <f>IF(DATOS!$I5442="","",IFERROR(VLOOKUP(DATOS!$I5442,CONFIG_ASIGNATURAS!$B$2:$J$61,9,FALSE()),""))</f>
      </c>
    </row>
    <row r="5443">
      <c r="E5443">
        <f>IF(DATOS!$I5443="","",IFERROR(VLOOKUP(DATOS!$I5443,CONFIG_ASIGNATURAS!$B$2:$J$61,9,FALSE()),""))</f>
      </c>
    </row>
    <row r="5444">
      <c r="E5444">
        <f>IF(DATOS!$I5444="","",IFERROR(VLOOKUP(DATOS!$I5444,CONFIG_ASIGNATURAS!$B$2:$J$61,9,FALSE()),""))</f>
      </c>
    </row>
    <row r="5445">
      <c r="E5445">
        <f>IF(DATOS!$I5445="","",IFERROR(VLOOKUP(DATOS!$I5445,CONFIG_ASIGNATURAS!$B$2:$J$61,9,FALSE()),""))</f>
      </c>
    </row>
    <row r="5446">
      <c r="E5446">
        <f>IF(DATOS!$I5446="","",IFERROR(VLOOKUP(DATOS!$I5446,CONFIG_ASIGNATURAS!$B$2:$J$61,9,FALSE()),""))</f>
      </c>
    </row>
    <row r="5447">
      <c r="E5447">
        <f>IF(DATOS!$I5447="","",IFERROR(VLOOKUP(DATOS!$I5447,CONFIG_ASIGNATURAS!$B$2:$J$61,9,FALSE()),""))</f>
      </c>
    </row>
    <row r="5448">
      <c r="E5448">
        <f>IF(DATOS!$I5448="","",IFERROR(VLOOKUP(DATOS!$I5448,CONFIG_ASIGNATURAS!$B$2:$J$61,9,FALSE()),""))</f>
      </c>
    </row>
    <row r="5449">
      <c r="E5449">
        <f>IF(DATOS!$I5449="","",IFERROR(VLOOKUP(DATOS!$I5449,CONFIG_ASIGNATURAS!$B$2:$J$61,9,FALSE()),""))</f>
      </c>
    </row>
    <row r="5450">
      <c r="E5450">
        <f>IF(DATOS!$I5450="","",IFERROR(VLOOKUP(DATOS!$I5450,CONFIG_ASIGNATURAS!$B$2:$J$61,9,FALSE()),""))</f>
      </c>
    </row>
    <row r="5451">
      <c r="E5451">
        <f>IF(DATOS!$I5451="","",IFERROR(VLOOKUP(DATOS!$I5451,CONFIG_ASIGNATURAS!$B$2:$J$61,9,FALSE()),""))</f>
      </c>
    </row>
    <row r="5452">
      <c r="E5452">
        <f>IF(DATOS!$I5452="","",IFERROR(VLOOKUP(DATOS!$I5452,CONFIG_ASIGNATURAS!$B$2:$J$61,9,FALSE()),""))</f>
      </c>
    </row>
    <row r="5453">
      <c r="E5453">
        <f>IF(DATOS!$I5453="","",IFERROR(VLOOKUP(DATOS!$I5453,CONFIG_ASIGNATURAS!$B$2:$J$61,9,FALSE()),""))</f>
      </c>
    </row>
    <row r="5454">
      <c r="E5454">
        <f>IF(DATOS!$I5454="","",IFERROR(VLOOKUP(DATOS!$I5454,CONFIG_ASIGNATURAS!$B$2:$J$61,9,FALSE()),""))</f>
      </c>
    </row>
    <row r="5455">
      <c r="E5455">
        <f>IF(DATOS!$I5455="","",IFERROR(VLOOKUP(DATOS!$I5455,CONFIG_ASIGNATURAS!$B$2:$J$61,9,FALSE()),""))</f>
      </c>
    </row>
    <row r="5456">
      <c r="E5456">
        <f>IF(DATOS!$I5456="","",IFERROR(VLOOKUP(DATOS!$I5456,CONFIG_ASIGNATURAS!$B$2:$J$61,9,FALSE()),""))</f>
      </c>
    </row>
    <row r="5457">
      <c r="E5457">
        <f>IF(DATOS!$I5457="","",IFERROR(VLOOKUP(DATOS!$I5457,CONFIG_ASIGNATURAS!$B$2:$J$61,9,FALSE()),""))</f>
      </c>
    </row>
    <row r="5458">
      <c r="E5458">
        <f>IF(DATOS!$I5458="","",IFERROR(VLOOKUP(DATOS!$I5458,CONFIG_ASIGNATURAS!$B$2:$J$61,9,FALSE()),""))</f>
      </c>
    </row>
    <row r="5459">
      <c r="E5459">
        <f>IF(DATOS!$I5459="","",IFERROR(VLOOKUP(DATOS!$I5459,CONFIG_ASIGNATURAS!$B$2:$J$61,9,FALSE()),""))</f>
      </c>
    </row>
    <row r="5460">
      <c r="E5460">
        <f>IF(DATOS!$I5460="","",IFERROR(VLOOKUP(DATOS!$I5460,CONFIG_ASIGNATURAS!$B$2:$J$61,9,FALSE()),""))</f>
      </c>
    </row>
    <row r="5461">
      <c r="E5461">
        <f>IF(DATOS!$I5461="","",IFERROR(VLOOKUP(DATOS!$I5461,CONFIG_ASIGNATURAS!$B$2:$J$61,9,FALSE()),""))</f>
      </c>
    </row>
    <row r="5462">
      <c r="E5462">
        <f>IF(DATOS!$I5462="","",IFERROR(VLOOKUP(DATOS!$I5462,CONFIG_ASIGNATURAS!$B$2:$J$61,9,FALSE()),""))</f>
      </c>
    </row>
    <row r="5463">
      <c r="E5463">
        <f>IF(DATOS!$I5463="","",IFERROR(VLOOKUP(DATOS!$I5463,CONFIG_ASIGNATURAS!$B$2:$J$61,9,FALSE()),""))</f>
      </c>
    </row>
    <row r="5464">
      <c r="E5464">
        <f>IF(DATOS!$I5464="","",IFERROR(VLOOKUP(DATOS!$I5464,CONFIG_ASIGNATURAS!$B$2:$J$61,9,FALSE()),""))</f>
      </c>
    </row>
    <row r="5465">
      <c r="E5465">
        <f>IF(DATOS!$I5465="","",IFERROR(VLOOKUP(DATOS!$I5465,CONFIG_ASIGNATURAS!$B$2:$J$61,9,FALSE()),""))</f>
      </c>
    </row>
    <row r="5466">
      <c r="E5466">
        <f>IF(DATOS!$I5466="","",IFERROR(VLOOKUP(DATOS!$I5466,CONFIG_ASIGNATURAS!$B$2:$J$61,9,FALSE()),""))</f>
      </c>
    </row>
    <row r="5467">
      <c r="E5467">
        <f>IF(DATOS!$I5467="","",IFERROR(VLOOKUP(DATOS!$I5467,CONFIG_ASIGNATURAS!$B$2:$J$61,9,FALSE()),""))</f>
      </c>
    </row>
    <row r="5468">
      <c r="E5468">
        <f>IF(DATOS!$I5468="","",IFERROR(VLOOKUP(DATOS!$I5468,CONFIG_ASIGNATURAS!$B$2:$J$61,9,FALSE()),""))</f>
      </c>
    </row>
    <row r="5469">
      <c r="E5469">
        <f>IF(DATOS!$I5469="","",IFERROR(VLOOKUP(DATOS!$I5469,CONFIG_ASIGNATURAS!$B$2:$J$61,9,FALSE()),""))</f>
      </c>
    </row>
    <row r="5470">
      <c r="E5470">
        <f>IF(DATOS!$I5470="","",IFERROR(VLOOKUP(DATOS!$I5470,CONFIG_ASIGNATURAS!$B$2:$J$61,9,FALSE()),""))</f>
      </c>
    </row>
    <row r="5471">
      <c r="E5471">
        <f>IF(DATOS!$I5471="","",IFERROR(VLOOKUP(DATOS!$I5471,CONFIG_ASIGNATURAS!$B$2:$J$61,9,FALSE()),""))</f>
      </c>
    </row>
    <row r="5472">
      <c r="E5472">
        <f>IF(DATOS!$I5472="","",IFERROR(VLOOKUP(DATOS!$I5472,CONFIG_ASIGNATURAS!$B$2:$J$61,9,FALSE()),""))</f>
      </c>
    </row>
    <row r="5473">
      <c r="E5473">
        <f>IF(DATOS!$I5473="","",IFERROR(VLOOKUP(DATOS!$I5473,CONFIG_ASIGNATURAS!$B$2:$J$61,9,FALSE()),""))</f>
      </c>
    </row>
    <row r="5474">
      <c r="E5474">
        <f>IF(DATOS!$I5474="","",IFERROR(VLOOKUP(DATOS!$I5474,CONFIG_ASIGNATURAS!$B$2:$J$61,9,FALSE()),""))</f>
      </c>
    </row>
    <row r="5475">
      <c r="E5475">
        <f>IF(DATOS!$I5475="","",IFERROR(VLOOKUP(DATOS!$I5475,CONFIG_ASIGNATURAS!$B$2:$J$61,9,FALSE()),""))</f>
      </c>
    </row>
    <row r="5476">
      <c r="E5476">
        <f>IF(DATOS!$I5476="","",IFERROR(VLOOKUP(DATOS!$I5476,CONFIG_ASIGNATURAS!$B$2:$J$61,9,FALSE()),""))</f>
      </c>
    </row>
    <row r="5477">
      <c r="E5477">
        <f>IF(DATOS!$I5477="","",IFERROR(VLOOKUP(DATOS!$I5477,CONFIG_ASIGNATURAS!$B$2:$J$61,9,FALSE()),""))</f>
      </c>
    </row>
    <row r="5478">
      <c r="E5478">
        <f>IF(DATOS!$I5478="","",IFERROR(VLOOKUP(DATOS!$I5478,CONFIG_ASIGNATURAS!$B$2:$J$61,9,FALSE()),""))</f>
      </c>
    </row>
    <row r="5479">
      <c r="E5479">
        <f>IF(DATOS!$I5479="","",IFERROR(VLOOKUP(DATOS!$I5479,CONFIG_ASIGNATURAS!$B$2:$J$61,9,FALSE()),""))</f>
      </c>
    </row>
    <row r="5480">
      <c r="E5480">
        <f>IF(DATOS!$I5480="","",IFERROR(VLOOKUP(DATOS!$I5480,CONFIG_ASIGNATURAS!$B$2:$J$61,9,FALSE()),""))</f>
      </c>
    </row>
    <row r="5481">
      <c r="E5481">
        <f>IF(DATOS!$I5481="","",IFERROR(VLOOKUP(DATOS!$I5481,CONFIG_ASIGNATURAS!$B$2:$J$61,9,FALSE()),""))</f>
      </c>
    </row>
    <row r="5482">
      <c r="E5482">
        <f>IF(DATOS!$I5482="","",IFERROR(VLOOKUP(DATOS!$I5482,CONFIG_ASIGNATURAS!$B$2:$J$61,9,FALSE()),""))</f>
      </c>
    </row>
    <row r="5483">
      <c r="E5483">
        <f>IF(DATOS!$I5483="","",IFERROR(VLOOKUP(DATOS!$I5483,CONFIG_ASIGNATURAS!$B$2:$J$61,9,FALSE()),""))</f>
      </c>
    </row>
    <row r="5484">
      <c r="E5484">
        <f>IF(DATOS!$I5484="","",IFERROR(VLOOKUP(DATOS!$I5484,CONFIG_ASIGNATURAS!$B$2:$J$61,9,FALSE()),""))</f>
      </c>
    </row>
    <row r="5485">
      <c r="E5485">
        <f>IF(DATOS!$I5485="","",IFERROR(VLOOKUP(DATOS!$I5485,CONFIG_ASIGNATURAS!$B$2:$J$61,9,FALSE()),""))</f>
      </c>
    </row>
    <row r="5486">
      <c r="E5486">
        <f>IF(DATOS!$I5486="","",IFERROR(VLOOKUP(DATOS!$I5486,CONFIG_ASIGNATURAS!$B$2:$J$61,9,FALSE()),""))</f>
      </c>
    </row>
    <row r="5487">
      <c r="E5487">
        <f>IF(DATOS!$I5487="","",IFERROR(VLOOKUP(DATOS!$I5487,CONFIG_ASIGNATURAS!$B$2:$J$61,9,FALSE()),""))</f>
      </c>
    </row>
    <row r="5488">
      <c r="E5488">
        <f>IF(DATOS!$I5488="","",IFERROR(VLOOKUP(DATOS!$I5488,CONFIG_ASIGNATURAS!$B$2:$J$61,9,FALSE()),""))</f>
      </c>
    </row>
    <row r="5489">
      <c r="E5489">
        <f>IF(DATOS!$I5489="","",IFERROR(VLOOKUP(DATOS!$I5489,CONFIG_ASIGNATURAS!$B$2:$J$61,9,FALSE()),""))</f>
      </c>
    </row>
    <row r="5490">
      <c r="E5490">
        <f>IF(DATOS!$I5490="","",IFERROR(VLOOKUP(DATOS!$I5490,CONFIG_ASIGNATURAS!$B$2:$J$61,9,FALSE()),""))</f>
      </c>
    </row>
    <row r="5491">
      <c r="E5491">
        <f>IF(DATOS!$I5491="","",IFERROR(VLOOKUP(DATOS!$I5491,CONFIG_ASIGNATURAS!$B$2:$J$61,9,FALSE()),""))</f>
      </c>
    </row>
    <row r="5492">
      <c r="E5492">
        <f>IF(DATOS!$I5492="","",IFERROR(VLOOKUP(DATOS!$I5492,CONFIG_ASIGNATURAS!$B$2:$J$61,9,FALSE()),""))</f>
      </c>
    </row>
    <row r="5493">
      <c r="E5493">
        <f>IF(DATOS!$I5493="","",IFERROR(VLOOKUP(DATOS!$I5493,CONFIG_ASIGNATURAS!$B$2:$J$61,9,FALSE()),""))</f>
      </c>
    </row>
    <row r="5494">
      <c r="E5494">
        <f>IF(DATOS!$I5494="","",IFERROR(VLOOKUP(DATOS!$I5494,CONFIG_ASIGNATURAS!$B$2:$J$61,9,FALSE()),""))</f>
      </c>
    </row>
    <row r="5495">
      <c r="E5495">
        <f>IF(DATOS!$I5495="","",IFERROR(VLOOKUP(DATOS!$I5495,CONFIG_ASIGNATURAS!$B$2:$J$61,9,FALSE()),""))</f>
      </c>
    </row>
    <row r="5496">
      <c r="E5496">
        <f>IF(DATOS!$I5496="","",IFERROR(VLOOKUP(DATOS!$I5496,CONFIG_ASIGNATURAS!$B$2:$J$61,9,FALSE()),""))</f>
      </c>
    </row>
    <row r="5497">
      <c r="E5497">
        <f>IF(DATOS!$I5497="","",IFERROR(VLOOKUP(DATOS!$I5497,CONFIG_ASIGNATURAS!$B$2:$J$61,9,FALSE()),""))</f>
      </c>
    </row>
    <row r="5498">
      <c r="E5498">
        <f>IF(DATOS!$I5498="","",IFERROR(VLOOKUP(DATOS!$I5498,CONFIG_ASIGNATURAS!$B$2:$J$61,9,FALSE()),""))</f>
      </c>
    </row>
    <row r="5499">
      <c r="E5499">
        <f>IF(DATOS!$I5499="","",IFERROR(VLOOKUP(DATOS!$I5499,CONFIG_ASIGNATURAS!$B$2:$J$61,9,FALSE()),""))</f>
      </c>
    </row>
    <row r="5500">
      <c r="E5500">
        <f>IF(DATOS!$I5500="","",IFERROR(VLOOKUP(DATOS!$I5500,CONFIG_ASIGNATURAS!$B$2:$J$61,9,FALSE()),""))</f>
      </c>
    </row>
    <row r="5501">
      <c r="E5501">
        <f>IF(DATOS!$I5501="","",IFERROR(VLOOKUP(DATOS!$I5501,CONFIG_ASIGNATURAS!$B$2:$J$61,9,FALSE()),""))</f>
      </c>
    </row>
    <row r="5502">
      <c r="E5502">
        <f>IF(DATOS!$I5502="","",IFERROR(VLOOKUP(DATOS!$I5502,CONFIG_ASIGNATURAS!$B$2:$J$61,9,FALSE()),""))</f>
      </c>
    </row>
    <row r="5503">
      <c r="E5503">
        <f>IF(DATOS!$I5503="","",IFERROR(VLOOKUP(DATOS!$I5503,CONFIG_ASIGNATURAS!$B$2:$J$61,9,FALSE()),""))</f>
      </c>
    </row>
    <row r="5504">
      <c r="E5504">
        <f>IF(DATOS!$I5504="","",IFERROR(VLOOKUP(DATOS!$I5504,CONFIG_ASIGNATURAS!$B$2:$J$61,9,FALSE()),""))</f>
      </c>
    </row>
    <row r="5505">
      <c r="E5505">
        <f>IF(DATOS!$I5505="","",IFERROR(VLOOKUP(DATOS!$I5505,CONFIG_ASIGNATURAS!$B$2:$J$61,9,FALSE()),""))</f>
      </c>
    </row>
    <row r="5506">
      <c r="E5506">
        <f>IF(DATOS!$I5506="","",IFERROR(VLOOKUP(DATOS!$I5506,CONFIG_ASIGNATURAS!$B$2:$J$61,9,FALSE()),""))</f>
      </c>
    </row>
    <row r="5507">
      <c r="E5507">
        <f>IF(DATOS!$I5507="","",IFERROR(VLOOKUP(DATOS!$I5507,CONFIG_ASIGNATURAS!$B$2:$J$61,9,FALSE()),""))</f>
      </c>
    </row>
    <row r="5508">
      <c r="E5508">
        <f>IF(DATOS!$I5508="","",IFERROR(VLOOKUP(DATOS!$I5508,CONFIG_ASIGNATURAS!$B$2:$J$61,9,FALSE()),""))</f>
      </c>
    </row>
    <row r="5509">
      <c r="E5509">
        <f>IF(DATOS!$I5509="","",IFERROR(VLOOKUP(DATOS!$I5509,CONFIG_ASIGNATURAS!$B$2:$J$61,9,FALSE()),""))</f>
      </c>
    </row>
    <row r="5510">
      <c r="E5510">
        <f>IF(DATOS!$I5510="","",IFERROR(VLOOKUP(DATOS!$I5510,CONFIG_ASIGNATURAS!$B$2:$J$61,9,FALSE()),""))</f>
      </c>
    </row>
    <row r="5511">
      <c r="E5511">
        <f>IF(DATOS!$I5511="","",IFERROR(VLOOKUP(DATOS!$I5511,CONFIG_ASIGNATURAS!$B$2:$J$61,9,FALSE()),""))</f>
      </c>
    </row>
    <row r="5512">
      <c r="E5512">
        <f>IF(DATOS!$I5512="","",IFERROR(VLOOKUP(DATOS!$I5512,CONFIG_ASIGNATURAS!$B$2:$J$61,9,FALSE()),""))</f>
      </c>
    </row>
    <row r="5513">
      <c r="E5513">
        <f>IF(DATOS!$I5513="","",IFERROR(VLOOKUP(DATOS!$I5513,CONFIG_ASIGNATURAS!$B$2:$J$61,9,FALSE()),""))</f>
      </c>
    </row>
    <row r="5514">
      <c r="E5514">
        <f>IF(DATOS!$I5514="","",IFERROR(VLOOKUP(DATOS!$I5514,CONFIG_ASIGNATURAS!$B$2:$J$61,9,FALSE()),""))</f>
      </c>
    </row>
    <row r="5515">
      <c r="E5515">
        <f>IF(DATOS!$I5515="","",IFERROR(VLOOKUP(DATOS!$I5515,CONFIG_ASIGNATURAS!$B$2:$J$61,9,FALSE()),""))</f>
      </c>
    </row>
    <row r="5516">
      <c r="E5516">
        <f>IF(DATOS!$I5516="","",IFERROR(VLOOKUP(DATOS!$I5516,CONFIG_ASIGNATURAS!$B$2:$J$61,9,FALSE()),""))</f>
      </c>
    </row>
    <row r="5517">
      <c r="E5517">
        <f>IF(DATOS!$I5517="","",IFERROR(VLOOKUP(DATOS!$I5517,CONFIG_ASIGNATURAS!$B$2:$J$61,9,FALSE()),""))</f>
      </c>
    </row>
    <row r="5518">
      <c r="E5518">
        <f>IF(DATOS!$I5518="","",IFERROR(VLOOKUP(DATOS!$I5518,CONFIG_ASIGNATURAS!$B$2:$J$61,9,FALSE()),""))</f>
      </c>
    </row>
    <row r="5519">
      <c r="E5519">
        <f>IF(DATOS!$I5519="","",IFERROR(VLOOKUP(DATOS!$I5519,CONFIG_ASIGNATURAS!$B$2:$J$61,9,FALSE()),""))</f>
      </c>
    </row>
    <row r="5520">
      <c r="E5520">
        <f>IF(DATOS!$I5520="","",IFERROR(VLOOKUP(DATOS!$I5520,CONFIG_ASIGNATURAS!$B$2:$J$61,9,FALSE()),""))</f>
      </c>
    </row>
    <row r="5521">
      <c r="E5521">
        <f>IF(DATOS!$I5521="","",IFERROR(VLOOKUP(DATOS!$I5521,CONFIG_ASIGNATURAS!$B$2:$J$61,9,FALSE()),""))</f>
      </c>
    </row>
    <row r="5522">
      <c r="E5522">
        <f>IF(DATOS!$I5522="","",IFERROR(VLOOKUP(DATOS!$I5522,CONFIG_ASIGNATURAS!$B$2:$J$61,9,FALSE()),""))</f>
      </c>
    </row>
    <row r="5523">
      <c r="E5523">
        <f>IF(DATOS!$I5523="","",IFERROR(VLOOKUP(DATOS!$I5523,CONFIG_ASIGNATURAS!$B$2:$J$61,9,FALSE()),""))</f>
      </c>
    </row>
    <row r="5524">
      <c r="E5524">
        <f>IF(DATOS!$I5524="","",IFERROR(VLOOKUP(DATOS!$I5524,CONFIG_ASIGNATURAS!$B$2:$J$61,9,FALSE()),""))</f>
      </c>
    </row>
    <row r="5525">
      <c r="E5525">
        <f>IF(DATOS!$I5525="","",IFERROR(VLOOKUP(DATOS!$I5525,CONFIG_ASIGNATURAS!$B$2:$J$61,9,FALSE()),""))</f>
      </c>
    </row>
    <row r="5526">
      <c r="E5526">
        <f>IF(DATOS!$I5526="","",IFERROR(VLOOKUP(DATOS!$I5526,CONFIG_ASIGNATURAS!$B$2:$J$61,9,FALSE()),""))</f>
      </c>
    </row>
    <row r="5527">
      <c r="E5527">
        <f>IF(DATOS!$I5527="","",IFERROR(VLOOKUP(DATOS!$I5527,CONFIG_ASIGNATURAS!$B$2:$J$61,9,FALSE()),""))</f>
      </c>
    </row>
    <row r="5528">
      <c r="E5528">
        <f>IF(DATOS!$I5528="","",IFERROR(VLOOKUP(DATOS!$I5528,CONFIG_ASIGNATURAS!$B$2:$J$61,9,FALSE()),""))</f>
      </c>
    </row>
    <row r="5529">
      <c r="E5529">
        <f>IF(DATOS!$I5529="","",IFERROR(VLOOKUP(DATOS!$I5529,CONFIG_ASIGNATURAS!$B$2:$J$61,9,FALSE()),""))</f>
      </c>
    </row>
    <row r="5530">
      <c r="E5530">
        <f>IF(DATOS!$I5530="","",IFERROR(VLOOKUP(DATOS!$I5530,CONFIG_ASIGNATURAS!$B$2:$J$61,9,FALSE()),""))</f>
      </c>
    </row>
    <row r="5531">
      <c r="E5531">
        <f>IF(DATOS!$I5531="","",IFERROR(VLOOKUP(DATOS!$I5531,CONFIG_ASIGNATURAS!$B$2:$J$61,9,FALSE()),""))</f>
      </c>
    </row>
    <row r="5532">
      <c r="E5532">
        <f>IF(DATOS!$I5532="","",IFERROR(VLOOKUP(DATOS!$I5532,CONFIG_ASIGNATURAS!$B$2:$J$61,9,FALSE()),""))</f>
      </c>
    </row>
    <row r="5533">
      <c r="E5533">
        <f>IF(DATOS!$I5533="","",IFERROR(VLOOKUP(DATOS!$I5533,CONFIG_ASIGNATURAS!$B$2:$J$61,9,FALSE()),""))</f>
      </c>
    </row>
    <row r="5534">
      <c r="E5534">
        <f>IF(DATOS!$I5534="","",IFERROR(VLOOKUP(DATOS!$I5534,CONFIG_ASIGNATURAS!$B$2:$J$61,9,FALSE()),""))</f>
      </c>
    </row>
    <row r="5535">
      <c r="E5535">
        <f>IF(DATOS!$I5535="","",IFERROR(VLOOKUP(DATOS!$I5535,CONFIG_ASIGNATURAS!$B$2:$J$61,9,FALSE()),""))</f>
      </c>
    </row>
    <row r="5536">
      <c r="E5536">
        <f>IF(DATOS!$I5536="","",IFERROR(VLOOKUP(DATOS!$I5536,CONFIG_ASIGNATURAS!$B$2:$J$61,9,FALSE()),""))</f>
      </c>
    </row>
    <row r="5537">
      <c r="E5537">
        <f>IF(DATOS!$I5537="","",IFERROR(VLOOKUP(DATOS!$I5537,CONFIG_ASIGNATURAS!$B$2:$J$61,9,FALSE()),""))</f>
      </c>
    </row>
    <row r="5538">
      <c r="E5538">
        <f>IF(DATOS!$I5538="","",IFERROR(VLOOKUP(DATOS!$I5538,CONFIG_ASIGNATURAS!$B$2:$J$61,9,FALSE()),""))</f>
      </c>
    </row>
    <row r="5539">
      <c r="E5539">
        <f>IF(DATOS!$I5539="","",IFERROR(VLOOKUP(DATOS!$I5539,CONFIG_ASIGNATURAS!$B$2:$J$61,9,FALSE()),""))</f>
      </c>
    </row>
    <row r="5540">
      <c r="E5540">
        <f>IF(DATOS!$I5540="","",IFERROR(VLOOKUP(DATOS!$I5540,CONFIG_ASIGNATURAS!$B$2:$J$61,9,FALSE()),""))</f>
      </c>
    </row>
    <row r="5541">
      <c r="E5541">
        <f>IF(DATOS!$I5541="","",IFERROR(VLOOKUP(DATOS!$I5541,CONFIG_ASIGNATURAS!$B$2:$J$61,9,FALSE()),""))</f>
      </c>
    </row>
    <row r="5542">
      <c r="E5542">
        <f>IF(DATOS!$I5542="","",IFERROR(VLOOKUP(DATOS!$I5542,CONFIG_ASIGNATURAS!$B$2:$J$61,9,FALSE()),""))</f>
      </c>
    </row>
    <row r="5543">
      <c r="E5543">
        <f>IF(DATOS!$I5543="","",IFERROR(VLOOKUP(DATOS!$I5543,CONFIG_ASIGNATURAS!$B$2:$J$61,9,FALSE()),""))</f>
      </c>
    </row>
    <row r="5544">
      <c r="E5544">
        <f>IF(DATOS!$I5544="","",IFERROR(VLOOKUP(DATOS!$I5544,CONFIG_ASIGNATURAS!$B$2:$J$61,9,FALSE()),""))</f>
      </c>
    </row>
    <row r="5545">
      <c r="E5545">
        <f>IF(DATOS!$I5545="","",IFERROR(VLOOKUP(DATOS!$I5545,CONFIG_ASIGNATURAS!$B$2:$J$61,9,FALSE()),""))</f>
      </c>
    </row>
    <row r="5546">
      <c r="E5546">
        <f>IF(DATOS!$I5546="","",IFERROR(VLOOKUP(DATOS!$I5546,CONFIG_ASIGNATURAS!$B$2:$J$61,9,FALSE()),""))</f>
      </c>
    </row>
    <row r="5547">
      <c r="E5547">
        <f>IF(DATOS!$I5547="","",IFERROR(VLOOKUP(DATOS!$I5547,CONFIG_ASIGNATURAS!$B$2:$J$61,9,FALSE()),""))</f>
      </c>
    </row>
    <row r="5548">
      <c r="E5548">
        <f>IF(DATOS!$I5548="","",IFERROR(VLOOKUP(DATOS!$I5548,CONFIG_ASIGNATURAS!$B$2:$J$61,9,FALSE()),""))</f>
      </c>
    </row>
    <row r="5549">
      <c r="E5549">
        <f>IF(DATOS!$I5549="","",IFERROR(VLOOKUP(DATOS!$I5549,CONFIG_ASIGNATURAS!$B$2:$J$61,9,FALSE()),""))</f>
      </c>
    </row>
    <row r="5550">
      <c r="E5550">
        <f>IF(DATOS!$I5550="","",IFERROR(VLOOKUP(DATOS!$I5550,CONFIG_ASIGNATURAS!$B$2:$J$61,9,FALSE()),""))</f>
      </c>
    </row>
    <row r="5551">
      <c r="E5551">
        <f>IF(DATOS!$I5551="","",IFERROR(VLOOKUP(DATOS!$I5551,CONFIG_ASIGNATURAS!$B$2:$J$61,9,FALSE()),""))</f>
      </c>
    </row>
    <row r="5552">
      <c r="E5552">
        <f>IF(DATOS!$I5552="","",IFERROR(VLOOKUP(DATOS!$I5552,CONFIG_ASIGNATURAS!$B$2:$J$61,9,FALSE()),""))</f>
      </c>
    </row>
    <row r="5553">
      <c r="E5553">
        <f>IF(DATOS!$I5553="","",IFERROR(VLOOKUP(DATOS!$I5553,CONFIG_ASIGNATURAS!$B$2:$J$61,9,FALSE()),""))</f>
      </c>
    </row>
    <row r="5554">
      <c r="E5554">
        <f>IF(DATOS!$I5554="","",IFERROR(VLOOKUP(DATOS!$I5554,CONFIG_ASIGNATURAS!$B$2:$J$61,9,FALSE()),""))</f>
      </c>
    </row>
    <row r="5555">
      <c r="E5555">
        <f>IF(DATOS!$I5555="","",IFERROR(VLOOKUP(DATOS!$I5555,CONFIG_ASIGNATURAS!$B$2:$J$61,9,FALSE()),""))</f>
      </c>
    </row>
    <row r="5556">
      <c r="E5556">
        <f>IF(DATOS!$I5556="","",IFERROR(VLOOKUP(DATOS!$I5556,CONFIG_ASIGNATURAS!$B$2:$J$61,9,FALSE()),""))</f>
      </c>
    </row>
    <row r="5557">
      <c r="E5557">
        <f>IF(DATOS!$I5557="","",IFERROR(VLOOKUP(DATOS!$I5557,CONFIG_ASIGNATURAS!$B$2:$J$61,9,FALSE()),""))</f>
      </c>
    </row>
    <row r="5558">
      <c r="E5558">
        <f>IF(DATOS!$I5558="","",IFERROR(VLOOKUP(DATOS!$I5558,CONFIG_ASIGNATURAS!$B$2:$J$61,9,FALSE()),""))</f>
      </c>
    </row>
    <row r="5559">
      <c r="E5559">
        <f>IF(DATOS!$I5559="","",IFERROR(VLOOKUP(DATOS!$I5559,CONFIG_ASIGNATURAS!$B$2:$J$61,9,FALSE()),""))</f>
      </c>
    </row>
    <row r="5560">
      <c r="E5560">
        <f>IF(DATOS!$I5560="","",IFERROR(VLOOKUP(DATOS!$I5560,CONFIG_ASIGNATURAS!$B$2:$J$61,9,FALSE()),""))</f>
      </c>
    </row>
    <row r="5561">
      <c r="E5561">
        <f>IF(DATOS!$I5561="","",IFERROR(VLOOKUP(DATOS!$I5561,CONFIG_ASIGNATURAS!$B$2:$J$61,9,FALSE()),""))</f>
      </c>
    </row>
    <row r="5562">
      <c r="E5562">
        <f>IF(DATOS!$I5562="","",IFERROR(VLOOKUP(DATOS!$I5562,CONFIG_ASIGNATURAS!$B$2:$J$61,9,FALSE()),""))</f>
      </c>
    </row>
    <row r="5563">
      <c r="E5563">
        <f>IF(DATOS!$I5563="","",IFERROR(VLOOKUP(DATOS!$I5563,CONFIG_ASIGNATURAS!$B$2:$J$61,9,FALSE()),""))</f>
      </c>
    </row>
    <row r="5564">
      <c r="E5564">
        <f>IF(DATOS!$I5564="","",IFERROR(VLOOKUP(DATOS!$I5564,CONFIG_ASIGNATURAS!$B$2:$J$61,9,FALSE()),""))</f>
      </c>
    </row>
    <row r="5565">
      <c r="E5565">
        <f>IF(DATOS!$I5565="","",IFERROR(VLOOKUP(DATOS!$I5565,CONFIG_ASIGNATURAS!$B$2:$J$61,9,FALSE()),""))</f>
      </c>
    </row>
    <row r="5566">
      <c r="E5566">
        <f>IF(DATOS!$I5566="","",IFERROR(VLOOKUP(DATOS!$I5566,CONFIG_ASIGNATURAS!$B$2:$J$61,9,FALSE()),""))</f>
      </c>
    </row>
    <row r="5567">
      <c r="E5567">
        <f>IF(DATOS!$I5567="","",IFERROR(VLOOKUP(DATOS!$I5567,CONFIG_ASIGNATURAS!$B$2:$J$61,9,FALSE()),""))</f>
      </c>
    </row>
    <row r="5568">
      <c r="E5568">
        <f>IF(DATOS!$I5568="","",IFERROR(VLOOKUP(DATOS!$I5568,CONFIG_ASIGNATURAS!$B$2:$J$61,9,FALSE()),""))</f>
      </c>
    </row>
    <row r="5569">
      <c r="E5569">
        <f>IF(DATOS!$I5569="","",IFERROR(VLOOKUP(DATOS!$I5569,CONFIG_ASIGNATURAS!$B$2:$J$61,9,FALSE()),""))</f>
      </c>
    </row>
    <row r="5570">
      <c r="E5570">
        <f>IF(DATOS!$I5570="","",IFERROR(VLOOKUP(DATOS!$I5570,CONFIG_ASIGNATURAS!$B$2:$J$61,9,FALSE()),""))</f>
      </c>
    </row>
    <row r="5571">
      <c r="E5571">
        <f>IF(DATOS!$I5571="","",IFERROR(VLOOKUP(DATOS!$I5571,CONFIG_ASIGNATURAS!$B$2:$J$61,9,FALSE()),""))</f>
      </c>
    </row>
    <row r="5572">
      <c r="E5572">
        <f>IF(DATOS!$I5572="","",IFERROR(VLOOKUP(DATOS!$I5572,CONFIG_ASIGNATURAS!$B$2:$J$61,9,FALSE()),""))</f>
      </c>
    </row>
    <row r="5573">
      <c r="E5573">
        <f>IF(DATOS!$I5573="","",IFERROR(VLOOKUP(DATOS!$I5573,CONFIG_ASIGNATURAS!$B$2:$J$61,9,FALSE()),""))</f>
      </c>
    </row>
    <row r="5574">
      <c r="E5574">
        <f>IF(DATOS!$I5574="","",IFERROR(VLOOKUP(DATOS!$I5574,CONFIG_ASIGNATURAS!$B$2:$J$61,9,FALSE()),""))</f>
      </c>
    </row>
    <row r="5575">
      <c r="E5575">
        <f>IF(DATOS!$I5575="","",IFERROR(VLOOKUP(DATOS!$I5575,CONFIG_ASIGNATURAS!$B$2:$J$61,9,FALSE()),""))</f>
      </c>
    </row>
    <row r="5576">
      <c r="E5576">
        <f>IF(DATOS!$I5576="","",IFERROR(VLOOKUP(DATOS!$I5576,CONFIG_ASIGNATURAS!$B$2:$J$61,9,FALSE()),""))</f>
      </c>
    </row>
    <row r="5577">
      <c r="E5577">
        <f>IF(DATOS!$I5577="","",IFERROR(VLOOKUP(DATOS!$I5577,CONFIG_ASIGNATURAS!$B$2:$J$61,9,FALSE()),""))</f>
      </c>
    </row>
    <row r="5578">
      <c r="E5578">
        <f>IF(DATOS!$I5578="","",IFERROR(VLOOKUP(DATOS!$I5578,CONFIG_ASIGNATURAS!$B$2:$J$61,9,FALSE()),""))</f>
      </c>
    </row>
    <row r="5579">
      <c r="E5579">
        <f>IF(DATOS!$I5579="","",IFERROR(VLOOKUP(DATOS!$I5579,CONFIG_ASIGNATURAS!$B$2:$J$61,9,FALSE()),""))</f>
      </c>
    </row>
    <row r="5580">
      <c r="E5580">
        <f>IF(DATOS!$I5580="","",IFERROR(VLOOKUP(DATOS!$I5580,CONFIG_ASIGNATURAS!$B$2:$J$61,9,FALSE()),""))</f>
      </c>
    </row>
    <row r="5581">
      <c r="E5581">
        <f>IF(DATOS!$I5581="","",IFERROR(VLOOKUP(DATOS!$I5581,CONFIG_ASIGNATURAS!$B$2:$J$61,9,FALSE()),""))</f>
      </c>
    </row>
    <row r="5582">
      <c r="E5582">
        <f>IF(DATOS!$I5582="","",IFERROR(VLOOKUP(DATOS!$I5582,CONFIG_ASIGNATURAS!$B$2:$J$61,9,FALSE()),""))</f>
      </c>
    </row>
    <row r="5583">
      <c r="E5583">
        <f>IF(DATOS!$I5583="","",IFERROR(VLOOKUP(DATOS!$I5583,CONFIG_ASIGNATURAS!$B$2:$J$61,9,FALSE()),""))</f>
      </c>
    </row>
    <row r="5584">
      <c r="E5584">
        <f>IF(DATOS!$I5584="","",IFERROR(VLOOKUP(DATOS!$I5584,CONFIG_ASIGNATURAS!$B$2:$J$61,9,FALSE()),""))</f>
      </c>
    </row>
    <row r="5585">
      <c r="E5585">
        <f>IF(DATOS!$I5585="","",IFERROR(VLOOKUP(DATOS!$I5585,CONFIG_ASIGNATURAS!$B$2:$J$61,9,FALSE()),""))</f>
      </c>
    </row>
    <row r="5586">
      <c r="E5586">
        <f>IF(DATOS!$I5586="","",IFERROR(VLOOKUP(DATOS!$I5586,CONFIG_ASIGNATURAS!$B$2:$J$61,9,FALSE()),""))</f>
      </c>
    </row>
    <row r="5587">
      <c r="E5587">
        <f>IF(DATOS!$I5587="","",IFERROR(VLOOKUP(DATOS!$I5587,CONFIG_ASIGNATURAS!$B$2:$J$61,9,FALSE()),""))</f>
      </c>
    </row>
    <row r="5588">
      <c r="E5588">
        <f>IF(DATOS!$I5588="","",IFERROR(VLOOKUP(DATOS!$I5588,CONFIG_ASIGNATURAS!$B$2:$J$61,9,FALSE()),""))</f>
      </c>
    </row>
    <row r="5589">
      <c r="E5589">
        <f>IF(DATOS!$I5589="","",IFERROR(VLOOKUP(DATOS!$I5589,CONFIG_ASIGNATURAS!$B$2:$J$61,9,FALSE()),""))</f>
      </c>
    </row>
    <row r="5590">
      <c r="E5590">
        <f>IF(DATOS!$I5590="","",IFERROR(VLOOKUP(DATOS!$I5590,CONFIG_ASIGNATURAS!$B$2:$J$61,9,FALSE()),""))</f>
      </c>
    </row>
    <row r="5591">
      <c r="E5591">
        <f>IF(DATOS!$I5591="","",IFERROR(VLOOKUP(DATOS!$I5591,CONFIG_ASIGNATURAS!$B$2:$J$61,9,FALSE()),""))</f>
      </c>
    </row>
    <row r="5592">
      <c r="E5592">
        <f>IF(DATOS!$I5592="","",IFERROR(VLOOKUP(DATOS!$I5592,CONFIG_ASIGNATURAS!$B$2:$J$61,9,FALSE()),""))</f>
      </c>
    </row>
    <row r="5593">
      <c r="E5593">
        <f>IF(DATOS!$I5593="","",IFERROR(VLOOKUP(DATOS!$I5593,CONFIG_ASIGNATURAS!$B$2:$J$61,9,FALSE()),""))</f>
      </c>
    </row>
    <row r="5594">
      <c r="E5594">
        <f>IF(DATOS!$I5594="","",IFERROR(VLOOKUP(DATOS!$I5594,CONFIG_ASIGNATURAS!$B$2:$J$61,9,FALSE()),""))</f>
      </c>
    </row>
    <row r="5595">
      <c r="E5595">
        <f>IF(DATOS!$I5595="","",IFERROR(VLOOKUP(DATOS!$I5595,CONFIG_ASIGNATURAS!$B$2:$J$61,9,FALSE()),""))</f>
      </c>
    </row>
    <row r="5596">
      <c r="E5596">
        <f>IF(DATOS!$I5596="","",IFERROR(VLOOKUP(DATOS!$I5596,CONFIG_ASIGNATURAS!$B$2:$J$61,9,FALSE()),""))</f>
      </c>
    </row>
    <row r="5597">
      <c r="E5597">
        <f>IF(DATOS!$I5597="","",IFERROR(VLOOKUP(DATOS!$I5597,CONFIG_ASIGNATURAS!$B$2:$J$61,9,FALSE()),""))</f>
      </c>
    </row>
    <row r="5598">
      <c r="E5598">
        <f>IF(DATOS!$I5598="","",IFERROR(VLOOKUP(DATOS!$I5598,CONFIG_ASIGNATURAS!$B$2:$J$61,9,FALSE()),""))</f>
      </c>
    </row>
    <row r="5599">
      <c r="E5599">
        <f>IF(DATOS!$I5599="","",IFERROR(VLOOKUP(DATOS!$I5599,CONFIG_ASIGNATURAS!$B$2:$J$61,9,FALSE()),""))</f>
      </c>
    </row>
    <row r="5600">
      <c r="E5600">
        <f>IF(DATOS!$I5600="","",IFERROR(VLOOKUP(DATOS!$I5600,CONFIG_ASIGNATURAS!$B$2:$J$61,9,FALSE()),""))</f>
      </c>
    </row>
    <row r="5601">
      <c r="E5601">
        <f>IF(DATOS!$I5601="","",IFERROR(VLOOKUP(DATOS!$I5601,CONFIG_ASIGNATURAS!$B$2:$J$61,9,FALSE()),""))</f>
      </c>
    </row>
    <row r="5602">
      <c r="E5602">
        <f>IF(DATOS!$I5602="","",IFERROR(VLOOKUP(DATOS!$I5602,CONFIG_ASIGNATURAS!$B$2:$J$61,9,FALSE()),""))</f>
      </c>
    </row>
    <row r="5603">
      <c r="E5603">
        <f>IF(DATOS!$I5603="","",IFERROR(VLOOKUP(DATOS!$I5603,CONFIG_ASIGNATURAS!$B$2:$J$61,9,FALSE()),""))</f>
      </c>
    </row>
    <row r="5604">
      <c r="E5604">
        <f>IF(DATOS!$I5604="","",IFERROR(VLOOKUP(DATOS!$I5604,CONFIG_ASIGNATURAS!$B$2:$J$61,9,FALSE()),""))</f>
      </c>
    </row>
    <row r="5605">
      <c r="E5605">
        <f>IF(DATOS!$I5605="","",IFERROR(VLOOKUP(DATOS!$I5605,CONFIG_ASIGNATURAS!$B$2:$J$61,9,FALSE()),""))</f>
      </c>
    </row>
    <row r="5606">
      <c r="E5606">
        <f>IF(DATOS!$I5606="","",IFERROR(VLOOKUP(DATOS!$I5606,CONFIG_ASIGNATURAS!$B$2:$J$61,9,FALSE()),""))</f>
      </c>
    </row>
    <row r="5607">
      <c r="E5607">
        <f>IF(DATOS!$I5607="","",IFERROR(VLOOKUP(DATOS!$I5607,CONFIG_ASIGNATURAS!$B$2:$J$61,9,FALSE()),""))</f>
      </c>
    </row>
    <row r="5608">
      <c r="E5608">
        <f>IF(DATOS!$I5608="","",IFERROR(VLOOKUP(DATOS!$I5608,CONFIG_ASIGNATURAS!$B$2:$J$61,9,FALSE()),""))</f>
      </c>
    </row>
    <row r="5609">
      <c r="E5609">
        <f>IF(DATOS!$I5609="","",IFERROR(VLOOKUP(DATOS!$I5609,CONFIG_ASIGNATURAS!$B$2:$J$61,9,FALSE()),""))</f>
      </c>
    </row>
    <row r="5610">
      <c r="E5610">
        <f>IF(DATOS!$I5610="","",IFERROR(VLOOKUP(DATOS!$I5610,CONFIG_ASIGNATURAS!$B$2:$J$61,9,FALSE()),""))</f>
      </c>
    </row>
    <row r="5611">
      <c r="E5611">
        <f>IF(DATOS!$I5611="","",IFERROR(VLOOKUP(DATOS!$I5611,CONFIG_ASIGNATURAS!$B$2:$J$61,9,FALSE()),""))</f>
      </c>
    </row>
    <row r="5612">
      <c r="E5612">
        <f>IF(DATOS!$I5612="","",IFERROR(VLOOKUP(DATOS!$I5612,CONFIG_ASIGNATURAS!$B$2:$J$61,9,FALSE()),""))</f>
      </c>
    </row>
    <row r="5613">
      <c r="E5613">
        <f>IF(DATOS!$I5613="","",IFERROR(VLOOKUP(DATOS!$I5613,CONFIG_ASIGNATURAS!$B$2:$J$61,9,FALSE()),""))</f>
      </c>
    </row>
    <row r="5614">
      <c r="E5614">
        <f>IF(DATOS!$I5614="","",IFERROR(VLOOKUP(DATOS!$I5614,CONFIG_ASIGNATURAS!$B$2:$J$61,9,FALSE()),""))</f>
      </c>
    </row>
    <row r="5615">
      <c r="E5615">
        <f>IF(DATOS!$I5615="","",IFERROR(VLOOKUP(DATOS!$I5615,CONFIG_ASIGNATURAS!$B$2:$J$61,9,FALSE()),""))</f>
      </c>
    </row>
    <row r="5616">
      <c r="E5616">
        <f>IF(DATOS!$I5616="","",IFERROR(VLOOKUP(DATOS!$I5616,CONFIG_ASIGNATURAS!$B$2:$J$61,9,FALSE()),""))</f>
      </c>
    </row>
    <row r="5617">
      <c r="E5617">
        <f>IF(DATOS!$I5617="","",IFERROR(VLOOKUP(DATOS!$I5617,CONFIG_ASIGNATURAS!$B$2:$J$61,9,FALSE()),""))</f>
      </c>
    </row>
    <row r="5618">
      <c r="E5618">
        <f>IF(DATOS!$I5618="","",IFERROR(VLOOKUP(DATOS!$I5618,CONFIG_ASIGNATURAS!$B$2:$J$61,9,FALSE()),""))</f>
      </c>
    </row>
    <row r="5619">
      <c r="E5619">
        <f>IF(DATOS!$I5619="","",IFERROR(VLOOKUP(DATOS!$I5619,CONFIG_ASIGNATURAS!$B$2:$J$61,9,FALSE()),""))</f>
      </c>
    </row>
    <row r="5620">
      <c r="E5620">
        <f>IF(DATOS!$I5620="","",IFERROR(VLOOKUP(DATOS!$I5620,CONFIG_ASIGNATURAS!$B$2:$J$61,9,FALSE()),""))</f>
      </c>
    </row>
    <row r="5621">
      <c r="E5621">
        <f>IF(DATOS!$I5621="","",IFERROR(VLOOKUP(DATOS!$I5621,CONFIG_ASIGNATURAS!$B$2:$J$61,9,FALSE()),""))</f>
      </c>
    </row>
    <row r="5622">
      <c r="E5622">
        <f>IF(DATOS!$I5622="","",IFERROR(VLOOKUP(DATOS!$I5622,CONFIG_ASIGNATURAS!$B$2:$J$61,9,FALSE()),""))</f>
      </c>
    </row>
    <row r="5623">
      <c r="E5623">
        <f>IF(DATOS!$I5623="","",IFERROR(VLOOKUP(DATOS!$I5623,CONFIG_ASIGNATURAS!$B$2:$J$61,9,FALSE()),""))</f>
      </c>
    </row>
    <row r="5624">
      <c r="E5624">
        <f>IF(DATOS!$I5624="","",IFERROR(VLOOKUP(DATOS!$I5624,CONFIG_ASIGNATURAS!$B$2:$J$61,9,FALSE()),""))</f>
      </c>
    </row>
    <row r="5625">
      <c r="E5625">
        <f>IF(DATOS!$I5625="","",IFERROR(VLOOKUP(DATOS!$I5625,CONFIG_ASIGNATURAS!$B$2:$J$61,9,FALSE()),""))</f>
      </c>
    </row>
    <row r="5626">
      <c r="E5626">
        <f>IF(DATOS!$I5626="","",IFERROR(VLOOKUP(DATOS!$I5626,CONFIG_ASIGNATURAS!$B$2:$J$61,9,FALSE()),""))</f>
      </c>
    </row>
    <row r="5627">
      <c r="E5627">
        <f>IF(DATOS!$I5627="","",IFERROR(VLOOKUP(DATOS!$I5627,CONFIG_ASIGNATURAS!$B$2:$J$61,9,FALSE()),""))</f>
      </c>
    </row>
    <row r="5628">
      <c r="E5628">
        <f>IF(DATOS!$I5628="","",IFERROR(VLOOKUP(DATOS!$I5628,CONFIG_ASIGNATURAS!$B$2:$J$61,9,FALSE()),""))</f>
      </c>
    </row>
    <row r="5629">
      <c r="E5629">
        <f>IF(DATOS!$I5629="","",IFERROR(VLOOKUP(DATOS!$I5629,CONFIG_ASIGNATURAS!$B$2:$J$61,9,FALSE()),""))</f>
      </c>
    </row>
    <row r="5630">
      <c r="E5630">
        <f>IF(DATOS!$I5630="","",IFERROR(VLOOKUP(DATOS!$I5630,CONFIG_ASIGNATURAS!$B$2:$J$61,9,FALSE()),""))</f>
      </c>
    </row>
    <row r="5631">
      <c r="E5631">
        <f>IF(DATOS!$I5631="","",IFERROR(VLOOKUP(DATOS!$I5631,CONFIG_ASIGNATURAS!$B$2:$J$61,9,FALSE()),""))</f>
      </c>
    </row>
    <row r="5632">
      <c r="E5632">
        <f>IF(DATOS!$I5632="","",IFERROR(VLOOKUP(DATOS!$I5632,CONFIG_ASIGNATURAS!$B$2:$J$61,9,FALSE()),""))</f>
      </c>
    </row>
    <row r="5633">
      <c r="E5633">
        <f>IF(DATOS!$I5633="","",IFERROR(VLOOKUP(DATOS!$I5633,CONFIG_ASIGNATURAS!$B$2:$J$61,9,FALSE()),""))</f>
      </c>
    </row>
    <row r="5634">
      <c r="E5634">
        <f>IF(DATOS!$I5634="","",IFERROR(VLOOKUP(DATOS!$I5634,CONFIG_ASIGNATURAS!$B$2:$J$61,9,FALSE()),""))</f>
      </c>
    </row>
    <row r="5635">
      <c r="E5635">
        <f>IF(DATOS!$I5635="","",IFERROR(VLOOKUP(DATOS!$I5635,CONFIG_ASIGNATURAS!$B$2:$J$61,9,FALSE()),""))</f>
      </c>
    </row>
    <row r="5636">
      <c r="E5636">
        <f>IF(DATOS!$I5636="","",IFERROR(VLOOKUP(DATOS!$I5636,CONFIG_ASIGNATURAS!$B$2:$J$61,9,FALSE()),""))</f>
      </c>
    </row>
    <row r="5637">
      <c r="E5637">
        <f>IF(DATOS!$I5637="","",IFERROR(VLOOKUP(DATOS!$I5637,CONFIG_ASIGNATURAS!$B$2:$J$61,9,FALSE()),""))</f>
      </c>
    </row>
    <row r="5638">
      <c r="E5638">
        <f>IF(DATOS!$I5638="","",IFERROR(VLOOKUP(DATOS!$I5638,CONFIG_ASIGNATURAS!$B$2:$J$61,9,FALSE()),""))</f>
      </c>
    </row>
    <row r="5639">
      <c r="E5639">
        <f>IF(DATOS!$I5639="","",IFERROR(VLOOKUP(DATOS!$I5639,CONFIG_ASIGNATURAS!$B$2:$J$61,9,FALSE()),""))</f>
      </c>
    </row>
    <row r="5640">
      <c r="E5640">
        <f>IF(DATOS!$I5640="","",IFERROR(VLOOKUP(DATOS!$I5640,CONFIG_ASIGNATURAS!$B$2:$J$61,9,FALSE()),""))</f>
      </c>
    </row>
    <row r="5641">
      <c r="E5641">
        <f>IF(DATOS!$I5641="","",IFERROR(VLOOKUP(DATOS!$I5641,CONFIG_ASIGNATURAS!$B$2:$J$61,9,FALSE()),""))</f>
      </c>
    </row>
    <row r="5642">
      <c r="E5642">
        <f>IF(DATOS!$I5642="","",IFERROR(VLOOKUP(DATOS!$I5642,CONFIG_ASIGNATURAS!$B$2:$J$61,9,FALSE()),""))</f>
      </c>
    </row>
    <row r="5643">
      <c r="E5643">
        <f>IF(DATOS!$I5643="","",IFERROR(VLOOKUP(DATOS!$I5643,CONFIG_ASIGNATURAS!$B$2:$J$61,9,FALSE()),""))</f>
      </c>
    </row>
    <row r="5644">
      <c r="E5644">
        <f>IF(DATOS!$I5644="","",IFERROR(VLOOKUP(DATOS!$I5644,CONFIG_ASIGNATURAS!$B$2:$J$61,9,FALSE()),""))</f>
      </c>
    </row>
    <row r="5645">
      <c r="E5645">
        <f>IF(DATOS!$I5645="","",IFERROR(VLOOKUP(DATOS!$I5645,CONFIG_ASIGNATURAS!$B$2:$J$61,9,FALSE()),""))</f>
      </c>
    </row>
    <row r="5646">
      <c r="E5646">
        <f>IF(DATOS!$I5646="","",IFERROR(VLOOKUP(DATOS!$I5646,CONFIG_ASIGNATURAS!$B$2:$J$61,9,FALSE()),""))</f>
      </c>
    </row>
    <row r="5647">
      <c r="E5647">
        <f>IF(DATOS!$I5647="","",IFERROR(VLOOKUP(DATOS!$I5647,CONFIG_ASIGNATURAS!$B$2:$J$61,9,FALSE()),""))</f>
      </c>
    </row>
    <row r="5648">
      <c r="E5648">
        <f>IF(DATOS!$I5648="","",IFERROR(VLOOKUP(DATOS!$I5648,CONFIG_ASIGNATURAS!$B$2:$J$61,9,FALSE()),""))</f>
      </c>
    </row>
    <row r="5649">
      <c r="E5649">
        <f>IF(DATOS!$I5649="","",IFERROR(VLOOKUP(DATOS!$I5649,CONFIG_ASIGNATURAS!$B$2:$J$61,9,FALSE()),""))</f>
      </c>
    </row>
    <row r="5650">
      <c r="E5650">
        <f>IF(DATOS!$I5650="","",IFERROR(VLOOKUP(DATOS!$I5650,CONFIG_ASIGNATURAS!$B$2:$J$61,9,FALSE()),""))</f>
      </c>
    </row>
    <row r="5651">
      <c r="E5651">
        <f>IF(DATOS!$I5651="","",IFERROR(VLOOKUP(DATOS!$I5651,CONFIG_ASIGNATURAS!$B$2:$J$61,9,FALSE()),""))</f>
      </c>
    </row>
    <row r="5652">
      <c r="E5652">
        <f>IF(DATOS!$I5652="","",IFERROR(VLOOKUP(DATOS!$I5652,CONFIG_ASIGNATURAS!$B$2:$J$61,9,FALSE()),""))</f>
      </c>
    </row>
    <row r="5653">
      <c r="E5653">
        <f>IF(DATOS!$I5653="","",IFERROR(VLOOKUP(DATOS!$I5653,CONFIG_ASIGNATURAS!$B$2:$J$61,9,FALSE()),""))</f>
      </c>
    </row>
    <row r="5654">
      <c r="E5654">
        <f>IF(DATOS!$I5654="","",IFERROR(VLOOKUP(DATOS!$I5654,CONFIG_ASIGNATURAS!$B$2:$J$61,9,FALSE()),""))</f>
      </c>
    </row>
    <row r="5655">
      <c r="E5655">
        <f>IF(DATOS!$I5655="","",IFERROR(VLOOKUP(DATOS!$I5655,CONFIG_ASIGNATURAS!$B$2:$J$61,9,FALSE()),""))</f>
      </c>
    </row>
    <row r="5656">
      <c r="E5656">
        <f>IF(DATOS!$I5656="","",IFERROR(VLOOKUP(DATOS!$I5656,CONFIG_ASIGNATURAS!$B$2:$J$61,9,FALSE()),""))</f>
      </c>
    </row>
    <row r="5657">
      <c r="E5657">
        <f>IF(DATOS!$I5657="","",IFERROR(VLOOKUP(DATOS!$I5657,CONFIG_ASIGNATURAS!$B$2:$J$61,9,FALSE()),""))</f>
      </c>
    </row>
    <row r="5658">
      <c r="E5658">
        <f>IF(DATOS!$I5658="","",IFERROR(VLOOKUP(DATOS!$I5658,CONFIG_ASIGNATURAS!$B$2:$J$61,9,FALSE()),""))</f>
      </c>
    </row>
    <row r="5659">
      <c r="E5659">
        <f>IF(DATOS!$I5659="","",IFERROR(VLOOKUP(DATOS!$I5659,CONFIG_ASIGNATURAS!$B$2:$J$61,9,FALSE()),""))</f>
      </c>
    </row>
    <row r="5660">
      <c r="E5660">
        <f>IF(DATOS!$I5660="","",IFERROR(VLOOKUP(DATOS!$I5660,CONFIG_ASIGNATURAS!$B$2:$J$61,9,FALSE()),""))</f>
      </c>
    </row>
    <row r="5661">
      <c r="E5661">
        <f>IF(DATOS!$I5661="","",IFERROR(VLOOKUP(DATOS!$I5661,CONFIG_ASIGNATURAS!$B$2:$J$61,9,FALSE()),""))</f>
      </c>
    </row>
    <row r="5662">
      <c r="E5662">
        <f>IF(DATOS!$I5662="","",IFERROR(VLOOKUP(DATOS!$I5662,CONFIG_ASIGNATURAS!$B$2:$J$61,9,FALSE()),""))</f>
      </c>
    </row>
    <row r="5663">
      <c r="E5663">
        <f>IF(DATOS!$I5663="","",IFERROR(VLOOKUP(DATOS!$I5663,CONFIG_ASIGNATURAS!$B$2:$J$61,9,FALSE()),""))</f>
      </c>
    </row>
    <row r="5664">
      <c r="E5664">
        <f>IF(DATOS!$I5664="","",IFERROR(VLOOKUP(DATOS!$I5664,CONFIG_ASIGNATURAS!$B$2:$J$61,9,FALSE()),""))</f>
      </c>
    </row>
    <row r="5665">
      <c r="E5665">
        <f>IF(DATOS!$I5665="","",IFERROR(VLOOKUP(DATOS!$I5665,CONFIG_ASIGNATURAS!$B$2:$J$61,9,FALSE()),""))</f>
      </c>
    </row>
    <row r="5666">
      <c r="E5666">
        <f>IF(DATOS!$I5666="","",IFERROR(VLOOKUP(DATOS!$I5666,CONFIG_ASIGNATURAS!$B$2:$J$61,9,FALSE()),""))</f>
      </c>
    </row>
    <row r="5667">
      <c r="E5667">
        <f>IF(DATOS!$I5667="","",IFERROR(VLOOKUP(DATOS!$I5667,CONFIG_ASIGNATURAS!$B$2:$J$61,9,FALSE()),""))</f>
      </c>
    </row>
    <row r="5668">
      <c r="E5668">
        <f>IF(DATOS!$I5668="","",IFERROR(VLOOKUP(DATOS!$I5668,CONFIG_ASIGNATURAS!$B$2:$J$61,9,FALSE()),""))</f>
      </c>
    </row>
    <row r="5669">
      <c r="E5669">
        <f>IF(DATOS!$I5669="","",IFERROR(VLOOKUP(DATOS!$I5669,CONFIG_ASIGNATURAS!$B$2:$J$61,9,FALSE()),""))</f>
      </c>
    </row>
    <row r="5670">
      <c r="E5670">
        <f>IF(DATOS!$I5670="","",IFERROR(VLOOKUP(DATOS!$I5670,CONFIG_ASIGNATURAS!$B$2:$J$61,9,FALSE()),""))</f>
      </c>
    </row>
    <row r="5671">
      <c r="E5671">
        <f>IF(DATOS!$I5671="","",IFERROR(VLOOKUP(DATOS!$I5671,CONFIG_ASIGNATURAS!$B$2:$J$61,9,FALSE()),""))</f>
      </c>
    </row>
    <row r="5672">
      <c r="E5672">
        <f>IF(DATOS!$I5672="","",IFERROR(VLOOKUP(DATOS!$I5672,CONFIG_ASIGNATURAS!$B$2:$J$61,9,FALSE()),""))</f>
      </c>
    </row>
    <row r="5673">
      <c r="E5673">
        <f>IF(DATOS!$I5673="","",IFERROR(VLOOKUP(DATOS!$I5673,CONFIG_ASIGNATURAS!$B$2:$J$61,9,FALSE()),""))</f>
      </c>
    </row>
    <row r="5674">
      <c r="E5674">
        <f>IF(DATOS!$I5674="","",IFERROR(VLOOKUP(DATOS!$I5674,CONFIG_ASIGNATURAS!$B$2:$J$61,9,FALSE()),""))</f>
      </c>
    </row>
    <row r="5675">
      <c r="E5675">
        <f>IF(DATOS!$I5675="","",IFERROR(VLOOKUP(DATOS!$I5675,CONFIG_ASIGNATURAS!$B$2:$J$61,9,FALSE()),""))</f>
      </c>
    </row>
    <row r="5676">
      <c r="E5676">
        <f>IF(DATOS!$I5676="","",IFERROR(VLOOKUP(DATOS!$I5676,CONFIG_ASIGNATURAS!$B$2:$J$61,9,FALSE()),""))</f>
      </c>
    </row>
    <row r="5677">
      <c r="E5677">
        <f>IF(DATOS!$I5677="","",IFERROR(VLOOKUP(DATOS!$I5677,CONFIG_ASIGNATURAS!$B$2:$J$61,9,FALSE()),""))</f>
      </c>
    </row>
    <row r="5678">
      <c r="E5678">
        <f>IF(DATOS!$I5678="","",IFERROR(VLOOKUP(DATOS!$I5678,CONFIG_ASIGNATURAS!$B$2:$J$61,9,FALSE()),""))</f>
      </c>
    </row>
    <row r="5679">
      <c r="E5679">
        <f>IF(DATOS!$I5679="","",IFERROR(VLOOKUP(DATOS!$I5679,CONFIG_ASIGNATURAS!$B$2:$J$61,9,FALSE()),""))</f>
      </c>
    </row>
    <row r="5680">
      <c r="E5680">
        <f>IF(DATOS!$I5680="","",IFERROR(VLOOKUP(DATOS!$I5680,CONFIG_ASIGNATURAS!$B$2:$J$61,9,FALSE()),""))</f>
      </c>
    </row>
    <row r="5681">
      <c r="E5681">
        <f>IF(DATOS!$I5681="","",IFERROR(VLOOKUP(DATOS!$I5681,CONFIG_ASIGNATURAS!$B$2:$J$61,9,FALSE()),""))</f>
      </c>
    </row>
    <row r="5682">
      <c r="E5682">
        <f>IF(DATOS!$I5682="","",IFERROR(VLOOKUP(DATOS!$I5682,CONFIG_ASIGNATURAS!$B$2:$J$61,9,FALSE()),""))</f>
      </c>
    </row>
    <row r="5683">
      <c r="E5683">
        <f>IF(DATOS!$I5683="","",IFERROR(VLOOKUP(DATOS!$I5683,CONFIG_ASIGNATURAS!$B$2:$J$61,9,FALSE()),""))</f>
      </c>
    </row>
    <row r="5684">
      <c r="E5684">
        <f>IF(DATOS!$I5684="","",IFERROR(VLOOKUP(DATOS!$I5684,CONFIG_ASIGNATURAS!$B$2:$J$61,9,FALSE()),""))</f>
      </c>
    </row>
    <row r="5685">
      <c r="E5685">
        <f>IF(DATOS!$I5685="","",IFERROR(VLOOKUP(DATOS!$I5685,CONFIG_ASIGNATURAS!$B$2:$J$61,9,FALSE()),""))</f>
      </c>
    </row>
    <row r="5686">
      <c r="E5686">
        <f>IF(DATOS!$I5686="","",IFERROR(VLOOKUP(DATOS!$I5686,CONFIG_ASIGNATURAS!$B$2:$J$61,9,FALSE()),""))</f>
      </c>
    </row>
    <row r="5687">
      <c r="E5687">
        <f>IF(DATOS!$I5687="","",IFERROR(VLOOKUP(DATOS!$I5687,CONFIG_ASIGNATURAS!$B$2:$J$61,9,FALSE()),""))</f>
      </c>
    </row>
    <row r="5688">
      <c r="E5688">
        <f>IF(DATOS!$I5688="","",IFERROR(VLOOKUP(DATOS!$I5688,CONFIG_ASIGNATURAS!$B$2:$J$61,9,FALSE()),""))</f>
      </c>
    </row>
    <row r="5689">
      <c r="E5689">
        <f>IF(DATOS!$I5689="","",IFERROR(VLOOKUP(DATOS!$I5689,CONFIG_ASIGNATURAS!$B$2:$J$61,9,FALSE()),""))</f>
      </c>
    </row>
    <row r="5690">
      <c r="E5690">
        <f>IF(DATOS!$I5690="","",IFERROR(VLOOKUP(DATOS!$I5690,CONFIG_ASIGNATURAS!$B$2:$J$61,9,FALSE()),""))</f>
      </c>
    </row>
    <row r="5691">
      <c r="E5691">
        <f>IF(DATOS!$I5691="","",IFERROR(VLOOKUP(DATOS!$I5691,CONFIG_ASIGNATURAS!$B$2:$J$61,9,FALSE()),""))</f>
      </c>
    </row>
    <row r="5692">
      <c r="E5692">
        <f>IF(DATOS!$I5692="","",IFERROR(VLOOKUP(DATOS!$I5692,CONFIG_ASIGNATURAS!$B$2:$J$61,9,FALSE()),""))</f>
      </c>
    </row>
    <row r="5693">
      <c r="E5693">
        <f>IF(DATOS!$I5693="","",IFERROR(VLOOKUP(DATOS!$I5693,CONFIG_ASIGNATURAS!$B$2:$J$61,9,FALSE()),""))</f>
      </c>
    </row>
    <row r="5694">
      <c r="E5694">
        <f>IF(DATOS!$I5694="","",IFERROR(VLOOKUP(DATOS!$I5694,CONFIG_ASIGNATURAS!$B$2:$J$61,9,FALSE()),""))</f>
      </c>
    </row>
    <row r="5695">
      <c r="E5695">
        <f>IF(DATOS!$I5695="","",IFERROR(VLOOKUP(DATOS!$I5695,CONFIG_ASIGNATURAS!$B$2:$J$61,9,FALSE()),""))</f>
      </c>
    </row>
    <row r="5696">
      <c r="E5696">
        <f>IF(DATOS!$I5696="","",IFERROR(VLOOKUP(DATOS!$I5696,CONFIG_ASIGNATURAS!$B$2:$J$61,9,FALSE()),""))</f>
      </c>
    </row>
    <row r="5697">
      <c r="E5697">
        <f>IF(DATOS!$I5697="","",IFERROR(VLOOKUP(DATOS!$I5697,CONFIG_ASIGNATURAS!$B$2:$J$61,9,FALSE()),""))</f>
      </c>
    </row>
    <row r="5698">
      <c r="E5698">
        <f>IF(DATOS!$I5698="","",IFERROR(VLOOKUP(DATOS!$I5698,CONFIG_ASIGNATURAS!$B$2:$J$61,9,FALSE()),""))</f>
      </c>
    </row>
    <row r="5699">
      <c r="E5699">
        <f>IF(DATOS!$I5699="","",IFERROR(VLOOKUP(DATOS!$I5699,CONFIG_ASIGNATURAS!$B$2:$J$61,9,FALSE()),""))</f>
      </c>
    </row>
    <row r="5700">
      <c r="E5700">
        <f>IF(DATOS!$I5700="","",IFERROR(VLOOKUP(DATOS!$I5700,CONFIG_ASIGNATURAS!$B$2:$J$61,9,FALSE()),""))</f>
      </c>
    </row>
    <row r="5701">
      <c r="E5701">
        <f>IF(DATOS!$I5701="","",IFERROR(VLOOKUP(DATOS!$I5701,CONFIG_ASIGNATURAS!$B$2:$J$61,9,FALSE()),""))</f>
      </c>
    </row>
    <row r="5702">
      <c r="E5702">
        <f>IF(DATOS!$I5702="","",IFERROR(VLOOKUP(DATOS!$I5702,CONFIG_ASIGNATURAS!$B$2:$J$61,9,FALSE()),""))</f>
      </c>
    </row>
    <row r="5703">
      <c r="E5703">
        <f>IF(DATOS!$I5703="","",IFERROR(VLOOKUP(DATOS!$I5703,CONFIG_ASIGNATURAS!$B$2:$J$61,9,FALSE()),""))</f>
      </c>
    </row>
    <row r="5704">
      <c r="E5704">
        <f>IF(DATOS!$I5704="","",IFERROR(VLOOKUP(DATOS!$I5704,CONFIG_ASIGNATURAS!$B$2:$J$61,9,FALSE()),""))</f>
      </c>
    </row>
    <row r="5705">
      <c r="E5705">
        <f>IF(DATOS!$I5705="","",IFERROR(VLOOKUP(DATOS!$I5705,CONFIG_ASIGNATURAS!$B$2:$J$61,9,FALSE()),""))</f>
      </c>
    </row>
    <row r="5706">
      <c r="E5706">
        <f>IF(DATOS!$I5706="","",IFERROR(VLOOKUP(DATOS!$I5706,CONFIG_ASIGNATURAS!$B$2:$J$61,9,FALSE()),""))</f>
      </c>
    </row>
    <row r="5707">
      <c r="E5707">
        <f>IF(DATOS!$I5707="","",IFERROR(VLOOKUP(DATOS!$I5707,CONFIG_ASIGNATURAS!$B$2:$J$61,9,FALSE()),""))</f>
      </c>
    </row>
    <row r="5708">
      <c r="E5708">
        <f>IF(DATOS!$I5708="","",IFERROR(VLOOKUP(DATOS!$I5708,CONFIG_ASIGNATURAS!$B$2:$J$61,9,FALSE()),""))</f>
      </c>
    </row>
    <row r="5709">
      <c r="E5709">
        <f>IF(DATOS!$I5709="","",IFERROR(VLOOKUP(DATOS!$I5709,CONFIG_ASIGNATURAS!$B$2:$J$61,9,FALSE()),""))</f>
      </c>
    </row>
    <row r="5710">
      <c r="E5710">
        <f>IF(DATOS!$I5710="","",IFERROR(VLOOKUP(DATOS!$I5710,CONFIG_ASIGNATURAS!$B$2:$J$61,9,FALSE()),""))</f>
      </c>
    </row>
    <row r="5711">
      <c r="E5711">
        <f>IF(DATOS!$I5711="","",IFERROR(VLOOKUP(DATOS!$I5711,CONFIG_ASIGNATURAS!$B$2:$J$61,9,FALSE()),""))</f>
      </c>
    </row>
    <row r="5712">
      <c r="E5712">
        <f>IF(DATOS!$I5712="","",IFERROR(VLOOKUP(DATOS!$I5712,CONFIG_ASIGNATURAS!$B$2:$J$61,9,FALSE()),""))</f>
      </c>
    </row>
    <row r="5713">
      <c r="E5713">
        <f>IF(DATOS!$I5713="","",IFERROR(VLOOKUP(DATOS!$I5713,CONFIG_ASIGNATURAS!$B$2:$J$61,9,FALSE()),""))</f>
      </c>
    </row>
    <row r="5714">
      <c r="E5714">
        <f>IF(DATOS!$I5714="","",IFERROR(VLOOKUP(DATOS!$I5714,CONFIG_ASIGNATURAS!$B$2:$J$61,9,FALSE()),""))</f>
      </c>
    </row>
    <row r="5715">
      <c r="E5715">
        <f>IF(DATOS!$I5715="","",IFERROR(VLOOKUP(DATOS!$I5715,CONFIG_ASIGNATURAS!$B$2:$J$61,9,FALSE()),""))</f>
      </c>
    </row>
    <row r="5716">
      <c r="E5716">
        <f>IF(DATOS!$I5716="","",IFERROR(VLOOKUP(DATOS!$I5716,CONFIG_ASIGNATURAS!$B$2:$J$61,9,FALSE()),""))</f>
      </c>
    </row>
    <row r="5717">
      <c r="E5717">
        <f>IF(DATOS!$I5717="","",IFERROR(VLOOKUP(DATOS!$I5717,CONFIG_ASIGNATURAS!$B$2:$J$61,9,FALSE()),""))</f>
      </c>
    </row>
    <row r="5718">
      <c r="E5718">
        <f>IF(DATOS!$I5718="","",IFERROR(VLOOKUP(DATOS!$I5718,CONFIG_ASIGNATURAS!$B$2:$J$61,9,FALSE()),""))</f>
      </c>
    </row>
    <row r="5719">
      <c r="E5719">
        <f>IF(DATOS!$I5719="","",IFERROR(VLOOKUP(DATOS!$I5719,CONFIG_ASIGNATURAS!$B$2:$J$61,9,FALSE()),""))</f>
      </c>
    </row>
    <row r="5720">
      <c r="E5720">
        <f>IF(DATOS!$I5720="","",IFERROR(VLOOKUP(DATOS!$I5720,CONFIG_ASIGNATURAS!$B$2:$J$61,9,FALSE()),""))</f>
      </c>
    </row>
    <row r="5721">
      <c r="E5721">
        <f>IF(DATOS!$I5721="","",IFERROR(VLOOKUP(DATOS!$I5721,CONFIG_ASIGNATURAS!$B$2:$J$61,9,FALSE()),""))</f>
      </c>
    </row>
    <row r="5722">
      <c r="E5722">
        <f>IF(DATOS!$I5722="","",IFERROR(VLOOKUP(DATOS!$I5722,CONFIG_ASIGNATURAS!$B$2:$J$61,9,FALSE()),""))</f>
      </c>
    </row>
    <row r="5723">
      <c r="E5723">
        <f>IF(DATOS!$I5723="","",IFERROR(VLOOKUP(DATOS!$I5723,CONFIG_ASIGNATURAS!$B$2:$J$61,9,FALSE()),""))</f>
      </c>
    </row>
    <row r="5724">
      <c r="E5724">
        <f>IF(DATOS!$I5724="","",IFERROR(VLOOKUP(DATOS!$I5724,CONFIG_ASIGNATURAS!$B$2:$J$61,9,FALSE()),""))</f>
      </c>
    </row>
    <row r="5725">
      <c r="E5725">
        <f>IF(DATOS!$I5725="","",IFERROR(VLOOKUP(DATOS!$I5725,CONFIG_ASIGNATURAS!$B$2:$J$61,9,FALSE()),""))</f>
      </c>
    </row>
    <row r="5726">
      <c r="E5726">
        <f>IF(DATOS!$I5726="","",IFERROR(VLOOKUP(DATOS!$I5726,CONFIG_ASIGNATURAS!$B$2:$J$61,9,FALSE()),""))</f>
      </c>
    </row>
    <row r="5727">
      <c r="E5727">
        <f>IF(DATOS!$I5727="","",IFERROR(VLOOKUP(DATOS!$I5727,CONFIG_ASIGNATURAS!$B$2:$J$61,9,FALSE()),""))</f>
      </c>
    </row>
    <row r="5728">
      <c r="E5728">
        <f>IF(DATOS!$I5728="","",IFERROR(VLOOKUP(DATOS!$I5728,CONFIG_ASIGNATURAS!$B$2:$J$61,9,FALSE()),""))</f>
      </c>
    </row>
    <row r="5729">
      <c r="E5729">
        <f>IF(DATOS!$I5729="","",IFERROR(VLOOKUP(DATOS!$I5729,CONFIG_ASIGNATURAS!$B$2:$J$61,9,FALSE()),""))</f>
      </c>
    </row>
    <row r="5730">
      <c r="E5730">
        <f>IF(DATOS!$I5730="","",IFERROR(VLOOKUP(DATOS!$I5730,CONFIG_ASIGNATURAS!$B$2:$J$61,9,FALSE()),""))</f>
      </c>
    </row>
    <row r="5731">
      <c r="E5731">
        <f>IF(DATOS!$I5731="","",IFERROR(VLOOKUP(DATOS!$I5731,CONFIG_ASIGNATURAS!$B$2:$J$61,9,FALSE()),""))</f>
      </c>
    </row>
    <row r="5732">
      <c r="E5732">
        <f>IF(DATOS!$I5732="","",IFERROR(VLOOKUP(DATOS!$I5732,CONFIG_ASIGNATURAS!$B$2:$J$61,9,FALSE()),""))</f>
      </c>
    </row>
    <row r="5733">
      <c r="E5733">
        <f>IF(DATOS!$I5733="","",IFERROR(VLOOKUP(DATOS!$I5733,CONFIG_ASIGNATURAS!$B$2:$J$61,9,FALSE()),""))</f>
      </c>
    </row>
    <row r="5734">
      <c r="E5734">
        <f>IF(DATOS!$I5734="","",IFERROR(VLOOKUP(DATOS!$I5734,CONFIG_ASIGNATURAS!$B$2:$J$61,9,FALSE()),""))</f>
      </c>
    </row>
    <row r="5735">
      <c r="E5735">
        <f>IF(DATOS!$I5735="","",IFERROR(VLOOKUP(DATOS!$I5735,CONFIG_ASIGNATURAS!$B$2:$J$61,9,FALSE()),""))</f>
      </c>
    </row>
    <row r="5736">
      <c r="E5736">
        <f>IF(DATOS!$I5736="","",IFERROR(VLOOKUP(DATOS!$I5736,CONFIG_ASIGNATURAS!$B$2:$J$61,9,FALSE()),""))</f>
      </c>
    </row>
    <row r="5737">
      <c r="E5737">
        <f>IF(DATOS!$I5737="","",IFERROR(VLOOKUP(DATOS!$I5737,CONFIG_ASIGNATURAS!$B$2:$J$61,9,FALSE()),""))</f>
      </c>
    </row>
    <row r="5738">
      <c r="E5738">
        <f>IF(DATOS!$I5738="","",IFERROR(VLOOKUP(DATOS!$I5738,CONFIG_ASIGNATURAS!$B$2:$J$61,9,FALSE()),""))</f>
      </c>
    </row>
    <row r="5739">
      <c r="E5739">
        <f>IF(DATOS!$I5739="","",IFERROR(VLOOKUP(DATOS!$I5739,CONFIG_ASIGNATURAS!$B$2:$J$61,9,FALSE()),""))</f>
      </c>
    </row>
    <row r="5740">
      <c r="E5740">
        <f>IF(DATOS!$I5740="","",IFERROR(VLOOKUP(DATOS!$I5740,CONFIG_ASIGNATURAS!$B$2:$J$61,9,FALSE()),""))</f>
      </c>
    </row>
    <row r="5741">
      <c r="E5741">
        <f>IF(DATOS!$I5741="","",IFERROR(VLOOKUP(DATOS!$I5741,CONFIG_ASIGNATURAS!$B$2:$J$61,9,FALSE()),""))</f>
      </c>
    </row>
    <row r="5742">
      <c r="E5742">
        <f>IF(DATOS!$I5742="","",IFERROR(VLOOKUP(DATOS!$I5742,CONFIG_ASIGNATURAS!$B$2:$J$61,9,FALSE()),""))</f>
      </c>
    </row>
    <row r="5743">
      <c r="E5743">
        <f>IF(DATOS!$I5743="","",IFERROR(VLOOKUP(DATOS!$I5743,CONFIG_ASIGNATURAS!$B$2:$J$61,9,FALSE()),""))</f>
      </c>
    </row>
    <row r="5744">
      <c r="E5744">
        <f>IF(DATOS!$I5744="","",IFERROR(VLOOKUP(DATOS!$I5744,CONFIG_ASIGNATURAS!$B$2:$J$61,9,FALSE()),""))</f>
      </c>
    </row>
    <row r="5745">
      <c r="E5745">
        <f>IF(DATOS!$I5745="","",IFERROR(VLOOKUP(DATOS!$I5745,CONFIG_ASIGNATURAS!$B$2:$J$61,9,FALSE()),""))</f>
      </c>
    </row>
    <row r="5746">
      <c r="E5746">
        <f>IF(DATOS!$I5746="","",IFERROR(VLOOKUP(DATOS!$I5746,CONFIG_ASIGNATURAS!$B$2:$J$61,9,FALSE()),""))</f>
      </c>
    </row>
    <row r="5747">
      <c r="E5747">
        <f>IF(DATOS!$I5747="","",IFERROR(VLOOKUP(DATOS!$I5747,CONFIG_ASIGNATURAS!$B$2:$J$61,9,FALSE()),""))</f>
      </c>
    </row>
    <row r="5748">
      <c r="E5748">
        <f>IF(DATOS!$I5748="","",IFERROR(VLOOKUP(DATOS!$I5748,CONFIG_ASIGNATURAS!$B$2:$J$61,9,FALSE()),""))</f>
      </c>
    </row>
    <row r="5749">
      <c r="E5749">
        <f>IF(DATOS!$I5749="","",IFERROR(VLOOKUP(DATOS!$I5749,CONFIG_ASIGNATURAS!$B$2:$J$61,9,FALSE()),""))</f>
      </c>
    </row>
    <row r="5750">
      <c r="E5750">
        <f>IF(DATOS!$I5750="","",IFERROR(VLOOKUP(DATOS!$I5750,CONFIG_ASIGNATURAS!$B$2:$J$61,9,FALSE()),""))</f>
      </c>
    </row>
    <row r="5751">
      <c r="E5751">
        <f>IF(DATOS!$I5751="","",IFERROR(VLOOKUP(DATOS!$I5751,CONFIG_ASIGNATURAS!$B$2:$J$61,9,FALSE()),""))</f>
      </c>
    </row>
    <row r="5752">
      <c r="E5752">
        <f>IF(DATOS!$I5752="","",IFERROR(VLOOKUP(DATOS!$I5752,CONFIG_ASIGNATURAS!$B$2:$J$61,9,FALSE()),""))</f>
      </c>
    </row>
    <row r="5753">
      <c r="E5753">
        <f>IF(DATOS!$I5753="","",IFERROR(VLOOKUP(DATOS!$I5753,CONFIG_ASIGNATURAS!$B$2:$J$61,9,FALSE()),""))</f>
      </c>
    </row>
    <row r="5754">
      <c r="E5754">
        <f>IF(DATOS!$I5754="","",IFERROR(VLOOKUP(DATOS!$I5754,CONFIG_ASIGNATURAS!$B$2:$J$61,9,FALSE()),""))</f>
      </c>
    </row>
    <row r="5755">
      <c r="E5755">
        <f>IF(DATOS!$I5755="","",IFERROR(VLOOKUP(DATOS!$I5755,CONFIG_ASIGNATURAS!$B$2:$J$61,9,FALSE()),""))</f>
      </c>
    </row>
    <row r="5756">
      <c r="E5756">
        <f>IF(DATOS!$I5756="","",IFERROR(VLOOKUP(DATOS!$I5756,CONFIG_ASIGNATURAS!$B$2:$J$61,9,FALSE()),""))</f>
      </c>
    </row>
    <row r="5757">
      <c r="E5757">
        <f>IF(DATOS!$I5757="","",IFERROR(VLOOKUP(DATOS!$I5757,CONFIG_ASIGNATURAS!$B$2:$J$61,9,FALSE()),""))</f>
      </c>
    </row>
    <row r="5758">
      <c r="E5758">
        <f>IF(DATOS!$I5758="","",IFERROR(VLOOKUP(DATOS!$I5758,CONFIG_ASIGNATURAS!$B$2:$J$61,9,FALSE()),""))</f>
      </c>
    </row>
    <row r="5759">
      <c r="E5759">
        <f>IF(DATOS!$I5759="","",IFERROR(VLOOKUP(DATOS!$I5759,CONFIG_ASIGNATURAS!$B$2:$J$61,9,FALSE()),""))</f>
      </c>
    </row>
    <row r="5760">
      <c r="E5760">
        <f>IF(DATOS!$I5760="","",IFERROR(VLOOKUP(DATOS!$I5760,CONFIG_ASIGNATURAS!$B$2:$J$61,9,FALSE()),""))</f>
      </c>
    </row>
    <row r="5761">
      <c r="E5761">
        <f>IF(DATOS!$I5761="","",IFERROR(VLOOKUP(DATOS!$I5761,CONFIG_ASIGNATURAS!$B$2:$J$61,9,FALSE()),""))</f>
      </c>
    </row>
    <row r="5762">
      <c r="E5762">
        <f>IF(DATOS!$I5762="","",IFERROR(VLOOKUP(DATOS!$I5762,CONFIG_ASIGNATURAS!$B$2:$J$61,9,FALSE()),""))</f>
      </c>
    </row>
    <row r="5763">
      <c r="E5763">
        <f>IF(DATOS!$I5763="","",IFERROR(VLOOKUP(DATOS!$I5763,CONFIG_ASIGNATURAS!$B$2:$J$61,9,FALSE()),""))</f>
      </c>
    </row>
    <row r="5764">
      <c r="E5764">
        <f>IF(DATOS!$I5764="","",IFERROR(VLOOKUP(DATOS!$I5764,CONFIG_ASIGNATURAS!$B$2:$J$61,9,FALSE()),""))</f>
      </c>
    </row>
    <row r="5765">
      <c r="E5765">
        <f>IF(DATOS!$I5765="","",IFERROR(VLOOKUP(DATOS!$I5765,CONFIG_ASIGNATURAS!$B$2:$J$61,9,FALSE()),""))</f>
      </c>
    </row>
    <row r="5766">
      <c r="E5766">
        <f>IF(DATOS!$I5766="","",IFERROR(VLOOKUP(DATOS!$I5766,CONFIG_ASIGNATURAS!$B$2:$J$61,9,FALSE()),""))</f>
      </c>
    </row>
    <row r="5767">
      <c r="E5767">
        <f>IF(DATOS!$I5767="","",IFERROR(VLOOKUP(DATOS!$I5767,CONFIG_ASIGNATURAS!$B$2:$J$61,9,FALSE()),""))</f>
      </c>
    </row>
    <row r="5768">
      <c r="E5768">
        <f>IF(DATOS!$I5768="","",IFERROR(VLOOKUP(DATOS!$I5768,CONFIG_ASIGNATURAS!$B$2:$J$61,9,FALSE()),""))</f>
      </c>
    </row>
    <row r="5769">
      <c r="E5769">
        <f>IF(DATOS!$I5769="","",IFERROR(VLOOKUP(DATOS!$I5769,CONFIG_ASIGNATURAS!$B$2:$J$61,9,FALSE()),""))</f>
      </c>
    </row>
    <row r="5770">
      <c r="E5770">
        <f>IF(DATOS!$I5770="","",IFERROR(VLOOKUP(DATOS!$I5770,CONFIG_ASIGNATURAS!$B$2:$J$61,9,FALSE()),""))</f>
      </c>
    </row>
    <row r="5771">
      <c r="E5771">
        <f>IF(DATOS!$I5771="","",IFERROR(VLOOKUP(DATOS!$I5771,CONFIG_ASIGNATURAS!$B$2:$J$61,9,FALSE()),""))</f>
      </c>
    </row>
    <row r="5772">
      <c r="E5772">
        <f>IF(DATOS!$I5772="","",IFERROR(VLOOKUP(DATOS!$I5772,CONFIG_ASIGNATURAS!$B$2:$J$61,9,FALSE()),""))</f>
      </c>
    </row>
    <row r="5773">
      <c r="E5773">
        <f>IF(DATOS!$I5773="","",IFERROR(VLOOKUP(DATOS!$I5773,CONFIG_ASIGNATURAS!$B$2:$J$61,9,FALSE()),""))</f>
      </c>
    </row>
    <row r="5774">
      <c r="E5774">
        <f>IF(DATOS!$I5774="","",IFERROR(VLOOKUP(DATOS!$I5774,CONFIG_ASIGNATURAS!$B$2:$J$61,9,FALSE()),""))</f>
      </c>
    </row>
    <row r="5775">
      <c r="E5775">
        <f>IF(DATOS!$I5775="","",IFERROR(VLOOKUP(DATOS!$I5775,CONFIG_ASIGNATURAS!$B$2:$J$61,9,FALSE()),""))</f>
      </c>
    </row>
    <row r="5776">
      <c r="E5776">
        <f>IF(DATOS!$I5776="","",IFERROR(VLOOKUP(DATOS!$I5776,CONFIG_ASIGNATURAS!$B$2:$J$61,9,FALSE()),""))</f>
      </c>
    </row>
    <row r="5777">
      <c r="E5777">
        <f>IF(DATOS!$I5777="","",IFERROR(VLOOKUP(DATOS!$I5777,CONFIG_ASIGNATURAS!$B$2:$J$61,9,FALSE()),""))</f>
      </c>
    </row>
    <row r="5778">
      <c r="E5778">
        <f>IF(DATOS!$I5778="","",IFERROR(VLOOKUP(DATOS!$I5778,CONFIG_ASIGNATURAS!$B$2:$J$61,9,FALSE()),""))</f>
      </c>
    </row>
    <row r="5779">
      <c r="E5779">
        <f>IF(DATOS!$I5779="","",IFERROR(VLOOKUP(DATOS!$I5779,CONFIG_ASIGNATURAS!$B$2:$J$61,9,FALSE()),""))</f>
      </c>
    </row>
    <row r="5780">
      <c r="E5780">
        <f>IF(DATOS!$I5780="","",IFERROR(VLOOKUP(DATOS!$I5780,CONFIG_ASIGNATURAS!$B$2:$J$61,9,FALSE()),""))</f>
      </c>
    </row>
    <row r="5781">
      <c r="E5781">
        <f>IF(DATOS!$I5781="","",IFERROR(VLOOKUP(DATOS!$I5781,CONFIG_ASIGNATURAS!$B$2:$J$61,9,FALSE()),""))</f>
      </c>
    </row>
    <row r="5782">
      <c r="E5782">
        <f>IF(DATOS!$I5782="","",IFERROR(VLOOKUP(DATOS!$I5782,CONFIG_ASIGNATURAS!$B$2:$J$61,9,FALSE()),""))</f>
      </c>
    </row>
    <row r="5783">
      <c r="E5783">
        <f>IF(DATOS!$I5783="","",IFERROR(VLOOKUP(DATOS!$I5783,CONFIG_ASIGNATURAS!$B$2:$J$61,9,FALSE()),""))</f>
      </c>
    </row>
    <row r="5784">
      <c r="E5784">
        <f>IF(DATOS!$I5784="","",IFERROR(VLOOKUP(DATOS!$I5784,CONFIG_ASIGNATURAS!$B$2:$J$61,9,FALSE()),""))</f>
      </c>
    </row>
    <row r="5785">
      <c r="E5785">
        <f>IF(DATOS!$I5785="","",IFERROR(VLOOKUP(DATOS!$I5785,CONFIG_ASIGNATURAS!$B$2:$J$61,9,FALSE()),""))</f>
      </c>
    </row>
    <row r="5786">
      <c r="E5786">
        <f>IF(DATOS!$I5786="","",IFERROR(VLOOKUP(DATOS!$I5786,CONFIG_ASIGNATURAS!$B$2:$J$61,9,FALSE()),""))</f>
      </c>
    </row>
    <row r="5787">
      <c r="E5787">
        <f>IF(DATOS!$I5787="","",IFERROR(VLOOKUP(DATOS!$I5787,CONFIG_ASIGNATURAS!$B$2:$J$61,9,FALSE()),""))</f>
      </c>
    </row>
    <row r="5788">
      <c r="E5788">
        <f>IF(DATOS!$I5788="","",IFERROR(VLOOKUP(DATOS!$I5788,CONFIG_ASIGNATURAS!$B$2:$J$61,9,FALSE()),""))</f>
      </c>
    </row>
    <row r="5789">
      <c r="E5789">
        <f>IF(DATOS!$I5789="","",IFERROR(VLOOKUP(DATOS!$I5789,CONFIG_ASIGNATURAS!$B$2:$J$61,9,FALSE()),""))</f>
      </c>
    </row>
    <row r="5790">
      <c r="E5790">
        <f>IF(DATOS!$I5790="","",IFERROR(VLOOKUP(DATOS!$I5790,CONFIG_ASIGNATURAS!$B$2:$J$61,9,FALSE()),""))</f>
      </c>
    </row>
    <row r="5791">
      <c r="E5791">
        <f>IF(DATOS!$I5791="","",IFERROR(VLOOKUP(DATOS!$I5791,CONFIG_ASIGNATURAS!$B$2:$J$61,9,FALSE()),""))</f>
      </c>
    </row>
    <row r="5792">
      <c r="E5792">
        <f>IF(DATOS!$I5792="","",IFERROR(VLOOKUP(DATOS!$I5792,CONFIG_ASIGNATURAS!$B$2:$J$61,9,FALSE()),""))</f>
      </c>
    </row>
    <row r="5793">
      <c r="E5793">
        <f>IF(DATOS!$I5793="","",IFERROR(VLOOKUP(DATOS!$I5793,CONFIG_ASIGNATURAS!$B$2:$J$61,9,FALSE()),""))</f>
      </c>
    </row>
    <row r="5794">
      <c r="E5794">
        <f>IF(DATOS!$I5794="","",IFERROR(VLOOKUP(DATOS!$I5794,CONFIG_ASIGNATURAS!$B$2:$J$61,9,FALSE()),""))</f>
      </c>
    </row>
    <row r="5795">
      <c r="E5795">
        <f>IF(DATOS!$I5795="","",IFERROR(VLOOKUP(DATOS!$I5795,CONFIG_ASIGNATURAS!$B$2:$J$61,9,FALSE()),""))</f>
      </c>
    </row>
    <row r="5796">
      <c r="E5796">
        <f>IF(DATOS!$I5796="","",IFERROR(VLOOKUP(DATOS!$I5796,CONFIG_ASIGNATURAS!$B$2:$J$61,9,FALSE()),""))</f>
      </c>
    </row>
    <row r="5797">
      <c r="E5797">
        <f>IF(DATOS!$I5797="","",IFERROR(VLOOKUP(DATOS!$I5797,CONFIG_ASIGNATURAS!$B$2:$J$61,9,FALSE()),""))</f>
      </c>
    </row>
    <row r="5798">
      <c r="E5798">
        <f>IF(DATOS!$I5798="","",IFERROR(VLOOKUP(DATOS!$I5798,CONFIG_ASIGNATURAS!$B$2:$J$61,9,FALSE()),""))</f>
      </c>
    </row>
    <row r="5799">
      <c r="E5799">
        <f>IF(DATOS!$I5799="","",IFERROR(VLOOKUP(DATOS!$I5799,CONFIG_ASIGNATURAS!$B$2:$J$61,9,FALSE()),""))</f>
      </c>
    </row>
    <row r="5800">
      <c r="E5800">
        <f>IF(DATOS!$I5800="","",IFERROR(VLOOKUP(DATOS!$I5800,CONFIG_ASIGNATURAS!$B$2:$J$61,9,FALSE()),""))</f>
      </c>
    </row>
    <row r="5801">
      <c r="E5801">
        <f>IF(DATOS!$I5801="","",IFERROR(VLOOKUP(DATOS!$I5801,CONFIG_ASIGNATURAS!$B$2:$J$61,9,FALSE()),""))</f>
      </c>
    </row>
    <row r="5802">
      <c r="E5802">
        <f>IF(DATOS!$I5802="","",IFERROR(VLOOKUP(DATOS!$I5802,CONFIG_ASIGNATURAS!$B$2:$J$61,9,FALSE()),""))</f>
      </c>
    </row>
    <row r="5803">
      <c r="E5803">
        <f>IF(DATOS!$I5803="","",IFERROR(VLOOKUP(DATOS!$I5803,CONFIG_ASIGNATURAS!$B$2:$J$61,9,FALSE()),""))</f>
      </c>
    </row>
    <row r="5804">
      <c r="E5804">
        <f>IF(DATOS!$I5804="","",IFERROR(VLOOKUP(DATOS!$I5804,CONFIG_ASIGNATURAS!$B$2:$J$61,9,FALSE()),""))</f>
      </c>
    </row>
    <row r="5805">
      <c r="E5805">
        <f>IF(DATOS!$I5805="","",IFERROR(VLOOKUP(DATOS!$I5805,CONFIG_ASIGNATURAS!$B$2:$J$61,9,FALSE()),""))</f>
      </c>
    </row>
    <row r="5806">
      <c r="E5806">
        <f>IF(DATOS!$I5806="","",IFERROR(VLOOKUP(DATOS!$I5806,CONFIG_ASIGNATURAS!$B$2:$J$61,9,FALSE()),""))</f>
      </c>
    </row>
    <row r="5807">
      <c r="E5807">
        <f>IF(DATOS!$I5807="","",IFERROR(VLOOKUP(DATOS!$I5807,CONFIG_ASIGNATURAS!$B$2:$J$61,9,FALSE()),""))</f>
      </c>
    </row>
    <row r="5808">
      <c r="E5808">
        <f>IF(DATOS!$I5808="","",IFERROR(VLOOKUP(DATOS!$I5808,CONFIG_ASIGNATURAS!$B$2:$J$61,9,FALSE()),""))</f>
      </c>
    </row>
    <row r="5809">
      <c r="E5809">
        <f>IF(DATOS!$I5809="","",IFERROR(VLOOKUP(DATOS!$I5809,CONFIG_ASIGNATURAS!$B$2:$J$61,9,FALSE()),""))</f>
      </c>
    </row>
    <row r="5810">
      <c r="E5810">
        <f>IF(DATOS!$I5810="","",IFERROR(VLOOKUP(DATOS!$I5810,CONFIG_ASIGNATURAS!$B$2:$J$61,9,FALSE()),""))</f>
      </c>
    </row>
    <row r="5811">
      <c r="E5811">
        <f>IF(DATOS!$I5811="","",IFERROR(VLOOKUP(DATOS!$I5811,CONFIG_ASIGNATURAS!$B$2:$J$61,9,FALSE()),""))</f>
      </c>
    </row>
    <row r="5812">
      <c r="E5812">
        <f>IF(DATOS!$I5812="","",IFERROR(VLOOKUP(DATOS!$I5812,CONFIG_ASIGNATURAS!$B$2:$J$61,9,FALSE()),""))</f>
      </c>
    </row>
    <row r="5813">
      <c r="E5813">
        <f>IF(DATOS!$I5813="","",IFERROR(VLOOKUP(DATOS!$I5813,CONFIG_ASIGNATURAS!$B$2:$J$61,9,FALSE()),""))</f>
      </c>
    </row>
    <row r="5814">
      <c r="E5814">
        <f>IF(DATOS!$I5814="","",IFERROR(VLOOKUP(DATOS!$I5814,CONFIG_ASIGNATURAS!$B$2:$J$61,9,FALSE()),""))</f>
      </c>
    </row>
    <row r="5815">
      <c r="E5815">
        <f>IF(DATOS!$I5815="","",IFERROR(VLOOKUP(DATOS!$I5815,CONFIG_ASIGNATURAS!$B$2:$J$61,9,FALSE()),""))</f>
      </c>
    </row>
    <row r="5816">
      <c r="E5816">
        <f>IF(DATOS!$I5816="","",IFERROR(VLOOKUP(DATOS!$I5816,CONFIG_ASIGNATURAS!$B$2:$J$61,9,FALSE()),""))</f>
      </c>
    </row>
    <row r="5817">
      <c r="E5817">
        <f>IF(DATOS!$I5817="","",IFERROR(VLOOKUP(DATOS!$I5817,CONFIG_ASIGNATURAS!$B$2:$J$61,9,FALSE()),""))</f>
      </c>
    </row>
    <row r="5818">
      <c r="E5818">
        <f>IF(DATOS!$I5818="","",IFERROR(VLOOKUP(DATOS!$I5818,CONFIG_ASIGNATURAS!$B$2:$J$61,9,FALSE()),""))</f>
      </c>
    </row>
    <row r="5819">
      <c r="E5819">
        <f>IF(DATOS!$I5819="","",IFERROR(VLOOKUP(DATOS!$I5819,CONFIG_ASIGNATURAS!$B$2:$J$61,9,FALSE()),""))</f>
      </c>
    </row>
    <row r="5820">
      <c r="E5820">
        <f>IF(DATOS!$I5820="","",IFERROR(VLOOKUP(DATOS!$I5820,CONFIG_ASIGNATURAS!$B$2:$J$61,9,FALSE()),""))</f>
      </c>
    </row>
    <row r="5821">
      <c r="E5821">
        <f>IF(DATOS!$I5821="","",IFERROR(VLOOKUP(DATOS!$I5821,CONFIG_ASIGNATURAS!$B$2:$J$61,9,FALSE()),""))</f>
      </c>
    </row>
    <row r="5822">
      <c r="E5822">
        <f>IF(DATOS!$I5822="","",IFERROR(VLOOKUP(DATOS!$I5822,CONFIG_ASIGNATURAS!$B$2:$J$61,9,FALSE()),""))</f>
      </c>
    </row>
    <row r="5823">
      <c r="E5823">
        <f>IF(DATOS!$I5823="","",IFERROR(VLOOKUP(DATOS!$I5823,CONFIG_ASIGNATURAS!$B$2:$J$61,9,FALSE()),""))</f>
      </c>
    </row>
    <row r="5824">
      <c r="E5824">
        <f>IF(DATOS!$I5824="","",IFERROR(VLOOKUP(DATOS!$I5824,CONFIG_ASIGNATURAS!$B$2:$J$61,9,FALSE()),""))</f>
      </c>
    </row>
    <row r="5825">
      <c r="E5825">
        <f>IF(DATOS!$I5825="","",IFERROR(VLOOKUP(DATOS!$I5825,CONFIG_ASIGNATURAS!$B$2:$J$61,9,FALSE()),""))</f>
      </c>
    </row>
    <row r="5826">
      <c r="E5826">
        <f>IF(DATOS!$I5826="","",IFERROR(VLOOKUP(DATOS!$I5826,CONFIG_ASIGNATURAS!$B$2:$J$61,9,FALSE()),""))</f>
      </c>
    </row>
    <row r="5827">
      <c r="E5827">
        <f>IF(DATOS!$I5827="","",IFERROR(VLOOKUP(DATOS!$I5827,CONFIG_ASIGNATURAS!$B$2:$J$61,9,FALSE()),""))</f>
      </c>
    </row>
    <row r="5828">
      <c r="E5828">
        <f>IF(DATOS!$I5828="","",IFERROR(VLOOKUP(DATOS!$I5828,CONFIG_ASIGNATURAS!$B$2:$J$61,9,FALSE()),""))</f>
      </c>
    </row>
    <row r="5829">
      <c r="E5829">
        <f>IF(DATOS!$I5829="","",IFERROR(VLOOKUP(DATOS!$I5829,CONFIG_ASIGNATURAS!$B$2:$J$61,9,FALSE()),""))</f>
      </c>
    </row>
    <row r="5830">
      <c r="E5830">
        <f>IF(DATOS!$I5830="","",IFERROR(VLOOKUP(DATOS!$I5830,CONFIG_ASIGNATURAS!$B$2:$J$61,9,FALSE()),""))</f>
      </c>
    </row>
    <row r="5831">
      <c r="E5831">
        <f>IF(DATOS!$I5831="","",IFERROR(VLOOKUP(DATOS!$I5831,CONFIG_ASIGNATURAS!$B$2:$J$61,9,FALSE()),""))</f>
      </c>
    </row>
    <row r="5832">
      <c r="E5832">
        <f>IF(DATOS!$I5832="","",IFERROR(VLOOKUP(DATOS!$I5832,CONFIG_ASIGNATURAS!$B$2:$J$61,9,FALSE()),""))</f>
      </c>
    </row>
    <row r="5833">
      <c r="E5833">
        <f>IF(DATOS!$I5833="","",IFERROR(VLOOKUP(DATOS!$I5833,CONFIG_ASIGNATURAS!$B$2:$J$61,9,FALSE()),""))</f>
      </c>
    </row>
    <row r="5834">
      <c r="E5834">
        <f>IF(DATOS!$I5834="","",IFERROR(VLOOKUP(DATOS!$I5834,CONFIG_ASIGNATURAS!$B$2:$J$61,9,FALSE()),""))</f>
      </c>
    </row>
    <row r="5835">
      <c r="E5835">
        <f>IF(DATOS!$I5835="","",IFERROR(VLOOKUP(DATOS!$I5835,CONFIG_ASIGNATURAS!$B$2:$J$61,9,FALSE()),""))</f>
      </c>
    </row>
    <row r="5836">
      <c r="E5836">
        <f>IF(DATOS!$I5836="","",IFERROR(VLOOKUP(DATOS!$I5836,CONFIG_ASIGNATURAS!$B$2:$J$61,9,FALSE()),""))</f>
      </c>
    </row>
    <row r="5837">
      <c r="E5837">
        <f>IF(DATOS!$I5837="","",IFERROR(VLOOKUP(DATOS!$I5837,CONFIG_ASIGNATURAS!$B$2:$J$61,9,FALSE()),""))</f>
      </c>
    </row>
    <row r="5838">
      <c r="E5838">
        <f>IF(DATOS!$I5838="","",IFERROR(VLOOKUP(DATOS!$I5838,CONFIG_ASIGNATURAS!$B$2:$J$61,9,FALSE()),""))</f>
      </c>
    </row>
    <row r="5839">
      <c r="E5839">
        <f>IF(DATOS!$I5839="","",IFERROR(VLOOKUP(DATOS!$I5839,CONFIG_ASIGNATURAS!$B$2:$J$61,9,FALSE()),""))</f>
      </c>
    </row>
    <row r="5840">
      <c r="E5840">
        <f>IF(DATOS!$I5840="","",IFERROR(VLOOKUP(DATOS!$I5840,CONFIG_ASIGNATURAS!$B$2:$J$61,9,FALSE()),""))</f>
      </c>
    </row>
    <row r="5841">
      <c r="E5841">
        <f>IF(DATOS!$I5841="","",IFERROR(VLOOKUP(DATOS!$I5841,CONFIG_ASIGNATURAS!$B$2:$J$61,9,FALSE()),""))</f>
      </c>
    </row>
    <row r="5842">
      <c r="E5842">
        <f>IF(DATOS!$I5842="","",IFERROR(VLOOKUP(DATOS!$I5842,CONFIG_ASIGNATURAS!$B$2:$J$61,9,FALSE()),""))</f>
      </c>
    </row>
    <row r="5843">
      <c r="E5843">
        <f>IF(DATOS!$I5843="","",IFERROR(VLOOKUP(DATOS!$I5843,CONFIG_ASIGNATURAS!$B$2:$J$61,9,FALSE()),""))</f>
      </c>
    </row>
    <row r="5844">
      <c r="E5844">
        <f>IF(DATOS!$I5844="","",IFERROR(VLOOKUP(DATOS!$I5844,CONFIG_ASIGNATURAS!$B$2:$J$61,9,FALSE()),""))</f>
      </c>
    </row>
    <row r="5845">
      <c r="E5845">
        <f>IF(DATOS!$I5845="","",IFERROR(VLOOKUP(DATOS!$I5845,CONFIG_ASIGNATURAS!$B$2:$J$61,9,FALSE()),""))</f>
      </c>
    </row>
    <row r="5846">
      <c r="E5846">
        <f>IF(DATOS!$I5846="","",IFERROR(VLOOKUP(DATOS!$I5846,CONFIG_ASIGNATURAS!$B$2:$J$61,9,FALSE()),""))</f>
      </c>
    </row>
    <row r="5847">
      <c r="E5847">
        <f>IF(DATOS!$I5847="","",IFERROR(VLOOKUP(DATOS!$I5847,CONFIG_ASIGNATURAS!$B$2:$J$61,9,FALSE()),""))</f>
      </c>
    </row>
    <row r="5848">
      <c r="E5848">
        <f>IF(DATOS!$I5848="","",IFERROR(VLOOKUP(DATOS!$I5848,CONFIG_ASIGNATURAS!$B$2:$J$61,9,FALSE()),""))</f>
      </c>
    </row>
    <row r="5849">
      <c r="E5849">
        <f>IF(DATOS!$I5849="","",IFERROR(VLOOKUP(DATOS!$I5849,CONFIG_ASIGNATURAS!$B$2:$J$61,9,FALSE()),""))</f>
      </c>
    </row>
    <row r="5850">
      <c r="E5850">
        <f>IF(DATOS!$I5850="","",IFERROR(VLOOKUP(DATOS!$I5850,CONFIG_ASIGNATURAS!$B$2:$J$61,9,FALSE()),""))</f>
      </c>
    </row>
    <row r="5851">
      <c r="E5851">
        <f>IF(DATOS!$I5851="","",IFERROR(VLOOKUP(DATOS!$I5851,CONFIG_ASIGNATURAS!$B$2:$J$61,9,FALSE()),""))</f>
      </c>
    </row>
    <row r="5852">
      <c r="E5852">
        <f>IF(DATOS!$I5852="","",IFERROR(VLOOKUP(DATOS!$I5852,CONFIG_ASIGNATURAS!$B$2:$J$61,9,FALSE()),""))</f>
      </c>
    </row>
    <row r="5853">
      <c r="E5853">
        <f>IF(DATOS!$I5853="","",IFERROR(VLOOKUP(DATOS!$I5853,CONFIG_ASIGNATURAS!$B$2:$J$61,9,FALSE()),""))</f>
      </c>
    </row>
    <row r="5854">
      <c r="E5854">
        <f>IF(DATOS!$I5854="","",IFERROR(VLOOKUP(DATOS!$I5854,CONFIG_ASIGNATURAS!$B$2:$J$61,9,FALSE()),""))</f>
      </c>
    </row>
    <row r="5855">
      <c r="E5855">
        <f>IF(DATOS!$I5855="","",IFERROR(VLOOKUP(DATOS!$I5855,CONFIG_ASIGNATURAS!$B$2:$J$61,9,FALSE()),""))</f>
      </c>
    </row>
    <row r="5856">
      <c r="E5856">
        <f>IF(DATOS!$I5856="","",IFERROR(VLOOKUP(DATOS!$I5856,CONFIG_ASIGNATURAS!$B$2:$J$61,9,FALSE()),""))</f>
      </c>
    </row>
    <row r="5857">
      <c r="E5857">
        <f>IF(DATOS!$I5857="","",IFERROR(VLOOKUP(DATOS!$I5857,CONFIG_ASIGNATURAS!$B$2:$J$61,9,FALSE()),""))</f>
      </c>
    </row>
    <row r="5858">
      <c r="E5858">
        <f>IF(DATOS!$I5858="","",IFERROR(VLOOKUP(DATOS!$I5858,CONFIG_ASIGNATURAS!$B$2:$J$61,9,FALSE()),""))</f>
      </c>
    </row>
    <row r="5859">
      <c r="E5859">
        <f>IF(DATOS!$I5859="","",IFERROR(VLOOKUP(DATOS!$I5859,CONFIG_ASIGNATURAS!$B$2:$J$61,9,FALSE()),""))</f>
      </c>
    </row>
    <row r="5860">
      <c r="E5860">
        <f>IF(DATOS!$I5860="","",IFERROR(VLOOKUP(DATOS!$I5860,CONFIG_ASIGNATURAS!$B$2:$J$61,9,FALSE()),""))</f>
      </c>
    </row>
    <row r="5861">
      <c r="E5861">
        <f>IF(DATOS!$I5861="","",IFERROR(VLOOKUP(DATOS!$I5861,CONFIG_ASIGNATURAS!$B$2:$J$61,9,FALSE()),""))</f>
      </c>
    </row>
    <row r="5862">
      <c r="E5862">
        <f>IF(DATOS!$I5862="","",IFERROR(VLOOKUP(DATOS!$I5862,CONFIG_ASIGNATURAS!$B$2:$J$61,9,FALSE()),""))</f>
      </c>
    </row>
    <row r="5863">
      <c r="E5863">
        <f>IF(DATOS!$I5863="","",IFERROR(VLOOKUP(DATOS!$I5863,CONFIG_ASIGNATURAS!$B$2:$J$61,9,FALSE()),""))</f>
      </c>
    </row>
    <row r="5864">
      <c r="E5864">
        <f>IF(DATOS!$I5864="","",IFERROR(VLOOKUP(DATOS!$I5864,CONFIG_ASIGNATURAS!$B$2:$J$61,9,FALSE()),""))</f>
      </c>
    </row>
    <row r="5865">
      <c r="E5865">
        <f>IF(DATOS!$I5865="","",IFERROR(VLOOKUP(DATOS!$I5865,CONFIG_ASIGNATURAS!$B$2:$J$61,9,FALSE()),""))</f>
      </c>
    </row>
    <row r="5866">
      <c r="E5866">
        <f>IF(DATOS!$I5866="","",IFERROR(VLOOKUP(DATOS!$I5866,CONFIG_ASIGNATURAS!$B$2:$J$61,9,FALSE()),""))</f>
      </c>
    </row>
    <row r="5867">
      <c r="E5867">
        <f>IF(DATOS!$I5867="","",IFERROR(VLOOKUP(DATOS!$I5867,CONFIG_ASIGNATURAS!$B$2:$J$61,9,FALSE()),""))</f>
      </c>
    </row>
    <row r="5868">
      <c r="E5868">
        <f>IF(DATOS!$I5868="","",IFERROR(VLOOKUP(DATOS!$I5868,CONFIG_ASIGNATURAS!$B$2:$J$61,9,FALSE()),""))</f>
      </c>
    </row>
    <row r="5869">
      <c r="E5869">
        <f>IF(DATOS!$I5869="","",IFERROR(VLOOKUP(DATOS!$I5869,CONFIG_ASIGNATURAS!$B$2:$J$61,9,FALSE()),""))</f>
      </c>
    </row>
    <row r="5870">
      <c r="E5870">
        <f>IF(DATOS!$I5870="","",IFERROR(VLOOKUP(DATOS!$I5870,CONFIG_ASIGNATURAS!$B$2:$J$61,9,FALSE()),""))</f>
      </c>
    </row>
    <row r="5871">
      <c r="E5871">
        <f>IF(DATOS!$I5871="","",IFERROR(VLOOKUP(DATOS!$I5871,CONFIG_ASIGNATURAS!$B$2:$J$61,9,FALSE()),""))</f>
      </c>
    </row>
    <row r="5872">
      <c r="E5872">
        <f>IF(DATOS!$I5872="","",IFERROR(VLOOKUP(DATOS!$I5872,CONFIG_ASIGNATURAS!$B$2:$J$61,9,FALSE()),""))</f>
      </c>
    </row>
    <row r="5873">
      <c r="E5873">
        <f>IF(DATOS!$I5873="","",IFERROR(VLOOKUP(DATOS!$I5873,CONFIG_ASIGNATURAS!$B$2:$J$61,9,FALSE()),""))</f>
      </c>
    </row>
    <row r="5874">
      <c r="E5874">
        <f>IF(DATOS!$I5874="","",IFERROR(VLOOKUP(DATOS!$I5874,CONFIG_ASIGNATURAS!$B$2:$J$61,9,FALSE()),""))</f>
      </c>
    </row>
    <row r="5875">
      <c r="E5875">
        <f>IF(DATOS!$I5875="","",IFERROR(VLOOKUP(DATOS!$I5875,CONFIG_ASIGNATURAS!$B$2:$J$61,9,FALSE()),""))</f>
      </c>
    </row>
    <row r="5876">
      <c r="E5876">
        <f>IF(DATOS!$I5876="","",IFERROR(VLOOKUP(DATOS!$I5876,CONFIG_ASIGNATURAS!$B$2:$J$61,9,FALSE()),""))</f>
      </c>
    </row>
    <row r="5877">
      <c r="E5877">
        <f>IF(DATOS!$I5877="","",IFERROR(VLOOKUP(DATOS!$I5877,CONFIG_ASIGNATURAS!$B$2:$J$61,9,FALSE()),""))</f>
      </c>
    </row>
    <row r="5878">
      <c r="E5878">
        <f>IF(DATOS!$I5878="","",IFERROR(VLOOKUP(DATOS!$I5878,CONFIG_ASIGNATURAS!$B$2:$J$61,9,FALSE()),""))</f>
      </c>
    </row>
    <row r="5879">
      <c r="E5879">
        <f>IF(DATOS!$I5879="","",IFERROR(VLOOKUP(DATOS!$I5879,CONFIG_ASIGNATURAS!$B$2:$J$61,9,FALSE()),""))</f>
      </c>
    </row>
    <row r="5880">
      <c r="E5880">
        <f>IF(DATOS!$I5880="","",IFERROR(VLOOKUP(DATOS!$I5880,CONFIG_ASIGNATURAS!$B$2:$J$61,9,FALSE()),""))</f>
      </c>
    </row>
    <row r="5881">
      <c r="E5881">
        <f>IF(DATOS!$I5881="","",IFERROR(VLOOKUP(DATOS!$I5881,CONFIG_ASIGNATURAS!$B$2:$J$61,9,FALSE()),""))</f>
      </c>
    </row>
    <row r="5882">
      <c r="E5882">
        <f>IF(DATOS!$I5882="","",IFERROR(VLOOKUP(DATOS!$I5882,CONFIG_ASIGNATURAS!$B$2:$J$61,9,FALSE()),""))</f>
      </c>
    </row>
    <row r="5883">
      <c r="E5883">
        <f>IF(DATOS!$I5883="","",IFERROR(VLOOKUP(DATOS!$I5883,CONFIG_ASIGNATURAS!$B$2:$J$61,9,FALSE()),""))</f>
      </c>
    </row>
    <row r="5884">
      <c r="E5884">
        <f>IF(DATOS!$I5884="","",IFERROR(VLOOKUP(DATOS!$I5884,CONFIG_ASIGNATURAS!$B$2:$J$61,9,FALSE()),""))</f>
      </c>
    </row>
    <row r="5885">
      <c r="E5885">
        <f>IF(DATOS!$I5885="","",IFERROR(VLOOKUP(DATOS!$I5885,CONFIG_ASIGNATURAS!$B$2:$J$61,9,FALSE()),""))</f>
      </c>
    </row>
    <row r="5886">
      <c r="E5886">
        <f>IF(DATOS!$I5886="","",IFERROR(VLOOKUP(DATOS!$I5886,CONFIG_ASIGNATURAS!$B$2:$J$61,9,FALSE()),""))</f>
      </c>
    </row>
    <row r="5887">
      <c r="E5887">
        <f>IF(DATOS!$I5887="","",IFERROR(VLOOKUP(DATOS!$I5887,CONFIG_ASIGNATURAS!$B$2:$J$61,9,FALSE()),""))</f>
      </c>
    </row>
    <row r="5888">
      <c r="E5888">
        <f>IF(DATOS!$I5888="","",IFERROR(VLOOKUP(DATOS!$I5888,CONFIG_ASIGNATURAS!$B$2:$J$61,9,FALSE()),""))</f>
      </c>
    </row>
    <row r="5889">
      <c r="E5889">
        <f>IF(DATOS!$I5889="","",IFERROR(VLOOKUP(DATOS!$I5889,CONFIG_ASIGNATURAS!$B$2:$J$61,9,FALSE()),""))</f>
      </c>
    </row>
    <row r="5890">
      <c r="E5890">
        <f>IF(DATOS!$I5890="","",IFERROR(VLOOKUP(DATOS!$I5890,CONFIG_ASIGNATURAS!$B$2:$J$61,9,FALSE()),""))</f>
      </c>
    </row>
    <row r="5891">
      <c r="E5891">
        <f>IF(DATOS!$I5891="","",IFERROR(VLOOKUP(DATOS!$I5891,CONFIG_ASIGNATURAS!$B$2:$J$61,9,FALSE()),""))</f>
      </c>
    </row>
    <row r="5892">
      <c r="E5892">
        <f>IF(DATOS!$I5892="","",IFERROR(VLOOKUP(DATOS!$I5892,CONFIG_ASIGNATURAS!$B$2:$J$61,9,FALSE()),""))</f>
      </c>
    </row>
    <row r="5893">
      <c r="E5893">
        <f>IF(DATOS!$I5893="","",IFERROR(VLOOKUP(DATOS!$I5893,CONFIG_ASIGNATURAS!$B$2:$J$61,9,FALSE()),""))</f>
      </c>
    </row>
    <row r="5894">
      <c r="E5894">
        <f>IF(DATOS!$I5894="","",IFERROR(VLOOKUP(DATOS!$I5894,CONFIG_ASIGNATURAS!$B$2:$J$61,9,FALSE()),""))</f>
      </c>
    </row>
    <row r="5895">
      <c r="E5895">
        <f>IF(DATOS!$I5895="","",IFERROR(VLOOKUP(DATOS!$I5895,CONFIG_ASIGNATURAS!$B$2:$J$61,9,FALSE()),""))</f>
      </c>
    </row>
    <row r="5896">
      <c r="E5896">
        <f>IF(DATOS!$I5896="","",IFERROR(VLOOKUP(DATOS!$I5896,CONFIG_ASIGNATURAS!$B$2:$J$61,9,FALSE()),""))</f>
      </c>
    </row>
    <row r="5897">
      <c r="E5897">
        <f>IF(DATOS!$I5897="","",IFERROR(VLOOKUP(DATOS!$I5897,CONFIG_ASIGNATURAS!$B$2:$J$61,9,FALSE()),""))</f>
      </c>
    </row>
    <row r="5898">
      <c r="E5898">
        <f>IF(DATOS!$I5898="","",IFERROR(VLOOKUP(DATOS!$I5898,CONFIG_ASIGNATURAS!$B$2:$J$61,9,FALSE()),""))</f>
      </c>
    </row>
    <row r="5899">
      <c r="E5899">
        <f>IF(DATOS!$I5899="","",IFERROR(VLOOKUP(DATOS!$I5899,CONFIG_ASIGNATURAS!$B$2:$J$61,9,FALSE()),""))</f>
      </c>
    </row>
    <row r="5900">
      <c r="E5900">
        <f>IF(DATOS!$I5900="","",IFERROR(VLOOKUP(DATOS!$I5900,CONFIG_ASIGNATURAS!$B$2:$J$61,9,FALSE()),""))</f>
      </c>
    </row>
    <row r="5901">
      <c r="E5901">
        <f>IF(DATOS!$I5901="","",IFERROR(VLOOKUP(DATOS!$I5901,CONFIG_ASIGNATURAS!$B$2:$J$61,9,FALSE()),""))</f>
      </c>
    </row>
    <row r="5902">
      <c r="E5902">
        <f>IF(DATOS!$I5902="","",IFERROR(VLOOKUP(DATOS!$I5902,CONFIG_ASIGNATURAS!$B$2:$J$61,9,FALSE()),""))</f>
      </c>
    </row>
    <row r="5903">
      <c r="E5903">
        <f>IF(DATOS!$I5903="","",IFERROR(VLOOKUP(DATOS!$I5903,CONFIG_ASIGNATURAS!$B$2:$J$61,9,FALSE()),""))</f>
      </c>
    </row>
    <row r="5904">
      <c r="E5904">
        <f>IF(DATOS!$I5904="","",IFERROR(VLOOKUP(DATOS!$I5904,CONFIG_ASIGNATURAS!$B$2:$J$61,9,FALSE()),""))</f>
      </c>
    </row>
    <row r="5905">
      <c r="E5905">
        <f>IF(DATOS!$I5905="","",IFERROR(VLOOKUP(DATOS!$I5905,CONFIG_ASIGNATURAS!$B$2:$J$61,9,FALSE()),""))</f>
      </c>
    </row>
    <row r="5906">
      <c r="E5906">
        <f>IF(DATOS!$I5906="","",IFERROR(VLOOKUP(DATOS!$I5906,CONFIG_ASIGNATURAS!$B$2:$J$61,9,FALSE()),""))</f>
      </c>
    </row>
    <row r="5907">
      <c r="E5907">
        <f>IF(DATOS!$I5907="","",IFERROR(VLOOKUP(DATOS!$I5907,CONFIG_ASIGNATURAS!$B$2:$J$61,9,FALSE()),""))</f>
      </c>
    </row>
    <row r="5908">
      <c r="E5908">
        <f>IF(DATOS!$I5908="","",IFERROR(VLOOKUP(DATOS!$I5908,CONFIG_ASIGNATURAS!$B$2:$J$61,9,FALSE()),""))</f>
      </c>
    </row>
    <row r="5909">
      <c r="E5909">
        <f>IF(DATOS!$I5909="","",IFERROR(VLOOKUP(DATOS!$I5909,CONFIG_ASIGNATURAS!$B$2:$J$61,9,FALSE()),""))</f>
      </c>
    </row>
    <row r="5910">
      <c r="E5910">
        <f>IF(DATOS!$I5910="","",IFERROR(VLOOKUP(DATOS!$I5910,CONFIG_ASIGNATURAS!$B$2:$J$61,9,FALSE()),""))</f>
      </c>
    </row>
    <row r="5911">
      <c r="E5911">
        <f>IF(DATOS!$I5911="","",IFERROR(VLOOKUP(DATOS!$I5911,CONFIG_ASIGNATURAS!$B$2:$J$61,9,FALSE()),""))</f>
      </c>
    </row>
    <row r="5912">
      <c r="E5912">
        <f>IF(DATOS!$I5912="","",IFERROR(VLOOKUP(DATOS!$I5912,CONFIG_ASIGNATURAS!$B$2:$J$61,9,FALSE()),""))</f>
      </c>
    </row>
    <row r="5913">
      <c r="E5913">
        <f>IF(DATOS!$I5913="","",IFERROR(VLOOKUP(DATOS!$I5913,CONFIG_ASIGNATURAS!$B$2:$J$61,9,FALSE()),""))</f>
      </c>
    </row>
    <row r="5914">
      <c r="E5914">
        <f>IF(DATOS!$I5914="","",IFERROR(VLOOKUP(DATOS!$I5914,CONFIG_ASIGNATURAS!$B$2:$J$61,9,FALSE()),""))</f>
      </c>
    </row>
    <row r="5915">
      <c r="E5915">
        <f>IF(DATOS!$I5915="","",IFERROR(VLOOKUP(DATOS!$I5915,CONFIG_ASIGNATURAS!$B$2:$J$61,9,FALSE()),""))</f>
      </c>
    </row>
    <row r="5916">
      <c r="E5916">
        <f>IF(DATOS!$I5916="","",IFERROR(VLOOKUP(DATOS!$I5916,CONFIG_ASIGNATURAS!$B$2:$J$61,9,FALSE()),""))</f>
      </c>
    </row>
    <row r="5917">
      <c r="E5917">
        <f>IF(DATOS!$I5917="","",IFERROR(VLOOKUP(DATOS!$I5917,CONFIG_ASIGNATURAS!$B$2:$J$61,9,FALSE()),""))</f>
      </c>
    </row>
    <row r="5918">
      <c r="E5918">
        <f>IF(DATOS!$I5918="","",IFERROR(VLOOKUP(DATOS!$I5918,CONFIG_ASIGNATURAS!$B$2:$J$61,9,FALSE()),""))</f>
      </c>
    </row>
    <row r="5919">
      <c r="E5919">
        <f>IF(DATOS!$I5919="","",IFERROR(VLOOKUP(DATOS!$I5919,CONFIG_ASIGNATURAS!$B$2:$J$61,9,FALSE()),""))</f>
      </c>
    </row>
    <row r="5920">
      <c r="E5920">
        <f>IF(DATOS!$I5920="","",IFERROR(VLOOKUP(DATOS!$I5920,CONFIG_ASIGNATURAS!$B$2:$J$61,9,FALSE()),""))</f>
      </c>
    </row>
    <row r="5921">
      <c r="E5921">
        <f>IF(DATOS!$I5921="","",IFERROR(VLOOKUP(DATOS!$I5921,CONFIG_ASIGNATURAS!$B$2:$J$61,9,FALSE()),""))</f>
      </c>
    </row>
    <row r="5922">
      <c r="E5922">
        <f>IF(DATOS!$I5922="","",IFERROR(VLOOKUP(DATOS!$I5922,CONFIG_ASIGNATURAS!$B$2:$J$61,9,FALSE()),""))</f>
      </c>
    </row>
    <row r="5923">
      <c r="E5923">
        <f>IF(DATOS!$I5923="","",IFERROR(VLOOKUP(DATOS!$I5923,CONFIG_ASIGNATURAS!$B$2:$J$61,9,FALSE()),""))</f>
      </c>
    </row>
    <row r="5924">
      <c r="E5924">
        <f>IF(DATOS!$I5924="","",IFERROR(VLOOKUP(DATOS!$I5924,CONFIG_ASIGNATURAS!$B$2:$J$61,9,FALSE()),""))</f>
      </c>
    </row>
    <row r="5925">
      <c r="E5925">
        <f>IF(DATOS!$I5925="","",IFERROR(VLOOKUP(DATOS!$I5925,CONFIG_ASIGNATURAS!$B$2:$J$61,9,FALSE()),""))</f>
      </c>
    </row>
    <row r="5926">
      <c r="E5926">
        <f>IF(DATOS!$I5926="","",IFERROR(VLOOKUP(DATOS!$I5926,CONFIG_ASIGNATURAS!$B$2:$J$61,9,FALSE()),""))</f>
      </c>
    </row>
    <row r="5927">
      <c r="E5927">
        <f>IF(DATOS!$I5927="","",IFERROR(VLOOKUP(DATOS!$I5927,CONFIG_ASIGNATURAS!$B$2:$J$61,9,FALSE()),""))</f>
      </c>
    </row>
    <row r="5928">
      <c r="E5928">
        <f>IF(DATOS!$I5928="","",IFERROR(VLOOKUP(DATOS!$I5928,CONFIG_ASIGNATURAS!$B$2:$J$61,9,FALSE()),""))</f>
      </c>
    </row>
    <row r="5929">
      <c r="E5929">
        <f>IF(DATOS!$I5929="","",IFERROR(VLOOKUP(DATOS!$I5929,CONFIG_ASIGNATURAS!$B$2:$J$61,9,FALSE()),""))</f>
      </c>
    </row>
    <row r="5930">
      <c r="E5930">
        <f>IF(DATOS!$I5930="","",IFERROR(VLOOKUP(DATOS!$I5930,CONFIG_ASIGNATURAS!$B$2:$J$61,9,FALSE()),""))</f>
      </c>
    </row>
    <row r="5931">
      <c r="E5931">
        <f>IF(DATOS!$I5931="","",IFERROR(VLOOKUP(DATOS!$I5931,CONFIG_ASIGNATURAS!$B$2:$J$61,9,FALSE()),""))</f>
      </c>
    </row>
    <row r="5932">
      <c r="E5932">
        <f>IF(DATOS!$I5932="","",IFERROR(VLOOKUP(DATOS!$I5932,CONFIG_ASIGNATURAS!$B$2:$J$61,9,FALSE()),""))</f>
      </c>
    </row>
    <row r="5933">
      <c r="E5933">
        <f>IF(DATOS!$I5933="","",IFERROR(VLOOKUP(DATOS!$I5933,CONFIG_ASIGNATURAS!$B$2:$J$61,9,FALSE()),""))</f>
      </c>
    </row>
    <row r="5934">
      <c r="E5934">
        <f>IF(DATOS!$I5934="","",IFERROR(VLOOKUP(DATOS!$I5934,CONFIG_ASIGNATURAS!$B$2:$J$61,9,FALSE()),""))</f>
      </c>
    </row>
    <row r="5935">
      <c r="E5935">
        <f>IF(DATOS!$I5935="","",IFERROR(VLOOKUP(DATOS!$I5935,CONFIG_ASIGNATURAS!$B$2:$J$61,9,FALSE()),""))</f>
      </c>
    </row>
    <row r="5936">
      <c r="E5936">
        <f>IF(DATOS!$I5936="","",IFERROR(VLOOKUP(DATOS!$I5936,CONFIG_ASIGNATURAS!$B$2:$J$61,9,FALSE()),""))</f>
      </c>
    </row>
    <row r="5937">
      <c r="E5937">
        <f>IF(DATOS!$I5937="","",IFERROR(VLOOKUP(DATOS!$I5937,CONFIG_ASIGNATURAS!$B$2:$J$61,9,FALSE()),""))</f>
      </c>
    </row>
    <row r="5938">
      <c r="E5938">
        <f>IF(DATOS!$I5938="","",IFERROR(VLOOKUP(DATOS!$I5938,CONFIG_ASIGNATURAS!$B$2:$J$61,9,FALSE()),""))</f>
      </c>
    </row>
    <row r="5939">
      <c r="E5939">
        <f>IF(DATOS!$I5939="","",IFERROR(VLOOKUP(DATOS!$I5939,CONFIG_ASIGNATURAS!$B$2:$J$61,9,FALSE()),""))</f>
      </c>
    </row>
    <row r="5940">
      <c r="E5940">
        <f>IF(DATOS!$I5940="","",IFERROR(VLOOKUP(DATOS!$I5940,CONFIG_ASIGNATURAS!$B$2:$J$61,9,FALSE()),""))</f>
      </c>
    </row>
    <row r="5941">
      <c r="E5941">
        <f>IF(DATOS!$I5941="","",IFERROR(VLOOKUP(DATOS!$I5941,CONFIG_ASIGNATURAS!$B$2:$J$61,9,FALSE()),""))</f>
      </c>
    </row>
    <row r="5942">
      <c r="E5942">
        <f>IF(DATOS!$I5942="","",IFERROR(VLOOKUP(DATOS!$I5942,CONFIG_ASIGNATURAS!$B$2:$J$61,9,FALSE()),""))</f>
      </c>
    </row>
    <row r="5943">
      <c r="E5943">
        <f>IF(DATOS!$I5943="","",IFERROR(VLOOKUP(DATOS!$I5943,CONFIG_ASIGNATURAS!$B$2:$J$61,9,FALSE()),""))</f>
      </c>
    </row>
    <row r="5944">
      <c r="E5944">
        <f>IF(DATOS!$I5944="","",IFERROR(VLOOKUP(DATOS!$I5944,CONFIG_ASIGNATURAS!$B$2:$J$61,9,FALSE()),""))</f>
      </c>
    </row>
    <row r="5945">
      <c r="E5945">
        <f>IF(DATOS!$I5945="","",IFERROR(VLOOKUP(DATOS!$I5945,CONFIG_ASIGNATURAS!$B$2:$J$61,9,FALSE()),""))</f>
      </c>
    </row>
    <row r="5946">
      <c r="E5946">
        <f>IF(DATOS!$I5946="","",IFERROR(VLOOKUP(DATOS!$I5946,CONFIG_ASIGNATURAS!$B$2:$J$61,9,FALSE()),""))</f>
      </c>
    </row>
    <row r="5947">
      <c r="E5947">
        <f>IF(DATOS!$I5947="","",IFERROR(VLOOKUP(DATOS!$I5947,CONFIG_ASIGNATURAS!$B$2:$J$61,9,FALSE()),""))</f>
      </c>
    </row>
    <row r="5948">
      <c r="E5948">
        <f>IF(DATOS!$I5948="","",IFERROR(VLOOKUP(DATOS!$I5948,CONFIG_ASIGNATURAS!$B$2:$J$61,9,FALSE()),""))</f>
      </c>
    </row>
    <row r="5949">
      <c r="E5949">
        <f>IF(DATOS!$I5949="","",IFERROR(VLOOKUP(DATOS!$I5949,CONFIG_ASIGNATURAS!$B$2:$J$61,9,FALSE()),""))</f>
      </c>
    </row>
    <row r="5950">
      <c r="E5950">
        <f>IF(DATOS!$I5950="","",IFERROR(VLOOKUP(DATOS!$I5950,CONFIG_ASIGNATURAS!$B$2:$J$61,9,FALSE()),""))</f>
      </c>
    </row>
    <row r="5951">
      <c r="E5951">
        <f>IF(DATOS!$I5951="","",IFERROR(VLOOKUP(DATOS!$I5951,CONFIG_ASIGNATURAS!$B$2:$J$61,9,FALSE()),""))</f>
      </c>
    </row>
    <row r="5952">
      <c r="E5952">
        <f>IF(DATOS!$I5952="","",IFERROR(VLOOKUP(DATOS!$I5952,CONFIG_ASIGNATURAS!$B$2:$J$61,9,FALSE()),""))</f>
      </c>
    </row>
    <row r="5953">
      <c r="E5953">
        <f>IF(DATOS!$I5953="","",IFERROR(VLOOKUP(DATOS!$I5953,CONFIG_ASIGNATURAS!$B$2:$J$61,9,FALSE()),""))</f>
      </c>
    </row>
    <row r="5954">
      <c r="E5954">
        <f>IF(DATOS!$I5954="","",IFERROR(VLOOKUP(DATOS!$I5954,CONFIG_ASIGNATURAS!$B$2:$J$61,9,FALSE()),""))</f>
      </c>
    </row>
    <row r="5955">
      <c r="E5955">
        <f>IF(DATOS!$I5955="","",IFERROR(VLOOKUP(DATOS!$I5955,CONFIG_ASIGNATURAS!$B$2:$J$61,9,FALSE()),""))</f>
      </c>
    </row>
    <row r="5956">
      <c r="E5956">
        <f>IF(DATOS!$I5956="","",IFERROR(VLOOKUP(DATOS!$I5956,CONFIG_ASIGNATURAS!$B$2:$J$61,9,FALSE()),""))</f>
      </c>
    </row>
    <row r="5957">
      <c r="E5957">
        <f>IF(DATOS!$I5957="","",IFERROR(VLOOKUP(DATOS!$I5957,CONFIG_ASIGNATURAS!$B$2:$J$61,9,FALSE()),""))</f>
      </c>
    </row>
    <row r="5958">
      <c r="E5958">
        <f>IF(DATOS!$I5958="","",IFERROR(VLOOKUP(DATOS!$I5958,CONFIG_ASIGNATURAS!$B$2:$J$61,9,FALSE()),""))</f>
      </c>
    </row>
    <row r="5959">
      <c r="E5959">
        <f>IF(DATOS!$I5959="","",IFERROR(VLOOKUP(DATOS!$I5959,CONFIG_ASIGNATURAS!$B$2:$J$61,9,FALSE()),""))</f>
      </c>
    </row>
    <row r="5960">
      <c r="E5960">
        <f>IF(DATOS!$I5960="","",IFERROR(VLOOKUP(DATOS!$I5960,CONFIG_ASIGNATURAS!$B$2:$J$61,9,FALSE()),""))</f>
      </c>
    </row>
    <row r="5961">
      <c r="E5961">
        <f>IF(DATOS!$I5961="","",IFERROR(VLOOKUP(DATOS!$I5961,CONFIG_ASIGNATURAS!$B$2:$J$61,9,FALSE()),""))</f>
      </c>
    </row>
    <row r="5962">
      <c r="E5962">
        <f>IF(DATOS!$I5962="","",IFERROR(VLOOKUP(DATOS!$I5962,CONFIG_ASIGNATURAS!$B$2:$J$61,9,FALSE()),""))</f>
      </c>
    </row>
    <row r="5963">
      <c r="E5963">
        <f>IF(DATOS!$I5963="","",IFERROR(VLOOKUP(DATOS!$I5963,CONFIG_ASIGNATURAS!$B$2:$J$61,9,FALSE()),""))</f>
      </c>
    </row>
    <row r="5964">
      <c r="E5964">
        <f>IF(DATOS!$I5964="","",IFERROR(VLOOKUP(DATOS!$I5964,CONFIG_ASIGNATURAS!$B$2:$J$61,9,FALSE()),""))</f>
      </c>
    </row>
    <row r="5965">
      <c r="E5965">
        <f>IF(DATOS!$I5965="","",IFERROR(VLOOKUP(DATOS!$I5965,CONFIG_ASIGNATURAS!$B$2:$J$61,9,FALSE()),""))</f>
      </c>
    </row>
    <row r="5966">
      <c r="E5966">
        <f>IF(DATOS!$I5966="","",IFERROR(VLOOKUP(DATOS!$I5966,CONFIG_ASIGNATURAS!$B$2:$J$61,9,FALSE()),""))</f>
      </c>
    </row>
    <row r="5967">
      <c r="E5967">
        <f>IF(DATOS!$I5967="","",IFERROR(VLOOKUP(DATOS!$I5967,CONFIG_ASIGNATURAS!$B$2:$J$61,9,FALSE()),""))</f>
      </c>
    </row>
    <row r="5968">
      <c r="E5968">
        <f>IF(DATOS!$I5968="","",IFERROR(VLOOKUP(DATOS!$I5968,CONFIG_ASIGNATURAS!$B$2:$J$61,9,FALSE()),""))</f>
      </c>
    </row>
    <row r="5969">
      <c r="E5969">
        <f>IF(DATOS!$I5969="","",IFERROR(VLOOKUP(DATOS!$I5969,CONFIG_ASIGNATURAS!$B$2:$J$61,9,FALSE()),""))</f>
      </c>
    </row>
    <row r="5970">
      <c r="E5970">
        <f>IF(DATOS!$I5970="","",IFERROR(VLOOKUP(DATOS!$I5970,CONFIG_ASIGNATURAS!$B$2:$J$61,9,FALSE()),""))</f>
      </c>
    </row>
    <row r="5971">
      <c r="E5971">
        <f>IF(DATOS!$I5971="","",IFERROR(VLOOKUP(DATOS!$I5971,CONFIG_ASIGNATURAS!$B$2:$J$61,9,FALSE()),""))</f>
      </c>
    </row>
    <row r="5972">
      <c r="E5972">
        <f>IF(DATOS!$I5972="","",IFERROR(VLOOKUP(DATOS!$I5972,CONFIG_ASIGNATURAS!$B$2:$J$61,9,FALSE()),""))</f>
      </c>
    </row>
    <row r="5973">
      <c r="E5973">
        <f>IF(DATOS!$I5973="","",IFERROR(VLOOKUP(DATOS!$I5973,CONFIG_ASIGNATURAS!$B$2:$J$61,9,FALSE()),""))</f>
      </c>
    </row>
    <row r="5974">
      <c r="E5974">
        <f>IF(DATOS!$I5974="","",IFERROR(VLOOKUP(DATOS!$I5974,CONFIG_ASIGNATURAS!$B$2:$J$61,9,FALSE()),""))</f>
      </c>
    </row>
    <row r="5975">
      <c r="E5975">
        <f>IF(DATOS!$I5975="","",IFERROR(VLOOKUP(DATOS!$I5975,CONFIG_ASIGNATURAS!$B$2:$J$61,9,FALSE()),""))</f>
      </c>
    </row>
    <row r="5976">
      <c r="E5976">
        <f>IF(DATOS!$I5976="","",IFERROR(VLOOKUP(DATOS!$I5976,CONFIG_ASIGNATURAS!$B$2:$J$61,9,FALSE()),""))</f>
      </c>
    </row>
    <row r="5977">
      <c r="E5977">
        <f>IF(DATOS!$I5977="","",IFERROR(VLOOKUP(DATOS!$I5977,CONFIG_ASIGNATURAS!$B$2:$J$61,9,FALSE()),""))</f>
      </c>
    </row>
    <row r="5978">
      <c r="E5978">
        <f>IF(DATOS!$I5978="","",IFERROR(VLOOKUP(DATOS!$I5978,CONFIG_ASIGNATURAS!$B$2:$J$61,9,FALSE()),""))</f>
      </c>
    </row>
    <row r="5979">
      <c r="E5979">
        <f>IF(DATOS!$I5979="","",IFERROR(VLOOKUP(DATOS!$I5979,CONFIG_ASIGNATURAS!$B$2:$J$61,9,FALSE()),""))</f>
      </c>
    </row>
    <row r="5980">
      <c r="E5980">
        <f>IF(DATOS!$I5980="","",IFERROR(VLOOKUP(DATOS!$I5980,CONFIG_ASIGNATURAS!$B$2:$J$61,9,FALSE()),""))</f>
      </c>
    </row>
    <row r="5981">
      <c r="E5981">
        <f>IF(DATOS!$I5981="","",IFERROR(VLOOKUP(DATOS!$I5981,CONFIG_ASIGNATURAS!$B$2:$J$61,9,FALSE()),""))</f>
      </c>
    </row>
    <row r="5982">
      <c r="E5982">
        <f>IF(DATOS!$I5982="","",IFERROR(VLOOKUP(DATOS!$I5982,CONFIG_ASIGNATURAS!$B$2:$J$61,9,FALSE()),""))</f>
      </c>
    </row>
    <row r="5983">
      <c r="E5983">
        <f>IF(DATOS!$I5983="","",IFERROR(VLOOKUP(DATOS!$I5983,CONFIG_ASIGNATURAS!$B$2:$J$61,9,FALSE()),""))</f>
      </c>
    </row>
    <row r="5984">
      <c r="E5984">
        <f>IF(DATOS!$I5984="","",IFERROR(VLOOKUP(DATOS!$I5984,CONFIG_ASIGNATURAS!$B$2:$J$61,9,FALSE()),""))</f>
      </c>
    </row>
    <row r="5985">
      <c r="E5985">
        <f>IF(DATOS!$I5985="","",IFERROR(VLOOKUP(DATOS!$I5985,CONFIG_ASIGNATURAS!$B$2:$J$61,9,FALSE()),""))</f>
      </c>
    </row>
    <row r="5986">
      <c r="E5986">
        <f>IF(DATOS!$I5986="","",IFERROR(VLOOKUP(DATOS!$I5986,CONFIG_ASIGNATURAS!$B$2:$J$61,9,FALSE()),""))</f>
      </c>
    </row>
    <row r="5987">
      <c r="E5987">
        <f>IF(DATOS!$I5987="","",IFERROR(VLOOKUP(DATOS!$I5987,CONFIG_ASIGNATURAS!$B$2:$J$61,9,FALSE()),""))</f>
      </c>
    </row>
    <row r="5988">
      <c r="E5988">
        <f>IF(DATOS!$I5988="","",IFERROR(VLOOKUP(DATOS!$I5988,CONFIG_ASIGNATURAS!$B$2:$J$61,9,FALSE()),""))</f>
      </c>
    </row>
    <row r="5989">
      <c r="E5989">
        <f>IF(DATOS!$I5989="","",IFERROR(VLOOKUP(DATOS!$I5989,CONFIG_ASIGNATURAS!$B$2:$J$61,9,FALSE()),""))</f>
      </c>
    </row>
    <row r="5990">
      <c r="E5990">
        <f>IF(DATOS!$I5990="","",IFERROR(VLOOKUP(DATOS!$I5990,CONFIG_ASIGNATURAS!$B$2:$J$61,9,FALSE()),""))</f>
      </c>
    </row>
    <row r="5991">
      <c r="E5991">
        <f>IF(DATOS!$I5991="","",IFERROR(VLOOKUP(DATOS!$I5991,CONFIG_ASIGNATURAS!$B$2:$J$61,9,FALSE()),""))</f>
      </c>
    </row>
    <row r="5992">
      <c r="E5992">
        <f>IF(DATOS!$I5992="","",IFERROR(VLOOKUP(DATOS!$I5992,CONFIG_ASIGNATURAS!$B$2:$J$61,9,FALSE()),""))</f>
      </c>
    </row>
    <row r="5993">
      <c r="E5993">
        <f>IF(DATOS!$I5993="","",IFERROR(VLOOKUP(DATOS!$I5993,CONFIG_ASIGNATURAS!$B$2:$J$61,9,FALSE()),""))</f>
      </c>
    </row>
    <row r="5994">
      <c r="E5994">
        <f>IF(DATOS!$I5994="","",IFERROR(VLOOKUP(DATOS!$I5994,CONFIG_ASIGNATURAS!$B$2:$J$61,9,FALSE()),""))</f>
      </c>
    </row>
    <row r="5995">
      <c r="E5995">
        <f>IF(DATOS!$I5995="","",IFERROR(VLOOKUP(DATOS!$I5995,CONFIG_ASIGNATURAS!$B$2:$J$61,9,FALSE()),""))</f>
      </c>
    </row>
    <row r="5996">
      <c r="E5996">
        <f>IF(DATOS!$I5996="","",IFERROR(VLOOKUP(DATOS!$I5996,CONFIG_ASIGNATURAS!$B$2:$J$61,9,FALSE()),""))</f>
      </c>
    </row>
    <row r="5997">
      <c r="E5997">
        <f>IF(DATOS!$I5997="","",IFERROR(VLOOKUP(DATOS!$I5997,CONFIG_ASIGNATURAS!$B$2:$J$61,9,FALSE()),""))</f>
      </c>
    </row>
    <row r="5998">
      <c r="E5998">
        <f>IF(DATOS!$I5998="","",IFERROR(VLOOKUP(DATOS!$I5998,CONFIG_ASIGNATURAS!$B$2:$J$61,9,FALSE()),""))</f>
      </c>
    </row>
    <row r="5999">
      <c r="E5999">
        <f>IF(DATOS!$I5999="","",IFERROR(VLOOKUP(DATOS!$I5999,CONFIG_ASIGNATURAS!$B$2:$J$61,9,FALSE()),""))</f>
      </c>
    </row>
    <row r="6000">
      <c r="E6000">
        <f>IF(DATOS!$I6000="","",IFERROR(VLOOKUP(DATOS!$I6000,CONFIG_ASIGNATURAS!$B$2:$J$61,9,FALSE()),""))</f>
      </c>
    </row>
    <row r="6001">
      <c r="E6001">
        <f>IF(DATOS!$I6001="","",IFERROR(VLOOKUP(DATOS!$I6001,CONFIG_ASIGNATURAS!$B$2:$J$61,9,FALSE()),""))</f>
      </c>
    </row>
    <row r="6002">
      <c r="E6002">
        <f>IF(DATOS!$I6002="","",IFERROR(VLOOKUP(DATOS!$I6002,CONFIG_ASIGNATURAS!$B$2:$J$61,9,FALSE()),""))</f>
      </c>
    </row>
    <row r="6003">
      <c r="E6003">
        <f>IF(DATOS!$I6003="","",IFERROR(VLOOKUP(DATOS!$I6003,CONFIG_ASIGNATURAS!$B$2:$J$61,9,FALSE()),""))</f>
      </c>
    </row>
    <row r="6004">
      <c r="E6004">
        <f>IF(DATOS!$I6004="","",IFERROR(VLOOKUP(DATOS!$I6004,CONFIG_ASIGNATURAS!$B$2:$J$61,9,FALSE()),""))</f>
      </c>
    </row>
    <row r="6005">
      <c r="E6005">
        <f>IF(DATOS!$I6005="","",IFERROR(VLOOKUP(DATOS!$I6005,CONFIG_ASIGNATURAS!$B$2:$J$61,9,FALSE()),""))</f>
      </c>
    </row>
    <row r="6006">
      <c r="E6006">
        <f>IF(DATOS!$I6006="","",IFERROR(VLOOKUP(DATOS!$I6006,CONFIG_ASIGNATURAS!$B$2:$J$61,9,FALSE()),""))</f>
      </c>
    </row>
    <row r="6007">
      <c r="E6007">
        <f>IF(DATOS!$I6007="","",IFERROR(VLOOKUP(DATOS!$I6007,CONFIG_ASIGNATURAS!$B$2:$J$61,9,FALSE()),""))</f>
      </c>
    </row>
    <row r="6008">
      <c r="E6008">
        <f>IF(DATOS!$I6008="","",IFERROR(VLOOKUP(DATOS!$I6008,CONFIG_ASIGNATURAS!$B$2:$J$61,9,FALSE()),""))</f>
      </c>
    </row>
    <row r="6009">
      <c r="E6009">
        <f>IF(DATOS!$I6009="","",IFERROR(VLOOKUP(DATOS!$I6009,CONFIG_ASIGNATURAS!$B$2:$J$61,9,FALSE()),""))</f>
      </c>
    </row>
    <row r="6010">
      <c r="E6010">
        <f>IF(DATOS!$I6010="","",IFERROR(VLOOKUP(DATOS!$I6010,CONFIG_ASIGNATURAS!$B$2:$J$61,9,FALSE()),""))</f>
      </c>
    </row>
    <row r="6011">
      <c r="E6011">
        <f>IF(DATOS!$I6011="","",IFERROR(VLOOKUP(DATOS!$I6011,CONFIG_ASIGNATURAS!$B$2:$J$61,9,FALSE()),""))</f>
      </c>
    </row>
    <row r="6012">
      <c r="E6012">
        <f>IF(DATOS!$I6012="","",IFERROR(VLOOKUP(DATOS!$I6012,CONFIG_ASIGNATURAS!$B$2:$J$61,9,FALSE()),""))</f>
      </c>
    </row>
    <row r="6013">
      <c r="E6013">
        <f>IF(DATOS!$I6013="","",IFERROR(VLOOKUP(DATOS!$I6013,CONFIG_ASIGNATURAS!$B$2:$J$61,9,FALSE()),""))</f>
      </c>
    </row>
    <row r="6014">
      <c r="E6014">
        <f>IF(DATOS!$I6014="","",IFERROR(VLOOKUP(DATOS!$I6014,CONFIG_ASIGNATURAS!$B$2:$J$61,9,FALSE()),""))</f>
      </c>
    </row>
    <row r="6015">
      <c r="E6015">
        <f>IF(DATOS!$I6015="","",IFERROR(VLOOKUP(DATOS!$I6015,CONFIG_ASIGNATURAS!$B$2:$J$61,9,FALSE()),""))</f>
      </c>
    </row>
    <row r="6016">
      <c r="E6016">
        <f>IF(DATOS!$I6016="","",IFERROR(VLOOKUP(DATOS!$I6016,CONFIG_ASIGNATURAS!$B$2:$J$61,9,FALSE()),""))</f>
      </c>
    </row>
    <row r="6017">
      <c r="E6017">
        <f>IF(DATOS!$I6017="","",IFERROR(VLOOKUP(DATOS!$I6017,CONFIG_ASIGNATURAS!$B$2:$J$61,9,FALSE()),""))</f>
      </c>
    </row>
    <row r="6018">
      <c r="E6018">
        <f>IF(DATOS!$I6018="","",IFERROR(VLOOKUP(DATOS!$I6018,CONFIG_ASIGNATURAS!$B$2:$J$61,9,FALSE()),""))</f>
      </c>
    </row>
    <row r="6019">
      <c r="E6019">
        <f>IF(DATOS!$I6019="","",IFERROR(VLOOKUP(DATOS!$I6019,CONFIG_ASIGNATURAS!$B$2:$J$61,9,FALSE()),""))</f>
      </c>
    </row>
    <row r="6020">
      <c r="E6020">
        <f>IF(DATOS!$I6020="","",IFERROR(VLOOKUP(DATOS!$I6020,CONFIG_ASIGNATURAS!$B$2:$J$61,9,FALSE()),""))</f>
      </c>
    </row>
    <row r="6021">
      <c r="E6021">
        <f>IF(DATOS!$I6021="","",IFERROR(VLOOKUP(DATOS!$I6021,CONFIG_ASIGNATURAS!$B$2:$J$61,9,FALSE()),""))</f>
      </c>
    </row>
    <row r="6022">
      <c r="E6022">
        <f>IF(DATOS!$I6022="","",IFERROR(VLOOKUP(DATOS!$I6022,CONFIG_ASIGNATURAS!$B$2:$J$61,9,FALSE()),""))</f>
      </c>
    </row>
    <row r="6023">
      <c r="E6023">
        <f>IF(DATOS!$I6023="","",IFERROR(VLOOKUP(DATOS!$I6023,CONFIG_ASIGNATURAS!$B$2:$J$61,9,FALSE()),""))</f>
      </c>
    </row>
    <row r="6024">
      <c r="E6024">
        <f>IF(DATOS!$I6024="","",IFERROR(VLOOKUP(DATOS!$I6024,CONFIG_ASIGNATURAS!$B$2:$J$61,9,FALSE()),""))</f>
      </c>
    </row>
    <row r="6025">
      <c r="E6025">
        <f>IF(DATOS!$I6025="","",IFERROR(VLOOKUP(DATOS!$I6025,CONFIG_ASIGNATURAS!$B$2:$J$61,9,FALSE()),""))</f>
      </c>
    </row>
    <row r="6026">
      <c r="E6026">
        <f>IF(DATOS!$I6026="","",IFERROR(VLOOKUP(DATOS!$I6026,CONFIG_ASIGNATURAS!$B$2:$J$61,9,FALSE()),""))</f>
      </c>
    </row>
    <row r="6027">
      <c r="E6027">
        <f>IF(DATOS!$I6027="","",IFERROR(VLOOKUP(DATOS!$I6027,CONFIG_ASIGNATURAS!$B$2:$J$61,9,FALSE()),""))</f>
      </c>
    </row>
    <row r="6028">
      <c r="E6028">
        <f>IF(DATOS!$I6028="","",IFERROR(VLOOKUP(DATOS!$I6028,CONFIG_ASIGNATURAS!$B$2:$J$61,9,FALSE()),""))</f>
      </c>
    </row>
    <row r="6029">
      <c r="E6029">
        <f>IF(DATOS!$I6029="","",IFERROR(VLOOKUP(DATOS!$I6029,CONFIG_ASIGNATURAS!$B$2:$J$61,9,FALSE()),""))</f>
      </c>
    </row>
    <row r="6030">
      <c r="E6030">
        <f>IF(DATOS!$I6030="","",IFERROR(VLOOKUP(DATOS!$I6030,CONFIG_ASIGNATURAS!$B$2:$J$61,9,FALSE()),""))</f>
      </c>
    </row>
    <row r="6031">
      <c r="E6031">
        <f>IF(DATOS!$I6031="","",IFERROR(VLOOKUP(DATOS!$I6031,CONFIG_ASIGNATURAS!$B$2:$J$61,9,FALSE()),""))</f>
      </c>
    </row>
    <row r="6032">
      <c r="E6032">
        <f>IF(DATOS!$I6032="","",IFERROR(VLOOKUP(DATOS!$I6032,CONFIG_ASIGNATURAS!$B$2:$J$61,9,FALSE()),""))</f>
      </c>
    </row>
    <row r="6033">
      <c r="E6033">
        <f>IF(DATOS!$I6033="","",IFERROR(VLOOKUP(DATOS!$I6033,CONFIG_ASIGNATURAS!$B$2:$J$61,9,FALSE()),""))</f>
      </c>
    </row>
    <row r="6034">
      <c r="E6034">
        <f>IF(DATOS!$I6034="","",IFERROR(VLOOKUP(DATOS!$I6034,CONFIG_ASIGNATURAS!$B$2:$J$61,9,FALSE()),""))</f>
      </c>
    </row>
    <row r="6035">
      <c r="E6035">
        <f>IF(DATOS!$I6035="","",IFERROR(VLOOKUP(DATOS!$I6035,CONFIG_ASIGNATURAS!$B$2:$J$61,9,FALSE()),""))</f>
      </c>
    </row>
    <row r="6036">
      <c r="E6036">
        <f>IF(DATOS!$I6036="","",IFERROR(VLOOKUP(DATOS!$I6036,CONFIG_ASIGNATURAS!$B$2:$J$61,9,FALSE()),""))</f>
      </c>
    </row>
    <row r="6037">
      <c r="E6037">
        <f>IF(DATOS!$I6037="","",IFERROR(VLOOKUP(DATOS!$I6037,CONFIG_ASIGNATURAS!$B$2:$J$61,9,FALSE()),""))</f>
      </c>
    </row>
    <row r="6038">
      <c r="E6038">
        <f>IF(DATOS!$I6038="","",IFERROR(VLOOKUP(DATOS!$I6038,CONFIG_ASIGNATURAS!$B$2:$J$61,9,FALSE()),""))</f>
      </c>
    </row>
    <row r="6039">
      <c r="E6039">
        <f>IF(DATOS!$I6039="","",IFERROR(VLOOKUP(DATOS!$I6039,CONFIG_ASIGNATURAS!$B$2:$J$61,9,FALSE()),""))</f>
      </c>
    </row>
    <row r="6040">
      <c r="E6040">
        <f>IF(DATOS!$I6040="","",IFERROR(VLOOKUP(DATOS!$I6040,CONFIG_ASIGNATURAS!$B$2:$J$61,9,FALSE()),""))</f>
      </c>
    </row>
    <row r="6041">
      <c r="E6041">
        <f>IF(DATOS!$I6041="","",IFERROR(VLOOKUP(DATOS!$I6041,CONFIG_ASIGNATURAS!$B$2:$J$61,9,FALSE()),""))</f>
      </c>
    </row>
    <row r="6042">
      <c r="E6042">
        <f>IF(DATOS!$I6042="","",IFERROR(VLOOKUP(DATOS!$I6042,CONFIG_ASIGNATURAS!$B$2:$J$61,9,FALSE()),""))</f>
      </c>
    </row>
    <row r="6043">
      <c r="E6043">
        <f>IF(DATOS!$I6043="","",IFERROR(VLOOKUP(DATOS!$I6043,CONFIG_ASIGNATURAS!$B$2:$J$61,9,FALSE()),""))</f>
      </c>
    </row>
    <row r="6044">
      <c r="E6044">
        <f>IF(DATOS!$I6044="","",IFERROR(VLOOKUP(DATOS!$I6044,CONFIG_ASIGNATURAS!$B$2:$J$61,9,FALSE()),""))</f>
      </c>
    </row>
    <row r="6045">
      <c r="E6045">
        <f>IF(DATOS!$I6045="","",IFERROR(VLOOKUP(DATOS!$I6045,CONFIG_ASIGNATURAS!$B$2:$J$61,9,FALSE()),""))</f>
      </c>
    </row>
    <row r="6046">
      <c r="E6046">
        <f>IF(DATOS!$I6046="","",IFERROR(VLOOKUP(DATOS!$I6046,CONFIG_ASIGNATURAS!$B$2:$J$61,9,FALSE()),""))</f>
      </c>
    </row>
    <row r="6047">
      <c r="E6047">
        <f>IF(DATOS!$I6047="","",IFERROR(VLOOKUP(DATOS!$I6047,CONFIG_ASIGNATURAS!$B$2:$J$61,9,FALSE()),""))</f>
      </c>
    </row>
    <row r="6048">
      <c r="E6048">
        <f>IF(DATOS!$I6048="","",IFERROR(VLOOKUP(DATOS!$I6048,CONFIG_ASIGNATURAS!$B$2:$J$61,9,FALSE()),""))</f>
      </c>
    </row>
    <row r="6049">
      <c r="E6049">
        <f>IF(DATOS!$I6049="","",IFERROR(VLOOKUP(DATOS!$I6049,CONFIG_ASIGNATURAS!$B$2:$J$61,9,FALSE()),""))</f>
      </c>
    </row>
    <row r="6050">
      <c r="E6050">
        <f>IF(DATOS!$I6050="","",IFERROR(VLOOKUP(DATOS!$I6050,CONFIG_ASIGNATURAS!$B$2:$J$61,9,FALSE()),""))</f>
      </c>
    </row>
    <row r="6051">
      <c r="E6051">
        <f>IF(DATOS!$I6051="","",IFERROR(VLOOKUP(DATOS!$I6051,CONFIG_ASIGNATURAS!$B$2:$J$61,9,FALSE()),""))</f>
      </c>
    </row>
    <row r="6052">
      <c r="E6052">
        <f>IF(DATOS!$I6052="","",IFERROR(VLOOKUP(DATOS!$I6052,CONFIG_ASIGNATURAS!$B$2:$J$61,9,FALSE()),""))</f>
      </c>
    </row>
    <row r="6053">
      <c r="E6053">
        <f>IF(DATOS!$I6053="","",IFERROR(VLOOKUP(DATOS!$I6053,CONFIG_ASIGNATURAS!$B$2:$J$61,9,FALSE()),""))</f>
      </c>
    </row>
    <row r="6054">
      <c r="E6054">
        <f>IF(DATOS!$I6054="","",IFERROR(VLOOKUP(DATOS!$I6054,CONFIG_ASIGNATURAS!$B$2:$J$61,9,FALSE()),""))</f>
      </c>
    </row>
    <row r="6055">
      <c r="E6055">
        <f>IF(DATOS!$I6055="","",IFERROR(VLOOKUP(DATOS!$I6055,CONFIG_ASIGNATURAS!$B$2:$J$61,9,FALSE()),""))</f>
      </c>
    </row>
    <row r="6056">
      <c r="E6056">
        <f>IF(DATOS!$I6056="","",IFERROR(VLOOKUP(DATOS!$I6056,CONFIG_ASIGNATURAS!$B$2:$J$61,9,FALSE()),""))</f>
      </c>
    </row>
    <row r="6057">
      <c r="E6057">
        <f>IF(DATOS!$I6057="","",IFERROR(VLOOKUP(DATOS!$I6057,CONFIG_ASIGNATURAS!$B$2:$J$61,9,FALSE()),""))</f>
      </c>
    </row>
    <row r="6058">
      <c r="E6058">
        <f>IF(DATOS!$I6058="","",IFERROR(VLOOKUP(DATOS!$I6058,CONFIG_ASIGNATURAS!$B$2:$J$61,9,FALSE()),""))</f>
      </c>
    </row>
    <row r="6059">
      <c r="E6059">
        <f>IF(DATOS!$I6059="","",IFERROR(VLOOKUP(DATOS!$I6059,CONFIG_ASIGNATURAS!$B$2:$J$61,9,FALSE()),""))</f>
      </c>
    </row>
    <row r="6060">
      <c r="E6060">
        <f>IF(DATOS!$I6060="","",IFERROR(VLOOKUP(DATOS!$I6060,CONFIG_ASIGNATURAS!$B$2:$J$61,9,FALSE()),""))</f>
      </c>
    </row>
    <row r="6061">
      <c r="E6061">
        <f>IF(DATOS!$I6061="","",IFERROR(VLOOKUP(DATOS!$I6061,CONFIG_ASIGNATURAS!$B$2:$J$61,9,FALSE()),""))</f>
      </c>
    </row>
    <row r="6062">
      <c r="E6062">
        <f>IF(DATOS!$I6062="","",IFERROR(VLOOKUP(DATOS!$I6062,CONFIG_ASIGNATURAS!$B$2:$J$61,9,FALSE()),""))</f>
      </c>
    </row>
    <row r="6063">
      <c r="E6063">
        <f>IF(DATOS!$I6063="","",IFERROR(VLOOKUP(DATOS!$I6063,CONFIG_ASIGNATURAS!$B$2:$J$61,9,FALSE()),""))</f>
      </c>
    </row>
    <row r="6064">
      <c r="E6064">
        <f>IF(DATOS!$I6064="","",IFERROR(VLOOKUP(DATOS!$I6064,CONFIG_ASIGNATURAS!$B$2:$J$61,9,FALSE()),""))</f>
      </c>
    </row>
    <row r="6065">
      <c r="E6065">
        <f>IF(DATOS!$I6065="","",IFERROR(VLOOKUP(DATOS!$I6065,CONFIG_ASIGNATURAS!$B$2:$J$61,9,FALSE()),""))</f>
      </c>
    </row>
    <row r="6066">
      <c r="E6066">
        <f>IF(DATOS!$I6066="","",IFERROR(VLOOKUP(DATOS!$I6066,CONFIG_ASIGNATURAS!$B$2:$J$61,9,FALSE()),""))</f>
      </c>
    </row>
    <row r="6067">
      <c r="E6067">
        <f>IF(DATOS!$I6067="","",IFERROR(VLOOKUP(DATOS!$I6067,CONFIG_ASIGNATURAS!$B$2:$J$61,9,FALSE()),""))</f>
      </c>
    </row>
    <row r="6068">
      <c r="E6068">
        <f>IF(DATOS!$I6068="","",IFERROR(VLOOKUP(DATOS!$I6068,CONFIG_ASIGNATURAS!$B$2:$J$61,9,FALSE()),""))</f>
      </c>
    </row>
    <row r="6069">
      <c r="E6069">
        <f>IF(DATOS!$I6069="","",IFERROR(VLOOKUP(DATOS!$I6069,CONFIG_ASIGNATURAS!$B$2:$J$61,9,FALSE()),""))</f>
      </c>
    </row>
    <row r="6070">
      <c r="E6070">
        <f>IF(DATOS!$I6070="","",IFERROR(VLOOKUP(DATOS!$I6070,CONFIG_ASIGNATURAS!$B$2:$J$61,9,FALSE()),""))</f>
      </c>
    </row>
    <row r="6071">
      <c r="E6071">
        <f>IF(DATOS!$I6071="","",IFERROR(VLOOKUP(DATOS!$I6071,CONFIG_ASIGNATURAS!$B$2:$J$61,9,FALSE()),""))</f>
      </c>
    </row>
    <row r="6072">
      <c r="E6072">
        <f>IF(DATOS!$I6072="","",IFERROR(VLOOKUP(DATOS!$I6072,CONFIG_ASIGNATURAS!$B$2:$J$61,9,FALSE()),""))</f>
      </c>
    </row>
    <row r="6073">
      <c r="E6073">
        <f>IF(DATOS!$I6073="","",IFERROR(VLOOKUP(DATOS!$I6073,CONFIG_ASIGNATURAS!$B$2:$J$61,9,FALSE()),""))</f>
      </c>
    </row>
    <row r="6074">
      <c r="E6074">
        <f>IF(DATOS!$I6074="","",IFERROR(VLOOKUP(DATOS!$I6074,CONFIG_ASIGNATURAS!$B$2:$J$61,9,FALSE()),""))</f>
      </c>
    </row>
    <row r="6075">
      <c r="E6075">
        <f>IF(DATOS!$I6075="","",IFERROR(VLOOKUP(DATOS!$I6075,CONFIG_ASIGNATURAS!$B$2:$J$61,9,FALSE()),""))</f>
      </c>
    </row>
    <row r="6076">
      <c r="E6076">
        <f>IF(DATOS!$I6076="","",IFERROR(VLOOKUP(DATOS!$I6076,CONFIG_ASIGNATURAS!$B$2:$J$61,9,FALSE()),""))</f>
      </c>
    </row>
    <row r="6077">
      <c r="E6077">
        <f>IF(DATOS!$I6077="","",IFERROR(VLOOKUP(DATOS!$I6077,CONFIG_ASIGNATURAS!$B$2:$J$61,9,FALSE()),""))</f>
      </c>
    </row>
    <row r="6078">
      <c r="E6078">
        <f>IF(DATOS!$I6078="","",IFERROR(VLOOKUP(DATOS!$I6078,CONFIG_ASIGNATURAS!$B$2:$J$61,9,FALSE()),""))</f>
      </c>
    </row>
    <row r="6079">
      <c r="E6079">
        <f>IF(DATOS!$I6079="","",IFERROR(VLOOKUP(DATOS!$I6079,CONFIG_ASIGNATURAS!$B$2:$J$61,9,FALSE()),""))</f>
      </c>
    </row>
    <row r="6080">
      <c r="E6080">
        <f>IF(DATOS!$I6080="","",IFERROR(VLOOKUP(DATOS!$I6080,CONFIG_ASIGNATURAS!$B$2:$J$61,9,FALSE()),""))</f>
      </c>
    </row>
    <row r="6081">
      <c r="E6081">
        <f>IF(DATOS!$I6081="","",IFERROR(VLOOKUP(DATOS!$I6081,CONFIG_ASIGNATURAS!$B$2:$J$61,9,FALSE()),""))</f>
      </c>
    </row>
    <row r="6082">
      <c r="E6082">
        <f>IF(DATOS!$I6082="","",IFERROR(VLOOKUP(DATOS!$I6082,CONFIG_ASIGNATURAS!$B$2:$J$61,9,FALSE()),""))</f>
      </c>
    </row>
    <row r="6083">
      <c r="E6083">
        <f>IF(DATOS!$I6083="","",IFERROR(VLOOKUP(DATOS!$I6083,CONFIG_ASIGNATURAS!$B$2:$J$61,9,FALSE()),""))</f>
      </c>
    </row>
    <row r="6084">
      <c r="E6084">
        <f>IF(DATOS!$I6084="","",IFERROR(VLOOKUP(DATOS!$I6084,CONFIG_ASIGNATURAS!$B$2:$J$61,9,FALSE()),""))</f>
      </c>
    </row>
    <row r="6085">
      <c r="E6085">
        <f>IF(DATOS!$I6085="","",IFERROR(VLOOKUP(DATOS!$I6085,CONFIG_ASIGNATURAS!$B$2:$J$61,9,FALSE()),""))</f>
      </c>
    </row>
    <row r="6086">
      <c r="E6086">
        <f>IF(DATOS!$I6086="","",IFERROR(VLOOKUP(DATOS!$I6086,CONFIG_ASIGNATURAS!$B$2:$J$61,9,FALSE()),""))</f>
      </c>
    </row>
    <row r="6087">
      <c r="E6087">
        <f>IF(DATOS!$I6087="","",IFERROR(VLOOKUP(DATOS!$I6087,CONFIG_ASIGNATURAS!$B$2:$J$61,9,FALSE()),""))</f>
      </c>
    </row>
    <row r="6088">
      <c r="E6088">
        <f>IF(DATOS!$I6088="","",IFERROR(VLOOKUP(DATOS!$I6088,CONFIG_ASIGNATURAS!$B$2:$J$61,9,FALSE()),""))</f>
      </c>
    </row>
    <row r="6089">
      <c r="E6089">
        <f>IF(DATOS!$I6089="","",IFERROR(VLOOKUP(DATOS!$I6089,CONFIG_ASIGNATURAS!$B$2:$J$61,9,FALSE()),""))</f>
      </c>
    </row>
    <row r="6090">
      <c r="E6090">
        <f>IF(DATOS!$I6090="","",IFERROR(VLOOKUP(DATOS!$I6090,CONFIG_ASIGNATURAS!$B$2:$J$61,9,FALSE()),""))</f>
      </c>
    </row>
    <row r="6091">
      <c r="E6091">
        <f>IF(DATOS!$I6091="","",IFERROR(VLOOKUP(DATOS!$I6091,CONFIG_ASIGNATURAS!$B$2:$J$61,9,FALSE()),""))</f>
      </c>
    </row>
    <row r="6092">
      <c r="E6092">
        <f>IF(DATOS!$I6092="","",IFERROR(VLOOKUP(DATOS!$I6092,CONFIG_ASIGNATURAS!$B$2:$J$61,9,FALSE()),""))</f>
      </c>
    </row>
    <row r="6093">
      <c r="E6093">
        <f>IF(DATOS!$I6093="","",IFERROR(VLOOKUP(DATOS!$I6093,CONFIG_ASIGNATURAS!$B$2:$J$61,9,FALSE()),""))</f>
      </c>
    </row>
    <row r="6094">
      <c r="E6094">
        <f>IF(DATOS!$I6094="","",IFERROR(VLOOKUP(DATOS!$I6094,CONFIG_ASIGNATURAS!$B$2:$J$61,9,FALSE()),""))</f>
      </c>
    </row>
    <row r="6095">
      <c r="E6095">
        <f>IF(DATOS!$I6095="","",IFERROR(VLOOKUP(DATOS!$I6095,CONFIG_ASIGNATURAS!$B$2:$J$61,9,FALSE()),""))</f>
      </c>
    </row>
    <row r="6096">
      <c r="E6096">
        <f>IF(DATOS!$I6096="","",IFERROR(VLOOKUP(DATOS!$I6096,CONFIG_ASIGNATURAS!$B$2:$J$61,9,FALSE()),""))</f>
      </c>
    </row>
    <row r="6097">
      <c r="E6097">
        <f>IF(DATOS!$I6097="","",IFERROR(VLOOKUP(DATOS!$I6097,CONFIG_ASIGNATURAS!$B$2:$J$61,9,FALSE()),""))</f>
      </c>
    </row>
    <row r="6098">
      <c r="E6098">
        <f>IF(DATOS!$I6098="","",IFERROR(VLOOKUP(DATOS!$I6098,CONFIG_ASIGNATURAS!$B$2:$J$61,9,FALSE()),""))</f>
      </c>
    </row>
    <row r="6099">
      <c r="E6099">
        <f>IF(DATOS!$I6099="","",IFERROR(VLOOKUP(DATOS!$I6099,CONFIG_ASIGNATURAS!$B$2:$J$61,9,FALSE()),""))</f>
      </c>
    </row>
    <row r="6100">
      <c r="E6100">
        <f>IF(DATOS!$I6100="","",IFERROR(VLOOKUP(DATOS!$I6100,CONFIG_ASIGNATURAS!$B$2:$J$61,9,FALSE()),""))</f>
      </c>
    </row>
    <row r="6101">
      <c r="E6101">
        <f>IF(DATOS!$I6101="","",IFERROR(VLOOKUP(DATOS!$I6101,CONFIG_ASIGNATURAS!$B$2:$J$61,9,FALSE()),""))</f>
      </c>
    </row>
    <row r="6102">
      <c r="E6102">
        <f>IF(DATOS!$I6102="","",IFERROR(VLOOKUP(DATOS!$I6102,CONFIG_ASIGNATURAS!$B$2:$J$61,9,FALSE()),""))</f>
      </c>
    </row>
    <row r="6103">
      <c r="E6103">
        <f>IF(DATOS!$I6103="","",IFERROR(VLOOKUP(DATOS!$I6103,CONFIG_ASIGNATURAS!$B$2:$J$61,9,FALSE()),""))</f>
      </c>
    </row>
    <row r="6104">
      <c r="E6104">
        <f>IF(DATOS!$I6104="","",IFERROR(VLOOKUP(DATOS!$I6104,CONFIG_ASIGNATURAS!$B$2:$J$61,9,FALSE()),""))</f>
      </c>
    </row>
    <row r="6105">
      <c r="E6105">
        <f>IF(DATOS!$I6105="","",IFERROR(VLOOKUP(DATOS!$I6105,CONFIG_ASIGNATURAS!$B$2:$J$61,9,FALSE()),""))</f>
      </c>
    </row>
    <row r="6106">
      <c r="E6106">
        <f>IF(DATOS!$I6106="","",IFERROR(VLOOKUP(DATOS!$I6106,CONFIG_ASIGNATURAS!$B$2:$J$61,9,FALSE()),""))</f>
      </c>
    </row>
    <row r="6107">
      <c r="E6107">
        <f>IF(DATOS!$I6107="","",IFERROR(VLOOKUP(DATOS!$I6107,CONFIG_ASIGNATURAS!$B$2:$J$61,9,FALSE()),""))</f>
      </c>
    </row>
    <row r="6108">
      <c r="E6108">
        <f>IF(DATOS!$I6108="","",IFERROR(VLOOKUP(DATOS!$I6108,CONFIG_ASIGNATURAS!$B$2:$J$61,9,FALSE()),""))</f>
      </c>
    </row>
    <row r="6109">
      <c r="E6109">
        <f>IF(DATOS!$I6109="","",IFERROR(VLOOKUP(DATOS!$I6109,CONFIG_ASIGNATURAS!$B$2:$J$61,9,FALSE()),""))</f>
      </c>
    </row>
    <row r="6110">
      <c r="E6110">
        <f>IF(DATOS!$I6110="","",IFERROR(VLOOKUP(DATOS!$I6110,CONFIG_ASIGNATURAS!$B$2:$J$61,9,FALSE()),""))</f>
      </c>
    </row>
    <row r="6111">
      <c r="E6111">
        <f>IF(DATOS!$I6111="","",IFERROR(VLOOKUP(DATOS!$I6111,CONFIG_ASIGNATURAS!$B$2:$J$61,9,FALSE()),""))</f>
      </c>
    </row>
    <row r="6112">
      <c r="E6112">
        <f>IF(DATOS!$I6112="","",IFERROR(VLOOKUP(DATOS!$I6112,CONFIG_ASIGNATURAS!$B$2:$J$61,9,FALSE()),""))</f>
      </c>
    </row>
    <row r="6113">
      <c r="E6113">
        <f>IF(DATOS!$I6113="","",IFERROR(VLOOKUP(DATOS!$I6113,CONFIG_ASIGNATURAS!$B$2:$J$61,9,FALSE()),""))</f>
      </c>
    </row>
    <row r="6114">
      <c r="E6114">
        <f>IF(DATOS!$I6114="","",IFERROR(VLOOKUP(DATOS!$I6114,CONFIG_ASIGNATURAS!$B$2:$J$61,9,FALSE()),""))</f>
      </c>
    </row>
    <row r="6115">
      <c r="E6115">
        <f>IF(DATOS!$I6115="","",IFERROR(VLOOKUP(DATOS!$I6115,CONFIG_ASIGNATURAS!$B$2:$J$61,9,FALSE()),""))</f>
      </c>
    </row>
    <row r="6116">
      <c r="E6116">
        <f>IF(DATOS!$I6116="","",IFERROR(VLOOKUP(DATOS!$I6116,CONFIG_ASIGNATURAS!$B$2:$J$61,9,FALSE()),""))</f>
      </c>
    </row>
    <row r="6117">
      <c r="E6117">
        <f>IF(DATOS!$I6117="","",IFERROR(VLOOKUP(DATOS!$I6117,CONFIG_ASIGNATURAS!$B$2:$J$61,9,FALSE()),""))</f>
      </c>
    </row>
    <row r="6118">
      <c r="E6118">
        <f>IF(DATOS!$I6118="","",IFERROR(VLOOKUP(DATOS!$I6118,CONFIG_ASIGNATURAS!$B$2:$J$61,9,FALSE()),""))</f>
      </c>
    </row>
    <row r="6119">
      <c r="E6119">
        <f>IF(DATOS!$I6119="","",IFERROR(VLOOKUP(DATOS!$I6119,CONFIG_ASIGNATURAS!$B$2:$J$61,9,FALSE()),""))</f>
      </c>
    </row>
    <row r="6120">
      <c r="E6120">
        <f>IF(DATOS!$I6120="","",IFERROR(VLOOKUP(DATOS!$I6120,CONFIG_ASIGNATURAS!$B$2:$J$61,9,FALSE()),""))</f>
      </c>
    </row>
    <row r="6121">
      <c r="E6121">
        <f>IF(DATOS!$I6121="","",IFERROR(VLOOKUP(DATOS!$I6121,CONFIG_ASIGNATURAS!$B$2:$J$61,9,FALSE()),""))</f>
      </c>
    </row>
    <row r="6122">
      <c r="E6122">
        <f>IF(DATOS!$I6122="","",IFERROR(VLOOKUP(DATOS!$I6122,CONFIG_ASIGNATURAS!$B$2:$J$61,9,FALSE()),""))</f>
      </c>
    </row>
    <row r="6123">
      <c r="E6123">
        <f>IF(DATOS!$I6123="","",IFERROR(VLOOKUP(DATOS!$I6123,CONFIG_ASIGNATURAS!$B$2:$J$61,9,FALSE()),""))</f>
      </c>
    </row>
    <row r="6124">
      <c r="E6124">
        <f>IF(DATOS!$I6124="","",IFERROR(VLOOKUP(DATOS!$I6124,CONFIG_ASIGNATURAS!$B$2:$J$61,9,FALSE()),""))</f>
      </c>
    </row>
    <row r="6125">
      <c r="E6125">
        <f>IF(DATOS!$I6125="","",IFERROR(VLOOKUP(DATOS!$I6125,CONFIG_ASIGNATURAS!$B$2:$J$61,9,FALSE()),""))</f>
      </c>
    </row>
    <row r="6126">
      <c r="E6126">
        <f>IF(DATOS!$I6126="","",IFERROR(VLOOKUP(DATOS!$I6126,CONFIG_ASIGNATURAS!$B$2:$J$61,9,FALSE()),""))</f>
      </c>
    </row>
    <row r="6127">
      <c r="E6127">
        <f>IF(DATOS!$I6127="","",IFERROR(VLOOKUP(DATOS!$I6127,CONFIG_ASIGNATURAS!$B$2:$J$61,9,FALSE()),""))</f>
      </c>
    </row>
    <row r="6128">
      <c r="E6128">
        <f>IF(DATOS!$I6128="","",IFERROR(VLOOKUP(DATOS!$I6128,CONFIG_ASIGNATURAS!$B$2:$J$61,9,FALSE()),""))</f>
      </c>
    </row>
    <row r="6129">
      <c r="E6129">
        <f>IF(DATOS!$I6129="","",IFERROR(VLOOKUP(DATOS!$I6129,CONFIG_ASIGNATURAS!$B$2:$J$61,9,FALSE()),""))</f>
      </c>
    </row>
    <row r="6130">
      <c r="E6130">
        <f>IF(DATOS!$I6130="","",IFERROR(VLOOKUP(DATOS!$I6130,CONFIG_ASIGNATURAS!$B$2:$J$61,9,FALSE()),""))</f>
      </c>
    </row>
    <row r="6131">
      <c r="E6131">
        <f>IF(DATOS!$I6131="","",IFERROR(VLOOKUP(DATOS!$I6131,CONFIG_ASIGNATURAS!$B$2:$J$61,9,FALSE()),""))</f>
      </c>
    </row>
    <row r="6132">
      <c r="E6132">
        <f>IF(DATOS!$I6132="","",IFERROR(VLOOKUP(DATOS!$I6132,CONFIG_ASIGNATURAS!$B$2:$J$61,9,FALSE()),""))</f>
      </c>
    </row>
    <row r="6133">
      <c r="E6133">
        <f>IF(DATOS!$I6133="","",IFERROR(VLOOKUP(DATOS!$I6133,CONFIG_ASIGNATURAS!$B$2:$J$61,9,FALSE()),""))</f>
      </c>
    </row>
    <row r="6134">
      <c r="E6134">
        <f>IF(DATOS!$I6134="","",IFERROR(VLOOKUP(DATOS!$I6134,CONFIG_ASIGNATURAS!$B$2:$J$61,9,FALSE()),""))</f>
      </c>
    </row>
    <row r="6135">
      <c r="E6135">
        <f>IF(DATOS!$I6135="","",IFERROR(VLOOKUP(DATOS!$I6135,CONFIG_ASIGNATURAS!$B$2:$J$61,9,FALSE()),""))</f>
      </c>
    </row>
    <row r="6136">
      <c r="E6136">
        <f>IF(DATOS!$I6136="","",IFERROR(VLOOKUP(DATOS!$I6136,CONFIG_ASIGNATURAS!$B$2:$J$61,9,FALSE()),""))</f>
      </c>
    </row>
    <row r="6137">
      <c r="E6137">
        <f>IF(DATOS!$I6137="","",IFERROR(VLOOKUP(DATOS!$I6137,CONFIG_ASIGNATURAS!$B$2:$J$61,9,FALSE()),""))</f>
      </c>
    </row>
    <row r="6138">
      <c r="E6138">
        <f>IF(DATOS!$I6138="","",IFERROR(VLOOKUP(DATOS!$I6138,CONFIG_ASIGNATURAS!$B$2:$J$61,9,FALSE()),""))</f>
      </c>
    </row>
    <row r="6139">
      <c r="E6139">
        <f>IF(DATOS!$I6139="","",IFERROR(VLOOKUP(DATOS!$I6139,CONFIG_ASIGNATURAS!$B$2:$J$61,9,FALSE()),""))</f>
      </c>
    </row>
    <row r="6140">
      <c r="E6140">
        <f>IF(DATOS!$I6140="","",IFERROR(VLOOKUP(DATOS!$I6140,CONFIG_ASIGNATURAS!$B$2:$J$61,9,FALSE()),""))</f>
      </c>
    </row>
    <row r="6141">
      <c r="E6141">
        <f>IF(DATOS!$I6141="","",IFERROR(VLOOKUP(DATOS!$I6141,CONFIG_ASIGNATURAS!$B$2:$J$61,9,FALSE()),""))</f>
      </c>
    </row>
    <row r="6142">
      <c r="E6142">
        <f>IF(DATOS!$I6142="","",IFERROR(VLOOKUP(DATOS!$I6142,CONFIG_ASIGNATURAS!$B$2:$J$61,9,FALSE()),""))</f>
      </c>
    </row>
    <row r="6143">
      <c r="E6143">
        <f>IF(DATOS!$I6143="","",IFERROR(VLOOKUP(DATOS!$I6143,CONFIG_ASIGNATURAS!$B$2:$J$61,9,FALSE()),""))</f>
      </c>
    </row>
    <row r="6144">
      <c r="E6144">
        <f>IF(DATOS!$I6144="","",IFERROR(VLOOKUP(DATOS!$I6144,CONFIG_ASIGNATURAS!$B$2:$J$61,9,FALSE()),""))</f>
      </c>
    </row>
    <row r="6145">
      <c r="E6145">
        <f>IF(DATOS!$I6145="","",IFERROR(VLOOKUP(DATOS!$I6145,CONFIG_ASIGNATURAS!$B$2:$J$61,9,FALSE()),""))</f>
      </c>
    </row>
    <row r="6146">
      <c r="E6146">
        <f>IF(DATOS!$I6146="","",IFERROR(VLOOKUP(DATOS!$I6146,CONFIG_ASIGNATURAS!$B$2:$J$61,9,FALSE()),""))</f>
      </c>
    </row>
    <row r="6147">
      <c r="E6147">
        <f>IF(DATOS!$I6147="","",IFERROR(VLOOKUP(DATOS!$I6147,CONFIG_ASIGNATURAS!$B$2:$J$61,9,FALSE()),""))</f>
      </c>
    </row>
    <row r="6148">
      <c r="E6148">
        <f>IF(DATOS!$I6148="","",IFERROR(VLOOKUP(DATOS!$I6148,CONFIG_ASIGNATURAS!$B$2:$J$61,9,FALSE()),""))</f>
      </c>
    </row>
    <row r="6149">
      <c r="E6149">
        <f>IF(DATOS!$I6149="","",IFERROR(VLOOKUP(DATOS!$I6149,CONFIG_ASIGNATURAS!$B$2:$J$61,9,FALSE()),""))</f>
      </c>
    </row>
    <row r="6150">
      <c r="E6150">
        <f>IF(DATOS!$I6150="","",IFERROR(VLOOKUP(DATOS!$I6150,CONFIG_ASIGNATURAS!$B$2:$J$61,9,FALSE()),""))</f>
      </c>
    </row>
    <row r="6151">
      <c r="E6151">
        <f>IF(DATOS!$I6151="","",IFERROR(VLOOKUP(DATOS!$I6151,CONFIG_ASIGNATURAS!$B$2:$J$61,9,FALSE()),""))</f>
      </c>
    </row>
    <row r="6152">
      <c r="E6152">
        <f>IF(DATOS!$I6152="","",IFERROR(VLOOKUP(DATOS!$I6152,CONFIG_ASIGNATURAS!$B$2:$J$61,9,FALSE()),""))</f>
      </c>
    </row>
    <row r="6153">
      <c r="E6153">
        <f>IF(DATOS!$I6153="","",IFERROR(VLOOKUP(DATOS!$I6153,CONFIG_ASIGNATURAS!$B$2:$J$61,9,FALSE()),""))</f>
      </c>
    </row>
    <row r="6154">
      <c r="E6154">
        <f>IF(DATOS!$I6154="","",IFERROR(VLOOKUP(DATOS!$I6154,CONFIG_ASIGNATURAS!$B$2:$J$61,9,FALSE()),""))</f>
      </c>
    </row>
    <row r="6155">
      <c r="E6155">
        <f>IF(DATOS!$I6155="","",IFERROR(VLOOKUP(DATOS!$I6155,CONFIG_ASIGNATURAS!$B$2:$J$61,9,FALSE()),""))</f>
      </c>
    </row>
    <row r="6156">
      <c r="E6156">
        <f>IF(DATOS!$I6156="","",IFERROR(VLOOKUP(DATOS!$I6156,CONFIG_ASIGNATURAS!$B$2:$J$61,9,FALSE()),""))</f>
      </c>
    </row>
    <row r="6157">
      <c r="E6157">
        <f>IF(DATOS!$I6157="","",IFERROR(VLOOKUP(DATOS!$I6157,CONFIG_ASIGNATURAS!$B$2:$J$61,9,FALSE()),""))</f>
      </c>
    </row>
    <row r="6158">
      <c r="E6158">
        <f>IF(DATOS!$I6158="","",IFERROR(VLOOKUP(DATOS!$I6158,CONFIG_ASIGNATURAS!$B$2:$J$61,9,FALSE()),""))</f>
      </c>
    </row>
    <row r="6159">
      <c r="E6159">
        <f>IF(DATOS!$I6159="","",IFERROR(VLOOKUP(DATOS!$I6159,CONFIG_ASIGNATURAS!$B$2:$J$61,9,FALSE()),""))</f>
      </c>
    </row>
    <row r="6160">
      <c r="E6160">
        <f>IF(DATOS!$I6160="","",IFERROR(VLOOKUP(DATOS!$I6160,CONFIG_ASIGNATURAS!$B$2:$J$61,9,FALSE()),""))</f>
      </c>
    </row>
    <row r="6161">
      <c r="E6161">
        <f>IF(DATOS!$I6161="","",IFERROR(VLOOKUP(DATOS!$I6161,CONFIG_ASIGNATURAS!$B$2:$J$61,9,FALSE()),""))</f>
      </c>
    </row>
    <row r="6162">
      <c r="E6162">
        <f>IF(DATOS!$I6162="","",IFERROR(VLOOKUP(DATOS!$I6162,CONFIG_ASIGNATURAS!$B$2:$J$61,9,FALSE()),""))</f>
      </c>
    </row>
    <row r="6163">
      <c r="E6163">
        <f>IF(DATOS!$I6163="","",IFERROR(VLOOKUP(DATOS!$I6163,CONFIG_ASIGNATURAS!$B$2:$J$61,9,FALSE()),""))</f>
      </c>
    </row>
    <row r="6164">
      <c r="E6164">
        <f>IF(DATOS!$I6164="","",IFERROR(VLOOKUP(DATOS!$I6164,CONFIG_ASIGNATURAS!$B$2:$J$61,9,FALSE()),""))</f>
      </c>
    </row>
    <row r="6165">
      <c r="E6165">
        <f>IF(DATOS!$I6165="","",IFERROR(VLOOKUP(DATOS!$I6165,CONFIG_ASIGNATURAS!$B$2:$J$61,9,FALSE()),""))</f>
      </c>
    </row>
    <row r="6166">
      <c r="E6166">
        <f>IF(DATOS!$I6166="","",IFERROR(VLOOKUP(DATOS!$I6166,CONFIG_ASIGNATURAS!$B$2:$J$61,9,FALSE()),""))</f>
      </c>
    </row>
    <row r="6167">
      <c r="E6167">
        <f>IF(DATOS!$I6167="","",IFERROR(VLOOKUP(DATOS!$I6167,CONFIG_ASIGNATURAS!$B$2:$J$61,9,FALSE()),""))</f>
      </c>
    </row>
    <row r="6168">
      <c r="E6168">
        <f>IF(DATOS!$I6168="","",IFERROR(VLOOKUP(DATOS!$I6168,CONFIG_ASIGNATURAS!$B$2:$J$61,9,FALSE()),""))</f>
      </c>
    </row>
    <row r="6169">
      <c r="E6169">
        <f>IF(DATOS!$I6169="","",IFERROR(VLOOKUP(DATOS!$I6169,CONFIG_ASIGNATURAS!$B$2:$J$61,9,FALSE()),""))</f>
      </c>
    </row>
    <row r="6170">
      <c r="E6170">
        <f>IF(DATOS!$I6170="","",IFERROR(VLOOKUP(DATOS!$I6170,CONFIG_ASIGNATURAS!$B$2:$J$61,9,FALSE()),""))</f>
      </c>
    </row>
    <row r="6171">
      <c r="E6171">
        <f>IF(DATOS!$I6171="","",IFERROR(VLOOKUP(DATOS!$I6171,CONFIG_ASIGNATURAS!$B$2:$J$61,9,FALSE()),""))</f>
      </c>
    </row>
    <row r="6172">
      <c r="E6172">
        <f>IF(DATOS!$I6172="","",IFERROR(VLOOKUP(DATOS!$I6172,CONFIG_ASIGNATURAS!$B$2:$J$61,9,FALSE()),""))</f>
      </c>
    </row>
    <row r="6173">
      <c r="E6173">
        <f>IF(DATOS!$I6173="","",IFERROR(VLOOKUP(DATOS!$I6173,CONFIG_ASIGNATURAS!$B$2:$J$61,9,FALSE()),""))</f>
      </c>
    </row>
    <row r="6174">
      <c r="E6174">
        <f>IF(DATOS!$I6174="","",IFERROR(VLOOKUP(DATOS!$I6174,CONFIG_ASIGNATURAS!$B$2:$J$61,9,FALSE()),""))</f>
      </c>
    </row>
    <row r="6175">
      <c r="E6175">
        <f>IF(DATOS!$I6175="","",IFERROR(VLOOKUP(DATOS!$I6175,CONFIG_ASIGNATURAS!$B$2:$J$61,9,FALSE()),""))</f>
      </c>
    </row>
    <row r="6176">
      <c r="E6176">
        <f>IF(DATOS!$I6176="","",IFERROR(VLOOKUP(DATOS!$I6176,CONFIG_ASIGNATURAS!$B$2:$J$61,9,FALSE()),""))</f>
      </c>
    </row>
    <row r="6177">
      <c r="E6177">
        <f>IF(DATOS!$I6177="","",IFERROR(VLOOKUP(DATOS!$I6177,CONFIG_ASIGNATURAS!$B$2:$J$61,9,FALSE()),""))</f>
      </c>
    </row>
    <row r="6178">
      <c r="E6178">
        <f>IF(DATOS!$I6178="","",IFERROR(VLOOKUP(DATOS!$I6178,CONFIG_ASIGNATURAS!$B$2:$J$61,9,FALSE()),""))</f>
      </c>
    </row>
    <row r="6179">
      <c r="E6179">
        <f>IF(DATOS!$I6179="","",IFERROR(VLOOKUP(DATOS!$I6179,CONFIG_ASIGNATURAS!$B$2:$J$61,9,FALSE()),""))</f>
      </c>
    </row>
    <row r="6180">
      <c r="E6180">
        <f>IF(DATOS!$I6180="","",IFERROR(VLOOKUP(DATOS!$I6180,CONFIG_ASIGNATURAS!$B$2:$J$61,9,FALSE()),""))</f>
      </c>
    </row>
    <row r="6181">
      <c r="E6181">
        <f>IF(DATOS!$I6181="","",IFERROR(VLOOKUP(DATOS!$I6181,CONFIG_ASIGNATURAS!$B$2:$J$61,9,FALSE()),""))</f>
      </c>
    </row>
    <row r="6182">
      <c r="E6182">
        <f>IF(DATOS!$I6182="","",IFERROR(VLOOKUP(DATOS!$I6182,CONFIG_ASIGNATURAS!$B$2:$J$61,9,FALSE()),""))</f>
      </c>
    </row>
    <row r="6183">
      <c r="E6183">
        <f>IF(DATOS!$I6183="","",IFERROR(VLOOKUP(DATOS!$I6183,CONFIG_ASIGNATURAS!$B$2:$J$61,9,FALSE()),""))</f>
      </c>
    </row>
    <row r="6184">
      <c r="E6184">
        <f>IF(DATOS!$I6184="","",IFERROR(VLOOKUP(DATOS!$I6184,CONFIG_ASIGNATURAS!$B$2:$J$61,9,FALSE()),""))</f>
      </c>
    </row>
    <row r="6185">
      <c r="E6185">
        <f>IF(DATOS!$I6185="","",IFERROR(VLOOKUP(DATOS!$I6185,CONFIG_ASIGNATURAS!$B$2:$J$61,9,FALSE()),""))</f>
      </c>
    </row>
    <row r="6186">
      <c r="E6186">
        <f>IF(DATOS!$I6186="","",IFERROR(VLOOKUP(DATOS!$I6186,CONFIG_ASIGNATURAS!$B$2:$J$61,9,FALSE()),""))</f>
      </c>
    </row>
    <row r="6187">
      <c r="E6187">
        <f>IF(DATOS!$I6187="","",IFERROR(VLOOKUP(DATOS!$I6187,CONFIG_ASIGNATURAS!$B$2:$J$61,9,FALSE()),""))</f>
      </c>
    </row>
    <row r="6188">
      <c r="E6188">
        <f>IF(DATOS!$I6188="","",IFERROR(VLOOKUP(DATOS!$I6188,CONFIG_ASIGNATURAS!$B$2:$J$61,9,FALSE()),""))</f>
      </c>
    </row>
    <row r="6189">
      <c r="E6189">
        <f>IF(DATOS!$I6189="","",IFERROR(VLOOKUP(DATOS!$I6189,CONFIG_ASIGNATURAS!$B$2:$J$61,9,FALSE()),""))</f>
      </c>
    </row>
    <row r="6190">
      <c r="E6190">
        <f>IF(DATOS!$I6190="","",IFERROR(VLOOKUP(DATOS!$I6190,CONFIG_ASIGNATURAS!$B$2:$J$61,9,FALSE()),""))</f>
      </c>
    </row>
    <row r="6191">
      <c r="E6191">
        <f>IF(DATOS!$I6191="","",IFERROR(VLOOKUP(DATOS!$I6191,CONFIG_ASIGNATURAS!$B$2:$J$61,9,FALSE()),""))</f>
      </c>
    </row>
    <row r="6192">
      <c r="E6192">
        <f>IF(DATOS!$I6192="","",IFERROR(VLOOKUP(DATOS!$I6192,CONFIG_ASIGNATURAS!$B$2:$J$61,9,FALSE()),""))</f>
      </c>
    </row>
    <row r="6193">
      <c r="E6193">
        <f>IF(DATOS!$I6193="","",IFERROR(VLOOKUP(DATOS!$I6193,CONFIG_ASIGNATURAS!$B$2:$J$61,9,FALSE()),""))</f>
      </c>
    </row>
    <row r="6194">
      <c r="E6194">
        <f>IF(DATOS!$I6194="","",IFERROR(VLOOKUP(DATOS!$I6194,CONFIG_ASIGNATURAS!$B$2:$J$61,9,FALSE()),""))</f>
      </c>
    </row>
    <row r="6195">
      <c r="E6195">
        <f>IF(DATOS!$I6195="","",IFERROR(VLOOKUP(DATOS!$I6195,CONFIG_ASIGNATURAS!$B$2:$J$61,9,FALSE()),""))</f>
      </c>
    </row>
    <row r="6196">
      <c r="E6196">
        <f>IF(DATOS!$I6196="","",IFERROR(VLOOKUP(DATOS!$I6196,CONFIG_ASIGNATURAS!$B$2:$J$61,9,FALSE()),""))</f>
      </c>
    </row>
    <row r="6197">
      <c r="E6197">
        <f>IF(DATOS!$I6197="","",IFERROR(VLOOKUP(DATOS!$I6197,CONFIG_ASIGNATURAS!$B$2:$J$61,9,FALSE()),""))</f>
      </c>
    </row>
    <row r="6198">
      <c r="E6198">
        <f>IF(DATOS!$I6198="","",IFERROR(VLOOKUP(DATOS!$I6198,CONFIG_ASIGNATURAS!$B$2:$J$61,9,FALSE()),""))</f>
      </c>
    </row>
    <row r="6199">
      <c r="E6199">
        <f>IF(DATOS!$I6199="","",IFERROR(VLOOKUP(DATOS!$I6199,CONFIG_ASIGNATURAS!$B$2:$J$61,9,FALSE()),""))</f>
      </c>
    </row>
    <row r="6200">
      <c r="E6200">
        <f>IF(DATOS!$I6200="","",IFERROR(VLOOKUP(DATOS!$I6200,CONFIG_ASIGNATURAS!$B$2:$J$61,9,FALSE()),""))</f>
      </c>
    </row>
    <row r="6201">
      <c r="E6201">
        <f>IF(DATOS!$I6201="","",IFERROR(VLOOKUP(DATOS!$I6201,CONFIG_ASIGNATURAS!$B$2:$J$61,9,FALSE()),""))</f>
      </c>
    </row>
    <row r="6202">
      <c r="E6202">
        <f>IF(DATOS!$I6202="","",IFERROR(VLOOKUP(DATOS!$I6202,CONFIG_ASIGNATURAS!$B$2:$J$61,9,FALSE()),""))</f>
      </c>
    </row>
    <row r="6203">
      <c r="E6203">
        <f>IF(DATOS!$I6203="","",IFERROR(VLOOKUP(DATOS!$I6203,CONFIG_ASIGNATURAS!$B$2:$J$61,9,FALSE()),""))</f>
      </c>
    </row>
    <row r="6204">
      <c r="E6204">
        <f>IF(DATOS!$I6204="","",IFERROR(VLOOKUP(DATOS!$I6204,CONFIG_ASIGNATURAS!$B$2:$J$61,9,FALSE()),""))</f>
      </c>
    </row>
    <row r="6205">
      <c r="E6205">
        <f>IF(DATOS!$I6205="","",IFERROR(VLOOKUP(DATOS!$I6205,CONFIG_ASIGNATURAS!$B$2:$J$61,9,FALSE()),""))</f>
      </c>
    </row>
    <row r="6206">
      <c r="E6206">
        <f>IF(DATOS!$I6206="","",IFERROR(VLOOKUP(DATOS!$I6206,CONFIG_ASIGNATURAS!$B$2:$J$61,9,FALSE()),""))</f>
      </c>
    </row>
    <row r="6207">
      <c r="E6207">
        <f>IF(DATOS!$I6207="","",IFERROR(VLOOKUP(DATOS!$I6207,CONFIG_ASIGNATURAS!$B$2:$J$61,9,FALSE()),""))</f>
      </c>
    </row>
    <row r="6208">
      <c r="E6208">
        <f>IF(DATOS!$I6208="","",IFERROR(VLOOKUP(DATOS!$I6208,CONFIG_ASIGNATURAS!$B$2:$J$61,9,FALSE()),""))</f>
      </c>
    </row>
    <row r="6209">
      <c r="E6209">
        <f>IF(DATOS!$I6209="","",IFERROR(VLOOKUP(DATOS!$I6209,CONFIG_ASIGNATURAS!$B$2:$J$61,9,FALSE()),""))</f>
      </c>
    </row>
    <row r="6210">
      <c r="E6210">
        <f>IF(DATOS!$I6210="","",IFERROR(VLOOKUP(DATOS!$I6210,CONFIG_ASIGNATURAS!$B$2:$J$61,9,FALSE()),""))</f>
      </c>
    </row>
    <row r="6211">
      <c r="E6211">
        <f>IF(DATOS!$I6211="","",IFERROR(VLOOKUP(DATOS!$I6211,CONFIG_ASIGNATURAS!$B$2:$J$61,9,FALSE()),""))</f>
      </c>
    </row>
    <row r="6212">
      <c r="E6212">
        <f>IF(DATOS!$I6212="","",IFERROR(VLOOKUP(DATOS!$I6212,CONFIG_ASIGNATURAS!$B$2:$J$61,9,FALSE()),""))</f>
      </c>
    </row>
    <row r="6213">
      <c r="E6213">
        <f>IF(DATOS!$I6213="","",IFERROR(VLOOKUP(DATOS!$I6213,CONFIG_ASIGNATURAS!$B$2:$J$61,9,FALSE()),""))</f>
      </c>
    </row>
    <row r="6214">
      <c r="E6214">
        <f>IF(DATOS!$I6214="","",IFERROR(VLOOKUP(DATOS!$I6214,CONFIG_ASIGNATURAS!$B$2:$J$61,9,FALSE()),""))</f>
      </c>
    </row>
    <row r="6215">
      <c r="E6215">
        <f>IF(DATOS!$I6215="","",IFERROR(VLOOKUP(DATOS!$I6215,CONFIG_ASIGNATURAS!$B$2:$J$61,9,FALSE()),""))</f>
      </c>
    </row>
    <row r="6216">
      <c r="E6216">
        <f>IF(DATOS!$I6216="","",IFERROR(VLOOKUP(DATOS!$I6216,CONFIG_ASIGNATURAS!$B$2:$J$61,9,FALSE()),""))</f>
      </c>
    </row>
    <row r="6217">
      <c r="E6217">
        <f>IF(DATOS!$I6217="","",IFERROR(VLOOKUP(DATOS!$I6217,CONFIG_ASIGNATURAS!$B$2:$J$61,9,FALSE()),""))</f>
      </c>
    </row>
    <row r="6218">
      <c r="E6218">
        <f>IF(DATOS!$I6218="","",IFERROR(VLOOKUP(DATOS!$I6218,CONFIG_ASIGNATURAS!$B$2:$J$61,9,FALSE()),""))</f>
      </c>
    </row>
    <row r="6219">
      <c r="E6219">
        <f>IF(DATOS!$I6219="","",IFERROR(VLOOKUP(DATOS!$I6219,CONFIG_ASIGNATURAS!$B$2:$J$61,9,FALSE()),""))</f>
      </c>
    </row>
    <row r="6220">
      <c r="E6220">
        <f>IF(DATOS!$I6220="","",IFERROR(VLOOKUP(DATOS!$I6220,CONFIG_ASIGNATURAS!$B$2:$J$61,9,FALSE()),""))</f>
      </c>
    </row>
    <row r="6221">
      <c r="E6221">
        <f>IF(DATOS!$I6221="","",IFERROR(VLOOKUP(DATOS!$I6221,CONFIG_ASIGNATURAS!$B$2:$J$61,9,FALSE()),""))</f>
      </c>
    </row>
    <row r="6222">
      <c r="E6222">
        <f>IF(DATOS!$I6222="","",IFERROR(VLOOKUP(DATOS!$I6222,CONFIG_ASIGNATURAS!$B$2:$J$61,9,FALSE()),""))</f>
      </c>
    </row>
    <row r="6223">
      <c r="E6223">
        <f>IF(DATOS!$I6223="","",IFERROR(VLOOKUP(DATOS!$I6223,CONFIG_ASIGNATURAS!$B$2:$J$61,9,FALSE()),""))</f>
      </c>
    </row>
    <row r="6224">
      <c r="E6224">
        <f>IF(DATOS!$I6224="","",IFERROR(VLOOKUP(DATOS!$I6224,CONFIG_ASIGNATURAS!$B$2:$J$61,9,FALSE()),""))</f>
      </c>
    </row>
    <row r="6225">
      <c r="E6225">
        <f>IF(DATOS!$I6225="","",IFERROR(VLOOKUP(DATOS!$I6225,CONFIG_ASIGNATURAS!$B$2:$J$61,9,FALSE()),""))</f>
      </c>
    </row>
    <row r="6226">
      <c r="E6226">
        <f>IF(DATOS!$I6226="","",IFERROR(VLOOKUP(DATOS!$I6226,CONFIG_ASIGNATURAS!$B$2:$J$61,9,FALSE()),""))</f>
      </c>
    </row>
    <row r="6227">
      <c r="E6227">
        <f>IF(DATOS!$I6227="","",IFERROR(VLOOKUP(DATOS!$I6227,CONFIG_ASIGNATURAS!$B$2:$J$61,9,FALSE()),""))</f>
      </c>
    </row>
    <row r="6228">
      <c r="E6228">
        <f>IF(DATOS!$I6228="","",IFERROR(VLOOKUP(DATOS!$I6228,CONFIG_ASIGNATURAS!$B$2:$J$61,9,FALSE()),""))</f>
      </c>
    </row>
    <row r="6229">
      <c r="E6229">
        <f>IF(DATOS!$I6229="","",IFERROR(VLOOKUP(DATOS!$I6229,CONFIG_ASIGNATURAS!$B$2:$J$61,9,FALSE()),""))</f>
      </c>
    </row>
    <row r="6230">
      <c r="E6230">
        <f>IF(DATOS!$I6230="","",IFERROR(VLOOKUP(DATOS!$I6230,CONFIG_ASIGNATURAS!$B$2:$J$61,9,FALSE()),""))</f>
      </c>
    </row>
    <row r="6231">
      <c r="E6231">
        <f>IF(DATOS!$I6231="","",IFERROR(VLOOKUP(DATOS!$I6231,CONFIG_ASIGNATURAS!$B$2:$J$61,9,FALSE()),""))</f>
      </c>
    </row>
    <row r="6232">
      <c r="E6232">
        <f>IF(DATOS!$I6232="","",IFERROR(VLOOKUP(DATOS!$I6232,CONFIG_ASIGNATURAS!$B$2:$J$61,9,FALSE()),""))</f>
      </c>
    </row>
    <row r="6233">
      <c r="E6233">
        <f>IF(DATOS!$I6233="","",IFERROR(VLOOKUP(DATOS!$I6233,CONFIG_ASIGNATURAS!$B$2:$J$61,9,FALSE()),""))</f>
      </c>
    </row>
    <row r="6234">
      <c r="E6234">
        <f>IF(DATOS!$I6234="","",IFERROR(VLOOKUP(DATOS!$I6234,CONFIG_ASIGNATURAS!$B$2:$J$61,9,FALSE()),""))</f>
      </c>
    </row>
    <row r="6235">
      <c r="E6235">
        <f>IF(DATOS!$I6235="","",IFERROR(VLOOKUP(DATOS!$I6235,CONFIG_ASIGNATURAS!$B$2:$J$61,9,FALSE()),""))</f>
      </c>
    </row>
    <row r="6236">
      <c r="E6236">
        <f>IF(DATOS!$I6236="","",IFERROR(VLOOKUP(DATOS!$I6236,CONFIG_ASIGNATURAS!$B$2:$J$61,9,FALSE()),""))</f>
      </c>
    </row>
    <row r="6237">
      <c r="E6237">
        <f>IF(DATOS!$I6237="","",IFERROR(VLOOKUP(DATOS!$I6237,CONFIG_ASIGNATURAS!$B$2:$J$61,9,FALSE()),""))</f>
      </c>
    </row>
    <row r="6238">
      <c r="E6238">
        <f>IF(DATOS!$I6238="","",IFERROR(VLOOKUP(DATOS!$I6238,CONFIG_ASIGNATURAS!$B$2:$J$61,9,FALSE()),""))</f>
      </c>
    </row>
    <row r="6239">
      <c r="E6239">
        <f>IF(DATOS!$I6239="","",IFERROR(VLOOKUP(DATOS!$I6239,CONFIG_ASIGNATURAS!$B$2:$J$61,9,FALSE()),""))</f>
      </c>
    </row>
    <row r="6240">
      <c r="E6240">
        <f>IF(DATOS!$I6240="","",IFERROR(VLOOKUP(DATOS!$I6240,CONFIG_ASIGNATURAS!$B$2:$J$61,9,FALSE()),""))</f>
      </c>
    </row>
    <row r="6241">
      <c r="E6241">
        <f>IF(DATOS!$I6241="","",IFERROR(VLOOKUP(DATOS!$I6241,CONFIG_ASIGNATURAS!$B$2:$J$61,9,FALSE()),""))</f>
      </c>
    </row>
    <row r="6242">
      <c r="E6242">
        <f>IF(DATOS!$I6242="","",IFERROR(VLOOKUP(DATOS!$I6242,CONFIG_ASIGNATURAS!$B$2:$J$61,9,FALSE()),""))</f>
      </c>
    </row>
    <row r="6243">
      <c r="E6243">
        <f>IF(DATOS!$I6243="","",IFERROR(VLOOKUP(DATOS!$I6243,CONFIG_ASIGNATURAS!$B$2:$J$61,9,FALSE()),""))</f>
      </c>
    </row>
    <row r="6244">
      <c r="E6244">
        <f>IF(DATOS!$I6244="","",IFERROR(VLOOKUP(DATOS!$I6244,CONFIG_ASIGNATURAS!$B$2:$J$61,9,FALSE()),""))</f>
      </c>
    </row>
    <row r="6245">
      <c r="E6245">
        <f>IF(DATOS!$I6245="","",IFERROR(VLOOKUP(DATOS!$I6245,CONFIG_ASIGNATURAS!$B$2:$J$61,9,FALSE()),""))</f>
      </c>
    </row>
    <row r="6246">
      <c r="E6246">
        <f>IF(DATOS!$I6246="","",IFERROR(VLOOKUP(DATOS!$I6246,CONFIG_ASIGNATURAS!$B$2:$J$61,9,FALSE()),""))</f>
      </c>
    </row>
    <row r="6247">
      <c r="E6247">
        <f>IF(DATOS!$I6247="","",IFERROR(VLOOKUP(DATOS!$I6247,CONFIG_ASIGNATURAS!$B$2:$J$61,9,FALSE()),""))</f>
      </c>
    </row>
    <row r="6248">
      <c r="E6248">
        <f>IF(DATOS!$I6248="","",IFERROR(VLOOKUP(DATOS!$I6248,CONFIG_ASIGNATURAS!$B$2:$J$61,9,FALSE()),""))</f>
      </c>
    </row>
    <row r="6249">
      <c r="E6249">
        <f>IF(DATOS!$I6249="","",IFERROR(VLOOKUP(DATOS!$I6249,CONFIG_ASIGNATURAS!$B$2:$J$61,9,FALSE()),""))</f>
      </c>
    </row>
    <row r="6250">
      <c r="E6250">
        <f>IF(DATOS!$I6250="","",IFERROR(VLOOKUP(DATOS!$I6250,CONFIG_ASIGNATURAS!$B$2:$J$61,9,FALSE()),""))</f>
      </c>
    </row>
    <row r="6251">
      <c r="E6251">
        <f>IF(DATOS!$I6251="","",IFERROR(VLOOKUP(DATOS!$I6251,CONFIG_ASIGNATURAS!$B$2:$J$61,9,FALSE()),""))</f>
      </c>
    </row>
    <row r="6252">
      <c r="E6252">
        <f>IF(DATOS!$I6252="","",IFERROR(VLOOKUP(DATOS!$I6252,CONFIG_ASIGNATURAS!$B$2:$J$61,9,FALSE()),""))</f>
      </c>
    </row>
    <row r="6253">
      <c r="E6253">
        <f>IF(DATOS!$I6253="","",IFERROR(VLOOKUP(DATOS!$I6253,CONFIG_ASIGNATURAS!$B$2:$J$61,9,FALSE()),""))</f>
      </c>
    </row>
    <row r="6254">
      <c r="E6254">
        <f>IF(DATOS!$I6254="","",IFERROR(VLOOKUP(DATOS!$I6254,CONFIG_ASIGNATURAS!$B$2:$J$61,9,FALSE()),""))</f>
      </c>
    </row>
    <row r="6255">
      <c r="E6255">
        <f>IF(DATOS!$I6255="","",IFERROR(VLOOKUP(DATOS!$I6255,CONFIG_ASIGNATURAS!$B$2:$J$61,9,FALSE()),""))</f>
      </c>
    </row>
    <row r="6256">
      <c r="E6256">
        <f>IF(DATOS!$I6256="","",IFERROR(VLOOKUP(DATOS!$I6256,CONFIG_ASIGNATURAS!$B$2:$J$61,9,FALSE()),""))</f>
      </c>
    </row>
    <row r="6257">
      <c r="E6257">
        <f>IF(DATOS!$I6257="","",IFERROR(VLOOKUP(DATOS!$I6257,CONFIG_ASIGNATURAS!$B$2:$J$61,9,FALSE()),""))</f>
      </c>
    </row>
    <row r="6258">
      <c r="E6258">
        <f>IF(DATOS!$I6258="","",IFERROR(VLOOKUP(DATOS!$I6258,CONFIG_ASIGNATURAS!$B$2:$J$61,9,FALSE()),""))</f>
      </c>
    </row>
    <row r="6259">
      <c r="E6259">
        <f>IF(DATOS!$I6259="","",IFERROR(VLOOKUP(DATOS!$I6259,CONFIG_ASIGNATURAS!$B$2:$J$61,9,FALSE()),""))</f>
      </c>
    </row>
    <row r="6260">
      <c r="E6260">
        <f>IF(DATOS!$I6260="","",IFERROR(VLOOKUP(DATOS!$I6260,CONFIG_ASIGNATURAS!$B$2:$J$61,9,FALSE()),""))</f>
      </c>
    </row>
    <row r="6261">
      <c r="E6261">
        <f>IF(DATOS!$I6261="","",IFERROR(VLOOKUP(DATOS!$I6261,CONFIG_ASIGNATURAS!$B$2:$J$61,9,FALSE()),""))</f>
      </c>
    </row>
    <row r="6262">
      <c r="E6262">
        <f>IF(DATOS!$I6262="","",IFERROR(VLOOKUP(DATOS!$I6262,CONFIG_ASIGNATURAS!$B$2:$J$61,9,FALSE()),""))</f>
      </c>
    </row>
    <row r="6263">
      <c r="E6263">
        <f>IF(DATOS!$I6263="","",IFERROR(VLOOKUP(DATOS!$I6263,CONFIG_ASIGNATURAS!$B$2:$J$61,9,FALSE()),""))</f>
      </c>
    </row>
    <row r="6264">
      <c r="E6264">
        <f>IF(DATOS!$I6264="","",IFERROR(VLOOKUP(DATOS!$I6264,CONFIG_ASIGNATURAS!$B$2:$J$61,9,FALSE()),""))</f>
      </c>
    </row>
    <row r="6265">
      <c r="E6265">
        <f>IF(DATOS!$I6265="","",IFERROR(VLOOKUP(DATOS!$I6265,CONFIG_ASIGNATURAS!$B$2:$J$61,9,FALSE()),""))</f>
      </c>
    </row>
    <row r="6266">
      <c r="E6266">
        <f>IF(DATOS!$I6266="","",IFERROR(VLOOKUP(DATOS!$I6266,CONFIG_ASIGNATURAS!$B$2:$J$61,9,FALSE()),""))</f>
      </c>
    </row>
    <row r="6267">
      <c r="E6267">
        <f>IF(DATOS!$I6267="","",IFERROR(VLOOKUP(DATOS!$I6267,CONFIG_ASIGNATURAS!$B$2:$J$61,9,FALSE()),""))</f>
      </c>
    </row>
    <row r="6268">
      <c r="E6268">
        <f>IF(DATOS!$I6268="","",IFERROR(VLOOKUP(DATOS!$I6268,CONFIG_ASIGNATURAS!$B$2:$J$61,9,FALSE()),""))</f>
      </c>
    </row>
    <row r="6269">
      <c r="E6269">
        <f>IF(DATOS!$I6269="","",IFERROR(VLOOKUP(DATOS!$I6269,CONFIG_ASIGNATURAS!$B$2:$J$61,9,FALSE()),""))</f>
      </c>
    </row>
    <row r="6270">
      <c r="E6270">
        <f>IF(DATOS!$I6270="","",IFERROR(VLOOKUP(DATOS!$I6270,CONFIG_ASIGNATURAS!$B$2:$J$61,9,FALSE()),""))</f>
      </c>
    </row>
    <row r="6271">
      <c r="E6271">
        <f>IF(DATOS!$I6271="","",IFERROR(VLOOKUP(DATOS!$I6271,CONFIG_ASIGNATURAS!$B$2:$J$61,9,FALSE()),""))</f>
      </c>
    </row>
    <row r="6272">
      <c r="E6272">
        <f>IF(DATOS!$I6272="","",IFERROR(VLOOKUP(DATOS!$I6272,CONFIG_ASIGNATURAS!$B$2:$J$61,9,FALSE()),""))</f>
      </c>
    </row>
    <row r="6273">
      <c r="E6273">
        <f>IF(DATOS!$I6273="","",IFERROR(VLOOKUP(DATOS!$I6273,CONFIG_ASIGNATURAS!$B$2:$J$61,9,FALSE()),""))</f>
      </c>
    </row>
    <row r="6274">
      <c r="E6274">
        <f>IF(DATOS!$I6274="","",IFERROR(VLOOKUP(DATOS!$I6274,CONFIG_ASIGNATURAS!$B$2:$J$61,9,FALSE()),""))</f>
      </c>
    </row>
    <row r="6275">
      <c r="E6275">
        <f>IF(DATOS!$I6275="","",IFERROR(VLOOKUP(DATOS!$I6275,CONFIG_ASIGNATURAS!$B$2:$J$61,9,FALSE()),""))</f>
      </c>
    </row>
    <row r="6276">
      <c r="E6276">
        <f>IF(DATOS!$I6276="","",IFERROR(VLOOKUP(DATOS!$I6276,CONFIG_ASIGNATURAS!$B$2:$J$61,9,FALSE()),""))</f>
      </c>
    </row>
    <row r="6277">
      <c r="E6277">
        <f>IF(DATOS!$I6277="","",IFERROR(VLOOKUP(DATOS!$I6277,CONFIG_ASIGNATURAS!$B$2:$J$61,9,FALSE()),""))</f>
      </c>
    </row>
    <row r="6278">
      <c r="E6278">
        <f>IF(DATOS!$I6278="","",IFERROR(VLOOKUP(DATOS!$I6278,CONFIG_ASIGNATURAS!$B$2:$J$61,9,FALSE()),""))</f>
      </c>
    </row>
    <row r="6279">
      <c r="E6279">
        <f>IF(DATOS!$I6279="","",IFERROR(VLOOKUP(DATOS!$I6279,CONFIG_ASIGNATURAS!$B$2:$J$61,9,FALSE()),""))</f>
      </c>
    </row>
    <row r="6280">
      <c r="E6280">
        <f>IF(DATOS!$I6280="","",IFERROR(VLOOKUP(DATOS!$I6280,CONFIG_ASIGNATURAS!$B$2:$J$61,9,FALSE()),""))</f>
      </c>
    </row>
    <row r="6281">
      <c r="E6281">
        <f>IF(DATOS!$I6281="","",IFERROR(VLOOKUP(DATOS!$I6281,CONFIG_ASIGNATURAS!$B$2:$J$61,9,FALSE()),""))</f>
      </c>
    </row>
    <row r="6282">
      <c r="E6282">
        <f>IF(DATOS!$I6282="","",IFERROR(VLOOKUP(DATOS!$I6282,CONFIG_ASIGNATURAS!$B$2:$J$61,9,FALSE()),""))</f>
      </c>
    </row>
    <row r="6283">
      <c r="E6283">
        <f>IF(DATOS!$I6283="","",IFERROR(VLOOKUP(DATOS!$I6283,CONFIG_ASIGNATURAS!$B$2:$J$61,9,FALSE()),""))</f>
      </c>
    </row>
    <row r="6284">
      <c r="E6284">
        <f>IF(DATOS!$I6284="","",IFERROR(VLOOKUP(DATOS!$I6284,CONFIG_ASIGNATURAS!$B$2:$J$61,9,FALSE()),""))</f>
      </c>
    </row>
    <row r="6285">
      <c r="E6285">
        <f>IF(DATOS!$I6285="","",IFERROR(VLOOKUP(DATOS!$I6285,CONFIG_ASIGNATURAS!$B$2:$J$61,9,FALSE()),""))</f>
      </c>
    </row>
    <row r="6286">
      <c r="E6286">
        <f>IF(DATOS!$I6286="","",IFERROR(VLOOKUP(DATOS!$I6286,CONFIG_ASIGNATURAS!$B$2:$J$61,9,FALSE()),""))</f>
      </c>
    </row>
    <row r="6287">
      <c r="E6287">
        <f>IF(DATOS!$I6287="","",IFERROR(VLOOKUP(DATOS!$I6287,CONFIG_ASIGNATURAS!$B$2:$J$61,9,FALSE()),""))</f>
      </c>
    </row>
    <row r="6288">
      <c r="E6288">
        <f>IF(DATOS!$I6288="","",IFERROR(VLOOKUP(DATOS!$I6288,CONFIG_ASIGNATURAS!$B$2:$J$61,9,FALSE()),""))</f>
      </c>
    </row>
    <row r="6289">
      <c r="E6289">
        <f>IF(DATOS!$I6289="","",IFERROR(VLOOKUP(DATOS!$I6289,CONFIG_ASIGNATURAS!$B$2:$J$61,9,FALSE()),""))</f>
      </c>
    </row>
    <row r="6290">
      <c r="E6290">
        <f>IF(DATOS!$I6290="","",IFERROR(VLOOKUP(DATOS!$I6290,CONFIG_ASIGNATURAS!$B$2:$J$61,9,FALSE()),""))</f>
      </c>
    </row>
    <row r="6291">
      <c r="E6291">
        <f>IF(DATOS!$I6291="","",IFERROR(VLOOKUP(DATOS!$I6291,CONFIG_ASIGNATURAS!$B$2:$J$61,9,FALSE()),""))</f>
      </c>
    </row>
    <row r="6292">
      <c r="E6292">
        <f>IF(DATOS!$I6292="","",IFERROR(VLOOKUP(DATOS!$I6292,CONFIG_ASIGNATURAS!$B$2:$J$61,9,FALSE()),""))</f>
      </c>
    </row>
    <row r="6293">
      <c r="E6293">
        <f>IF(DATOS!$I6293="","",IFERROR(VLOOKUP(DATOS!$I6293,CONFIG_ASIGNATURAS!$B$2:$J$61,9,FALSE()),""))</f>
      </c>
    </row>
    <row r="6294">
      <c r="E6294">
        <f>IF(DATOS!$I6294="","",IFERROR(VLOOKUP(DATOS!$I6294,CONFIG_ASIGNATURAS!$B$2:$J$61,9,FALSE()),""))</f>
      </c>
    </row>
    <row r="6295">
      <c r="E6295">
        <f>IF(DATOS!$I6295="","",IFERROR(VLOOKUP(DATOS!$I6295,CONFIG_ASIGNATURAS!$B$2:$J$61,9,FALSE()),""))</f>
      </c>
    </row>
    <row r="6296">
      <c r="E6296">
        <f>IF(DATOS!$I6296="","",IFERROR(VLOOKUP(DATOS!$I6296,CONFIG_ASIGNATURAS!$B$2:$J$61,9,FALSE()),""))</f>
      </c>
    </row>
    <row r="6297">
      <c r="E6297">
        <f>IF(DATOS!$I6297="","",IFERROR(VLOOKUP(DATOS!$I6297,CONFIG_ASIGNATURAS!$B$2:$J$61,9,FALSE()),""))</f>
      </c>
    </row>
    <row r="6298">
      <c r="E6298">
        <f>IF(DATOS!$I6298="","",IFERROR(VLOOKUP(DATOS!$I6298,CONFIG_ASIGNATURAS!$B$2:$J$61,9,FALSE()),""))</f>
      </c>
    </row>
    <row r="6299">
      <c r="E6299">
        <f>IF(DATOS!$I6299="","",IFERROR(VLOOKUP(DATOS!$I6299,CONFIG_ASIGNATURAS!$B$2:$J$61,9,FALSE()),""))</f>
      </c>
    </row>
    <row r="6300">
      <c r="E6300">
        <f>IF(DATOS!$I6300="","",IFERROR(VLOOKUP(DATOS!$I6300,CONFIG_ASIGNATURAS!$B$2:$J$61,9,FALSE()),""))</f>
      </c>
    </row>
    <row r="6301">
      <c r="E6301">
        <f>IF(DATOS!$I6301="","",IFERROR(VLOOKUP(DATOS!$I6301,CONFIG_ASIGNATURAS!$B$2:$J$61,9,FALSE()),""))</f>
      </c>
    </row>
    <row r="6302">
      <c r="E6302">
        <f>IF(DATOS!$I6302="","",IFERROR(VLOOKUP(DATOS!$I6302,CONFIG_ASIGNATURAS!$B$2:$J$61,9,FALSE()),""))</f>
      </c>
    </row>
    <row r="6303">
      <c r="E6303">
        <f>IF(DATOS!$I6303="","",IFERROR(VLOOKUP(DATOS!$I6303,CONFIG_ASIGNATURAS!$B$2:$J$61,9,FALSE()),""))</f>
      </c>
    </row>
    <row r="6304">
      <c r="E6304">
        <f>IF(DATOS!$I6304="","",IFERROR(VLOOKUP(DATOS!$I6304,CONFIG_ASIGNATURAS!$B$2:$J$61,9,FALSE()),""))</f>
      </c>
    </row>
    <row r="6305">
      <c r="E6305">
        <f>IF(DATOS!$I6305="","",IFERROR(VLOOKUP(DATOS!$I6305,CONFIG_ASIGNATURAS!$B$2:$J$61,9,FALSE()),""))</f>
      </c>
    </row>
    <row r="6306">
      <c r="E6306">
        <f>IF(DATOS!$I6306="","",IFERROR(VLOOKUP(DATOS!$I6306,CONFIG_ASIGNATURAS!$B$2:$J$61,9,FALSE()),""))</f>
      </c>
    </row>
    <row r="6307">
      <c r="E6307">
        <f>IF(DATOS!$I6307="","",IFERROR(VLOOKUP(DATOS!$I6307,CONFIG_ASIGNATURAS!$B$2:$J$61,9,FALSE()),""))</f>
      </c>
    </row>
    <row r="6308">
      <c r="E6308">
        <f>IF(DATOS!$I6308="","",IFERROR(VLOOKUP(DATOS!$I6308,CONFIG_ASIGNATURAS!$B$2:$J$61,9,FALSE()),""))</f>
      </c>
    </row>
    <row r="6309">
      <c r="E6309">
        <f>IF(DATOS!$I6309="","",IFERROR(VLOOKUP(DATOS!$I6309,CONFIG_ASIGNATURAS!$B$2:$J$61,9,FALSE()),""))</f>
      </c>
    </row>
    <row r="6310">
      <c r="E6310">
        <f>IF(DATOS!$I6310="","",IFERROR(VLOOKUP(DATOS!$I6310,CONFIG_ASIGNATURAS!$B$2:$J$61,9,FALSE()),""))</f>
      </c>
    </row>
    <row r="6311">
      <c r="E6311">
        <f>IF(DATOS!$I6311="","",IFERROR(VLOOKUP(DATOS!$I6311,CONFIG_ASIGNATURAS!$B$2:$J$61,9,FALSE()),""))</f>
      </c>
    </row>
    <row r="6312">
      <c r="E6312">
        <f>IF(DATOS!$I6312="","",IFERROR(VLOOKUP(DATOS!$I6312,CONFIG_ASIGNATURAS!$B$2:$J$61,9,FALSE()),""))</f>
      </c>
    </row>
    <row r="6313">
      <c r="E6313">
        <f>IF(DATOS!$I6313="","",IFERROR(VLOOKUP(DATOS!$I6313,CONFIG_ASIGNATURAS!$B$2:$J$61,9,FALSE()),""))</f>
      </c>
    </row>
    <row r="6314">
      <c r="E6314">
        <f>IF(DATOS!$I6314="","",IFERROR(VLOOKUP(DATOS!$I6314,CONFIG_ASIGNATURAS!$B$2:$J$61,9,FALSE()),""))</f>
      </c>
    </row>
    <row r="6315">
      <c r="E6315">
        <f>IF(DATOS!$I6315="","",IFERROR(VLOOKUP(DATOS!$I6315,CONFIG_ASIGNATURAS!$B$2:$J$61,9,FALSE()),""))</f>
      </c>
    </row>
    <row r="6316">
      <c r="E6316">
        <f>IF(DATOS!$I6316="","",IFERROR(VLOOKUP(DATOS!$I6316,CONFIG_ASIGNATURAS!$B$2:$J$61,9,FALSE()),""))</f>
      </c>
    </row>
    <row r="6317">
      <c r="E6317">
        <f>IF(DATOS!$I6317="","",IFERROR(VLOOKUP(DATOS!$I6317,CONFIG_ASIGNATURAS!$B$2:$J$61,9,FALSE()),""))</f>
      </c>
    </row>
    <row r="6318">
      <c r="E6318">
        <f>IF(DATOS!$I6318="","",IFERROR(VLOOKUP(DATOS!$I6318,CONFIG_ASIGNATURAS!$B$2:$J$61,9,FALSE()),""))</f>
      </c>
    </row>
    <row r="6319">
      <c r="E6319">
        <f>IF(DATOS!$I6319="","",IFERROR(VLOOKUP(DATOS!$I6319,CONFIG_ASIGNATURAS!$B$2:$J$61,9,FALSE()),""))</f>
      </c>
    </row>
    <row r="6320">
      <c r="E6320">
        <f>IF(DATOS!$I6320="","",IFERROR(VLOOKUP(DATOS!$I6320,CONFIG_ASIGNATURAS!$B$2:$J$61,9,FALSE()),""))</f>
      </c>
    </row>
    <row r="6321">
      <c r="E6321">
        <f>IF(DATOS!$I6321="","",IFERROR(VLOOKUP(DATOS!$I6321,CONFIG_ASIGNATURAS!$B$2:$J$61,9,FALSE()),""))</f>
      </c>
    </row>
    <row r="6322">
      <c r="E6322">
        <f>IF(DATOS!$I6322="","",IFERROR(VLOOKUP(DATOS!$I6322,CONFIG_ASIGNATURAS!$B$2:$J$61,9,FALSE()),""))</f>
      </c>
    </row>
    <row r="6323">
      <c r="E6323">
        <f>IF(DATOS!$I6323="","",IFERROR(VLOOKUP(DATOS!$I6323,CONFIG_ASIGNATURAS!$B$2:$J$61,9,FALSE()),""))</f>
      </c>
    </row>
    <row r="6324">
      <c r="E6324">
        <f>IF(DATOS!$I6324="","",IFERROR(VLOOKUP(DATOS!$I6324,CONFIG_ASIGNATURAS!$B$2:$J$61,9,FALSE()),""))</f>
      </c>
    </row>
    <row r="6325">
      <c r="E6325">
        <f>IF(DATOS!$I6325="","",IFERROR(VLOOKUP(DATOS!$I6325,CONFIG_ASIGNATURAS!$B$2:$J$61,9,FALSE()),""))</f>
      </c>
    </row>
    <row r="6326">
      <c r="E6326">
        <f>IF(DATOS!$I6326="","",IFERROR(VLOOKUP(DATOS!$I6326,CONFIG_ASIGNATURAS!$B$2:$J$61,9,FALSE()),""))</f>
      </c>
    </row>
    <row r="6327">
      <c r="E6327">
        <f>IF(DATOS!$I6327="","",IFERROR(VLOOKUP(DATOS!$I6327,CONFIG_ASIGNATURAS!$B$2:$J$61,9,FALSE()),""))</f>
      </c>
    </row>
    <row r="6328">
      <c r="E6328">
        <f>IF(DATOS!$I6328="","",IFERROR(VLOOKUP(DATOS!$I6328,CONFIG_ASIGNATURAS!$B$2:$J$61,9,FALSE()),""))</f>
      </c>
    </row>
    <row r="6329">
      <c r="E6329">
        <f>IF(DATOS!$I6329="","",IFERROR(VLOOKUP(DATOS!$I6329,CONFIG_ASIGNATURAS!$B$2:$J$61,9,FALSE()),""))</f>
      </c>
    </row>
    <row r="6330">
      <c r="E6330">
        <f>IF(DATOS!$I6330="","",IFERROR(VLOOKUP(DATOS!$I6330,CONFIG_ASIGNATURAS!$B$2:$J$61,9,FALSE()),""))</f>
      </c>
    </row>
    <row r="6331">
      <c r="E6331">
        <f>IF(DATOS!$I6331="","",IFERROR(VLOOKUP(DATOS!$I6331,CONFIG_ASIGNATURAS!$B$2:$J$61,9,FALSE()),""))</f>
      </c>
    </row>
    <row r="6332">
      <c r="E6332">
        <f>IF(DATOS!$I6332="","",IFERROR(VLOOKUP(DATOS!$I6332,CONFIG_ASIGNATURAS!$B$2:$J$61,9,FALSE()),""))</f>
      </c>
    </row>
    <row r="6333">
      <c r="E6333">
        <f>IF(DATOS!$I6333="","",IFERROR(VLOOKUP(DATOS!$I6333,CONFIG_ASIGNATURAS!$B$2:$J$61,9,FALSE()),""))</f>
      </c>
    </row>
    <row r="6334">
      <c r="E6334">
        <f>IF(DATOS!$I6334="","",IFERROR(VLOOKUP(DATOS!$I6334,CONFIG_ASIGNATURAS!$B$2:$J$61,9,FALSE()),""))</f>
      </c>
    </row>
    <row r="6335">
      <c r="E6335">
        <f>IF(DATOS!$I6335="","",IFERROR(VLOOKUP(DATOS!$I6335,CONFIG_ASIGNATURAS!$B$2:$J$61,9,FALSE()),""))</f>
      </c>
    </row>
    <row r="6336">
      <c r="E6336">
        <f>IF(DATOS!$I6336="","",IFERROR(VLOOKUP(DATOS!$I6336,CONFIG_ASIGNATURAS!$B$2:$J$61,9,FALSE()),""))</f>
      </c>
    </row>
    <row r="6337">
      <c r="E6337">
        <f>IF(DATOS!$I6337="","",IFERROR(VLOOKUP(DATOS!$I6337,CONFIG_ASIGNATURAS!$B$2:$J$61,9,FALSE()),""))</f>
      </c>
    </row>
    <row r="6338">
      <c r="E6338">
        <f>IF(DATOS!$I6338="","",IFERROR(VLOOKUP(DATOS!$I6338,CONFIG_ASIGNATURAS!$B$2:$J$61,9,FALSE()),""))</f>
      </c>
    </row>
    <row r="6339">
      <c r="E6339">
        <f>IF(DATOS!$I6339="","",IFERROR(VLOOKUP(DATOS!$I6339,CONFIG_ASIGNATURAS!$B$2:$J$61,9,FALSE()),""))</f>
      </c>
    </row>
    <row r="6340">
      <c r="E6340">
        <f>IF(DATOS!$I6340="","",IFERROR(VLOOKUP(DATOS!$I6340,CONFIG_ASIGNATURAS!$B$2:$J$61,9,FALSE()),""))</f>
      </c>
    </row>
    <row r="6341">
      <c r="E6341">
        <f>IF(DATOS!$I6341="","",IFERROR(VLOOKUP(DATOS!$I6341,CONFIG_ASIGNATURAS!$B$2:$J$61,9,FALSE()),""))</f>
      </c>
    </row>
    <row r="6342">
      <c r="E6342">
        <f>IF(DATOS!$I6342="","",IFERROR(VLOOKUP(DATOS!$I6342,CONFIG_ASIGNATURAS!$B$2:$J$61,9,FALSE()),""))</f>
      </c>
    </row>
    <row r="6343">
      <c r="E6343">
        <f>IF(DATOS!$I6343="","",IFERROR(VLOOKUP(DATOS!$I6343,CONFIG_ASIGNATURAS!$B$2:$J$61,9,FALSE()),""))</f>
      </c>
    </row>
    <row r="6344">
      <c r="E6344">
        <f>IF(DATOS!$I6344="","",IFERROR(VLOOKUP(DATOS!$I6344,CONFIG_ASIGNATURAS!$B$2:$J$61,9,FALSE()),""))</f>
      </c>
    </row>
    <row r="6345">
      <c r="E6345">
        <f>IF(DATOS!$I6345="","",IFERROR(VLOOKUP(DATOS!$I6345,CONFIG_ASIGNATURAS!$B$2:$J$61,9,FALSE()),""))</f>
      </c>
    </row>
    <row r="6346">
      <c r="E6346">
        <f>IF(DATOS!$I6346="","",IFERROR(VLOOKUP(DATOS!$I6346,CONFIG_ASIGNATURAS!$B$2:$J$61,9,FALSE()),""))</f>
      </c>
    </row>
    <row r="6347">
      <c r="E6347">
        <f>IF(DATOS!$I6347="","",IFERROR(VLOOKUP(DATOS!$I6347,CONFIG_ASIGNATURAS!$B$2:$J$61,9,FALSE()),""))</f>
      </c>
    </row>
    <row r="6348">
      <c r="E6348">
        <f>IF(DATOS!$I6348="","",IFERROR(VLOOKUP(DATOS!$I6348,CONFIG_ASIGNATURAS!$B$2:$J$61,9,FALSE()),""))</f>
      </c>
    </row>
    <row r="6349">
      <c r="E6349">
        <f>IF(DATOS!$I6349="","",IFERROR(VLOOKUP(DATOS!$I6349,CONFIG_ASIGNATURAS!$B$2:$J$61,9,FALSE()),""))</f>
      </c>
    </row>
    <row r="6350">
      <c r="E6350">
        <f>IF(DATOS!$I6350="","",IFERROR(VLOOKUP(DATOS!$I6350,CONFIG_ASIGNATURAS!$B$2:$J$61,9,FALSE()),""))</f>
      </c>
    </row>
    <row r="6351">
      <c r="E6351">
        <f>IF(DATOS!$I6351="","",IFERROR(VLOOKUP(DATOS!$I6351,CONFIG_ASIGNATURAS!$B$2:$J$61,9,FALSE()),""))</f>
      </c>
    </row>
    <row r="6352">
      <c r="E6352">
        <f>IF(DATOS!$I6352="","",IFERROR(VLOOKUP(DATOS!$I6352,CONFIG_ASIGNATURAS!$B$2:$J$61,9,FALSE()),""))</f>
      </c>
    </row>
    <row r="6353">
      <c r="E6353">
        <f>IF(DATOS!$I6353="","",IFERROR(VLOOKUP(DATOS!$I6353,CONFIG_ASIGNATURAS!$B$2:$J$61,9,FALSE()),""))</f>
      </c>
    </row>
    <row r="6354">
      <c r="E6354">
        <f>IF(DATOS!$I6354="","",IFERROR(VLOOKUP(DATOS!$I6354,CONFIG_ASIGNATURAS!$B$2:$J$61,9,FALSE()),""))</f>
      </c>
    </row>
    <row r="6355">
      <c r="E6355">
        <f>IF(DATOS!$I6355="","",IFERROR(VLOOKUP(DATOS!$I6355,CONFIG_ASIGNATURAS!$B$2:$J$61,9,FALSE()),""))</f>
      </c>
    </row>
    <row r="6356">
      <c r="E6356">
        <f>IF(DATOS!$I6356="","",IFERROR(VLOOKUP(DATOS!$I6356,CONFIG_ASIGNATURAS!$B$2:$J$61,9,FALSE()),""))</f>
      </c>
    </row>
    <row r="6357">
      <c r="E6357">
        <f>IF(DATOS!$I6357="","",IFERROR(VLOOKUP(DATOS!$I6357,CONFIG_ASIGNATURAS!$B$2:$J$61,9,FALSE()),""))</f>
      </c>
    </row>
    <row r="6358">
      <c r="E6358">
        <f>IF(DATOS!$I6358="","",IFERROR(VLOOKUP(DATOS!$I6358,CONFIG_ASIGNATURAS!$B$2:$J$61,9,FALSE()),""))</f>
      </c>
    </row>
    <row r="6359">
      <c r="E6359">
        <f>IF(DATOS!$I6359="","",IFERROR(VLOOKUP(DATOS!$I6359,CONFIG_ASIGNATURAS!$B$2:$J$61,9,FALSE()),""))</f>
      </c>
    </row>
    <row r="6360">
      <c r="E6360">
        <f>IF(DATOS!$I6360="","",IFERROR(VLOOKUP(DATOS!$I6360,CONFIG_ASIGNATURAS!$B$2:$J$61,9,FALSE()),""))</f>
      </c>
    </row>
    <row r="6361">
      <c r="E6361">
        <f>IF(DATOS!$I6361="","",IFERROR(VLOOKUP(DATOS!$I6361,CONFIG_ASIGNATURAS!$B$2:$J$61,9,FALSE()),""))</f>
      </c>
    </row>
    <row r="6362">
      <c r="E6362">
        <f>IF(DATOS!$I6362="","",IFERROR(VLOOKUP(DATOS!$I6362,CONFIG_ASIGNATURAS!$B$2:$J$61,9,FALSE()),""))</f>
      </c>
    </row>
    <row r="6363">
      <c r="E6363">
        <f>IF(DATOS!$I6363="","",IFERROR(VLOOKUP(DATOS!$I6363,CONFIG_ASIGNATURAS!$B$2:$J$61,9,FALSE()),""))</f>
      </c>
    </row>
    <row r="6364">
      <c r="E6364">
        <f>IF(DATOS!$I6364="","",IFERROR(VLOOKUP(DATOS!$I6364,CONFIG_ASIGNATURAS!$B$2:$J$61,9,FALSE()),""))</f>
      </c>
    </row>
    <row r="6365">
      <c r="E6365">
        <f>IF(DATOS!$I6365="","",IFERROR(VLOOKUP(DATOS!$I6365,CONFIG_ASIGNATURAS!$B$2:$J$61,9,FALSE()),""))</f>
      </c>
    </row>
    <row r="6366">
      <c r="E6366">
        <f>IF(DATOS!$I6366="","",IFERROR(VLOOKUP(DATOS!$I6366,CONFIG_ASIGNATURAS!$B$2:$J$61,9,FALSE()),""))</f>
      </c>
    </row>
    <row r="6367">
      <c r="E6367">
        <f>IF(DATOS!$I6367="","",IFERROR(VLOOKUP(DATOS!$I6367,CONFIG_ASIGNATURAS!$B$2:$J$61,9,FALSE()),""))</f>
      </c>
    </row>
    <row r="6368">
      <c r="E6368">
        <f>IF(DATOS!$I6368="","",IFERROR(VLOOKUP(DATOS!$I6368,CONFIG_ASIGNATURAS!$B$2:$J$61,9,FALSE()),""))</f>
      </c>
    </row>
    <row r="6369">
      <c r="E6369">
        <f>IF(DATOS!$I6369="","",IFERROR(VLOOKUP(DATOS!$I6369,CONFIG_ASIGNATURAS!$B$2:$J$61,9,FALSE()),""))</f>
      </c>
    </row>
    <row r="6370">
      <c r="E6370">
        <f>IF(DATOS!$I6370="","",IFERROR(VLOOKUP(DATOS!$I6370,CONFIG_ASIGNATURAS!$B$2:$J$61,9,FALSE()),""))</f>
      </c>
    </row>
    <row r="6371">
      <c r="E6371">
        <f>IF(DATOS!$I6371="","",IFERROR(VLOOKUP(DATOS!$I6371,CONFIG_ASIGNATURAS!$B$2:$J$61,9,FALSE()),""))</f>
      </c>
    </row>
    <row r="6372">
      <c r="E6372">
        <f>IF(DATOS!$I6372="","",IFERROR(VLOOKUP(DATOS!$I6372,CONFIG_ASIGNATURAS!$B$2:$J$61,9,FALSE()),""))</f>
      </c>
    </row>
    <row r="6373">
      <c r="E6373">
        <f>IF(DATOS!$I6373="","",IFERROR(VLOOKUP(DATOS!$I6373,CONFIG_ASIGNATURAS!$B$2:$J$61,9,FALSE()),""))</f>
      </c>
    </row>
    <row r="6374">
      <c r="E6374">
        <f>IF(DATOS!$I6374="","",IFERROR(VLOOKUP(DATOS!$I6374,CONFIG_ASIGNATURAS!$B$2:$J$61,9,FALSE()),""))</f>
      </c>
    </row>
    <row r="6375">
      <c r="E6375">
        <f>IF(DATOS!$I6375="","",IFERROR(VLOOKUP(DATOS!$I6375,CONFIG_ASIGNATURAS!$B$2:$J$61,9,FALSE()),""))</f>
      </c>
    </row>
    <row r="6376">
      <c r="E6376">
        <f>IF(DATOS!$I6376="","",IFERROR(VLOOKUP(DATOS!$I6376,CONFIG_ASIGNATURAS!$B$2:$J$61,9,FALSE()),""))</f>
      </c>
    </row>
    <row r="6377">
      <c r="E6377">
        <f>IF(DATOS!$I6377="","",IFERROR(VLOOKUP(DATOS!$I6377,CONFIG_ASIGNATURAS!$B$2:$J$61,9,FALSE()),""))</f>
      </c>
    </row>
    <row r="6378">
      <c r="E6378">
        <f>IF(DATOS!$I6378="","",IFERROR(VLOOKUP(DATOS!$I6378,CONFIG_ASIGNATURAS!$B$2:$J$61,9,FALSE()),""))</f>
      </c>
    </row>
    <row r="6379">
      <c r="E6379">
        <f>IF(DATOS!$I6379="","",IFERROR(VLOOKUP(DATOS!$I6379,CONFIG_ASIGNATURAS!$B$2:$J$61,9,FALSE()),""))</f>
      </c>
    </row>
    <row r="6380">
      <c r="E6380">
        <f>IF(DATOS!$I6380="","",IFERROR(VLOOKUP(DATOS!$I6380,CONFIG_ASIGNATURAS!$B$2:$J$61,9,FALSE()),""))</f>
      </c>
    </row>
    <row r="6381">
      <c r="E6381">
        <f>IF(DATOS!$I6381="","",IFERROR(VLOOKUP(DATOS!$I6381,CONFIG_ASIGNATURAS!$B$2:$J$61,9,FALSE()),""))</f>
      </c>
    </row>
    <row r="6382">
      <c r="E6382">
        <f>IF(DATOS!$I6382="","",IFERROR(VLOOKUP(DATOS!$I6382,CONFIG_ASIGNATURAS!$B$2:$J$61,9,FALSE()),""))</f>
      </c>
    </row>
    <row r="6383">
      <c r="E6383">
        <f>IF(DATOS!$I6383="","",IFERROR(VLOOKUP(DATOS!$I6383,CONFIG_ASIGNATURAS!$B$2:$J$61,9,FALSE()),""))</f>
      </c>
    </row>
    <row r="6384">
      <c r="E6384">
        <f>IF(DATOS!$I6384="","",IFERROR(VLOOKUP(DATOS!$I6384,CONFIG_ASIGNATURAS!$B$2:$J$61,9,FALSE()),""))</f>
      </c>
    </row>
    <row r="6385">
      <c r="E6385">
        <f>IF(DATOS!$I6385="","",IFERROR(VLOOKUP(DATOS!$I6385,CONFIG_ASIGNATURAS!$B$2:$J$61,9,FALSE()),""))</f>
      </c>
    </row>
    <row r="6386">
      <c r="E6386">
        <f>IF(DATOS!$I6386="","",IFERROR(VLOOKUP(DATOS!$I6386,CONFIG_ASIGNATURAS!$B$2:$J$61,9,FALSE()),""))</f>
      </c>
    </row>
    <row r="6387">
      <c r="E6387">
        <f>IF(DATOS!$I6387="","",IFERROR(VLOOKUP(DATOS!$I6387,CONFIG_ASIGNATURAS!$B$2:$J$61,9,FALSE()),""))</f>
      </c>
    </row>
    <row r="6388">
      <c r="E6388">
        <f>IF(DATOS!$I6388="","",IFERROR(VLOOKUP(DATOS!$I6388,CONFIG_ASIGNATURAS!$B$2:$J$61,9,FALSE()),""))</f>
      </c>
    </row>
    <row r="6389">
      <c r="E6389">
        <f>IF(DATOS!$I6389="","",IFERROR(VLOOKUP(DATOS!$I6389,CONFIG_ASIGNATURAS!$B$2:$J$61,9,FALSE()),""))</f>
      </c>
    </row>
    <row r="6390">
      <c r="E6390">
        <f>IF(DATOS!$I6390="","",IFERROR(VLOOKUP(DATOS!$I6390,CONFIG_ASIGNATURAS!$B$2:$J$61,9,FALSE()),""))</f>
      </c>
    </row>
    <row r="6391">
      <c r="E6391">
        <f>IF(DATOS!$I6391="","",IFERROR(VLOOKUP(DATOS!$I6391,CONFIG_ASIGNATURAS!$B$2:$J$61,9,FALSE()),""))</f>
      </c>
    </row>
    <row r="6392">
      <c r="E6392">
        <f>IF(DATOS!$I6392="","",IFERROR(VLOOKUP(DATOS!$I6392,CONFIG_ASIGNATURAS!$B$2:$J$61,9,FALSE()),""))</f>
      </c>
    </row>
    <row r="6393">
      <c r="E6393">
        <f>IF(DATOS!$I6393="","",IFERROR(VLOOKUP(DATOS!$I6393,CONFIG_ASIGNATURAS!$B$2:$J$61,9,FALSE()),""))</f>
      </c>
    </row>
    <row r="6394">
      <c r="E6394">
        <f>IF(DATOS!$I6394="","",IFERROR(VLOOKUP(DATOS!$I6394,CONFIG_ASIGNATURAS!$B$2:$J$61,9,FALSE()),""))</f>
      </c>
    </row>
    <row r="6395">
      <c r="E6395">
        <f>IF(DATOS!$I6395="","",IFERROR(VLOOKUP(DATOS!$I6395,CONFIG_ASIGNATURAS!$B$2:$J$61,9,FALSE()),""))</f>
      </c>
    </row>
    <row r="6396">
      <c r="E6396">
        <f>IF(DATOS!$I6396="","",IFERROR(VLOOKUP(DATOS!$I6396,CONFIG_ASIGNATURAS!$B$2:$J$61,9,FALSE()),""))</f>
      </c>
    </row>
    <row r="6397">
      <c r="E6397">
        <f>IF(DATOS!$I6397="","",IFERROR(VLOOKUP(DATOS!$I6397,CONFIG_ASIGNATURAS!$B$2:$J$61,9,FALSE()),""))</f>
      </c>
    </row>
    <row r="6398">
      <c r="E6398">
        <f>IF(DATOS!$I6398="","",IFERROR(VLOOKUP(DATOS!$I6398,CONFIG_ASIGNATURAS!$B$2:$J$61,9,FALSE()),""))</f>
      </c>
    </row>
    <row r="6399">
      <c r="E6399">
        <f>IF(DATOS!$I6399="","",IFERROR(VLOOKUP(DATOS!$I6399,CONFIG_ASIGNATURAS!$B$2:$J$61,9,FALSE()),""))</f>
      </c>
    </row>
    <row r="6400">
      <c r="E6400">
        <f>IF(DATOS!$I6400="","",IFERROR(VLOOKUP(DATOS!$I6400,CONFIG_ASIGNATURAS!$B$2:$J$61,9,FALSE()),""))</f>
      </c>
    </row>
    <row r="6401">
      <c r="E6401">
        <f>IF(DATOS!$I6401="","",IFERROR(VLOOKUP(DATOS!$I6401,CONFIG_ASIGNATURAS!$B$2:$J$61,9,FALSE()),""))</f>
      </c>
    </row>
    <row r="6402">
      <c r="E6402">
        <f>IF(DATOS!$I6402="","",IFERROR(VLOOKUP(DATOS!$I6402,CONFIG_ASIGNATURAS!$B$2:$J$61,9,FALSE()),""))</f>
      </c>
    </row>
    <row r="6403">
      <c r="E6403">
        <f>IF(DATOS!$I6403="","",IFERROR(VLOOKUP(DATOS!$I6403,CONFIG_ASIGNATURAS!$B$2:$J$61,9,FALSE()),""))</f>
      </c>
    </row>
    <row r="6404">
      <c r="E6404">
        <f>IF(DATOS!$I6404="","",IFERROR(VLOOKUP(DATOS!$I6404,CONFIG_ASIGNATURAS!$B$2:$J$61,9,FALSE()),""))</f>
      </c>
    </row>
    <row r="6405">
      <c r="E6405">
        <f>IF(DATOS!$I6405="","",IFERROR(VLOOKUP(DATOS!$I6405,CONFIG_ASIGNATURAS!$B$2:$J$61,9,FALSE()),""))</f>
      </c>
    </row>
    <row r="6406">
      <c r="E6406">
        <f>IF(DATOS!$I6406="","",IFERROR(VLOOKUP(DATOS!$I6406,CONFIG_ASIGNATURAS!$B$2:$J$61,9,FALSE()),""))</f>
      </c>
    </row>
    <row r="6407">
      <c r="E6407">
        <f>IF(DATOS!$I6407="","",IFERROR(VLOOKUP(DATOS!$I6407,CONFIG_ASIGNATURAS!$B$2:$J$61,9,FALSE()),""))</f>
      </c>
    </row>
    <row r="6408">
      <c r="E6408">
        <f>IF(DATOS!$I6408="","",IFERROR(VLOOKUP(DATOS!$I6408,CONFIG_ASIGNATURAS!$B$2:$J$61,9,FALSE()),""))</f>
      </c>
    </row>
    <row r="6409">
      <c r="E6409">
        <f>IF(DATOS!$I6409="","",IFERROR(VLOOKUP(DATOS!$I6409,CONFIG_ASIGNATURAS!$B$2:$J$61,9,FALSE()),""))</f>
      </c>
    </row>
    <row r="6410">
      <c r="E6410">
        <f>IF(DATOS!$I6410="","",IFERROR(VLOOKUP(DATOS!$I6410,CONFIG_ASIGNATURAS!$B$2:$J$61,9,FALSE()),""))</f>
      </c>
    </row>
    <row r="6411">
      <c r="E6411">
        <f>IF(DATOS!$I6411="","",IFERROR(VLOOKUP(DATOS!$I6411,CONFIG_ASIGNATURAS!$B$2:$J$61,9,FALSE()),""))</f>
      </c>
    </row>
    <row r="6412">
      <c r="E6412">
        <f>IF(DATOS!$I6412="","",IFERROR(VLOOKUP(DATOS!$I6412,CONFIG_ASIGNATURAS!$B$2:$J$61,9,FALSE()),""))</f>
      </c>
    </row>
    <row r="6413">
      <c r="E6413">
        <f>IF(DATOS!$I6413="","",IFERROR(VLOOKUP(DATOS!$I6413,CONFIG_ASIGNATURAS!$B$2:$J$61,9,FALSE()),""))</f>
      </c>
    </row>
    <row r="6414">
      <c r="E6414">
        <f>IF(DATOS!$I6414="","",IFERROR(VLOOKUP(DATOS!$I6414,CONFIG_ASIGNATURAS!$B$2:$J$61,9,FALSE()),""))</f>
      </c>
    </row>
    <row r="6415">
      <c r="E6415">
        <f>IF(DATOS!$I6415="","",IFERROR(VLOOKUP(DATOS!$I6415,CONFIG_ASIGNATURAS!$B$2:$J$61,9,FALSE()),""))</f>
      </c>
    </row>
    <row r="6416">
      <c r="E6416">
        <f>IF(DATOS!$I6416="","",IFERROR(VLOOKUP(DATOS!$I6416,CONFIG_ASIGNATURAS!$B$2:$J$61,9,FALSE()),""))</f>
      </c>
    </row>
    <row r="6417">
      <c r="E6417">
        <f>IF(DATOS!$I6417="","",IFERROR(VLOOKUP(DATOS!$I6417,CONFIG_ASIGNATURAS!$B$2:$J$61,9,FALSE()),""))</f>
      </c>
    </row>
    <row r="6418">
      <c r="E6418">
        <f>IF(DATOS!$I6418="","",IFERROR(VLOOKUP(DATOS!$I6418,CONFIG_ASIGNATURAS!$B$2:$J$61,9,FALSE()),""))</f>
      </c>
    </row>
    <row r="6419">
      <c r="E6419">
        <f>IF(DATOS!$I6419="","",IFERROR(VLOOKUP(DATOS!$I6419,CONFIG_ASIGNATURAS!$B$2:$J$61,9,FALSE()),""))</f>
      </c>
    </row>
    <row r="6420">
      <c r="E6420">
        <f>IF(DATOS!$I6420="","",IFERROR(VLOOKUP(DATOS!$I6420,CONFIG_ASIGNATURAS!$B$2:$J$61,9,FALSE()),""))</f>
      </c>
    </row>
    <row r="6421">
      <c r="E6421">
        <f>IF(DATOS!$I6421="","",IFERROR(VLOOKUP(DATOS!$I6421,CONFIG_ASIGNATURAS!$B$2:$J$61,9,FALSE()),""))</f>
      </c>
    </row>
    <row r="6422">
      <c r="E6422">
        <f>IF(DATOS!$I6422="","",IFERROR(VLOOKUP(DATOS!$I6422,CONFIG_ASIGNATURAS!$B$2:$J$61,9,FALSE()),""))</f>
      </c>
    </row>
    <row r="6423">
      <c r="E6423">
        <f>IF(DATOS!$I6423="","",IFERROR(VLOOKUP(DATOS!$I6423,CONFIG_ASIGNATURAS!$B$2:$J$61,9,FALSE()),""))</f>
      </c>
    </row>
    <row r="6424">
      <c r="E6424">
        <f>IF(DATOS!$I6424="","",IFERROR(VLOOKUP(DATOS!$I6424,CONFIG_ASIGNATURAS!$B$2:$J$61,9,FALSE()),""))</f>
      </c>
    </row>
    <row r="6425">
      <c r="E6425">
        <f>IF(DATOS!$I6425="","",IFERROR(VLOOKUP(DATOS!$I6425,CONFIG_ASIGNATURAS!$B$2:$J$61,9,FALSE()),""))</f>
      </c>
    </row>
    <row r="6426">
      <c r="E6426">
        <f>IF(DATOS!$I6426="","",IFERROR(VLOOKUP(DATOS!$I6426,CONFIG_ASIGNATURAS!$B$2:$J$61,9,FALSE()),""))</f>
      </c>
    </row>
    <row r="6427">
      <c r="E6427">
        <f>IF(DATOS!$I6427="","",IFERROR(VLOOKUP(DATOS!$I6427,CONFIG_ASIGNATURAS!$B$2:$J$61,9,FALSE()),""))</f>
      </c>
    </row>
    <row r="6428">
      <c r="E6428">
        <f>IF(DATOS!$I6428="","",IFERROR(VLOOKUP(DATOS!$I6428,CONFIG_ASIGNATURAS!$B$2:$J$61,9,FALSE()),""))</f>
      </c>
    </row>
    <row r="6429">
      <c r="E6429">
        <f>IF(DATOS!$I6429="","",IFERROR(VLOOKUP(DATOS!$I6429,CONFIG_ASIGNATURAS!$B$2:$J$61,9,FALSE()),""))</f>
      </c>
    </row>
    <row r="6430">
      <c r="E6430">
        <f>IF(DATOS!$I6430="","",IFERROR(VLOOKUP(DATOS!$I6430,CONFIG_ASIGNATURAS!$B$2:$J$61,9,FALSE()),""))</f>
      </c>
    </row>
    <row r="6431">
      <c r="E6431">
        <f>IF(DATOS!$I6431="","",IFERROR(VLOOKUP(DATOS!$I6431,CONFIG_ASIGNATURAS!$B$2:$J$61,9,FALSE()),""))</f>
      </c>
    </row>
    <row r="6432">
      <c r="E6432">
        <f>IF(DATOS!$I6432="","",IFERROR(VLOOKUP(DATOS!$I6432,CONFIG_ASIGNATURAS!$B$2:$J$61,9,FALSE()),""))</f>
      </c>
    </row>
    <row r="6433">
      <c r="E6433">
        <f>IF(DATOS!$I6433="","",IFERROR(VLOOKUP(DATOS!$I6433,CONFIG_ASIGNATURAS!$B$2:$J$61,9,FALSE()),""))</f>
      </c>
    </row>
    <row r="6434">
      <c r="E6434">
        <f>IF(DATOS!$I6434="","",IFERROR(VLOOKUP(DATOS!$I6434,CONFIG_ASIGNATURAS!$B$2:$J$61,9,FALSE()),""))</f>
      </c>
    </row>
    <row r="6435">
      <c r="E6435">
        <f>IF(DATOS!$I6435="","",IFERROR(VLOOKUP(DATOS!$I6435,CONFIG_ASIGNATURAS!$B$2:$J$61,9,FALSE()),""))</f>
      </c>
    </row>
    <row r="6436">
      <c r="E6436">
        <f>IF(DATOS!$I6436="","",IFERROR(VLOOKUP(DATOS!$I6436,CONFIG_ASIGNATURAS!$B$2:$J$61,9,FALSE()),""))</f>
      </c>
    </row>
    <row r="6437">
      <c r="E6437">
        <f>IF(DATOS!$I6437="","",IFERROR(VLOOKUP(DATOS!$I6437,CONFIG_ASIGNATURAS!$B$2:$J$61,9,FALSE()),""))</f>
      </c>
    </row>
    <row r="6438">
      <c r="E6438">
        <f>IF(DATOS!$I6438="","",IFERROR(VLOOKUP(DATOS!$I6438,CONFIG_ASIGNATURAS!$B$2:$J$61,9,FALSE()),""))</f>
      </c>
    </row>
    <row r="6439">
      <c r="E6439">
        <f>IF(DATOS!$I6439="","",IFERROR(VLOOKUP(DATOS!$I6439,CONFIG_ASIGNATURAS!$B$2:$J$61,9,FALSE()),""))</f>
      </c>
    </row>
    <row r="6440">
      <c r="E6440">
        <f>IF(DATOS!$I6440="","",IFERROR(VLOOKUP(DATOS!$I6440,CONFIG_ASIGNATURAS!$B$2:$J$61,9,FALSE()),""))</f>
      </c>
    </row>
    <row r="6441">
      <c r="E6441">
        <f>IF(DATOS!$I6441="","",IFERROR(VLOOKUP(DATOS!$I6441,CONFIG_ASIGNATURAS!$B$2:$J$61,9,FALSE()),""))</f>
      </c>
    </row>
    <row r="6442">
      <c r="E6442">
        <f>IF(DATOS!$I6442="","",IFERROR(VLOOKUP(DATOS!$I6442,CONFIG_ASIGNATURAS!$B$2:$J$61,9,FALSE()),""))</f>
      </c>
    </row>
    <row r="6443">
      <c r="E6443">
        <f>IF(DATOS!$I6443="","",IFERROR(VLOOKUP(DATOS!$I6443,CONFIG_ASIGNATURAS!$B$2:$J$61,9,FALSE()),""))</f>
      </c>
    </row>
    <row r="6444">
      <c r="E6444">
        <f>IF(DATOS!$I6444="","",IFERROR(VLOOKUP(DATOS!$I6444,CONFIG_ASIGNATURAS!$B$2:$J$61,9,FALSE()),""))</f>
      </c>
    </row>
    <row r="6445">
      <c r="E6445">
        <f>IF(DATOS!$I6445="","",IFERROR(VLOOKUP(DATOS!$I6445,CONFIG_ASIGNATURAS!$B$2:$J$61,9,FALSE()),""))</f>
      </c>
    </row>
    <row r="6446">
      <c r="E6446">
        <f>IF(DATOS!$I6446="","",IFERROR(VLOOKUP(DATOS!$I6446,CONFIG_ASIGNATURAS!$B$2:$J$61,9,FALSE()),""))</f>
      </c>
    </row>
    <row r="6447">
      <c r="E6447">
        <f>IF(DATOS!$I6447="","",IFERROR(VLOOKUP(DATOS!$I6447,CONFIG_ASIGNATURAS!$B$2:$J$61,9,FALSE()),""))</f>
      </c>
    </row>
    <row r="6448">
      <c r="E6448">
        <f>IF(DATOS!$I6448="","",IFERROR(VLOOKUP(DATOS!$I6448,CONFIG_ASIGNATURAS!$B$2:$J$61,9,FALSE()),""))</f>
      </c>
    </row>
    <row r="6449">
      <c r="E6449">
        <f>IF(DATOS!$I6449="","",IFERROR(VLOOKUP(DATOS!$I6449,CONFIG_ASIGNATURAS!$B$2:$J$61,9,FALSE()),""))</f>
      </c>
    </row>
    <row r="6450">
      <c r="E6450">
        <f>IF(DATOS!$I6450="","",IFERROR(VLOOKUP(DATOS!$I6450,CONFIG_ASIGNATURAS!$B$2:$J$61,9,FALSE()),""))</f>
      </c>
    </row>
    <row r="6451">
      <c r="E6451">
        <f>IF(DATOS!$I6451="","",IFERROR(VLOOKUP(DATOS!$I6451,CONFIG_ASIGNATURAS!$B$2:$J$61,9,FALSE()),""))</f>
      </c>
    </row>
    <row r="6452">
      <c r="E6452">
        <f>IF(DATOS!$I6452="","",IFERROR(VLOOKUP(DATOS!$I6452,CONFIG_ASIGNATURAS!$B$2:$J$61,9,FALSE()),""))</f>
      </c>
    </row>
    <row r="6453">
      <c r="E6453">
        <f>IF(DATOS!$I6453="","",IFERROR(VLOOKUP(DATOS!$I6453,CONFIG_ASIGNATURAS!$B$2:$J$61,9,FALSE()),""))</f>
      </c>
    </row>
    <row r="6454">
      <c r="E6454">
        <f>IF(DATOS!$I6454="","",IFERROR(VLOOKUP(DATOS!$I6454,CONFIG_ASIGNATURAS!$B$2:$J$61,9,FALSE()),""))</f>
      </c>
    </row>
    <row r="6455">
      <c r="E6455">
        <f>IF(DATOS!$I6455="","",IFERROR(VLOOKUP(DATOS!$I6455,CONFIG_ASIGNATURAS!$B$2:$J$61,9,FALSE()),""))</f>
      </c>
    </row>
    <row r="6456">
      <c r="E6456">
        <f>IF(DATOS!$I6456="","",IFERROR(VLOOKUP(DATOS!$I6456,CONFIG_ASIGNATURAS!$B$2:$J$61,9,FALSE()),""))</f>
      </c>
    </row>
    <row r="6457">
      <c r="E6457">
        <f>IF(DATOS!$I6457="","",IFERROR(VLOOKUP(DATOS!$I6457,CONFIG_ASIGNATURAS!$B$2:$J$61,9,FALSE()),""))</f>
      </c>
    </row>
    <row r="6458">
      <c r="E6458">
        <f>IF(DATOS!$I6458="","",IFERROR(VLOOKUP(DATOS!$I6458,CONFIG_ASIGNATURAS!$B$2:$J$61,9,FALSE()),""))</f>
      </c>
    </row>
    <row r="6459">
      <c r="E6459">
        <f>IF(DATOS!$I6459="","",IFERROR(VLOOKUP(DATOS!$I6459,CONFIG_ASIGNATURAS!$B$2:$J$61,9,FALSE()),""))</f>
      </c>
    </row>
    <row r="6460">
      <c r="E6460">
        <f>IF(DATOS!$I6460="","",IFERROR(VLOOKUP(DATOS!$I6460,CONFIG_ASIGNATURAS!$B$2:$J$61,9,FALSE()),""))</f>
      </c>
    </row>
    <row r="6461">
      <c r="E6461">
        <f>IF(DATOS!$I6461="","",IFERROR(VLOOKUP(DATOS!$I6461,CONFIG_ASIGNATURAS!$B$2:$J$61,9,FALSE()),""))</f>
      </c>
    </row>
    <row r="6462">
      <c r="E6462">
        <f>IF(DATOS!$I6462="","",IFERROR(VLOOKUP(DATOS!$I6462,CONFIG_ASIGNATURAS!$B$2:$J$61,9,FALSE()),""))</f>
      </c>
    </row>
    <row r="6463">
      <c r="E6463">
        <f>IF(DATOS!$I6463="","",IFERROR(VLOOKUP(DATOS!$I6463,CONFIG_ASIGNATURAS!$B$2:$J$61,9,FALSE()),""))</f>
      </c>
    </row>
    <row r="6464">
      <c r="E6464">
        <f>IF(DATOS!$I6464="","",IFERROR(VLOOKUP(DATOS!$I6464,CONFIG_ASIGNATURAS!$B$2:$J$61,9,FALSE()),""))</f>
      </c>
    </row>
    <row r="6465">
      <c r="E6465">
        <f>IF(DATOS!$I6465="","",IFERROR(VLOOKUP(DATOS!$I6465,CONFIG_ASIGNATURAS!$B$2:$J$61,9,FALSE()),""))</f>
      </c>
    </row>
    <row r="6466">
      <c r="E6466">
        <f>IF(DATOS!$I6466="","",IFERROR(VLOOKUP(DATOS!$I6466,CONFIG_ASIGNATURAS!$B$2:$J$61,9,FALSE()),""))</f>
      </c>
    </row>
    <row r="6467">
      <c r="E6467">
        <f>IF(DATOS!$I6467="","",IFERROR(VLOOKUP(DATOS!$I6467,CONFIG_ASIGNATURAS!$B$2:$J$61,9,FALSE()),""))</f>
      </c>
    </row>
    <row r="6468">
      <c r="E6468">
        <f>IF(DATOS!$I6468="","",IFERROR(VLOOKUP(DATOS!$I6468,CONFIG_ASIGNATURAS!$B$2:$J$61,9,FALSE()),""))</f>
      </c>
    </row>
    <row r="6469">
      <c r="E6469">
        <f>IF(DATOS!$I6469="","",IFERROR(VLOOKUP(DATOS!$I6469,CONFIG_ASIGNATURAS!$B$2:$J$61,9,FALSE()),""))</f>
      </c>
    </row>
    <row r="6470">
      <c r="E6470">
        <f>IF(DATOS!$I6470="","",IFERROR(VLOOKUP(DATOS!$I6470,CONFIG_ASIGNATURAS!$B$2:$J$61,9,FALSE()),""))</f>
      </c>
    </row>
    <row r="6471">
      <c r="E6471">
        <f>IF(DATOS!$I6471="","",IFERROR(VLOOKUP(DATOS!$I6471,CONFIG_ASIGNATURAS!$B$2:$J$61,9,FALSE()),""))</f>
      </c>
    </row>
    <row r="6472">
      <c r="E6472">
        <f>IF(DATOS!$I6472="","",IFERROR(VLOOKUP(DATOS!$I6472,CONFIG_ASIGNATURAS!$B$2:$J$61,9,FALSE()),""))</f>
      </c>
    </row>
    <row r="6473">
      <c r="E6473">
        <f>IF(DATOS!$I6473="","",IFERROR(VLOOKUP(DATOS!$I6473,CONFIG_ASIGNATURAS!$B$2:$J$61,9,FALSE()),""))</f>
      </c>
    </row>
    <row r="6474">
      <c r="E6474">
        <f>IF(DATOS!$I6474="","",IFERROR(VLOOKUP(DATOS!$I6474,CONFIG_ASIGNATURAS!$B$2:$J$61,9,FALSE()),""))</f>
      </c>
    </row>
    <row r="6475">
      <c r="E6475">
        <f>IF(DATOS!$I6475="","",IFERROR(VLOOKUP(DATOS!$I6475,CONFIG_ASIGNATURAS!$B$2:$J$61,9,FALSE()),""))</f>
      </c>
    </row>
    <row r="6476">
      <c r="E6476">
        <f>IF(DATOS!$I6476="","",IFERROR(VLOOKUP(DATOS!$I6476,CONFIG_ASIGNATURAS!$B$2:$J$61,9,FALSE()),""))</f>
      </c>
    </row>
    <row r="6477">
      <c r="E6477">
        <f>IF(DATOS!$I6477="","",IFERROR(VLOOKUP(DATOS!$I6477,CONFIG_ASIGNATURAS!$B$2:$J$61,9,FALSE()),""))</f>
      </c>
    </row>
    <row r="6478">
      <c r="E6478">
        <f>IF(DATOS!$I6478="","",IFERROR(VLOOKUP(DATOS!$I6478,CONFIG_ASIGNATURAS!$B$2:$J$61,9,FALSE()),""))</f>
      </c>
    </row>
    <row r="6479">
      <c r="E6479">
        <f>IF(DATOS!$I6479="","",IFERROR(VLOOKUP(DATOS!$I6479,CONFIG_ASIGNATURAS!$B$2:$J$61,9,FALSE()),""))</f>
      </c>
    </row>
    <row r="6480">
      <c r="E6480">
        <f>IF(DATOS!$I6480="","",IFERROR(VLOOKUP(DATOS!$I6480,CONFIG_ASIGNATURAS!$B$2:$J$61,9,FALSE()),""))</f>
      </c>
    </row>
    <row r="6481">
      <c r="E6481">
        <f>IF(DATOS!$I6481="","",IFERROR(VLOOKUP(DATOS!$I6481,CONFIG_ASIGNATURAS!$B$2:$J$61,9,FALSE()),""))</f>
      </c>
    </row>
    <row r="6482">
      <c r="E6482">
        <f>IF(DATOS!$I6482="","",IFERROR(VLOOKUP(DATOS!$I6482,CONFIG_ASIGNATURAS!$B$2:$J$61,9,FALSE()),""))</f>
      </c>
    </row>
    <row r="6483">
      <c r="E6483">
        <f>IF(DATOS!$I6483="","",IFERROR(VLOOKUP(DATOS!$I6483,CONFIG_ASIGNATURAS!$B$2:$J$61,9,FALSE()),""))</f>
      </c>
    </row>
    <row r="6484">
      <c r="E6484">
        <f>IF(DATOS!$I6484="","",IFERROR(VLOOKUP(DATOS!$I6484,CONFIG_ASIGNATURAS!$B$2:$J$61,9,FALSE()),""))</f>
      </c>
    </row>
    <row r="6485">
      <c r="E6485">
        <f>IF(DATOS!$I6485="","",IFERROR(VLOOKUP(DATOS!$I6485,CONFIG_ASIGNATURAS!$B$2:$J$61,9,FALSE()),""))</f>
      </c>
    </row>
    <row r="6486">
      <c r="E6486">
        <f>IF(DATOS!$I6486="","",IFERROR(VLOOKUP(DATOS!$I6486,CONFIG_ASIGNATURAS!$B$2:$J$61,9,FALSE()),""))</f>
      </c>
    </row>
    <row r="6487">
      <c r="E6487">
        <f>IF(DATOS!$I6487="","",IFERROR(VLOOKUP(DATOS!$I6487,CONFIG_ASIGNATURAS!$B$2:$J$61,9,FALSE()),""))</f>
      </c>
    </row>
    <row r="6488">
      <c r="E6488">
        <f>IF(DATOS!$I6488="","",IFERROR(VLOOKUP(DATOS!$I6488,CONFIG_ASIGNATURAS!$B$2:$J$61,9,FALSE()),""))</f>
      </c>
    </row>
    <row r="6489">
      <c r="E6489">
        <f>IF(DATOS!$I6489="","",IFERROR(VLOOKUP(DATOS!$I6489,CONFIG_ASIGNATURAS!$B$2:$J$61,9,FALSE()),""))</f>
      </c>
    </row>
    <row r="6490">
      <c r="E6490">
        <f>IF(DATOS!$I6490="","",IFERROR(VLOOKUP(DATOS!$I6490,CONFIG_ASIGNATURAS!$B$2:$J$61,9,FALSE()),""))</f>
      </c>
    </row>
    <row r="6491">
      <c r="E6491">
        <f>IF(DATOS!$I6491="","",IFERROR(VLOOKUP(DATOS!$I6491,CONFIG_ASIGNATURAS!$B$2:$J$61,9,FALSE()),""))</f>
      </c>
    </row>
    <row r="6492">
      <c r="E6492">
        <f>IF(DATOS!$I6492="","",IFERROR(VLOOKUP(DATOS!$I6492,CONFIG_ASIGNATURAS!$B$2:$J$61,9,FALSE()),""))</f>
      </c>
    </row>
    <row r="6493">
      <c r="E6493">
        <f>IF(DATOS!$I6493="","",IFERROR(VLOOKUP(DATOS!$I6493,CONFIG_ASIGNATURAS!$B$2:$J$61,9,FALSE()),""))</f>
      </c>
    </row>
    <row r="6494">
      <c r="E6494">
        <f>IF(DATOS!$I6494="","",IFERROR(VLOOKUP(DATOS!$I6494,CONFIG_ASIGNATURAS!$B$2:$J$61,9,FALSE()),""))</f>
      </c>
    </row>
    <row r="6495">
      <c r="E6495">
        <f>IF(DATOS!$I6495="","",IFERROR(VLOOKUP(DATOS!$I6495,CONFIG_ASIGNATURAS!$B$2:$J$61,9,FALSE()),""))</f>
      </c>
    </row>
    <row r="6496">
      <c r="E6496">
        <f>IF(DATOS!$I6496="","",IFERROR(VLOOKUP(DATOS!$I6496,CONFIG_ASIGNATURAS!$B$2:$J$61,9,FALSE()),""))</f>
      </c>
    </row>
    <row r="6497">
      <c r="E6497">
        <f>IF(DATOS!$I6497="","",IFERROR(VLOOKUP(DATOS!$I6497,CONFIG_ASIGNATURAS!$B$2:$J$61,9,FALSE()),""))</f>
      </c>
    </row>
    <row r="6498">
      <c r="E6498">
        <f>IF(DATOS!$I6498="","",IFERROR(VLOOKUP(DATOS!$I6498,CONFIG_ASIGNATURAS!$B$2:$J$61,9,FALSE()),""))</f>
      </c>
    </row>
    <row r="6499">
      <c r="E6499">
        <f>IF(DATOS!$I6499="","",IFERROR(VLOOKUP(DATOS!$I6499,CONFIG_ASIGNATURAS!$B$2:$J$61,9,FALSE()),""))</f>
      </c>
    </row>
    <row r="6500">
      <c r="E6500">
        <f>IF(DATOS!$I6500="","",IFERROR(VLOOKUP(DATOS!$I6500,CONFIG_ASIGNATURAS!$B$2:$J$61,9,FALSE()),""))</f>
      </c>
    </row>
    <row r="6501">
      <c r="E6501">
        <f>IF(DATOS!$I6501="","",IFERROR(VLOOKUP(DATOS!$I6501,CONFIG_ASIGNATURAS!$B$2:$J$61,9,FALSE()),""))</f>
      </c>
    </row>
    <row r="6502">
      <c r="E6502">
        <f>IF(DATOS!$I6502="","",IFERROR(VLOOKUP(DATOS!$I6502,CONFIG_ASIGNATURAS!$B$2:$J$61,9,FALSE()),""))</f>
      </c>
    </row>
    <row r="6503">
      <c r="E6503">
        <f>IF(DATOS!$I6503="","",IFERROR(VLOOKUP(DATOS!$I6503,CONFIG_ASIGNATURAS!$B$2:$J$61,9,FALSE()),""))</f>
      </c>
    </row>
    <row r="6504">
      <c r="E6504">
        <f>IF(DATOS!$I6504="","",IFERROR(VLOOKUP(DATOS!$I6504,CONFIG_ASIGNATURAS!$B$2:$J$61,9,FALSE()),""))</f>
      </c>
    </row>
    <row r="6505">
      <c r="E6505">
        <f>IF(DATOS!$I6505="","",IFERROR(VLOOKUP(DATOS!$I6505,CONFIG_ASIGNATURAS!$B$2:$J$61,9,FALSE()),""))</f>
      </c>
    </row>
    <row r="6506">
      <c r="E6506">
        <f>IF(DATOS!$I6506="","",IFERROR(VLOOKUP(DATOS!$I6506,CONFIG_ASIGNATURAS!$B$2:$J$61,9,FALSE()),""))</f>
      </c>
    </row>
    <row r="6507">
      <c r="E6507">
        <f>IF(DATOS!$I6507="","",IFERROR(VLOOKUP(DATOS!$I6507,CONFIG_ASIGNATURAS!$B$2:$J$61,9,FALSE()),""))</f>
      </c>
    </row>
    <row r="6508">
      <c r="E6508">
        <f>IF(DATOS!$I6508="","",IFERROR(VLOOKUP(DATOS!$I6508,CONFIG_ASIGNATURAS!$B$2:$J$61,9,FALSE()),""))</f>
      </c>
    </row>
    <row r="6509">
      <c r="E6509">
        <f>IF(DATOS!$I6509="","",IFERROR(VLOOKUP(DATOS!$I6509,CONFIG_ASIGNATURAS!$B$2:$J$61,9,FALSE()),""))</f>
      </c>
    </row>
    <row r="6510">
      <c r="E6510">
        <f>IF(DATOS!$I6510="","",IFERROR(VLOOKUP(DATOS!$I6510,CONFIG_ASIGNATURAS!$B$2:$J$61,9,FALSE()),""))</f>
      </c>
    </row>
    <row r="6511">
      <c r="E6511">
        <f>IF(DATOS!$I6511="","",IFERROR(VLOOKUP(DATOS!$I6511,CONFIG_ASIGNATURAS!$B$2:$J$61,9,FALSE()),""))</f>
      </c>
    </row>
    <row r="6512">
      <c r="E6512">
        <f>IF(DATOS!$I6512="","",IFERROR(VLOOKUP(DATOS!$I6512,CONFIG_ASIGNATURAS!$B$2:$J$61,9,FALSE()),""))</f>
      </c>
    </row>
    <row r="6513">
      <c r="E6513">
        <f>IF(DATOS!$I6513="","",IFERROR(VLOOKUP(DATOS!$I6513,CONFIG_ASIGNATURAS!$B$2:$J$61,9,FALSE()),""))</f>
      </c>
    </row>
    <row r="6514">
      <c r="E6514">
        <f>IF(DATOS!$I6514="","",IFERROR(VLOOKUP(DATOS!$I6514,CONFIG_ASIGNATURAS!$B$2:$J$61,9,FALSE()),""))</f>
      </c>
    </row>
    <row r="6515">
      <c r="E6515">
        <f>IF(DATOS!$I6515="","",IFERROR(VLOOKUP(DATOS!$I6515,CONFIG_ASIGNATURAS!$B$2:$J$61,9,FALSE()),""))</f>
      </c>
    </row>
    <row r="6516">
      <c r="E6516">
        <f>IF(DATOS!$I6516="","",IFERROR(VLOOKUP(DATOS!$I6516,CONFIG_ASIGNATURAS!$B$2:$J$61,9,FALSE()),""))</f>
      </c>
    </row>
    <row r="6517">
      <c r="E6517">
        <f>IF(DATOS!$I6517="","",IFERROR(VLOOKUP(DATOS!$I6517,CONFIG_ASIGNATURAS!$B$2:$J$61,9,FALSE()),""))</f>
      </c>
    </row>
    <row r="6518">
      <c r="E6518">
        <f>IF(DATOS!$I6518="","",IFERROR(VLOOKUP(DATOS!$I6518,CONFIG_ASIGNATURAS!$B$2:$J$61,9,FALSE()),""))</f>
      </c>
    </row>
    <row r="6519">
      <c r="E6519">
        <f>IF(DATOS!$I6519="","",IFERROR(VLOOKUP(DATOS!$I6519,CONFIG_ASIGNATURAS!$B$2:$J$61,9,FALSE()),""))</f>
      </c>
    </row>
    <row r="6520">
      <c r="E6520">
        <f>IF(DATOS!$I6520="","",IFERROR(VLOOKUP(DATOS!$I6520,CONFIG_ASIGNATURAS!$B$2:$J$61,9,FALSE()),""))</f>
      </c>
    </row>
    <row r="6521">
      <c r="E6521">
        <f>IF(DATOS!$I6521="","",IFERROR(VLOOKUP(DATOS!$I6521,CONFIG_ASIGNATURAS!$B$2:$J$61,9,FALSE()),""))</f>
      </c>
    </row>
    <row r="6522">
      <c r="E6522">
        <f>IF(DATOS!$I6522="","",IFERROR(VLOOKUP(DATOS!$I6522,CONFIG_ASIGNATURAS!$B$2:$J$61,9,FALSE()),""))</f>
      </c>
    </row>
    <row r="6523">
      <c r="E6523">
        <f>IF(DATOS!$I6523="","",IFERROR(VLOOKUP(DATOS!$I6523,CONFIG_ASIGNATURAS!$B$2:$J$61,9,FALSE()),""))</f>
      </c>
    </row>
    <row r="6524">
      <c r="E6524">
        <f>IF(DATOS!$I6524="","",IFERROR(VLOOKUP(DATOS!$I6524,CONFIG_ASIGNATURAS!$B$2:$J$61,9,FALSE()),""))</f>
      </c>
    </row>
    <row r="6525">
      <c r="E6525">
        <f>IF(DATOS!$I6525="","",IFERROR(VLOOKUP(DATOS!$I6525,CONFIG_ASIGNATURAS!$B$2:$J$61,9,FALSE()),""))</f>
      </c>
    </row>
    <row r="6526">
      <c r="E6526">
        <f>IF(DATOS!$I6526="","",IFERROR(VLOOKUP(DATOS!$I6526,CONFIG_ASIGNATURAS!$B$2:$J$61,9,FALSE()),""))</f>
      </c>
    </row>
    <row r="6527">
      <c r="E6527">
        <f>IF(DATOS!$I6527="","",IFERROR(VLOOKUP(DATOS!$I6527,CONFIG_ASIGNATURAS!$B$2:$J$61,9,FALSE()),""))</f>
      </c>
    </row>
    <row r="6528">
      <c r="E6528">
        <f>IF(DATOS!$I6528="","",IFERROR(VLOOKUP(DATOS!$I6528,CONFIG_ASIGNATURAS!$B$2:$J$61,9,FALSE()),""))</f>
      </c>
    </row>
    <row r="6529">
      <c r="E6529">
        <f>IF(DATOS!$I6529="","",IFERROR(VLOOKUP(DATOS!$I6529,CONFIG_ASIGNATURAS!$B$2:$J$61,9,FALSE()),""))</f>
      </c>
    </row>
    <row r="6530">
      <c r="E6530">
        <f>IF(DATOS!$I6530="","",IFERROR(VLOOKUP(DATOS!$I6530,CONFIG_ASIGNATURAS!$B$2:$J$61,9,FALSE()),""))</f>
      </c>
    </row>
    <row r="6531">
      <c r="E6531">
        <f>IF(DATOS!$I6531="","",IFERROR(VLOOKUP(DATOS!$I6531,CONFIG_ASIGNATURAS!$B$2:$J$61,9,FALSE()),""))</f>
      </c>
    </row>
    <row r="6532">
      <c r="E6532">
        <f>IF(DATOS!$I6532="","",IFERROR(VLOOKUP(DATOS!$I6532,CONFIG_ASIGNATURAS!$B$2:$J$61,9,FALSE()),""))</f>
      </c>
    </row>
    <row r="6533">
      <c r="E6533">
        <f>IF(DATOS!$I6533="","",IFERROR(VLOOKUP(DATOS!$I6533,CONFIG_ASIGNATURAS!$B$2:$J$61,9,FALSE()),""))</f>
      </c>
    </row>
    <row r="6534">
      <c r="E6534">
        <f>IF(DATOS!$I6534="","",IFERROR(VLOOKUP(DATOS!$I6534,CONFIG_ASIGNATURAS!$B$2:$J$61,9,FALSE()),""))</f>
      </c>
    </row>
    <row r="6535">
      <c r="E6535">
        <f>IF(DATOS!$I6535="","",IFERROR(VLOOKUP(DATOS!$I6535,CONFIG_ASIGNATURAS!$B$2:$J$61,9,FALSE()),""))</f>
      </c>
    </row>
    <row r="6536">
      <c r="E6536">
        <f>IF(DATOS!$I6536="","",IFERROR(VLOOKUP(DATOS!$I6536,CONFIG_ASIGNATURAS!$B$2:$J$61,9,FALSE()),""))</f>
      </c>
    </row>
    <row r="6537">
      <c r="E6537">
        <f>IF(DATOS!$I6537="","",IFERROR(VLOOKUP(DATOS!$I6537,CONFIG_ASIGNATURAS!$B$2:$J$61,9,FALSE()),""))</f>
      </c>
    </row>
    <row r="6538">
      <c r="E6538">
        <f>IF(DATOS!$I6538="","",IFERROR(VLOOKUP(DATOS!$I6538,CONFIG_ASIGNATURAS!$B$2:$J$61,9,FALSE()),""))</f>
      </c>
    </row>
    <row r="6539">
      <c r="E6539">
        <f>IF(DATOS!$I6539="","",IFERROR(VLOOKUP(DATOS!$I6539,CONFIG_ASIGNATURAS!$B$2:$J$61,9,FALSE()),""))</f>
      </c>
    </row>
    <row r="6540">
      <c r="E6540">
        <f>IF(DATOS!$I6540="","",IFERROR(VLOOKUP(DATOS!$I6540,CONFIG_ASIGNATURAS!$B$2:$J$61,9,FALSE()),""))</f>
      </c>
    </row>
    <row r="6541">
      <c r="E6541">
        <f>IF(DATOS!$I6541="","",IFERROR(VLOOKUP(DATOS!$I6541,CONFIG_ASIGNATURAS!$B$2:$J$61,9,FALSE()),""))</f>
      </c>
    </row>
    <row r="6542">
      <c r="E6542">
        <f>IF(DATOS!$I6542="","",IFERROR(VLOOKUP(DATOS!$I6542,CONFIG_ASIGNATURAS!$B$2:$J$61,9,FALSE()),""))</f>
      </c>
    </row>
    <row r="6543">
      <c r="E6543">
        <f>IF(DATOS!$I6543="","",IFERROR(VLOOKUP(DATOS!$I6543,CONFIG_ASIGNATURAS!$B$2:$J$61,9,FALSE()),""))</f>
      </c>
    </row>
    <row r="6544">
      <c r="E6544">
        <f>IF(DATOS!$I6544="","",IFERROR(VLOOKUP(DATOS!$I6544,CONFIG_ASIGNATURAS!$B$2:$J$61,9,FALSE()),""))</f>
      </c>
    </row>
    <row r="6545">
      <c r="E6545">
        <f>IF(DATOS!$I6545="","",IFERROR(VLOOKUP(DATOS!$I6545,CONFIG_ASIGNATURAS!$B$2:$J$61,9,FALSE()),""))</f>
      </c>
    </row>
    <row r="6546">
      <c r="E6546">
        <f>IF(DATOS!$I6546="","",IFERROR(VLOOKUP(DATOS!$I6546,CONFIG_ASIGNATURAS!$B$2:$J$61,9,FALSE()),""))</f>
      </c>
    </row>
    <row r="6547">
      <c r="E6547">
        <f>IF(DATOS!$I6547="","",IFERROR(VLOOKUP(DATOS!$I6547,CONFIG_ASIGNATURAS!$B$2:$J$61,9,FALSE()),""))</f>
      </c>
    </row>
    <row r="6548">
      <c r="E6548">
        <f>IF(DATOS!$I6548="","",IFERROR(VLOOKUP(DATOS!$I6548,CONFIG_ASIGNATURAS!$B$2:$J$61,9,FALSE()),""))</f>
      </c>
    </row>
    <row r="6549">
      <c r="E6549">
        <f>IF(DATOS!$I6549="","",IFERROR(VLOOKUP(DATOS!$I6549,CONFIG_ASIGNATURAS!$B$2:$J$61,9,FALSE()),""))</f>
      </c>
    </row>
    <row r="6550">
      <c r="E6550">
        <f>IF(DATOS!$I6550="","",IFERROR(VLOOKUP(DATOS!$I6550,CONFIG_ASIGNATURAS!$B$2:$J$61,9,FALSE()),""))</f>
      </c>
    </row>
    <row r="6551">
      <c r="E6551">
        <f>IF(DATOS!$I6551="","",IFERROR(VLOOKUP(DATOS!$I6551,CONFIG_ASIGNATURAS!$B$2:$J$61,9,FALSE()),""))</f>
      </c>
    </row>
    <row r="6552">
      <c r="E6552">
        <f>IF(DATOS!$I6552="","",IFERROR(VLOOKUP(DATOS!$I6552,CONFIG_ASIGNATURAS!$B$2:$J$61,9,FALSE()),""))</f>
      </c>
    </row>
    <row r="6553">
      <c r="E6553">
        <f>IF(DATOS!$I6553="","",IFERROR(VLOOKUP(DATOS!$I6553,CONFIG_ASIGNATURAS!$B$2:$J$61,9,FALSE()),""))</f>
      </c>
    </row>
    <row r="6554">
      <c r="E6554">
        <f>IF(DATOS!$I6554="","",IFERROR(VLOOKUP(DATOS!$I6554,CONFIG_ASIGNATURAS!$B$2:$J$61,9,FALSE()),""))</f>
      </c>
    </row>
    <row r="6555">
      <c r="E6555">
        <f>IF(DATOS!$I6555="","",IFERROR(VLOOKUP(DATOS!$I6555,CONFIG_ASIGNATURAS!$B$2:$J$61,9,FALSE()),""))</f>
      </c>
    </row>
    <row r="6556">
      <c r="E6556">
        <f>IF(DATOS!$I6556="","",IFERROR(VLOOKUP(DATOS!$I6556,CONFIG_ASIGNATURAS!$B$2:$J$61,9,FALSE()),""))</f>
      </c>
    </row>
    <row r="6557">
      <c r="E6557">
        <f>IF(DATOS!$I6557="","",IFERROR(VLOOKUP(DATOS!$I6557,CONFIG_ASIGNATURAS!$B$2:$J$61,9,FALSE()),""))</f>
      </c>
    </row>
    <row r="6558">
      <c r="E6558">
        <f>IF(DATOS!$I6558="","",IFERROR(VLOOKUP(DATOS!$I6558,CONFIG_ASIGNATURAS!$B$2:$J$61,9,FALSE()),""))</f>
      </c>
    </row>
    <row r="6559">
      <c r="E6559">
        <f>IF(DATOS!$I6559="","",IFERROR(VLOOKUP(DATOS!$I6559,CONFIG_ASIGNATURAS!$B$2:$J$61,9,FALSE()),""))</f>
      </c>
    </row>
    <row r="6560">
      <c r="E6560">
        <f>IF(DATOS!$I6560="","",IFERROR(VLOOKUP(DATOS!$I6560,CONFIG_ASIGNATURAS!$B$2:$J$61,9,FALSE()),""))</f>
      </c>
    </row>
    <row r="6561">
      <c r="E6561">
        <f>IF(DATOS!$I6561="","",IFERROR(VLOOKUP(DATOS!$I6561,CONFIG_ASIGNATURAS!$B$2:$J$61,9,FALSE()),""))</f>
      </c>
    </row>
    <row r="6562">
      <c r="E6562">
        <f>IF(DATOS!$I6562="","",IFERROR(VLOOKUP(DATOS!$I6562,CONFIG_ASIGNATURAS!$B$2:$J$61,9,FALSE()),""))</f>
      </c>
    </row>
    <row r="6563">
      <c r="E6563">
        <f>IF(DATOS!$I6563="","",IFERROR(VLOOKUP(DATOS!$I6563,CONFIG_ASIGNATURAS!$B$2:$J$61,9,FALSE()),""))</f>
      </c>
    </row>
    <row r="6564">
      <c r="E6564">
        <f>IF(DATOS!$I6564="","",IFERROR(VLOOKUP(DATOS!$I6564,CONFIG_ASIGNATURAS!$B$2:$J$61,9,FALSE()),""))</f>
      </c>
    </row>
    <row r="6565">
      <c r="E6565">
        <f>IF(DATOS!$I6565="","",IFERROR(VLOOKUP(DATOS!$I6565,CONFIG_ASIGNATURAS!$B$2:$J$61,9,FALSE()),""))</f>
      </c>
    </row>
    <row r="6566">
      <c r="E6566">
        <f>IF(DATOS!$I6566="","",IFERROR(VLOOKUP(DATOS!$I6566,CONFIG_ASIGNATURAS!$B$2:$J$61,9,FALSE()),""))</f>
      </c>
    </row>
    <row r="6567">
      <c r="E6567">
        <f>IF(DATOS!$I6567="","",IFERROR(VLOOKUP(DATOS!$I6567,CONFIG_ASIGNATURAS!$B$2:$J$61,9,FALSE()),""))</f>
      </c>
    </row>
    <row r="6568">
      <c r="E6568">
        <f>IF(DATOS!$I6568="","",IFERROR(VLOOKUP(DATOS!$I6568,CONFIG_ASIGNATURAS!$B$2:$J$61,9,FALSE()),""))</f>
      </c>
    </row>
    <row r="6569">
      <c r="E6569">
        <f>IF(DATOS!$I6569="","",IFERROR(VLOOKUP(DATOS!$I6569,CONFIG_ASIGNATURAS!$B$2:$J$61,9,FALSE()),""))</f>
      </c>
    </row>
    <row r="6570">
      <c r="E6570">
        <f>IF(DATOS!$I6570="","",IFERROR(VLOOKUP(DATOS!$I6570,CONFIG_ASIGNATURAS!$B$2:$J$61,9,FALSE()),""))</f>
      </c>
    </row>
    <row r="6571">
      <c r="E6571">
        <f>IF(DATOS!$I6571="","",IFERROR(VLOOKUP(DATOS!$I6571,CONFIG_ASIGNATURAS!$B$2:$J$61,9,FALSE()),""))</f>
      </c>
    </row>
    <row r="6572">
      <c r="E6572">
        <f>IF(DATOS!$I6572="","",IFERROR(VLOOKUP(DATOS!$I6572,CONFIG_ASIGNATURAS!$B$2:$J$61,9,FALSE()),""))</f>
      </c>
    </row>
    <row r="6573">
      <c r="E6573">
        <f>IF(DATOS!$I6573="","",IFERROR(VLOOKUP(DATOS!$I6573,CONFIG_ASIGNATURAS!$B$2:$J$61,9,FALSE()),""))</f>
      </c>
    </row>
    <row r="6574">
      <c r="E6574">
        <f>IF(DATOS!$I6574="","",IFERROR(VLOOKUP(DATOS!$I6574,CONFIG_ASIGNATURAS!$B$2:$J$61,9,FALSE()),""))</f>
      </c>
    </row>
    <row r="6575">
      <c r="E6575">
        <f>IF(DATOS!$I6575="","",IFERROR(VLOOKUP(DATOS!$I6575,CONFIG_ASIGNATURAS!$B$2:$J$61,9,FALSE()),""))</f>
      </c>
    </row>
    <row r="6576">
      <c r="E6576">
        <f>IF(DATOS!$I6576="","",IFERROR(VLOOKUP(DATOS!$I6576,CONFIG_ASIGNATURAS!$B$2:$J$61,9,FALSE()),""))</f>
      </c>
    </row>
    <row r="6577">
      <c r="E6577">
        <f>IF(DATOS!$I6577="","",IFERROR(VLOOKUP(DATOS!$I6577,CONFIG_ASIGNATURAS!$B$2:$J$61,9,FALSE()),""))</f>
      </c>
    </row>
    <row r="6578">
      <c r="E6578">
        <f>IF(DATOS!$I6578="","",IFERROR(VLOOKUP(DATOS!$I6578,CONFIG_ASIGNATURAS!$B$2:$J$61,9,FALSE()),""))</f>
      </c>
    </row>
    <row r="6579">
      <c r="E6579">
        <f>IF(DATOS!$I6579="","",IFERROR(VLOOKUP(DATOS!$I6579,CONFIG_ASIGNATURAS!$B$2:$J$61,9,FALSE()),""))</f>
      </c>
    </row>
    <row r="6580">
      <c r="E6580">
        <f>IF(DATOS!$I6580="","",IFERROR(VLOOKUP(DATOS!$I6580,CONFIG_ASIGNATURAS!$B$2:$J$61,9,FALSE()),""))</f>
      </c>
    </row>
    <row r="6581">
      <c r="E6581">
        <f>IF(DATOS!$I6581="","",IFERROR(VLOOKUP(DATOS!$I6581,CONFIG_ASIGNATURAS!$B$2:$J$61,9,FALSE()),""))</f>
      </c>
    </row>
    <row r="6582">
      <c r="E6582">
        <f>IF(DATOS!$I6582="","",IFERROR(VLOOKUP(DATOS!$I6582,CONFIG_ASIGNATURAS!$B$2:$J$61,9,FALSE()),""))</f>
      </c>
    </row>
    <row r="6583">
      <c r="E6583">
        <f>IF(DATOS!$I6583="","",IFERROR(VLOOKUP(DATOS!$I6583,CONFIG_ASIGNATURAS!$B$2:$J$61,9,FALSE()),""))</f>
      </c>
    </row>
    <row r="6584">
      <c r="E6584">
        <f>IF(DATOS!$I6584="","",IFERROR(VLOOKUP(DATOS!$I6584,CONFIG_ASIGNATURAS!$B$2:$J$61,9,FALSE()),""))</f>
      </c>
    </row>
    <row r="6585">
      <c r="E6585">
        <f>IF(DATOS!$I6585="","",IFERROR(VLOOKUP(DATOS!$I6585,CONFIG_ASIGNATURAS!$B$2:$J$61,9,FALSE()),""))</f>
      </c>
    </row>
    <row r="6586">
      <c r="E6586">
        <f>IF(DATOS!$I6586="","",IFERROR(VLOOKUP(DATOS!$I6586,CONFIG_ASIGNATURAS!$B$2:$J$61,9,FALSE()),""))</f>
      </c>
    </row>
    <row r="6587">
      <c r="E6587">
        <f>IF(DATOS!$I6587="","",IFERROR(VLOOKUP(DATOS!$I6587,CONFIG_ASIGNATURAS!$B$2:$J$61,9,FALSE()),""))</f>
      </c>
    </row>
    <row r="6588">
      <c r="E6588">
        <f>IF(DATOS!$I6588="","",IFERROR(VLOOKUP(DATOS!$I6588,CONFIG_ASIGNATURAS!$B$2:$J$61,9,FALSE()),""))</f>
      </c>
    </row>
    <row r="6589">
      <c r="E6589">
        <f>IF(DATOS!$I6589="","",IFERROR(VLOOKUP(DATOS!$I6589,CONFIG_ASIGNATURAS!$B$2:$J$61,9,FALSE()),""))</f>
      </c>
    </row>
    <row r="6590">
      <c r="E6590">
        <f>IF(DATOS!$I6590="","",IFERROR(VLOOKUP(DATOS!$I6590,CONFIG_ASIGNATURAS!$B$2:$J$61,9,FALSE()),""))</f>
      </c>
    </row>
    <row r="6591">
      <c r="E6591">
        <f>IF(DATOS!$I6591="","",IFERROR(VLOOKUP(DATOS!$I6591,CONFIG_ASIGNATURAS!$B$2:$J$61,9,FALSE()),""))</f>
      </c>
    </row>
    <row r="6592">
      <c r="E6592">
        <f>IF(DATOS!$I6592="","",IFERROR(VLOOKUP(DATOS!$I6592,CONFIG_ASIGNATURAS!$B$2:$J$61,9,FALSE()),""))</f>
      </c>
    </row>
    <row r="6593">
      <c r="E6593">
        <f>IF(DATOS!$I6593="","",IFERROR(VLOOKUP(DATOS!$I6593,CONFIG_ASIGNATURAS!$B$2:$J$61,9,FALSE()),""))</f>
      </c>
    </row>
    <row r="6594">
      <c r="E6594">
        <f>IF(DATOS!$I6594="","",IFERROR(VLOOKUP(DATOS!$I6594,CONFIG_ASIGNATURAS!$B$2:$J$61,9,FALSE()),""))</f>
      </c>
    </row>
    <row r="6595">
      <c r="E6595">
        <f>IF(DATOS!$I6595="","",IFERROR(VLOOKUP(DATOS!$I6595,CONFIG_ASIGNATURAS!$B$2:$J$61,9,FALSE()),""))</f>
      </c>
    </row>
    <row r="6596">
      <c r="E6596">
        <f>IF(DATOS!$I6596="","",IFERROR(VLOOKUP(DATOS!$I6596,CONFIG_ASIGNATURAS!$B$2:$J$61,9,FALSE()),""))</f>
      </c>
    </row>
    <row r="6597">
      <c r="E6597">
        <f>IF(DATOS!$I6597="","",IFERROR(VLOOKUP(DATOS!$I6597,CONFIG_ASIGNATURAS!$B$2:$J$61,9,FALSE()),""))</f>
      </c>
    </row>
    <row r="6598">
      <c r="E6598">
        <f>IF(DATOS!$I6598="","",IFERROR(VLOOKUP(DATOS!$I6598,CONFIG_ASIGNATURAS!$B$2:$J$61,9,FALSE()),""))</f>
      </c>
    </row>
    <row r="6599">
      <c r="E6599">
        <f>IF(DATOS!$I6599="","",IFERROR(VLOOKUP(DATOS!$I6599,CONFIG_ASIGNATURAS!$B$2:$J$61,9,FALSE()),""))</f>
      </c>
    </row>
    <row r="6600">
      <c r="E6600">
        <f>IF(DATOS!$I6600="","",IFERROR(VLOOKUP(DATOS!$I6600,CONFIG_ASIGNATURAS!$B$2:$J$61,9,FALSE()),""))</f>
      </c>
    </row>
    <row r="6601">
      <c r="E6601">
        <f>IF(DATOS!$I6601="","",IFERROR(VLOOKUP(DATOS!$I6601,CONFIG_ASIGNATURAS!$B$2:$J$61,9,FALSE()),""))</f>
      </c>
    </row>
    <row r="6602">
      <c r="E6602">
        <f>IF(DATOS!$I6602="","",IFERROR(VLOOKUP(DATOS!$I6602,CONFIG_ASIGNATURAS!$B$2:$J$61,9,FALSE()),""))</f>
      </c>
    </row>
    <row r="6603">
      <c r="E6603">
        <f>IF(DATOS!$I6603="","",IFERROR(VLOOKUP(DATOS!$I6603,CONFIG_ASIGNATURAS!$B$2:$J$61,9,FALSE()),""))</f>
      </c>
    </row>
    <row r="6604">
      <c r="E6604">
        <f>IF(DATOS!$I6604="","",IFERROR(VLOOKUP(DATOS!$I6604,CONFIG_ASIGNATURAS!$B$2:$J$61,9,FALSE()),""))</f>
      </c>
    </row>
    <row r="6605">
      <c r="E6605">
        <f>IF(DATOS!$I6605="","",IFERROR(VLOOKUP(DATOS!$I6605,CONFIG_ASIGNATURAS!$B$2:$J$61,9,FALSE()),""))</f>
      </c>
    </row>
    <row r="6606">
      <c r="E6606">
        <f>IF(DATOS!$I6606="","",IFERROR(VLOOKUP(DATOS!$I6606,CONFIG_ASIGNATURAS!$B$2:$J$61,9,FALSE()),""))</f>
      </c>
    </row>
    <row r="6607">
      <c r="E6607">
        <f>IF(DATOS!$I6607="","",IFERROR(VLOOKUP(DATOS!$I6607,CONFIG_ASIGNATURAS!$B$2:$J$61,9,FALSE()),""))</f>
      </c>
    </row>
    <row r="6608">
      <c r="E6608">
        <f>IF(DATOS!$I6608="","",IFERROR(VLOOKUP(DATOS!$I6608,CONFIG_ASIGNATURAS!$B$2:$J$61,9,FALSE()),""))</f>
      </c>
    </row>
    <row r="6609">
      <c r="E6609">
        <f>IF(DATOS!$I6609="","",IFERROR(VLOOKUP(DATOS!$I6609,CONFIG_ASIGNATURAS!$B$2:$J$61,9,FALSE()),""))</f>
      </c>
    </row>
    <row r="6610">
      <c r="E6610">
        <f>IF(DATOS!$I6610="","",IFERROR(VLOOKUP(DATOS!$I6610,CONFIG_ASIGNATURAS!$B$2:$J$61,9,FALSE()),""))</f>
      </c>
    </row>
    <row r="6611">
      <c r="E6611">
        <f>IF(DATOS!$I6611="","",IFERROR(VLOOKUP(DATOS!$I6611,CONFIG_ASIGNATURAS!$B$2:$J$61,9,FALSE()),""))</f>
      </c>
    </row>
    <row r="6612">
      <c r="E6612">
        <f>IF(DATOS!$I6612="","",IFERROR(VLOOKUP(DATOS!$I6612,CONFIG_ASIGNATURAS!$B$2:$J$61,9,FALSE()),""))</f>
      </c>
    </row>
    <row r="6613">
      <c r="E6613">
        <f>IF(DATOS!$I6613="","",IFERROR(VLOOKUP(DATOS!$I6613,CONFIG_ASIGNATURAS!$B$2:$J$61,9,FALSE()),""))</f>
      </c>
    </row>
    <row r="6614">
      <c r="E6614">
        <f>IF(DATOS!$I6614="","",IFERROR(VLOOKUP(DATOS!$I6614,CONFIG_ASIGNATURAS!$B$2:$J$61,9,FALSE()),""))</f>
      </c>
    </row>
    <row r="6615">
      <c r="E6615">
        <f>IF(DATOS!$I6615="","",IFERROR(VLOOKUP(DATOS!$I6615,CONFIG_ASIGNATURAS!$B$2:$J$61,9,FALSE()),""))</f>
      </c>
    </row>
    <row r="6616">
      <c r="E6616">
        <f>IF(DATOS!$I6616="","",IFERROR(VLOOKUP(DATOS!$I6616,CONFIG_ASIGNATURAS!$B$2:$J$61,9,FALSE()),""))</f>
      </c>
    </row>
    <row r="6617">
      <c r="E6617">
        <f>IF(DATOS!$I6617="","",IFERROR(VLOOKUP(DATOS!$I6617,CONFIG_ASIGNATURAS!$B$2:$J$61,9,FALSE()),""))</f>
      </c>
    </row>
    <row r="6618">
      <c r="E6618">
        <f>IF(DATOS!$I6618="","",IFERROR(VLOOKUP(DATOS!$I6618,CONFIG_ASIGNATURAS!$B$2:$J$61,9,FALSE()),""))</f>
      </c>
    </row>
    <row r="6619">
      <c r="E6619">
        <f>IF(DATOS!$I6619="","",IFERROR(VLOOKUP(DATOS!$I6619,CONFIG_ASIGNATURAS!$B$2:$J$61,9,FALSE()),""))</f>
      </c>
    </row>
    <row r="6620">
      <c r="E6620">
        <f>IF(DATOS!$I6620="","",IFERROR(VLOOKUP(DATOS!$I6620,CONFIG_ASIGNATURAS!$B$2:$J$61,9,FALSE()),""))</f>
      </c>
    </row>
    <row r="6621">
      <c r="E6621">
        <f>IF(DATOS!$I6621="","",IFERROR(VLOOKUP(DATOS!$I6621,CONFIG_ASIGNATURAS!$B$2:$J$61,9,FALSE()),""))</f>
      </c>
    </row>
    <row r="6622">
      <c r="E6622">
        <f>IF(DATOS!$I6622="","",IFERROR(VLOOKUP(DATOS!$I6622,CONFIG_ASIGNATURAS!$B$2:$J$61,9,FALSE()),""))</f>
      </c>
    </row>
    <row r="6623">
      <c r="E6623">
        <f>IF(DATOS!$I6623="","",IFERROR(VLOOKUP(DATOS!$I6623,CONFIG_ASIGNATURAS!$B$2:$J$61,9,FALSE()),""))</f>
      </c>
    </row>
    <row r="6624">
      <c r="E6624">
        <f>IF(DATOS!$I6624="","",IFERROR(VLOOKUP(DATOS!$I6624,CONFIG_ASIGNATURAS!$B$2:$J$61,9,FALSE()),""))</f>
      </c>
    </row>
    <row r="6625">
      <c r="E6625">
        <f>IF(DATOS!$I6625="","",IFERROR(VLOOKUP(DATOS!$I6625,CONFIG_ASIGNATURAS!$B$2:$J$61,9,FALSE()),""))</f>
      </c>
    </row>
    <row r="6626">
      <c r="E6626">
        <f>IF(DATOS!$I6626="","",IFERROR(VLOOKUP(DATOS!$I6626,CONFIG_ASIGNATURAS!$B$2:$J$61,9,FALSE()),""))</f>
      </c>
    </row>
    <row r="6627">
      <c r="E6627">
        <f>IF(DATOS!$I6627="","",IFERROR(VLOOKUP(DATOS!$I6627,CONFIG_ASIGNATURAS!$B$2:$J$61,9,FALSE()),""))</f>
      </c>
    </row>
    <row r="6628">
      <c r="E6628">
        <f>IF(DATOS!$I6628="","",IFERROR(VLOOKUP(DATOS!$I6628,CONFIG_ASIGNATURAS!$B$2:$J$61,9,FALSE()),""))</f>
      </c>
    </row>
    <row r="6629">
      <c r="E6629">
        <f>IF(DATOS!$I6629="","",IFERROR(VLOOKUP(DATOS!$I6629,CONFIG_ASIGNATURAS!$B$2:$J$61,9,FALSE()),""))</f>
      </c>
    </row>
    <row r="6630">
      <c r="E6630">
        <f>IF(DATOS!$I6630="","",IFERROR(VLOOKUP(DATOS!$I6630,CONFIG_ASIGNATURAS!$B$2:$J$61,9,FALSE()),""))</f>
      </c>
    </row>
    <row r="6631">
      <c r="E6631">
        <f>IF(DATOS!$I6631="","",IFERROR(VLOOKUP(DATOS!$I6631,CONFIG_ASIGNATURAS!$B$2:$J$61,9,FALSE()),""))</f>
      </c>
    </row>
    <row r="6632">
      <c r="E6632">
        <f>IF(DATOS!$I6632="","",IFERROR(VLOOKUP(DATOS!$I6632,CONFIG_ASIGNATURAS!$B$2:$J$61,9,FALSE()),""))</f>
      </c>
    </row>
    <row r="6633">
      <c r="E6633">
        <f>IF(DATOS!$I6633="","",IFERROR(VLOOKUP(DATOS!$I6633,CONFIG_ASIGNATURAS!$B$2:$J$61,9,FALSE()),""))</f>
      </c>
    </row>
    <row r="6634">
      <c r="E6634">
        <f>IF(DATOS!$I6634="","",IFERROR(VLOOKUP(DATOS!$I6634,CONFIG_ASIGNATURAS!$B$2:$J$61,9,FALSE()),""))</f>
      </c>
    </row>
    <row r="6635">
      <c r="E6635">
        <f>IF(DATOS!$I6635="","",IFERROR(VLOOKUP(DATOS!$I6635,CONFIG_ASIGNATURAS!$B$2:$J$61,9,FALSE()),""))</f>
      </c>
    </row>
    <row r="6636">
      <c r="E6636">
        <f>IF(DATOS!$I6636="","",IFERROR(VLOOKUP(DATOS!$I6636,CONFIG_ASIGNATURAS!$B$2:$J$61,9,FALSE()),""))</f>
      </c>
    </row>
    <row r="6637">
      <c r="E6637">
        <f>IF(DATOS!$I6637="","",IFERROR(VLOOKUP(DATOS!$I6637,CONFIG_ASIGNATURAS!$B$2:$J$61,9,FALSE()),""))</f>
      </c>
    </row>
    <row r="6638">
      <c r="E6638">
        <f>IF(DATOS!$I6638="","",IFERROR(VLOOKUP(DATOS!$I6638,CONFIG_ASIGNATURAS!$B$2:$J$61,9,FALSE()),""))</f>
      </c>
    </row>
    <row r="6639">
      <c r="E6639">
        <f>IF(DATOS!$I6639="","",IFERROR(VLOOKUP(DATOS!$I6639,CONFIG_ASIGNATURAS!$B$2:$J$61,9,FALSE()),""))</f>
      </c>
    </row>
    <row r="6640">
      <c r="E6640">
        <f>IF(DATOS!$I6640="","",IFERROR(VLOOKUP(DATOS!$I6640,CONFIG_ASIGNATURAS!$B$2:$J$61,9,FALSE()),""))</f>
      </c>
    </row>
    <row r="6641">
      <c r="E6641">
        <f>IF(DATOS!$I6641="","",IFERROR(VLOOKUP(DATOS!$I6641,CONFIG_ASIGNATURAS!$B$2:$J$61,9,FALSE()),""))</f>
      </c>
    </row>
    <row r="6642">
      <c r="E6642">
        <f>IF(DATOS!$I6642="","",IFERROR(VLOOKUP(DATOS!$I6642,CONFIG_ASIGNATURAS!$B$2:$J$61,9,FALSE()),""))</f>
      </c>
    </row>
    <row r="6643">
      <c r="E6643">
        <f>IF(DATOS!$I6643="","",IFERROR(VLOOKUP(DATOS!$I6643,CONFIG_ASIGNATURAS!$B$2:$J$61,9,FALSE()),""))</f>
      </c>
    </row>
    <row r="6644">
      <c r="E6644">
        <f>IF(DATOS!$I6644="","",IFERROR(VLOOKUP(DATOS!$I6644,CONFIG_ASIGNATURAS!$B$2:$J$61,9,FALSE()),""))</f>
      </c>
    </row>
    <row r="6645">
      <c r="E6645">
        <f>IF(DATOS!$I6645="","",IFERROR(VLOOKUP(DATOS!$I6645,CONFIG_ASIGNATURAS!$B$2:$J$61,9,FALSE()),""))</f>
      </c>
    </row>
    <row r="6646">
      <c r="E6646">
        <f>IF(DATOS!$I6646="","",IFERROR(VLOOKUP(DATOS!$I6646,CONFIG_ASIGNATURAS!$B$2:$J$61,9,FALSE()),""))</f>
      </c>
    </row>
    <row r="6647">
      <c r="E6647">
        <f>IF(DATOS!$I6647="","",IFERROR(VLOOKUP(DATOS!$I6647,CONFIG_ASIGNATURAS!$B$2:$J$61,9,FALSE()),""))</f>
      </c>
    </row>
    <row r="6648">
      <c r="E6648">
        <f>IF(DATOS!$I6648="","",IFERROR(VLOOKUP(DATOS!$I6648,CONFIG_ASIGNATURAS!$B$2:$J$61,9,FALSE()),""))</f>
      </c>
    </row>
    <row r="6649">
      <c r="E6649">
        <f>IF(DATOS!$I6649="","",IFERROR(VLOOKUP(DATOS!$I6649,CONFIG_ASIGNATURAS!$B$2:$J$61,9,FALSE()),""))</f>
      </c>
    </row>
    <row r="6650">
      <c r="E6650">
        <f>IF(DATOS!$I6650="","",IFERROR(VLOOKUP(DATOS!$I6650,CONFIG_ASIGNATURAS!$B$2:$J$61,9,FALSE()),""))</f>
      </c>
    </row>
    <row r="6651">
      <c r="E6651">
        <f>IF(DATOS!$I6651="","",IFERROR(VLOOKUP(DATOS!$I6651,CONFIG_ASIGNATURAS!$B$2:$J$61,9,FALSE()),""))</f>
      </c>
    </row>
    <row r="6652">
      <c r="E6652">
        <f>IF(DATOS!$I6652="","",IFERROR(VLOOKUP(DATOS!$I6652,CONFIG_ASIGNATURAS!$B$2:$J$61,9,FALSE()),""))</f>
      </c>
    </row>
    <row r="6653">
      <c r="E6653">
        <f>IF(DATOS!$I6653="","",IFERROR(VLOOKUP(DATOS!$I6653,CONFIG_ASIGNATURAS!$B$2:$J$61,9,FALSE()),""))</f>
      </c>
    </row>
    <row r="6654">
      <c r="E6654">
        <f>IF(DATOS!$I6654="","",IFERROR(VLOOKUP(DATOS!$I6654,CONFIG_ASIGNATURAS!$B$2:$J$61,9,FALSE()),""))</f>
      </c>
    </row>
    <row r="6655">
      <c r="E6655">
        <f>IF(DATOS!$I6655="","",IFERROR(VLOOKUP(DATOS!$I6655,CONFIG_ASIGNATURAS!$B$2:$J$61,9,FALSE()),""))</f>
      </c>
    </row>
    <row r="6656">
      <c r="E6656">
        <f>IF(DATOS!$I6656="","",IFERROR(VLOOKUP(DATOS!$I6656,CONFIG_ASIGNATURAS!$B$2:$J$61,9,FALSE()),""))</f>
      </c>
    </row>
    <row r="6657">
      <c r="E6657">
        <f>IF(DATOS!$I6657="","",IFERROR(VLOOKUP(DATOS!$I6657,CONFIG_ASIGNATURAS!$B$2:$J$61,9,FALSE()),""))</f>
      </c>
    </row>
    <row r="6658">
      <c r="E6658">
        <f>IF(DATOS!$I6658="","",IFERROR(VLOOKUP(DATOS!$I6658,CONFIG_ASIGNATURAS!$B$2:$J$61,9,FALSE()),""))</f>
      </c>
    </row>
    <row r="6659">
      <c r="E6659">
        <f>IF(DATOS!$I6659="","",IFERROR(VLOOKUP(DATOS!$I6659,CONFIG_ASIGNATURAS!$B$2:$J$61,9,FALSE()),""))</f>
      </c>
    </row>
    <row r="6660">
      <c r="E6660">
        <f>IF(DATOS!$I6660="","",IFERROR(VLOOKUP(DATOS!$I6660,CONFIG_ASIGNATURAS!$B$2:$J$61,9,FALSE()),""))</f>
      </c>
    </row>
    <row r="6661">
      <c r="E6661">
        <f>IF(DATOS!$I6661="","",IFERROR(VLOOKUP(DATOS!$I6661,CONFIG_ASIGNATURAS!$B$2:$J$61,9,FALSE()),""))</f>
      </c>
    </row>
    <row r="6662">
      <c r="E6662">
        <f>IF(DATOS!$I6662="","",IFERROR(VLOOKUP(DATOS!$I6662,CONFIG_ASIGNATURAS!$B$2:$J$61,9,FALSE()),""))</f>
      </c>
    </row>
    <row r="6663">
      <c r="E6663">
        <f>IF(DATOS!$I6663="","",IFERROR(VLOOKUP(DATOS!$I6663,CONFIG_ASIGNATURAS!$B$2:$J$61,9,FALSE()),""))</f>
      </c>
    </row>
    <row r="6664">
      <c r="E6664">
        <f>IF(DATOS!$I6664="","",IFERROR(VLOOKUP(DATOS!$I6664,CONFIG_ASIGNATURAS!$B$2:$J$61,9,FALSE()),""))</f>
      </c>
    </row>
    <row r="6665">
      <c r="E6665">
        <f>IF(DATOS!$I6665="","",IFERROR(VLOOKUP(DATOS!$I6665,CONFIG_ASIGNATURAS!$B$2:$J$61,9,FALSE()),""))</f>
      </c>
    </row>
    <row r="6666">
      <c r="E6666">
        <f>IF(DATOS!$I6666="","",IFERROR(VLOOKUP(DATOS!$I6666,CONFIG_ASIGNATURAS!$B$2:$J$61,9,FALSE()),""))</f>
      </c>
    </row>
    <row r="6667">
      <c r="E6667">
        <f>IF(DATOS!$I6667="","",IFERROR(VLOOKUP(DATOS!$I6667,CONFIG_ASIGNATURAS!$B$2:$J$61,9,FALSE()),""))</f>
      </c>
    </row>
    <row r="6668">
      <c r="E6668">
        <f>IF(DATOS!$I6668="","",IFERROR(VLOOKUP(DATOS!$I6668,CONFIG_ASIGNATURAS!$B$2:$J$61,9,FALSE()),""))</f>
      </c>
    </row>
    <row r="6669">
      <c r="E6669">
        <f>IF(DATOS!$I6669="","",IFERROR(VLOOKUP(DATOS!$I6669,CONFIG_ASIGNATURAS!$B$2:$J$61,9,FALSE()),""))</f>
      </c>
    </row>
    <row r="6670">
      <c r="E6670">
        <f>IF(DATOS!$I6670="","",IFERROR(VLOOKUP(DATOS!$I6670,CONFIG_ASIGNATURAS!$B$2:$J$61,9,FALSE()),""))</f>
      </c>
    </row>
    <row r="6671">
      <c r="E6671">
        <f>IF(DATOS!$I6671="","",IFERROR(VLOOKUP(DATOS!$I6671,CONFIG_ASIGNATURAS!$B$2:$J$61,9,FALSE()),""))</f>
      </c>
    </row>
    <row r="6672">
      <c r="E6672">
        <f>IF(DATOS!$I6672="","",IFERROR(VLOOKUP(DATOS!$I6672,CONFIG_ASIGNATURAS!$B$2:$J$61,9,FALSE()),""))</f>
      </c>
    </row>
    <row r="6673">
      <c r="E6673">
        <f>IF(DATOS!$I6673="","",IFERROR(VLOOKUP(DATOS!$I6673,CONFIG_ASIGNATURAS!$B$2:$J$61,9,FALSE()),""))</f>
      </c>
    </row>
    <row r="6674">
      <c r="E6674">
        <f>IF(DATOS!$I6674="","",IFERROR(VLOOKUP(DATOS!$I6674,CONFIG_ASIGNATURAS!$B$2:$J$61,9,FALSE()),""))</f>
      </c>
    </row>
    <row r="6675">
      <c r="E6675">
        <f>IF(DATOS!$I6675="","",IFERROR(VLOOKUP(DATOS!$I6675,CONFIG_ASIGNATURAS!$B$2:$J$61,9,FALSE()),""))</f>
      </c>
    </row>
    <row r="6676">
      <c r="E6676">
        <f>IF(DATOS!$I6676="","",IFERROR(VLOOKUP(DATOS!$I6676,CONFIG_ASIGNATURAS!$B$2:$J$61,9,FALSE()),""))</f>
      </c>
    </row>
    <row r="6677">
      <c r="E6677">
        <f>IF(DATOS!$I6677="","",IFERROR(VLOOKUP(DATOS!$I6677,CONFIG_ASIGNATURAS!$B$2:$J$61,9,FALSE()),""))</f>
      </c>
    </row>
    <row r="6678">
      <c r="E6678">
        <f>IF(DATOS!$I6678="","",IFERROR(VLOOKUP(DATOS!$I6678,CONFIG_ASIGNATURAS!$B$2:$J$61,9,FALSE()),""))</f>
      </c>
    </row>
    <row r="6679">
      <c r="E6679">
        <f>IF(DATOS!$I6679="","",IFERROR(VLOOKUP(DATOS!$I6679,CONFIG_ASIGNATURAS!$B$2:$J$61,9,FALSE()),""))</f>
      </c>
    </row>
    <row r="6680">
      <c r="E6680">
        <f>IF(DATOS!$I6680="","",IFERROR(VLOOKUP(DATOS!$I6680,CONFIG_ASIGNATURAS!$B$2:$J$61,9,FALSE()),""))</f>
      </c>
    </row>
    <row r="6681">
      <c r="E6681">
        <f>IF(DATOS!$I6681="","",IFERROR(VLOOKUP(DATOS!$I6681,CONFIG_ASIGNATURAS!$B$2:$J$61,9,FALSE()),""))</f>
      </c>
    </row>
    <row r="6682">
      <c r="E6682">
        <f>IF(DATOS!$I6682="","",IFERROR(VLOOKUP(DATOS!$I6682,CONFIG_ASIGNATURAS!$B$2:$J$61,9,FALSE()),""))</f>
      </c>
    </row>
    <row r="6683">
      <c r="E6683">
        <f>IF(DATOS!$I6683="","",IFERROR(VLOOKUP(DATOS!$I6683,CONFIG_ASIGNATURAS!$B$2:$J$61,9,FALSE()),""))</f>
      </c>
    </row>
    <row r="6684">
      <c r="E6684">
        <f>IF(DATOS!$I6684="","",IFERROR(VLOOKUP(DATOS!$I6684,CONFIG_ASIGNATURAS!$B$2:$J$61,9,FALSE()),""))</f>
      </c>
    </row>
    <row r="6685">
      <c r="E6685">
        <f>IF(DATOS!$I6685="","",IFERROR(VLOOKUP(DATOS!$I6685,CONFIG_ASIGNATURAS!$B$2:$J$61,9,FALSE()),""))</f>
      </c>
    </row>
    <row r="6686">
      <c r="E6686">
        <f>IF(DATOS!$I6686="","",IFERROR(VLOOKUP(DATOS!$I6686,CONFIG_ASIGNATURAS!$B$2:$J$61,9,FALSE()),""))</f>
      </c>
    </row>
    <row r="6687">
      <c r="E6687">
        <f>IF(DATOS!$I6687="","",IFERROR(VLOOKUP(DATOS!$I6687,CONFIG_ASIGNATURAS!$B$2:$J$61,9,FALSE()),""))</f>
      </c>
    </row>
    <row r="6688">
      <c r="E6688">
        <f>IF(DATOS!$I6688="","",IFERROR(VLOOKUP(DATOS!$I6688,CONFIG_ASIGNATURAS!$B$2:$J$61,9,FALSE()),""))</f>
      </c>
    </row>
    <row r="6689">
      <c r="E6689">
        <f>IF(DATOS!$I6689="","",IFERROR(VLOOKUP(DATOS!$I6689,CONFIG_ASIGNATURAS!$B$2:$J$61,9,FALSE()),""))</f>
      </c>
    </row>
    <row r="6690">
      <c r="E6690">
        <f>IF(DATOS!$I6690="","",IFERROR(VLOOKUP(DATOS!$I6690,CONFIG_ASIGNATURAS!$B$2:$J$61,9,FALSE()),""))</f>
      </c>
    </row>
    <row r="6691">
      <c r="E6691">
        <f>IF(DATOS!$I6691="","",IFERROR(VLOOKUP(DATOS!$I6691,CONFIG_ASIGNATURAS!$B$2:$J$61,9,FALSE()),""))</f>
      </c>
    </row>
    <row r="6692">
      <c r="E6692">
        <f>IF(DATOS!$I6692="","",IFERROR(VLOOKUP(DATOS!$I6692,CONFIG_ASIGNATURAS!$B$2:$J$61,9,FALSE()),""))</f>
      </c>
    </row>
    <row r="6693">
      <c r="E6693">
        <f>IF(DATOS!$I6693="","",IFERROR(VLOOKUP(DATOS!$I6693,CONFIG_ASIGNATURAS!$B$2:$J$61,9,FALSE()),""))</f>
      </c>
    </row>
    <row r="6694">
      <c r="E6694">
        <f>IF(DATOS!$I6694="","",IFERROR(VLOOKUP(DATOS!$I6694,CONFIG_ASIGNATURAS!$B$2:$J$61,9,FALSE()),""))</f>
      </c>
    </row>
    <row r="6695">
      <c r="E6695">
        <f>IF(DATOS!$I6695="","",IFERROR(VLOOKUP(DATOS!$I6695,CONFIG_ASIGNATURAS!$B$2:$J$61,9,FALSE()),""))</f>
      </c>
    </row>
    <row r="6696">
      <c r="E6696">
        <f>IF(DATOS!$I6696="","",IFERROR(VLOOKUP(DATOS!$I6696,CONFIG_ASIGNATURAS!$B$2:$J$61,9,FALSE()),""))</f>
      </c>
    </row>
    <row r="6697">
      <c r="E6697">
        <f>IF(DATOS!$I6697="","",IFERROR(VLOOKUP(DATOS!$I6697,CONFIG_ASIGNATURAS!$B$2:$J$61,9,FALSE()),""))</f>
      </c>
    </row>
    <row r="6698">
      <c r="E6698">
        <f>IF(DATOS!$I6698="","",IFERROR(VLOOKUP(DATOS!$I6698,CONFIG_ASIGNATURAS!$B$2:$J$61,9,FALSE()),""))</f>
      </c>
    </row>
    <row r="6699">
      <c r="E6699">
        <f>IF(DATOS!$I6699="","",IFERROR(VLOOKUP(DATOS!$I6699,CONFIG_ASIGNATURAS!$B$2:$J$61,9,FALSE()),""))</f>
      </c>
    </row>
    <row r="6700">
      <c r="E6700">
        <f>IF(DATOS!$I6700="","",IFERROR(VLOOKUP(DATOS!$I6700,CONFIG_ASIGNATURAS!$B$2:$J$61,9,FALSE()),""))</f>
      </c>
    </row>
    <row r="6701">
      <c r="E6701">
        <f>IF(DATOS!$I6701="","",IFERROR(VLOOKUP(DATOS!$I6701,CONFIG_ASIGNATURAS!$B$2:$J$61,9,FALSE()),""))</f>
      </c>
    </row>
    <row r="6702">
      <c r="E6702">
        <f>IF(DATOS!$I6702="","",IFERROR(VLOOKUP(DATOS!$I6702,CONFIG_ASIGNATURAS!$B$2:$J$61,9,FALSE()),""))</f>
      </c>
    </row>
    <row r="6703">
      <c r="E6703">
        <f>IF(DATOS!$I6703="","",IFERROR(VLOOKUP(DATOS!$I6703,CONFIG_ASIGNATURAS!$B$2:$J$61,9,FALSE()),""))</f>
      </c>
    </row>
    <row r="6704">
      <c r="E6704">
        <f>IF(DATOS!$I6704="","",IFERROR(VLOOKUP(DATOS!$I6704,CONFIG_ASIGNATURAS!$B$2:$J$61,9,FALSE()),""))</f>
      </c>
    </row>
    <row r="6705">
      <c r="E6705">
        <f>IF(DATOS!$I6705="","",IFERROR(VLOOKUP(DATOS!$I6705,CONFIG_ASIGNATURAS!$B$2:$J$61,9,FALSE()),""))</f>
      </c>
    </row>
    <row r="6706">
      <c r="E6706">
        <f>IF(DATOS!$I6706="","",IFERROR(VLOOKUP(DATOS!$I6706,CONFIG_ASIGNATURAS!$B$2:$J$61,9,FALSE()),""))</f>
      </c>
    </row>
    <row r="6707">
      <c r="E6707">
        <f>IF(DATOS!$I6707="","",IFERROR(VLOOKUP(DATOS!$I6707,CONFIG_ASIGNATURAS!$B$2:$J$61,9,FALSE()),""))</f>
      </c>
    </row>
    <row r="6708">
      <c r="E6708">
        <f>IF(DATOS!$I6708="","",IFERROR(VLOOKUP(DATOS!$I6708,CONFIG_ASIGNATURAS!$B$2:$J$61,9,FALSE()),""))</f>
      </c>
    </row>
    <row r="6709">
      <c r="E6709">
        <f>IF(DATOS!$I6709="","",IFERROR(VLOOKUP(DATOS!$I6709,CONFIG_ASIGNATURAS!$B$2:$J$61,9,FALSE()),""))</f>
      </c>
    </row>
    <row r="6710">
      <c r="E6710">
        <f>IF(DATOS!$I6710="","",IFERROR(VLOOKUP(DATOS!$I6710,CONFIG_ASIGNATURAS!$B$2:$J$61,9,FALSE()),""))</f>
      </c>
    </row>
    <row r="6711">
      <c r="E6711">
        <f>IF(DATOS!$I6711="","",IFERROR(VLOOKUP(DATOS!$I6711,CONFIG_ASIGNATURAS!$B$2:$J$61,9,FALSE()),""))</f>
      </c>
    </row>
    <row r="6712">
      <c r="E6712">
        <f>IF(DATOS!$I6712="","",IFERROR(VLOOKUP(DATOS!$I6712,CONFIG_ASIGNATURAS!$B$2:$J$61,9,FALSE()),""))</f>
      </c>
    </row>
    <row r="6713">
      <c r="E6713">
        <f>IF(DATOS!$I6713="","",IFERROR(VLOOKUP(DATOS!$I6713,CONFIG_ASIGNATURAS!$B$2:$J$61,9,FALSE()),""))</f>
      </c>
    </row>
    <row r="6714">
      <c r="E6714">
        <f>IF(DATOS!$I6714="","",IFERROR(VLOOKUP(DATOS!$I6714,CONFIG_ASIGNATURAS!$B$2:$J$61,9,FALSE()),""))</f>
      </c>
    </row>
    <row r="6715">
      <c r="E6715">
        <f>IF(DATOS!$I6715="","",IFERROR(VLOOKUP(DATOS!$I6715,CONFIG_ASIGNATURAS!$B$2:$J$61,9,FALSE()),""))</f>
      </c>
    </row>
    <row r="6716">
      <c r="E6716">
        <f>IF(DATOS!$I6716="","",IFERROR(VLOOKUP(DATOS!$I6716,CONFIG_ASIGNATURAS!$B$2:$J$61,9,FALSE()),""))</f>
      </c>
    </row>
    <row r="6717">
      <c r="E6717">
        <f>IF(DATOS!$I6717="","",IFERROR(VLOOKUP(DATOS!$I6717,CONFIG_ASIGNATURAS!$B$2:$J$61,9,FALSE()),""))</f>
      </c>
    </row>
    <row r="6718">
      <c r="E6718">
        <f>IF(DATOS!$I6718="","",IFERROR(VLOOKUP(DATOS!$I6718,CONFIG_ASIGNATURAS!$B$2:$J$61,9,FALSE()),""))</f>
      </c>
    </row>
    <row r="6719">
      <c r="E6719">
        <f>IF(DATOS!$I6719="","",IFERROR(VLOOKUP(DATOS!$I6719,CONFIG_ASIGNATURAS!$B$2:$J$61,9,FALSE()),""))</f>
      </c>
    </row>
    <row r="6720">
      <c r="E6720">
        <f>IF(DATOS!$I6720="","",IFERROR(VLOOKUP(DATOS!$I6720,CONFIG_ASIGNATURAS!$B$2:$J$61,9,FALSE()),""))</f>
      </c>
    </row>
    <row r="6721">
      <c r="E6721">
        <f>IF(DATOS!$I6721="","",IFERROR(VLOOKUP(DATOS!$I6721,CONFIG_ASIGNATURAS!$B$2:$J$61,9,FALSE()),""))</f>
      </c>
    </row>
    <row r="6722">
      <c r="E6722">
        <f>IF(DATOS!$I6722="","",IFERROR(VLOOKUP(DATOS!$I6722,CONFIG_ASIGNATURAS!$B$2:$J$61,9,FALSE()),""))</f>
      </c>
    </row>
    <row r="6723">
      <c r="E6723">
        <f>IF(DATOS!$I6723="","",IFERROR(VLOOKUP(DATOS!$I6723,CONFIG_ASIGNATURAS!$B$2:$J$61,9,FALSE()),""))</f>
      </c>
    </row>
    <row r="6724">
      <c r="E6724">
        <f>IF(DATOS!$I6724="","",IFERROR(VLOOKUP(DATOS!$I6724,CONFIG_ASIGNATURAS!$B$2:$J$61,9,FALSE()),""))</f>
      </c>
    </row>
    <row r="6725">
      <c r="E6725">
        <f>IF(DATOS!$I6725="","",IFERROR(VLOOKUP(DATOS!$I6725,CONFIG_ASIGNATURAS!$B$2:$J$61,9,FALSE()),""))</f>
      </c>
    </row>
    <row r="6726">
      <c r="E6726">
        <f>IF(DATOS!$I6726="","",IFERROR(VLOOKUP(DATOS!$I6726,CONFIG_ASIGNATURAS!$B$2:$J$61,9,FALSE()),""))</f>
      </c>
    </row>
    <row r="6727">
      <c r="E6727">
        <f>IF(DATOS!$I6727="","",IFERROR(VLOOKUP(DATOS!$I6727,CONFIG_ASIGNATURAS!$B$2:$J$61,9,FALSE()),""))</f>
      </c>
    </row>
    <row r="6728">
      <c r="E6728">
        <f>IF(DATOS!$I6728="","",IFERROR(VLOOKUP(DATOS!$I6728,CONFIG_ASIGNATURAS!$B$2:$J$61,9,FALSE()),""))</f>
      </c>
    </row>
    <row r="6729">
      <c r="E6729">
        <f>IF(DATOS!$I6729="","",IFERROR(VLOOKUP(DATOS!$I6729,CONFIG_ASIGNATURAS!$B$2:$J$61,9,FALSE()),""))</f>
      </c>
    </row>
    <row r="6730">
      <c r="E6730">
        <f>IF(DATOS!$I6730="","",IFERROR(VLOOKUP(DATOS!$I6730,CONFIG_ASIGNATURAS!$B$2:$J$61,9,FALSE()),""))</f>
      </c>
    </row>
    <row r="6731">
      <c r="E6731">
        <f>IF(DATOS!$I6731="","",IFERROR(VLOOKUP(DATOS!$I6731,CONFIG_ASIGNATURAS!$B$2:$J$61,9,FALSE()),""))</f>
      </c>
    </row>
    <row r="6732">
      <c r="E6732">
        <f>IF(DATOS!$I6732="","",IFERROR(VLOOKUP(DATOS!$I6732,CONFIG_ASIGNATURAS!$B$2:$J$61,9,FALSE()),""))</f>
      </c>
    </row>
    <row r="6733">
      <c r="E6733">
        <f>IF(DATOS!$I6733="","",IFERROR(VLOOKUP(DATOS!$I6733,CONFIG_ASIGNATURAS!$B$2:$J$61,9,FALSE()),""))</f>
      </c>
    </row>
    <row r="6734">
      <c r="E6734">
        <f>IF(DATOS!$I6734="","",IFERROR(VLOOKUP(DATOS!$I6734,CONFIG_ASIGNATURAS!$B$2:$J$61,9,FALSE()),""))</f>
      </c>
    </row>
    <row r="6735">
      <c r="E6735">
        <f>IF(DATOS!$I6735="","",IFERROR(VLOOKUP(DATOS!$I6735,CONFIG_ASIGNATURAS!$B$2:$J$61,9,FALSE()),""))</f>
      </c>
    </row>
    <row r="6736">
      <c r="E6736">
        <f>IF(DATOS!$I6736="","",IFERROR(VLOOKUP(DATOS!$I6736,CONFIG_ASIGNATURAS!$B$2:$J$61,9,FALSE()),""))</f>
      </c>
    </row>
    <row r="6737">
      <c r="E6737">
        <f>IF(DATOS!$I6737="","",IFERROR(VLOOKUP(DATOS!$I6737,CONFIG_ASIGNATURAS!$B$2:$J$61,9,FALSE()),""))</f>
      </c>
    </row>
    <row r="6738">
      <c r="E6738">
        <f>IF(DATOS!$I6738="","",IFERROR(VLOOKUP(DATOS!$I6738,CONFIG_ASIGNATURAS!$B$2:$J$61,9,FALSE()),""))</f>
      </c>
    </row>
    <row r="6739">
      <c r="E6739">
        <f>IF(DATOS!$I6739="","",IFERROR(VLOOKUP(DATOS!$I6739,CONFIG_ASIGNATURAS!$B$2:$J$61,9,FALSE()),""))</f>
      </c>
    </row>
    <row r="6740">
      <c r="E6740">
        <f>IF(DATOS!$I6740="","",IFERROR(VLOOKUP(DATOS!$I6740,CONFIG_ASIGNATURAS!$B$2:$J$61,9,FALSE()),""))</f>
      </c>
    </row>
    <row r="6741">
      <c r="E6741">
        <f>IF(DATOS!$I6741="","",IFERROR(VLOOKUP(DATOS!$I6741,CONFIG_ASIGNATURAS!$B$2:$J$61,9,FALSE()),""))</f>
      </c>
    </row>
    <row r="6742">
      <c r="E6742">
        <f>IF(DATOS!$I6742="","",IFERROR(VLOOKUP(DATOS!$I6742,CONFIG_ASIGNATURAS!$B$2:$J$61,9,FALSE()),""))</f>
      </c>
    </row>
    <row r="6743">
      <c r="E6743">
        <f>IF(DATOS!$I6743="","",IFERROR(VLOOKUP(DATOS!$I6743,CONFIG_ASIGNATURAS!$B$2:$J$61,9,FALSE()),""))</f>
      </c>
    </row>
    <row r="6744">
      <c r="E6744">
        <f>IF(DATOS!$I6744="","",IFERROR(VLOOKUP(DATOS!$I6744,CONFIG_ASIGNATURAS!$B$2:$J$61,9,FALSE()),""))</f>
      </c>
    </row>
    <row r="6745">
      <c r="E6745">
        <f>IF(DATOS!$I6745="","",IFERROR(VLOOKUP(DATOS!$I6745,CONFIG_ASIGNATURAS!$B$2:$J$61,9,FALSE()),""))</f>
      </c>
    </row>
    <row r="6746">
      <c r="E6746">
        <f>IF(DATOS!$I6746="","",IFERROR(VLOOKUP(DATOS!$I6746,CONFIG_ASIGNATURAS!$B$2:$J$61,9,FALSE()),""))</f>
      </c>
    </row>
    <row r="6747">
      <c r="E6747">
        <f>IF(DATOS!$I6747="","",IFERROR(VLOOKUP(DATOS!$I6747,CONFIG_ASIGNATURAS!$B$2:$J$61,9,FALSE()),""))</f>
      </c>
    </row>
    <row r="6748">
      <c r="E6748">
        <f>IF(DATOS!$I6748="","",IFERROR(VLOOKUP(DATOS!$I6748,CONFIG_ASIGNATURAS!$B$2:$J$61,9,FALSE()),""))</f>
      </c>
    </row>
    <row r="6749">
      <c r="E6749">
        <f>IF(DATOS!$I6749="","",IFERROR(VLOOKUP(DATOS!$I6749,CONFIG_ASIGNATURAS!$B$2:$J$61,9,FALSE()),""))</f>
      </c>
    </row>
    <row r="6750">
      <c r="E6750">
        <f>IF(DATOS!$I6750="","",IFERROR(VLOOKUP(DATOS!$I6750,CONFIG_ASIGNATURAS!$B$2:$J$61,9,FALSE()),""))</f>
      </c>
    </row>
    <row r="6751">
      <c r="E6751">
        <f>IF(DATOS!$I6751="","",IFERROR(VLOOKUP(DATOS!$I6751,CONFIG_ASIGNATURAS!$B$2:$J$61,9,FALSE()),""))</f>
      </c>
    </row>
    <row r="6752">
      <c r="E6752">
        <f>IF(DATOS!$I6752="","",IFERROR(VLOOKUP(DATOS!$I6752,CONFIG_ASIGNATURAS!$B$2:$J$61,9,FALSE()),""))</f>
      </c>
    </row>
    <row r="6753">
      <c r="E6753">
        <f>IF(DATOS!$I6753="","",IFERROR(VLOOKUP(DATOS!$I6753,CONFIG_ASIGNATURAS!$B$2:$J$61,9,FALSE()),""))</f>
      </c>
    </row>
    <row r="6754">
      <c r="E6754">
        <f>IF(DATOS!$I6754="","",IFERROR(VLOOKUP(DATOS!$I6754,CONFIG_ASIGNATURAS!$B$2:$J$61,9,FALSE()),""))</f>
      </c>
    </row>
    <row r="6755">
      <c r="E6755">
        <f>IF(DATOS!$I6755="","",IFERROR(VLOOKUP(DATOS!$I6755,CONFIG_ASIGNATURAS!$B$2:$J$61,9,FALSE()),""))</f>
      </c>
    </row>
    <row r="6756">
      <c r="E6756">
        <f>IF(DATOS!$I6756="","",IFERROR(VLOOKUP(DATOS!$I6756,CONFIG_ASIGNATURAS!$B$2:$J$61,9,FALSE()),""))</f>
      </c>
    </row>
    <row r="6757">
      <c r="E6757">
        <f>IF(DATOS!$I6757="","",IFERROR(VLOOKUP(DATOS!$I6757,CONFIG_ASIGNATURAS!$B$2:$J$61,9,FALSE()),""))</f>
      </c>
    </row>
    <row r="6758">
      <c r="E6758">
        <f>IF(DATOS!$I6758="","",IFERROR(VLOOKUP(DATOS!$I6758,CONFIG_ASIGNATURAS!$B$2:$J$61,9,FALSE()),""))</f>
      </c>
    </row>
    <row r="6759">
      <c r="E6759">
        <f>IF(DATOS!$I6759="","",IFERROR(VLOOKUP(DATOS!$I6759,CONFIG_ASIGNATURAS!$B$2:$J$61,9,FALSE()),""))</f>
      </c>
    </row>
    <row r="6760">
      <c r="E6760">
        <f>IF(DATOS!$I6760="","",IFERROR(VLOOKUP(DATOS!$I6760,CONFIG_ASIGNATURAS!$B$2:$J$61,9,FALSE()),""))</f>
      </c>
    </row>
    <row r="6761">
      <c r="E6761">
        <f>IF(DATOS!$I6761="","",IFERROR(VLOOKUP(DATOS!$I6761,CONFIG_ASIGNATURAS!$B$2:$J$61,9,FALSE()),""))</f>
      </c>
    </row>
    <row r="6762">
      <c r="E6762">
        <f>IF(DATOS!$I6762="","",IFERROR(VLOOKUP(DATOS!$I6762,CONFIG_ASIGNATURAS!$B$2:$J$61,9,FALSE()),""))</f>
      </c>
    </row>
    <row r="6763">
      <c r="E6763">
        <f>IF(DATOS!$I6763="","",IFERROR(VLOOKUP(DATOS!$I6763,CONFIG_ASIGNATURAS!$B$2:$J$61,9,FALSE()),""))</f>
      </c>
    </row>
    <row r="6764">
      <c r="E6764">
        <f>IF(DATOS!$I6764="","",IFERROR(VLOOKUP(DATOS!$I6764,CONFIG_ASIGNATURAS!$B$2:$J$61,9,FALSE()),""))</f>
      </c>
    </row>
    <row r="6765">
      <c r="E6765">
        <f>IF(DATOS!$I6765="","",IFERROR(VLOOKUP(DATOS!$I6765,CONFIG_ASIGNATURAS!$B$2:$J$61,9,FALSE()),""))</f>
      </c>
    </row>
    <row r="6766">
      <c r="E6766">
        <f>IF(DATOS!$I6766="","",IFERROR(VLOOKUP(DATOS!$I6766,CONFIG_ASIGNATURAS!$B$2:$J$61,9,FALSE()),""))</f>
      </c>
    </row>
    <row r="6767">
      <c r="E6767">
        <f>IF(DATOS!$I6767="","",IFERROR(VLOOKUP(DATOS!$I6767,CONFIG_ASIGNATURAS!$B$2:$J$61,9,FALSE()),""))</f>
      </c>
    </row>
    <row r="6768">
      <c r="E6768">
        <f>IF(DATOS!$I6768="","",IFERROR(VLOOKUP(DATOS!$I6768,CONFIG_ASIGNATURAS!$B$2:$J$61,9,FALSE()),""))</f>
      </c>
    </row>
    <row r="6769">
      <c r="E6769">
        <f>IF(DATOS!$I6769="","",IFERROR(VLOOKUP(DATOS!$I6769,CONFIG_ASIGNATURAS!$B$2:$J$61,9,FALSE()),""))</f>
      </c>
    </row>
    <row r="6770">
      <c r="E6770">
        <f>IF(DATOS!$I6770="","",IFERROR(VLOOKUP(DATOS!$I6770,CONFIG_ASIGNATURAS!$B$2:$J$61,9,FALSE()),""))</f>
      </c>
    </row>
    <row r="6771">
      <c r="E6771">
        <f>IF(DATOS!$I6771="","",IFERROR(VLOOKUP(DATOS!$I6771,CONFIG_ASIGNATURAS!$B$2:$J$61,9,FALSE()),""))</f>
      </c>
    </row>
    <row r="6772">
      <c r="E6772">
        <f>IF(DATOS!$I6772="","",IFERROR(VLOOKUP(DATOS!$I6772,CONFIG_ASIGNATURAS!$B$2:$J$61,9,FALSE()),""))</f>
      </c>
    </row>
    <row r="6773">
      <c r="E6773">
        <f>IF(DATOS!$I6773="","",IFERROR(VLOOKUP(DATOS!$I6773,CONFIG_ASIGNATURAS!$B$2:$J$61,9,FALSE()),""))</f>
      </c>
    </row>
    <row r="6774">
      <c r="E6774">
        <f>IF(DATOS!$I6774="","",IFERROR(VLOOKUP(DATOS!$I6774,CONFIG_ASIGNATURAS!$B$2:$J$61,9,FALSE()),""))</f>
      </c>
    </row>
    <row r="6775">
      <c r="E6775">
        <f>IF(DATOS!$I6775="","",IFERROR(VLOOKUP(DATOS!$I6775,CONFIG_ASIGNATURAS!$B$2:$J$61,9,FALSE()),""))</f>
      </c>
    </row>
    <row r="6776">
      <c r="E6776">
        <f>IF(DATOS!$I6776="","",IFERROR(VLOOKUP(DATOS!$I6776,CONFIG_ASIGNATURAS!$B$2:$J$61,9,FALSE()),""))</f>
      </c>
    </row>
    <row r="6777">
      <c r="E6777">
        <f>IF(DATOS!$I6777="","",IFERROR(VLOOKUP(DATOS!$I6777,CONFIG_ASIGNATURAS!$B$2:$J$61,9,FALSE()),""))</f>
      </c>
    </row>
    <row r="6778">
      <c r="E6778">
        <f>IF(DATOS!$I6778="","",IFERROR(VLOOKUP(DATOS!$I6778,CONFIG_ASIGNATURAS!$B$2:$J$61,9,FALSE()),""))</f>
      </c>
    </row>
    <row r="6779">
      <c r="E6779">
        <f>IF(DATOS!$I6779="","",IFERROR(VLOOKUP(DATOS!$I6779,CONFIG_ASIGNATURAS!$B$2:$J$61,9,FALSE()),""))</f>
      </c>
    </row>
    <row r="6780">
      <c r="E6780">
        <f>IF(DATOS!$I6780="","",IFERROR(VLOOKUP(DATOS!$I6780,CONFIG_ASIGNATURAS!$B$2:$J$61,9,FALSE()),""))</f>
      </c>
    </row>
    <row r="6781">
      <c r="E6781">
        <f>IF(DATOS!$I6781="","",IFERROR(VLOOKUP(DATOS!$I6781,CONFIG_ASIGNATURAS!$B$2:$J$61,9,FALSE()),""))</f>
      </c>
    </row>
    <row r="6782">
      <c r="E6782">
        <f>IF(DATOS!$I6782="","",IFERROR(VLOOKUP(DATOS!$I6782,CONFIG_ASIGNATURAS!$B$2:$J$61,9,FALSE()),""))</f>
      </c>
    </row>
    <row r="6783">
      <c r="E6783">
        <f>IF(DATOS!$I6783="","",IFERROR(VLOOKUP(DATOS!$I6783,CONFIG_ASIGNATURAS!$B$2:$J$61,9,FALSE()),""))</f>
      </c>
    </row>
    <row r="6784">
      <c r="E6784">
        <f>IF(DATOS!$I6784="","",IFERROR(VLOOKUP(DATOS!$I6784,CONFIG_ASIGNATURAS!$B$2:$J$61,9,FALSE()),""))</f>
      </c>
    </row>
    <row r="6785">
      <c r="E6785">
        <f>IF(DATOS!$I6785="","",IFERROR(VLOOKUP(DATOS!$I6785,CONFIG_ASIGNATURAS!$B$2:$J$61,9,FALSE()),""))</f>
      </c>
    </row>
    <row r="6786">
      <c r="E6786">
        <f>IF(DATOS!$I6786="","",IFERROR(VLOOKUP(DATOS!$I6786,CONFIG_ASIGNATURAS!$B$2:$J$61,9,FALSE()),""))</f>
      </c>
    </row>
    <row r="6787">
      <c r="E6787">
        <f>IF(DATOS!$I6787="","",IFERROR(VLOOKUP(DATOS!$I6787,CONFIG_ASIGNATURAS!$B$2:$J$61,9,FALSE()),""))</f>
      </c>
    </row>
    <row r="6788">
      <c r="E6788">
        <f>IF(DATOS!$I6788="","",IFERROR(VLOOKUP(DATOS!$I6788,CONFIG_ASIGNATURAS!$B$2:$J$61,9,FALSE()),""))</f>
      </c>
    </row>
    <row r="6789">
      <c r="E6789">
        <f>IF(DATOS!$I6789="","",IFERROR(VLOOKUP(DATOS!$I6789,CONFIG_ASIGNATURAS!$B$2:$J$61,9,FALSE()),""))</f>
      </c>
    </row>
    <row r="6790">
      <c r="E6790">
        <f>IF(DATOS!$I6790="","",IFERROR(VLOOKUP(DATOS!$I6790,CONFIG_ASIGNATURAS!$B$2:$J$61,9,FALSE()),""))</f>
      </c>
    </row>
    <row r="6791">
      <c r="E6791">
        <f>IF(DATOS!$I6791="","",IFERROR(VLOOKUP(DATOS!$I6791,CONFIG_ASIGNATURAS!$B$2:$J$61,9,FALSE()),""))</f>
      </c>
    </row>
    <row r="6792">
      <c r="E6792">
        <f>IF(DATOS!$I6792="","",IFERROR(VLOOKUP(DATOS!$I6792,CONFIG_ASIGNATURAS!$B$2:$J$61,9,FALSE()),""))</f>
      </c>
    </row>
    <row r="6793">
      <c r="E6793">
        <f>IF(DATOS!$I6793="","",IFERROR(VLOOKUP(DATOS!$I6793,CONFIG_ASIGNATURAS!$B$2:$J$61,9,FALSE()),""))</f>
      </c>
    </row>
    <row r="6794">
      <c r="E6794">
        <f>IF(DATOS!$I6794="","",IFERROR(VLOOKUP(DATOS!$I6794,CONFIG_ASIGNATURAS!$B$2:$J$61,9,FALSE()),""))</f>
      </c>
    </row>
    <row r="6795">
      <c r="E6795">
        <f>IF(DATOS!$I6795="","",IFERROR(VLOOKUP(DATOS!$I6795,CONFIG_ASIGNATURAS!$B$2:$J$61,9,FALSE()),""))</f>
      </c>
    </row>
    <row r="6796">
      <c r="E6796">
        <f>IF(DATOS!$I6796="","",IFERROR(VLOOKUP(DATOS!$I6796,CONFIG_ASIGNATURAS!$B$2:$J$61,9,FALSE()),""))</f>
      </c>
    </row>
    <row r="6797">
      <c r="E6797">
        <f>IF(DATOS!$I6797="","",IFERROR(VLOOKUP(DATOS!$I6797,CONFIG_ASIGNATURAS!$B$2:$J$61,9,FALSE()),""))</f>
      </c>
    </row>
    <row r="6798">
      <c r="E6798">
        <f>IF(DATOS!$I6798="","",IFERROR(VLOOKUP(DATOS!$I6798,CONFIG_ASIGNATURAS!$B$2:$J$61,9,FALSE()),""))</f>
      </c>
    </row>
    <row r="6799">
      <c r="E6799">
        <f>IF(DATOS!$I6799="","",IFERROR(VLOOKUP(DATOS!$I6799,CONFIG_ASIGNATURAS!$B$2:$J$61,9,FALSE()),""))</f>
      </c>
    </row>
    <row r="6800">
      <c r="E6800">
        <f>IF(DATOS!$I6800="","",IFERROR(VLOOKUP(DATOS!$I6800,CONFIG_ASIGNATURAS!$B$2:$J$61,9,FALSE()),""))</f>
      </c>
    </row>
    <row r="6801">
      <c r="E6801">
        <f>IF(DATOS!$I6801="","",IFERROR(VLOOKUP(DATOS!$I6801,CONFIG_ASIGNATURAS!$B$2:$J$61,9,FALSE()),""))</f>
      </c>
    </row>
    <row r="6802">
      <c r="E6802">
        <f>IF(DATOS!$I6802="","",IFERROR(VLOOKUP(DATOS!$I6802,CONFIG_ASIGNATURAS!$B$2:$J$61,9,FALSE()),""))</f>
      </c>
    </row>
    <row r="6803">
      <c r="E6803">
        <f>IF(DATOS!$I6803="","",IFERROR(VLOOKUP(DATOS!$I6803,CONFIG_ASIGNATURAS!$B$2:$J$61,9,FALSE()),""))</f>
      </c>
    </row>
    <row r="6804">
      <c r="E6804">
        <f>IF(DATOS!$I6804="","",IFERROR(VLOOKUP(DATOS!$I6804,CONFIG_ASIGNATURAS!$B$2:$J$61,9,FALSE()),""))</f>
      </c>
    </row>
    <row r="6805">
      <c r="E6805">
        <f>IF(DATOS!$I6805="","",IFERROR(VLOOKUP(DATOS!$I6805,CONFIG_ASIGNATURAS!$B$2:$J$61,9,FALSE()),""))</f>
      </c>
    </row>
    <row r="6806">
      <c r="E6806">
        <f>IF(DATOS!$I6806="","",IFERROR(VLOOKUP(DATOS!$I6806,CONFIG_ASIGNATURAS!$B$2:$J$61,9,FALSE()),""))</f>
      </c>
    </row>
    <row r="6807">
      <c r="E6807">
        <f>IF(DATOS!$I6807="","",IFERROR(VLOOKUP(DATOS!$I6807,CONFIG_ASIGNATURAS!$B$2:$J$61,9,FALSE()),""))</f>
      </c>
    </row>
    <row r="6808">
      <c r="E6808">
        <f>IF(DATOS!$I6808="","",IFERROR(VLOOKUP(DATOS!$I6808,CONFIG_ASIGNATURAS!$B$2:$J$61,9,FALSE()),""))</f>
      </c>
    </row>
    <row r="6809">
      <c r="E6809">
        <f>IF(DATOS!$I6809="","",IFERROR(VLOOKUP(DATOS!$I6809,CONFIG_ASIGNATURAS!$B$2:$J$61,9,FALSE()),""))</f>
      </c>
    </row>
    <row r="6810">
      <c r="E6810">
        <f>IF(DATOS!$I6810="","",IFERROR(VLOOKUP(DATOS!$I6810,CONFIG_ASIGNATURAS!$B$2:$J$61,9,FALSE()),""))</f>
      </c>
    </row>
    <row r="6811">
      <c r="E6811">
        <f>IF(DATOS!$I6811="","",IFERROR(VLOOKUP(DATOS!$I6811,CONFIG_ASIGNATURAS!$B$2:$J$61,9,FALSE()),""))</f>
      </c>
    </row>
    <row r="6812">
      <c r="E6812">
        <f>IF(DATOS!$I6812="","",IFERROR(VLOOKUP(DATOS!$I6812,CONFIG_ASIGNATURAS!$B$2:$J$61,9,FALSE()),""))</f>
      </c>
    </row>
    <row r="6813">
      <c r="E6813">
        <f>IF(DATOS!$I6813="","",IFERROR(VLOOKUP(DATOS!$I6813,CONFIG_ASIGNATURAS!$B$2:$J$61,9,FALSE()),""))</f>
      </c>
    </row>
    <row r="6814">
      <c r="E6814">
        <f>IF(DATOS!$I6814="","",IFERROR(VLOOKUP(DATOS!$I6814,CONFIG_ASIGNATURAS!$B$2:$J$61,9,FALSE()),""))</f>
      </c>
    </row>
    <row r="6815">
      <c r="E6815">
        <f>IF(DATOS!$I6815="","",IFERROR(VLOOKUP(DATOS!$I6815,CONFIG_ASIGNATURAS!$B$2:$J$61,9,FALSE()),""))</f>
      </c>
    </row>
    <row r="6816">
      <c r="E6816">
        <f>IF(DATOS!$I6816="","",IFERROR(VLOOKUP(DATOS!$I6816,CONFIG_ASIGNATURAS!$B$2:$J$61,9,FALSE()),""))</f>
      </c>
    </row>
    <row r="6817">
      <c r="E6817">
        <f>IF(DATOS!$I6817="","",IFERROR(VLOOKUP(DATOS!$I6817,CONFIG_ASIGNATURAS!$B$2:$J$61,9,FALSE()),""))</f>
      </c>
    </row>
    <row r="6818">
      <c r="E6818">
        <f>IF(DATOS!$I6818="","",IFERROR(VLOOKUP(DATOS!$I6818,CONFIG_ASIGNATURAS!$B$2:$J$61,9,FALSE()),""))</f>
      </c>
    </row>
    <row r="6819">
      <c r="E6819">
        <f>IF(DATOS!$I6819="","",IFERROR(VLOOKUP(DATOS!$I6819,CONFIG_ASIGNATURAS!$B$2:$J$61,9,FALSE()),""))</f>
      </c>
    </row>
    <row r="6820">
      <c r="E6820">
        <f>IF(DATOS!$I6820="","",IFERROR(VLOOKUP(DATOS!$I6820,CONFIG_ASIGNATURAS!$B$2:$J$61,9,FALSE()),""))</f>
      </c>
    </row>
    <row r="6821">
      <c r="E6821">
        <f>IF(DATOS!$I6821="","",IFERROR(VLOOKUP(DATOS!$I6821,CONFIG_ASIGNATURAS!$B$2:$J$61,9,FALSE()),""))</f>
      </c>
    </row>
    <row r="6822">
      <c r="E6822">
        <f>IF(DATOS!$I6822="","",IFERROR(VLOOKUP(DATOS!$I6822,CONFIG_ASIGNATURAS!$B$2:$J$61,9,FALSE()),""))</f>
      </c>
    </row>
    <row r="6823">
      <c r="E6823">
        <f>IF(DATOS!$I6823="","",IFERROR(VLOOKUP(DATOS!$I6823,CONFIG_ASIGNATURAS!$B$2:$J$61,9,FALSE()),""))</f>
      </c>
    </row>
    <row r="6824">
      <c r="E6824">
        <f>IF(DATOS!$I6824="","",IFERROR(VLOOKUP(DATOS!$I6824,CONFIG_ASIGNATURAS!$B$2:$J$61,9,FALSE()),""))</f>
      </c>
    </row>
    <row r="6825">
      <c r="E6825">
        <f>IF(DATOS!$I6825="","",IFERROR(VLOOKUP(DATOS!$I6825,CONFIG_ASIGNATURAS!$B$2:$J$61,9,FALSE()),""))</f>
      </c>
    </row>
    <row r="6826">
      <c r="E6826">
        <f>IF(DATOS!$I6826="","",IFERROR(VLOOKUP(DATOS!$I6826,CONFIG_ASIGNATURAS!$B$2:$J$61,9,FALSE()),""))</f>
      </c>
    </row>
    <row r="6827">
      <c r="E6827">
        <f>IF(DATOS!$I6827="","",IFERROR(VLOOKUP(DATOS!$I6827,CONFIG_ASIGNATURAS!$B$2:$J$61,9,FALSE()),""))</f>
      </c>
    </row>
    <row r="6828">
      <c r="E6828">
        <f>IF(DATOS!$I6828="","",IFERROR(VLOOKUP(DATOS!$I6828,CONFIG_ASIGNATURAS!$B$2:$J$61,9,FALSE()),""))</f>
      </c>
    </row>
    <row r="6829">
      <c r="E6829">
        <f>IF(DATOS!$I6829="","",IFERROR(VLOOKUP(DATOS!$I6829,CONFIG_ASIGNATURAS!$B$2:$J$61,9,FALSE()),""))</f>
      </c>
    </row>
    <row r="6830">
      <c r="E6830">
        <f>IF(DATOS!$I6830="","",IFERROR(VLOOKUP(DATOS!$I6830,CONFIG_ASIGNATURAS!$B$2:$J$61,9,FALSE()),""))</f>
      </c>
    </row>
    <row r="6831">
      <c r="E6831">
        <f>IF(DATOS!$I6831="","",IFERROR(VLOOKUP(DATOS!$I6831,CONFIG_ASIGNATURAS!$B$2:$J$61,9,FALSE()),""))</f>
      </c>
    </row>
    <row r="6832">
      <c r="E6832">
        <f>IF(DATOS!$I6832="","",IFERROR(VLOOKUP(DATOS!$I6832,CONFIG_ASIGNATURAS!$B$2:$J$61,9,FALSE()),""))</f>
      </c>
    </row>
    <row r="6833">
      <c r="E6833">
        <f>IF(DATOS!$I6833="","",IFERROR(VLOOKUP(DATOS!$I6833,CONFIG_ASIGNATURAS!$B$2:$J$61,9,FALSE()),""))</f>
      </c>
    </row>
    <row r="6834">
      <c r="E6834">
        <f>IF(DATOS!$I6834="","",IFERROR(VLOOKUP(DATOS!$I6834,CONFIG_ASIGNATURAS!$B$2:$J$61,9,FALSE()),""))</f>
      </c>
    </row>
    <row r="6835">
      <c r="E6835">
        <f>IF(DATOS!$I6835="","",IFERROR(VLOOKUP(DATOS!$I6835,CONFIG_ASIGNATURAS!$B$2:$J$61,9,FALSE()),""))</f>
      </c>
    </row>
    <row r="6836">
      <c r="E6836">
        <f>IF(DATOS!$I6836="","",IFERROR(VLOOKUP(DATOS!$I6836,CONFIG_ASIGNATURAS!$B$2:$J$61,9,FALSE()),""))</f>
      </c>
    </row>
    <row r="6837">
      <c r="E6837">
        <f>IF(DATOS!$I6837="","",IFERROR(VLOOKUP(DATOS!$I6837,CONFIG_ASIGNATURAS!$B$2:$J$61,9,FALSE()),""))</f>
      </c>
    </row>
    <row r="6838">
      <c r="E6838">
        <f>IF(DATOS!$I6838="","",IFERROR(VLOOKUP(DATOS!$I6838,CONFIG_ASIGNATURAS!$B$2:$J$61,9,FALSE()),""))</f>
      </c>
    </row>
    <row r="6839">
      <c r="E6839">
        <f>IF(DATOS!$I6839="","",IFERROR(VLOOKUP(DATOS!$I6839,CONFIG_ASIGNATURAS!$B$2:$J$61,9,FALSE()),""))</f>
      </c>
    </row>
    <row r="6840">
      <c r="E6840">
        <f>IF(DATOS!$I6840="","",IFERROR(VLOOKUP(DATOS!$I6840,CONFIG_ASIGNATURAS!$B$2:$J$61,9,FALSE()),""))</f>
      </c>
    </row>
    <row r="6841">
      <c r="E6841">
        <f>IF(DATOS!$I6841="","",IFERROR(VLOOKUP(DATOS!$I6841,CONFIG_ASIGNATURAS!$B$2:$J$61,9,FALSE()),""))</f>
      </c>
    </row>
    <row r="6842">
      <c r="E6842">
        <f>IF(DATOS!$I6842="","",IFERROR(VLOOKUP(DATOS!$I6842,CONFIG_ASIGNATURAS!$B$2:$J$61,9,FALSE()),""))</f>
      </c>
    </row>
    <row r="6843">
      <c r="E6843">
        <f>IF(DATOS!$I6843="","",IFERROR(VLOOKUP(DATOS!$I6843,CONFIG_ASIGNATURAS!$B$2:$J$61,9,FALSE()),""))</f>
      </c>
    </row>
    <row r="6844">
      <c r="E6844">
        <f>IF(DATOS!$I6844="","",IFERROR(VLOOKUP(DATOS!$I6844,CONFIG_ASIGNATURAS!$B$2:$J$61,9,FALSE()),""))</f>
      </c>
    </row>
    <row r="6845">
      <c r="E6845">
        <f>IF(DATOS!$I6845="","",IFERROR(VLOOKUP(DATOS!$I6845,CONFIG_ASIGNATURAS!$B$2:$J$61,9,FALSE()),""))</f>
      </c>
    </row>
    <row r="6846">
      <c r="E6846">
        <f>IF(DATOS!$I6846="","",IFERROR(VLOOKUP(DATOS!$I6846,CONFIG_ASIGNATURAS!$B$2:$J$61,9,FALSE()),""))</f>
      </c>
    </row>
    <row r="6847">
      <c r="E6847">
        <f>IF(DATOS!$I6847="","",IFERROR(VLOOKUP(DATOS!$I6847,CONFIG_ASIGNATURAS!$B$2:$J$61,9,FALSE()),""))</f>
      </c>
    </row>
    <row r="6848">
      <c r="E6848">
        <f>IF(DATOS!$I6848="","",IFERROR(VLOOKUP(DATOS!$I6848,CONFIG_ASIGNATURAS!$B$2:$J$61,9,FALSE()),""))</f>
      </c>
    </row>
    <row r="6849">
      <c r="E6849">
        <f>IF(DATOS!$I6849="","",IFERROR(VLOOKUP(DATOS!$I6849,CONFIG_ASIGNATURAS!$B$2:$J$61,9,FALSE()),""))</f>
      </c>
    </row>
    <row r="6850">
      <c r="E6850">
        <f>IF(DATOS!$I6850="","",IFERROR(VLOOKUP(DATOS!$I6850,CONFIG_ASIGNATURAS!$B$2:$J$61,9,FALSE()),""))</f>
      </c>
    </row>
    <row r="6851">
      <c r="E6851">
        <f>IF(DATOS!$I6851="","",IFERROR(VLOOKUP(DATOS!$I6851,CONFIG_ASIGNATURAS!$B$2:$J$61,9,FALSE()),""))</f>
      </c>
    </row>
    <row r="6852">
      <c r="E6852">
        <f>IF(DATOS!$I6852="","",IFERROR(VLOOKUP(DATOS!$I6852,CONFIG_ASIGNATURAS!$B$2:$J$61,9,FALSE()),""))</f>
      </c>
    </row>
    <row r="6853">
      <c r="E6853">
        <f>IF(DATOS!$I6853="","",IFERROR(VLOOKUP(DATOS!$I6853,CONFIG_ASIGNATURAS!$B$2:$J$61,9,FALSE()),""))</f>
      </c>
    </row>
    <row r="6854">
      <c r="E6854">
        <f>IF(DATOS!$I6854="","",IFERROR(VLOOKUP(DATOS!$I6854,CONFIG_ASIGNATURAS!$B$2:$J$61,9,FALSE()),""))</f>
      </c>
    </row>
    <row r="6855">
      <c r="E6855">
        <f>IF(DATOS!$I6855="","",IFERROR(VLOOKUP(DATOS!$I6855,CONFIG_ASIGNATURAS!$B$2:$J$61,9,FALSE()),""))</f>
      </c>
    </row>
    <row r="6856">
      <c r="E6856">
        <f>IF(DATOS!$I6856="","",IFERROR(VLOOKUP(DATOS!$I6856,CONFIG_ASIGNATURAS!$B$2:$J$61,9,FALSE()),""))</f>
      </c>
    </row>
    <row r="6857">
      <c r="E6857">
        <f>IF(DATOS!$I6857="","",IFERROR(VLOOKUP(DATOS!$I6857,CONFIG_ASIGNATURAS!$B$2:$J$61,9,FALSE()),""))</f>
      </c>
    </row>
    <row r="6858">
      <c r="E6858">
        <f>IF(DATOS!$I6858="","",IFERROR(VLOOKUP(DATOS!$I6858,CONFIG_ASIGNATURAS!$B$2:$J$61,9,FALSE()),""))</f>
      </c>
    </row>
    <row r="6859">
      <c r="E6859">
        <f>IF(DATOS!$I6859="","",IFERROR(VLOOKUP(DATOS!$I6859,CONFIG_ASIGNATURAS!$B$2:$J$61,9,FALSE()),""))</f>
      </c>
    </row>
    <row r="6860">
      <c r="E6860">
        <f>IF(DATOS!$I6860="","",IFERROR(VLOOKUP(DATOS!$I6860,CONFIG_ASIGNATURAS!$B$2:$J$61,9,FALSE()),""))</f>
      </c>
    </row>
    <row r="6861">
      <c r="E6861">
        <f>IF(DATOS!$I6861="","",IFERROR(VLOOKUP(DATOS!$I6861,CONFIG_ASIGNATURAS!$B$2:$J$61,9,FALSE()),""))</f>
      </c>
    </row>
    <row r="6862">
      <c r="E6862">
        <f>IF(DATOS!$I6862="","",IFERROR(VLOOKUP(DATOS!$I6862,CONFIG_ASIGNATURAS!$B$2:$J$61,9,FALSE()),""))</f>
      </c>
    </row>
    <row r="6863">
      <c r="E6863">
        <f>IF(DATOS!$I6863="","",IFERROR(VLOOKUP(DATOS!$I6863,CONFIG_ASIGNATURAS!$B$2:$J$61,9,FALSE()),""))</f>
      </c>
    </row>
    <row r="6864">
      <c r="E6864">
        <f>IF(DATOS!$I6864="","",IFERROR(VLOOKUP(DATOS!$I6864,CONFIG_ASIGNATURAS!$B$2:$J$61,9,FALSE()),""))</f>
      </c>
    </row>
    <row r="6865">
      <c r="E6865">
        <f>IF(DATOS!$I6865="","",IFERROR(VLOOKUP(DATOS!$I6865,CONFIG_ASIGNATURAS!$B$2:$J$61,9,FALSE()),""))</f>
      </c>
    </row>
    <row r="6866">
      <c r="E6866">
        <f>IF(DATOS!$I6866="","",IFERROR(VLOOKUP(DATOS!$I6866,CONFIG_ASIGNATURAS!$B$2:$J$61,9,FALSE()),""))</f>
      </c>
    </row>
    <row r="6867">
      <c r="E6867">
        <f>IF(DATOS!$I6867="","",IFERROR(VLOOKUP(DATOS!$I6867,CONFIG_ASIGNATURAS!$B$2:$J$61,9,FALSE()),""))</f>
      </c>
    </row>
    <row r="6868">
      <c r="E6868">
        <f>IF(DATOS!$I6868="","",IFERROR(VLOOKUP(DATOS!$I6868,CONFIG_ASIGNATURAS!$B$2:$J$61,9,FALSE()),""))</f>
      </c>
    </row>
    <row r="6869">
      <c r="E6869">
        <f>IF(DATOS!$I6869="","",IFERROR(VLOOKUP(DATOS!$I6869,CONFIG_ASIGNATURAS!$B$2:$J$61,9,FALSE()),""))</f>
      </c>
    </row>
    <row r="6870">
      <c r="E6870">
        <f>IF(DATOS!$I6870="","",IFERROR(VLOOKUP(DATOS!$I6870,CONFIG_ASIGNATURAS!$B$2:$J$61,9,FALSE()),""))</f>
      </c>
    </row>
    <row r="6871">
      <c r="E6871">
        <f>IF(DATOS!$I6871="","",IFERROR(VLOOKUP(DATOS!$I6871,CONFIG_ASIGNATURAS!$B$2:$J$61,9,FALSE()),""))</f>
      </c>
    </row>
    <row r="6872">
      <c r="E6872">
        <f>IF(DATOS!$I6872="","",IFERROR(VLOOKUP(DATOS!$I6872,CONFIG_ASIGNATURAS!$B$2:$J$61,9,FALSE()),""))</f>
      </c>
    </row>
    <row r="6873">
      <c r="E6873">
        <f>IF(DATOS!$I6873="","",IFERROR(VLOOKUP(DATOS!$I6873,CONFIG_ASIGNATURAS!$B$2:$J$61,9,FALSE()),""))</f>
      </c>
    </row>
    <row r="6874">
      <c r="E6874">
        <f>IF(DATOS!$I6874="","",IFERROR(VLOOKUP(DATOS!$I6874,CONFIG_ASIGNATURAS!$B$2:$J$61,9,FALSE()),""))</f>
      </c>
    </row>
    <row r="6875">
      <c r="E6875">
        <f>IF(DATOS!$I6875="","",IFERROR(VLOOKUP(DATOS!$I6875,CONFIG_ASIGNATURAS!$B$2:$J$61,9,FALSE()),""))</f>
      </c>
    </row>
    <row r="6876">
      <c r="E6876">
        <f>IF(DATOS!$I6876="","",IFERROR(VLOOKUP(DATOS!$I6876,CONFIG_ASIGNATURAS!$B$2:$J$61,9,FALSE()),""))</f>
      </c>
    </row>
    <row r="6877">
      <c r="E6877">
        <f>IF(DATOS!$I6877="","",IFERROR(VLOOKUP(DATOS!$I6877,CONFIG_ASIGNATURAS!$B$2:$J$61,9,FALSE()),""))</f>
      </c>
    </row>
    <row r="6878">
      <c r="E6878">
        <f>IF(DATOS!$I6878="","",IFERROR(VLOOKUP(DATOS!$I6878,CONFIG_ASIGNATURAS!$B$2:$J$61,9,FALSE()),""))</f>
      </c>
    </row>
    <row r="6879">
      <c r="E6879">
        <f>IF(DATOS!$I6879="","",IFERROR(VLOOKUP(DATOS!$I6879,CONFIG_ASIGNATURAS!$B$2:$J$61,9,FALSE()),""))</f>
      </c>
    </row>
    <row r="6880">
      <c r="E6880">
        <f>IF(DATOS!$I6880="","",IFERROR(VLOOKUP(DATOS!$I6880,CONFIG_ASIGNATURAS!$B$2:$J$61,9,FALSE()),""))</f>
      </c>
    </row>
    <row r="6881">
      <c r="E6881">
        <f>IF(DATOS!$I6881="","",IFERROR(VLOOKUP(DATOS!$I6881,CONFIG_ASIGNATURAS!$B$2:$J$61,9,FALSE()),""))</f>
      </c>
    </row>
    <row r="6882">
      <c r="E6882">
        <f>IF(DATOS!$I6882="","",IFERROR(VLOOKUP(DATOS!$I6882,CONFIG_ASIGNATURAS!$B$2:$J$61,9,FALSE()),""))</f>
      </c>
    </row>
    <row r="6883">
      <c r="E6883">
        <f>IF(DATOS!$I6883="","",IFERROR(VLOOKUP(DATOS!$I6883,CONFIG_ASIGNATURAS!$B$2:$J$61,9,FALSE()),""))</f>
      </c>
    </row>
    <row r="6884">
      <c r="E6884">
        <f>IF(DATOS!$I6884="","",IFERROR(VLOOKUP(DATOS!$I6884,CONFIG_ASIGNATURAS!$B$2:$J$61,9,FALSE()),""))</f>
      </c>
    </row>
    <row r="6885">
      <c r="E6885">
        <f>IF(DATOS!$I6885="","",IFERROR(VLOOKUP(DATOS!$I6885,CONFIG_ASIGNATURAS!$B$2:$J$61,9,FALSE()),""))</f>
      </c>
    </row>
    <row r="6886">
      <c r="E6886">
        <f>IF(DATOS!$I6886="","",IFERROR(VLOOKUP(DATOS!$I6886,CONFIG_ASIGNATURAS!$B$2:$J$61,9,FALSE()),""))</f>
      </c>
    </row>
    <row r="6887">
      <c r="E6887">
        <f>IF(DATOS!$I6887="","",IFERROR(VLOOKUP(DATOS!$I6887,CONFIG_ASIGNATURAS!$B$2:$J$61,9,FALSE()),""))</f>
      </c>
    </row>
    <row r="6888">
      <c r="E6888">
        <f>IF(DATOS!$I6888="","",IFERROR(VLOOKUP(DATOS!$I6888,CONFIG_ASIGNATURAS!$B$2:$J$61,9,FALSE()),""))</f>
      </c>
    </row>
    <row r="6889">
      <c r="E6889">
        <f>IF(DATOS!$I6889="","",IFERROR(VLOOKUP(DATOS!$I6889,CONFIG_ASIGNATURAS!$B$2:$J$61,9,FALSE()),""))</f>
      </c>
    </row>
    <row r="6890">
      <c r="E6890">
        <f>IF(DATOS!$I6890="","",IFERROR(VLOOKUP(DATOS!$I6890,CONFIG_ASIGNATURAS!$B$2:$J$61,9,FALSE()),""))</f>
      </c>
    </row>
    <row r="6891">
      <c r="E6891">
        <f>IF(DATOS!$I6891="","",IFERROR(VLOOKUP(DATOS!$I6891,CONFIG_ASIGNATURAS!$B$2:$J$61,9,FALSE()),""))</f>
      </c>
    </row>
    <row r="6892">
      <c r="E6892">
        <f>IF(DATOS!$I6892="","",IFERROR(VLOOKUP(DATOS!$I6892,CONFIG_ASIGNATURAS!$B$2:$J$61,9,FALSE()),""))</f>
      </c>
    </row>
    <row r="6893">
      <c r="E6893">
        <f>IF(DATOS!$I6893="","",IFERROR(VLOOKUP(DATOS!$I6893,CONFIG_ASIGNATURAS!$B$2:$J$61,9,FALSE()),""))</f>
      </c>
    </row>
    <row r="6894">
      <c r="E6894">
        <f>IF(DATOS!$I6894="","",IFERROR(VLOOKUP(DATOS!$I6894,CONFIG_ASIGNATURAS!$B$2:$J$61,9,FALSE()),""))</f>
      </c>
    </row>
    <row r="6895">
      <c r="E6895">
        <f>IF(DATOS!$I6895="","",IFERROR(VLOOKUP(DATOS!$I6895,CONFIG_ASIGNATURAS!$B$2:$J$61,9,FALSE()),""))</f>
      </c>
    </row>
    <row r="6896">
      <c r="E6896">
        <f>IF(DATOS!$I6896="","",IFERROR(VLOOKUP(DATOS!$I6896,CONFIG_ASIGNATURAS!$B$2:$J$61,9,FALSE()),""))</f>
      </c>
    </row>
    <row r="6897">
      <c r="E6897">
        <f>IF(DATOS!$I6897="","",IFERROR(VLOOKUP(DATOS!$I6897,CONFIG_ASIGNATURAS!$B$2:$J$61,9,FALSE()),""))</f>
      </c>
    </row>
    <row r="6898">
      <c r="E6898">
        <f>IF(DATOS!$I6898="","",IFERROR(VLOOKUP(DATOS!$I6898,CONFIG_ASIGNATURAS!$B$2:$J$61,9,FALSE()),""))</f>
      </c>
    </row>
    <row r="6899">
      <c r="E6899">
        <f>IF(DATOS!$I6899="","",IFERROR(VLOOKUP(DATOS!$I6899,CONFIG_ASIGNATURAS!$B$2:$J$61,9,FALSE()),""))</f>
      </c>
    </row>
    <row r="6900">
      <c r="E6900">
        <f>IF(DATOS!$I6900="","",IFERROR(VLOOKUP(DATOS!$I6900,CONFIG_ASIGNATURAS!$B$2:$J$61,9,FALSE()),""))</f>
      </c>
    </row>
    <row r="6901">
      <c r="E6901">
        <f>IF(DATOS!$I6901="","",IFERROR(VLOOKUP(DATOS!$I6901,CONFIG_ASIGNATURAS!$B$2:$J$61,9,FALSE()),""))</f>
      </c>
    </row>
    <row r="6902">
      <c r="E6902">
        <f>IF(DATOS!$I6902="","",IFERROR(VLOOKUP(DATOS!$I6902,CONFIG_ASIGNATURAS!$B$2:$J$61,9,FALSE()),""))</f>
      </c>
    </row>
    <row r="6903">
      <c r="E6903">
        <f>IF(DATOS!$I6903="","",IFERROR(VLOOKUP(DATOS!$I6903,CONFIG_ASIGNATURAS!$B$2:$J$61,9,FALSE()),""))</f>
      </c>
    </row>
    <row r="6904">
      <c r="E6904">
        <f>IF(DATOS!$I6904="","",IFERROR(VLOOKUP(DATOS!$I6904,CONFIG_ASIGNATURAS!$B$2:$J$61,9,FALSE()),""))</f>
      </c>
    </row>
    <row r="6905">
      <c r="E6905">
        <f>IF(DATOS!$I6905="","",IFERROR(VLOOKUP(DATOS!$I6905,CONFIG_ASIGNATURAS!$B$2:$J$61,9,FALSE()),""))</f>
      </c>
    </row>
    <row r="6906">
      <c r="E6906">
        <f>IF(DATOS!$I6906="","",IFERROR(VLOOKUP(DATOS!$I6906,CONFIG_ASIGNATURAS!$B$2:$J$61,9,FALSE()),""))</f>
      </c>
    </row>
    <row r="6907">
      <c r="E6907">
        <f>IF(DATOS!$I6907="","",IFERROR(VLOOKUP(DATOS!$I6907,CONFIG_ASIGNATURAS!$B$2:$J$61,9,FALSE()),""))</f>
      </c>
    </row>
    <row r="6908">
      <c r="E6908">
        <f>IF(DATOS!$I6908="","",IFERROR(VLOOKUP(DATOS!$I6908,CONFIG_ASIGNATURAS!$B$2:$J$61,9,FALSE()),""))</f>
      </c>
    </row>
    <row r="6909">
      <c r="E6909">
        <f>IF(DATOS!$I6909="","",IFERROR(VLOOKUP(DATOS!$I6909,CONFIG_ASIGNATURAS!$B$2:$J$61,9,FALSE()),""))</f>
      </c>
    </row>
    <row r="6910">
      <c r="E6910">
        <f>IF(DATOS!$I6910="","",IFERROR(VLOOKUP(DATOS!$I6910,CONFIG_ASIGNATURAS!$B$2:$J$61,9,FALSE()),""))</f>
      </c>
    </row>
    <row r="6911">
      <c r="E6911">
        <f>IF(DATOS!$I6911="","",IFERROR(VLOOKUP(DATOS!$I6911,CONFIG_ASIGNATURAS!$B$2:$J$61,9,FALSE()),""))</f>
      </c>
    </row>
    <row r="6912">
      <c r="E6912">
        <f>IF(DATOS!$I6912="","",IFERROR(VLOOKUP(DATOS!$I6912,CONFIG_ASIGNATURAS!$B$2:$J$61,9,FALSE()),""))</f>
      </c>
    </row>
    <row r="6913">
      <c r="E6913">
        <f>IF(DATOS!$I6913="","",IFERROR(VLOOKUP(DATOS!$I6913,CONFIG_ASIGNATURAS!$B$2:$J$61,9,FALSE()),""))</f>
      </c>
    </row>
    <row r="6914">
      <c r="E6914">
        <f>IF(DATOS!$I6914="","",IFERROR(VLOOKUP(DATOS!$I6914,CONFIG_ASIGNATURAS!$B$2:$J$61,9,FALSE()),""))</f>
      </c>
    </row>
    <row r="6915">
      <c r="E6915">
        <f>IF(DATOS!$I6915="","",IFERROR(VLOOKUP(DATOS!$I6915,CONFIG_ASIGNATURAS!$B$2:$J$61,9,FALSE()),""))</f>
      </c>
    </row>
    <row r="6916">
      <c r="E6916">
        <f>IF(DATOS!$I6916="","",IFERROR(VLOOKUP(DATOS!$I6916,CONFIG_ASIGNATURAS!$B$2:$J$61,9,FALSE()),""))</f>
      </c>
    </row>
    <row r="6917">
      <c r="E6917">
        <f>IF(DATOS!$I6917="","",IFERROR(VLOOKUP(DATOS!$I6917,CONFIG_ASIGNATURAS!$B$2:$J$61,9,FALSE()),""))</f>
      </c>
    </row>
    <row r="6918">
      <c r="E6918">
        <f>IF(DATOS!$I6918="","",IFERROR(VLOOKUP(DATOS!$I6918,CONFIG_ASIGNATURAS!$B$2:$J$61,9,FALSE()),""))</f>
      </c>
    </row>
    <row r="6919">
      <c r="E6919">
        <f>IF(DATOS!$I6919="","",IFERROR(VLOOKUP(DATOS!$I6919,CONFIG_ASIGNATURAS!$B$2:$J$61,9,FALSE()),""))</f>
      </c>
    </row>
    <row r="6920">
      <c r="E6920">
        <f>IF(DATOS!$I6920="","",IFERROR(VLOOKUP(DATOS!$I6920,CONFIG_ASIGNATURAS!$B$2:$J$61,9,FALSE()),""))</f>
      </c>
    </row>
    <row r="6921">
      <c r="E6921">
        <f>IF(DATOS!$I6921="","",IFERROR(VLOOKUP(DATOS!$I6921,CONFIG_ASIGNATURAS!$B$2:$J$61,9,FALSE()),""))</f>
      </c>
    </row>
    <row r="6922">
      <c r="E6922">
        <f>IF(DATOS!$I6922="","",IFERROR(VLOOKUP(DATOS!$I6922,CONFIG_ASIGNATURAS!$B$2:$J$61,9,FALSE()),""))</f>
      </c>
    </row>
    <row r="6923">
      <c r="E6923">
        <f>IF(DATOS!$I6923="","",IFERROR(VLOOKUP(DATOS!$I6923,CONFIG_ASIGNATURAS!$B$2:$J$61,9,FALSE()),""))</f>
      </c>
    </row>
    <row r="6924">
      <c r="E6924">
        <f>IF(DATOS!$I6924="","",IFERROR(VLOOKUP(DATOS!$I6924,CONFIG_ASIGNATURAS!$B$2:$J$61,9,FALSE()),""))</f>
      </c>
    </row>
    <row r="6925">
      <c r="E6925">
        <f>IF(DATOS!$I6925="","",IFERROR(VLOOKUP(DATOS!$I6925,CONFIG_ASIGNATURAS!$B$2:$J$61,9,FALSE()),""))</f>
      </c>
    </row>
    <row r="6926">
      <c r="E6926">
        <f>IF(DATOS!$I6926="","",IFERROR(VLOOKUP(DATOS!$I6926,CONFIG_ASIGNATURAS!$B$2:$J$61,9,FALSE()),""))</f>
      </c>
    </row>
    <row r="6927">
      <c r="E6927">
        <f>IF(DATOS!$I6927="","",IFERROR(VLOOKUP(DATOS!$I6927,CONFIG_ASIGNATURAS!$B$2:$J$61,9,FALSE()),""))</f>
      </c>
    </row>
    <row r="6928">
      <c r="E6928">
        <f>IF(DATOS!$I6928="","",IFERROR(VLOOKUP(DATOS!$I6928,CONFIG_ASIGNATURAS!$B$2:$J$61,9,FALSE()),""))</f>
      </c>
    </row>
    <row r="6929">
      <c r="E6929">
        <f>IF(DATOS!$I6929="","",IFERROR(VLOOKUP(DATOS!$I6929,CONFIG_ASIGNATURAS!$B$2:$J$61,9,FALSE()),""))</f>
      </c>
    </row>
    <row r="6930">
      <c r="E6930">
        <f>IF(DATOS!$I6930="","",IFERROR(VLOOKUP(DATOS!$I6930,CONFIG_ASIGNATURAS!$B$2:$J$61,9,FALSE()),""))</f>
      </c>
    </row>
    <row r="6931">
      <c r="E6931">
        <f>IF(DATOS!$I6931="","",IFERROR(VLOOKUP(DATOS!$I6931,CONFIG_ASIGNATURAS!$B$2:$J$61,9,FALSE()),""))</f>
      </c>
    </row>
    <row r="6932">
      <c r="E6932">
        <f>IF(DATOS!$I6932="","",IFERROR(VLOOKUP(DATOS!$I6932,CONFIG_ASIGNATURAS!$B$2:$J$61,9,FALSE()),""))</f>
      </c>
    </row>
    <row r="6933">
      <c r="E6933">
        <f>IF(DATOS!$I6933="","",IFERROR(VLOOKUP(DATOS!$I6933,CONFIG_ASIGNATURAS!$B$2:$J$61,9,FALSE()),""))</f>
      </c>
    </row>
    <row r="6934">
      <c r="E6934">
        <f>IF(DATOS!$I6934="","",IFERROR(VLOOKUP(DATOS!$I6934,CONFIG_ASIGNATURAS!$B$2:$J$61,9,FALSE()),""))</f>
      </c>
    </row>
    <row r="6935">
      <c r="E6935">
        <f>IF(DATOS!$I6935="","",IFERROR(VLOOKUP(DATOS!$I6935,CONFIG_ASIGNATURAS!$B$2:$J$61,9,FALSE()),""))</f>
      </c>
    </row>
    <row r="6936">
      <c r="E6936">
        <f>IF(DATOS!$I6936="","",IFERROR(VLOOKUP(DATOS!$I6936,CONFIG_ASIGNATURAS!$B$2:$J$61,9,FALSE()),""))</f>
      </c>
    </row>
    <row r="6937">
      <c r="E6937">
        <f>IF(DATOS!$I6937="","",IFERROR(VLOOKUP(DATOS!$I6937,CONFIG_ASIGNATURAS!$B$2:$J$61,9,FALSE()),""))</f>
      </c>
    </row>
    <row r="6938">
      <c r="E6938">
        <f>IF(DATOS!$I6938="","",IFERROR(VLOOKUP(DATOS!$I6938,CONFIG_ASIGNATURAS!$B$2:$J$61,9,FALSE()),""))</f>
      </c>
    </row>
    <row r="6939">
      <c r="E6939">
        <f>IF(DATOS!$I6939="","",IFERROR(VLOOKUP(DATOS!$I6939,CONFIG_ASIGNATURAS!$B$2:$J$61,9,FALSE()),""))</f>
      </c>
    </row>
    <row r="6940">
      <c r="E6940">
        <f>IF(DATOS!$I6940="","",IFERROR(VLOOKUP(DATOS!$I6940,CONFIG_ASIGNATURAS!$B$2:$J$61,9,FALSE()),""))</f>
      </c>
    </row>
    <row r="6941">
      <c r="E6941">
        <f>IF(DATOS!$I6941="","",IFERROR(VLOOKUP(DATOS!$I6941,CONFIG_ASIGNATURAS!$B$2:$J$61,9,FALSE()),""))</f>
      </c>
    </row>
    <row r="6942">
      <c r="E6942">
        <f>IF(DATOS!$I6942="","",IFERROR(VLOOKUP(DATOS!$I6942,CONFIG_ASIGNATURAS!$B$2:$J$61,9,FALSE()),""))</f>
      </c>
    </row>
    <row r="6943">
      <c r="E6943">
        <f>IF(DATOS!$I6943="","",IFERROR(VLOOKUP(DATOS!$I6943,CONFIG_ASIGNATURAS!$B$2:$J$61,9,FALSE()),""))</f>
      </c>
    </row>
    <row r="6944">
      <c r="E6944">
        <f>IF(DATOS!$I6944="","",IFERROR(VLOOKUP(DATOS!$I6944,CONFIG_ASIGNATURAS!$B$2:$J$61,9,FALSE()),""))</f>
      </c>
    </row>
    <row r="6945">
      <c r="E6945">
        <f>IF(DATOS!$I6945="","",IFERROR(VLOOKUP(DATOS!$I6945,CONFIG_ASIGNATURAS!$B$2:$J$61,9,FALSE()),""))</f>
      </c>
    </row>
    <row r="6946">
      <c r="E6946">
        <f>IF(DATOS!$I6946="","",IFERROR(VLOOKUP(DATOS!$I6946,CONFIG_ASIGNATURAS!$B$2:$J$61,9,FALSE()),""))</f>
      </c>
    </row>
    <row r="6947">
      <c r="E6947">
        <f>IF(DATOS!$I6947="","",IFERROR(VLOOKUP(DATOS!$I6947,CONFIG_ASIGNATURAS!$B$2:$J$61,9,FALSE()),""))</f>
      </c>
    </row>
    <row r="6948">
      <c r="E6948">
        <f>IF(DATOS!$I6948="","",IFERROR(VLOOKUP(DATOS!$I6948,CONFIG_ASIGNATURAS!$B$2:$J$61,9,FALSE()),""))</f>
      </c>
    </row>
    <row r="6949">
      <c r="E6949">
        <f>IF(DATOS!$I6949="","",IFERROR(VLOOKUP(DATOS!$I6949,CONFIG_ASIGNATURAS!$B$2:$J$61,9,FALSE()),""))</f>
      </c>
    </row>
    <row r="6950">
      <c r="E6950">
        <f>IF(DATOS!$I6950="","",IFERROR(VLOOKUP(DATOS!$I6950,CONFIG_ASIGNATURAS!$B$2:$J$61,9,FALSE()),""))</f>
      </c>
    </row>
    <row r="6951">
      <c r="E6951">
        <f>IF(DATOS!$I6951="","",IFERROR(VLOOKUP(DATOS!$I6951,CONFIG_ASIGNATURAS!$B$2:$J$61,9,FALSE()),""))</f>
      </c>
    </row>
    <row r="6952">
      <c r="E6952">
        <f>IF(DATOS!$I6952="","",IFERROR(VLOOKUP(DATOS!$I6952,CONFIG_ASIGNATURAS!$B$2:$J$61,9,FALSE()),""))</f>
      </c>
    </row>
    <row r="6953">
      <c r="E6953">
        <f>IF(DATOS!$I6953="","",IFERROR(VLOOKUP(DATOS!$I6953,CONFIG_ASIGNATURAS!$B$2:$J$61,9,FALSE()),""))</f>
      </c>
    </row>
    <row r="6954">
      <c r="E6954">
        <f>IF(DATOS!$I6954="","",IFERROR(VLOOKUP(DATOS!$I6954,CONFIG_ASIGNATURAS!$B$2:$J$61,9,FALSE()),""))</f>
      </c>
    </row>
    <row r="6955">
      <c r="E6955">
        <f>IF(DATOS!$I6955="","",IFERROR(VLOOKUP(DATOS!$I6955,CONFIG_ASIGNATURAS!$B$2:$J$61,9,FALSE()),""))</f>
      </c>
    </row>
    <row r="6956">
      <c r="E6956">
        <f>IF(DATOS!$I6956="","",IFERROR(VLOOKUP(DATOS!$I6956,CONFIG_ASIGNATURAS!$B$2:$J$61,9,FALSE()),""))</f>
      </c>
    </row>
    <row r="6957">
      <c r="E6957">
        <f>IF(DATOS!$I6957="","",IFERROR(VLOOKUP(DATOS!$I6957,CONFIG_ASIGNATURAS!$B$2:$J$61,9,FALSE()),""))</f>
      </c>
    </row>
    <row r="6958">
      <c r="E6958">
        <f>IF(DATOS!$I6958="","",IFERROR(VLOOKUP(DATOS!$I6958,CONFIG_ASIGNATURAS!$B$2:$J$61,9,FALSE()),""))</f>
      </c>
    </row>
    <row r="6959">
      <c r="E6959">
        <f>IF(DATOS!$I6959="","",IFERROR(VLOOKUP(DATOS!$I6959,CONFIG_ASIGNATURAS!$B$2:$J$61,9,FALSE()),""))</f>
      </c>
    </row>
    <row r="6960">
      <c r="E6960">
        <f>IF(DATOS!$I6960="","",IFERROR(VLOOKUP(DATOS!$I6960,CONFIG_ASIGNATURAS!$B$2:$J$61,9,FALSE()),""))</f>
      </c>
    </row>
    <row r="6961">
      <c r="E6961">
        <f>IF(DATOS!$I6961="","",IFERROR(VLOOKUP(DATOS!$I6961,CONFIG_ASIGNATURAS!$B$2:$J$61,9,FALSE()),""))</f>
      </c>
    </row>
    <row r="6962">
      <c r="E6962">
        <f>IF(DATOS!$I6962="","",IFERROR(VLOOKUP(DATOS!$I6962,CONFIG_ASIGNATURAS!$B$2:$J$61,9,FALSE()),""))</f>
      </c>
    </row>
    <row r="6963">
      <c r="E6963">
        <f>IF(DATOS!$I6963="","",IFERROR(VLOOKUP(DATOS!$I6963,CONFIG_ASIGNATURAS!$B$2:$J$61,9,FALSE()),""))</f>
      </c>
    </row>
    <row r="6964">
      <c r="E6964">
        <f>IF(DATOS!$I6964="","",IFERROR(VLOOKUP(DATOS!$I6964,CONFIG_ASIGNATURAS!$B$2:$J$61,9,FALSE()),""))</f>
      </c>
    </row>
    <row r="6965">
      <c r="E6965">
        <f>IF(DATOS!$I6965="","",IFERROR(VLOOKUP(DATOS!$I6965,CONFIG_ASIGNATURAS!$B$2:$J$61,9,FALSE()),""))</f>
      </c>
    </row>
    <row r="6966">
      <c r="E6966">
        <f>IF(DATOS!$I6966="","",IFERROR(VLOOKUP(DATOS!$I6966,CONFIG_ASIGNATURAS!$B$2:$J$61,9,FALSE()),""))</f>
      </c>
    </row>
    <row r="6967">
      <c r="E6967">
        <f>IF(DATOS!$I6967="","",IFERROR(VLOOKUP(DATOS!$I6967,CONFIG_ASIGNATURAS!$B$2:$J$61,9,FALSE()),""))</f>
      </c>
    </row>
    <row r="6968">
      <c r="E6968">
        <f>IF(DATOS!$I6968="","",IFERROR(VLOOKUP(DATOS!$I6968,CONFIG_ASIGNATURAS!$B$2:$J$61,9,FALSE()),""))</f>
      </c>
    </row>
    <row r="6969">
      <c r="E6969">
        <f>IF(DATOS!$I6969="","",IFERROR(VLOOKUP(DATOS!$I6969,CONFIG_ASIGNATURAS!$B$2:$J$61,9,FALSE()),""))</f>
      </c>
    </row>
    <row r="6970">
      <c r="E6970">
        <f>IF(DATOS!$I6970="","",IFERROR(VLOOKUP(DATOS!$I6970,CONFIG_ASIGNATURAS!$B$2:$J$61,9,FALSE()),""))</f>
      </c>
    </row>
    <row r="6971">
      <c r="E6971">
        <f>IF(DATOS!$I6971="","",IFERROR(VLOOKUP(DATOS!$I6971,CONFIG_ASIGNATURAS!$B$2:$J$61,9,FALSE()),""))</f>
      </c>
    </row>
    <row r="6972">
      <c r="E6972">
        <f>IF(DATOS!$I6972="","",IFERROR(VLOOKUP(DATOS!$I6972,CONFIG_ASIGNATURAS!$B$2:$J$61,9,FALSE()),""))</f>
      </c>
    </row>
    <row r="6973">
      <c r="E6973">
        <f>IF(DATOS!$I6973="","",IFERROR(VLOOKUP(DATOS!$I6973,CONFIG_ASIGNATURAS!$B$2:$J$61,9,FALSE()),""))</f>
      </c>
    </row>
    <row r="6974">
      <c r="E6974">
        <f>IF(DATOS!$I6974="","",IFERROR(VLOOKUP(DATOS!$I6974,CONFIG_ASIGNATURAS!$B$2:$J$61,9,FALSE()),""))</f>
      </c>
    </row>
    <row r="6975">
      <c r="E6975">
        <f>IF(DATOS!$I6975="","",IFERROR(VLOOKUP(DATOS!$I6975,CONFIG_ASIGNATURAS!$B$2:$J$61,9,FALSE()),""))</f>
      </c>
    </row>
    <row r="6976">
      <c r="E6976">
        <f>IF(DATOS!$I6976="","",IFERROR(VLOOKUP(DATOS!$I6976,CONFIG_ASIGNATURAS!$B$2:$J$61,9,FALSE()),""))</f>
      </c>
    </row>
    <row r="6977">
      <c r="E6977">
        <f>IF(DATOS!$I6977="","",IFERROR(VLOOKUP(DATOS!$I6977,CONFIG_ASIGNATURAS!$B$2:$J$61,9,FALSE()),""))</f>
      </c>
    </row>
    <row r="6978">
      <c r="E6978">
        <f>IF(DATOS!$I6978="","",IFERROR(VLOOKUP(DATOS!$I6978,CONFIG_ASIGNATURAS!$B$2:$J$61,9,FALSE()),""))</f>
      </c>
    </row>
    <row r="6979">
      <c r="E6979">
        <f>IF(DATOS!$I6979="","",IFERROR(VLOOKUP(DATOS!$I6979,CONFIG_ASIGNATURAS!$B$2:$J$61,9,FALSE()),""))</f>
      </c>
    </row>
    <row r="6980">
      <c r="E6980">
        <f>IF(DATOS!$I6980="","",IFERROR(VLOOKUP(DATOS!$I6980,CONFIG_ASIGNATURAS!$B$2:$J$61,9,FALSE()),""))</f>
      </c>
    </row>
    <row r="6981">
      <c r="E6981">
        <f>IF(DATOS!$I6981="","",IFERROR(VLOOKUP(DATOS!$I6981,CONFIG_ASIGNATURAS!$B$2:$J$61,9,FALSE()),""))</f>
      </c>
    </row>
    <row r="6982">
      <c r="E6982">
        <f>IF(DATOS!$I6982="","",IFERROR(VLOOKUP(DATOS!$I6982,CONFIG_ASIGNATURAS!$B$2:$J$61,9,FALSE()),""))</f>
      </c>
    </row>
    <row r="6983">
      <c r="E6983">
        <f>IF(DATOS!$I6983="","",IFERROR(VLOOKUP(DATOS!$I6983,CONFIG_ASIGNATURAS!$B$2:$J$61,9,FALSE()),""))</f>
      </c>
    </row>
    <row r="6984">
      <c r="E6984">
        <f>IF(DATOS!$I6984="","",IFERROR(VLOOKUP(DATOS!$I6984,CONFIG_ASIGNATURAS!$B$2:$J$61,9,FALSE()),""))</f>
      </c>
    </row>
    <row r="6985">
      <c r="E6985">
        <f>IF(DATOS!$I6985="","",IFERROR(VLOOKUP(DATOS!$I6985,CONFIG_ASIGNATURAS!$B$2:$J$61,9,FALSE()),""))</f>
      </c>
    </row>
    <row r="6986">
      <c r="E6986">
        <f>IF(DATOS!$I6986="","",IFERROR(VLOOKUP(DATOS!$I6986,CONFIG_ASIGNATURAS!$B$2:$J$61,9,FALSE()),""))</f>
      </c>
    </row>
    <row r="6987">
      <c r="E6987">
        <f>IF(DATOS!$I6987="","",IFERROR(VLOOKUP(DATOS!$I6987,CONFIG_ASIGNATURAS!$B$2:$J$61,9,FALSE()),""))</f>
      </c>
    </row>
    <row r="6988">
      <c r="E6988">
        <f>IF(DATOS!$I6988="","",IFERROR(VLOOKUP(DATOS!$I6988,CONFIG_ASIGNATURAS!$B$2:$J$61,9,FALSE()),""))</f>
      </c>
    </row>
    <row r="6989">
      <c r="E6989">
        <f>IF(DATOS!$I6989="","",IFERROR(VLOOKUP(DATOS!$I6989,CONFIG_ASIGNATURAS!$B$2:$J$61,9,FALSE()),""))</f>
      </c>
    </row>
    <row r="6990">
      <c r="E6990">
        <f>IF(DATOS!$I6990="","",IFERROR(VLOOKUP(DATOS!$I6990,CONFIG_ASIGNATURAS!$B$2:$J$61,9,FALSE()),""))</f>
      </c>
    </row>
    <row r="6991">
      <c r="E6991">
        <f>IF(DATOS!$I6991="","",IFERROR(VLOOKUP(DATOS!$I6991,CONFIG_ASIGNATURAS!$B$2:$J$61,9,FALSE()),""))</f>
      </c>
    </row>
    <row r="6992">
      <c r="E6992">
        <f>IF(DATOS!$I6992="","",IFERROR(VLOOKUP(DATOS!$I6992,CONFIG_ASIGNATURAS!$B$2:$J$61,9,FALSE()),""))</f>
      </c>
    </row>
    <row r="6993">
      <c r="E6993">
        <f>IF(DATOS!$I6993="","",IFERROR(VLOOKUP(DATOS!$I6993,CONFIG_ASIGNATURAS!$B$2:$J$61,9,FALSE()),""))</f>
      </c>
    </row>
    <row r="6994">
      <c r="E6994">
        <f>IF(DATOS!$I6994="","",IFERROR(VLOOKUP(DATOS!$I6994,CONFIG_ASIGNATURAS!$B$2:$J$61,9,FALSE()),""))</f>
      </c>
    </row>
    <row r="6995">
      <c r="E6995">
        <f>IF(DATOS!$I6995="","",IFERROR(VLOOKUP(DATOS!$I6995,CONFIG_ASIGNATURAS!$B$2:$J$61,9,FALSE()),""))</f>
      </c>
    </row>
    <row r="6996">
      <c r="E6996">
        <f>IF(DATOS!$I6996="","",IFERROR(VLOOKUP(DATOS!$I6996,CONFIG_ASIGNATURAS!$B$2:$J$61,9,FALSE()),""))</f>
      </c>
    </row>
    <row r="6997">
      <c r="E6997">
        <f>IF(DATOS!$I6997="","",IFERROR(VLOOKUP(DATOS!$I6997,CONFIG_ASIGNATURAS!$B$2:$J$61,9,FALSE()),""))</f>
      </c>
    </row>
    <row r="6998">
      <c r="E6998">
        <f>IF(DATOS!$I6998="","",IFERROR(VLOOKUP(DATOS!$I6998,CONFIG_ASIGNATURAS!$B$2:$J$61,9,FALSE()),""))</f>
      </c>
    </row>
    <row r="6999">
      <c r="E6999">
        <f>IF(DATOS!$I6999="","",IFERROR(VLOOKUP(DATOS!$I6999,CONFIG_ASIGNATURAS!$B$2:$J$61,9,FALSE()),""))</f>
      </c>
    </row>
    <row r="7000">
      <c r="E7000">
        <f>IF(DATOS!$I7000="","",IFERROR(VLOOKUP(DATOS!$I7000,CONFIG_ASIGNATURAS!$B$2:$J$61,9,FALSE()),""))</f>
      </c>
    </row>
    <row r="7001">
      <c r="E7001">
        <f>IF(DATOS!$I7001="","",IFERROR(VLOOKUP(DATOS!$I7001,CONFIG_ASIGNATURAS!$B$2:$J$61,9,FALSE()),""))</f>
      </c>
    </row>
    <row r="7002">
      <c r="E7002">
        <f>IF(DATOS!$I7002="","",IFERROR(VLOOKUP(DATOS!$I7002,CONFIG_ASIGNATURAS!$B$2:$J$61,9,FALSE()),""))</f>
      </c>
    </row>
    <row r="7003">
      <c r="E7003">
        <f>IF(DATOS!$I7003="","",IFERROR(VLOOKUP(DATOS!$I7003,CONFIG_ASIGNATURAS!$B$2:$J$61,9,FALSE()),""))</f>
      </c>
    </row>
    <row r="7004">
      <c r="E7004">
        <f>IF(DATOS!$I7004="","",IFERROR(VLOOKUP(DATOS!$I7004,CONFIG_ASIGNATURAS!$B$2:$J$61,9,FALSE()),""))</f>
      </c>
    </row>
    <row r="7005">
      <c r="E7005">
        <f>IF(DATOS!$I7005="","",IFERROR(VLOOKUP(DATOS!$I7005,CONFIG_ASIGNATURAS!$B$2:$J$61,9,FALSE()),""))</f>
      </c>
    </row>
    <row r="7006">
      <c r="E7006">
        <f>IF(DATOS!$I7006="","",IFERROR(VLOOKUP(DATOS!$I7006,CONFIG_ASIGNATURAS!$B$2:$J$61,9,FALSE()),""))</f>
      </c>
    </row>
    <row r="7007">
      <c r="E7007">
        <f>IF(DATOS!$I7007="","",IFERROR(VLOOKUP(DATOS!$I7007,CONFIG_ASIGNATURAS!$B$2:$J$61,9,FALSE()),""))</f>
      </c>
    </row>
    <row r="7008">
      <c r="E7008">
        <f>IF(DATOS!$I7008="","",IFERROR(VLOOKUP(DATOS!$I7008,CONFIG_ASIGNATURAS!$B$2:$J$61,9,FALSE()),""))</f>
      </c>
    </row>
    <row r="7009">
      <c r="E7009">
        <f>IF(DATOS!$I7009="","",IFERROR(VLOOKUP(DATOS!$I7009,CONFIG_ASIGNATURAS!$B$2:$J$61,9,FALSE()),""))</f>
      </c>
    </row>
    <row r="7010">
      <c r="E7010">
        <f>IF(DATOS!$I7010="","",IFERROR(VLOOKUP(DATOS!$I7010,CONFIG_ASIGNATURAS!$B$2:$J$61,9,FALSE()),""))</f>
      </c>
    </row>
    <row r="7011">
      <c r="E7011">
        <f>IF(DATOS!$I7011="","",IFERROR(VLOOKUP(DATOS!$I7011,CONFIG_ASIGNATURAS!$B$2:$J$61,9,FALSE()),""))</f>
      </c>
    </row>
    <row r="7012">
      <c r="E7012">
        <f>IF(DATOS!$I7012="","",IFERROR(VLOOKUP(DATOS!$I7012,CONFIG_ASIGNATURAS!$B$2:$J$61,9,FALSE()),""))</f>
      </c>
    </row>
    <row r="7013">
      <c r="E7013">
        <f>IF(DATOS!$I7013="","",IFERROR(VLOOKUP(DATOS!$I7013,CONFIG_ASIGNATURAS!$B$2:$J$61,9,FALSE()),""))</f>
      </c>
    </row>
    <row r="7014">
      <c r="E7014">
        <f>IF(DATOS!$I7014="","",IFERROR(VLOOKUP(DATOS!$I7014,CONFIG_ASIGNATURAS!$B$2:$J$61,9,FALSE()),""))</f>
      </c>
    </row>
    <row r="7015">
      <c r="E7015">
        <f>IF(DATOS!$I7015="","",IFERROR(VLOOKUP(DATOS!$I7015,CONFIG_ASIGNATURAS!$B$2:$J$61,9,FALSE()),""))</f>
      </c>
    </row>
    <row r="7016">
      <c r="E7016">
        <f>IF(DATOS!$I7016="","",IFERROR(VLOOKUP(DATOS!$I7016,CONFIG_ASIGNATURAS!$B$2:$J$61,9,FALSE()),""))</f>
      </c>
    </row>
    <row r="7017">
      <c r="E7017">
        <f>IF(DATOS!$I7017="","",IFERROR(VLOOKUP(DATOS!$I7017,CONFIG_ASIGNATURAS!$B$2:$J$61,9,FALSE()),""))</f>
      </c>
    </row>
    <row r="7018">
      <c r="E7018">
        <f>IF(DATOS!$I7018="","",IFERROR(VLOOKUP(DATOS!$I7018,CONFIG_ASIGNATURAS!$B$2:$J$61,9,FALSE()),""))</f>
      </c>
    </row>
    <row r="7019">
      <c r="E7019">
        <f>IF(DATOS!$I7019="","",IFERROR(VLOOKUP(DATOS!$I7019,CONFIG_ASIGNATURAS!$B$2:$J$61,9,FALSE()),""))</f>
      </c>
    </row>
    <row r="7020">
      <c r="E7020">
        <f>IF(DATOS!$I7020="","",IFERROR(VLOOKUP(DATOS!$I7020,CONFIG_ASIGNATURAS!$B$2:$J$61,9,FALSE()),""))</f>
      </c>
    </row>
    <row r="7021">
      <c r="E7021">
        <f>IF(DATOS!$I7021="","",IFERROR(VLOOKUP(DATOS!$I7021,CONFIG_ASIGNATURAS!$B$2:$J$61,9,FALSE()),""))</f>
      </c>
    </row>
    <row r="7022">
      <c r="E7022">
        <f>IF(DATOS!$I7022="","",IFERROR(VLOOKUP(DATOS!$I7022,CONFIG_ASIGNATURAS!$B$2:$J$61,9,FALSE()),""))</f>
      </c>
    </row>
    <row r="7023">
      <c r="E7023">
        <f>IF(DATOS!$I7023="","",IFERROR(VLOOKUP(DATOS!$I7023,CONFIG_ASIGNATURAS!$B$2:$J$61,9,FALSE()),""))</f>
      </c>
    </row>
    <row r="7024">
      <c r="E7024">
        <f>IF(DATOS!$I7024="","",IFERROR(VLOOKUP(DATOS!$I7024,CONFIG_ASIGNATURAS!$B$2:$J$61,9,FALSE()),""))</f>
      </c>
    </row>
    <row r="7025">
      <c r="E7025">
        <f>IF(DATOS!$I7025="","",IFERROR(VLOOKUP(DATOS!$I7025,CONFIG_ASIGNATURAS!$B$2:$J$61,9,FALSE()),""))</f>
      </c>
    </row>
    <row r="7026">
      <c r="E7026">
        <f>IF(DATOS!$I7026="","",IFERROR(VLOOKUP(DATOS!$I7026,CONFIG_ASIGNATURAS!$B$2:$J$61,9,FALSE()),""))</f>
      </c>
    </row>
    <row r="7027">
      <c r="E7027">
        <f>IF(DATOS!$I7027="","",IFERROR(VLOOKUP(DATOS!$I7027,CONFIG_ASIGNATURAS!$B$2:$J$61,9,FALSE()),""))</f>
      </c>
    </row>
    <row r="7028">
      <c r="E7028">
        <f>IF(DATOS!$I7028="","",IFERROR(VLOOKUP(DATOS!$I7028,CONFIG_ASIGNATURAS!$B$2:$J$61,9,FALSE()),""))</f>
      </c>
    </row>
    <row r="7029">
      <c r="E7029">
        <f>IF(DATOS!$I7029="","",IFERROR(VLOOKUP(DATOS!$I7029,CONFIG_ASIGNATURAS!$B$2:$J$61,9,FALSE()),""))</f>
      </c>
    </row>
    <row r="7030">
      <c r="E7030">
        <f>IF(DATOS!$I7030="","",IFERROR(VLOOKUP(DATOS!$I7030,CONFIG_ASIGNATURAS!$B$2:$J$61,9,FALSE()),""))</f>
      </c>
    </row>
    <row r="7031">
      <c r="E7031">
        <f>IF(DATOS!$I7031="","",IFERROR(VLOOKUP(DATOS!$I7031,CONFIG_ASIGNATURAS!$B$2:$J$61,9,FALSE()),""))</f>
      </c>
    </row>
    <row r="7032">
      <c r="E7032">
        <f>IF(DATOS!$I7032="","",IFERROR(VLOOKUP(DATOS!$I7032,CONFIG_ASIGNATURAS!$B$2:$J$61,9,FALSE()),""))</f>
      </c>
    </row>
    <row r="7033">
      <c r="E7033">
        <f>IF(DATOS!$I7033="","",IFERROR(VLOOKUP(DATOS!$I7033,CONFIG_ASIGNATURAS!$B$2:$J$61,9,FALSE()),""))</f>
      </c>
    </row>
    <row r="7034">
      <c r="E7034">
        <f>IF(DATOS!$I7034="","",IFERROR(VLOOKUP(DATOS!$I7034,CONFIG_ASIGNATURAS!$B$2:$J$61,9,FALSE()),""))</f>
      </c>
    </row>
    <row r="7035">
      <c r="E7035">
        <f>IF(DATOS!$I7035="","",IFERROR(VLOOKUP(DATOS!$I7035,CONFIG_ASIGNATURAS!$B$2:$J$61,9,FALSE()),""))</f>
      </c>
    </row>
    <row r="7036">
      <c r="E7036">
        <f>IF(DATOS!$I7036="","",IFERROR(VLOOKUP(DATOS!$I7036,CONFIG_ASIGNATURAS!$B$2:$J$61,9,FALSE()),""))</f>
      </c>
    </row>
    <row r="7037">
      <c r="E7037">
        <f>IF(DATOS!$I7037="","",IFERROR(VLOOKUP(DATOS!$I7037,CONFIG_ASIGNATURAS!$B$2:$J$61,9,FALSE()),""))</f>
      </c>
    </row>
    <row r="7038">
      <c r="E7038">
        <f>IF(DATOS!$I7038="","",IFERROR(VLOOKUP(DATOS!$I7038,CONFIG_ASIGNATURAS!$B$2:$J$61,9,FALSE()),""))</f>
      </c>
    </row>
    <row r="7039">
      <c r="E7039">
        <f>IF(DATOS!$I7039="","",IFERROR(VLOOKUP(DATOS!$I7039,CONFIG_ASIGNATURAS!$B$2:$J$61,9,FALSE()),""))</f>
      </c>
    </row>
    <row r="7040">
      <c r="E7040">
        <f>IF(DATOS!$I7040="","",IFERROR(VLOOKUP(DATOS!$I7040,CONFIG_ASIGNATURAS!$B$2:$J$61,9,FALSE()),""))</f>
      </c>
    </row>
    <row r="7041">
      <c r="E7041">
        <f>IF(DATOS!$I7041="","",IFERROR(VLOOKUP(DATOS!$I7041,CONFIG_ASIGNATURAS!$B$2:$J$61,9,FALSE()),""))</f>
      </c>
    </row>
    <row r="7042">
      <c r="E7042">
        <f>IF(DATOS!$I7042="","",IFERROR(VLOOKUP(DATOS!$I7042,CONFIG_ASIGNATURAS!$B$2:$J$61,9,FALSE()),""))</f>
      </c>
    </row>
    <row r="7043">
      <c r="E7043">
        <f>IF(DATOS!$I7043="","",IFERROR(VLOOKUP(DATOS!$I7043,CONFIG_ASIGNATURAS!$B$2:$J$61,9,FALSE()),""))</f>
      </c>
    </row>
    <row r="7044">
      <c r="E7044">
        <f>IF(DATOS!$I7044="","",IFERROR(VLOOKUP(DATOS!$I7044,CONFIG_ASIGNATURAS!$B$2:$J$61,9,FALSE()),""))</f>
      </c>
    </row>
    <row r="7045">
      <c r="E7045">
        <f>IF(DATOS!$I7045="","",IFERROR(VLOOKUP(DATOS!$I7045,CONFIG_ASIGNATURAS!$B$2:$J$61,9,FALSE()),""))</f>
      </c>
    </row>
    <row r="7046">
      <c r="E7046">
        <f>IF(DATOS!$I7046="","",IFERROR(VLOOKUP(DATOS!$I7046,CONFIG_ASIGNATURAS!$B$2:$J$61,9,FALSE()),""))</f>
      </c>
    </row>
    <row r="7047">
      <c r="E7047">
        <f>IF(DATOS!$I7047="","",IFERROR(VLOOKUP(DATOS!$I7047,CONFIG_ASIGNATURAS!$B$2:$J$61,9,FALSE()),""))</f>
      </c>
    </row>
    <row r="7048">
      <c r="E7048">
        <f>IF(DATOS!$I7048="","",IFERROR(VLOOKUP(DATOS!$I7048,CONFIG_ASIGNATURAS!$B$2:$J$61,9,FALSE()),""))</f>
      </c>
    </row>
    <row r="7049">
      <c r="E7049">
        <f>IF(DATOS!$I7049="","",IFERROR(VLOOKUP(DATOS!$I7049,CONFIG_ASIGNATURAS!$B$2:$J$61,9,FALSE()),""))</f>
      </c>
    </row>
    <row r="7050">
      <c r="E7050">
        <f>IF(DATOS!$I7050="","",IFERROR(VLOOKUP(DATOS!$I7050,CONFIG_ASIGNATURAS!$B$2:$J$61,9,FALSE()),""))</f>
      </c>
    </row>
    <row r="7051">
      <c r="E7051">
        <f>IF(DATOS!$I7051="","",IFERROR(VLOOKUP(DATOS!$I7051,CONFIG_ASIGNATURAS!$B$2:$J$61,9,FALSE()),""))</f>
      </c>
    </row>
    <row r="7052">
      <c r="E7052">
        <f>IF(DATOS!$I7052="","",IFERROR(VLOOKUP(DATOS!$I7052,CONFIG_ASIGNATURAS!$B$2:$J$61,9,FALSE()),""))</f>
      </c>
    </row>
    <row r="7053">
      <c r="E7053">
        <f>IF(DATOS!$I7053="","",IFERROR(VLOOKUP(DATOS!$I7053,CONFIG_ASIGNATURAS!$B$2:$J$61,9,FALSE()),""))</f>
      </c>
    </row>
    <row r="7054">
      <c r="E7054">
        <f>IF(DATOS!$I7054="","",IFERROR(VLOOKUP(DATOS!$I7054,CONFIG_ASIGNATURAS!$B$2:$J$61,9,FALSE()),""))</f>
      </c>
    </row>
    <row r="7055">
      <c r="E7055">
        <f>IF(DATOS!$I7055="","",IFERROR(VLOOKUP(DATOS!$I7055,CONFIG_ASIGNATURAS!$B$2:$J$61,9,FALSE()),""))</f>
      </c>
    </row>
    <row r="7056">
      <c r="E7056">
        <f>IF(DATOS!$I7056="","",IFERROR(VLOOKUP(DATOS!$I7056,CONFIG_ASIGNATURAS!$B$2:$J$61,9,FALSE()),""))</f>
      </c>
    </row>
    <row r="7057">
      <c r="E7057">
        <f>IF(DATOS!$I7057="","",IFERROR(VLOOKUP(DATOS!$I7057,CONFIG_ASIGNATURAS!$B$2:$J$61,9,FALSE()),""))</f>
      </c>
    </row>
    <row r="7058">
      <c r="E7058">
        <f>IF(DATOS!$I7058="","",IFERROR(VLOOKUP(DATOS!$I7058,CONFIG_ASIGNATURAS!$B$2:$J$61,9,FALSE()),""))</f>
      </c>
    </row>
    <row r="7059">
      <c r="E7059">
        <f>IF(DATOS!$I7059="","",IFERROR(VLOOKUP(DATOS!$I7059,CONFIG_ASIGNATURAS!$B$2:$J$61,9,FALSE()),""))</f>
      </c>
    </row>
    <row r="7060">
      <c r="E7060">
        <f>IF(DATOS!$I7060="","",IFERROR(VLOOKUP(DATOS!$I7060,CONFIG_ASIGNATURAS!$B$2:$J$61,9,FALSE()),""))</f>
      </c>
    </row>
    <row r="7061">
      <c r="E7061">
        <f>IF(DATOS!$I7061="","",IFERROR(VLOOKUP(DATOS!$I7061,CONFIG_ASIGNATURAS!$B$2:$J$61,9,FALSE()),""))</f>
      </c>
    </row>
    <row r="7062">
      <c r="E7062">
        <f>IF(DATOS!$I7062="","",IFERROR(VLOOKUP(DATOS!$I7062,CONFIG_ASIGNATURAS!$B$2:$J$61,9,FALSE()),""))</f>
      </c>
    </row>
    <row r="7063">
      <c r="E7063">
        <f>IF(DATOS!$I7063="","",IFERROR(VLOOKUP(DATOS!$I7063,CONFIG_ASIGNATURAS!$B$2:$J$61,9,FALSE()),""))</f>
      </c>
    </row>
    <row r="7064">
      <c r="E7064">
        <f>IF(DATOS!$I7064="","",IFERROR(VLOOKUP(DATOS!$I7064,CONFIG_ASIGNATURAS!$B$2:$J$61,9,FALSE()),""))</f>
      </c>
    </row>
    <row r="7065">
      <c r="E7065">
        <f>IF(DATOS!$I7065="","",IFERROR(VLOOKUP(DATOS!$I7065,CONFIG_ASIGNATURAS!$B$2:$J$61,9,FALSE()),""))</f>
      </c>
    </row>
    <row r="7066">
      <c r="E7066">
        <f>IF(DATOS!$I7066="","",IFERROR(VLOOKUP(DATOS!$I7066,CONFIG_ASIGNATURAS!$B$2:$J$61,9,FALSE()),""))</f>
      </c>
    </row>
    <row r="7067">
      <c r="E7067">
        <f>IF(DATOS!$I7067="","",IFERROR(VLOOKUP(DATOS!$I7067,CONFIG_ASIGNATURAS!$B$2:$J$61,9,FALSE()),""))</f>
      </c>
    </row>
    <row r="7068">
      <c r="E7068">
        <f>IF(DATOS!$I7068="","",IFERROR(VLOOKUP(DATOS!$I7068,CONFIG_ASIGNATURAS!$B$2:$J$61,9,FALSE()),""))</f>
      </c>
    </row>
    <row r="7069">
      <c r="E7069">
        <f>IF(DATOS!$I7069="","",IFERROR(VLOOKUP(DATOS!$I7069,CONFIG_ASIGNATURAS!$B$2:$J$61,9,FALSE()),""))</f>
      </c>
    </row>
    <row r="7070">
      <c r="E7070">
        <f>IF(DATOS!$I7070="","",IFERROR(VLOOKUP(DATOS!$I7070,CONFIG_ASIGNATURAS!$B$2:$J$61,9,FALSE()),""))</f>
      </c>
    </row>
    <row r="7071">
      <c r="E7071">
        <f>IF(DATOS!$I7071="","",IFERROR(VLOOKUP(DATOS!$I7071,CONFIG_ASIGNATURAS!$B$2:$J$61,9,FALSE()),""))</f>
      </c>
    </row>
    <row r="7072">
      <c r="E7072">
        <f>IF(DATOS!$I7072="","",IFERROR(VLOOKUP(DATOS!$I7072,CONFIG_ASIGNATURAS!$B$2:$J$61,9,FALSE()),""))</f>
      </c>
    </row>
    <row r="7073">
      <c r="E7073">
        <f>IF(DATOS!$I7073="","",IFERROR(VLOOKUP(DATOS!$I7073,CONFIG_ASIGNATURAS!$B$2:$J$61,9,FALSE()),""))</f>
      </c>
    </row>
    <row r="7074">
      <c r="E7074">
        <f>IF(DATOS!$I7074="","",IFERROR(VLOOKUP(DATOS!$I7074,CONFIG_ASIGNATURAS!$B$2:$J$61,9,FALSE()),""))</f>
      </c>
    </row>
    <row r="7075">
      <c r="E7075">
        <f>IF(DATOS!$I7075="","",IFERROR(VLOOKUP(DATOS!$I7075,CONFIG_ASIGNATURAS!$B$2:$J$61,9,FALSE()),""))</f>
      </c>
    </row>
    <row r="7076">
      <c r="E7076">
        <f>IF(DATOS!$I7076="","",IFERROR(VLOOKUP(DATOS!$I7076,CONFIG_ASIGNATURAS!$B$2:$J$61,9,FALSE()),""))</f>
      </c>
    </row>
    <row r="7077">
      <c r="E7077">
        <f>IF(DATOS!$I7077="","",IFERROR(VLOOKUP(DATOS!$I7077,CONFIG_ASIGNATURAS!$B$2:$J$61,9,FALSE()),""))</f>
      </c>
    </row>
    <row r="7078">
      <c r="E7078">
        <f>IF(DATOS!$I7078="","",IFERROR(VLOOKUP(DATOS!$I7078,CONFIG_ASIGNATURAS!$B$2:$J$61,9,FALSE()),""))</f>
      </c>
    </row>
    <row r="7079">
      <c r="E7079">
        <f>IF(DATOS!$I7079="","",IFERROR(VLOOKUP(DATOS!$I7079,CONFIG_ASIGNATURAS!$B$2:$J$61,9,FALSE()),""))</f>
      </c>
    </row>
    <row r="7080">
      <c r="E7080">
        <f>IF(DATOS!$I7080="","",IFERROR(VLOOKUP(DATOS!$I7080,CONFIG_ASIGNATURAS!$B$2:$J$61,9,FALSE()),""))</f>
      </c>
    </row>
    <row r="7081">
      <c r="E7081">
        <f>IF(DATOS!$I7081="","",IFERROR(VLOOKUP(DATOS!$I7081,CONFIG_ASIGNATURAS!$B$2:$J$61,9,FALSE()),""))</f>
      </c>
    </row>
    <row r="7082">
      <c r="E7082">
        <f>IF(DATOS!$I7082="","",IFERROR(VLOOKUP(DATOS!$I7082,CONFIG_ASIGNATURAS!$B$2:$J$61,9,FALSE()),""))</f>
      </c>
    </row>
    <row r="7083">
      <c r="E7083">
        <f>IF(DATOS!$I7083="","",IFERROR(VLOOKUP(DATOS!$I7083,CONFIG_ASIGNATURAS!$B$2:$J$61,9,FALSE()),""))</f>
      </c>
    </row>
    <row r="7084">
      <c r="E7084">
        <f>IF(DATOS!$I7084="","",IFERROR(VLOOKUP(DATOS!$I7084,CONFIG_ASIGNATURAS!$B$2:$J$61,9,FALSE()),""))</f>
      </c>
    </row>
    <row r="7085">
      <c r="E7085">
        <f>IF(DATOS!$I7085="","",IFERROR(VLOOKUP(DATOS!$I7085,CONFIG_ASIGNATURAS!$B$2:$J$61,9,FALSE()),""))</f>
      </c>
    </row>
    <row r="7086">
      <c r="E7086">
        <f>IF(DATOS!$I7086="","",IFERROR(VLOOKUP(DATOS!$I7086,CONFIG_ASIGNATURAS!$B$2:$J$61,9,FALSE()),""))</f>
      </c>
    </row>
    <row r="7087">
      <c r="E7087">
        <f>IF(DATOS!$I7087="","",IFERROR(VLOOKUP(DATOS!$I7087,CONFIG_ASIGNATURAS!$B$2:$J$61,9,FALSE()),""))</f>
      </c>
    </row>
    <row r="7088">
      <c r="E7088">
        <f>IF(DATOS!$I7088="","",IFERROR(VLOOKUP(DATOS!$I7088,CONFIG_ASIGNATURAS!$B$2:$J$61,9,FALSE()),""))</f>
      </c>
    </row>
    <row r="7089">
      <c r="E7089">
        <f>IF(DATOS!$I7089="","",IFERROR(VLOOKUP(DATOS!$I7089,CONFIG_ASIGNATURAS!$B$2:$J$61,9,FALSE()),""))</f>
      </c>
    </row>
    <row r="7090">
      <c r="E7090">
        <f>IF(DATOS!$I7090="","",IFERROR(VLOOKUP(DATOS!$I7090,CONFIG_ASIGNATURAS!$B$2:$J$61,9,FALSE()),""))</f>
      </c>
    </row>
    <row r="7091">
      <c r="E7091">
        <f>IF(DATOS!$I7091="","",IFERROR(VLOOKUP(DATOS!$I7091,CONFIG_ASIGNATURAS!$B$2:$J$61,9,FALSE()),""))</f>
      </c>
    </row>
    <row r="7092">
      <c r="E7092">
        <f>IF(DATOS!$I7092="","",IFERROR(VLOOKUP(DATOS!$I7092,CONFIG_ASIGNATURAS!$B$2:$J$61,9,FALSE()),""))</f>
      </c>
    </row>
    <row r="7093">
      <c r="E7093">
        <f>IF(DATOS!$I7093="","",IFERROR(VLOOKUP(DATOS!$I7093,CONFIG_ASIGNATURAS!$B$2:$J$61,9,FALSE()),""))</f>
      </c>
    </row>
    <row r="7094">
      <c r="E7094">
        <f>IF(DATOS!$I7094="","",IFERROR(VLOOKUP(DATOS!$I7094,CONFIG_ASIGNATURAS!$B$2:$J$61,9,FALSE()),""))</f>
      </c>
    </row>
    <row r="7095">
      <c r="E7095">
        <f>IF(DATOS!$I7095="","",IFERROR(VLOOKUP(DATOS!$I7095,CONFIG_ASIGNATURAS!$B$2:$J$61,9,FALSE()),""))</f>
      </c>
    </row>
    <row r="7096">
      <c r="E7096">
        <f>IF(DATOS!$I7096="","",IFERROR(VLOOKUP(DATOS!$I7096,CONFIG_ASIGNATURAS!$B$2:$J$61,9,FALSE()),""))</f>
      </c>
    </row>
    <row r="7097">
      <c r="E7097">
        <f>IF(DATOS!$I7097="","",IFERROR(VLOOKUP(DATOS!$I7097,CONFIG_ASIGNATURAS!$B$2:$J$61,9,FALSE()),""))</f>
      </c>
    </row>
    <row r="7098">
      <c r="E7098">
        <f>IF(DATOS!$I7098="","",IFERROR(VLOOKUP(DATOS!$I7098,CONFIG_ASIGNATURAS!$B$2:$J$61,9,FALSE()),""))</f>
      </c>
    </row>
    <row r="7099">
      <c r="E7099">
        <f>IF(DATOS!$I7099="","",IFERROR(VLOOKUP(DATOS!$I7099,CONFIG_ASIGNATURAS!$B$2:$J$61,9,FALSE()),""))</f>
      </c>
    </row>
    <row r="7100">
      <c r="E7100">
        <f>IF(DATOS!$I7100="","",IFERROR(VLOOKUP(DATOS!$I7100,CONFIG_ASIGNATURAS!$B$2:$J$61,9,FALSE()),""))</f>
      </c>
    </row>
    <row r="7101">
      <c r="E7101">
        <f>IF(DATOS!$I7101="","",IFERROR(VLOOKUP(DATOS!$I7101,CONFIG_ASIGNATURAS!$B$2:$J$61,9,FALSE()),""))</f>
      </c>
    </row>
    <row r="7102">
      <c r="E7102">
        <f>IF(DATOS!$I7102="","",IFERROR(VLOOKUP(DATOS!$I7102,CONFIG_ASIGNATURAS!$B$2:$J$61,9,FALSE()),""))</f>
      </c>
    </row>
    <row r="7103">
      <c r="E7103">
        <f>IF(DATOS!$I7103="","",IFERROR(VLOOKUP(DATOS!$I7103,CONFIG_ASIGNATURAS!$B$2:$J$61,9,FALSE()),""))</f>
      </c>
    </row>
    <row r="7104">
      <c r="E7104">
        <f>IF(DATOS!$I7104="","",IFERROR(VLOOKUP(DATOS!$I7104,CONFIG_ASIGNATURAS!$B$2:$J$61,9,FALSE()),""))</f>
      </c>
    </row>
    <row r="7105">
      <c r="E7105">
        <f>IF(DATOS!$I7105="","",IFERROR(VLOOKUP(DATOS!$I7105,CONFIG_ASIGNATURAS!$B$2:$J$61,9,FALSE()),""))</f>
      </c>
    </row>
    <row r="7106">
      <c r="E7106">
        <f>IF(DATOS!$I7106="","",IFERROR(VLOOKUP(DATOS!$I7106,CONFIG_ASIGNATURAS!$B$2:$J$61,9,FALSE()),""))</f>
      </c>
    </row>
    <row r="7107">
      <c r="E7107">
        <f>IF(DATOS!$I7107="","",IFERROR(VLOOKUP(DATOS!$I7107,CONFIG_ASIGNATURAS!$B$2:$J$61,9,FALSE()),""))</f>
      </c>
    </row>
    <row r="7108">
      <c r="E7108">
        <f>IF(DATOS!$I7108="","",IFERROR(VLOOKUP(DATOS!$I7108,CONFIG_ASIGNATURAS!$B$2:$J$61,9,FALSE()),""))</f>
      </c>
    </row>
    <row r="7109">
      <c r="E7109">
        <f>IF(DATOS!$I7109="","",IFERROR(VLOOKUP(DATOS!$I7109,CONFIG_ASIGNATURAS!$B$2:$J$61,9,FALSE()),""))</f>
      </c>
    </row>
    <row r="7110">
      <c r="E7110">
        <f>IF(DATOS!$I7110="","",IFERROR(VLOOKUP(DATOS!$I7110,CONFIG_ASIGNATURAS!$B$2:$J$61,9,FALSE()),""))</f>
      </c>
    </row>
    <row r="7111">
      <c r="E7111">
        <f>IF(DATOS!$I7111="","",IFERROR(VLOOKUP(DATOS!$I7111,CONFIG_ASIGNATURAS!$B$2:$J$61,9,FALSE()),""))</f>
      </c>
    </row>
    <row r="7112">
      <c r="E7112">
        <f>IF(DATOS!$I7112="","",IFERROR(VLOOKUP(DATOS!$I7112,CONFIG_ASIGNATURAS!$B$2:$J$61,9,FALSE()),""))</f>
      </c>
    </row>
    <row r="7113">
      <c r="E7113">
        <f>IF(DATOS!$I7113="","",IFERROR(VLOOKUP(DATOS!$I7113,CONFIG_ASIGNATURAS!$B$2:$J$61,9,FALSE()),""))</f>
      </c>
    </row>
    <row r="7114">
      <c r="E7114">
        <f>IF(DATOS!$I7114="","",IFERROR(VLOOKUP(DATOS!$I7114,CONFIG_ASIGNATURAS!$B$2:$J$61,9,FALSE()),""))</f>
      </c>
    </row>
    <row r="7115">
      <c r="E7115">
        <f>IF(DATOS!$I7115="","",IFERROR(VLOOKUP(DATOS!$I7115,CONFIG_ASIGNATURAS!$B$2:$J$61,9,FALSE()),""))</f>
      </c>
    </row>
    <row r="7116">
      <c r="E7116">
        <f>IF(DATOS!$I7116="","",IFERROR(VLOOKUP(DATOS!$I7116,CONFIG_ASIGNATURAS!$B$2:$J$61,9,FALSE()),""))</f>
      </c>
    </row>
    <row r="7117">
      <c r="E7117">
        <f>IF(DATOS!$I7117="","",IFERROR(VLOOKUP(DATOS!$I7117,CONFIG_ASIGNATURAS!$B$2:$J$61,9,FALSE()),""))</f>
      </c>
    </row>
    <row r="7118">
      <c r="E7118">
        <f>IF(DATOS!$I7118="","",IFERROR(VLOOKUP(DATOS!$I7118,CONFIG_ASIGNATURAS!$B$2:$J$61,9,FALSE()),""))</f>
      </c>
    </row>
    <row r="7119">
      <c r="E7119">
        <f>IF(DATOS!$I7119="","",IFERROR(VLOOKUP(DATOS!$I7119,CONFIG_ASIGNATURAS!$B$2:$J$61,9,FALSE()),""))</f>
      </c>
    </row>
    <row r="7120">
      <c r="E7120">
        <f>IF(DATOS!$I7120="","",IFERROR(VLOOKUP(DATOS!$I7120,CONFIG_ASIGNATURAS!$B$2:$J$61,9,FALSE()),""))</f>
      </c>
    </row>
    <row r="7121">
      <c r="E7121">
        <f>IF(DATOS!$I7121="","",IFERROR(VLOOKUP(DATOS!$I7121,CONFIG_ASIGNATURAS!$B$2:$J$61,9,FALSE()),""))</f>
      </c>
    </row>
    <row r="7122">
      <c r="E7122">
        <f>IF(DATOS!$I7122="","",IFERROR(VLOOKUP(DATOS!$I7122,CONFIG_ASIGNATURAS!$B$2:$J$61,9,FALSE()),""))</f>
      </c>
    </row>
    <row r="7123">
      <c r="E7123">
        <f>IF(DATOS!$I7123="","",IFERROR(VLOOKUP(DATOS!$I7123,CONFIG_ASIGNATURAS!$B$2:$J$61,9,FALSE()),""))</f>
      </c>
    </row>
    <row r="7124">
      <c r="E7124">
        <f>IF(DATOS!$I7124="","",IFERROR(VLOOKUP(DATOS!$I7124,CONFIG_ASIGNATURAS!$B$2:$J$61,9,FALSE()),""))</f>
      </c>
    </row>
    <row r="7125">
      <c r="E7125">
        <f>IF(DATOS!$I7125="","",IFERROR(VLOOKUP(DATOS!$I7125,CONFIG_ASIGNATURAS!$B$2:$J$61,9,FALSE()),""))</f>
      </c>
    </row>
    <row r="7126">
      <c r="E7126">
        <f>IF(DATOS!$I7126="","",IFERROR(VLOOKUP(DATOS!$I7126,CONFIG_ASIGNATURAS!$B$2:$J$61,9,FALSE()),""))</f>
      </c>
    </row>
    <row r="7127">
      <c r="E7127">
        <f>IF(DATOS!$I7127="","",IFERROR(VLOOKUP(DATOS!$I7127,CONFIG_ASIGNATURAS!$B$2:$J$61,9,FALSE()),""))</f>
      </c>
    </row>
    <row r="7128">
      <c r="E7128">
        <f>IF(DATOS!$I7128="","",IFERROR(VLOOKUP(DATOS!$I7128,CONFIG_ASIGNATURAS!$B$2:$J$61,9,FALSE()),""))</f>
      </c>
    </row>
    <row r="7129">
      <c r="E7129">
        <f>IF(DATOS!$I7129="","",IFERROR(VLOOKUP(DATOS!$I7129,CONFIG_ASIGNATURAS!$B$2:$J$61,9,FALSE()),""))</f>
      </c>
    </row>
    <row r="7130">
      <c r="E7130">
        <f>IF(DATOS!$I7130="","",IFERROR(VLOOKUP(DATOS!$I7130,CONFIG_ASIGNATURAS!$B$2:$J$61,9,FALSE()),""))</f>
      </c>
    </row>
    <row r="7131">
      <c r="E7131">
        <f>IF(DATOS!$I7131="","",IFERROR(VLOOKUP(DATOS!$I7131,CONFIG_ASIGNATURAS!$B$2:$J$61,9,FALSE()),""))</f>
      </c>
    </row>
    <row r="7132">
      <c r="E7132">
        <f>IF(DATOS!$I7132="","",IFERROR(VLOOKUP(DATOS!$I7132,CONFIG_ASIGNATURAS!$B$2:$J$61,9,FALSE()),""))</f>
      </c>
    </row>
    <row r="7133">
      <c r="E7133">
        <f>IF(DATOS!$I7133="","",IFERROR(VLOOKUP(DATOS!$I7133,CONFIG_ASIGNATURAS!$B$2:$J$61,9,FALSE()),""))</f>
      </c>
    </row>
    <row r="7134">
      <c r="E7134">
        <f>IF(DATOS!$I7134="","",IFERROR(VLOOKUP(DATOS!$I7134,CONFIG_ASIGNATURAS!$B$2:$J$61,9,FALSE()),""))</f>
      </c>
    </row>
    <row r="7135">
      <c r="E7135">
        <f>IF(DATOS!$I7135="","",IFERROR(VLOOKUP(DATOS!$I7135,CONFIG_ASIGNATURAS!$B$2:$J$61,9,FALSE()),""))</f>
      </c>
    </row>
    <row r="7136">
      <c r="E7136">
        <f>IF(DATOS!$I7136="","",IFERROR(VLOOKUP(DATOS!$I7136,CONFIG_ASIGNATURAS!$B$2:$J$61,9,FALSE()),""))</f>
      </c>
    </row>
    <row r="7137">
      <c r="E7137">
        <f>IF(DATOS!$I7137="","",IFERROR(VLOOKUP(DATOS!$I7137,CONFIG_ASIGNATURAS!$B$2:$J$61,9,FALSE()),""))</f>
      </c>
    </row>
    <row r="7138">
      <c r="E7138">
        <f>IF(DATOS!$I7138="","",IFERROR(VLOOKUP(DATOS!$I7138,CONFIG_ASIGNATURAS!$B$2:$J$61,9,FALSE()),""))</f>
      </c>
    </row>
    <row r="7139">
      <c r="E7139">
        <f>IF(DATOS!$I7139="","",IFERROR(VLOOKUP(DATOS!$I7139,CONFIG_ASIGNATURAS!$B$2:$J$61,9,FALSE()),""))</f>
      </c>
    </row>
    <row r="7140">
      <c r="E7140">
        <f>IF(DATOS!$I7140="","",IFERROR(VLOOKUP(DATOS!$I7140,CONFIG_ASIGNATURAS!$B$2:$J$61,9,FALSE()),""))</f>
      </c>
    </row>
    <row r="7141">
      <c r="E7141">
        <f>IF(DATOS!$I7141="","",IFERROR(VLOOKUP(DATOS!$I7141,CONFIG_ASIGNATURAS!$B$2:$J$61,9,FALSE()),""))</f>
      </c>
    </row>
    <row r="7142">
      <c r="E7142">
        <f>IF(DATOS!$I7142="","",IFERROR(VLOOKUP(DATOS!$I7142,CONFIG_ASIGNATURAS!$B$2:$J$61,9,FALSE()),""))</f>
      </c>
    </row>
    <row r="7143">
      <c r="E7143">
        <f>IF(DATOS!$I7143="","",IFERROR(VLOOKUP(DATOS!$I7143,CONFIG_ASIGNATURAS!$B$2:$J$61,9,FALSE()),""))</f>
      </c>
    </row>
    <row r="7144">
      <c r="E7144">
        <f>IF(DATOS!$I7144="","",IFERROR(VLOOKUP(DATOS!$I7144,CONFIG_ASIGNATURAS!$B$2:$J$61,9,FALSE()),""))</f>
      </c>
    </row>
    <row r="7145">
      <c r="E7145">
        <f>IF(DATOS!$I7145="","",IFERROR(VLOOKUP(DATOS!$I7145,CONFIG_ASIGNATURAS!$B$2:$J$61,9,FALSE()),""))</f>
      </c>
    </row>
    <row r="7146">
      <c r="E7146">
        <f>IF(DATOS!$I7146="","",IFERROR(VLOOKUP(DATOS!$I7146,CONFIG_ASIGNATURAS!$B$2:$J$61,9,FALSE()),""))</f>
      </c>
    </row>
    <row r="7147">
      <c r="E7147">
        <f>IF(DATOS!$I7147="","",IFERROR(VLOOKUP(DATOS!$I7147,CONFIG_ASIGNATURAS!$B$2:$J$61,9,FALSE()),""))</f>
      </c>
    </row>
    <row r="7148">
      <c r="E7148">
        <f>IF(DATOS!$I7148="","",IFERROR(VLOOKUP(DATOS!$I7148,CONFIG_ASIGNATURAS!$B$2:$J$61,9,FALSE()),""))</f>
      </c>
    </row>
    <row r="7149">
      <c r="E7149">
        <f>IF(DATOS!$I7149="","",IFERROR(VLOOKUP(DATOS!$I7149,CONFIG_ASIGNATURAS!$B$2:$J$61,9,FALSE()),""))</f>
      </c>
    </row>
    <row r="7150">
      <c r="E7150">
        <f>IF(DATOS!$I7150="","",IFERROR(VLOOKUP(DATOS!$I7150,CONFIG_ASIGNATURAS!$B$2:$J$61,9,FALSE()),""))</f>
      </c>
    </row>
    <row r="7151">
      <c r="E7151">
        <f>IF(DATOS!$I7151="","",IFERROR(VLOOKUP(DATOS!$I7151,CONFIG_ASIGNATURAS!$B$2:$J$61,9,FALSE()),""))</f>
      </c>
    </row>
    <row r="7152">
      <c r="E7152">
        <f>IF(DATOS!$I7152="","",IFERROR(VLOOKUP(DATOS!$I7152,CONFIG_ASIGNATURAS!$B$2:$J$61,9,FALSE()),""))</f>
      </c>
    </row>
    <row r="7153">
      <c r="E7153">
        <f>IF(DATOS!$I7153="","",IFERROR(VLOOKUP(DATOS!$I7153,CONFIG_ASIGNATURAS!$B$2:$J$61,9,FALSE()),""))</f>
      </c>
    </row>
    <row r="7154">
      <c r="E7154">
        <f>IF(DATOS!$I7154="","",IFERROR(VLOOKUP(DATOS!$I7154,CONFIG_ASIGNATURAS!$B$2:$J$61,9,FALSE()),""))</f>
      </c>
    </row>
    <row r="7155">
      <c r="E7155">
        <f>IF(DATOS!$I7155="","",IFERROR(VLOOKUP(DATOS!$I7155,CONFIG_ASIGNATURAS!$B$2:$J$61,9,FALSE()),""))</f>
      </c>
    </row>
    <row r="7156">
      <c r="E7156">
        <f>IF(DATOS!$I7156="","",IFERROR(VLOOKUP(DATOS!$I7156,CONFIG_ASIGNATURAS!$B$2:$J$61,9,FALSE()),""))</f>
      </c>
    </row>
    <row r="7157">
      <c r="E7157">
        <f>IF(DATOS!$I7157="","",IFERROR(VLOOKUP(DATOS!$I7157,CONFIG_ASIGNATURAS!$B$2:$J$61,9,FALSE()),""))</f>
      </c>
    </row>
    <row r="7158">
      <c r="E7158">
        <f>IF(DATOS!$I7158="","",IFERROR(VLOOKUP(DATOS!$I7158,CONFIG_ASIGNATURAS!$B$2:$J$61,9,FALSE()),""))</f>
      </c>
    </row>
    <row r="7159">
      <c r="E7159">
        <f>IF(DATOS!$I7159="","",IFERROR(VLOOKUP(DATOS!$I7159,CONFIG_ASIGNATURAS!$B$2:$J$61,9,FALSE()),""))</f>
      </c>
    </row>
    <row r="7160">
      <c r="E7160">
        <f>IF(DATOS!$I7160="","",IFERROR(VLOOKUP(DATOS!$I7160,CONFIG_ASIGNATURAS!$B$2:$J$61,9,FALSE()),""))</f>
      </c>
    </row>
    <row r="7161">
      <c r="E7161">
        <f>IF(DATOS!$I7161="","",IFERROR(VLOOKUP(DATOS!$I7161,CONFIG_ASIGNATURAS!$B$2:$J$61,9,FALSE()),""))</f>
      </c>
    </row>
    <row r="7162">
      <c r="E7162">
        <f>IF(DATOS!$I7162="","",IFERROR(VLOOKUP(DATOS!$I7162,CONFIG_ASIGNATURAS!$B$2:$J$61,9,FALSE()),""))</f>
      </c>
    </row>
    <row r="7163">
      <c r="E7163">
        <f>IF(DATOS!$I7163="","",IFERROR(VLOOKUP(DATOS!$I7163,CONFIG_ASIGNATURAS!$B$2:$J$61,9,FALSE()),""))</f>
      </c>
    </row>
    <row r="7164">
      <c r="E7164">
        <f>IF(DATOS!$I7164="","",IFERROR(VLOOKUP(DATOS!$I7164,CONFIG_ASIGNATURAS!$B$2:$J$61,9,FALSE()),""))</f>
      </c>
    </row>
    <row r="7165">
      <c r="E7165">
        <f>IF(DATOS!$I7165="","",IFERROR(VLOOKUP(DATOS!$I7165,CONFIG_ASIGNATURAS!$B$2:$J$61,9,FALSE()),""))</f>
      </c>
    </row>
    <row r="7166">
      <c r="E7166">
        <f>IF(DATOS!$I7166="","",IFERROR(VLOOKUP(DATOS!$I7166,CONFIG_ASIGNATURAS!$B$2:$J$61,9,FALSE()),""))</f>
      </c>
    </row>
    <row r="7167">
      <c r="E7167">
        <f>IF(DATOS!$I7167="","",IFERROR(VLOOKUP(DATOS!$I7167,CONFIG_ASIGNATURAS!$B$2:$J$61,9,FALSE()),""))</f>
      </c>
    </row>
    <row r="7168">
      <c r="E7168">
        <f>IF(DATOS!$I7168="","",IFERROR(VLOOKUP(DATOS!$I7168,CONFIG_ASIGNATURAS!$B$2:$J$61,9,FALSE()),""))</f>
      </c>
    </row>
    <row r="7169">
      <c r="E7169">
        <f>IF(DATOS!$I7169="","",IFERROR(VLOOKUP(DATOS!$I7169,CONFIG_ASIGNATURAS!$B$2:$J$61,9,FALSE()),""))</f>
      </c>
    </row>
    <row r="7170">
      <c r="E7170">
        <f>IF(DATOS!$I7170="","",IFERROR(VLOOKUP(DATOS!$I7170,CONFIG_ASIGNATURAS!$B$2:$J$61,9,FALSE()),""))</f>
      </c>
    </row>
    <row r="7171">
      <c r="E7171">
        <f>IF(DATOS!$I7171="","",IFERROR(VLOOKUP(DATOS!$I7171,CONFIG_ASIGNATURAS!$B$2:$J$61,9,FALSE()),""))</f>
      </c>
    </row>
    <row r="7172">
      <c r="E7172">
        <f>IF(DATOS!$I7172="","",IFERROR(VLOOKUP(DATOS!$I7172,CONFIG_ASIGNATURAS!$B$2:$J$61,9,FALSE()),""))</f>
      </c>
    </row>
    <row r="7173">
      <c r="E7173">
        <f>IF(DATOS!$I7173="","",IFERROR(VLOOKUP(DATOS!$I7173,CONFIG_ASIGNATURAS!$B$2:$J$61,9,FALSE()),""))</f>
      </c>
    </row>
    <row r="7174">
      <c r="E7174">
        <f>IF(DATOS!$I7174="","",IFERROR(VLOOKUP(DATOS!$I7174,CONFIG_ASIGNATURAS!$B$2:$J$61,9,FALSE()),""))</f>
      </c>
    </row>
    <row r="7175">
      <c r="E7175">
        <f>IF(DATOS!$I7175="","",IFERROR(VLOOKUP(DATOS!$I7175,CONFIG_ASIGNATURAS!$B$2:$J$61,9,FALSE()),""))</f>
      </c>
    </row>
    <row r="7176">
      <c r="E7176">
        <f>IF(DATOS!$I7176="","",IFERROR(VLOOKUP(DATOS!$I7176,CONFIG_ASIGNATURAS!$B$2:$J$61,9,FALSE()),""))</f>
      </c>
    </row>
    <row r="7177">
      <c r="E7177">
        <f>IF(DATOS!$I7177="","",IFERROR(VLOOKUP(DATOS!$I7177,CONFIG_ASIGNATURAS!$B$2:$J$61,9,FALSE()),""))</f>
      </c>
    </row>
    <row r="7178">
      <c r="E7178">
        <f>IF(DATOS!$I7178="","",IFERROR(VLOOKUP(DATOS!$I7178,CONFIG_ASIGNATURAS!$B$2:$J$61,9,FALSE()),""))</f>
      </c>
    </row>
    <row r="7179">
      <c r="E7179">
        <f>IF(DATOS!$I7179="","",IFERROR(VLOOKUP(DATOS!$I7179,CONFIG_ASIGNATURAS!$B$2:$J$61,9,FALSE()),""))</f>
      </c>
    </row>
    <row r="7180">
      <c r="E7180">
        <f>IF(DATOS!$I7180="","",IFERROR(VLOOKUP(DATOS!$I7180,CONFIG_ASIGNATURAS!$B$2:$J$61,9,FALSE()),""))</f>
      </c>
    </row>
    <row r="7181">
      <c r="E7181">
        <f>IF(DATOS!$I7181="","",IFERROR(VLOOKUP(DATOS!$I7181,CONFIG_ASIGNATURAS!$B$2:$J$61,9,FALSE()),""))</f>
      </c>
    </row>
    <row r="7182">
      <c r="E7182">
        <f>IF(DATOS!$I7182="","",IFERROR(VLOOKUP(DATOS!$I7182,CONFIG_ASIGNATURAS!$B$2:$J$61,9,FALSE()),""))</f>
      </c>
    </row>
    <row r="7183">
      <c r="E7183">
        <f>IF(DATOS!$I7183="","",IFERROR(VLOOKUP(DATOS!$I7183,CONFIG_ASIGNATURAS!$B$2:$J$61,9,FALSE()),""))</f>
      </c>
    </row>
    <row r="7184">
      <c r="E7184">
        <f>IF(DATOS!$I7184="","",IFERROR(VLOOKUP(DATOS!$I7184,CONFIG_ASIGNATURAS!$B$2:$J$61,9,FALSE()),""))</f>
      </c>
    </row>
    <row r="7185">
      <c r="E7185">
        <f>IF(DATOS!$I7185="","",IFERROR(VLOOKUP(DATOS!$I7185,CONFIG_ASIGNATURAS!$B$2:$J$61,9,FALSE()),""))</f>
      </c>
    </row>
    <row r="7186">
      <c r="E7186">
        <f>IF(DATOS!$I7186="","",IFERROR(VLOOKUP(DATOS!$I7186,CONFIG_ASIGNATURAS!$B$2:$J$61,9,FALSE()),""))</f>
      </c>
    </row>
    <row r="7187">
      <c r="E7187">
        <f>IF(DATOS!$I7187="","",IFERROR(VLOOKUP(DATOS!$I7187,CONFIG_ASIGNATURAS!$B$2:$J$61,9,FALSE()),""))</f>
      </c>
    </row>
    <row r="7188">
      <c r="E7188">
        <f>IF(DATOS!$I7188="","",IFERROR(VLOOKUP(DATOS!$I7188,CONFIG_ASIGNATURAS!$B$2:$J$61,9,FALSE()),""))</f>
      </c>
    </row>
    <row r="7189">
      <c r="E7189">
        <f>IF(DATOS!$I7189="","",IFERROR(VLOOKUP(DATOS!$I7189,CONFIG_ASIGNATURAS!$B$2:$J$61,9,FALSE()),""))</f>
      </c>
    </row>
    <row r="7190">
      <c r="E7190">
        <f>IF(DATOS!$I7190="","",IFERROR(VLOOKUP(DATOS!$I7190,CONFIG_ASIGNATURAS!$B$2:$J$61,9,FALSE()),""))</f>
      </c>
    </row>
    <row r="7191">
      <c r="E7191">
        <f>IF(DATOS!$I7191="","",IFERROR(VLOOKUP(DATOS!$I7191,CONFIG_ASIGNATURAS!$B$2:$J$61,9,FALSE()),""))</f>
      </c>
    </row>
    <row r="7192">
      <c r="E7192">
        <f>IF(DATOS!$I7192="","",IFERROR(VLOOKUP(DATOS!$I7192,CONFIG_ASIGNATURAS!$B$2:$J$61,9,FALSE()),""))</f>
      </c>
    </row>
    <row r="7193">
      <c r="E7193">
        <f>IF(DATOS!$I7193="","",IFERROR(VLOOKUP(DATOS!$I7193,CONFIG_ASIGNATURAS!$B$2:$J$61,9,FALSE()),""))</f>
      </c>
    </row>
    <row r="7194">
      <c r="E7194">
        <f>IF(DATOS!$I7194="","",IFERROR(VLOOKUP(DATOS!$I7194,CONFIG_ASIGNATURAS!$B$2:$J$61,9,FALSE()),""))</f>
      </c>
    </row>
    <row r="7195">
      <c r="E7195">
        <f>IF(DATOS!$I7195="","",IFERROR(VLOOKUP(DATOS!$I7195,CONFIG_ASIGNATURAS!$B$2:$J$61,9,FALSE()),""))</f>
      </c>
    </row>
    <row r="7196">
      <c r="E7196">
        <f>IF(DATOS!$I7196="","",IFERROR(VLOOKUP(DATOS!$I7196,CONFIG_ASIGNATURAS!$B$2:$J$61,9,FALSE()),""))</f>
      </c>
    </row>
    <row r="7197">
      <c r="E7197">
        <f>IF(DATOS!$I7197="","",IFERROR(VLOOKUP(DATOS!$I7197,CONFIG_ASIGNATURAS!$B$2:$J$61,9,FALSE()),""))</f>
      </c>
    </row>
    <row r="7198">
      <c r="E7198">
        <f>IF(DATOS!$I7198="","",IFERROR(VLOOKUP(DATOS!$I7198,CONFIG_ASIGNATURAS!$B$2:$J$61,9,FALSE()),""))</f>
      </c>
    </row>
    <row r="7199">
      <c r="E7199">
        <f>IF(DATOS!$I7199="","",IFERROR(VLOOKUP(DATOS!$I7199,CONFIG_ASIGNATURAS!$B$2:$J$61,9,FALSE()),""))</f>
      </c>
    </row>
    <row r="7200">
      <c r="E7200">
        <f>IF(DATOS!$I7200="","",IFERROR(VLOOKUP(DATOS!$I7200,CONFIG_ASIGNATURAS!$B$2:$J$61,9,FALSE()),""))</f>
      </c>
    </row>
    <row r="7201">
      <c r="E7201">
        <f>IF(DATOS!$I7201="","",IFERROR(VLOOKUP(DATOS!$I7201,CONFIG_ASIGNATURAS!$B$2:$J$61,9,FALSE()),""))</f>
      </c>
    </row>
    <row r="7202">
      <c r="E7202">
        <f>IF(DATOS!$I7202="","",IFERROR(VLOOKUP(DATOS!$I7202,CONFIG_ASIGNATURAS!$B$2:$J$61,9,FALSE()),""))</f>
      </c>
    </row>
    <row r="7203">
      <c r="E7203">
        <f>IF(DATOS!$I7203="","",IFERROR(VLOOKUP(DATOS!$I7203,CONFIG_ASIGNATURAS!$B$2:$J$61,9,FALSE()),""))</f>
      </c>
    </row>
    <row r="7204">
      <c r="E7204">
        <f>IF(DATOS!$I7204="","",IFERROR(VLOOKUP(DATOS!$I7204,CONFIG_ASIGNATURAS!$B$2:$J$61,9,FALSE()),""))</f>
      </c>
    </row>
    <row r="7205">
      <c r="E7205">
        <f>IF(DATOS!$I7205="","",IFERROR(VLOOKUP(DATOS!$I7205,CONFIG_ASIGNATURAS!$B$2:$J$61,9,FALSE()),""))</f>
      </c>
    </row>
    <row r="7206">
      <c r="E7206">
        <f>IF(DATOS!$I7206="","",IFERROR(VLOOKUP(DATOS!$I7206,CONFIG_ASIGNATURAS!$B$2:$J$61,9,FALSE()),""))</f>
      </c>
    </row>
    <row r="7207">
      <c r="E7207">
        <f>IF(DATOS!$I7207="","",IFERROR(VLOOKUP(DATOS!$I7207,CONFIG_ASIGNATURAS!$B$2:$J$61,9,FALSE()),""))</f>
      </c>
    </row>
    <row r="7208">
      <c r="E7208">
        <f>IF(DATOS!$I7208="","",IFERROR(VLOOKUP(DATOS!$I7208,CONFIG_ASIGNATURAS!$B$2:$J$61,9,FALSE()),""))</f>
      </c>
    </row>
    <row r="7209">
      <c r="E7209">
        <f>IF(DATOS!$I7209="","",IFERROR(VLOOKUP(DATOS!$I7209,CONFIG_ASIGNATURAS!$B$2:$J$61,9,FALSE()),""))</f>
      </c>
    </row>
    <row r="7210">
      <c r="E7210">
        <f>IF(DATOS!$I7210="","",IFERROR(VLOOKUP(DATOS!$I7210,CONFIG_ASIGNATURAS!$B$2:$J$61,9,FALSE()),""))</f>
      </c>
    </row>
    <row r="7211">
      <c r="E7211">
        <f>IF(DATOS!$I7211="","",IFERROR(VLOOKUP(DATOS!$I7211,CONFIG_ASIGNATURAS!$B$2:$J$61,9,FALSE()),""))</f>
      </c>
    </row>
    <row r="7212">
      <c r="E7212">
        <f>IF(DATOS!$I7212="","",IFERROR(VLOOKUP(DATOS!$I7212,CONFIG_ASIGNATURAS!$B$2:$J$61,9,FALSE()),""))</f>
      </c>
    </row>
    <row r="7213">
      <c r="E7213">
        <f>IF(DATOS!$I7213="","",IFERROR(VLOOKUP(DATOS!$I7213,CONFIG_ASIGNATURAS!$B$2:$J$61,9,FALSE()),""))</f>
      </c>
    </row>
    <row r="7214">
      <c r="E7214">
        <f>IF(DATOS!$I7214="","",IFERROR(VLOOKUP(DATOS!$I7214,CONFIG_ASIGNATURAS!$B$2:$J$61,9,FALSE()),""))</f>
      </c>
    </row>
    <row r="7215">
      <c r="E7215">
        <f>IF(DATOS!$I7215="","",IFERROR(VLOOKUP(DATOS!$I7215,CONFIG_ASIGNATURAS!$B$2:$J$61,9,FALSE()),""))</f>
      </c>
    </row>
    <row r="7216">
      <c r="E7216">
        <f>IF(DATOS!$I7216="","",IFERROR(VLOOKUP(DATOS!$I7216,CONFIG_ASIGNATURAS!$B$2:$J$61,9,FALSE()),""))</f>
      </c>
    </row>
    <row r="7217">
      <c r="E7217">
        <f>IF(DATOS!$I7217="","",IFERROR(VLOOKUP(DATOS!$I7217,CONFIG_ASIGNATURAS!$B$2:$J$61,9,FALSE()),""))</f>
      </c>
    </row>
    <row r="7218">
      <c r="E7218">
        <f>IF(DATOS!$I7218="","",IFERROR(VLOOKUP(DATOS!$I7218,CONFIG_ASIGNATURAS!$B$2:$J$61,9,FALSE()),""))</f>
      </c>
    </row>
    <row r="7219">
      <c r="E7219">
        <f>IF(DATOS!$I7219="","",IFERROR(VLOOKUP(DATOS!$I7219,CONFIG_ASIGNATURAS!$B$2:$J$61,9,FALSE()),""))</f>
      </c>
    </row>
    <row r="7220">
      <c r="E7220">
        <f>IF(DATOS!$I7220="","",IFERROR(VLOOKUP(DATOS!$I7220,CONFIG_ASIGNATURAS!$B$2:$J$61,9,FALSE()),""))</f>
      </c>
    </row>
    <row r="7221">
      <c r="E7221">
        <f>IF(DATOS!$I7221="","",IFERROR(VLOOKUP(DATOS!$I7221,CONFIG_ASIGNATURAS!$B$2:$J$61,9,FALSE()),""))</f>
      </c>
    </row>
    <row r="7222">
      <c r="E7222">
        <f>IF(DATOS!$I7222="","",IFERROR(VLOOKUP(DATOS!$I7222,CONFIG_ASIGNATURAS!$B$2:$J$61,9,FALSE()),""))</f>
      </c>
    </row>
    <row r="7223">
      <c r="E7223">
        <f>IF(DATOS!$I7223="","",IFERROR(VLOOKUP(DATOS!$I7223,CONFIG_ASIGNATURAS!$B$2:$J$61,9,FALSE()),""))</f>
      </c>
    </row>
    <row r="7224">
      <c r="E7224">
        <f>IF(DATOS!$I7224="","",IFERROR(VLOOKUP(DATOS!$I7224,CONFIG_ASIGNATURAS!$B$2:$J$61,9,FALSE()),""))</f>
      </c>
    </row>
    <row r="7225">
      <c r="E7225">
        <f>IF(DATOS!$I7225="","",IFERROR(VLOOKUP(DATOS!$I7225,CONFIG_ASIGNATURAS!$B$2:$J$61,9,FALSE()),""))</f>
      </c>
    </row>
    <row r="7226">
      <c r="E7226">
        <f>IF(DATOS!$I7226="","",IFERROR(VLOOKUP(DATOS!$I7226,CONFIG_ASIGNATURAS!$B$2:$J$61,9,FALSE()),""))</f>
      </c>
    </row>
    <row r="7227">
      <c r="E7227">
        <f>IF(DATOS!$I7227="","",IFERROR(VLOOKUP(DATOS!$I7227,CONFIG_ASIGNATURAS!$B$2:$J$61,9,FALSE()),""))</f>
      </c>
    </row>
    <row r="7228">
      <c r="E7228">
        <f>IF(DATOS!$I7228="","",IFERROR(VLOOKUP(DATOS!$I7228,CONFIG_ASIGNATURAS!$B$2:$J$61,9,FALSE()),""))</f>
      </c>
    </row>
    <row r="7229">
      <c r="E7229">
        <f>IF(DATOS!$I7229="","",IFERROR(VLOOKUP(DATOS!$I7229,CONFIG_ASIGNATURAS!$B$2:$J$61,9,FALSE()),""))</f>
      </c>
    </row>
    <row r="7230">
      <c r="E7230">
        <f>IF(DATOS!$I7230="","",IFERROR(VLOOKUP(DATOS!$I7230,CONFIG_ASIGNATURAS!$B$2:$J$61,9,FALSE()),""))</f>
      </c>
    </row>
    <row r="7231">
      <c r="E7231">
        <f>IF(DATOS!$I7231="","",IFERROR(VLOOKUP(DATOS!$I7231,CONFIG_ASIGNATURAS!$B$2:$J$61,9,FALSE()),""))</f>
      </c>
    </row>
    <row r="7232">
      <c r="E7232">
        <f>IF(DATOS!$I7232="","",IFERROR(VLOOKUP(DATOS!$I7232,CONFIG_ASIGNATURAS!$B$2:$J$61,9,FALSE()),""))</f>
      </c>
    </row>
    <row r="7233">
      <c r="E7233">
        <f>IF(DATOS!$I7233="","",IFERROR(VLOOKUP(DATOS!$I7233,CONFIG_ASIGNATURAS!$B$2:$J$61,9,FALSE()),""))</f>
      </c>
    </row>
    <row r="7234">
      <c r="E7234">
        <f>IF(DATOS!$I7234="","",IFERROR(VLOOKUP(DATOS!$I7234,CONFIG_ASIGNATURAS!$B$2:$J$61,9,FALSE()),""))</f>
      </c>
    </row>
    <row r="7235">
      <c r="E7235">
        <f>IF(DATOS!$I7235="","",IFERROR(VLOOKUP(DATOS!$I7235,CONFIG_ASIGNATURAS!$B$2:$J$61,9,FALSE()),""))</f>
      </c>
    </row>
    <row r="7236">
      <c r="E7236">
        <f>IF(DATOS!$I7236="","",IFERROR(VLOOKUP(DATOS!$I7236,CONFIG_ASIGNATURAS!$B$2:$J$61,9,FALSE()),""))</f>
      </c>
    </row>
    <row r="7237">
      <c r="E7237">
        <f>IF(DATOS!$I7237="","",IFERROR(VLOOKUP(DATOS!$I7237,CONFIG_ASIGNATURAS!$B$2:$J$61,9,FALSE()),""))</f>
      </c>
    </row>
    <row r="7238">
      <c r="E7238">
        <f>IF(DATOS!$I7238="","",IFERROR(VLOOKUP(DATOS!$I7238,CONFIG_ASIGNATURAS!$B$2:$J$61,9,FALSE()),""))</f>
      </c>
    </row>
    <row r="7239">
      <c r="E7239">
        <f>IF(DATOS!$I7239="","",IFERROR(VLOOKUP(DATOS!$I7239,CONFIG_ASIGNATURAS!$B$2:$J$61,9,FALSE()),""))</f>
      </c>
    </row>
    <row r="7240">
      <c r="E7240">
        <f>IF(DATOS!$I7240="","",IFERROR(VLOOKUP(DATOS!$I7240,CONFIG_ASIGNATURAS!$B$2:$J$61,9,FALSE()),""))</f>
      </c>
    </row>
    <row r="7241">
      <c r="E7241">
        <f>IF(DATOS!$I7241="","",IFERROR(VLOOKUP(DATOS!$I7241,CONFIG_ASIGNATURAS!$B$2:$J$61,9,FALSE()),""))</f>
      </c>
    </row>
    <row r="7242">
      <c r="E7242">
        <f>IF(DATOS!$I7242="","",IFERROR(VLOOKUP(DATOS!$I7242,CONFIG_ASIGNATURAS!$B$2:$J$61,9,FALSE()),""))</f>
      </c>
    </row>
    <row r="7243">
      <c r="E7243">
        <f>IF(DATOS!$I7243="","",IFERROR(VLOOKUP(DATOS!$I7243,CONFIG_ASIGNATURAS!$B$2:$J$61,9,FALSE()),""))</f>
      </c>
    </row>
    <row r="7244">
      <c r="E7244">
        <f>IF(DATOS!$I7244="","",IFERROR(VLOOKUP(DATOS!$I7244,CONFIG_ASIGNATURAS!$B$2:$J$61,9,FALSE()),""))</f>
      </c>
    </row>
    <row r="7245">
      <c r="E7245">
        <f>IF(DATOS!$I7245="","",IFERROR(VLOOKUP(DATOS!$I7245,CONFIG_ASIGNATURAS!$B$2:$J$61,9,FALSE()),""))</f>
      </c>
    </row>
    <row r="7246">
      <c r="E7246">
        <f>IF(DATOS!$I7246="","",IFERROR(VLOOKUP(DATOS!$I7246,CONFIG_ASIGNATURAS!$B$2:$J$61,9,FALSE()),""))</f>
      </c>
    </row>
    <row r="7247">
      <c r="E7247">
        <f>IF(DATOS!$I7247="","",IFERROR(VLOOKUP(DATOS!$I7247,CONFIG_ASIGNATURAS!$B$2:$J$61,9,FALSE()),""))</f>
      </c>
    </row>
    <row r="7248">
      <c r="E7248">
        <f>IF(DATOS!$I7248="","",IFERROR(VLOOKUP(DATOS!$I7248,CONFIG_ASIGNATURAS!$B$2:$J$61,9,FALSE()),""))</f>
      </c>
    </row>
    <row r="7249">
      <c r="E7249">
        <f>IF(DATOS!$I7249="","",IFERROR(VLOOKUP(DATOS!$I7249,CONFIG_ASIGNATURAS!$B$2:$J$61,9,FALSE()),""))</f>
      </c>
    </row>
    <row r="7250">
      <c r="E7250">
        <f>IF(DATOS!$I7250="","",IFERROR(VLOOKUP(DATOS!$I7250,CONFIG_ASIGNATURAS!$B$2:$J$61,9,FALSE()),""))</f>
      </c>
    </row>
    <row r="7251">
      <c r="E7251">
        <f>IF(DATOS!$I7251="","",IFERROR(VLOOKUP(DATOS!$I7251,CONFIG_ASIGNATURAS!$B$2:$J$61,9,FALSE()),""))</f>
      </c>
    </row>
    <row r="7252">
      <c r="E7252">
        <f>IF(DATOS!$I7252="","",IFERROR(VLOOKUP(DATOS!$I7252,CONFIG_ASIGNATURAS!$B$2:$J$61,9,FALSE()),""))</f>
      </c>
    </row>
    <row r="7253">
      <c r="E7253">
        <f>IF(DATOS!$I7253="","",IFERROR(VLOOKUP(DATOS!$I7253,CONFIG_ASIGNATURAS!$B$2:$J$61,9,FALSE()),""))</f>
      </c>
    </row>
    <row r="7254">
      <c r="E7254">
        <f>IF(DATOS!$I7254="","",IFERROR(VLOOKUP(DATOS!$I7254,CONFIG_ASIGNATURAS!$B$2:$J$61,9,FALSE()),""))</f>
      </c>
    </row>
    <row r="7255">
      <c r="E7255">
        <f>IF(DATOS!$I7255="","",IFERROR(VLOOKUP(DATOS!$I7255,CONFIG_ASIGNATURAS!$B$2:$J$61,9,FALSE()),""))</f>
      </c>
    </row>
    <row r="7256">
      <c r="E7256">
        <f>IF(DATOS!$I7256="","",IFERROR(VLOOKUP(DATOS!$I7256,CONFIG_ASIGNATURAS!$B$2:$J$61,9,FALSE()),""))</f>
      </c>
    </row>
    <row r="7257">
      <c r="E7257">
        <f>IF(DATOS!$I7257="","",IFERROR(VLOOKUP(DATOS!$I7257,CONFIG_ASIGNATURAS!$B$2:$J$61,9,FALSE()),""))</f>
      </c>
    </row>
    <row r="7258">
      <c r="E7258">
        <f>IF(DATOS!$I7258="","",IFERROR(VLOOKUP(DATOS!$I7258,CONFIG_ASIGNATURAS!$B$2:$J$61,9,FALSE()),""))</f>
      </c>
    </row>
    <row r="7259">
      <c r="E7259">
        <f>IF(DATOS!$I7259="","",IFERROR(VLOOKUP(DATOS!$I7259,CONFIG_ASIGNATURAS!$B$2:$J$61,9,FALSE()),""))</f>
      </c>
    </row>
    <row r="7260">
      <c r="E7260">
        <f>IF(DATOS!$I7260="","",IFERROR(VLOOKUP(DATOS!$I7260,CONFIG_ASIGNATURAS!$B$2:$J$61,9,FALSE()),""))</f>
      </c>
    </row>
    <row r="7261">
      <c r="E7261">
        <f>IF(DATOS!$I7261="","",IFERROR(VLOOKUP(DATOS!$I7261,CONFIG_ASIGNATURAS!$B$2:$J$61,9,FALSE()),""))</f>
      </c>
    </row>
    <row r="7262">
      <c r="E7262">
        <f>IF(DATOS!$I7262="","",IFERROR(VLOOKUP(DATOS!$I7262,CONFIG_ASIGNATURAS!$B$2:$J$61,9,FALSE()),""))</f>
      </c>
    </row>
    <row r="7263">
      <c r="E7263">
        <f>IF(DATOS!$I7263="","",IFERROR(VLOOKUP(DATOS!$I7263,CONFIG_ASIGNATURAS!$B$2:$J$61,9,FALSE()),""))</f>
      </c>
    </row>
    <row r="7264">
      <c r="E7264">
        <f>IF(DATOS!$I7264="","",IFERROR(VLOOKUP(DATOS!$I7264,CONFIG_ASIGNATURAS!$B$2:$J$61,9,FALSE()),""))</f>
      </c>
    </row>
    <row r="7265">
      <c r="E7265">
        <f>IF(DATOS!$I7265="","",IFERROR(VLOOKUP(DATOS!$I7265,CONFIG_ASIGNATURAS!$B$2:$J$61,9,FALSE()),""))</f>
      </c>
    </row>
    <row r="7266">
      <c r="E7266">
        <f>IF(DATOS!$I7266="","",IFERROR(VLOOKUP(DATOS!$I7266,CONFIG_ASIGNATURAS!$B$2:$J$61,9,FALSE()),""))</f>
      </c>
    </row>
    <row r="7267">
      <c r="E7267">
        <f>IF(DATOS!$I7267="","",IFERROR(VLOOKUP(DATOS!$I7267,CONFIG_ASIGNATURAS!$B$2:$J$61,9,FALSE()),""))</f>
      </c>
    </row>
    <row r="7268">
      <c r="E7268">
        <f>IF(DATOS!$I7268="","",IFERROR(VLOOKUP(DATOS!$I7268,CONFIG_ASIGNATURAS!$B$2:$J$61,9,FALSE()),""))</f>
      </c>
    </row>
    <row r="7269">
      <c r="E7269">
        <f>IF(DATOS!$I7269="","",IFERROR(VLOOKUP(DATOS!$I7269,CONFIG_ASIGNATURAS!$B$2:$J$61,9,FALSE()),""))</f>
      </c>
    </row>
    <row r="7270">
      <c r="E7270">
        <f>IF(DATOS!$I7270="","",IFERROR(VLOOKUP(DATOS!$I7270,CONFIG_ASIGNATURAS!$B$2:$J$61,9,FALSE()),""))</f>
      </c>
    </row>
    <row r="7271">
      <c r="E7271">
        <f>IF(DATOS!$I7271="","",IFERROR(VLOOKUP(DATOS!$I7271,CONFIG_ASIGNATURAS!$B$2:$J$61,9,FALSE()),""))</f>
      </c>
    </row>
    <row r="7272">
      <c r="E7272">
        <f>IF(DATOS!$I7272="","",IFERROR(VLOOKUP(DATOS!$I7272,CONFIG_ASIGNATURAS!$B$2:$J$61,9,FALSE()),""))</f>
      </c>
    </row>
    <row r="7273">
      <c r="E7273">
        <f>IF(DATOS!$I7273="","",IFERROR(VLOOKUP(DATOS!$I7273,CONFIG_ASIGNATURAS!$B$2:$J$61,9,FALSE()),""))</f>
      </c>
    </row>
    <row r="7274">
      <c r="E7274">
        <f>IF(DATOS!$I7274="","",IFERROR(VLOOKUP(DATOS!$I7274,CONFIG_ASIGNATURAS!$B$2:$J$61,9,FALSE()),""))</f>
      </c>
    </row>
    <row r="7275">
      <c r="E7275">
        <f>IF(DATOS!$I7275="","",IFERROR(VLOOKUP(DATOS!$I7275,CONFIG_ASIGNATURAS!$B$2:$J$61,9,FALSE()),""))</f>
      </c>
    </row>
    <row r="7276">
      <c r="E7276">
        <f>IF(DATOS!$I7276="","",IFERROR(VLOOKUP(DATOS!$I7276,CONFIG_ASIGNATURAS!$B$2:$J$61,9,FALSE()),""))</f>
      </c>
    </row>
    <row r="7277">
      <c r="E7277">
        <f>IF(DATOS!$I7277="","",IFERROR(VLOOKUP(DATOS!$I7277,CONFIG_ASIGNATURAS!$B$2:$J$61,9,FALSE()),""))</f>
      </c>
    </row>
    <row r="7278">
      <c r="E7278">
        <f>IF(DATOS!$I7278="","",IFERROR(VLOOKUP(DATOS!$I7278,CONFIG_ASIGNATURAS!$B$2:$J$61,9,FALSE()),""))</f>
      </c>
    </row>
    <row r="7279">
      <c r="E7279">
        <f>IF(DATOS!$I7279="","",IFERROR(VLOOKUP(DATOS!$I7279,CONFIG_ASIGNATURAS!$B$2:$J$61,9,FALSE()),""))</f>
      </c>
    </row>
    <row r="7280">
      <c r="E7280">
        <f>IF(DATOS!$I7280="","",IFERROR(VLOOKUP(DATOS!$I7280,CONFIG_ASIGNATURAS!$B$2:$J$61,9,FALSE()),""))</f>
      </c>
    </row>
    <row r="7281">
      <c r="E7281">
        <f>IF(DATOS!$I7281="","",IFERROR(VLOOKUP(DATOS!$I7281,CONFIG_ASIGNATURAS!$B$2:$J$61,9,FALSE()),""))</f>
      </c>
    </row>
    <row r="7282">
      <c r="E7282">
        <f>IF(DATOS!$I7282="","",IFERROR(VLOOKUP(DATOS!$I7282,CONFIG_ASIGNATURAS!$B$2:$J$61,9,FALSE()),""))</f>
      </c>
    </row>
    <row r="7283">
      <c r="E7283">
        <f>IF(DATOS!$I7283="","",IFERROR(VLOOKUP(DATOS!$I7283,CONFIG_ASIGNATURAS!$B$2:$J$61,9,FALSE()),""))</f>
      </c>
    </row>
    <row r="7284">
      <c r="E7284">
        <f>IF(DATOS!$I7284="","",IFERROR(VLOOKUP(DATOS!$I7284,CONFIG_ASIGNATURAS!$B$2:$J$61,9,FALSE()),""))</f>
      </c>
    </row>
    <row r="7285">
      <c r="E7285">
        <f>IF(DATOS!$I7285="","",IFERROR(VLOOKUP(DATOS!$I7285,CONFIG_ASIGNATURAS!$B$2:$J$61,9,FALSE()),""))</f>
      </c>
    </row>
    <row r="7286">
      <c r="E7286">
        <f>IF(DATOS!$I7286="","",IFERROR(VLOOKUP(DATOS!$I7286,CONFIG_ASIGNATURAS!$B$2:$J$61,9,FALSE()),""))</f>
      </c>
    </row>
    <row r="7287">
      <c r="E7287">
        <f>IF(DATOS!$I7287="","",IFERROR(VLOOKUP(DATOS!$I7287,CONFIG_ASIGNATURAS!$B$2:$J$61,9,FALSE()),""))</f>
      </c>
    </row>
    <row r="7288">
      <c r="E7288">
        <f>IF(DATOS!$I7288="","",IFERROR(VLOOKUP(DATOS!$I7288,CONFIG_ASIGNATURAS!$B$2:$J$61,9,FALSE()),""))</f>
      </c>
    </row>
    <row r="7289">
      <c r="E7289">
        <f>IF(DATOS!$I7289="","",IFERROR(VLOOKUP(DATOS!$I7289,CONFIG_ASIGNATURAS!$B$2:$J$61,9,FALSE()),""))</f>
      </c>
    </row>
    <row r="7290">
      <c r="E7290">
        <f>IF(DATOS!$I7290="","",IFERROR(VLOOKUP(DATOS!$I7290,CONFIG_ASIGNATURAS!$B$2:$J$61,9,FALSE()),""))</f>
      </c>
    </row>
    <row r="7291">
      <c r="E7291">
        <f>IF(DATOS!$I7291="","",IFERROR(VLOOKUP(DATOS!$I7291,CONFIG_ASIGNATURAS!$B$2:$J$61,9,FALSE()),""))</f>
      </c>
    </row>
    <row r="7292">
      <c r="E7292">
        <f>IF(DATOS!$I7292="","",IFERROR(VLOOKUP(DATOS!$I7292,CONFIG_ASIGNATURAS!$B$2:$J$61,9,FALSE()),""))</f>
      </c>
    </row>
    <row r="7293">
      <c r="E7293">
        <f>IF(DATOS!$I7293="","",IFERROR(VLOOKUP(DATOS!$I7293,CONFIG_ASIGNATURAS!$B$2:$J$61,9,FALSE()),""))</f>
      </c>
    </row>
    <row r="7294">
      <c r="E7294">
        <f>IF(DATOS!$I7294="","",IFERROR(VLOOKUP(DATOS!$I7294,CONFIG_ASIGNATURAS!$B$2:$J$61,9,FALSE()),""))</f>
      </c>
    </row>
    <row r="7295">
      <c r="E7295">
        <f>IF(DATOS!$I7295="","",IFERROR(VLOOKUP(DATOS!$I7295,CONFIG_ASIGNATURAS!$B$2:$J$61,9,FALSE()),""))</f>
      </c>
    </row>
    <row r="7296">
      <c r="E7296">
        <f>IF(DATOS!$I7296="","",IFERROR(VLOOKUP(DATOS!$I7296,CONFIG_ASIGNATURAS!$B$2:$J$61,9,FALSE()),""))</f>
      </c>
    </row>
    <row r="7297">
      <c r="E7297">
        <f>IF(DATOS!$I7297="","",IFERROR(VLOOKUP(DATOS!$I7297,CONFIG_ASIGNATURAS!$B$2:$J$61,9,FALSE()),""))</f>
      </c>
    </row>
    <row r="7298">
      <c r="E7298">
        <f>IF(DATOS!$I7298="","",IFERROR(VLOOKUP(DATOS!$I7298,CONFIG_ASIGNATURAS!$B$2:$J$61,9,FALSE()),""))</f>
      </c>
    </row>
    <row r="7299">
      <c r="E7299">
        <f>IF(DATOS!$I7299="","",IFERROR(VLOOKUP(DATOS!$I7299,CONFIG_ASIGNATURAS!$B$2:$J$61,9,FALSE()),""))</f>
      </c>
    </row>
    <row r="7300">
      <c r="E7300">
        <f>IF(DATOS!$I7300="","",IFERROR(VLOOKUP(DATOS!$I7300,CONFIG_ASIGNATURAS!$B$2:$J$61,9,FALSE()),""))</f>
      </c>
    </row>
    <row r="7301">
      <c r="E7301">
        <f>IF(DATOS!$I7301="","",IFERROR(VLOOKUP(DATOS!$I7301,CONFIG_ASIGNATURAS!$B$2:$J$61,9,FALSE()),""))</f>
      </c>
    </row>
    <row r="7302">
      <c r="E7302">
        <f>IF(DATOS!$I7302="","",IFERROR(VLOOKUP(DATOS!$I7302,CONFIG_ASIGNATURAS!$B$2:$J$61,9,FALSE()),""))</f>
      </c>
    </row>
    <row r="7303">
      <c r="E7303">
        <f>IF(DATOS!$I7303="","",IFERROR(VLOOKUP(DATOS!$I7303,CONFIG_ASIGNATURAS!$B$2:$J$61,9,FALSE()),""))</f>
      </c>
    </row>
    <row r="7304">
      <c r="E7304">
        <f>IF(DATOS!$I7304="","",IFERROR(VLOOKUP(DATOS!$I7304,CONFIG_ASIGNATURAS!$B$2:$J$61,9,FALSE()),""))</f>
      </c>
    </row>
    <row r="7305">
      <c r="E7305">
        <f>IF(DATOS!$I7305="","",IFERROR(VLOOKUP(DATOS!$I7305,CONFIG_ASIGNATURAS!$B$2:$J$61,9,FALSE()),""))</f>
      </c>
    </row>
    <row r="7306">
      <c r="E7306">
        <f>IF(DATOS!$I7306="","",IFERROR(VLOOKUP(DATOS!$I7306,CONFIG_ASIGNATURAS!$B$2:$J$61,9,FALSE()),""))</f>
      </c>
    </row>
    <row r="7307">
      <c r="E7307">
        <f>IF(DATOS!$I7307="","",IFERROR(VLOOKUP(DATOS!$I7307,CONFIG_ASIGNATURAS!$B$2:$J$61,9,FALSE()),""))</f>
      </c>
    </row>
    <row r="7308">
      <c r="E7308">
        <f>IF(DATOS!$I7308="","",IFERROR(VLOOKUP(DATOS!$I7308,CONFIG_ASIGNATURAS!$B$2:$J$61,9,FALSE()),""))</f>
      </c>
    </row>
    <row r="7309">
      <c r="E7309">
        <f>IF(DATOS!$I7309="","",IFERROR(VLOOKUP(DATOS!$I7309,CONFIG_ASIGNATURAS!$B$2:$J$61,9,FALSE()),""))</f>
      </c>
    </row>
    <row r="7310">
      <c r="E7310">
        <f>IF(DATOS!$I7310="","",IFERROR(VLOOKUP(DATOS!$I7310,CONFIG_ASIGNATURAS!$B$2:$J$61,9,FALSE()),""))</f>
      </c>
    </row>
    <row r="7311">
      <c r="E7311">
        <f>IF(DATOS!$I7311="","",IFERROR(VLOOKUP(DATOS!$I7311,CONFIG_ASIGNATURAS!$B$2:$J$61,9,FALSE()),""))</f>
      </c>
    </row>
    <row r="7312">
      <c r="E7312">
        <f>IF(DATOS!$I7312="","",IFERROR(VLOOKUP(DATOS!$I7312,CONFIG_ASIGNATURAS!$B$2:$J$61,9,FALSE()),""))</f>
      </c>
    </row>
    <row r="7313">
      <c r="E7313">
        <f>IF(DATOS!$I7313="","",IFERROR(VLOOKUP(DATOS!$I7313,CONFIG_ASIGNATURAS!$B$2:$J$61,9,FALSE()),""))</f>
      </c>
    </row>
    <row r="7314">
      <c r="E7314">
        <f>IF(DATOS!$I7314="","",IFERROR(VLOOKUP(DATOS!$I7314,CONFIG_ASIGNATURAS!$B$2:$J$61,9,FALSE()),""))</f>
      </c>
    </row>
    <row r="7315">
      <c r="E7315">
        <f>IF(DATOS!$I7315="","",IFERROR(VLOOKUP(DATOS!$I7315,CONFIG_ASIGNATURAS!$B$2:$J$61,9,FALSE()),""))</f>
      </c>
    </row>
    <row r="7316">
      <c r="E7316">
        <f>IF(DATOS!$I7316="","",IFERROR(VLOOKUP(DATOS!$I7316,CONFIG_ASIGNATURAS!$B$2:$J$61,9,FALSE()),""))</f>
      </c>
    </row>
    <row r="7317">
      <c r="E7317">
        <f>IF(DATOS!$I7317="","",IFERROR(VLOOKUP(DATOS!$I7317,CONFIG_ASIGNATURAS!$B$2:$J$61,9,FALSE()),""))</f>
      </c>
    </row>
    <row r="7318">
      <c r="E7318">
        <f>IF(DATOS!$I7318="","",IFERROR(VLOOKUP(DATOS!$I7318,CONFIG_ASIGNATURAS!$B$2:$J$61,9,FALSE()),""))</f>
      </c>
    </row>
    <row r="7319">
      <c r="E7319">
        <f>IF(DATOS!$I7319="","",IFERROR(VLOOKUP(DATOS!$I7319,CONFIG_ASIGNATURAS!$B$2:$J$61,9,FALSE()),""))</f>
      </c>
    </row>
    <row r="7320">
      <c r="E7320">
        <f>IF(DATOS!$I7320="","",IFERROR(VLOOKUP(DATOS!$I7320,CONFIG_ASIGNATURAS!$B$2:$J$61,9,FALSE()),""))</f>
      </c>
    </row>
    <row r="7321">
      <c r="E7321">
        <f>IF(DATOS!$I7321="","",IFERROR(VLOOKUP(DATOS!$I7321,CONFIG_ASIGNATURAS!$B$2:$J$61,9,FALSE()),""))</f>
      </c>
    </row>
    <row r="7322">
      <c r="E7322">
        <f>IF(DATOS!$I7322="","",IFERROR(VLOOKUP(DATOS!$I7322,CONFIG_ASIGNATURAS!$B$2:$J$61,9,FALSE()),""))</f>
      </c>
    </row>
    <row r="7323">
      <c r="E7323">
        <f>IF(DATOS!$I7323="","",IFERROR(VLOOKUP(DATOS!$I7323,CONFIG_ASIGNATURAS!$B$2:$J$61,9,FALSE()),""))</f>
      </c>
    </row>
    <row r="7324">
      <c r="E7324">
        <f>IF(DATOS!$I7324="","",IFERROR(VLOOKUP(DATOS!$I7324,CONFIG_ASIGNATURAS!$B$2:$J$61,9,FALSE()),""))</f>
      </c>
    </row>
    <row r="7325">
      <c r="E7325">
        <f>IF(DATOS!$I7325="","",IFERROR(VLOOKUP(DATOS!$I7325,CONFIG_ASIGNATURAS!$B$2:$J$61,9,FALSE()),""))</f>
      </c>
    </row>
    <row r="7326">
      <c r="E7326">
        <f>IF(DATOS!$I7326="","",IFERROR(VLOOKUP(DATOS!$I7326,CONFIG_ASIGNATURAS!$B$2:$J$61,9,FALSE()),""))</f>
      </c>
    </row>
    <row r="7327">
      <c r="E7327">
        <f>IF(DATOS!$I7327="","",IFERROR(VLOOKUP(DATOS!$I7327,CONFIG_ASIGNATURAS!$B$2:$J$61,9,FALSE()),""))</f>
      </c>
    </row>
    <row r="7328">
      <c r="E7328">
        <f>IF(DATOS!$I7328="","",IFERROR(VLOOKUP(DATOS!$I7328,CONFIG_ASIGNATURAS!$B$2:$J$61,9,FALSE()),""))</f>
      </c>
    </row>
    <row r="7329">
      <c r="E7329">
        <f>IF(DATOS!$I7329="","",IFERROR(VLOOKUP(DATOS!$I7329,CONFIG_ASIGNATURAS!$B$2:$J$61,9,FALSE()),""))</f>
      </c>
    </row>
    <row r="7330">
      <c r="E7330">
        <f>IF(DATOS!$I7330="","",IFERROR(VLOOKUP(DATOS!$I7330,CONFIG_ASIGNATURAS!$B$2:$J$61,9,FALSE()),""))</f>
      </c>
    </row>
    <row r="7331">
      <c r="E7331">
        <f>IF(DATOS!$I7331="","",IFERROR(VLOOKUP(DATOS!$I7331,CONFIG_ASIGNATURAS!$B$2:$J$61,9,FALSE()),""))</f>
      </c>
    </row>
    <row r="7332">
      <c r="E7332">
        <f>IF(DATOS!$I7332="","",IFERROR(VLOOKUP(DATOS!$I7332,CONFIG_ASIGNATURAS!$B$2:$J$61,9,FALSE()),""))</f>
      </c>
    </row>
    <row r="7333">
      <c r="E7333">
        <f>IF(DATOS!$I7333="","",IFERROR(VLOOKUP(DATOS!$I7333,CONFIG_ASIGNATURAS!$B$2:$J$61,9,FALSE()),""))</f>
      </c>
    </row>
    <row r="7334">
      <c r="E7334">
        <f>IF(DATOS!$I7334="","",IFERROR(VLOOKUP(DATOS!$I7334,CONFIG_ASIGNATURAS!$B$2:$J$61,9,FALSE()),""))</f>
      </c>
    </row>
    <row r="7335">
      <c r="E7335">
        <f>IF(DATOS!$I7335="","",IFERROR(VLOOKUP(DATOS!$I7335,CONFIG_ASIGNATURAS!$B$2:$J$61,9,FALSE()),""))</f>
      </c>
    </row>
    <row r="7336">
      <c r="E7336">
        <f>IF(DATOS!$I7336="","",IFERROR(VLOOKUP(DATOS!$I7336,CONFIG_ASIGNATURAS!$B$2:$J$61,9,FALSE()),""))</f>
      </c>
    </row>
    <row r="7337">
      <c r="E7337">
        <f>IF(DATOS!$I7337="","",IFERROR(VLOOKUP(DATOS!$I7337,CONFIG_ASIGNATURAS!$B$2:$J$61,9,FALSE()),""))</f>
      </c>
    </row>
    <row r="7338">
      <c r="E7338">
        <f>IF(DATOS!$I7338="","",IFERROR(VLOOKUP(DATOS!$I7338,CONFIG_ASIGNATURAS!$B$2:$J$61,9,FALSE()),""))</f>
      </c>
    </row>
    <row r="7339">
      <c r="E7339">
        <f>IF(DATOS!$I7339="","",IFERROR(VLOOKUP(DATOS!$I7339,CONFIG_ASIGNATURAS!$B$2:$J$61,9,FALSE()),""))</f>
      </c>
    </row>
    <row r="7340">
      <c r="E7340">
        <f>IF(DATOS!$I7340="","",IFERROR(VLOOKUP(DATOS!$I7340,CONFIG_ASIGNATURAS!$B$2:$J$61,9,FALSE()),""))</f>
      </c>
    </row>
    <row r="7341">
      <c r="E7341">
        <f>IF(DATOS!$I7341="","",IFERROR(VLOOKUP(DATOS!$I7341,CONFIG_ASIGNATURAS!$B$2:$J$61,9,FALSE()),""))</f>
      </c>
    </row>
    <row r="7342">
      <c r="E7342">
        <f>IF(DATOS!$I7342="","",IFERROR(VLOOKUP(DATOS!$I7342,CONFIG_ASIGNATURAS!$B$2:$J$61,9,FALSE()),""))</f>
      </c>
    </row>
    <row r="7343">
      <c r="E7343">
        <f>IF(DATOS!$I7343="","",IFERROR(VLOOKUP(DATOS!$I7343,CONFIG_ASIGNATURAS!$B$2:$J$61,9,FALSE()),""))</f>
      </c>
    </row>
    <row r="7344">
      <c r="E7344">
        <f>IF(DATOS!$I7344="","",IFERROR(VLOOKUP(DATOS!$I7344,CONFIG_ASIGNATURAS!$B$2:$J$61,9,FALSE()),""))</f>
      </c>
    </row>
    <row r="7345">
      <c r="E7345">
        <f>IF(DATOS!$I7345="","",IFERROR(VLOOKUP(DATOS!$I7345,CONFIG_ASIGNATURAS!$B$2:$J$61,9,FALSE()),""))</f>
      </c>
    </row>
    <row r="7346">
      <c r="E7346">
        <f>IF(DATOS!$I7346="","",IFERROR(VLOOKUP(DATOS!$I7346,CONFIG_ASIGNATURAS!$B$2:$J$61,9,FALSE()),""))</f>
      </c>
    </row>
    <row r="7347">
      <c r="E7347">
        <f>IF(DATOS!$I7347="","",IFERROR(VLOOKUP(DATOS!$I7347,CONFIG_ASIGNATURAS!$B$2:$J$61,9,FALSE()),""))</f>
      </c>
    </row>
    <row r="7348">
      <c r="E7348">
        <f>IF(DATOS!$I7348="","",IFERROR(VLOOKUP(DATOS!$I7348,CONFIG_ASIGNATURAS!$B$2:$J$61,9,FALSE()),""))</f>
      </c>
    </row>
    <row r="7349">
      <c r="E7349">
        <f>IF(DATOS!$I7349="","",IFERROR(VLOOKUP(DATOS!$I7349,CONFIG_ASIGNATURAS!$B$2:$J$61,9,FALSE()),""))</f>
      </c>
    </row>
    <row r="7350">
      <c r="E7350">
        <f>IF(DATOS!$I7350="","",IFERROR(VLOOKUP(DATOS!$I7350,CONFIG_ASIGNATURAS!$B$2:$J$61,9,FALSE()),""))</f>
      </c>
    </row>
    <row r="7351">
      <c r="E7351">
        <f>IF(DATOS!$I7351="","",IFERROR(VLOOKUP(DATOS!$I7351,CONFIG_ASIGNATURAS!$B$2:$J$61,9,FALSE()),""))</f>
      </c>
    </row>
    <row r="7352">
      <c r="E7352">
        <f>IF(DATOS!$I7352="","",IFERROR(VLOOKUP(DATOS!$I7352,CONFIG_ASIGNATURAS!$B$2:$J$61,9,FALSE()),""))</f>
      </c>
    </row>
    <row r="7353">
      <c r="E7353">
        <f>IF(DATOS!$I7353="","",IFERROR(VLOOKUP(DATOS!$I7353,CONFIG_ASIGNATURAS!$B$2:$J$61,9,FALSE()),""))</f>
      </c>
    </row>
    <row r="7354">
      <c r="E7354">
        <f>IF(DATOS!$I7354="","",IFERROR(VLOOKUP(DATOS!$I7354,CONFIG_ASIGNATURAS!$B$2:$J$61,9,FALSE()),""))</f>
      </c>
    </row>
    <row r="7355">
      <c r="E7355">
        <f>IF(DATOS!$I7355="","",IFERROR(VLOOKUP(DATOS!$I7355,CONFIG_ASIGNATURAS!$B$2:$J$61,9,FALSE()),""))</f>
      </c>
    </row>
    <row r="7356">
      <c r="E7356">
        <f>IF(DATOS!$I7356="","",IFERROR(VLOOKUP(DATOS!$I7356,CONFIG_ASIGNATURAS!$B$2:$J$61,9,FALSE()),""))</f>
      </c>
    </row>
    <row r="7357">
      <c r="E7357">
        <f>IF(DATOS!$I7357="","",IFERROR(VLOOKUP(DATOS!$I7357,CONFIG_ASIGNATURAS!$B$2:$J$61,9,FALSE()),""))</f>
      </c>
    </row>
    <row r="7358">
      <c r="E7358">
        <f>IF(DATOS!$I7358="","",IFERROR(VLOOKUP(DATOS!$I7358,CONFIG_ASIGNATURAS!$B$2:$J$61,9,FALSE()),""))</f>
      </c>
    </row>
    <row r="7359">
      <c r="E7359">
        <f>IF(DATOS!$I7359="","",IFERROR(VLOOKUP(DATOS!$I7359,CONFIG_ASIGNATURAS!$B$2:$J$61,9,FALSE()),""))</f>
      </c>
    </row>
    <row r="7360">
      <c r="E7360">
        <f>IF(DATOS!$I7360="","",IFERROR(VLOOKUP(DATOS!$I7360,CONFIG_ASIGNATURAS!$B$2:$J$61,9,FALSE()),""))</f>
      </c>
    </row>
    <row r="7361">
      <c r="E7361">
        <f>IF(DATOS!$I7361="","",IFERROR(VLOOKUP(DATOS!$I7361,CONFIG_ASIGNATURAS!$B$2:$J$61,9,FALSE()),""))</f>
      </c>
    </row>
    <row r="7362">
      <c r="E7362">
        <f>IF(DATOS!$I7362="","",IFERROR(VLOOKUP(DATOS!$I7362,CONFIG_ASIGNATURAS!$B$2:$J$61,9,FALSE()),""))</f>
      </c>
    </row>
    <row r="7363">
      <c r="E7363">
        <f>IF(DATOS!$I7363="","",IFERROR(VLOOKUP(DATOS!$I7363,CONFIG_ASIGNATURAS!$B$2:$J$61,9,FALSE()),""))</f>
      </c>
    </row>
    <row r="7364">
      <c r="E7364">
        <f>IF(DATOS!$I7364="","",IFERROR(VLOOKUP(DATOS!$I7364,CONFIG_ASIGNATURAS!$B$2:$J$61,9,FALSE()),""))</f>
      </c>
    </row>
    <row r="7365">
      <c r="E7365">
        <f>IF(DATOS!$I7365="","",IFERROR(VLOOKUP(DATOS!$I7365,CONFIG_ASIGNATURAS!$B$2:$J$61,9,FALSE()),""))</f>
      </c>
    </row>
    <row r="7366">
      <c r="E7366">
        <f>IF(DATOS!$I7366="","",IFERROR(VLOOKUP(DATOS!$I7366,CONFIG_ASIGNATURAS!$B$2:$J$61,9,FALSE()),""))</f>
      </c>
    </row>
    <row r="7367">
      <c r="E7367">
        <f>IF(DATOS!$I7367="","",IFERROR(VLOOKUP(DATOS!$I7367,CONFIG_ASIGNATURAS!$B$2:$J$61,9,FALSE()),""))</f>
      </c>
    </row>
    <row r="7368">
      <c r="E7368">
        <f>IF(DATOS!$I7368="","",IFERROR(VLOOKUP(DATOS!$I7368,CONFIG_ASIGNATURAS!$B$2:$J$61,9,FALSE()),""))</f>
      </c>
    </row>
    <row r="7369">
      <c r="E7369">
        <f>IF(DATOS!$I7369="","",IFERROR(VLOOKUP(DATOS!$I7369,CONFIG_ASIGNATURAS!$B$2:$J$61,9,FALSE()),""))</f>
      </c>
    </row>
    <row r="7370">
      <c r="E7370">
        <f>IF(DATOS!$I7370="","",IFERROR(VLOOKUP(DATOS!$I7370,CONFIG_ASIGNATURAS!$B$2:$J$61,9,FALSE()),""))</f>
      </c>
    </row>
    <row r="7371">
      <c r="E7371">
        <f>IF(DATOS!$I7371="","",IFERROR(VLOOKUP(DATOS!$I7371,CONFIG_ASIGNATURAS!$B$2:$J$61,9,FALSE()),""))</f>
      </c>
    </row>
    <row r="7372">
      <c r="E7372">
        <f>IF(DATOS!$I7372="","",IFERROR(VLOOKUP(DATOS!$I7372,CONFIG_ASIGNATURAS!$B$2:$J$61,9,FALSE()),""))</f>
      </c>
    </row>
    <row r="7373">
      <c r="E7373">
        <f>IF(DATOS!$I7373="","",IFERROR(VLOOKUP(DATOS!$I7373,CONFIG_ASIGNATURAS!$B$2:$J$61,9,FALSE()),""))</f>
      </c>
    </row>
    <row r="7374">
      <c r="E7374">
        <f>IF(DATOS!$I7374="","",IFERROR(VLOOKUP(DATOS!$I7374,CONFIG_ASIGNATURAS!$B$2:$J$61,9,FALSE()),""))</f>
      </c>
    </row>
    <row r="7375">
      <c r="E7375">
        <f>IF(DATOS!$I7375="","",IFERROR(VLOOKUP(DATOS!$I7375,CONFIG_ASIGNATURAS!$B$2:$J$61,9,FALSE()),""))</f>
      </c>
    </row>
    <row r="7376">
      <c r="E7376">
        <f>IF(DATOS!$I7376="","",IFERROR(VLOOKUP(DATOS!$I7376,CONFIG_ASIGNATURAS!$B$2:$J$61,9,FALSE()),""))</f>
      </c>
    </row>
    <row r="7377">
      <c r="E7377">
        <f>IF(DATOS!$I7377="","",IFERROR(VLOOKUP(DATOS!$I7377,CONFIG_ASIGNATURAS!$B$2:$J$61,9,FALSE()),""))</f>
      </c>
    </row>
    <row r="7378">
      <c r="E7378">
        <f>IF(DATOS!$I7378="","",IFERROR(VLOOKUP(DATOS!$I7378,CONFIG_ASIGNATURAS!$B$2:$J$61,9,FALSE()),""))</f>
      </c>
    </row>
    <row r="7379">
      <c r="E7379">
        <f>IF(DATOS!$I7379="","",IFERROR(VLOOKUP(DATOS!$I7379,CONFIG_ASIGNATURAS!$B$2:$J$61,9,FALSE()),""))</f>
      </c>
    </row>
    <row r="7380">
      <c r="E7380">
        <f>IF(DATOS!$I7380="","",IFERROR(VLOOKUP(DATOS!$I7380,CONFIG_ASIGNATURAS!$B$2:$J$61,9,FALSE()),""))</f>
      </c>
    </row>
    <row r="7381">
      <c r="E7381">
        <f>IF(DATOS!$I7381="","",IFERROR(VLOOKUP(DATOS!$I7381,CONFIG_ASIGNATURAS!$B$2:$J$61,9,FALSE()),""))</f>
      </c>
    </row>
    <row r="7382">
      <c r="E7382">
        <f>IF(DATOS!$I7382="","",IFERROR(VLOOKUP(DATOS!$I7382,CONFIG_ASIGNATURAS!$B$2:$J$61,9,FALSE()),""))</f>
      </c>
    </row>
    <row r="7383">
      <c r="E7383">
        <f>IF(DATOS!$I7383="","",IFERROR(VLOOKUP(DATOS!$I7383,CONFIG_ASIGNATURAS!$B$2:$J$61,9,FALSE()),""))</f>
      </c>
    </row>
    <row r="7384">
      <c r="E7384">
        <f>IF(DATOS!$I7384="","",IFERROR(VLOOKUP(DATOS!$I7384,CONFIG_ASIGNATURAS!$B$2:$J$61,9,FALSE()),""))</f>
      </c>
    </row>
    <row r="7385">
      <c r="E7385">
        <f>IF(DATOS!$I7385="","",IFERROR(VLOOKUP(DATOS!$I7385,CONFIG_ASIGNATURAS!$B$2:$J$61,9,FALSE()),""))</f>
      </c>
    </row>
    <row r="7386">
      <c r="E7386">
        <f>IF(DATOS!$I7386="","",IFERROR(VLOOKUP(DATOS!$I7386,CONFIG_ASIGNATURAS!$B$2:$J$61,9,FALSE()),""))</f>
      </c>
    </row>
    <row r="7387">
      <c r="E7387">
        <f>IF(DATOS!$I7387="","",IFERROR(VLOOKUP(DATOS!$I7387,CONFIG_ASIGNATURAS!$B$2:$J$61,9,FALSE()),""))</f>
      </c>
    </row>
    <row r="7388">
      <c r="E7388">
        <f>IF(DATOS!$I7388="","",IFERROR(VLOOKUP(DATOS!$I7388,CONFIG_ASIGNATURAS!$B$2:$J$61,9,FALSE()),""))</f>
      </c>
    </row>
    <row r="7389">
      <c r="E7389">
        <f>IF(DATOS!$I7389="","",IFERROR(VLOOKUP(DATOS!$I7389,CONFIG_ASIGNATURAS!$B$2:$J$61,9,FALSE()),""))</f>
      </c>
    </row>
    <row r="7390">
      <c r="E7390">
        <f>IF(DATOS!$I7390="","",IFERROR(VLOOKUP(DATOS!$I7390,CONFIG_ASIGNATURAS!$B$2:$J$61,9,FALSE()),""))</f>
      </c>
    </row>
    <row r="7391">
      <c r="E7391">
        <f>IF(DATOS!$I7391="","",IFERROR(VLOOKUP(DATOS!$I7391,CONFIG_ASIGNATURAS!$B$2:$J$61,9,FALSE()),""))</f>
      </c>
    </row>
    <row r="7392">
      <c r="E7392">
        <f>IF(DATOS!$I7392="","",IFERROR(VLOOKUP(DATOS!$I7392,CONFIG_ASIGNATURAS!$B$2:$J$61,9,FALSE()),""))</f>
      </c>
    </row>
    <row r="7393">
      <c r="E7393">
        <f>IF(DATOS!$I7393="","",IFERROR(VLOOKUP(DATOS!$I7393,CONFIG_ASIGNATURAS!$B$2:$J$61,9,FALSE()),""))</f>
      </c>
    </row>
    <row r="7394">
      <c r="E7394">
        <f>IF(DATOS!$I7394="","",IFERROR(VLOOKUP(DATOS!$I7394,CONFIG_ASIGNATURAS!$B$2:$J$61,9,FALSE()),""))</f>
      </c>
    </row>
    <row r="7395">
      <c r="E7395">
        <f>IF(DATOS!$I7395="","",IFERROR(VLOOKUP(DATOS!$I7395,CONFIG_ASIGNATURAS!$B$2:$J$61,9,FALSE()),""))</f>
      </c>
    </row>
    <row r="7396">
      <c r="E7396">
        <f>IF(DATOS!$I7396="","",IFERROR(VLOOKUP(DATOS!$I7396,CONFIG_ASIGNATURAS!$B$2:$J$61,9,FALSE()),""))</f>
      </c>
    </row>
    <row r="7397">
      <c r="E7397">
        <f>IF(DATOS!$I7397="","",IFERROR(VLOOKUP(DATOS!$I7397,CONFIG_ASIGNATURAS!$B$2:$J$61,9,FALSE()),""))</f>
      </c>
    </row>
    <row r="7398">
      <c r="E7398">
        <f>IF(DATOS!$I7398="","",IFERROR(VLOOKUP(DATOS!$I7398,CONFIG_ASIGNATURAS!$B$2:$J$61,9,FALSE()),""))</f>
      </c>
    </row>
    <row r="7399">
      <c r="E7399">
        <f>IF(DATOS!$I7399="","",IFERROR(VLOOKUP(DATOS!$I7399,CONFIG_ASIGNATURAS!$B$2:$J$61,9,FALSE()),""))</f>
      </c>
    </row>
    <row r="7400">
      <c r="E7400">
        <f>IF(DATOS!$I7400="","",IFERROR(VLOOKUP(DATOS!$I7400,CONFIG_ASIGNATURAS!$B$2:$J$61,9,FALSE()),""))</f>
      </c>
    </row>
    <row r="7401">
      <c r="E7401">
        <f>IF(DATOS!$I7401="","",IFERROR(VLOOKUP(DATOS!$I7401,CONFIG_ASIGNATURAS!$B$2:$J$61,9,FALSE()),""))</f>
      </c>
    </row>
    <row r="7402">
      <c r="E7402">
        <f>IF(DATOS!$I7402="","",IFERROR(VLOOKUP(DATOS!$I7402,CONFIG_ASIGNATURAS!$B$2:$J$61,9,FALSE()),""))</f>
      </c>
    </row>
    <row r="7403">
      <c r="E7403">
        <f>IF(DATOS!$I7403="","",IFERROR(VLOOKUP(DATOS!$I7403,CONFIG_ASIGNATURAS!$B$2:$J$61,9,FALSE()),""))</f>
      </c>
    </row>
    <row r="7404">
      <c r="E7404">
        <f>IF(DATOS!$I7404="","",IFERROR(VLOOKUP(DATOS!$I7404,CONFIG_ASIGNATURAS!$B$2:$J$61,9,FALSE()),""))</f>
      </c>
    </row>
    <row r="7405">
      <c r="E7405">
        <f>IF(DATOS!$I7405="","",IFERROR(VLOOKUP(DATOS!$I7405,CONFIG_ASIGNATURAS!$B$2:$J$61,9,FALSE()),""))</f>
      </c>
    </row>
    <row r="7406">
      <c r="E7406">
        <f>IF(DATOS!$I7406="","",IFERROR(VLOOKUP(DATOS!$I7406,CONFIG_ASIGNATURAS!$B$2:$J$61,9,FALSE()),""))</f>
      </c>
    </row>
    <row r="7407">
      <c r="E7407">
        <f>IF(DATOS!$I7407="","",IFERROR(VLOOKUP(DATOS!$I7407,CONFIG_ASIGNATURAS!$B$2:$J$61,9,FALSE()),""))</f>
      </c>
    </row>
    <row r="7408">
      <c r="E7408">
        <f>IF(DATOS!$I7408="","",IFERROR(VLOOKUP(DATOS!$I7408,CONFIG_ASIGNATURAS!$B$2:$J$61,9,FALSE()),""))</f>
      </c>
    </row>
    <row r="7409">
      <c r="E7409">
        <f>IF(DATOS!$I7409="","",IFERROR(VLOOKUP(DATOS!$I7409,CONFIG_ASIGNATURAS!$B$2:$J$61,9,FALSE()),""))</f>
      </c>
    </row>
    <row r="7410">
      <c r="E7410">
        <f>IF(DATOS!$I7410="","",IFERROR(VLOOKUP(DATOS!$I7410,CONFIG_ASIGNATURAS!$B$2:$J$61,9,FALSE()),""))</f>
      </c>
    </row>
    <row r="7411">
      <c r="E7411">
        <f>IF(DATOS!$I7411="","",IFERROR(VLOOKUP(DATOS!$I7411,CONFIG_ASIGNATURAS!$B$2:$J$61,9,FALSE()),""))</f>
      </c>
    </row>
    <row r="7412">
      <c r="E7412">
        <f>IF(DATOS!$I7412="","",IFERROR(VLOOKUP(DATOS!$I7412,CONFIG_ASIGNATURAS!$B$2:$J$61,9,FALSE()),""))</f>
      </c>
    </row>
    <row r="7413">
      <c r="E7413">
        <f>IF(DATOS!$I7413="","",IFERROR(VLOOKUP(DATOS!$I7413,CONFIG_ASIGNATURAS!$B$2:$J$61,9,FALSE()),""))</f>
      </c>
    </row>
    <row r="7414">
      <c r="E7414">
        <f>IF(DATOS!$I7414="","",IFERROR(VLOOKUP(DATOS!$I7414,CONFIG_ASIGNATURAS!$B$2:$J$61,9,FALSE()),""))</f>
      </c>
    </row>
    <row r="7415">
      <c r="E7415">
        <f>IF(DATOS!$I7415="","",IFERROR(VLOOKUP(DATOS!$I7415,CONFIG_ASIGNATURAS!$B$2:$J$61,9,FALSE()),""))</f>
      </c>
    </row>
    <row r="7416">
      <c r="E7416">
        <f>IF(DATOS!$I7416="","",IFERROR(VLOOKUP(DATOS!$I7416,CONFIG_ASIGNATURAS!$B$2:$J$61,9,FALSE()),""))</f>
      </c>
    </row>
    <row r="7417">
      <c r="E7417">
        <f>IF(DATOS!$I7417="","",IFERROR(VLOOKUP(DATOS!$I7417,CONFIG_ASIGNATURAS!$B$2:$J$61,9,FALSE()),""))</f>
      </c>
    </row>
    <row r="7418">
      <c r="E7418">
        <f>IF(DATOS!$I7418="","",IFERROR(VLOOKUP(DATOS!$I7418,CONFIG_ASIGNATURAS!$B$2:$J$61,9,FALSE()),""))</f>
      </c>
    </row>
    <row r="7419">
      <c r="E7419">
        <f>IF(DATOS!$I7419="","",IFERROR(VLOOKUP(DATOS!$I7419,CONFIG_ASIGNATURAS!$B$2:$J$61,9,FALSE()),""))</f>
      </c>
    </row>
    <row r="7420">
      <c r="E7420">
        <f>IF(DATOS!$I7420="","",IFERROR(VLOOKUP(DATOS!$I7420,CONFIG_ASIGNATURAS!$B$2:$J$61,9,FALSE()),""))</f>
      </c>
    </row>
    <row r="7421">
      <c r="E7421">
        <f>IF(DATOS!$I7421="","",IFERROR(VLOOKUP(DATOS!$I7421,CONFIG_ASIGNATURAS!$B$2:$J$61,9,FALSE()),""))</f>
      </c>
    </row>
    <row r="7422">
      <c r="E7422">
        <f>IF(DATOS!$I7422="","",IFERROR(VLOOKUP(DATOS!$I7422,CONFIG_ASIGNATURAS!$B$2:$J$61,9,FALSE()),""))</f>
      </c>
    </row>
    <row r="7423">
      <c r="E7423">
        <f>IF(DATOS!$I7423="","",IFERROR(VLOOKUP(DATOS!$I7423,CONFIG_ASIGNATURAS!$B$2:$J$61,9,FALSE()),""))</f>
      </c>
    </row>
    <row r="7424">
      <c r="E7424">
        <f>IF(DATOS!$I7424="","",IFERROR(VLOOKUP(DATOS!$I7424,CONFIG_ASIGNATURAS!$B$2:$J$61,9,FALSE()),""))</f>
      </c>
    </row>
    <row r="7425">
      <c r="E7425">
        <f>IF(DATOS!$I7425="","",IFERROR(VLOOKUP(DATOS!$I7425,CONFIG_ASIGNATURAS!$B$2:$J$61,9,FALSE()),""))</f>
      </c>
    </row>
    <row r="7426">
      <c r="E7426">
        <f>IF(DATOS!$I7426="","",IFERROR(VLOOKUP(DATOS!$I7426,CONFIG_ASIGNATURAS!$B$2:$J$61,9,FALSE()),""))</f>
      </c>
    </row>
    <row r="7427">
      <c r="E7427">
        <f>IF(DATOS!$I7427="","",IFERROR(VLOOKUP(DATOS!$I7427,CONFIG_ASIGNATURAS!$B$2:$J$61,9,FALSE()),""))</f>
      </c>
    </row>
    <row r="7428">
      <c r="E7428">
        <f>IF(DATOS!$I7428="","",IFERROR(VLOOKUP(DATOS!$I7428,CONFIG_ASIGNATURAS!$B$2:$J$61,9,FALSE()),""))</f>
      </c>
    </row>
    <row r="7429">
      <c r="E7429">
        <f>IF(DATOS!$I7429="","",IFERROR(VLOOKUP(DATOS!$I7429,CONFIG_ASIGNATURAS!$B$2:$J$61,9,FALSE()),""))</f>
      </c>
    </row>
    <row r="7430">
      <c r="E7430">
        <f>IF(DATOS!$I7430="","",IFERROR(VLOOKUP(DATOS!$I7430,CONFIG_ASIGNATURAS!$B$2:$J$61,9,FALSE()),""))</f>
      </c>
    </row>
    <row r="7431">
      <c r="E7431">
        <f>IF(DATOS!$I7431="","",IFERROR(VLOOKUP(DATOS!$I7431,CONFIG_ASIGNATURAS!$B$2:$J$61,9,FALSE()),""))</f>
      </c>
    </row>
    <row r="7432">
      <c r="E7432">
        <f>IF(DATOS!$I7432="","",IFERROR(VLOOKUP(DATOS!$I7432,CONFIG_ASIGNATURAS!$B$2:$J$61,9,FALSE()),""))</f>
      </c>
    </row>
    <row r="7433">
      <c r="E7433">
        <f>IF(DATOS!$I7433="","",IFERROR(VLOOKUP(DATOS!$I7433,CONFIG_ASIGNATURAS!$B$2:$J$61,9,FALSE()),""))</f>
      </c>
    </row>
    <row r="7434">
      <c r="E7434">
        <f>IF(DATOS!$I7434="","",IFERROR(VLOOKUP(DATOS!$I7434,CONFIG_ASIGNATURAS!$B$2:$J$61,9,FALSE()),""))</f>
      </c>
    </row>
    <row r="7435">
      <c r="E7435">
        <f>IF(DATOS!$I7435="","",IFERROR(VLOOKUP(DATOS!$I7435,CONFIG_ASIGNATURAS!$B$2:$J$61,9,FALSE()),""))</f>
      </c>
    </row>
    <row r="7436">
      <c r="E7436">
        <f>IF(DATOS!$I7436="","",IFERROR(VLOOKUP(DATOS!$I7436,CONFIG_ASIGNATURAS!$B$2:$J$61,9,FALSE()),""))</f>
      </c>
    </row>
    <row r="7437">
      <c r="E7437">
        <f>IF(DATOS!$I7437="","",IFERROR(VLOOKUP(DATOS!$I7437,CONFIG_ASIGNATURAS!$B$2:$J$61,9,FALSE()),""))</f>
      </c>
    </row>
    <row r="7438">
      <c r="E7438">
        <f>IF(DATOS!$I7438="","",IFERROR(VLOOKUP(DATOS!$I7438,CONFIG_ASIGNATURAS!$B$2:$J$61,9,FALSE()),""))</f>
      </c>
    </row>
    <row r="7439">
      <c r="E7439">
        <f>IF(DATOS!$I7439="","",IFERROR(VLOOKUP(DATOS!$I7439,CONFIG_ASIGNATURAS!$B$2:$J$61,9,FALSE()),""))</f>
      </c>
    </row>
    <row r="7440">
      <c r="E7440">
        <f>IF(DATOS!$I7440="","",IFERROR(VLOOKUP(DATOS!$I7440,CONFIG_ASIGNATURAS!$B$2:$J$61,9,FALSE()),""))</f>
      </c>
    </row>
    <row r="7441">
      <c r="E7441">
        <f>IF(DATOS!$I7441="","",IFERROR(VLOOKUP(DATOS!$I7441,CONFIG_ASIGNATURAS!$B$2:$J$61,9,FALSE()),""))</f>
      </c>
    </row>
    <row r="7442">
      <c r="E7442">
        <f>IF(DATOS!$I7442="","",IFERROR(VLOOKUP(DATOS!$I7442,CONFIG_ASIGNATURAS!$B$2:$J$61,9,FALSE()),""))</f>
      </c>
    </row>
    <row r="7443">
      <c r="E7443">
        <f>IF(DATOS!$I7443="","",IFERROR(VLOOKUP(DATOS!$I7443,CONFIG_ASIGNATURAS!$B$2:$J$61,9,FALSE()),""))</f>
      </c>
    </row>
    <row r="7444">
      <c r="E7444">
        <f>IF(DATOS!$I7444="","",IFERROR(VLOOKUP(DATOS!$I7444,CONFIG_ASIGNATURAS!$B$2:$J$61,9,FALSE()),""))</f>
      </c>
    </row>
    <row r="7445">
      <c r="E7445">
        <f>IF(DATOS!$I7445="","",IFERROR(VLOOKUP(DATOS!$I7445,CONFIG_ASIGNATURAS!$B$2:$J$61,9,FALSE()),""))</f>
      </c>
    </row>
    <row r="7446">
      <c r="E7446">
        <f>IF(DATOS!$I7446="","",IFERROR(VLOOKUP(DATOS!$I7446,CONFIG_ASIGNATURAS!$B$2:$J$61,9,FALSE()),""))</f>
      </c>
    </row>
    <row r="7447">
      <c r="E7447">
        <f>IF(DATOS!$I7447="","",IFERROR(VLOOKUP(DATOS!$I7447,CONFIG_ASIGNATURAS!$B$2:$J$61,9,FALSE()),""))</f>
      </c>
    </row>
    <row r="7448">
      <c r="E7448">
        <f>IF(DATOS!$I7448="","",IFERROR(VLOOKUP(DATOS!$I7448,CONFIG_ASIGNATURAS!$B$2:$J$61,9,FALSE()),""))</f>
      </c>
    </row>
    <row r="7449">
      <c r="E7449">
        <f>IF(DATOS!$I7449="","",IFERROR(VLOOKUP(DATOS!$I7449,CONFIG_ASIGNATURAS!$B$2:$J$61,9,FALSE()),""))</f>
      </c>
    </row>
    <row r="7450">
      <c r="E7450">
        <f>IF(DATOS!$I7450="","",IFERROR(VLOOKUP(DATOS!$I7450,CONFIG_ASIGNATURAS!$B$2:$J$61,9,FALSE()),""))</f>
      </c>
    </row>
    <row r="7451">
      <c r="E7451">
        <f>IF(DATOS!$I7451="","",IFERROR(VLOOKUP(DATOS!$I7451,CONFIG_ASIGNATURAS!$B$2:$J$61,9,FALSE()),""))</f>
      </c>
    </row>
    <row r="7452">
      <c r="E7452">
        <f>IF(DATOS!$I7452="","",IFERROR(VLOOKUP(DATOS!$I7452,CONFIG_ASIGNATURAS!$B$2:$J$61,9,FALSE()),""))</f>
      </c>
    </row>
    <row r="7453">
      <c r="E7453">
        <f>IF(DATOS!$I7453="","",IFERROR(VLOOKUP(DATOS!$I7453,CONFIG_ASIGNATURAS!$B$2:$J$61,9,FALSE()),""))</f>
      </c>
    </row>
    <row r="7454">
      <c r="E7454">
        <f>IF(DATOS!$I7454="","",IFERROR(VLOOKUP(DATOS!$I7454,CONFIG_ASIGNATURAS!$B$2:$J$61,9,FALSE()),""))</f>
      </c>
    </row>
    <row r="7455">
      <c r="E7455">
        <f>IF(DATOS!$I7455="","",IFERROR(VLOOKUP(DATOS!$I7455,CONFIG_ASIGNATURAS!$B$2:$J$61,9,FALSE()),""))</f>
      </c>
    </row>
    <row r="7456">
      <c r="E7456">
        <f>IF(DATOS!$I7456="","",IFERROR(VLOOKUP(DATOS!$I7456,CONFIG_ASIGNATURAS!$B$2:$J$61,9,FALSE()),""))</f>
      </c>
    </row>
    <row r="7457">
      <c r="E7457">
        <f>IF(DATOS!$I7457="","",IFERROR(VLOOKUP(DATOS!$I7457,CONFIG_ASIGNATURAS!$B$2:$J$61,9,FALSE()),""))</f>
      </c>
    </row>
    <row r="7458">
      <c r="E7458">
        <f>IF(DATOS!$I7458="","",IFERROR(VLOOKUP(DATOS!$I7458,CONFIG_ASIGNATURAS!$B$2:$J$61,9,FALSE()),""))</f>
      </c>
    </row>
    <row r="7459">
      <c r="E7459">
        <f>IF(DATOS!$I7459="","",IFERROR(VLOOKUP(DATOS!$I7459,CONFIG_ASIGNATURAS!$B$2:$J$61,9,FALSE()),""))</f>
      </c>
    </row>
    <row r="7460">
      <c r="E7460">
        <f>IF(DATOS!$I7460="","",IFERROR(VLOOKUP(DATOS!$I7460,CONFIG_ASIGNATURAS!$B$2:$J$61,9,FALSE()),""))</f>
      </c>
    </row>
    <row r="7461">
      <c r="E7461">
        <f>IF(DATOS!$I7461="","",IFERROR(VLOOKUP(DATOS!$I7461,CONFIG_ASIGNATURAS!$B$2:$J$61,9,FALSE()),""))</f>
      </c>
    </row>
    <row r="7462">
      <c r="E7462">
        <f>IF(DATOS!$I7462="","",IFERROR(VLOOKUP(DATOS!$I7462,CONFIG_ASIGNATURAS!$B$2:$J$61,9,FALSE()),""))</f>
      </c>
    </row>
    <row r="7463">
      <c r="E7463">
        <f>IF(DATOS!$I7463="","",IFERROR(VLOOKUP(DATOS!$I7463,CONFIG_ASIGNATURAS!$B$2:$J$61,9,FALSE()),""))</f>
      </c>
    </row>
    <row r="7464">
      <c r="E7464">
        <f>IF(DATOS!$I7464="","",IFERROR(VLOOKUP(DATOS!$I7464,CONFIG_ASIGNATURAS!$B$2:$J$61,9,FALSE()),""))</f>
      </c>
    </row>
    <row r="7465">
      <c r="E7465">
        <f>IF(DATOS!$I7465="","",IFERROR(VLOOKUP(DATOS!$I7465,CONFIG_ASIGNATURAS!$B$2:$J$61,9,FALSE()),""))</f>
      </c>
    </row>
    <row r="7466">
      <c r="E7466">
        <f>IF(DATOS!$I7466="","",IFERROR(VLOOKUP(DATOS!$I7466,CONFIG_ASIGNATURAS!$B$2:$J$61,9,FALSE()),""))</f>
      </c>
    </row>
    <row r="7467">
      <c r="E7467">
        <f>IF(DATOS!$I7467="","",IFERROR(VLOOKUP(DATOS!$I7467,CONFIG_ASIGNATURAS!$B$2:$J$61,9,FALSE()),""))</f>
      </c>
    </row>
    <row r="7468">
      <c r="E7468">
        <f>IF(DATOS!$I7468="","",IFERROR(VLOOKUP(DATOS!$I7468,CONFIG_ASIGNATURAS!$B$2:$J$61,9,FALSE()),""))</f>
      </c>
    </row>
    <row r="7469">
      <c r="E7469">
        <f>IF(DATOS!$I7469="","",IFERROR(VLOOKUP(DATOS!$I7469,CONFIG_ASIGNATURAS!$B$2:$J$61,9,FALSE()),""))</f>
      </c>
    </row>
    <row r="7470">
      <c r="E7470">
        <f>IF(DATOS!$I7470="","",IFERROR(VLOOKUP(DATOS!$I7470,CONFIG_ASIGNATURAS!$B$2:$J$61,9,FALSE()),""))</f>
      </c>
    </row>
    <row r="7471">
      <c r="E7471">
        <f>IF(DATOS!$I7471="","",IFERROR(VLOOKUP(DATOS!$I7471,CONFIG_ASIGNATURAS!$B$2:$J$61,9,FALSE()),""))</f>
      </c>
    </row>
    <row r="7472">
      <c r="E7472">
        <f>IF(DATOS!$I7472="","",IFERROR(VLOOKUP(DATOS!$I7472,CONFIG_ASIGNATURAS!$B$2:$J$61,9,FALSE()),""))</f>
      </c>
    </row>
    <row r="7473">
      <c r="E7473">
        <f>IF(DATOS!$I7473="","",IFERROR(VLOOKUP(DATOS!$I7473,CONFIG_ASIGNATURAS!$B$2:$J$61,9,FALSE()),""))</f>
      </c>
    </row>
    <row r="7474">
      <c r="E7474">
        <f>IF(DATOS!$I7474="","",IFERROR(VLOOKUP(DATOS!$I7474,CONFIG_ASIGNATURAS!$B$2:$J$61,9,FALSE()),""))</f>
      </c>
    </row>
    <row r="7475">
      <c r="E7475">
        <f>IF(DATOS!$I7475="","",IFERROR(VLOOKUP(DATOS!$I7475,CONFIG_ASIGNATURAS!$B$2:$J$61,9,FALSE()),""))</f>
      </c>
    </row>
    <row r="7476">
      <c r="E7476">
        <f>IF(DATOS!$I7476="","",IFERROR(VLOOKUP(DATOS!$I7476,CONFIG_ASIGNATURAS!$B$2:$J$61,9,FALSE()),""))</f>
      </c>
    </row>
    <row r="7477">
      <c r="E7477">
        <f>IF(DATOS!$I7477="","",IFERROR(VLOOKUP(DATOS!$I7477,CONFIG_ASIGNATURAS!$B$2:$J$61,9,FALSE()),""))</f>
      </c>
    </row>
    <row r="7478">
      <c r="E7478">
        <f>IF(DATOS!$I7478="","",IFERROR(VLOOKUP(DATOS!$I7478,CONFIG_ASIGNATURAS!$B$2:$J$61,9,FALSE()),""))</f>
      </c>
    </row>
    <row r="7479">
      <c r="E7479">
        <f>IF(DATOS!$I7479="","",IFERROR(VLOOKUP(DATOS!$I7479,CONFIG_ASIGNATURAS!$B$2:$J$61,9,FALSE()),""))</f>
      </c>
    </row>
    <row r="7480">
      <c r="E7480">
        <f>IF(DATOS!$I7480="","",IFERROR(VLOOKUP(DATOS!$I7480,CONFIG_ASIGNATURAS!$B$2:$J$61,9,FALSE()),""))</f>
      </c>
    </row>
    <row r="7481">
      <c r="E7481">
        <f>IF(DATOS!$I7481="","",IFERROR(VLOOKUP(DATOS!$I7481,CONFIG_ASIGNATURAS!$B$2:$J$61,9,FALSE()),""))</f>
      </c>
    </row>
    <row r="7482">
      <c r="E7482">
        <f>IF(DATOS!$I7482="","",IFERROR(VLOOKUP(DATOS!$I7482,CONFIG_ASIGNATURAS!$B$2:$J$61,9,FALSE()),""))</f>
      </c>
    </row>
    <row r="7483">
      <c r="E7483">
        <f>IF(DATOS!$I7483="","",IFERROR(VLOOKUP(DATOS!$I7483,CONFIG_ASIGNATURAS!$B$2:$J$61,9,FALSE()),""))</f>
      </c>
    </row>
    <row r="7484">
      <c r="E7484">
        <f>IF(DATOS!$I7484="","",IFERROR(VLOOKUP(DATOS!$I7484,CONFIG_ASIGNATURAS!$B$2:$J$61,9,FALSE()),""))</f>
      </c>
    </row>
    <row r="7485">
      <c r="E7485">
        <f>IF(DATOS!$I7485="","",IFERROR(VLOOKUP(DATOS!$I7485,CONFIG_ASIGNATURAS!$B$2:$J$61,9,FALSE()),""))</f>
      </c>
    </row>
    <row r="7486">
      <c r="E7486">
        <f>IF(DATOS!$I7486="","",IFERROR(VLOOKUP(DATOS!$I7486,CONFIG_ASIGNATURAS!$B$2:$J$61,9,FALSE()),""))</f>
      </c>
    </row>
    <row r="7487">
      <c r="E7487">
        <f>IF(DATOS!$I7487="","",IFERROR(VLOOKUP(DATOS!$I7487,CONFIG_ASIGNATURAS!$B$2:$J$61,9,FALSE()),""))</f>
      </c>
    </row>
    <row r="7488">
      <c r="E7488">
        <f>IF(DATOS!$I7488="","",IFERROR(VLOOKUP(DATOS!$I7488,CONFIG_ASIGNATURAS!$B$2:$J$61,9,FALSE()),""))</f>
      </c>
    </row>
    <row r="7489">
      <c r="E7489">
        <f>IF(DATOS!$I7489="","",IFERROR(VLOOKUP(DATOS!$I7489,CONFIG_ASIGNATURAS!$B$2:$J$61,9,FALSE()),""))</f>
      </c>
    </row>
    <row r="7490">
      <c r="E7490">
        <f>IF(DATOS!$I7490="","",IFERROR(VLOOKUP(DATOS!$I7490,CONFIG_ASIGNATURAS!$B$2:$J$61,9,FALSE()),""))</f>
      </c>
    </row>
    <row r="7491">
      <c r="E7491">
        <f>IF(DATOS!$I7491="","",IFERROR(VLOOKUP(DATOS!$I7491,CONFIG_ASIGNATURAS!$B$2:$J$61,9,FALSE()),""))</f>
      </c>
    </row>
    <row r="7492">
      <c r="E7492">
        <f>IF(DATOS!$I7492="","",IFERROR(VLOOKUP(DATOS!$I7492,CONFIG_ASIGNATURAS!$B$2:$J$61,9,FALSE()),""))</f>
      </c>
    </row>
    <row r="7493">
      <c r="E7493">
        <f>IF(DATOS!$I7493="","",IFERROR(VLOOKUP(DATOS!$I7493,CONFIG_ASIGNATURAS!$B$2:$J$61,9,FALSE()),""))</f>
      </c>
    </row>
    <row r="7494">
      <c r="E7494">
        <f>IF(DATOS!$I7494="","",IFERROR(VLOOKUP(DATOS!$I7494,CONFIG_ASIGNATURAS!$B$2:$J$61,9,FALSE()),""))</f>
      </c>
    </row>
    <row r="7495">
      <c r="E7495">
        <f>IF(DATOS!$I7495="","",IFERROR(VLOOKUP(DATOS!$I7495,CONFIG_ASIGNATURAS!$B$2:$J$61,9,FALSE()),""))</f>
      </c>
    </row>
    <row r="7496">
      <c r="E7496">
        <f>IF(DATOS!$I7496="","",IFERROR(VLOOKUP(DATOS!$I7496,CONFIG_ASIGNATURAS!$B$2:$J$61,9,FALSE()),""))</f>
      </c>
    </row>
    <row r="7497">
      <c r="E7497">
        <f>IF(DATOS!$I7497="","",IFERROR(VLOOKUP(DATOS!$I7497,CONFIG_ASIGNATURAS!$B$2:$J$61,9,FALSE()),""))</f>
      </c>
    </row>
    <row r="7498">
      <c r="E7498">
        <f>IF(DATOS!$I7498="","",IFERROR(VLOOKUP(DATOS!$I7498,CONFIG_ASIGNATURAS!$B$2:$J$61,9,FALSE()),""))</f>
      </c>
    </row>
    <row r="7499">
      <c r="E7499">
        <f>IF(DATOS!$I7499="","",IFERROR(VLOOKUP(DATOS!$I7499,CONFIG_ASIGNATURAS!$B$2:$J$61,9,FALSE()),""))</f>
      </c>
    </row>
    <row r="7500">
      <c r="E7500">
        <f>IF(DATOS!$I7500="","",IFERROR(VLOOKUP(DATOS!$I7500,CONFIG_ASIGNATURAS!$B$2:$J$61,9,FALSE()),""))</f>
      </c>
    </row>
    <row r="7501">
      <c r="E7501">
        <f>IF(DATOS!$I7501="","",IFERROR(VLOOKUP(DATOS!$I7501,CONFIG_ASIGNATURAS!$B$2:$J$61,9,FALSE()),""))</f>
      </c>
    </row>
    <row r="7502">
      <c r="E7502">
        <f>IF(DATOS!$I7502="","",IFERROR(VLOOKUP(DATOS!$I7502,CONFIG_ASIGNATURAS!$B$2:$J$61,9,FALSE()),""))</f>
      </c>
    </row>
    <row r="7503">
      <c r="E7503">
        <f>IF(DATOS!$I7503="","",IFERROR(VLOOKUP(DATOS!$I7503,CONFIG_ASIGNATURAS!$B$2:$J$61,9,FALSE()),""))</f>
      </c>
    </row>
    <row r="7504">
      <c r="E7504">
        <f>IF(DATOS!$I7504="","",IFERROR(VLOOKUP(DATOS!$I7504,CONFIG_ASIGNATURAS!$B$2:$J$61,9,FALSE()),""))</f>
      </c>
    </row>
    <row r="7505">
      <c r="E7505">
        <f>IF(DATOS!$I7505="","",IFERROR(VLOOKUP(DATOS!$I7505,CONFIG_ASIGNATURAS!$B$2:$J$61,9,FALSE()),""))</f>
      </c>
    </row>
    <row r="7506">
      <c r="E7506">
        <f>IF(DATOS!$I7506="","",IFERROR(VLOOKUP(DATOS!$I7506,CONFIG_ASIGNATURAS!$B$2:$J$61,9,FALSE()),""))</f>
      </c>
    </row>
    <row r="7507">
      <c r="E7507">
        <f>IF(DATOS!$I7507="","",IFERROR(VLOOKUP(DATOS!$I7507,CONFIG_ASIGNATURAS!$B$2:$J$61,9,FALSE()),""))</f>
      </c>
    </row>
    <row r="7508">
      <c r="E7508">
        <f>IF(DATOS!$I7508="","",IFERROR(VLOOKUP(DATOS!$I7508,CONFIG_ASIGNATURAS!$B$2:$J$61,9,FALSE()),""))</f>
      </c>
    </row>
    <row r="7509">
      <c r="E7509">
        <f>IF(DATOS!$I7509="","",IFERROR(VLOOKUP(DATOS!$I7509,CONFIG_ASIGNATURAS!$B$2:$J$61,9,FALSE()),""))</f>
      </c>
    </row>
    <row r="7510">
      <c r="E7510">
        <f>IF(DATOS!$I7510="","",IFERROR(VLOOKUP(DATOS!$I7510,CONFIG_ASIGNATURAS!$B$2:$J$61,9,FALSE()),""))</f>
      </c>
    </row>
    <row r="7511">
      <c r="E7511">
        <f>IF(DATOS!$I7511="","",IFERROR(VLOOKUP(DATOS!$I7511,CONFIG_ASIGNATURAS!$B$2:$J$61,9,FALSE()),""))</f>
      </c>
    </row>
    <row r="7512">
      <c r="E7512">
        <f>IF(DATOS!$I7512="","",IFERROR(VLOOKUP(DATOS!$I7512,CONFIG_ASIGNATURAS!$B$2:$J$61,9,FALSE()),""))</f>
      </c>
    </row>
    <row r="7513">
      <c r="E7513">
        <f>IF(DATOS!$I7513="","",IFERROR(VLOOKUP(DATOS!$I7513,CONFIG_ASIGNATURAS!$B$2:$J$61,9,FALSE()),""))</f>
      </c>
    </row>
    <row r="7514">
      <c r="E7514">
        <f>IF(DATOS!$I7514="","",IFERROR(VLOOKUP(DATOS!$I7514,CONFIG_ASIGNATURAS!$B$2:$J$61,9,FALSE()),""))</f>
      </c>
    </row>
    <row r="7515">
      <c r="E7515">
        <f>IF(DATOS!$I7515="","",IFERROR(VLOOKUP(DATOS!$I7515,CONFIG_ASIGNATURAS!$B$2:$J$61,9,FALSE()),""))</f>
      </c>
    </row>
    <row r="7516">
      <c r="E7516">
        <f>IF(DATOS!$I7516="","",IFERROR(VLOOKUP(DATOS!$I7516,CONFIG_ASIGNATURAS!$B$2:$J$61,9,FALSE()),""))</f>
      </c>
    </row>
    <row r="7517">
      <c r="E7517">
        <f>IF(DATOS!$I7517="","",IFERROR(VLOOKUP(DATOS!$I7517,CONFIG_ASIGNATURAS!$B$2:$J$61,9,FALSE()),""))</f>
      </c>
    </row>
    <row r="7518">
      <c r="E7518">
        <f>IF(DATOS!$I7518="","",IFERROR(VLOOKUP(DATOS!$I7518,CONFIG_ASIGNATURAS!$B$2:$J$61,9,FALSE()),""))</f>
      </c>
    </row>
    <row r="7519">
      <c r="E7519">
        <f>IF(DATOS!$I7519="","",IFERROR(VLOOKUP(DATOS!$I7519,CONFIG_ASIGNATURAS!$B$2:$J$61,9,FALSE()),""))</f>
      </c>
    </row>
    <row r="7520">
      <c r="E7520">
        <f>IF(DATOS!$I7520="","",IFERROR(VLOOKUP(DATOS!$I7520,CONFIG_ASIGNATURAS!$B$2:$J$61,9,FALSE()),""))</f>
      </c>
    </row>
    <row r="7521">
      <c r="E7521">
        <f>IF(DATOS!$I7521="","",IFERROR(VLOOKUP(DATOS!$I7521,CONFIG_ASIGNATURAS!$B$2:$J$61,9,FALSE()),""))</f>
      </c>
    </row>
    <row r="7522">
      <c r="E7522">
        <f>IF(DATOS!$I7522="","",IFERROR(VLOOKUP(DATOS!$I7522,CONFIG_ASIGNATURAS!$B$2:$J$61,9,FALSE()),""))</f>
      </c>
    </row>
    <row r="7523">
      <c r="E7523">
        <f>IF(DATOS!$I7523="","",IFERROR(VLOOKUP(DATOS!$I7523,CONFIG_ASIGNATURAS!$B$2:$J$61,9,FALSE()),""))</f>
      </c>
    </row>
    <row r="7524">
      <c r="E7524">
        <f>IF(DATOS!$I7524="","",IFERROR(VLOOKUP(DATOS!$I7524,CONFIG_ASIGNATURAS!$B$2:$J$61,9,FALSE()),""))</f>
      </c>
    </row>
    <row r="7525">
      <c r="E7525">
        <f>IF(DATOS!$I7525="","",IFERROR(VLOOKUP(DATOS!$I7525,CONFIG_ASIGNATURAS!$B$2:$J$61,9,FALSE()),""))</f>
      </c>
    </row>
    <row r="7526">
      <c r="E7526">
        <f>IF(DATOS!$I7526="","",IFERROR(VLOOKUP(DATOS!$I7526,CONFIG_ASIGNATURAS!$B$2:$J$61,9,FALSE()),""))</f>
      </c>
    </row>
    <row r="7527">
      <c r="E7527">
        <f>IF(DATOS!$I7527="","",IFERROR(VLOOKUP(DATOS!$I7527,CONFIG_ASIGNATURAS!$B$2:$J$61,9,FALSE()),""))</f>
      </c>
    </row>
    <row r="7528">
      <c r="E7528">
        <f>IF(DATOS!$I7528="","",IFERROR(VLOOKUP(DATOS!$I7528,CONFIG_ASIGNATURAS!$B$2:$J$61,9,FALSE()),""))</f>
      </c>
    </row>
    <row r="7529">
      <c r="E7529">
        <f>IF(DATOS!$I7529="","",IFERROR(VLOOKUP(DATOS!$I7529,CONFIG_ASIGNATURAS!$B$2:$J$61,9,FALSE()),""))</f>
      </c>
    </row>
    <row r="7530">
      <c r="E7530">
        <f>IF(DATOS!$I7530="","",IFERROR(VLOOKUP(DATOS!$I7530,CONFIG_ASIGNATURAS!$B$2:$J$61,9,FALSE()),""))</f>
      </c>
    </row>
    <row r="7531">
      <c r="E7531">
        <f>IF(DATOS!$I7531="","",IFERROR(VLOOKUP(DATOS!$I7531,CONFIG_ASIGNATURAS!$B$2:$J$61,9,FALSE()),""))</f>
      </c>
    </row>
    <row r="7532">
      <c r="E7532">
        <f>IF(DATOS!$I7532="","",IFERROR(VLOOKUP(DATOS!$I7532,CONFIG_ASIGNATURAS!$B$2:$J$61,9,FALSE()),""))</f>
      </c>
    </row>
    <row r="7533">
      <c r="E7533">
        <f>IF(DATOS!$I7533="","",IFERROR(VLOOKUP(DATOS!$I7533,CONFIG_ASIGNATURAS!$B$2:$J$61,9,FALSE()),""))</f>
      </c>
    </row>
    <row r="7534">
      <c r="E7534">
        <f>IF(DATOS!$I7534="","",IFERROR(VLOOKUP(DATOS!$I7534,CONFIG_ASIGNATURAS!$B$2:$J$61,9,FALSE()),""))</f>
      </c>
    </row>
    <row r="7535">
      <c r="E7535">
        <f>IF(DATOS!$I7535="","",IFERROR(VLOOKUP(DATOS!$I7535,CONFIG_ASIGNATURAS!$B$2:$J$61,9,FALSE()),""))</f>
      </c>
    </row>
    <row r="7536">
      <c r="E7536">
        <f>IF(DATOS!$I7536="","",IFERROR(VLOOKUP(DATOS!$I7536,CONFIG_ASIGNATURAS!$B$2:$J$61,9,FALSE()),""))</f>
      </c>
    </row>
    <row r="7537">
      <c r="E7537">
        <f>IF(DATOS!$I7537="","",IFERROR(VLOOKUP(DATOS!$I7537,CONFIG_ASIGNATURAS!$B$2:$J$61,9,FALSE()),""))</f>
      </c>
    </row>
    <row r="7538">
      <c r="E7538">
        <f>IF(DATOS!$I7538="","",IFERROR(VLOOKUP(DATOS!$I7538,CONFIG_ASIGNATURAS!$B$2:$J$61,9,FALSE()),""))</f>
      </c>
    </row>
    <row r="7539">
      <c r="E7539">
        <f>IF(DATOS!$I7539="","",IFERROR(VLOOKUP(DATOS!$I7539,CONFIG_ASIGNATURAS!$B$2:$J$61,9,FALSE()),""))</f>
      </c>
    </row>
    <row r="7540">
      <c r="E7540">
        <f>IF(DATOS!$I7540="","",IFERROR(VLOOKUP(DATOS!$I7540,CONFIG_ASIGNATURAS!$B$2:$J$61,9,FALSE()),""))</f>
      </c>
    </row>
    <row r="7541">
      <c r="E7541">
        <f>IF(DATOS!$I7541="","",IFERROR(VLOOKUP(DATOS!$I7541,CONFIG_ASIGNATURAS!$B$2:$J$61,9,FALSE()),""))</f>
      </c>
    </row>
    <row r="7542">
      <c r="E7542">
        <f>IF(DATOS!$I7542="","",IFERROR(VLOOKUP(DATOS!$I7542,CONFIG_ASIGNATURAS!$B$2:$J$61,9,FALSE()),""))</f>
      </c>
    </row>
    <row r="7543">
      <c r="E7543">
        <f>IF(DATOS!$I7543="","",IFERROR(VLOOKUP(DATOS!$I7543,CONFIG_ASIGNATURAS!$B$2:$J$61,9,FALSE()),""))</f>
      </c>
    </row>
    <row r="7544">
      <c r="E7544">
        <f>IF(DATOS!$I7544="","",IFERROR(VLOOKUP(DATOS!$I7544,CONFIG_ASIGNATURAS!$B$2:$J$61,9,FALSE()),""))</f>
      </c>
    </row>
    <row r="7545">
      <c r="E7545">
        <f>IF(DATOS!$I7545="","",IFERROR(VLOOKUP(DATOS!$I7545,CONFIG_ASIGNATURAS!$B$2:$J$61,9,FALSE()),""))</f>
      </c>
    </row>
    <row r="7546">
      <c r="E7546">
        <f>IF(DATOS!$I7546="","",IFERROR(VLOOKUP(DATOS!$I7546,CONFIG_ASIGNATURAS!$B$2:$J$61,9,FALSE()),""))</f>
      </c>
    </row>
    <row r="7547">
      <c r="E7547">
        <f>IF(DATOS!$I7547="","",IFERROR(VLOOKUP(DATOS!$I7547,CONFIG_ASIGNATURAS!$B$2:$J$61,9,FALSE()),""))</f>
      </c>
    </row>
    <row r="7548">
      <c r="E7548">
        <f>IF(DATOS!$I7548="","",IFERROR(VLOOKUP(DATOS!$I7548,CONFIG_ASIGNATURAS!$B$2:$J$61,9,FALSE()),""))</f>
      </c>
    </row>
    <row r="7549">
      <c r="E7549">
        <f>IF(DATOS!$I7549="","",IFERROR(VLOOKUP(DATOS!$I7549,CONFIG_ASIGNATURAS!$B$2:$J$61,9,FALSE()),""))</f>
      </c>
    </row>
    <row r="7550">
      <c r="E7550">
        <f>IF(DATOS!$I7550="","",IFERROR(VLOOKUP(DATOS!$I7550,CONFIG_ASIGNATURAS!$B$2:$J$61,9,FALSE()),""))</f>
      </c>
    </row>
    <row r="7551">
      <c r="E7551">
        <f>IF(DATOS!$I7551="","",IFERROR(VLOOKUP(DATOS!$I7551,CONFIG_ASIGNATURAS!$B$2:$J$61,9,FALSE()),""))</f>
      </c>
    </row>
    <row r="7552">
      <c r="E7552">
        <f>IF(DATOS!$I7552="","",IFERROR(VLOOKUP(DATOS!$I7552,CONFIG_ASIGNATURAS!$B$2:$J$61,9,FALSE()),""))</f>
      </c>
    </row>
    <row r="7553">
      <c r="E7553">
        <f>IF(DATOS!$I7553="","",IFERROR(VLOOKUP(DATOS!$I7553,CONFIG_ASIGNATURAS!$B$2:$J$61,9,FALSE()),""))</f>
      </c>
    </row>
    <row r="7554">
      <c r="E7554">
        <f>IF(DATOS!$I7554="","",IFERROR(VLOOKUP(DATOS!$I7554,CONFIG_ASIGNATURAS!$B$2:$J$61,9,FALSE()),""))</f>
      </c>
    </row>
    <row r="7555">
      <c r="E7555">
        <f>IF(DATOS!$I7555="","",IFERROR(VLOOKUP(DATOS!$I7555,CONFIG_ASIGNATURAS!$B$2:$J$61,9,FALSE()),""))</f>
      </c>
    </row>
    <row r="7556">
      <c r="E7556">
        <f>IF(DATOS!$I7556="","",IFERROR(VLOOKUP(DATOS!$I7556,CONFIG_ASIGNATURAS!$B$2:$J$61,9,FALSE()),""))</f>
      </c>
    </row>
    <row r="7557">
      <c r="E7557">
        <f>IF(DATOS!$I7557="","",IFERROR(VLOOKUP(DATOS!$I7557,CONFIG_ASIGNATURAS!$B$2:$J$61,9,FALSE()),""))</f>
      </c>
    </row>
    <row r="7558">
      <c r="E7558">
        <f>IF(DATOS!$I7558="","",IFERROR(VLOOKUP(DATOS!$I7558,CONFIG_ASIGNATURAS!$B$2:$J$61,9,FALSE()),""))</f>
      </c>
    </row>
    <row r="7559">
      <c r="E7559">
        <f>IF(DATOS!$I7559="","",IFERROR(VLOOKUP(DATOS!$I7559,CONFIG_ASIGNATURAS!$B$2:$J$61,9,FALSE()),""))</f>
      </c>
    </row>
    <row r="7560">
      <c r="E7560">
        <f>IF(DATOS!$I7560="","",IFERROR(VLOOKUP(DATOS!$I7560,CONFIG_ASIGNATURAS!$B$2:$J$61,9,FALSE()),""))</f>
      </c>
    </row>
    <row r="7561">
      <c r="E7561">
        <f>IF(DATOS!$I7561="","",IFERROR(VLOOKUP(DATOS!$I7561,CONFIG_ASIGNATURAS!$B$2:$J$61,9,FALSE()),""))</f>
      </c>
    </row>
    <row r="7562">
      <c r="E7562">
        <f>IF(DATOS!$I7562="","",IFERROR(VLOOKUP(DATOS!$I7562,CONFIG_ASIGNATURAS!$B$2:$J$61,9,FALSE()),""))</f>
      </c>
    </row>
    <row r="7563">
      <c r="E7563">
        <f>IF(DATOS!$I7563="","",IFERROR(VLOOKUP(DATOS!$I7563,CONFIG_ASIGNATURAS!$B$2:$J$61,9,FALSE()),""))</f>
      </c>
    </row>
    <row r="7564">
      <c r="E7564">
        <f>IF(DATOS!$I7564="","",IFERROR(VLOOKUP(DATOS!$I7564,CONFIG_ASIGNATURAS!$B$2:$J$61,9,FALSE()),""))</f>
      </c>
    </row>
    <row r="7565">
      <c r="E7565">
        <f>IF(DATOS!$I7565="","",IFERROR(VLOOKUP(DATOS!$I7565,CONFIG_ASIGNATURAS!$B$2:$J$61,9,FALSE()),""))</f>
      </c>
    </row>
    <row r="7566">
      <c r="E7566">
        <f>IF(DATOS!$I7566="","",IFERROR(VLOOKUP(DATOS!$I7566,CONFIG_ASIGNATURAS!$B$2:$J$61,9,FALSE()),""))</f>
      </c>
    </row>
    <row r="7567">
      <c r="E7567">
        <f>IF(DATOS!$I7567="","",IFERROR(VLOOKUP(DATOS!$I7567,CONFIG_ASIGNATURAS!$B$2:$J$61,9,FALSE()),""))</f>
      </c>
    </row>
    <row r="7568">
      <c r="E7568">
        <f>IF(DATOS!$I7568="","",IFERROR(VLOOKUP(DATOS!$I7568,CONFIG_ASIGNATURAS!$B$2:$J$61,9,FALSE()),""))</f>
      </c>
    </row>
    <row r="7569">
      <c r="E7569">
        <f>IF(DATOS!$I7569="","",IFERROR(VLOOKUP(DATOS!$I7569,CONFIG_ASIGNATURAS!$B$2:$J$61,9,FALSE()),""))</f>
      </c>
    </row>
    <row r="7570">
      <c r="E7570">
        <f>IF(DATOS!$I7570="","",IFERROR(VLOOKUP(DATOS!$I7570,CONFIG_ASIGNATURAS!$B$2:$J$61,9,FALSE()),""))</f>
      </c>
    </row>
    <row r="7571">
      <c r="E7571">
        <f>IF(DATOS!$I7571="","",IFERROR(VLOOKUP(DATOS!$I7571,CONFIG_ASIGNATURAS!$B$2:$J$61,9,FALSE()),""))</f>
      </c>
    </row>
    <row r="7572">
      <c r="E7572">
        <f>IF(DATOS!$I7572="","",IFERROR(VLOOKUP(DATOS!$I7572,CONFIG_ASIGNATURAS!$B$2:$J$61,9,FALSE()),""))</f>
      </c>
    </row>
    <row r="7573">
      <c r="E7573">
        <f>IF(DATOS!$I7573="","",IFERROR(VLOOKUP(DATOS!$I7573,CONFIG_ASIGNATURAS!$B$2:$J$61,9,FALSE()),""))</f>
      </c>
    </row>
    <row r="7574">
      <c r="E7574">
        <f>IF(DATOS!$I7574="","",IFERROR(VLOOKUP(DATOS!$I7574,CONFIG_ASIGNATURAS!$B$2:$J$61,9,FALSE()),""))</f>
      </c>
    </row>
    <row r="7575">
      <c r="E7575">
        <f>IF(DATOS!$I7575="","",IFERROR(VLOOKUP(DATOS!$I7575,CONFIG_ASIGNATURAS!$B$2:$J$61,9,FALSE()),""))</f>
      </c>
    </row>
    <row r="7576">
      <c r="E7576">
        <f>IF(DATOS!$I7576="","",IFERROR(VLOOKUP(DATOS!$I7576,CONFIG_ASIGNATURAS!$B$2:$J$61,9,FALSE()),""))</f>
      </c>
    </row>
    <row r="7577">
      <c r="E7577">
        <f>IF(DATOS!$I7577="","",IFERROR(VLOOKUP(DATOS!$I7577,CONFIG_ASIGNATURAS!$B$2:$J$61,9,FALSE()),""))</f>
      </c>
    </row>
    <row r="7578">
      <c r="E7578">
        <f>IF(DATOS!$I7578="","",IFERROR(VLOOKUP(DATOS!$I7578,CONFIG_ASIGNATURAS!$B$2:$J$61,9,FALSE()),""))</f>
      </c>
    </row>
    <row r="7579">
      <c r="E7579">
        <f>IF(DATOS!$I7579="","",IFERROR(VLOOKUP(DATOS!$I7579,CONFIG_ASIGNATURAS!$B$2:$J$61,9,FALSE()),""))</f>
      </c>
    </row>
    <row r="7580">
      <c r="E7580">
        <f>IF(DATOS!$I7580="","",IFERROR(VLOOKUP(DATOS!$I7580,CONFIG_ASIGNATURAS!$B$2:$J$61,9,FALSE()),""))</f>
      </c>
    </row>
    <row r="7581">
      <c r="E7581">
        <f>IF(DATOS!$I7581="","",IFERROR(VLOOKUP(DATOS!$I7581,CONFIG_ASIGNATURAS!$B$2:$J$61,9,FALSE()),""))</f>
      </c>
    </row>
    <row r="7582">
      <c r="E7582">
        <f>IF(DATOS!$I7582="","",IFERROR(VLOOKUP(DATOS!$I7582,CONFIG_ASIGNATURAS!$B$2:$J$61,9,FALSE()),""))</f>
      </c>
    </row>
    <row r="7583">
      <c r="E7583">
        <f>IF(DATOS!$I7583="","",IFERROR(VLOOKUP(DATOS!$I7583,CONFIG_ASIGNATURAS!$B$2:$J$61,9,FALSE()),""))</f>
      </c>
    </row>
    <row r="7584">
      <c r="E7584">
        <f>IF(DATOS!$I7584="","",IFERROR(VLOOKUP(DATOS!$I7584,CONFIG_ASIGNATURAS!$B$2:$J$61,9,FALSE()),""))</f>
      </c>
    </row>
    <row r="7585">
      <c r="E7585">
        <f>IF(DATOS!$I7585="","",IFERROR(VLOOKUP(DATOS!$I7585,CONFIG_ASIGNATURAS!$B$2:$J$61,9,FALSE()),""))</f>
      </c>
    </row>
    <row r="7586">
      <c r="E7586">
        <f>IF(DATOS!$I7586="","",IFERROR(VLOOKUP(DATOS!$I7586,CONFIG_ASIGNATURAS!$B$2:$J$61,9,FALSE()),""))</f>
      </c>
    </row>
    <row r="7587">
      <c r="E7587">
        <f>IF(DATOS!$I7587="","",IFERROR(VLOOKUP(DATOS!$I7587,CONFIG_ASIGNATURAS!$B$2:$J$61,9,FALSE()),""))</f>
      </c>
    </row>
    <row r="7588">
      <c r="E7588">
        <f>IF(DATOS!$I7588="","",IFERROR(VLOOKUP(DATOS!$I7588,CONFIG_ASIGNATURAS!$B$2:$J$61,9,FALSE()),""))</f>
      </c>
    </row>
    <row r="7589">
      <c r="E7589">
        <f>IF(DATOS!$I7589="","",IFERROR(VLOOKUP(DATOS!$I7589,CONFIG_ASIGNATURAS!$B$2:$J$61,9,FALSE()),""))</f>
      </c>
    </row>
    <row r="7590">
      <c r="E7590">
        <f>IF(DATOS!$I7590="","",IFERROR(VLOOKUP(DATOS!$I7590,CONFIG_ASIGNATURAS!$B$2:$J$61,9,FALSE()),""))</f>
      </c>
    </row>
    <row r="7591">
      <c r="E7591">
        <f>IF(DATOS!$I7591="","",IFERROR(VLOOKUP(DATOS!$I7591,CONFIG_ASIGNATURAS!$B$2:$J$61,9,FALSE()),""))</f>
      </c>
    </row>
    <row r="7592">
      <c r="E7592">
        <f>IF(DATOS!$I7592="","",IFERROR(VLOOKUP(DATOS!$I7592,CONFIG_ASIGNATURAS!$B$2:$J$61,9,FALSE()),""))</f>
      </c>
    </row>
    <row r="7593">
      <c r="E7593">
        <f>IF(DATOS!$I7593="","",IFERROR(VLOOKUP(DATOS!$I7593,CONFIG_ASIGNATURAS!$B$2:$J$61,9,FALSE()),""))</f>
      </c>
    </row>
    <row r="7594">
      <c r="E7594">
        <f>IF(DATOS!$I7594="","",IFERROR(VLOOKUP(DATOS!$I7594,CONFIG_ASIGNATURAS!$B$2:$J$61,9,FALSE()),""))</f>
      </c>
    </row>
    <row r="7595">
      <c r="E7595">
        <f>IF(DATOS!$I7595="","",IFERROR(VLOOKUP(DATOS!$I7595,CONFIG_ASIGNATURAS!$B$2:$J$61,9,FALSE()),""))</f>
      </c>
    </row>
    <row r="7596">
      <c r="E7596">
        <f>IF(DATOS!$I7596="","",IFERROR(VLOOKUP(DATOS!$I7596,CONFIG_ASIGNATURAS!$B$2:$J$61,9,FALSE()),""))</f>
      </c>
    </row>
    <row r="7597">
      <c r="E7597">
        <f>IF(DATOS!$I7597="","",IFERROR(VLOOKUP(DATOS!$I7597,CONFIG_ASIGNATURAS!$B$2:$J$61,9,FALSE()),""))</f>
      </c>
    </row>
    <row r="7598">
      <c r="E7598">
        <f>IF(DATOS!$I7598="","",IFERROR(VLOOKUP(DATOS!$I7598,CONFIG_ASIGNATURAS!$B$2:$J$61,9,FALSE()),""))</f>
      </c>
    </row>
    <row r="7599">
      <c r="E7599">
        <f>IF(DATOS!$I7599="","",IFERROR(VLOOKUP(DATOS!$I7599,CONFIG_ASIGNATURAS!$B$2:$J$61,9,FALSE()),""))</f>
      </c>
    </row>
    <row r="7600">
      <c r="E7600">
        <f>IF(DATOS!$I7600="","",IFERROR(VLOOKUP(DATOS!$I7600,CONFIG_ASIGNATURAS!$B$2:$J$61,9,FALSE()),""))</f>
      </c>
    </row>
    <row r="7601">
      <c r="E7601">
        <f>IF(DATOS!$I7601="","",IFERROR(VLOOKUP(DATOS!$I7601,CONFIG_ASIGNATURAS!$B$2:$J$61,9,FALSE()),""))</f>
      </c>
    </row>
    <row r="7602">
      <c r="E7602">
        <f>IF(DATOS!$I7602="","",IFERROR(VLOOKUP(DATOS!$I7602,CONFIG_ASIGNATURAS!$B$2:$J$61,9,FALSE()),""))</f>
      </c>
    </row>
    <row r="7603">
      <c r="E7603">
        <f>IF(DATOS!$I7603="","",IFERROR(VLOOKUP(DATOS!$I7603,CONFIG_ASIGNATURAS!$B$2:$J$61,9,FALSE()),""))</f>
      </c>
    </row>
    <row r="7604">
      <c r="E7604">
        <f>IF(DATOS!$I7604="","",IFERROR(VLOOKUP(DATOS!$I7604,CONFIG_ASIGNATURAS!$B$2:$J$61,9,FALSE()),""))</f>
      </c>
    </row>
    <row r="7605">
      <c r="E7605">
        <f>IF(DATOS!$I7605="","",IFERROR(VLOOKUP(DATOS!$I7605,CONFIG_ASIGNATURAS!$B$2:$J$61,9,FALSE()),""))</f>
      </c>
    </row>
    <row r="7606">
      <c r="E7606">
        <f>IF(DATOS!$I7606="","",IFERROR(VLOOKUP(DATOS!$I7606,CONFIG_ASIGNATURAS!$B$2:$J$61,9,FALSE()),""))</f>
      </c>
    </row>
    <row r="7607">
      <c r="E7607">
        <f>IF(DATOS!$I7607="","",IFERROR(VLOOKUP(DATOS!$I7607,CONFIG_ASIGNATURAS!$B$2:$J$61,9,FALSE()),""))</f>
      </c>
    </row>
    <row r="7608">
      <c r="E7608">
        <f>IF(DATOS!$I7608="","",IFERROR(VLOOKUP(DATOS!$I7608,CONFIG_ASIGNATURAS!$B$2:$J$61,9,FALSE()),""))</f>
      </c>
    </row>
    <row r="7609">
      <c r="E7609">
        <f>IF(DATOS!$I7609="","",IFERROR(VLOOKUP(DATOS!$I7609,CONFIG_ASIGNATURAS!$B$2:$J$61,9,FALSE()),""))</f>
      </c>
    </row>
    <row r="7610">
      <c r="E7610">
        <f>IF(DATOS!$I7610="","",IFERROR(VLOOKUP(DATOS!$I7610,CONFIG_ASIGNATURAS!$B$2:$J$61,9,FALSE()),""))</f>
      </c>
    </row>
    <row r="7611">
      <c r="E7611">
        <f>IF(DATOS!$I7611="","",IFERROR(VLOOKUP(DATOS!$I7611,CONFIG_ASIGNATURAS!$B$2:$J$61,9,FALSE()),""))</f>
      </c>
    </row>
    <row r="7612">
      <c r="E7612">
        <f>IF(DATOS!$I7612="","",IFERROR(VLOOKUP(DATOS!$I7612,CONFIG_ASIGNATURAS!$B$2:$J$61,9,FALSE()),""))</f>
      </c>
    </row>
    <row r="7613">
      <c r="E7613">
        <f>IF(DATOS!$I7613="","",IFERROR(VLOOKUP(DATOS!$I7613,CONFIG_ASIGNATURAS!$B$2:$J$61,9,FALSE()),""))</f>
      </c>
    </row>
    <row r="7614">
      <c r="E7614">
        <f>IF(DATOS!$I7614="","",IFERROR(VLOOKUP(DATOS!$I7614,CONFIG_ASIGNATURAS!$B$2:$J$61,9,FALSE()),""))</f>
      </c>
    </row>
    <row r="7615">
      <c r="E7615">
        <f>IF(DATOS!$I7615="","",IFERROR(VLOOKUP(DATOS!$I7615,CONFIG_ASIGNATURAS!$B$2:$J$61,9,FALSE()),""))</f>
      </c>
    </row>
    <row r="7616">
      <c r="E7616">
        <f>IF(DATOS!$I7616="","",IFERROR(VLOOKUP(DATOS!$I7616,CONFIG_ASIGNATURAS!$B$2:$J$61,9,FALSE()),""))</f>
      </c>
    </row>
    <row r="7617">
      <c r="E7617">
        <f>IF(DATOS!$I7617="","",IFERROR(VLOOKUP(DATOS!$I7617,CONFIG_ASIGNATURAS!$B$2:$J$61,9,FALSE()),""))</f>
      </c>
    </row>
    <row r="7618">
      <c r="E7618">
        <f>IF(DATOS!$I7618="","",IFERROR(VLOOKUP(DATOS!$I7618,CONFIG_ASIGNATURAS!$B$2:$J$61,9,FALSE()),""))</f>
      </c>
    </row>
    <row r="7619">
      <c r="E7619">
        <f>IF(DATOS!$I7619="","",IFERROR(VLOOKUP(DATOS!$I7619,CONFIG_ASIGNATURAS!$B$2:$J$61,9,FALSE()),""))</f>
      </c>
    </row>
    <row r="7620">
      <c r="E7620">
        <f>IF(DATOS!$I7620="","",IFERROR(VLOOKUP(DATOS!$I7620,CONFIG_ASIGNATURAS!$B$2:$J$61,9,FALSE()),""))</f>
      </c>
    </row>
    <row r="7621">
      <c r="E7621">
        <f>IF(DATOS!$I7621="","",IFERROR(VLOOKUP(DATOS!$I7621,CONFIG_ASIGNATURAS!$B$2:$J$61,9,FALSE()),""))</f>
      </c>
    </row>
    <row r="7622">
      <c r="E7622">
        <f>IF(DATOS!$I7622="","",IFERROR(VLOOKUP(DATOS!$I7622,CONFIG_ASIGNATURAS!$B$2:$J$61,9,FALSE()),""))</f>
      </c>
    </row>
    <row r="7623">
      <c r="E7623">
        <f>IF(DATOS!$I7623="","",IFERROR(VLOOKUP(DATOS!$I7623,CONFIG_ASIGNATURAS!$B$2:$J$61,9,FALSE()),""))</f>
      </c>
    </row>
    <row r="7624">
      <c r="E7624">
        <f>IF(DATOS!$I7624="","",IFERROR(VLOOKUP(DATOS!$I7624,CONFIG_ASIGNATURAS!$B$2:$J$61,9,FALSE()),""))</f>
      </c>
    </row>
    <row r="7625">
      <c r="E7625">
        <f>IF(DATOS!$I7625="","",IFERROR(VLOOKUP(DATOS!$I7625,CONFIG_ASIGNATURAS!$B$2:$J$61,9,FALSE()),""))</f>
      </c>
    </row>
    <row r="7626">
      <c r="E7626">
        <f>IF(DATOS!$I7626="","",IFERROR(VLOOKUP(DATOS!$I7626,CONFIG_ASIGNATURAS!$B$2:$J$61,9,FALSE()),""))</f>
      </c>
    </row>
    <row r="7627">
      <c r="E7627">
        <f>IF(DATOS!$I7627="","",IFERROR(VLOOKUP(DATOS!$I7627,CONFIG_ASIGNATURAS!$B$2:$J$61,9,FALSE()),""))</f>
      </c>
    </row>
    <row r="7628">
      <c r="E7628">
        <f>IF(DATOS!$I7628="","",IFERROR(VLOOKUP(DATOS!$I7628,CONFIG_ASIGNATURAS!$B$2:$J$61,9,FALSE()),""))</f>
      </c>
    </row>
    <row r="7629">
      <c r="E7629">
        <f>IF(DATOS!$I7629="","",IFERROR(VLOOKUP(DATOS!$I7629,CONFIG_ASIGNATURAS!$B$2:$J$61,9,FALSE()),""))</f>
      </c>
    </row>
    <row r="7630">
      <c r="E7630">
        <f>IF(DATOS!$I7630="","",IFERROR(VLOOKUP(DATOS!$I7630,CONFIG_ASIGNATURAS!$B$2:$J$61,9,FALSE()),""))</f>
      </c>
    </row>
    <row r="7631">
      <c r="E7631">
        <f>IF(DATOS!$I7631="","",IFERROR(VLOOKUP(DATOS!$I7631,CONFIG_ASIGNATURAS!$B$2:$J$61,9,FALSE()),""))</f>
      </c>
    </row>
    <row r="7632">
      <c r="E7632">
        <f>IF(DATOS!$I7632="","",IFERROR(VLOOKUP(DATOS!$I7632,CONFIG_ASIGNATURAS!$B$2:$J$61,9,FALSE()),""))</f>
      </c>
    </row>
    <row r="7633">
      <c r="E7633">
        <f>IF(DATOS!$I7633="","",IFERROR(VLOOKUP(DATOS!$I7633,CONFIG_ASIGNATURAS!$B$2:$J$61,9,FALSE()),""))</f>
      </c>
    </row>
    <row r="7634">
      <c r="E7634">
        <f>IF(DATOS!$I7634="","",IFERROR(VLOOKUP(DATOS!$I7634,CONFIG_ASIGNATURAS!$B$2:$J$61,9,FALSE()),""))</f>
      </c>
    </row>
    <row r="7635">
      <c r="E7635">
        <f>IF(DATOS!$I7635="","",IFERROR(VLOOKUP(DATOS!$I7635,CONFIG_ASIGNATURAS!$B$2:$J$61,9,FALSE()),""))</f>
      </c>
    </row>
    <row r="7636">
      <c r="E7636">
        <f>IF(DATOS!$I7636="","",IFERROR(VLOOKUP(DATOS!$I7636,CONFIG_ASIGNATURAS!$B$2:$J$61,9,FALSE()),""))</f>
      </c>
    </row>
    <row r="7637">
      <c r="E7637">
        <f>IF(DATOS!$I7637="","",IFERROR(VLOOKUP(DATOS!$I7637,CONFIG_ASIGNATURAS!$B$2:$J$61,9,FALSE()),""))</f>
      </c>
    </row>
    <row r="7638">
      <c r="E7638">
        <f>IF(DATOS!$I7638="","",IFERROR(VLOOKUP(DATOS!$I7638,CONFIG_ASIGNATURAS!$B$2:$J$61,9,FALSE()),""))</f>
      </c>
    </row>
    <row r="7639">
      <c r="E7639">
        <f>IF(DATOS!$I7639="","",IFERROR(VLOOKUP(DATOS!$I7639,CONFIG_ASIGNATURAS!$B$2:$J$61,9,FALSE()),""))</f>
      </c>
    </row>
    <row r="7640">
      <c r="E7640">
        <f>IF(DATOS!$I7640="","",IFERROR(VLOOKUP(DATOS!$I7640,CONFIG_ASIGNATURAS!$B$2:$J$61,9,FALSE()),""))</f>
      </c>
    </row>
    <row r="7641">
      <c r="E7641">
        <f>IF(DATOS!$I7641="","",IFERROR(VLOOKUP(DATOS!$I7641,CONFIG_ASIGNATURAS!$B$2:$J$61,9,FALSE()),""))</f>
      </c>
    </row>
    <row r="7642">
      <c r="E7642">
        <f>IF(DATOS!$I7642="","",IFERROR(VLOOKUP(DATOS!$I7642,CONFIG_ASIGNATURAS!$B$2:$J$61,9,FALSE()),""))</f>
      </c>
    </row>
    <row r="7643">
      <c r="E7643">
        <f>IF(DATOS!$I7643="","",IFERROR(VLOOKUP(DATOS!$I7643,CONFIG_ASIGNATURAS!$B$2:$J$61,9,FALSE()),""))</f>
      </c>
    </row>
    <row r="7644">
      <c r="E7644">
        <f>IF(DATOS!$I7644="","",IFERROR(VLOOKUP(DATOS!$I7644,CONFIG_ASIGNATURAS!$B$2:$J$61,9,FALSE()),""))</f>
      </c>
    </row>
    <row r="7645">
      <c r="E7645">
        <f>IF(DATOS!$I7645="","",IFERROR(VLOOKUP(DATOS!$I7645,CONFIG_ASIGNATURAS!$B$2:$J$61,9,FALSE()),""))</f>
      </c>
    </row>
    <row r="7646">
      <c r="E7646">
        <f>IF(DATOS!$I7646="","",IFERROR(VLOOKUP(DATOS!$I7646,CONFIG_ASIGNATURAS!$B$2:$J$61,9,FALSE()),""))</f>
      </c>
    </row>
    <row r="7647">
      <c r="E7647">
        <f>IF(DATOS!$I7647="","",IFERROR(VLOOKUP(DATOS!$I7647,CONFIG_ASIGNATURAS!$B$2:$J$61,9,FALSE()),""))</f>
      </c>
    </row>
    <row r="7648">
      <c r="E7648">
        <f>IF(DATOS!$I7648="","",IFERROR(VLOOKUP(DATOS!$I7648,CONFIG_ASIGNATURAS!$B$2:$J$61,9,FALSE()),""))</f>
      </c>
    </row>
    <row r="7649">
      <c r="E7649">
        <f>IF(DATOS!$I7649="","",IFERROR(VLOOKUP(DATOS!$I7649,CONFIG_ASIGNATURAS!$B$2:$J$61,9,FALSE()),""))</f>
      </c>
    </row>
    <row r="7650">
      <c r="E7650">
        <f>IF(DATOS!$I7650="","",IFERROR(VLOOKUP(DATOS!$I7650,CONFIG_ASIGNATURAS!$B$2:$J$61,9,FALSE()),""))</f>
      </c>
    </row>
    <row r="7651">
      <c r="E7651">
        <f>IF(DATOS!$I7651="","",IFERROR(VLOOKUP(DATOS!$I7651,CONFIG_ASIGNATURAS!$B$2:$J$61,9,FALSE()),""))</f>
      </c>
    </row>
    <row r="7652">
      <c r="E7652">
        <f>IF(DATOS!$I7652="","",IFERROR(VLOOKUP(DATOS!$I7652,CONFIG_ASIGNATURAS!$B$2:$J$61,9,FALSE()),""))</f>
      </c>
    </row>
    <row r="7653">
      <c r="E7653">
        <f>IF(DATOS!$I7653="","",IFERROR(VLOOKUP(DATOS!$I7653,CONFIG_ASIGNATURAS!$B$2:$J$61,9,FALSE()),""))</f>
      </c>
    </row>
    <row r="7654">
      <c r="E7654">
        <f>IF(DATOS!$I7654="","",IFERROR(VLOOKUP(DATOS!$I7654,CONFIG_ASIGNATURAS!$B$2:$J$61,9,FALSE()),""))</f>
      </c>
    </row>
    <row r="7655">
      <c r="E7655">
        <f>IF(DATOS!$I7655="","",IFERROR(VLOOKUP(DATOS!$I7655,CONFIG_ASIGNATURAS!$B$2:$J$61,9,FALSE()),""))</f>
      </c>
    </row>
    <row r="7656">
      <c r="E7656">
        <f>IF(DATOS!$I7656="","",IFERROR(VLOOKUP(DATOS!$I7656,CONFIG_ASIGNATURAS!$B$2:$J$61,9,FALSE()),""))</f>
      </c>
    </row>
    <row r="7657">
      <c r="E7657">
        <f>IF(DATOS!$I7657="","",IFERROR(VLOOKUP(DATOS!$I7657,CONFIG_ASIGNATURAS!$B$2:$J$61,9,FALSE()),""))</f>
      </c>
    </row>
    <row r="7658">
      <c r="E7658">
        <f>IF(DATOS!$I7658="","",IFERROR(VLOOKUP(DATOS!$I7658,CONFIG_ASIGNATURAS!$B$2:$J$61,9,FALSE()),""))</f>
      </c>
    </row>
    <row r="7659">
      <c r="E7659">
        <f>IF(DATOS!$I7659="","",IFERROR(VLOOKUP(DATOS!$I7659,CONFIG_ASIGNATURAS!$B$2:$J$61,9,FALSE()),""))</f>
      </c>
    </row>
    <row r="7660">
      <c r="E7660">
        <f>IF(DATOS!$I7660="","",IFERROR(VLOOKUP(DATOS!$I7660,CONFIG_ASIGNATURAS!$B$2:$J$61,9,FALSE()),""))</f>
      </c>
    </row>
    <row r="7661">
      <c r="E7661">
        <f>IF(DATOS!$I7661="","",IFERROR(VLOOKUP(DATOS!$I7661,CONFIG_ASIGNATURAS!$B$2:$J$61,9,FALSE()),""))</f>
      </c>
    </row>
    <row r="7662">
      <c r="E7662">
        <f>IF(DATOS!$I7662="","",IFERROR(VLOOKUP(DATOS!$I7662,CONFIG_ASIGNATURAS!$B$2:$J$61,9,FALSE()),""))</f>
      </c>
    </row>
    <row r="7663">
      <c r="E7663">
        <f>IF(DATOS!$I7663="","",IFERROR(VLOOKUP(DATOS!$I7663,CONFIG_ASIGNATURAS!$B$2:$J$61,9,FALSE()),""))</f>
      </c>
    </row>
    <row r="7664">
      <c r="E7664">
        <f>IF(DATOS!$I7664="","",IFERROR(VLOOKUP(DATOS!$I7664,CONFIG_ASIGNATURAS!$B$2:$J$61,9,FALSE()),""))</f>
      </c>
    </row>
    <row r="7665">
      <c r="E7665">
        <f>IF(DATOS!$I7665="","",IFERROR(VLOOKUP(DATOS!$I7665,CONFIG_ASIGNATURAS!$B$2:$J$61,9,FALSE()),""))</f>
      </c>
    </row>
    <row r="7666">
      <c r="E7666">
        <f>IF(DATOS!$I7666="","",IFERROR(VLOOKUP(DATOS!$I7666,CONFIG_ASIGNATURAS!$B$2:$J$61,9,FALSE()),""))</f>
      </c>
    </row>
    <row r="7667">
      <c r="E7667">
        <f>IF(DATOS!$I7667="","",IFERROR(VLOOKUP(DATOS!$I7667,CONFIG_ASIGNATURAS!$B$2:$J$61,9,FALSE()),""))</f>
      </c>
    </row>
    <row r="7668">
      <c r="E7668">
        <f>IF(DATOS!$I7668="","",IFERROR(VLOOKUP(DATOS!$I7668,CONFIG_ASIGNATURAS!$B$2:$J$61,9,FALSE()),""))</f>
      </c>
    </row>
    <row r="7669">
      <c r="E7669">
        <f>IF(DATOS!$I7669="","",IFERROR(VLOOKUP(DATOS!$I7669,CONFIG_ASIGNATURAS!$B$2:$J$61,9,FALSE()),""))</f>
      </c>
    </row>
    <row r="7670">
      <c r="E7670">
        <f>IF(DATOS!$I7670="","",IFERROR(VLOOKUP(DATOS!$I7670,CONFIG_ASIGNATURAS!$B$2:$J$61,9,FALSE()),""))</f>
      </c>
    </row>
    <row r="7671">
      <c r="E7671">
        <f>IF(DATOS!$I7671="","",IFERROR(VLOOKUP(DATOS!$I7671,CONFIG_ASIGNATURAS!$B$2:$J$61,9,FALSE()),""))</f>
      </c>
    </row>
    <row r="7672">
      <c r="E7672">
        <f>IF(DATOS!$I7672="","",IFERROR(VLOOKUP(DATOS!$I7672,CONFIG_ASIGNATURAS!$B$2:$J$61,9,FALSE()),""))</f>
      </c>
    </row>
    <row r="7673">
      <c r="E7673">
        <f>IF(DATOS!$I7673="","",IFERROR(VLOOKUP(DATOS!$I7673,CONFIG_ASIGNATURAS!$B$2:$J$61,9,FALSE()),""))</f>
      </c>
    </row>
    <row r="7674">
      <c r="E7674">
        <f>IF(DATOS!$I7674="","",IFERROR(VLOOKUP(DATOS!$I7674,CONFIG_ASIGNATURAS!$B$2:$J$61,9,FALSE()),""))</f>
      </c>
    </row>
    <row r="7675">
      <c r="E7675">
        <f>IF(DATOS!$I7675="","",IFERROR(VLOOKUP(DATOS!$I7675,CONFIG_ASIGNATURAS!$B$2:$J$61,9,FALSE()),""))</f>
      </c>
    </row>
    <row r="7676">
      <c r="E7676">
        <f>IF(DATOS!$I7676="","",IFERROR(VLOOKUP(DATOS!$I7676,CONFIG_ASIGNATURAS!$B$2:$J$61,9,FALSE()),""))</f>
      </c>
    </row>
    <row r="7677">
      <c r="E7677">
        <f>IF(DATOS!$I7677="","",IFERROR(VLOOKUP(DATOS!$I7677,CONFIG_ASIGNATURAS!$B$2:$J$61,9,FALSE()),""))</f>
      </c>
    </row>
    <row r="7678">
      <c r="E7678">
        <f>IF(DATOS!$I7678="","",IFERROR(VLOOKUP(DATOS!$I7678,CONFIG_ASIGNATURAS!$B$2:$J$61,9,FALSE()),""))</f>
      </c>
    </row>
    <row r="7679">
      <c r="E7679">
        <f>IF(DATOS!$I7679="","",IFERROR(VLOOKUP(DATOS!$I7679,CONFIG_ASIGNATURAS!$B$2:$J$61,9,FALSE()),""))</f>
      </c>
    </row>
    <row r="7680">
      <c r="E7680">
        <f>IF(DATOS!$I7680="","",IFERROR(VLOOKUP(DATOS!$I7680,CONFIG_ASIGNATURAS!$B$2:$J$61,9,FALSE()),""))</f>
      </c>
    </row>
    <row r="7681">
      <c r="E7681">
        <f>IF(DATOS!$I7681="","",IFERROR(VLOOKUP(DATOS!$I7681,CONFIG_ASIGNATURAS!$B$2:$J$61,9,FALSE()),""))</f>
      </c>
    </row>
    <row r="7682">
      <c r="E7682">
        <f>IF(DATOS!$I7682="","",IFERROR(VLOOKUP(DATOS!$I7682,CONFIG_ASIGNATURAS!$B$2:$J$61,9,FALSE()),""))</f>
      </c>
    </row>
    <row r="7683">
      <c r="E7683">
        <f>IF(DATOS!$I7683="","",IFERROR(VLOOKUP(DATOS!$I7683,CONFIG_ASIGNATURAS!$B$2:$J$61,9,FALSE()),""))</f>
      </c>
    </row>
    <row r="7684">
      <c r="E7684">
        <f>IF(DATOS!$I7684="","",IFERROR(VLOOKUP(DATOS!$I7684,CONFIG_ASIGNATURAS!$B$2:$J$61,9,FALSE()),""))</f>
      </c>
    </row>
    <row r="7685">
      <c r="E7685">
        <f>IF(DATOS!$I7685="","",IFERROR(VLOOKUP(DATOS!$I7685,CONFIG_ASIGNATURAS!$B$2:$J$61,9,FALSE()),""))</f>
      </c>
    </row>
    <row r="7686">
      <c r="E7686">
        <f>IF(DATOS!$I7686="","",IFERROR(VLOOKUP(DATOS!$I7686,CONFIG_ASIGNATURAS!$B$2:$J$61,9,FALSE()),""))</f>
      </c>
    </row>
    <row r="7687">
      <c r="E7687">
        <f>IF(DATOS!$I7687="","",IFERROR(VLOOKUP(DATOS!$I7687,CONFIG_ASIGNATURAS!$B$2:$J$61,9,FALSE()),""))</f>
      </c>
    </row>
    <row r="7688">
      <c r="E7688">
        <f>IF(DATOS!$I7688="","",IFERROR(VLOOKUP(DATOS!$I7688,CONFIG_ASIGNATURAS!$B$2:$J$61,9,FALSE()),""))</f>
      </c>
    </row>
    <row r="7689">
      <c r="E7689">
        <f>IF(DATOS!$I7689="","",IFERROR(VLOOKUP(DATOS!$I7689,CONFIG_ASIGNATURAS!$B$2:$J$61,9,FALSE()),""))</f>
      </c>
    </row>
    <row r="7690">
      <c r="E7690">
        <f>IF(DATOS!$I7690="","",IFERROR(VLOOKUP(DATOS!$I7690,CONFIG_ASIGNATURAS!$B$2:$J$61,9,FALSE()),""))</f>
      </c>
    </row>
    <row r="7691">
      <c r="E7691">
        <f>IF(DATOS!$I7691="","",IFERROR(VLOOKUP(DATOS!$I7691,CONFIG_ASIGNATURAS!$B$2:$J$61,9,FALSE()),""))</f>
      </c>
    </row>
    <row r="7692">
      <c r="E7692">
        <f>IF(DATOS!$I7692="","",IFERROR(VLOOKUP(DATOS!$I7692,CONFIG_ASIGNATURAS!$B$2:$J$61,9,FALSE()),""))</f>
      </c>
    </row>
    <row r="7693">
      <c r="E7693">
        <f>IF(DATOS!$I7693="","",IFERROR(VLOOKUP(DATOS!$I7693,CONFIG_ASIGNATURAS!$B$2:$J$61,9,FALSE()),""))</f>
      </c>
    </row>
    <row r="7694">
      <c r="E7694">
        <f>IF(DATOS!$I7694="","",IFERROR(VLOOKUP(DATOS!$I7694,CONFIG_ASIGNATURAS!$B$2:$J$61,9,FALSE()),""))</f>
      </c>
    </row>
    <row r="7695">
      <c r="E7695">
        <f>IF(DATOS!$I7695="","",IFERROR(VLOOKUP(DATOS!$I7695,CONFIG_ASIGNATURAS!$B$2:$J$61,9,FALSE()),""))</f>
      </c>
    </row>
    <row r="7696">
      <c r="E7696">
        <f>IF(DATOS!$I7696="","",IFERROR(VLOOKUP(DATOS!$I7696,CONFIG_ASIGNATURAS!$B$2:$J$61,9,FALSE()),""))</f>
      </c>
    </row>
    <row r="7697">
      <c r="E7697">
        <f>IF(DATOS!$I7697="","",IFERROR(VLOOKUP(DATOS!$I7697,CONFIG_ASIGNATURAS!$B$2:$J$61,9,FALSE()),""))</f>
      </c>
    </row>
    <row r="7698">
      <c r="E7698">
        <f>IF(DATOS!$I7698="","",IFERROR(VLOOKUP(DATOS!$I7698,CONFIG_ASIGNATURAS!$B$2:$J$61,9,FALSE()),""))</f>
      </c>
    </row>
    <row r="7699">
      <c r="E7699">
        <f>IF(DATOS!$I7699="","",IFERROR(VLOOKUP(DATOS!$I7699,CONFIG_ASIGNATURAS!$B$2:$J$61,9,FALSE()),""))</f>
      </c>
    </row>
    <row r="7700">
      <c r="E7700">
        <f>IF(DATOS!$I7700="","",IFERROR(VLOOKUP(DATOS!$I7700,CONFIG_ASIGNATURAS!$B$2:$J$61,9,FALSE()),""))</f>
      </c>
    </row>
    <row r="7701">
      <c r="E7701">
        <f>IF(DATOS!$I7701="","",IFERROR(VLOOKUP(DATOS!$I7701,CONFIG_ASIGNATURAS!$B$2:$J$61,9,FALSE()),""))</f>
      </c>
    </row>
    <row r="7702">
      <c r="E7702">
        <f>IF(DATOS!$I7702="","",IFERROR(VLOOKUP(DATOS!$I7702,CONFIG_ASIGNATURAS!$B$2:$J$61,9,FALSE()),""))</f>
      </c>
    </row>
    <row r="7703">
      <c r="E7703">
        <f>IF(DATOS!$I7703="","",IFERROR(VLOOKUP(DATOS!$I7703,CONFIG_ASIGNATURAS!$B$2:$J$61,9,FALSE()),""))</f>
      </c>
    </row>
    <row r="7704">
      <c r="E7704">
        <f>IF(DATOS!$I7704="","",IFERROR(VLOOKUP(DATOS!$I7704,CONFIG_ASIGNATURAS!$B$2:$J$61,9,FALSE()),""))</f>
      </c>
    </row>
    <row r="7705">
      <c r="E7705">
        <f>IF(DATOS!$I7705="","",IFERROR(VLOOKUP(DATOS!$I7705,CONFIG_ASIGNATURAS!$B$2:$J$61,9,FALSE()),""))</f>
      </c>
    </row>
    <row r="7706">
      <c r="E7706">
        <f>IF(DATOS!$I7706="","",IFERROR(VLOOKUP(DATOS!$I7706,CONFIG_ASIGNATURAS!$B$2:$J$61,9,FALSE()),""))</f>
      </c>
    </row>
    <row r="7707">
      <c r="E7707">
        <f>IF(DATOS!$I7707="","",IFERROR(VLOOKUP(DATOS!$I7707,CONFIG_ASIGNATURAS!$B$2:$J$61,9,FALSE()),""))</f>
      </c>
    </row>
    <row r="7708">
      <c r="E7708">
        <f>IF(DATOS!$I7708="","",IFERROR(VLOOKUP(DATOS!$I7708,CONFIG_ASIGNATURAS!$B$2:$J$61,9,FALSE()),""))</f>
      </c>
    </row>
    <row r="7709">
      <c r="E7709">
        <f>IF(DATOS!$I7709="","",IFERROR(VLOOKUP(DATOS!$I7709,CONFIG_ASIGNATURAS!$B$2:$J$61,9,FALSE()),""))</f>
      </c>
    </row>
    <row r="7710">
      <c r="E7710">
        <f>IF(DATOS!$I7710="","",IFERROR(VLOOKUP(DATOS!$I7710,CONFIG_ASIGNATURAS!$B$2:$J$61,9,FALSE()),""))</f>
      </c>
    </row>
    <row r="7711">
      <c r="E7711">
        <f>IF(DATOS!$I7711="","",IFERROR(VLOOKUP(DATOS!$I7711,CONFIG_ASIGNATURAS!$B$2:$J$61,9,FALSE()),""))</f>
      </c>
    </row>
    <row r="7712">
      <c r="E7712">
        <f>IF(DATOS!$I7712="","",IFERROR(VLOOKUP(DATOS!$I7712,CONFIG_ASIGNATURAS!$B$2:$J$61,9,FALSE()),""))</f>
      </c>
    </row>
    <row r="7713">
      <c r="E7713">
        <f>IF(DATOS!$I7713="","",IFERROR(VLOOKUP(DATOS!$I7713,CONFIG_ASIGNATURAS!$B$2:$J$61,9,FALSE()),""))</f>
      </c>
    </row>
    <row r="7714">
      <c r="E7714">
        <f>IF(DATOS!$I7714="","",IFERROR(VLOOKUP(DATOS!$I7714,CONFIG_ASIGNATURAS!$B$2:$J$61,9,FALSE()),""))</f>
      </c>
    </row>
    <row r="7715">
      <c r="E7715">
        <f>IF(DATOS!$I7715="","",IFERROR(VLOOKUP(DATOS!$I7715,CONFIG_ASIGNATURAS!$B$2:$J$61,9,FALSE()),""))</f>
      </c>
    </row>
    <row r="7716">
      <c r="E7716">
        <f>IF(DATOS!$I7716="","",IFERROR(VLOOKUP(DATOS!$I7716,CONFIG_ASIGNATURAS!$B$2:$J$61,9,FALSE()),""))</f>
      </c>
    </row>
    <row r="7717">
      <c r="E7717">
        <f>IF(DATOS!$I7717="","",IFERROR(VLOOKUP(DATOS!$I7717,CONFIG_ASIGNATURAS!$B$2:$J$61,9,FALSE()),""))</f>
      </c>
    </row>
    <row r="7718">
      <c r="E7718">
        <f>IF(DATOS!$I7718="","",IFERROR(VLOOKUP(DATOS!$I7718,CONFIG_ASIGNATURAS!$B$2:$J$61,9,FALSE()),""))</f>
      </c>
    </row>
    <row r="7719">
      <c r="E7719">
        <f>IF(DATOS!$I7719="","",IFERROR(VLOOKUP(DATOS!$I7719,CONFIG_ASIGNATURAS!$B$2:$J$61,9,FALSE()),""))</f>
      </c>
    </row>
    <row r="7720">
      <c r="E7720">
        <f>IF(DATOS!$I7720="","",IFERROR(VLOOKUP(DATOS!$I7720,CONFIG_ASIGNATURAS!$B$2:$J$61,9,FALSE()),""))</f>
      </c>
    </row>
    <row r="7721">
      <c r="E7721">
        <f>IF(DATOS!$I7721="","",IFERROR(VLOOKUP(DATOS!$I7721,CONFIG_ASIGNATURAS!$B$2:$J$61,9,FALSE()),""))</f>
      </c>
    </row>
    <row r="7722">
      <c r="E7722">
        <f>IF(DATOS!$I7722="","",IFERROR(VLOOKUP(DATOS!$I7722,CONFIG_ASIGNATURAS!$B$2:$J$61,9,FALSE()),""))</f>
      </c>
    </row>
    <row r="7723">
      <c r="E7723">
        <f>IF(DATOS!$I7723="","",IFERROR(VLOOKUP(DATOS!$I7723,CONFIG_ASIGNATURAS!$B$2:$J$61,9,FALSE()),""))</f>
      </c>
    </row>
    <row r="7724">
      <c r="E7724">
        <f>IF(DATOS!$I7724="","",IFERROR(VLOOKUP(DATOS!$I7724,CONFIG_ASIGNATURAS!$B$2:$J$61,9,FALSE()),""))</f>
      </c>
    </row>
    <row r="7725">
      <c r="E7725">
        <f>IF(DATOS!$I7725="","",IFERROR(VLOOKUP(DATOS!$I7725,CONFIG_ASIGNATURAS!$B$2:$J$61,9,FALSE()),""))</f>
      </c>
    </row>
    <row r="7726">
      <c r="E7726">
        <f>IF(DATOS!$I7726="","",IFERROR(VLOOKUP(DATOS!$I7726,CONFIG_ASIGNATURAS!$B$2:$J$61,9,FALSE()),""))</f>
      </c>
    </row>
    <row r="7727">
      <c r="E7727">
        <f>IF(DATOS!$I7727="","",IFERROR(VLOOKUP(DATOS!$I7727,CONFIG_ASIGNATURAS!$B$2:$J$61,9,FALSE()),""))</f>
      </c>
    </row>
    <row r="7728">
      <c r="E7728">
        <f>IF(DATOS!$I7728="","",IFERROR(VLOOKUP(DATOS!$I7728,CONFIG_ASIGNATURAS!$B$2:$J$61,9,FALSE()),""))</f>
      </c>
    </row>
    <row r="7729">
      <c r="E7729">
        <f>IF(DATOS!$I7729="","",IFERROR(VLOOKUP(DATOS!$I7729,CONFIG_ASIGNATURAS!$B$2:$J$61,9,FALSE()),""))</f>
      </c>
    </row>
    <row r="7730">
      <c r="E7730">
        <f>IF(DATOS!$I7730="","",IFERROR(VLOOKUP(DATOS!$I7730,CONFIG_ASIGNATURAS!$B$2:$J$61,9,FALSE()),""))</f>
      </c>
    </row>
    <row r="7731">
      <c r="E7731">
        <f>IF(DATOS!$I7731="","",IFERROR(VLOOKUP(DATOS!$I7731,CONFIG_ASIGNATURAS!$B$2:$J$61,9,FALSE()),""))</f>
      </c>
    </row>
    <row r="7732">
      <c r="E7732">
        <f>IF(DATOS!$I7732="","",IFERROR(VLOOKUP(DATOS!$I7732,CONFIG_ASIGNATURAS!$B$2:$J$61,9,FALSE()),""))</f>
      </c>
    </row>
    <row r="7733">
      <c r="E7733">
        <f>IF(DATOS!$I7733="","",IFERROR(VLOOKUP(DATOS!$I7733,CONFIG_ASIGNATURAS!$B$2:$J$61,9,FALSE()),""))</f>
      </c>
    </row>
    <row r="7734">
      <c r="E7734">
        <f>IF(DATOS!$I7734="","",IFERROR(VLOOKUP(DATOS!$I7734,CONFIG_ASIGNATURAS!$B$2:$J$61,9,FALSE()),""))</f>
      </c>
    </row>
    <row r="7735">
      <c r="E7735">
        <f>IF(DATOS!$I7735="","",IFERROR(VLOOKUP(DATOS!$I7735,CONFIG_ASIGNATURAS!$B$2:$J$61,9,FALSE()),""))</f>
      </c>
    </row>
    <row r="7736">
      <c r="E7736">
        <f>IF(DATOS!$I7736="","",IFERROR(VLOOKUP(DATOS!$I7736,CONFIG_ASIGNATURAS!$B$2:$J$61,9,FALSE()),""))</f>
      </c>
    </row>
    <row r="7737">
      <c r="E7737">
        <f>IF(DATOS!$I7737="","",IFERROR(VLOOKUP(DATOS!$I7737,CONFIG_ASIGNATURAS!$B$2:$J$61,9,FALSE()),""))</f>
      </c>
    </row>
    <row r="7738">
      <c r="E7738">
        <f>IF(DATOS!$I7738="","",IFERROR(VLOOKUP(DATOS!$I7738,CONFIG_ASIGNATURAS!$B$2:$J$61,9,FALSE()),""))</f>
      </c>
    </row>
    <row r="7739">
      <c r="E7739">
        <f>IF(DATOS!$I7739="","",IFERROR(VLOOKUP(DATOS!$I7739,CONFIG_ASIGNATURAS!$B$2:$J$61,9,FALSE()),""))</f>
      </c>
    </row>
    <row r="7740">
      <c r="E7740">
        <f>IF(DATOS!$I7740="","",IFERROR(VLOOKUP(DATOS!$I7740,CONFIG_ASIGNATURAS!$B$2:$J$61,9,FALSE()),""))</f>
      </c>
    </row>
    <row r="7741">
      <c r="E7741">
        <f>IF(DATOS!$I7741="","",IFERROR(VLOOKUP(DATOS!$I7741,CONFIG_ASIGNATURAS!$B$2:$J$61,9,FALSE()),""))</f>
      </c>
    </row>
    <row r="7742">
      <c r="E7742">
        <f>IF(DATOS!$I7742="","",IFERROR(VLOOKUP(DATOS!$I7742,CONFIG_ASIGNATURAS!$B$2:$J$61,9,FALSE()),""))</f>
      </c>
    </row>
    <row r="7743">
      <c r="E7743">
        <f>IF(DATOS!$I7743="","",IFERROR(VLOOKUP(DATOS!$I7743,CONFIG_ASIGNATURAS!$B$2:$J$61,9,FALSE()),""))</f>
      </c>
    </row>
    <row r="7744">
      <c r="E7744">
        <f>IF(DATOS!$I7744="","",IFERROR(VLOOKUP(DATOS!$I7744,CONFIG_ASIGNATURAS!$B$2:$J$61,9,FALSE()),""))</f>
      </c>
    </row>
    <row r="7745">
      <c r="E7745">
        <f>IF(DATOS!$I7745="","",IFERROR(VLOOKUP(DATOS!$I7745,CONFIG_ASIGNATURAS!$B$2:$J$61,9,FALSE()),""))</f>
      </c>
    </row>
    <row r="7746">
      <c r="E7746">
        <f>IF(DATOS!$I7746="","",IFERROR(VLOOKUP(DATOS!$I7746,CONFIG_ASIGNATURAS!$B$2:$J$61,9,FALSE()),""))</f>
      </c>
    </row>
    <row r="7747">
      <c r="E7747">
        <f>IF(DATOS!$I7747="","",IFERROR(VLOOKUP(DATOS!$I7747,CONFIG_ASIGNATURAS!$B$2:$J$61,9,FALSE()),""))</f>
      </c>
    </row>
    <row r="7748">
      <c r="E7748">
        <f>IF(DATOS!$I7748="","",IFERROR(VLOOKUP(DATOS!$I7748,CONFIG_ASIGNATURAS!$B$2:$J$61,9,FALSE()),""))</f>
      </c>
    </row>
    <row r="7749">
      <c r="E7749">
        <f>IF(DATOS!$I7749="","",IFERROR(VLOOKUP(DATOS!$I7749,CONFIG_ASIGNATURAS!$B$2:$J$61,9,FALSE()),""))</f>
      </c>
    </row>
    <row r="7750">
      <c r="E7750">
        <f>IF(DATOS!$I7750="","",IFERROR(VLOOKUP(DATOS!$I7750,CONFIG_ASIGNATURAS!$B$2:$J$61,9,FALSE()),""))</f>
      </c>
    </row>
    <row r="7751">
      <c r="E7751">
        <f>IF(DATOS!$I7751="","",IFERROR(VLOOKUP(DATOS!$I7751,CONFIG_ASIGNATURAS!$B$2:$J$61,9,FALSE()),""))</f>
      </c>
    </row>
    <row r="7752">
      <c r="E7752">
        <f>IF(DATOS!$I7752="","",IFERROR(VLOOKUP(DATOS!$I7752,CONFIG_ASIGNATURAS!$B$2:$J$61,9,FALSE()),""))</f>
      </c>
    </row>
    <row r="7753">
      <c r="E7753">
        <f>IF(DATOS!$I7753="","",IFERROR(VLOOKUP(DATOS!$I7753,CONFIG_ASIGNATURAS!$B$2:$J$61,9,FALSE()),""))</f>
      </c>
    </row>
    <row r="7754">
      <c r="E7754">
        <f>IF(DATOS!$I7754="","",IFERROR(VLOOKUP(DATOS!$I7754,CONFIG_ASIGNATURAS!$B$2:$J$61,9,FALSE()),""))</f>
      </c>
    </row>
    <row r="7755">
      <c r="E7755">
        <f>IF(DATOS!$I7755="","",IFERROR(VLOOKUP(DATOS!$I7755,CONFIG_ASIGNATURAS!$B$2:$J$61,9,FALSE()),""))</f>
      </c>
    </row>
    <row r="7756">
      <c r="E7756">
        <f>IF(DATOS!$I7756="","",IFERROR(VLOOKUP(DATOS!$I7756,CONFIG_ASIGNATURAS!$B$2:$J$61,9,FALSE()),""))</f>
      </c>
    </row>
    <row r="7757">
      <c r="E7757">
        <f>IF(DATOS!$I7757="","",IFERROR(VLOOKUP(DATOS!$I7757,CONFIG_ASIGNATURAS!$B$2:$J$61,9,FALSE()),""))</f>
      </c>
    </row>
    <row r="7758">
      <c r="E7758">
        <f>IF(DATOS!$I7758="","",IFERROR(VLOOKUP(DATOS!$I7758,CONFIG_ASIGNATURAS!$B$2:$J$61,9,FALSE()),""))</f>
      </c>
    </row>
    <row r="7759">
      <c r="E7759">
        <f>IF(DATOS!$I7759="","",IFERROR(VLOOKUP(DATOS!$I7759,CONFIG_ASIGNATURAS!$B$2:$J$61,9,FALSE()),""))</f>
      </c>
    </row>
    <row r="7760">
      <c r="E7760">
        <f>IF(DATOS!$I7760="","",IFERROR(VLOOKUP(DATOS!$I7760,CONFIG_ASIGNATURAS!$B$2:$J$61,9,FALSE()),""))</f>
      </c>
    </row>
    <row r="7761">
      <c r="E7761">
        <f>IF(DATOS!$I7761="","",IFERROR(VLOOKUP(DATOS!$I7761,CONFIG_ASIGNATURAS!$B$2:$J$61,9,FALSE()),""))</f>
      </c>
    </row>
    <row r="7762">
      <c r="E7762">
        <f>IF(DATOS!$I7762="","",IFERROR(VLOOKUP(DATOS!$I7762,CONFIG_ASIGNATURAS!$B$2:$J$61,9,FALSE()),""))</f>
      </c>
    </row>
    <row r="7763">
      <c r="E7763">
        <f>IF(DATOS!$I7763="","",IFERROR(VLOOKUP(DATOS!$I7763,CONFIG_ASIGNATURAS!$B$2:$J$61,9,FALSE()),""))</f>
      </c>
    </row>
    <row r="7764">
      <c r="E7764">
        <f>IF(DATOS!$I7764="","",IFERROR(VLOOKUP(DATOS!$I7764,CONFIG_ASIGNATURAS!$B$2:$J$61,9,FALSE()),""))</f>
      </c>
    </row>
    <row r="7765">
      <c r="E7765">
        <f>IF(DATOS!$I7765="","",IFERROR(VLOOKUP(DATOS!$I7765,CONFIG_ASIGNATURAS!$B$2:$J$61,9,FALSE()),""))</f>
      </c>
    </row>
    <row r="7766">
      <c r="E7766">
        <f>IF(DATOS!$I7766="","",IFERROR(VLOOKUP(DATOS!$I7766,CONFIG_ASIGNATURAS!$B$2:$J$61,9,FALSE()),""))</f>
      </c>
    </row>
    <row r="7767">
      <c r="E7767">
        <f>IF(DATOS!$I7767="","",IFERROR(VLOOKUP(DATOS!$I7767,CONFIG_ASIGNATURAS!$B$2:$J$61,9,FALSE()),""))</f>
      </c>
    </row>
    <row r="7768">
      <c r="E7768">
        <f>IF(DATOS!$I7768="","",IFERROR(VLOOKUP(DATOS!$I7768,CONFIG_ASIGNATURAS!$B$2:$J$61,9,FALSE()),""))</f>
      </c>
    </row>
    <row r="7769">
      <c r="E7769">
        <f>IF(DATOS!$I7769="","",IFERROR(VLOOKUP(DATOS!$I7769,CONFIG_ASIGNATURAS!$B$2:$J$61,9,FALSE()),""))</f>
      </c>
    </row>
    <row r="7770">
      <c r="E7770">
        <f>IF(DATOS!$I7770="","",IFERROR(VLOOKUP(DATOS!$I7770,CONFIG_ASIGNATURAS!$B$2:$J$61,9,FALSE()),""))</f>
      </c>
    </row>
    <row r="7771">
      <c r="E7771">
        <f>IF(DATOS!$I7771="","",IFERROR(VLOOKUP(DATOS!$I7771,CONFIG_ASIGNATURAS!$B$2:$J$61,9,FALSE()),""))</f>
      </c>
    </row>
    <row r="7772">
      <c r="E7772">
        <f>IF(DATOS!$I7772="","",IFERROR(VLOOKUP(DATOS!$I7772,CONFIG_ASIGNATURAS!$B$2:$J$61,9,FALSE()),""))</f>
      </c>
    </row>
    <row r="7773">
      <c r="E7773">
        <f>IF(DATOS!$I7773="","",IFERROR(VLOOKUP(DATOS!$I7773,CONFIG_ASIGNATURAS!$B$2:$J$61,9,FALSE()),""))</f>
      </c>
    </row>
    <row r="7774">
      <c r="E7774">
        <f>IF(DATOS!$I7774="","",IFERROR(VLOOKUP(DATOS!$I7774,CONFIG_ASIGNATURAS!$B$2:$J$61,9,FALSE()),""))</f>
      </c>
    </row>
    <row r="7775">
      <c r="E7775">
        <f>IF(DATOS!$I7775="","",IFERROR(VLOOKUP(DATOS!$I7775,CONFIG_ASIGNATURAS!$B$2:$J$61,9,FALSE()),""))</f>
      </c>
    </row>
    <row r="7776">
      <c r="E7776">
        <f>IF(DATOS!$I7776="","",IFERROR(VLOOKUP(DATOS!$I7776,CONFIG_ASIGNATURAS!$B$2:$J$61,9,FALSE()),""))</f>
      </c>
    </row>
    <row r="7777">
      <c r="E7777">
        <f>IF(DATOS!$I7777="","",IFERROR(VLOOKUP(DATOS!$I7777,CONFIG_ASIGNATURAS!$B$2:$J$61,9,FALSE()),""))</f>
      </c>
    </row>
    <row r="7778">
      <c r="E7778">
        <f>IF(DATOS!$I7778="","",IFERROR(VLOOKUP(DATOS!$I7778,CONFIG_ASIGNATURAS!$B$2:$J$61,9,FALSE()),""))</f>
      </c>
    </row>
    <row r="7779">
      <c r="E7779">
        <f>IF(DATOS!$I7779="","",IFERROR(VLOOKUP(DATOS!$I7779,CONFIG_ASIGNATURAS!$B$2:$J$61,9,FALSE()),""))</f>
      </c>
    </row>
    <row r="7780">
      <c r="E7780">
        <f>IF(DATOS!$I7780="","",IFERROR(VLOOKUP(DATOS!$I7780,CONFIG_ASIGNATURAS!$B$2:$J$61,9,FALSE()),""))</f>
      </c>
    </row>
    <row r="7781">
      <c r="E7781">
        <f>IF(DATOS!$I7781="","",IFERROR(VLOOKUP(DATOS!$I7781,CONFIG_ASIGNATURAS!$B$2:$J$61,9,FALSE()),""))</f>
      </c>
    </row>
    <row r="7782">
      <c r="E7782">
        <f>IF(DATOS!$I7782="","",IFERROR(VLOOKUP(DATOS!$I7782,CONFIG_ASIGNATURAS!$B$2:$J$61,9,FALSE()),""))</f>
      </c>
    </row>
    <row r="7783">
      <c r="E7783">
        <f>IF(DATOS!$I7783="","",IFERROR(VLOOKUP(DATOS!$I7783,CONFIG_ASIGNATURAS!$B$2:$J$61,9,FALSE()),""))</f>
      </c>
    </row>
    <row r="7784">
      <c r="E7784">
        <f>IF(DATOS!$I7784="","",IFERROR(VLOOKUP(DATOS!$I7784,CONFIG_ASIGNATURAS!$B$2:$J$61,9,FALSE()),""))</f>
      </c>
    </row>
    <row r="7785">
      <c r="E7785">
        <f>IF(DATOS!$I7785="","",IFERROR(VLOOKUP(DATOS!$I7785,CONFIG_ASIGNATURAS!$B$2:$J$61,9,FALSE()),""))</f>
      </c>
    </row>
    <row r="7786">
      <c r="E7786">
        <f>IF(DATOS!$I7786="","",IFERROR(VLOOKUP(DATOS!$I7786,CONFIG_ASIGNATURAS!$B$2:$J$61,9,FALSE()),""))</f>
      </c>
    </row>
    <row r="7787">
      <c r="E7787">
        <f>IF(DATOS!$I7787="","",IFERROR(VLOOKUP(DATOS!$I7787,CONFIG_ASIGNATURAS!$B$2:$J$61,9,FALSE()),""))</f>
      </c>
    </row>
    <row r="7788">
      <c r="E7788">
        <f>IF(DATOS!$I7788="","",IFERROR(VLOOKUP(DATOS!$I7788,CONFIG_ASIGNATURAS!$B$2:$J$61,9,FALSE()),""))</f>
      </c>
    </row>
    <row r="7789">
      <c r="E7789">
        <f>IF(DATOS!$I7789="","",IFERROR(VLOOKUP(DATOS!$I7789,CONFIG_ASIGNATURAS!$B$2:$J$61,9,FALSE()),""))</f>
      </c>
    </row>
    <row r="7790">
      <c r="E7790">
        <f>IF(DATOS!$I7790="","",IFERROR(VLOOKUP(DATOS!$I7790,CONFIG_ASIGNATURAS!$B$2:$J$61,9,FALSE()),""))</f>
      </c>
    </row>
    <row r="7791">
      <c r="E7791">
        <f>IF(DATOS!$I7791="","",IFERROR(VLOOKUP(DATOS!$I7791,CONFIG_ASIGNATURAS!$B$2:$J$61,9,FALSE()),""))</f>
      </c>
    </row>
    <row r="7792">
      <c r="E7792">
        <f>IF(DATOS!$I7792="","",IFERROR(VLOOKUP(DATOS!$I7792,CONFIG_ASIGNATURAS!$B$2:$J$61,9,FALSE()),""))</f>
      </c>
    </row>
    <row r="7793">
      <c r="E7793">
        <f>IF(DATOS!$I7793="","",IFERROR(VLOOKUP(DATOS!$I7793,CONFIG_ASIGNATURAS!$B$2:$J$61,9,FALSE()),""))</f>
      </c>
    </row>
    <row r="7794">
      <c r="E7794">
        <f>IF(DATOS!$I7794="","",IFERROR(VLOOKUP(DATOS!$I7794,CONFIG_ASIGNATURAS!$B$2:$J$61,9,FALSE()),""))</f>
      </c>
    </row>
    <row r="7795">
      <c r="E7795">
        <f>IF(DATOS!$I7795="","",IFERROR(VLOOKUP(DATOS!$I7795,CONFIG_ASIGNATURAS!$B$2:$J$61,9,FALSE()),""))</f>
      </c>
    </row>
    <row r="7796">
      <c r="E7796">
        <f>IF(DATOS!$I7796="","",IFERROR(VLOOKUP(DATOS!$I7796,CONFIG_ASIGNATURAS!$B$2:$J$61,9,FALSE()),""))</f>
      </c>
    </row>
    <row r="7797">
      <c r="E7797">
        <f>IF(DATOS!$I7797="","",IFERROR(VLOOKUP(DATOS!$I7797,CONFIG_ASIGNATURAS!$B$2:$J$61,9,FALSE()),""))</f>
      </c>
    </row>
    <row r="7798">
      <c r="E7798">
        <f>IF(DATOS!$I7798="","",IFERROR(VLOOKUP(DATOS!$I7798,CONFIG_ASIGNATURAS!$B$2:$J$61,9,FALSE()),""))</f>
      </c>
    </row>
    <row r="7799">
      <c r="E7799">
        <f>IF(DATOS!$I7799="","",IFERROR(VLOOKUP(DATOS!$I7799,CONFIG_ASIGNATURAS!$B$2:$J$61,9,FALSE()),""))</f>
      </c>
    </row>
    <row r="7800">
      <c r="E7800">
        <f>IF(DATOS!$I7800="","",IFERROR(VLOOKUP(DATOS!$I7800,CONFIG_ASIGNATURAS!$B$2:$J$61,9,FALSE()),""))</f>
      </c>
    </row>
    <row r="7801">
      <c r="E7801">
        <f>IF(DATOS!$I7801="","",IFERROR(VLOOKUP(DATOS!$I7801,CONFIG_ASIGNATURAS!$B$2:$J$61,9,FALSE()),""))</f>
      </c>
    </row>
    <row r="7802">
      <c r="E7802">
        <f>IF(DATOS!$I7802="","",IFERROR(VLOOKUP(DATOS!$I7802,CONFIG_ASIGNATURAS!$B$2:$J$61,9,FALSE()),""))</f>
      </c>
    </row>
    <row r="7803">
      <c r="E7803">
        <f>IF(DATOS!$I7803="","",IFERROR(VLOOKUP(DATOS!$I7803,CONFIG_ASIGNATURAS!$B$2:$J$61,9,FALSE()),""))</f>
      </c>
    </row>
    <row r="7804">
      <c r="E7804">
        <f>IF(DATOS!$I7804="","",IFERROR(VLOOKUP(DATOS!$I7804,CONFIG_ASIGNATURAS!$B$2:$J$61,9,FALSE()),""))</f>
      </c>
    </row>
    <row r="7805">
      <c r="E7805">
        <f>IF(DATOS!$I7805="","",IFERROR(VLOOKUP(DATOS!$I7805,CONFIG_ASIGNATURAS!$B$2:$J$61,9,FALSE()),""))</f>
      </c>
    </row>
    <row r="7806">
      <c r="E7806">
        <f>IF(DATOS!$I7806="","",IFERROR(VLOOKUP(DATOS!$I7806,CONFIG_ASIGNATURAS!$B$2:$J$61,9,FALSE()),""))</f>
      </c>
    </row>
    <row r="7807">
      <c r="E7807">
        <f>IF(DATOS!$I7807="","",IFERROR(VLOOKUP(DATOS!$I7807,CONFIG_ASIGNATURAS!$B$2:$J$61,9,FALSE()),""))</f>
      </c>
    </row>
    <row r="7808">
      <c r="E7808">
        <f>IF(DATOS!$I7808="","",IFERROR(VLOOKUP(DATOS!$I7808,CONFIG_ASIGNATURAS!$B$2:$J$61,9,FALSE()),""))</f>
      </c>
    </row>
    <row r="7809">
      <c r="E7809">
        <f>IF(DATOS!$I7809="","",IFERROR(VLOOKUP(DATOS!$I7809,CONFIG_ASIGNATURAS!$B$2:$J$61,9,FALSE()),""))</f>
      </c>
    </row>
    <row r="7810">
      <c r="E7810">
        <f>IF(DATOS!$I7810="","",IFERROR(VLOOKUP(DATOS!$I7810,CONFIG_ASIGNATURAS!$B$2:$J$61,9,FALSE()),""))</f>
      </c>
    </row>
    <row r="7811">
      <c r="E7811">
        <f>IF(DATOS!$I7811="","",IFERROR(VLOOKUP(DATOS!$I7811,CONFIG_ASIGNATURAS!$B$2:$J$61,9,FALSE()),""))</f>
      </c>
    </row>
    <row r="7812">
      <c r="E7812">
        <f>IF(DATOS!$I7812="","",IFERROR(VLOOKUP(DATOS!$I7812,CONFIG_ASIGNATURAS!$B$2:$J$61,9,FALSE()),""))</f>
      </c>
    </row>
    <row r="7813">
      <c r="E7813">
        <f>IF(DATOS!$I7813="","",IFERROR(VLOOKUP(DATOS!$I7813,CONFIG_ASIGNATURAS!$B$2:$J$61,9,FALSE()),""))</f>
      </c>
    </row>
    <row r="7814">
      <c r="E7814">
        <f>IF(DATOS!$I7814="","",IFERROR(VLOOKUP(DATOS!$I7814,CONFIG_ASIGNATURAS!$B$2:$J$61,9,FALSE()),""))</f>
      </c>
    </row>
    <row r="7815">
      <c r="E7815">
        <f>IF(DATOS!$I7815="","",IFERROR(VLOOKUP(DATOS!$I7815,CONFIG_ASIGNATURAS!$B$2:$J$61,9,FALSE()),""))</f>
      </c>
    </row>
    <row r="7816">
      <c r="E7816">
        <f>IF(DATOS!$I7816="","",IFERROR(VLOOKUP(DATOS!$I7816,CONFIG_ASIGNATURAS!$B$2:$J$61,9,FALSE()),""))</f>
      </c>
    </row>
    <row r="7817">
      <c r="E7817">
        <f>IF(DATOS!$I7817="","",IFERROR(VLOOKUP(DATOS!$I7817,CONFIG_ASIGNATURAS!$B$2:$J$61,9,FALSE()),""))</f>
      </c>
    </row>
    <row r="7818">
      <c r="E7818">
        <f>IF(DATOS!$I7818="","",IFERROR(VLOOKUP(DATOS!$I7818,CONFIG_ASIGNATURAS!$B$2:$J$61,9,FALSE()),""))</f>
      </c>
    </row>
    <row r="7819">
      <c r="E7819">
        <f>IF(DATOS!$I7819="","",IFERROR(VLOOKUP(DATOS!$I7819,CONFIG_ASIGNATURAS!$B$2:$J$61,9,FALSE()),""))</f>
      </c>
    </row>
    <row r="7820">
      <c r="E7820">
        <f>IF(DATOS!$I7820="","",IFERROR(VLOOKUP(DATOS!$I7820,CONFIG_ASIGNATURAS!$B$2:$J$61,9,FALSE()),""))</f>
      </c>
    </row>
    <row r="7821">
      <c r="E7821">
        <f>IF(DATOS!$I7821="","",IFERROR(VLOOKUP(DATOS!$I7821,CONFIG_ASIGNATURAS!$B$2:$J$61,9,FALSE()),""))</f>
      </c>
    </row>
    <row r="7822">
      <c r="E7822">
        <f>IF(DATOS!$I7822="","",IFERROR(VLOOKUP(DATOS!$I7822,CONFIG_ASIGNATURAS!$B$2:$J$61,9,FALSE()),""))</f>
      </c>
    </row>
    <row r="7823">
      <c r="E7823">
        <f>IF(DATOS!$I7823="","",IFERROR(VLOOKUP(DATOS!$I7823,CONFIG_ASIGNATURAS!$B$2:$J$61,9,FALSE()),""))</f>
      </c>
    </row>
    <row r="7824">
      <c r="E7824">
        <f>IF(DATOS!$I7824="","",IFERROR(VLOOKUP(DATOS!$I7824,CONFIG_ASIGNATURAS!$B$2:$J$61,9,FALSE()),""))</f>
      </c>
    </row>
    <row r="7825">
      <c r="E7825">
        <f>IF(DATOS!$I7825="","",IFERROR(VLOOKUP(DATOS!$I7825,CONFIG_ASIGNATURAS!$B$2:$J$61,9,FALSE()),""))</f>
      </c>
    </row>
    <row r="7826">
      <c r="E7826">
        <f>IF(DATOS!$I7826="","",IFERROR(VLOOKUP(DATOS!$I7826,CONFIG_ASIGNATURAS!$B$2:$J$61,9,FALSE()),""))</f>
      </c>
    </row>
    <row r="7827">
      <c r="E7827">
        <f>IF(DATOS!$I7827="","",IFERROR(VLOOKUP(DATOS!$I7827,CONFIG_ASIGNATURAS!$B$2:$J$61,9,FALSE()),""))</f>
      </c>
    </row>
    <row r="7828">
      <c r="E7828">
        <f>IF(DATOS!$I7828="","",IFERROR(VLOOKUP(DATOS!$I7828,CONFIG_ASIGNATURAS!$B$2:$J$61,9,FALSE()),""))</f>
      </c>
    </row>
    <row r="7829">
      <c r="E7829">
        <f>IF(DATOS!$I7829="","",IFERROR(VLOOKUP(DATOS!$I7829,CONFIG_ASIGNATURAS!$B$2:$J$61,9,FALSE()),""))</f>
      </c>
    </row>
    <row r="7830">
      <c r="E7830">
        <f>IF(DATOS!$I7830="","",IFERROR(VLOOKUP(DATOS!$I7830,CONFIG_ASIGNATURAS!$B$2:$J$61,9,FALSE()),""))</f>
      </c>
    </row>
    <row r="7831">
      <c r="E7831">
        <f>IF(DATOS!$I7831="","",IFERROR(VLOOKUP(DATOS!$I7831,CONFIG_ASIGNATURAS!$B$2:$J$61,9,FALSE()),""))</f>
      </c>
    </row>
    <row r="7832">
      <c r="E7832">
        <f>IF(DATOS!$I7832="","",IFERROR(VLOOKUP(DATOS!$I7832,CONFIG_ASIGNATURAS!$B$2:$J$61,9,FALSE()),""))</f>
      </c>
    </row>
    <row r="7833">
      <c r="E7833">
        <f>IF(DATOS!$I7833="","",IFERROR(VLOOKUP(DATOS!$I7833,CONFIG_ASIGNATURAS!$B$2:$J$61,9,FALSE()),""))</f>
      </c>
    </row>
    <row r="7834">
      <c r="E7834">
        <f>IF(DATOS!$I7834="","",IFERROR(VLOOKUP(DATOS!$I7834,CONFIG_ASIGNATURAS!$B$2:$J$61,9,FALSE()),""))</f>
      </c>
    </row>
    <row r="7835">
      <c r="E7835">
        <f>IF(DATOS!$I7835="","",IFERROR(VLOOKUP(DATOS!$I7835,CONFIG_ASIGNATURAS!$B$2:$J$61,9,FALSE()),""))</f>
      </c>
    </row>
    <row r="7836">
      <c r="E7836">
        <f>IF(DATOS!$I7836="","",IFERROR(VLOOKUP(DATOS!$I7836,CONFIG_ASIGNATURAS!$B$2:$J$61,9,FALSE()),""))</f>
      </c>
    </row>
    <row r="7837">
      <c r="E7837">
        <f>IF(DATOS!$I7837="","",IFERROR(VLOOKUP(DATOS!$I7837,CONFIG_ASIGNATURAS!$B$2:$J$61,9,FALSE()),""))</f>
      </c>
    </row>
    <row r="7838">
      <c r="E7838">
        <f>IF(DATOS!$I7838="","",IFERROR(VLOOKUP(DATOS!$I7838,CONFIG_ASIGNATURAS!$B$2:$J$61,9,FALSE()),""))</f>
      </c>
    </row>
    <row r="7839">
      <c r="E7839">
        <f>IF(DATOS!$I7839="","",IFERROR(VLOOKUP(DATOS!$I7839,CONFIG_ASIGNATURAS!$B$2:$J$61,9,FALSE()),""))</f>
      </c>
    </row>
    <row r="7840">
      <c r="E7840">
        <f>IF(DATOS!$I7840="","",IFERROR(VLOOKUP(DATOS!$I7840,CONFIG_ASIGNATURAS!$B$2:$J$61,9,FALSE()),""))</f>
      </c>
    </row>
    <row r="7841">
      <c r="E7841">
        <f>IF(DATOS!$I7841="","",IFERROR(VLOOKUP(DATOS!$I7841,CONFIG_ASIGNATURAS!$B$2:$J$61,9,FALSE()),""))</f>
      </c>
    </row>
    <row r="7842">
      <c r="E7842">
        <f>IF(DATOS!$I7842="","",IFERROR(VLOOKUP(DATOS!$I7842,CONFIG_ASIGNATURAS!$B$2:$J$61,9,FALSE()),""))</f>
      </c>
    </row>
    <row r="7843">
      <c r="E7843">
        <f>IF(DATOS!$I7843="","",IFERROR(VLOOKUP(DATOS!$I7843,CONFIG_ASIGNATURAS!$B$2:$J$61,9,FALSE()),""))</f>
      </c>
    </row>
    <row r="7844">
      <c r="E7844">
        <f>IF(DATOS!$I7844="","",IFERROR(VLOOKUP(DATOS!$I7844,CONFIG_ASIGNATURAS!$B$2:$J$61,9,FALSE()),""))</f>
      </c>
    </row>
    <row r="7845">
      <c r="E7845">
        <f>IF(DATOS!$I7845="","",IFERROR(VLOOKUP(DATOS!$I7845,CONFIG_ASIGNATURAS!$B$2:$J$61,9,FALSE()),""))</f>
      </c>
    </row>
    <row r="7846">
      <c r="E7846">
        <f>IF(DATOS!$I7846="","",IFERROR(VLOOKUP(DATOS!$I7846,CONFIG_ASIGNATURAS!$B$2:$J$61,9,FALSE()),""))</f>
      </c>
    </row>
    <row r="7847">
      <c r="E7847">
        <f>IF(DATOS!$I7847="","",IFERROR(VLOOKUP(DATOS!$I7847,CONFIG_ASIGNATURAS!$B$2:$J$61,9,FALSE()),""))</f>
      </c>
    </row>
    <row r="7848">
      <c r="E7848">
        <f>IF(DATOS!$I7848="","",IFERROR(VLOOKUP(DATOS!$I7848,CONFIG_ASIGNATURAS!$B$2:$J$61,9,FALSE()),""))</f>
      </c>
    </row>
    <row r="7849">
      <c r="E7849">
        <f>IF(DATOS!$I7849="","",IFERROR(VLOOKUP(DATOS!$I7849,CONFIG_ASIGNATURAS!$B$2:$J$61,9,FALSE()),""))</f>
      </c>
    </row>
    <row r="7850">
      <c r="E7850">
        <f>IF(DATOS!$I7850="","",IFERROR(VLOOKUP(DATOS!$I7850,CONFIG_ASIGNATURAS!$B$2:$J$61,9,FALSE()),""))</f>
      </c>
    </row>
    <row r="7851">
      <c r="E7851">
        <f>IF(DATOS!$I7851="","",IFERROR(VLOOKUP(DATOS!$I7851,CONFIG_ASIGNATURAS!$B$2:$J$61,9,FALSE()),""))</f>
      </c>
    </row>
    <row r="7852">
      <c r="E7852">
        <f>IF(DATOS!$I7852="","",IFERROR(VLOOKUP(DATOS!$I7852,CONFIG_ASIGNATURAS!$B$2:$J$61,9,FALSE()),""))</f>
      </c>
    </row>
    <row r="7853">
      <c r="E7853">
        <f>IF(DATOS!$I7853="","",IFERROR(VLOOKUP(DATOS!$I7853,CONFIG_ASIGNATURAS!$B$2:$J$61,9,FALSE()),""))</f>
      </c>
    </row>
    <row r="7854">
      <c r="E7854">
        <f>IF(DATOS!$I7854="","",IFERROR(VLOOKUP(DATOS!$I7854,CONFIG_ASIGNATURAS!$B$2:$J$61,9,FALSE()),""))</f>
      </c>
    </row>
    <row r="7855">
      <c r="E7855">
        <f>IF(DATOS!$I7855="","",IFERROR(VLOOKUP(DATOS!$I7855,CONFIG_ASIGNATURAS!$B$2:$J$61,9,FALSE()),""))</f>
      </c>
    </row>
    <row r="7856">
      <c r="E7856">
        <f>IF(DATOS!$I7856="","",IFERROR(VLOOKUP(DATOS!$I7856,CONFIG_ASIGNATURAS!$B$2:$J$61,9,FALSE()),""))</f>
      </c>
    </row>
    <row r="7857">
      <c r="E7857">
        <f>IF(DATOS!$I7857="","",IFERROR(VLOOKUP(DATOS!$I7857,CONFIG_ASIGNATURAS!$B$2:$J$61,9,FALSE()),""))</f>
      </c>
    </row>
    <row r="7858">
      <c r="E7858">
        <f>IF(DATOS!$I7858="","",IFERROR(VLOOKUP(DATOS!$I7858,CONFIG_ASIGNATURAS!$B$2:$J$61,9,FALSE()),""))</f>
      </c>
    </row>
    <row r="7859">
      <c r="E7859">
        <f>IF(DATOS!$I7859="","",IFERROR(VLOOKUP(DATOS!$I7859,CONFIG_ASIGNATURAS!$B$2:$J$61,9,FALSE()),""))</f>
      </c>
    </row>
    <row r="7860">
      <c r="E7860">
        <f>IF(DATOS!$I7860="","",IFERROR(VLOOKUP(DATOS!$I7860,CONFIG_ASIGNATURAS!$B$2:$J$61,9,FALSE()),""))</f>
      </c>
    </row>
    <row r="7861">
      <c r="E7861">
        <f>IF(DATOS!$I7861="","",IFERROR(VLOOKUP(DATOS!$I7861,CONFIG_ASIGNATURAS!$B$2:$J$61,9,FALSE()),""))</f>
      </c>
    </row>
    <row r="7862">
      <c r="E7862">
        <f>IF(DATOS!$I7862="","",IFERROR(VLOOKUP(DATOS!$I7862,CONFIG_ASIGNATURAS!$B$2:$J$61,9,FALSE()),""))</f>
      </c>
    </row>
    <row r="7863">
      <c r="E7863">
        <f>IF(DATOS!$I7863="","",IFERROR(VLOOKUP(DATOS!$I7863,CONFIG_ASIGNATURAS!$B$2:$J$61,9,FALSE()),""))</f>
      </c>
    </row>
    <row r="7864">
      <c r="E7864">
        <f>IF(DATOS!$I7864="","",IFERROR(VLOOKUP(DATOS!$I7864,CONFIG_ASIGNATURAS!$B$2:$J$61,9,FALSE()),""))</f>
      </c>
    </row>
    <row r="7865">
      <c r="E7865">
        <f>IF(DATOS!$I7865="","",IFERROR(VLOOKUP(DATOS!$I7865,CONFIG_ASIGNATURAS!$B$2:$J$61,9,FALSE()),""))</f>
      </c>
    </row>
    <row r="7866">
      <c r="E7866">
        <f>IF(DATOS!$I7866="","",IFERROR(VLOOKUP(DATOS!$I7866,CONFIG_ASIGNATURAS!$B$2:$J$61,9,FALSE()),""))</f>
      </c>
    </row>
    <row r="7867">
      <c r="E7867">
        <f>IF(DATOS!$I7867="","",IFERROR(VLOOKUP(DATOS!$I7867,CONFIG_ASIGNATURAS!$B$2:$J$61,9,FALSE()),""))</f>
      </c>
    </row>
    <row r="7868">
      <c r="E7868">
        <f>IF(DATOS!$I7868="","",IFERROR(VLOOKUP(DATOS!$I7868,CONFIG_ASIGNATURAS!$B$2:$J$61,9,FALSE()),""))</f>
      </c>
    </row>
    <row r="7869">
      <c r="E7869">
        <f>IF(DATOS!$I7869="","",IFERROR(VLOOKUP(DATOS!$I7869,CONFIG_ASIGNATURAS!$B$2:$J$61,9,FALSE()),""))</f>
      </c>
    </row>
    <row r="7870">
      <c r="E7870">
        <f>IF(DATOS!$I7870="","",IFERROR(VLOOKUP(DATOS!$I7870,CONFIG_ASIGNATURAS!$B$2:$J$61,9,FALSE()),""))</f>
      </c>
    </row>
    <row r="7871">
      <c r="E7871">
        <f>IF(DATOS!$I7871="","",IFERROR(VLOOKUP(DATOS!$I7871,CONFIG_ASIGNATURAS!$B$2:$J$61,9,FALSE()),""))</f>
      </c>
    </row>
    <row r="7872">
      <c r="E7872">
        <f>IF(DATOS!$I7872="","",IFERROR(VLOOKUP(DATOS!$I7872,CONFIG_ASIGNATURAS!$B$2:$J$61,9,FALSE()),""))</f>
      </c>
    </row>
    <row r="7873">
      <c r="E7873">
        <f>IF(DATOS!$I7873="","",IFERROR(VLOOKUP(DATOS!$I7873,CONFIG_ASIGNATURAS!$B$2:$J$61,9,FALSE()),""))</f>
      </c>
    </row>
    <row r="7874">
      <c r="E7874">
        <f>IF(DATOS!$I7874="","",IFERROR(VLOOKUP(DATOS!$I7874,CONFIG_ASIGNATURAS!$B$2:$J$61,9,FALSE()),""))</f>
      </c>
    </row>
    <row r="7875">
      <c r="E7875">
        <f>IF(DATOS!$I7875="","",IFERROR(VLOOKUP(DATOS!$I7875,CONFIG_ASIGNATURAS!$B$2:$J$61,9,FALSE()),""))</f>
      </c>
    </row>
    <row r="7876">
      <c r="E7876">
        <f>IF(DATOS!$I7876="","",IFERROR(VLOOKUP(DATOS!$I7876,CONFIG_ASIGNATURAS!$B$2:$J$61,9,FALSE()),""))</f>
      </c>
    </row>
    <row r="7877">
      <c r="E7877">
        <f>IF(DATOS!$I7877="","",IFERROR(VLOOKUP(DATOS!$I7877,CONFIG_ASIGNATURAS!$B$2:$J$61,9,FALSE()),""))</f>
      </c>
    </row>
    <row r="7878">
      <c r="E7878">
        <f>IF(DATOS!$I7878="","",IFERROR(VLOOKUP(DATOS!$I7878,CONFIG_ASIGNATURAS!$B$2:$J$61,9,FALSE()),""))</f>
      </c>
    </row>
    <row r="7879">
      <c r="E7879">
        <f>IF(DATOS!$I7879="","",IFERROR(VLOOKUP(DATOS!$I7879,CONFIG_ASIGNATURAS!$B$2:$J$61,9,FALSE()),""))</f>
      </c>
    </row>
    <row r="7880">
      <c r="E7880">
        <f>IF(DATOS!$I7880="","",IFERROR(VLOOKUP(DATOS!$I7880,CONFIG_ASIGNATURAS!$B$2:$J$61,9,FALSE()),""))</f>
      </c>
    </row>
    <row r="7881">
      <c r="E7881">
        <f>IF(DATOS!$I7881="","",IFERROR(VLOOKUP(DATOS!$I7881,CONFIG_ASIGNATURAS!$B$2:$J$61,9,FALSE()),""))</f>
      </c>
    </row>
    <row r="7882">
      <c r="E7882">
        <f>IF(DATOS!$I7882="","",IFERROR(VLOOKUP(DATOS!$I7882,CONFIG_ASIGNATURAS!$B$2:$J$61,9,FALSE()),""))</f>
      </c>
    </row>
    <row r="7883">
      <c r="E7883">
        <f>IF(DATOS!$I7883="","",IFERROR(VLOOKUP(DATOS!$I7883,CONFIG_ASIGNATURAS!$B$2:$J$61,9,FALSE()),""))</f>
      </c>
    </row>
    <row r="7884">
      <c r="E7884">
        <f>IF(DATOS!$I7884="","",IFERROR(VLOOKUP(DATOS!$I7884,CONFIG_ASIGNATURAS!$B$2:$J$61,9,FALSE()),""))</f>
      </c>
    </row>
    <row r="7885">
      <c r="E7885">
        <f>IF(DATOS!$I7885="","",IFERROR(VLOOKUP(DATOS!$I7885,CONFIG_ASIGNATURAS!$B$2:$J$61,9,FALSE()),""))</f>
      </c>
    </row>
    <row r="7886">
      <c r="E7886">
        <f>IF(DATOS!$I7886="","",IFERROR(VLOOKUP(DATOS!$I7886,CONFIG_ASIGNATURAS!$B$2:$J$61,9,FALSE()),""))</f>
      </c>
    </row>
    <row r="7887">
      <c r="E7887">
        <f>IF(DATOS!$I7887="","",IFERROR(VLOOKUP(DATOS!$I7887,CONFIG_ASIGNATURAS!$B$2:$J$61,9,FALSE()),""))</f>
      </c>
    </row>
    <row r="7888">
      <c r="E7888">
        <f>IF(DATOS!$I7888="","",IFERROR(VLOOKUP(DATOS!$I7888,CONFIG_ASIGNATURAS!$B$2:$J$61,9,FALSE()),""))</f>
      </c>
    </row>
    <row r="7889">
      <c r="E7889">
        <f>IF(DATOS!$I7889="","",IFERROR(VLOOKUP(DATOS!$I7889,CONFIG_ASIGNATURAS!$B$2:$J$61,9,FALSE()),""))</f>
      </c>
    </row>
    <row r="7890">
      <c r="E7890">
        <f>IF(DATOS!$I7890="","",IFERROR(VLOOKUP(DATOS!$I7890,CONFIG_ASIGNATURAS!$B$2:$J$61,9,FALSE()),""))</f>
      </c>
    </row>
    <row r="7891">
      <c r="E7891">
        <f>IF(DATOS!$I7891="","",IFERROR(VLOOKUP(DATOS!$I7891,CONFIG_ASIGNATURAS!$B$2:$J$61,9,FALSE()),""))</f>
      </c>
    </row>
    <row r="7892">
      <c r="E7892">
        <f>IF(DATOS!$I7892="","",IFERROR(VLOOKUP(DATOS!$I7892,CONFIG_ASIGNATURAS!$B$2:$J$61,9,FALSE()),""))</f>
      </c>
    </row>
    <row r="7893">
      <c r="E7893">
        <f>IF(DATOS!$I7893="","",IFERROR(VLOOKUP(DATOS!$I7893,CONFIG_ASIGNATURAS!$B$2:$J$61,9,FALSE()),""))</f>
      </c>
    </row>
    <row r="7894">
      <c r="E7894">
        <f>IF(DATOS!$I7894="","",IFERROR(VLOOKUP(DATOS!$I7894,CONFIG_ASIGNATURAS!$B$2:$J$61,9,FALSE()),""))</f>
      </c>
    </row>
    <row r="7895">
      <c r="E7895">
        <f>IF(DATOS!$I7895="","",IFERROR(VLOOKUP(DATOS!$I7895,CONFIG_ASIGNATURAS!$B$2:$J$61,9,FALSE()),""))</f>
      </c>
    </row>
    <row r="7896">
      <c r="E7896">
        <f>IF(DATOS!$I7896="","",IFERROR(VLOOKUP(DATOS!$I7896,CONFIG_ASIGNATURAS!$B$2:$J$61,9,FALSE()),""))</f>
      </c>
    </row>
    <row r="7897">
      <c r="E7897">
        <f>IF(DATOS!$I7897="","",IFERROR(VLOOKUP(DATOS!$I7897,CONFIG_ASIGNATURAS!$B$2:$J$61,9,FALSE()),""))</f>
      </c>
    </row>
    <row r="7898">
      <c r="E7898">
        <f>IF(DATOS!$I7898="","",IFERROR(VLOOKUP(DATOS!$I7898,CONFIG_ASIGNATURAS!$B$2:$J$61,9,FALSE()),""))</f>
      </c>
    </row>
    <row r="7899">
      <c r="E7899">
        <f>IF(DATOS!$I7899="","",IFERROR(VLOOKUP(DATOS!$I7899,CONFIG_ASIGNATURAS!$B$2:$J$61,9,FALSE()),""))</f>
      </c>
    </row>
    <row r="7900">
      <c r="E7900">
        <f>IF(DATOS!$I7900="","",IFERROR(VLOOKUP(DATOS!$I7900,CONFIG_ASIGNATURAS!$B$2:$J$61,9,FALSE()),""))</f>
      </c>
    </row>
    <row r="7901">
      <c r="E7901">
        <f>IF(DATOS!$I7901="","",IFERROR(VLOOKUP(DATOS!$I7901,CONFIG_ASIGNATURAS!$B$2:$J$61,9,FALSE()),""))</f>
      </c>
    </row>
    <row r="7902">
      <c r="E7902">
        <f>IF(DATOS!$I7902="","",IFERROR(VLOOKUP(DATOS!$I7902,CONFIG_ASIGNATURAS!$B$2:$J$61,9,FALSE()),""))</f>
      </c>
    </row>
    <row r="7903">
      <c r="E7903">
        <f>IF(DATOS!$I7903="","",IFERROR(VLOOKUP(DATOS!$I7903,CONFIG_ASIGNATURAS!$B$2:$J$61,9,FALSE()),""))</f>
      </c>
    </row>
    <row r="7904">
      <c r="E7904">
        <f>IF(DATOS!$I7904="","",IFERROR(VLOOKUP(DATOS!$I7904,CONFIG_ASIGNATURAS!$B$2:$J$61,9,FALSE()),""))</f>
      </c>
    </row>
    <row r="7905">
      <c r="E7905">
        <f>IF(DATOS!$I7905="","",IFERROR(VLOOKUP(DATOS!$I7905,CONFIG_ASIGNATURAS!$B$2:$J$61,9,FALSE()),""))</f>
      </c>
    </row>
    <row r="7906">
      <c r="E7906">
        <f>IF(DATOS!$I7906="","",IFERROR(VLOOKUP(DATOS!$I7906,CONFIG_ASIGNATURAS!$B$2:$J$61,9,FALSE()),""))</f>
      </c>
    </row>
    <row r="7907">
      <c r="E7907">
        <f>IF(DATOS!$I7907="","",IFERROR(VLOOKUP(DATOS!$I7907,CONFIG_ASIGNATURAS!$B$2:$J$61,9,FALSE()),""))</f>
      </c>
    </row>
    <row r="7908">
      <c r="E7908">
        <f>IF(DATOS!$I7908="","",IFERROR(VLOOKUP(DATOS!$I7908,CONFIG_ASIGNATURAS!$B$2:$J$61,9,FALSE()),""))</f>
      </c>
    </row>
    <row r="7909">
      <c r="E7909">
        <f>IF(DATOS!$I7909="","",IFERROR(VLOOKUP(DATOS!$I7909,CONFIG_ASIGNATURAS!$B$2:$J$61,9,FALSE()),""))</f>
      </c>
    </row>
    <row r="7910">
      <c r="E7910">
        <f>IF(DATOS!$I7910="","",IFERROR(VLOOKUP(DATOS!$I7910,CONFIG_ASIGNATURAS!$B$2:$J$61,9,FALSE()),""))</f>
      </c>
    </row>
    <row r="7911">
      <c r="E7911">
        <f>IF(DATOS!$I7911="","",IFERROR(VLOOKUP(DATOS!$I7911,CONFIG_ASIGNATURAS!$B$2:$J$61,9,FALSE()),""))</f>
      </c>
    </row>
    <row r="7912">
      <c r="E7912">
        <f>IF(DATOS!$I7912="","",IFERROR(VLOOKUP(DATOS!$I7912,CONFIG_ASIGNATURAS!$B$2:$J$61,9,FALSE()),""))</f>
      </c>
    </row>
    <row r="7913">
      <c r="E7913">
        <f>IF(DATOS!$I7913="","",IFERROR(VLOOKUP(DATOS!$I7913,CONFIG_ASIGNATURAS!$B$2:$J$61,9,FALSE()),""))</f>
      </c>
    </row>
    <row r="7914">
      <c r="E7914">
        <f>IF(DATOS!$I7914="","",IFERROR(VLOOKUP(DATOS!$I7914,CONFIG_ASIGNATURAS!$B$2:$J$61,9,FALSE()),""))</f>
      </c>
    </row>
    <row r="7915">
      <c r="E7915">
        <f>IF(DATOS!$I7915="","",IFERROR(VLOOKUP(DATOS!$I7915,CONFIG_ASIGNATURAS!$B$2:$J$61,9,FALSE()),""))</f>
      </c>
    </row>
    <row r="7916">
      <c r="E7916">
        <f>IF(DATOS!$I7916="","",IFERROR(VLOOKUP(DATOS!$I7916,CONFIG_ASIGNATURAS!$B$2:$J$61,9,FALSE()),""))</f>
      </c>
    </row>
    <row r="7917">
      <c r="E7917">
        <f>IF(DATOS!$I7917="","",IFERROR(VLOOKUP(DATOS!$I7917,CONFIG_ASIGNATURAS!$B$2:$J$61,9,FALSE()),""))</f>
      </c>
    </row>
    <row r="7918">
      <c r="E7918">
        <f>IF(DATOS!$I7918="","",IFERROR(VLOOKUP(DATOS!$I7918,CONFIG_ASIGNATURAS!$B$2:$J$61,9,FALSE()),""))</f>
      </c>
    </row>
    <row r="7919">
      <c r="E7919">
        <f>IF(DATOS!$I7919="","",IFERROR(VLOOKUP(DATOS!$I7919,CONFIG_ASIGNATURAS!$B$2:$J$61,9,FALSE()),""))</f>
      </c>
    </row>
    <row r="7920">
      <c r="E7920">
        <f>IF(DATOS!$I7920="","",IFERROR(VLOOKUP(DATOS!$I7920,CONFIG_ASIGNATURAS!$B$2:$J$61,9,FALSE()),""))</f>
      </c>
    </row>
    <row r="7921">
      <c r="E7921">
        <f>IF(DATOS!$I7921="","",IFERROR(VLOOKUP(DATOS!$I7921,CONFIG_ASIGNATURAS!$B$2:$J$61,9,FALSE()),""))</f>
      </c>
    </row>
    <row r="7922">
      <c r="E7922">
        <f>IF(DATOS!$I7922="","",IFERROR(VLOOKUP(DATOS!$I7922,CONFIG_ASIGNATURAS!$B$2:$J$61,9,FALSE()),""))</f>
      </c>
    </row>
    <row r="7923">
      <c r="E7923">
        <f>IF(DATOS!$I7923="","",IFERROR(VLOOKUP(DATOS!$I7923,CONFIG_ASIGNATURAS!$B$2:$J$61,9,FALSE()),""))</f>
      </c>
    </row>
    <row r="7924">
      <c r="E7924">
        <f>IF(DATOS!$I7924="","",IFERROR(VLOOKUP(DATOS!$I7924,CONFIG_ASIGNATURAS!$B$2:$J$61,9,FALSE()),""))</f>
      </c>
    </row>
    <row r="7925">
      <c r="E7925">
        <f>IF(DATOS!$I7925="","",IFERROR(VLOOKUP(DATOS!$I7925,CONFIG_ASIGNATURAS!$B$2:$J$61,9,FALSE()),""))</f>
      </c>
    </row>
    <row r="7926">
      <c r="E7926">
        <f>IF(DATOS!$I7926="","",IFERROR(VLOOKUP(DATOS!$I7926,CONFIG_ASIGNATURAS!$B$2:$J$61,9,FALSE()),""))</f>
      </c>
    </row>
    <row r="7927">
      <c r="E7927">
        <f>IF(DATOS!$I7927="","",IFERROR(VLOOKUP(DATOS!$I7927,CONFIG_ASIGNATURAS!$B$2:$J$61,9,FALSE()),""))</f>
      </c>
    </row>
    <row r="7928">
      <c r="E7928">
        <f>IF(DATOS!$I7928="","",IFERROR(VLOOKUP(DATOS!$I7928,CONFIG_ASIGNATURAS!$B$2:$J$61,9,FALSE()),""))</f>
      </c>
    </row>
    <row r="7929">
      <c r="E7929">
        <f>IF(DATOS!$I7929="","",IFERROR(VLOOKUP(DATOS!$I7929,CONFIG_ASIGNATURAS!$B$2:$J$61,9,FALSE()),""))</f>
      </c>
    </row>
    <row r="7930">
      <c r="E7930">
        <f>IF(DATOS!$I7930="","",IFERROR(VLOOKUP(DATOS!$I7930,CONFIG_ASIGNATURAS!$B$2:$J$61,9,FALSE()),""))</f>
      </c>
    </row>
    <row r="7931">
      <c r="E7931">
        <f>IF(DATOS!$I7931="","",IFERROR(VLOOKUP(DATOS!$I7931,CONFIG_ASIGNATURAS!$B$2:$J$61,9,FALSE()),""))</f>
      </c>
    </row>
    <row r="7932">
      <c r="E7932">
        <f>IF(DATOS!$I7932="","",IFERROR(VLOOKUP(DATOS!$I7932,CONFIG_ASIGNATURAS!$B$2:$J$61,9,FALSE()),""))</f>
      </c>
    </row>
    <row r="7933">
      <c r="E7933">
        <f>IF(DATOS!$I7933="","",IFERROR(VLOOKUP(DATOS!$I7933,CONFIG_ASIGNATURAS!$B$2:$J$61,9,FALSE()),""))</f>
      </c>
    </row>
    <row r="7934">
      <c r="E7934">
        <f>IF(DATOS!$I7934="","",IFERROR(VLOOKUP(DATOS!$I7934,CONFIG_ASIGNATURAS!$B$2:$J$61,9,FALSE()),""))</f>
      </c>
    </row>
    <row r="7935">
      <c r="E7935">
        <f>IF(DATOS!$I7935="","",IFERROR(VLOOKUP(DATOS!$I7935,CONFIG_ASIGNATURAS!$B$2:$J$61,9,FALSE()),""))</f>
      </c>
    </row>
    <row r="7936">
      <c r="E7936">
        <f>IF(DATOS!$I7936="","",IFERROR(VLOOKUP(DATOS!$I7936,CONFIG_ASIGNATURAS!$B$2:$J$61,9,FALSE()),""))</f>
      </c>
    </row>
    <row r="7937">
      <c r="E7937">
        <f>IF(DATOS!$I7937="","",IFERROR(VLOOKUP(DATOS!$I7937,CONFIG_ASIGNATURAS!$B$2:$J$61,9,FALSE()),""))</f>
      </c>
    </row>
    <row r="7938">
      <c r="E7938">
        <f>IF(DATOS!$I7938="","",IFERROR(VLOOKUP(DATOS!$I7938,CONFIG_ASIGNATURAS!$B$2:$J$61,9,FALSE()),""))</f>
      </c>
    </row>
    <row r="7939">
      <c r="E7939">
        <f>IF(DATOS!$I7939="","",IFERROR(VLOOKUP(DATOS!$I7939,CONFIG_ASIGNATURAS!$B$2:$J$61,9,FALSE()),""))</f>
      </c>
    </row>
    <row r="7940">
      <c r="E7940">
        <f>IF(DATOS!$I7940="","",IFERROR(VLOOKUP(DATOS!$I7940,CONFIG_ASIGNATURAS!$B$2:$J$61,9,FALSE()),""))</f>
      </c>
    </row>
    <row r="7941">
      <c r="E7941">
        <f>IF(DATOS!$I7941="","",IFERROR(VLOOKUP(DATOS!$I7941,CONFIG_ASIGNATURAS!$B$2:$J$61,9,FALSE()),""))</f>
      </c>
    </row>
    <row r="7942">
      <c r="E7942">
        <f>IF(DATOS!$I7942="","",IFERROR(VLOOKUP(DATOS!$I7942,CONFIG_ASIGNATURAS!$B$2:$J$61,9,FALSE()),""))</f>
      </c>
    </row>
    <row r="7943">
      <c r="E7943">
        <f>IF(DATOS!$I7943="","",IFERROR(VLOOKUP(DATOS!$I7943,CONFIG_ASIGNATURAS!$B$2:$J$61,9,FALSE()),""))</f>
      </c>
    </row>
    <row r="7944">
      <c r="E7944">
        <f>IF(DATOS!$I7944="","",IFERROR(VLOOKUP(DATOS!$I7944,CONFIG_ASIGNATURAS!$B$2:$J$61,9,FALSE()),""))</f>
      </c>
    </row>
    <row r="7945">
      <c r="E7945">
        <f>IF(DATOS!$I7945="","",IFERROR(VLOOKUP(DATOS!$I7945,CONFIG_ASIGNATURAS!$B$2:$J$61,9,FALSE()),""))</f>
      </c>
    </row>
    <row r="7946">
      <c r="E7946">
        <f>IF(DATOS!$I7946="","",IFERROR(VLOOKUP(DATOS!$I7946,CONFIG_ASIGNATURAS!$B$2:$J$61,9,FALSE()),""))</f>
      </c>
    </row>
    <row r="7947">
      <c r="E7947">
        <f>IF(DATOS!$I7947="","",IFERROR(VLOOKUP(DATOS!$I7947,CONFIG_ASIGNATURAS!$B$2:$J$61,9,FALSE()),""))</f>
      </c>
    </row>
    <row r="7948">
      <c r="E7948">
        <f>IF(DATOS!$I7948="","",IFERROR(VLOOKUP(DATOS!$I7948,CONFIG_ASIGNATURAS!$B$2:$J$61,9,FALSE()),""))</f>
      </c>
    </row>
    <row r="7949">
      <c r="E7949">
        <f>IF(DATOS!$I7949="","",IFERROR(VLOOKUP(DATOS!$I7949,CONFIG_ASIGNATURAS!$B$2:$J$61,9,FALSE()),""))</f>
      </c>
    </row>
    <row r="7950">
      <c r="E7950">
        <f>IF(DATOS!$I7950="","",IFERROR(VLOOKUP(DATOS!$I7950,CONFIG_ASIGNATURAS!$B$2:$J$61,9,FALSE()),""))</f>
      </c>
    </row>
    <row r="7951">
      <c r="E7951">
        <f>IF(DATOS!$I7951="","",IFERROR(VLOOKUP(DATOS!$I7951,CONFIG_ASIGNATURAS!$B$2:$J$61,9,FALSE()),""))</f>
      </c>
    </row>
    <row r="7952">
      <c r="E7952">
        <f>IF(DATOS!$I7952="","",IFERROR(VLOOKUP(DATOS!$I7952,CONFIG_ASIGNATURAS!$B$2:$J$61,9,FALSE()),""))</f>
      </c>
    </row>
    <row r="7953">
      <c r="E7953">
        <f>IF(DATOS!$I7953="","",IFERROR(VLOOKUP(DATOS!$I7953,CONFIG_ASIGNATURAS!$B$2:$J$61,9,FALSE()),""))</f>
      </c>
    </row>
    <row r="7954">
      <c r="E7954">
        <f>IF(DATOS!$I7954="","",IFERROR(VLOOKUP(DATOS!$I7954,CONFIG_ASIGNATURAS!$B$2:$J$61,9,FALSE()),""))</f>
      </c>
    </row>
    <row r="7955">
      <c r="E7955">
        <f>IF(DATOS!$I7955="","",IFERROR(VLOOKUP(DATOS!$I7955,CONFIG_ASIGNATURAS!$B$2:$J$61,9,FALSE()),""))</f>
      </c>
    </row>
    <row r="7956">
      <c r="E7956">
        <f>IF(DATOS!$I7956="","",IFERROR(VLOOKUP(DATOS!$I7956,CONFIG_ASIGNATURAS!$B$2:$J$61,9,FALSE()),""))</f>
      </c>
    </row>
    <row r="7957">
      <c r="E7957">
        <f>IF(DATOS!$I7957="","",IFERROR(VLOOKUP(DATOS!$I7957,CONFIG_ASIGNATURAS!$B$2:$J$61,9,FALSE()),""))</f>
      </c>
    </row>
    <row r="7958">
      <c r="E7958">
        <f>IF(DATOS!$I7958="","",IFERROR(VLOOKUP(DATOS!$I7958,CONFIG_ASIGNATURAS!$B$2:$J$61,9,FALSE()),""))</f>
      </c>
    </row>
    <row r="7959">
      <c r="E7959">
        <f>IF(DATOS!$I7959="","",IFERROR(VLOOKUP(DATOS!$I7959,CONFIG_ASIGNATURAS!$B$2:$J$61,9,FALSE()),""))</f>
      </c>
    </row>
    <row r="7960">
      <c r="E7960">
        <f>IF(DATOS!$I7960="","",IFERROR(VLOOKUP(DATOS!$I7960,CONFIG_ASIGNATURAS!$B$2:$J$61,9,FALSE()),""))</f>
      </c>
    </row>
    <row r="7961">
      <c r="E7961">
        <f>IF(DATOS!$I7961="","",IFERROR(VLOOKUP(DATOS!$I7961,CONFIG_ASIGNATURAS!$B$2:$J$61,9,FALSE()),""))</f>
      </c>
    </row>
    <row r="7962">
      <c r="E7962">
        <f>IF(DATOS!$I7962="","",IFERROR(VLOOKUP(DATOS!$I7962,CONFIG_ASIGNATURAS!$B$2:$J$61,9,FALSE()),""))</f>
      </c>
    </row>
    <row r="7963">
      <c r="E7963">
        <f>IF(DATOS!$I7963="","",IFERROR(VLOOKUP(DATOS!$I7963,CONFIG_ASIGNATURAS!$B$2:$J$61,9,FALSE()),""))</f>
      </c>
    </row>
    <row r="7964">
      <c r="E7964">
        <f>IF(DATOS!$I7964="","",IFERROR(VLOOKUP(DATOS!$I7964,CONFIG_ASIGNATURAS!$B$2:$J$61,9,FALSE()),""))</f>
      </c>
    </row>
    <row r="7965">
      <c r="E7965">
        <f>IF(DATOS!$I7965="","",IFERROR(VLOOKUP(DATOS!$I7965,CONFIG_ASIGNATURAS!$B$2:$J$61,9,FALSE()),""))</f>
      </c>
    </row>
    <row r="7966">
      <c r="E7966">
        <f>IF(DATOS!$I7966="","",IFERROR(VLOOKUP(DATOS!$I7966,CONFIG_ASIGNATURAS!$B$2:$J$61,9,FALSE()),""))</f>
      </c>
    </row>
    <row r="7967">
      <c r="E7967">
        <f>IF(DATOS!$I7967="","",IFERROR(VLOOKUP(DATOS!$I7967,CONFIG_ASIGNATURAS!$B$2:$J$61,9,FALSE()),""))</f>
      </c>
    </row>
    <row r="7968">
      <c r="E7968">
        <f>IF(DATOS!$I7968="","",IFERROR(VLOOKUP(DATOS!$I7968,CONFIG_ASIGNATURAS!$B$2:$J$61,9,FALSE()),""))</f>
      </c>
    </row>
    <row r="7969">
      <c r="E7969">
        <f>IF(DATOS!$I7969="","",IFERROR(VLOOKUP(DATOS!$I7969,CONFIG_ASIGNATURAS!$B$2:$J$61,9,FALSE()),""))</f>
      </c>
    </row>
    <row r="7970">
      <c r="E7970">
        <f>IF(DATOS!$I7970="","",IFERROR(VLOOKUP(DATOS!$I7970,CONFIG_ASIGNATURAS!$B$2:$J$61,9,FALSE()),""))</f>
      </c>
    </row>
    <row r="7971">
      <c r="E7971">
        <f>IF(DATOS!$I7971="","",IFERROR(VLOOKUP(DATOS!$I7971,CONFIG_ASIGNATURAS!$B$2:$J$61,9,FALSE()),""))</f>
      </c>
    </row>
    <row r="7972">
      <c r="E7972">
        <f>IF(DATOS!$I7972="","",IFERROR(VLOOKUP(DATOS!$I7972,CONFIG_ASIGNATURAS!$B$2:$J$61,9,FALSE()),""))</f>
      </c>
    </row>
    <row r="7973">
      <c r="E7973">
        <f>IF(DATOS!$I7973="","",IFERROR(VLOOKUP(DATOS!$I7973,CONFIG_ASIGNATURAS!$B$2:$J$61,9,FALSE()),""))</f>
      </c>
    </row>
    <row r="7974">
      <c r="E7974">
        <f>IF(DATOS!$I7974="","",IFERROR(VLOOKUP(DATOS!$I7974,CONFIG_ASIGNATURAS!$B$2:$J$61,9,FALSE()),""))</f>
      </c>
    </row>
    <row r="7975">
      <c r="E7975">
        <f>IF(DATOS!$I7975="","",IFERROR(VLOOKUP(DATOS!$I7975,CONFIG_ASIGNATURAS!$B$2:$J$61,9,FALSE()),""))</f>
      </c>
    </row>
    <row r="7976">
      <c r="E7976">
        <f>IF(DATOS!$I7976="","",IFERROR(VLOOKUP(DATOS!$I7976,CONFIG_ASIGNATURAS!$B$2:$J$61,9,FALSE()),""))</f>
      </c>
    </row>
    <row r="7977">
      <c r="E7977">
        <f>IF(DATOS!$I7977="","",IFERROR(VLOOKUP(DATOS!$I7977,CONFIG_ASIGNATURAS!$B$2:$J$61,9,FALSE()),""))</f>
      </c>
    </row>
    <row r="7978">
      <c r="E7978">
        <f>IF(DATOS!$I7978="","",IFERROR(VLOOKUP(DATOS!$I7978,CONFIG_ASIGNATURAS!$B$2:$J$61,9,FALSE()),""))</f>
      </c>
    </row>
    <row r="7979">
      <c r="E7979">
        <f>IF(DATOS!$I7979="","",IFERROR(VLOOKUP(DATOS!$I7979,CONFIG_ASIGNATURAS!$B$2:$J$61,9,FALSE()),""))</f>
      </c>
    </row>
    <row r="7980">
      <c r="E7980">
        <f>IF(DATOS!$I7980="","",IFERROR(VLOOKUP(DATOS!$I7980,CONFIG_ASIGNATURAS!$B$2:$J$61,9,FALSE()),""))</f>
      </c>
    </row>
    <row r="7981">
      <c r="E7981">
        <f>IF(DATOS!$I7981="","",IFERROR(VLOOKUP(DATOS!$I7981,CONFIG_ASIGNATURAS!$B$2:$J$61,9,FALSE()),""))</f>
      </c>
    </row>
    <row r="7982">
      <c r="E7982">
        <f>IF(DATOS!$I7982="","",IFERROR(VLOOKUP(DATOS!$I7982,CONFIG_ASIGNATURAS!$B$2:$J$61,9,FALSE()),""))</f>
      </c>
    </row>
    <row r="7983">
      <c r="E7983">
        <f>IF(DATOS!$I7983="","",IFERROR(VLOOKUP(DATOS!$I7983,CONFIG_ASIGNATURAS!$B$2:$J$61,9,FALSE()),""))</f>
      </c>
    </row>
    <row r="7984">
      <c r="E7984">
        <f>IF(DATOS!$I7984="","",IFERROR(VLOOKUP(DATOS!$I7984,CONFIG_ASIGNATURAS!$B$2:$J$61,9,FALSE()),""))</f>
      </c>
    </row>
    <row r="7985">
      <c r="E7985">
        <f>IF(DATOS!$I7985="","",IFERROR(VLOOKUP(DATOS!$I7985,CONFIG_ASIGNATURAS!$B$2:$J$61,9,FALSE()),""))</f>
      </c>
    </row>
    <row r="7986">
      <c r="E7986">
        <f>IF(DATOS!$I7986="","",IFERROR(VLOOKUP(DATOS!$I7986,CONFIG_ASIGNATURAS!$B$2:$J$61,9,FALSE()),""))</f>
      </c>
    </row>
    <row r="7987">
      <c r="E7987">
        <f>IF(DATOS!$I7987="","",IFERROR(VLOOKUP(DATOS!$I7987,CONFIG_ASIGNATURAS!$B$2:$J$61,9,FALSE()),""))</f>
      </c>
    </row>
    <row r="7988">
      <c r="E7988">
        <f>IF(DATOS!$I7988="","",IFERROR(VLOOKUP(DATOS!$I7988,CONFIG_ASIGNATURAS!$B$2:$J$61,9,FALSE()),""))</f>
      </c>
    </row>
    <row r="7989">
      <c r="E7989">
        <f>IF(DATOS!$I7989="","",IFERROR(VLOOKUP(DATOS!$I7989,CONFIG_ASIGNATURAS!$B$2:$J$61,9,FALSE()),""))</f>
      </c>
    </row>
    <row r="7990">
      <c r="E7990">
        <f>IF(DATOS!$I7990="","",IFERROR(VLOOKUP(DATOS!$I7990,CONFIG_ASIGNATURAS!$B$2:$J$61,9,FALSE()),""))</f>
      </c>
    </row>
    <row r="7991">
      <c r="E7991">
        <f>IF(DATOS!$I7991="","",IFERROR(VLOOKUP(DATOS!$I7991,CONFIG_ASIGNATURAS!$B$2:$J$61,9,FALSE()),""))</f>
      </c>
    </row>
    <row r="7992">
      <c r="E7992">
        <f>IF(DATOS!$I7992="","",IFERROR(VLOOKUP(DATOS!$I7992,CONFIG_ASIGNATURAS!$B$2:$J$61,9,FALSE()),""))</f>
      </c>
    </row>
    <row r="7993">
      <c r="E7993">
        <f>IF(DATOS!$I7993="","",IFERROR(VLOOKUP(DATOS!$I7993,CONFIG_ASIGNATURAS!$B$2:$J$61,9,FALSE()),""))</f>
      </c>
    </row>
    <row r="7994">
      <c r="E7994">
        <f>IF(DATOS!$I7994="","",IFERROR(VLOOKUP(DATOS!$I7994,CONFIG_ASIGNATURAS!$B$2:$J$61,9,FALSE()),""))</f>
      </c>
    </row>
    <row r="7995">
      <c r="E7995">
        <f>IF(DATOS!$I7995="","",IFERROR(VLOOKUP(DATOS!$I7995,CONFIG_ASIGNATURAS!$B$2:$J$61,9,FALSE()),""))</f>
      </c>
    </row>
    <row r="7996">
      <c r="E7996">
        <f>IF(DATOS!$I7996="","",IFERROR(VLOOKUP(DATOS!$I7996,CONFIG_ASIGNATURAS!$B$2:$J$61,9,FALSE()),""))</f>
      </c>
    </row>
    <row r="7997">
      <c r="E7997">
        <f>IF(DATOS!$I7997="","",IFERROR(VLOOKUP(DATOS!$I7997,CONFIG_ASIGNATURAS!$B$2:$J$61,9,FALSE()),""))</f>
      </c>
    </row>
    <row r="7998">
      <c r="E7998">
        <f>IF(DATOS!$I7998="","",IFERROR(VLOOKUP(DATOS!$I7998,CONFIG_ASIGNATURAS!$B$2:$J$61,9,FALSE()),""))</f>
      </c>
    </row>
    <row r="7999">
      <c r="E7999">
        <f>IF(DATOS!$I7999="","",IFERROR(VLOOKUP(DATOS!$I7999,CONFIG_ASIGNATURAS!$B$2:$J$61,9,FALSE()),""))</f>
      </c>
    </row>
    <row r="8000">
      <c r="E8000">
        <f>IF(DATOS!$I8000="","",IFERROR(VLOOKUP(DATOS!$I8000,CONFIG_ASIGNATURAS!$B$2:$J$61,9,FALSE()),""))</f>
      </c>
    </row>
    <row r="8001">
      <c r="E8001">
        <f>IF(DATOS!$I8001="","",IFERROR(VLOOKUP(DATOS!$I8001,CONFIG_ASIGNATURAS!$B$2:$J$61,9,FALSE()),""))</f>
      </c>
    </row>
    <row r="8002">
      <c r="E8002">
        <f>IF(DATOS!$I8002="","",IFERROR(VLOOKUP(DATOS!$I8002,CONFIG_ASIGNATURAS!$B$2:$J$61,9,FALSE()),""))</f>
      </c>
    </row>
    <row r="8003">
      <c r="E8003">
        <f>IF(DATOS!$I8003="","",IFERROR(VLOOKUP(DATOS!$I8003,CONFIG_ASIGNATURAS!$B$2:$J$61,9,FALSE()),""))</f>
      </c>
    </row>
    <row r="8004">
      <c r="E8004">
        <f>IF(DATOS!$I8004="","",IFERROR(VLOOKUP(DATOS!$I8004,CONFIG_ASIGNATURAS!$B$2:$J$61,9,FALSE()),""))</f>
      </c>
    </row>
    <row r="8005">
      <c r="E8005">
        <f>IF(DATOS!$I8005="","",IFERROR(VLOOKUP(DATOS!$I8005,CONFIG_ASIGNATURAS!$B$2:$J$61,9,FALSE()),""))</f>
      </c>
    </row>
    <row r="8006">
      <c r="E8006">
        <f>IF(DATOS!$I8006="","",IFERROR(VLOOKUP(DATOS!$I8006,CONFIG_ASIGNATURAS!$B$2:$J$61,9,FALSE()),""))</f>
      </c>
    </row>
    <row r="8007">
      <c r="E8007">
        <f>IF(DATOS!$I8007="","",IFERROR(VLOOKUP(DATOS!$I8007,CONFIG_ASIGNATURAS!$B$2:$J$61,9,FALSE()),""))</f>
      </c>
    </row>
    <row r="8008">
      <c r="E8008">
        <f>IF(DATOS!$I8008="","",IFERROR(VLOOKUP(DATOS!$I8008,CONFIG_ASIGNATURAS!$B$2:$J$61,9,FALSE()),""))</f>
      </c>
    </row>
    <row r="8009">
      <c r="E8009">
        <f>IF(DATOS!$I8009="","",IFERROR(VLOOKUP(DATOS!$I8009,CONFIG_ASIGNATURAS!$B$2:$J$61,9,FALSE()),""))</f>
      </c>
    </row>
    <row r="8010">
      <c r="E8010">
        <f>IF(DATOS!$I8010="","",IFERROR(VLOOKUP(DATOS!$I8010,CONFIG_ASIGNATURAS!$B$2:$J$61,9,FALSE()),""))</f>
      </c>
    </row>
    <row r="8011">
      <c r="E8011">
        <f>IF(DATOS!$I8011="","",IFERROR(VLOOKUP(DATOS!$I8011,CONFIG_ASIGNATURAS!$B$2:$J$61,9,FALSE()),""))</f>
      </c>
    </row>
    <row r="8012">
      <c r="E8012">
        <f>IF(DATOS!$I8012="","",IFERROR(VLOOKUP(DATOS!$I8012,CONFIG_ASIGNATURAS!$B$2:$J$61,9,FALSE()),""))</f>
      </c>
    </row>
    <row r="8013">
      <c r="E8013">
        <f>IF(DATOS!$I8013="","",IFERROR(VLOOKUP(DATOS!$I8013,CONFIG_ASIGNATURAS!$B$2:$J$61,9,FALSE()),""))</f>
      </c>
    </row>
    <row r="8014">
      <c r="E8014">
        <f>IF(DATOS!$I8014="","",IFERROR(VLOOKUP(DATOS!$I8014,CONFIG_ASIGNATURAS!$B$2:$J$61,9,FALSE()),""))</f>
      </c>
    </row>
    <row r="8015">
      <c r="E8015">
        <f>IF(DATOS!$I8015="","",IFERROR(VLOOKUP(DATOS!$I8015,CONFIG_ASIGNATURAS!$B$2:$J$61,9,FALSE()),""))</f>
      </c>
    </row>
    <row r="8016">
      <c r="E8016">
        <f>IF(DATOS!$I8016="","",IFERROR(VLOOKUP(DATOS!$I8016,CONFIG_ASIGNATURAS!$B$2:$J$61,9,FALSE()),""))</f>
      </c>
    </row>
    <row r="8017">
      <c r="E8017">
        <f>IF(DATOS!$I8017="","",IFERROR(VLOOKUP(DATOS!$I8017,CONFIG_ASIGNATURAS!$B$2:$J$61,9,FALSE()),""))</f>
      </c>
    </row>
    <row r="8018">
      <c r="E8018">
        <f>IF(DATOS!$I8018="","",IFERROR(VLOOKUP(DATOS!$I8018,CONFIG_ASIGNATURAS!$B$2:$J$61,9,FALSE()),""))</f>
      </c>
    </row>
    <row r="8019">
      <c r="E8019">
        <f>IF(DATOS!$I8019="","",IFERROR(VLOOKUP(DATOS!$I8019,CONFIG_ASIGNATURAS!$B$2:$J$61,9,FALSE()),""))</f>
      </c>
    </row>
    <row r="8020">
      <c r="E8020">
        <f>IF(DATOS!$I8020="","",IFERROR(VLOOKUP(DATOS!$I8020,CONFIG_ASIGNATURAS!$B$2:$J$61,9,FALSE()),""))</f>
      </c>
    </row>
    <row r="8021">
      <c r="E8021">
        <f>IF(DATOS!$I8021="","",IFERROR(VLOOKUP(DATOS!$I8021,CONFIG_ASIGNATURAS!$B$2:$J$61,9,FALSE()),""))</f>
      </c>
    </row>
    <row r="8022">
      <c r="E8022">
        <f>IF(DATOS!$I8022="","",IFERROR(VLOOKUP(DATOS!$I8022,CONFIG_ASIGNATURAS!$B$2:$J$61,9,FALSE()),""))</f>
      </c>
    </row>
    <row r="8023">
      <c r="E8023">
        <f>IF(DATOS!$I8023="","",IFERROR(VLOOKUP(DATOS!$I8023,CONFIG_ASIGNATURAS!$B$2:$J$61,9,FALSE()),""))</f>
      </c>
    </row>
    <row r="8024">
      <c r="E8024">
        <f>IF(DATOS!$I8024="","",IFERROR(VLOOKUP(DATOS!$I8024,CONFIG_ASIGNATURAS!$B$2:$J$61,9,FALSE()),""))</f>
      </c>
    </row>
    <row r="8025">
      <c r="E8025">
        <f>IF(DATOS!$I8025="","",IFERROR(VLOOKUP(DATOS!$I8025,CONFIG_ASIGNATURAS!$B$2:$J$61,9,FALSE()),""))</f>
      </c>
    </row>
    <row r="8026">
      <c r="E8026">
        <f>IF(DATOS!$I8026="","",IFERROR(VLOOKUP(DATOS!$I8026,CONFIG_ASIGNATURAS!$B$2:$J$61,9,FALSE()),""))</f>
      </c>
    </row>
    <row r="8027">
      <c r="E8027">
        <f>IF(DATOS!$I8027="","",IFERROR(VLOOKUP(DATOS!$I8027,CONFIG_ASIGNATURAS!$B$2:$J$61,9,FALSE()),""))</f>
      </c>
    </row>
    <row r="8028">
      <c r="E8028">
        <f>IF(DATOS!$I8028="","",IFERROR(VLOOKUP(DATOS!$I8028,CONFIG_ASIGNATURAS!$B$2:$J$61,9,FALSE()),""))</f>
      </c>
    </row>
    <row r="8029">
      <c r="E8029">
        <f>IF(DATOS!$I8029="","",IFERROR(VLOOKUP(DATOS!$I8029,CONFIG_ASIGNATURAS!$B$2:$J$61,9,FALSE()),""))</f>
      </c>
    </row>
    <row r="8030">
      <c r="E8030">
        <f>IF(DATOS!$I8030="","",IFERROR(VLOOKUP(DATOS!$I8030,CONFIG_ASIGNATURAS!$B$2:$J$61,9,FALSE()),""))</f>
      </c>
    </row>
    <row r="8031">
      <c r="E8031">
        <f>IF(DATOS!$I8031="","",IFERROR(VLOOKUP(DATOS!$I8031,CONFIG_ASIGNATURAS!$B$2:$J$61,9,FALSE()),""))</f>
      </c>
    </row>
    <row r="8032">
      <c r="E8032">
        <f>IF(DATOS!$I8032="","",IFERROR(VLOOKUP(DATOS!$I8032,CONFIG_ASIGNATURAS!$B$2:$J$61,9,FALSE()),""))</f>
      </c>
    </row>
    <row r="8033">
      <c r="E8033">
        <f>IF(DATOS!$I8033="","",IFERROR(VLOOKUP(DATOS!$I8033,CONFIG_ASIGNATURAS!$B$2:$J$61,9,FALSE()),""))</f>
      </c>
    </row>
    <row r="8034">
      <c r="E8034">
        <f>IF(DATOS!$I8034="","",IFERROR(VLOOKUP(DATOS!$I8034,CONFIG_ASIGNATURAS!$B$2:$J$61,9,FALSE()),""))</f>
      </c>
    </row>
    <row r="8035">
      <c r="E8035">
        <f>IF(DATOS!$I8035="","",IFERROR(VLOOKUP(DATOS!$I8035,CONFIG_ASIGNATURAS!$B$2:$J$61,9,FALSE()),""))</f>
      </c>
    </row>
    <row r="8036">
      <c r="E8036">
        <f>IF(DATOS!$I8036="","",IFERROR(VLOOKUP(DATOS!$I8036,CONFIG_ASIGNATURAS!$B$2:$J$61,9,FALSE()),""))</f>
      </c>
    </row>
    <row r="8037">
      <c r="E8037">
        <f>IF(DATOS!$I8037="","",IFERROR(VLOOKUP(DATOS!$I8037,CONFIG_ASIGNATURAS!$B$2:$J$61,9,FALSE()),""))</f>
      </c>
    </row>
    <row r="8038">
      <c r="E8038">
        <f>IF(DATOS!$I8038="","",IFERROR(VLOOKUP(DATOS!$I8038,CONFIG_ASIGNATURAS!$B$2:$J$61,9,FALSE()),""))</f>
      </c>
    </row>
    <row r="8039">
      <c r="E8039">
        <f>IF(DATOS!$I8039="","",IFERROR(VLOOKUP(DATOS!$I8039,CONFIG_ASIGNATURAS!$B$2:$J$61,9,FALSE()),""))</f>
      </c>
    </row>
    <row r="8040">
      <c r="E8040">
        <f>IF(DATOS!$I8040="","",IFERROR(VLOOKUP(DATOS!$I8040,CONFIG_ASIGNATURAS!$B$2:$J$61,9,FALSE()),""))</f>
      </c>
    </row>
    <row r="8041">
      <c r="E8041">
        <f>IF(DATOS!$I8041="","",IFERROR(VLOOKUP(DATOS!$I8041,CONFIG_ASIGNATURAS!$B$2:$J$61,9,FALSE()),""))</f>
      </c>
    </row>
    <row r="8042">
      <c r="E8042">
        <f>IF(DATOS!$I8042="","",IFERROR(VLOOKUP(DATOS!$I8042,CONFIG_ASIGNATURAS!$B$2:$J$61,9,FALSE()),""))</f>
      </c>
    </row>
    <row r="8043">
      <c r="E8043">
        <f>IF(DATOS!$I8043="","",IFERROR(VLOOKUP(DATOS!$I8043,CONFIG_ASIGNATURAS!$B$2:$J$61,9,FALSE()),""))</f>
      </c>
    </row>
    <row r="8044">
      <c r="E8044">
        <f>IF(DATOS!$I8044="","",IFERROR(VLOOKUP(DATOS!$I8044,CONFIG_ASIGNATURAS!$B$2:$J$61,9,FALSE()),""))</f>
      </c>
    </row>
    <row r="8045">
      <c r="E8045">
        <f>IF(DATOS!$I8045="","",IFERROR(VLOOKUP(DATOS!$I8045,CONFIG_ASIGNATURAS!$B$2:$J$61,9,FALSE()),""))</f>
      </c>
    </row>
    <row r="8046">
      <c r="E8046">
        <f>IF(DATOS!$I8046="","",IFERROR(VLOOKUP(DATOS!$I8046,CONFIG_ASIGNATURAS!$B$2:$J$61,9,FALSE()),""))</f>
      </c>
    </row>
    <row r="8047">
      <c r="E8047">
        <f>IF(DATOS!$I8047="","",IFERROR(VLOOKUP(DATOS!$I8047,CONFIG_ASIGNATURAS!$B$2:$J$61,9,FALSE()),""))</f>
      </c>
    </row>
    <row r="8048">
      <c r="E8048">
        <f>IF(DATOS!$I8048="","",IFERROR(VLOOKUP(DATOS!$I8048,CONFIG_ASIGNATURAS!$B$2:$J$61,9,FALSE()),""))</f>
      </c>
    </row>
    <row r="8049">
      <c r="E8049">
        <f>IF(DATOS!$I8049="","",IFERROR(VLOOKUP(DATOS!$I8049,CONFIG_ASIGNATURAS!$B$2:$J$61,9,FALSE()),""))</f>
      </c>
    </row>
    <row r="8050">
      <c r="E8050">
        <f>IF(DATOS!$I8050="","",IFERROR(VLOOKUP(DATOS!$I8050,CONFIG_ASIGNATURAS!$B$2:$J$61,9,FALSE()),""))</f>
      </c>
    </row>
    <row r="8051">
      <c r="E8051">
        <f>IF(DATOS!$I8051="","",IFERROR(VLOOKUP(DATOS!$I8051,CONFIG_ASIGNATURAS!$B$2:$J$61,9,FALSE()),""))</f>
      </c>
    </row>
    <row r="8052">
      <c r="E8052">
        <f>IF(DATOS!$I8052="","",IFERROR(VLOOKUP(DATOS!$I8052,CONFIG_ASIGNATURAS!$B$2:$J$61,9,FALSE()),""))</f>
      </c>
    </row>
    <row r="8053">
      <c r="E8053">
        <f>IF(DATOS!$I8053="","",IFERROR(VLOOKUP(DATOS!$I8053,CONFIG_ASIGNATURAS!$B$2:$J$61,9,FALSE()),""))</f>
      </c>
    </row>
    <row r="8054">
      <c r="E8054">
        <f>IF(DATOS!$I8054="","",IFERROR(VLOOKUP(DATOS!$I8054,CONFIG_ASIGNATURAS!$B$2:$J$61,9,FALSE()),""))</f>
      </c>
    </row>
    <row r="8055">
      <c r="E8055">
        <f>IF(DATOS!$I8055="","",IFERROR(VLOOKUP(DATOS!$I8055,CONFIG_ASIGNATURAS!$B$2:$J$61,9,FALSE()),""))</f>
      </c>
    </row>
    <row r="8056">
      <c r="E8056">
        <f>IF(DATOS!$I8056="","",IFERROR(VLOOKUP(DATOS!$I8056,CONFIG_ASIGNATURAS!$B$2:$J$61,9,FALSE()),""))</f>
      </c>
    </row>
    <row r="8057">
      <c r="E8057">
        <f>IF(DATOS!$I8057="","",IFERROR(VLOOKUP(DATOS!$I8057,CONFIG_ASIGNATURAS!$B$2:$J$61,9,FALSE()),""))</f>
      </c>
    </row>
    <row r="8058">
      <c r="E8058">
        <f>IF(DATOS!$I8058="","",IFERROR(VLOOKUP(DATOS!$I8058,CONFIG_ASIGNATURAS!$B$2:$J$61,9,FALSE()),""))</f>
      </c>
    </row>
    <row r="8059">
      <c r="E8059">
        <f>IF(DATOS!$I8059="","",IFERROR(VLOOKUP(DATOS!$I8059,CONFIG_ASIGNATURAS!$B$2:$J$61,9,FALSE()),""))</f>
      </c>
    </row>
    <row r="8060">
      <c r="E8060">
        <f>IF(DATOS!$I8060="","",IFERROR(VLOOKUP(DATOS!$I8060,CONFIG_ASIGNATURAS!$B$2:$J$61,9,FALSE()),""))</f>
      </c>
    </row>
    <row r="8061">
      <c r="E8061">
        <f>IF(DATOS!$I8061="","",IFERROR(VLOOKUP(DATOS!$I8061,CONFIG_ASIGNATURAS!$B$2:$J$61,9,FALSE()),""))</f>
      </c>
    </row>
    <row r="8062">
      <c r="E8062">
        <f>IF(DATOS!$I8062="","",IFERROR(VLOOKUP(DATOS!$I8062,CONFIG_ASIGNATURAS!$B$2:$J$61,9,FALSE()),""))</f>
      </c>
    </row>
    <row r="8063">
      <c r="E8063">
        <f>IF(DATOS!$I8063="","",IFERROR(VLOOKUP(DATOS!$I8063,CONFIG_ASIGNATURAS!$B$2:$J$61,9,FALSE()),""))</f>
      </c>
    </row>
    <row r="8064">
      <c r="E8064">
        <f>IF(DATOS!$I8064="","",IFERROR(VLOOKUP(DATOS!$I8064,CONFIG_ASIGNATURAS!$B$2:$J$61,9,FALSE()),""))</f>
      </c>
    </row>
    <row r="8065">
      <c r="E8065">
        <f>IF(DATOS!$I8065="","",IFERROR(VLOOKUP(DATOS!$I8065,CONFIG_ASIGNATURAS!$B$2:$J$61,9,FALSE()),""))</f>
      </c>
    </row>
    <row r="8066">
      <c r="E8066">
        <f>IF(DATOS!$I8066="","",IFERROR(VLOOKUP(DATOS!$I8066,CONFIG_ASIGNATURAS!$B$2:$J$61,9,FALSE()),""))</f>
      </c>
    </row>
    <row r="8067">
      <c r="E8067">
        <f>IF(DATOS!$I8067="","",IFERROR(VLOOKUP(DATOS!$I8067,CONFIG_ASIGNATURAS!$B$2:$J$61,9,FALSE()),""))</f>
      </c>
    </row>
    <row r="8068">
      <c r="E8068">
        <f>IF(DATOS!$I8068="","",IFERROR(VLOOKUP(DATOS!$I8068,CONFIG_ASIGNATURAS!$B$2:$J$61,9,FALSE()),""))</f>
      </c>
    </row>
    <row r="8069">
      <c r="E8069">
        <f>IF(DATOS!$I8069="","",IFERROR(VLOOKUP(DATOS!$I8069,CONFIG_ASIGNATURAS!$B$2:$J$61,9,FALSE()),""))</f>
      </c>
    </row>
    <row r="8070">
      <c r="E8070">
        <f>IF(DATOS!$I8070="","",IFERROR(VLOOKUP(DATOS!$I8070,CONFIG_ASIGNATURAS!$B$2:$J$61,9,FALSE()),""))</f>
      </c>
    </row>
    <row r="8071">
      <c r="E8071">
        <f>IF(DATOS!$I8071="","",IFERROR(VLOOKUP(DATOS!$I8071,CONFIG_ASIGNATURAS!$B$2:$J$61,9,FALSE()),""))</f>
      </c>
    </row>
    <row r="8072">
      <c r="E8072">
        <f>IF(DATOS!$I8072="","",IFERROR(VLOOKUP(DATOS!$I8072,CONFIG_ASIGNATURAS!$B$2:$J$61,9,FALSE()),""))</f>
      </c>
    </row>
    <row r="8073">
      <c r="E8073">
        <f>IF(DATOS!$I8073="","",IFERROR(VLOOKUP(DATOS!$I8073,CONFIG_ASIGNATURAS!$B$2:$J$61,9,FALSE()),""))</f>
      </c>
    </row>
    <row r="8074">
      <c r="E8074">
        <f>IF(DATOS!$I8074="","",IFERROR(VLOOKUP(DATOS!$I8074,CONFIG_ASIGNATURAS!$B$2:$J$61,9,FALSE()),""))</f>
      </c>
    </row>
    <row r="8075">
      <c r="E8075">
        <f>IF(DATOS!$I8075="","",IFERROR(VLOOKUP(DATOS!$I8075,CONFIG_ASIGNATURAS!$B$2:$J$61,9,FALSE()),""))</f>
      </c>
    </row>
    <row r="8076">
      <c r="E8076">
        <f>IF(DATOS!$I8076="","",IFERROR(VLOOKUP(DATOS!$I8076,CONFIG_ASIGNATURAS!$B$2:$J$61,9,FALSE()),""))</f>
      </c>
    </row>
    <row r="8077">
      <c r="E8077">
        <f>IF(DATOS!$I8077="","",IFERROR(VLOOKUP(DATOS!$I8077,CONFIG_ASIGNATURAS!$B$2:$J$61,9,FALSE()),""))</f>
      </c>
    </row>
    <row r="8078">
      <c r="E8078">
        <f>IF(DATOS!$I8078="","",IFERROR(VLOOKUP(DATOS!$I8078,CONFIG_ASIGNATURAS!$B$2:$J$61,9,FALSE()),""))</f>
      </c>
    </row>
    <row r="8079">
      <c r="E8079">
        <f>IF(DATOS!$I8079="","",IFERROR(VLOOKUP(DATOS!$I8079,CONFIG_ASIGNATURAS!$B$2:$J$61,9,FALSE()),""))</f>
      </c>
    </row>
    <row r="8080">
      <c r="E8080">
        <f>IF(DATOS!$I8080="","",IFERROR(VLOOKUP(DATOS!$I8080,CONFIG_ASIGNATURAS!$B$2:$J$61,9,FALSE()),""))</f>
      </c>
    </row>
    <row r="8081">
      <c r="E8081">
        <f>IF(DATOS!$I8081="","",IFERROR(VLOOKUP(DATOS!$I8081,CONFIG_ASIGNATURAS!$B$2:$J$61,9,FALSE()),""))</f>
      </c>
    </row>
    <row r="8082">
      <c r="E8082">
        <f>IF(DATOS!$I8082="","",IFERROR(VLOOKUP(DATOS!$I8082,CONFIG_ASIGNATURAS!$B$2:$J$61,9,FALSE()),""))</f>
      </c>
    </row>
    <row r="8083">
      <c r="E8083">
        <f>IF(DATOS!$I8083="","",IFERROR(VLOOKUP(DATOS!$I8083,CONFIG_ASIGNATURAS!$B$2:$J$61,9,FALSE()),""))</f>
      </c>
    </row>
    <row r="8084">
      <c r="E8084">
        <f>IF(DATOS!$I8084="","",IFERROR(VLOOKUP(DATOS!$I8084,CONFIG_ASIGNATURAS!$B$2:$J$61,9,FALSE()),""))</f>
      </c>
    </row>
    <row r="8085">
      <c r="E8085">
        <f>IF(DATOS!$I8085="","",IFERROR(VLOOKUP(DATOS!$I8085,CONFIG_ASIGNATURAS!$B$2:$J$61,9,FALSE()),""))</f>
      </c>
    </row>
    <row r="8086">
      <c r="E8086">
        <f>IF(DATOS!$I8086="","",IFERROR(VLOOKUP(DATOS!$I8086,CONFIG_ASIGNATURAS!$B$2:$J$61,9,FALSE()),""))</f>
      </c>
    </row>
    <row r="8087">
      <c r="E8087">
        <f>IF(DATOS!$I8087="","",IFERROR(VLOOKUP(DATOS!$I8087,CONFIG_ASIGNATURAS!$B$2:$J$61,9,FALSE()),""))</f>
      </c>
    </row>
    <row r="8088">
      <c r="E8088">
        <f>IF(DATOS!$I8088="","",IFERROR(VLOOKUP(DATOS!$I8088,CONFIG_ASIGNATURAS!$B$2:$J$61,9,FALSE()),""))</f>
      </c>
    </row>
    <row r="8089">
      <c r="E8089">
        <f>IF(DATOS!$I8089="","",IFERROR(VLOOKUP(DATOS!$I8089,CONFIG_ASIGNATURAS!$B$2:$J$61,9,FALSE()),""))</f>
      </c>
    </row>
    <row r="8090">
      <c r="E8090">
        <f>IF(DATOS!$I8090="","",IFERROR(VLOOKUP(DATOS!$I8090,CONFIG_ASIGNATURAS!$B$2:$J$61,9,FALSE()),""))</f>
      </c>
    </row>
    <row r="8091">
      <c r="E8091">
        <f>IF(DATOS!$I8091="","",IFERROR(VLOOKUP(DATOS!$I8091,CONFIG_ASIGNATURAS!$B$2:$J$61,9,FALSE()),""))</f>
      </c>
    </row>
    <row r="8092">
      <c r="E8092">
        <f>IF(DATOS!$I8092="","",IFERROR(VLOOKUP(DATOS!$I8092,CONFIG_ASIGNATURAS!$B$2:$J$61,9,FALSE()),""))</f>
      </c>
    </row>
    <row r="8093">
      <c r="E8093">
        <f>IF(DATOS!$I8093="","",IFERROR(VLOOKUP(DATOS!$I8093,CONFIG_ASIGNATURAS!$B$2:$J$61,9,FALSE()),""))</f>
      </c>
    </row>
    <row r="8094">
      <c r="E8094">
        <f>IF(DATOS!$I8094="","",IFERROR(VLOOKUP(DATOS!$I8094,CONFIG_ASIGNATURAS!$B$2:$J$61,9,FALSE()),""))</f>
      </c>
    </row>
    <row r="8095">
      <c r="E8095">
        <f>IF(DATOS!$I8095="","",IFERROR(VLOOKUP(DATOS!$I8095,CONFIG_ASIGNATURAS!$B$2:$J$61,9,FALSE()),""))</f>
      </c>
    </row>
    <row r="8096">
      <c r="E8096">
        <f>IF(DATOS!$I8096="","",IFERROR(VLOOKUP(DATOS!$I8096,CONFIG_ASIGNATURAS!$B$2:$J$61,9,FALSE()),""))</f>
      </c>
    </row>
    <row r="8097">
      <c r="E8097">
        <f>IF(DATOS!$I8097="","",IFERROR(VLOOKUP(DATOS!$I8097,CONFIG_ASIGNATURAS!$B$2:$J$61,9,FALSE()),""))</f>
      </c>
    </row>
    <row r="8098">
      <c r="E8098">
        <f>IF(DATOS!$I8098="","",IFERROR(VLOOKUP(DATOS!$I8098,CONFIG_ASIGNATURAS!$B$2:$J$61,9,FALSE()),""))</f>
      </c>
    </row>
    <row r="8099">
      <c r="E8099">
        <f>IF(DATOS!$I8099="","",IFERROR(VLOOKUP(DATOS!$I8099,CONFIG_ASIGNATURAS!$B$2:$J$61,9,FALSE()),""))</f>
      </c>
    </row>
    <row r="8100">
      <c r="E8100">
        <f>IF(DATOS!$I8100="","",IFERROR(VLOOKUP(DATOS!$I8100,CONFIG_ASIGNATURAS!$B$2:$J$61,9,FALSE()),""))</f>
      </c>
    </row>
    <row r="8101">
      <c r="E8101">
        <f>IF(DATOS!$I8101="","",IFERROR(VLOOKUP(DATOS!$I8101,CONFIG_ASIGNATURAS!$B$2:$J$61,9,FALSE()),""))</f>
      </c>
    </row>
    <row r="8102">
      <c r="E8102">
        <f>IF(DATOS!$I8102="","",IFERROR(VLOOKUP(DATOS!$I8102,CONFIG_ASIGNATURAS!$B$2:$J$61,9,FALSE()),""))</f>
      </c>
    </row>
    <row r="8103">
      <c r="E8103">
        <f>IF(DATOS!$I8103="","",IFERROR(VLOOKUP(DATOS!$I8103,CONFIG_ASIGNATURAS!$B$2:$J$61,9,FALSE()),""))</f>
      </c>
    </row>
    <row r="8104">
      <c r="E8104">
        <f>IF(DATOS!$I8104="","",IFERROR(VLOOKUP(DATOS!$I8104,CONFIG_ASIGNATURAS!$B$2:$J$61,9,FALSE()),""))</f>
      </c>
    </row>
    <row r="8105">
      <c r="E8105">
        <f>IF(DATOS!$I8105="","",IFERROR(VLOOKUP(DATOS!$I8105,CONFIG_ASIGNATURAS!$B$2:$J$61,9,FALSE()),""))</f>
      </c>
    </row>
    <row r="8106">
      <c r="E8106">
        <f>IF(DATOS!$I8106="","",IFERROR(VLOOKUP(DATOS!$I8106,CONFIG_ASIGNATURAS!$B$2:$J$61,9,FALSE()),""))</f>
      </c>
    </row>
    <row r="8107">
      <c r="E8107">
        <f>IF(DATOS!$I8107="","",IFERROR(VLOOKUP(DATOS!$I8107,CONFIG_ASIGNATURAS!$B$2:$J$61,9,FALSE()),""))</f>
      </c>
    </row>
    <row r="8108">
      <c r="E8108">
        <f>IF(DATOS!$I8108="","",IFERROR(VLOOKUP(DATOS!$I8108,CONFIG_ASIGNATURAS!$B$2:$J$61,9,FALSE()),""))</f>
      </c>
    </row>
    <row r="8109">
      <c r="E8109">
        <f>IF(DATOS!$I8109="","",IFERROR(VLOOKUP(DATOS!$I8109,CONFIG_ASIGNATURAS!$B$2:$J$61,9,FALSE()),""))</f>
      </c>
    </row>
    <row r="8110">
      <c r="E8110">
        <f>IF(DATOS!$I8110="","",IFERROR(VLOOKUP(DATOS!$I8110,CONFIG_ASIGNATURAS!$B$2:$J$61,9,FALSE()),""))</f>
      </c>
    </row>
    <row r="8111">
      <c r="E8111">
        <f>IF(DATOS!$I8111="","",IFERROR(VLOOKUP(DATOS!$I8111,CONFIG_ASIGNATURAS!$B$2:$J$61,9,FALSE()),""))</f>
      </c>
    </row>
    <row r="8112">
      <c r="E8112">
        <f>IF(DATOS!$I8112="","",IFERROR(VLOOKUP(DATOS!$I8112,CONFIG_ASIGNATURAS!$B$2:$J$61,9,FALSE()),""))</f>
      </c>
    </row>
    <row r="8113">
      <c r="E8113">
        <f>IF(DATOS!$I8113="","",IFERROR(VLOOKUP(DATOS!$I8113,CONFIG_ASIGNATURAS!$B$2:$J$61,9,FALSE()),""))</f>
      </c>
    </row>
    <row r="8114">
      <c r="E8114">
        <f>IF(DATOS!$I8114="","",IFERROR(VLOOKUP(DATOS!$I8114,CONFIG_ASIGNATURAS!$B$2:$J$61,9,FALSE()),""))</f>
      </c>
    </row>
    <row r="8115">
      <c r="E8115">
        <f>IF(DATOS!$I8115="","",IFERROR(VLOOKUP(DATOS!$I8115,CONFIG_ASIGNATURAS!$B$2:$J$61,9,FALSE()),""))</f>
      </c>
    </row>
    <row r="8116">
      <c r="E8116">
        <f>IF(DATOS!$I8116="","",IFERROR(VLOOKUP(DATOS!$I8116,CONFIG_ASIGNATURAS!$B$2:$J$61,9,FALSE()),""))</f>
      </c>
    </row>
    <row r="8117">
      <c r="E8117">
        <f>IF(DATOS!$I8117="","",IFERROR(VLOOKUP(DATOS!$I8117,CONFIG_ASIGNATURAS!$B$2:$J$61,9,FALSE()),""))</f>
      </c>
    </row>
    <row r="8118">
      <c r="E8118">
        <f>IF(DATOS!$I8118="","",IFERROR(VLOOKUP(DATOS!$I8118,CONFIG_ASIGNATURAS!$B$2:$J$61,9,FALSE()),""))</f>
      </c>
    </row>
    <row r="8119">
      <c r="E8119">
        <f>IF(DATOS!$I8119="","",IFERROR(VLOOKUP(DATOS!$I8119,CONFIG_ASIGNATURAS!$B$2:$J$61,9,FALSE()),""))</f>
      </c>
    </row>
    <row r="8120">
      <c r="E8120">
        <f>IF(DATOS!$I8120="","",IFERROR(VLOOKUP(DATOS!$I8120,CONFIG_ASIGNATURAS!$B$2:$J$61,9,FALSE()),""))</f>
      </c>
    </row>
    <row r="8121">
      <c r="E8121">
        <f>IF(DATOS!$I8121="","",IFERROR(VLOOKUP(DATOS!$I8121,CONFIG_ASIGNATURAS!$B$2:$J$61,9,FALSE()),""))</f>
      </c>
    </row>
    <row r="8122">
      <c r="E8122">
        <f>IF(DATOS!$I8122="","",IFERROR(VLOOKUP(DATOS!$I8122,CONFIG_ASIGNATURAS!$B$2:$J$61,9,FALSE()),""))</f>
      </c>
    </row>
    <row r="8123">
      <c r="E8123">
        <f>IF(DATOS!$I8123="","",IFERROR(VLOOKUP(DATOS!$I8123,CONFIG_ASIGNATURAS!$B$2:$J$61,9,FALSE()),""))</f>
      </c>
    </row>
    <row r="8124">
      <c r="E8124">
        <f>IF(DATOS!$I8124="","",IFERROR(VLOOKUP(DATOS!$I8124,CONFIG_ASIGNATURAS!$B$2:$J$61,9,FALSE()),""))</f>
      </c>
    </row>
    <row r="8125">
      <c r="E8125">
        <f>IF(DATOS!$I8125="","",IFERROR(VLOOKUP(DATOS!$I8125,CONFIG_ASIGNATURAS!$B$2:$J$61,9,FALSE()),""))</f>
      </c>
    </row>
    <row r="8126">
      <c r="E8126">
        <f>IF(DATOS!$I8126="","",IFERROR(VLOOKUP(DATOS!$I8126,CONFIG_ASIGNATURAS!$B$2:$J$61,9,FALSE()),""))</f>
      </c>
    </row>
    <row r="8127">
      <c r="E8127">
        <f>IF(DATOS!$I8127="","",IFERROR(VLOOKUP(DATOS!$I8127,CONFIG_ASIGNATURAS!$B$2:$J$61,9,FALSE()),""))</f>
      </c>
    </row>
    <row r="8128">
      <c r="E8128">
        <f>IF(DATOS!$I8128="","",IFERROR(VLOOKUP(DATOS!$I8128,CONFIG_ASIGNATURAS!$B$2:$J$61,9,FALSE()),""))</f>
      </c>
    </row>
    <row r="8129">
      <c r="E8129">
        <f>IF(DATOS!$I8129="","",IFERROR(VLOOKUP(DATOS!$I8129,CONFIG_ASIGNATURAS!$B$2:$J$61,9,FALSE()),""))</f>
      </c>
    </row>
    <row r="8130">
      <c r="E8130">
        <f>IF(DATOS!$I8130="","",IFERROR(VLOOKUP(DATOS!$I8130,CONFIG_ASIGNATURAS!$B$2:$J$61,9,FALSE()),""))</f>
      </c>
    </row>
    <row r="8131">
      <c r="E8131">
        <f>IF(DATOS!$I8131="","",IFERROR(VLOOKUP(DATOS!$I8131,CONFIG_ASIGNATURAS!$B$2:$J$61,9,FALSE()),""))</f>
      </c>
    </row>
    <row r="8132">
      <c r="E8132">
        <f>IF(DATOS!$I8132="","",IFERROR(VLOOKUP(DATOS!$I8132,CONFIG_ASIGNATURAS!$B$2:$J$61,9,FALSE()),""))</f>
      </c>
    </row>
    <row r="8133">
      <c r="E8133">
        <f>IF(DATOS!$I8133="","",IFERROR(VLOOKUP(DATOS!$I8133,CONFIG_ASIGNATURAS!$B$2:$J$61,9,FALSE()),""))</f>
      </c>
    </row>
    <row r="8134">
      <c r="E8134">
        <f>IF(DATOS!$I8134="","",IFERROR(VLOOKUP(DATOS!$I8134,CONFIG_ASIGNATURAS!$B$2:$J$61,9,FALSE()),""))</f>
      </c>
    </row>
    <row r="8135">
      <c r="E8135">
        <f>IF(DATOS!$I8135="","",IFERROR(VLOOKUP(DATOS!$I8135,CONFIG_ASIGNATURAS!$B$2:$J$61,9,FALSE()),""))</f>
      </c>
    </row>
    <row r="8136">
      <c r="E8136">
        <f>IF(DATOS!$I8136="","",IFERROR(VLOOKUP(DATOS!$I8136,CONFIG_ASIGNATURAS!$B$2:$J$61,9,FALSE()),""))</f>
      </c>
    </row>
    <row r="8137">
      <c r="E8137">
        <f>IF(DATOS!$I8137="","",IFERROR(VLOOKUP(DATOS!$I8137,CONFIG_ASIGNATURAS!$B$2:$J$61,9,FALSE()),""))</f>
      </c>
    </row>
    <row r="8138">
      <c r="E8138">
        <f>IF(DATOS!$I8138="","",IFERROR(VLOOKUP(DATOS!$I8138,CONFIG_ASIGNATURAS!$B$2:$J$61,9,FALSE()),""))</f>
      </c>
    </row>
    <row r="8139">
      <c r="E8139">
        <f>IF(DATOS!$I8139="","",IFERROR(VLOOKUP(DATOS!$I8139,CONFIG_ASIGNATURAS!$B$2:$J$61,9,FALSE()),""))</f>
      </c>
    </row>
    <row r="8140">
      <c r="E8140">
        <f>IF(DATOS!$I8140="","",IFERROR(VLOOKUP(DATOS!$I8140,CONFIG_ASIGNATURAS!$B$2:$J$61,9,FALSE()),""))</f>
      </c>
    </row>
    <row r="8141">
      <c r="E8141">
        <f>IF(DATOS!$I8141="","",IFERROR(VLOOKUP(DATOS!$I8141,CONFIG_ASIGNATURAS!$B$2:$J$61,9,FALSE()),""))</f>
      </c>
    </row>
    <row r="8142">
      <c r="E8142">
        <f>IF(DATOS!$I8142="","",IFERROR(VLOOKUP(DATOS!$I8142,CONFIG_ASIGNATURAS!$B$2:$J$61,9,FALSE()),""))</f>
      </c>
    </row>
    <row r="8143">
      <c r="E8143">
        <f>IF(DATOS!$I8143="","",IFERROR(VLOOKUP(DATOS!$I8143,CONFIG_ASIGNATURAS!$B$2:$J$61,9,FALSE()),""))</f>
      </c>
    </row>
    <row r="8144">
      <c r="E8144">
        <f>IF(DATOS!$I8144="","",IFERROR(VLOOKUP(DATOS!$I8144,CONFIG_ASIGNATURAS!$B$2:$J$61,9,FALSE()),""))</f>
      </c>
    </row>
    <row r="8145">
      <c r="E8145">
        <f>IF(DATOS!$I8145="","",IFERROR(VLOOKUP(DATOS!$I8145,CONFIG_ASIGNATURAS!$B$2:$J$61,9,FALSE()),""))</f>
      </c>
    </row>
    <row r="8146">
      <c r="E8146">
        <f>IF(DATOS!$I8146="","",IFERROR(VLOOKUP(DATOS!$I8146,CONFIG_ASIGNATURAS!$B$2:$J$61,9,FALSE()),""))</f>
      </c>
    </row>
    <row r="8147">
      <c r="E8147">
        <f>IF(DATOS!$I8147="","",IFERROR(VLOOKUP(DATOS!$I8147,CONFIG_ASIGNATURAS!$B$2:$J$61,9,FALSE()),""))</f>
      </c>
    </row>
    <row r="8148">
      <c r="E8148">
        <f>IF(DATOS!$I8148="","",IFERROR(VLOOKUP(DATOS!$I8148,CONFIG_ASIGNATURAS!$B$2:$J$61,9,FALSE()),""))</f>
      </c>
    </row>
    <row r="8149">
      <c r="E8149">
        <f>IF(DATOS!$I8149="","",IFERROR(VLOOKUP(DATOS!$I8149,CONFIG_ASIGNATURAS!$B$2:$J$61,9,FALSE()),""))</f>
      </c>
    </row>
    <row r="8150">
      <c r="E8150">
        <f>IF(DATOS!$I8150="","",IFERROR(VLOOKUP(DATOS!$I8150,CONFIG_ASIGNATURAS!$B$2:$J$61,9,FALSE()),""))</f>
      </c>
    </row>
    <row r="8151">
      <c r="E8151">
        <f>IF(DATOS!$I8151="","",IFERROR(VLOOKUP(DATOS!$I8151,CONFIG_ASIGNATURAS!$B$2:$J$61,9,FALSE()),""))</f>
      </c>
    </row>
    <row r="8152">
      <c r="E8152">
        <f>IF(DATOS!$I8152="","",IFERROR(VLOOKUP(DATOS!$I8152,CONFIG_ASIGNATURAS!$B$2:$J$61,9,FALSE()),""))</f>
      </c>
    </row>
    <row r="8153">
      <c r="E8153">
        <f>IF(DATOS!$I8153="","",IFERROR(VLOOKUP(DATOS!$I8153,CONFIG_ASIGNATURAS!$B$2:$J$61,9,FALSE()),""))</f>
      </c>
    </row>
    <row r="8154">
      <c r="E8154">
        <f>IF(DATOS!$I8154="","",IFERROR(VLOOKUP(DATOS!$I8154,CONFIG_ASIGNATURAS!$B$2:$J$61,9,FALSE()),""))</f>
      </c>
    </row>
    <row r="8155">
      <c r="E8155">
        <f>IF(DATOS!$I8155="","",IFERROR(VLOOKUP(DATOS!$I8155,CONFIG_ASIGNATURAS!$B$2:$J$61,9,FALSE()),""))</f>
      </c>
    </row>
    <row r="8156">
      <c r="E8156">
        <f>IF(DATOS!$I8156="","",IFERROR(VLOOKUP(DATOS!$I8156,CONFIG_ASIGNATURAS!$B$2:$J$61,9,FALSE()),""))</f>
      </c>
    </row>
    <row r="8157">
      <c r="E8157">
        <f>IF(DATOS!$I8157="","",IFERROR(VLOOKUP(DATOS!$I8157,CONFIG_ASIGNATURAS!$B$2:$J$61,9,FALSE()),""))</f>
      </c>
    </row>
    <row r="8158">
      <c r="E8158">
        <f>IF(DATOS!$I8158="","",IFERROR(VLOOKUP(DATOS!$I8158,CONFIG_ASIGNATURAS!$B$2:$J$61,9,FALSE()),""))</f>
      </c>
    </row>
    <row r="8159">
      <c r="E8159">
        <f>IF(DATOS!$I8159="","",IFERROR(VLOOKUP(DATOS!$I8159,CONFIG_ASIGNATURAS!$B$2:$J$61,9,FALSE()),""))</f>
      </c>
    </row>
    <row r="8160">
      <c r="E8160">
        <f>IF(DATOS!$I8160="","",IFERROR(VLOOKUP(DATOS!$I8160,CONFIG_ASIGNATURAS!$B$2:$J$61,9,FALSE()),""))</f>
      </c>
    </row>
    <row r="8161">
      <c r="E8161">
        <f>IF(DATOS!$I8161="","",IFERROR(VLOOKUP(DATOS!$I8161,CONFIG_ASIGNATURAS!$B$2:$J$61,9,FALSE()),""))</f>
      </c>
    </row>
    <row r="8162">
      <c r="E8162">
        <f>IF(DATOS!$I8162="","",IFERROR(VLOOKUP(DATOS!$I8162,CONFIG_ASIGNATURAS!$B$2:$J$61,9,FALSE()),""))</f>
      </c>
    </row>
    <row r="8163">
      <c r="E8163">
        <f>IF(DATOS!$I8163="","",IFERROR(VLOOKUP(DATOS!$I8163,CONFIG_ASIGNATURAS!$B$2:$J$61,9,FALSE()),""))</f>
      </c>
    </row>
    <row r="8164">
      <c r="E8164">
        <f>IF(DATOS!$I8164="","",IFERROR(VLOOKUP(DATOS!$I8164,CONFIG_ASIGNATURAS!$B$2:$J$61,9,FALSE()),""))</f>
      </c>
    </row>
    <row r="8165">
      <c r="E8165">
        <f>IF(DATOS!$I8165="","",IFERROR(VLOOKUP(DATOS!$I8165,CONFIG_ASIGNATURAS!$B$2:$J$61,9,FALSE()),""))</f>
      </c>
    </row>
    <row r="8166">
      <c r="E8166">
        <f>IF(DATOS!$I8166="","",IFERROR(VLOOKUP(DATOS!$I8166,CONFIG_ASIGNATURAS!$B$2:$J$61,9,FALSE()),""))</f>
      </c>
    </row>
    <row r="8167">
      <c r="E8167">
        <f>IF(DATOS!$I8167="","",IFERROR(VLOOKUP(DATOS!$I8167,CONFIG_ASIGNATURAS!$B$2:$J$61,9,FALSE()),""))</f>
      </c>
    </row>
    <row r="8168">
      <c r="E8168">
        <f>IF(DATOS!$I8168="","",IFERROR(VLOOKUP(DATOS!$I8168,CONFIG_ASIGNATURAS!$B$2:$J$61,9,FALSE()),""))</f>
      </c>
    </row>
    <row r="8169">
      <c r="E8169">
        <f>IF(DATOS!$I8169="","",IFERROR(VLOOKUP(DATOS!$I8169,CONFIG_ASIGNATURAS!$B$2:$J$61,9,FALSE()),""))</f>
      </c>
    </row>
    <row r="8170">
      <c r="E8170">
        <f>IF(DATOS!$I8170="","",IFERROR(VLOOKUP(DATOS!$I8170,CONFIG_ASIGNATURAS!$B$2:$J$61,9,FALSE()),""))</f>
      </c>
    </row>
    <row r="8171">
      <c r="E8171">
        <f>IF(DATOS!$I8171="","",IFERROR(VLOOKUP(DATOS!$I8171,CONFIG_ASIGNATURAS!$B$2:$J$61,9,FALSE()),""))</f>
      </c>
    </row>
    <row r="8172">
      <c r="E8172">
        <f>IF(DATOS!$I8172="","",IFERROR(VLOOKUP(DATOS!$I8172,CONFIG_ASIGNATURAS!$B$2:$J$61,9,FALSE()),""))</f>
      </c>
    </row>
    <row r="8173">
      <c r="E8173">
        <f>IF(DATOS!$I8173="","",IFERROR(VLOOKUP(DATOS!$I8173,CONFIG_ASIGNATURAS!$B$2:$J$61,9,FALSE()),""))</f>
      </c>
    </row>
    <row r="8174">
      <c r="E8174">
        <f>IF(DATOS!$I8174="","",IFERROR(VLOOKUP(DATOS!$I8174,CONFIG_ASIGNATURAS!$B$2:$J$61,9,FALSE()),""))</f>
      </c>
    </row>
    <row r="8175">
      <c r="E8175">
        <f>IF(DATOS!$I8175="","",IFERROR(VLOOKUP(DATOS!$I8175,CONFIG_ASIGNATURAS!$B$2:$J$61,9,FALSE()),""))</f>
      </c>
    </row>
    <row r="8176">
      <c r="E8176">
        <f>IF(DATOS!$I8176="","",IFERROR(VLOOKUP(DATOS!$I8176,CONFIG_ASIGNATURAS!$B$2:$J$61,9,FALSE()),""))</f>
      </c>
    </row>
    <row r="8177">
      <c r="E8177">
        <f>IF(DATOS!$I8177="","",IFERROR(VLOOKUP(DATOS!$I8177,CONFIG_ASIGNATURAS!$B$2:$J$61,9,FALSE()),""))</f>
      </c>
    </row>
    <row r="8178">
      <c r="E8178">
        <f>IF(DATOS!$I8178="","",IFERROR(VLOOKUP(DATOS!$I8178,CONFIG_ASIGNATURAS!$B$2:$J$61,9,FALSE()),""))</f>
      </c>
    </row>
    <row r="8179">
      <c r="E8179">
        <f>IF(DATOS!$I8179="","",IFERROR(VLOOKUP(DATOS!$I8179,CONFIG_ASIGNATURAS!$B$2:$J$61,9,FALSE()),""))</f>
      </c>
    </row>
    <row r="8180">
      <c r="E8180">
        <f>IF(DATOS!$I8180="","",IFERROR(VLOOKUP(DATOS!$I8180,CONFIG_ASIGNATURAS!$B$2:$J$61,9,FALSE()),""))</f>
      </c>
    </row>
    <row r="8181">
      <c r="E8181">
        <f>IF(DATOS!$I8181="","",IFERROR(VLOOKUP(DATOS!$I8181,CONFIG_ASIGNATURAS!$B$2:$J$61,9,FALSE()),""))</f>
      </c>
    </row>
    <row r="8182">
      <c r="E8182">
        <f>IF(DATOS!$I8182="","",IFERROR(VLOOKUP(DATOS!$I8182,CONFIG_ASIGNATURAS!$B$2:$J$61,9,FALSE()),""))</f>
      </c>
    </row>
    <row r="8183">
      <c r="E8183">
        <f>IF(DATOS!$I8183="","",IFERROR(VLOOKUP(DATOS!$I8183,CONFIG_ASIGNATURAS!$B$2:$J$61,9,FALSE()),""))</f>
      </c>
    </row>
    <row r="8184">
      <c r="E8184">
        <f>IF(DATOS!$I8184="","",IFERROR(VLOOKUP(DATOS!$I8184,CONFIG_ASIGNATURAS!$B$2:$J$61,9,FALSE()),""))</f>
      </c>
    </row>
    <row r="8185">
      <c r="E8185">
        <f>IF(DATOS!$I8185="","",IFERROR(VLOOKUP(DATOS!$I8185,CONFIG_ASIGNATURAS!$B$2:$J$61,9,FALSE()),""))</f>
      </c>
    </row>
    <row r="8186">
      <c r="E8186">
        <f>IF(DATOS!$I8186="","",IFERROR(VLOOKUP(DATOS!$I8186,CONFIG_ASIGNATURAS!$B$2:$J$61,9,FALSE()),""))</f>
      </c>
    </row>
    <row r="8187">
      <c r="E8187">
        <f>IF(DATOS!$I8187="","",IFERROR(VLOOKUP(DATOS!$I8187,CONFIG_ASIGNATURAS!$B$2:$J$61,9,FALSE()),""))</f>
      </c>
    </row>
    <row r="8188">
      <c r="E8188">
        <f>IF(DATOS!$I8188="","",IFERROR(VLOOKUP(DATOS!$I8188,CONFIG_ASIGNATURAS!$B$2:$J$61,9,FALSE()),""))</f>
      </c>
    </row>
    <row r="8189">
      <c r="E8189">
        <f>IF(DATOS!$I8189="","",IFERROR(VLOOKUP(DATOS!$I8189,CONFIG_ASIGNATURAS!$B$2:$J$61,9,FALSE()),""))</f>
      </c>
    </row>
    <row r="8190">
      <c r="E8190">
        <f>IF(DATOS!$I8190="","",IFERROR(VLOOKUP(DATOS!$I8190,CONFIG_ASIGNATURAS!$B$2:$J$61,9,FALSE()),""))</f>
      </c>
    </row>
    <row r="8191">
      <c r="E8191">
        <f>IF(DATOS!$I8191="","",IFERROR(VLOOKUP(DATOS!$I8191,CONFIG_ASIGNATURAS!$B$2:$J$61,9,FALSE()),""))</f>
      </c>
    </row>
    <row r="8192">
      <c r="E8192">
        <f>IF(DATOS!$I8192="","",IFERROR(VLOOKUP(DATOS!$I8192,CONFIG_ASIGNATURAS!$B$2:$J$61,9,FALSE()),""))</f>
      </c>
    </row>
    <row r="8193">
      <c r="E8193">
        <f>IF(DATOS!$I8193="","",IFERROR(VLOOKUP(DATOS!$I8193,CONFIG_ASIGNATURAS!$B$2:$J$61,9,FALSE()),""))</f>
      </c>
    </row>
    <row r="8194">
      <c r="E8194">
        <f>IF(DATOS!$I8194="","",IFERROR(VLOOKUP(DATOS!$I8194,CONFIG_ASIGNATURAS!$B$2:$J$61,9,FALSE()),""))</f>
      </c>
    </row>
    <row r="8195">
      <c r="E8195">
        <f>IF(DATOS!$I8195="","",IFERROR(VLOOKUP(DATOS!$I8195,CONFIG_ASIGNATURAS!$B$2:$J$61,9,FALSE()),""))</f>
      </c>
    </row>
    <row r="8196">
      <c r="E8196">
        <f>IF(DATOS!$I8196="","",IFERROR(VLOOKUP(DATOS!$I8196,CONFIG_ASIGNATURAS!$B$2:$J$61,9,FALSE()),""))</f>
      </c>
    </row>
    <row r="8197">
      <c r="E8197">
        <f>IF(DATOS!$I8197="","",IFERROR(VLOOKUP(DATOS!$I8197,CONFIG_ASIGNATURAS!$B$2:$J$61,9,FALSE()),""))</f>
      </c>
    </row>
    <row r="8198">
      <c r="E8198">
        <f>IF(DATOS!$I8198="","",IFERROR(VLOOKUP(DATOS!$I8198,CONFIG_ASIGNATURAS!$B$2:$J$61,9,FALSE()),""))</f>
      </c>
    </row>
    <row r="8199">
      <c r="E8199">
        <f>IF(DATOS!$I8199="","",IFERROR(VLOOKUP(DATOS!$I8199,CONFIG_ASIGNATURAS!$B$2:$J$61,9,FALSE()),""))</f>
      </c>
    </row>
    <row r="8200">
      <c r="E8200">
        <f>IF(DATOS!$I8200="","",IFERROR(VLOOKUP(DATOS!$I8200,CONFIG_ASIGNATURAS!$B$2:$J$61,9,FALSE()),""))</f>
      </c>
    </row>
    <row r="8201">
      <c r="E8201">
        <f>IF(DATOS!$I8201="","",IFERROR(VLOOKUP(DATOS!$I8201,CONFIG_ASIGNATURAS!$B$2:$J$61,9,FALSE()),""))</f>
      </c>
    </row>
    <row r="8202">
      <c r="E8202">
        <f>IF(DATOS!$I8202="","",IFERROR(VLOOKUP(DATOS!$I8202,CONFIG_ASIGNATURAS!$B$2:$J$61,9,FALSE()),""))</f>
      </c>
    </row>
    <row r="8203">
      <c r="E8203">
        <f>IF(DATOS!$I8203="","",IFERROR(VLOOKUP(DATOS!$I8203,CONFIG_ASIGNATURAS!$B$2:$J$61,9,FALSE()),""))</f>
      </c>
    </row>
    <row r="8204">
      <c r="E8204">
        <f>IF(DATOS!$I8204="","",IFERROR(VLOOKUP(DATOS!$I8204,CONFIG_ASIGNATURAS!$B$2:$J$61,9,FALSE()),""))</f>
      </c>
    </row>
    <row r="8205">
      <c r="E8205">
        <f>IF(DATOS!$I8205="","",IFERROR(VLOOKUP(DATOS!$I8205,CONFIG_ASIGNATURAS!$B$2:$J$61,9,FALSE()),""))</f>
      </c>
    </row>
    <row r="8206">
      <c r="E8206">
        <f>IF(DATOS!$I8206="","",IFERROR(VLOOKUP(DATOS!$I8206,CONFIG_ASIGNATURAS!$B$2:$J$61,9,FALSE()),""))</f>
      </c>
    </row>
    <row r="8207">
      <c r="E8207">
        <f>IF(DATOS!$I8207="","",IFERROR(VLOOKUP(DATOS!$I8207,CONFIG_ASIGNATURAS!$B$2:$J$61,9,FALSE()),""))</f>
      </c>
    </row>
    <row r="8208">
      <c r="E8208">
        <f>IF(DATOS!$I8208="","",IFERROR(VLOOKUP(DATOS!$I8208,CONFIG_ASIGNATURAS!$B$2:$J$61,9,FALSE()),""))</f>
      </c>
    </row>
    <row r="8209">
      <c r="E8209">
        <f>IF(DATOS!$I8209="","",IFERROR(VLOOKUP(DATOS!$I8209,CONFIG_ASIGNATURAS!$B$2:$J$61,9,FALSE()),""))</f>
      </c>
    </row>
    <row r="8210">
      <c r="E8210">
        <f>IF(DATOS!$I8210="","",IFERROR(VLOOKUP(DATOS!$I8210,CONFIG_ASIGNATURAS!$B$2:$J$61,9,FALSE()),""))</f>
      </c>
    </row>
    <row r="8211">
      <c r="E8211">
        <f>IF(DATOS!$I8211="","",IFERROR(VLOOKUP(DATOS!$I8211,CONFIG_ASIGNATURAS!$B$2:$J$61,9,FALSE()),""))</f>
      </c>
    </row>
    <row r="8212">
      <c r="E8212">
        <f>IF(DATOS!$I8212="","",IFERROR(VLOOKUP(DATOS!$I8212,CONFIG_ASIGNATURAS!$B$2:$J$61,9,FALSE()),""))</f>
      </c>
    </row>
    <row r="8213">
      <c r="E8213">
        <f>IF(DATOS!$I8213="","",IFERROR(VLOOKUP(DATOS!$I8213,CONFIG_ASIGNATURAS!$B$2:$J$61,9,FALSE()),""))</f>
      </c>
    </row>
    <row r="8214">
      <c r="E8214">
        <f>IF(DATOS!$I8214="","",IFERROR(VLOOKUP(DATOS!$I8214,CONFIG_ASIGNATURAS!$B$2:$J$61,9,FALSE()),""))</f>
      </c>
    </row>
    <row r="8215">
      <c r="E8215">
        <f>IF(DATOS!$I8215="","",IFERROR(VLOOKUP(DATOS!$I8215,CONFIG_ASIGNATURAS!$B$2:$J$61,9,FALSE()),""))</f>
      </c>
    </row>
    <row r="8216">
      <c r="E8216">
        <f>IF(DATOS!$I8216="","",IFERROR(VLOOKUP(DATOS!$I8216,CONFIG_ASIGNATURAS!$B$2:$J$61,9,FALSE()),""))</f>
      </c>
    </row>
    <row r="8217">
      <c r="E8217">
        <f>IF(DATOS!$I8217="","",IFERROR(VLOOKUP(DATOS!$I8217,CONFIG_ASIGNATURAS!$B$2:$J$61,9,FALSE()),""))</f>
      </c>
    </row>
    <row r="8218">
      <c r="E8218">
        <f>IF(DATOS!$I8218="","",IFERROR(VLOOKUP(DATOS!$I8218,CONFIG_ASIGNATURAS!$B$2:$J$61,9,FALSE()),""))</f>
      </c>
    </row>
    <row r="8219">
      <c r="E8219">
        <f>IF(DATOS!$I8219="","",IFERROR(VLOOKUP(DATOS!$I8219,CONFIG_ASIGNATURAS!$B$2:$J$61,9,FALSE()),""))</f>
      </c>
    </row>
    <row r="8220">
      <c r="E8220">
        <f>IF(DATOS!$I8220="","",IFERROR(VLOOKUP(DATOS!$I8220,CONFIG_ASIGNATURAS!$B$2:$J$61,9,FALSE()),""))</f>
      </c>
    </row>
    <row r="8221">
      <c r="E8221">
        <f>IF(DATOS!$I8221="","",IFERROR(VLOOKUP(DATOS!$I8221,CONFIG_ASIGNATURAS!$B$2:$J$61,9,FALSE()),""))</f>
      </c>
    </row>
    <row r="8222">
      <c r="E8222">
        <f>IF(DATOS!$I8222="","",IFERROR(VLOOKUP(DATOS!$I8222,CONFIG_ASIGNATURAS!$B$2:$J$61,9,FALSE()),""))</f>
      </c>
    </row>
    <row r="8223">
      <c r="E8223">
        <f>IF(DATOS!$I8223="","",IFERROR(VLOOKUP(DATOS!$I8223,CONFIG_ASIGNATURAS!$B$2:$J$61,9,FALSE()),""))</f>
      </c>
    </row>
    <row r="8224">
      <c r="E8224">
        <f>IF(DATOS!$I8224="","",IFERROR(VLOOKUP(DATOS!$I8224,CONFIG_ASIGNATURAS!$B$2:$J$61,9,FALSE()),""))</f>
      </c>
    </row>
    <row r="8225">
      <c r="E8225">
        <f>IF(DATOS!$I8225="","",IFERROR(VLOOKUP(DATOS!$I8225,CONFIG_ASIGNATURAS!$B$2:$J$61,9,FALSE()),""))</f>
      </c>
    </row>
    <row r="8226">
      <c r="E8226">
        <f>IF(DATOS!$I8226="","",IFERROR(VLOOKUP(DATOS!$I8226,CONFIG_ASIGNATURAS!$B$2:$J$61,9,FALSE()),""))</f>
      </c>
    </row>
    <row r="8227">
      <c r="E8227">
        <f>IF(DATOS!$I8227="","",IFERROR(VLOOKUP(DATOS!$I8227,CONFIG_ASIGNATURAS!$B$2:$J$61,9,FALSE()),""))</f>
      </c>
    </row>
    <row r="8228">
      <c r="E8228">
        <f>IF(DATOS!$I8228="","",IFERROR(VLOOKUP(DATOS!$I8228,CONFIG_ASIGNATURAS!$B$2:$J$61,9,FALSE()),""))</f>
      </c>
    </row>
    <row r="8229">
      <c r="E8229">
        <f>IF(DATOS!$I8229="","",IFERROR(VLOOKUP(DATOS!$I8229,CONFIG_ASIGNATURAS!$B$2:$J$61,9,FALSE()),""))</f>
      </c>
    </row>
    <row r="8230">
      <c r="E8230">
        <f>IF(DATOS!$I8230="","",IFERROR(VLOOKUP(DATOS!$I8230,CONFIG_ASIGNATURAS!$B$2:$J$61,9,FALSE()),""))</f>
      </c>
    </row>
    <row r="8231">
      <c r="E8231">
        <f>IF(DATOS!$I8231="","",IFERROR(VLOOKUP(DATOS!$I8231,CONFIG_ASIGNATURAS!$B$2:$J$61,9,FALSE()),""))</f>
      </c>
    </row>
    <row r="8232">
      <c r="E8232">
        <f>IF(DATOS!$I8232="","",IFERROR(VLOOKUP(DATOS!$I8232,CONFIG_ASIGNATURAS!$B$2:$J$61,9,FALSE()),""))</f>
      </c>
    </row>
    <row r="8233">
      <c r="E8233">
        <f>IF(DATOS!$I8233="","",IFERROR(VLOOKUP(DATOS!$I8233,CONFIG_ASIGNATURAS!$B$2:$J$61,9,FALSE()),""))</f>
      </c>
    </row>
    <row r="8234">
      <c r="E8234">
        <f>IF(DATOS!$I8234="","",IFERROR(VLOOKUP(DATOS!$I8234,CONFIG_ASIGNATURAS!$B$2:$J$61,9,FALSE()),""))</f>
      </c>
    </row>
    <row r="8235">
      <c r="E8235">
        <f>IF(DATOS!$I8235="","",IFERROR(VLOOKUP(DATOS!$I8235,CONFIG_ASIGNATURAS!$B$2:$J$61,9,FALSE()),""))</f>
      </c>
    </row>
    <row r="8236">
      <c r="E8236">
        <f>IF(DATOS!$I8236="","",IFERROR(VLOOKUP(DATOS!$I8236,CONFIG_ASIGNATURAS!$B$2:$J$61,9,FALSE()),""))</f>
      </c>
    </row>
    <row r="8237">
      <c r="E8237">
        <f>IF(DATOS!$I8237="","",IFERROR(VLOOKUP(DATOS!$I8237,CONFIG_ASIGNATURAS!$B$2:$J$61,9,FALSE()),""))</f>
      </c>
    </row>
    <row r="8238">
      <c r="E8238">
        <f>IF(DATOS!$I8238="","",IFERROR(VLOOKUP(DATOS!$I8238,CONFIG_ASIGNATURAS!$B$2:$J$61,9,FALSE()),""))</f>
      </c>
    </row>
    <row r="8239">
      <c r="E8239">
        <f>IF(DATOS!$I8239="","",IFERROR(VLOOKUP(DATOS!$I8239,CONFIG_ASIGNATURAS!$B$2:$J$61,9,FALSE()),""))</f>
      </c>
    </row>
    <row r="8240">
      <c r="E8240">
        <f>IF(DATOS!$I8240="","",IFERROR(VLOOKUP(DATOS!$I8240,CONFIG_ASIGNATURAS!$B$2:$J$61,9,FALSE()),""))</f>
      </c>
    </row>
    <row r="8241">
      <c r="E8241">
        <f>IF(DATOS!$I8241="","",IFERROR(VLOOKUP(DATOS!$I8241,CONFIG_ASIGNATURAS!$B$2:$J$61,9,FALSE()),""))</f>
      </c>
    </row>
    <row r="8242">
      <c r="E8242">
        <f>IF(DATOS!$I8242="","",IFERROR(VLOOKUP(DATOS!$I8242,CONFIG_ASIGNATURAS!$B$2:$J$61,9,FALSE()),""))</f>
      </c>
    </row>
    <row r="8243">
      <c r="E8243">
        <f>IF(DATOS!$I8243="","",IFERROR(VLOOKUP(DATOS!$I8243,CONFIG_ASIGNATURAS!$B$2:$J$61,9,FALSE()),""))</f>
      </c>
    </row>
    <row r="8244">
      <c r="E8244">
        <f>IF(DATOS!$I8244="","",IFERROR(VLOOKUP(DATOS!$I8244,CONFIG_ASIGNATURAS!$B$2:$J$61,9,FALSE()),""))</f>
      </c>
    </row>
    <row r="8245">
      <c r="E8245">
        <f>IF(DATOS!$I8245="","",IFERROR(VLOOKUP(DATOS!$I8245,CONFIG_ASIGNATURAS!$B$2:$J$61,9,FALSE()),""))</f>
      </c>
    </row>
    <row r="8246">
      <c r="E8246">
        <f>IF(DATOS!$I8246="","",IFERROR(VLOOKUP(DATOS!$I8246,CONFIG_ASIGNATURAS!$B$2:$J$61,9,FALSE()),""))</f>
      </c>
    </row>
    <row r="8247">
      <c r="E8247">
        <f>IF(DATOS!$I8247="","",IFERROR(VLOOKUP(DATOS!$I8247,CONFIG_ASIGNATURAS!$B$2:$J$61,9,FALSE()),""))</f>
      </c>
    </row>
    <row r="8248">
      <c r="E8248">
        <f>IF(DATOS!$I8248="","",IFERROR(VLOOKUP(DATOS!$I8248,CONFIG_ASIGNATURAS!$B$2:$J$61,9,FALSE()),""))</f>
      </c>
    </row>
    <row r="8249">
      <c r="E8249">
        <f>IF(DATOS!$I8249="","",IFERROR(VLOOKUP(DATOS!$I8249,CONFIG_ASIGNATURAS!$B$2:$J$61,9,FALSE()),""))</f>
      </c>
    </row>
    <row r="8250">
      <c r="E8250">
        <f>IF(DATOS!$I8250="","",IFERROR(VLOOKUP(DATOS!$I8250,CONFIG_ASIGNATURAS!$B$2:$J$61,9,FALSE()),""))</f>
      </c>
    </row>
    <row r="8251">
      <c r="E8251">
        <f>IF(DATOS!$I8251="","",IFERROR(VLOOKUP(DATOS!$I8251,CONFIG_ASIGNATURAS!$B$2:$J$61,9,FALSE()),""))</f>
      </c>
    </row>
    <row r="8252">
      <c r="E8252">
        <f>IF(DATOS!$I8252="","",IFERROR(VLOOKUP(DATOS!$I8252,CONFIG_ASIGNATURAS!$B$2:$J$61,9,FALSE()),""))</f>
      </c>
    </row>
    <row r="8253">
      <c r="E8253">
        <f>IF(DATOS!$I8253="","",IFERROR(VLOOKUP(DATOS!$I8253,CONFIG_ASIGNATURAS!$B$2:$J$61,9,FALSE()),""))</f>
      </c>
    </row>
    <row r="8254">
      <c r="E8254">
        <f>IF(DATOS!$I8254="","",IFERROR(VLOOKUP(DATOS!$I8254,CONFIG_ASIGNATURAS!$B$2:$J$61,9,FALSE()),""))</f>
      </c>
    </row>
    <row r="8255">
      <c r="E8255">
        <f>IF(DATOS!$I8255="","",IFERROR(VLOOKUP(DATOS!$I8255,CONFIG_ASIGNATURAS!$B$2:$J$61,9,FALSE()),""))</f>
      </c>
    </row>
    <row r="8256">
      <c r="E8256">
        <f>IF(DATOS!$I8256="","",IFERROR(VLOOKUP(DATOS!$I8256,CONFIG_ASIGNATURAS!$B$2:$J$61,9,FALSE()),""))</f>
      </c>
    </row>
    <row r="8257">
      <c r="E8257">
        <f>IF(DATOS!$I8257="","",IFERROR(VLOOKUP(DATOS!$I8257,CONFIG_ASIGNATURAS!$B$2:$J$61,9,FALSE()),""))</f>
      </c>
    </row>
    <row r="8258">
      <c r="E8258">
        <f>IF(DATOS!$I8258="","",IFERROR(VLOOKUP(DATOS!$I8258,CONFIG_ASIGNATURAS!$B$2:$J$61,9,FALSE()),""))</f>
      </c>
    </row>
    <row r="8259">
      <c r="E8259">
        <f>IF(DATOS!$I8259="","",IFERROR(VLOOKUP(DATOS!$I8259,CONFIG_ASIGNATURAS!$B$2:$J$61,9,FALSE()),""))</f>
      </c>
    </row>
    <row r="8260">
      <c r="E8260">
        <f>IF(DATOS!$I8260="","",IFERROR(VLOOKUP(DATOS!$I8260,CONFIG_ASIGNATURAS!$B$2:$J$61,9,FALSE()),""))</f>
      </c>
    </row>
    <row r="8261">
      <c r="E8261">
        <f>IF(DATOS!$I8261="","",IFERROR(VLOOKUP(DATOS!$I8261,CONFIG_ASIGNATURAS!$B$2:$J$61,9,FALSE()),""))</f>
      </c>
    </row>
    <row r="8262">
      <c r="E8262">
        <f>IF(DATOS!$I8262="","",IFERROR(VLOOKUP(DATOS!$I8262,CONFIG_ASIGNATURAS!$B$2:$J$61,9,FALSE()),""))</f>
      </c>
    </row>
    <row r="8263">
      <c r="E8263">
        <f>IF(DATOS!$I8263="","",IFERROR(VLOOKUP(DATOS!$I8263,CONFIG_ASIGNATURAS!$B$2:$J$61,9,FALSE()),""))</f>
      </c>
    </row>
    <row r="8264">
      <c r="E8264">
        <f>IF(DATOS!$I8264="","",IFERROR(VLOOKUP(DATOS!$I8264,CONFIG_ASIGNATURAS!$B$2:$J$61,9,FALSE()),""))</f>
      </c>
    </row>
    <row r="8265">
      <c r="E8265">
        <f>IF(DATOS!$I8265="","",IFERROR(VLOOKUP(DATOS!$I8265,CONFIG_ASIGNATURAS!$B$2:$J$61,9,FALSE()),""))</f>
      </c>
    </row>
    <row r="8266">
      <c r="E8266">
        <f>IF(DATOS!$I8266="","",IFERROR(VLOOKUP(DATOS!$I8266,CONFIG_ASIGNATURAS!$B$2:$J$61,9,FALSE()),""))</f>
      </c>
    </row>
    <row r="8267">
      <c r="E8267">
        <f>IF(DATOS!$I8267="","",IFERROR(VLOOKUP(DATOS!$I8267,CONFIG_ASIGNATURAS!$B$2:$J$61,9,FALSE()),""))</f>
      </c>
    </row>
    <row r="8268">
      <c r="E8268">
        <f>IF(DATOS!$I8268="","",IFERROR(VLOOKUP(DATOS!$I8268,CONFIG_ASIGNATURAS!$B$2:$J$61,9,FALSE()),""))</f>
      </c>
    </row>
    <row r="8269">
      <c r="E8269">
        <f>IF(DATOS!$I8269="","",IFERROR(VLOOKUP(DATOS!$I8269,CONFIG_ASIGNATURAS!$B$2:$J$61,9,FALSE()),""))</f>
      </c>
    </row>
    <row r="8270">
      <c r="E8270">
        <f>IF(DATOS!$I8270="","",IFERROR(VLOOKUP(DATOS!$I8270,CONFIG_ASIGNATURAS!$B$2:$J$61,9,FALSE()),""))</f>
      </c>
    </row>
    <row r="8271">
      <c r="E8271">
        <f>IF(DATOS!$I8271="","",IFERROR(VLOOKUP(DATOS!$I8271,CONFIG_ASIGNATURAS!$B$2:$J$61,9,FALSE()),""))</f>
      </c>
    </row>
    <row r="8272">
      <c r="E8272">
        <f>IF(DATOS!$I8272="","",IFERROR(VLOOKUP(DATOS!$I8272,CONFIG_ASIGNATURAS!$B$2:$J$61,9,FALSE()),""))</f>
      </c>
    </row>
    <row r="8273">
      <c r="E8273">
        <f>IF(DATOS!$I8273="","",IFERROR(VLOOKUP(DATOS!$I8273,CONFIG_ASIGNATURAS!$B$2:$J$61,9,FALSE()),""))</f>
      </c>
    </row>
    <row r="8274">
      <c r="E8274">
        <f>IF(DATOS!$I8274="","",IFERROR(VLOOKUP(DATOS!$I8274,CONFIG_ASIGNATURAS!$B$2:$J$61,9,FALSE()),""))</f>
      </c>
    </row>
    <row r="8275">
      <c r="E8275">
        <f>IF(DATOS!$I8275="","",IFERROR(VLOOKUP(DATOS!$I8275,CONFIG_ASIGNATURAS!$B$2:$J$61,9,FALSE()),""))</f>
      </c>
    </row>
    <row r="8276">
      <c r="E8276">
        <f>IF(DATOS!$I8276="","",IFERROR(VLOOKUP(DATOS!$I8276,CONFIG_ASIGNATURAS!$B$2:$J$61,9,FALSE()),""))</f>
      </c>
    </row>
    <row r="8277">
      <c r="E8277">
        <f>IF(DATOS!$I8277="","",IFERROR(VLOOKUP(DATOS!$I8277,CONFIG_ASIGNATURAS!$B$2:$J$61,9,FALSE()),""))</f>
      </c>
    </row>
    <row r="8278">
      <c r="E8278">
        <f>IF(DATOS!$I8278="","",IFERROR(VLOOKUP(DATOS!$I8278,CONFIG_ASIGNATURAS!$B$2:$J$61,9,FALSE()),""))</f>
      </c>
    </row>
    <row r="8279">
      <c r="E8279">
        <f>IF(DATOS!$I8279="","",IFERROR(VLOOKUP(DATOS!$I8279,CONFIG_ASIGNATURAS!$B$2:$J$61,9,FALSE()),""))</f>
      </c>
    </row>
    <row r="8280">
      <c r="E8280">
        <f>IF(DATOS!$I8280="","",IFERROR(VLOOKUP(DATOS!$I8280,CONFIG_ASIGNATURAS!$B$2:$J$61,9,FALSE()),""))</f>
      </c>
    </row>
    <row r="8281">
      <c r="E8281">
        <f>IF(DATOS!$I8281="","",IFERROR(VLOOKUP(DATOS!$I8281,CONFIG_ASIGNATURAS!$B$2:$J$61,9,FALSE()),""))</f>
      </c>
    </row>
    <row r="8282">
      <c r="E8282">
        <f>IF(DATOS!$I8282="","",IFERROR(VLOOKUP(DATOS!$I8282,CONFIG_ASIGNATURAS!$B$2:$J$61,9,FALSE()),""))</f>
      </c>
    </row>
    <row r="8283">
      <c r="E8283">
        <f>IF(DATOS!$I8283="","",IFERROR(VLOOKUP(DATOS!$I8283,CONFIG_ASIGNATURAS!$B$2:$J$61,9,FALSE()),""))</f>
      </c>
    </row>
    <row r="8284">
      <c r="E8284">
        <f>IF(DATOS!$I8284="","",IFERROR(VLOOKUP(DATOS!$I8284,CONFIG_ASIGNATURAS!$B$2:$J$61,9,FALSE()),""))</f>
      </c>
    </row>
    <row r="8285">
      <c r="E8285">
        <f>IF(DATOS!$I8285="","",IFERROR(VLOOKUP(DATOS!$I8285,CONFIG_ASIGNATURAS!$B$2:$J$61,9,FALSE()),""))</f>
      </c>
    </row>
    <row r="8286">
      <c r="E8286">
        <f>IF(DATOS!$I8286="","",IFERROR(VLOOKUP(DATOS!$I8286,CONFIG_ASIGNATURAS!$B$2:$J$61,9,FALSE()),""))</f>
      </c>
    </row>
    <row r="8287">
      <c r="E8287">
        <f>IF(DATOS!$I8287="","",IFERROR(VLOOKUP(DATOS!$I8287,CONFIG_ASIGNATURAS!$B$2:$J$61,9,FALSE()),""))</f>
      </c>
    </row>
    <row r="8288">
      <c r="E8288">
        <f>IF(DATOS!$I8288="","",IFERROR(VLOOKUP(DATOS!$I8288,CONFIG_ASIGNATURAS!$B$2:$J$61,9,FALSE()),""))</f>
      </c>
    </row>
    <row r="8289">
      <c r="E8289">
        <f>IF(DATOS!$I8289="","",IFERROR(VLOOKUP(DATOS!$I8289,CONFIG_ASIGNATURAS!$B$2:$J$61,9,FALSE()),""))</f>
      </c>
    </row>
    <row r="8290">
      <c r="E8290">
        <f>IF(DATOS!$I8290="","",IFERROR(VLOOKUP(DATOS!$I8290,CONFIG_ASIGNATURAS!$B$2:$J$61,9,FALSE()),""))</f>
      </c>
    </row>
    <row r="8291">
      <c r="E8291">
        <f>IF(DATOS!$I8291="","",IFERROR(VLOOKUP(DATOS!$I8291,CONFIG_ASIGNATURAS!$B$2:$J$61,9,FALSE()),""))</f>
      </c>
    </row>
    <row r="8292">
      <c r="E8292">
        <f>IF(DATOS!$I8292="","",IFERROR(VLOOKUP(DATOS!$I8292,CONFIG_ASIGNATURAS!$B$2:$J$61,9,FALSE()),""))</f>
      </c>
    </row>
    <row r="8293">
      <c r="E8293">
        <f>IF(DATOS!$I8293="","",IFERROR(VLOOKUP(DATOS!$I8293,CONFIG_ASIGNATURAS!$B$2:$J$61,9,FALSE()),""))</f>
      </c>
    </row>
    <row r="8294">
      <c r="E8294">
        <f>IF(DATOS!$I8294="","",IFERROR(VLOOKUP(DATOS!$I8294,CONFIG_ASIGNATURAS!$B$2:$J$61,9,FALSE()),""))</f>
      </c>
    </row>
    <row r="8295">
      <c r="E8295">
        <f>IF(DATOS!$I8295="","",IFERROR(VLOOKUP(DATOS!$I8295,CONFIG_ASIGNATURAS!$B$2:$J$61,9,FALSE()),""))</f>
      </c>
    </row>
    <row r="8296">
      <c r="E8296">
        <f>IF(DATOS!$I8296="","",IFERROR(VLOOKUP(DATOS!$I8296,CONFIG_ASIGNATURAS!$B$2:$J$61,9,FALSE()),""))</f>
      </c>
    </row>
    <row r="8297">
      <c r="E8297">
        <f>IF(DATOS!$I8297="","",IFERROR(VLOOKUP(DATOS!$I8297,CONFIG_ASIGNATURAS!$B$2:$J$61,9,FALSE()),""))</f>
      </c>
    </row>
    <row r="8298">
      <c r="E8298">
        <f>IF(DATOS!$I8298="","",IFERROR(VLOOKUP(DATOS!$I8298,CONFIG_ASIGNATURAS!$B$2:$J$61,9,FALSE()),""))</f>
      </c>
    </row>
    <row r="8299">
      <c r="E8299">
        <f>IF(DATOS!$I8299="","",IFERROR(VLOOKUP(DATOS!$I8299,CONFIG_ASIGNATURAS!$B$2:$J$61,9,FALSE()),""))</f>
      </c>
    </row>
    <row r="8300">
      <c r="E8300">
        <f>IF(DATOS!$I8300="","",IFERROR(VLOOKUP(DATOS!$I8300,CONFIG_ASIGNATURAS!$B$2:$J$61,9,FALSE()),""))</f>
      </c>
    </row>
    <row r="8301">
      <c r="E8301">
        <f>IF(DATOS!$I8301="","",IFERROR(VLOOKUP(DATOS!$I8301,CONFIG_ASIGNATURAS!$B$2:$J$61,9,FALSE()),""))</f>
      </c>
    </row>
    <row r="8302">
      <c r="E8302">
        <f>IF(DATOS!$I8302="","",IFERROR(VLOOKUP(DATOS!$I8302,CONFIG_ASIGNATURAS!$B$2:$J$61,9,FALSE()),""))</f>
      </c>
    </row>
    <row r="8303">
      <c r="E8303">
        <f>IF(DATOS!$I8303="","",IFERROR(VLOOKUP(DATOS!$I8303,CONFIG_ASIGNATURAS!$B$2:$J$61,9,FALSE()),""))</f>
      </c>
    </row>
    <row r="8304">
      <c r="E8304">
        <f>IF(DATOS!$I8304="","",IFERROR(VLOOKUP(DATOS!$I8304,CONFIG_ASIGNATURAS!$B$2:$J$61,9,FALSE()),""))</f>
      </c>
    </row>
    <row r="8305">
      <c r="E8305">
        <f>IF(DATOS!$I8305="","",IFERROR(VLOOKUP(DATOS!$I8305,CONFIG_ASIGNATURAS!$B$2:$J$61,9,FALSE()),""))</f>
      </c>
    </row>
    <row r="8306">
      <c r="E8306">
        <f>IF(DATOS!$I8306="","",IFERROR(VLOOKUP(DATOS!$I8306,CONFIG_ASIGNATURAS!$B$2:$J$61,9,FALSE()),""))</f>
      </c>
    </row>
    <row r="8307">
      <c r="E8307">
        <f>IF(DATOS!$I8307="","",IFERROR(VLOOKUP(DATOS!$I8307,CONFIG_ASIGNATURAS!$B$2:$J$61,9,FALSE()),""))</f>
      </c>
    </row>
    <row r="8308">
      <c r="E8308">
        <f>IF(DATOS!$I8308="","",IFERROR(VLOOKUP(DATOS!$I8308,CONFIG_ASIGNATURAS!$B$2:$J$61,9,FALSE()),""))</f>
      </c>
    </row>
    <row r="8309">
      <c r="E8309">
        <f>IF(DATOS!$I8309="","",IFERROR(VLOOKUP(DATOS!$I8309,CONFIG_ASIGNATURAS!$B$2:$J$61,9,FALSE()),""))</f>
      </c>
    </row>
    <row r="8310">
      <c r="E8310">
        <f>IF(DATOS!$I8310="","",IFERROR(VLOOKUP(DATOS!$I8310,CONFIG_ASIGNATURAS!$B$2:$J$61,9,FALSE()),""))</f>
      </c>
    </row>
    <row r="8311">
      <c r="E8311">
        <f>IF(DATOS!$I8311="","",IFERROR(VLOOKUP(DATOS!$I8311,CONFIG_ASIGNATURAS!$B$2:$J$61,9,FALSE()),""))</f>
      </c>
    </row>
    <row r="8312">
      <c r="E8312">
        <f>IF(DATOS!$I8312="","",IFERROR(VLOOKUP(DATOS!$I8312,CONFIG_ASIGNATURAS!$B$2:$J$61,9,FALSE()),""))</f>
      </c>
    </row>
    <row r="8313">
      <c r="E8313">
        <f>IF(DATOS!$I8313="","",IFERROR(VLOOKUP(DATOS!$I8313,CONFIG_ASIGNATURAS!$B$2:$J$61,9,FALSE()),""))</f>
      </c>
    </row>
    <row r="8314">
      <c r="E8314">
        <f>IF(DATOS!$I8314="","",IFERROR(VLOOKUP(DATOS!$I8314,CONFIG_ASIGNATURAS!$B$2:$J$61,9,FALSE()),""))</f>
      </c>
    </row>
    <row r="8315">
      <c r="E8315">
        <f>IF(DATOS!$I8315="","",IFERROR(VLOOKUP(DATOS!$I8315,CONFIG_ASIGNATURAS!$B$2:$J$61,9,FALSE()),""))</f>
      </c>
    </row>
    <row r="8316">
      <c r="E8316">
        <f>IF(DATOS!$I8316="","",IFERROR(VLOOKUP(DATOS!$I8316,CONFIG_ASIGNATURAS!$B$2:$J$61,9,FALSE()),""))</f>
      </c>
    </row>
    <row r="8317">
      <c r="E8317">
        <f>IF(DATOS!$I8317="","",IFERROR(VLOOKUP(DATOS!$I8317,CONFIG_ASIGNATURAS!$B$2:$J$61,9,FALSE()),""))</f>
      </c>
    </row>
    <row r="8318">
      <c r="E8318">
        <f>IF(DATOS!$I8318="","",IFERROR(VLOOKUP(DATOS!$I8318,CONFIG_ASIGNATURAS!$B$2:$J$61,9,FALSE()),""))</f>
      </c>
    </row>
    <row r="8319">
      <c r="E8319">
        <f>IF(DATOS!$I8319="","",IFERROR(VLOOKUP(DATOS!$I8319,CONFIG_ASIGNATURAS!$B$2:$J$61,9,FALSE()),""))</f>
      </c>
    </row>
    <row r="8320">
      <c r="E8320">
        <f>IF(DATOS!$I8320="","",IFERROR(VLOOKUP(DATOS!$I8320,CONFIG_ASIGNATURAS!$B$2:$J$61,9,FALSE()),""))</f>
      </c>
    </row>
    <row r="8321">
      <c r="E8321">
        <f>IF(DATOS!$I8321="","",IFERROR(VLOOKUP(DATOS!$I8321,CONFIG_ASIGNATURAS!$B$2:$J$61,9,FALSE()),""))</f>
      </c>
    </row>
    <row r="8322">
      <c r="E8322">
        <f>IF(DATOS!$I8322="","",IFERROR(VLOOKUP(DATOS!$I8322,CONFIG_ASIGNATURAS!$B$2:$J$61,9,FALSE()),""))</f>
      </c>
    </row>
    <row r="8323">
      <c r="E8323">
        <f>IF(DATOS!$I8323="","",IFERROR(VLOOKUP(DATOS!$I8323,CONFIG_ASIGNATURAS!$B$2:$J$61,9,FALSE()),""))</f>
      </c>
    </row>
    <row r="8324">
      <c r="E8324">
        <f>IF(DATOS!$I8324="","",IFERROR(VLOOKUP(DATOS!$I8324,CONFIG_ASIGNATURAS!$B$2:$J$61,9,FALSE()),""))</f>
      </c>
    </row>
    <row r="8325">
      <c r="E8325">
        <f>IF(DATOS!$I8325="","",IFERROR(VLOOKUP(DATOS!$I8325,CONFIG_ASIGNATURAS!$B$2:$J$61,9,FALSE()),""))</f>
      </c>
    </row>
    <row r="8326">
      <c r="E8326">
        <f>IF(DATOS!$I8326="","",IFERROR(VLOOKUP(DATOS!$I8326,CONFIG_ASIGNATURAS!$B$2:$J$61,9,FALSE()),""))</f>
      </c>
    </row>
    <row r="8327">
      <c r="E8327">
        <f>IF(DATOS!$I8327="","",IFERROR(VLOOKUP(DATOS!$I8327,CONFIG_ASIGNATURAS!$B$2:$J$61,9,FALSE()),""))</f>
      </c>
    </row>
    <row r="8328">
      <c r="E8328">
        <f>IF(DATOS!$I8328="","",IFERROR(VLOOKUP(DATOS!$I8328,CONFIG_ASIGNATURAS!$B$2:$J$61,9,FALSE()),""))</f>
      </c>
    </row>
    <row r="8329">
      <c r="E8329">
        <f>IF(DATOS!$I8329="","",IFERROR(VLOOKUP(DATOS!$I8329,CONFIG_ASIGNATURAS!$B$2:$J$61,9,FALSE()),""))</f>
      </c>
    </row>
    <row r="8330">
      <c r="E8330">
        <f>IF(DATOS!$I8330="","",IFERROR(VLOOKUP(DATOS!$I8330,CONFIG_ASIGNATURAS!$B$2:$J$61,9,FALSE()),""))</f>
      </c>
    </row>
    <row r="8331">
      <c r="E8331">
        <f>IF(DATOS!$I8331="","",IFERROR(VLOOKUP(DATOS!$I8331,CONFIG_ASIGNATURAS!$B$2:$J$61,9,FALSE()),""))</f>
      </c>
    </row>
    <row r="8332">
      <c r="E8332">
        <f>IF(DATOS!$I8332="","",IFERROR(VLOOKUP(DATOS!$I8332,CONFIG_ASIGNATURAS!$B$2:$J$61,9,FALSE()),""))</f>
      </c>
    </row>
    <row r="8333">
      <c r="E8333">
        <f>IF(DATOS!$I8333="","",IFERROR(VLOOKUP(DATOS!$I8333,CONFIG_ASIGNATURAS!$B$2:$J$61,9,FALSE()),""))</f>
      </c>
    </row>
    <row r="8334">
      <c r="E8334">
        <f>IF(DATOS!$I8334="","",IFERROR(VLOOKUP(DATOS!$I8334,CONFIG_ASIGNATURAS!$B$2:$J$61,9,FALSE()),""))</f>
      </c>
    </row>
    <row r="8335">
      <c r="E8335">
        <f>IF(DATOS!$I8335="","",IFERROR(VLOOKUP(DATOS!$I8335,CONFIG_ASIGNATURAS!$B$2:$J$61,9,FALSE()),""))</f>
      </c>
    </row>
    <row r="8336">
      <c r="E8336">
        <f>IF(DATOS!$I8336="","",IFERROR(VLOOKUP(DATOS!$I8336,CONFIG_ASIGNATURAS!$B$2:$J$61,9,FALSE()),""))</f>
      </c>
    </row>
    <row r="8337">
      <c r="E8337">
        <f>IF(DATOS!$I8337="","",IFERROR(VLOOKUP(DATOS!$I8337,CONFIG_ASIGNATURAS!$B$2:$J$61,9,FALSE()),""))</f>
      </c>
    </row>
    <row r="8338">
      <c r="E8338">
        <f>IF(DATOS!$I8338="","",IFERROR(VLOOKUP(DATOS!$I8338,CONFIG_ASIGNATURAS!$B$2:$J$61,9,FALSE()),""))</f>
      </c>
    </row>
    <row r="8339">
      <c r="E8339">
        <f>IF(DATOS!$I8339="","",IFERROR(VLOOKUP(DATOS!$I8339,CONFIG_ASIGNATURAS!$B$2:$J$61,9,FALSE()),""))</f>
      </c>
    </row>
    <row r="8340">
      <c r="E8340">
        <f>IF(DATOS!$I8340="","",IFERROR(VLOOKUP(DATOS!$I8340,CONFIG_ASIGNATURAS!$B$2:$J$61,9,FALSE()),""))</f>
      </c>
    </row>
    <row r="8341">
      <c r="E8341">
        <f>IF(DATOS!$I8341="","",IFERROR(VLOOKUP(DATOS!$I8341,CONFIG_ASIGNATURAS!$B$2:$J$61,9,FALSE()),""))</f>
      </c>
    </row>
    <row r="8342">
      <c r="E8342">
        <f>IF(DATOS!$I8342="","",IFERROR(VLOOKUP(DATOS!$I8342,CONFIG_ASIGNATURAS!$B$2:$J$61,9,FALSE()),""))</f>
      </c>
    </row>
    <row r="8343">
      <c r="E8343">
        <f>IF(DATOS!$I8343="","",IFERROR(VLOOKUP(DATOS!$I8343,CONFIG_ASIGNATURAS!$B$2:$J$61,9,FALSE()),""))</f>
      </c>
    </row>
    <row r="8344">
      <c r="E8344">
        <f>IF(DATOS!$I8344="","",IFERROR(VLOOKUP(DATOS!$I8344,CONFIG_ASIGNATURAS!$B$2:$J$61,9,FALSE()),""))</f>
      </c>
    </row>
    <row r="8345">
      <c r="E8345">
        <f>IF(DATOS!$I8345="","",IFERROR(VLOOKUP(DATOS!$I8345,CONFIG_ASIGNATURAS!$B$2:$J$61,9,FALSE()),""))</f>
      </c>
    </row>
    <row r="8346">
      <c r="E8346">
        <f>IF(DATOS!$I8346="","",IFERROR(VLOOKUP(DATOS!$I8346,CONFIG_ASIGNATURAS!$B$2:$J$61,9,FALSE()),""))</f>
      </c>
    </row>
    <row r="8347">
      <c r="E8347">
        <f>IF(DATOS!$I8347="","",IFERROR(VLOOKUP(DATOS!$I8347,CONFIG_ASIGNATURAS!$B$2:$J$61,9,FALSE()),""))</f>
      </c>
    </row>
    <row r="8348">
      <c r="E8348">
        <f>IF(DATOS!$I8348="","",IFERROR(VLOOKUP(DATOS!$I8348,CONFIG_ASIGNATURAS!$B$2:$J$61,9,FALSE()),""))</f>
      </c>
    </row>
    <row r="8349">
      <c r="E8349">
        <f>IF(DATOS!$I8349="","",IFERROR(VLOOKUP(DATOS!$I8349,CONFIG_ASIGNATURAS!$B$2:$J$61,9,FALSE()),""))</f>
      </c>
    </row>
    <row r="8350">
      <c r="E8350">
        <f>IF(DATOS!$I8350="","",IFERROR(VLOOKUP(DATOS!$I8350,CONFIG_ASIGNATURAS!$B$2:$J$61,9,FALSE()),""))</f>
      </c>
    </row>
    <row r="8351">
      <c r="E8351">
        <f>IF(DATOS!$I8351="","",IFERROR(VLOOKUP(DATOS!$I8351,CONFIG_ASIGNATURAS!$B$2:$J$61,9,FALSE()),""))</f>
      </c>
    </row>
    <row r="8352">
      <c r="E8352">
        <f>IF(DATOS!$I8352="","",IFERROR(VLOOKUP(DATOS!$I8352,CONFIG_ASIGNATURAS!$B$2:$J$61,9,FALSE()),""))</f>
      </c>
    </row>
    <row r="8353">
      <c r="E8353">
        <f>IF(DATOS!$I8353="","",IFERROR(VLOOKUP(DATOS!$I8353,CONFIG_ASIGNATURAS!$B$2:$J$61,9,FALSE()),""))</f>
      </c>
    </row>
    <row r="8354">
      <c r="E8354">
        <f>IF(DATOS!$I8354="","",IFERROR(VLOOKUP(DATOS!$I8354,CONFIG_ASIGNATURAS!$B$2:$J$61,9,FALSE()),""))</f>
      </c>
    </row>
    <row r="8355">
      <c r="E8355">
        <f>IF(DATOS!$I8355="","",IFERROR(VLOOKUP(DATOS!$I8355,CONFIG_ASIGNATURAS!$B$2:$J$61,9,FALSE()),""))</f>
      </c>
    </row>
    <row r="8356">
      <c r="E8356">
        <f>IF(DATOS!$I8356="","",IFERROR(VLOOKUP(DATOS!$I8356,CONFIG_ASIGNATURAS!$B$2:$J$61,9,FALSE()),""))</f>
      </c>
    </row>
    <row r="8357">
      <c r="E8357">
        <f>IF(DATOS!$I8357="","",IFERROR(VLOOKUP(DATOS!$I8357,CONFIG_ASIGNATURAS!$B$2:$J$61,9,FALSE()),""))</f>
      </c>
    </row>
    <row r="8358">
      <c r="E8358">
        <f>IF(DATOS!$I8358="","",IFERROR(VLOOKUP(DATOS!$I8358,CONFIG_ASIGNATURAS!$B$2:$J$61,9,FALSE()),""))</f>
      </c>
    </row>
    <row r="8359">
      <c r="E8359">
        <f>IF(DATOS!$I8359="","",IFERROR(VLOOKUP(DATOS!$I8359,CONFIG_ASIGNATURAS!$B$2:$J$61,9,FALSE()),""))</f>
      </c>
    </row>
    <row r="8360">
      <c r="E8360">
        <f>IF(DATOS!$I8360="","",IFERROR(VLOOKUP(DATOS!$I8360,CONFIG_ASIGNATURAS!$B$2:$J$61,9,FALSE()),""))</f>
      </c>
    </row>
    <row r="8361">
      <c r="E8361">
        <f>IF(DATOS!$I8361="","",IFERROR(VLOOKUP(DATOS!$I8361,CONFIG_ASIGNATURAS!$B$2:$J$61,9,FALSE()),""))</f>
      </c>
    </row>
    <row r="8362">
      <c r="E8362">
        <f>IF(DATOS!$I8362="","",IFERROR(VLOOKUP(DATOS!$I8362,CONFIG_ASIGNATURAS!$B$2:$J$61,9,FALSE()),""))</f>
      </c>
    </row>
    <row r="8363">
      <c r="E8363">
        <f>IF(DATOS!$I8363="","",IFERROR(VLOOKUP(DATOS!$I8363,CONFIG_ASIGNATURAS!$B$2:$J$61,9,FALSE()),""))</f>
      </c>
    </row>
    <row r="8364">
      <c r="E8364">
        <f>IF(DATOS!$I8364="","",IFERROR(VLOOKUP(DATOS!$I8364,CONFIG_ASIGNATURAS!$B$2:$J$61,9,FALSE()),""))</f>
      </c>
    </row>
    <row r="8365">
      <c r="E8365">
        <f>IF(DATOS!$I8365="","",IFERROR(VLOOKUP(DATOS!$I8365,CONFIG_ASIGNATURAS!$B$2:$J$61,9,FALSE()),""))</f>
      </c>
    </row>
    <row r="8366">
      <c r="E8366">
        <f>IF(DATOS!$I8366="","",IFERROR(VLOOKUP(DATOS!$I8366,CONFIG_ASIGNATURAS!$B$2:$J$61,9,FALSE()),""))</f>
      </c>
    </row>
    <row r="8367">
      <c r="E8367">
        <f>IF(DATOS!$I8367="","",IFERROR(VLOOKUP(DATOS!$I8367,CONFIG_ASIGNATURAS!$B$2:$J$61,9,FALSE()),""))</f>
      </c>
    </row>
    <row r="8368">
      <c r="E8368">
        <f>IF(DATOS!$I8368="","",IFERROR(VLOOKUP(DATOS!$I8368,CONFIG_ASIGNATURAS!$B$2:$J$61,9,FALSE()),""))</f>
      </c>
    </row>
    <row r="8369">
      <c r="E8369">
        <f>IF(DATOS!$I8369="","",IFERROR(VLOOKUP(DATOS!$I8369,CONFIG_ASIGNATURAS!$B$2:$J$61,9,FALSE()),""))</f>
      </c>
    </row>
    <row r="8370">
      <c r="E8370">
        <f>IF(DATOS!$I8370="","",IFERROR(VLOOKUP(DATOS!$I8370,CONFIG_ASIGNATURAS!$B$2:$J$61,9,FALSE()),""))</f>
      </c>
    </row>
    <row r="8371">
      <c r="E8371">
        <f>IF(DATOS!$I8371="","",IFERROR(VLOOKUP(DATOS!$I8371,CONFIG_ASIGNATURAS!$B$2:$J$61,9,FALSE()),""))</f>
      </c>
    </row>
    <row r="8372">
      <c r="E8372">
        <f>IF(DATOS!$I8372="","",IFERROR(VLOOKUP(DATOS!$I8372,CONFIG_ASIGNATURAS!$B$2:$J$61,9,FALSE()),""))</f>
      </c>
    </row>
    <row r="8373">
      <c r="E8373">
        <f>IF(DATOS!$I8373="","",IFERROR(VLOOKUP(DATOS!$I8373,CONFIG_ASIGNATURAS!$B$2:$J$61,9,FALSE()),""))</f>
      </c>
    </row>
    <row r="8374">
      <c r="E8374">
        <f>IF(DATOS!$I8374="","",IFERROR(VLOOKUP(DATOS!$I8374,CONFIG_ASIGNATURAS!$B$2:$J$61,9,FALSE()),""))</f>
      </c>
    </row>
    <row r="8375">
      <c r="E8375">
        <f>IF(DATOS!$I8375="","",IFERROR(VLOOKUP(DATOS!$I8375,CONFIG_ASIGNATURAS!$B$2:$J$61,9,FALSE()),""))</f>
      </c>
    </row>
    <row r="8376">
      <c r="E8376">
        <f>IF(DATOS!$I8376="","",IFERROR(VLOOKUP(DATOS!$I8376,CONFIG_ASIGNATURAS!$B$2:$J$61,9,FALSE()),""))</f>
      </c>
    </row>
    <row r="8377">
      <c r="E8377">
        <f>IF(DATOS!$I8377="","",IFERROR(VLOOKUP(DATOS!$I8377,CONFIG_ASIGNATURAS!$B$2:$J$61,9,FALSE()),""))</f>
      </c>
    </row>
    <row r="8378">
      <c r="E8378">
        <f>IF(DATOS!$I8378="","",IFERROR(VLOOKUP(DATOS!$I8378,CONFIG_ASIGNATURAS!$B$2:$J$61,9,FALSE()),""))</f>
      </c>
    </row>
    <row r="8379">
      <c r="E8379">
        <f>IF(DATOS!$I8379="","",IFERROR(VLOOKUP(DATOS!$I8379,CONFIG_ASIGNATURAS!$B$2:$J$61,9,FALSE()),""))</f>
      </c>
    </row>
    <row r="8380">
      <c r="E8380">
        <f>IF(DATOS!$I8380="","",IFERROR(VLOOKUP(DATOS!$I8380,CONFIG_ASIGNATURAS!$B$2:$J$61,9,FALSE()),""))</f>
      </c>
    </row>
    <row r="8381">
      <c r="E8381">
        <f>IF(DATOS!$I8381="","",IFERROR(VLOOKUP(DATOS!$I8381,CONFIG_ASIGNATURAS!$B$2:$J$61,9,FALSE()),""))</f>
      </c>
    </row>
    <row r="8382">
      <c r="E8382">
        <f>IF(DATOS!$I8382="","",IFERROR(VLOOKUP(DATOS!$I8382,CONFIG_ASIGNATURAS!$B$2:$J$61,9,FALSE()),""))</f>
      </c>
    </row>
    <row r="8383">
      <c r="E8383">
        <f>IF(DATOS!$I8383="","",IFERROR(VLOOKUP(DATOS!$I8383,CONFIG_ASIGNATURAS!$B$2:$J$61,9,FALSE()),""))</f>
      </c>
    </row>
    <row r="8384">
      <c r="E8384">
        <f>IF(DATOS!$I8384="","",IFERROR(VLOOKUP(DATOS!$I8384,CONFIG_ASIGNATURAS!$B$2:$J$61,9,FALSE()),""))</f>
      </c>
    </row>
    <row r="8385">
      <c r="E8385">
        <f>IF(DATOS!$I8385="","",IFERROR(VLOOKUP(DATOS!$I8385,CONFIG_ASIGNATURAS!$B$2:$J$61,9,FALSE()),""))</f>
      </c>
    </row>
    <row r="8386">
      <c r="E8386">
        <f>IF(DATOS!$I8386="","",IFERROR(VLOOKUP(DATOS!$I8386,CONFIG_ASIGNATURAS!$B$2:$J$61,9,FALSE()),""))</f>
      </c>
    </row>
    <row r="8387">
      <c r="E8387">
        <f>IF(DATOS!$I8387="","",IFERROR(VLOOKUP(DATOS!$I8387,CONFIG_ASIGNATURAS!$B$2:$J$61,9,FALSE()),""))</f>
      </c>
    </row>
    <row r="8388">
      <c r="E8388">
        <f>IF(DATOS!$I8388="","",IFERROR(VLOOKUP(DATOS!$I8388,CONFIG_ASIGNATURAS!$B$2:$J$61,9,FALSE()),""))</f>
      </c>
    </row>
    <row r="8389">
      <c r="E8389">
        <f>IF(DATOS!$I8389="","",IFERROR(VLOOKUP(DATOS!$I8389,CONFIG_ASIGNATURAS!$B$2:$J$61,9,FALSE()),""))</f>
      </c>
    </row>
    <row r="8390">
      <c r="E8390">
        <f>IF(DATOS!$I8390="","",IFERROR(VLOOKUP(DATOS!$I8390,CONFIG_ASIGNATURAS!$B$2:$J$61,9,FALSE()),""))</f>
      </c>
    </row>
    <row r="8391">
      <c r="E8391">
        <f>IF(DATOS!$I8391="","",IFERROR(VLOOKUP(DATOS!$I8391,CONFIG_ASIGNATURAS!$B$2:$J$61,9,FALSE()),""))</f>
      </c>
    </row>
    <row r="8392">
      <c r="E8392">
        <f>IF(DATOS!$I8392="","",IFERROR(VLOOKUP(DATOS!$I8392,CONFIG_ASIGNATURAS!$B$2:$J$61,9,FALSE()),""))</f>
      </c>
    </row>
    <row r="8393">
      <c r="E8393">
        <f>IF(DATOS!$I8393="","",IFERROR(VLOOKUP(DATOS!$I8393,CONFIG_ASIGNATURAS!$B$2:$J$61,9,FALSE()),""))</f>
      </c>
    </row>
    <row r="8394">
      <c r="E8394">
        <f>IF(DATOS!$I8394="","",IFERROR(VLOOKUP(DATOS!$I8394,CONFIG_ASIGNATURAS!$B$2:$J$61,9,FALSE()),""))</f>
      </c>
    </row>
    <row r="8395">
      <c r="E8395">
        <f>IF(DATOS!$I8395="","",IFERROR(VLOOKUP(DATOS!$I8395,CONFIG_ASIGNATURAS!$B$2:$J$61,9,FALSE()),""))</f>
      </c>
    </row>
    <row r="8396">
      <c r="E8396">
        <f>IF(DATOS!$I8396="","",IFERROR(VLOOKUP(DATOS!$I8396,CONFIG_ASIGNATURAS!$B$2:$J$61,9,FALSE()),""))</f>
      </c>
    </row>
    <row r="8397">
      <c r="E8397">
        <f>IF(DATOS!$I8397="","",IFERROR(VLOOKUP(DATOS!$I8397,CONFIG_ASIGNATURAS!$B$2:$J$61,9,FALSE()),""))</f>
      </c>
    </row>
    <row r="8398">
      <c r="E8398">
        <f>IF(DATOS!$I8398="","",IFERROR(VLOOKUP(DATOS!$I8398,CONFIG_ASIGNATURAS!$B$2:$J$61,9,FALSE()),""))</f>
      </c>
    </row>
    <row r="8399">
      <c r="E8399">
        <f>IF(DATOS!$I8399="","",IFERROR(VLOOKUP(DATOS!$I8399,CONFIG_ASIGNATURAS!$B$2:$J$61,9,FALSE()),""))</f>
      </c>
    </row>
    <row r="8400">
      <c r="E8400">
        <f>IF(DATOS!$I8400="","",IFERROR(VLOOKUP(DATOS!$I8400,CONFIG_ASIGNATURAS!$B$2:$J$61,9,FALSE()),""))</f>
      </c>
    </row>
    <row r="8401">
      <c r="E8401">
        <f>IF(DATOS!$I8401="","",IFERROR(VLOOKUP(DATOS!$I8401,CONFIG_ASIGNATURAS!$B$2:$J$61,9,FALSE()),""))</f>
      </c>
    </row>
    <row r="8402">
      <c r="E8402">
        <f>IF(DATOS!$I8402="","",IFERROR(VLOOKUP(DATOS!$I8402,CONFIG_ASIGNATURAS!$B$2:$J$61,9,FALSE()),""))</f>
      </c>
    </row>
    <row r="8403">
      <c r="E8403">
        <f>IF(DATOS!$I8403="","",IFERROR(VLOOKUP(DATOS!$I8403,CONFIG_ASIGNATURAS!$B$2:$J$61,9,FALSE()),""))</f>
      </c>
    </row>
    <row r="8404">
      <c r="E8404">
        <f>IF(DATOS!$I8404="","",IFERROR(VLOOKUP(DATOS!$I8404,CONFIG_ASIGNATURAS!$B$2:$J$61,9,FALSE()),""))</f>
      </c>
    </row>
    <row r="8405">
      <c r="E8405">
        <f>IF(DATOS!$I8405="","",IFERROR(VLOOKUP(DATOS!$I8405,CONFIG_ASIGNATURAS!$B$2:$J$61,9,FALSE()),""))</f>
      </c>
    </row>
    <row r="8406">
      <c r="E8406">
        <f>IF(DATOS!$I8406="","",IFERROR(VLOOKUP(DATOS!$I8406,CONFIG_ASIGNATURAS!$B$2:$J$61,9,FALSE()),""))</f>
      </c>
    </row>
    <row r="8407">
      <c r="E8407">
        <f>IF(DATOS!$I8407="","",IFERROR(VLOOKUP(DATOS!$I8407,CONFIG_ASIGNATURAS!$B$2:$J$61,9,FALSE()),""))</f>
      </c>
    </row>
    <row r="8408">
      <c r="E8408">
        <f>IF(DATOS!$I8408="","",IFERROR(VLOOKUP(DATOS!$I8408,CONFIG_ASIGNATURAS!$B$2:$J$61,9,FALSE()),""))</f>
      </c>
    </row>
    <row r="8409">
      <c r="E8409">
        <f>IF(DATOS!$I8409="","",IFERROR(VLOOKUP(DATOS!$I8409,CONFIG_ASIGNATURAS!$B$2:$J$61,9,FALSE()),""))</f>
      </c>
    </row>
    <row r="8410">
      <c r="E8410">
        <f>IF(DATOS!$I8410="","",IFERROR(VLOOKUP(DATOS!$I8410,CONFIG_ASIGNATURAS!$B$2:$J$61,9,FALSE()),""))</f>
      </c>
    </row>
    <row r="8411">
      <c r="E8411">
        <f>IF(DATOS!$I8411="","",IFERROR(VLOOKUP(DATOS!$I8411,CONFIG_ASIGNATURAS!$B$2:$J$61,9,FALSE()),""))</f>
      </c>
    </row>
    <row r="8412">
      <c r="E8412">
        <f>IF(DATOS!$I8412="","",IFERROR(VLOOKUP(DATOS!$I8412,CONFIG_ASIGNATURAS!$B$2:$J$61,9,FALSE()),""))</f>
      </c>
    </row>
    <row r="8413">
      <c r="E8413">
        <f>IF(DATOS!$I8413="","",IFERROR(VLOOKUP(DATOS!$I8413,CONFIG_ASIGNATURAS!$B$2:$J$61,9,FALSE()),""))</f>
      </c>
    </row>
    <row r="8414">
      <c r="E8414">
        <f>IF(DATOS!$I8414="","",IFERROR(VLOOKUP(DATOS!$I8414,CONFIG_ASIGNATURAS!$B$2:$J$61,9,FALSE()),""))</f>
      </c>
    </row>
    <row r="8415">
      <c r="E8415">
        <f>IF(DATOS!$I8415="","",IFERROR(VLOOKUP(DATOS!$I8415,CONFIG_ASIGNATURAS!$B$2:$J$61,9,FALSE()),""))</f>
      </c>
    </row>
    <row r="8416">
      <c r="E8416">
        <f>IF(DATOS!$I8416="","",IFERROR(VLOOKUP(DATOS!$I8416,CONFIG_ASIGNATURAS!$B$2:$J$61,9,FALSE()),""))</f>
      </c>
    </row>
    <row r="8417">
      <c r="E8417">
        <f>IF(DATOS!$I8417="","",IFERROR(VLOOKUP(DATOS!$I8417,CONFIG_ASIGNATURAS!$B$2:$J$61,9,FALSE()),""))</f>
      </c>
    </row>
    <row r="8418">
      <c r="E8418">
        <f>IF(DATOS!$I8418="","",IFERROR(VLOOKUP(DATOS!$I8418,CONFIG_ASIGNATURAS!$B$2:$J$61,9,FALSE()),""))</f>
      </c>
    </row>
    <row r="8419">
      <c r="E8419">
        <f>IF(DATOS!$I8419="","",IFERROR(VLOOKUP(DATOS!$I8419,CONFIG_ASIGNATURAS!$B$2:$J$61,9,FALSE()),""))</f>
      </c>
    </row>
    <row r="8420">
      <c r="E8420">
        <f>IF(DATOS!$I8420="","",IFERROR(VLOOKUP(DATOS!$I8420,CONFIG_ASIGNATURAS!$B$2:$J$61,9,FALSE()),""))</f>
      </c>
    </row>
    <row r="8421">
      <c r="E8421">
        <f>IF(DATOS!$I8421="","",IFERROR(VLOOKUP(DATOS!$I8421,CONFIG_ASIGNATURAS!$B$2:$J$61,9,FALSE()),""))</f>
      </c>
    </row>
    <row r="8422">
      <c r="E8422">
        <f>IF(DATOS!$I8422="","",IFERROR(VLOOKUP(DATOS!$I8422,CONFIG_ASIGNATURAS!$B$2:$J$61,9,FALSE()),""))</f>
      </c>
    </row>
    <row r="8423">
      <c r="E8423">
        <f>IF(DATOS!$I8423="","",IFERROR(VLOOKUP(DATOS!$I8423,CONFIG_ASIGNATURAS!$B$2:$J$61,9,FALSE()),""))</f>
      </c>
    </row>
    <row r="8424">
      <c r="E8424">
        <f>IF(DATOS!$I8424="","",IFERROR(VLOOKUP(DATOS!$I8424,CONFIG_ASIGNATURAS!$B$2:$J$61,9,FALSE()),""))</f>
      </c>
    </row>
    <row r="8425">
      <c r="E8425">
        <f>IF(DATOS!$I8425="","",IFERROR(VLOOKUP(DATOS!$I8425,CONFIG_ASIGNATURAS!$B$2:$J$61,9,FALSE()),""))</f>
      </c>
    </row>
    <row r="8426">
      <c r="E8426">
        <f>IF(DATOS!$I8426="","",IFERROR(VLOOKUP(DATOS!$I8426,CONFIG_ASIGNATURAS!$B$2:$J$61,9,FALSE()),""))</f>
      </c>
    </row>
    <row r="8427">
      <c r="E8427">
        <f>IF(DATOS!$I8427="","",IFERROR(VLOOKUP(DATOS!$I8427,CONFIG_ASIGNATURAS!$B$2:$J$61,9,FALSE()),""))</f>
      </c>
    </row>
    <row r="8428">
      <c r="E8428">
        <f>IF(DATOS!$I8428="","",IFERROR(VLOOKUP(DATOS!$I8428,CONFIG_ASIGNATURAS!$B$2:$J$61,9,FALSE()),""))</f>
      </c>
    </row>
    <row r="8429">
      <c r="E8429">
        <f>IF(DATOS!$I8429="","",IFERROR(VLOOKUP(DATOS!$I8429,CONFIG_ASIGNATURAS!$B$2:$J$61,9,FALSE()),""))</f>
      </c>
    </row>
    <row r="8430">
      <c r="E8430">
        <f>IF(DATOS!$I8430="","",IFERROR(VLOOKUP(DATOS!$I8430,CONFIG_ASIGNATURAS!$B$2:$J$61,9,FALSE()),""))</f>
      </c>
    </row>
    <row r="8431">
      <c r="E8431">
        <f>IF(DATOS!$I8431="","",IFERROR(VLOOKUP(DATOS!$I8431,CONFIG_ASIGNATURAS!$B$2:$J$61,9,FALSE()),""))</f>
      </c>
    </row>
    <row r="8432">
      <c r="E8432">
        <f>IF(DATOS!$I8432="","",IFERROR(VLOOKUP(DATOS!$I8432,CONFIG_ASIGNATURAS!$B$2:$J$61,9,FALSE()),""))</f>
      </c>
    </row>
    <row r="8433">
      <c r="E8433">
        <f>IF(DATOS!$I8433="","",IFERROR(VLOOKUP(DATOS!$I8433,CONFIG_ASIGNATURAS!$B$2:$J$61,9,FALSE()),""))</f>
      </c>
    </row>
    <row r="8434">
      <c r="E8434">
        <f>IF(DATOS!$I8434="","",IFERROR(VLOOKUP(DATOS!$I8434,CONFIG_ASIGNATURAS!$B$2:$J$61,9,FALSE()),""))</f>
      </c>
    </row>
    <row r="8435">
      <c r="E8435">
        <f>IF(DATOS!$I8435="","",IFERROR(VLOOKUP(DATOS!$I8435,CONFIG_ASIGNATURAS!$B$2:$J$61,9,FALSE()),""))</f>
      </c>
    </row>
    <row r="8436">
      <c r="E8436">
        <f>IF(DATOS!$I8436="","",IFERROR(VLOOKUP(DATOS!$I8436,CONFIG_ASIGNATURAS!$B$2:$J$61,9,FALSE()),""))</f>
      </c>
    </row>
    <row r="8437">
      <c r="E8437">
        <f>IF(DATOS!$I8437="","",IFERROR(VLOOKUP(DATOS!$I8437,CONFIG_ASIGNATURAS!$B$2:$J$61,9,FALSE()),""))</f>
      </c>
    </row>
    <row r="8438">
      <c r="E8438">
        <f>IF(DATOS!$I8438="","",IFERROR(VLOOKUP(DATOS!$I8438,CONFIG_ASIGNATURAS!$B$2:$J$61,9,FALSE()),""))</f>
      </c>
    </row>
    <row r="8439">
      <c r="E8439">
        <f>IF(DATOS!$I8439="","",IFERROR(VLOOKUP(DATOS!$I8439,CONFIG_ASIGNATURAS!$B$2:$J$61,9,FALSE()),""))</f>
      </c>
    </row>
    <row r="8440">
      <c r="E8440">
        <f>IF(DATOS!$I8440="","",IFERROR(VLOOKUP(DATOS!$I8440,CONFIG_ASIGNATURAS!$B$2:$J$61,9,FALSE()),""))</f>
      </c>
    </row>
    <row r="8441">
      <c r="E8441">
        <f>IF(DATOS!$I8441="","",IFERROR(VLOOKUP(DATOS!$I8441,CONFIG_ASIGNATURAS!$B$2:$J$61,9,FALSE()),""))</f>
      </c>
    </row>
    <row r="8442">
      <c r="E8442">
        <f>IF(DATOS!$I8442="","",IFERROR(VLOOKUP(DATOS!$I8442,CONFIG_ASIGNATURAS!$B$2:$J$61,9,FALSE()),""))</f>
      </c>
    </row>
    <row r="8443">
      <c r="E8443">
        <f>IF(DATOS!$I8443="","",IFERROR(VLOOKUP(DATOS!$I8443,CONFIG_ASIGNATURAS!$B$2:$J$61,9,FALSE()),""))</f>
      </c>
    </row>
    <row r="8444">
      <c r="E8444">
        <f>IF(DATOS!$I8444="","",IFERROR(VLOOKUP(DATOS!$I8444,CONFIG_ASIGNATURAS!$B$2:$J$61,9,FALSE()),""))</f>
      </c>
    </row>
    <row r="8445">
      <c r="E8445">
        <f>IF(DATOS!$I8445="","",IFERROR(VLOOKUP(DATOS!$I8445,CONFIG_ASIGNATURAS!$B$2:$J$61,9,FALSE()),""))</f>
      </c>
    </row>
    <row r="8446">
      <c r="E8446">
        <f>IF(DATOS!$I8446="","",IFERROR(VLOOKUP(DATOS!$I8446,CONFIG_ASIGNATURAS!$B$2:$J$61,9,FALSE()),""))</f>
      </c>
    </row>
    <row r="8447">
      <c r="E8447">
        <f>IF(DATOS!$I8447="","",IFERROR(VLOOKUP(DATOS!$I8447,CONFIG_ASIGNATURAS!$B$2:$J$61,9,FALSE()),""))</f>
      </c>
    </row>
    <row r="8448">
      <c r="E8448">
        <f>IF(DATOS!$I8448="","",IFERROR(VLOOKUP(DATOS!$I8448,CONFIG_ASIGNATURAS!$B$2:$J$61,9,FALSE()),""))</f>
      </c>
    </row>
    <row r="8449">
      <c r="E8449">
        <f>IF(DATOS!$I8449="","",IFERROR(VLOOKUP(DATOS!$I8449,CONFIG_ASIGNATURAS!$B$2:$J$61,9,FALSE()),""))</f>
      </c>
    </row>
    <row r="8450">
      <c r="E8450">
        <f>IF(DATOS!$I8450="","",IFERROR(VLOOKUP(DATOS!$I8450,CONFIG_ASIGNATURAS!$B$2:$J$61,9,FALSE()),""))</f>
      </c>
    </row>
    <row r="8451">
      <c r="E8451">
        <f>IF(DATOS!$I8451="","",IFERROR(VLOOKUP(DATOS!$I8451,CONFIG_ASIGNATURAS!$B$2:$J$61,9,FALSE()),""))</f>
      </c>
    </row>
    <row r="8452">
      <c r="E8452">
        <f>IF(DATOS!$I8452="","",IFERROR(VLOOKUP(DATOS!$I8452,CONFIG_ASIGNATURAS!$B$2:$J$61,9,FALSE()),""))</f>
      </c>
    </row>
    <row r="8453">
      <c r="E8453">
        <f>IF(DATOS!$I8453="","",IFERROR(VLOOKUP(DATOS!$I8453,CONFIG_ASIGNATURAS!$B$2:$J$61,9,FALSE()),""))</f>
      </c>
    </row>
    <row r="8454">
      <c r="E8454">
        <f>IF(DATOS!$I8454="","",IFERROR(VLOOKUP(DATOS!$I8454,CONFIG_ASIGNATURAS!$B$2:$J$61,9,FALSE()),""))</f>
      </c>
    </row>
    <row r="8455">
      <c r="E8455">
        <f>IF(DATOS!$I8455="","",IFERROR(VLOOKUP(DATOS!$I8455,CONFIG_ASIGNATURAS!$B$2:$J$61,9,FALSE()),""))</f>
      </c>
    </row>
    <row r="8456">
      <c r="E8456">
        <f>IF(DATOS!$I8456="","",IFERROR(VLOOKUP(DATOS!$I8456,CONFIG_ASIGNATURAS!$B$2:$J$61,9,FALSE()),""))</f>
      </c>
    </row>
    <row r="8457">
      <c r="E8457">
        <f>IF(DATOS!$I8457="","",IFERROR(VLOOKUP(DATOS!$I8457,CONFIG_ASIGNATURAS!$B$2:$J$61,9,FALSE()),""))</f>
      </c>
    </row>
    <row r="8458">
      <c r="E8458">
        <f>IF(DATOS!$I8458="","",IFERROR(VLOOKUP(DATOS!$I8458,CONFIG_ASIGNATURAS!$B$2:$J$61,9,FALSE()),""))</f>
      </c>
    </row>
    <row r="8459">
      <c r="E8459">
        <f>IF(DATOS!$I8459="","",IFERROR(VLOOKUP(DATOS!$I8459,CONFIG_ASIGNATURAS!$B$2:$J$61,9,FALSE()),""))</f>
      </c>
    </row>
    <row r="8460">
      <c r="E8460">
        <f>IF(DATOS!$I8460="","",IFERROR(VLOOKUP(DATOS!$I8460,CONFIG_ASIGNATURAS!$B$2:$J$61,9,FALSE()),""))</f>
      </c>
    </row>
    <row r="8461">
      <c r="E8461">
        <f>IF(DATOS!$I8461="","",IFERROR(VLOOKUP(DATOS!$I8461,CONFIG_ASIGNATURAS!$B$2:$J$61,9,FALSE()),""))</f>
      </c>
    </row>
    <row r="8462">
      <c r="E8462">
        <f>IF(DATOS!$I8462="","",IFERROR(VLOOKUP(DATOS!$I8462,CONFIG_ASIGNATURAS!$B$2:$J$61,9,FALSE()),""))</f>
      </c>
    </row>
    <row r="8463">
      <c r="E8463">
        <f>IF(DATOS!$I8463="","",IFERROR(VLOOKUP(DATOS!$I8463,CONFIG_ASIGNATURAS!$B$2:$J$61,9,FALSE()),""))</f>
      </c>
    </row>
    <row r="8464">
      <c r="E8464">
        <f>IF(DATOS!$I8464="","",IFERROR(VLOOKUP(DATOS!$I8464,CONFIG_ASIGNATURAS!$B$2:$J$61,9,FALSE()),""))</f>
      </c>
    </row>
    <row r="8465">
      <c r="E8465">
        <f>IF(DATOS!$I8465="","",IFERROR(VLOOKUP(DATOS!$I8465,CONFIG_ASIGNATURAS!$B$2:$J$61,9,FALSE()),""))</f>
      </c>
    </row>
    <row r="8466">
      <c r="E8466">
        <f>IF(DATOS!$I8466="","",IFERROR(VLOOKUP(DATOS!$I8466,CONFIG_ASIGNATURAS!$B$2:$J$61,9,FALSE()),""))</f>
      </c>
    </row>
    <row r="8467">
      <c r="E8467">
        <f>IF(DATOS!$I8467="","",IFERROR(VLOOKUP(DATOS!$I8467,CONFIG_ASIGNATURAS!$B$2:$J$61,9,FALSE()),""))</f>
      </c>
    </row>
    <row r="8468">
      <c r="E8468">
        <f>IF(DATOS!$I8468="","",IFERROR(VLOOKUP(DATOS!$I8468,CONFIG_ASIGNATURAS!$B$2:$J$61,9,FALSE()),""))</f>
      </c>
    </row>
    <row r="8469">
      <c r="E8469">
        <f>IF(DATOS!$I8469="","",IFERROR(VLOOKUP(DATOS!$I8469,CONFIG_ASIGNATURAS!$B$2:$J$61,9,FALSE()),""))</f>
      </c>
    </row>
    <row r="8470">
      <c r="E8470">
        <f>IF(DATOS!$I8470="","",IFERROR(VLOOKUP(DATOS!$I8470,CONFIG_ASIGNATURAS!$B$2:$J$61,9,FALSE()),""))</f>
      </c>
    </row>
    <row r="8471">
      <c r="E8471">
        <f>IF(DATOS!$I8471="","",IFERROR(VLOOKUP(DATOS!$I8471,CONFIG_ASIGNATURAS!$B$2:$J$61,9,FALSE()),""))</f>
      </c>
    </row>
    <row r="8472">
      <c r="E8472">
        <f>IF(DATOS!$I8472="","",IFERROR(VLOOKUP(DATOS!$I8472,CONFIG_ASIGNATURAS!$B$2:$J$61,9,FALSE()),""))</f>
      </c>
    </row>
    <row r="8473">
      <c r="E8473">
        <f>IF(DATOS!$I8473="","",IFERROR(VLOOKUP(DATOS!$I8473,CONFIG_ASIGNATURAS!$B$2:$J$61,9,FALSE()),""))</f>
      </c>
    </row>
    <row r="8474">
      <c r="E8474">
        <f>IF(DATOS!$I8474="","",IFERROR(VLOOKUP(DATOS!$I8474,CONFIG_ASIGNATURAS!$B$2:$J$61,9,FALSE()),""))</f>
      </c>
    </row>
    <row r="8475">
      <c r="E8475">
        <f>IF(DATOS!$I8475="","",IFERROR(VLOOKUP(DATOS!$I8475,CONFIG_ASIGNATURAS!$B$2:$J$61,9,FALSE()),""))</f>
      </c>
    </row>
    <row r="8476">
      <c r="E8476">
        <f>IF(DATOS!$I8476="","",IFERROR(VLOOKUP(DATOS!$I8476,CONFIG_ASIGNATURAS!$B$2:$J$61,9,FALSE()),""))</f>
      </c>
    </row>
    <row r="8477">
      <c r="E8477">
        <f>IF(DATOS!$I8477="","",IFERROR(VLOOKUP(DATOS!$I8477,CONFIG_ASIGNATURAS!$B$2:$J$61,9,FALSE()),""))</f>
      </c>
    </row>
    <row r="8478">
      <c r="E8478">
        <f>IF(DATOS!$I8478="","",IFERROR(VLOOKUP(DATOS!$I8478,CONFIG_ASIGNATURAS!$B$2:$J$61,9,FALSE()),""))</f>
      </c>
    </row>
    <row r="8479">
      <c r="E8479">
        <f>IF(DATOS!$I8479="","",IFERROR(VLOOKUP(DATOS!$I8479,CONFIG_ASIGNATURAS!$B$2:$J$61,9,FALSE()),""))</f>
      </c>
    </row>
    <row r="8480">
      <c r="E8480">
        <f>IF(DATOS!$I8480="","",IFERROR(VLOOKUP(DATOS!$I8480,CONFIG_ASIGNATURAS!$B$2:$J$61,9,FALSE()),""))</f>
      </c>
    </row>
    <row r="8481">
      <c r="E8481">
        <f>IF(DATOS!$I8481="","",IFERROR(VLOOKUP(DATOS!$I8481,CONFIG_ASIGNATURAS!$B$2:$J$61,9,FALSE()),""))</f>
      </c>
    </row>
    <row r="8482">
      <c r="E8482">
        <f>IF(DATOS!$I8482="","",IFERROR(VLOOKUP(DATOS!$I8482,CONFIG_ASIGNATURAS!$B$2:$J$61,9,FALSE()),""))</f>
      </c>
    </row>
    <row r="8483">
      <c r="E8483">
        <f>IF(DATOS!$I8483="","",IFERROR(VLOOKUP(DATOS!$I8483,CONFIG_ASIGNATURAS!$B$2:$J$61,9,FALSE()),""))</f>
      </c>
    </row>
    <row r="8484">
      <c r="E8484">
        <f>IF(DATOS!$I8484="","",IFERROR(VLOOKUP(DATOS!$I8484,CONFIG_ASIGNATURAS!$B$2:$J$61,9,FALSE()),""))</f>
      </c>
    </row>
    <row r="8485">
      <c r="E8485">
        <f>IF(DATOS!$I8485="","",IFERROR(VLOOKUP(DATOS!$I8485,CONFIG_ASIGNATURAS!$B$2:$J$61,9,FALSE()),""))</f>
      </c>
    </row>
    <row r="8486">
      <c r="E8486">
        <f>IF(DATOS!$I8486="","",IFERROR(VLOOKUP(DATOS!$I8486,CONFIG_ASIGNATURAS!$B$2:$J$61,9,FALSE()),""))</f>
      </c>
    </row>
    <row r="8487">
      <c r="E8487">
        <f>IF(DATOS!$I8487="","",IFERROR(VLOOKUP(DATOS!$I8487,CONFIG_ASIGNATURAS!$B$2:$J$61,9,FALSE()),""))</f>
      </c>
    </row>
    <row r="8488">
      <c r="E8488">
        <f>IF(DATOS!$I8488="","",IFERROR(VLOOKUP(DATOS!$I8488,CONFIG_ASIGNATURAS!$B$2:$J$61,9,FALSE()),""))</f>
      </c>
    </row>
    <row r="8489">
      <c r="E8489">
        <f>IF(DATOS!$I8489="","",IFERROR(VLOOKUP(DATOS!$I8489,CONFIG_ASIGNATURAS!$B$2:$J$61,9,FALSE()),""))</f>
      </c>
    </row>
    <row r="8490">
      <c r="E8490">
        <f>IF(DATOS!$I8490="","",IFERROR(VLOOKUP(DATOS!$I8490,CONFIG_ASIGNATURAS!$B$2:$J$61,9,FALSE()),""))</f>
      </c>
    </row>
    <row r="8491">
      <c r="E8491">
        <f>IF(DATOS!$I8491="","",IFERROR(VLOOKUP(DATOS!$I8491,CONFIG_ASIGNATURAS!$B$2:$J$61,9,FALSE()),""))</f>
      </c>
    </row>
    <row r="8492">
      <c r="E8492">
        <f>IF(DATOS!$I8492="","",IFERROR(VLOOKUP(DATOS!$I8492,CONFIG_ASIGNATURAS!$B$2:$J$61,9,FALSE()),""))</f>
      </c>
    </row>
    <row r="8493">
      <c r="E8493">
        <f>IF(DATOS!$I8493="","",IFERROR(VLOOKUP(DATOS!$I8493,CONFIG_ASIGNATURAS!$B$2:$J$61,9,FALSE()),""))</f>
      </c>
    </row>
    <row r="8494">
      <c r="E8494">
        <f>IF(DATOS!$I8494="","",IFERROR(VLOOKUP(DATOS!$I8494,CONFIG_ASIGNATURAS!$B$2:$J$61,9,FALSE()),""))</f>
      </c>
    </row>
    <row r="8495">
      <c r="E8495">
        <f>IF(DATOS!$I8495="","",IFERROR(VLOOKUP(DATOS!$I8495,CONFIG_ASIGNATURAS!$B$2:$J$61,9,FALSE()),""))</f>
      </c>
    </row>
    <row r="8496">
      <c r="E8496">
        <f>IF(DATOS!$I8496="","",IFERROR(VLOOKUP(DATOS!$I8496,CONFIG_ASIGNATURAS!$B$2:$J$61,9,FALSE()),""))</f>
      </c>
    </row>
    <row r="8497">
      <c r="E8497">
        <f>IF(DATOS!$I8497="","",IFERROR(VLOOKUP(DATOS!$I8497,CONFIG_ASIGNATURAS!$B$2:$J$61,9,FALSE()),""))</f>
      </c>
    </row>
    <row r="8498">
      <c r="E8498">
        <f>IF(DATOS!$I8498="","",IFERROR(VLOOKUP(DATOS!$I8498,CONFIG_ASIGNATURAS!$B$2:$J$61,9,FALSE()),""))</f>
      </c>
    </row>
    <row r="8499">
      <c r="E8499">
        <f>IF(DATOS!$I8499="","",IFERROR(VLOOKUP(DATOS!$I8499,CONFIG_ASIGNATURAS!$B$2:$J$61,9,FALSE()),""))</f>
      </c>
    </row>
    <row r="8500">
      <c r="E8500">
        <f>IF(DATOS!$I8500="","",IFERROR(VLOOKUP(DATOS!$I8500,CONFIG_ASIGNATURAS!$B$2:$J$61,9,FALSE()),""))</f>
      </c>
    </row>
    <row r="8501">
      <c r="E8501">
        <f>IF(DATOS!$I8501="","",IFERROR(VLOOKUP(DATOS!$I8501,CONFIG_ASIGNATURAS!$B$2:$J$61,9,FALSE()),""))</f>
      </c>
    </row>
    <row r="8502">
      <c r="E8502">
        <f>IF(DATOS!$I8502="","",IFERROR(VLOOKUP(DATOS!$I8502,CONFIG_ASIGNATURAS!$B$2:$J$61,9,FALSE()),""))</f>
      </c>
    </row>
    <row r="8503">
      <c r="E8503">
        <f>IF(DATOS!$I8503="","",IFERROR(VLOOKUP(DATOS!$I8503,CONFIG_ASIGNATURAS!$B$2:$J$61,9,FALSE()),""))</f>
      </c>
    </row>
    <row r="8504">
      <c r="E8504">
        <f>IF(DATOS!$I8504="","",IFERROR(VLOOKUP(DATOS!$I8504,CONFIG_ASIGNATURAS!$B$2:$J$61,9,FALSE()),""))</f>
      </c>
    </row>
    <row r="8505">
      <c r="E8505">
        <f>IF(DATOS!$I8505="","",IFERROR(VLOOKUP(DATOS!$I8505,CONFIG_ASIGNATURAS!$B$2:$J$61,9,FALSE()),""))</f>
      </c>
    </row>
    <row r="8506">
      <c r="E8506">
        <f>IF(DATOS!$I8506="","",IFERROR(VLOOKUP(DATOS!$I8506,CONFIG_ASIGNATURAS!$B$2:$J$61,9,FALSE()),""))</f>
      </c>
    </row>
    <row r="8507">
      <c r="E8507">
        <f>IF(DATOS!$I8507="","",IFERROR(VLOOKUP(DATOS!$I8507,CONFIG_ASIGNATURAS!$B$2:$J$61,9,FALSE()),""))</f>
      </c>
    </row>
    <row r="8508">
      <c r="E8508">
        <f>IF(DATOS!$I8508="","",IFERROR(VLOOKUP(DATOS!$I8508,CONFIG_ASIGNATURAS!$B$2:$J$61,9,FALSE()),""))</f>
      </c>
    </row>
    <row r="8509">
      <c r="E8509">
        <f>IF(DATOS!$I8509="","",IFERROR(VLOOKUP(DATOS!$I8509,CONFIG_ASIGNATURAS!$B$2:$J$61,9,FALSE()),""))</f>
      </c>
    </row>
    <row r="8510">
      <c r="E8510">
        <f>IF(DATOS!$I8510="","",IFERROR(VLOOKUP(DATOS!$I8510,CONFIG_ASIGNATURAS!$B$2:$J$61,9,FALSE()),""))</f>
      </c>
    </row>
    <row r="8511">
      <c r="E8511">
        <f>IF(DATOS!$I8511="","",IFERROR(VLOOKUP(DATOS!$I8511,CONFIG_ASIGNATURAS!$B$2:$J$61,9,FALSE()),""))</f>
      </c>
    </row>
    <row r="8512">
      <c r="E8512">
        <f>IF(DATOS!$I8512="","",IFERROR(VLOOKUP(DATOS!$I8512,CONFIG_ASIGNATURAS!$B$2:$J$61,9,FALSE()),""))</f>
      </c>
    </row>
    <row r="8513">
      <c r="E8513">
        <f>IF(DATOS!$I8513="","",IFERROR(VLOOKUP(DATOS!$I8513,CONFIG_ASIGNATURAS!$B$2:$J$61,9,FALSE()),""))</f>
      </c>
    </row>
    <row r="8514">
      <c r="E8514">
        <f>IF(DATOS!$I8514="","",IFERROR(VLOOKUP(DATOS!$I8514,CONFIG_ASIGNATURAS!$B$2:$J$61,9,FALSE()),""))</f>
      </c>
    </row>
    <row r="8515">
      <c r="E8515">
        <f>IF(DATOS!$I8515="","",IFERROR(VLOOKUP(DATOS!$I8515,CONFIG_ASIGNATURAS!$B$2:$J$61,9,FALSE()),""))</f>
      </c>
    </row>
    <row r="8516">
      <c r="E8516">
        <f>IF(DATOS!$I8516="","",IFERROR(VLOOKUP(DATOS!$I8516,CONFIG_ASIGNATURAS!$B$2:$J$61,9,FALSE()),""))</f>
      </c>
    </row>
    <row r="8517">
      <c r="E8517">
        <f>IF(DATOS!$I8517="","",IFERROR(VLOOKUP(DATOS!$I8517,CONFIG_ASIGNATURAS!$B$2:$J$61,9,FALSE()),""))</f>
      </c>
    </row>
    <row r="8518">
      <c r="E8518">
        <f>IF(DATOS!$I8518="","",IFERROR(VLOOKUP(DATOS!$I8518,CONFIG_ASIGNATURAS!$B$2:$J$61,9,FALSE()),""))</f>
      </c>
    </row>
    <row r="8519">
      <c r="E8519">
        <f>IF(DATOS!$I8519="","",IFERROR(VLOOKUP(DATOS!$I8519,CONFIG_ASIGNATURAS!$B$2:$J$61,9,FALSE()),""))</f>
      </c>
    </row>
    <row r="8520">
      <c r="E8520">
        <f>IF(DATOS!$I8520="","",IFERROR(VLOOKUP(DATOS!$I8520,CONFIG_ASIGNATURAS!$B$2:$J$61,9,FALSE()),""))</f>
      </c>
    </row>
    <row r="8521">
      <c r="E8521">
        <f>IF(DATOS!$I8521="","",IFERROR(VLOOKUP(DATOS!$I8521,CONFIG_ASIGNATURAS!$B$2:$J$61,9,FALSE()),""))</f>
      </c>
    </row>
    <row r="8522">
      <c r="E8522">
        <f>IF(DATOS!$I8522="","",IFERROR(VLOOKUP(DATOS!$I8522,CONFIG_ASIGNATURAS!$B$2:$J$61,9,FALSE()),""))</f>
      </c>
    </row>
    <row r="8523">
      <c r="E8523">
        <f>IF(DATOS!$I8523="","",IFERROR(VLOOKUP(DATOS!$I8523,CONFIG_ASIGNATURAS!$B$2:$J$61,9,FALSE()),""))</f>
      </c>
    </row>
    <row r="8524">
      <c r="E8524">
        <f>IF(DATOS!$I8524="","",IFERROR(VLOOKUP(DATOS!$I8524,CONFIG_ASIGNATURAS!$B$2:$J$61,9,FALSE()),""))</f>
      </c>
    </row>
    <row r="8525">
      <c r="E8525">
        <f>IF(DATOS!$I8525="","",IFERROR(VLOOKUP(DATOS!$I8525,CONFIG_ASIGNATURAS!$B$2:$J$61,9,FALSE()),""))</f>
      </c>
    </row>
    <row r="8526">
      <c r="E8526">
        <f>IF(DATOS!$I8526="","",IFERROR(VLOOKUP(DATOS!$I8526,CONFIG_ASIGNATURAS!$B$2:$J$61,9,FALSE()),""))</f>
      </c>
    </row>
    <row r="8527">
      <c r="E8527">
        <f>IF(DATOS!$I8527="","",IFERROR(VLOOKUP(DATOS!$I8527,CONFIG_ASIGNATURAS!$B$2:$J$61,9,FALSE()),""))</f>
      </c>
    </row>
    <row r="8528">
      <c r="E8528">
        <f>IF(DATOS!$I8528="","",IFERROR(VLOOKUP(DATOS!$I8528,CONFIG_ASIGNATURAS!$B$2:$J$61,9,FALSE()),""))</f>
      </c>
    </row>
    <row r="8529">
      <c r="E8529">
        <f>IF(DATOS!$I8529="","",IFERROR(VLOOKUP(DATOS!$I8529,CONFIG_ASIGNATURAS!$B$2:$J$61,9,FALSE()),""))</f>
      </c>
    </row>
    <row r="8530">
      <c r="E8530">
        <f>IF(DATOS!$I8530="","",IFERROR(VLOOKUP(DATOS!$I8530,CONFIG_ASIGNATURAS!$B$2:$J$61,9,FALSE()),""))</f>
      </c>
    </row>
    <row r="8531">
      <c r="E8531">
        <f>IF(DATOS!$I8531="","",IFERROR(VLOOKUP(DATOS!$I8531,CONFIG_ASIGNATURAS!$B$2:$J$61,9,FALSE()),""))</f>
      </c>
    </row>
    <row r="8532">
      <c r="E8532">
        <f>IF(DATOS!$I8532="","",IFERROR(VLOOKUP(DATOS!$I8532,CONFIG_ASIGNATURAS!$B$2:$J$61,9,FALSE()),""))</f>
      </c>
    </row>
    <row r="8533">
      <c r="E8533">
        <f>IF(DATOS!$I8533="","",IFERROR(VLOOKUP(DATOS!$I8533,CONFIG_ASIGNATURAS!$B$2:$J$61,9,FALSE()),""))</f>
      </c>
    </row>
    <row r="8534">
      <c r="E8534">
        <f>IF(DATOS!$I8534="","",IFERROR(VLOOKUP(DATOS!$I8534,CONFIG_ASIGNATURAS!$B$2:$J$61,9,FALSE()),""))</f>
      </c>
    </row>
    <row r="8535">
      <c r="E8535">
        <f>IF(DATOS!$I8535="","",IFERROR(VLOOKUP(DATOS!$I8535,CONFIG_ASIGNATURAS!$B$2:$J$61,9,FALSE()),""))</f>
      </c>
    </row>
    <row r="8536">
      <c r="E8536">
        <f>IF(DATOS!$I8536="","",IFERROR(VLOOKUP(DATOS!$I8536,CONFIG_ASIGNATURAS!$B$2:$J$61,9,FALSE()),""))</f>
      </c>
    </row>
    <row r="8537">
      <c r="E8537">
        <f>IF(DATOS!$I8537="","",IFERROR(VLOOKUP(DATOS!$I8537,CONFIG_ASIGNATURAS!$B$2:$J$61,9,FALSE()),""))</f>
      </c>
    </row>
    <row r="8538">
      <c r="E8538">
        <f>IF(DATOS!$I8538="","",IFERROR(VLOOKUP(DATOS!$I8538,CONFIG_ASIGNATURAS!$B$2:$J$61,9,FALSE()),""))</f>
      </c>
    </row>
    <row r="8539">
      <c r="E8539">
        <f>IF(DATOS!$I8539="","",IFERROR(VLOOKUP(DATOS!$I8539,CONFIG_ASIGNATURAS!$B$2:$J$61,9,FALSE()),""))</f>
      </c>
    </row>
    <row r="8540">
      <c r="E8540">
        <f>IF(DATOS!$I8540="","",IFERROR(VLOOKUP(DATOS!$I8540,CONFIG_ASIGNATURAS!$B$2:$J$61,9,FALSE()),""))</f>
      </c>
    </row>
    <row r="8541">
      <c r="E8541">
        <f>IF(DATOS!$I8541="","",IFERROR(VLOOKUP(DATOS!$I8541,CONFIG_ASIGNATURAS!$B$2:$J$61,9,FALSE()),""))</f>
      </c>
    </row>
    <row r="8542">
      <c r="E8542">
        <f>IF(DATOS!$I8542="","",IFERROR(VLOOKUP(DATOS!$I8542,CONFIG_ASIGNATURAS!$B$2:$J$61,9,FALSE()),""))</f>
      </c>
    </row>
    <row r="8543">
      <c r="E8543">
        <f>IF(DATOS!$I8543="","",IFERROR(VLOOKUP(DATOS!$I8543,CONFIG_ASIGNATURAS!$B$2:$J$61,9,FALSE()),""))</f>
      </c>
    </row>
    <row r="8544">
      <c r="E8544">
        <f>IF(DATOS!$I8544="","",IFERROR(VLOOKUP(DATOS!$I8544,CONFIG_ASIGNATURAS!$B$2:$J$61,9,FALSE()),""))</f>
      </c>
    </row>
    <row r="8545">
      <c r="E8545">
        <f>IF(DATOS!$I8545="","",IFERROR(VLOOKUP(DATOS!$I8545,CONFIG_ASIGNATURAS!$B$2:$J$61,9,FALSE()),""))</f>
      </c>
    </row>
    <row r="8546">
      <c r="E8546">
        <f>IF(DATOS!$I8546="","",IFERROR(VLOOKUP(DATOS!$I8546,CONFIG_ASIGNATURAS!$B$2:$J$61,9,FALSE()),""))</f>
      </c>
    </row>
    <row r="8547">
      <c r="E8547">
        <f>IF(DATOS!$I8547="","",IFERROR(VLOOKUP(DATOS!$I8547,CONFIG_ASIGNATURAS!$B$2:$J$61,9,FALSE()),""))</f>
      </c>
    </row>
    <row r="8548">
      <c r="E8548">
        <f>IF(DATOS!$I8548="","",IFERROR(VLOOKUP(DATOS!$I8548,CONFIG_ASIGNATURAS!$B$2:$J$61,9,FALSE()),""))</f>
      </c>
    </row>
    <row r="8549">
      <c r="E8549">
        <f>IF(DATOS!$I8549="","",IFERROR(VLOOKUP(DATOS!$I8549,CONFIG_ASIGNATURAS!$B$2:$J$61,9,FALSE()),""))</f>
      </c>
    </row>
    <row r="8550">
      <c r="E8550">
        <f>IF(DATOS!$I8550="","",IFERROR(VLOOKUP(DATOS!$I8550,CONFIG_ASIGNATURAS!$B$2:$J$61,9,FALSE()),""))</f>
      </c>
    </row>
    <row r="8551">
      <c r="E8551">
        <f>IF(DATOS!$I8551="","",IFERROR(VLOOKUP(DATOS!$I8551,CONFIG_ASIGNATURAS!$B$2:$J$61,9,FALSE()),""))</f>
      </c>
    </row>
    <row r="8552">
      <c r="E8552">
        <f>IF(DATOS!$I8552="","",IFERROR(VLOOKUP(DATOS!$I8552,CONFIG_ASIGNATURAS!$B$2:$J$61,9,FALSE()),""))</f>
      </c>
    </row>
    <row r="8553">
      <c r="E8553">
        <f>IF(DATOS!$I8553="","",IFERROR(VLOOKUP(DATOS!$I8553,CONFIG_ASIGNATURAS!$B$2:$J$61,9,FALSE()),""))</f>
      </c>
    </row>
    <row r="8554">
      <c r="E8554">
        <f>IF(DATOS!$I8554="","",IFERROR(VLOOKUP(DATOS!$I8554,CONFIG_ASIGNATURAS!$B$2:$J$61,9,FALSE()),""))</f>
      </c>
    </row>
    <row r="8555">
      <c r="E8555">
        <f>IF(DATOS!$I8555="","",IFERROR(VLOOKUP(DATOS!$I8555,CONFIG_ASIGNATURAS!$B$2:$J$61,9,FALSE()),""))</f>
      </c>
    </row>
    <row r="8556">
      <c r="E8556">
        <f>IF(DATOS!$I8556="","",IFERROR(VLOOKUP(DATOS!$I8556,CONFIG_ASIGNATURAS!$B$2:$J$61,9,FALSE()),""))</f>
      </c>
    </row>
    <row r="8557">
      <c r="E8557">
        <f>IF(DATOS!$I8557="","",IFERROR(VLOOKUP(DATOS!$I8557,CONFIG_ASIGNATURAS!$B$2:$J$61,9,FALSE()),""))</f>
      </c>
    </row>
    <row r="8558">
      <c r="E8558">
        <f>IF(DATOS!$I8558="","",IFERROR(VLOOKUP(DATOS!$I8558,CONFIG_ASIGNATURAS!$B$2:$J$61,9,FALSE()),""))</f>
      </c>
    </row>
    <row r="8559">
      <c r="E8559">
        <f>IF(DATOS!$I8559="","",IFERROR(VLOOKUP(DATOS!$I8559,CONFIG_ASIGNATURAS!$B$2:$J$61,9,FALSE()),""))</f>
      </c>
    </row>
    <row r="8560">
      <c r="E8560">
        <f>IF(DATOS!$I8560="","",IFERROR(VLOOKUP(DATOS!$I8560,CONFIG_ASIGNATURAS!$B$2:$J$61,9,FALSE()),""))</f>
      </c>
    </row>
    <row r="8561">
      <c r="E8561">
        <f>IF(DATOS!$I8561="","",IFERROR(VLOOKUP(DATOS!$I8561,CONFIG_ASIGNATURAS!$B$2:$J$61,9,FALSE()),""))</f>
      </c>
    </row>
    <row r="8562">
      <c r="E8562">
        <f>IF(DATOS!$I8562="","",IFERROR(VLOOKUP(DATOS!$I8562,CONFIG_ASIGNATURAS!$B$2:$J$61,9,FALSE()),""))</f>
      </c>
    </row>
    <row r="8563">
      <c r="E8563">
        <f>IF(DATOS!$I8563="","",IFERROR(VLOOKUP(DATOS!$I8563,CONFIG_ASIGNATURAS!$B$2:$J$61,9,FALSE()),""))</f>
      </c>
    </row>
    <row r="8564">
      <c r="E8564">
        <f>IF(DATOS!$I8564="","",IFERROR(VLOOKUP(DATOS!$I8564,CONFIG_ASIGNATURAS!$B$2:$J$61,9,FALSE()),""))</f>
      </c>
    </row>
    <row r="8565">
      <c r="E8565">
        <f>IF(DATOS!$I8565="","",IFERROR(VLOOKUP(DATOS!$I8565,CONFIG_ASIGNATURAS!$B$2:$J$61,9,FALSE()),""))</f>
      </c>
    </row>
    <row r="8566">
      <c r="E8566">
        <f>IF(DATOS!$I8566="","",IFERROR(VLOOKUP(DATOS!$I8566,CONFIG_ASIGNATURAS!$B$2:$J$61,9,FALSE()),""))</f>
      </c>
    </row>
    <row r="8567">
      <c r="E8567">
        <f>IF(DATOS!$I8567="","",IFERROR(VLOOKUP(DATOS!$I8567,CONFIG_ASIGNATURAS!$B$2:$J$61,9,FALSE()),""))</f>
      </c>
    </row>
    <row r="8568">
      <c r="E8568">
        <f>IF(DATOS!$I8568="","",IFERROR(VLOOKUP(DATOS!$I8568,CONFIG_ASIGNATURAS!$B$2:$J$61,9,FALSE()),""))</f>
      </c>
    </row>
    <row r="8569">
      <c r="E8569">
        <f>IF(DATOS!$I8569="","",IFERROR(VLOOKUP(DATOS!$I8569,CONFIG_ASIGNATURAS!$B$2:$J$61,9,FALSE()),""))</f>
      </c>
    </row>
    <row r="8570">
      <c r="E8570">
        <f>IF(DATOS!$I8570="","",IFERROR(VLOOKUP(DATOS!$I8570,CONFIG_ASIGNATURAS!$B$2:$J$61,9,FALSE()),""))</f>
      </c>
    </row>
    <row r="8571">
      <c r="E8571">
        <f>IF(DATOS!$I8571="","",IFERROR(VLOOKUP(DATOS!$I8571,CONFIG_ASIGNATURAS!$B$2:$J$61,9,FALSE()),""))</f>
      </c>
    </row>
    <row r="8572">
      <c r="E8572">
        <f>IF(DATOS!$I8572="","",IFERROR(VLOOKUP(DATOS!$I8572,CONFIG_ASIGNATURAS!$B$2:$J$61,9,FALSE()),""))</f>
      </c>
    </row>
    <row r="8573">
      <c r="E8573">
        <f>IF(DATOS!$I8573="","",IFERROR(VLOOKUP(DATOS!$I8573,CONFIG_ASIGNATURAS!$B$2:$J$61,9,FALSE()),""))</f>
      </c>
    </row>
    <row r="8574">
      <c r="E8574">
        <f>IF(DATOS!$I8574="","",IFERROR(VLOOKUP(DATOS!$I8574,CONFIG_ASIGNATURAS!$B$2:$J$61,9,FALSE()),""))</f>
      </c>
    </row>
    <row r="8575">
      <c r="E8575">
        <f>IF(DATOS!$I8575="","",IFERROR(VLOOKUP(DATOS!$I8575,CONFIG_ASIGNATURAS!$B$2:$J$61,9,FALSE()),""))</f>
      </c>
    </row>
    <row r="8576">
      <c r="E8576">
        <f>IF(DATOS!$I8576="","",IFERROR(VLOOKUP(DATOS!$I8576,CONFIG_ASIGNATURAS!$B$2:$J$61,9,FALSE()),""))</f>
      </c>
    </row>
    <row r="8577">
      <c r="E8577">
        <f>IF(DATOS!$I8577="","",IFERROR(VLOOKUP(DATOS!$I8577,CONFIG_ASIGNATURAS!$B$2:$J$61,9,FALSE()),""))</f>
      </c>
    </row>
    <row r="8578">
      <c r="E8578">
        <f>IF(DATOS!$I8578="","",IFERROR(VLOOKUP(DATOS!$I8578,CONFIG_ASIGNATURAS!$B$2:$J$61,9,FALSE()),""))</f>
      </c>
    </row>
    <row r="8579">
      <c r="E8579">
        <f>IF(DATOS!$I8579="","",IFERROR(VLOOKUP(DATOS!$I8579,CONFIG_ASIGNATURAS!$B$2:$J$61,9,FALSE()),""))</f>
      </c>
    </row>
    <row r="8580">
      <c r="E8580">
        <f>IF(DATOS!$I8580="","",IFERROR(VLOOKUP(DATOS!$I8580,CONFIG_ASIGNATURAS!$B$2:$J$61,9,FALSE()),""))</f>
      </c>
    </row>
    <row r="8581">
      <c r="E8581">
        <f>IF(DATOS!$I8581="","",IFERROR(VLOOKUP(DATOS!$I8581,CONFIG_ASIGNATURAS!$B$2:$J$61,9,FALSE()),""))</f>
      </c>
    </row>
    <row r="8582">
      <c r="E8582">
        <f>IF(DATOS!$I8582="","",IFERROR(VLOOKUP(DATOS!$I8582,CONFIG_ASIGNATURAS!$B$2:$J$61,9,FALSE()),""))</f>
      </c>
    </row>
    <row r="8583">
      <c r="E8583">
        <f>IF(DATOS!$I8583="","",IFERROR(VLOOKUP(DATOS!$I8583,CONFIG_ASIGNATURAS!$B$2:$J$61,9,FALSE()),""))</f>
      </c>
    </row>
    <row r="8584">
      <c r="E8584">
        <f>IF(DATOS!$I8584="","",IFERROR(VLOOKUP(DATOS!$I8584,CONFIG_ASIGNATURAS!$B$2:$J$61,9,FALSE()),""))</f>
      </c>
    </row>
    <row r="8585">
      <c r="E8585">
        <f>IF(DATOS!$I8585="","",IFERROR(VLOOKUP(DATOS!$I8585,CONFIG_ASIGNATURAS!$B$2:$J$61,9,FALSE()),""))</f>
      </c>
    </row>
    <row r="8586">
      <c r="E8586">
        <f>IF(DATOS!$I8586="","",IFERROR(VLOOKUP(DATOS!$I8586,CONFIG_ASIGNATURAS!$B$2:$J$61,9,FALSE()),""))</f>
      </c>
    </row>
    <row r="8587">
      <c r="E8587">
        <f>IF(DATOS!$I8587="","",IFERROR(VLOOKUP(DATOS!$I8587,CONFIG_ASIGNATURAS!$B$2:$J$61,9,FALSE()),""))</f>
      </c>
    </row>
    <row r="8588">
      <c r="E8588">
        <f>IF(DATOS!$I8588="","",IFERROR(VLOOKUP(DATOS!$I8588,CONFIG_ASIGNATURAS!$B$2:$J$61,9,FALSE()),""))</f>
      </c>
    </row>
    <row r="8589">
      <c r="E8589">
        <f>IF(DATOS!$I8589="","",IFERROR(VLOOKUP(DATOS!$I8589,CONFIG_ASIGNATURAS!$B$2:$J$61,9,FALSE()),""))</f>
      </c>
    </row>
    <row r="8590">
      <c r="E8590">
        <f>IF(DATOS!$I8590="","",IFERROR(VLOOKUP(DATOS!$I8590,CONFIG_ASIGNATURAS!$B$2:$J$61,9,FALSE()),""))</f>
      </c>
    </row>
    <row r="8591">
      <c r="E8591">
        <f>IF(DATOS!$I8591="","",IFERROR(VLOOKUP(DATOS!$I8591,CONFIG_ASIGNATURAS!$B$2:$J$61,9,FALSE()),""))</f>
      </c>
    </row>
    <row r="8592">
      <c r="E8592">
        <f>IF(DATOS!$I8592="","",IFERROR(VLOOKUP(DATOS!$I8592,CONFIG_ASIGNATURAS!$B$2:$J$61,9,FALSE()),""))</f>
      </c>
    </row>
    <row r="8593">
      <c r="E8593">
        <f>IF(DATOS!$I8593="","",IFERROR(VLOOKUP(DATOS!$I8593,CONFIG_ASIGNATURAS!$B$2:$J$61,9,FALSE()),""))</f>
      </c>
    </row>
    <row r="8594">
      <c r="E8594">
        <f>IF(DATOS!$I8594="","",IFERROR(VLOOKUP(DATOS!$I8594,CONFIG_ASIGNATURAS!$B$2:$J$61,9,FALSE()),""))</f>
      </c>
    </row>
    <row r="8595">
      <c r="E8595">
        <f>IF(DATOS!$I8595="","",IFERROR(VLOOKUP(DATOS!$I8595,CONFIG_ASIGNATURAS!$B$2:$J$61,9,FALSE()),""))</f>
      </c>
    </row>
    <row r="8596">
      <c r="E8596">
        <f>IF(DATOS!$I8596="","",IFERROR(VLOOKUP(DATOS!$I8596,CONFIG_ASIGNATURAS!$B$2:$J$61,9,FALSE()),""))</f>
      </c>
    </row>
    <row r="8597">
      <c r="E8597">
        <f>IF(DATOS!$I8597="","",IFERROR(VLOOKUP(DATOS!$I8597,CONFIG_ASIGNATURAS!$B$2:$J$61,9,FALSE()),""))</f>
      </c>
    </row>
    <row r="8598">
      <c r="E8598">
        <f>IF(DATOS!$I8598="","",IFERROR(VLOOKUP(DATOS!$I8598,CONFIG_ASIGNATURAS!$B$2:$J$61,9,FALSE()),""))</f>
      </c>
    </row>
    <row r="8599">
      <c r="E8599">
        <f>IF(DATOS!$I8599="","",IFERROR(VLOOKUP(DATOS!$I8599,CONFIG_ASIGNATURAS!$B$2:$J$61,9,FALSE()),""))</f>
      </c>
    </row>
    <row r="8600">
      <c r="E8600">
        <f>IF(DATOS!$I8600="","",IFERROR(VLOOKUP(DATOS!$I8600,CONFIG_ASIGNATURAS!$B$2:$J$61,9,FALSE()),""))</f>
      </c>
    </row>
    <row r="8601">
      <c r="E8601">
        <f>IF(DATOS!$I8601="","",IFERROR(VLOOKUP(DATOS!$I8601,CONFIG_ASIGNATURAS!$B$2:$J$61,9,FALSE()),""))</f>
      </c>
    </row>
    <row r="8602">
      <c r="E8602">
        <f>IF(DATOS!$I8602="","",IFERROR(VLOOKUP(DATOS!$I8602,CONFIG_ASIGNATURAS!$B$2:$J$61,9,FALSE()),""))</f>
      </c>
    </row>
    <row r="8603">
      <c r="E8603">
        <f>IF(DATOS!$I8603="","",IFERROR(VLOOKUP(DATOS!$I8603,CONFIG_ASIGNATURAS!$B$2:$J$61,9,FALSE()),""))</f>
      </c>
    </row>
    <row r="8604">
      <c r="E8604">
        <f>IF(DATOS!$I8604="","",IFERROR(VLOOKUP(DATOS!$I8604,CONFIG_ASIGNATURAS!$B$2:$J$61,9,FALSE()),""))</f>
      </c>
    </row>
    <row r="8605">
      <c r="E8605">
        <f>IF(DATOS!$I8605="","",IFERROR(VLOOKUP(DATOS!$I8605,CONFIG_ASIGNATURAS!$B$2:$J$61,9,FALSE()),""))</f>
      </c>
    </row>
    <row r="8606">
      <c r="E8606">
        <f>IF(DATOS!$I8606="","",IFERROR(VLOOKUP(DATOS!$I8606,CONFIG_ASIGNATURAS!$B$2:$J$61,9,FALSE()),""))</f>
      </c>
    </row>
    <row r="8607">
      <c r="E8607">
        <f>IF(DATOS!$I8607="","",IFERROR(VLOOKUP(DATOS!$I8607,CONFIG_ASIGNATURAS!$B$2:$J$61,9,FALSE()),""))</f>
      </c>
    </row>
    <row r="8608">
      <c r="E8608">
        <f>IF(DATOS!$I8608="","",IFERROR(VLOOKUP(DATOS!$I8608,CONFIG_ASIGNATURAS!$B$2:$J$61,9,FALSE()),""))</f>
      </c>
    </row>
    <row r="8609">
      <c r="E8609">
        <f>IF(DATOS!$I8609="","",IFERROR(VLOOKUP(DATOS!$I8609,CONFIG_ASIGNATURAS!$B$2:$J$61,9,FALSE()),""))</f>
      </c>
    </row>
    <row r="8610">
      <c r="E8610">
        <f>IF(DATOS!$I8610="","",IFERROR(VLOOKUP(DATOS!$I8610,CONFIG_ASIGNATURAS!$B$2:$J$61,9,FALSE()),""))</f>
      </c>
    </row>
    <row r="8611">
      <c r="E8611">
        <f>IF(DATOS!$I8611="","",IFERROR(VLOOKUP(DATOS!$I8611,CONFIG_ASIGNATURAS!$B$2:$J$61,9,FALSE()),""))</f>
      </c>
    </row>
    <row r="8612">
      <c r="E8612">
        <f>IF(DATOS!$I8612="","",IFERROR(VLOOKUP(DATOS!$I8612,CONFIG_ASIGNATURAS!$B$2:$J$61,9,FALSE()),""))</f>
      </c>
    </row>
    <row r="8613">
      <c r="E8613">
        <f>IF(DATOS!$I8613="","",IFERROR(VLOOKUP(DATOS!$I8613,CONFIG_ASIGNATURAS!$B$2:$J$61,9,FALSE()),""))</f>
      </c>
    </row>
    <row r="8614">
      <c r="E8614">
        <f>IF(DATOS!$I8614="","",IFERROR(VLOOKUP(DATOS!$I8614,CONFIG_ASIGNATURAS!$B$2:$J$61,9,FALSE()),""))</f>
      </c>
    </row>
    <row r="8615">
      <c r="E8615">
        <f>IF(DATOS!$I8615="","",IFERROR(VLOOKUP(DATOS!$I8615,CONFIG_ASIGNATURAS!$B$2:$J$61,9,FALSE()),""))</f>
      </c>
    </row>
    <row r="8616">
      <c r="E8616">
        <f>IF(DATOS!$I8616="","",IFERROR(VLOOKUP(DATOS!$I8616,CONFIG_ASIGNATURAS!$B$2:$J$61,9,FALSE()),""))</f>
      </c>
    </row>
    <row r="8617">
      <c r="E8617">
        <f>IF(DATOS!$I8617="","",IFERROR(VLOOKUP(DATOS!$I8617,CONFIG_ASIGNATURAS!$B$2:$J$61,9,FALSE()),""))</f>
      </c>
    </row>
    <row r="8618">
      <c r="E8618">
        <f>IF(DATOS!$I8618="","",IFERROR(VLOOKUP(DATOS!$I8618,CONFIG_ASIGNATURAS!$B$2:$J$61,9,FALSE()),""))</f>
      </c>
    </row>
    <row r="8619">
      <c r="E8619">
        <f>IF(DATOS!$I8619="","",IFERROR(VLOOKUP(DATOS!$I8619,CONFIG_ASIGNATURAS!$B$2:$J$61,9,FALSE()),""))</f>
      </c>
    </row>
    <row r="8620">
      <c r="E8620">
        <f>IF(DATOS!$I8620="","",IFERROR(VLOOKUP(DATOS!$I8620,CONFIG_ASIGNATURAS!$B$2:$J$61,9,FALSE()),""))</f>
      </c>
    </row>
    <row r="8621">
      <c r="E8621">
        <f>IF(DATOS!$I8621="","",IFERROR(VLOOKUP(DATOS!$I8621,CONFIG_ASIGNATURAS!$B$2:$J$61,9,FALSE()),""))</f>
      </c>
    </row>
    <row r="8622">
      <c r="E8622">
        <f>IF(DATOS!$I8622="","",IFERROR(VLOOKUP(DATOS!$I8622,CONFIG_ASIGNATURAS!$B$2:$J$61,9,FALSE()),""))</f>
      </c>
    </row>
    <row r="8623">
      <c r="E8623">
        <f>IF(DATOS!$I8623="","",IFERROR(VLOOKUP(DATOS!$I8623,CONFIG_ASIGNATURAS!$B$2:$J$61,9,FALSE()),""))</f>
      </c>
    </row>
    <row r="8624">
      <c r="E8624">
        <f>IF(DATOS!$I8624="","",IFERROR(VLOOKUP(DATOS!$I8624,CONFIG_ASIGNATURAS!$B$2:$J$61,9,FALSE()),""))</f>
      </c>
    </row>
    <row r="8625">
      <c r="E8625">
        <f>IF(DATOS!$I8625="","",IFERROR(VLOOKUP(DATOS!$I8625,CONFIG_ASIGNATURAS!$B$2:$J$61,9,FALSE()),""))</f>
      </c>
    </row>
    <row r="8626">
      <c r="E8626">
        <f>IF(DATOS!$I8626="","",IFERROR(VLOOKUP(DATOS!$I8626,CONFIG_ASIGNATURAS!$B$2:$J$61,9,FALSE()),""))</f>
      </c>
    </row>
    <row r="8627">
      <c r="E8627">
        <f>IF(DATOS!$I8627="","",IFERROR(VLOOKUP(DATOS!$I8627,CONFIG_ASIGNATURAS!$B$2:$J$61,9,FALSE()),""))</f>
      </c>
    </row>
    <row r="8628">
      <c r="E8628">
        <f>IF(DATOS!$I8628="","",IFERROR(VLOOKUP(DATOS!$I8628,CONFIG_ASIGNATURAS!$B$2:$J$61,9,FALSE()),""))</f>
      </c>
    </row>
    <row r="8629">
      <c r="E8629">
        <f>IF(DATOS!$I8629="","",IFERROR(VLOOKUP(DATOS!$I8629,CONFIG_ASIGNATURAS!$B$2:$J$61,9,FALSE()),""))</f>
      </c>
    </row>
    <row r="8630">
      <c r="E8630">
        <f>IF(DATOS!$I8630="","",IFERROR(VLOOKUP(DATOS!$I8630,CONFIG_ASIGNATURAS!$B$2:$J$61,9,FALSE()),""))</f>
      </c>
    </row>
    <row r="8631">
      <c r="E8631">
        <f>IF(DATOS!$I8631="","",IFERROR(VLOOKUP(DATOS!$I8631,CONFIG_ASIGNATURAS!$B$2:$J$61,9,FALSE()),""))</f>
      </c>
    </row>
    <row r="8632">
      <c r="E8632">
        <f>IF(DATOS!$I8632="","",IFERROR(VLOOKUP(DATOS!$I8632,CONFIG_ASIGNATURAS!$B$2:$J$61,9,FALSE()),""))</f>
      </c>
    </row>
    <row r="8633">
      <c r="E8633">
        <f>IF(DATOS!$I8633="","",IFERROR(VLOOKUP(DATOS!$I8633,CONFIG_ASIGNATURAS!$B$2:$J$61,9,FALSE()),""))</f>
      </c>
    </row>
    <row r="8634">
      <c r="E8634">
        <f>IF(DATOS!$I8634="","",IFERROR(VLOOKUP(DATOS!$I8634,CONFIG_ASIGNATURAS!$B$2:$J$61,9,FALSE()),""))</f>
      </c>
    </row>
    <row r="8635">
      <c r="E8635">
        <f>IF(DATOS!$I8635="","",IFERROR(VLOOKUP(DATOS!$I8635,CONFIG_ASIGNATURAS!$B$2:$J$61,9,FALSE()),""))</f>
      </c>
    </row>
    <row r="8636">
      <c r="E8636">
        <f>IF(DATOS!$I8636="","",IFERROR(VLOOKUP(DATOS!$I8636,CONFIG_ASIGNATURAS!$B$2:$J$61,9,FALSE()),""))</f>
      </c>
    </row>
    <row r="8637">
      <c r="E8637">
        <f>IF(DATOS!$I8637="","",IFERROR(VLOOKUP(DATOS!$I8637,CONFIG_ASIGNATURAS!$B$2:$J$61,9,FALSE()),""))</f>
      </c>
    </row>
    <row r="8638">
      <c r="E8638">
        <f>IF(DATOS!$I8638="","",IFERROR(VLOOKUP(DATOS!$I8638,CONFIG_ASIGNATURAS!$B$2:$J$61,9,FALSE()),""))</f>
      </c>
    </row>
    <row r="8639">
      <c r="E8639">
        <f>IF(DATOS!$I8639="","",IFERROR(VLOOKUP(DATOS!$I8639,CONFIG_ASIGNATURAS!$B$2:$J$61,9,FALSE()),""))</f>
      </c>
    </row>
    <row r="8640">
      <c r="E8640">
        <f>IF(DATOS!$I8640="","",IFERROR(VLOOKUP(DATOS!$I8640,CONFIG_ASIGNATURAS!$B$2:$J$61,9,FALSE()),""))</f>
      </c>
    </row>
    <row r="8641">
      <c r="E8641">
        <f>IF(DATOS!$I8641="","",IFERROR(VLOOKUP(DATOS!$I8641,CONFIG_ASIGNATURAS!$B$2:$J$61,9,FALSE()),""))</f>
      </c>
    </row>
    <row r="8642">
      <c r="E8642">
        <f>IF(DATOS!$I8642="","",IFERROR(VLOOKUP(DATOS!$I8642,CONFIG_ASIGNATURAS!$B$2:$J$61,9,FALSE()),""))</f>
      </c>
    </row>
    <row r="8643">
      <c r="E8643">
        <f>IF(DATOS!$I8643="","",IFERROR(VLOOKUP(DATOS!$I8643,CONFIG_ASIGNATURAS!$B$2:$J$61,9,FALSE()),""))</f>
      </c>
    </row>
    <row r="8644">
      <c r="E8644">
        <f>IF(DATOS!$I8644="","",IFERROR(VLOOKUP(DATOS!$I8644,CONFIG_ASIGNATURAS!$B$2:$J$61,9,FALSE()),""))</f>
      </c>
    </row>
    <row r="8645">
      <c r="E8645">
        <f>IF(DATOS!$I8645="","",IFERROR(VLOOKUP(DATOS!$I8645,CONFIG_ASIGNATURAS!$B$2:$J$61,9,FALSE()),""))</f>
      </c>
    </row>
    <row r="8646">
      <c r="E8646">
        <f>IF(DATOS!$I8646="","",IFERROR(VLOOKUP(DATOS!$I8646,CONFIG_ASIGNATURAS!$B$2:$J$61,9,FALSE()),""))</f>
      </c>
    </row>
    <row r="8647">
      <c r="E8647">
        <f>IF(DATOS!$I8647="","",IFERROR(VLOOKUP(DATOS!$I8647,CONFIG_ASIGNATURAS!$B$2:$J$61,9,FALSE()),""))</f>
      </c>
    </row>
    <row r="8648">
      <c r="E8648">
        <f>IF(DATOS!$I8648="","",IFERROR(VLOOKUP(DATOS!$I8648,CONFIG_ASIGNATURAS!$B$2:$J$61,9,FALSE()),""))</f>
      </c>
    </row>
    <row r="8649">
      <c r="E8649">
        <f>IF(DATOS!$I8649="","",IFERROR(VLOOKUP(DATOS!$I8649,CONFIG_ASIGNATURAS!$B$2:$J$61,9,FALSE()),""))</f>
      </c>
    </row>
    <row r="8650">
      <c r="E8650">
        <f>IF(DATOS!$I8650="","",IFERROR(VLOOKUP(DATOS!$I8650,CONFIG_ASIGNATURAS!$B$2:$J$61,9,FALSE()),""))</f>
      </c>
    </row>
    <row r="8651">
      <c r="E8651">
        <f>IF(DATOS!$I8651="","",IFERROR(VLOOKUP(DATOS!$I8651,CONFIG_ASIGNATURAS!$B$2:$J$61,9,FALSE()),""))</f>
      </c>
    </row>
    <row r="8652">
      <c r="E8652">
        <f>IF(DATOS!$I8652="","",IFERROR(VLOOKUP(DATOS!$I8652,CONFIG_ASIGNATURAS!$B$2:$J$61,9,FALSE()),""))</f>
      </c>
    </row>
    <row r="8653">
      <c r="E8653">
        <f>IF(DATOS!$I8653="","",IFERROR(VLOOKUP(DATOS!$I8653,CONFIG_ASIGNATURAS!$B$2:$J$61,9,FALSE()),""))</f>
      </c>
    </row>
    <row r="8654">
      <c r="E8654">
        <f>IF(DATOS!$I8654="","",IFERROR(VLOOKUP(DATOS!$I8654,CONFIG_ASIGNATURAS!$B$2:$J$61,9,FALSE()),""))</f>
      </c>
    </row>
    <row r="8655">
      <c r="E8655">
        <f>IF(DATOS!$I8655="","",IFERROR(VLOOKUP(DATOS!$I8655,CONFIG_ASIGNATURAS!$B$2:$J$61,9,FALSE()),""))</f>
      </c>
    </row>
    <row r="8656">
      <c r="E8656">
        <f>IF(DATOS!$I8656="","",IFERROR(VLOOKUP(DATOS!$I8656,CONFIG_ASIGNATURAS!$B$2:$J$61,9,FALSE()),""))</f>
      </c>
    </row>
    <row r="8657">
      <c r="E8657">
        <f>IF(DATOS!$I8657="","",IFERROR(VLOOKUP(DATOS!$I8657,CONFIG_ASIGNATURAS!$B$2:$J$61,9,FALSE()),""))</f>
      </c>
    </row>
    <row r="8658">
      <c r="E8658">
        <f>IF(DATOS!$I8658="","",IFERROR(VLOOKUP(DATOS!$I8658,CONFIG_ASIGNATURAS!$B$2:$J$61,9,FALSE()),""))</f>
      </c>
    </row>
    <row r="8659">
      <c r="E8659">
        <f>IF(DATOS!$I8659="","",IFERROR(VLOOKUP(DATOS!$I8659,CONFIG_ASIGNATURAS!$B$2:$J$61,9,FALSE()),""))</f>
      </c>
    </row>
    <row r="8660">
      <c r="E8660">
        <f>IF(DATOS!$I8660="","",IFERROR(VLOOKUP(DATOS!$I8660,CONFIG_ASIGNATURAS!$B$2:$J$61,9,FALSE()),""))</f>
      </c>
    </row>
    <row r="8661">
      <c r="E8661">
        <f>IF(DATOS!$I8661="","",IFERROR(VLOOKUP(DATOS!$I8661,CONFIG_ASIGNATURAS!$B$2:$J$61,9,FALSE()),""))</f>
      </c>
    </row>
    <row r="8662">
      <c r="E8662">
        <f>IF(DATOS!$I8662="","",IFERROR(VLOOKUP(DATOS!$I8662,CONFIG_ASIGNATURAS!$B$2:$J$61,9,FALSE()),""))</f>
      </c>
    </row>
    <row r="8663">
      <c r="E8663">
        <f>IF(DATOS!$I8663="","",IFERROR(VLOOKUP(DATOS!$I8663,CONFIG_ASIGNATURAS!$B$2:$J$61,9,FALSE()),""))</f>
      </c>
    </row>
    <row r="8664">
      <c r="E8664">
        <f>IF(DATOS!$I8664="","",IFERROR(VLOOKUP(DATOS!$I8664,CONFIG_ASIGNATURAS!$B$2:$J$61,9,FALSE()),""))</f>
      </c>
    </row>
    <row r="8665">
      <c r="E8665">
        <f>IF(DATOS!$I8665="","",IFERROR(VLOOKUP(DATOS!$I8665,CONFIG_ASIGNATURAS!$B$2:$J$61,9,FALSE()),""))</f>
      </c>
    </row>
    <row r="8666">
      <c r="E8666">
        <f>IF(DATOS!$I8666="","",IFERROR(VLOOKUP(DATOS!$I8666,CONFIG_ASIGNATURAS!$B$2:$J$61,9,FALSE()),""))</f>
      </c>
    </row>
    <row r="8667">
      <c r="E8667">
        <f>IF(DATOS!$I8667="","",IFERROR(VLOOKUP(DATOS!$I8667,CONFIG_ASIGNATURAS!$B$2:$J$61,9,FALSE()),""))</f>
      </c>
    </row>
    <row r="8668">
      <c r="E8668">
        <f>IF(DATOS!$I8668="","",IFERROR(VLOOKUP(DATOS!$I8668,CONFIG_ASIGNATURAS!$B$2:$J$61,9,FALSE()),""))</f>
      </c>
    </row>
    <row r="8669">
      <c r="E8669">
        <f>IF(DATOS!$I8669="","",IFERROR(VLOOKUP(DATOS!$I8669,CONFIG_ASIGNATURAS!$B$2:$J$61,9,FALSE()),""))</f>
      </c>
    </row>
    <row r="8670">
      <c r="E8670">
        <f>IF(DATOS!$I8670="","",IFERROR(VLOOKUP(DATOS!$I8670,CONFIG_ASIGNATURAS!$B$2:$J$61,9,FALSE()),""))</f>
      </c>
    </row>
    <row r="8671">
      <c r="E8671">
        <f>IF(DATOS!$I8671="","",IFERROR(VLOOKUP(DATOS!$I8671,CONFIG_ASIGNATURAS!$B$2:$J$61,9,FALSE()),""))</f>
      </c>
    </row>
    <row r="8672">
      <c r="E8672">
        <f>IF(DATOS!$I8672="","",IFERROR(VLOOKUP(DATOS!$I8672,CONFIG_ASIGNATURAS!$B$2:$J$61,9,FALSE()),""))</f>
      </c>
    </row>
    <row r="8673">
      <c r="E8673">
        <f>IF(DATOS!$I8673="","",IFERROR(VLOOKUP(DATOS!$I8673,CONFIG_ASIGNATURAS!$B$2:$J$61,9,FALSE()),""))</f>
      </c>
    </row>
    <row r="8674">
      <c r="E8674">
        <f>IF(DATOS!$I8674="","",IFERROR(VLOOKUP(DATOS!$I8674,CONFIG_ASIGNATURAS!$B$2:$J$61,9,FALSE()),""))</f>
      </c>
    </row>
    <row r="8675">
      <c r="E8675">
        <f>IF(DATOS!$I8675="","",IFERROR(VLOOKUP(DATOS!$I8675,CONFIG_ASIGNATURAS!$B$2:$J$61,9,FALSE()),""))</f>
      </c>
    </row>
    <row r="8676">
      <c r="E8676">
        <f>IF(DATOS!$I8676="","",IFERROR(VLOOKUP(DATOS!$I8676,CONFIG_ASIGNATURAS!$B$2:$J$61,9,FALSE()),""))</f>
      </c>
    </row>
    <row r="8677">
      <c r="E8677">
        <f>IF(DATOS!$I8677="","",IFERROR(VLOOKUP(DATOS!$I8677,CONFIG_ASIGNATURAS!$B$2:$J$61,9,FALSE()),""))</f>
      </c>
    </row>
    <row r="8678">
      <c r="E8678">
        <f>IF(DATOS!$I8678="","",IFERROR(VLOOKUP(DATOS!$I8678,CONFIG_ASIGNATURAS!$B$2:$J$61,9,FALSE()),""))</f>
      </c>
    </row>
    <row r="8679">
      <c r="E8679">
        <f>IF(DATOS!$I8679="","",IFERROR(VLOOKUP(DATOS!$I8679,CONFIG_ASIGNATURAS!$B$2:$J$61,9,FALSE()),""))</f>
      </c>
    </row>
    <row r="8680">
      <c r="E8680">
        <f>IF(DATOS!$I8680="","",IFERROR(VLOOKUP(DATOS!$I8680,CONFIG_ASIGNATURAS!$B$2:$J$61,9,FALSE()),""))</f>
      </c>
    </row>
    <row r="8681">
      <c r="E8681">
        <f>IF(DATOS!$I8681="","",IFERROR(VLOOKUP(DATOS!$I8681,CONFIG_ASIGNATURAS!$B$2:$J$61,9,FALSE()),""))</f>
      </c>
    </row>
    <row r="8682">
      <c r="E8682">
        <f>IF(DATOS!$I8682="","",IFERROR(VLOOKUP(DATOS!$I8682,CONFIG_ASIGNATURAS!$B$2:$J$61,9,FALSE()),""))</f>
      </c>
    </row>
    <row r="8683">
      <c r="E8683">
        <f>IF(DATOS!$I8683="","",IFERROR(VLOOKUP(DATOS!$I8683,CONFIG_ASIGNATURAS!$B$2:$J$61,9,FALSE()),""))</f>
      </c>
    </row>
    <row r="8684">
      <c r="E8684">
        <f>IF(DATOS!$I8684="","",IFERROR(VLOOKUP(DATOS!$I8684,CONFIG_ASIGNATURAS!$B$2:$J$61,9,FALSE()),""))</f>
      </c>
    </row>
    <row r="8685">
      <c r="E8685">
        <f>IF(DATOS!$I8685="","",IFERROR(VLOOKUP(DATOS!$I8685,CONFIG_ASIGNATURAS!$B$2:$J$61,9,FALSE()),""))</f>
      </c>
    </row>
    <row r="8686">
      <c r="E8686">
        <f>IF(DATOS!$I8686="","",IFERROR(VLOOKUP(DATOS!$I8686,CONFIG_ASIGNATURAS!$B$2:$J$61,9,FALSE()),""))</f>
      </c>
    </row>
    <row r="8687">
      <c r="E8687">
        <f>IF(DATOS!$I8687="","",IFERROR(VLOOKUP(DATOS!$I8687,CONFIG_ASIGNATURAS!$B$2:$J$61,9,FALSE()),""))</f>
      </c>
    </row>
    <row r="8688">
      <c r="E8688">
        <f>IF(DATOS!$I8688="","",IFERROR(VLOOKUP(DATOS!$I8688,CONFIG_ASIGNATURAS!$B$2:$J$61,9,FALSE()),""))</f>
      </c>
    </row>
    <row r="8689">
      <c r="E8689">
        <f>IF(DATOS!$I8689="","",IFERROR(VLOOKUP(DATOS!$I8689,CONFIG_ASIGNATURAS!$B$2:$J$61,9,FALSE()),""))</f>
      </c>
    </row>
    <row r="8690">
      <c r="E8690">
        <f>IF(DATOS!$I8690="","",IFERROR(VLOOKUP(DATOS!$I8690,CONFIG_ASIGNATURAS!$B$2:$J$61,9,FALSE()),""))</f>
      </c>
    </row>
    <row r="8691">
      <c r="E8691">
        <f>IF(DATOS!$I8691="","",IFERROR(VLOOKUP(DATOS!$I8691,CONFIG_ASIGNATURAS!$B$2:$J$61,9,FALSE()),""))</f>
      </c>
    </row>
    <row r="8692">
      <c r="E8692">
        <f>IF(DATOS!$I8692="","",IFERROR(VLOOKUP(DATOS!$I8692,CONFIG_ASIGNATURAS!$B$2:$J$61,9,FALSE()),""))</f>
      </c>
    </row>
    <row r="8693">
      <c r="E8693">
        <f>IF(DATOS!$I8693="","",IFERROR(VLOOKUP(DATOS!$I8693,CONFIG_ASIGNATURAS!$B$2:$J$61,9,FALSE()),""))</f>
      </c>
    </row>
    <row r="8694">
      <c r="E8694">
        <f>IF(DATOS!$I8694="","",IFERROR(VLOOKUP(DATOS!$I8694,CONFIG_ASIGNATURAS!$B$2:$J$61,9,FALSE()),""))</f>
      </c>
    </row>
    <row r="8695">
      <c r="E8695">
        <f>IF(DATOS!$I8695="","",IFERROR(VLOOKUP(DATOS!$I8695,CONFIG_ASIGNATURAS!$B$2:$J$61,9,FALSE()),""))</f>
      </c>
    </row>
    <row r="8696">
      <c r="E8696">
        <f>IF(DATOS!$I8696="","",IFERROR(VLOOKUP(DATOS!$I8696,CONFIG_ASIGNATURAS!$B$2:$J$61,9,FALSE()),""))</f>
      </c>
    </row>
    <row r="8697">
      <c r="E8697">
        <f>IF(DATOS!$I8697="","",IFERROR(VLOOKUP(DATOS!$I8697,CONFIG_ASIGNATURAS!$B$2:$J$61,9,FALSE()),""))</f>
      </c>
    </row>
    <row r="8698">
      <c r="E8698">
        <f>IF(DATOS!$I8698="","",IFERROR(VLOOKUP(DATOS!$I8698,CONFIG_ASIGNATURAS!$B$2:$J$61,9,FALSE()),""))</f>
      </c>
    </row>
    <row r="8699">
      <c r="E8699">
        <f>IF(DATOS!$I8699="","",IFERROR(VLOOKUP(DATOS!$I8699,CONFIG_ASIGNATURAS!$B$2:$J$61,9,FALSE()),""))</f>
      </c>
    </row>
    <row r="8700">
      <c r="E8700">
        <f>IF(DATOS!$I8700="","",IFERROR(VLOOKUP(DATOS!$I8700,CONFIG_ASIGNATURAS!$B$2:$J$61,9,FALSE()),""))</f>
      </c>
    </row>
    <row r="8701">
      <c r="E8701">
        <f>IF(DATOS!$I8701="","",IFERROR(VLOOKUP(DATOS!$I8701,CONFIG_ASIGNATURAS!$B$2:$J$61,9,FALSE()),""))</f>
      </c>
    </row>
    <row r="8702">
      <c r="E8702">
        <f>IF(DATOS!$I8702="","",IFERROR(VLOOKUP(DATOS!$I8702,CONFIG_ASIGNATURAS!$B$2:$J$61,9,FALSE()),""))</f>
      </c>
    </row>
    <row r="8703">
      <c r="E8703">
        <f>IF(DATOS!$I8703="","",IFERROR(VLOOKUP(DATOS!$I8703,CONFIG_ASIGNATURAS!$B$2:$J$61,9,FALSE()),""))</f>
      </c>
    </row>
    <row r="8704">
      <c r="E8704">
        <f>IF(DATOS!$I8704="","",IFERROR(VLOOKUP(DATOS!$I8704,CONFIG_ASIGNATURAS!$B$2:$J$61,9,FALSE()),""))</f>
      </c>
    </row>
    <row r="8705">
      <c r="E8705">
        <f>IF(DATOS!$I8705="","",IFERROR(VLOOKUP(DATOS!$I8705,CONFIG_ASIGNATURAS!$B$2:$J$61,9,FALSE()),""))</f>
      </c>
    </row>
    <row r="8706">
      <c r="E8706">
        <f>IF(DATOS!$I8706="","",IFERROR(VLOOKUP(DATOS!$I8706,CONFIG_ASIGNATURAS!$B$2:$J$61,9,FALSE()),""))</f>
      </c>
    </row>
    <row r="8707">
      <c r="E8707">
        <f>IF(DATOS!$I8707="","",IFERROR(VLOOKUP(DATOS!$I8707,CONFIG_ASIGNATURAS!$B$2:$J$61,9,FALSE()),""))</f>
      </c>
    </row>
    <row r="8708">
      <c r="E8708">
        <f>IF(DATOS!$I8708="","",IFERROR(VLOOKUP(DATOS!$I8708,CONFIG_ASIGNATURAS!$B$2:$J$61,9,FALSE()),""))</f>
      </c>
    </row>
    <row r="8709">
      <c r="E8709">
        <f>IF(DATOS!$I8709="","",IFERROR(VLOOKUP(DATOS!$I8709,CONFIG_ASIGNATURAS!$B$2:$J$61,9,FALSE()),""))</f>
      </c>
    </row>
    <row r="8710">
      <c r="E8710">
        <f>IF(DATOS!$I8710="","",IFERROR(VLOOKUP(DATOS!$I8710,CONFIG_ASIGNATURAS!$B$2:$J$61,9,FALSE()),""))</f>
      </c>
    </row>
    <row r="8711">
      <c r="E8711">
        <f>IF(DATOS!$I8711="","",IFERROR(VLOOKUP(DATOS!$I8711,CONFIG_ASIGNATURAS!$B$2:$J$61,9,FALSE()),""))</f>
      </c>
    </row>
    <row r="8712">
      <c r="E8712">
        <f>IF(DATOS!$I8712="","",IFERROR(VLOOKUP(DATOS!$I8712,CONFIG_ASIGNATURAS!$B$2:$J$61,9,FALSE()),""))</f>
      </c>
    </row>
    <row r="8713">
      <c r="E8713">
        <f>IF(DATOS!$I8713="","",IFERROR(VLOOKUP(DATOS!$I8713,CONFIG_ASIGNATURAS!$B$2:$J$61,9,FALSE()),""))</f>
      </c>
    </row>
    <row r="8714">
      <c r="E8714">
        <f>IF(DATOS!$I8714="","",IFERROR(VLOOKUP(DATOS!$I8714,CONFIG_ASIGNATURAS!$B$2:$J$61,9,FALSE()),""))</f>
      </c>
    </row>
    <row r="8715">
      <c r="E8715">
        <f>IF(DATOS!$I8715="","",IFERROR(VLOOKUP(DATOS!$I8715,CONFIG_ASIGNATURAS!$B$2:$J$61,9,FALSE()),""))</f>
      </c>
    </row>
    <row r="8716">
      <c r="E8716">
        <f>IF(DATOS!$I8716="","",IFERROR(VLOOKUP(DATOS!$I8716,CONFIG_ASIGNATURAS!$B$2:$J$61,9,FALSE()),""))</f>
      </c>
    </row>
    <row r="8717">
      <c r="E8717">
        <f>IF(DATOS!$I8717="","",IFERROR(VLOOKUP(DATOS!$I8717,CONFIG_ASIGNATURAS!$B$2:$J$61,9,FALSE()),""))</f>
      </c>
    </row>
    <row r="8718">
      <c r="E8718">
        <f>IF(DATOS!$I8718="","",IFERROR(VLOOKUP(DATOS!$I8718,CONFIG_ASIGNATURAS!$B$2:$J$61,9,FALSE()),""))</f>
      </c>
    </row>
    <row r="8719">
      <c r="E8719">
        <f>IF(DATOS!$I8719="","",IFERROR(VLOOKUP(DATOS!$I8719,CONFIG_ASIGNATURAS!$B$2:$J$61,9,FALSE()),""))</f>
      </c>
    </row>
    <row r="8720">
      <c r="E8720">
        <f>IF(DATOS!$I8720="","",IFERROR(VLOOKUP(DATOS!$I8720,CONFIG_ASIGNATURAS!$B$2:$J$61,9,FALSE()),""))</f>
      </c>
    </row>
    <row r="8721">
      <c r="E8721">
        <f>IF(DATOS!$I8721="","",IFERROR(VLOOKUP(DATOS!$I8721,CONFIG_ASIGNATURAS!$B$2:$J$61,9,FALSE()),""))</f>
      </c>
    </row>
    <row r="8722">
      <c r="E8722">
        <f>IF(DATOS!$I8722="","",IFERROR(VLOOKUP(DATOS!$I8722,CONFIG_ASIGNATURAS!$B$2:$J$61,9,FALSE()),""))</f>
      </c>
    </row>
    <row r="8723">
      <c r="E8723">
        <f>IF(DATOS!$I8723="","",IFERROR(VLOOKUP(DATOS!$I8723,CONFIG_ASIGNATURAS!$B$2:$J$61,9,FALSE()),""))</f>
      </c>
    </row>
    <row r="8724">
      <c r="E8724">
        <f>IF(DATOS!$I8724="","",IFERROR(VLOOKUP(DATOS!$I8724,CONFIG_ASIGNATURAS!$B$2:$J$61,9,FALSE()),""))</f>
      </c>
    </row>
    <row r="8725">
      <c r="E8725">
        <f>IF(DATOS!$I8725="","",IFERROR(VLOOKUP(DATOS!$I8725,CONFIG_ASIGNATURAS!$B$2:$J$61,9,FALSE()),""))</f>
      </c>
    </row>
    <row r="8726">
      <c r="E8726">
        <f>IF(DATOS!$I8726="","",IFERROR(VLOOKUP(DATOS!$I8726,CONFIG_ASIGNATURAS!$B$2:$J$61,9,FALSE()),""))</f>
      </c>
    </row>
    <row r="8727">
      <c r="E8727">
        <f>IF(DATOS!$I8727="","",IFERROR(VLOOKUP(DATOS!$I8727,CONFIG_ASIGNATURAS!$B$2:$J$61,9,FALSE()),""))</f>
      </c>
    </row>
    <row r="8728">
      <c r="E8728">
        <f>IF(DATOS!$I8728="","",IFERROR(VLOOKUP(DATOS!$I8728,CONFIG_ASIGNATURAS!$B$2:$J$61,9,FALSE()),""))</f>
      </c>
    </row>
    <row r="8729">
      <c r="E8729">
        <f>IF(DATOS!$I8729="","",IFERROR(VLOOKUP(DATOS!$I8729,CONFIG_ASIGNATURAS!$B$2:$J$61,9,FALSE()),""))</f>
      </c>
    </row>
    <row r="8730">
      <c r="E8730">
        <f>IF(DATOS!$I8730="","",IFERROR(VLOOKUP(DATOS!$I8730,CONFIG_ASIGNATURAS!$B$2:$J$61,9,FALSE()),""))</f>
      </c>
    </row>
    <row r="8731">
      <c r="E8731">
        <f>IF(DATOS!$I8731="","",IFERROR(VLOOKUP(DATOS!$I8731,CONFIG_ASIGNATURAS!$B$2:$J$61,9,FALSE()),""))</f>
      </c>
    </row>
    <row r="8732">
      <c r="E8732">
        <f>IF(DATOS!$I8732="","",IFERROR(VLOOKUP(DATOS!$I8732,CONFIG_ASIGNATURAS!$B$2:$J$61,9,FALSE()),""))</f>
      </c>
    </row>
    <row r="8733">
      <c r="E8733">
        <f>IF(DATOS!$I8733="","",IFERROR(VLOOKUP(DATOS!$I8733,CONFIG_ASIGNATURAS!$B$2:$J$61,9,FALSE()),""))</f>
      </c>
    </row>
    <row r="8734">
      <c r="E8734">
        <f>IF(DATOS!$I8734="","",IFERROR(VLOOKUP(DATOS!$I8734,CONFIG_ASIGNATURAS!$B$2:$J$61,9,FALSE()),""))</f>
      </c>
    </row>
    <row r="8735">
      <c r="E8735">
        <f>IF(DATOS!$I8735="","",IFERROR(VLOOKUP(DATOS!$I8735,CONFIG_ASIGNATURAS!$B$2:$J$61,9,FALSE()),""))</f>
      </c>
    </row>
    <row r="8736">
      <c r="E8736">
        <f>IF(DATOS!$I8736="","",IFERROR(VLOOKUP(DATOS!$I8736,CONFIG_ASIGNATURAS!$B$2:$J$61,9,FALSE()),""))</f>
      </c>
    </row>
    <row r="8737">
      <c r="E8737">
        <f>IF(DATOS!$I8737="","",IFERROR(VLOOKUP(DATOS!$I8737,CONFIG_ASIGNATURAS!$B$2:$J$61,9,FALSE()),""))</f>
      </c>
    </row>
    <row r="8738">
      <c r="E8738">
        <f>IF(DATOS!$I8738="","",IFERROR(VLOOKUP(DATOS!$I8738,CONFIG_ASIGNATURAS!$B$2:$J$61,9,FALSE()),""))</f>
      </c>
    </row>
    <row r="8739">
      <c r="E8739">
        <f>IF(DATOS!$I8739="","",IFERROR(VLOOKUP(DATOS!$I8739,CONFIG_ASIGNATURAS!$B$2:$J$61,9,FALSE()),""))</f>
      </c>
    </row>
    <row r="8740">
      <c r="E8740">
        <f>IF(DATOS!$I8740="","",IFERROR(VLOOKUP(DATOS!$I8740,CONFIG_ASIGNATURAS!$B$2:$J$61,9,FALSE()),""))</f>
      </c>
    </row>
    <row r="8741">
      <c r="E8741">
        <f>IF(DATOS!$I8741="","",IFERROR(VLOOKUP(DATOS!$I8741,CONFIG_ASIGNATURAS!$B$2:$J$61,9,FALSE()),""))</f>
      </c>
    </row>
    <row r="8742">
      <c r="E8742">
        <f>IF(DATOS!$I8742="","",IFERROR(VLOOKUP(DATOS!$I8742,CONFIG_ASIGNATURAS!$B$2:$J$61,9,FALSE()),""))</f>
      </c>
    </row>
    <row r="8743">
      <c r="E8743">
        <f>IF(DATOS!$I8743="","",IFERROR(VLOOKUP(DATOS!$I8743,CONFIG_ASIGNATURAS!$B$2:$J$61,9,FALSE()),""))</f>
      </c>
    </row>
    <row r="8744">
      <c r="E8744">
        <f>IF(DATOS!$I8744="","",IFERROR(VLOOKUP(DATOS!$I8744,CONFIG_ASIGNATURAS!$B$2:$J$61,9,FALSE()),""))</f>
      </c>
    </row>
    <row r="8745">
      <c r="E8745">
        <f>IF(DATOS!$I8745="","",IFERROR(VLOOKUP(DATOS!$I8745,CONFIG_ASIGNATURAS!$B$2:$J$61,9,FALSE()),""))</f>
      </c>
    </row>
    <row r="8746">
      <c r="E8746">
        <f>IF(DATOS!$I8746="","",IFERROR(VLOOKUP(DATOS!$I8746,CONFIG_ASIGNATURAS!$B$2:$J$61,9,FALSE()),""))</f>
      </c>
    </row>
    <row r="8747">
      <c r="E8747">
        <f>IF(DATOS!$I8747="","",IFERROR(VLOOKUP(DATOS!$I8747,CONFIG_ASIGNATURAS!$B$2:$J$61,9,FALSE()),""))</f>
      </c>
    </row>
    <row r="8748">
      <c r="E8748">
        <f>IF(DATOS!$I8748="","",IFERROR(VLOOKUP(DATOS!$I8748,CONFIG_ASIGNATURAS!$B$2:$J$61,9,FALSE()),""))</f>
      </c>
    </row>
    <row r="8749">
      <c r="E8749">
        <f>IF(DATOS!$I8749="","",IFERROR(VLOOKUP(DATOS!$I8749,CONFIG_ASIGNATURAS!$B$2:$J$61,9,FALSE()),""))</f>
      </c>
    </row>
    <row r="8750">
      <c r="E8750">
        <f>IF(DATOS!$I8750="","",IFERROR(VLOOKUP(DATOS!$I8750,CONFIG_ASIGNATURAS!$B$2:$J$61,9,FALSE()),""))</f>
      </c>
    </row>
    <row r="8751">
      <c r="E8751">
        <f>IF(DATOS!$I8751="","",IFERROR(VLOOKUP(DATOS!$I8751,CONFIG_ASIGNATURAS!$B$2:$J$61,9,FALSE()),""))</f>
      </c>
    </row>
    <row r="8752">
      <c r="E8752">
        <f>IF(DATOS!$I8752="","",IFERROR(VLOOKUP(DATOS!$I8752,CONFIG_ASIGNATURAS!$B$2:$J$61,9,FALSE()),""))</f>
      </c>
    </row>
    <row r="8753">
      <c r="E8753">
        <f>IF(DATOS!$I8753="","",IFERROR(VLOOKUP(DATOS!$I8753,CONFIG_ASIGNATURAS!$B$2:$J$61,9,FALSE()),""))</f>
      </c>
    </row>
    <row r="8754">
      <c r="E8754">
        <f>IF(DATOS!$I8754="","",IFERROR(VLOOKUP(DATOS!$I8754,CONFIG_ASIGNATURAS!$B$2:$J$61,9,FALSE()),""))</f>
      </c>
    </row>
    <row r="8755">
      <c r="E8755">
        <f>IF(DATOS!$I8755="","",IFERROR(VLOOKUP(DATOS!$I8755,CONFIG_ASIGNATURAS!$B$2:$J$61,9,FALSE()),""))</f>
      </c>
    </row>
    <row r="8756">
      <c r="E8756">
        <f>IF(DATOS!$I8756="","",IFERROR(VLOOKUP(DATOS!$I8756,CONFIG_ASIGNATURAS!$B$2:$J$61,9,FALSE()),""))</f>
      </c>
    </row>
    <row r="8757">
      <c r="E8757">
        <f>IF(DATOS!$I8757="","",IFERROR(VLOOKUP(DATOS!$I8757,CONFIG_ASIGNATURAS!$B$2:$J$61,9,FALSE()),""))</f>
      </c>
    </row>
    <row r="8758">
      <c r="E8758">
        <f>IF(DATOS!$I8758="","",IFERROR(VLOOKUP(DATOS!$I8758,CONFIG_ASIGNATURAS!$B$2:$J$61,9,FALSE()),""))</f>
      </c>
    </row>
    <row r="8759">
      <c r="E8759">
        <f>IF(DATOS!$I8759="","",IFERROR(VLOOKUP(DATOS!$I8759,CONFIG_ASIGNATURAS!$B$2:$J$61,9,FALSE()),""))</f>
      </c>
    </row>
    <row r="8760">
      <c r="E8760">
        <f>IF(DATOS!$I8760="","",IFERROR(VLOOKUP(DATOS!$I8760,CONFIG_ASIGNATURAS!$B$2:$J$61,9,FALSE()),""))</f>
      </c>
    </row>
    <row r="8761">
      <c r="E8761">
        <f>IF(DATOS!$I8761="","",IFERROR(VLOOKUP(DATOS!$I8761,CONFIG_ASIGNATURAS!$B$2:$J$61,9,FALSE()),""))</f>
      </c>
    </row>
    <row r="8762">
      <c r="E8762">
        <f>IF(DATOS!$I8762="","",IFERROR(VLOOKUP(DATOS!$I8762,CONFIG_ASIGNATURAS!$B$2:$J$61,9,FALSE()),""))</f>
      </c>
    </row>
    <row r="8763">
      <c r="E8763">
        <f>IF(DATOS!$I8763="","",IFERROR(VLOOKUP(DATOS!$I8763,CONFIG_ASIGNATURAS!$B$2:$J$61,9,FALSE()),""))</f>
      </c>
    </row>
    <row r="8764">
      <c r="E8764">
        <f>IF(DATOS!$I8764="","",IFERROR(VLOOKUP(DATOS!$I8764,CONFIG_ASIGNATURAS!$B$2:$J$61,9,FALSE()),""))</f>
      </c>
    </row>
    <row r="8765">
      <c r="E8765">
        <f>IF(DATOS!$I8765="","",IFERROR(VLOOKUP(DATOS!$I8765,CONFIG_ASIGNATURAS!$B$2:$J$61,9,FALSE()),""))</f>
      </c>
    </row>
    <row r="8766">
      <c r="E8766">
        <f>IF(DATOS!$I8766="","",IFERROR(VLOOKUP(DATOS!$I8766,CONFIG_ASIGNATURAS!$B$2:$J$61,9,FALSE()),""))</f>
      </c>
    </row>
    <row r="8767">
      <c r="E8767">
        <f>IF(DATOS!$I8767="","",IFERROR(VLOOKUP(DATOS!$I8767,CONFIG_ASIGNATURAS!$B$2:$J$61,9,FALSE()),""))</f>
      </c>
    </row>
    <row r="8768">
      <c r="E8768">
        <f>IF(DATOS!$I8768="","",IFERROR(VLOOKUP(DATOS!$I8768,CONFIG_ASIGNATURAS!$B$2:$J$61,9,FALSE()),""))</f>
      </c>
    </row>
    <row r="8769">
      <c r="E8769">
        <f>IF(DATOS!$I8769="","",IFERROR(VLOOKUP(DATOS!$I8769,CONFIG_ASIGNATURAS!$B$2:$J$61,9,FALSE()),""))</f>
      </c>
    </row>
    <row r="8770">
      <c r="E8770">
        <f>IF(DATOS!$I8770="","",IFERROR(VLOOKUP(DATOS!$I8770,CONFIG_ASIGNATURAS!$B$2:$J$61,9,FALSE()),""))</f>
      </c>
    </row>
    <row r="8771">
      <c r="E8771">
        <f>IF(DATOS!$I8771="","",IFERROR(VLOOKUP(DATOS!$I8771,CONFIG_ASIGNATURAS!$B$2:$J$61,9,FALSE()),""))</f>
      </c>
    </row>
    <row r="8772">
      <c r="E8772">
        <f>IF(DATOS!$I8772="","",IFERROR(VLOOKUP(DATOS!$I8772,CONFIG_ASIGNATURAS!$B$2:$J$61,9,FALSE()),""))</f>
      </c>
    </row>
    <row r="8773">
      <c r="E8773">
        <f>IF(DATOS!$I8773="","",IFERROR(VLOOKUP(DATOS!$I8773,CONFIG_ASIGNATURAS!$B$2:$J$61,9,FALSE()),""))</f>
      </c>
    </row>
    <row r="8774">
      <c r="E8774">
        <f>IF(DATOS!$I8774="","",IFERROR(VLOOKUP(DATOS!$I8774,CONFIG_ASIGNATURAS!$B$2:$J$61,9,FALSE()),""))</f>
      </c>
    </row>
    <row r="8775">
      <c r="E8775">
        <f>IF(DATOS!$I8775="","",IFERROR(VLOOKUP(DATOS!$I8775,CONFIG_ASIGNATURAS!$B$2:$J$61,9,FALSE()),""))</f>
      </c>
    </row>
    <row r="8776">
      <c r="E8776">
        <f>IF(DATOS!$I8776="","",IFERROR(VLOOKUP(DATOS!$I8776,CONFIG_ASIGNATURAS!$B$2:$J$61,9,FALSE()),""))</f>
      </c>
    </row>
    <row r="8777">
      <c r="E8777">
        <f>IF(DATOS!$I8777="","",IFERROR(VLOOKUP(DATOS!$I8777,CONFIG_ASIGNATURAS!$B$2:$J$61,9,FALSE()),""))</f>
      </c>
    </row>
    <row r="8778">
      <c r="E8778">
        <f>IF(DATOS!$I8778="","",IFERROR(VLOOKUP(DATOS!$I8778,CONFIG_ASIGNATURAS!$B$2:$J$61,9,FALSE()),""))</f>
      </c>
    </row>
    <row r="8779">
      <c r="E8779">
        <f>IF(DATOS!$I8779="","",IFERROR(VLOOKUP(DATOS!$I8779,CONFIG_ASIGNATURAS!$B$2:$J$61,9,FALSE()),""))</f>
      </c>
    </row>
    <row r="8780">
      <c r="E8780">
        <f>IF(DATOS!$I8780="","",IFERROR(VLOOKUP(DATOS!$I8780,CONFIG_ASIGNATURAS!$B$2:$J$61,9,FALSE()),""))</f>
      </c>
    </row>
    <row r="8781">
      <c r="E8781">
        <f>IF(DATOS!$I8781="","",IFERROR(VLOOKUP(DATOS!$I8781,CONFIG_ASIGNATURAS!$B$2:$J$61,9,FALSE()),""))</f>
      </c>
    </row>
    <row r="8782">
      <c r="E8782">
        <f>IF(DATOS!$I8782="","",IFERROR(VLOOKUP(DATOS!$I8782,CONFIG_ASIGNATURAS!$B$2:$J$61,9,FALSE()),""))</f>
      </c>
    </row>
    <row r="8783">
      <c r="E8783">
        <f>IF(DATOS!$I8783="","",IFERROR(VLOOKUP(DATOS!$I8783,CONFIG_ASIGNATURAS!$B$2:$J$61,9,FALSE()),""))</f>
      </c>
    </row>
    <row r="8784">
      <c r="E8784">
        <f>IF(DATOS!$I8784="","",IFERROR(VLOOKUP(DATOS!$I8784,CONFIG_ASIGNATURAS!$B$2:$J$61,9,FALSE()),""))</f>
      </c>
    </row>
    <row r="8785">
      <c r="E8785">
        <f>IF(DATOS!$I8785="","",IFERROR(VLOOKUP(DATOS!$I8785,CONFIG_ASIGNATURAS!$B$2:$J$61,9,FALSE()),""))</f>
      </c>
    </row>
    <row r="8786">
      <c r="E8786">
        <f>IF(DATOS!$I8786="","",IFERROR(VLOOKUP(DATOS!$I8786,CONFIG_ASIGNATURAS!$B$2:$J$61,9,FALSE()),""))</f>
      </c>
    </row>
    <row r="8787">
      <c r="E8787">
        <f>IF(DATOS!$I8787="","",IFERROR(VLOOKUP(DATOS!$I8787,CONFIG_ASIGNATURAS!$B$2:$J$61,9,FALSE()),""))</f>
      </c>
    </row>
    <row r="8788">
      <c r="E8788">
        <f>IF(DATOS!$I8788="","",IFERROR(VLOOKUP(DATOS!$I8788,CONFIG_ASIGNATURAS!$B$2:$J$61,9,FALSE()),""))</f>
      </c>
    </row>
    <row r="8789">
      <c r="E8789">
        <f>IF(DATOS!$I8789="","",IFERROR(VLOOKUP(DATOS!$I8789,CONFIG_ASIGNATURAS!$B$2:$J$61,9,FALSE()),""))</f>
      </c>
    </row>
    <row r="8790">
      <c r="E8790">
        <f>IF(DATOS!$I8790="","",IFERROR(VLOOKUP(DATOS!$I8790,CONFIG_ASIGNATURAS!$B$2:$J$61,9,FALSE()),""))</f>
      </c>
    </row>
    <row r="8791">
      <c r="E8791">
        <f>IF(DATOS!$I8791="","",IFERROR(VLOOKUP(DATOS!$I8791,CONFIG_ASIGNATURAS!$B$2:$J$61,9,FALSE()),""))</f>
      </c>
    </row>
    <row r="8792">
      <c r="E8792">
        <f>IF(DATOS!$I8792="","",IFERROR(VLOOKUP(DATOS!$I8792,CONFIG_ASIGNATURAS!$B$2:$J$61,9,FALSE()),""))</f>
      </c>
    </row>
    <row r="8793">
      <c r="E8793">
        <f>IF(DATOS!$I8793="","",IFERROR(VLOOKUP(DATOS!$I8793,CONFIG_ASIGNATURAS!$B$2:$J$61,9,FALSE()),""))</f>
      </c>
    </row>
    <row r="8794">
      <c r="E8794">
        <f>IF(DATOS!$I8794="","",IFERROR(VLOOKUP(DATOS!$I8794,CONFIG_ASIGNATURAS!$B$2:$J$61,9,FALSE()),""))</f>
      </c>
    </row>
    <row r="8795">
      <c r="E8795">
        <f>IF(DATOS!$I8795="","",IFERROR(VLOOKUP(DATOS!$I8795,CONFIG_ASIGNATURAS!$B$2:$J$61,9,FALSE()),""))</f>
      </c>
    </row>
    <row r="8796">
      <c r="E8796">
        <f>IF(DATOS!$I8796="","",IFERROR(VLOOKUP(DATOS!$I8796,CONFIG_ASIGNATURAS!$B$2:$J$61,9,FALSE()),""))</f>
      </c>
    </row>
    <row r="8797">
      <c r="E8797">
        <f>IF(DATOS!$I8797="","",IFERROR(VLOOKUP(DATOS!$I8797,CONFIG_ASIGNATURAS!$B$2:$J$61,9,FALSE()),""))</f>
      </c>
    </row>
    <row r="8798">
      <c r="E8798">
        <f>IF(DATOS!$I8798="","",IFERROR(VLOOKUP(DATOS!$I8798,CONFIG_ASIGNATURAS!$B$2:$J$61,9,FALSE()),""))</f>
      </c>
    </row>
    <row r="8799">
      <c r="E8799">
        <f>IF(DATOS!$I8799="","",IFERROR(VLOOKUP(DATOS!$I8799,CONFIG_ASIGNATURAS!$B$2:$J$61,9,FALSE()),""))</f>
      </c>
    </row>
    <row r="8800">
      <c r="E8800">
        <f>IF(DATOS!$I8800="","",IFERROR(VLOOKUP(DATOS!$I8800,CONFIG_ASIGNATURAS!$B$2:$J$61,9,FALSE()),""))</f>
      </c>
    </row>
    <row r="8801">
      <c r="E8801">
        <f>IF(DATOS!$I8801="","",IFERROR(VLOOKUP(DATOS!$I8801,CONFIG_ASIGNATURAS!$B$2:$J$61,9,FALSE()),""))</f>
      </c>
    </row>
    <row r="8802">
      <c r="E8802">
        <f>IF(DATOS!$I8802="","",IFERROR(VLOOKUP(DATOS!$I8802,CONFIG_ASIGNATURAS!$B$2:$J$61,9,FALSE()),""))</f>
      </c>
    </row>
    <row r="8803">
      <c r="E8803">
        <f>IF(DATOS!$I8803="","",IFERROR(VLOOKUP(DATOS!$I8803,CONFIG_ASIGNATURAS!$B$2:$J$61,9,FALSE()),""))</f>
      </c>
    </row>
    <row r="8804">
      <c r="E8804">
        <f>IF(DATOS!$I8804="","",IFERROR(VLOOKUP(DATOS!$I8804,CONFIG_ASIGNATURAS!$B$2:$J$61,9,FALSE()),""))</f>
      </c>
    </row>
    <row r="8805">
      <c r="E8805">
        <f>IF(DATOS!$I8805="","",IFERROR(VLOOKUP(DATOS!$I8805,CONFIG_ASIGNATURAS!$B$2:$J$61,9,FALSE()),""))</f>
      </c>
    </row>
    <row r="8806">
      <c r="E8806">
        <f>IF(DATOS!$I8806="","",IFERROR(VLOOKUP(DATOS!$I8806,CONFIG_ASIGNATURAS!$B$2:$J$61,9,FALSE()),""))</f>
      </c>
    </row>
    <row r="8807">
      <c r="E8807">
        <f>IF(DATOS!$I8807="","",IFERROR(VLOOKUP(DATOS!$I8807,CONFIG_ASIGNATURAS!$B$2:$J$61,9,FALSE()),""))</f>
      </c>
    </row>
    <row r="8808">
      <c r="E8808">
        <f>IF(DATOS!$I8808="","",IFERROR(VLOOKUP(DATOS!$I8808,CONFIG_ASIGNATURAS!$B$2:$J$61,9,FALSE()),""))</f>
      </c>
    </row>
    <row r="8809">
      <c r="E8809">
        <f>IF(DATOS!$I8809="","",IFERROR(VLOOKUP(DATOS!$I8809,CONFIG_ASIGNATURAS!$B$2:$J$61,9,FALSE()),""))</f>
      </c>
    </row>
    <row r="8810">
      <c r="E8810">
        <f>IF(DATOS!$I8810="","",IFERROR(VLOOKUP(DATOS!$I8810,CONFIG_ASIGNATURAS!$B$2:$J$61,9,FALSE()),""))</f>
      </c>
    </row>
    <row r="8811">
      <c r="E8811">
        <f>IF(DATOS!$I8811="","",IFERROR(VLOOKUP(DATOS!$I8811,CONFIG_ASIGNATURAS!$B$2:$J$61,9,FALSE()),""))</f>
      </c>
    </row>
    <row r="8812">
      <c r="E8812">
        <f>IF(DATOS!$I8812="","",IFERROR(VLOOKUP(DATOS!$I8812,CONFIG_ASIGNATURAS!$B$2:$J$61,9,FALSE()),""))</f>
      </c>
    </row>
    <row r="8813">
      <c r="E8813">
        <f>IF(DATOS!$I8813="","",IFERROR(VLOOKUP(DATOS!$I8813,CONFIG_ASIGNATURAS!$B$2:$J$61,9,FALSE()),""))</f>
      </c>
    </row>
    <row r="8814">
      <c r="E8814">
        <f>IF(DATOS!$I8814="","",IFERROR(VLOOKUP(DATOS!$I8814,CONFIG_ASIGNATURAS!$B$2:$J$61,9,FALSE()),""))</f>
      </c>
    </row>
    <row r="8815">
      <c r="E8815">
        <f>IF(DATOS!$I8815="","",IFERROR(VLOOKUP(DATOS!$I8815,CONFIG_ASIGNATURAS!$B$2:$J$61,9,FALSE()),""))</f>
      </c>
    </row>
    <row r="8816">
      <c r="E8816">
        <f>IF(DATOS!$I8816="","",IFERROR(VLOOKUP(DATOS!$I8816,CONFIG_ASIGNATURAS!$B$2:$J$61,9,FALSE()),""))</f>
      </c>
    </row>
    <row r="8817">
      <c r="E8817">
        <f>IF(DATOS!$I8817="","",IFERROR(VLOOKUP(DATOS!$I8817,CONFIG_ASIGNATURAS!$B$2:$J$61,9,FALSE()),""))</f>
      </c>
    </row>
    <row r="8818">
      <c r="E8818">
        <f>IF(DATOS!$I8818="","",IFERROR(VLOOKUP(DATOS!$I8818,CONFIG_ASIGNATURAS!$B$2:$J$61,9,FALSE()),""))</f>
      </c>
    </row>
    <row r="8819">
      <c r="E8819">
        <f>IF(DATOS!$I8819="","",IFERROR(VLOOKUP(DATOS!$I8819,CONFIG_ASIGNATURAS!$B$2:$J$61,9,FALSE()),""))</f>
      </c>
    </row>
    <row r="8820">
      <c r="E8820">
        <f>IF(DATOS!$I8820="","",IFERROR(VLOOKUP(DATOS!$I8820,CONFIG_ASIGNATURAS!$B$2:$J$61,9,FALSE()),""))</f>
      </c>
    </row>
    <row r="8821">
      <c r="E8821">
        <f>IF(DATOS!$I8821="","",IFERROR(VLOOKUP(DATOS!$I8821,CONFIG_ASIGNATURAS!$B$2:$J$61,9,FALSE()),""))</f>
      </c>
    </row>
    <row r="8822">
      <c r="E8822">
        <f>IF(DATOS!$I8822="","",IFERROR(VLOOKUP(DATOS!$I8822,CONFIG_ASIGNATURAS!$B$2:$J$61,9,FALSE()),""))</f>
      </c>
    </row>
    <row r="8823">
      <c r="E8823">
        <f>IF(DATOS!$I8823="","",IFERROR(VLOOKUP(DATOS!$I8823,CONFIG_ASIGNATURAS!$B$2:$J$61,9,FALSE()),""))</f>
      </c>
    </row>
    <row r="8824">
      <c r="E8824">
        <f>IF(DATOS!$I8824="","",IFERROR(VLOOKUP(DATOS!$I8824,CONFIG_ASIGNATURAS!$B$2:$J$61,9,FALSE()),""))</f>
      </c>
    </row>
    <row r="8825">
      <c r="E8825">
        <f>IF(DATOS!$I8825="","",IFERROR(VLOOKUP(DATOS!$I8825,CONFIG_ASIGNATURAS!$B$2:$J$61,9,FALSE()),""))</f>
      </c>
    </row>
    <row r="8826">
      <c r="E8826">
        <f>IF(DATOS!$I8826="","",IFERROR(VLOOKUP(DATOS!$I8826,CONFIG_ASIGNATURAS!$B$2:$J$61,9,FALSE()),""))</f>
      </c>
    </row>
    <row r="8827">
      <c r="E8827">
        <f>IF(DATOS!$I8827="","",IFERROR(VLOOKUP(DATOS!$I8827,CONFIG_ASIGNATURAS!$B$2:$J$61,9,FALSE()),""))</f>
      </c>
    </row>
    <row r="8828">
      <c r="E8828">
        <f>IF(DATOS!$I8828="","",IFERROR(VLOOKUP(DATOS!$I8828,CONFIG_ASIGNATURAS!$B$2:$J$61,9,FALSE()),""))</f>
      </c>
    </row>
    <row r="8829">
      <c r="E8829">
        <f>IF(DATOS!$I8829="","",IFERROR(VLOOKUP(DATOS!$I8829,CONFIG_ASIGNATURAS!$B$2:$J$61,9,FALSE()),""))</f>
      </c>
    </row>
    <row r="8830">
      <c r="E8830">
        <f>IF(DATOS!$I8830="","",IFERROR(VLOOKUP(DATOS!$I8830,CONFIG_ASIGNATURAS!$B$2:$J$61,9,FALSE()),""))</f>
      </c>
    </row>
    <row r="8831">
      <c r="E8831">
        <f>IF(DATOS!$I8831="","",IFERROR(VLOOKUP(DATOS!$I8831,CONFIG_ASIGNATURAS!$B$2:$J$61,9,FALSE()),""))</f>
      </c>
    </row>
    <row r="8832">
      <c r="E8832">
        <f>IF(DATOS!$I8832="","",IFERROR(VLOOKUP(DATOS!$I8832,CONFIG_ASIGNATURAS!$B$2:$J$61,9,FALSE()),""))</f>
      </c>
    </row>
    <row r="8833">
      <c r="E8833">
        <f>IF(DATOS!$I8833="","",IFERROR(VLOOKUP(DATOS!$I8833,CONFIG_ASIGNATURAS!$B$2:$J$61,9,FALSE()),""))</f>
      </c>
    </row>
    <row r="8834">
      <c r="E8834">
        <f>IF(DATOS!$I8834="","",IFERROR(VLOOKUP(DATOS!$I8834,CONFIG_ASIGNATURAS!$B$2:$J$61,9,FALSE()),""))</f>
      </c>
    </row>
    <row r="8835">
      <c r="E8835">
        <f>IF(DATOS!$I8835="","",IFERROR(VLOOKUP(DATOS!$I8835,CONFIG_ASIGNATURAS!$B$2:$J$61,9,FALSE()),""))</f>
      </c>
    </row>
    <row r="8836">
      <c r="E8836">
        <f>IF(DATOS!$I8836="","",IFERROR(VLOOKUP(DATOS!$I8836,CONFIG_ASIGNATURAS!$B$2:$J$61,9,FALSE()),""))</f>
      </c>
    </row>
    <row r="8837">
      <c r="E8837">
        <f>IF(DATOS!$I8837="","",IFERROR(VLOOKUP(DATOS!$I8837,CONFIG_ASIGNATURAS!$B$2:$J$61,9,FALSE()),""))</f>
      </c>
    </row>
    <row r="8838">
      <c r="E8838">
        <f>IF(DATOS!$I8838="","",IFERROR(VLOOKUP(DATOS!$I8838,CONFIG_ASIGNATURAS!$B$2:$J$61,9,FALSE()),""))</f>
      </c>
    </row>
    <row r="8839">
      <c r="E8839">
        <f>IF(DATOS!$I8839="","",IFERROR(VLOOKUP(DATOS!$I8839,CONFIG_ASIGNATURAS!$B$2:$J$61,9,FALSE()),""))</f>
      </c>
    </row>
    <row r="8840">
      <c r="E8840">
        <f>IF(DATOS!$I8840="","",IFERROR(VLOOKUP(DATOS!$I8840,CONFIG_ASIGNATURAS!$B$2:$J$61,9,FALSE()),""))</f>
      </c>
    </row>
    <row r="8841">
      <c r="E8841">
        <f>IF(DATOS!$I8841="","",IFERROR(VLOOKUP(DATOS!$I8841,CONFIG_ASIGNATURAS!$B$2:$J$61,9,FALSE()),""))</f>
      </c>
    </row>
    <row r="8842">
      <c r="E8842">
        <f>IF(DATOS!$I8842="","",IFERROR(VLOOKUP(DATOS!$I8842,CONFIG_ASIGNATURAS!$B$2:$J$61,9,FALSE()),""))</f>
      </c>
    </row>
    <row r="8843">
      <c r="E8843">
        <f>IF(DATOS!$I8843="","",IFERROR(VLOOKUP(DATOS!$I8843,CONFIG_ASIGNATURAS!$B$2:$J$61,9,FALSE()),""))</f>
      </c>
    </row>
    <row r="8844">
      <c r="E8844">
        <f>IF(DATOS!$I8844="","",IFERROR(VLOOKUP(DATOS!$I8844,CONFIG_ASIGNATURAS!$B$2:$J$61,9,FALSE()),""))</f>
      </c>
    </row>
    <row r="8845">
      <c r="E8845">
        <f>IF(DATOS!$I8845="","",IFERROR(VLOOKUP(DATOS!$I8845,CONFIG_ASIGNATURAS!$B$2:$J$61,9,FALSE()),""))</f>
      </c>
    </row>
    <row r="8846">
      <c r="E8846">
        <f>IF(DATOS!$I8846="","",IFERROR(VLOOKUP(DATOS!$I8846,CONFIG_ASIGNATURAS!$B$2:$J$61,9,FALSE()),""))</f>
      </c>
    </row>
    <row r="8847">
      <c r="E8847">
        <f>IF(DATOS!$I8847="","",IFERROR(VLOOKUP(DATOS!$I8847,CONFIG_ASIGNATURAS!$B$2:$J$61,9,FALSE()),""))</f>
      </c>
    </row>
    <row r="8848">
      <c r="E8848">
        <f>IF(DATOS!$I8848="","",IFERROR(VLOOKUP(DATOS!$I8848,CONFIG_ASIGNATURAS!$B$2:$J$61,9,FALSE()),""))</f>
      </c>
    </row>
    <row r="8849">
      <c r="E8849">
        <f>IF(DATOS!$I8849="","",IFERROR(VLOOKUP(DATOS!$I8849,CONFIG_ASIGNATURAS!$B$2:$J$61,9,FALSE()),""))</f>
      </c>
    </row>
    <row r="8850">
      <c r="E8850">
        <f>IF(DATOS!$I8850="","",IFERROR(VLOOKUP(DATOS!$I8850,CONFIG_ASIGNATURAS!$B$2:$J$61,9,FALSE()),""))</f>
      </c>
    </row>
    <row r="8851">
      <c r="E8851">
        <f>IF(DATOS!$I8851="","",IFERROR(VLOOKUP(DATOS!$I8851,CONFIG_ASIGNATURAS!$B$2:$J$61,9,FALSE()),""))</f>
      </c>
    </row>
    <row r="8852">
      <c r="E8852">
        <f>IF(DATOS!$I8852="","",IFERROR(VLOOKUP(DATOS!$I8852,CONFIG_ASIGNATURAS!$B$2:$J$61,9,FALSE()),""))</f>
      </c>
    </row>
    <row r="8853">
      <c r="E8853">
        <f>IF(DATOS!$I8853="","",IFERROR(VLOOKUP(DATOS!$I8853,CONFIG_ASIGNATURAS!$B$2:$J$61,9,FALSE()),""))</f>
      </c>
    </row>
    <row r="8854">
      <c r="E8854">
        <f>IF(DATOS!$I8854="","",IFERROR(VLOOKUP(DATOS!$I8854,CONFIG_ASIGNATURAS!$B$2:$J$61,9,FALSE()),""))</f>
      </c>
    </row>
    <row r="8855">
      <c r="E8855">
        <f>IF(DATOS!$I8855="","",IFERROR(VLOOKUP(DATOS!$I8855,CONFIG_ASIGNATURAS!$B$2:$J$61,9,FALSE()),""))</f>
      </c>
    </row>
    <row r="8856">
      <c r="E8856">
        <f>IF(DATOS!$I8856="","",IFERROR(VLOOKUP(DATOS!$I8856,CONFIG_ASIGNATURAS!$B$2:$J$61,9,FALSE()),""))</f>
      </c>
    </row>
    <row r="8857">
      <c r="E8857">
        <f>IF(DATOS!$I8857="","",IFERROR(VLOOKUP(DATOS!$I8857,CONFIG_ASIGNATURAS!$B$2:$J$61,9,FALSE()),""))</f>
      </c>
    </row>
    <row r="8858">
      <c r="E8858">
        <f>IF(DATOS!$I8858="","",IFERROR(VLOOKUP(DATOS!$I8858,CONFIG_ASIGNATURAS!$B$2:$J$61,9,FALSE()),""))</f>
      </c>
    </row>
    <row r="8859">
      <c r="E8859">
        <f>IF(DATOS!$I8859="","",IFERROR(VLOOKUP(DATOS!$I8859,CONFIG_ASIGNATURAS!$B$2:$J$61,9,FALSE()),""))</f>
      </c>
    </row>
    <row r="8860">
      <c r="E8860">
        <f>IF(DATOS!$I8860="","",IFERROR(VLOOKUP(DATOS!$I8860,CONFIG_ASIGNATURAS!$B$2:$J$61,9,FALSE()),""))</f>
      </c>
    </row>
    <row r="8861">
      <c r="E8861">
        <f>IF(DATOS!$I8861="","",IFERROR(VLOOKUP(DATOS!$I8861,CONFIG_ASIGNATURAS!$B$2:$J$61,9,FALSE()),""))</f>
      </c>
    </row>
    <row r="8862">
      <c r="E8862">
        <f>IF(DATOS!$I8862="","",IFERROR(VLOOKUP(DATOS!$I8862,CONFIG_ASIGNATURAS!$B$2:$J$61,9,FALSE()),""))</f>
      </c>
    </row>
    <row r="8863">
      <c r="E8863">
        <f>IF(DATOS!$I8863="","",IFERROR(VLOOKUP(DATOS!$I8863,CONFIG_ASIGNATURAS!$B$2:$J$61,9,FALSE()),""))</f>
      </c>
    </row>
    <row r="8864">
      <c r="E8864">
        <f>IF(DATOS!$I8864="","",IFERROR(VLOOKUP(DATOS!$I8864,CONFIG_ASIGNATURAS!$B$2:$J$61,9,FALSE()),""))</f>
      </c>
    </row>
    <row r="8865">
      <c r="E8865">
        <f>IF(DATOS!$I8865="","",IFERROR(VLOOKUP(DATOS!$I8865,CONFIG_ASIGNATURAS!$B$2:$J$61,9,FALSE()),""))</f>
      </c>
    </row>
    <row r="8866">
      <c r="E8866">
        <f>IF(DATOS!$I8866="","",IFERROR(VLOOKUP(DATOS!$I8866,CONFIG_ASIGNATURAS!$B$2:$J$61,9,FALSE()),""))</f>
      </c>
    </row>
    <row r="8867">
      <c r="E8867">
        <f>IF(DATOS!$I8867="","",IFERROR(VLOOKUP(DATOS!$I8867,CONFIG_ASIGNATURAS!$B$2:$J$61,9,FALSE()),""))</f>
      </c>
    </row>
    <row r="8868">
      <c r="E8868">
        <f>IF(DATOS!$I8868="","",IFERROR(VLOOKUP(DATOS!$I8868,CONFIG_ASIGNATURAS!$B$2:$J$61,9,FALSE()),""))</f>
      </c>
    </row>
    <row r="8869">
      <c r="E8869">
        <f>IF(DATOS!$I8869="","",IFERROR(VLOOKUP(DATOS!$I8869,CONFIG_ASIGNATURAS!$B$2:$J$61,9,FALSE()),""))</f>
      </c>
    </row>
    <row r="8870">
      <c r="E8870">
        <f>IF(DATOS!$I8870="","",IFERROR(VLOOKUP(DATOS!$I8870,CONFIG_ASIGNATURAS!$B$2:$J$61,9,FALSE()),""))</f>
      </c>
    </row>
    <row r="8871">
      <c r="E8871">
        <f>IF(DATOS!$I8871="","",IFERROR(VLOOKUP(DATOS!$I8871,CONFIG_ASIGNATURAS!$B$2:$J$61,9,FALSE()),""))</f>
      </c>
    </row>
    <row r="8872">
      <c r="E8872">
        <f>IF(DATOS!$I8872="","",IFERROR(VLOOKUP(DATOS!$I8872,CONFIG_ASIGNATURAS!$B$2:$J$61,9,FALSE()),""))</f>
      </c>
    </row>
    <row r="8873">
      <c r="E8873">
        <f>IF(DATOS!$I8873="","",IFERROR(VLOOKUP(DATOS!$I8873,CONFIG_ASIGNATURAS!$B$2:$J$61,9,FALSE()),""))</f>
      </c>
    </row>
    <row r="8874">
      <c r="E8874">
        <f>IF(DATOS!$I8874="","",IFERROR(VLOOKUP(DATOS!$I8874,CONFIG_ASIGNATURAS!$B$2:$J$61,9,FALSE()),""))</f>
      </c>
    </row>
    <row r="8875">
      <c r="E8875">
        <f>IF(DATOS!$I8875="","",IFERROR(VLOOKUP(DATOS!$I8875,CONFIG_ASIGNATURAS!$B$2:$J$61,9,FALSE()),""))</f>
      </c>
    </row>
    <row r="8876">
      <c r="E8876">
        <f>IF(DATOS!$I8876="","",IFERROR(VLOOKUP(DATOS!$I8876,CONFIG_ASIGNATURAS!$B$2:$J$61,9,FALSE()),""))</f>
      </c>
    </row>
    <row r="8877">
      <c r="E8877">
        <f>IF(DATOS!$I8877="","",IFERROR(VLOOKUP(DATOS!$I8877,CONFIG_ASIGNATURAS!$B$2:$J$61,9,FALSE()),""))</f>
      </c>
    </row>
    <row r="8878">
      <c r="E8878">
        <f>IF(DATOS!$I8878="","",IFERROR(VLOOKUP(DATOS!$I8878,CONFIG_ASIGNATURAS!$B$2:$J$61,9,FALSE()),""))</f>
      </c>
    </row>
    <row r="8879">
      <c r="E8879">
        <f>IF(DATOS!$I8879="","",IFERROR(VLOOKUP(DATOS!$I8879,CONFIG_ASIGNATURAS!$B$2:$J$61,9,FALSE()),""))</f>
      </c>
    </row>
    <row r="8880">
      <c r="E8880">
        <f>IF(DATOS!$I8880="","",IFERROR(VLOOKUP(DATOS!$I8880,CONFIG_ASIGNATURAS!$B$2:$J$61,9,FALSE()),""))</f>
      </c>
    </row>
    <row r="8881">
      <c r="E8881">
        <f>IF(DATOS!$I8881="","",IFERROR(VLOOKUP(DATOS!$I8881,CONFIG_ASIGNATURAS!$B$2:$J$61,9,FALSE()),""))</f>
      </c>
    </row>
    <row r="8882">
      <c r="E8882">
        <f>IF(DATOS!$I8882="","",IFERROR(VLOOKUP(DATOS!$I8882,CONFIG_ASIGNATURAS!$B$2:$J$61,9,FALSE()),""))</f>
      </c>
    </row>
    <row r="8883">
      <c r="E8883">
        <f>IF(DATOS!$I8883="","",IFERROR(VLOOKUP(DATOS!$I8883,CONFIG_ASIGNATURAS!$B$2:$J$61,9,FALSE()),""))</f>
      </c>
    </row>
    <row r="8884">
      <c r="E8884">
        <f>IF(DATOS!$I8884="","",IFERROR(VLOOKUP(DATOS!$I8884,CONFIG_ASIGNATURAS!$B$2:$J$61,9,FALSE()),""))</f>
      </c>
    </row>
    <row r="8885">
      <c r="E8885">
        <f>IF(DATOS!$I8885="","",IFERROR(VLOOKUP(DATOS!$I8885,CONFIG_ASIGNATURAS!$B$2:$J$61,9,FALSE()),""))</f>
      </c>
    </row>
    <row r="8886">
      <c r="E8886">
        <f>IF(DATOS!$I8886="","",IFERROR(VLOOKUP(DATOS!$I8886,CONFIG_ASIGNATURAS!$B$2:$J$61,9,FALSE()),""))</f>
      </c>
    </row>
    <row r="8887">
      <c r="E8887">
        <f>IF(DATOS!$I8887="","",IFERROR(VLOOKUP(DATOS!$I8887,CONFIG_ASIGNATURAS!$B$2:$J$61,9,FALSE()),""))</f>
      </c>
    </row>
    <row r="8888">
      <c r="E8888">
        <f>IF(DATOS!$I8888="","",IFERROR(VLOOKUP(DATOS!$I8888,CONFIG_ASIGNATURAS!$B$2:$J$61,9,FALSE()),""))</f>
      </c>
    </row>
    <row r="8889">
      <c r="E8889">
        <f>IF(DATOS!$I8889="","",IFERROR(VLOOKUP(DATOS!$I8889,CONFIG_ASIGNATURAS!$B$2:$J$61,9,FALSE()),""))</f>
      </c>
    </row>
    <row r="8890">
      <c r="E8890">
        <f>IF(DATOS!$I8890="","",IFERROR(VLOOKUP(DATOS!$I8890,CONFIG_ASIGNATURAS!$B$2:$J$61,9,FALSE()),""))</f>
      </c>
    </row>
    <row r="8891">
      <c r="E8891">
        <f>IF(DATOS!$I8891="","",IFERROR(VLOOKUP(DATOS!$I8891,CONFIG_ASIGNATURAS!$B$2:$J$61,9,FALSE()),""))</f>
      </c>
    </row>
    <row r="8892">
      <c r="E8892">
        <f>IF(DATOS!$I8892="","",IFERROR(VLOOKUP(DATOS!$I8892,CONFIG_ASIGNATURAS!$B$2:$J$61,9,FALSE()),""))</f>
      </c>
    </row>
    <row r="8893">
      <c r="E8893">
        <f>IF(DATOS!$I8893="","",IFERROR(VLOOKUP(DATOS!$I8893,CONFIG_ASIGNATURAS!$B$2:$J$61,9,FALSE()),""))</f>
      </c>
    </row>
    <row r="8894">
      <c r="E8894">
        <f>IF(DATOS!$I8894="","",IFERROR(VLOOKUP(DATOS!$I8894,CONFIG_ASIGNATURAS!$B$2:$J$61,9,FALSE()),""))</f>
      </c>
    </row>
    <row r="8895">
      <c r="E8895">
        <f>IF(DATOS!$I8895="","",IFERROR(VLOOKUP(DATOS!$I8895,CONFIG_ASIGNATURAS!$B$2:$J$61,9,FALSE()),""))</f>
      </c>
    </row>
    <row r="8896">
      <c r="E8896">
        <f>IF(DATOS!$I8896="","",IFERROR(VLOOKUP(DATOS!$I8896,CONFIG_ASIGNATURAS!$B$2:$J$61,9,FALSE()),""))</f>
      </c>
    </row>
    <row r="8897">
      <c r="E8897">
        <f>IF(DATOS!$I8897="","",IFERROR(VLOOKUP(DATOS!$I8897,CONFIG_ASIGNATURAS!$B$2:$J$61,9,FALSE()),""))</f>
      </c>
    </row>
    <row r="8898">
      <c r="E8898">
        <f>IF(DATOS!$I8898="","",IFERROR(VLOOKUP(DATOS!$I8898,CONFIG_ASIGNATURAS!$B$2:$J$61,9,FALSE()),""))</f>
      </c>
    </row>
    <row r="8899">
      <c r="E8899">
        <f>IF(DATOS!$I8899="","",IFERROR(VLOOKUP(DATOS!$I8899,CONFIG_ASIGNATURAS!$B$2:$J$61,9,FALSE()),""))</f>
      </c>
    </row>
    <row r="8900">
      <c r="E8900">
        <f>IF(DATOS!$I8900="","",IFERROR(VLOOKUP(DATOS!$I8900,CONFIG_ASIGNATURAS!$B$2:$J$61,9,FALSE()),""))</f>
      </c>
    </row>
    <row r="8901">
      <c r="E8901">
        <f>IF(DATOS!$I8901="","",IFERROR(VLOOKUP(DATOS!$I8901,CONFIG_ASIGNATURAS!$B$2:$J$61,9,FALSE()),""))</f>
      </c>
    </row>
    <row r="8902">
      <c r="E8902">
        <f>IF(DATOS!$I8902="","",IFERROR(VLOOKUP(DATOS!$I8902,CONFIG_ASIGNATURAS!$B$2:$J$61,9,FALSE()),""))</f>
      </c>
    </row>
    <row r="8903">
      <c r="E8903">
        <f>IF(DATOS!$I8903="","",IFERROR(VLOOKUP(DATOS!$I8903,CONFIG_ASIGNATURAS!$B$2:$J$61,9,FALSE()),""))</f>
      </c>
    </row>
    <row r="8904">
      <c r="E8904">
        <f>IF(DATOS!$I8904="","",IFERROR(VLOOKUP(DATOS!$I8904,CONFIG_ASIGNATURAS!$B$2:$J$61,9,FALSE()),""))</f>
      </c>
    </row>
    <row r="8905">
      <c r="E8905">
        <f>IF(DATOS!$I8905="","",IFERROR(VLOOKUP(DATOS!$I8905,CONFIG_ASIGNATURAS!$B$2:$J$61,9,FALSE()),""))</f>
      </c>
    </row>
    <row r="8906">
      <c r="E8906">
        <f>IF(DATOS!$I8906="","",IFERROR(VLOOKUP(DATOS!$I8906,CONFIG_ASIGNATURAS!$B$2:$J$61,9,FALSE()),""))</f>
      </c>
    </row>
    <row r="8907">
      <c r="E8907">
        <f>IF(DATOS!$I8907="","",IFERROR(VLOOKUP(DATOS!$I8907,CONFIG_ASIGNATURAS!$B$2:$J$61,9,FALSE()),""))</f>
      </c>
    </row>
    <row r="8908">
      <c r="E8908">
        <f>IF(DATOS!$I8908="","",IFERROR(VLOOKUP(DATOS!$I8908,CONFIG_ASIGNATURAS!$B$2:$J$61,9,FALSE()),""))</f>
      </c>
    </row>
    <row r="8909">
      <c r="E8909">
        <f>IF(DATOS!$I8909="","",IFERROR(VLOOKUP(DATOS!$I8909,CONFIG_ASIGNATURAS!$B$2:$J$61,9,FALSE()),""))</f>
      </c>
    </row>
    <row r="8910">
      <c r="E8910">
        <f>IF(DATOS!$I8910="","",IFERROR(VLOOKUP(DATOS!$I8910,CONFIG_ASIGNATURAS!$B$2:$J$61,9,FALSE()),""))</f>
      </c>
    </row>
    <row r="8911">
      <c r="E8911">
        <f>IF(DATOS!$I8911="","",IFERROR(VLOOKUP(DATOS!$I8911,CONFIG_ASIGNATURAS!$B$2:$J$61,9,FALSE()),""))</f>
      </c>
    </row>
    <row r="8912">
      <c r="E8912">
        <f>IF(DATOS!$I8912="","",IFERROR(VLOOKUP(DATOS!$I8912,CONFIG_ASIGNATURAS!$B$2:$J$61,9,FALSE()),""))</f>
      </c>
    </row>
    <row r="8913">
      <c r="E8913">
        <f>IF(DATOS!$I8913="","",IFERROR(VLOOKUP(DATOS!$I8913,CONFIG_ASIGNATURAS!$B$2:$J$61,9,FALSE()),""))</f>
      </c>
    </row>
    <row r="8914">
      <c r="E8914">
        <f>IF(DATOS!$I8914="","",IFERROR(VLOOKUP(DATOS!$I8914,CONFIG_ASIGNATURAS!$B$2:$J$61,9,FALSE()),""))</f>
      </c>
    </row>
    <row r="8915">
      <c r="E8915">
        <f>IF(DATOS!$I8915="","",IFERROR(VLOOKUP(DATOS!$I8915,CONFIG_ASIGNATURAS!$B$2:$J$61,9,FALSE()),""))</f>
      </c>
    </row>
    <row r="8916">
      <c r="E8916">
        <f>IF(DATOS!$I8916="","",IFERROR(VLOOKUP(DATOS!$I8916,CONFIG_ASIGNATURAS!$B$2:$J$61,9,FALSE()),""))</f>
      </c>
    </row>
    <row r="8917">
      <c r="E8917">
        <f>IF(DATOS!$I8917="","",IFERROR(VLOOKUP(DATOS!$I8917,CONFIG_ASIGNATURAS!$B$2:$J$61,9,FALSE()),""))</f>
      </c>
    </row>
    <row r="8918">
      <c r="E8918">
        <f>IF(DATOS!$I8918="","",IFERROR(VLOOKUP(DATOS!$I8918,CONFIG_ASIGNATURAS!$B$2:$J$61,9,FALSE()),""))</f>
      </c>
    </row>
    <row r="8919">
      <c r="E8919">
        <f>IF(DATOS!$I8919="","",IFERROR(VLOOKUP(DATOS!$I8919,CONFIG_ASIGNATURAS!$B$2:$J$61,9,FALSE()),""))</f>
      </c>
    </row>
    <row r="8920">
      <c r="E8920">
        <f>IF(DATOS!$I8920="","",IFERROR(VLOOKUP(DATOS!$I8920,CONFIG_ASIGNATURAS!$B$2:$J$61,9,FALSE()),""))</f>
      </c>
    </row>
    <row r="8921">
      <c r="E8921">
        <f>IF(DATOS!$I8921="","",IFERROR(VLOOKUP(DATOS!$I8921,CONFIG_ASIGNATURAS!$B$2:$J$61,9,FALSE()),""))</f>
      </c>
    </row>
    <row r="8922">
      <c r="E8922">
        <f>IF(DATOS!$I8922="","",IFERROR(VLOOKUP(DATOS!$I8922,CONFIG_ASIGNATURAS!$B$2:$J$61,9,FALSE()),""))</f>
      </c>
    </row>
    <row r="8923">
      <c r="E8923">
        <f>IF(DATOS!$I8923="","",IFERROR(VLOOKUP(DATOS!$I8923,CONFIG_ASIGNATURAS!$B$2:$J$61,9,FALSE()),""))</f>
      </c>
    </row>
    <row r="8924">
      <c r="E8924">
        <f>IF(DATOS!$I8924="","",IFERROR(VLOOKUP(DATOS!$I8924,CONFIG_ASIGNATURAS!$B$2:$J$61,9,FALSE()),""))</f>
      </c>
    </row>
    <row r="8925">
      <c r="E8925">
        <f>IF(DATOS!$I8925="","",IFERROR(VLOOKUP(DATOS!$I8925,CONFIG_ASIGNATURAS!$B$2:$J$61,9,FALSE()),""))</f>
      </c>
    </row>
    <row r="8926">
      <c r="E8926">
        <f>IF(DATOS!$I8926="","",IFERROR(VLOOKUP(DATOS!$I8926,CONFIG_ASIGNATURAS!$B$2:$J$61,9,FALSE()),""))</f>
      </c>
    </row>
    <row r="8927">
      <c r="E8927">
        <f>IF(DATOS!$I8927="","",IFERROR(VLOOKUP(DATOS!$I8927,CONFIG_ASIGNATURAS!$B$2:$J$61,9,FALSE()),""))</f>
      </c>
    </row>
    <row r="8928">
      <c r="E8928">
        <f>IF(DATOS!$I8928="","",IFERROR(VLOOKUP(DATOS!$I8928,CONFIG_ASIGNATURAS!$B$2:$J$61,9,FALSE()),""))</f>
      </c>
    </row>
    <row r="8929">
      <c r="E8929">
        <f>IF(DATOS!$I8929="","",IFERROR(VLOOKUP(DATOS!$I8929,CONFIG_ASIGNATURAS!$B$2:$J$61,9,FALSE()),""))</f>
      </c>
    </row>
    <row r="8930">
      <c r="E8930">
        <f>IF(DATOS!$I8930="","",IFERROR(VLOOKUP(DATOS!$I8930,CONFIG_ASIGNATURAS!$B$2:$J$61,9,FALSE()),""))</f>
      </c>
    </row>
    <row r="8931">
      <c r="E8931">
        <f>IF(DATOS!$I8931="","",IFERROR(VLOOKUP(DATOS!$I8931,CONFIG_ASIGNATURAS!$B$2:$J$61,9,FALSE()),""))</f>
      </c>
    </row>
    <row r="8932">
      <c r="E8932">
        <f>IF(DATOS!$I8932="","",IFERROR(VLOOKUP(DATOS!$I8932,CONFIG_ASIGNATURAS!$B$2:$J$61,9,FALSE()),""))</f>
      </c>
    </row>
    <row r="8933">
      <c r="E8933">
        <f>IF(DATOS!$I8933="","",IFERROR(VLOOKUP(DATOS!$I8933,CONFIG_ASIGNATURAS!$B$2:$J$61,9,FALSE()),""))</f>
      </c>
    </row>
    <row r="8934">
      <c r="E8934">
        <f>IF(DATOS!$I8934="","",IFERROR(VLOOKUP(DATOS!$I8934,CONFIG_ASIGNATURAS!$B$2:$J$61,9,FALSE()),""))</f>
      </c>
    </row>
    <row r="8935">
      <c r="E8935">
        <f>IF(DATOS!$I8935="","",IFERROR(VLOOKUP(DATOS!$I8935,CONFIG_ASIGNATURAS!$B$2:$J$61,9,FALSE()),""))</f>
      </c>
    </row>
    <row r="8936">
      <c r="E8936">
        <f>IF(DATOS!$I8936="","",IFERROR(VLOOKUP(DATOS!$I8936,CONFIG_ASIGNATURAS!$B$2:$J$61,9,FALSE()),""))</f>
      </c>
    </row>
    <row r="8937">
      <c r="E8937">
        <f>IF(DATOS!$I8937="","",IFERROR(VLOOKUP(DATOS!$I8937,CONFIG_ASIGNATURAS!$B$2:$J$61,9,FALSE()),""))</f>
      </c>
    </row>
    <row r="8938">
      <c r="E8938">
        <f>IF(DATOS!$I8938="","",IFERROR(VLOOKUP(DATOS!$I8938,CONFIG_ASIGNATURAS!$B$2:$J$61,9,FALSE()),""))</f>
      </c>
    </row>
    <row r="8939">
      <c r="E8939">
        <f>IF(DATOS!$I8939="","",IFERROR(VLOOKUP(DATOS!$I8939,CONFIG_ASIGNATURAS!$B$2:$J$61,9,FALSE()),""))</f>
      </c>
    </row>
    <row r="8940">
      <c r="E8940">
        <f>IF(DATOS!$I8940="","",IFERROR(VLOOKUP(DATOS!$I8940,CONFIG_ASIGNATURAS!$B$2:$J$61,9,FALSE()),""))</f>
      </c>
    </row>
    <row r="8941">
      <c r="E8941">
        <f>IF(DATOS!$I8941="","",IFERROR(VLOOKUP(DATOS!$I8941,CONFIG_ASIGNATURAS!$B$2:$J$61,9,FALSE()),""))</f>
      </c>
    </row>
    <row r="8942">
      <c r="E8942">
        <f>IF(DATOS!$I8942="","",IFERROR(VLOOKUP(DATOS!$I8942,CONFIG_ASIGNATURAS!$B$2:$J$61,9,FALSE()),""))</f>
      </c>
    </row>
    <row r="8943">
      <c r="E8943">
        <f>IF(DATOS!$I8943="","",IFERROR(VLOOKUP(DATOS!$I8943,CONFIG_ASIGNATURAS!$B$2:$J$61,9,FALSE()),""))</f>
      </c>
    </row>
    <row r="8944">
      <c r="E8944">
        <f>IF(DATOS!$I8944="","",IFERROR(VLOOKUP(DATOS!$I8944,CONFIG_ASIGNATURAS!$B$2:$J$61,9,FALSE()),""))</f>
      </c>
    </row>
    <row r="8945">
      <c r="E8945">
        <f>IF(DATOS!$I8945="","",IFERROR(VLOOKUP(DATOS!$I8945,CONFIG_ASIGNATURAS!$B$2:$J$61,9,FALSE()),""))</f>
      </c>
    </row>
    <row r="8946">
      <c r="E8946">
        <f>IF(DATOS!$I8946="","",IFERROR(VLOOKUP(DATOS!$I8946,CONFIG_ASIGNATURAS!$B$2:$J$61,9,FALSE()),""))</f>
      </c>
    </row>
    <row r="8947">
      <c r="E8947">
        <f>IF(DATOS!$I8947="","",IFERROR(VLOOKUP(DATOS!$I8947,CONFIG_ASIGNATURAS!$B$2:$J$61,9,FALSE()),""))</f>
      </c>
    </row>
    <row r="8948">
      <c r="E8948">
        <f>IF(DATOS!$I8948="","",IFERROR(VLOOKUP(DATOS!$I8948,CONFIG_ASIGNATURAS!$B$2:$J$61,9,FALSE()),""))</f>
      </c>
    </row>
    <row r="8949">
      <c r="E8949">
        <f>IF(DATOS!$I8949="","",IFERROR(VLOOKUP(DATOS!$I8949,CONFIG_ASIGNATURAS!$B$2:$J$61,9,FALSE()),""))</f>
      </c>
    </row>
    <row r="8950">
      <c r="E8950">
        <f>IF(DATOS!$I8950="","",IFERROR(VLOOKUP(DATOS!$I8950,CONFIG_ASIGNATURAS!$B$2:$J$61,9,FALSE()),""))</f>
      </c>
    </row>
    <row r="8951">
      <c r="E8951">
        <f>IF(DATOS!$I8951="","",IFERROR(VLOOKUP(DATOS!$I8951,CONFIG_ASIGNATURAS!$B$2:$J$61,9,FALSE()),""))</f>
      </c>
    </row>
    <row r="8952">
      <c r="E8952">
        <f>IF(DATOS!$I8952="","",IFERROR(VLOOKUP(DATOS!$I8952,CONFIG_ASIGNATURAS!$B$2:$J$61,9,FALSE()),""))</f>
      </c>
    </row>
    <row r="8953">
      <c r="E8953">
        <f>IF(DATOS!$I8953="","",IFERROR(VLOOKUP(DATOS!$I8953,CONFIG_ASIGNATURAS!$B$2:$J$61,9,FALSE()),""))</f>
      </c>
    </row>
    <row r="8954">
      <c r="E8954">
        <f>IF(DATOS!$I8954="","",IFERROR(VLOOKUP(DATOS!$I8954,CONFIG_ASIGNATURAS!$B$2:$J$61,9,FALSE()),""))</f>
      </c>
    </row>
    <row r="8955">
      <c r="E8955">
        <f>IF(DATOS!$I8955="","",IFERROR(VLOOKUP(DATOS!$I8955,CONFIG_ASIGNATURAS!$B$2:$J$61,9,FALSE()),""))</f>
      </c>
    </row>
    <row r="8956">
      <c r="E8956">
        <f>IF(DATOS!$I8956="","",IFERROR(VLOOKUP(DATOS!$I8956,CONFIG_ASIGNATURAS!$B$2:$J$61,9,FALSE()),""))</f>
      </c>
    </row>
    <row r="8957">
      <c r="E8957">
        <f>IF(DATOS!$I8957="","",IFERROR(VLOOKUP(DATOS!$I8957,CONFIG_ASIGNATURAS!$B$2:$J$61,9,FALSE()),""))</f>
      </c>
    </row>
    <row r="8958">
      <c r="E8958">
        <f>IF(DATOS!$I8958="","",IFERROR(VLOOKUP(DATOS!$I8958,CONFIG_ASIGNATURAS!$B$2:$J$61,9,FALSE()),""))</f>
      </c>
    </row>
    <row r="8959">
      <c r="E8959">
        <f>IF(DATOS!$I8959="","",IFERROR(VLOOKUP(DATOS!$I8959,CONFIG_ASIGNATURAS!$B$2:$J$61,9,FALSE()),""))</f>
      </c>
    </row>
    <row r="8960">
      <c r="E8960">
        <f>IF(DATOS!$I8960="","",IFERROR(VLOOKUP(DATOS!$I8960,CONFIG_ASIGNATURAS!$B$2:$J$61,9,FALSE()),""))</f>
      </c>
    </row>
    <row r="8961">
      <c r="E8961">
        <f>IF(DATOS!$I8961="","",IFERROR(VLOOKUP(DATOS!$I8961,CONFIG_ASIGNATURAS!$B$2:$J$61,9,FALSE()),""))</f>
      </c>
    </row>
    <row r="8962">
      <c r="E8962">
        <f>IF(DATOS!$I8962="","",IFERROR(VLOOKUP(DATOS!$I8962,CONFIG_ASIGNATURAS!$B$2:$J$61,9,FALSE()),""))</f>
      </c>
    </row>
    <row r="8963">
      <c r="E8963">
        <f>IF(DATOS!$I8963="","",IFERROR(VLOOKUP(DATOS!$I8963,CONFIG_ASIGNATURAS!$B$2:$J$61,9,FALSE()),""))</f>
      </c>
    </row>
    <row r="8964">
      <c r="E8964">
        <f>IF(DATOS!$I8964="","",IFERROR(VLOOKUP(DATOS!$I8964,CONFIG_ASIGNATURAS!$B$2:$J$61,9,FALSE()),""))</f>
      </c>
    </row>
    <row r="8965">
      <c r="E8965">
        <f>IF(DATOS!$I8965="","",IFERROR(VLOOKUP(DATOS!$I8965,CONFIG_ASIGNATURAS!$B$2:$J$61,9,FALSE()),""))</f>
      </c>
    </row>
    <row r="8966">
      <c r="E8966">
        <f>IF(DATOS!$I8966="","",IFERROR(VLOOKUP(DATOS!$I8966,CONFIG_ASIGNATURAS!$B$2:$J$61,9,FALSE()),""))</f>
      </c>
    </row>
    <row r="8967">
      <c r="E8967">
        <f>IF(DATOS!$I8967="","",IFERROR(VLOOKUP(DATOS!$I8967,CONFIG_ASIGNATURAS!$B$2:$J$61,9,FALSE()),""))</f>
      </c>
    </row>
    <row r="8968">
      <c r="E8968">
        <f>IF(DATOS!$I8968="","",IFERROR(VLOOKUP(DATOS!$I8968,CONFIG_ASIGNATURAS!$B$2:$J$61,9,FALSE()),""))</f>
      </c>
    </row>
    <row r="8969">
      <c r="E8969">
        <f>IF(DATOS!$I8969="","",IFERROR(VLOOKUP(DATOS!$I8969,CONFIG_ASIGNATURAS!$B$2:$J$61,9,FALSE()),""))</f>
      </c>
    </row>
    <row r="8970">
      <c r="E8970">
        <f>IF(DATOS!$I8970="","",IFERROR(VLOOKUP(DATOS!$I8970,CONFIG_ASIGNATURAS!$B$2:$J$61,9,FALSE()),""))</f>
      </c>
    </row>
    <row r="8971">
      <c r="E8971">
        <f>IF(DATOS!$I8971="","",IFERROR(VLOOKUP(DATOS!$I8971,CONFIG_ASIGNATURAS!$B$2:$J$61,9,FALSE()),""))</f>
      </c>
    </row>
    <row r="8972">
      <c r="E8972">
        <f>IF(DATOS!$I8972="","",IFERROR(VLOOKUP(DATOS!$I8972,CONFIG_ASIGNATURAS!$B$2:$J$61,9,FALSE()),""))</f>
      </c>
    </row>
    <row r="8973">
      <c r="E8973">
        <f>IF(DATOS!$I8973="","",IFERROR(VLOOKUP(DATOS!$I8973,CONFIG_ASIGNATURAS!$B$2:$J$61,9,FALSE()),""))</f>
      </c>
    </row>
    <row r="8974">
      <c r="E8974">
        <f>IF(DATOS!$I8974="","",IFERROR(VLOOKUP(DATOS!$I8974,CONFIG_ASIGNATURAS!$B$2:$J$61,9,FALSE()),""))</f>
      </c>
    </row>
    <row r="8975">
      <c r="E8975">
        <f>IF(DATOS!$I8975="","",IFERROR(VLOOKUP(DATOS!$I8975,CONFIG_ASIGNATURAS!$B$2:$J$61,9,FALSE()),""))</f>
      </c>
    </row>
    <row r="8976">
      <c r="E8976">
        <f>IF(DATOS!$I8976="","",IFERROR(VLOOKUP(DATOS!$I8976,CONFIG_ASIGNATURAS!$B$2:$J$61,9,FALSE()),""))</f>
      </c>
    </row>
    <row r="8977">
      <c r="E8977">
        <f>IF(DATOS!$I8977="","",IFERROR(VLOOKUP(DATOS!$I8977,CONFIG_ASIGNATURAS!$B$2:$J$61,9,FALSE()),""))</f>
      </c>
    </row>
    <row r="8978">
      <c r="E8978">
        <f>IF(DATOS!$I8978="","",IFERROR(VLOOKUP(DATOS!$I8978,CONFIG_ASIGNATURAS!$B$2:$J$61,9,FALSE()),""))</f>
      </c>
    </row>
    <row r="8979">
      <c r="E8979">
        <f>IF(DATOS!$I8979="","",IFERROR(VLOOKUP(DATOS!$I8979,CONFIG_ASIGNATURAS!$B$2:$J$61,9,FALSE()),""))</f>
      </c>
    </row>
    <row r="8980">
      <c r="E8980">
        <f>IF(DATOS!$I8980="","",IFERROR(VLOOKUP(DATOS!$I8980,CONFIG_ASIGNATURAS!$B$2:$J$61,9,FALSE()),""))</f>
      </c>
    </row>
    <row r="8981">
      <c r="E8981">
        <f>IF(DATOS!$I8981="","",IFERROR(VLOOKUP(DATOS!$I8981,CONFIG_ASIGNATURAS!$B$2:$J$61,9,FALSE()),""))</f>
      </c>
    </row>
    <row r="8982">
      <c r="E8982">
        <f>IF(DATOS!$I8982="","",IFERROR(VLOOKUP(DATOS!$I8982,CONFIG_ASIGNATURAS!$B$2:$J$61,9,FALSE()),""))</f>
      </c>
    </row>
    <row r="8983">
      <c r="E8983">
        <f>IF(DATOS!$I8983="","",IFERROR(VLOOKUP(DATOS!$I8983,CONFIG_ASIGNATURAS!$B$2:$J$61,9,FALSE()),""))</f>
      </c>
    </row>
    <row r="8984">
      <c r="E8984">
        <f>IF(DATOS!$I8984="","",IFERROR(VLOOKUP(DATOS!$I8984,CONFIG_ASIGNATURAS!$B$2:$J$61,9,FALSE()),""))</f>
      </c>
    </row>
    <row r="8985">
      <c r="E8985">
        <f>IF(DATOS!$I8985="","",IFERROR(VLOOKUP(DATOS!$I8985,CONFIG_ASIGNATURAS!$B$2:$J$61,9,FALSE()),""))</f>
      </c>
    </row>
    <row r="8986">
      <c r="E8986">
        <f>IF(DATOS!$I8986="","",IFERROR(VLOOKUP(DATOS!$I8986,CONFIG_ASIGNATURAS!$B$2:$J$61,9,FALSE()),""))</f>
      </c>
    </row>
    <row r="8987">
      <c r="E8987">
        <f>IF(DATOS!$I8987="","",IFERROR(VLOOKUP(DATOS!$I8987,CONFIG_ASIGNATURAS!$B$2:$J$61,9,FALSE()),""))</f>
      </c>
    </row>
    <row r="8988">
      <c r="E8988">
        <f>IF(DATOS!$I8988="","",IFERROR(VLOOKUP(DATOS!$I8988,CONFIG_ASIGNATURAS!$B$2:$J$61,9,FALSE()),""))</f>
      </c>
    </row>
    <row r="8989">
      <c r="E8989">
        <f>IF(DATOS!$I8989="","",IFERROR(VLOOKUP(DATOS!$I8989,CONFIG_ASIGNATURAS!$B$2:$J$61,9,FALSE()),""))</f>
      </c>
    </row>
    <row r="8990">
      <c r="E8990">
        <f>IF(DATOS!$I8990="","",IFERROR(VLOOKUP(DATOS!$I8990,CONFIG_ASIGNATURAS!$B$2:$J$61,9,FALSE()),""))</f>
      </c>
    </row>
    <row r="8991">
      <c r="E8991">
        <f>IF(DATOS!$I8991="","",IFERROR(VLOOKUP(DATOS!$I8991,CONFIG_ASIGNATURAS!$B$2:$J$61,9,FALSE()),""))</f>
      </c>
    </row>
    <row r="8992">
      <c r="E8992">
        <f>IF(DATOS!$I8992="","",IFERROR(VLOOKUP(DATOS!$I8992,CONFIG_ASIGNATURAS!$B$2:$J$61,9,FALSE()),""))</f>
      </c>
    </row>
    <row r="8993">
      <c r="E8993">
        <f>IF(DATOS!$I8993="","",IFERROR(VLOOKUP(DATOS!$I8993,CONFIG_ASIGNATURAS!$B$2:$J$61,9,FALSE()),""))</f>
      </c>
    </row>
    <row r="8994">
      <c r="E8994">
        <f>IF(DATOS!$I8994="","",IFERROR(VLOOKUP(DATOS!$I8994,CONFIG_ASIGNATURAS!$B$2:$J$61,9,FALSE()),""))</f>
      </c>
    </row>
    <row r="8995">
      <c r="E8995">
        <f>IF(DATOS!$I8995="","",IFERROR(VLOOKUP(DATOS!$I8995,CONFIG_ASIGNATURAS!$B$2:$J$61,9,FALSE()),""))</f>
      </c>
    </row>
    <row r="8996">
      <c r="E8996">
        <f>IF(DATOS!$I8996="","",IFERROR(VLOOKUP(DATOS!$I8996,CONFIG_ASIGNATURAS!$B$2:$J$61,9,FALSE()),""))</f>
      </c>
    </row>
    <row r="8997">
      <c r="E8997">
        <f>IF(DATOS!$I8997="","",IFERROR(VLOOKUP(DATOS!$I8997,CONFIG_ASIGNATURAS!$B$2:$J$61,9,FALSE()),""))</f>
      </c>
    </row>
    <row r="8998">
      <c r="E8998">
        <f>IF(DATOS!$I8998="","",IFERROR(VLOOKUP(DATOS!$I8998,CONFIG_ASIGNATURAS!$B$2:$J$61,9,FALSE()),""))</f>
      </c>
    </row>
    <row r="8999">
      <c r="E8999">
        <f>IF(DATOS!$I8999="","",IFERROR(VLOOKUP(DATOS!$I8999,CONFIG_ASIGNATURAS!$B$2:$J$61,9,FALSE()),""))</f>
      </c>
    </row>
    <row r="9000">
      <c r="E9000">
        <f>IF(DATOS!$I9000="","",IFERROR(VLOOKUP(DATOS!$I9000,CONFIG_ASIGNATURAS!$B$2:$J$61,9,FALSE()),""))</f>
      </c>
    </row>
    <row r="9001">
      <c r="E9001">
        <f>IF(DATOS!$I9001="","",IFERROR(VLOOKUP(DATOS!$I9001,CONFIG_ASIGNATURAS!$B$2:$J$61,9,FALSE()),""))</f>
      </c>
    </row>
    <row r="9002">
      <c r="E9002">
        <f>IF(DATOS!$I9002="","",IFERROR(VLOOKUP(DATOS!$I9002,CONFIG_ASIGNATURAS!$B$2:$J$61,9,FALSE()),""))</f>
      </c>
    </row>
    <row r="9003">
      <c r="E9003">
        <f>IF(DATOS!$I9003="","",IFERROR(VLOOKUP(DATOS!$I9003,CONFIG_ASIGNATURAS!$B$2:$J$61,9,FALSE()),""))</f>
      </c>
    </row>
    <row r="9004">
      <c r="E9004">
        <f>IF(DATOS!$I9004="","",IFERROR(VLOOKUP(DATOS!$I9004,CONFIG_ASIGNATURAS!$B$2:$J$61,9,FALSE()),""))</f>
      </c>
    </row>
    <row r="9005">
      <c r="E9005">
        <f>IF(DATOS!$I9005="","",IFERROR(VLOOKUP(DATOS!$I9005,CONFIG_ASIGNATURAS!$B$2:$J$61,9,FALSE()),""))</f>
      </c>
    </row>
    <row r="9006">
      <c r="E9006">
        <f>IF(DATOS!$I9006="","",IFERROR(VLOOKUP(DATOS!$I9006,CONFIG_ASIGNATURAS!$B$2:$J$61,9,FALSE()),""))</f>
      </c>
    </row>
    <row r="9007">
      <c r="E9007">
        <f>IF(DATOS!$I9007="","",IFERROR(VLOOKUP(DATOS!$I9007,CONFIG_ASIGNATURAS!$B$2:$J$61,9,FALSE()),""))</f>
      </c>
    </row>
    <row r="9008">
      <c r="E9008">
        <f>IF(DATOS!$I9008="","",IFERROR(VLOOKUP(DATOS!$I9008,CONFIG_ASIGNATURAS!$B$2:$J$61,9,FALSE()),""))</f>
      </c>
    </row>
    <row r="9009">
      <c r="E9009">
        <f>IF(DATOS!$I9009="","",IFERROR(VLOOKUP(DATOS!$I9009,CONFIG_ASIGNATURAS!$B$2:$J$61,9,FALSE()),""))</f>
      </c>
    </row>
    <row r="9010">
      <c r="E9010">
        <f>IF(DATOS!$I9010="","",IFERROR(VLOOKUP(DATOS!$I9010,CONFIG_ASIGNATURAS!$B$2:$J$61,9,FALSE()),""))</f>
      </c>
    </row>
    <row r="9011">
      <c r="E9011">
        <f>IF(DATOS!$I9011="","",IFERROR(VLOOKUP(DATOS!$I9011,CONFIG_ASIGNATURAS!$B$2:$J$61,9,FALSE()),""))</f>
      </c>
    </row>
    <row r="9012">
      <c r="E9012">
        <f>IF(DATOS!$I9012="","",IFERROR(VLOOKUP(DATOS!$I9012,CONFIG_ASIGNATURAS!$B$2:$J$61,9,FALSE()),""))</f>
      </c>
    </row>
    <row r="9013">
      <c r="E9013">
        <f>IF(DATOS!$I9013="","",IFERROR(VLOOKUP(DATOS!$I9013,CONFIG_ASIGNATURAS!$B$2:$J$61,9,FALSE()),""))</f>
      </c>
    </row>
    <row r="9014">
      <c r="E9014">
        <f>IF(DATOS!$I9014="","",IFERROR(VLOOKUP(DATOS!$I9014,CONFIG_ASIGNATURAS!$B$2:$J$61,9,FALSE()),""))</f>
      </c>
    </row>
    <row r="9015">
      <c r="E9015">
        <f>IF(DATOS!$I9015="","",IFERROR(VLOOKUP(DATOS!$I9015,CONFIG_ASIGNATURAS!$B$2:$J$61,9,FALSE()),""))</f>
      </c>
    </row>
    <row r="9016">
      <c r="E9016">
        <f>IF(DATOS!$I9016="","",IFERROR(VLOOKUP(DATOS!$I9016,CONFIG_ASIGNATURAS!$B$2:$J$61,9,FALSE()),""))</f>
      </c>
    </row>
    <row r="9017">
      <c r="E9017">
        <f>IF(DATOS!$I9017="","",IFERROR(VLOOKUP(DATOS!$I9017,CONFIG_ASIGNATURAS!$B$2:$J$61,9,FALSE()),""))</f>
      </c>
    </row>
    <row r="9018">
      <c r="E9018">
        <f>IF(DATOS!$I9018="","",IFERROR(VLOOKUP(DATOS!$I9018,CONFIG_ASIGNATURAS!$B$2:$J$61,9,FALSE()),""))</f>
      </c>
    </row>
    <row r="9019">
      <c r="E9019">
        <f>IF(DATOS!$I9019="","",IFERROR(VLOOKUP(DATOS!$I9019,CONFIG_ASIGNATURAS!$B$2:$J$61,9,FALSE()),""))</f>
      </c>
    </row>
    <row r="9020">
      <c r="E9020">
        <f>IF(DATOS!$I9020="","",IFERROR(VLOOKUP(DATOS!$I9020,CONFIG_ASIGNATURAS!$B$2:$J$61,9,FALSE()),""))</f>
      </c>
    </row>
    <row r="9021">
      <c r="E9021">
        <f>IF(DATOS!$I9021="","",IFERROR(VLOOKUP(DATOS!$I9021,CONFIG_ASIGNATURAS!$B$2:$J$61,9,FALSE()),""))</f>
      </c>
    </row>
    <row r="9022">
      <c r="E9022">
        <f>IF(DATOS!$I9022="","",IFERROR(VLOOKUP(DATOS!$I9022,CONFIG_ASIGNATURAS!$B$2:$J$61,9,FALSE()),""))</f>
      </c>
    </row>
    <row r="9023">
      <c r="E9023">
        <f>IF(DATOS!$I9023="","",IFERROR(VLOOKUP(DATOS!$I9023,CONFIG_ASIGNATURAS!$B$2:$J$61,9,FALSE()),""))</f>
      </c>
    </row>
    <row r="9024">
      <c r="E9024">
        <f>IF(DATOS!$I9024="","",IFERROR(VLOOKUP(DATOS!$I9024,CONFIG_ASIGNATURAS!$B$2:$J$61,9,FALSE()),""))</f>
      </c>
    </row>
    <row r="9025">
      <c r="E9025">
        <f>IF(DATOS!$I9025="","",IFERROR(VLOOKUP(DATOS!$I9025,CONFIG_ASIGNATURAS!$B$2:$J$61,9,FALSE()),""))</f>
      </c>
    </row>
    <row r="9026">
      <c r="E9026">
        <f>IF(DATOS!$I9026="","",IFERROR(VLOOKUP(DATOS!$I9026,CONFIG_ASIGNATURAS!$B$2:$J$61,9,FALSE()),""))</f>
      </c>
    </row>
    <row r="9027">
      <c r="E9027">
        <f>IF(DATOS!$I9027="","",IFERROR(VLOOKUP(DATOS!$I9027,CONFIG_ASIGNATURAS!$B$2:$J$61,9,FALSE()),""))</f>
      </c>
    </row>
    <row r="9028">
      <c r="E9028">
        <f>IF(DATOS!$I9028="","",IFERROR(VLOOKUP(DATOS!$I9028,CONFIG_ASIGNATURAS!$B$2:$J$61,9,FALSE()),""))</f>
      </c>
    </row>
    <row r="9029">
      <c r="E9029">
        <f>IF(DATOS!$I9029="","",IFERROR(VLOOKUP(DATOS!$I9029,CONFIG_ASIGNATURAS!$B$2:$J$61,9,FALSE()),""))</f>
      </c>
    </row>
    <row r="9030">
      <c r="E9030">
        <f>IF(DATOS!$I9030="","",IFERROR(VLOOKUP(DATOS!$I9030,CONFIG_ASIGNATURAS!$B$2:$J$61,9,FALSE()),""))</f>
      </c>
    </row>
    <row r="9031">
      <c r="E9031">
        <f>IF(DATOS!$I9031="","",IFERROR(VLOOKUP(DATOS!$I9031,CONFIG_ASIGNATURAS!$B$2:$J$61,9,FALSE()),""))</f>
      </c>
    </row>
    <row r="9032">
      <c r="E9032">
        <f>IF(DATOS!$I9032="","",IFERROR(VLOOKUP(DATOS!$I9032,CONFIG_ASIGNATURAS!$B$2:$J$61,9,FALSE()),""))</f>
      </c>
    </row>
    <row r="9033">
      <c r="E9033">
        <f>IF(DATOS!$I9033="","",IFERROR(VLOOKUP(DATOS!$I9033,CONFIG_ASIGNATURAS!$B$2:$J$61,9,FALSE()),""))</f>
      </c>
    </row>
    <row r="9034">
      <c r="E9034">
        <f>IF(DATOS!$I9034="","",IFERROR(VLOOKUP(DATOS!$I9034,CONFIG_ASIGNATURAS!$B$2:$J$61,9,FALSE()),""))</f>
      </c>
    </row>
    <row r="9035">
      <c r="E9035">
        <f>IF(DATOS!$I9035="","",IFERROR(VLOOKUP(DATOS!$I9035,CONFIG_ASIGNATURAS!$B$2:$J$61,9,FALSE()),""))</f>
      </c>
    </row>
    <row r="9036">
      <c r="E9036">
        <f>IF(DATOS!$I9036="","",IFERROR(VLOOKUP(DATOS!$I9036,CONFIG_ASIGNATURAS!$B$2:$J$61,9,FALSE()),""))</f>
      </c>
    </row>
    <row r="9037">
      <c r="E9037">
        <f>IF(DATOS!$I9037="","",IFERROR(VLOOKUP(DATOS!$I9037,CONFIG_ASIGNATURAS!$B$2:$J$61,9,FALSE()),""))</f>
      </c>
    </row>
    <row r="9038">
      <c r="E9038">
        <f>IF(DATOS!$I9038="","",IFERROR(VLOOKUP(DATOS!$I9038,CONFIG_ASIGNATURAS!$B$2:$J$61,9,FALSE()),""))</f>
      </c>
    </row>
    <row r="9039">
      <c r="E9039">
        <f>IF(DATOS!$I9039="","",IFERROR(VLOOKUP(DATOS!$I9039,CONFIG_ASIGNATURAS!$B$2:$J$61,9,FALSE()),""))</f>
      </c>
    </row>
    <row r="9040">
      <c r="E9040">
        <f>IF(DATOS!$I9040="","",IFERROR(VLOOKUP(DATOS!$I9040,CONFIG_ASIGNATURAS!$B$2:$J$61,9,FALSE()),""))</f>
      </c>
    </row>
    <row r="9041">
      <c r="E9041">
        <f>IF(DATOS!$I9041="","",IFERROR(VLOOKUP(DATOS!$I9041,CONFIG_ASIGNATURAS!$B$2:$J$61,9,FALSE()),""))</f>
      </c>
    </row>
    <row r="9042">
      <c r="E9042">
        <f>IF(DATOS!$I9042="","",IFERROR(VLOOKUP(DATOS!$I9042,CONFIG_ASIGNATURAS!$B$2:$J$61,9,FALSE()),""))</f>
      </c>
    </row>
    <row r="9043">
      <c r="E9043">
        <f>IF(DATOS!$I9043="","",IFERROR(VLOOKUP(DATOS!$I9043,CONFIG_ASIGNATURAS!$B$2:$J$61,9,FALSE()),""))</f>
      </c>
    </row>
    <row r="9044">
      <c r="E9044">
        <f>IF(DATOS!$I9044="","",IFERROR(VLOOKUP(DATOS!$I9044,CONFIG_ASIGNATURAS!$B$2:$J$61,9,FALSE()),""))</f>
      </c>
    </row>
    <row r="9045">
      <c r="E9045">
        <f>IF(DATOS!$I9045="","",IFERROR(VLOOKUP(DATOS!$I9045,CONFIG_ASIGNATURAS!$B$2:$J$61,9,FALSE()),""))</f>
      </c>
    </row>
    <row r="9046">
      <c r="E9046">
        <f>IF(DATOS!$I9046="","",IFERROR(VLOOKUP(DATOS!$I9046,CONFIG_ASIGNATURAS!$B$2:$J$61,9,FALSE()),""))</f>
      </c>
    </row>
    <row r="9047">
      <c r="E9047">
        <f>IF(DATOS!$I9047="","",IFERROR(VLOOKUP(DATOS!$I9047,CONFIG_ASIGNATURAS!$B$2:$J$61,9,FALSE()),""))</f>
      </c>
    </row>
    <row r="9048">
      <c r="E9048">
        <f>IF(DATOS!$I9048="","",IFERROR(VLOOKUP(DATOS!$I9048,CONFIG_ASIGNATURAS!$B$2:$J$61,9,FALSE()),""))</f>
      </c>
    </row>
    <row r="9049">
      <c r="E9049">
        <f>IF(DATOS!$I9049="","",IFERROR(VLOOKUP(DATOS!$I9049,CONFIG_ASIGNATURAS!$B$2:$J$61,9,FALSE()),""))</f>
      </c>
    </row>
    <row r="9050">
      <c r="E9050">
        <f>IF(DATOS!$I9050="","",IFERROR(VLOOKUP(DATOS!$I9050,CONFIG_ASIGNATURAS!$B$2:$J$61,9,FALSE()),""))</f>
      </c>
    </row>
    <row r="9051">
      <c r="E9051">
        <f>IF(DATOS!$I9051="","",IFERROR(VLOOKUP(DATOS!$I9051,CONFIG_ASIGNATURAS!$B$2:$J$61,9,FALSE()),""))</f>
      </c>
    </row>
    <row r="9052">
      <c r="E9052">
        <f>IF(DATOS!$I9052="","",IFERROR(VLOOKUP(DATOS!$I9052,CONFIG_ASIGNATURAS!$B$2:$J$61,9,FALSE()),""))</f>
      </c>
    </row>
    <row r="9053">
      <c r="E9053">
        <f>IF(DATOS!$I9053="","",IFERROR(VLOOKUP(DATOS!$I9053,CONFIG_ASIGNATURAS!$B$2:$J$61,9,FALSE()),""))</f>
      </c>
    </row>
    <row r="9054">
      <c r="E9054">
        <f>IF(DATOS!$I9054="","",IFERROR(VLOOKUP(DATOS!$I9054,CONFIG_ASIGNATURAS!$B$2:$J$61,9,FALSE()),""))</f>
      </c>
    </row>
    <row r="9055">
      <c r="E9055">
        <f>IF(DATOS!$I9055="","",IFERROR(VLOOKUP(DATOS!$I9055,CONFIG_ASIGNATURAS!$B$2:$J$61,9,FALSE()),""))</f>
      </c>
    </row>
    <row r="9056">
      <c r="E9056">
        <f>IF(DATOS!$I9056="","",IFERROR(VLOOKUP(DATOS!$I9056,CONFIG_ASIGNATURAS!$B$2:$J$61,9,FALSE()),""))</f>
      </c>
    </row>
    <row r="9057">
      <c r="E9057">
        <f>IF(DATOS!$I9057="","",IFERROR(VLOOKUP(DATOS!$I9057,CONFIG_ASIGNATURAS!$B$2:$J$61,9,FALSE()),""))</f>
      </c>
    </row>
    <row r="9058">
      <c r="E9058">
        <f>IF(DATOS!$I9058="","",IFERROR(VLOOKUP(DATOS!$I9058,CONFIG_ASIGNATURAS!$B$2:$J$61,9,FALSE()),""))</f>
      </c>
    </row>
    <row r="9059">
      <c r="E9059">
        <f>IF(DATOS!$I9059="","",IFERROR(VLOOKUP(DATOS!$I9059,CONFIG_ASIGNATURAS!$B$2:$J$61,9,FALSE()),""))</f>
      </c>
    </row>
    <row r="9060">
      <c r="E9060">
        <f>IF(DATOS!$I9060="","",IFERROR(VLOOKUP(DATOS!$I9060,CONFIG_ASIGNATURAS!$B$2:$J$61,9,FALSE()),""))</f>
      </c>
    </row>
    <row r="9061">
      <c r="E9061">
        <f>IF(DATOS!$I9061="","",IFERROR(VLOOKUP(DATOS!$I9061,CONFIG_ASIGNATURAS!$B$2:$J$61,9,FALSE()),""))</f>
      </c>
    </row>
    <row r="9062">
      <c r="E9062">
        <f>IF(DATOS!$I9062="","",IFERROR(VLOOKUP(DATOS!$I9062,CONFIG_ASIGNATURAS!$B$2:$J$61,9,FALSE()),""))</f>
      </c>
    </row>
    <row r="9063">
      <c r="E9063">
        <f>IF(DATOS!$I9063="","",IFERROR(VLOOKUP(DATOS!$I9063,CONFIG_ASIGNATURAS!$B$2:$J$61,9,FALSE()),""))</f>
      </c>
    </row>
    <row r="9064">
      <c r="E9064">
        <f>IF(DATOS!$I9064="","",IFERROR(VLOOKUP(DATOS!$I9064,CONFIG_ASIGNATURAS!$B$2:$J$61,9,FALSE()),""))</f>
      </c>
    </row>
    <row r="9065">
      <c r="E9065">
        <f>IF(DATOS!$I9065="","",IFERROR(VLOOKUP(DATOS!$I9065,CONFIG_ASIGNATURAS!$B$2:$J$61,9,FALSE()),""))</f>
      </c>
    </row>
    <row r="9066">
      <c r="E9066">
        <f>IF(DATOS!$I9066="","",IFERROR(VLOOKUP(DATOS!$I9066,CONFIG_ASIGNATURAS!$B$2:$J$61,9,FALSE()),""))</f>
      </c>
    </row>
    <row r="9067">
      <c r="E9067">
        <f>IF(DATOS!$I9067="","",IFERROR(VLOOKUP(DATOS!$I9067,CONFIG_ASIGNATURAS!$B$2:$J$61,9,FALSE()),""))</f>
      </c>
    </row>
    <row r="9068">
      <c r="E9068">
        <f>IF(DATOS!$I9068="","",IFERROR(VLOOKUP(DATOS!$I9068,CONFIG_ASIGNATURAS!$B$2:$J$61,9,FALSE()),""))</f>
      </c>
    </row>
    <row r="9069">
      <c r="E9069">
        <f>IF(DATOS!$I9069="","",IFERROR(VLOOKUP(DATOS!$I9069,CONFIG_ASIGNATURAS!$B$2:$J$61,9,FALSE()),""))</f>
      </c>
    </row>
    <row r="9070">
      <c r="E9070">
        <f>IF(DATOS!$I9070="","",IFERROR(VLOOKUP(DATOS!$I9070,CONFIG_ASIGNATURAS!$B$2:$J$61,9,FALSE()),""))</f>
      </c>
    </row>
    <row r="9071">
      <c r="E9071">
        <f>IF(DATOS!$I9071="","",IFERROR(VLOOKUP(DATOS!$I9071,CONFIG_ASIGNATURAS!$B$2:$J$61,9,FALSE()),""))</f>
      </c>
    </row>
    <row r="9072">
      <c r="E9072">
        <f>IF(DATOS!$I9072="","",IFERROR(VLOOKUP(DATOS!$I9072,CONFIG_ASIGNATURAS!$B$2:$J$61,9,FALSE()),""))</f>
      </c>
    </row>
    <row r="9073">
      <c r="E9073">
        <f>IF(DATOS!$I9073="","",IFERROR(VLOOKUP(DATOS!$I9073,CONFIG_ASIGNATURAS!$B$2:$J$61,9,FALSE()),""))</f>
      </c>
    </row>
    <row r="9074">
      <c r="E9074">
        <f>IF(DATOS!$I9074="","",IFERROR(VLOOKUP(DATOS!$I9074,CONFIG_ASIGNATURAS!$B$2:$J$61,9,FALSE()),""))</f>
      </c>
    </row>
    <row r="9075">
      <c r="E9075">
        <f>IF(DATOS!$I9075="","",IFERROR(VLOOKUP(DATOS!$I9075,CONFIG_ASIGNATURAS!$B$2:$J$61,9,FALSE()),""))</f>
      </c>
    </row>
    <row r="9076">
      <c r="E9076">
        <f>IF(DATOS!$I9076="","",IFERROR(VLOOKUP(DATOS!$I9076,CONFIG_ASIGNATURAS!$B$2:$J$61,9,FALSE()),""))</f>
      </c>
    </row>
    <row r="9077">
      <c r="E9077">
        <f>IF(DATOS!$I9077="","",IFERROR(VLOOKUP(DATOS!$I9077,CONFIG_ASIGNATURAS!$B$2:$J$61,9,FALSE()),""))</f>
      </c>
    </row>
    <row r="9078">
      <c r="E9078">
        <f>IF(DATOS!$I9078="","",IFERROR(VLOOKUP(DATOS!$I9078,CONFIG_ASIGNATURAS!$B$2:$J$61,9,FALSE()),""))</f>
      </c>
    </row>
    <row r="9079">
      <c r="E9079">
        <f>IF(DATOS!$I9079="","",IFERROR(VLOOKUP(DATOS!$I9079,CONFIG_ASIGNATURAS!$B$2:$J$61,9,FALSE()),""))</f>
      </c>
    </row>
    <row r="9080">
      <c r="E9080">
        <f>IF(DATOS!$I9080="","",IFERROR(VLOOKUP(DATOS!$I9080,CONFIG_ASIGNATURAS!$B$2:$J$61,9,FALSE()),""))</f>
      </c>
    </row>
    <row r="9081">
      <c r="E9081">
        <f>IF(DATOS!$I9081="","",IFERROR(VLOOKUP(DATOS!$I9081,CONFIG_ASIGNATURAS!$B$2:$J$61,9,FALSE()),""))</f>
      </c>
    </row>
    <row r="9082">
      <c r="E9082">
        <f>IF(DATOS!$I9082="","",IFERROR(VLOOKUP(DATOS!$I9082,CONFIG_ASIGNATURAS!$B$2:$J$61,9,FALSE()),""))</f>
      </c>
    </row>
    <row r="9083">
      <c r="E9083">
        <f>IF(DATOS!$I9083="","",IFERROR(VLOOKUP(DATOS!$I9083,CONFIG_ASIGNATURAS!$B$2:$J$61,9,FALSE()),""))</f>
      </c>
    </row>
    <row r="9084">
      <c r="E9084">
        <f>IF(DATOS!$I9084="","",IFERROR(VLOOKUP(DATOS!$I9084,CONFIG_ASIGNATURAS!$B$2:$J$61,9,FALSE()),""))</f>
      </c>
    </row>
    <row r="9085">
      <c r="E9085">
        <f>IF(DATOS!$I9085="","",IFERROR(VLOOKUP(DATOS!$I9085,CONFIG_ASIGNATURAS!$B$2:$J$61,9,FALSE()),""))</f>
      </c>
    </row>
    <row r="9086">
      <c r="E9086">
        <f>IF(DATOS!$I9086="","",IFERROR(VLOOKUP(DATOS!$I9086,CONFIG_ASIGNATURAS!$B$2:$J$61,9,FALSE()),""))</f>
      </c>
    </row>
    <row r="9087">
      <c r="E9087">
        <f>IF(DATOS!$I9087="","",IFERROR(VLOOKUP(DATOS!$I9087,CONFIG_ASIGNATURAS!$B$2:$J$61,9,FALSE()),""))</f>
      </c>
    </row>
    <row r="9088">
      <c r="E9088">
        <f>IF(DATOS!$I9088="","",IFERROR(VLOOKUP(DATOS!$I9088,CONFIG_ASIGNATURAS!$B$2:$J$61,9,FALSE()),""))</f>
      </c>
    </row>
    <row r="9089">
      <c r="E9089">
        <f>IF(DATOS!$I9089="","",IFERROR(VLOOKUP(DATOS!$I9089,CONFIG_ASIGNATURAS!$B$2:$J$61,9,FALSE()),""))</f>
      </c>
    </row>
    <row r="9090">
      <c r="E9090">
        <f>IF(DATOS!$I9090="","",IFERROR(VLOOKUP(DATOS!$I9090,CONFIG_ASIGNATURAS!$B$2:$J$61,9,FALSE()),""))</f>
      </c>
    </row>
    <row r="9091">
      <c r="E9091">
        <f>IF(DATOS!$I9091="","",IFERROR(VLOOKUP(DATOS!$I9091,CONFIG_ASIGNATURAS!$B$2:$J$61,9,FALSE()),""))</f>
      </c>
    </row>
    <row r="9092">
      <c r="E9092">
        <f>IF(DATOS!$I9092="","",IFERROR(VLOOKUP(DATOS!$I9092,CONFIG_ASIGNATURAS!$B$2:$J$61,9,FALSE()),""))</f>
      </c>
    </row>
    <row r="9093">
      <c r="E9093">
        <f>IF(DATOS!$I9093="","",IFERROR(VLOOKUP(DATOS!$I9093,CONFIG_ASIGNATURAS!$B$2:$J$61,9,FALSE()),""))</f>
      </c>
    </row>
    <row r="9094">
      <c r="E9094">
        <f>IF(DATOS!$I9094="","",IFERROR(VLOOKUP(DATOS!$I9094,CONFIG_ASIGNATURAS!$B$2:$J$61,9,FALSE()),""))</f>
      </c>
    </row>
    <row r="9095">
      <c r="E9095">
        <f>IF(DATOS!$I9095="","",IFERROR(VLOOKUP(DATOS!$I9095,CONFIG_ASIGNATURAS!$B$2:$J$61,9,FALSE()),""))</f>
      </c>
    </row>
    <row r="9096">
      <c r="E9096">
        <f>IF(DATOS!$I9096="","",IFERROR(VLOOKUP(DATOS!$I9096,CONFIG_ASIGNATURAS!$B$2:$J$61,9,FALSE()),""))</f>
      </c>
    </row>
    <row r="9097">
      <c r="E9097">
        <f>IF(DATOS!$I9097="","",IFERROR(VLOOKUP(DATOS!$I9097,CONFIG_ASIGNATURAS!$B$2:$J$61,9,FALSE()),""))</f>
      </c>
    </row>
    <row r="9098">
      <c r="E9098">
        <f>IF(DATOS!$I9098="","",IFERROR(VLOOKUP(DATOS!$I9098,CONFIG_ASIGNATURAS!$B$2:$J$61,9,FALSE()),""))</f>
      </c>
    </row>
    <row r="9099">
      <c r="E9099">
        <f>IF(DATOS!$I9099="","",IFERROR(VLOOKUP(DATOS!$I9099,CONFIG_ASIGNATURAS!$B$2:$J$61,9,FALSE()),""))</f>
      </c>
    </row>
    <row r="9100">
      <c r="E9100">
        <f>IF(DATOS!$I9100="","",IFERROR(VLOOKUP(DATOS!$I9100,CONFIG_ASIGNATURAS!$B$2:$J$61,9,FALSE()),""))</f>
      </c>
    </row>
    <row r="9101">
      <c r="E9101">
        <f>IF(DATOS!$I9101="","",IFERROR(VLOOKUP(DATOS!$I9101,CONFIG_ASIGNATURAS!$B$2:$J$61,9,FALSE()),""))</f>
      </c>
    </row>
    <row r="9102">
      <c r="E9102">
        <f>IF(DATOS!$I9102="","",IFERROR(VLOOKUP(DATOS!$I9102,CONFIG_ASIGNATURAS!$B$2:$J$61,9,FALSE()),""))</f>
      </c>
    </row>
    <row r="9103">
      <c r="E9103">
        <f>IF(DATOS!$I9103="","",IFERROR(VLOOKUP(DATOS!$I9103,CONFIG_ASIGNATURAS!$B$2:$J$61,9,FALSE()),""))</f>
      </c>
    </row>
    <row r="9104">
      <c r="E9104">
        <f>IF(DATOS!$I9104="","",IFERROR(VLOOKUP(DATOS!$I9104,CONFIG_ASIGNATURAS!$B$2:$J$61,9,FALSE()),""))</f>
      </c>
    </row>
    <row r="9105">
      <c r="E9105">
        <f>IF(DATOS!$I9105="","",IFERROR(VLOOKUP(DATOS!$I9105,CONFIG_ASIGNATURAS!$B$2:$J$61,9,FALSE()),""))</f>
      </c>
    </row>
    <row r="9106">
      <c r="E9106">
        <f>IF(DATOS!$I9106="","",IFERROR(VLOOKUP(DATOS!$I9106,CONFIG_ASIGNATURAS!$B$2:$J$61,9,FALSE()),""))</f>
      </c>
    </row>
    <row r="9107">
      <c r="E9107">
        <f>IF(DATOS!$I9107="","",IFERROR(VLOOKUP(DATOS!$I9107,CONFIG_ASIGNATURAS!$B$2:$J$61,9,FALSE()),""))</f>
      </c>
    </row>
    <row r="9108">
      <c r="E9108">
        <f>IF(DATOS!$I9108="","",IFERROR(VLOOKUP(DATOS!$I9108,CONFIG_ASIGNATURAS!$B$2:$J$61,9,FALSE()),""))</f>
      </c>
    </row>
    <row r="9109">
      <c r="E9109">
        <f>IF(DATOS!$I9109="","",IFERROR(VLOOKUP(DATOS!$I9109,CONFIG_ASIGNATURAS!$B$2:$J$61,9,FALSE()),""))</f>
      </c>
    </row>
    <row r="9110">
      <c r="E9110">
        <f>IF(DATOS!$I9110="","",IFERROR(VLOOKUP(DATOS!$I9110,CONFIG_ASIGNATURAS!$B$2:$J$61,9,FALSE()),""))</f>
      </c>
    </row>
    <row r="9111">
      <c r="E9111">
        <f>IF(DATOS!$I9111="","",IFERROR(VLOOKUP(DATOS!$I9111,CONFIG_ASIGNATURAS!$B$2:$J$61,9,FALSE()),""))</f>
      </c>
    </row>
    <row r="9112">
      <c r="E9112">
        <f>IF(DATOS!$I9112="","",IFERROR(VLOOKUP(DATOS!$I9112,CONFIG_ASIGNATURAS!$B$2:$J$61,9,FALSE()),""))</f>
      </c>
    </row>
    <row r="9113">
      <c r="E9113">
        <f>IF(DATOS!$I9113="","",IFERROR(VLOOKUP(DATOS!$I9113,CONFIG_ASIGNATURAS!$B$2:$J$61,9,FALSE()),""))</f>
      </c>
    </row>
    <row r="9114">
      <c r="E9114">
        <f>IF(DATOS!$I9114="","",IFERROR(VLOOKUP(DATOS!$I9114,CONFIG_ASIGNATURAS!$B$2:$J$61,9,FALSE()),""))</f>
      </c>
    </row>
    <row r="9115">
      <c r="E9115">
        <f>IF(DATOS!$I9115="","",IFERROR(VLOOKUP(DATOS!$I9115,CONFIG_ASIGNATURAS!$B$2:$J$61,9,FALSE()),""))</f>
      </c>
    </row>
    <row r="9116">
      <c r="E9116">
        <f>IF(DATOS!$I9116="","",IFERROR(VLOOKUP(DATOS!$I9116,CONFIG_ASIGNATURAS!$B$2:$J$61,9,FALSE()),""))</f>
      </c>
    </row>
    <row r="9117">
      <c r="E9117">
        <f>IF(DATOS!$I9117="","",IFERROR(VLOOKUP(DATOS!$I9117,CONFIG_ASIGNATURAS!$B$2:$J$61,9,FALSE()),""))</f>
      </c>
    </row>
    <row r="9118">
      <c r="E9118">
        <f>IF(DATOS!$I9118="","",IFERROR(VLOOKUP(DATOS!$I9118,CONFIG_ASIGNATURAS!$B$2:$J$61,9,FALSE()),""))</f>
      </c>
    </row>
    <row r="9119">
      <c r="E9119">
        <f>IF(DATOS!$I9119="","",IFERROR(VLOOKUP(DATOS!$I9119,CONFIG_ASIGNATURAS!$B$2:$J$61,9,FALSE()),""))</f>
      </c>
    </row>
    <row r="9120">
      <c r="E9120">
        <f>IF(DATOS!$I9120="","",IFERROR(VLOOKUP(DATOS!$I9120,CONFIG_ASIGNATURAS!$B$2:$J$61,9,FALSE()),""))</f>
      </c>
    </row>
    <row r="9121">
      <c r="E9121">
        <f>IF(DATOS!$I9121="","",IFERROR(VLOOKUP(DATOS!$I9121,CONFIG_ASIGNATURAS!$B$2:$J$61,9,FALSE()),""))</f>
      </c>
    </row>
    <row r="9122">
      <c r="E9122">
        <f>IF(DATOS!$I9122="","",IFERROR(VLOOKUP(DATOS!$I9122,CONFIG_ASIGNATURAS!$B$2:$J$61,9,FALSE()),""))</f>
      </c>
    </row>
    <row r="9123">
      <c r="E9123">
        <f>IF(DATOS!$I9123="","",IFERROR(VLOOKUP(DATOS!$I9123,CONFIG_ASIGNATURAS!$B$2:$J$61,9,FALSE()),""))</f>
      </c>
    </row>
    <row r="9124">
      <c r="E9124">
        <f>IF(DATOS!$I9124="","",IFERROR(VLOOKUP(DATOS!$I9124,CONFIG_ASIGNATURAS!$B$2:$J$61,9,FALSE()),""))</f>
      </c>
    </row>
    <row r="9125">
      <c r="E9125">
        <f>IF(DATOS!$I9125="","",IFERROR(VLOOKUP(DATOS!$I9125,CONFIG_ASIGNATURAS!$B$2:$J$61,9,FALSE()),""))</f>
      </c>
    </row>
    <row r="9126">
      <c r="E9126">
        <f>IF(DATOS!$I9126="","",IFERROR(VLOOKUP(DATOS!$I9126,CONFIG_ASIGNATURAS!$B$2:$J$61,9,FALSE()),""))</f>
      </c>
    </row>
    <row r="9127">
      <c r="E9127">
        <f>IF(DATOS!$I9127="","",IFERROR(VLOOKUP(DATOS!$I9127,CONFIG_ASIGNATURAS!$B$2:$J$61,9,FALSE()),""))</f>
      </c>
    </row>
    <row r="9128">
      <c r="E9128">
        <f>IF(DATOS!$I9128="","",IFERROR(VLOOKUP(DATOS!$I9128,CONFIG_ASIGNATURAS!$B$2:$J$61,9,FALSE()),""))</f>
      </c>
    </row>
    <row r="9129">
      <c r="E9129">
        <f>IF(DATOS!$I9129="","",IFERROR(VLOOKUP(DATOS!$I9129,CONFIG_ASIGNATURAS!$B$2:$J$61,9,FALSE()),""))</f>
      </c>
    </row>
    <row r="9130">
      <c r="E9130">
        <f>IF(DATOS!$I9130="","",IFERROR(VLOOKUP(DATOS!$I9130,CONFIG_ASIGNATURAS!$B$2:$J$61,9,FALSE()),""))</f>
      </c>
    </row>
    <row r="9131">
      <c r="E9131">
        <f>IF(DATOS!$I9131="","",IFERROR(VLOOKUP(DATOS!$I9131,CONFIG_ASIGNATURAS!$B$2:$J$61,9,FALSE()),""))</f>
      </c>
    </row>
    <row r="9132">
      <c r="E9132">
        <f>IF(DATOS!$I9132="","",IFERROR(VLOOKUP(DATOS!$I9132,CONFIG_ASIGNATURAS!$B$2:$J$61,9,FALSE()),""))</f>
      </c>
    </row>
    <row r="9133">
      <c r="E9133">
        <f>IF(DATOS!$I9133="","",IFERROR(VLOOKUP(DATOS!$I9133,CONFIG_ASIGNATURAS!$B$2:$J$61,9,FALSE()),""))</f>
      </c>
    </row>
    <row r="9134">
      <c r="E9134">
        <f>IF(DATOS!$I9134="","",IFERROR(VLOOKUP(DATOS!$I9134,CONFIG_ASIGNATURAS!$B$2:$J$61,9,FALSE()),""))</f>
      </c>
    </row>
    <row r="9135">
      <c r="E9135">
        <f>IF(DATOS!$I9135="","",IFERROR(VLOOKUP(DATOS!$I9135,CONFIG_ASIGNATURAS!$B$2:$J$61,9,FALSE()),""))</f>
      </c>
    </row>
    <row r="9136">
      <c r="E9136">
        <f>IF(DATOS!$I9136="","",IFERROR(VLOOKUP(DATOS!$I9136,CONFIG_ASIGNATURAS!$B$2:$J$61,9,FALSE()),""))</f>
      </c>
    </row>
    <row r="9137">
      <c r="E9137">
        <f>IF(DATOS!$I9137="","",IFERROR(VLOOKUP(DATOS!$I9137,CONFIG_ASIGNATURAS!$B$2:$J$61,9,FALSE()),""))</f>
      </c>
    </row>
    <row r="9138">
      <c r="E9138">
        <f>IF(DATOS!$I9138="","",IFERROR(VLOOKUP(DATOS!$I9138,CONFIG_ASIGNATURAS!$B$2:$J$61,9,FALSE()),""))</f>
      </c>
    </row>
    <row r="9139">
      <c r="E9139">
        <f>IF(DATOS!$I9139="","",IFERROR(VLOOKUP(DATOS!$I9139,CONFIG_ASIGNATURAS!$B$2:$J$61,9,FALSE()),""))</f>
      </c>
    </row>
    <row r="9140">
      <c r="E9140">
        <f>IF(DATOS!$I9140="","",IFERROR(VLOOKUP(DATOS!$I9140,CONFIG_ASIGNATURAS!$B$2:$J$61,9,FALSE()),""))</f>
      </c>
    </row>
    <row r="9141">
      <c r="E9141">
        <f>IF(DATOS!$I9141="","",IFERROR(VLOOKUP(DATOS!$I9141,CONFIG_ASIGNATURAS!$B$2:$J$61,9,FALSE()),""))</f>
      </c>
    </row>
    <row r="9142">
      <c r="E9142">
        <f>IF(DATOS!$I9142="","",IFERROR(VLOOKUP(DATOS!$I9142,CONFIG_ASIGNATURAS!$B$2:$J$61,9,FALSE()),""))</f>
      </c>
    </row>
    <row r="9143">
      <c r="E9143">
        <f>IF(DATOS!$I9143="","",IFERROR(VLOOKUP(DATOS!$I9143,CONFIG_ASIGNATURAS!$B$2:$J$61,9,FALSE()),""))</f>
      </c>
    </row>
    <row r="9144">
      <c r="E9144">
        <f>IF(DATOS!$I9144="","",IFERROR(VLOOKUP(DATOS!$I9144,CONFIG_ASIGNATURAS!$B$2:$J$61,9,FALSE()),""))</f>
      </c>
    </row>
    <row r="9145">
      <c r="E9145">
        <f>IF(DATOS!$I9145="","",IFERROR(VLOOKUP(DATOS!$I9145,CONFIG_ASIGNATURAS!$B$2:$J$61,9,FALSE()),""))</f>
      </c>
    </row>
    <row r="9146">
      <c r="E9146">
        <f>IF(DATOS!$I9146="","",IFERROR(VLOOKUP(DATOS!$I9146,CONFIG_ASIGNATURAS!$B$2:$J$61,9,FALSE()),""))</f>
      </c>
    </row>
    <row r="9147">
      <c r="E9147">
        <f>IF(DATOS!$I9147="","",IFERROR(VLOOKUP(DATOS!$I9147,CONFIG_ASIGNATURAS!$B$2:$J$61,9,FALSE()),""))</f>
      </c>
    </row>
    <row r="9148">
      <c r="E9148">
        <f>IF(DATOS!$I9148="","",IFERROR(VLOOKUP(DATOS!$I9148,CONFIG_ASIGNATURAS!$B$2:$J$61,9,FALSE()),""))</f>
      </c>
    </row>
    <row r="9149">
      <c r="E9149">
        <f>IF(DATOS!$I9149="","",IFERROR(VLOOKUP(DATOS!$I9149,CONFIG_ASIGNATURAS!$B$2:$J$61,9,FALSE()),""))</f>
      </c>
    </row>
    <row r="9150">
      <c r="E9150">
        <f>IF(DATOS!$I9150="","",IFERROR(VLOOKUP(DATOS!$I9150,CONFIG_ASIGNATURAS!$B$2:$J$61,9,FALSE()),""))</f>
      </c>
    </row>
    <row r="9151">
      <c r="E9151">
        <f>IF(DATOS!$I9151="","",IFERROR(VLOOKUP(DATOS!$I9151,CONFIG_ASIGNATURAS!$B$2:$J$61,9,FALSE()),""))</f>
      </c>
    </row>
    <row r="9152">
      <c r="E9152">
        <f>IF(DATOS!$I9152="","",IFERROR(VLOOKUP(DATOS!$I9152,CONFIG_ASIGNATURAS!$B$2:$J$61,9,FALSE()),""))</f>
      </c>
    </row>
    <row r="9153">
      <c r="E9153">
        <f>IF(DATOS!$I9153="","",IFERROR(VLOOKUP(DATOS!$I9153,CONFIG_ASIGNATURAS!$B$2:$J$61,9,FALSE()),""))</f>
      </c>
    </row>
    <row r="9154">
      <c r="E9154">
        <f>IF(DATOS!$I9154="","",IFERROR(VLOOKUP(DATOS!$I9154,CONFIG_ASIGNATURAS!$B$2:$J$61,9,FALSE()),""))</f>
      </c>
    </row>
    <row r="9155">
      <c r="E9155">
        <f>IF(DATOS!$I9155="","",IFERROR(VLOOKUP(DATOS!$I9155,CONFIG_ASIGNATURAS!$B$2:$J$61,9,FALSE()),""))</f>
      </c>
    </row>
    <row r="9156">
      <c r="E9156">
        <f>IF(DATOS!$I9156="","",IFERROR(VLOOKUP(DATOS!$I9156,CONFIG_ASIGNATURAS!$B$2:$J$61,9,FALSE()),""))</f>
      </c>
    </row>
    <row r="9157">
      <c r="E9157">
        <f>IF(DATOS!$I9157="","",IFERROR(VLOOKUP(DATOS!$I9157,CONFIG_ASIGNATURAS!$B$2:$J$61,9,FALSE()),""))</f>
      </c>
    </row>
    <row r="9158">
      <c r="E9158">
        <f>IF(DATOS!$I9158="","",IFERROR(VLOOKUP(DATOS!$I9158,CONFIG_ASIGNATURAS!$B$2:$J$61,9,FALSE()),""))</f>
      </c>
    </row>
    <row r="9159">
      <c r="E9159">
        <f>IF(DATOS!$I9159="","",IFERROR(VLOOKUP(DATOS!$I9159,CONFIG_ASIGNATURAS!$B$2:$J$61,9,FALSE()),""))</f>
      </c>
    </row>
    <row r="9160">
      <c r="E9160">
        <f>IF(DATOS!$I9160="","",IFERROR(VLOOKUP(DATOS!$I9160,CONFIG_ASIGNATURAS!$B$2:$J$61,9,FALSE()),""))</f>
      </c>
    </row>
    <row r="9161">
      <c r="E9161">
        <f>IF(DATOS!$I9161="","",IFERROR(VLOOKUP(DATOS!$I9161,CONFIG_ASIGNATURAS!$B$2:$J$61,9,FALSE()),""))</f>
      </c>
    </row>
    <row r="9162">
      <c r="E9162">
        <f>IF(DATOS!$I9162="","",IFERROR(VLOOKUP(DATOS!$I9162,CONFIG_ASIGNATURAS!$B$2:$J$61,9,FALSE()),""))</f>
      </c>
    </row>
    <row r="9163">
      <c r="E9163">
        <f>IF(DATOS!$I9163="","",IFERROR(VLOOKUP(DATOS!$I9163,CONFIG_ASIGNATURAS!$B$2:$J$61,9,FALSE()),""))</f>
      </c>
    </row>
    <row r="9164">
      <c r="E9164">
        <f>IF(DATOS!$I9164="","",IFERROR(VLOOKUP(DATOS!$I9164,CONFIG_ASIGNATURAS!$B$2:$J$61,9,FALSE()),""))</f>
      </c>
    </row>
    <row r="9165">
      <c r="E9165">
        <f>IF(DATOS!$I9165="","",IFERROR(VLOOKUP(DATOS!$I9165,CONFIG_ASIGNATURAS!$B$2:$J$61,9,FALSE()),""))</f>
      </c>
    </row>
    <row r="9166">
      <c r="E9166">
        <f>IF(DATOS!$I9166="","",IFERROR(VLOOKUP(DATOS!$I9166,CONFIG_ASIGNATURAS!$B$2:$J$61,9,FALSE()),""))</f>
      </c>
    </row>
    <row r="9167">
      <c r="E9167">
        <f>IF(DATOS!$I9167="","",IFERROR(VLOOKUP(DATOS!$I9167,CONFIG_ASIGNATURAS!$B$2:$J$61,9,FALSE()),""))</f>
      </c>
    </row>
    <row r="9168">
      <c r="E9168">
        <f>IF(DATOS!$I9168="","",IFERROR(VLOOKUP(DATOS!$I9168,CONFIG_ASIGNATURAS!$B$2:$J$61,9,FALSE()),""))</f>
      </c>
    </row>
    <row r="9169">
      <c r="E9169">
        <f>IF(DATOS!$I9169="","",IFERROR(VLOOKUP(DATOS!$I9169,CONFIG_ASIGNATURAS!$B$2:$J$61,9,FALSE()),""))</f>
      </c>
    </row>
    <row r="9170">
      <c r="E9170">
        <f>IF(DATOS!$I9170="","",IFERROR(VLOOKUP(DATOS!$I9170,CONFIG_ASIGNATURAS!$B$2:$J$61,9,FALSE()),""))</f>
      </c>
    </row>
    <row r="9171">
      <c r="E9171">
        <f>IF(DATOS!$I9171="","",IFERROR(VLOOKUP(DATOS!$I9171,CONFIG_ASIGNATURAS!$B$2:$J$61,9,FALSE()),""))</f>
      </c>
    </row>
    <row r="9172">
      <c r="E9172">
        <f>IF(DATOS!$I9172="","",IFERROR(VLOOKUP(DATOS!$I9172,CONFIG_ASIGNATURAS!$B$2:$J$61,9,FALSE()),""))</f>
      </c>
    </row>
    <row r="9173">
      <c r="E9173">
        <f>IF(DATOS!$I9173="","",IFERROR(VLOOKUP(DATOS!$I9173,CONFIG_ASIGNATURAS!$B$2:$J$61,9,FALSE()),""))</f>
      </c>
    </row>
    <row r="9174">
      <c r="E9174">
        <f>IF(DATOS!$I9174="","",IFERROR(VLOOKUP(DATOS!$I9174,CONFIG_ASIGNATURAS!$B$2:$J$61,9,FALSE()),""))</f>
      </c>
    </row>
    <row r="9175">
      <c r="E9175">
        <f>IF(DATOS!$I9175="","",IFERROR(VLOOKUP(DATOS!$I9175,CONFIG_ASIGNATURAS!$B$2:$J$61,9,FALSE()),""))</f>
      </c>
    </row>
    <row r="9176">
      <c r="E9176">
        <f>IF(DATOS!$I9176="","",IFERROR(VLOOKUP(DATOS!$I9176,CONFIG_ASIGNATURAS!$B$2:$J$61,9,FALSE()),""))</f>
      </c>
    </row>
    <row r="9177">
      <c r="E9177">
        <f>IF(DATOS!$I9177="","",IFERROR(VLOOKUP(DATOS!$I9177,CONFIG_ASIGNATURAS!$B$2:$J$61,9,FALSE()),""))</f>
      </c>
    </row>
    <row r="9178">
      <c r="E9178">
        <f>IF(DATOS!$I9178="","",IFERROR(VLOOKUP(DATOS!$I9178,CONFIG_ASIGNATURAS!$B$2:$J$61,9,FALSE()),""))</f>
      </c>
    </row>
    <row r="9179">
      <c r="E9179">
        <f>IF(DATOS!$I9179="","",IFERROR(VLOOKUP(DATOS!$I9179,CONFIG_ASIGNATURAS!$B$2:$J$61,9,FALSE()),""))</f>
      </c>
    </row>
    <row r="9180">
      <c r="E9180">
        <f>IF(DATOS!$I9180="","",IFERROR(VLOOKUP(DATOS!$I9180,CONFIG_ASIGNATURAS!$B$2:$J$61,9,FALSE()),""))</f>
      </c>
    </row>
    <row r="9181">
      <c r="E9181">
        <f>IF(DATOS!$I9181="","",IFERROR(VLOOKUP(DATOS!$I9181,CONFIG_ASIGNATURAS!$B$2:$J$61,9,FALSE()),""))</f>
      </c>
    </row>
    <row r="9182">
      <c r="E9182">
        <f>IF(DATOS!$I9182="","",IFERROR(VLOOKUP(DATOS!$I9182,CONFIG_ASIGNATURAS!$B$2:$J$61,9,FALSE()),""))</f>
      </c>
    </row>
    <row r="9183">
      <c r="E9183">
        <f>IF(DATOS!$I9183="","",IFERROR(VLOOKUP(DATOS!$I9183,CONFIG_ASIGNATURAS!$B$2:$J$61,9,FALSE()),""))</f>
      </c>
    </row>
    <row r="9184">
      <c r="E9184">
        <f>IF(DATOS!$I9184="","",IFERROR(VLOOKUP(DATOS!$I9184,CONFIG_ASIGNATURAS!$B$2:$J$61,9,FALSE()),""))</f>
      </c>
    </row>
    <row r="9185">
      <c r="E9185">
        <f>IF(DATOS!$I9185="","",IFERROR(VLOOKUP(DATOS!$I9185,CONFIG_ASIGNATURAS!$B$2:$J$61,9,FALSE()),""))</f>
      </c>
    </row>
    <row r="9186">
      <c r="E9186">
        <f>IF(DATOS!$I9186="","",IFERROR(VLOOKUP(DATOS!$I9186,CONFIG_ASIGNATURAS!$B$2:$J$61,9,FALSE()),""))</f>
      </c>
    </row>
    <row r="9187">
      <c r="E9187">
        <f>IF(DATOS!$I9187="","",IFERROR(VLOOKUP(DATOS!$I9187,CONFIG_ASIGNATURAS!$B$2:$J$61,9,FALSE()),""))</f>
      </c>
    </row>
    <row r="9188">
      <c r="E9188">
        <f>IF(DATOS!$I9188="","",IFERROR(VLOOKUP(DATOS!$I9188,CONFIG_ASIGNATURAS!$B$2:$J$61,9,FALSE()),""))</f>
      </c>
    </row>
    <row r="9189">
      <c r="E9189">
        <f>IF(DATOS!$I9189="","",IFERROR(VLOOKUP(DATOS!$I9189,CONFIG_ASIGNATURAS!$B$2:$J$61,9,FALSE()),""))</f>
      </c>
    </row>
    <row r="9190">
      <c r="E9190">
        <f>IF(DATOS!$I9190="","",IFERROR(VLOOKUP(DATOS!$I9190,CONFIG_ASIGNATURAS!$B$2:$J$61,9,FALSE()),""))</f>
      </c>
    </row>
    <row r="9191">
      <c r="E9191">
        <f>IF(DATOS!$I9191="","",IFERROR(VLOOKUP(DATOS!$I9191,CONFIG_ASIGNATURAS!$B$2:$J$61,9,FALSE()),""))</f>
      </c>
    </row>
    <row r="9192">
      <c r="E9192">
        <f>IF(DATOS!$I9192="","",IFERROR(VLOOKUP(DATOS!$I9192,CONFIG_ASIGNATURAS!$B$2:$J$61,9,FALSE()),""))</f>
      </c>
    </row>
    <row r="9193">
      <c r="E9193">
        <f>IF(DATOS!$I9193="","",IFERROR(VLOOKUP(DATOS!$I9193,CONFIG_ASIGNATURAS!$B$2:$J$61,9,FALSE()),""))</f>
      </c>
    </row>
    <row r="9194">
      <c r="E9194">
        <f>IF(DATOS!$I9194="","",IFERROR(VLOOKUP(DATOS!$I9194,CONFIG_ASIGNATURAS!$B$2:$J$61,9,FALSE()),""))</f>
      </c>
    </row>
    <row r="9195">
      <c r="E9195">
        <f>IF(DATOS!$I9195="","",IFERROR(VLOOKUP(DATOS!$I9195,CONFIG_ASIGNATURAS!$B$2:$J$61,9,FALSE()),""))</f>
      </c>
    </row>
    <row r="9196">
      <c r="E9196">
        <f>IF(DATOS!$I9196="","",IFERROR(VLOOKUP(DATOS!$I9196,CONFIG_ASIGNATURAS!$B$2:$J$61,9,FALSE()),""))</f>
      </c>
    </row>
    <row r="9197">
      <c r="E9197">
        <f>IF(DATOS!$I9197="","",IFERROR(VLOOKUP(DATOS!$I9197,CONFIG_ASIGNATURAS!$B$2:$J$61,9,FALSE()),""))</f>
      </c>
    </row>
    <row r="9198">
      <c r="E9198">
        <f>IF(DATOS!$I9198="","",IFERROR(VLOOKUP(DATOS!$I9198,CONFIG_ASIGNATURAS!$B$2:$J$61,9,FALSE()),""))</f>
      </c>
    </row>
    <row r="9199">
      <c r="E9199">
        <f>IF(DATOS!$I9199="","",IFERROR(VLOOKUP(DATOS!$I9199,CONFIG_ASIGNATURAS!$B$2:$J$61,9,FALSE()),""))</f>
      </c>
    </row>
    <row r="9200">
      <c r="E9200">
        <f>IF(DATOS!$I9200="","",IFERROR(VLOOKUP(DATOS!$I9200,CONFIG_ASIGNATURAS!$B$2:$J$61,9,FALSE()),""))</f>
      </c>
    </row>
    <row r="9201">
      <c r="E9201">
        <f>IF(DATOS!$I9201="","",IFERROR(VLOOKUP(DATOS!$I9201,CONFIG_ASIGNATURAS!$B$2:$J$61,9,FALSE()),""))</f>
      </c>
    </row>
    <row r="9202">
      <c r="E9202">
        <f>IF(DATOS!$I9202="","",IFERROR(VLOOKUP(DATOS!$I9202,CONFIG_ASIGNATURAS!$B$2:$J$61,9,FALSE()),""))</f>
      </c>
    </row>
    <row r="9203">
      <c r="E9203">
        <f>IF(DATOS!$I9203="","",IFERROR(VLOOKUP(DATOS!$I9203,CONFIG_ASIGNATURAS!$B$2:$J$61,9,FALSE()),""))</f>
      </c>
    </row>
    <row r="9204">
      <c r="E9204">
        <f>IF(DATOS!$I9204="","",IFERROR(VLOOKUP(DATOS!$I9204,CONFIG_ASIGNATURAS!$B$2:$J$61,9,FALSE()),""))</f>
      </c>
    </row>
    <row r="9205">
      <c r="E9205">
        <f>IF(DATOS!$I9205="","",IFERROR(VLOOKUP(DATOS!$I9205,CONFIG_ASIGNATURAS!$B$2:$J$61,9,FALSE()),""))</f>
      </c>
    </row>
    <row r="9206">
      <c r="E9206">
        <f>IF(DATOS!$I9206="","",IFERROR(VLOOKUP(DATOS!$I9206,CONFIG_ASIGNATURAS!$B$2:$J$61,9,FALSE()),""))</f>
      </c>
    </row>
    <row r="9207">
      <c r="E9207">
        <f>IF(DATOS!$I9207="","",IFERROR(VLOOKUP(DATOS!$I9207,CONFIG_ASIGNATURAS!$B$2:$J$61,9,FALSE()),""))</f>
      </c>
    </row>
    <row r="9208">
      <c r="E9208">
        <f>IF(DATOS!$I9208="","",IFERROR(VLOOKUP(DATOS!$I9208,CONFIG_ASIGNATURAS!$B$2:$J$61,9,FALSE()),""))</f>
      </c>
    </row>
    <row r="9209">
      <c r="E9209">
        <f>IF(DATOS!$I9209="","",IFERROR(VLOOKUP(DATOS!$I9209,CONFIG_ASIGNATURAS!$B$2:$J$61,9,FALSE()),""))</f>
      </c>
    </row>
    <row r="9210">
      <c r="E9210">
        <f>IF(DATOS!$I9210="","",IFERROR(VLOOKUP(DATOS!$I9210,CONFIG_ASIGNATURAS!$B$2:$J$61,9,FALSE()),""))</f>
      </c>
    </row>
    <row r="9211">
      <c r="E9211">
        <f>IF(DATOS!$I9211="","",IFERROR(VLOOKUP(DATOS!$I9211,CONFIG_ASIGNATURAS!$B$2:$J$61,9,FALSE()),""))</f>
      </c>
    </row>
    <row r="9212">
      <c r="E9212">
        <f>IF(DATOS!$I9212="","",IFERROR(VLOOKUP(DATOS!$I9212,CONFIG_ASIGNATURAS!$B$2:$J$61,9,FALSE()),""))</f>
      </c>
    </row>
    <row r="9213">
      <c r="E9213">
        <f>IF(DATOS!$I9213="","",IFERROR(VLOOKUP(DATOS!$I9213,CONFIG_ASIGNATURAS!$B$2:$J$61,9,FALSE()),""))</f>
      </c>
    </row>
    <row r="9214">
      <c r="E9214">
        <f>IF(DATOS!$I9214="","",IFERROR(VLOOKUP(DATOS!$I9214,CONFIG_ASIGNATURAS!$B$2:$J$61,9,FALSE()),""))</f>
      </c>
    </row>
    <row r="9215">
      <c r="E9215">
        <f>IF(DATOS!$I9215="","",IFERROR(VLOOKUP(DATOS!$I9215,CONFIG_ASIGNATURAS!$B$2:$J$61,9,FALSE()),""))</f>
      </c>
    </row>
    <row r="9216">
      <c r="E9216">
        <f>IF(DATOS!$I9216="","",IFERROR(VLOOKUP(DATOS!$I9216,CONFIG_ASIGNATURAS!$B$2:$J$61,9,FALSE()),""))</f>
      </c>
    </row>
    <row r="9217">
      <c r="E9217">
        <f>IF(DATOS!$I9217="","",IFERROR(VLOOKUP(DATOS!$I9217,CONFIG_ASIGNATURAS!$B$2:$J$61,9,FALSE()),""))</f>
      </c>
    </row>
    <row r="9218">
      <c r="E9218">
        <f>IF(DATOS!$I9218="","",IFERROR(VLOOKUP(DATOS!$I9218,CONFIG_ASIGNATURAS!$B$2:$J$61,9,FALSE()),""))</f>
      </c>
    </row>
    <row r="9219">
      <c r="E9219">
        <f>IF(DATOS!$I9219="","",IFERROR(VLOOKUP(DATOS!$I9219,CONFIG_ASIGNATURAS!$B$2:$J$61,9,FALSE()),""))</f>
      </c>
    </row>
    <row r="9220">
      <c r="E9220">
        <f>IF(DATOS!$I9220="","",IFERROR(VLOOKUP(DATOS!$I9220,CONFIG_ASIGNATURAS!$B$2:$J$61,9,FALSE()),""))</f>
      </c>
    </row>
    <row r="9221">
      <c r="E9221">
        <f>IF(DATOS!$I9221="","",IFERROR(VLOOKUP(DATOS!$I9221,CONFIG_ASIGNATURAS!$B$2:$J$61,9,FALSE()),""))</f>
      </c>
    </row>
    <row r="9222">
      <c r="E9222">
        <f>IF(DATOS!$I9222="","",IFERROR(VLOOKUP(DATOS!$I9222,CONFIG_ASIGNATURAS!$B$2:$J$61,9,FALSE()),""))</f>
      </c>
    </row>
    <row r="9223">
      <c r="E9223">
        <f>IF(DATOS!$I9223="","",IFERROR(VLOOKUP(DATOS!$I9223,CONFIG_ASIGNATURAS!$B$2:$J$61,9,FALSE()),""))</f>
      </c>
    </row>
    <row r="9224">
      <c r="E9224">
        <f>IF(DATOS!$I9224="","",IFERROR(VLOOKUP(DATOS!$I9224,CONFIG_ASIGNATURAS!$B$2:$J$61,9,FALSE()),""))</f>
      </c>
    </row>
    <row r="9225">
      <c r="E9225">
        <f>IF(DATOS!$I9225="","",IFERROR(VLOOKUP(DATOS!$I9225,CONFIG_ASIGNATURAS!$B$2:$J$61,9,FALSE()),""))</f>
      </c>
    </row>
    <row r="9226">
      <c r="E9226">
        <f>IF(DATOS!$I9226="","",IFERROR(VLOOKUP(DATOS!$I9226,CONFIG_ASIGNATURAS!$B$2:$J$61,9,FALSE()),""))</f>
      </c>
    </row>
    <row r="9227">
      <c r="E9227">
        <f>IF(DATOS!$I9227="","",IFERROR(VLOOKUP(DATOS!$I9227,CONFIG_ASIGNATURAS!$B$2:$J$61,9,FALSE()),""))</f>
      </c>
    </row>
    <row r="9228">
      <c r="E9228">
        <f>IF(DATOS!$I9228="","",IFERROR(VLOOKUP(DATOS!$I9228,CONFIG_ASIGNATURAS!$B$2:$J$61,9,FALSE()),""))</f>
      </c>
    </row>
    <row r="9229">
      <c r="E9229">
        <f>IF(DATOS!$I9229="","",IFERROR(VLOOKUP(DATOS!$I9229,CONFIG_ASIGNATURAS!$B$2:$J$61,9,FALSE()),""))</f>
      </c>
    </row>
    <row r="9230">
      <c r="E9230">
        <f>IF(DATOS!$I9230="","",IFERROR(VLOOKUP(DATOS!$I9230,CONFIG_ASIGNATURAS!$B$2:$J$61,9,FALSE()),""))</f>
      </c>
    </row>
    <row r="9231">
      <c r="E9231">
        <f>IF(DATOS!$I9231="","",IFERROR(VLOOKUP(DATOS!$I9231,CONFIG_ASIGNATURAS!$B$2:$J$61,9,FALSE()),""))</f>
      </c>
    </row>
    <row r="9232">
      <c r="E9232">
        <f>IF(DATOS!$I9232="","",IFERROR(VLOOKUP(DATOS!$I9232,CONFIG_ASIGNATURAS!$B$2:$J$61,9,FALSE()),""))</f>
      </c>
    </row>
    <row r="9233">
      <c r="E9233">
        <f>IF(DATOS!$I9233="","",IFERROR(VLOOKUP(DATOS!$I9233,CONFIG_ASIGNATURAS!$B$2:$J$61,9,FALSE()),""))</f>
      </c>
    </row>
    <row r="9234">
      <c r="E9234">
        <f>IF(DATOS!$I9234="","",IFERROR(VLOOKUP(DATOS!$I9234,CONFIG_ASIGNATURAS!$B$2:$J$61,9,FALSE()),""))</f>
      </c>
    </row>
    <row r="9235">
      <c r="E9235">
        <f>IF(DATOS!$I9235="","",IFERROR(VLOOKUP(DATOS!$I9235,CONFIG_ASIGNATURAS!$B$2:$J$61,9,FALSE()),""))</f>
      </c>
    </row>
    <row r="9236">
      <c r="E9236">
        <f>IF(DATOS!$I9236="","",IFERROR(VLOOKUP(DATOS!$I9236,CONFIG_ASIGNATURAS!$B$2:$J$61,9,FALSE()),""))</f>
      </c>
    </row>
    <row r="9237">
      <c r="E9237">
        <f>IF(DATOS!$I9237="","",IFERROR(VLOOKUP(DATOS!$I9237,CONFIG_ASIGNATURAS!$B$2:$J$61,9,FALSE()),""))</f>
      </c>
    </row>
    <row r="9238">
      <c r="E9238">
        <f>IF(DATOS!$I9238="","",IFERROR(VLOOKUP(DATOS!$I9238,CONFIG_ASIGNATURAS!$B$2:$J$61,9,FALSE()),""))</f>
      </c>
    </row>
    <row r="9239">
      <c r="E9239">
        <f>IF(DATOS!$I9239="","",IFERROR(VLOOKUP(DATOS!$I9239,CONFIG_ASIGNATURAS!$B$2:$J$61,9,FALSE()),""))</f>
      </c>
    </row>
    <row r="9240">
      <c r="E9240">
        <f>IF(DATOS!$I9240="","",IFERROR(VLOOKUP(DATOS!$I9240,CONFIG_ASIGNATURAS!$B$2:$J$61,9,FALSE()),""))</f>
      </c>
    </row>
    <row r="9241">
      <c r="E9241">
        <f>IF(DATOS!$I9241="","",IFERROR(VLOOKUP(DATOS!$I9241,CONFIG_ASIGNATURAS!$B$2:$J$61,9,FALSE()),""))</f>
      </c>
    </row>
    <row r="9242">
      <c r="E9242">
        <f>IF(DATOS!$I9242="","",IFERROR(VLOOKUP(DATOS!$I9242,CONFIG_ASIGNATURAS!$B$2:$J$61,9,FALSE()),""))</f>
      </c>
    </row>
    <row r="9243">
      <c r="E9243">
        <f>IF(DATOS!$I9243="","",IFERROR(VLOOKUP(DATOS!$I9243,CONFIG_ASIGNATURAS!$B$2:$J$61,9,FALSE()),""))</f>
      </c>
    </row>
    <row r="9244">
      <c r="E9244">
        <f>IF(DATOS!$I9244="","",IFERROR(VLOOKUP(DATOS!$I9244,CONFIG_ASIGNATURAS!$B$2:$J$61,9,FALSE()),""))</f>
      </c>
    </row>
    <row r="9245">
      <c r="E9245">
        <f>IF(DATOS!$I9245="","",IFERROR(VLOOKUP(DATOS!$I9245,CONFIG_ASIGNATURAS!$B$2:$J$61,9,FALSE()),""))</f>
      </c>
    </row>
    <row r="9246">
      <c r="E9246">
        <f>IF(DATOS!$I9246="","",IFERROR(VLOOKUP(DATOS!$I9246,CONFIG_ASIGNATURAS!$B$2:$J$61,9,FALSE()),""))</f>
      </c>
    </row>
    <row r="9247">
      <c r="E9247">
        <f>IF(DATOS!$I9247="","",IFERROR(VLOOKUP(DATOS!$I9247,CONFIG_ASIGNATURAS!$B$2:$J$61,9,FALSE()),""))</f>
      </c>
    </row>
    <row r="9248">
      <c r="E9248">
        <f>IF(DATOS!$I9248="","",IFERROR(VLOOKUP(DATOS!$I9248,CONFIG_ASIGNATURAS!$B$2:$J$61,9,FALSE()),""))</f>
      </c>
    </row>
    <row r="9249">
      <c r="E9249">
        <f>IF(DATOS!$I9249="","",IFERROR(VLOOKUP(DATOS!$I9249,CONFIG_ASIGNATURAS!$B$2:$J$61,9,FALSE()),""))</f>
      </c>
    </row>
    <row r="9250">
      <c r="E9250">
        <f>IF(DATOS!$I9250="","",IFERROR(VLOOKUP(DATOS!$I9250,CONFIG_ASIGNATURAS!$B$2:$J$61,9,FALSE()),""))</f>
      </c>
    </row>
    <row r="9251">
      <c r="E9251">
        <f>IF(DATOS!$I9251="","",IFERROR(VLOOKUP(DATOS!$I9251,CONFIG_ASIGNATURAS!$B$2:$J$61,9,FALSE()),""))</f>
      </c>
    </row>
    <row r="9252">
      <c r="E9252">
        <f>IF(DATOS!$I9252="","",IFERROR(VLOOKUP(DATOS!$I9252,CONFIG_ASIGNATURAS!$B$2:$J$61,9,FALSE()),""))</f>
      </c>
    </row>
    <row r="9253">
      <c r="E9253">
        <f>IF(DATOS!$I9253="","",IFERROR(VLOOKUP(DATOS!$I9253,CONFIG_ASIGNATURAS!$B$2:$J$61,9,FALSE()),""))</f>
      </c>
    </row>
    <row r="9254">
      <c r="E9254">
        <f>IF(DATOS!$I9254="","",IFERROR(VLOOKUP(DATOS!$I9254,CONFIG_ASIGNATURAS!$B$2:$J$61,9,FALSE()),""))</f>
      </c>
    </row>
    <row r="9255">
      <c r="E9255">
        <f>IF(DATOS!$I9255="","",IFERROR(VLOOKUP(DATOS!$I9255,CONFIG_ASIGNATURAS!$B$2:$J$61,9,FALSE()),""))</f>
      </c>
    </row>
    <row r="9256">
      <c r="E9256">
        <f>IF(DATOS!$I9256="","",IFERROR(VLOOKUP(DATOS!$I9256,CONFIG_ASIGNATURAS!$B$2:$J$61,9,FALSE()),""))</f>
      </c>
    </row>
    <row r="9257">
      <c r="E9257">
        <f>IF(DATOS!$I9257="","",IFERROR(VLOOKUP(DATOS!$I9257,CONFIG_ASIGNATURAS!$B$2:$J$61,9,FALSE()),""))</f>
      </c>
    </row>
    <row r="9258">
      <c r="E9258">
        <f>IF(DATOS!$I9258="","",IFERROR(VLOOKUP(DATOS!$I9258,CONFIG_ASIGNATURAS!$B$2:$J$61,9,FALSE()),""))</f>
      </c>
    </row>
    <row r="9259">
      <c r="E9259">
        <f>IF(DATOS!$I9259="","",IFERROR(VLOOKUP(DATOS!$I9259,CONFIG_ASIGNATURAS!$B$2:$J$61,9,FALSE()),""))</f>
      </c>
    </row>
    <row r="9260">
      <c r="E9260">
        <f>IF(DATOS!$I9260="","",IFERROR(VLOOKUP(DATOS!$I9260,CONFIG_ASIGNATURAS!$B$2:$J$61,9,FALSE()),""))</f>
      </c>
    </row>
    <row r="9261">
      <c r="E9261">
        <f>IF(DATOS!$I9261="","",IFERROR(VLOOKUP(DATOS!$I9261,CONFIG_ASIGNATURAS!$B$2:$J$61,9,FALSE()),""))</f>
      </c>
    </row>
    <row r="9262">
      <c r="E9262">
        <f>IF(DATOS!$I9262="","",IFERROR(VLOOKUP(DATOS!$I9262,CONFIG_ASIGNATURAS!$B$2:$J$61,9,FALSE()),""))</f>
      </c>
    </row>
    <row r="9263">
      <c r="E9263">
        <f>IF(DATOS!$I9263="","",IFERROR(VLOOKUP(DATOS!$I9263,CONFIG_ASIGNATURAS!$B$2:$J$61,9,FALSE()),""))</f>
      </c>
    </row>
    <row r="9264">
      <c r="E9264">
        <f>IF(DATOS!$I9264="","",IFERROR(VLOOKUP(DATOS!$I9264,CONFIG_ASIGNATURAS!$B$2:$J$61,9,FALSE()),""))</f>
      </c>
    </row>
    <row r="9265">
      <c r="E9265">
        <f>IF(DATOS!$I9265="","",IFERROR(VLOOKUP(DATOS!$I9265,CONFIG_ASIGNATURAS!$B$2:$J$61,9,FALSE()),""))</f>
      </c>
    </row>
    <row r="9266">
      <c r="E9266">
        <f>IF(DATOS!$I9266="","",IFERROR(VLOOKUP(DATOS!$I9266,CONFIG_ASIGNATURAS!$B$2:$J$61,9,FALSE()),""))</f>
      </c>
    </row>
    <row r="9267">
      <c r="E9267">
        <f>IF(DATOS!$I9267="","",IFERROR(VLOOKUP(DATOS!$I9267,CONFIG_ASIGNATURAS!$B$2:$J$61,9,FALSE()),""))</f>
      </c>
    </row>
    <row r="9268">
      <c r="E9268">
        <f>IF(DATOS!$I9268="","",IFERROR(VLOOKUP(DATOS!$I9268,CONFIG_ASIGNATURAS!$B$2:$J$61,9,FALSE()),""))</f>
      </c>
    </row>
    <row r="9269">
      <c r="E9269">
        <f>IF(DATOS!$I9269="","",IFERROR(VLOOKUP(DATOS!$I9269,CONFIG_ASIGNATURAS!$B$2:$J$61,9,FALSE()),""))</f>
      </c>
    </row>
    <row r="9270">
      <c r="E9270">
        <f>IF(DATOS!$I9270="","",IFERROR(VLOOKUP(DATOS!$I9270,CONFIG_ASIGNATURAS!$B$2:$J$61,9,FALSE()),""))</f>
      </c>
    </row>
    <row r="9271">
      <c r="E9271">
        <f>IF(DATOS!$I9271="","",IFERROR(VLOOKUP(DATOS!$I9271,CONFIG_ASIGNATURAS!$B$2:$J$61,9,FALSE()),""))</f>
      </c>
    </row>
    <row r="9272">
      <c r="E9272">
        <f>IF(DATOS!$I9272="","",IFERROR(VLOOKUP(DATOS!$I9272,CONFIG_ASIGNATURAS!$B$2:$J$61,9,FALSE()),""))</f>
      </c>
    </row>
    <row r="9273">
      <c r="E9273">
        <f>IF(DATOS!$I9273="","",IFERROR(VLOOKUP(DATOS!$I9273,CONFIG_ASIGNATURAS!$B$2:$J$61,9,FALSE()),""))</f>
      </c>
    </row>
    <row r="9274">
      <c r="E9274">
        <f>IF(DATOS!$I9274="","",IFERROR(VLOOKUP(DATOS!$I9274,CONFIG_ASIGNATURAS!$B$2:$J$61,9,FALSE()),""))</f>
      </c>
    </row>
    <row r="9275">
      <c r="E9275">
        <f>IF(DATOS!$I9275="","",IFERROR(VLOOKUP(DATOS!$I9275,CONFIG_ASIGNATURAS!$B$2:$J$61,9,FALSE()),""))</f>
      </c>
    </row>
    <row r="9276">
      <c r="E9276">
        <f>IF(DATOS!$I9276="","",IFERROR(VLOOKUP(DATOS!$I9276,CONFIG_ASIGNATURAS!$B$2:$J$61,9,FALSE()),""))</f>
      </c>
    </row>
    <row r="9277">
      <c r="E9277">
        <f>IF(DATOS!$I9277="","",IFERROR(VLOOKUP(DATOS!$I9277,CONFIG_ASIGNATURAS!$B$2:$J$61,9,FALSE()),""))</f>
      </c>
    </row>
    <row r="9278">
      <c r="E9278">
        <f>IF(DATOS!$I9278="","",IFERROR(VLOOKUP(DATOS!$I9278,CONFIG_ASIGNATURAS!$B$2:$J$61,9,FALSE()),""))</f>
      </c>
    </row>
    <row r="9279">
      <c r="E9279">
        <f>IF(DATOS!$I9279="","",IFERROR(VLOOKUP(DATOS!$I9279,CONFIG_ASIGNATURAS!$B$2:$J$61,9,FALSE()),""))</f>
      </c>
    </row>
    <row r="9280">
      <c r="E9280">
        <f>IF(DATOS!$I9280="","",IFERROR(VLOOKUP(DATOS!$I9280,CONFIG_ASIGNATURAS!$B$2:$J$61,9,FALSE()),""))</f>
      </c>
    </row>
    <row r="9281">
      <c r="E9281">
        <f>IF(DATOS!$I9281="","",IFERROR(VLOOKUP(DATOS!$I9281,CONFIG_ASIGNATURAS!$B$2:$J$61,9,FALSE()),""))</f>
      </c>
    </row>
    <row r="9282">
      <c r="E9282">
        <f>IF(DATOS!$I9282="","",IFERROR(VLOOKUP(DATOS!$I9282,CONFIG_ASIGNATURAS!$B$2:$J$61,9,FALSE()),""))</f>
      </c>
    </row>
    <row r="9283">
      <c r="E9283">
        <f>IF(DATOS!$I9283="","",IFERROR(VLOOKUP(DATOS!$I9283,CONFIG_ASIGNATURAS!$B$2:$J$61,9,FALSE()),""))</f>
      </c>
    </row>
    <row r="9284">
      <c r="E9284">
        <f>IF(DATOS!$I9284="","",IFERROR(VLOOKUP(DATOS!$I9284,CONFIG_ASIGNATURAS!$B$2:$J$61,9,FALSE()),""))</f>
      </c>
    </row>
    <row r="9285">
      <c r="E9285">
        <f>IF(DATOS!$I9285="","",IFERROR(VLOOKUP(DATOS!$I9285,CONFIG_ASIGNATURAS!$B$2:$J$61,9,FALSE()),""))</f>
      </c>
    </row>
    <row r="9286">
      <c r="E9286">
        <f>IF(DATOS!$I9286="","",IFERROR(VLOOKUP(DATOS!$I9286,CONFIG_ASIGNATURAS!$B$2:$J$61,9,FALSE()),""))</f>
      </c>
    </row>
    <row r="9287">
      <c r="E9287">
        <f>IF(DATOS!$I9287="","",IFERROR(VLOOKUP(DATOS!$I9287,CONFIG_ASIGNATURAS!$B$2:$J$61,9,FALSE()),""))</f>
      </c>
    </row>
    <row r="9288">
      <c r="E9288">
        <f>IF(DATOS!$I9288="","",IFERROR(VLOOKUP(DATOS!$I9288,CONFIG_ASIGNATURAS!$B$2:$J$61,9,FALSE()),""))</f>
      </c>
    </row>
    <row r="9289">
      <c r="E9289">
        <f>IF(DATOS!$I9289="","",IFERROR(VLOOKUP(DATOS!$I9289,CONFIG_ASIGNATURAS!$B$2:$J$61,9,FALSE()),""))</f>
      </c>
    </row>
    <row r="9290">
      <c r="E9290">
        <f>IF(DATOS!$I9290="","",IFERROR(VLOOKUP(DATOS!$I9290,CONFIG_ASIGNATURAS!$B$2:$J$61,9,FALSE()),""))</f>
      </c>
    </row>
    <row r="9291">
      <c r="E9291">
        <f>IF(DATOS!$I9291="","",IFERROR(VLOOKUP(DATOS!$I9291,CONFIG_ASIGNATURAS!$B$2:$J$61,9,FALSE()),""))</f>
      </c>
    </row>
    <row r="9292">
      <c r="E9292">
        <f>IF(DATOS!$I9292="","",IFERROR(VLOOKUP(DATOS!$I9292,CONFIG_ASIGNATURAS!$B$2:$J$61,9,FALSE()),""))</f>
      </c>
    </row>
    <row r="9293">
      <c r="E9293">
        <f>IF(DATOS!$I9293="","",IFERROR(VLOOKUP(DATOS!$I9293,CONFIG_ASIGNATURAS!$B$2:$J$61,9,FALSE()),""))</f>
      </c>
    </row>
    <row r="9294">
      <c r="E9294">
        <f>IF(DATOS!$I9294="","",IFERROR(VLOOKUP(DATOS!$I9294,CONFIG_ASIGNATURAS!$B$2:$J$61,9,FALSE()),""))</f>
      </c>
    </row>
    <row r="9295">
      <c r="E9295">
        <f>IF(DATOS!$I9295="","",IFERROR(VLOOKUP(DATOS!$I9295,CONFIG_ASIGNATURAS!$B$2:$J$61,9,FALSE()),""))</f>
      </c>
    </row>
    <row r="9296">
      <c r="E9296">
        <f>IF(DATOS!$I9296="","",IFERROR(VLOOKUP(DATOS!$I9296,CONFIG_ASIGNATURAS!$B$2:$J$61,9,FALSE()),""))</f>
      </c>
    </row>
    <row r="9297">
      <c r="E9297">
        <f>IF(DATOS!$I9297="","",IFERROR(VLOOKUP(DATOS!$I9297,CONFIG_ASIGNATURAS!$B$2:$J$61,9,FALSE()),""))</f>
      </c>
    </row>
    <row r="9298">
      <c r="E9298">
        <f>IF(DATOS!$I9298="","",IFERROR(VLOOKUP(DATOS!$I9298,CONFIG_ASIGNATURAS!$B$2:$J$61,9,FALSE()),""))</f>
      </c>
    </row>
    <row r="9299">
      <c r="E9299">
        <f>IF(DATOS!$I9299="","",IFERROR(VLOOKUP(DATOS!$I9299,CONFIG_ASIGNATURAS!$B$2:$J$61,9,FALSE()),""))</f>
      </c>
    </row>
    <row r="9300">
      <c r="E9300">
        <f>IF(DATOS!$I9300="","",IFERROR(VLOOKUP(DATOS!$I9300,CONFIG_ASIGNATURAS!$B$2:$J$61,9,FALSE()),""))</f>
      </c>
    </row>
    <row r="9301">
      <c r="E9301">
        <f>IF(DATOS!$I9301="","",IFERROR(VLOOKUP(DATOS!$I9301,CONFIG_ASIGNATURAS!$B$2:$J$61,9,FALSE()),""))</f>
      </c>
    </row>
    <row r="9302">
      <c r="E9302">
        <f>IF(DATOS!$I9302="","",IFERROR(VLOOKUP(DATOS!$I9302,CONFIG_ASIGNATURAS!$B$2:$J$61,9,FALSE()),""))</f>
      </c>
    </row>
    <row r="9303">
      <c r="E9303">
        <f>IF(DATOS!$I9303="","",IFERROR(VLOOKUP(DATOS!$I9303,CONFIG_ASIGNATURAS!$B$2:$J$61,9,FALSE()),""))</f>
      </c>
    </row>
    <row r="9304">
      <c r="E9304">
        <f>IF(DATOS!$I9304="","",IFERROR(VLOOKUP(DATOS!$I9304,CONFIG_ASIGNATURAS!$B$2:$J$61,9,FALSE()),""))</f>
      </c>
    </row>
    <row r="9305">
      <c r="E9305">
        <f>IF(DATOS!$I9305="","",IFERROR(VLOOKUP(DATOS!$I9305,CONFIG_ASIGNATURAS!$B$2:$J$61,9,FALSE()),""))</f>
      </c>
    </row>
    <row r="9306">
      <c r="E9306">
        <f>IF(DATOS!$I9306="","",IFERROR(VLOOKUP(DATOS!$I9306,CONFIG_ASIGNATURAS!$B$2:$J$61,9,FALSE()),""))</f>
      </c>
    </row>
    <row r="9307">
      <c r="E9307">
        <f>IF(DATOS!$I9307="","",IFERROR(VLOOKUP(DATOS!$I9307,CONFIG_ASIGNATURAS!$B$2:$J$61,9,FALSE()),""))</f>
      </c>
    </row>
    <row r="9308">
      <c r="E9308">
        <f>IF(DATOS!$I9308="","",IFERROR(VLOOKUP(DATOS!$I9308,CONFIG_ASIGNATURAS!$B$2:$J$61,9,FALSE()),""))</f>
      </c>
    </row>
    <row r="9309">
      <c r="E9309">
        <f>IF(DATOS!$I9309="","",IFERROR(VLOOKUP(DATOS!$I9309,CONFIG_ASIGNATURAS!$B$2:$J$61,9,FALSE()),""))</f>
      </c>
    </row>
    <row r="9310">
      <c r="E9310">
        <f>IF(DATOS!$I9310="","",IFERROR(VLOOKUP(DATOS!$I9310,CONFIG_ASIGNATURAS!$B$2:$J$61,9,FALSE()),""))</f>
      </c>
    </row>
    <row r="9311">
      <c r="E9311">
        <f>IF(DATOS!$I9311="","",IFERROR(VLOOKUP(DATOS!$I9311,CONFIG_ASIGNATURAS!$B$2:$J$61,9,FALSE()),""))</f>
      </c>
    </row>
    <row r="9312">
      <c r="E9312">
        <f>IF(DATOS!$I9312="","",IFERROR(VLOOKUP(DATOS!$I9312,CONFIG_ASIGNATURAS!$B$2:$J$61,9,FALSE()),""))</f>
      </c>
    </row>
    <row r="9313">
      <c r="E9313">
        <f>IF(DATOS!$I9313="","",IFERROR(VLOOKUP(DATOS!$I9313,CONFIG_ASIGNATURAS!$B$2:$J$61,9,FALSE()),""))</f>
      </c>
    </row>
    <row r="9314">
      <c r="E9314">
        <f>IF(DATOS!$I9314="","",IFERROR(VLOOKUP(DATOS!$I9314,CONFIG_ASIGNATURAS!$B$2:$J$61,9,FALSE()),""))</f>
      </c>
    </row>
    <row r="9315">
      <c r="E9315">
        <f>IF(DATOS!$I9315="","",IFERROR(VLOOKUP(DATOS!$I9315,CONFIG_ASIGNATURAS!$B$2:$J$61,9,FALSE()),""))</f>
      </c>
    </row>
    <row r="9316">
      <c r="E9316">
        <f>IF(DATOS!$I9316="","",IFERROR(VLOOKUP(DATOS!$I9316,CONFIG_ASIGNATURAS!$B$2:$J$61,9,FALSE()),""))</f>
      </c>
    </row>
    <row r="9317">
      <c r="E9317">
        <f>IF(DATOS!$I9317="","",IFERROR(VLOOKUP(DATOS!$I9317,CONFIG_ASIGNATURAS!$B$2:$J$61,9,FALSE()),""))</f>
      </c>
    </row>
    <row r="9318">
      <c r="E9318">
        <f>IF(DATOS!$I9318="","",IFERROR(VLOOKUP(DATOS!$I9318,CONFIG_ASIGNATURAS!$B$2:$J$61,9,FALSE()),""))</f>
      </c>
    </row>
    <row r="9319">
      <c r="E9319">
        <f>IF(DATOS!$I9319="","",IFERROR(VLOOKUP(DATOS!$I9319,CONFIG_ASIGNATURAS!$B$2:$J$61,9,FALSE()),""))</f>
      </c>
    </row>
    <row r="9320">
      <c r="E9320">
        <f>IF(DATOS!$I9320="","",IFERROR(VLOOKUP(DATOS!$I9320,CONFIG_ASIGNATURAS!$B$2:$J$61,9,FALSE()),""))</f>
      </c>
    </row>
    <row r="9321">
      <c r="E9321">
        <f>IF(DATOS!$I9321="","",IFERROR(VLOOKUP(DATOS!$I9321,CONFIG_ASIGNATURAS!$B$2:$J$61,9,FALSE()),""))</f>
      </c>
    </row>
    <row r="9322">
      <c r="E9322">
        <f>IF(DATOS!$I9322="","",IFERROR(VLOOKUP(DATOS!$I9322,CONFIG_ASIGNATURAS!$B$2:$J$61,9,FALSE()),""))</f>
      </c>
    </row>
    <row r="9323">
      <c r="E9323">
        <f>IF(DATOS!$I9323="","",IFERROR(VLOOKUP(DATOS!$I9323,CONFIG_ASIGNATURAS!$B$2:$J$61,9,FALSE()),""))</f>
      </c>
    </row>
    <row r="9324">
      <c r="E9324">
        <f>IF(DATOS!$I9324="","",IFERROR(VLOOKUP(DATOS!$I9324,CONFIG_ASIGNATURAS!$B$2:$J$61,9,FALSE()),""))</f>
      </c>
    </row>
    <row r="9325">
      <c r="E9325">
        <f>IF(DATOS!$I9325="","",IFERROR(VLOOKUP(DATOS!$I9325,CONFIG_ASIGNATURAS!$B$2:$J$61,9,FALSE()),""))</f>
      </c>
    </row>
    <row r="9326">
      <c r="E9326">
        <f>IF(DATOS!$I9326="","",IFERROR(VLOOKUP(DATOS!$I9326,CONFIG_ASIGNATURAS!$B$2:$J$61,9,FALSE()),""))</f>
      </c>
    </row>
    <row r="9327">
      <c r="E9327">
        <f>IF(DATOS!$I9327="","",IFERROR(VLOOKUP(DATOS!$I9327,CONFIG_ASIGNATURAS!$B$2:$J$61,9,FALSE()),""))</f>
      </c>
    </row>
    <row r="9328">
      <c r="E9328">
        <f>IF(DATOS!$I9328="","",IFERROR(VLOOKUP(DATOS!$I9328,CONFIG_ASIGNATURAS!$B$2:$J$61,9,FALSE()),""))</f>
      </c>
    </row>
    <row r="9329">
      <c r="E9329">
        <f>IF(DATOS!$I9329="","",IFERROR(VLOOKUP(DATOS!$I9329,CONFIG_ASIGNATURAS!$B$2:$J$61,9,FALSE()),""))</f>
      </c>
    </row>
    <row r="9330">
      <c r="E9330">
        <f>IF(DATOS!$I9330="","",IFERROR(VLOOKUP(DATOS!$I9330,CONFIG_ASIGNATURAS!$B$2:$J$61,9,FALSE()),""))</f>
      </c>
    </row>
    <row r="9331">
      <c r="E9331">
        <f>IF(DATOS!$I9331="","",IFERROR(VLOOKUP(DATOS!$I9331,CONFIG_ASIGNATURAS!$B$2:$J$61,9,FALSE()),""))</f>
      </c>
    </row>
    <row r="9332">
      <c r="E9332">
        <f>IF(DATOS!$I9332="","",IFERROR(VLOOKUP(DATOS!$I9332,CONFIG_ASIGNATURAS!$B$2:$J$61,9,FALSE()),""))</f>
      </c>
    </row>
    <row r="9333">
      <c r="E9333">
        <f>IF(DATOS!$I9333="","",IFERROR(VLOOKUP(DATOS!$I9333,CONFIG_ASIGNATURAS!$B$2:$J$61,9,FALSE()),""))</f>
      </c>
    </row>
    <row r="9334">
      <c r="E9334">
        <f>IF(DATOS!$I9334="","",IFERROR(VLOOKUP(DATOS!$I9334,CONFIG_ASIGNATURAS!$B$2:$J$61,9,FALSE()),""))</f>
      </c>
    </row>
    <row r="9335">
      <c r="E9335">
        <f>IF(DATOS!$I9335="","",IFERROR(VLOOKUP(DATOS!$I9335,CONFIG_ASIGNATURAS!$B$2:$J$61,9,FALSE()),""))</f>
      </c>
    </row>
    <row r="9336">
      <c r="E9336">
        <f>IF(DATOS!$I9336="","",IFERROR(VLOOKUP(DATOS!$I9336,CONFIG_ASIGNATURAS!$B$2:$J$61,9,FALSE()),""))</f>
      </c>
    </row>
    <row r="9337">
      <c r="E9337">
        <f>IF(DATOS!$I9337="","",IFERROR(VLOOKUP(DATOS!$I9337,CONFIG_ASIGNATURAS!$B$2:$J$61,9,FALSE()),""))</f>
      </c>
    </row>
    <row r="9338">
      <c r="E9338">
        <f>IF(DATOS!$I9338="","",IFERROR(VLOOKUP(DATOS!$I9338,CONFIG_ASIGNATURAS!$B$2:$J$61,9,FALSE()),""))</f>
      </c>
    </row>
    <row r="9339">
      <c r="E9339">
        <f>IF(DATOS!$I9339="","",IFERROR(VLOOKUP(DATOS!$I9339,CONFIG_ASIGNATURAS!$B$2:$J$61,9,FALSE()),""))</f>
      </c>
    </row>
    <row r="9340">
      <c r="E9340">
        <f>IF(DATOS!$I9340="","",IFERROR(VLOOKUP(DATOS!$I9340,CONFIG_ASIGNATURAS!$B$2:$J$61,9,FALSE()),""))</f>
      </c>
    </row>
    <row r="9341">
      <c r="E9341">
        <f>IF(DATOS!$I9341="","",IFERROR(VLOOKUP(DATOS!$I9341,CONFIG_ASIGNATURAS!$B$2:$J$61,9,FALSE()),""))</f>
      </c>
    </row>
    <row r="9342">
      <c r="E9342">
        <f>IF(DATOS!$I9342="","",IFERROR(VLOOKUP(DATOS!$I9342,CONFIG_ASIGNATURAS!$B$2:$J$61,9,FALSE()),""))</f>
      </c>
    </row>
    <row r="9343">
      <c r="E9343">
        <f>IF(DATOS!$I9343="","",IFERROR(VLOOKUP(DATOS!$I9343,CONFIG_ASIGNATURAS!$B$2:$J$61,9,FALSE()),""))</f>
      </c>
    </row>
    <row r="9344">
      <c r="E9344">
        <f>IF(DATOS!$I9344="","",IFERROR(VLOOKUP(DATOS!$I9344,CONFIG_ASIGNATURAS!$B$2:$J$61,9,FALSE()),""))</f>
      </c>
    </row>
    <row r="9345">
      <c r="E9345">
        <f>IF(DATOS!$I9345="","",IFERROR(VLOOKUP(DATOS!$I9345,CONFIG_ASIGNATURAS!$B$2:$J$61,9,FALSE()),""))</f>
      </c>
    </row>
    <row r="9346">
      <c r="E9346">
        <f>IF(DATOS!$I9346="","",IFERROR(VLOOKUP(DATOS!$I9346,CONFIG_ASIGNATURAS!$B$2:$J$61,9,FALSE()),""))</f>
      </c>
    </row>
    <row r="9347">
      <c r="E9347">
        <f>IF(DATOS!$I9347="","",IFERROR(VLOOKUP(DATOS!$I9347,CONFIG_ASIGNATURAS!$B$2:$J$61,9,FALSE()),""))</f>
      </c>
    </row>
    <row r="9348">
      <c r="E9348">
        <f>IF(DATOS!$I9348="","",IFERROR(VLOOKUP(DATOS!$I9348,CONFIG_ASIGNATURAS!$B$2:$J$61,9,FALSE()),""))</f>
      </c>
    </row>
    <row r="9349">
      <c r="E9349">
        <f>IF(DATOS!$I9349="","",IFERROR(VLOOKUP(DATOS!$I9349,CONFIG_ASIGNATURAS!$B$2:$J$61,9,FALSE()),""))</f>
      </c>
    </row>
    <row r="9350">
      <c r="E9350">
        <f>IF(DATOS!$I9350="","",IFERROR(VLOOKUP(DATOS!$I9350,CONFIG_ASIGNATURAS!$B$2:$J$61,9,FALSE()),""))</f>
      </c>
    </row>
    <row r="9351">
      <c r="E9351">
        <f>IF(DATOS!$I9351="","",IFERROR(VLOOKUP(DATOS!$I9351,CONFIG_ASIGNATURAS!$B$2:$J$61,9,FALSE()),""))</f>
      </c>
    </row>
    <row r="9352">
      <c r="E9352">
        <f>IF(DATOS!$I9352="","",IFERROR(VLOOKUP(DATOS!$I9352,CONFIG_ASIGNATURAS!$B$2:$J$61,9,FALSE()),""))</f>
      </c>
    </row>
    <row r="9353">
      <c r="E9353">
        <f>IF(DATOS!$I9353="","",IFERROR(VLOOKUP(DATOS!$I9353,CONFIG_ASIGNATURAS!$B$2:$J$61,9,FALSE()),""))</f>
      </c>
    </row>
    <row r="9354">
      <c r="E9354">
        <f>IF(DATOS!$I9354="","",IFERROR(VLOOKUP(DATOS!$I9354,CONFIG_ASIGNATURAS!$B$2:$J$61,9,FALSE()),""))</f>
      </c>
    </row>
    <row r="9355">
      <c r="E9355">
        <f>IF(DATOS!$I9355="","",IFERROR(VLOOKUP(DATOS!$I9355,CONFIG_ASIGNATURAS!$B$2:$J$61,9,FALSE()),""))</f>
      </c>
    </row>
    <row r="9356">
      <c r="E9356">
        <f>IF(DATOS!$I9356="","",IFERROR(VLOOKUP(DATOS!$I9356,CONFIG_ASIGNATURAS!$B$2:$J$61,9,FALSE()),""))</f>
      </c>
    </row>
    <row r="9357">
      <c r="E9357">
        <f>IF(DATOS!$I9357="","",IFERROR(VLOOKUP(DATOS!$I9357,CONFIG_ASIGNATURAS!$B$2:$J$61,9,FALSE()),""))</f>
      </c>
    </row>
    <row r="9358">
      <c r="E9358">
        <f>IF(DATOS!$I9358="","",IFERROR(VLOOKUP(DATOS!$I9358,CONFIG_ASIGNATURAS!$B$2:$J$61,9,FALSE()),""))</f>
      </c>
    </row>
    <row r="9359">
      <c r="E9359">
        <f>IF(DATOS!$I9359="","",IFERROR(VLOOKUP(DATOS!$I9359,CONFIG_ASIGNATURAS!$B$2:$J$61,9,FALSE()),""))</f>
      </c>
    </row>
    <row r="9360">
      <c r="E9360">
        <f>IF(DATOS!$I9360="","",IFERROR(VLOOKUP(DATOS!$I9360,CONFIG_ASIGNATURAS!$B$2:$J$61,9,FALSE()),""))</f>
      </c>
    </row>
    <row r="9361">
      <c r="E9361">
        <f>IF(DATOS!$I9361="","",IFERROR(VLOOKUP(DATOS!$I9361,CONFIG_ASIGNATURAS!$B$2:$J$61,9,FALSE()),""))</f>
      </c>
    </row>
    <row r="9362">
      <c r="E9362">
        <f>IF(DATOS!$I9362="","",IFERROR(VLOOKUP(DATOS!$I9362,CONFIG_ASIGNATURAS!$B$2:$J$61,9,FALSE()),""))</f>
      </c>
    </row>
    <row r="9363">
      <c r="E9363">
        <f>IF(DATOS!$I9363="","",IFERROR(VLOOKUP(DATOS!$I9363,CONFIG_ASIGNATURAS!$B$2:$J$61,9,FALSE()),""))</f>
      </c>
    </row>
    <row r="9364">
      <c r="E9364">
        <f>IF(DATOS!$I9364="","",IFERROR(VLOOKUP(DATOS!$I9364,CONFIG_ASIGNATURAS!$B$2:$J$61,9,FALSE()),""))</f>
      </c>
    </row>
    <row r="9365">
      <c r="E9365">
        <f>IF(DATOS!$I9365="","",IFERROR(VLOOKUP(DATOS!$I9365,CONFIG_ASIGNATURAS!$B$2:$J$61,9,FALSE()),""))</f>
      </c>
    </row>
    <row r="9366">
      <c r="E9366">
        <f>IF(DATOS!$I9366="","",IFERROR(VLOOKUP(DATOS!$I9366,CONFIG_ASIGNATURAS!$B$2:$J$61,9,FALSE()),""))</f>
      </c>
    </row>
    <row r="9367">
      <c r="E9367">
        <f>IF(DATOS!$I9367="","",IFERROR(VLOOKUP(DATOS!$I9367,CONFIG_ASIGNATURAS!$B$2:$J$61,9,FALSE()),""))</f>
      </c>
    </row>
    <row r="9368">
      <c r="E9368">
        <f>IF(DATOS!$I9368="","",IFERROR(VLOOKUP(DATOS!$I9368,CONFIG_ASIGNATURAS!$B$2:$J$61,9,FALSE()),""))</f>
      </c>
    </row>
    <row r="9369">
      <c r="E9369">
        <f>IF(DATOS!$I9369="","",IFERROR(VLOOKUP(DATOS!$I9369,CONFIG_ASIGNATURAS!$B$2:$J$61,9,FALSE()),""))</f>
      </c>
    </row>
    <row r="9370">
      <c r="E9370">
        <f>IF(DATOS!$I9370="","",IFERROR(VLOOKUP(DATOS!$I9370,CONFIG_ASIGNATURAS!$B$2:$J$61,9,FALSE()),""))</f>
      </c>
    </row>
    <row r="9371">
      <c r="E9371">
        <f>IF(DATOS!$I9371="","",IFERROR(VLOOKUP(DATOS!$I9371,CONFIG_ASIGNATURAS!$B$2:$J$61,9,FALSE()),""))</f>
      </c>
    </row>
    <row r="9372">
      <c r="E9372">
        <f>IF(DATOS!$I9372="","",IFERROR(VLOOKUP(DATOS!$I9372,CONFIG_ASIGNATURAS!$B$2:$J$61,9,FALSE()),""))</f>
      </c>
    </row>
    <row r="9373">
      <c r="E9373">
        <f>IF(DATOS!$I9373="","",IFERROR(VLOOKUP(DATOS!$I9373,CONFIG_ASIGNATURAS!$B$2:$J$61,9,FALSE()),""))</f>
      </c>
    </row>
    <row r="9374">
      <c r="E9374">
        <f>IF(DATOS!$I9374="","",IFERROR(VLOOKUP(DATOS!$I9374,CONFIG_ASIGNATURAS!$B$2:$J$61,9,FALSE()),""))</f>
      </c>
    </row>
    <row r="9375">
      <c r="E9375">
        <f>IF(DATOS!$I9375="","",IFERROR(VLOOKUP(DATOS!$I9375,CONFIG_ASIGNATURAS!$B$2:$J$61,9,FALSE()),""))</f>
      </c>
    </row>
    <row r="9376">
      <c r="E9376">
        <f>IF(DATOS!$I9376="","",IFERROR(VLOOKUP(DATOS!$I9376,CONFIG_ASIGNATURAS!$B$2:$J$61,9,FALSE()),""))</f>
      </c>
    </row>
    <row r="9377">
      <c r="E9377">
        <f>IF(DATOS!$I9377="","",IFERROR(VLOOKUP(DATOS!$I9377,CONFIG_ASIGNATURAS!$B$2:$J$61,9,FALSE()),""))</f>
      </c>
    </row>
    <row r="9378">
      <c r="E9378">
        <f>IF(DATOS!$I9378="","",IFERROR(VLOOKUP(DATOS!$I9378,CONFIG_ASIGNATURAS!$B$2:$J$61,9,FALSE()),""))</f>
      </c>
    </row>
    <row r="9379">
      <c r="E9379">
        <f>IF(DATOS!$I9379="","",IFERROR(VLOOKUP(DATOS!$I9379,CONFIG_ASIGNATURAS!$B$2:$J$61,9,FALSE()),""))</f>
      </c>
    </row>
    <row r="9380">
      <c r="E9380">
        <f>IF(DATOS!$I9380="","",IFERROR(VLOOKUP(DATOS!$I9380,CONFIG_ASIGNATURAS!$B$2:$J$61,9,FALSE()),""))</f>
      </c>
    </row>
    <row r="9381">
      <c r="E9381">
        <f>IF(DATOS!$I9381="","",IFERROR(VLOOKUP(DATOS!$I9381,CONFIG_ASIGNATURAS!$B$2:$J$61,9,FALSE()),""))</f>
      </c>
    </row>
    <row r="9382">
      <c r="E9382">
        <f>IF(DATOS!$I9382="","",IFERROR(VLOOKUP(DATOS!$I9382,CONFIG_ASIGNATURAS!$B$2:$J$61,9,FALSE()),""))</f>
      </c>
    </row>
    <row r="9383">
      <c r="E9383">
        <f>IF(DATOS!$I9383="","",IFERROR(VLOOKUP(DATOS!$I9383,CONFIG_ASIGNATURAS!$B$2:$J$61,9,FALSE()),""))</f>
      </c>
    </row>
    <row r="9384">
      <c r="E9384">
        <f>IF(DATOS!$I9384="","",IFERROR(VLOOKUP(DATOS!$I9384,CONFIG_ASIGNATURAS!$B$2:$J$61,9,FALSE()),""))</f>
      </c>
    </row>
    <row r="9385">
      <c r="E9385">
        <f>IF(DATOS!$I9385="","",IFERROR(VLOOKUP(DATOS!$I9385,CONFIG_ASIGNATURAS!$B$2:$J$61,9,FALSE()),""))</f>
      </c>
    </row>
    <row r="9386">
      <c r="E9386">
        <f>IF(DATOS!$I9386="","",IFERROR(VLOOKUP(DATOS!$I9386,CONFIG_ASIGNATURAS!$B$2:$J$61,9,FALSE()),""))</f>
      </c>
    </row>
    <row r="9387">
      <c r="E9387">
        <f>IF(DATOS!$I9387="","",IFERROR(VLOOKUP(DATOS!$I9387,CONFIG_ASIGNATURAS!$B$2:$J$61,9,FALSE()),""))</f>
      </c>
    </row>
    <row r="9388">
      <c r="E9388">
        <f>IF(DATOS!$I9388="","",IFERROR(VLOOKUP(DATOS!$I9388,CONFIG_ASIGNATURAS!$B$2:$J$61,9,FALSE()),""))</f>
      </c>
    </row>
    <row r="9389">
      <c r="E9389">
        <f>IF(DATOS!$I9389="","",IFERROR(VLOOKUP(DATOS!$I9389,CONFIG_ASIGNATURAS!$B$2:$J$61,9,FALSE()),""))</f>
      </c>
    </row>
    <row r="9390">
      <c r="E9390">
        <f>IF(DATOS!$I9390="","",IFERROR(VLOOKUP(DATOS!$I9390,CONFIG_ASIGNATURAS!$B$2:$J$61,9,FALSE()),""))</f>
      </c>
    </row>
    <row r="9391">
      <c r="E9391">
        <f>IF(DATOS!$I9391="","",IFERROR(VLOOKUP(DATOS!$I9391,CONFIG_ASIGNATURAS!$B$2:$J$61,9,FALSE()),""))</f>
      </c>
    </row>
    <row r="9392">
      <c r="E9392">
        <f>IF(DATOS!$I9392="","",IFERROR(VLOOKUP(DATOS!$I9392,CONFIG_ASIGNATURAS!$B$2:$J$61,9,FALSE()),""))</f>
      </c>
    </row>
    <row r="9393">
      <c r="E9393">
        <f>IF(DATOS!$I9393="","",IFERROR(VLOOKUP(DATOS!$I9393,CONFIG_ASIGNATURAS!$B$2:$J$61,9,FALSE()),""))</f>
      </c>
    </row>
    <row r="9394">
      <c r="E9394">
        <f>IF(DATOS!$I9394="","",IFERROR(VLOOKUP(DATOS!$I9394,CONFIG_ASIGNATURAS!$B$2:$J$61,9,FALSE()),""))</f>
      </c>
    </row>
    <row r="9395">
      <c r="E9395">
        <f>IF(DATOS!$I9395="","",IFERROR(VLOOKUP(DATOS!$I9395,CONFIG_ASIGNATURAS!$B$2:$J$61,9,FALSE()),""))</f>
      </c>
    </row>
    <row r="9396">
      <c r="E9396">
        <f>IF(DATOS!$I9396="","",IFERROR(VLOOKUP(DATOS!$I9396,CONFIG_ASIGNATURAS!$B$2:$J$61,9,FALSE()),""))</f>
      </c>
    </row>
    <row r="9397">
      <c r="E9397">
        <f>IF(DATOS!$I9397="","",IFERROR(VLOOKUP(DATOS!$I9397,CONFIG_ASIGNATURAS!$B$2:$J$61,9,FALSE()),""))</f>
      </c>
    </row>
    <row r="9398">
      <c r="E9398">
        <f>IF(DATOS!$I9398="","",IFERROR(VLOOKUP(DATOS!$I9398,CONFIG_ASIGNATURAS!$B$2:$J$61,9,FALSE()),""))</f>
      </c>
    </row>
    <row r="9399">
      <c r="E9399">
        <f>IF(DATOS!$I9399="","",IFERROR(VLOOKUP(DATOS!$I9399,CONFIG_ASIGNATURAS!$B$2:$J$61,9,FALSE()),""))</f>
      </c>
    </row>
    <row r="9400">
      <c r="E9400">
        <f>IF(DATOS!$I9400="","",IFERROR(VLOOKUP(DATOS!$I9400,CONFIG_ASIGNATURAS!$B$2:$J$61,9,FALSE()),""))</f>
      </c>
    </row>
    <row r="9401">
      <c r="E9401">
        <f>IF(DATOS!$I9401="","",IFERROR(VLOOKUP(DATOS!$I9401,CONFIG_ASIGNATURAS!$B$2:$J$61,9,FALSE()),""))</f>
      </c>
    </row>
    <row r="9402">
      <c r="E9402">
        <f>IF(DATOS!$I9402="","",IFERROR(VLOOKUP(DATOS!$I9402,CONFIG_ASIGNATURAS!$B$2:$J$61,9,FALSE()),""))</f>
      </c>
    </row>
    <row r="9403">
      <c r="E9403">
        <f>IF(DATOS!$I9403="","",IFERROR(VLOOKUP(DATOS!$I9403,CONFIG_ASIGNATURAS!$B$2:$J$61,9,FALSE()),""))</f>
      </c>
    </row>
    <row r="9404">
      <c r="E9404">
        <f>IF(DATOS!$I9404="","",IFERROR(VLOOKUP(DATOS!$I9404,CONFIG_ASIGNATURAS!$B$2:$J$61,9,FALSE()),""))</f>
      </c>
    </row>
    <row r="9405">
      <c r="E9405">
        <f>IF(DATOS!$I9405="","",IFERROR(VLOOKUP(DATOS!$I9405,CONFIG_ASIGNATURAS!$B$2:$J$61,9,FALSE()),""))</f>
      </c>
    </row>
    <row r="9406">
      <c r="E9406">
        <f>IF(DATOS!$I9406="","",IFERROR(VLOOKUP(DATOS!$I9406,CONFIG_ASIGNATURAS!$B$2:$J$61,9,FALSE()),""))</f>
      </c>
    </row>
    <row r="9407">
      <c r="E9407">
        <f>IF(DATOS!$I9407="","",IFERROR(VLOOKUP(DATOS!$I9407,CONFIG_ASIGNATURAS!$B$2:$J$61,9,FALSE()),""))</f>
      </c>
    </row>
    <row r="9408">
      <c r="E9408">
        <f>IF(DATOS!$I9408="","",IFERROR(VLOOKUP(DATOS!$I9408,CONFIG_ASIGNATURAS!$B$2:$J$61,9,FALSE()),""))</f>
      </c>
    </row>
    <row r="9409">
      <c r="E9409">
        <f>IF(DATOS!$I9409="","",IFERROR(VLOOKUP(DATOS!$I9409,CONFIG_ASIGNATURAS!$B$2:$J$61,9,FALSE()),""))</f>
      </c>
    </row>
    <row r="9410">
      <c r="E9410">
        <f>IF(DATOS!$I9410="","",IFERROR(VLOOKUP(DATOS!$I9410,CONFIG_ASIGNATURAS!$B$2:$J$61,9,FALSE()),""))</f>
      </c>
    </row>
    <row r="9411">
      <c r="E9411">
        <f>IF(DATOS!$I9411="","",IFERROR(VLOOKUP(DATOS!$I9411,CONFIG_ASIGNATURAS!$B$2:$J$61,9,FALSE()),""))</f>
      </c>
    </row>
    <row r="9412">
      <c r="E9412">
        <f>IF(DATOS!$I9412="","",IFERROR(VLOOKUP(DATOS!$I9412,CONFIG_ASIGNATURAS!$B$2:$J$61,9,FALSE()),""))</f>
      </c>
    </row>
    <row r="9413">
      <c r="E9413">
        <f>IF(DATOS!$I9413="","",IFERROR(VLOOKUP(DATOS!$I9413,CONFIG_ASIGNATURAS!$B$2:$J$61,9,FALSE()),""))</f>
      </c>
    </row>
    <row r="9414">
      <c r="E9414">
        <f>IF(DATOS!$I9414="","",IFERROR(VLOOKUP(DATOS!$I9414,CONFIG_ASIGNATURAS!$B$2:$J$61,9,FALSE()),""))</f>
      </c>
    </row>
    <row r="9415">
      <c r="E9415">
        <f>IF(DATOS!$I9415="","",IFERROR(VLOOKUP(DATOS!$I9415,CONFIG_ASIGNATURAS!$B$2:$J$61,9,FALSE()),""))</f>
      </c>
    </row>
    <row r="9416">
      <c r="E9416">
        <f>IF(DATOS!$I9416="","",IFERROR(VLOOKUP(DATOS!$I9416,CONFIG_ASIGNATURAS!$B$2:$J$61,9,FALSE()),""))</f>
      </c>
    </row>
    <row r="9417">
      <c r="E9417">
        <f>IF(DATOS!$I9417="","",IFERROR(VLOOKUP(DATOS!$I9417,CONFIG_ASIGNATURAS!$B$2:$J$61,9,FALSE()),""))</f>
      </c>
    </row>
    <row r="9418">
      <c r="E9418">
        <f>IF(DATOS!$I9418="","",IFERROR(VLOOKUP(DATOS!$I9418,CONFIG_ASIGNATURAS!$B$2:$J$61,9,FALSE()),""))</f>
      </c>
    </row>
    <row r="9419">
      <c r="E9419">
        <f>IF(DATOS!$I9419="","",IFERROR(VLOOKUP(DATOS!$I9419,CONFIG_ASIGNATURAS!$B$2:$J$61,9,FALSE()),""))</f>
      </c>
    </row>
    <row r="9420">
      <c r="E9420">
        <f>IF(DATOS!$I9420="","",IFERROR(VLOOKUP(DATOS!$I9420,CONFIG_ASIGNATURAS!$B$2:$J$61,9,FALSE()),""))</f>
      </c>
    </row>
    <row r="9421">
      <c r="E9421">
        <f>IF(DATOS!$I9421="","",IFERROR(VLOOKUP(DATOS!$I9421,CONFIG_ASIGNATURAS!$B$2:$J$61,9,FALSE()),""))</f>
      </c>
    </row>
    <row r="9422">
      <c r="E9422">
        <f>IF(DATOS!$I9422="","",IFERROR(VLOOKUP(DATOS!$I9422,CONFIG_ASIGNATURAS!$B$2:$J$61,9,FALSE()),""))</f>
      </c>
    </row>
    <row r="9423">
      <c r="E9423">
        <f>IF(DATOS!$I9423="","",IFERROR(VLOOKUP(DATOS!$I9423,CONFIG_ASIGNATURAS!$B$2:$J$61,9,FALSE()),""))</f>
      </c>
    </row>
    <row r="9424">
      <c r="E9424">
        <f>IF(DATOS!$I9424="","",IFERROR(VLOOKUP(DATOS!$I9424,CONFIG_ASIGNATURAS!$B$2:$J$61,9,FALSE()),""))</f>
      </c>
    </row>
    <row r="9425">
      <c r="E9425">
        <f>IF(DATOS!$I9425="","",IFERROR(VLOOKUP(DATOS!$I9425,CONFIG_ASIGNATURAS!$B$2:$J$61,9,FALSE()),""))</f>
      </c>
    </row>
    <row r="9426">
      <c r="E9426">
        <f>IF(DATOS!$I9426="","",IFERROR(VLOOKUP(DATOS!$I9426,CONFIG_ASIGNATURAS!$B$2:$J$61,9,FALSE()),""))</f>
      </c>
    </row>
    <row r="9427">
      <c r="E9427">
        <f>IF(DATOS!$I9427="","",IFERROR(VLOOKUP(DATOS!$I9427,CONFIG_ASIGNATURAS!$B$2:$J$61,9,FALSE()),""))</f>
      </c>
    </row>
    <row r="9428">
      <c r="E9428">
        <f>IF(DATOS!$I9428="","",IFERROR(VLOOKUP(DATOS!$I9428,CONFIG_ASIGNATURAS!$B$2:$J$61,9,FALSE()),""))</f>
      </c>
    </row>
    <row r="9429">
      <c r="E9429">
        <f>IF(DATOS!$I9429="","",IFERROR(VLOOKUP(DATOS!$I9429,CONFIG_ASIGNATURAS!$B$2:$J$61,9,FALSE()),""))</f>
      </c>
    </row>
    <row r="9430">
      <c r="E9430">
        <f>IF(DATOS!$I9430="","",IFERROR(VLOOKUP(DATOS!$I9430,CONFIG_ASIGNATURAS!$B$2:$J$61,9,FALSE()),""))</f>
      </c>
    </row>
    <row r="9431">
      <c r="E9431">
        <f>IF(DATOS!$I9431="","",IFERROR(VLOOKUP(DATOS!$I9431,CONFIG_ASIGNATURAS!$B$2:$J$61,9,FALSE()),""))</f>
      </c>
    </row>
    <row r="9432">
      <c r="E9432">
        <f>IF(DATOS!$I9432="","",IFERROR(VLOOKUP(DATOS!$I9432,CONFIG_ASIGNATURAS!$B$2:$J$61,9,FALSE()),""))</f>
      </c>
    </row>
    <row r="9433">
      <c r="E9433">
        <f>IF(DATOS!$I9433="","",IFERROR(VLOOKUP(DATOS!$I9433,CONFIG_ASIGNATURAS!$B$2:$J$61,9,FALSE()),""))</f>
      </c>
    </row>
    <row r="9434">
      <c r="E9434">
        <f>IF(DATOS!$I9434="","",IFERROR(VLOOKUP(DATOS!$I9434,CONFIG_ASIGNATURAS!$B$2:$J$61,9,FALSE()),""))</f>
      </c>
    </row>
    <row r="9435">
      <c r="E9435">
        <f>IF(DATOS!$I9435="","",IFERROR(VLOOKUP(DATOS!$I9435,CONFIG_ASIGNATURAS!$B$2:$J$61,9,FALSE()),""))</f>
      </c>
    </row>
    <row r="9436">
      <c r="E9436">
        <f>IF(DATOS!$I9436="","",IFERROR(VLOOKUP(DATOS!$I9436,CONFIG_ASIGNATURAS!$B$2:$J$61,9,FALSE()),""))</f>
      </c>
    </row>
    <row r="9437">
      <c r="E9437">
        <f>IF(DATOS!$I9437="","",IFERROR(VLOOKUP(DATOS!$I9437,CONFIG_ASIGNATURAS!$B$2:$J$61,9,FALSE()),""))</f>
      </c>
    </row>
    <row r="9438">
      <c r="E9438">
        <f>IF(DATOS!$I9438="","",IFERROR(VLOOKUP(DATOS!$I9438,CONFIG_ASIGNATURAS!$B$2:$J$61,9,FALSE()),""))</f>
      </c>
    </row>
    <row r="9439">
      <c r="E9439">
        <f>IF(DATOS!$I9439="","",IFERROR(VLOOKUP(DATOS!$I9439,CONFIG_ASIGNATURAS!$B$2:$J$61,9,FALSE()),""))</f>
      </c>
    </row>
    <row r="9440">
      <c r="E9440">
        <f>IF(DATOS!$I9440="","",IFERROR(VLOOKUP(DATOS!$I9440,CONFIG_ASIGNATURAS!$B$2:$J$61,9,FALSE()),""))</f>
      </c>
    </row>
    <row r="9441">
      <c r="E9441">
        <f>IF(DATOS!$I9441="","",IFERROR(VLOOKUP(DATOS!$I9441,CONFIG_ASIGNATURAS!$B$2:$J$61,9,FALSE()),""))</f>
      </c>
    </row>
    <row r="9442">
      <c r="E9442">
        <f>IF(DATOS!$I9442="","",IFERROR(VLOOKUP(DATOS!$I9442,CONFIG_ASIGNATURAS!$B$2:$J$61,9,FALSE()),""))</f>
      </c>
    </row>
    <row r="9443">
      <c r="E9443">
        <f>IF(DATOS!$I9443="","",IFERROR(VLOOKUP(DATOS!$I9443,CONFIG_ASIGNATURAS!$B$2:$J$61,9,FALSE()),""))</f>
      </c>
    </row>
    <row r="9444">
      <c r="E9444">
        <f>IF(DATOS!$I9444="","",IFERROR(VLOOKUP(DATOS!$I9444,CONFIG_ASIGNATURAS!$B$2:$J$61,9,FALSE()),""))</f>
      </c>
    </row>
    <row r="9445">
      <c r="E9445">
        <f>IF(DATOS!$I9445="","",IFERROR(VLOOKUP(DATOS!$I9445,CONFIG_ASIGNATURAS!$B$2:$J$61,9,FALSE()),""))</f>
      </c>
    </row>
    <row r="9446">
      <c r="E9446">
        <f>IF(DATOS!$I9446="","",IFERROR(VLOOKUP(DATOS!$I9446,CONFIG_ASIGNATURAS!$B$2:$J$61,9,FALSE()),""))</f>
      </c>
    </row>
    <row r="9447">
      <c r="E9447">
        <f>IF(DATOS!$I9447="","",IFERROR(VLOOKUP(DATOS!$I9447,CONFIG_ASIGNATURAS!$B$2:$J$61,9,FALSE()),""))</f>
      </c>
    </row>
    <row r="9448">
      <c r="E9448">
        <f>IF(DATOS!$I9448="","",IFERROR(VLOOKUP(DATOS!$I9448,CONFIG_ASIGNATURAS!$B$2:$J$61,9,FALSE()),""))</f>
      </c>
    </row>
    <row r="9449">
      <c r="E9449">
        <f>IF(DATOS!$I9449="","",IFERROR(VLOOKUP(DATOS!$I9449,CONFIG_ASIGNATURAS!$B$2:$J$61,9,FALSE()),""))</f>
      </c>
    </row>
    <row r="9450">
      <c r="E9450">
        <f>IF(DATOS!$I9450="","",IFERROR(VLOOKUP(DATOS!$I9450,CONFIG_ASIGNATURAS!$B$2:$J$61,9,FALSE()),""))</f>
      </c>
    </row>
    <row r="9451">
      <c r="E9451">
        <f>IF(DATOS!$I9451="","",IFERROR(VLOOKUP(DATOS!$I9451,CONFIG_ASIGNATURAS!$B$2:$J$61,9,FALSE()),""))</f>
      </c>
    </row>
    <row r="9452">
      <c r="E9452">
        <f>IF(DATOS!$I9452="","",IFERROR(VLOOKUP(DATOS!$I9452,CONFIG_ASIGNATURAS!$B$2:$J$61,9,FALSE()),""))</f>
      </c>
    </row>
    <row r="9453">
      <c r="E9453">
        <f>IF(DATOS!$I9453="","",IFERROR(VLOOKUP(DATOS!$I9453,CONFIG_ASIGNATURAS!$B$2:$J$61,9,FALSE()),""))</f>
      </c>
    </row>
    <row r="9454">
      <c r="E9454">
        <f>IF(DATOS!$I9454="","",IFERROR(VLOOKUP(DATOS!$I9454,CONFIG_ASIGNATURAS!$B$2:$J$61,9,FALSE()),""))</f>
      </c>
    </row>
    <row r="9455">
      <c r="E9455">
        <f>IF(DATOS!$I9455="","",IFERROR(VLOOKUP(DATOS!$I9455,CONFIG_ASIGNATURAS!$B$2:$J$61,9,FALSE()),""))</f>
      </c>
    </row>
    <row r="9456">
      <c r="E9456">
        <f>IF(DATOS!$I9456="","",IFERROR(VLOOKUP(DATOS!$I9456,CONFIG_ASIGNATURAS!$B$2:$J$61,9,FALSE()),""))</f>
      </c>
    </row>
    <row r="9457">
      <c r="E9457">
        <f>IF(DATOS!$I9457="","",IFERROR(VLOOKUP(DATOS!$I9457,CONFIG_ASIGNATURAS!$B$2:$J$61,9,FALSE()),""))</f>
      </c>
    </row>
    <row r="9458">
      <c r="E9458">
        <f>IF(DATOS!$I9458="","",IFERROR(VLOOKUP(DATOS!$I9458,CONFIG_ASIGNATURAS!$B$2:$J$61,9,FALSE()),""))</f>
      </c>
    </row>
    <row r="9459">
      <c r="E9459">
        <f>IF(DATOS!$I9459="","",IFERROR(VLOOKUP(DATOS!$I9459,CONFIG_ASIGNATURAS!$B$2:$J$61,9,FALSE()),""))</f>
      </c>
    </row>
    <row r="9460">
      <c r="E9460">
        <f>IF(DATOS!$I9460="","",IFERROR(VLOOKUP(DATOS!$I9460,CONFIG_ASIGNATURAS!$B$2:$J$61,9,FALSE()),""))</f>
      </c>
    </row>
    <row r="9461">
      <c r="E9461">
        <f>IF(DATOS!$I9461="","",IFERROR(VLOOKUP(DATOS!$I9461,CONFIG_ASIGNATURAS!$B$2:$J$61,9,FALSE()),""))</f>
      </c>
    </row>
    <row r="9462">
      <c r="E9462">
        <f>IF(DATOS!$I9462="","",IFERROR(VLOOKUP(DATOS!$I9462,CONFIG_ASIGNATURAS!$B$2:$J$61,9,FALSE()),""))</f>
      </c>
    </row>
    <row r="9463">
      <c r="E9463">
        <f>IF(DATOS!$I9463="","",IFERROR(VLOOKUP(DATOS!$I9463,CONFIG_ASIGNATURAS!$B$2:$J$61,9,FALSE()),""))</f>
      </c>
    </row>
    <row r="9464">
      <c r="E9464">
        <f>IF(DATOS!$I9464="","",IFERROR(VLOOKUP(DATOS!$I9464,CONFIG_ASIGNATURAS!$B$2:$J$61,9,FALSE()),""))</f>
      </c>
    </row>
    <row r="9465">
      <c r="E9465">
        <f>IF(DATOS!$I9465="","",IFERROR(VLOOKUP(DATOS!$I9465,CONFIG_ASIGNATURAS!$B$2:$J$61,9,FALSE()),""))</f>
      </c>
    </row>
    <row r="9466">
      <c r="E9466">
        <f>IF(DATOS!$I9466="","",IFERROR(VLOOKUP(DATOS!$I9466,CONFIG_ASIGNATURAS!$B$2:$J$61,9,FALSE()),""))</f>
      </c>
    </row>
    <row r="9467">
      <c r="E9467">
        <f>IF(DATOS!$I9467="","",IFERROR(VLOOKUP(DATOS!$I9467,CONFIG_ASIGNATURAS!$B$2:$J$61,9,FALSE()),""))</f>
      </c>
    </row>
    <row r="9468">
      <c r="E9468">
        <f>IF(DATOS!$I9468="","",IFERROR(VLOOKUP(DATOS!$I9468,CONFIG_ASIGNATURAS!$B$2:$J$61,9,FALSE()),""))</f>
      </c>
    </row>
    <row r="9469">
      <c r="E9469">
        <f>IF(DATOS!$I9469="","",IFERROR(VLOOKUP(DATOS!$I9469,CONFIG_ASIGNATURAS!$B$2:$J$61,9,FALSE()),""))</f>
      </c>
    </row>
    <row r="9470">
      <c r="E9470">
        <f>IF(DATOS!$I9470="","",IFERROR(VLOOKUP(DATOS!$I9470,CONFIG_ASIGNATURAS!$B$2:$J$61,9,FALSE()),""))</f>
      </c>
    </row>
    <row r="9471">
      <c r="E9471">
        <f>IF(DATOS!$I9471="","",IFERROR(VLOOKUP(DATOS!$I9471,CONFIG_ASIGNATURAS!$B$2:$J$61,9,FALSE()),""))</f>
      </c>
    </row>
    <row r="9472">
      <c r="E9472">
        <f>IF(DATOS!$I9472="","",IFERROR(VLOOKUP(DATOS!$I9472,CONFIG_ASIGNATURAS!$B$2:$J$61,9,FALSE()),""))</f>
      </c>
    </row>
    <row r="9473">
      <c r="E9473">
        <f>IF(DATOS!$I9473="","",IFERROR(VLOOKUP(DATOS!$I9473,CONFIG_ASIGNATURAS!$B$2:$J$61,9,FALSE()),""))</f>
      </c>
    </row>
    <row r="9474">
      <c r="E9474">
        <f>IF(DATOS!$I9474="","",IFERROR(VLOOKUP(DATOS!$I9474,CONFIG_ASIGNATURAS!$B$2:$J$61,9,FALSE()),""))</f>
      </c>
    </row>
    <row r="9475">
      <c r="E9475">
        <f>IF(DATOS!$I9475="","",IFERROR(VLOOKUP(DATOS!$I9475,CONFIG_ASIGNATURAS!$B$2:$J$61,9,FALSE()),""))</f>
      </c>
    </row>
    <row r="9476">
      <c r="E9476">
        <f>IF(DATOS!$I9476="","",IFERROR(VLOOKUP(DATOS!$I9476,CONFIG_ASIGNATURAS!$B$2:$J$61,9,FALSE()),""))</f>
      </c>
    </row>
    <row r="9477">
      <c r="E9477">
        <f>IF(DATOS!$I9477="","",IFERROR(VLOOKUP(DATOS!$I9477,CONFIG_ASIGNATURAS!$B$2:$J$61,9,FALSE()),""))</f>
      </c>
    </row>
    <row r="9478">
      <c r="E9478">
        <f>IF(DATOS!$I9478="","",IFERROR(VLOOKUP(DATOS!$I9478,CONFIG_ASIGNATURAS!$B$2:$J$61,9,FALSE()),""))</f>
      </c>
    </row>
    <row r="9479">
      <c r="E9479">
        <f>IF(DATOS!$I9479="","",IFERROR(VLOOKUP(DATOS!$I9479,CONFIG_ASIGNATURAS!$B$2:$J$61,9,FALSE()),""))</f>
      </c>
    </row>
    <row r="9480">
      <c r="E9480">
        <f>IF(DATOS!$I9480="","",IFERROR(VLOOKUP(DATOS!$I9480,CONFIG_ASIGNATURAS!$B$2:$J$61,9,FALSE()),""))</f>
      </c>
    </row>
    <row r="9481">
      <c r="E9481">
        <f>IF(DATOS!$I9481="","",IFERROR(VLOOKUP(DATOS!$I9481,CONFIG_ASIGNATURAS!$B$2:$J$61,9,FALSE()),""))</f>
      </c>
    </row>
    <row r="9482">
      <c r="E9482">
        <f>IF(DATOS!$I9482="","",IFERROR(VLOOKUP(DATOS!$I9482,CONFIG_ASIGNATURAS!$B$2:$J$61,9,FALSE()),""))</f>
      </c>
    </row>
    <row r="9483">
      <c r="E9483">
        <f>IF(DATOS!$I9483="","",IFERROR(VLOOKUP(DATOS!$I9483,CONFIG_ASIGNATURAS!$B$2:$J$61,9,FALSE()),""))</f>
      </c>
    </row>
    <row r="9484">
      <c r="E9484">
        <f>IF(DATOS!$I9484="","",IFERROR(VLOOKUP(DATOS!$I9484,CONFIG_ASIGNATURAS!$B$2:$J$61,9,FALSE()),""))</f>
      </c>
    </row>
    <row r="9485">
      <c r="E9485">
        <f>IF(DATOS!$I9485="","",IFERROR(VLOOKUP(DATOS!$I9485,CONFIG_ASIGNATURAS!$B$2:$J$61,9,FALSE()),""))</f>
      </c>
    </row>
    <row r="9486">
      <c r="E9486">
        <f>IF(DATOS!$I9486="","",IFERROR(VLOOKUP(DATOS!$I9486,CONFIG_ASIGNATURAS!$B$2:$J$61,9,FALSE()),""))</f>
      </c>
    </row>
    <row r="9487">
      <c r="E9487">
        <f>IF(DATOS!$I9487="","",IFERROR(VLOOKUP(DATOS!$I9487,CONFIG_ASIGNATURAS!$B$2:$J$61,9,FALSE()),""))</f>
      </c>
    </row>
    <row r="9488">
      <c r="E9488">
        <f>IF(DATOS!$I9488="","",IFERROR(VLOOKUP(DATOS!$I9488,CONFIG_ASIGNATURAS!$B$2:$J$61,9,FALSE()),""))</f>
      </c>
    </row>
    <row r="9489">
      <c r="E9489">
        <f>IF(DATOS!$I9489="","",IFERROR(VLOOKUP(DATOS!$I9489,CONFIG_ASIGNATURAS!$B$2:$J$61,9,FALSE()),""))</f>
      </c>
    </row>
    <row r="9490">
      <c r="E9490">
        <f>IF(DATOS!$I9490="","",IFERROR(VLOOKUP(DATOS!$I9490,CONFIG_ASIGNATURAS!$B$2:$J$61,9,FALSE()),""))</f>
      </c>
    </row>
    <row r="9491">
      <c r="E9491">
        <f>IF(DATOS!$I9491="","",IFERROR(VLOOKUP(DATOS!$I9491,CONFIG_ASIGNATURAS!$B$2:$J$61,9,FALSE()),""))</f>
      </c>
    </row>
    <row r="9492">
      <c r="E9492">
        <f>IF(DATOS!$I9492="","",IFERROR(VLOOKUP(DATOS!$I9492,CONFIG_ASIGNATURAS!$B$2:$J$61,9,FALSE()),""))</f>
      </c>
    </row>
    <row r="9493">
      <c r="E9493">
        <f>IF(DATOS!$I9493="","",IFERROR(VLOOKUP(DATOS!$I9493,CONFIG_ASIGNATURAS!$B$2:$J$61,9,FALSE()),""))</f>
      </c>
    </row>
    <row r="9494">
      <c r="E9494">
        <f>IF(DATOS!$I9494="","",IFERROR(VLOOKUP(DATOS!$I9494,CONFIG_ASIGNATURAS!$B$2:$J$61,9,FALSE()),""))</f>
      </c>
    </row>
    <row r="9495">
      <c r="E9495">
        <f>IF(DATOS!$I9495="","",IFERROR(VLOOKUP(DATOS!$I9495,CONFIG_ASIGNATURAS!$B$2:$J$61,9,FALSE()),""))</f>
      </c>
    </row>
    <row r="9496">
      <c r="E9496">
        <f>IF(DATOS!$I9496="","",IFERROR(VLOOKUP(DATOS!$I9496,CONFIG_ASIGNATURAS!$B$2:$J$61,9,FALSE()),""))</f>
      </c>
    </row>
    <row r="9497">
      <c r="E9497">
        <f>IF(DATOS!$I9497="","",IFERROR(VLOOKUP(DATOS!$I9497,CONFIG_ASIGNATURAS!$B$2:$J$61,9,FALSE()),""))</f>
      </c>
    </row>
    <row r="9498">
      <c r="E9498">
        <f>IF(DATOS!$I9498="","",IFERROR(VLOOKUP(DATOS!$I9498,CONFIG_ASIGNATURAS!$B$2:$J$61,9,FALSE()),""))</f>
      </c>
    </row>
    <row r="9499">
      <c r="E9499">
        <f>IF(DATOS!$I9499="","",IFERROR(VLOOKUP(DATOS!$I9499,CONFIG_ASIGNATURAS!$B$2:$J$61,9,FALSE()),""))</f>
      </c>
    </row>
    <row r="9500">
      <c r="E9500">
        <f>IF(DATOS!$I9500="","",IFERROR(VLOOKUP(DATOS!$I9500,CONFIG_ASIGNATURAS!$B$2:$J$61,9,FALSE()),""))</f>
      </c>
    </row>
    <row r="9501">
      <c r="E9501">
        <f>IF(DATOS!$I9501="","",IFERROR(VLOOKUP(DATOS!$I9501,CONFIG_ASIGNATURAS!$B$2:$J$61,9,FALSE()),""))</f>
      </c>
    </row>
    <row r="9502">
      <c r="E9502">
        <f>IF(DATOS!$I9502="","",IFERROR(VLOOKUP(DATOS!$I9502,CONFIG_ASIGNATURAS!$B$2:$J$61,9,FALSE()),""))</f>
      </c>
    </row>
    <row r="9503">
      <c r="E9503">
        <f>IF(DATOS!$I9503="","",IFERROR(VLOOKUP(DATOS!$I9503,CONFIG_ASIGNATURAS!$B$2:$J$61,9,FALSE()),""))</f>
      </c>
    </row>
    <row r="9504">
      <c r="E9504">
        <f>IF(DATOS!$I9504="","",IFERROR(VLOOKUP(DATOS!$I9504,CONFIG_ASIGNATURAS!$B$2:$J$61,9,FALSE()),""))</f>
      </c>
    </row>
    <row r="9505">
      <c r="E9505">
        <f>IF(DATOS!$I9505="","",IFERROR(VLOOKUP(DATOS!$I9505,CONFIG_ASIGNATURAS!$B$2:$J$61,9,FALSE()),""))</f>
      </c>
    </row>
    <row r="9506">
      <c r="E9506">
        <f>IF(DATOS!$I9506="","",IFERROR(VLOOKUP(DATOS!$I9506,CONFIG_ASIGNATURAS!$B$2:$J$61,9,FALSE()),""))</f>
      </c>
    </row>
    <row r="9507">
      <c r="E9507">
        <f>IF(DATOS!$I9507="","",IFERROR(VLOOKUP(DATOS!$I9507,CONFIG_ASIGNATURAS!$B$2:$J$61,9,FALSE()),""))</f>
      </c>
    </row>
    <row r="9508">
      <c r="E9508">
        <f>IF(DATOS!$I9508="","",IFERROR(VLOOKUP(DATOS!$I9508,CONFIG_ASIGNATURAS!$B$2:$J$61,9,FALSE()),""))</f>
      </c>
    </row>
    <row r="9509">
      <c r="E9509">
        <f>IF(DATOS!$I9509="","",IFERROR(VLOOKUP(DATOS!$I9509,CONFIG_ASIGNATURAS!$B$2:$J$61,9,FALSE()),""))</f>
      </c>
    </row>
    <row r="9510">
      <c r="E9510">
        <f>IF(DATOS!$I9510="","",IFERROR(VLOOKUP(DATOS!$I9510,CONFIG_ASIGNATURAS!$B$2:$J$61,9,FALSE()),""))</f>
      </c>
    </row>
    <row r="9511">
      <c r="E9511">
        <f>IF(DATOS!$I9511="","",IFERROR(VLOOKUP(DATOS!$I9511,CONFIG_ASIGNATURAS!$B$2:$J$61,9,FALSE()),""))</f>
      </c>
    </row>
    <row r="9512">
      <c r="E9512">
        <f>IF(DATOS!$I9512="","",IFERROR(VLOOKUP(DATOS!$I9512,CONFIG_ASIGNATURAS!$B$2:$J$61,9,FALSE()),""))</f>
      </c>
    </row>
    <row r="9513">
      <c r="E9513">
        <f>IF(DATOS!$I9513="","",IFERROR(VLOOKUP(DATOS!$I9513,CONFIG_ASIGNATURAS!$B$2:$J$61,9,FALSE()),""))</f>
      </c>
    </row>
    <row r="9514">
      <c r="E9514">
        <f>IF(DATOS!$I9514="","",IFERROR(VLOOKUP(DATOS!$I9514,CONFIG_ASIGNATURAS!$B$2:$J$61,9,FALSE()),""))</f>
      </c>
    </row>
    <row r="9515">
      <c r="E9515">
        <f>IF(DATOS!$I9515="","",IFERROR(VLOOKUP(DATOS!$I9515,CONFIG_ASIGNATURAS!$B$2:$J$61,9,FALSE()),""))</f>
      </c>
    </row>
    <row r="9516">
      <c r="E9516">
        <f>IF(DATOS!$I9516="","",IFERROR(VLOOKUP(DATOS!$I9516,CONFIG_ASIGNATURAS!$B$2:$J$61,9,FALSE()),""))</f>
      </c>
    </row>
    <row r="9517">
      <c r="E9517">
        <f>IF(DATOS!$I9517="","",IFERROR(VLOOKUP(DATOS!$I9517,CONFIG_ASIGNATURAS!$B$2:$J$61,9,FALSE()),""))</f>
      </c>
    </row>
    <row r="9518">
      <c r="E9518">
        <f>IF(DATOS!$I9518="","",IFERROR(VLOOKUP(DATOS!$I9518,CONFIG_ASIGNATURAS!$B$2:$J$61,9,FALSE()),""))</f>
      </c>
    </row>
    <row r="9519">
      <c r="E9519">
        <f>IF(DATOS!$I9519="","",IFERROR(VLOOKUP(DATOS!$I9519,CONFIG_ASIGNATURAS!$B$2:$J$61,9,FALSE()),""))</f>
      </c>
    </row>
    <row r="9520">
      <c r="E9520">
        <f>IF(DATOS!$I9520="","",IFERROR(VLOOKUP(DATOS!$I9520,CONFIG_ASIGNATURAS!$B$2:$J$61,9,FALSE()),""))</f>
      </c>
    </row>
    <row r="9521">
      <c r="E9521">
        <f>IF(DATOS!$I9521="","",IFERROR(VLOOKUP(DATOS!$I9521,CONFIG_ASIGNATURAS!$B$2:$J$61,9,FALSE()),""))</f>
      </c>
    </row>
    <row r="9522">
      <c r="E9522">
        <f>IF(DATOS!$I9522="","",IFERROR(VLOOKUP(DATOS!$I9522,CONFIG_ASIGNATURAS!$B$2:$J$61,9,FALSE()),""))</f>
      </c>
    </row>
    <row r="9523">
      <c r="E9523">
        <f>IF(DATOS!$I9523="","",IFERROR(VLOOKUP(DATOS!$I9523,CONFIG_ASIGNATURAS!$B$2:$J$61,9,FALSE()),""))</f>
      </c>
    </row>
    <row r="9524">
      <c r="E9524">
        <f>IF(DATOS!$I9524="","",IFERROR(VLOOKUP(DATOS!$I9524,CONFIG_ASIGNATURAS!$B$2:$J$61,9,FALSE()),""))</f>
      </c>
    </row>
    <row r="9525">
      <c r="E9525">
        <f>IF(DATOS!$I9525="","",IFERROR(VLOOKUP(DATOS!$I9525,CONFIG_ASIGNATURAS!$B$2:$J$61,9,FALSE()),""))</f>
      </c>
    </row>
    <row r="9526">
      <c r="E9526">
        <f>IF(DATOS!$I9526="","",IFERROR(VLOOKUP(DATOS!$I9526,CONFIG_ASIGNATURAS!$B$2:$J$61,9,FALSE()),""))</f>
      </c>
    </row>
    <row r="9527">
      <c r="E9527">
        <f>IF(DATOS!$I9527="","",IFERROR(VLOOKUP(DATOS!$I9527,CONFIG_ASIGNATURAS!$B$2:$J$61,9,FALSE()),""))</f>
      </c>
    </row>
    <row r="9528">
      <c r="E9528">
        <f>IF(DATOS!$I9528="","",IFERROR(VLOOKUP(DATOS!$I9528,CONFIG_ASIGNATURAS!$B$2:$J$61,9,FALSE()),""))</f>
      </c>
    </row>
    <row r="9529">
      <c r="E9529">
        <f>IF(DATOS!$I9529="","",IFERROR(VLOOKUP(DATOS!$I9529,CONFIG_ASIGNATURAS!$B$2:$J$61,9,FALSE()),""))</f>
      </c>
    </row>
    <row r="9530">
      <c r="E9530">
        <f>IF(DATOS!$I9530="","",IFERROR(VLOOKUP(DATOS!$I9530,CONFIG_ASIGNATURAS!$B$2:$J$61,9,FALSE()),""))</f>
      </c>
    </row>
    <row r="9531">
      <c r="E9531">
        <f>IF(DATOS!$I9531="","",IFERROR(VLOOKUP(DATOS!$I9531,CONFIG_ASIGNATURAS!$B$2:$J$61,9,FALSE()),""))</f>
      </c>
    </row>
    <row r="9532">
      <c r="E9532">
        <f>IF(DATOS!$I9532="","",IFERROR(VLOOKUP(DATOS!$I9532,CONFIG_ASIGNATURAS!$B$2:$J$61,9,FALSE()),""))</f>
      </c>
    </row>
    <row r="9533">
      <c r="E9533">
        <f>IF(DATOS!$I9533="","",IFERROR(VLOOKUP(DATOS!$I9533,CONFIG_ASIGNATURAS!$B$2:$J$61,9,FALSE()),""))</f>
      </c>
    </row>
    <row r="9534">
      <c r="E9534">
        <f>IF(DATOS!$I9534="","",IFERROR(VLOOKUP(DATOS!$I9534,CONFIG_ASIGNATURAS!$B$2:$J$61,9,FALSE()),""))</f>
      </c>
    </row>
    <row r="9535">
      <c r="E9535">
        <f>IF(DATOS!$I9535="","",IFERROR(VLOOKUP(DATOS!$I9535,CONFIG_ASIGNATURAS!$B$2:$J$61,9,FALSE()),""))</f>
      </c>
    </row>
    <row r="9536">
      <c r="E9536">
        <f>IF(DATOS!$I9536="","",IFERROR(VLOOKUP(DATOS!$I9536,CONFIG_ASIGNATURAS!$B$2:$J$61,9,FALSE()),""))</f>
      </c>
    </row>
    <row r="9537">
      <c r="E9537">
        <f>IF(DATOS!$I9537="","",IFERROR(VLOOKUP(DATOS!$I9537,CONFIG_ASIGNATURAS!$B$2:$J$61,9,FALSE()),""))</f>
      </c>
    </row>
    <row r="9538">
      <c r="E9538">
        <f>IF(DATOS!$I9538="","",IFERROR(VLOOKUP(DATOS!$I9538,CONFIG_ASIGNATURAS!$B$2:$J$61,9,FALSE()),""))</f>
      </c>
    </row>
    <row r="9539">
      <c r="E9539">
        <f>IF(DATOS!$I9539="","",IFERROR(VLOOKUP(DATOS!$I9539,CONFIG_ASIGNATURAS!$B$2:$J$61,9,FALSE()),""))</f>
      </c>
    </row>
    <row r="9540">
      <c r="E9540">
        <f>IF(DATOS!$I9540="","",IFERROR(VLOOKUP(DATOS!$I9540,CONFIG_ASIGNATURAS!$B$2:$J$61,9,FALSE()),""))</f>
      </c>
    </row>
    <row r="9541">
      <c r="E9541">
        <f>IF(DATOS!$I9541="","",IFERROR(VLOOKUP(DATOS!$I9541,CONFIG_ASIGNATURAS!$B$2:$J$61,9,FALSE()),""))</f>
      </c>
    </row>
    <row r="9542">
      <c r="E9542">
        <f>IF(DATOS!$I9542="","",IFERROR(VLOOKUP(DATOS!$I9542,CONFIG_ASIGNATURAS!$B$2:$J$61,9,FALSE()),""))</f>
      </c>
    </row>
    <row r="9543">
      <c r="E9543">
        <f>IF(DATOS!$I9543="","",IFERROR(VLOOKUP(DATOS!$I9543,CONFIG_ASIGNATURAS!$B$2:$J$61,9,FALSE()),""))</f>
      </c>
    </row>
    <row r="9544">
      <c r="E9544">
        <f>IF(DATOS!$I9544="","",IFERROR(VLOOKUP(DATOS!$I9544,CONFIG_ASIGNATURAS!$B$2:$J$61,9,FALSE()),""))</f>
      </c>
    </row>
    <row r="9545">
      <c r="E9545">
        <f>IF(DATOS!$I9545="","",IFERROR(VLOOKUP(DATOS!$I9545,CONFIG_ASIGNATURAS!$B$2:$J$61,9,FALSE()),""))</f>
      </c>
    </row>
    <row r="9546">
      <c r="E9546">
        <f>IF(DATOS!$I9546="","",IFERROR(VLOOKUP(DATOS!$I9546,CONFIG_ASIGNATURAS!$B$2:$J$61,9,FALSE()),""))</f>
      </c>
    </row>
    <row r="9547">
      <c r="E9547">
        <f>IF(DATOS!$I9547="","",IFERROR(VLOOKUP(DATOS!$I9547,CONFIG_ASIGNATURAS!$B$2:$J$61,9,FALSE()),""))</f>
      </c>
    </row>
    <row r="9548">
      <c r="E9548">
        <f>IF(DATOS!$I9548="","",IFERROR(VLOOKUP(DATOS!$I9548,CONFIG_ASIGNATURAS!$B$2:$J$61,9,FALSE()),""))</f>
      </c>
    </row>
    <row r="9549">
      <c r="E9549">
        <f>IF(DATOS!$I9549="","",IFERROR(VLOOKUP(DATOS!$I9549,CONFIG_ASIGNATURAS!$B$2:$J$61,9,FALSE()),""))</f>
      </c>
    </row>
    <row r="9550">
      <c r="E9550">
        <f>IF(DATOS!$I9550="","",IFERROR(VLOOKUP(DATOS!$I9550,CONFIG_ASIGNATURAS!$B$2:$J$61,9,FALSE()),""))</f>
      </c>
    </row>
    <row r="9551">
      <c r="E9551">
        <f>IF(DATOS!$I9551="","",IFERROR(VLOOKUP(DATOS!$I9551,CONFIG_ASIGNATURAS!$B$2:$J$61,9,FALSE()),""))</f>
      </c>
    </row>
    <row r="9552">
      <c r="E9552">
        <f>IF(DATOS!$I9552="","",IFERROR(VLOOKUP(DATOS!$I9552,CONFIG_ASIGNATURAS!$B$2:$J$61,9,FALSE()),""))</f>
      </c>
    </row>
    <row r="9553">
      <c r="E9553">
        <f>IF(DATOS!$I9553="","",IFERROR(VLOOKUP(DATOS!$I9553,CONFIG_ASIGNATURAS!$B$2:$J$61,9,FALSE()),""))</f>
      </c>
    </row>
    <row r="9554">
      <c r="E9554">
        <f>IF(DATOS!$I9554="","",IFERROR(VLOOKUP(DATOS!$I9554,CONFIG_ASIGNATURAS!$B$2:$J$61,9,FALSE()),""))</f>
      </c>
    </row>
    <row r="9555">
      <c r="E9555">
        <f>IF(DATOS!$I9555="","",IFERROR(VLOOKUP(DATOS!$I9555,CONFIG_ASIGNATURAS!$B$2:$J$61,9,FALSE()),""))</f>
      </c>
    </row>
    <row r="9556">
      <c r="E9556">
        <f>IF(DATOS!$I9556="","",IFERROR(VLOOKUP(DATOS!$I9556,CONFIG_ASIGNATURAS!$B$2:$J$61,9,FALSE()),""))</f>
      </c>
    </row>
    <row r="9557">
      <c r="E9557">
        <f>IF(DATOS!$I9557="","",IFERROR(VLOOKUP(DATOS!$I9557,CONFIG_ASIGNATURAS!$B$2:$J$61,9,FALSE()),""))</f>
      </c>
    </row>
    <row r="9558">
      <c r="E9558">
        <f>IF(DATOS!$I9558="","",IFERROR(VLOOKUP(DATOS!$I9558,CONFIG_ASIGNATURAS!$B$2:$J$61,9,FALSE()),""))</f>
      </c>
    </row>
    <row r="9559">
      <c r="E9559">
        <f>IF(DATOS!$I9559="","",IFERROR(VLOOKUP(DATOS!$I9559,CONFIG_ASIGNATURAS!$B$2:$J$61,9,FALSE()),""))</f>
      </c>
    </row>
    <row r="9560">
      <c r="E9560">
        <f>IF(DATOS!$I9560="","",IFERROR(VLOOKUP(DATOS!$I9560,CONFIG_ASIGNATURAS!$B$2:$J$61,9,FALSE()),""))</f>
      </c>
    </row>
    <row r="9561">
      <c r="E9561">
        <f>IF(DATOS!$I9561="","",IFERROR(VLOOKUP(DATOS!$I9561,CONFIG_ASIGNATURAS!$B$2:$J$61,9,FALSE()),""))</f>
      </c>
    </row>
    <row r="9562">
      <c r="E9562">
        <f>IF(DATOS!$I9562="","",IFERROR(VLOOKUP(DATOS!$I9562,CONFIG_ASIGNATURAS!$B$2:$J$61,9,FALSE()),""))</f>
      </c>
    </row>
    <row r="9563">
      <c r="E9563">
        <f>IF(DATOS!$I9563="","",IFERROR(VLOOKUP(DATOS!$I9563,CONFIG_ASIGNATURAS!$B$2:$J$61,9,FALSE()),""))</f>
      </c>
    </row>
    <row r="9564">
      <c r="E9564">
        <f>IF(DATOS!$I9564="","",IFERROR(VLOOKUP(DATOS!$I9564,CONFIG_ASIGNATURAS!$B$2:$J$61,9,FALSE()),""))</f>
      </c>
    </row>
    <row r="9565">
      <c r="E9565">
        <f>IF(DATOS!$I9565="","",IFERROR(VLOOKUP(DATOS!$I9565,CONFIG_ASIGNATURAS!$B$2:$J$61,9,FALSE()),""))</f>
      </c>
    </row>
    <row r="9566">
      <c r="E9566">
        <f>IF(DATOS!$I9566="","",IFERROR(VLOOKUP(DATOS!$I9566,CONFIG_ASIGNATURAS!$B$2:$J$61,9,FALSE()),""))</f>
      </c>
    </row>
    <row r="9567">
      <c r="E9567">
        <f>IF(DATOS!$I9567="","",IFERROR(VLOOKUP(DATOS!$I9567,CONFIG_ASIGNATURAS!$B$2:$J$61,9,FALSE()),""))</f>
      </c>
    </row>
    <row r="9568">
      <c r="E9568">
        <f>IF(DATOS!$I9568="","",IFERROR(VLOOKUP(DATOS!$I9568,CONFIG_ASIGNATURAS!$B$2:$J$61,9,FALSE()),""))</f>
      </c>
    </row>
    <row r="9569">
      <c r="E9569">
        <f>IF(DATOS!$I9569="","",IFERROR(VLOOKUP(DATOS!$I9569,CONFIG_ASIGNATURAS!$B$2:$J$61,9,FALSE()),""))</f>
      </c>
    </row>
    <row r="9570">
      <c r="E9570">
        <f>IF(DATOS!$I9570="","",IFERROR(VLOOKUP(DATOS!$I9570,CONFIG_ASIGNATURAS!$B$2:$J$61,9,FALSE()),""))</f>
      </c>
    </row>
    <row r="9571">
      <c r="E9571">
        <f>IF(DATOS!$I9571="","",IFERROR(VLOOKUP(DATOS!$I9571,CONFIG_ASIGNATURAS!$B$2:$J$61,9,FALSE()),""))</f>
      </c>
    </row>
    <row r="9572">
      <c r="E9572">
        <f>IF(DATOS!$I9572="","",IFERROR(VLOOKUP(DATOS!$I9572,CONFIG_ASIGNATURAS!$B$2:$J$61,9,FALSE()),""))</f>
      </c>
    </row>
    <row r="9573">
      <c r="E9573">
        <f>IF(DATOS!$I9573="","",IFERROR(VLOOKUP(DATOS!$I9573,CONFIG_ASIGNATURAS!$B$2:$J$61,9,FALSE()),""))</f>
      </c>
    </row>
    <row r="9574">
      <c r="E9574">
        <f>IF(DATOS!$I9574="","",IFERROR(VLOOKUP(DATOS!$I9574,CONFIG_ASIGNATURAS!$B$2:$J$61,9,FALSE()),""))</f>
      </c>
    </row>
    <row r="9575">
      <c r="E9575">
        <f>IF(DATOS!$I9575="","",IFERROR(VLOOKUP(DATOS!$I9575,CONFIG_ASIGNATURAS!$B$2:$J$61,9,FALSE()),""))</f>
      </c>
    </row>
    <row r="9576">
      <c r="E9576">
        <f>IF(DATOS!$I9576="","",IFERROR(VLOOKUP(DATOS!$I9576,CONFIG_ASIGNATURAS!$B$2:$J$61,9,FALSE()),""))</f>
      </c>
    </row>
    <row r="9577">
      <c r="E9577">
        <f>IF(DATOS!$I9577="","",IFERROR(VLOOKUP(DATOS!$I9577,CONFIG_ASIGNATURAS!$B$2:$J$61,9,FALSE()),""))</f>
      </c>
    </row>
    <row r="9578">
      <c r="E9578">
        <f>IF(DATOS!$I9578="","",IFERROR(VLOOKUP(DATOS!$I9578,CONFIG_ASIGNATURAS!$B$2:$J$61,9,FALSE()),""))</f>
      </c>
    </row>
    <row r="9579">
      <c r="E9579">
        <f>IF(DATOS!$I9579="","",IFERROR(VLOOKUP(DATOS!$I9579,CONFIG_ASIGNATURAS!$B$2:$J$61,9,FALSE()),""))</f>
      </c>
    </row>
    <row r="9580">
      <c r="E9580">
        <f>IF(DATOS!$I9580="","",IFERROR(VLOOKUP(DATOS!$I9580,CONFIG_ASIGNATURAS!$B$2:$J$61,9,FALSE()),""))</f>
      </c>
    </row>
    <row r="9581">
      <c r="E9581">
        <f>IF(DATOS!$I9581="","",IFERROR(VLOOKUP(DATOS!$I9581,CONFIG_ASIGNATURAS!$B$2:$J$61,9,FALSE()),""))</f>
      </c>
    </row>
    <row r="9582">
      <c r="E9582">
        <f>IF(DATOS!$I9582="","",IFERROR(VLOOKUP(DATOS!$I9582,CONFIG_ASIGNATURAS!$B$2:$J$61,9,FALSE()),""))</f>
      </c>
    </row>
    <row r="9583">
      <c r="E9583">
        <f>IF(DATOS!$I9583="","",IFERROR(VLOOKUP(DATOS!$I9583,CONFIG_ASIGNATURAS!$B$2:$J$61,9,FALSE()),""))</f>
      </c>
    </row>
    <row r="9584">
      <c r="E9584">
        <f>IF(DATOS!$I9584="","",IFERROR(VLOOKUP(DATOS!$I9584,CONFIG_ASIGNATURAS!$B$2:$J$61,9,FALSE()),""))</f>
      </c>
    </row>
    <row r="9585">
      <c r="E9585">
        <f>IF(DATOS!$I9585="","",IFERROR(VLOOKUP(DATOS!$I9585,CONFIG_ASIGNATURAS!$B$2:$J$61,9,FALSE()),""))</f>
      </c>
    </row>
    <row r="9586">
      <c r="E9586">
        <f>IF(DATOS!$I9586="","",IFERROR(VLOOKUP(DATOS!$I9586,CONFIG_ASIGNATURAS!$B$2:$J$61,9,FALSE()),""))</f>
      </c>
    </row>
    <row r="9587">
      <c r="E9587">
        <f>IF(DATOS!$I9587="","",IFERROR(VLOOKUP(DATOS!$I9587,CONFIG_ASIGNATURAS!$B$2:$J$61,9,FALSE()),""))</f>
      </c>
    </row>
    <row r="9588">
      <c r="E9588">
        <f>IF(DATOS!$I9588="","",IFERROR(VLOOKUP(DATOS!$I9588,CONFIG_ASIGNATURAS!$B$2:$J$61,9,FALSE()),""))</f>
      </c>
    </row>
    <row r="9589">
      <c r="E9589">
        <f>IF(DATOS!$I9589="","",IFERROR(VLOOKUP(DATOS!$I9589,CONFIG_ASIGNATURAS!$B$2:$J$61,9,FALSE()),""))</f>
      </c>
    </row>
    <row r="9590">
      <c r="E9590">
        <f>IF(DATOS!$I9590="","",IFERROR(VLOOKUP(DATOS!$I9590,CONFIG_ASIGNATURAS!$B$2:$J$61,9,FALSE()),""))</f>
      </c>
    </row>
    <row r="9591">
      <c r="E9591">
        <f>IF(DATOS!$I9591="","",IFERROR(VLOOKUP(DATOS!$I9591,CONFIG_ASIGNATURAS!$B$2:$J$61,9,FALSE()),""))</f>
      </c>
    </row>
    <row r="9592">
      <c r="E9592">
        <f>IF(DATOS!$I9592="","",IFERROR(VLOOKUP(DATOS!$I9592,CONFIG_ASIGNATURAS!$B$2:$J$61,9,FALSE()),""))</f>
      </c>
    </row>
    <row r="9593">
      <c r="E9593">
        <f>IF(DATOS!$I9593="","",IFERROR(VLOOKUP(DATOS!$I9593,CONFIG_ASIGNATURAS!$B$2:$J$61,9,FALSE()),""))</f>
      </c>
    </row>
    <row r="9594">
      <c r="E9594">
        <f>IF(DATOS!$I9594="","",IFERROR(VLOOKUP(DATOS!$I9594,CONFIG_ASIGNATURAS!$B$2:$J$61,9,FALSE()),""))</f>
      </c>
    </row>
    <row r="9595">
      <c r="E9595">
        <f>IF(DATOS!$I9595="","",IFERROR(VLOOKUP(DATOS!$I9595,CONFIG_ASIGNATURAS!$B$2:$J$61,9,FALSE()),""))</f>
      </c>
    </row>
    <row r="9596">
      <c r="E9596">
        <f>IF(DATOS!$I9596="","",IFERROR(VLOOKUP(DATOS!$I9596,CONFIG_ASIGNATURAS!$B$2:$J$61,9,FALSE()),""))</f>
      </c>
    </row>
    <row r="9597">
      <c r="E9597">
        <f>IF(DATOS!$I9597="","",IFERROR(VLOOKUP(DATOS!$I9597,CONFIG_ASIGNATURAS!$B$2:$J$61,9,FALSE()),""))</f>
      </c>
    </row>
    <row r="9598">
      <c r="E9598">
        <f>IF(DATOS!$I9598="","",IFERROR(VLOOKUP(DATOS!$I9598,CONFIG_ASIGNATURAS!$B$2:$J$61,9,FALSE()),""))</f>
      </c>
    </row>
    <row r="9599">
      <c r="E9599">
        <f>IF(DATOS!$I9599="","",IFERROR(VLOOKUP(DATOS!$I9599,CONFIG_ASIGNATURAS!$B$2:$J$61,9,FALSE()),""))</f>
      </c>
    </row>
    <row r="9600">
      <c r="E9600">
        <f>IF(DATOS!$I9600="","",IFERROR(VLOOKUP(DATOS!$I9600,CONFIG_ASIGNATURAS!$B$2:$J$61,9,FALSE()),""))</f>
      </c>
    </row>
    <row r="9601">
      <c r="E9601">
        <f>IF(DATOS!$I9601="","",IFERROR(VLOOKUP(DATOS!$I9601,CONFIG_ASIGNATURAS!$B$2:$J$61,9,FALSE()),""))</f>
      </c>
    </row>
    <row r="9602">
      <c r="E9602">
        <f>IF(DATOS!$I9602="","",IFERROR(VLOOKUP(DATOS!$I9602,CONFIG_ASIGNATURAS!$B$2:$J$61,9,FALSE()),""))</f>
      </c>
    </row>
    <row r="9603">
      <c r="E9603">
        <f>IF(DATOS!$I9603="","",IFERROR(VLOOKUP(DATOS!$I9603,CONFIG_ASIGNATURAS!$B$2:$J$61,9,FALSE()),""))</f>
      </c>
    </row>
    <row r="9604">
      <c r="E9604">
        <f>IF(DATOS!$I9604="","",IFERROR(VLOOKUP(DATOS!$I9604,CONFIG_ASIGNATURAS!$B$2:$J$61,9,FALSE()),""))</f>
      </c>
    </row>
    <row r="9605">
      <c r="E9605">
        <f>IF(DATOS!$I9605="","",IFERROR(VLOOKUP(DATOS!$I9605,CONFIG_ASIGNATURAS!$B$2:$J$61,9,FALSE()),""))</f>
      </c>
    </row>
    <row r="9606">
      <c r="E9606">
        <f>IF(DATOS!$I9606="","",IFERROR(VLOOKUP(DATOS!$I9606,CONFIG_ASIGNATURAS!$B$2:$J$61,9,FALSE()),""))</f>
      </c>
    </row>
    <row r="9607">
      <c r="E9607">
        <f>IF(DATOS!$I9607="","",IFERROR(VLOOKUP(DATOS!$I9607,CONFIG_ASIGNATURAS!$B$2:$J$61,9,FALSE()),""))</f>
      </c>
    </row>
    <row r="9608">
      <c r="E9608">
        <f>IF(DATOS!$I9608="","",IFERROR(VLOOKUP(DATOS!$I9608,CONFIG_ASIGNATURAS!$B$2:$J$61,9,FALSE()),""))</f>
      </c>
    </row>
    <row r="9609">
      <c r="E9609">
        <f>IF(DATOS!$I9609="","",IFERROR(VLOOKUP(DATOS!$I9609,CONFIG_ASIGNATURAS!$B$2:$J$61,9,FALSE()),""))</f>
      </c>
    </row>
    <row r="9610">
      <c r="E9610">
        <f>IF(DATOS!$I9610="","",IFERROR(VLOOKUP(DATOS!$I9610,CONFIG_ASIGNATURAS!$B$2:$J$61,9,FALSE()),""))</f>
      </c>
    </row>
    <row r="9611">
      <c r="E9611">
        <f>IF(DATOS!$I9611="","",IFERROR(VLOOKUP(DATOS!$I9611,CONFIG_ASIGNATURAS!$B$2:$J$61,9,FALSE()),""))</f>
      </c>
    </row>
    <row r="9612">
      <c r="E9612">
        <f>IF(DATOS!$I9612="","",IFERROR(VLOOKUP(DATOS!$I9612,CONFIG_ASIGNATURAS!$B$2:$J$61,9,FALSE()),""))</f>
      </c>
    </row>
    <row r="9613">
      <c r="E9613">
        <f>IF(DATOS!$I9613="","",IFERROR(VLOOKUP(DATOS!$I9613,CONFIG_ASIGNATURAS!$B$2:$J$61,9,FALSE()),""))</f>
      </c>
    </row>
    <row r="9614">
      <c r="E9614">
        <f>IF(DATOS!$I9614="","",IFERROR(VLOOKUP(DATOS!$I9614,CONFIG_ASIGNATURAS!$B$2:$J$61,9,FALSE()),""))</f>
      </c>
    </row>
    <row r="9615">
      <c r="E9615">
        <f>IF(DATOS!$I9615="","",IFERROR(VLOOKUP(DATOS!$I9615,CONFIG_ASIGNATURAS!$B$2:$J$61,9,FALSE()),""))</f>
      </c>
    </row>
    <row r="9616">
      <c r="E9616">
        <f>IF(DATOS!$I9616="","",IFERROR(VLOOKUP(DATOS!$I9616,CONFIG_ASIGNATURAS!$B$2:$J$61,9,FALSE()),""))</f>
      </c>
    </row>
    <row r="9617">
      <c r="E9617">
        <f>IF(DATOS!$I9617="","",IFERROR(VLOOKUP(DATOS!$I9617,CONFIG_ASIGNATURAS!$B$2:$J$61,9,FALSE()),""))</f>
      </c>
    </row>
    <row r="9618">
      <c r="E9618">
        <f>IF(DATOS!$I9618="","",IFERROR(VLOOKUP(DATOS!$I9618,CONFIG_ASIGNATURAS!$B$2:$J$61,9,FALSE()),""))</f>
      </c>
    </row>
    <row r="9619">
      <c r="E9619">
        <f>IF(DATOS!$I9619="","",IFERROR(VLOOKUP(DATOS!$I9619,CONFIG_ASIGNATURAS!$B$2:$J$61,9,FALSE()),""))</f>
      </c>
    </row>
    <row r="9620">
      <c r="E9620">
        <f>IF(DATOS!$I9620="","",IFERROR(VLOOKUP(DATOS!$I9620,CONFIG_ASIGNATURAS!$B$2:$J$61,9,FALSE()),""))</f>
      </c>
    </row>
    <row r="9621">
      <c r="E9621">
        <f>IF(DATOS!$I9621="","",IFERROR(VLOOKUP(DATOS!$I9621,CONFIG_ASIGNATURAS!$B$2:$J$61,9,FALSE()),""))</f>
      </c>
    </row>
    <row r="9622">
      <c r="E9622">
        <f>IF(DATOS!$I9622="","",IFERROR(VLOOKUP(DATOS!$I9622,CONFIG_ASIGNATURAS!$B$2:$J$61,9,FALSE()),""))</f>
      </c>
    </row>
    <row r="9623">
      <c r="E9623">
        <f>IF(DATOS!$I9623="","",IFERROR(VLOOKUP(DATOS!$I9623,CONFIG_ASIGNATURAS!$B$2:$J$61,9,FALSE()),""))</f>
      </c>
    </row>
    <row r="9624">
      <c r="E9624">
        <f>IF(DATOS!$I9624="","",IFERROR(VLOOKUP(DATOS!$I9624,CONFIG_ASIGNATURAS!$B$2:$J$61,9,FALSE()),""))</f>
      </c>
    </row>
    <row r="9625">
      <c r="E9625">
        <f>IF(DATOS!$I9625="","",IFERROR(VLOOKUP(DATOS!$I9625,CONFIG_ASIGNATURAS!$B$2:$J$61,9,FALSE()),""))</f>
      </c>
    </row>
    <row r="9626">
      <c r="E9626">
        <f>IF(DATOS!$I9626="","",IFERROR(VLOOKUP(DATOS!$I9626,CONFIG_ASIGNATURAS!$B$2:$J$61,9,FALSE()),""))</f>
      </c>
    </row>
    <row r="9627">
      <c r="E9627">
        <f>IF(DATOS!$I9627="","",IFERROR(VLOOKUP(DATOS!$I9627,CONFIG_ASIGNATURAS!$B$2:$J$61,9,FALSE()),""))</f>
      </c>
    </row>
    <row r="9628">
      <c r="E9628">
        <f>IF(DATOS!$I9628="","",IFERROR(VLOOKUP(DATOS!$I9628,CONFIG_ASIGNATURAS!$B$2:$J$61,9,FALSE()),""))</f>
      </c>
    </row>
    <row r="9629">
      <c r="E9629">
        <f>IF(DATOS!$I9629="","",IFERROR(VLOOKUP(DATOS!$I9629,CONFIG_ASIGNATURAS!$B$2:$J$61,9,FALSE()),""))</f>
      </c>
    </row>
    <row r="9630">
      <c r="E9630">
        <f>IF(DATOS!$I9630="","",IFERROR(VLOOKUP(DATOS!$I9630,CONFIG_ASIGNATURAS!$B$2:$J$61,9,FALSE()),""))</f>
      </c>
    </row>
    <row r="9631">
      <c r="E9631">
        <f>IF(DATOS!$I9631="","",IFERROR(VLOOKUP(DATOS!$I9631,CONFIG_ASIGNATURAS!$B$2:$J$61,9,FALSE()),""))</f>
      </c>
    </row>
    <row r="9632">
      <c r="E9632">
        <f>IF(DATOS!$I9632="","",IFERROR(VLOOKUP(DATOS!$I9632,CONFIG_ASIGNATURAS!$B$2:$J$61,9,FALSE()),""))</f>
      </c>
    </row>
    <row r="9633">
      <c r="E9633">
        <f>IF(DATOS!$I9633="","",IFERROR(VLOOKUP(DATOS!$I9633,CONFIG_ASIGNATURAS!$B$2:$J$61,9,FALSE()),""))</f>
      </c>
    </row>
    <row r="9634">
      <c r="E9634">
        <f>IF(DATOS!$I9634="","",IFERROR(VLOOKUP(DATOS!$I9634,CONFIG_ASIGNATURAS!$B$2:$J$61,9,FALSE()),""))</f>
      </c>
    </row>
    <row r="9635">
      <c r="E9635">
        <f>IF(DATOS!$I9635="","",IFERROR(VLOOKUP(DATOS!$I9635,CONFIG_ASIGNATURAS!$B$2:$J$61,9,FALSE()),""))</f>
      </c>
    </row>
    <row r="9636">
      <c r="E9636">
        <f>IF(DATOS!$I9636="","",IFERROR(VLOOKUP(DATOS!$I9636,CONFIG_ASIGNATURAS!$B$2:$J$61,9,FALSE()),""))</f>
      </c>
    </row>
    <row r="9637">
      <c r="E9637">
        <f>IF(DATOS!$I9637="","",IFERROR(VLOOKUP(DATOS!$I9637,CONFIG_ASIGNATURAS!$B$2:$J$61,9,FALSE()),""))</f>
      </c>
    </row>
    <row r="9638">
      <c r="E9638">
        <f>IF(DATOS!$I9638="","",IFERROR(VLOOKUP(DATOS!$I9638,CONFIG_ASIGNATURAS!$B$2:$J$61,9,FALSE()),""))</f>
      </c>
    </row>
    <row r="9639">
      <c r="E9639">
        <f>IF(DATOS!$I9639="","",IFERROR(VLOOKUP(DATOS!$I9639,CONFIG_ASIGNATURAS!$B$2:$J$61,9,FALSE()),""))</f>
      </c>
    </row>
    <row r="9640">
      <c r="E9640">
        <f>IF(DATOS!$I9640="","",IFERROR(VLOOKUP(DATOS!$I9640,CONFIG_ASIGNATURAS!$B$2:$J$61,9,FALSE()),""))</f>
      </c>
    </row>
    <row r="9641">
      <c r="E9641">
        <f>IF(DATOS!$I9641="","",IFERROR(VLOOKUP(DATOS!$I9641,CONFIG_ASIGNATURAS!$B$2:$J$61,9,FALSE()),""))</f>
      </c>
    </row>
    <row r="9642">
      <c r="E9642">
        <f>IF(DATOS!$I9642="","",IFERROR(VLOOKUP(DATOS!$I9642,CONFIG_ASIGNATURAS!$B$2:$J$61,9,FALSE()),""))</f>
      </c>
    </row>
    <row r="9643">
      <c r="E9643">
        <f>IF(DATOS!$I9643="","",IFERROR(VLOOKUP(DATOS!$I9643,CONFIG_ASIGNATURAS!$B$2:$J$61,9,FALSE()),""))</f>
      </c>
    </row>
    <row r="9644">
      <c r="E9644">
        <f>IF(DATOS!$I9644="","",IFERROR(VLOOKUP(DATOS!$I9644,CONFIG_ASIGNATURAS!$B$2:$J$61,9,FALSE()),""))</f>
      </c>
    </row>
    <row r="9645">
      <c r="E9645">
        <f>IF(DATOS!$I9645="","",IFERROR(VLOOKUP(DATOS!$I9645,CONFIG_ASIGNATURAS!$B$2:$J$61,9,FALSE()),""))</f>
      </c>
    </row>
    <row r="9646">
      <c r="E9646">
        <f>IF(DATOS!$I9646="","",IFERROR(VLOOKUP(DATOS!$I9646,CONFIG_ASIGNATURAS!$B$2:$J$61,9,FALSE()),""))</f>
      </c>
    </row>
    <row r="9647">
      <c r="E9647">
        <f>IF(DATOS!$I9647="","",IFERROR(VLOOKUP(DATOS!$I9647,CONFIG_ASIGNATURAS!$B$2:$J$61,9,FALSE()),""))</f>
      </c>
    </row>
    <row r="9648">
      <c r="E9648">
        <f>IF(DATOS!$I9648="","",IFERROR(VLOOKUP(DATOS!$I9648,CONFIG_ASIGNATURAS!$B$2:$J$61,9,FALSE()),""))</f>
      </c>
    </row>
    <row r="9649">
      <c r="E9649">
        <f>IF(DATOS!$I9649="","",IFERROR(VLOOKUP(DATOS!$I9649,CONFIG_ASIGNATURAS!$B$2:$J$61,9,FALSE()),""))</f>
      </c>
    </row>
    <row r="9650">
      <c r="E9650">
        <f>IF(DATOS!$I9650="","",IFERROR(VLOOKUP(DATOS!$I9650,CONFIG_ASIGNATURAS!$B$2:$J$61,9,FALSE()),""))</f>
      </c>
    </row>
    <row r="9651">
      <c r="E9651">
        <f>IF(DATOS!$I9651="","",IFERROR(VLOOKUP(DATOS!$I9651,CONFIG_ASIGNATURAS!$B$2:$J$61,9,FALSE()),""))</f>
      </c>
    </row>
    <row r="9652">
      <c r="E9652">
        <f>IF(DATOS!$I9652="","",IFERROR(VLOOKUP(DATOS!$I9652,CONFIG_ASIGNATURAS!$B$2:$J$61,9,FALSE()),""))</f>
      </c>
    </row>
    <row r="9653">
      <c r="E9653">
        <f>IF(DATOS!$I9653="","",IFERROR(VLOOKUP(DATOS!$I9653,CONFIG_ASIGNATURAS!$B$2:$J$61,9,FALSE()),""))</f>
      </c>
    </row>
    <row r="9654">
      <c r="E9654">
        <f>IF(DATOS!$I9654="","",IFERROR(VLOOKUP(DATOS!$I9654,CONFIG_ASIGNATURAS!$B$2:$J$61,9,FALSE()),""))</f>
      </c>
    </row>
    <row r="9655">
      <c r="E9655">
        <f>IF(DATOS!$I9655="","",IFERROR(VLOOKUP(DATOS!$I9655,CONFIG_ASIGNATURAS!$B$2:$J$61,9,FALSE()),""))</f>
      </c>
    </row>
    <row r="9656">
      <c r="E9656">
        <f>IF(DATOS!$I9656="","",IFERROR(VLOOKUP(DATOS!$I9656,CONFIG_ASIGNATURAS!$B$2:$J$61,9,FALSE()),""))</f>
      </c>
    </row>
    <row r="9657">
      <c r="E9657">
        <f>IF(DATOS!$I9657="","",IFERROR(VLOOKUP(DATOS!$I9657,CONFIG_ASIGNATURAS!$B$2:$J$61,9,FALSE()),""))</f>
      </c>
    </row>
    <row r="9658">
      <c r="E9658">
        <f>IF(DATOS!$I9658="","",IFERROR(VLOOKUP(DATOS!$I9658,CONFIG_ASIGNATURAS!$B$2:$J$61,9,FALSE()),""))</f>
      </c>
    </row>
    <row r="9659">
      <c r="E9659">
        <f>IF(DATOS!$I9659="","",IFERROR(VLOOKUP(DATOS!$I9659,CONFIG_ASIGNATURAS!$B$2:$J$61,9,FALSE()),""))</f>
      </c>
    </row>
    <row r="9660">
      <c r="E9660">
        <f>IF(DATOS!$I9660="","",IFERROR(VLOOKUP(DATOS!$I9660,CONFIG_ASIGNATURAS!$B$2:$J$61,9,FALSE()),""))</f>
      </c>
    </row>
    <row r="9661">
      <c r="E9661">
        <f>IF(DATOS!$I9661="","",IFERROR(VLOOKUP(DATOS!$I9661,CONFIG_ASIGNATURAS!$B$2:$J$61,9,FALSE()),""))</f>
      </c>
    </row>
    <row r="9662">
      <c r="E9662">
        <f>IF(DATOS!$I9662="","",IFERROR(VLOOKUP(DATOS!$I9662,CONFIG_ASIGNATURAS!$B$2:$J$61,9,FALSE()),""))</f>
      </c>
    </row>
    <row r="9663">
      <c r="E9663">
        <f>IF(DATOS!$I9663="","",IFERROR(VLOOKUP(DATOS!$I9663,CONFIG_ASIGNATURAS!$B$2:$J$61,9,FALSE()),""))</f>
      </c>
    </row>
    <row r="9664">
      <c r="E9664">
        <f>IF(DATOS!$I9664="","",IFERROR(VLOOKUP(DATOS!$I9664,CONFIG_ASIGNATURAS!$B$2:$J$61,9,FALSE()),""))</f>
      </c>
    </row>
    <row r="9665">
      <c r="E9665">
        <f>IF(DATOS!$I9665="","",IFERROR(VLOOKUP(DATOS!$I9665,CONFIG_ASIGNATURAS!$B$2:$J$61,9,FALSE()),""))</f>
      </c>
    </row>
    <row r="9666">
      <c r="E9666">
        <f>IF(DATOS!$I9666="","",IFERROR(VLOOKUP(DATOS!$I9666,CONFIG_ASIGNATURAS!$B$2:$J$61,9,FALSE()),""))</f>
      </c>
    </row>
    <row r="9667">
      <c r="E9667">
        <f>IF(DATOS!$I9667="","",IFERROR(VLOOKUP(DATOS!$I9667,CONFIG_ASIGNATURAS!$B$2:$J$61,9,FALSE()),""))</f>
      </c>
    </row>
    <row r="9668">
      <c r="E9668">
        <f>IF(DATOS!$I9668="","",IFERROR(VLOOKUP(DATOS!$I9668,CONFIG_ASIGNATURAS!$B$2:$J$61,9,FALSE()),""))</f>
      </c>
    </row>
    <row r="9669">
      <c r="E9669">
        <f>IF(DATOS!$I9669="","",IFERROR(VLOOKUP(DATOS!$I9669,CONFIG_ASIGNATURAS!$B$2:$J$61,9,FALSE()),""))</f>
      </c>
    </row>
    <row r="9670">
      <c r="E9670">
        <f>IF(DATOS!$I9670="","",IFERROR(VLOOKUP(DATOS!$I9670,CONFIG_ASIGNATURAS!$B$2:$J$61,9,FALSE()),""))</f>
      </c>
    </row>
    <row r="9671">
      <c r="E9671">
        <f>IF(DATOS!$I9671="","",IFERROR(VLOOKUP(DATOS!$I9671,CONFIG_ASIGNATURAS!$B$2:$J$61,9,FALSE()),""))</f>
      </c>
    </row>
    <row r="9672">
      <c r="E9672">
        <f>IF(DATOS!$I9672="","",IFERROR(VLOOKUP(DATOS!$I9672,CONFIG_ASIGNATURAS!$B$2:$J$61,9,FALSE()),""))</f>
      </c>
    </row>
    <row r="9673">
      <c r="E9673">
        <f>IF(DATOS!$I9673="","",IFERROR(VLOOKUP(DATOS!$I9673,CONFIG_ASIGNATURAS!$B$2:$J$61,9,FALSE()),""))</f>
      </c>
    </row>
    <row r="9674">
      <c r="E9674">
        <f>IF(DATOS!$I9674="","",IFERROR(VLOOKUP(DATOS!$I9674,CONFIG_ASIGNATURAS!$B$2:$J$61,9,FALSE()),""))</f>
      </c>
    </row>
    <row r="9675">
      <c r="E9675">
        <f>IF(DATOS!$I9675="","",IFERROR(VLOOKUP(DATOS!$I9675,CONFIG_ASIGNATURAS!$B$2:$J$61,9,FALSE()),""))</f>
      </c>
    </row>
    <row r="9676">
      <c r="E9676">
        <f>IF(DATOS!$I9676="","",IFERROR(VLOOKUP(DATOS!$I9676,CONFIG_ASIGNATURAS!$B$2:$J$61,9,FALSE()),""))</f>
      </c>
    </row>
    <row r="9677">
      <c r="E9677">
        <f>IF(DATOS!$I9677="","",IFERROR(VLOOKUP(DATOS!$I9677,CONFIG_ASIGNATURAS!$B$2:$J$61,9,FALSE()),""))</f>
      </c>
    </row>
    <row r="9678">
      <c r="E9678">
        <f>IF(DATOS!$I9678="","",IFERROR(VLOOKUP(DATOS!$I9678,CONFIG_ASIGNATURAS!$B$2:$J$61,9,FALSE()),""))</f>
      </c>
    </row>
    <row r="9679">
      <c r="E9679">
        <f>IF(DATOS!$I9679="","",IFERROR(VLOOKUP(DATOS!$I9679,CONFIG_ASIGNATURAS!$B$2:$J$61,9,FALSE()),""))</f>
      </c>
    </row>
    <row r="9680">
      <c r="E9680">
        <f>IF(DATOS!$I9680="","",IFERROR(VLOOKUP(DATOS!$I9680,CONFIG_ASIGNATURAS!$B$2:$J$61,9,FALSE()),""))</f>
      </c>
    </row>
    <row r="9681">
      <c r="E9681">
        <f>IF(DATOS!$I9681="","",IFERROR(VLOOKUP(DATOS!$I9681,CONFIG_ASIGNATURAS!$B$2:$J$61,9,FALSE()),""))</f>
      </c>
    </row>
    <row r="9682">
      <c r="E9682">
        <f>IF(DATOS!$I9682="","",IFERROR(VLOOKUP(DATOS!$I9682,CONFIG_ASIGNATURAS!$B$2:$J$61,9,FALSE()),""))</f>
      </c>
    </row>
    <row r="9683">
      <c r="E9683">
        <f>IF(DATOS!$I9683="","",IFERROR(VLOOKUP(DATOS!$I9683,CONFIG_ASIGNATURAS!$B$2:$J$61,9,FALSE()),""))</f>
      </c>
    </row>
    <row r="9684">
      <c r="E9684">
        <f>IF(DATOS!$I9684="","",IFERROR(VLOOKUP(DATOS!$I9684,CONFIG_ASIGNATURAS!$B$2:$J$61,9,FALSE()),""))</f>
      </c>
    </row>
    <row r="9685">
      <c r="E9685">
        <f>IF(DATOS!$I9685="","",IFERROR(VLOOKUP(DATOS!$I9685,CONFIG_ASIGNATURAS!$B$2:$J$61,9,FALSE()),""))</f>
      </c>
    </row>
    <row r="9686">
      <c r="E9686">
        <f>IF(DATOS!$I9686="","",IFERROR(VLOOKUP(DATOS!$I9686,CONFIG_ASIGNATURAS!$B$2:$J$61,9,FALSE()),""))</f>
      </c>
    </row>
    <row r="9687">
      <c r="E9687">
        <f>IF(DATOS!$I9687="","",IFERROR(VLOOKUP(DATOS!$I9687,CONFIG_ASIGNATURAS!$B$2:$J$61,9,FALSE()),""))</f>
      </c>
    </row>
    <row r="9688">
      <c r="E9688">
        <f>IF(DATOS!$I9688="","",IFERROR(VLOOKUP(DATOS!$I9688,CONFIG_ASIGNATURAS!$B$2:$J$61,9,FALSE()),""))</f>
      </c>
    </row>
    <row r="9689">
      <c r="E9689">
        <f>IF(DATOS!$I9689="","",IFERROR(VLOOKUP(DATOS!$I9689,CONFIG_ASIGNATURAS!$B$2:$J$61,9,FALSE()),""))</f>
      </c>
    </row>
    <row r="9690">
      <c r="E9690">
        <f>IF(DATOS!$I9690="","",IFERROR(VLOOKUP(DATOS!$I9690,CONFIG_ASIGNATURAS!$B$2:$J$61,9,FALSE()),""))</f>
      </c>
    </row>
    <row r="9691">
      <c r="E9691">
        <f>IF(DATOS!$I9691="","",IFERROR(VLOOKUP(DATOS!$I9691,CONFIG_ASIGNATURAS!$B$2:$J$61,9,FALSE()),""))</f>
      </c>
    </row>
    <row r="9692">
      <c r="E9692">
        <f>IF(DATOS!$I9692="","",IFERROR(VLOOKUP(DATOS!$I9692,CONFIG_ASIGNATURAS!$B$2:$J$61,9,FALSE()),""))</f>
      </c>
    </row>
    <row r="9693">
      <c r="E9693">
        <f>IF(DATOS!$I9693="","",IFERROR(VLOOKUP(DATOS!$I9693,CONFIG_ASIGNATURAS!$B$2:$J$61,9,FALSE()),""))</f>
      </c>
    </row>
    <row r="9694">
      <c r="E9694">
        <f>IF(DATOS!$I9694="","",IFERROR(VLOOKUP(DATOS!$I9694,CONFIG_ASIGNATURAS!$B$2:$J$61,9,FALSE()),""))</f>
      </c>
    </row>
    <row r="9695">
      <c r="E9695">
        <f>IF(DATOS!$I9695="","",IFERROR(VLOOKUP(DATOS!$I9695,CONFIG_ASIGNATURAS!$B$2:$J$61,9,FALSE()),""))</f>
      </c>
    </row>
    <row r="9696">
      <c r="E9696">
        <f>IF(DATOS!$I9696="","",IFERROR(VLOOKUP(DATOS!$I9696,CONFIG_ASIGNATURAS!$B$2:$J$61,9,FALSE()),""))</f>
      </c>
    </row>
    <row r="9697">
      <c r="E9697">
        <f>IF(DATOS!$I9697="","",IFERROR(VLOOKUP(DATOS!$I9697,CONFIG_ASIGNATURAS!$B$2:$J$61,9,FALSE()),""))</f>
      </c>
    </row>
    <row r="9698">
      <c r="E9698">
        <f>IF(DATOS!$I9698="","",IFERROR(VLOOKUP(DATOS!$I9698,CONFIG_ASIGNATURAS!$B$2:$J$61,9,FALSE()),""))</f>
      </c>
    </row>
    <row r="9699">
      <c r="E9699">
        <f>IF(DATOS!$I9699="","",IFERROR(VLOOKUP(DATOS!$I9699,CONFIG_ASIGNATURAS!$B$2:$J$61,9,FALSE()),""))</f>
      </c>
    </row>
    <row r="9700">
      <c r="E9700">
        <f>IF(DATOS!$I9700="","",IFERROR(VLOOKUP(DATOS!$I9700,CONFIG_ASIGNATURAS!$B$2:$J$61,9,FALSE()),""))</f>
      </c>
    </row>
    <row r="9701">
      <c r="E9701">
        <f>IF(DATOS!$I9701="","",IFERROR(VLOOKUP(DATOS!$I9701,CONFIG_ASIGNATURAS!$B$2:$J$61,9,FALSE()),""))</f>
      </c>
    </row>
    <row r="9702">
      <c r="E9702">
        <f>IF(DATOS!$I9702="","",IFERROR(VLOOKUP(DATOS!$I9702,CONFIG_ASIGNATURAS!$B$2:$J$61,9,FALSE()),""))</f>
      </c>
    </row>
    <row r="9703">
      <c r="E9703">
        <f>IF(DATOS!$I9703="","",IFERROR(VLOOKUP(DATOS!$I9703,CONFIG_ASIGNATURAS!$B$2:$J$61,9,FALSE()),""))</f>
      </c>
    </row>
    <row r="9704">
      <c r="E9704">
        <f>IF(DATOS!$I9704="","",IFERROR(VLOOKUP(DATOS!$I9704,CONFIG_ASIGNATURAS!$B$2:$J$61,9,FALSE()),""))</f>
      </c>
    </row>
    <row r="9705">
      <c r="E9705">
        <f>IF(DATOS!$I9705="","",IFERROR(VLOOKUP(DATOS!$I9705,CONFIG_ASIGNATURAS!$B$2:$J$61,9,FALSE()),""))</f>
      </c>
    </row>
    <row r="9706">
      <c r="E9706">
        <f>IF(DATOS!$I9706="","",IFERROR(VLOOKUP(DATOS!$I9706,CONFIG_ASIGNATURAS!$B$2:$J$61,9,FALSE()),""))</f>
      </c>
    </row>
    <row r="9707">
      <c r="E9707">
        <f>IF(DATOS!$I9707="","",IFERROR(VLOOKUP(DATOS!$I9707,CONFIG_ASIGNATURAS!$B$2:$J$61,9,FALSE()),""))</f>
      </c>
    </row>
    <row r="9708">
      <c r="E9708">
        <f>IF(DATOS!$I9708="","",IFERROR(VLOOKUP(DATOS!$I9708,CONFIG_ASIGNATURAS!$B$2:$J$61,9,FALSE()),""))</f>
      </c>
    </row>
    <row r="9709">
      <c r="E9709">
        <f>IF(DATOS!$I9709="","",IFERROR(VLOOKUP(DATOS!$I9709,CONFIG_ASIGNATURAS!$B$2:$J$61,9,FALSE()),""))</f>
      </c>
    </row>
    <row r="9710">
      <c r="E9710">
        <f>IF(DATOS!$I9710="","",IFERROR(VLOOKUP(DATOS!$I9710,CONFIG_ASIGNATURAS!$B$2:$J$61,9,FALSE()),""))</f>
      </c>
    </row>
    <row r="9711">
      <c r="E9711">
        <f>IF(DATOS!$I9711="","",IFERROR(VLOOKUP(DATOS!$I9711,CONFIG_ASIGNATURAS!$B$2:$J$61,9,FALSE()),""))</f>
      </c>
    </row>
    <row r="9712">
      <c r="E9712">
        <f>IF(DATOS!$I9712="","",IFERROR(VLOOKUP(DATOS!$I9712,CONFIG_ASIGNATURAS!$B$2:$J$61,9,FALSE()),""))</f>
      </c>
    </row>
    <row r="9713">
      <c r="E9713">
        <f>IF(DATOS!$I9713="","",IFERROR(VLOOKUP(DATOS!$I9713,CONFIG_ASIGNATURAS!$B$2:$J$61,9,FALSE()),""))</f>
      </c>
    </row>
    <row r="9714">
      <c r="E9714">
        <f>IF(DATOS!$I9714="","",IFERROR(VLOOKUP(DATOS!$I9714,CONFIG_ASIGNATURAS!$B$2:$J$61,9,FALSE()),""))</f>
      </c>
    </row>
    <row r="9715">
      <c r="E9715">
        <f>IF(DATOS!$I9715="","",IFERROR(VLOOKUP(DATOS!$I9715,CONFIG_ASIGNATURAS!$B$2:$J$61,9,FALSE()),""))</f>
      </c>
    </row>
    <row r="9716">
      <c r="E9716">
        <f>IF(DATOS!$I9716="","",IFERROR(VLOOKUP(DATOS!$I9716,CONFIG_ASIGNATURAS!$B$2:$J$61,9,FALSE()),""))</f>
      </c>
    </row>
    <row r="9717">
      <c r="E9717">
        <f>IF(DATOS!$I9717="","",IFERROR(VLOOKUP(DATOS!$I9717,CONFIG_ASIGNATURAS!$B$2:$J$61,9,FALSE()),""))</f>
      </c>
    </row>
    <row r="9718">
      <c r="E9718">
        <f>IF(DATOS!$I9718="","",IFERROR(VLOOKUP(DATOS!$I9718,CONFIG_ASIGNATURAS!$B$2:$J$61,9,FALSE()),""))</f>
      </c>
    </row>
    <row r="9719">
      <c r="E9719">
        <f>IF(DATOS!$I9719="","",IFERROR(VLOOKUP(DATOS!$I9719,CONFIG_ASIGNATURAS!$B$2:$J$61,9,FALSE()),""))</f>
      </c>
    </row>
    <row r="9720">
      <c r="E9720">
        <f>IF(DATOS!$I9720="","",IFERROR(VLOOKUP(DATOS!$I9720,CONFIG_ASIGNATURAS!$B$2:$J$61,9,FALSE()),""))</f>
      </c>
    </row>
    <row r="9721">
      <c r="E9721">
        <f>IF(DATOS!$I9721="","",IFERROR(VLOOKUP(DATOS!$I9721,CONFIG_ASIGNATURAS!$B$2:$J$61,9,FALSE()),""))</f>
      </c>
    </row>
    <row r="9722">
      <c r="E9722">
        <f>IF(DATOS!$I9722="","",IFERROR(VLOOKUP(DATOS!$I9722,CONFIG_ASIGNATURAS!$B$2:$J$61,9,FALSE()),""))</f>
      </c>
    </row>
    <row r="9723">
      <c r="E9723">
        <f>IF(DATOS!$I9723="","",IFERROR(VLOOKUP(DATOS!$I9723,CONFIG_ASIGNATURAS!$B$2:$J$61,9,FALSE()),""))</f>
      </c>
    </row>
    <row r="9724">
      <c r="E9724">
        <f>IF(DATOS!$I9724="","",IFERROR(VLOOKUP(DATOS!$I9724,CONFIG_ASIGNATURAS!$B$2:$J$61,9,FALSE()),""))</f>
      </c>
    </row>
    <row r="9725">
      <c r="E9725">
        <f>IF(DATOS!$I9725="","",IFERROR(VLOOKUP(DATOS!$I9725,CONFIG_ASIGNATURAS!$B$2:$J$61,9,FALSE()),""))</f>
      </c>
    </row>
    <row r="9726">
      <c r="E9726">
        <f>IF(DATOS!$I9726="","",IFERROR(VLOOKUP(DATOS!$I9726,CONFIG_ASIGNATURAS!$B$2:$J$61,9,FALSE()),""))</f>
      </c>
    </row>
    <row r="9727">
      <c r="E9727">
        <f>IF(DATOS!$I9727="","",IFERROR(VLOOKUP(DATOS!$I9727,CONFIG_ASIGNATURAS!$B$2:$J$61,9,FALSE()),""))</f>
      </c>
    </row>
    <row r="9728">
      <c r="E9728">
        <f>IF(DATOS!$I9728="","",IFERROR(VLOOKUP(DATOS!$I9728,CONFIG_ASIGNATURAS!$B$2:$J$61,9,FALSE()),""))</f>
      </c>
    </row>
    <row r="9729">
      <c r="E9729">
        <f>IF(DATOS!$I9729="","",IFERROR(VLOOKUP(DATOS!$I9729,CONFIG_ASIGNATURAS!$B$2:$J$61,9,FALSE()),""))</f>
      </c>
    </row>
    <row r="9730">
      <c r="E9730">
        <f>IF(DATOS!$I9730="","",IFERROR(VLOOKUP(DATOS!$I9730,CONFIG_ASIGNATURAS!$B$2:$J$61,9,FALSE()),""))</f>
      </c>
    </row>
    <row r="9731">
      <c r="E9731">
        <f>IF(DATOS!$I9731="","",IFERROR(VLOOKUP(DATOS!$I9731,CONFIG_ASIGNATURAS!$B$2:$J$61,9,FALSE()),""))</f>
      </c>
    </row>
    <row r="9732">
      <c r="E9732">
        <f>IF(DATOS!$I9732="","",IFERROR(VLOOKUP(DATOS!$I9732,CONFIG_ASIGNATURAS!$B$2:$J$61,9,FALSE()),""))</f>
      </c>
    </row>
    <row r="9733">
      <c r="E9733">
        <f>IF(DATOS!$I9733="","",IFERROR(VLOOKUP(DATOS!$I9733,CONFIG_ASIGNATURAS!$B$2:$J$61,9,FALSE()),""))</f>
      </c>
    </row>
    <row r="9734">
      <c r="E9734">
        <f>IF(DATOS!$I9734="","",IFERROR(VLOOKUP(DATOS!$I9734,CONFIG_ASIGNATURAS!$B$2:$J$61,9,FALSE()),""))</f>
      </c>
    </row>
    <row r="9735">
      <c r="E9735">
        <f>IF(DATOS!$I9735="","",IFERROR(VLOOKUP(DATOS!$I9735,CONFIG_ASIGNATURAS!$B$2:$J$61,9,FALSE()),""))</f>
      </c>
    </row>
    <row r="9736">
      <c r="E9736">
        <f>IF(DATOS!$I9736="","",IFERROR(VLOOKUP(DATOS!$I9736,CONFIG_ASIGNATURAS!$B$2:$J$61,9,FALSE()),""))</f>
      </c>
    </row>
    <row r="9737">
      <c r="E9737">
        <f>IF(DATOS!$I9737="","",IFERROR(VLOOKUP(DATOS!$I9737,CONFIG_ASIGNATURAS!$B$2:$J$61,9,FALSE()),""))</f>
      </c>
    </row>
    <row r="9738">
      <c r="E9738">
        <f>IF(DATOS!$I9738="","",IFERROR(VLOOKUP(DATOS!$I9738,CONFIG_ASIGNATURAS!$B$2:$J$61,9,FALSE()),""))</f>
      </c>
    </row>
    <row r="9739">
      <c r="E9739">
        <f>IF(DATOS!$I9739="","",IFERROR(VLOOKUP(DATOS!$I9739,CONFIG_ASIGNATURAS!$B$2:$J$61,9,FALSE()),""))</f>
      </c>
    </row>
    <row r="9740">
      <c r="E9740">
        <f>IF(DATOS!$I9740="","",IFERROR(VLOOKUP(DATOS!$I9740,CONFIG_ASIGNATURAS!$B$2:$J$61,9,FALSE()),""))</f>
      </c>
    </row>
    <row r="9741">
      <c r="E9741">
        <f>IF(DATOS!$I9741="","",IFERROR(VLOOKUP(DATOS!$I9741,CONFIG_ASIGNATURAS!$B$2:$J$61,9,FALSE()),""))</f>
      </c>
    </row>
    <row r="9742">
      <c r="E9742">
        <f>IF(DATOS!$I9742="","",IFERROR(VLOOKUP(DATOS!$I9742,CONFIG_ASIGNATURAS!$B$2:$J$61,9,FALSE()),""))</f>
      </c>
    </row>
    <row r="9743">
      <c r="E9743">
        <f>IF(DATOS!$I9743="","",IFERROR(VLOOKUP(DATOS!$I9743,CONFIG_ASIGNATURAS!$B$2:$J$61,9,FALSE()),""))</f>
      </c>
    </row>
    <row r="9744">
      <c r="E9744">
        <f>IF(DATOS!$I9744="","",IFERROR(VLOOKUP(DATOS!$I9744,CONFIG_ASIGNATURAS!$B$2:$J$61,9,FALSE()),""))</f>
      </c>
    </row>
    <row r="9745">
      <c r="E9745">
        <f>IF(DATOS!$I9745="","",IFERROR(VLOOKUP(DATOS!$I9745,CONFIG_ASIGNATURAS!$B$2:$J$61,9,FALSE()),""))</f>
      </c>
    </row>
    <row r="9746">
      <c r="E9746">
        <f>IF(DATOS!$I9746="","",IFERROR(VLOOKUP(DATOS!$I9746,CONFIG_ASIGNATURAS!$B$2:$J$61,9,FALSE()),""))</f>
      </c>
    </row>
    <row r="9747">
      <c r="E9747">
        <f>IF(DATOS!$I9747="","",IFERROR(VLOOKUP(DATOS!$I9747,CONFIG_ASIGNATURAS!$B$2:$J$61,9,FALSE()),""))</f>
      </c>
    </row>
    <row r="9748">
      <c r="E9748">
        <f>IF(DATOS!$I9748="","",IFERROR(VLOOKUP(DATOS!$I9748,CONFIG_ASIGNATURAS!$B$2:$J$61,9,FALSE()),""))</f>
      </c>
    </row>
    <row r="9749">
      <c r="E9749">
        <f>IF(DATOS!$I9749="","",IFERROR(VLOOKUP(DATOS!$I9749,CONFIG_ASIGNATURAS!$B$2:$J$61,9,FALSE()),""))</f>
      </c>
    </row>
    <row r="9750">
      <c r="E9750">
        <f>IF(DATOS!$I9750="","",IFERROR(VLOOKUP(DATOS!$I9750,CONFIG_ASIGNATURAS!$B$2:$J$61,9,FALSE()),""))</f>
      </c>
    </row>
    <row r="9751">
      <c r="E9751">
        <f>IF(DATOS!$I9751="","",IFERROR(VLOOKUP(DATOS!$I9751,CONFIG_ASIGNATURAS!$B$2:$J$61,9,FALSE()),""))</f>
      </c>
    </row>
    <row r="9752">
      <c r="E9752">
        <f>IF(DATOS!$I9752="","",IFERROR(VLOOKUP(DATOS!$I9752,CONFIG_ASIGNATURAS!$B$2:$J$61,9,FALSE()),""))</f>
      </c>
    </row>
    <row r="9753">
      <c r="E9753">
        <f>IF(DATOS!$I9753="","",IFERROR(VLOOKUP(DATOS!$I9753,CONFIG_ASIGNATURAS!$B$2:$J$61,9,FALSE()),""))</f>
      </c>
    </row>
    <row r="9754">
      <c r="E9754">
        <f>IF(DATOS!$I9754="","",IFERROR(VLOOKUP(DATOS!$I9754,CONFIG_ASIGNATURAS!$B$2:$J$61,9,FALSE()),""))</f>
      </c>
    </row>
    <row r="9755">
      <c r="E9755">
        <f>IF(DATOS!$I9755="","",IFERROR(VLOOKUP(DATOS!$I9755,CONFIG_ASIGNATURAS!$B$2:$J$61,9,FALSE()),""))</f>
      </c>
    </row>
    <row r="9756">
      <c r="E9756">
        <f>IF(DATOS!$I9756="","",IFERROR(VLOOKUP(DATOS!$I9756,CONFIG_ASIGNATURAS!$B$2:$J$61,9,FALSE()),""))</f>
      </c>
    </row>
    <row r="9757">
      <c r="E9757">
        <f>IF(DATOS!$I9757="","",IFERROR(VLOOKUP(DATOS!$I9757,CONFIG_ASIGNATURAS!$B$2:$J$61,9,FALSE()),""))</f>
      </c>
    </row>
    <row r="9758">
      <c r="E9758">
        <f>IF(DATOS!$I9758="","",IFERROR(VLOOKUP(DATOS!$I9758,CONFIG_ASIGNATURAS!$B$2:$J$61,9,FALSE()),""))</f>
      </c>
    </row>
    <row r="9759">
      <c r="E9759">
        <f>IF(DATOS!$I9759="","",IFERROR(VLOOKUP(DATOS!$I9759,CONFIG_ASIGNATURAS!$B$2:$J$61,9,FALSE()),""))</f>
      </c>
    </row>
    <row r="9760">
      <c r="E9760">
        <f>IF(DATOS!$I9760="","",IFERROR(VLOOKUP(DATOS!$I9760,CONFIG_ASIGNATURAS!$B$2:$J$61,9,FALSE()),""))</f>
      </c>
    </row>
    <row r="9761">
      <c r="E9761">
        <f>IF(DATOS!$I9761="","",IFERROR(VLOOKUP(DATOS!$I9761,CONFIG_ASIGNATURAS!$B$2:$J$61,9,FALSE()),""))</f>
      </c>
    </row>
    <row r="9762">
      <c r="E9762">
        <f>IF(DATOS!$I9762="","",IFERROR(VLOOKUP(DATOS!$I9762,CONFIG_ASIGNATURAS!$B$2:$J$61,9,FALSE()),""))</f>
      </c>
    </row>
    <row r="9763">
      <c r="E9763">
        <f>IF(DATOS!$I9763="","",IFERROR(VLOOKUP(DATOS!$I9763,CONFIG_ASIGNATURAS!$B$2:$J$61,9,FALSE()),""))</f>
      </c>
    </row>
    <row r="9764">
      <c r="E9764">
        <f>IF(DATOS!$I9764="","",IFERROR(VLOOKUP(DATOS!$I9764,CONFIG_ASIGNATURAS!$B$2:$J$61,9,FALSE()),""))</f>
      </c>
    </row>
    <row r="9765">
      <c r="E9765">
        <f>IF(DATOS!$I9765="","",IFERROR(VLOOKUP(DATOS!$I9765,CONFIG_ASIGNATURAS!$B$2:$J$61,9,FALSE()),""))</f>
      </c>
    </row>
    <row r="9766">
      <c r="E9766">
        <f>IF(DATOS!$I9766="","",IFERROR(VLOOKUP(DATOS!$I9766,CONFIG_ASIGNATURAS!$B$2:$J$61,9,FALSE()),""))</f>
      </c>
    </row>
    <row r="9767">
      <c r="E9767">
        <f>IF(DATOS!$I9767="","",IFERROR(VLOOKUP(DATOS!$I9767,CONFIG_ASIGNATURAS!$B$2:$J$61,9,FALSE()),""))</f>
      </c>
    </row>
    <row r="9768">
      <c r="E9768">
        <f>IF(DATOS!$I9768="","",IFERROR(VLOOKUP(DATOS!$I9768,CONFIG_ASIGNATURAS!$B$2:$J$61,9,FALSE()),""))</f>
      </c>
    </row>
    <row r="9769">
      <c r="E9769">
        <f>IF(DATOS!$I9769="","",IFERROR(VLOOKUP(DATOS!$I9769,CONFIG_ASIGNATURAS!$B$2:$J$61,9,FALSE()),""))</f>
      </c>
    </row>
    <row r="9770">
      <c r="E9770">
        <f>IF(DATOS!$I9770="","",IFERROR(VLOOKUP(DATOS!$I9770,CONFIG_ASIGNATURAS!$B$2:$J$61,9,FALSE()),""))</f>
      </c>
    </row>
    <row r="9771">
      <c r="E9771">
        <f>IF(DATOS!$I9771="","",IFERROR(VLOOKUP(DATOS!$I9771,CONFIG_ASIGNATURAS!$B$2:$J$61,9,FALSE()),""))</f>
      </c>
    </row>
    <row r="9772">
      <c r="E9772">
        <f>IF(DATOS!$I9772="","",IFERROR(VLOOKUP(DATOS!$I9772,CONFIG_ASIGNATURAS!$B$2:$J$61,9,FALSE()),""))</f>
      </c>
    </row>
    <row r="9773">
      <c r="E9773">
        <f>IF(DATOS!$I9773="","",IFERROR(VLOOKUP(DATOS!$I9773,CONFIG_ASIGNATURAS!$B$2:$J$61,9,FALSE()),""))</f>
      </c>
    </row>
    <row r="9774">
      <c r="E9774">
        <f>IF(DATOS!$I9774="","",IFERROR(VLOOKUP(DATOS!$I9774,CONFIG_ASIGNATURAS!$B$2:$J$61,9,FALSE()),""))</f>
      </c>
    </row>
    <row r="9775">
      <c r="E9775">
        <f>IF(DATOS!$I9775="","",IFERROR(VLOOKUP(DATOS!$I9775,CONFIG_ASIGNATURAS!$B$2:$J$61,9,FALSE()),""))</f>
      </c>
    </row>
    <row r="9776">
      <c r="E9776">
        <f>IF(DATOS!$I9776="","",IFERROR(VLOOKUP(DATOS!$I9776,CONFIG_ASIGNATURAS!$B$2:$J$61,9,FALSE()),""))</f>
      </c>
    </row>
    <row r="9777">
      <c r="E9777">
        <f>IF(DATOS!$I9777="","",IFERROR(VLOOKUP(DATOS!$I9777,CONFIG_ASIGNATURAS!$B$2:$J$61,9,FALSE()),""))</f>
      </c>
    </row>
    <row r="9778">
      <c r="E9778">
        <f>IF(DATOS!$I9778="","",IFERROR(VLOOKUP(DATOS!$I9778,CONFIG_ASIGNATURAS!$B$2:$J$61,9,FALSE()),""))</f>
      </c>
    </row>
    <row r="9779">
      <c r="E9779">
        <f>IF(DATOS!$I9779="","",IFERROR(VLOOKUP(DATOS!$I9779,CONFIG_ASIGNATURAS!$B$2:$J$61,9,FALSE()),""))</f>
      </c>
    </row>
    <row r="9780">
      <c r="E9780">
        <f>IF(DATOS!$I9780="","",IFERROR(VLOOKUP(DATOS!$I9780,CONFIG_ASIGNATURAS!$B$2:$J$61,9,FALSE()),""))</f>
      </c>
    </row>
    <row r="9781">
      <c r="E9781">
        <f>IF(DATOS!$I9781="","",IFERROR(VLOOKUP(DATOS!$I9781,CONFIG_ASIGNATURAS!$B$2:$J$61,9,FALSE()),""))</f>
      </c>
    </row>
    <row r="9782">
      <c r="E9782">
        <f>IF(DATOS!$I9782="","",IFERROR(VLOOKUP(DATOS!$I9782,CONFIG_ASIGNATURAS!$B$2:$J$61,9,FALSE()),""))</f>
      </c>
    </row>
    <row r="9783">
      <c r="E9783">
        <f>IF(DATOS!$I9783="","",IFERROR(VLOOKUP(DATOS!$I9783,CONFIG_ASIGNATURAS!$B$2:$J$61,9,FALSE()),""))</f>
      </c>
    </row>
    <row r="9784">
      <c r="E9784">
        <f>IF(DATOS!$I9784="","",IFERROR(VLOOKUP(DATOS!$I9784,CONFIG_ASIGNATURAS!$B$2:$J$61,9,FALSE()),""))</f>
      </c>
    </row>
    <row r="9785">
      <c r="E9785">
        <f>IF(DATOS!$I9785="","",IFERROR(VLOOKUP(DATOS!$I9785,CONFIG_ASIGNATURAS!$B$2:$J$61,9,FALSE()),""))</f>
      </c>
    </row>
    <row r="9786">
      <c r="E9786">
        <f>IF(DATOS!$I9786="","",IFERROR(VLOOKUP(DATOS!$I9786,CONFIG_ASIGNATURAS!$B$2:$J$61,9,FALSE()),""))</f>
      </c>
    </row>
    <row r="9787">
      <c r="E9787">
        <f>IF(DATOS!$I9787="","",IFERROR(VLOOKUP(DATOS!$I9787,CONFIG_ASIGNATURAS!$B$2:$J$61,9,FALSE()),""))</f>
      </c>
    </row>
    <row r="9788">
      <c r="E9788">
        <f>IF(DATOS!$I9788="","",IFERROR(VLOOKUP(DATOS!$I9788,CONFIG_ASIGNATURAS!$B$2:$J$61,9,FALSE()),""))</f>
      </c>
    </row>
    <row r="9789">
      <c r="E9789">
        <f>IF(DATOS!$I9789="","",IFERROR(VLOOKUP(DATOS!$I9789,CONFIG_ASIGNATURAS!$B$2:$J$61,9,FALSE()),""))</f>
      </c>
    </row>
    <row r="9790">
      <c r="E9790">
        <f>IF(DATOS!$I9790="","",IFERROR(VLOOKUP(DATOS!$I9790,CONFIG_ASIGNATURAS!$B$2:$J$61,9,FALSE()),""))</f>
      </c>
    </row>
    <row r="9791">
      <c r="E9791">
        <f>IF(DATOS!$I9791="","",IFERROR(VLOOKUP(DATOS!$I9791,CONFIG_ASIGNATURAS!$B$2:$J$61,9,FALSE()),""))</f>
      </c>
    </row>
    <row r="9792">
      <c r="E9792">
        <f>IF(DATOS!$I9792="","",IFERROR(VLOOKUP(DATOS!$I9792,CONFIG_ASIGNATURAS!$B$2:$J$61,9,FALSE()),""))</f>
      </c>
    </row>
    <row r="9793">
      <c r="E9793">
        <f>IF(DATOS!$I9793="","",IFERROR(VLOOKUP(DATOS!$I9793,CONFIG_ASIGNATURAS!$B$2:$J$61,9,FALSE()),""))</f>
      </c>
    </row>
    <row r="9794">
      <c r="E9794">
        <f>IF(DATOS!$I9794="","",IFERROR(VLOOKUP(DATOS!$I9794,CONFIG_ASIGNATURAS!$B$2:$J$61,9,FALSE()),""))</f>
      </c>
    </row>
    <row r="9795">
      <c r="E9795">
        <f>IF(DATOS!$I9795="","",IFERROR(VLOOKUP(DATOS!$I9795,CONFIG_ASIGNATURAS!$B$2:$J$61,9,FALSE()),""))</f>
      </c>
    </row>
    <row r="9796">
      <c r="E9796">
        <f>IF(DATOS!$I9796="","",IFERROR(VLOOKUP(DATOS!$I9796,CONFIG_ASIGNATURAS!$B$2:$J$61,9,FALSE()),""))</f>
      </c>
    </row>
    <row r="9797">
      <c r="E9797">
        <f>IF(DATOS!$I9797="","",IFERROR(VLOOKUP(DATOS!$I9797,CONFIG_ASIGNATURAS!$B$2:$J$61,9,FALSE()),""))</f>
      </c>
    </row>
    <row r="9798">
      <c r="E9798">
        <f>IF(DATOS!$I9798="","",IFERROR(VLOOKUP(DATOS!$I9798,CONFIG_ASIGNATURAS!$B$2:$J$61,9,FALSE()),""))</f>
      </c>
    </row>
    <row r="9799">
      <c r="E9799">
        <f>IF(DATOS!$I9799="","",IFERROR(VLOOKUP(DATOS!$I9799,CONFIG_ASIGNATURAS!$B$2:$J$61,9,FALSE()),""))</f>
      </c>
    </row>
    <row r="9800">
      <c r="E9800">
        <f>IF(DATOS!$I9800="","",IFERROR(VLOOKUP(DATOS!$I9800,CONFIG_ASIGNATURAS!$B$2:$J$61,9,FALSE()),""))</f>
      </c>
    </row>
    <row r="9801">
      <c r="E9801">
        <f>IF(DATOS!$I9801="","",IFERROR(VLOOKUP(DATOS!$I9801,CONFIG_ASIGNATURAS!$B$2:$J$61,9,FALSE()),""))</f>
      </c>
    </row>
    <row r="9802">
      <c r="E9802">
        <f>IF(DATOS!$I9802="","",IFERROR(VLOOKUP(DATOS!$I9802,CONFIG_ASIGNATURAS!$B$2:$J$61,9,FALSE()),""))</f>
      </c>
    </row>
    <row r="9803">
      <c r="E9803">
        <f>IF(DATOS!$I9803="","",IFERROR(VLOOKUP(DATOS!$I9803,CONFIG_ASIGNATURAS!$B$2:$J$61,9,FALSE()),""))</f>
      </c>
    </row>
    <row r="9804">
      <c r="E9804">
        <f>IF(DATOS!$I9804="","",IFERROR(VLOOKUP(DATOS!$I9804,CONFIG_ASIGNATURAS!$B$2:$J$61,9,FALSE()),""))</f>
      </c>
    </row>
    <row r="9805">
      <c r="E9805">
        <f>IF(DATOS!$I9805="","",IFERROR(VLOOKUP(DATOS!$I9805,CONFIG_ASIGNATURAS!$B$2:$J$61,9,FALSE()),""))</f>
      </c>
    </row>
    <row r="9806">
      <c r="E9806">
        <f>IF(DATOS!$I9806="","",IFERROR(VLOOKUP(DATOS!$I9806,CONFIG_ASIGNATURAS!$B$2:$J$61,9,FALSE()),""))</f>
      </c>
    </row>
    <row r="9807">
      <c r="E9807">
        <f>IF(DATOS!$I9807="","",IFERROR(VLOOKUP(DATOS!$I9807,CONFIG_ASIGNATURAS!$B$2:$J$61,9,FALSE()),""))</f>
      </c>
    </row>
    <row r="9808">
      <c r="E9808">
        <f>IF(DATOS!$I9808="","",IFERROR(VLOOKUP(DATOS!$I9808,CONFIG_ASIGNATURAS!$B$2:$J$61,9,FALSE()),""))</f>
      </c>
    </row>
    <row r="9809">
      <c r="E9809">
        <f>IF(DATOS!$I9809="","",IFERROR(VLOOKUP(DATOS!$I9809,CONFIG_ASIGNATURAS!$B$2:$J$61,9,FALSE()),""))</f>
      </c>
    </row>
    <row r="9810">
      <c r="E9810">
        <f>IF(DATOS!$I9810="","",IFERROR(VLOOKUP(DATOS!$I9810,CONFIG_ASIGNATURAS!$B$2:$J$61,9,FALSE()),""))</f>
      </c>
    </row>
    <row r="9811">
      <c r="E9811">
        <f>IF(DATOS!$I9811="","",IFERROR(VLOOKUP(DATOS!$I9811,CONFIG_ASIGNATURAS!$B$2:$J$61,9,FALSE()),""))</f>
      </c>
    </row>
    <row r="9812">
      <c r="E9812">
        <f>IF(DATOS!$I9812="","",IFERROR(VLOOKUP(DATOS!$I9812,CONFIG_ASIGNATURAS!$B$2:$J$61,9,FALSE()),""))</f>
      </c>
    </row>
    <row r="9813">
      <c r="E9813">
        <f>IF(DATOS!$I9813="","",IFERROR(VLOOKUP(DATOS!$I9813,CONFIG_ASIGNATURAS!$B$2:$J$61,9,FALSE()),""))</f>
      </c>
    </row>
    <row r="9814">
      <c r="E9814">
        <f>IF(DATOS!$I9814="","",IFERROR(VLOOKUP(DATOS!$I9814,CONFIG_ASIGNATURAS!$B$2:$J$61,9,FALSE()),""))</f>
      </c>
    </row>
    <row r="9815">
      <c r="E9815">
        <f>IF(DATOS!$I9815="","",IFERROR(VLOOKUP(DATOS!$I9815,CONFIG_ASIGNATURAS!$B$2:$J$61,9,FALSE()),""))</f>
      </c>
    </row>
    <row r="9816">
      <c r="E9816">
        <f>IF(DATOS!$I9816="","",IFERROR(VLOOKUP(DATOS!$I9816,CONFIG_ASIGNATURAS!$B$2:$J$61,9,FALSE()),""))</f>
      </c>
    </row>
    <row r="9817">
      <c r="E9817">
        <f>IF(DATOS!$I9817="","",IFERROR(VLOOKUP(DATOS!$I9817,CONFIG_ASIGNATURAS!$B$2:$J$61,9,FALSE()),""))</f>
      </c>
    </row>
    <row r="9818">
      <c r="E9818">
        <f>IF(DATOS!$I9818="","",IFERROR(VLOOKUP(DATOS!$I9818,CONFIG_ASIGNATURAS!$B$2:$J$61,9,FALSE()),""))</f>
      </c>
    </row>
    <row r="9819">
      <c r="E9819">
        <f>IF(DATOS!$I9819="","",IFERROR(VLOOKUP(DATOS!$I9819,CONFIG_ASIGNATURAS!$B$2:$J$61,9,FALSE()),""))</f>
      </c>
    </row>
    <row r="9820">
      <c r="E9820">
        <f>IF(DATOS!$I9820="","",IFERROR(VLOOKUP(DATOS!$I9820,CONFIG_ASIGNATURAS!$B$2:$J$61,9,FALSE()),""))</f>
      </c>
    </row>
    <row r="9821">
      <c r="E9821">
        <f>IF(DATOS!$I9821="","",IFERROR(VLOOKUP(DATOS!$I9821,CONFIG_ASIGNATURAS!$B$2:$J$61,9,FALSE()),""))</f>
      </c>
    </row>
    <row r="9822">
      <c r="E9822">
        <f>IF(DATOS!$I9822="","",IFERROR(VLOOKUP(DATOS!$I9822,CONFIG_ASIGNATURAS!$B$2:$J$61,9,FALSE()),""))</f>
      </c>
    </row>
    <row r="9823">
      <c r="E9823">
        <f>IF(DATOS!$I9823="","",IFERROR(VLOOKUP(DATOS!$I9823,CONFIG_ASIGNATURAS!$B$2:$J$61,9,FALSE()),""))</f>
      </c>
    </row>
    <row r="9824">
      <c r="E9824">
        <f>IF(DATOS!$I9824="","",IFERROR(VLOOKUP(DATOS!$I9824,CONFIG_ASIGNATURAS!$B$2:$J$61,9,FALSE()),""))</f>
      </c>
    </row>
    <row r="9825">
      <c r="E9825">
        <f>IF(DATOS!$I9825="","",IFERROR(VLOOKUP(DATOS!$I9825,CONFIG_ASIGNATURAS!$B$2:$J$61,9,FALSE()),""))</f>
      </c>
    </row>
    <row r="9826">
      <c r="E9826">
        <f>IF(DATOS!$I9826="","",IFERROR(VLOOKUP(DATOS!$I9826,CONFIG_ASIGNATURAS!$B$2:$J$61,9,FALSE()),""))</f>
      </c>
    </row>
    <row r="9827">
      <c r="E9827">
        <f>IF(DATOS!$I9827="","",IFERROR(VLOOKUP(DATOS!$I9827,CONFIG_ASIGNATURAS!$B$2:$J$61,9,FALSE()),""))</f>
      </c>
    </row>
    <row r="9828">
      <c r="E9828">
        <f>IF(DATOS!$I9828="","",IFERROR(VLOOKUP(DATOS!$I9828,CONFIG_ASIGNATURAS!$B$2:$J$61,9,FALSE()),""))</f>
      </c>
    </row>
    <row r="9829">
      <c r="E9829">
        <f>IF(DATOS!$I9829="","",IFERROR(VLOOKUP(DATOS!$I9829,CONFIG_ASIGNATURAS!$B$2:$J$61,9,FALSE()),""))</f>
      </c>
    </row>
    <row r="9830">
      <c r="E9830">
        <f>IF(DATOS!$I9830="","",IFERROR(VLOOKUP(DATOS!$I9830,CONFIG_ASIGNATURAS!$B$2:$J$61,9,FALSE()),""))</f>
      </c>
    </row>
    <row r="9831">
      <c r="E9831">
        <f>IF(DATOS!$I9831="","",IFERROR(VLOOKUP(DATOS!$I9831,CONFIG_ASIGNATURAS!$B$2:$J$61,9,FALSE()),""))</f>
      </c>
    </row>
    <row r="9832">
      <c r="E9832">
        <f>IF(DATOS!$I9832="","",IFERROR(VLOOKUP(DATOS!$I9832,CONFIG_ASIGNATURAS!$B$2:$J$61,9,FALSE()),""))</f>
      </c>
    </row>
    <row r="9833">
      <c r="E9833">
        <f>IF(DATOS!$I9833="","",IFERROR(VLOOKUP(DATOS!$I9833,CONFIG_ASIGNATURAS!$B$2:$J$61,9,FALSE()),""))</f>
      </c>
    </row>
    <row r="9834">
      <c r="E9834">
        <f>IF(DATOS!$I9834="","",IFERROR(VLOOKUP(DATOS!$I9834,CONFIG_ASIGNATURAS!$B$2:$J$61,9,FALSE()),""))</f>
      </c>
    </row>
    <row r="9835">
      <c r="E9835">
        <f>IF(DATOS!$I9835="","",IFERROR(VLOOKUP(DATOS!$I9835,CONFIG_ASIGNATURAS!$B$2:$J$61,9,FALSE()),""))</f>
      </c>
    </row>
    <row r="9836">
      <c r="E9836">
        <f>IF(DATOS!$I9836="","",IFERROR(VLOOKUP(DATOS!$I9836,CONFIG_ASIGNATURAS!$B$2:$J$61,9,FALSE()),""))</f>
      </c>
    </row>
    <row r="9837">
      <c r="E9837">
        <f>IF(DATOS!$I9837="","",IFERROR(VLOOKUP(DATOS!$I9837,CONFIG_ASIGNATURAS!$B$2:$J$61,9,FALSE()),""))</f>
      </c>
    </row>
    <row r="9838">
      <c r="E9838">
        <f>IF(DATOS!$I9838="","",IFERROR(VLOOKUP(DATOS!$I9838,CONFIG_ASIGNATURAS!$B$2:$J$61,9,FALSE()),""))</f>
      </c>
    </row>
    <row r="9839">
      <c r="E9839">
        <f>IF(DATOS!$I9839="","",IFERROR(VLOOKUP(DATOS!$I9839,CONFIG_ASIGNATURAS!$B$2:$J$61,9,FALSE()),""))</f>
      </c>
    </row>
    <row r="9840">
      <c r="E9840">
        <f>IF(DATOS!$I9840="","",IFERROR(VLOOKUP(DATOS!$I9840,CONFIG_ASIGNATURAS!$B$2:$J$61,9,FALSE()),""))</f>
      </c>
    </row>
    <row r="9841">
      <c r="E9841">
        <f>IF(DATOS!$I9841="","",IFERROR(VLOOKUP(DATOS!$I9841,CONFIG_ASIGNATURAS!$B$2:$J$61,9,FALSE()),""))</f>
      </c>
    </row>
    <row r="9842">
      <c r="E9842">
        <f>IF(DATOS!$I9842="","",IFERROR(VLOOKUP(DATOS!$I9842,CONFIG_ASIGNATURAS!$B$2:$J$61,9,FALSE()),""))</f>
      </c>
    </row>
    <row r="9843">
      <c r="E9843">
        <f>IF(DATOS!$I9843="","",IFERROR(VLOOKUP(DATOS!$I9843,CONFIG_ASIGNATURAS!$B$2:$J$61,9,FALSE()),""))</f>
      </c>
    </row>
    <row r="9844">
      <c r="E9844">
        <f>IF(DATOS!$I9844="","",IFERROR(VLOOKUP(DATOS!$I9844,CONFIG_ASIGNATURAS!$B$2:$J$61,9,FALSE()),""))</f>
      </c>
    </row>
    <row r="9845">
      <c r="E9845">
        <f>IF(DATOS!$I9845="","",IFERROR(VLOOKUP(DATOS!$I9845,CONFIG_ASIGNATURAS!$B$2:$J$61,9,FALSE()),""))</f>
      </c>
    </row>
    <row r="9846">
      <c r="E9846">
        <f>IF(DATOS!$I9846="","",IFERROR(VLOOKUP(DATOS!$I9846,CONFIG_ASIGNATURAS!$B$2:$J$61,9,FALSE()),""))</f>
      </c>
    </row>
    <row r="9847">
      <c r="E9847">
        <f>IF(DATOS!$I9847="","",IFERROR(VLOOKUP(DATOS!$I9847,CONFIG_ASIGNATURAS!$B$2:$J$61,9,FALSE()),""))</f>
      </c>
    </row>
    <row r="9848">
      <c r="E9848">
        <f>IF(DATOS!$I9848="","",IFERROR(VLOOKUP(DATOS!$I9848,CONFIG_ASIGNATURAS!$B$2:$J$61,9,FALSE()),""))</f>
      </c>
    </row>
    <row r="9849">
      <c r="E9849">
        <f>IF(DATOS!$I9849="","",IFERROR(VLOOKUP(DATOS!$I9849,CONFIG_ASIGNATURAS!$B$2:$J$61,9,FALSE()),""))</f>
      </c>
    </row>
    <row r="9850">
      <c r="E9850">
        <f>IF(DATOS!$I9850="","",IFERROR(VLOOKUP(DATOS!$I9850,CONFIG_ASIGNATURAS!$B$2:$J$61,9,FALSE()),""))</f>
      </c>
    </row>
    <row r="9851">
      <c r="E9851">
        <f>IF(DATOS!$I9851="","",IFERROR(VLOOKUP(DATOS!$I9851,CONFIG_ASIGNATURAS!$B$2:$J$61,9,FALSE()),""))</f>
      </c>
    </row>
    <row r="9852">
      <c r="E9852">
        <f>IF(DATOS!$I9852="","",IFERROR(VLOOKUP(DATOS!$I9852,CONFIG_ASIGNATURAS!$B$2:$J$61,9,FALSE()),""))</f>
      </c>
    </row>
    <row r="9853">
      <c r="E9853">
        <f>IF(DATOS!$I9853="","",IFERROR(VLOOKUP(DATOS!$I9853,CONFIG_ASIGNATURAS!$B$2:$J$61,9,FALSE()),""))</f>
      </c>
    </row>
    <row r="9854">
      <c r="E9854">
        <f>IF(DATOS!$I9854="","",IFERROR(VLOOKUP(DATOS!$I9854,CONFIG_ASIGNATURAS!$B$2:$J$61,9,FALSE()),""))</f>
      </c>
    </row>
    <row r="9855">
      <c r="E9855">
        <f>IF(DATOS!$I9855="","",IFERROR(VLOOKUP(DATOS!$I9855,CONFIG_ASIGNATURAS!$B$2:$J$61,9,FALSE()),""))</f>
      </c>
    </row>
    <row r="9856">
      <c r="E9856">
        <f>IF(DATOS!$I9856="","",IFERROR(VLOOKUP(DATOS!$I9856,CONFIG_ASIGNATURAS!$B$2:$J$61,9,FALSE()),""))</f>
      </c>
    </row>
    <row r="9857">
      <c r="E9857">
        <f>IF(DATOS!$I9857="","",IFERROR(VLOOKUP(DATOS!$I9857,CONFIG_ASIGNATURAS!$B$2:$J$61,9,FALSE()),""))</f>
      </c>
    </row>
    <row r="9858">
      <c r="E9858">
        <f>IF(DATOS!$I9858="","",IFERROR(VLOOKUP(DATOS!$I9858,CONFIG_ASIGNATURAS!$B$2:$J$61,9,FALSE()),""))</f>
      </c>
    </row>
    <row r="9859">
      <c r="E9859">
        <f>IF(DATOS!$I9859="","",IFERROR(VLOOKUP(DATOS!$I9859,CONFIG_ASIGNATURAS!$B$2:$J$61,9,FALSE()),""))</f>
      </c>
    </row>
    <row r="9860">
      <c r="E9860">
        <f>IF(DATOS!$I9860="","",IFERROR(VLOOKUP(DATOS!$I9860,CONFIG_ASIGNATURAS!$B$2:$J$61,9,FALSE()),""))</f>
      </c>
    </row>
    <row r="9861">
      <c r="E9861">
        <f>IF(DATOS!$I9861="","",IFERROR(VLOOKUP(DATOS!$I9861,CONFIG_ASIGNATURAS!$B$2:$J$61,9,FALSE()),""))</f>
      </c>
    </row>
    <row r="9862">
      <c r="E9862">
        <f>IF(DATOS!$I9862="","",IFERROR(VLOOKUP(DATOS!$I9862,CONFIG_ASIGNATURAS!$B$2:$J$61,9,FALSE()),""))</f>
      </c>
    </row>
    <row r="9863">
      <c r="E9863">
        <f>IF(DATOS!$I9863="","",IFERROR(VLOOKUP(DATOS!$I9863,CONFIG_ASIGNATURAS!$B$2:$J$61,9,FALSE()),""))</f>
      </c>
    </row>
    <row r="9864">
      <c r="E9864">
        <f>IF(DATOS!$I9864="","",IFERROR(VLOOKUP(DATOS!$I9864,CONFIG_ASIGNATURAS!$B$2:$J$61,9,FALSE()),""))</f>
      </c>
    </row>
    <row r="9865">
      <c r="E9865">
        <f>IF(DATOS!$I9865="","",IFERROR(VLOOKUP(DATOS!$I9865,CONFIG_ASIGNATURAS!$B$2:$J$61,9,FALSE()),""))</f>
      </c>
    </row>
    <row r="9866">
      <c r="E9866">
        <f>IF(DATOS!$I9866="","",IFERROR(VLOOKUP(DATOS!$I9866,CONFIG_ASIGNATURAS!$B$2:$J$61,9,FALSE()),""))</f>
      </c>
    </row>
    <row r="9867">
      <c r="E9867">
        <f>IF(DATOS!$I9867="","",IFERROR(VLOOKUP(DATOS!$I9867,CONFIG_ASIGNATURAS!$B$2:$J$61,9,FALSE()),""))</f>
      </c>
    </row>
    <row r="9868">
      <c r="E9868">
        <f>IF(DATOS!$I9868="","",IFERROR(VLOOKUP(DATOS!$I9868,CONFIG_ASIGNATURAS!$B$2:$J$61,9,FALSE()),""))</f>
      </c>
    </row>
    <row r="9869">
      <c r="E9869">
        <f>IF(DATOS!$I9869="","",IFERROR(VLOOKUP(DATOS!$I9869,CONFIG_ASIGNATURAS!$B$2:$J$61,9,FALSE()),""))</f>
      </c>
    </row>
    <row r="9870">
      <c r="E9870">
        <f>IF(DATOS!$I9870="","",IFERROR(VLOOKUP(DATOS!$I9870,CONFIG_ASIGNATURAS!$B$2:$J$61,9,FALSE()),""))</f>
      </c>
    </row>
    <row r="9871">
      <c r="E9871">
        <f>IF(DATOS!$I9871="","",IFERROR(VLOOKUP(DATOS!$I9871,CONFIG_ASIGNATURAS!$B$2:$J$61,9,FALSE()),""))</f>
      </c>
    </row>
    <row r="9872">
      <c r="E9872">
        <f>IF(DATOS!$I9872="","",IFERROR(VLOOKUP(DATOS!$I9872,CONFIG_ASIGNATURAS!$B$2:$J$61,9,FALSE()),""))</f>
      </c>
    </row>
    <row r="9873">
      <c r="E9873">
        <f>IF(DATOS!$I9873="","",IFERROR(VLOOKUP(DATOS!$I9873,CONFIG_ASIGNATURAS!$B$2:$J$61,9,FALSE()),""))</f>
      </c>
    </row>
    <row r="9874">
      <c r="E9874">
        <f>IF(DATOS!$I9874="","",IFERROR(VLOOKUP(DATOS!$I9874,CONFIG_ASIGNATURAS!$B$2:$J$61,9,FALSE()),""))</f>
      </c>
    </row>
    <row r="9875">
      <c r="E9875">
        <f>IF(DATOS!$I9875="","",IFERROR(VLOOKUP(DATOS!$I9875,CONFIG_ASIGNATURAS!$B$2:$J$61,9,FALSE()),""))</f>
      </c>
    </row>
    <row r="9876">
      <c r="E9876">
        <f>IF(DATOS!$I9876="","",IFERROR(VLOOKUP(DATOS!$I9876,CONFIG_ASIGNATURAS!$B$2:$J$61,9,FALSE()),""))</f>
      </c>
    </row>
    <row r="9877">
      <c r="E9877">
        <f>IF(DATOS!$I9877="","",IFERROR(VLOOKUP(DATOS!$I9877,CONFIG_ASIGNATURAS!$B$2:$J$61,9,FALSE()),""))</f>
      </c>
    </row>
    <row r="9878">
      <c r="E9878">
        <f>IF(DATOS!$I9878="","",IFERROR(VLOOKUP(DATOS!$I9878,CONFIG_ASIGNATURAS!$B$2:$J$61,9,FALSE()),""))</f>
      </c>
    </row>
    <row r="9879">
      <c r="E9879">
        <f>IF(DATOS!$I9879="","",IFERROR(VLOOKUP(DATOS!$I9879,CONFIG_ASIGNATURAS!$B$2:$J$61,9,FALSE()),""))</f>
      </c>
    </row>
    <row r="9880">
      <c r="E9880">
        <f>IF(DATOS!$I9880="","",IFERROR(VLOOKUP(DATOS!$I9880,CONFIG_ASIGNATURAS!$B$2:$J$61,9,FALSE()),""))</f>
      </c>
    </row>
    <row r="9881">
      <c r="E9881">
        <f>IF(DATOS!$I9881="","",IFERROR(VLOOKUP(DATOS!$I9881,CONFIG_ASIGNATURAS!$B$2:$J$61,9,FALSE()),""))</f>
      </c>
    </row>
    <row r="9882">
      <c r="E9882">
        <f>IF(DATOS!$I9882="","",IFERROR(VLOOKUP(DATOS!$I9882,CONFIG_ASIGNATURAS!$B$2:$J$61,9,FALSE()),""))</f>
      </c>
    </row>
    <row r="9883">
      <c r="E9883">
        <f>IF(DATOS!$I9883="","",IFERROR(VLOOKUP(DATOS!$I9883,CONFIG_ASIGNATURAS!$B$2:$J$61,9,FALSE()),""))</f>
      </c>
    </row>
    <row r="9884">
      <c r="E9884">
        <f>IF(DATOS!$I9884="","",IFERROR(VLOOKUP(DATOS!$I9884,CONFIG_ASIGNATURAS!$B$2:$J$61,9,FALSE()),""))</f>
      </c>
    </row>
    <row r="9885">
      <c r="E9885">
        <f>IF(DATOS!$I9885="","",IFERROR(VLOOKUP(DATOS!$I9885,CONFIG_ASIGNATURAS!$B$2:$J$61,9,FALSE()),""))</f>
      </c>
    </row>
    <row r="9886">
      <c r="E9886">
        <f>IF(DATOS!$I9886="","",IFERROR(VLOOKUP(DATOS!$I9886,CONFIG_ASIGNATURAS!$B$2:$J$61,9,FALSE()),""))</f>
      </c>
    </row>
    <row r="9887">
      <c r="E9887">
        <f>IF(DATOS!$I9887="","",IFERROR(VLOOKUP(DATOS!$I9887,CONFIG_ASIGNATURAS!$B$2:$J$61,9,FALSE()),""))</f>
      </c>
    </row>
    <row r="9888">
      <c r="E9888">
        <f>IF(DATOS!$I9888="","",IFERROR(VLOOKUP(DATOS!$I9888,CONFIG_ASIGNATURAS!$B$2:$J$61,9,FALSE()),""))</f>
      </c>
    </row>
    <row r="9889">
      <c r="E9889">
        <f>IF(DATOS!$I9889="","",IFERROR(VLOOKUP(DATOS!$I9889,CONFIG_ASIGNATURAS!$B$2:$J$61,9,FALSE()),""))</f>
      </c>
    </row>
    <row r="9890">
      <c r="E9890">
        <f>IF(DATOS!$I9890="","",IFERROR(VLOOKUP(DATOS!$I9890,CONFIG_ASIGNATURAS!$B$2:$J$61,9,FALSE()),""))</f>
      </c>
    </row>
    <row r="9891">
      <c r="E9891">
        <f>IF(DATOS!$I9891="","",IFERROR(VLOOKUP(DATOS!$I9891,CONFIG_ASIGNATURAS!$B$2:$J$61,9,FALSE()),""))</f>
      </c>
    </row>
    <row r="9892">
      <c r="E9892">
        <f>IF(DATOS!$I9892="","",IFERROR(VLOOKUP(DATOS!$I9892,CONFIG_ASIGNATURAS!$B$2:$J$61,9,FALSE()),""))</f>
      </c>
    </row>
    <row r="9893">
      <c r="E9893">
        <f>IF(DATOS!$I9893="","",IFERROR(VLOOKUP(DATOS!$I9893,CONFIG_ASIGNATURAS!$B$2:$J$61,9,FALSE()),""))</f>
      </c>
    </row>
    <row r="9894">
      <c r="E9894">
        <f>IF(DATOS!$I9894="","",IFERROR(VLOOKUP(DATOS!$I9894,CONFIG_ASIGNATURAS!$B$2:$J$61,9,FALSE()),""))</f>
      </c>
    </row>
    <row r="9895">
      <c r="E9895">
        <f>IF(DATOS!$I9895="","",IFERROR(VLOOKUP(DATOS!$I9895,CONFIG_ASIGNATURAS!$B$2:$J$61,9,FALSE()),""))</f>
      </c>
    </row>
    <row r="9896">
      <c r="E9896">
        <f>IF(DATOS!$I9896="","",IFERROR(VLOOKUP(DATOS!$I9896,CONFIG_ASIGNATURAS!$B$2:$J$61,9,FALSE()),""))</f>
      </c>
    </row>
    <row r="9897">
      <c r="E9897">
        <f>IF(DATOS!$I9897="","",IFERROR(VLOOKUP(DATOS!$I9897,CONFIG_ASIGNATURAS!$B$2:$J$61,9,FALSE()),""))</f>
      </c>
    </row>
    <row r="9898">
      <c r="E9898">
        <f>IF(DATOS!$I9898="","",IFERROR(VLOOKUP(DATOS!$I9898,CONFIG_ASIGNATURAS!$B$2:$J$61,9,FALSE()),""))</f>
      </c>
    </row>
    <row r="9899">
      <c r="E9899">
        <f>IF(DATOS!$I9899="","",IFERROR(VLOOKUP(DATOS!$I9899,CONFIG_ASIGNATURAS!$B$2:$J$61,9,FALSE()),""))</f>
      </c>
    </row>
    <row r="9900">
      <c r="E9900">
        <f>IF(DATOS!$I9900="","",IFERROR(VLOOKUP(DATOS!$I9900,CONFIG_ASIGNATURAS!$B$2:$J$61,9,FALSE()),""))</f>
      </c>
    </row>
    <row r="9901">
      <c r="E9901">
        <f>IF(DATOS!$I9901="","",IFERROR(VLOOKUP(DATOS!$I9901,CONFIG_ASIGNATURAS!$B$2:$J$61,9,FALSE()),""))</f>
      </c>
    </row>
    <row r="9902">
      <c r="E9902">
        <f>IF(DATOS!$I9902="","",IFERROR(VLOOKUP(DATOS!$I9902,CONFIG_ASIGNATURAS!$B$2:$J$61,9,FALSE()),""))</f>
      </c>
    </row>
    <row r="9903">
      <c r="E9903">
        <f>IF(DATOS!$I9903="","",IFERROR(VLOOKUP(DATOS!$I9903,CONFIG_ASIGNATURAS!$B$2:$J$61,9,FALSE()),""))</f>
      </c>
    </row>
    <row r="9904">
      <c r="E9904">
        <f>IF(DATOS!$I9904="","",IFERROR(VLOOKUP(DATOS!$I9904,CONFIG_ASIGNATURAS!$B$2:$J$61,9,FALSE()),""))</f>
      </c>
    </row>
    <row r="9905">
      <c r="E9905">
        <f>IF(DATOS!$I9905="","",IFERROR(VLOOKUP(DATOS!$I9905,CONFIG_ASIGNATURAS!$B$2:$J$61,9,FALSE()),""))</f>
      </c>
    </row>
    <row r="9906">
      <c r="E9906">
        <f>IF(DATOS!$I9906="","",IFERROR(VLOOKUP(DATOS!$I9906,CONFIG_ASIGNATURAS!$B$2:$J$61,9,FALSE()),""))</f>
      </c>
    </row>
    <row r="9907">
      <c r="E9907">
        <f>IF(DATOS!$I9907="","",IFERROR(VLOOKUP(DATOS!$I9907,CONFIG_ASIGNATURAS!$B$2:$J$61,9,FALSE()),""))</f>
      </c>
    </row>
    <row r="9908">
      <c r="E9908">
        <f>IF(DATOS!$I9908="","",IFERROR(VLOOKUP(DATOS!$I9908,CONFIG_ASIGNATURAS!$B$2:$J$61,9,FALSE()),""))</f>
      </c>
    </row>
    <row r="9909">
      <c r="E9909">
        <f>IF(DATOS!$I9909="","",IFERROR(VLOOKUP(DATOS!$I9909,CONFIG_ASIGNATURAS!$B$2:$J$61,9,FALSE()),""))</f>
      </c>
    </row>
    <row r="9910">
      <c r="E9910">
        <f>IF(DATOS!$I9910="","",IFERROR(VLOOKUP(DATOS!$I9910,CONFIG_ASIGNATURAS!$B$2:$J$61,9,FALSE()),""))</f>
      </c>
    </row>
    <row r="9911">
      <c r="E9911">
        <f>IF(DATOS!$I9911="","",IFERROR(VLOOKUP(DATOS!$I9911,CONFIG_ASIGNATURAS!$B$2:$J$61,9,FALSE()),""))</f>
      </c>
    </row>
    <row r="9912">
      <c r="E9912">
        <f>IF(DATOS!$I9912="","",IFERROR(VLOOKUP(DATOS!$I9912,CONFIG_ASIGNATURAS!$B$2:$J$61,9,FALSE()),""))</f>
      </c>
    </row>
    <row r="9913">
      <c r="E9913">
        <f>IF(DATOS!$I9913="","",IFERROR(VLOOKUP(DATOS!$I9913,CONFIG_ASIGNATURAS!$B$2:$J$61,9,FALSE()),""))</f>
      </c>
    </row>
    <row r="9914">
      <c r="E9914">
        <f>IF(DATOS!$I9914="","",IFERROR(VLOOKUP(DATOS!$I9914,CONFIG_ASIGNATURAS!$B$2:$J$61,9,FALSE()),""))</f>
      </c>
    </row>
    <row r="9915">
      <c r="E9915">
        <f>IF(DATOS!$I9915="","",IFERROR(VLOOKUP(DATOS!$I9915,CONFIG_ASIGNATURAS!$B$2:$J$61,9,FALSE()),""))</f>
      </c>
    </row>
    <row r="9916">
      <c r="E9916">
        <f>IF(DATOS!$I9916="","",IFERROR(VLOOKUP(DATOS!$I9916,CONFIG_ASIGNATURAS!$B$2:$J$61,9,FALSE()),""))</f>
      </c>
    </row>
    <row r="9917">
      <c r="E9917">
        <f>IF(DATOS!$I9917="","",IFERROR(VLOOKUP(DATOS!$I9917,CONFIG_ASIGNATURAS!$B$2:$J$61,9,FALSE()),""))</f>
      </c>
    </row>
    <row r="9918">
      <c r="E9918">
        <f>IF(DATOS!$I9918="","",IFERROR(VLOOKUP(DATOS!$I9918,CONFIG_ASIGNATURAS!$B$2:$J$61,9,FALSE()),""))</f>
      </c>
    </row>
    <row r="9919">
      <c r="E9919">
        <f>IF(DATOS!$I9919="","",IFERROR(VLOOKUP(DATOS!$I9919,CONFIG_ASIGNATURAS!$B$2:$J$61,9,FALSE()),""))</f>
      </c>
    </row>
    <row r="9920">
      <c r="E9920">
        <f>IF(DATOS!$I9920="","",IFERROR(VLOOKUP(DATOS!$I9920,CONFIG_ASIGNATURAS!$B$2:$J$61,9,FALSE()),""))</f>
      </c>
    </row>
    <row r="9921">
      <c r="E9921">
        <f>IF(DATOS!$I9921="","",IFERROR(VLOOKUP(DATOS!$I9921,CONFIG_ASIGNATURAS!$B$2:$J$61,9,FALSE()),""))</f>
      </c>
    </row>
    <row r="9922">
      <c r="E9922">
        <f>IF(DATOS!$I9922="","",IFERROR(VLOOKUP(DATOS!$I9922,CONFIG_ASIGNATURAS!$B$2:$J$61,9,FALSE()),""))</f>
      </c>
    </row>
    <row r="9923">
      <c r="E9923">
        <f>IF(DATOS!$I9923="","",IFERROR(VLOOKUP(DATOS!$I9923,CONFIG_ASIGNATURAS!$B$2:$J$61,9,FALSE()),""))</f>
      </c>
    </row>
    <row r="9924">
      <c r="E9924">
        <f>IF(DATOS!$I9924="","",IFERROR(VLOOKUP(DATOS!$I9924,CONFIG_ASIGNATURAS!$B$2:$J$61,9,FALSE()),""))</f>
      </c>
    </row>
    <row r="9925">
      <c r="E9925">
        <f>IF(DATOS!$I9925="","",IFERROR(VLOOKUP(DATOS!$I9925,CONFIG_ASIGNATURAS!$B$2:$J$61,9,FALSE()),""))</f>
      </c>
    </row>
    <row r="9926">
      <c r="E9926">
        <f>IF(DATOS!$I9926="","",IFERROR(VLOOKUP(DATOS!$I9926,CONFIG_ASIGNATURAS!$B$2:$J$61,9,FALSE()),""))</f>
      </c>
    </row>
    <row r="9927">
      <c r="E9927">
        <f>IF(DATOS!$I9927="","",IFERROR(VLOOKUP(DATOS!$I9927,CONFIG_ASIGNATURAS!$B$2:$J$61,9,FALSE()),""))</f>
      </c>
    </row>
    <row r="9928">
      <c r="E9928">
        <f>IF(DATOS!$I9928="","",IFERROR(VLOOKUP(DATOS!$I9928,CONFIG_ASIGNATURAS!$B$2:$J$61,9,FALSE()),""))</f>
      </c>
    </row>
    <row r="9929">
      <c r="E9929">
        <f>IF(DATOS!$I9929="","",IFERROR(VLOOKUP(DATOS!$I9929,CONFIG_ASIGNATURAS!$B$2:$J$61,9,FALSE()),""))</f>
      </c>
    </row>
    <row r="9930">
      <c r="E9930">
        <f>IF(DATOS!$I9930="","",IFERROR(VLOOKUP(DATOS!$I9930,CONFIG_ASIGNATURAS!$B$2:$J$61,9,FALSE()),""))</f>
      </c>
    </row>
    <row r="9931">
      <c r="E9931">
        <f>IF(DATOS!$I9931="","",IFERROR(VLOOKUP(DATOS!$I9931,CONFIG_ASIGNATURAS!$B$2:$J$61,9,FALSE()),""))</f>
      </c>
    </row>
    <row r="9932">
      <c r="E9932">
        <f>IF(DATOS!$I9932="","",IFERROR(VLOOKUP(DATOS!$I9932,CONFIG_ASIGNATURAS!$B$2:$J$61,9,FALSE()),""))</f>
      </c>
    </row>
    <row r="9933">
      <c r="E9933">
        <f>IF(DATOS!$I9933="","",IFERROR(VLOOKUP(DATOS!$I9933,CONFIG_ASIGNATURAS!$B$2:$J$61,9,FALSE()),""))</f>
      </c>
    </row>
    <row r="9934">
      <c r="E9934">
        <f>IF(DATOS!$I9934="","",IFERROR(VLOOKUP(DATOS!$I9934,CONFIG_ASIGNATURAS!$B$2:$J$61,9,FALSE()),""))</f>
      </c>
    </row>
    <row r="9935">
      <c r="E9935">
        <f>IF(DATOS!$I9935="","",IFERROR(VLOOKUP(DATOS!$I9935,CONFIG_ASIGNATURAS!$B$2:$J$61,9,FALSE()),""))</f>
      </c>
    </row>
    <row r="9936">
      <c r="E9936">
        <f>IF(DATOS!$I9936="","",IFERROR(VLOOKUP(DATOS!$I9936,CONFIG_ASIGNATURAS!$B$2:$J$61,9,FALSE()),""))</f>
      </c>
    </row>
    <row r="9937">
      <c r="E9937">
        <f>IF(DATOS!$I9937="","",IFERROR(VLOOKUP(DATOS!$I9937,CONFIG_ASIGNATURAS!$B$2:$J$61,9,FALSE()),""))</f>
      </c>
    </row>
    <row r="9938">
      <c r="E9938">
        <f>IF(DATOS!$I9938="","",IFERROR(VLOOKUP(DATOS!$I9938,CONFIG_ASIGNATURAS!$B$2:$J$61,9,FALSE()),""))</f>
      </c>
    </row>
    <row r="9939">
      <c r="E9939">
        <f>IF(DATOS!$I9939="","",IFERROR(VLOOKUP(DATOS!$I9939,CONFIG_ASIGNATURAS!$B$2:$J$61,9,FALSE()),""))</f>
      </c>
    </row>
    <row r="9940">
      <c r="E9940">
        <f>IF(DATOS!$I9940="","",IFERROR(VLOOKUP(DATOS!$I9940,CONFIG_ASIGNATURAS!$B$2:$J$61,9,FALSE()),""))</f>
      </c>
    </row>
    <row r="9941">
      <c r="E9941">
        <f>IF(DATOS!$I9941="","",IFERROR(VLOOKUP(DATOS!$I9941,CONFIG_ASIGNATURAS!$B$2:$J$61,9,FALSE()),""))</f>
      </c>
    </row>
    <row r="9942">
      <c r="E9942">
        <f>IF(DATOS!$I9942="","",IFERROR(VLOOKUP(DATOS!$I9942,CONFIG_ASIGNATURAS!$B$2:$J$61,9,FALSE()),""))</f>
      </c>
    </row>
    <row r="9943">
      <c r="E9943">
        <f>IF(DATOS!$I9943="","",IFERROR(VLOOKUP(DATOS!$I9943,CONFIG_ASIGNATURAS!$B$2:$J$61,9,FALSE()),""))</f>
      </c>
    </row>
    <row r="9944">
      <c r="E9944">
        <f>IF(DATOS!$I9944="","",IFERROR(VLOOKUP(DATOS!$I9944,CONFIG_ASIGNATURAS!$B$2:$J$61,9,FALSE()),""))</f>
      </c>
    </row>
    <row r="9945">
      <c r="E9945">
        <f>IF(DATOS!$I9945="","",IFERROR(VLOOKUP(DATOS!$I9945,CONFIG_ASIGNATURAS!$B$2:$J$61,9,FALSE()),""))</f>
      </c>
    </row>
    <row r="9946">
      <c r="E9946">
        <f>IF(DATOS!$I9946="","",IFERROR(VLOOKUP(DATOS!$I9946,CONFIG_ASIGNATURAS!$B$2:$J$61,9,FALSE()),""))</f>
      </c>
    </row>
    <row r="9947">
      <c r="E9947">
        <f>IF(DATOS!$I9947="","",IFERROR(VLOOKUP(DATOS!$I9947,CONFIG_ASIGNATURAS!$B$2:$J$61,9,FALSE()),""))</f>
      </c>
    </row>
    <row r="9948">
      <c r="E9948">
        <f>IF(DATOS!$I9948="","",IFERROR(VLOOKUP(DATOS!$I9948,CONFIG_ASIGNATURAS!$B$2:$J$61,9,FALSE()),""))</f>
      </c>
    </row>
    <row r="9949">
      <c r="E9949">
        <f>IF(DATOS!$I9949="","",IFERROR(VLOOKUP(DATOS!$I9949,CONFIG_ASIGNATURAS!$B$2:$J$61,9,FALSE()),""))</f>
      </c>
    </row>
    <row r="9950">
      <c r="E9950">
        <f>IF(DATOS!$I9950="","",IFERROR(VLOOKUP(DATOS!$I9950,CONFIG_ASIGNATURAS!$B$2:$J$61,9,FALSE()),""))</f>
      </c>
    </row>
    <row r="9951">
      <c r="E9951">
        <f>IF(DATOS!$I9951="","",IFERROR(VLOOKUP(DATOS!$I9951,CONFIG_ASIGNATURAS!$B$2:$J$61,9,FALSE()),""))</f>
      </c>
    </row>
    <row r="9952">
      <c r="E9952">
        <f>IF(DATOS!$I9952="","",IFERROR(VLOOKUP(DATOS!$I9952,CONFIG_ASIGNATURAS!$B$2:$J$61,9,FALSE()),""))</f>
      </c>
    </row>
    <row r="9953">
      <c r="E9953">
        <f>IF(DATOS!$I9953="","",IFERROR(VLOOKUP(DATOS!$I9953,CONFIG_ASIGNATURAS!$B$2:$J$61,9,FALSE()),""))</f>
      </c>
    </row>
    <row r="9954">
      <c r="E9954">
        <f>IF(DATOS!$I9954="","",IFERROR(VLOOKUP(DATOS!$I9954,CONFIG_ASIGNATURAS!$B$2:$J$61,9,FALSE()),""))</f>
      </c>
    </row>
    <row r="9955">
      <c r="E9955">
        <f>IF(DATOS!$I9955="","",IFERROR(VLOOKUP(DATOS!$I9955,CONFIG_ASIGNATURAS!$B$2:$J$61,9,FALSE()),""))</f>
      </c>
    </row>
    <row r="9956">
      <c r="E9956">
        <f>IF(DATOS!$I9956="","",IFERROR(VLOOKUP(DATOS!$I9956,CONFIG_ASIGNATURAS!$B$2:$J$61,9,FALSE()),""))</f>
      </c>
    </row>
    <row r="9957">
      <c r="E9957">
        <f>IF(DATOS!$I9957="","",IFERROR(VLOOKUP(DATOS!$I9957,CONFIG_ASIGNATURAS!$B$2:$J$61,9,FALSE()),""))</f>
      </c>
    </row>
    <row r="9958">
      <c r="E9958">
        <f>IF(DATOS!$I9958="","",IFERROR(VLOOKUP(DATOS!$I9958,CONFIG_ASIGNATURAS!$B$2:$J$61,9,FALSE()),""))</f>
      </c>
    </row>
    <row r="9959">
      <c r="E9959">
        <f>IF(DATOS!$I9959="","",IFERROR(VLOOKUP(DATOS!$I9959,CONFIG_ASIGNATURAS!$B$2:$J$61,9,FALSE()),""))</f>
      </c>
    </row>
    <row r="9960">
      <c r="E9960">
        <f>IF(DATOS!$I9960="","",IFERROR(VLOOKUP(DATOS!$I9960,CONFIG_ASIGNATURAS!$B$2:$J$61,9,FALSE()),""))</f>
      </c>
    </row>
    <row r="9961">
      <c r="E9961">
        <f>IF(DATOS!$I9961="","",IFERROR(VLOOKUP(DATOS!$I9961,CONFIG_ASIGNATURAS!$B$2:$J$61,9,FALSE()),""))</f>
      </c>
    </row>
    <row r="9962">
      <c r="E9962">
        <f>IF(DATOS!$I9962="","",IFERROR(VLOOKUP(DATOS!$I9962,CONFIG_ASIGNATURAS!$B$2:$J$61,9,FALSE()),""))</f>
      </c>
    </row>
    <row r="9963">
      <c r="E9963">
        <f>IF(DATOS!$I9963="","",IFERROR(VLOOKUP(DATOS!$I9963,CONFIG_ASIGNATURAS!$B$2:$J$61,9,FALSE()),""))</f>
      </c>
    </row>
    <row r="9964">
      <c r="E9964">
        <f>IF(DATOS!$I9964="","",IFERROR(VLOOKUP(DATOS!$I9964,CONFIG_ASIGNATURAS!$B$2:$J$61,9,FALSE()),""))</f>
      </c>
    </row>
    <row r="9965">
      <c r="E9965">
        <f>IF(DATOS!$I9965="","",IFERROR(VLOOKUP(DATOS!$I9965,CONFIG_ASIGNATURAS!$B$2:$J$61,9,FALSE()),""))</f>
      </c>
    </row>
    <row r="9966">
      <c r="E9966">
        <f>IF(DATOS!$I9966="","",IFERROR(VLOOKUP(DATOS!$I9966,CONFIG_ASIGNATURAS!$B$2:$J$61,9,FALSE()),""))</f>
      </c>
    </row>
    <row r="9967">
      <c r="E9967">
        <f>IF(DATOS!$I9967="","",IFERROR(VLOOKUP(DATOS!$I9967,CONFIG_ASIGNATURAS!$B$2:$J$61,9,FALSE()),""))</f>
      </c>
    </row>
    <row r="9968">
      <c r="E9968">
        <f>IF(DATOS!$I9968="","",IFERROR(VLOOKUP(DATOS!$I9968,CONFIG_ASIGNATURAS!$B$2:$J$61,9,FALSE()),""))</f>
      </c>
    </row>
    <row r="9969">
      <c r="E9969">
        <f>IF(DATOS!$I9969="","",IFERROR(VLOOKUP(DATOS!$I9969,CONFIG_ASIGNATURAS!$B$2:$J$61,9,FALSE()),""))</f>
      </c>
    </row>
    <row r="9970">
      <c r="E9970">
        <f>IF(DATOS!$I9970="","",IFERROR(VLOOKUP(DATOS!$I9970,CONFIG_ASIGNATURAS!$B$2:$J$61,9,FALSE()),""))</f>
      </c>
    </row>
    <row r="9971">
      <c r="E9971">
        <f>IF(DATOS!$I9971="","",IFERROR(VLOOKUP(DATOS!$I9971,CONFIG_ASIGNATURAS!$B$2:$J$61,9,FALSE()),""))</f>
      </c>
    </row>
    <row r="9972">
      <c r="E9972">
        <f>IF(DATOS!$I9972="","",IFERROR(VLOOKUP(DATOS!$I9972,CONFIG_ASIGNATURAS!$B$2:$J$61,9,FALSE()),""))</f>
      </c>
    </row>
    <row r="9973">
      <c r="E9973">
        <f>IF(DATOS!$I9973="","",IFERROR(VLOOKUP(DATOS!$I9973,CONFIG_ASIGNATURAS!$B$2:$J$61,9,FALSE()),""))</f>
      </c>
    </row>
    <row r="9974">
      <c r="E9974">
        <f>IF(DATOS!$I9974="","",IFERROR(VLOOKUP(DATOS!$I9974,CONFIG_ASIGNATURAS!$B$2:$J$61,9,FALSE()),""))</f>
      </c>
    </row>
    <row r="9975">
      <c r="E9975">
        <f>IF(DATOS!$I9975="","",IFERROR(VLOOKUP(DATOS!$I9975,CONFIG_ASIGNATURAS!$B$2:$J$61,9,FALSE()),""))</f>
      </c>
    </row>
    <row r="9976">
      <c r="E9976">
        <f>IF(DATOS!$I9976="","",IFERROR(VLOOKUP(DATOS!$I9976,CONFIG_ASIGNATURAS!$B$2:$J$61,9,FALSE()),""))</f>
      </c>
    </row>
    <row r="9977">
      <c r="E9977">
        <f>IF(DATOS!$I9977="","",IFERROR(VLOOKUP(DATOS!$I9977,CONFIG_ASIGNATURAS!$B$2:$J$61,9,FALSE()),""))</f>
      </c>
    </row>
    <row r="9978">
      <c r="E9978">
        <f>IF(DATOS!$I9978="","",IFERROR(VLOOKUP(DATOS!$I9978,CONFIG_ASIGNATURAS!$B$2:$J$61,9,FALSE()),""))</f>
      </c>
    </row>
    <row r="9979">
      <c r="E9979">
        <f>IF(DATOS!$I9979="","",IFERROR(VLOOKUP(DATOS!$I9979,CONFIG_ASIGNATURAS!$B$2:$J$61,9,FALSE()),""))</f>
      </c>
    </row>
    <row r="9980">
      <c r="E9980">
        <f>IF(DATOS!$I9980="","",IFERROR(VLOOKUP(DATOS!$I9980,CONFIG_ASIGNATURAS!$B$2:$J$61,9,FALSE()),""))</f>
      </c>
    </row>
    <row r="9981">
      <c r="E9981">
        <f>IF(DATOS!$I9981="","",IFERROR(VLOOKUP(DATOS!$I9981,CONFIG_ASIGNATURAS!$B$2:$J$61,9,FALSE()),""))</f>
      </c>
    </row>
    <row r="9982">
      <c r="E9982">
        <f>IF(DATOS!$I9982="","",IFERROR(VLOOKUP(DATOS!$I9982,CONFIG_ASIGNATURAS!$B$2:$J$61,9,FALSE()),""))</f>
      </c>
    </row>
    <row r="9983">
      <c r="E9983">
        <f>IF(DATOS!$I9983="","",IFERROR(VLOOKUP(DATOS!$I9983,CONFIG_ASIGNATURAS!$B$2:$J$61,9,FALSE()),""))</f>
      </c>
    </row>
    <row r="9984">
      <c r="E9984">
        <f>IF(DATOS!$I9984="","",IFERROR(VLOOKUP(DATOS!$I9984,CONFIG_ASIGNATURAS!$B$2:$J$61,9,FALSE()),""))</f>
      </c>
    </row>
    <row r="9985">
      <c r="E9985">
        <f>IF(DATOS!$I9985="","",IFERROR(VLOOKUP(DATOS!$I9985,CONFIG_ASIGNATURAS!$B$2:$J$61,9,FALSE()),""))</f>
      </c>
    </row>
    <row r="9986">
      <c r="E9986">
        <f>IF(DATOS!$I9986="","",IFERROR(VLOOKUP(DATOS!$I9986,CONFIG_ASIGNATURAS!$B$2:$J$61,9,FALSE()),""))</f>
      </c>
    </row>
    <row r="9987">
      <c r="E9987">
        <f>IF(DATOS!$I9987="","",IFERROR(VLOOKUP(DATOS!$I9987,CONFIG_ASIGNATURAS!$B$2:$J$61,9,FALSE()),""))</f>
      </c>
    </row>
    <row r="9988">
      <c r="E9988">
        <f>IF(DATOS!$I9988="","",IFERROR(VLOOKUP(DATOS!$I9988,CONFIG_ASIGNATURAS!$B$2:$J$61,9,FALSE()),""))</f>
      </c>
    </row>
    <row r="9989">
      <c r="E9989">
        <f>IF(DATOS!$I9989="","",IFERROR(VLOOKUP(DATOS!$I9989,CONFIG_ASIGNATURAS!$B$2:$J$61,9,FALSE()),""))</f>
      </c>
    </row>
    <row r="9990">
      <c r="E9990">
        <f>IF(DATOS!$I9990="","",IFERROR(VLOOKUP(DATOS!$I9990,CONFIG_ASIGNATURAS!$B$2:$J$61,9,FALSE()),""))</f>
      </c>
    </row>
    <row r="9991">
      <c r="E9991">
        <f>IF(DATOS!$I9991="","",IFERROR(VLOOKUP(DATOS!$I9991,CONFIG_ASIGNATURAS!$B$2:$J$61,9,FALSE()),""))</f>
      </c>
    </row>
    <row r="9992">
      <c r="E9992">
        <f>IF(DATOS!$I9992="","",IFERROR(VLOOKUP(DATOS!$I9992,CONFIG_ASIGNATURAS!$B$2:$J$61,9,FALSE()),""))</f>
      </c>
    </row>
    <row r="9993">
      <c r="E9993">
        <f>IF(DATOS!$I9993="","",IFERROR(VLOOKUP(DATOS!$I9993,CONFIG_ASIGNATURAS!$B$2:$J$61,9,FALSE()),""))</f>
      </c>
    </row>
    <row r="9994">
      <c r="E9994">
        <f>IF(DATOS!$I9994="","",IFERROR(VLOOKUP(DATOS!$I9994,CONFIG_ASIGNATURAS!$B$2:$J$61,9,FALSE()),""))</f>
      </c>
    </row>
    <row r="9995">
      <c r="E9995">
        <f>IF(DATOS!$I9995="","",IFERROR(VLOOKUP(DATOS!$I9995,CONFIG_ASIGNATURAS!$B$2:$J$61,9,FALSE()),""))</f>
      </c>
    </row>
    <row r="9996">
      <c r="E9996">
        <f>IF(DATOS!$I9996="","",IFERROR(VLOOKUP(DATOS!$I9996,CONFIG_ASIGNATURAS!$B$2:$J$61,9,FALSE()),""))</f>
      </c>
    </row>
    <row r="9997">
      <c r="E9997">
        <f>IF(DATOS!$I9997="","",IFERROR(VLOOKUP(DATOS!$I9997,CONFIG_ASIGNATURAS!$B$2:$J$61,9,FALSE()),""))</f>
      </c>
    </row>
    <row r="9998">
      <c r="E9998">
        <f>IF(DATOS!$I9998="","",IFERROR(VLOOKUP(DATOS!$I9998,CONFIG_ASIGNATURAS!$B$2:$J$61,9,FALSE()),""))</f>
      </c>
    </row>
    <row r="9999">
      <c r="E9999">
        <f>IF(DATOS!$I9999="","",IFERROR(VLOOKUP(DATOS!$I9999,CONFIG_ASIGNATURAS!$B$2:$J$61,9,FALSE()),""))</f>
      </c>
    </row>
    <row r="10000">
      <c r="E10000">
        <f>IF(DATOS!$I10000="","",IFERROR(VLOOKUP(DATOS!$I10000,CONFIG_ASIGNATURAS!$B$2:$J$61,9,FALSE()),""))</f>
      </c>
    </row>
    <row r="10001">
      <c r="E10001">
        <f>IF(DATOS!$I10001="","",IFERROR(VLOOKUP(DATOS!$I10001,CONFIG_ASIGNATURAS!$B$2:$J$61,9,FALSE()),""))</f>
      </c>
    </row>
    <row r="10002">
      <c r="E10002">
        <f>IF(DATOS!$I10002="","",IFERROR(VLOOKUP(DATOS!$I10002,CONFIG_ASIGNATURAS!$B$2:$J$61,9,FALSE()),""))</f>
      </c>
    </row>
    <row r="10003">
      <c r="E10003">
        <f>IF(DATOS!$I10003="","",IFERROR(VLOOKUP(DATOS!$I10003,CONFIG_ASIGNATURAS!$B$2:$J$61,9,FALSE()),""))</f>
      </c>
    </row>
    <row r="10004">
      <c r="E10004">
        <f>IF(DATOS!$I10004="","",IFERROR(VLOOKUP(DATOS!$I10004,CONFIG_ASIGNATURAS!$B$2:$J$61,9,FALSE()),""))</f>
      </c>
    </row>
    <row r="10005">
      <c r="E10005">
        <f>IF(DATOS!$I10005="","",IFERROR(VLOOKUP(DATOS!$I10005,CONFIG_ASIGNATURAS!$B$2:$J$61,9,FALSE()),""))</f>
      </c>
    </row>
    <row r="10006">
      <c r="E10006">
        <f>IF(DATOS!$I10006="","",IFERROR(VLOOKUP(DATOS!$I10006,CONFIG_ASIGNATURAS!$B$2:$J$61,9,FALSE()),""))</f>
      </c>
    </row>
    <row r="10007">
      <c r="E10007">
        <f>IF(DATOS!$I10007="","",IFERROR(VLOOKUP(DATOS!$I10007,CONFIG_ASIGNATURAS!$B$2:$J$61,9,FALSE()),""))</f>
      </c>
    </row>
    <row r="10008">
      <c r="E10008">
        <f>IF(DATOS!$I10008="","",IFERROR(VLOOKUP(DATOS!$I10008,CONFIG_ASIGNATURAS!$B$2:$J$61,9,FALSE()),""))</f>
      </c>
    </row>
    <row r="10009">
      <c r="E10009">
        <f>IF(DATOS!$I10009="","",IFERROR(VLOOKUP(DATOS!$I10009,CONFIG_ASIGNATURAS!$B$2:$J$61,9,FALSE()),""))</f>
      </c>
    </row>
    <row r="10010">
      <c r="E10010">
        <f>IF(DATOS!$I10010="","",IFERROR(VLOOKUP(DATOS!$I10010,CONFIG_ASIGNATURAS!$B$2:$J$61,9,FALSE()),""))</f>
      </c>
    </row>
    <row r="10011">
      <c r="E10011">
        <f>IF(DATOS!$I10011="","",IFERROR(VLOOKUP(DATOS!$I10011,CONFIG_ASIGNATURAS!$B$2:$J$61,9,FALSE()),""))</f>
      </c>
    </row>
    <row r="10012">
      <c r="E10012">
        <f>IF(DATOS!$I10012="","",IFERROR(VLOOKUP(DATOS!$I10012,CONFIG_ASIGNATURAS!$B$2:$J$61,9,FALSE()),""))</f>
      </c>
    </row>
    <row r="10013">
      <c r="E10013">
        <f>IF(DATOS!$I10013="","",IFERROR(VLOOKUP(DATOS!$I10013,CONFIG_ASIGNATURAS!$B$2:$J$61,9,FALSE()),""))</f>
      </c>
    </row>
    <row r="10014">
      <c r="E10014">
        <f>IF(DATOS!$I10014="","",IFERROR(VLOOKUP(DATOS!$I10014,CONFIG_ASIGNATURAS!$B$2:$J$61,9,FALSE()),""))</f>
      </c>
    </row>
    <row r="10015">
      <c r="E10015">
        <f>IF(DATOS!$I10015="","",IFERROR(VLOOKUP(DATOS!$I10015,CONFIG_ASIGNATURAS!$B$2:$J$61,9,FALSE()),""))</f>
      </c>
    </row>
    <row r="10016">
      <c r="E10016">
        <f>IF(DATOS!$I10016="","",IFERROR(VLOOKUP(DATOS!$I10016,CONFIG_ASIGNATURAS!$B$2:$J$61,9,FALSE()),""))</f>
      </c>
    </row>
    <row r="10017">
      <c r="E10017">
        <f>IF(DATOS!$I10017="","",IFERROR(VLOOKUP(DATOS!$I10017,CONFIG_ASIGNATURAS!$B$2:$J$61,9,FALSE()),""))</f>
      </c>
    </row>
    <row r="10018">
      <c r="E10018">
        <f>IF(DATOS!$I10018="","",IFERROR(VLOOKUP(DATOS!$I10018,CONFIG_ASIGNATURAS!$B$2:$J$61,9,FALSE()),""))</f>
      </c>
    </row>
    <row r="10019">
      <c r="E10019">
        <f>IF(DATOS!$I10019="","",IFERROR(VLOOKUP(DATOS!$I10019,CONFIG_ASIGNATURAS!$B$2:$J$61,9,FALSE()),""))</f>
      </c>
    </row>
    <row r="10020">
      <c r="E10020">
        <f>IF(DATOS!$I10020="","",IFERROR(VLOOKUP(DATOS!$I10020,CONFIG_ASIGNATURAS!$B$2:$J$61,9,FALSE()),""))</f>
      </c>
    </row>
    <row r="10021">
      <c r="E10021">
        <f>IF(DATOS!$I10021="","",IFERROR(VLOOKUP(DATOS!$I10021,CONFIG_ASIGNATURAS!$B$2:$J$61,9,FALSE()),""))</f>
      </c>
    </row>
    <row r="10022">
      <c r="E10022">
        <f>IF(DATOS!$I10022="","",IFERROR(VLOOKUP(DATOS!$I10022,CONFIG_ASIGNATURAS!$B$2:$J$61,9,FALSE()),""))</f>
      </c>
    </row>
    <row r="10023">
      <c r="E10023">
        <f>IF(DATOS!$I10023="","",IFERROR(VLOOKUP(DATOS!$I10023,CONFIG_ASIGNATURAS!$B$2:$J$61,9,FALSE()),""))</f>
      </c>
    </row>
    <row r="10024">
      <c r="E10024">
        <f>IF(DATOS!$I10024="","",IFERROR(VLOOKUP(DATOS!$I10024,CONFIG_ASIGNATURAS!$B$2:$J$61,9,FALSE()),""))</f>
      </c>
    </row>
    <row r="10025">
      <c r="E10025">
        <f>IF(DATOS!$I10025="","",IFERROR(VLOOKUP(DATOS!$I10025,CONFIG_ASIGNATURAS!$B$2:$J$61,9,FALSE()),""))</f>
      </c>
    </row>
    <row r="10026">
      <c r="E10026">
        <f>IF(DATOS!$I10026="","",IFERROR(VLOOKUP(DATOS!$I10026,CONFIG_ASIGNATURAS!$B$2:$J$61,9,FALSE()),""))</f>
      </c>
    </row>
    <row r="10027">
      <c r="E10027">
        <f>IF(DATOS!$I10027="","",IFERROR(VLOOKUP(DATOS!$I10027,CONFIG_ASIGNATURAS!$B$2:$J$61,9,FALSE()),""))</f>
      </c>
    </row>
    <row r="10028">
      <c r="E10028">
        <f>IF(DATOS!$I10028="","",IFERROR(VLOOKUP(DATOS!$I10028,CONFIG_ASIGNATURAS!$B$2:$J$61,9,FALSE()),""))</f>
      </c>
    </row>
    <row r="10029">
      <c r="E10029">
        <f>IF(DATOS!$I10029="","",IFERROR(VLOOKUP(DATOS!$I10029,CONFIG_ASIGNATURAS!$B$2:$J$61,9,FALSE()),""))</f>
      </c>
    </row>
    <row r="10030">
      <c r="E10030">
        <f>IF(DATOS!$I10030="","",IFERROR(VLOOKUP(DATOS!$I10030,CONFIG_ASIGNATURAS!$B$2:$J$61,9,FALSE()),""))</f>
      </c>
    </row>
    <row r="10031">
      <c r="E10031">
        <f>IF(DATOS!$I10031="","",IFERROR(VLOOKUP(DATOS!$I10031,CONFIG_ASIGNATURAS!$B$2:$J$61,9,FALSE()),""))</f>
      </c>
    </row>
    <row r="10032">
      <c r="E10032">
        <f>IF(DATOS!$I10032="","",IFERROR(VLOOKUP(DATOS!$I10032,CONFIG_ASIGNATURAS!$B$2:$J$61,9,FALSE()),""))</f>
      </c>
    </row>
    <row r="10033">
      <c r="E10033">
        <f>IF(DATOS!$I10033="","",IFERROR(VLOOKUP(DATOS!$I10033,CONFIG_ASIGNATURAS!$B$2:$J$61,9,FALSE()),""))</f>
      </c>
    </row>
    <row r="10034">
      <c r="E10034">
        <f>IF(DATOS!$I10034="","",IFERROR(VLOOKUP(DATOS!$I10034,CONFIG_ASIGNATURAS!$B$2:$J$61,9,FALSE()),""))</f>
      </c>
    </row>
    <row r="10035">
      <c r="E10035">
        <f>IF(DATOS!$I10035="","",IFERROR(VLOOKUP(DATOS!$I10035,CONFIG_ASIGNATURAS!$B$2:$J$61,9,FALSE()),""))</f>
      </c>
    </row>
    <row r="10036">
      <c r="E10036">
        <f>IF(DATOS!$I10036="","",IFERROR(VLOOKUP(DATOS!$I10036,CONFIG_ASIGNATURAS!$B$2:$J$61,9,FALSE()),""))</f>
      </c>
    </row>
    <row r="10037">
      <c r="E10037">
        <f>IF(DATOS!$I10037="","",IFERROR(VLOOKUP(DATOS!$I10037,CONFIG_ASIGNATURAS!$B$2:$J$61,9,FALSE()),""))</f>
      </c>
    </row>
    <row r="10038">
      <c r="E10038">
        <f>IF(DATOS!$I10038="","",IFERROR(VLOOKUP(DATOS!$I10038,CONFIG_ASIGNATURAS!$B$2:$J$61,9,FALSE()),""))</f>
      </c>
    </row>
    <row r="10039">
      <c r="E10039">
        <f>IF(DATOS!$I10039="","",IFERROR(VLOOKUP(DATOS!$I10039,CONFIG_ASIGNATURAS!$B$2:$J$61,9,FALSE()),""))</f>
      </c>
    </row>
    <row r="10040">
      <c r="E10040">
        <f>IF(DATOS!$I10040="","",IFERROR(VLOOKUP(DATOS!$I10040,CONFIG_ASIGNATURAS!$B$2:$J$61,9,FALSE()),""))</f>
      </c>
    </row>
    <row r="10041">
      <c r="E10041">
        <f>IF(DATOS!$I10041="","",IFERROR(VLOOKUP(DATOS!$I10041,CONFIG_ASIGNATURAS!$B$2:$J$61,9,FALSE()),""))</f>
      </c>
    </row>
    <row r="10042">
      <c r="E10042">
        <f>IF(DATOS!$I10042="","",IFERROR(VLOOKUP(DATOS!$I10042,CONFIG_ASIGNATURAS!$B$2:$J$61,9,FALSE()),""))</f>
      </c>
    </row>
    <row r="10043">
      <c r="E10043">
        <f>IF(DATOS!$I10043="","",IFERROR(VLOOKUP(DATOS!$I10043,CONFIG_ASIGNATURAS!$B$2:$J$61,9,FALSE()),""))</f>
      </c>
    </row>
    <row r="10044">
      <c r="E10044">
        <f>IF(DATOS!$I10044="","",IFERROR(VLOOKUP(DATOS!$I10044,CONFIG_ASIGNATURAS!$B$2:$J$61,9,FALSE()),""))</f>
      </c>
    </row>
    <row r="10045">
      <c r="E10045">
        <f>IF(DATOS!$I10045="","",IFERROR(VLOOKUP(DATOS!$I10045,CONFIG_ASIGNATURAS!$B$2:$J$61,9,FALSE()),""))</f>
      </c>
    </row>
    <row r="10046">
      <c r="E10046">
        <f>IF(DATOS!$I10046="","",IFERROR(VLOOKUP(DATOS!$I10046,CONFIG_ASIGNATURAS!$B$2:$J$61,9,FALSE()),""))</f>
      </c>
    </row>
    <row r="10047">
      <c r="E10047">
        <f>IF(DATOS!$I10047="","",IFERROR(VLOOKUP(DATOS!$I10047,CONFIG_ASIGNATURAS!$B$2:$J$61,9,FALSE()),""))</f>
      </c>
    </row>
    <row r="10048">
      <c r="E10048">
        <f>IF(DATOS!$I10048="","",IFERROR(VLOOKUP(DATOS!$I10048,CONFIG_ASIGNATURAS!$B$2:$J$61,9,FALSE()),""))</f>
      </c>
    </row>
    <row r="10049">
      <c r="E10049">
        <f>IF(DATOS!$I10049="","",IFERROR(VLOOKUP(DATOS!$I10049,CONFIG_ASIGNATURAS!$B$2:$J$61,9,FALSE()),""))</f>
      </c>
    </row>
    <row r="10050">
      <c r="E10050">
        <f>IF(DATOS!$I10050="","",IFERROR(VLOOKUP(DATOS!$I10050,CONFIG_ASIGNATURAS!$B$2:$J$61,9,FALSE()),""))</f>
      </c>
    </row>
    <row r="10051">
      <c r="E10051">
        <f>IF(DATOS!$I10051="","",IFERROR(VLOOKUP(DATOS!$I10051,CONFIG_ASIGNATURAS!$B$2:$J$61,9,FALSE()),""))</f>
      </c>
    </row>
    <row r="10052">
      <c r="E10052">
        <f>IF(DATOS!$I10052="","",IFERROR(VLOOKUP(DATOS!$I10052,CONFIG_ASIGNATURAS!$B$2:$J$61,9,FALSE()),""))</f>
      </c>
    </row>
    <row r="10053">
      <c r="E10053">
        <f>IF(DATOS!$I10053="","",IFERROR(VLOOKUP(DATOS!$I10053,CONFIG_ASIGNATURAS!$B$2:$J$61,9,FALSE()),""))</f>
      </c>
    </row>
    <row r="10054">
      <c r="E10054">
        <f>IF(DATOS!$I10054="","",IFERROR(VLOOKUP(DATOS!$I10054,CONFIG_ASIGNATURAS!$B$2:$J$61,9,FALSE()),""))</f>
      </c>
    </row>
    <row r="10055">
      <c r="E10055">
        <f>IF(DATOS!$I10055="","",IFERROR(VLOOKUP(DATOS!$I10055,CONFIG_ASIGNATURAS!$B$2:$J$61,9,FALSE()),""))</f>
      </c>
    </row>
    <row r="10056">
      <c r="E10056">
        <f>IF(DATOS!$I10056="","",IFERROR(VLOOKUP(DATOS!$I10056,CONFIG_ASIGNATURAS!$B$2:$J$61,9,FALSE()),""))</f>
      </c>
    </row>
    <row r="10057">
      <c r="E10057">
        <f>IF(DATOS!$I10057="","",IFERROR(VLOOKUP(DATOS!$I10057,CONFIG_ASIGNATURAS!$B$2:$J$61,9,FALSE()),""))</f>
      </c>
    </row>
    <row r="10058">
      <c r="E10058">
        <f>IF(DATOS!$I10058="","",IFERROR(VLOOKUP(DATOS!$I10058,CONFIG_ASIGNATURAS!$B$2:$J$61,9,FALSE()),""))</f>
      </c>
    </row>
    <row r="10059">
      <c r="E10059">
        <f>IF(DATOS!$I10059="","",IFERROR(VLOOKUP(DATOS!$I10059,CONFIG_ASIGNATURAS!$B$2:$J$61,9,FALSE()),""))</f>
      </c>
    </row>
    <row r="10060">
      <c r="E10060">
        <f>IF(DATOS!$I10060="","",IFERROR(VLOOKUP(DATOS!$I10060,CONFIG_ASIGNATURAS!$B$2:$J$61,9,FALSE()),""))</f>
      </c>
    </row>
    <row r="10061">
      <c r="E10061">
        <f>IF(DATOS!$I10061="","",IFERROR(VLOOKUP(DATOS!$I10061,CONFIG_ASIGNATURAS!$B$2:$J$61,9,FALSE()),""))</f>
      </c>
    </row>
    <row r="10062">
      <c r="E10062">
        <f>IF(DATOS!$I10062="","",IFERROR(VLOOKUP(DATOS!$I10062,CONFIG_ASIGNATURAS!$B$2:$J$61,9,FALSE()),""))</f>
      </c>
    </row>
    <row r="10063">
      <c r="E10063">
        <f>IF(DATOS!$I10063="","",IFERROR(VLOOKUP(DATOS!$I10063,CONFIG_ASIGNATURAS!$B$2:$J$61,9,FALSE()),""))</f>
      </c>
    </row>
    <row r="10064">
      <c r="E10064">
        <f>IF(DATOS!$I10064="","",IFERROR(VLOOKUP(DATOS!$I10064,CONFIG_ASIGNATURAS!$B$2:$J$61,9,FALSE()),""))</f>
      </c>
    </row>
    <row r="10065">
      <c r="E10065">
        <f>IF(DATOS!$I10065="","",IFERROR(VLOOKUP(DATOS!$I10065,CONFIG_ASIGNATURAS!$B$2:$J$61,9,FALSE()),""))</f>
      </c>
    </row>
    <row r="10066">
      <c r="E10066">
        <f>IF(DATOS!$I10066="","",IFERROR(VLOOKUP(DATOS!$I10066,CONFIG_ASIGNATURAS!$B$2:$J$61,9,FALSE()),""))</f>
      </c>
    </row>
    <row r="10067">
      <c r="E10067">
        <f>IF(DATOS!$I10067="","",IFERROR(VLOOKUP(DATOS!$I10067,CONFIG_ASIGNATURAS!$B$2:$J$61,9,FALSE()),""))</f>
      </c>
    </row>
    <row r="10068">
      <c r="E10068">
        <f>IF(DATOS!$I10068="","",IFERROR(VLOOKUP(DATOS!$I10068,CONFIG_ASIGNATURAS!$B$2:$J$61,9,FALSE()),""))</f>
      </c>
    </row>
    <row r="10069">
      <c r="E10069">
        <f>IF(DATOS!$I10069="","",IFERROR(VLOOKUP(DATOS!$I10069,CONFIG_ASIGNATURAS!$B$2:$J$61,9,FALSE()),""))</f>
      </c>
    </row>
    <row r="10070">
      <c r="E10070">
        <f>IF(DATOS!$I10070="","",IFERROR(VLOOKUP(DATOS!$I10070,CONFIG_ASIGNATURAS!$B$2:$J$61,9,FALSE()),""))</f>
      </c>
    </row>
    <row r="10071">
      <c r="E10071">
        <f>IF(DATOS!$I10071="","",IFERROR(VLOOKUP(DATOS!$I10071,CONFIG_ASIGNATURAS!$B$2:$J$61,9,FALSE()),""))</f>
      </c>
    </row>
    <row r="10072">
      <c r="E10072">
        <f>IF(DATOS!$I10072="","",IFERROR(VLOOKUP(DATOS!$I10072,CONFIG_ASIGNATURAS!$B$2:$J$61,9,FALSE()),""))</f>
      </c>
    </row>
    <row r="10073">
      <c r="E10073">
        <f>IF(DATOS!$I10073="","",IFERROR(VLOOKUP(DATOS!$I10073,CONFIG_ASIGNATURAS!$B$2:$J$61,9,FALSE()),""))</f>
      </c>
    </row>
    <row r="10074">
      <c r="E10074">
        <f>IF(DATOS!$I10074="","",IFERROR(VLOOKUP(DATOS!$I10074,CONFIG_ASIGNATURAS!$B$2:$J$61,9,FALSE()),""))</f>
      </c>
    </row>
    <row r="10075">
      <c r="E10075">
        <f>IF(DATOS!$I10075="","",IFERROR(VLOOKUP(DATOS!$I10075,CONFIG_ASIGNATURAS!$B$2:$J$61,9,FALSE()),""))</f>
      </c>
    </row>
    <row r="10076">
      <c r="E10076">
        <f>IF(DATOS!$I10076="","",IFERROR(VLOOKUP(DATOS!$I10076,CONFIG_ASIGNATURAS!$B$2:$J$61,9,FALSE()),""))</f>
      </c>
    </row>
    <row r="10077">
      <c r="E10077">
        <f>IF(DATOS!$I10077="","",IFERROR(VLOOKUP(DATOS!$I10077,CONFIG_ASIGNATURAS!$B$2:$J$61,9,FALSE()),""))</f>
      </c>
    </row>
    <row r="10078">
      <c r="E10078">
        <f>IF(DATOS!$I10078="","",IFERROR(VLOOKUP(DATOS!$I10078,CONFIG_ASIGNATURAS!$B$2:$J$61,9,FALSE()),""))</f>
      </c>
    </row>
    <row r="10079">
      <c r="E10079">
        <f>IF(DATOS!$I10079="","",IFERROR(VLOOKUP(DATOS!$I10079,CONFIG_ASIGNATURAS!$B$2:$J$61,9,FALSE()),""))</f>
      </c>
    </row>
    <row r="10080">
      <c r="E10080">
        <f>IF(DATOS!$I10080="","",IFERROR(VLOOKUP(DATOS!$I10080,CONFIG_ASIGNATURAS!$B$2:$J$61,9,FALSE()),""))</f>
      </c>
    </row>
    <row r="10081">
      <c r="E10081">
        <f>IF(DATOS!$I10081="","",IFERROR(VLOOKUP(DATOS!$I10081,CONFIG_ASIGNATURAS!$B$2:$J$61,9,FALSE()),""))</f>
      </c>
    </row>
    <row r="10082">
      <c r="E10082">
        <f>IF(DATOS!$I10082="","",IFERROR(VLOOKUP(DATOS!$I10082,CONFIG_ASIGNATURAS!$B$2:$J$61,9,FALSE()),""))</f>
      </c>
    </row>
    <row r="10083">
      <c r="E10083">
        <f>IF(DATOS!$I10083="","",IFERROR(VLOOKUP(DATOS!$I10083,CONFIG_ASIGNATURAS!$B$2:$J$61,9,FALSE()),""))</f>
      </c>
    </row>
    <row r="10084">
      <c r="E10084">
        <f>IF(DATOS!$I10084="","",IFERROR(VLOOKUP(DATOS!$I10084,CONFIG_ASIGNATURAS!$B$2:$J$61,9,FALSE()),""))</f>
      </c>
    </row>
    <row r="10085">
      <c r="E10085">
        <f>IF(DATOS!$I10085="","",IFERROR(VLOOKUP(DATOS!$I10085,CONFIG_ASIGNATURAS!$B$2:$J$61,9,FALSE()),""))</f>
      </c>
    </row>
    <row r="10086">
      <c r="E10086">
        <f>IF(DATOS!$I10086="","",IFERROR(VLOOKUP(DATOS!$I10086,CONFIG_ASIGNATURAS!$B$2:$J$61,9,FALSE()),""))</f>
      </c>
    </row>
    <row r="10087">
      <c r="E10087">
        <f>IF(DATOS!$I10087="","",IFERROR(VLOOKUP(DATOS!$I10087,CONFIG_ASIGNATURAS!$B$2:$J$61,9,FALSE()),""))</f>
      </c>
    </row>
    <row r="10088">
      <c r="E10088">
        <f>IF(DATOS!$I10088="","",IFERROR(VLOOKUP(DATOS!$I10088,CONFIG_ASIGNATURAS!$B$2:$J$61,9,FALSE()),""))</f>
      </c>
    </row>
    <row r="10089">
      <c r="E10089">
        <f>IF(DATOS!$I10089="","",IFERROR(VLOOKUP(DATOS!$I10089,CONFIG_ASIGNATURAS!$B$2:$J$61,9,FALSE()),""))</f>
      </c>
    </row>
    <row r="10090">
      <c r="E10090">
        <f>IF(DATOS!$I10090="","",IFERROR(VLOOKUP(DATOS!$I10090,CONFIG_ASIGNATURAS!$B$2:$J$61,9,FALSE()),""))</f>
      </c>
    </row>
    <row r="10091">
      <c r="E10091">
        <f>IF(DATOS!$I10091="","",IFERROR(VLOOKUP(DATOS!$I10091,CONFIG_ASIGNATURAS!$B$2:$J$61,9,FALSE()),""))</f>
      </c>
    </row>
    <row r="10092">
      <c r="E10092">
        <f>IF(DATOS!$I10092="","",IFERROR(VLOOKUP(DATOS!$I10092,CONFIG_ASIGNATURAS!$B$2:$J$61,9,FALSE()),""))</f>
      </c>
    </row>
    <row r="10093">
      <c r="E10093">
        <f>IF(DATOS!$I10093="","",IFERROR(VLOOKUP(DATOS!$I10093,CONFIG_ASIGNATURAS!$B$2:$J$61,9,FALSE()),""))</f>
      </c>
    </row>
    <row r="10094">
      <c r="E10094">
        <f>IF(DATOS!$I10094="","",IFERROR(VLOOKUP(DATOS!$I10094,CONFIG_ASIGNATURAS!$B$2:$J$61,9,FALSE()),""))</f>
      </c>
    </row>
    <row r="10095">
      <c r="E10095">
        <f>IF(DATOS!$I10095="","",IFERROR(VLOOKUP(DATOS!$I10095,CONFIG_ASIGNATURAS!$B$2:$J$61,9,FALSE()),""))</f>
      </c>
    </row>
    <row r="10096">
      <c r="E10096">
        <f>IF(DATOS!$I10096="","",IFERROR(VLOOKUP(DATOS!$I10096,CONFIG_ASIGNATURAS!$B$2:$J$61,9,FALSE()),""))</f>
      </c>
    </row>
    <row r="10097">
      <c r="E10097">
        <f>IF(DATOS!$I10097="","",IFERROR(VLOOKUP(DATOS!$I10097,CONFIG_ASIGNATURAS!$B$2:$J$61,9,FALSE()),""))</f>
      </c>
    </row>
    <row r="10098">
      <c r="E10098">
        <f>IF(DATOS!$I10098="","",IFERROR(VLOOKUP(DATOS!$I10098,CONFIG_ASIGNATURAS!$B$2:$J$61,9,FALSE()),""))</f>
      </c>
    </row>
    <row r="10099">
      <c r="E10099">
        <f>IF(DATOS!$I10099="","",IFERROR(VLOOKUP(DATOS!$I10099,CONFIG_ASIGNATURAS!$B$2:$J$61,9,FALSE()),""))</f>
      </c>
    </row>
    <row r="10100">
      <c r="E10100">
        <f>IF(DATOS!$I10100="","",IFERROR(VLOOKUP(DATOS!$I10100,CONFIG_ASIGNATURAS!$B$2:$J$61,9,FALSE()),""))</f>
      </c>
    </row>
    <row r="10101">
      <c r="E10101">
        <f>IF(DATOS!$I10101="","",IFERROR(VLOOKUP(DATOS!$I10101,CONFIG_ASIGNATURAS!$B$2:$J$61,9,FALSE()),""))</f>
      </c>
    </row>
    <row r="10102">
      <c r="E10102">
        <f>IF(DATOS!$I10102="","",IFERROR(VLOOKUP(DATOS!$I10102,CONFIG_ASIGNATURAS!$B$2:$J$61,9,FALSE()),""))</f>
      </c>
    </row>
    <row r="10103">
      <c r="E10103">
        <f>IF(DATOS!$I10103="","",IFERROR(VLOOKUP(DATOS!$I10103,CONFIG_ASIGNATURAS!$B$2:$J$61,9,FALSE()),""))</f>
      </c>
    </row>
    <row r="10104">
      <c r="E10104">
        <f>IF(DATOS!$I10104="","",IFERROR(VLOOKUP(DATOS!$I10104,CONFIG_ASIGNATURAS!$B$2:$J$61,9,FALSE()),""))</f>
      </c>
    </row>
    <row r="10105">
      <c r="E10105">
        <f>IF(DATOS!$I10105="","",IFERROR(VLOOKUP(DATOS!$I10105,CONFIG_ASIGNATURAS!$B$2:$J$61,9,FALSE()),""))</f>
      </c>
    </row>
    <row r="10106">
      <c r="E10106">
        <f>IF(DATOS!$I10106="","",IFERROR(VLOOKUP(DATOS!$I10106,CONFIG_ASIGNATURAS!$B$2:$J$61,9,FALSE()),""))</f>
      </c>
    </row>
    <row r="10107">
      <c r="E10107">
        <f>IF(DATOS!$I10107="","",IFERROR(VLOOKUP(DATOS!$I10107,CONFIG_ASIGNATURAS!$B$2:$J$61,9,FALSE()),""))</f>
      </c>
    </row>
    <row r="10108">
      <c r="E10108">
        <f>IF(DATOS!$I10108="","",IFERROR(VLOOKUP(DATOS!$I10108,CONFIG_ASIGNATURAS!$B$2:$J$61,9,FALSE()),""))</f>
      </c>
    </row>
    <row r="10109">
      <c r="E10109">
        <f>IF(DATOS!$I10109="","",IFERROR(VLOOKUP(DATOS!$I10109,CONFIG_ASIGNATURAS!$B$2:$J$61,9,FALSE()),""))</f>
      </c>
    </row>
    <row r="10110">
      <c r="E10110">
        <f>IF(DATOS!$I10110="","",IFERROR(VLOOKUP(DATOS!$I10110,CONFIG_ASIGNATURAS!$B$2:$J$61,9,FALSE()),""))</f>
      </c>
    </row>
    <row r="10111">
      <c r="E10111">
        <f>IF(DATOS!$I10111="","",IFERROR(VLOOKUP(DATOS!$I10111,CONFIG_ASIGNATURAS!$B$2:$J$61,9,FALSE()),""))</f>
      </c>
    </row>
    <row r="10112">
      <c r="E10112">
        <f>IF(DATOS!$I10112="","",IFERROR(VLOOKUP(DATOS!$I10112,CONFIG_ASIGNATURAS!$B$2:$J$61,9,FALSE()),""))</f>
      </c>
    </row>
    <row r="10113">
      <c r="E10113">
        <f>IF(DATOS!$I10113="","",IFERROR(VLOOKUP(DATOS!$I10113,CONFIG_ASIGNATURAS!$B$2:$J$61,9,FALSE()),""))</f>
      </c>
    </row>
    <row r="10114">
      <c r="E10114">
        <f>IF(DATOS!$I10114="","",IFERROR(VLOOKUP(DATOS!$I10114,CONFIG_ASIGNATURAS!$B$2:$J$61,9,FALSE()),""))</f>
      </c>
    </row>
    <row r="10115">
      <c r="E10115">
        <f>IF(DATOS!$I10115="","",IFERROR(VLOOKUP(DATOS!$I10115,CONFIG_ASIGNATURAS!$B$2:$J$61,9,FALSE()),""))</f>
      </c>
    </row>
    <row r="10116">
      <c r="E10116">
        <f>IF(DATOS!$I10116="","",IFERROR(VLOOKUP(DATOS!$I10116,CONFIG_ASIGNATURAS!$B$2:$J$61,9,FALSE()),""))</f>
      </c>
    </row>
    <row r="10117">
      <c r="E10117">
        <f>IF(DATOS!$I10117="","",IFERROR(VLOOKUP(DATOS!$I10117,CONFIG_ASIGNATURAS!$B$2:$J$61,9,FALSE()),""))</f>
      </c>
    </row>
    <row r="10118">
      <c r="E10118">
        <f>IF(DATOS!$I10118="","",IFERROR(VLOOKUP(DATOS!$I10118,CONFIG_ASIGNATURAS!$B$2:$J$61,9,FALSE()),""))</f>
      </c>
    </row>
    <row r="10119">
      <c r="E10119">
        <f>IF(DATOS!$I10119="","",IFERROR(VLOOKUP(DATOS!$I10119,CONFIG_ASIGNATURAS!$B$2:$J$61,9,FALSE()),""))</f>
      </c>
    </row>
    <row r="10120">
      <c r="E10120">
        <f>IF(DATOS!$I10120="","",IFERROR(VLOOKUP(DATOS!$I10120,CONFIG_ASIGNATURAS!$B$2:$J$61,9,FALSE()),""))</f>
      </c>
    </row>
    <row r="10121">
      <c r="E10121">
        <f>IF(DATOS!$I10121="","",IFERROR(VLOOKUP(DATOS!$I10121,CONFIG_ASIGNATURAS!$B$2:$J$61,9,FALSE()),""))</f>
      </c>
    </row>
    <row r="10122">
      <c r="E10122">
        <f>IF(DATOS!$I10122="","",IFERROR(VLOOKUP(DATOS!$I10122,CONFIG_ASIGNATURAS!$B$2:$J$61,9,FALSE()),""))</f>
      </c>
    </row>
    <row r="10123">
      <c r="E10123">
        <f>IF(DATOS!$I10123="","",IFERROR(VLOOKUP(DATOS!$I10123,CONFIG_ASIGNATURAS!$B$2:$J$61,9,FALSE()),""))</f>
      </c>
    </row>
    <row r="10124">
      <c r="E10124">
        <f>IF(DATOS!$I10124="","",IFERROR(VLOOKUP(DATOS!$I10124,CONFIG_ASIGNATURAS!$B$2:$J$61,9,FALSE()),""))</f>
      </c>
    </row>
    <row r="10125">
      <c r="E10125">
        <f>IF(DATOS!$I10125="","",IFERROR(VLOOKUP(DATOS!$I10125,CONFIG_ASIGNATURAS!$B$2:$J$61,9,FALSE()),""))</f>
      </c>
    </row>
    <row r="10126">
      <c r="E10126">
        <f>IF(DATOS!$I10126="","",IFERROR(VLOOKUP(DATOS!$I10126,CONFIG_ASIGNATURAS!$B$2:$J$61,9,FALSE()),""))</f>
      </c>
    </row>
    <row r="10127">
      <c r="E10127">
        <f>IF(DATOS!$I10127="","",IFERROR(VLOOKUP(DATOS!$I10127,CONFIG_ASIGNATURAS!$B$2:$J$61,9,FALSE()),""))</f>
      </c>
    </row>
    <row r="10128">
      <c r="E10128">
        <f>IF(DATOS!$I10128="","",IFERROR(VLOOKUP(DATOS!$I10128,CONFIG_ASIGNATURAS!$B$2:$J$61,9,FALSE()),""))</f>
      </c>
    </row>
    <row r="10129">
      <c r="E10129">
        <f>IF(DATOS!$I10129="","",IFERROR(VLOOKUP(DATOS!$I10129,CONFIG_ASIGNATURAS!$B$2:$J$61,9,FALSE()),""))</f>
      </c>
    </row>
    <row r="10130">
      <c r="E10130">
        <f>IF(DATOS!$I10130="","",IFERROR(VLOOKUP(DATOS!$I10130,CONFIG_ASIGNATURAS!$B$2:$J$61,9,FALSE()),""))</f>
      </c>
    </row>
    <row r="10131">
      <c r="E10131">
        <f>IF(DATOS!$I10131="","",IFERROR(VLOOKUP(DATOS!$I10131,CONFIG_ASIGNATURAS!$B$2:$J$61,9,FALSE()),""))</f>
      </c>
    </row>
    <row r="10132">
      <c r="E10132">
        <f>IF(DATOS!$I10132="","",IFERROR(VLOOKUP(DATOS!$I10132,CONFIG_ASIGNATURAS!$B$2:$J$61,9,FALSE()),""))</f>
      </c>
    </row>
    <row r="10133">
      <c r="E10133">
        <f>IF(DATOS!$I10133="","",IFERROR(VLOOKUP(DATOS!$I10133,CONFIG_ASIGNATURAS!$B$2:$J$61,9,FALSE()),""))</f>
      </c>
    </row>
    <row r="10134">
      <c r="E10134">
        <f>IF(DATOS!$I10134="","",IFERROR(VLOOKUP(DATOS!$I10134,CONFIG_ASIGNATURAS!$B$2:$J$61,9,FALSE()),""))</f>
      </c>
    </row>
    <row r="10135">
      <c r="E10135">
        <f>IF(DATOS!$I10135="","",IFERROR(VLOOKUP(DATOS!$I10135,CONFIG_ASIGNATURAS!$B$2:$J$61,9,FALSE()),""))</f>
      </c>
    </row>
    <row r="10136">
      <c r="E10136">
        <f>IF(DATOS!$I10136="","",IFERROR(VLOOKUP(DATOS!$I10136,CONFIG_ASIGNATURAS!$B$2:$J$61,9,FALSE()),""))</f>
      </c>
    </row>
    <row r="10137">
      <c r="E10137">
        <f>IF(DATOS!$I10137="","",IFERROR(VLOOKUP(DATOS!$I10137,CONFIG_ASIGNATURAS!$B$2:$J$61,9,FALSE()),""))</f>
      </c>
    </row>
    <row r="10138">
      <c r="E10138">
        <f>IF(DATOS!$I10138="","",IFERROR(VLOOKUP(DATOS!$I10138,CONFIG_ASIGNATURAS!$B$2:$J$61,9,FALSE()),""))</f>
      </c>
    </row>
    <row r="10139">
      <c r="E10139">
        <f>IF(DATOS!$I10139="","",IFERROR(VLOOKUP(DATOS!$I10139,CONFIG_ASIGNATURAS!$B$2:$J$61,9,FALSE()),""))</f>
      </c>
    </row>
    <row r="10140">
      <c r="E10140">
        <f>IF(DATOS!$I10140="","",IFERROR(VLOOKUP(DATOS!$I10140,CONFIG_ASIGNATURAS!$B$2:$J$61,9,FALSE()),""))</f>
      </c>
    </row>
    <row r="10141">
      <c r="E10141">
        <f>IF(DATOS!$I10141="","",IFERROR(VLOOKUP(DATOS!$I10141,CONFIG_ASIGNATURAS!$B$2:$J$61,9,FALSE()),""))</f>
      </c>
    </row>
    <row r="10142">
      <c r="E10142">
        <f>IF(DATOS!$I10142="","",IFERROR(VLOOKUP(DATOS!$I10142,CONFIG_ASIGNATURAS!$B$2:$J$61,9,FALSE()),""))</f>
      </c>
    </row>
    <row r="10143">
      <c r="E10143">
        <f>IF(DATOS!$I10143="","",IFERROR(VLOOKUP(DATOS!$I10143,CONFIG_ASIGNATURAS!$B$2:$J$61,9,FALSE()),""))</f>
      </c>
    </row>
    <row r="10144">
      <c r="E10144">
        <f>IF(DATOS!$I10144="","",IFERROR(VLOOKUP(DATOS!$I10144,CONFIG_ASIGNATURAS!$B$2:$J$61,9,FALSE()),""))</f>
      </c>
    </row>
    <row r="10145">
      <c r="E10145">
        <f>IF(DATOS!$I10145="","",IFERROR(VLOOKUP(DATOS!$I10145,CONFIG_ASIGNATURAS!$B$2:$J$61,9,FALSE()),""))</f>
      </c>
    </row>
    <row r="10146">
      <c r="E10146">
        <f>IF(DATOS!$I10146="","",IFERROR(VLOOKUP(DATOS!$I10146,CONFIG_ASIGNATURAS!$B$2:$J$61,9,FALSE()),""))</f>
      </c>
    </row>
    <row r="10147">
      <c r="E10147">
        <f>IF(DATOS!$I10147="","",IFERROR(VLOOKUP(DATOS!$I10147,CONFIG_ASIGNATURAS!$B$2:$J$61,9,FALSE()),""))</f>
      </c>
    </row>
    <row r="10148">
      <c r="E10148">
        <f>IF(DATOS!$I10148="","",IFERROR(VLOOKUP(DATOS!$I10148,CONFIG_ASIGNATURAS!$B$2:$J$61,9,FALSE()),""))</f>
      </c>
    </row>
    <row r="10149">
      <c r="E10149">
        <f>IF(DATOS!$I10149="","",IFERROR(VLOOKUP(DATOS!$I10149,CONFIG_ASIGNATURAS!$B$2:$J$61,9,FALSE()),""))</f>
      </c>
    </row>
    <row r="10150">
      <c r="E10150">
        <f>IF(DATOS!$I10150="","",IFERROR(VLOOKUP(DATOS!$I10150,CONFIG_ASIGNATURAS!$B$2:$J$61,9,FALSE()),""))</f>
      </c>
    </row>
    <row r="10151">
      <c r="E10151">
        <f>IF(DATOS!$I10151="","",IFERROR(VLOOKUP(DATOS!$I10151,CONFIG_ASIGNATURAS!$B$2:$J$61,9,FALSE()),""))</f>
      </c>
    </row>
    <row r="10152">
      <c r="E10152">
        <f>IF(DATOS!$I10152="","",IFERROR(VLOOKUP(DATOS!$I10152,CONFIG_ASIGNATURAS!$B$2:$J$61,9,FALSE()),""))</f>
      </c>
    </row>
    <row r="10153">
      <c r="E10153">
        <f>IF(DATOS!$I10153="","",IFERROR(VLOOKUP(DATOS!$I10153,CONFIG_ASIGNATURAS!$B$2:$J$61,9,FALSE()),""))</f>
      </c>
    </row>
    <row r="10154">
      <c r="E10154">
        <f>IF(DATOS!$I10154="","",IFERROR(VLOOKUP(DATOS!$I10154,CONFIG_ASIGNATURAS!$B$2:$J$61,9,FALSE()),""))</f>
      </c>
    </row>
    <row r="10155">
      <c r="E10155">
        <f>IF(DATOS!$I10155="","",IFERROR(VLOOKUP(DATOS!$I10155,CONFIG_ASIGNATURAS!$B$2:$J$61,9,FALSE()),""))</f>
      </c>
    </row>
    <row r="10156">
      <c r="E10156">
        <f>IF(DATOS!$I10156="","",IFERROR(VLOOKUP(DATOS!$I10156,CONFIG_ASIGNATURAS!$B$2:$J$61,9,FALSE()),""))</f>
      </c>
    </row>
    <row r="10157">
      <c r="E10157">
        <f>IF(DATOS!$I10157="","",IFERROR(VLOOKUP(DATOS!$I10157,CONFIG_ASIGNATURAS!$B$2:$J$61,9,FALSE()),""))</f>
      </c>
    </row>
    <row r="10158">
      <c r="E10158">
        <f>IF(DATOS!$I10158="","",IFERROR(VLOOKUP(DATOS!$I10158,CONFIG_ASIGNATURAS!$B$2:$J$61,9,FALSE()),""))</f>
      </c>
    </row>
    <row r="10159">
      <c r="E10159">
        <f>IF(DATOS!$I10159="","",IFERROR(VLOOKUP(DATOS!$I10159,CONFIG_ASIGNATURAS!$B$2:$J$61,9,FALSE()),""))</f>
      </c>
    </row>
    <row r="10160">
      <c r="E10160">
        <f>IF(DATOS!$I10160="","",IFERROR(VLOOKUP(DATOS!$I10160,CONFIG_ASIGNATURAS!$B$2:$J$61,9,FALSE()),""))</f>
      </c>
    </row>
    <row r="10161">
      <c r="E10161">
        <f>IF(DATOS!$I10161="","",IFERROR(VLOOKUP(DATOS!$I10161,CONFIG_ASIGNATURAS!$B$2:$J$61,9,FALSE()),""))</f>
      </c>
    </row>
    <row r="10162">
      <c r="E10162">
        <f>IF(DATOS!$I10162="","",IFERROR(VLOOKUP(DATOS!$I10162,CONFIG_ASIGNATURAS!$B$2:$J$61,9,FALSE()),""))</f>
      </c>
    </row>
    <row r="10163">
      <c r="E10163">
        <f>IF(DATOS!$I10163="","",IFERROR(VLOOKUP(DATOS!$I10163,CONFIG_ASIGNATURAS!$B$2:$J$61,9,FALSE()),""))</f>
      </c>
    </row>
    <row r="10164">
      <c r="E10164">
        <f>IF(DATOS!$I10164="","",IFERROR(VLOOKUP(DATOS!$I10164,CONFIG_ASIGNATURAS!$B$2:$J$61,9,FALSE()),""))</f>
      </c>
    </row>
    <row r="10165">
      <c r="E10165">
        <f>IF(DATOS!$I10165="","",IFERROR(VLOOKUP(DATOS!$I10165,CONFIG_ASIGNATURAS!$B$2:$J$61,9,FALSE()),""))</f>
      </c>
    </row>
    <row r="10166">
      <c r="E10166">
        <f>IF(DATOS!$I10166="","",IFERROR(VLOOKUP(DATOS!$I10166,CONFIG_ASIGNATURAS!$B$2:$J$61,9,FALSE()),""))</f>
      </c>
    </row>
    <row r="10167">
      <c r="E10167">
        <f>IF(DATOS!$I10167="","",IFERROR(VLOOKUP(DATOS!$I10167,CONFIG_ASIGNATURAS!$B$2:$J$61,9,FALSE()),""))</f>
      </c>
    </row>
    <row r="10168">
      <c r="E10168">
        <f>IF(DATOS!$I10168="","",IFERROR(VLOOKUP(DATOS!$I10168,CONFIG_ASIGNATURAS!$B$2:$J$61,9,FALSE()),""))</f>
      </c>
    </row>
    <row r="10169">
      <c r="E10169">
        <f>IF(DATOS!$I10169="","",IFERROR(VLOOKUP(DATOS!$I10169,CONFIG_ASIGNATURAS!$B$2:$J$61,9,FALSE()),""))</f>
      </c>
    </row>
    <row r="10170">
      <c r="E10170">
        <f>IF(DATOS!$I10170="","",IFERROR(VLOOKUP(DATOS!$I10170,CONFIG_ASIGNATURAS!$B$2:$J$61,9,FALSE()),""))</f>
      </c>
    </row>
    <row r="10171">
      <c r="E10171">
        <f>IF(DATOS!$I10171="","",IFERROR(VLOOKUP(DATOS!$I10171,CONFIG_ASIGNATURAS!$B$2:$J$61,9,FALSE()),""))</f>
      </c>
    </row>
    <row r="10172">
      <c r="E10172">
        <f>IF(DATOS!$I10172="","",IFERROR(VLOOKUP(DATOS!$I10172,CONFIG_ASIGNATURAS!$B$2:$J$61,9,FALSE()),""))</f>
      </c>
    </row>
    <row r="10173">
      <c r="E10173">
        <f>IF(DATOS!$I10173="","",IFERROR(VLOOKUP(DATOS!$I10173,CONFIG_ASIGNATURAS!$B$2:$J$61,9,FALSE()),""))</f>
      </c>
    </row>
    <row r="10174">
      <c r="E10174">
        <f>IF(DATOS!$I10174="","",IFERROR(VLOOKUP(DATOS!$I10174,CONFIG_ASIGNATURAS!$B$2:$J$61,9,FALSE()),""))</f>
      </c>
    </row>
    <row r="10175">
      <c r="E10175">
        <f>IF(DATOS!$I10175="","",IFERROR(VLOOKUP(DATOS!$I10175,CONFIG_ASIGNATURAS!$B$2:$J$61,9,FALSE()),""))</f>
      </c>
    </row>
    <row r="10176">
      <c r="E10176">
        <f>IF(DATOS!$I10176="","",IFERROR(VLOOKUP(DATOS!$I10176,CONFIG_ASIGNATURAS!$B$2:$J$61,9,FALSE()),""))</f>
      </c>
    </row>
    <row r="10177">
      <c r="E10177">
        <f>IF(DATOS!$I10177="","",IFERROR(VLOOKUP(DATOS!$I10177,CONFIG_ASIGNATURAS!$B$2:$J$61,9,FALSE()),""))</f>
      </c>
    </row>
    <row r="10178">
      <c r="E10178">
        <f>IF(DATOS!$I10178="","",IFERROR(VLOOKUP(DATOS!$I10178,CONFIG_ASIGNATURAS!$B$2:$J$61,9,FALSE()),""))</f>
      </c>
    </row>
    <row r="10179">
      <c r="E10179">
        <f>IF(DATOS!$I10179="","",IFERROR(VLOOKUP(DATOS!$I10179,CONFIG_ASIGNATURAS!$B$2:$J$61,9,FALSE()),""))</f>
      </c>
    </row>
    <row r="10180">
      <c r="E10180">
        <f>IF(DATOS!$I10180="","",IFERROR(VLOOKUP(DATOS!$I10180,CONFIG_ASIGNATURAS!$B$2:$J$61,9,FALSE()),""))</f>
      </c>
    </row>
    <row r="10181">
      <c r="E10181">
        <f>IF(DATOS!$I10181="","",IFERROR(VLOOKUP(DATOS!$I10181,CONFIG_ASIGNATURAS!$B$2:$J$61,9,FALSE()),""))</f>
      </c>
    </row>
    <row r="10182">
      <c r="E10182">
        <f>IF(DATOS!$I10182="","",IFERROR(VLOOKUP(DATOS!$I10182,CONFIG_ASIGNATURAS!$B$2:$J$61,9,FALSE()),""))</f>
      </c>
    </row>
    <row r="10183">
      <c r="E10183">
        <f>IF(DATOS!$I10183="","",IFERROR(VLOOKUP(DATOS!$I10183,CONFIG_ASIGNATURAS!$B$2:$J$61,9,FALSE()),""))</f>
      </c>
    </row>
    <row r="10184">
      <c r="E10184">
        <f>IF(DATOS!$I10184="","",IFERROR(VLOOKUP(DATOS!$I10184,CONFIG_ASIGNATURAS!$B$2:$J$61,9,FALSE()),""))</f>
      </c>
    </row>
    <row r="10185">
      <c r="E10185">
        <f>IF(DATOS!$I10185="","",IFERROR(VLOOKUP(DATOS!$I10185,CONFIG_ASIGNATURAS!$B$2:$J$61,9,FALSE()),""))</f>
      </c>
    </row>
    <row r="10186">
      <c r="E10186">
        <f>IF(DATOS!$I10186="","",IFERROR(VLOOKUP(DATOS!$I10186,CONFIG_ASIGNATURAS!$B$2:$J$61,9,FALSE()),""))</f>
      </c>
    </row>
    <row r="10187">
      <c r="E10187">
        <f>IF(DATOS!$I10187="","",IFERROR(VLOOKUP(DATOS!$I10187,CONFIG_ASIGNATURAS!$B$2:$J$61,9,FALSE()),""))</f>
      </c>
    </row>
    <row r="10188">
      <c r="E10188">
        <f>IF(DATOS!$I10188="","",IFERROR(VLOOKUP(DATOS!$I10188,CONFIG_ASIGNATURAS!$B$2:$J$61,9,FALSE()),""))</f>
      </c>
    </row>
    <row r="10189">
      <c r="E10189">
        <f>IF(DATOS!$I10189="","",IFERROR(VLOOKUP(DATOS!$I10189,CONFIG_ASIGNATURAS!$B$2:$J$61,9,FALSE()),""))</f>
      </c>
    </row>
    <row r="10190">
      <c r="E10190">
        <f>IF(DATOS!$I10190="","",IFERROR(VLOOKUP(DATOS!$I10190,CONFIG_ASIGNATURAS!$B$2:$J$61,9,FALSE()),""))</f>
      </c>
    </row>
    <row r="10191">
      <c r="E10191">
        <f>IF(DATOS!$I10191="","",IFERROR(VLOOKUP(DATOS!$I10191,CONFIG_ASIGNATURAS!$B$2:$J$61,9,FALSE()),""))</f>
      </c>
    </row>
    <row r="10192">
      <c r="E10192">
        <f>IF(DATOS!$I10192="","",IFERROR(VLOOKUP(DATOS!$I10192,CONFIG_ASIGNATURAS!$B$2:$J$61,9,FALSE()),""))</f>
      </c>
    </row>
    <row r="10193">
      <c r="E10193">
        <f>IF(DATOS!$I10193="","",IFERROR(VLOOKUP(DATOS!$I10193,CONFIG_ASIGNATURAS!$B$2:$J$61,9,FALSE()),""))</f>
      </c>
    </row>
    <row r="10194">
      <c r="E10194">
        <f>IF(DATOS!$I10194="","",IFERROR(VLOOKUP(DATOS!$I10194,CONFIG_ASIGNATURAS!$B$2:$J$61,9,FALSE()),""))</f>
      </c>
    </row>
    <row r="10195">
      <c r="E10195">
        <f>IF(DATOS!$I10195="","",IFERROR(VLOOKUP(DATOS!$I10195,CONFIG_ASIGNATURAS!$B$2:$J$61,9,FALSE()),""))</f>
      </c>
    </row>
    <row r="10196">
      <c r="E10196">
        <f>IF(DATOS!$I10196="","",IFERROR(VLOOKUP(DATOS!$I10196,CONFIG_ASIGNATURAS!$B$2:$J$61,9,FALSE()),""))</f>
      </c>
    </row>
    <row r="10197">
      <c r="E10197">
        <f>IF(DATOS!$I10197="","",IFERROR(VLOOKUP(DATOS!$I10197,CONFIG_ASIGNATURAS!$B$2:$J$61,9,FALSE()),""))</f>
      </c>
    </row>
    <row r="10198">
      <c r="E10198">
        <f>IF(DATOS!$I10198="","",IFERROR(VLOOKUP(DATOS!$I10198,CONFIG_ASIGNATURAS!$B$2:$J$61,9,FALSE()),""))</f>
      </c>
    </row>
    <row r="10199">
      <c r="E10199">
        <f>IF(DATOS!$I10199="","",IFERROR(VLOOKUP(DATOS!$I10199,CONFIG_ASIGNATURAS!$B$2:$J$61,9,FALSE()),""))</f>
      </c>
    </row>
    <row r="10200">
      <c r="E10200">
        <f>IF(DATOS!$I10200="","",IFERROR(VLOOKUP(DATOS!$I10200,CONFIG_ASIGNATURAS!$B$2:$J$61,9,FALSE()),""))</f>
      </c>
    </row>
    <row r="10201">
      <c r="E10201">
        <f>IF(DATOS!$I10201="","",IFERROR(VLOOKUP(DATOS!$I10201,CONFIG_ASIGNATURAS!$B$2:$J$61,9,FALSE()),""))</f>
      </c>
    </row>
    <row r="10202">
      <c r="E10202">
        <f>IF(DATOS!$I10202="","",IFERROR(VLOOKUP(DATOS!$I10202,CONFIG_ASIGNATURAS!$B$2:$J$61,9,FALSE()),""))</f>
      </c>
    </row>
    <row r="10203">
      <c r="E10203">
        <f>IF(DATOS!$I10203="","",IFERROR(VLOOKUP(DATOS!$I10203,CONFIG_ASIGNATURAS!$B$2:$J$61,9,FALSE()),""))</f>
      </c>
    </row>
    <row r="10204">
      <c r="E10204">
        <f>IF(DATOS!$I10204="","",IFERROR(VLOOKUP(DATOS!$I10204,CONFIG_ASIGNATURAS!$B$2:$J$61,9,FALSE()),""))</f>
      </c>
    </row>
    <row r="10205">
      <c r="E10205">
        <f>IF(DATOS!$I10205="","",IFERROR(VLOOKUP(DATOS!$I10205,CONFIG_ASIGNATURAS!$B$2:$J$61,9,FALSE()),""))</f>
      </c>
    </row>
    <row r="10206">
      <c r="E10206">
        <f>IF(DATOS!$I10206="","",IFERROR(VLOOKUP(DATOS!$I10206,CONFIG_ASIGNATURAS!$B$2:$J$61,9,FALSE()),""))</f>
      </c>
    </row>
    <row r="10207">
      <c r="E10207">
        <f>IF(DATOS!$I10207="","",IFERROR(VLOOKUP(DATOS!$I10207,CONFIG_ASIGNATURAS!$B$2:$J$61,9,FALSE()),""))</f>
      </c>
    </row>
    <row r="10208">
      <c r="E10208">
        <f>IF(DATOS!$I10208="","",IFERROR(VLOOKUP(DATOS!$I10208,CONFIG_ASIGNATURAS!$B$2:$J$61,9,FALSE()),""))</f>
      </c>
    </row>
    <row r="10209">
      <c r="E10209">
        <f>IF(DATOS!$I10209="","",IFERROR(VLOOKUP(DATOS!$I10209,CONFIG_ASIGNATURAS!$B$2:$J$61,9,FALSE()),""))</f>
      </c>
    </row>
    <row r="10210">
      <c r="E10210">
        <f>IF(DATOS!$I10210="","",IFERROR(VLOOKUP(DATOS!$I10210,CONFIG_ASIGNATURAS!$B$2:$J$61,9,FALSE()),""))</f>
      </c>
    </row>
    <row r="10211">
      <c r="E10211">
        <f>IF(DATOS!$I10211="","",IFERROR(VLOOKUP(DATOS!$I10211,CONFIG_ASIGNATURAS!$B$2:$J$61,9,FALSE()),""))</f>
      </c>
    </row>
    <row r="10212">
      <c r="E10212">
        <f>IF(DATOS!$I10212="","",IFERROR(VLOOKUP(DATOS!$I10212,CONFIG_ASIGNATURAS!$B$2:$J$61,9,FALSE()),""))</f>
      </c>
    </row>
    <row r="10213">
      <c r="E10213">
        <f>IF(DATOS!$I10213="","",IFERROR(VLOOKUP(DATOS!$I10213,CONFIG_ASIGNATURAS!$B$2:$J$61,9,FALSE()),""))</f>
      </c>
    </row>
    <row r="10214">
      <c r="E10214">
        <f>IF(DATOS!$I10214="","",IFERROR(VLOOKUP(DATOS!$I10214,CONFIG_ASIGNATURAS!$B$2:$J$61,9,FALSE()),""))</f>
      </c>
    </row>
    <row r="10215">
      <c r="E10215">
        <f>IF(DATOS!$I10215="","",IFERROR(VLOOKUP(DATOS!$I10215,CONFIG_ASIGNATURAS!$B$2:$J$61,9,FALSE()),""))</f>
      </c>
    </row>
    <row r="10216">
      <c r="E10216">
        <f>IF(DATOS!$I10216="","",IFERROR(VLOOKUP(DATOS!$I10216,CONFIG_ASIGNATURAS!$B$2:$J$61,9,FALSE()),""))</f>
      </c>
    </row>
    <row r="10217">
      <c r="E10217">
        <f>IF(DATOS!$I10217="","",IFERROR(VLOOKUP(DATOS!$I10217,CONFIG_ASIGNATURAS!$B$2:$J$61,9,FALSE()),""))</f>
      </c>
    </row>
    <row r="10218">
      <c r="E10218">
        <f>IF(DATOS!$I10218="","",IFERROR(VLOOKUP(DATOS!$I10218,CONFIG_ASIGNATURAS!$B$2:$J$61,9,FALSE()),""))</f>
      </c>
    </row>
    <row r="10219">
      <c r="E10219">
        <f>IF(DATOS!$I10219="","",IFERROR(VLOOKUP(DATOS!$I10219,CONFIG_ASIGNATURAS!$B$2:$J$61,9,FALSE()),""))</f>
      </c>
    </row>
    <row r="10220">
      <c r="E10220">
        <f>IF(DATOS!$I10220="","",IFERROR(VLOOKUP(DATOS!$I10220,CONFIG_ASIGNATURAS!$B$2:$J$61,9,FALSE()),""))</f>
      </c>
    </row>
    <row r="10221">
      <c r="E10221">
        <f>IF(DATOS!$I10221="","",IFERROR(VLOOKUP(DATOS!$I10221,CONFIG_ASIGNATURAS!$B$2:$J$61,9,FALSE()),""))</f>
      </c>
    </row>
    <row r="10222">
      <c r="E10222">
        <f>IF(DATOS!$I10222="","",IFERROR(VLOOKUP(DATOS!$I10222,CONFIG_ASIGNATURAS!$B$2:$J$61,9,FALSE()),""))</f>
      </c>
    </row>
    <row r="10223">
      <c r="E10223">
        <f>IF(DATOS!$I10223="","",IFERROR(VLOOKUP(DATOS!$I10223,CONFIG_ASIGNATURAS!$B$2:$J$61,9,FALSE()),""))</f>
      </c>
    </row>
    <row r="10224">
      <c r="E10224">
        <f>IF(DATOS!$I10224="","",IFERROR(VLOOKUP(DATOS!$I10224,CONFIG_ASIGNATURAS!$B$2:$J$61,9,FALSE()),""))</f>
      </c>
    </row>
    <row r="10225">
      <c r="E10225">
        <f>IF(DATOS!$I10225="","",IFERROR(VLOOKUP(DATOS!$I10225,CONFIG_ASIGNATURAS!$B$2:$J$61,9,FALSE()),""))</f>
      </c>
    </row>
    <row r="10226">
      <c r="E10226">
        <f>IF(DATOS!$I10226="","",IFERROR(VLOOKUP(DATOS!$I10226,CONFIG_ASIGNATURAS!$B$2:$J$61,9,FALSE()),""))</f>
      </c>
    </row>
    <row r="10227">
      <c r="E10227">
        <f>IF(DATOS!$I10227="","",IFERROR(VLOOKUP(DATOS!$I10227,CONFIG_ASIGNATURAS!$B$2:$J$61,9,FALSE()),""))</f>
      </c>
    </row>
    <row r="10228">
      <c r="E10228">
        <f>IF(DATOS!$I10228="","",IFERROR(VLOOKUP(DATOS!$I10228,CONFIG_ASIGNATURAS!$B$2:$J$61,9,FALSE()),""))</f>
      </c>
    </row>
    <row r="10229">
      <c r="E10229">
        <f>IF(DATOS!$I10229="","",IFERROR(VLOOKUP(DATOS!$I10229,CONFIG_ASIGNATURAS!$B$2:$J$61,9,FALSE()),""))</f>
      </c>
    </row>
    <row r="10230">
      <c r="E10230">
        <f>IF(DATOS!$I10230="","",IFERROR(VLOOKUP(DATOS!$I10230,CONFIG_ASIGNATURAS!$B$2:$J$61,9,FALSE()),""))</f>
      </c>
    </row>
    <row r="10231">
      <c r="E10231">
        <f>IF(DATOS!$I10231="","",IFERROR(VLOOKUP(DATOS!$I10231,CONFIG_ASIGNATURAS!$B$2:$J$61,9,FALSE()),""))</f>
      </c>
    </row>
    <row r="10232">
      <c r="E10232">
        <f>IF(DATOS!$I10232="","",IFERROR(VLOOKUP(DATOS!$I10232,CONFIG_ASIGNATURAS!$B$2:$J$61,9,FALSE()),""))</f>
      </c>
    </row>
    <row r="10233">
      <c r="E10233">
        <f>IF(DATOS!$I10233="","",IFERROR(VLOOKUP(DATOS!$I10233,CONFIG_ASIGNATURAS!$B$2:$J$61,9,FALSE()),""))</f>
      </c>
    </row>
    <row r="10234">
      <c r="E10234">
        <f>IF(DATOS!$I10234="","",IFERROR(VLOOKUP(DATOS!$I10234,CONFIG_ASIGNATURAS!$B$2:$J$61,9,FALSE()),""))</f>
      </c>
    </row>
    <row r="10235">
      <c r="E10235">
        <f>IF(DATOS!$I10235="","",IFERROR(VLOOKUP(DATOS!$I10235,CONFIG_ASIGNATURAS!$B$2:$J$61,9,FALSE()),""))</f>
      </c>
    </row>
    <row r="10236">
      <c r="E10236">
        <f>IF(DATOS!$I10236="","",IFERROR(VLOOKUP(DATOS!$I10236,CONFIG_ASIGNATURAS!$B$2:$J$61,9,FALSE()),""))</f>
      </c>
    </row>
    <row r="10237">
      <c r="E10237">
        <f>IF(DATOS!$I10237="","",IFERROR(VLOOKUP(DATOS!$I10237,CONFIG_ASIGNATURAS!$B$2:$J$61,9,FALSE()),""))</f>
      </c>
    </row>
    <row r="10238">
      <c r="E10238">
        <f>IF(DATOS!$I10238="","",IFERROR(VLOOKUP(DATOS!$I10238,CONFIG_ASIGNATURAS!$B$2:$J$61,9,FALSE()),""))</f>
      </c>
    </row>
    <row r="10239">
      <c r="E10239">
        <f>IF(DATOS!$I10239="","",IFERROR(VLOOKUP(DATOS!$I10239,CONFIG_ASIGNATURAS!$B$2:$J$61,9,FALSE()),""))</f>
      </c>
    </row>
    <row r="10240">
      <c r="E10240">
        <f>IF(DATOS!$I10240="","",IFERROR(VLOOKUP(DATOS!$I10240,CONFIG_ASIGNATURAS!$B$2:$J$61,9,FALSE()),""))</f>
      </c>
    </row>
    <row r="10241">
      <c r="E10241">
        <f>IF(DATOS!$I10241="","",IFERROR(VLOOKUP(DATOS!$I10241,CONFIG_ASIGNATURAS!$B$2:$J$61,9,FALSE()),""))</f>
      </c>
    </row>
    <row r="10242">
      <c r="E10242">
        <f>IF(DATOS!$I10242="","",IFERROR(VLOOKUP(DATOS!$I10242,CONFIG_ASIGNATURAS!$B$2:$J$61,9,FALSE()),""))</f>
      </c>
    </row>
    <row r="10243">
      <c r="E10243">
        <f>IF(DATOS!$I10243="","",IFERROR(VLOOKUP(DATOS!$I10243,CONFIG_ASIGNATURAS!$B$2:$J$61,9,FALSE()),""))</f>
      </c>
    </row>
    <row r="10244">
      <c r="E10244">
        <f>IF(DATOS!$I10244="","",IFERROR(VLOOKUP(DATOS!$I10244,CONFIG_ASIGNATURAS!$B$2:$J$61,9,FALSE()),""))</f>
      </c>
    </row>
    <row r="10245">
      <c r="E10245">
        <f>IF(DATOS!$I10245="","",IFERROR(VLOOKUP(DATOS!$I10245,CONFIG_ASIGNATURAS!$B$2:$J$61,9,FALSE()),""))</f>
      </c>
    </row>
    <row r="10246">
      <c r="E10246">
        <f>IF(DATOS!$I10246="","",IFERROR(VLOOKUP(DATOS!$I10246,CONFIG_ASIGNATURAS!$B$2:$J$61,9,FALSE()),""))</f>
      </c>
    </row>
    <row r="10247">
      <c r="E10247">
        <f>IF(DATOS!$I10247="","",IFERROR(VLOOKUP(DATOS!$I10247,CONFIG_ASIGNATURAS!$B$2:$J$61,9,FALSE()),""))</f>
      </c>
    </row>
    <row r="10248">
      <c r="E10248">
        <f>IF(DATOS!$I10248="","",IFERROR(VLOOKUP(DATOS!$I10248,CONFIG_ASIGNATURAS!$B$2:$J$61,9,FALSE()),""))</f>
      </c>
    </row>
    <row r="10249">
      <c r="E10249">
        <f>IF(DATOS!$I10249="","",IFERROR(VLOOKUP(DATOS!$I10249,CONFIG_ASIGNATURAS!$B$2:$J$61,9,FALSE()),""))</f>
      </c>
    </row>
    <row r="10250">
      <c r="E10250">
        <f>IF(DATOS!$I10250="","",IFERROR(VLOOKUP(DATOS!$I10250,CONFIG_ASIGNATURAS!$B$2:$J$61,9,FALSE()),""))</f>
      </c>
    </row>
    <row r="10251">
      <c r="E10251">
        <f>IF(DATOS!$I10251="","",IFERROR(VLOOKUP(DATOS!$I10251,CONFIG_ASIGNATURAS!$B$2:$J$61,9,FALSE()),""))</f>
      </c>
    </row>
    <row r="10252">
      <c r="E10252">
        <f>IF(DATOS!$I10252="","",IFERROR(VLOOKUP(DATOS!$I10252,CONFIG_ASIGNATURAS!$B$2:$J$61,9,FALSE()),""))</f>
      </c>
    </row>
    <row r="10253">
      <c r="E10253">
        <f>IF(DATOS!$I10253="","",IFERROR(VLOOKUP(DATOS!$I10253,CONFIG_ASIGNATURAS!$B$2:$J$61,9,FALSE()),""))</f>
      </c>
    </row>
    <row r="10254">
      <c r="E10254">
        <f>IF(DATOS!$I10254="","",IFERROR(VLOOKUP(DATOS!$I10254,CONFIG_ASIGNATURAS!$B$2:$J$61,9,FALSE()),""))</f>
      </c>
    </row>
    <row r="10255">
      <c r="E10255">
        <f>IF(DATOS!$I10255="","",IFERROR(VLOOKUP(DATOS!$I10255,CONFIG_ASIGNATURAS!$B$2:$J$61,9,FALSE()),""))</f>
      </c>
    </row>
    <row r="10256">
      <c r="E10256">
        <f>IF(DATOS!$I10256="","",IFERROR(VLOOKUP(DATOS!$I10256,CONFIG_ASIGNATURAS!$B$2:$J$61,9,FALSE()),""))</f>
      </c>
    </row>
    <row r="10257">
      <c r="E10257">
        <f>IF(DATOS!$I10257="","",IFERROR(VLOOKUP(DATOS!$I10257,CONFIG_ASIGNATURAS!$B$2:$J$61,9,FALSE()),""))</f>
      </c>
    </row>
    <row r="10258">
      <c r="E10258">
        <f>IF(DATOS!$I10258="","",IFERROR(VLOOKUP(DATOS!$I10258,CONFIG_ASIGNATURAS!$B$2:$J$61,9,FALSE()),""))</f>
      </c>
    </row>
    <row r="10259">
      <c r="E10259">
        <f>IF(DATOS!$I10259="","",IFERROR(VLOOKUP(DATOS!$I10259,CONFIG_ASIGNATURAS!$B$2:$J$61,9,FALSE()),""))</f>
      </c>
    </row>
    <row r="10260">
      <c r="E10260">
        <f>IF(DATOS!$I10260="","",IFERROR(VLOOKUP(DATOS!$I10260,CONFIG_ASIGNATURAS!$B$2:$J$61,9,FALSE()),""))</f>
      </c>
    </row>
    <row r="10261">
      <c r="E10261">
        <f>IF(DATOS!$I10261="","",IFERROR(VLOOKUP(DATOS!$I10261,CONFIG_ASIGNATURAS!$B$2:$J$61,9,FALSE()),""))</f>
      </c>
    </row>
    <row r="10262">
      <c r="E10262">
        <f>IF(DATOS!$I10262="","",IFERROR(VLOOKUP(DATOS!$I10262,CONFIG_ASIGNATURAS!$B$2:$J$61,9,FALSE()),""))</f>
      </c>
    </row>
    <row r="10263">
      <c r="E10263">
        <f>IF(DATOS!$I10263="","",IFERROR(VLOOKUP(DATOS!$I10263,CONFIG_ASIGNATURAS!$B$2:$J$61,9,FALSE()),""))</f>
      </c>
    </row>
    <row r="10264">
      <c r="E10264">
        <f>IF(DATOS!$I10264="","",IFERROR(VLOOKUP(DATOS!$I10264,CONFIG_ASIGNATURAS!$B$2:$J$61,9,FALSE()),""))</f>
      </c>
    </row>
    <row r="10265">
      <c r="E10265">
        <f>IF(DATOS!$I10265="","",IFERROR(VLOOKUP(DATOS!$I10265,CONFIG_ASIGNATURAS!$B$2:$J$61,9,FALSE()),""))</f>
      </c>
    </row>
    <row r="10266">
      <c r="E10266">
        <f>IF(DATOS!$I10266="","",IFERROR(VLOOKUP(DATOS!$I10266,CONFIG_ASIGNATURAS!$B$2:$J$61,9,FALSE()),""))</f>
      </c>
    </row>
    <row r="10267">
      <c r="E10267">
        <f>IF(DATOS!$I10267="","",IFERROR(VLOOKUP(DATOS!$I10267,CONFIG_ASIGNATURAS!$B$2:$J$61,9,FALSE()),""))</f>
      </c>
    </row>
    <row r="10268">
      <c r="E10268">
        <f>IF(DATOS!$I10268="","",IFERROR(VLOOKUP(DATOS!$I10268,CONFIG_ASIGNATURAS!$B$2:$J$61,9,FALSE()),""))</f>
      </c>
    </row>
    <row r="10269">
      <c r="E10269">
        <f>IF(DATOS!$I10269="","",IFERROR(VLOOKUP(DATOS!$I10269,CONFIG_ASIGNATURAS!$B$2:$J$61,9,FALSE()),""))</f>
      </c>
    </row>
    <row r="10270">
      <c r="E10270">
        <f>IF(DATOS!$I10270="","",IFERROR(VLOOKUP(DATOS!$I10270,CONFIG_ASIGNATURAS!$B$2:$J$61,9,FALSE()),""))</f>
      </c>
    </row>
    <row r="10271">
      <c r="E10271">
        <f>IF(DATOS!$I10271="","",IFERROR(VLOOKUP(DATOS!$I10271,CONFIG_ASIGNATURAS!$B$2:$J$61,9,FALSE()),""))</f>
      </c>
    </row>
    <row r="10272">
      <c r="E10272">
        <f>IF(DATOS!$I10272="","",IFERROR(VLOOKUP(DATOS!$I10272,CONFIG_ASIGNATURAS!$B$2:$J$61,9,FALSE()),""))</f>
      </c>
    </row>
    <row r="10273">
      <c r="E10273">
        <f>IF(DATOS!$I10273="","",IFERROR(VLOOKUP(DATOS!$I10273,CONFIG_ASIGNATURAS!$B$2:$J$61,9,FALSE()),""))</f>
      </c>
    </row>
    <row r="10274">
      <c r="E10274">
        <f>IF(DATOS!$I10274="","",IFERROR(VLOOKUP(DATOS!$I10274,CONFIG_ASIGNATURAS!$B$2:$J$61,9,FALSE()),""))</f>
      </c>
    </row>
    <row r="10275">
      <c r="E10275">
        <f>IF(DATOS!$I10275="","",IFERROR(VLOOKUP(DATOS!$I10275,CONFIG_ASIGNATURAS!$B$2:$J$61,9,FALSE()),""))</f>
      </c>
    </row>
    <row r="10276">
      <c r="E10276">
        <f>IF(DATOS!$I10276="","",IFERROR(VLOOKUP(DATOS!$I10276,CONFIG_ASIGNATURAS!$B$2:$J$61,9,FALSE()),""))</f>
      </c>
    </row>
    <row r="10277">
      <c r="E10277">
        <f>IF(DATOS!$I10277="","",IFERROR(VLOOKUP(DATOS!$I10277,CONFIG_ASIGNATURAS!$B$2:$J$61,9,FALSE()),""))</f>
      </c>
    </row>
    <row r="10278">
      <c r="E10278">
        <f>IF(DATOS!$I10278="","",IFERROR(VLOOKUP(DATOS!$I10278,CONFIG_ASIGNATURAS!$B$2:$J$61,9,FALSE()),""))</f>
      </c>
    </row>
    <row r="10279">
      <c r="E10279">
        <f>IF(DATOS!$I10279="","",IFERROR(VLOOKUP(DATOS!$I10279,CONFIG_ASIGNATURAS!$B$2:$J$61,9,FALSE()),""))</f>
      </c>
    </row>
    <row r="10280">
      <c r="E10280">
        <f>IF(DATOS!$I10280="","",IFERROR(VLOOKUP(DATOS!$I10280,CONFIG_ASIGNATURAS!$B$2:$J$61,9,FALSE()),""))</f>
      </c>
    </row>
    <row r="10281">
      <c r="E10281">
        <f>IF(DATOS!$I10281="","",IFERROR(VLOOKUP(DATOS!$I10281,CONFIG_ASIGNATURAS!$B$2:$J$61,9,FALSE()),""))</f>
      </c>
    </row>
    <row r="10282">
      <c r="E10282">
        <f>IF(DATOS!$I10282="","",IFERROR(VLOOKUP(DATOS!$I10282,CONFIG_ASIGNATURAS!$B$2:$J$61,9,FALSE()),""))</f>
      </c>
    </row>
    <row r="10283">
      <c r="E10283">
        <f>IF(DATOS!$I10283="","",IFERROR(VLOOKUP(DATOS!$I10283,CONFIG_ASIGNATURAS!$B$2:$J$61,9,FALSE()),""))</f>
      </c>
    </row>
    <row r="10284">
      <c r="E10284">
        <f>IF(DATOS!$I10284="","",IFERROR(VLOOKUP(DATOS!$I10284,CONFIG_ASIGNATURAS!$B$2:$J$61,9,FALSE()),""))</f>
      </c>
    </row>
    <row r="10285">
      <c r="E10285">
        <f>IF(DATOS!$I10285="","",IFERROR(VLOOKUP(DATOS!$I10285,CONFIG_ASIGNATURAS!$B$2:$J$61,9,FALSE()),""))</f>
      </c>
    </row>
    <row r="10286">
      <c r="E10286">
        <f>IF(DATOS!$I10286="","",IFERROR(VLOOKUP(DATOS!$I10286,CONFIG_ASIGNATURAS!$B$2:$J$61,9,FALSE()),""))</f>
      </c>
    </row>
    <row r="10287">
      <c r="E10287">
        <f>IF(DATOS!$I10287="","",IFERROR(VLOOKUP(DATOS!$I10287,CONFIG_ASIGNATURAS!$B$2:$J$61,9,FALSE()),""))</f>
      </c>
    </row>
    <row r="10288">
      <c r="E10288">
        <f>IF(DATOS!$I10288="","",IFERROR(VLOOKUP(DATOS!$I10288,CONFIG_ASIGNATURAS!$B$2:$J$61,9,FALSE()),""))</f>
      </c>
    </row>
    <row r="10289">
      <c r="E10289">
        <f>IF(DATOS!$I10289="","",IFERROR(VLOOKUP(DATOS!$I10289,CONFIG_ASIGNATURAS!$B$2:$J$61,9,FALSE()),""))</f>
      </c>
    </row>
    <row r="10290">
      <c r="E10290">
        <f>IF(DATOS!$I10290="","",IFERROR(VLOOKUP(DATOS!$I10290,CONFIG_ASIGNATURAS!$B$2:$J$61,9,FALSE()),""))</f>
      </c>
    </row>
    <row r="10291">
      <c r="E10291">
        <f>IF(DATOS!$I10291="","",IFERROR(VLOOKUP(DATOS!$I10291,CONFIG_ASIGNATURAS!$B$2:$J$61,9,FALSE()),""))</f>
      </c>
    </row>
    <row r="10292">
      <c r="E10292">
        <f>IF(DATOS!$I10292="","",IFERROR(VLOOKUP(DATOS!$I10292,CONFIG_ASIGNATURAS!$B$2:$J$61,9,FALSE()),""))</f>
      </c>
    </row>
    <row r="10293">
      <c r="E10293">
        <f>IF(DATOS!$I10293="","",IFERROR(VLOOKUP(DATOS!$I10293,CONFIG_ASIGNATURAS!$B$2:$J$61,9,FALSE()),""))</f>
      </c>
    </row>
    <row r="10294">
      <c r="E10294">
        <f>IF(DATOS!$I10294="","",IFERROR(VLOOKUP(DATOS!$I10294,CONFIG_ASIGNATURAS!$B$2:$J$61,9,FALSE()),""))</f>
      </c>
    </row>
    <row r="10295">
      <c r="E10295">
        <f>IF(DATOS!$I10295="","",IFERROR(VLOOKUP(DATOS!$I10295,CONFIG_ASIGNATURAS!$B$2:$J$61,9,FALSE()),""))</f>
      </c>
    </row>
    <row r="10296">
      <c r="E10296">
        <f>IF(DATOS!$I10296="","",IFERROR(VLOOKUP(DATOS!$I10296,CONFIG_ASIGNATURAS!$B$2:$J$61,9,FALSE()),""))</f>
      </c>
    </row>
    <row r="10297">
      <c r="E10297">
        <f>IF(DATOS!$I10297="","",IFERROR(VLOOKUP(DATOS!$I10297,CONFIG_ASIGNATURAS!$B$2:$J$61,9,FALSE()),""))</f>
      </c>
    </row>
    <row r="10298">
      <c r="E10298">
        <f>IF(DATOS!$I10298="","",IFERROR(VLOOKUP(DATOS!$I10298,CONFIG_ASIGNATURAS!$B$2:$J$61,9,FALSE()),""))</f>
      </c>
    </row>
    <row r="10299">
      <c r="E10299">
        <f>IF(DATOS!$I10299="","",IFERROR(VLOOKUP(DATOS!$I10299,CONFIG_ASIGNATURAS!$B$2:$J$61,9,FALSE()),""))</f>
      </c>
    </row>
    <row r="10300">
      <c r="E10300">
        <f>IF(DATOS!$I10300="","",IFERROR(VLOOKUP(DATOS!$I10300,CONFIG_ASIGNATURAS!$B$2:$J$61,9,FALSE()),""))</f>
      </c>
    </row>
    <row r="10301">
      <c r="E10301">
        <f>IF(DATOS!$I10301="","",IFERROR(VLOOKUP(DATOS!$I10301,CONFIG_ASIGNATURAS!$B$2:$J$61,9,FALSE()),""))</f>
      </c>
    </row>
    <row r="10302">
      <c r="E10302">
        <f>IF(DATOS!$I10302="","",IFERROR(VLOOKUP(DATOS!$I10302,CONFIG_ASIGNATURAS!$B$2:$J$61,9,FALSE()),""))</f>
      </c>
    </row>
    <row r="10303">
      <c r="E10303">
        <f>IF(DATOS!$I10303="","",IFERROR(VLOOKUP(DATOS!$I10303,CONFIG_ASIGNATURAS!$B$2:$J$61,9,FALSE()),""))</f>
      </c>
    </row>
    <row r="10304">
      <c r="E10304">
        <f>IF(DATOS!$I10304="","",IFERROR(VLOOKUP(DATOS!$I10304,CONFIG_ASIGNATURAS!$B$2:$J$61,9,FALSE()),""))</f>
      </c>
    </row>
    <row r="10305">
      <c r="E10305">
        <f>IF(DATOS!$I10305="","",IFERROR(VLOOKUP(DATOS!$I10305,CONFIG_ASIGNATURAS!$B$2:$J$61,9,FALSE()),""))</f>
      </c>
    </row>
    <row r="10306">
      <c r="E10306">
        <f>IF(DATOS!$I10306="","",IFERROR(VLOOKUP(DATOS!$I10306,CONFIG_ASIGNATURAS!$B$2:$J$61,9,FALSE()),""))</f>
      </c>
    </row>
    <row r="10307">
      <c r="E10307">
        <f>IF(DATOS!$I10307="","",IFERROR(VLOOKUP(DATOS!$I10307,CONFIG_ASIGNATURAS!$B$2:$J$61,9,FALSE()),""))</f>
      </c>
    </row>
    <row r="10308">
      <c r="E10308">
        <f>IF(DATOS!$I10308="","",IFERROR(VLOOKUP(DATOS!$I10308,CONFIG_ASIGNATURAS!$B$2:$J$61,9,FALSE()),""))</f>
      </c>
    </row>
    <row r="10309">
      <c r="E10309">
        <f>IF(DATOS!$I10309="","",IFERROR(VLOOKUP(DATOS!$I10309,CONFIG_ASIGNATURAS!$B$2:$J$61,9,FALSE()),""))</f>
      </c>
    </row>
    <row r="10310">
      <c r="E10310">
        <f>IF(DATOS!$I10310="","",IFERROR(VLOOKUP(DATOS!$I10310,CONFIG_ASIGNATURAS!$B$2:$J$61,9,FALSE()),""))</f>
      </c>
    </row>
    <row r="10311">
      <c r="E10311">
        <f>IF(DATOS!$I10311="","",IFERROR(VLOOKUP(DATOS!$I10311,CONFIG_ASIGNATURAS!$B$2:$J$61,9,FALSE()),""))</f>
      </c>
    </row>
    <row r="10312">
      <c r="E10312">
        <f>IF(DATOS!$I10312="","",IFERROR(VLOOKUP(DATOS!$I10312,CONFIG_ASIGNATURAS!$B$2:$J$61,9,FALSE()),""))</f>
      </c>
    </row>
    <row r="10313">
      <c r="E10313">
        <f>IF(DATOS!$I10313="","",IFERROR(VLOOKUP(DATOS!$I10313,CONFIG_ASIGNATURAS!$B$2:$J$61,9,FALSE()),""))</f>
      </c>
    </row>
    <row r="10314">
      <c r="E10314">
        <f>IF(DATOS!$I10314="","",IFERROR(VLOOKUP(DATOS!$I10314,CONFIG_ASIGNATURAS!$B$2:$J$61,9,FALSE()),""))</f>
      </c>
    </row>
    <row r="10315">
      <c r="E10315">
        <f>IF(DATOS!$I10315="","",IFERROR(VLOOKUP(DATOS!$I10315,CONFIG_ASIGNATURAS!$B$2:$J$61,9,FALSE()),""))</f>
      </c>
    </row>
    <row r="10316">
      <c r="E10316">
        <f>IF(DATOS!$I10316="","",IFERROR(VLOOKUP(DATOS!$I10316,CONFIG_ASIGNATURAS!$B$2:$J$61,9,FALSE()),""))</f>
      </c>
    </row>
    <row r="10317">
      <c r="E10317">
        <f>IF(DATOS!$I10317="","",IFERROR(VLOOKUP(DATOS!$I10317,CONFIG_ASIGNATURAS!$B$2:$J$61,9,FALSE()),""))</f>
      </c>
    </row>
    <row r="10318">
      <c r="E10318">
        <f>IF(DATOS!$I10318="","",IFERROR(VLOOKUP(DATOS!$I10318,CONFIG_ASIGNATURAS!$B$2:$J$61,9,FALSE()),""))</f>
      </c>
    </row>
    <row r="10319">
      <c r="E10319">
        <f>IF(DATOS!$I10319="","",IFERROR(VLOOKUP(DATOS!$I10319,CONFIG_ASIGNATURAS!$B$2:$J$61,9,FALSE()),""))</f>
      </c>
    </row>
    <row r="10320">
      <c r="E10320">
        <f>IF(DATOS!$I10320="","",IFERROR(VLOOKUP(DATOS!$I10320,CONFIG_ASIGNATURAS!$B$2:$J$61,9,FALSE()),""))</f>
      </c>
    </row>
    <row r="10321">
      <c r="E10321">
        <f>IF(DATOS!$I10321="","",IFERROR(VLOOKUP(DATOS!$I10321,CONFIG_ASIGNATURAS!$B$2:$J$61,9,FALSE()),""))</f>
      </c>
    </row>
    <row r="10322">
      <c r="E10322">
        <f>IF(DATOS!$I10322="","",IFERROR(VLOOKUP(DATOS!$I10322,CONFIG_ASIGNATURAS!$B$2:$J$61,9,FALSE()),""))</f>
      </c>
    </row>
    <row r="10323">
      <c r="E10323">
        <f>IF(DATOS!$I10323="","",IFERROR(VLOOKUP(DATOS!$I10323,CONFIG_ASIGNATURAS!$B$2:$J$61,9,FALSE()),""))</f>
      </c>
    </row>
    <row r="10324">
      <c r="E10324">
        <f>IF(DATOS!$I10324="","",IFERROR(VLOOKUP(DATOS!$I10324,CONFIG_ASIGNATURAS!$B$2:$J$61,9,FALSE()),""))</f>
      </c>
    </row>
    <row r="10325">
      <c r="E10325">
        <f>IF(DATOS!$I10325="","",IFERROR(VLOOKUP(DATOS!$I10325,CONFIG_ASIGNATURAS!$B$2:$J$61,9,FALSE()),""))</f>
      </c>
    </row>
    <row r="10326">
      <c r="E10326">
        <f>IF(DATOS!$I10326="","",IFERROR(VLOOKUP(DATOS!$I10326,CONFIG_ASIGNATURAS!$B$2:$J$61,9,FALSE()),""))</f>
      </c>
    </row>
    <row r="10327">
      <c r="E10327">
        <f>IF(DATOS!$I10327="","",IFERROR(VLOOKUP(DATOS!$I10327,CONFIG_ASIGNATURAS!$B$2:$J$61,9,FALSE()),""))</f>
      </c>
    </row>
    <row r="10328">
      <c r="E10328">
        <f>IF(DATOS!$I10328="","",IFERROR(VLOOKUP(DATOS!$I10328,CONFIG_ASIGNATURAS!$B$2:$J$61,9,FALSE()),""))</f>
      </c>
    </row>
    <row r="10329">
      <c r="E10329">
        <f>IF(DATOS!$I10329="","",IFERROR(VLOOKUP(DATOS!$I10329,CONFIG_ASIGNATURAS!$B$2:$J$61,9,FALSE()),""))</f>
      </c>
    </row>
    <row r="10330">
      <c r="E10330">
        <f>IF(DATOS!$I10330="","",IFERROR(VLOOKUP(DATOS!$I10330,CONFIG_ASIGNATURAS!$B$2:$J$61,9,FALSE()),""))</f>
      </c>
    </row>
    <row r="10331">
      <c r="E10331">
        <f>IF(DATOS!$I10331="","",IFERROR(VLOOKUP(DATOS!$I10331,CONFIG_ASIGNATURAS!$B$2:$J$61,9,FALSE()),""))</f>
      </c>
    </row>
    <row r="10332">
      <c r="E10332">
        <f>IF(DATOS!$I10332="","",IFERROR(VLOOKUP(DATOS!$I10332,CONFIG_ASIGNATURAS!$B$2:$J$61,9,FALSE()),""))</f>
      </c>
    </row>
    <row r="10333">
      <c r="E10333">
        <f>IF(DATOS!$I10333="","",IFERROR(VLOOKUP(DATOS!$I10333,CONFIG_ASIGNATURAS!$B$2:$J$61,9,FALSE()),""))</f>
      </c>
    </row>
    <row r="10334">
      <c r="E10334">
        <f>IF(DATOS!$I10334="","",IFERROR(VLOOKUP(DATOS!$I10334,CONFIG_ASIGNATURAS!$B$2:$J$61,9,FALSE()),""))</f>
      </c>
    </row>
    <row r="10335">
      <c r="E10335">
        <f>IF(DATOS!$I10335="","",IFERROR(VLOOKUP(DATOS!$I10335,CONFIG_ASIGNATURAS!$B$2:$J$61,9,FALSE()),""))</f>
      </c>
    </row>
    <row r="10336">
      <c r="E10336">
        <f>IF(DATOS!$I10336="","",IFERROR(VLOOKUP(DATOS!$I10336,CONFIG_ASIGNATURAS!$B$2:$J$61,9,FALSE()),""))</f>
      </c>
    </row>
    <row r="10337">
      <c r="E10337">
        <f>IF(DATOS!$I10337="","",IFERROR(VLOOKUP(DATOS!$I10337,CONFIG_ASIGNATURAS!$B$2:$J$61,9,FALSE()),""))</f>
      </c>
    </row>
    <row r="10338">
      <c r="E10338">
        <f>IF(DATOS!$I10338="","",IFERROR(VLOOKUP(DATOS!$I10338,CONFIG_ASIGNATURAS!$B$2:$J$61,9,FALSE()),""))</f>
      </c>
    </row>
    <row r="10339">
      <c r="E10339">
        <f>IF(DATOS!$I10339="","",IFERROR(VLOOKUP(DATOS!$I10339,CONFIG_ASIGNATURAS!$B$2:$J$61,9,FALSE()),""))</f>
      </c>
    </row>
    <row r="10340">
      <c r="E10340">
        <f>IF(DATOS!$I10340="","",IFERROR(VLOOKUP(DATOS!$I10340,CONFIG_ASIGNATURAS!$B$2:$J$61,9,FALSE()),""))</f>
      </c>
    </row>
    <row r="10341">
      <c r="E10341">
        <f>IF(DATOS!$I10341="","",IFERROR(VLOOKUP(DATOS!$I10341,CONFIG_ASIGNATURAS!$B$2:$J$61,9,FALSE()),""))</f>
      </c>
    </row>
    <row r="10342">
      <c r="E10342">
        <f>IF(DATOS!$I10342="","",IFERROR(VLOOKUP(DATOS!$I10342,CONFIG_ASIGNATURAS!$B$2:$J$61,9,FALSE()),""))</f>
      </c>
    </row>
    <row r="10343">
      <c r="E10343">
        <f>IF(DATOS!$I10343="","",IFERROR(VLOOKUP(DATOS!$I10343,CONFIG_ASIGNATURAS!$B$2:$J$61,9,FALSE()),""))</f>
      </c>
    </row>
    <row r="10344">
      <c r="E10344">
        <f>IF(DATOS!$I10344="","",IFERROR(VLOOKUP(DATOS!$I10344,CONFIG_ASIGNATURAS!$B$2:$J$61,9,FALSE()),""))</f>
      </c>
    </row>
    <row r="10345">
      <c r="E10345">
        <f>IF(DATOS!$I10345="","",IFERROR(VLOOKUP(DATOS!$I10345,CONFIG_ASIGNATURAS!$B$2:$J$61,9,FALSE()),""))</f>
      </c>
    </row>
    <row r="10346">
      <c r="E10346">
        <f>IF(DATOS!$I10346="","",IFERROR(VLOOKUP(DATOS!$I10346,CONFIG_ASIGNATURAS!$B$2:$J$61,9,FALSE()),""))</f>
      </c>
    </row>
    <row r="10347">
      <c r="E10347">
        <f>IF(DATOS!$I10347="","",IFERROR(VLOOKUP(DATOS!$I10347,CONFIG_ASIGNATURAS!$B$2:$J$61,9,FALSE()),""))</f>
      </c>
    </row>
    <row r="10348">
      <c r="E10348">
        <f>IF(DATOS!$I10348="","",IFERROR(VLOOKUP(DATOS!$I10348,CONFIG_ASIGNATURAS!$B$2:$J$61,9,FALSE()),""))</f>
      </c>
    </row>
    <row r="10349">
      <c r="E10349">
        <f>IF(DATOS!$I10349="","",IFERROR(VLOOKUP(DATOS!$I10349,CONFIG_ASIGNATURAS!$B$2:$J$61,9,FALSE()),""))</f>
      </c>
    </row>
    <row r="10350">
      <c r="E10350">
        <f>IF(DATOS!$I10350="","",IFERROR(VLOOKUP(DATOS!$I10350,CONFIG_ASIGNATURAS!$B$2:$J$61,9,FALSE()),""))</f>
      </c>
    </row>
    <row r="10351">
      <c r="E10351">
        <f>IF(DATOS!$I10351="","",IFERROR(VLOOKUP(DATOS!$I10351,CONFIG_ASIGNATURAS!$B$2:$J$61,9,FALSE()),""))</f>
      </c>
    </row>
    <row r="10352">
      <c r="E10352">
        <f>IF(DATOS!$I10352="","",IFERROR(VLOOKUP(DATOS!$I10352,CONFIG_ASIGNATURAS!$B$2:$J$61,9,FALSE()),""))</f>
      </c>
    </row>
    <row r="10353">
      <c r="E10353">
        <f>IF(DATOS!$I10353="","",IFERROR(VLOOKUP(DATOS!$I10353,CONFIG_ASIGNATURAS!$B$2:$J$61,9,FALSE()),""))</f>
      </c>
    </row>
    <row r="10354">
      <c r="E10354">
        <f>IF(DATOS!$I10354="","",IFERROR(VLOOKUP(DATOS!$I10354,CONFIG_ASIGNATURAS!$B$2:$J$61,9,FALSE()),""))</f>
      </c>
    </row>
    <row r="10355">
      <c r="E10355">
        <f>IF(DATOS!$I10355="","",IFERROR(VLOOKUP(DATOS!$I10355,CONFIG_ASIGNATURAS!$B$2:$J$61,9,FALSE()),""))</f>
      </c>
    </row>
    <row r="10356">
      <c r="E10356">
        <f>IF(DATOS!$I10356="","",IFERROR(VLOOKUP(DATOS!$I10356,CONFIG_ASIGNATURAS!$B$2:$J$61,9,FALSE()),""))</f>
      </c>
    </row>
    <row r="10357">
      <c r="E10357">
        <f>IF(DATOS!$I10357="","",IFERROR(VLOOKUP(DATOS!$I10357,CONFIG_ASIGNATURAS!$B$2:$J$61,9,FALSE()),""))</f>
      </c>
    </row>
    <row r="10358">
      <c r="E10358">
        <f>IF(DATOS!$I10358="","",IFERROR(VLOOKUP(DATOS!$I10358,CONFIG_ASIGNATURAS!$B$2:$J$61,9,FALSE()),""))</f>
      </c>
    </row>
    <row r="10359">
      <c r="E10359">
        <f>IF(DATOS!$I10359="","",IFERROR(VLOOKUP(DATOS!$I10359,CONFIG_ASIGNATURAS!$B$2:$J$61,9,FALSE()),""))</f>
      </c>
    </row>
    <row r="10360">
      <c r="E10360">
        <f>IF(DATOS!$I10360="","",IFERROR(VLOOKUP(DATOS!$I10360,CONFIG_ASIGNATURAS!$B$2:$J$61,9,FALSE()),""))</f>
      </c>
    </row>
    <row r="10361">
      <c r="E10361">
        <f>IF(DATOS!$I10361="","",IFERROR(VLOOKUP(DATOS!$I10361,CONFIG_ASIGNATURAS!$B$2:$J$61,9,FALSE()),""))</f>
      </c>
    </row>
    <row r="10362">
      <c r="E10362">
        <f>IF(DATOS!$I10362="","",IFERROR(VLOOKUP(DATOS!$I10362,CONFIG_ASIGNATURAS!$B$2:$J$61,9,FALSE()),""))</f>
      </c>
    </row>
    <row r="10363">
      <c r="E10363">
        <f>IF(DATOS!$I10363="","",IFERROR(VLOOKUP(DATOS!$I10363,CONFIG_ASIGNATURAS!$B$2:$J$61,9,FALSE()),""))</f>
      </c>
    </row>
    <row r="10364">
      <c r="E10364">
        <f>IF(DATOS!$I10364="","",IFERROR(VLOOKUP(DATOS!$I10364,CONFIG_ASIGNATURAS!$B$2:$J$61,9,FALSE()),""))</f>
      </c>
    </row>
    <row r="10365">
      <c r="E10365">
        <f>IF(DATOS!$I10365="","",IFERROR(VLOOKUP(DATOS!$I10365,CONFIG_ASIGNATURAS!$B$2:$J$61,9,FALSE()),""))</f>
      </c>
    </row>
    <row r="10366">
      <c r="E10366">
        <f>IF(DATOS!$I10366="","",IFERROR(VLOOKUP(DATOS!$I10366,CONFIG_ASIGNATURAS!$B$2:$J$61,9,FALSE()),""))</f>
      </c>
    </row>
    <row r="10367">
      <c r="E10367">
        <f>IF(DATOS!$I10367="","",IFERROR(VLOOKUP(DATOS!$I10367,CONFIG_ASIGNATURAS!$B$2:$J$61,9,FALSE()),""))</f>
      </c>
    </row>
    <row r="10368">
      <c r="E10368">
        <f>IF(DATOS!$I10368="","",IFERROR(VLOOKUP(DATOS!$I10368,CONFIG_ASIGNATURAS!$B$2:$J$61,9,FALSE()),""))</f>
      </c>
    </row>
    <row r="10369">
      <c r="E10369">
        <f>IF(DATOS!$I10369="","",IFERROR(VLOOKUP(DATOS!$I10369,CONFIG_ASIGNATURAS!$B$2:$J$61,9,FALSE()),""))</f>
      </c>
    </row>
    <row r="10370">
      <c r="E10370">
        <f>IF(DATOS!$I10370="","",IFERROR(VLOOKUP(DATOS!$I10370,CONFIG_ASIGNATURAS!$B$2:$J$61,9,FALSE()),""))</f>
      </c>
    </row>
    <row r="10371">
      <c r="E10371">
        <f>IF(DATOS!$I10371="","",IFERROR(VLOOKUP(DATOS!$I10371,CONFIG_ASIGNATURAS!$B$2:$J$61,9,FALSE()),""))</f>
      </c>
    </row>
    <row r="10372">
      <c r="E10372">
        <f>IF(DATOS!$I10372="","",IFERROR(VLOOKUP(DATOS!$I10372,CONFIG_ASIGNATURAS!$B$2:$J$61,9,FALSE()),""))</f>
      </c>
    </row>
    <row r="10373">
      <c r="E10373">
        <f>IF(DATOS!$I10373="","",IFERROR(VLOOKUP(DATOS!$I10373,CONFIG_ASIGNATURAS!$B$2:$J$61,9,FALSE()),""))</f>
      </c>
    </row>
    <row r="10374">
      <c r="E10374">
        <f>IF(DATOS!$I10374="","",IFERROR(VLOOKUP(DATOS!$I10374,CONFIG_ASIGNATURAS!$B$2:$J$61,9,FALSE()),""))</f>
      </c>
    </row>
    <row r="10375">
      <c r="E10375">
        <f>IF(DATOS!$I10375="","",IFERROR(VLOOKUP(DATOS!$I10375,CONFIG_ASIGNATURAS!$B$2:$J$61,9,FALSE()),""))</f>
      </c>
    </row>
    <row r="10376">
      <c r="E10376">
        <f>IF(DATOS!$I10376="","",IFERROR(VLOOKUP(DATOS!$I10376,CONFIG_ASIGNATURAS!$B$2:$J$61,9,FALSE()),""))</f>
      </c>
    </row>
    <row r="10377">
      <c r="E10377">
        <f>IF(DATOS!$I10377="","",IFERROR(VLOOKUP(DATOS!$I10377,CONFIG_ASIGNATURAS!$B$2:$J$61,9,FALSE()),""))</f>
      </c>
    </row>
    <row r="10378">
      <c r="E10378">
        <f>IF(DATOS!$I10378="","",IFERROR(VLOOKUP(DATOS!$I10378,CONFIG_ASIGNATURAS!$B$2:$J$61,9,FALSE()),""))</f>
      </c>
    </row>
    <row r="10379">
      <c r="E10379">
        <f>IF(DATOS!$I10379="","",IFERROR(VLOOKUP(DATOS!$I10379,CONFIG_ASIGNATURAS!$B$2:$J$61,9,FALSE()),""))</f>
      </c>
    </row>
    <row r="10380">
      <c r="E10380">
        <f>IF(DATOS!$I10380="","",IFERROR(VLOOKUP(DATOS!$I10380,CONFIG_ASIGNATURAS!$B$2:$J$61,9,FALSE()),""))</f>
      </c>
    </row>
    <row r="10381">
      <c r="E10381">
        <f>IF(DATOS!$I10381="","",IFERROR(VLOOKUP(DATOS!$I10381,CONFIG_ASIGNATURAS!$B$2:$J$61,9,FALSE()),""))</f>
      </c>
    </row>
    <row r="10382">
      <c r="E10382">
        <f>IF(DATOS!$I10382="","",IFERROR(VLOOKUP(DATOS!$I10382,CONFIG_ASIGNATURAS!$B$2:$J$61,9,FALSE()),""))</f>
      </c>
    </row>
    <row r="10383">
      <c r="E10383">
        <f>IF(DATOS!$I10383="","",IFERROR(VLOOKUP(DATOS!$I10383,CONFIG_ASIGNATURAS!$B$2:$J$61,9,FALSE()),""))</f>
      </c>
    </row>
    <row r="10384">
      <c r="E10384">
        <f>IF(DATOS!$I10384="","",IFERROR(VLOOKUP(DATOS!$I10384,CONFIG_ASIGNATURAS!$B$2:$J$61,9,FALSE()),""))</f>
      </c>
    </row>
    <row r="10385">
      <c r="E10385">
        <f>IF(DATOS!$I10385="","",IFERROR(VLOOKUP(DATOS!$I10385,CONFIG_ASIGNATURAS!$B$2:$J$61,9,FALSE()),""))</f>
      </c>
    </row>
    <row r="10386">
      <c r="E10386">
        <f>IF(DATOS!$I10386="","",IFERROR(VLOOKUP(DATOS!$I10386,CONFIG_ASIGNATURAS!$B$2:$J$61,9,FALSE()),""))</f>
      </c>
    </row>
    <row r="10387">
      <c r="E10387">
        <f>IF(DATOS!$I10387="","",IFERROR(VLOOKUP(DATOS!$I10387,CONFIG_ASIGNATURAS!$B$2:$J$61,9,FALSE()),""))</f>
      </c>
    </row>
    <row r="10388">
      <c r="E10388">
        <f>IF(DATOS!$I10388="","",IFERROR(VLOOKUP(DATOS!$I10388,CONFIG_ASIGNATURAS!$B$2:$J$61,9,FALSE()),""))</f>
      </c>
    </row>
    <row r="10389">
      <c r="E10389">
        <f>IF(DATOS!$I10389="","",IFERROR(VLOOKUP(DATOS!$I10389,CONFIG_ASIGNATURAS!$B$2:$J$61,9,FALSE()),""))</f>
      </c>
    </row>
    <row r="10390">
      <c r="E10390">
        <f>IF(DATOS!$I10390="","",IFERROR(VLOOKUP(DATOS!$I10390,CONFIG_ASIGNATURAS!$B$2:$J$61,9,FALSE()),""))</f>
      </c>
    </row>
    <row r="10391">
      <c r="E10391">
        <f>IF(DATOS!$I10391="","",IFERROR(VLOOKUP(DATOS!$I10391,CONFIG_ASIGNATURAS!$B$2:$J$61,9,FALSE()),""))</f>
      </c>
    </row>
    <row r="10392">
      <c r="E10392">
        <f>IF(DATOS!$I10392="","",IFERROR(VLOOKUP(DATOS!$I10392,CONFIG_ASIGNATURAS!$B$2:$J$61,9,FALSE()),""))</f>
      </c>
    </row>
    <row r="10393">
      <c r="E10393">
        <f>IF(DATOS!$I10393="","",IFERROR(VLOOKUP(DATOS!$I10393,CONFIG_ASIGNATURAS!$B$2:$J$61,9,FALSE()),""))</f>
      </c>
    </row>
    <row r="10394">
      <c r="E10394">
        <f>IF(DATOS!$I10394="","",IFERROR(VLOOKUP(DATOS!$I10394,CONFIG_ASIGNATURAS!$B$2:$J$61,9,FALSE()),""))</f>
      </c>
    </row>
    <row r="10395">
      <c r="E10395">
        <f>IF(DATOS!$I10395="","",IFERROR(VLOOKUP(DATOS!$I10395,CONFIG_ASIGNATURAS!$B$2:$J$61,9,FALSE()),""))</f>
      </c>
    </row>
    <row r="10396">
      <c r="E10396">
        <f>IF(DATOS!$I10396="","",IFERROR(VLOOKUP(DATOS!$I10396,CONFIG_ASIGNATURAS!$B$2:$J$61,9,FALSE()),""))</f>
      </c>
    </row>
    <row r="10397">
      <c r="E10397">
        <f>IF(DATOS!$I10397="","",IFERROR(VLOOKUP(DATOS!$I10397,CONFIG_ASIGNATURAS!$B$2:$J$61,9,FALSE()),""))</f>
      </c>
    </row>
    <row r="10398">
      <c r="E10398">
        <f>IF(DATOS!$I10398="","",IFERROR(VLOOKUP(DATOS!$I10398,CONFIG_ASIGNATURAS!$B$2:$J$61,9,FALSE()),""))</f>
      </c>
    </row>
    <row r="10399">
      <c r="E10399">
        <f>IF(DATOS!$I10399="","",IFERROR(VLOOKUP(DATOS!$I10399,CONFIG_ASIGNATURAS!$B$2:$J$61,9,FALSE()),""))</f>
      </c>
    </row>
    <row r="10400">
      <c r="E10400">
        <f>IF(DATOS!$I10400="","",IFERROR(VLOOKUP(DATOS!$I10400,CONFIG_ASIGNATURAS!$B$2:$J$61,9,FALSE()),""))</f>
      </c>
    </row>
    <row r="10401">
      <c r="E10401">
        <f>IF(DATOS!$I10401="","",IFERROR(VLOOKUP(DATOS!$I10401,CONFIG_ASIGNATURAS!$B$2:$J$61,9,FALSE()),""))</f>
      </c>
    </row>
    <row r="10402">
      <c r="E10402">
        <f>IF(DATOS!$I10402="","",IFERROR(VLOOKUP(DATOS!$I10402,CONFIG_ASIGNATURAS!$B$2:$J$61,9,FALSE()),""))</f>
      </c>
    </row>
    <row r="10403">
      <c r="E10403">
        <f>IF(DATOS!$I10403="","",IFERROR(VLOOKUP(DATOS!$I10403,CONFIG_ASIGNATURAS!$B$2:$J$61,9,FALSE()),""))</f>
      </c>
    </row>
    <row r="10404">
      <c r="E10404">
        <f>IF(DATOS!$I10404="","",IFERROR(VLOOKUP(DATOS!$I10404,CONFIG_ASIGNATURAS!$B$2:$J$61,9,FALSE()),""))</f>
      </c>
    </row>
    <row r="10405">
      <c r="E10405">
        <f>IF(DATOS!$I10405="","",IFERROR(VLOOKUP(DATOS!$I10405,CONFIG_ASIGNATURAS!$B$2:$J$61,9,FALSE()),""))</f>
      </c>
    </row>
    <row r="10406">
      <c r="E10406">
        <f>IF(DATOS!$I10406="","",IFERROR(VLOOKUP(DATOS!$I10406,CONFIG_ASIGNATURAS!$B$2:$J$61,9,FALSE()),""))</f>
      </c>
    </row>
    <row r="10407">
      <c r="E10407">
        <f>IF(DATOS!$I10407="","",IFERROR(VLOOKUP(DATOS!$I10407,CONFIG_ASIGNATURAS!$B$2:$J$61,9,FALSE()),""))</f>
      </c>
    </row>
    <row r="10408">
      <c r="E10408">
        <f>IF(DATOS!$I10408="","",IFERROR(VLOOKUP(DATOS!$I10408,CONFIG_ASIGNATURAS!$B$2:$J$61,9,FALSE()),""))</f>
      </c>
    </row>
    <row r="10409">
      <c r="E10409">
        <f>IF(DATOS!$I10409="","",IFERROR(VLOOKUP(DATOS!$I10409,CONFIG_ASIGNATURAS!$B$2:$J$61,9,FALSE()),""))</f>
      </c>
    </row>
    <row r="10410">
      <c r="E10410">
        <f>IF(DATOS!$I10410="","",IFERROR(VLOOKUP(DATOS!$I10410,CONFIG_ASIGNATURAS!$B$2:$J$61,9,FALSE()),""))</f>
      </c>
    </row>
    <row r="10411">
      <c r="E10411">
        <f>IF(DATOS!$I10411="","",IFERROR(VLOOKUP(DATOS!$I10411,CONFIG_ASIGNATURAS!$B$2:$J$61,9,FALSE()),""))</f>
      </c>
    </row>
    <row r="10412">
      <c r="E10412">
        <f>IF(DATOS!$I10412="","",IFERROR(VLOOKUP(DATOS!$I10412,CONFIG_ASIGNATURAS!$B$2:$J$61,9,FALSE()),""))</f>
      </c>
    </row>
    <row r="10413">
      <c r="E10413">
        <f>IF(DATOS!$I10413="","",IFERROR(VLOOKUP(DATOS!$I10413,CONFIG_ASIGNATURAS!$B$2:$J$61,9,FALSE()),""))</f>
      </c>
    </row>
    <row r="10414">
      <c r="E10414">
        <f>IF(DATOS!$I10414="","",IFERROR(VLOOKUP(DATOS!$I10414,CONFIG_ASIGNATURAS!$B$2:$J$61,9,FALSE()),""))</f>
      </c>
    </row>
    <row r="10415">
      <c r="E10415">
        <f>IF(DATOS!$I10415="","",IFERROR(VLOOKUP(DATOS!$I10415,CONFIG_ASIGNATURAS!$B$2:$J$61,9,FALSE()),""))</f>
      </c>
    </row>
    <row r="10416">
      <c r="E10416">
        <f>IF(DATOS!$I10416="","",IFERROR(VLOOKUP(DATOS!$I10416,CONFIG_ASIGNATURAS!$B$2:$J$61,9,FALSE()),""))</f>
      </c>
    </row>
    <row r="10417">
      <c r="E10417">
        <f>IF(DATOS!$I10417="","",IFERROR(VLOOKUP(DATOS!$I10417,CONFIG_ASIGNATURAS!$B$2:$J$61,9,FALSE()),""))</f>
      </c>
    </row>
    <row r="10418">
      <c r="E10418">
        <f>IF(DATOS!$I10418="","",IFERROR(VLOOKUP(DATOS!$I10418,CONFIG_ASIGNATURAS!$B$2:$J$61,9,FALSE()),""))</f>
      </c>
    </row>
    <row r="10419">
      <c r="E10419">
        <f>IF(DATOS!$I10419="","",IFERROR(VLOOKUP(DATOS!$I10419,CONFIG_ASIGNATURAS!$B$2:$J$61,9,FALSE()),""))</f>
      </c>
    </row>
    <row r="10420">
      <c r="E10420">
        <f>IF(DATOS!$I10420="","",IFERROR(VLOOKUP(DATOS!$I10420,CONFIG_ASIGNATURAS!$B$2:$J$61,9,FALSE()),""))</f>
      </c>
    </row>
    <row r="10421">
      <c r="E10421">
        <f>IF(DATOS!$I10421="","",IFERROR(VLOOKUP(DATOS!$I10421,CONFIG_ASIGNATURAS!$B$2:$J$61,9,FALSE()),""))</f>
      </c>
    </row>
    <row r="10422">
      <c r="E10422">
        <f>IF(DATOS!$I10422="","",IFERROR(VLOOKUP(DATOS!$I10422,CONFIG_ASIGNATURAS!$B$2:$J$61,9,FALSE()),""))</f>
      </c>
    </row>
    <row r="10423">
      <c r="E10423">
        <f>IF(DATOS!$I10423="","",IFERROR(VLOOKUP(DATOS!$I10423,CONFIG_ASIGNATURAS!$B$2:$J$61,9,FALSE()),""))</f>
      </c>
    </row>
    <row r="10424">
      <c r="E10424">
        <f>IF(DATOS!$I10424="","",IFERROR(VLOOKUP(DATOS!$I10424,CONFIG_ASIGNATURAS!$B$2:$J$61,9,FALSE()),""))</f>
      </c>
    </row>
    <row r="10425">
      <c r="E10425">
        <f>IF(DATOS!$I10425="","",IFERROR(VLOOKUP(DATOS!$I10425,CONFIG_ASIGNATURAS!$B$2:$J$61,9,FALSE()),""))</f>
      </c>
    </row>
    <row r="10426">
      <c r="E10426">
        <f>IF(DATOS!$I10426="","",IFERROR(VLOOKUP(DATOS!$I10426,CONFIG_ASIGNATURAS!$B$2:$J$61,9,FALSE()),""))</f>
      </c>
    </row>
    <row r="10427">
      <c r="E10427">
        <f>IF(DATOS!$I10427="","",IFERROR(VLOOKUP(DATOS!$I10427,CONFIG_ASIGNATURAS!$B$2:$J$61,9,FALSE()),""))</f>
      </c>
    </row>
    <row r="10428">
      <c r="E10428">
        <f>IF(DATOS!$I10428="","",IFERROR(VLOOKUP(DATOS!$I10428,CONFIG_ASIGNATURAS!$B$2:$J$61,9,FALSE()),""))</f>
      </c>
    </row>
    <row r="10429">
      <c r="E10429">
        <f>IF(DATOS!$I10429="","",IFERROR(VLOOKUP(DATOS!$I10429,CONFIG_ASIGNATURAS!$B$2:$J$61,9,FALSE()),""))</f>
      </c>
    </row>
    <row r="10430">
      <c r="E10430">
        <f>IF(DATOS!$I10430="","",IFERROR(VLOOKUP(DATOS!$I10430,CONFIG_ASIGNATURAS!$B$2:$J$61,9,FALSE()),""))</f>
      </c>
    </row>
    <row r="10431">
      <c r="E10431">
        <f>IF(DATOS!$I10431="","",IFERROR(VLOOKUP(DATOS!$I10431,CONFIG_ASIGNATURAS!$B$2:$J$61,9,FALSE()),""))</f>
      </c>
    </row>
    <row r="10432">
      <c r="E10432">
        <f>IF(DATOS!$I10432="","",IFERROR(VLOOKUP(DATOS!$I10432,CONFIG_ASIGNATURAS!$B$2:$J$61,9,FALSE()),""))</f>
      </c>
    </row>
    <row r="10433">
      <c r="E10433">
        <f>IF(DATOS!$I10433="","",IFERROR(VLOOKUP(DATOS!$I10433,CONFIG_ASIGNATURAS!$B$2:$J$61,9,FALSE()),""))</f>
      </c>
    </row>
    <row r="10434">
      <c r="E10434">
        <f>IF(DATOS!$I10434="","",IFERROR(VLOOKUP(DATOS!$I10434,CONFIG_ASIGNATURAS!$B$2:$J$61,9,FALSE()),""))</f>
      </c>
    </row>
    <row r="10435">
      <c r="E10435">
        <f>IF(DATOS!$I10435="","",IFERROR(VLOOKUP(DATOS!$I10435,CONFIG_ASIGNATURAS!$B$2:$J$61,9,FALSE()),""))</f>
      </c>
    </row>
    <row r="10436">
      <c r="E10436">
        <f>IF(DATOS!$I10436="","",IFERROR(VLOOKUP(DATOS!$I10436,CONFIG_ASIGNATURAS!$B$2:$J$61,9,FALSE()),""))</f>
      </c>
    </row>
    <row r="10437">
      <c r="E10437">
        <f>IF(DATOS!$I10437="","",IFERROR(VLOOKUP(DATOS!$I10437,CONFIG_ASIGNATURAS!$B$2:$J$61,9,FALSE()),""))</f>
      </c>
    </row>
    <row r="10438">
      <c r="E10438">
        <f>IF(DATOS!$I10438="","",IFERROR(VLOOKUP(DATOS!$I10438,CONFIG_ASIGNATURAS!$B$2:$J$61,9,FALSE()),""))</f>
      </c>
    </row>
    <row r="10439">
      <c r="E10439">
        <f>IF(DATOS!$I10439="","",IFERROR(VLOOKUP(DATOS!$I10439,CONFIG_ASIGNATURAS!$B$2:$J$61,9,FALSE()),""))</f>
      </c>
    </row>
    <row r="10440">
      <c r="E10440">
        <f>IF(DATOS!$I10440="","",IFERROR(VLOOKUP(DATOS!$I10440,CONFIG_ASIGNATURAS!$B$2:$J$61,9,FALSE()),""))</f>
      </c>
    </row>
    <row r="10441">
      <c r="E10441">
        <f>IF(DATOS!$I10441="","",IFERROR(VLOOKUP(DATOS!$I10441,CONFIG_ASIGNATURAS!$B$2:$J$61,9,FALSE()),""))</f>
      </c>
    </row>
    <row r="10442">
      <c r="E10442">
        <f>IF(DATOS!$I10442="","",IFERROR(VLOOKUP(DATOS!$I10442,CONFIG_ASIGNATURAS!$B$2:$J$61,9,FALSE()),""))</f>
      </c>
    </row>
    <row r="10443">
      <c r="E10443">
        <f>IF(DATOS!$I10443="","",IFERROR(VLOOKUP(DATOS!$I10443,CONFIG_ASIGNATURAS!$B$2:$J$61,9,FALSE()),""))</f>
      </c>
    </row>
    <row r="10444">
      <c r="E10444">
        <f>IF(DATOS!$I10444="","",IFERROR(VLOOKUP(DATOS!$I10444,CONFIG_ASIGNATURAS!$B$2:$J$61,9,FALSE()),""))</f>
      </c>
    </row>
    <row r="10445">
      <c r="E10445">
        <f>IF(DATOS!$I10445="","",IFERROR(VLOOKUP(DATOS!$I10445,CONFIG_ASIGNATURAS!$B$2:$J$61,9,FALSE()),""))</f>
      </c>
    </row>
    <row r="10446">
      <c r="E10446">
        <f>IF(DATOS!$I10446="","",IFERROR(VLOOKUP(DATOS!$I10446,CONFIG_ASIGNATURAS!$B$2:$J$61,9,FALSE()),""))</f>
      </c>
    </row>
    <row r="10447">
      <c r="E10447">
        <f>IF(DATOS!$I10447="","",IFERROR(VLOOKUP(DATOS!$I10447,CONFIG_ASIGNATURAS!$B$2:$J$61,9,FALSE()),""))</f>
      </c>
    </row>
    <row r="10448">
      <c r="E10448">
        <f>IF(DATOS!$I10448="","",IFERROR(VLOOKUP(DATOS!$I10448,CONFIG_ASIGNATURAS!$B$2:$J$61,9,FALSE()),""))</f>
      </c>
    </row>
    <row r="10449">
      <c r="E10449">
        <f>IF(DATOS!$I10449="","",IFERROR(VLOOKUP(DATOS!$I10449,CONFIG_ASIGNATURAS!$B$2:$J$61,9,FALSE()),""))</f>
      </c>
    </row>
    <row r="10450">
      <c r="E10450">
        <f>IF(DATOS!$I10450="","",IFERROR(VLOOKUP(DATOS!$I10450,CONFIG_ASIGNATURAS!$B$2:$J$61,9,FALSE()),""))</f>
      </c>
    </row>
    <row r="10451">
      <c r="E10451">
        <f>IF(DATOS!$I10451="","",IFERROR(VLOOKUP(DATOS!$I10451,CONFIG_ASIGNATURAS!$B$2:$J$61,9,FALSE()),""))</f>
      </c>
    </row>
    <row r="10452">
      <c r="E10452">
        <f>IF(DATOS!$I10452="","",IFERROR(VLOOKUP(DATOS!$I10452,CONFIG_ASIGNATURAS!$B$2:$J$61,9,FALSE()),""))</f>
      </c>
    </row>
    <row r="10453">
      <c r="E10453">
        <f>IF(DATOS!$I10453="","",IFERROR(VLOOKUP(DATOS!$I10453,CONFIG_ASIGNATURAS!$B$2:$J$61,9,FALSE()),""))</f>
      </c>
    </row>
    <row r="10454">
      <c r="E10454">
        <f>IF(DATOS!$I10454="","",IFERROR(VLOOKUP(DATOS!$I10454,CONFIG_ASIGNATURAS!$B$2:$J$61,9,FALSE()),""))</f>
      </c>
    </row>
    <row r="10455">
      <c r="E10455">
        <f>IF(DATOS!$I10455="","",IFERROR(VLOOKUP(DATOS!$I10455,CONFIG_ASIGNATURAS!$B$2:$J$61,9,FALSE()),""))</f>
      </c>
    </row>
    <row r="10456">
      <c r="E10456">
        <f>IF(DATOS!$I10456="","",IFERROR(VLOOKUP(DATOS!$I10456,CONFIG_ASIGNATURAS!$B$2:$J$61,9,FALSE()),""))</f>
      </c>
    </row>
    <row r="10457">
      <c r="E10457">
        <f>IF(DATOS!$I10457="","",IFERROR(VLOOKUP(DATOS!$I10457,CONFIG_ASIGNATURAS!$B$2:$J$61,9,FALSE()),""))</f>
      </c>
    </row>
    <row r="10458">
      <c r="E10458">
        <f>IF(DATOS!$I10458="","",IFERROR(VLOOKUP(DATOS!$I10458,CONFIG_ASIGNATURAS!$B$2:$J$61,9,FALSE()),""))</f>
      </c>
    </row>
    <row r="10459">
      <c r="E10459">
        <f>IF(DATOS!$I10459="","",IFERROR(VLOOKUP(DATOS!$I10459,CONFIG_ASIGNATURAS!$B$2:$J$61,9,FALSE()),""))</f>
      </c>
    </row>
    <row r="10460">
      <c r="E10460">
        <f>IF(DATOS!$I10460="","",IFERROR(VLOOKUP(DATOS!$I10460,CONFIG_ASIGNATURAS!$B$2:$J$61,9,FALSE()),""))</f>
      </c>
    </row>
    <row r="10461">
      <c r="E10461">
        <f>IF(DATOS!$I10461="","",IFERROR(VLOOKUP(DATOS!$I10461,CONFIG_ASIGNATURAS!$B$2:$J$61,9,FALSE()),""))</f>
      </c>
    </row>
    <row r="10462">
      <c r="E10462">
        <f>IF(DATOS!$I10462="","",IFERROR(VLOOKUP(DATOS!$I10462,CONFIG_ASIGNATURAS!$B$2:$J$61,9,FALSE()),""))</f>
      </c>
    </row>
    <row r="10463">
      <c r="E10463">
        <f>IF(DATOS!$I10463="","",IFERROR(VLOOKUP(DATOS!$I10463,CONFIG_ASIGNATURAS!$B$2:$J$61,9,FALSE()),""))</f>
      </c>
    </row>
    <row r="10464">
      <c r="E10464">
        <f>IF(DATOS!$I10464="","",IFERROR(VLOOKUP(DATOS!$I10464,CONFIG_ASIGNATURAS!$B$2:$J$61,9,FALSE()),""))</f>
      </c>
    </row>
    <row r="10465">
      <c r="E10465">
        <f>IF(DATOS!$I10465="","",IFERROR(VLOOKUP(DATOS!$I10465,CONFIG_ASIGNATURAS!$B$2:$J$61,9,FALSE()),""))</f>
      </c>
    </row>
    <row r="10466">
      <c r="E10466">
        <f>IF(DATOS!$I10466="","",IFERROR(VLOOKUP(DATOS!$I10466,CONFIG_ASIGNATURAS!$B$2:$J$61,9,FALSE()),""))</f>
      </c>
    </row>
    <row r="10467">
      <c r="E10467">
        <f>IF(DATOS!$I10467="","",IFERROR(VLOOKUP(DATOS!$I10467,CONFIG_ASIGNATURAS!$B$2:$J$61,9,FALSE()),""))</f>
      </c>
    </row>
    <row r="10468">
      <c r="E10468">
        <f>IF(DATOS!$I10468="","",IFERROR(VLOOKUP(DATOS!$I10468,CONFIG_ASIGNATURAS!$B$2:$J$61,9,FALSE()),""))</f>
      </c>
    </row>
    <row r="10469">
      <c r="E10469">
        <f>IF(DATOS!$I10469="","",IFERROR(VLOOKUP(DATOS!$I10469,CONFIG_ASIGNATURAS!$B$2:$J$61,9,FALSE()),""))</f>
      </c>
    </row>
    <row r="10470">
      <c r="E10470">
        <f>IF(DATOS!$I10470="","",IFERROR(VLOOKUP(DATOS!$I10470,CONFIG_ASIGNATURAS!$B$2:$J$61,9,FALSE()),""))</f>
      </c>
    </row>
    <row r="10471">
      <c r="E10471">
        <f>IF(DATOS!$I10471="","",IFERROR(VLOOKUP(DATOS!$I10471,CONFIG_ASIGNATURAS!$B$2:$J$61,9,FALSE()),""))</f>
      </c>
    </row>
    <row r="10472">
      <c r="E10472">
        <f>IF(DATOS!$I10472="","",IFERROR(VLOOKUP(DATOS!$I10472,CONFIG_ASIGNATURAS!$B$2:$J$61,9,FALSE()),""))</f>
      </c>
    </row>
    <row r="10473">
      <c r="E10473">
        <f>IF(DATOS!$I10473="","",IFERROR(VLOOKUP(DATOS!$I10473,CONFIG_ASIGNATURAS!$B$2:$J$61,9,FALSE()),""))</f>
      </c>
    </row>
    <row r="10474">
      <c r="E10474">
        <f>IF(DATOS!$I10474="","",IFERROR(VLOOKUP(DATOS!$I10474,CONFIG_ASIGNATURAS!$B$2:$J$61,9,FALSE()),""))</f>
      </c>
    </row>
    <row r="10475">
      <c r="E10475">
        <f>IF(DATOS!$I10475="","",IFERROR(VLOOKUP(DATOS!$I10475,CONFIG_ASIGNATURAS!$B$2:$J$61,9,FALSE()),""))</f>
      </c>
    </row>
    <row r="10476">
      <c r="E10476">
        <f>IF(DATOS!$I10476="","",IFERROR(VLOOKUP(DATOS!$I10476,CONFIG_ASIGNATURAS!$B$2:$J$61,9,FALSE()),""))</f>
      </c>
    </row>
    <row r="10477">
      <c r="E10477">
        <f>IF(DATOS!$I10477="","",IFERROR(VLOOKUP(DATOS!$I10477,CONFIG_ASIGNATURAS!$B$2:$J$61,9,FALSE()),""))</f>
      </c>
    </row>
    <row r="10478">
      <c r="E10478">
        <f>IF(DATOS!$I10478="","",IFERROR(VLOOKUP(DATOS!$I10478,CONFIG_ASIGNATURAS!$B$2:$J$61,9,FALSE()),""))</f>
      </c>
    </row>
    <row r="10479">
      <c r="E10479">
        <f>IF(DATOS!$I10479="","",IFERROR(VLOOKUP(DATOS!$I10479,CONFIG_ASIGNATURAS!$B$2:$J$61,9,FALSE()),""))</f>
      </c>
    </row>
    <row r="10480">
      <c r="E10480">
        <f>IF(DATOS!$I10480="","",IFERROR(VLOOKUP(DATOS!$I10480,CONFIG_ASIGNATURAS!$B$2:$J$61,9,FALSE()),""))</f>
      </c>
    </row>
    <row r="10481">
      <c r="E10481">
        <f>IF(DATOS!$I10481="","",IFERROR(VLOOKUP(DATOS!$I10481,CONFIG_ASIGNATURAS!$B$2:$J$61,9,FALSE()),""))</f>
      </c>
    </row>
    <row r="10482">
      <c r="E10482">
        <f>IF(DATOS!$I10482="","",IFERROR(VLOOKUP(DATOS!$I10482,CONFIG_ASIGNATURAS!$B$2:$J$61,9,FALSE()),""))</f>
      </c>
    </row>
    <row r="10483">
      <c r="E10483">
        <f>IF(DATOS!$I10483="","",IFERROR(VLOOKUP(DATOS!$I10483,CONFIG_ASIGNATURAS!$B$2:$J$61,9,FALSE()),""))</f>
      </c>
    </row>
    <row r="10484">
      <c r="E10484">
        <f>IF(DATOS!$I10484="","",IFERROR(VLOOKUP(DATOS!$I10484,CONFIG_ASIGNATURAS!$B$2:$J$61,9,FALSE()),""))</f>
      </c>
    </row>
    <row r="10485">
      <c r="E10485">
        <f>IF(DATOS!$I10485="","",IFERROR(VLOOKUP(DATOS!$I10485,CONFIG_ASIGNATURAS!$B$2:$J$61,9,FALSE()),""))</f>
      </c>
    </row>
    <row r="10486">
      <c r="E10486">
        <f>IF(DATOS!$I10486="","",IFERROR(VLOOKUP(DATOS!$I10486,CONFIG_ASIGNATURAS!$B$2:$J$61,9,FALSE()),""))</f>
      </c>
    </row>
    <row r="10487">
      <c r="E10487">
        <f>IF(DATOS!$I10487="","",IFERROR(VLOOKUP(DATOS!$I10487,CONFIG_ASIGNATURAS!$B$2:$J$61,9,FALSE()),""))</f>
      </c>
    </row>
    <row r="10488">
      <c r="E10488">
        <f>IF(DATOS!$I10488="","",IFERROR(VLOOKUP(DATOS!$I10488,CONFIG_ASIGNATURAS!$B$2:$J$61,9,FALSE()),""))</f>
      </c>
    </row>
    <row r="10489">
      <c r="E10489">
        <f>IF(DATOS!$I10489="","",IFERROR(VLOOKUP(DATOS!$I10489,CONFIG_ASIGNATURAS!$B$2:$J$61,9,FALSE()),""))</f>
      </c>
    </row>
    <row r="10490">
      <c r="E10490">
        <f>IF(DATOS!$I10490="","",IFERROR(VLOOKUP(DATOS!$I10490,CONFIG_ASIGNATURAS!$B$2:$J$61,9,FALSE()),""))</f>
      </c>
    </row>
    <row r="10491">
      <c r="E10491">
        <f>IF(DATOS!$I10491="","",IFERROR(VLOOKUP(DATOS!$I10491,CONFIG_ASIGNATURAS!$B$2:$J$61,9,FALSE()),""))</f>
      </c>
    </row>
    <row r="10492">
      <c r="E10492">
        <f>IF(DATOS!$I10492="","",IFERROR(VLOOKUP(DATOS!$I10492,CONFIG_ASIGNATURAS!$B$2:$J$61,9,FALSE()),""))</f>
      </c>
    </row>
    <row r="10493">
      <c r="E10493">
        <f>IF(DATOS!$I10493="","",IFERROR(VLOOKUP(DATOS!$I10493,CONFIG_ASIGNATURAS!$B$2:$J$61,9,FALSE()),""))</f>
      </c>
    </row>
    <row r="10494">
      <c r="E10494">
        <f>IF(DATOS!$I10494="","",IFERROR(VLOOKUP(DATOS!$I10494,CONFIG_ASIGNATURAS!$B$2:$J$61,9,FALSE()),""))</f>
      </c>
    </row>
    <row r="10495">
      <c r="E10495">
        <f>IF(DATOS!$I10495="","",IFERROR(VLOOKUP(DATOS!$I10495,CONFIG_ASIGNATURAS!$B$2:$J$61,9,FALSE()),""))</f>
      </c>
    </row>
    <row r="10496">
      <c r="E10496">
        <f>IF(DATOS!$I10496="","",IFERROR(VLOOKUP(DATOS!$I10496,CONFIG_ASIGNATURAS!$B$2:$J$61,9,FALSE()),""))</f>
      </c>
    </row>
    <row r="10497">
      <c r="E10497">
        <f>IF(DATOS!$I10497="","",IFERROR(VLOOKUP(DATOS!$I10497,CONFIG_ASIGNATURAS!$B$2:$J$61,9,FALSE()),""))</f>
      </c>
    </row>
    <row r="10498">
      <c r="E10498">
        <f>IF(DATOS!$I10498="","",IFERROR(VLOOKUP(DATOS!$I10498,CONFIG_ASIGNATURAS!$B$2:$J$61,9,FALSE()),""))</f>
      </c>
    </row>
    <row r="10499">
      <c r="E10499">
        <f>IF(DATOS!$I10499="","",IFERROR(VLOOKUP(DATOS!$I10499,CONFIG_ASIGNATURAS!$B$2:$J$61,9,FALSE()),""))</f>
      </c>
    </row>
    <row r="10500">
      <c r="E10500">
        <f>IF(DATOS!$I10500="","",IFERROR(VLOOKUP(DATOS!$I10500,CONFIG_ASIGNATURAS!$B$2:$J$61,9,FALSE()),""))</f>
      </c>
    </row>
    <row r="10501">
      <c r="E10501">
        <f>IF(DATOS!$I10501="","",IFERROR(VLOOKUP(DATOS!$I10501,CONFIG_ASIGNATURAS!$B$2:$J$61,9,FALSE()),""))</f>
      </c>
    </row>
    <row r="10502">
      <c r="E10502">
        <f>IF(DATOS!$I10502="","",IFERROR(VLOOKUP(DATOS!$I10502,CONFIG_ASIGNATURAS!$B$2:$J$61,9,FALSE()),""))</f>
      </c>
    </row>
    <row r="10503">
      <c r="E10503">
        <f>IF(DATOS!$I10503="","",IFERROR(VLOOKUP(DATOS!$I10503,CONFIG_ASIGNATURAS!$B$2:$J$61,9,FALSE()),""))</f>
      </c>
    </row>
    <row r="10504">
      <c r="E10504">
        <f>IF(DATOS!$I10504="","",IFERROR(VLOOKUP(DATOS!$I10504,CONFIG_ASIGNATURAS!$B$2:$J$61,9,FALSE()),""))</f>
      </c>
    </row>
    <row r="10505">
      <c r="E10505">
        <f>IF(DATOS!$I10505="","",IFERROR(VLOOKUP(DATOS!$I10505,CONFIG_ASIGNATURAS!$B$2:$J$61,9,FALSE()),""))</f>
      </c>
    </row>
    <row r="10506">
      <c r="E10506">
        <f>IF(DATOS!$I10506="","",IFERROR(VLOOKUP(DATOS!$I10506,CONFIG_ASIGNATURAS!$B$2:$J$61,9,FALSE()),""))</f>
      </c>
    </row>
    <row r="10507">
      <c r="E10507">
        <f>IF(DATOS!$I10507="","",IFERROR(VLOOKUP(DATOS!$I10507,CONFIG_ASIGNATURAS!$B$2:$J$61,9,FALSE()),""))</f>
      </c>
    </row>
    <row r="10508">
      <c r="E10508">
        <f>IF(DATOS!$I10508="","",IFERROR(VLOOKUP(DATOS!$I10508,CONFIG_ASIGNATURAS!$B$2:$J$61,9,FALSE()),""))</f>
      </c>
    </row>
    <row r="10509">
      <c r="E10509">
        <f>IF(DATOS!$I10509="","",IFERROR(VLOOKUP(DATOS!$I10509,CONFIG_ASIGNATURAS!$B$2:$J$61,9,FALSE()),""))</f>
      </c>
    </row>
    <row r="10510">
      <c r="E10510">
        <f>IF(DATOS!$I10510="","",IFERROR(VLOOKUP(DATOS!$I10510,CONFIG_ASIGNATURAS!$B$2:$J$61,9,FALSE()),""))</f>
      </c>
    </row>
    <row r="10511">
      <c r="E10511">
        <f>IF(DATOS!$I10511="","",IFERROR(VLOOKUP(DATOS!$I10511,CONFIG_ASIGNATURAS!$B$2:$J$61,9,FALSE()),""))</f>
      </c>
    </row>
    <row r="10512">
      <c r="E10512">
        <f>IF(DATOS!$I10512="","",IFERROR(VLOOKUP(DATOS!$I10512,CONFIG_ASIGNATURAS!$B$2:$J$61,9,FALSE()),""))</f>
      </c>
    </row>
    <row r="10513">
      <c r="E10513">
        <f>IF(DATOS!$I10513="","",IFERROR(VLOOKUP(DATOS!$I10513,CONFIG_ASIGNATURAS!$B$2:$J$61,9,FALSE()),""))</f>
      </c>
    </row>
    <row r="10514">
      <c r="E10514">
        <f>IF(DATOS!$I10514="","",IFERROR(VLOOKUP(DATOS!$I10514,CONFIG_ASIGNATURAS!$B$2:$J$61,9,FALSE()),""))</f>
      </c>
    </row>
    <row r="10515">
      <c r="E10515">
        <f>IF(DATOS!$I10515="","",IFERROR(VLOOKUP(DATOS!$I10515,CONFIG_ASIGNATURAS!$B$2:$J$61,9,FALSE()),""))</f>
      </c>
    </row>
    <row r="10516">
      <c r="E10516">
        <f>IF(DATOS!$I10516="","",IFERROR(VLOOKUP(DATOS!$I10516,CONFIG_ASIGNATURAS!$B$2:$J$61,9,FALSE()),""))</f>
      </c>
    </row>
    <row r="10517">
      <c r="E10517">
        <f>IF(DATOS!$I10517="","",IFERROR(VLOOKUP(DATOS!$I10517,CONFIG_ASIGNATURAS!$B$2:$J$61,9,FALSE()),""))</f>
      </c>
    </row>
    <row r="10518">
      <c r="E10518">
        <f>IF(DATOS!$I10518="","",IFERROR(VLOOKUP(DATOS!$I10518,CONFIG_ASIGNATURAS!$B$2:$J$61,9,FALSE()),""))</f>
      </c>
    </row>
    <row r="10519">
      <c r="E10519">
        <f>IF(DATOS!$I10519="","",IFERROR(VLOOKUP(DATOS!$I10519,CONFIG_ASIGNATURAS!$B$2:$J$61,9,FALSE()),""))</f>
      </c>
    </row>
    <row r="10520">
      <c r="E10520">
        <f>IF(DATOS!$I10520="","",IFERROR(VLOOKUP(DATOS!$I10520,CONFIG_ASIGNATURAS!$B$2:$J$61,9,FALSE()),""))</f>
      </c>
    </row>
    <row r="10521">
      <c r="E10521">
        <f>IF(DATOS!$I10521="","",IFERROR(VLOOKUP(DATOS!$I10521,CONFIG_ASIGNATURAS!$B$2:$J$61,9,FALSE()),""))</f>
      </c>
    </row>
    <row r="10522">
      <c r="E10522">
        <f>IF(DATOS!$I10522="","",IFERROR(VLOOKUP(DATOS!$I10522,CONFIG_ASIGNATURAS!$B$2:$J$61,9,FALSE()),""))</f>
      </c>
    </row>
    <row r="10523">
      <c r="E10523">
        <f>IF(DATOS!$I10523="","",IFERROR(VLOOKUP(DATOS!$I10523,CONFIG_ASIGNATURAS!$B$2:$J$61,9,FALSE()),""))</f>
      </c>
    </row>
    <row r="10524">
      <c r="E10524">
        <f>IF(DATOS!$I10524="","",IFERROR(VLOOKUP(DATOS!$I10524,CONFIG_ASIGNATURAS!$B$2:$J$61,9,FALSE()),""))</f>
      </c>
    </row>
    <row r="10525">
      <c r="E10525">
        <f>IF(DATOS!$I10525="","",IFERROR(VLOOKUP(DATOS!$I10525,CONFIG_ASIGNATURAS!$B$2:$J$61,9,FALSE()),""))</f>
      </c>
    </row>
    <row r="10526">
      <c r="E10526">
        <f>IF(DATOS!$I10526="","",IFERROR(VLOOKUP(DATOS!$I10526,CONFIG_ASIGNATURAS!$B$2:$J$61,9,FALSE()),""))</f>
      </c>
    </row>
    <row r="10527">
      <c r="E10527">
        <f>IF(DATOS!$I10527="","",IFERROR(VLOOKUP(DATOS!$I10527,CONFIG_ASIGNATURAS!$B$2:$J$61,9,FALSE()),""))</f>
      </c>
    </row>
    <row r="10528">
      <c r="E10528">
        <f>IF(DATOS!$I10528="","",IFERROR(VLOOKUP(DATOS!$I10528,CONFIG_ASIGNATURAS!$B$2:$J$61,9,FALSE()),""))</f>
      </c>
    </row>
    <row r="10529">
      <c r="E10529">
        <f>IF(DATOS!$I10529="","",IFERROR(VLOOKUP(DATOS!$I10529,CONFIG_ASIGNATURAS!$B$2:$J$61,9,FALSE()),""))</f>
      </c>
    </row>
    <row r="10530">
      <c r="E10530">
        <f>IF(DATOS!$I10530="","",IFERROR(VLOOKUP(DATOS!$I10530,CONFIG_ASIGNATURAS!$B$2:$J$61,9,FALSE()),""))</f>
      </c>
    </row>
    <row r="10531">
      <c r="E10531">
        <f>IF(DATOS!$I10531="","",IFERROR(VLOOKUP(DATOS!$I10531,CONFIG_ASIGNATURAS!$B$2:$J$61,9,FALSE()),""))</f>
      </c>
    </row>
    <row r="10532">
      <c r="E10532">
        <f>IF(DATOS!$I10532="","",IFERROR(VLOOKUP(DATOS!$I10532,CONFIG_ASIGNATURAS!$B$2:$J$61,9,FALSE()),""))</f>
      </c>
    </row>
    <row r="10533">
      <c r="E10533">
        <f>IF(DATOS!$I10533="","",IFERROR(VLOOKUP(DATOS!$I10533,CONFIG_ASIGNATURAS!$B$2:$J$61,9,FALSE()),""))</f>
      </c>
    </row>
    <row r="10534">
      <c r="E10534">
        <f>IF(DATOS!$I10534="","",IFERROR(VLOOKUP(DATOS!$I10534,CONFIG_ASIGNATURAS!$B$2:$J$61,9,FALSE()),""))</f>
      </c>
    </row>
    <row r="10535">
      <c r="E10535">
        <f>IF(DATOS!$I10535="","",IFERROR(VLOOKUP(DATOS!$I10535,CONFIG_ASIGNATURAS!$B$2:$J$61,9,FALSE()),""))</f>
      </c>
    </row>
    <row r="10536">
      <c r="E10536">
        <f>IF(DATOS!$I10536="","",IFERROR(VLOOKUP(DATOS!$I10536,CONFIG_ASIGNATURAS!$B$2:$J$61,9,FALSE()),""))</f>
      </c>
    </row>
    <row r="10537">
      <c r="E10537">
        <f>IF(DATOS!$I10537="","",IFERROR(VLOOKUP(DATOS!$I10537,CONFIG_ASIGNATURAS!$B$2:$J$61,9,FALSE()),""))</f>
      </c>
    </row>
    <row r="10538">
      <c r="E10538">
        <f>IF(DATOS!$I10538="","",IFERROR(VLOOKUP(DATOS!$I10538,CONFIG_ASIGNATURAS!$B$2:$J$61,9,FALSE()),""))</f>
      </c>
    </row>
    <row r="10539">
      <c r="E10539">
        <f>IF(DATOS!$I10539="","",IFERROR(VLOOKUP(DATOS!$I10539,CONFIG_ASIGNATURAS!$B$2:$J$61,9,FALSE()),""))</f>
      </c>
    </row>
    <row r="10540">
      <c r="E10540">
        <f>IF(DATOS!$I10540="","",IFERROR(VLOOKUP(DATOS!$I10540,CONFIG_ASIGNATURAS!$B$2:$J$61,9,FALSE()),""))</f>
      </c>
    </row>
    <row r="10541">
      <c r="E10541">
        <f>IF(DATOS!$I10541="","",IFERROR(VLOOKUP(DATOS!$I10541,CONFIG_ASIGNATURAS!$B$2:$J$61,9,FALSE()),""))</f>
      </c>
    </row>
    <row r="10542">
      <c r="E10542">
        <f>IF(DATOS!$I10542="","",IFERROR(VLOOKUP(DATOS!$I10542,CONFIG_ASIGNATURAS!$B$2:$J$61,9,FALSE()),""))</f>
      </c>
    </row>
    <row r="10543">
      <c r="E10543">
        <f>IF(DATOS!$I10543="","",IFERROR(VLOOKUP(DATOS!$I10543,CONFIG_ASIGNATURAS!$B$2:$J$61,9,FALSE()),""))</f>
      </c>
    </row>
    <row r="10544">
      <c r="E10544">
        <f>IF(DATOS!$I10544="","",IFERROR(VLOOKUP(DATOS!$I10544,CONFIG_ASIGNATURAS!$B$2:$J$61,9,FALSE()),""))</f>
      </c>
    </row>
    <row r="10545">
      <c r="E10545">
        <f>IF(DATOS!$I10545="","",IFERROR(VLOOKUP(DATOS!$I10545,CONFIG_ASIGNATURAS!$B$2:$J$61,9,FALSE()),""))</f>
      </c>
    </row>
    <row r="10546">
      <c r="E10546">
        <f>IF(DATOS!$I10546="","",IFERROR(VLOOKUP(DATOS!$I10546,CONFIG_ASIGNATURAS!$B$2:$J$61,9,FALSE()),""))</f>
      </c>
    </row>
    <row r="10547">
      <c r="E10547">
        <f>IF(DATOS!$I10547="","",IFERROR(VLOOKUP(DATOS!$I10547,CONFIG_ASIGNATURAS!$B$2:$J$61,9,FALSE()),""))</f>
      </c>
    </row>
    <row r="10548">
      <c r="E10548">
        <f>IF(DATOS!$I10548="","",IFERROR(VLOOKUP(DATOS!$I10548,CONFIG_ASIGNATURAS!$B$2:$J$61,9,FALSE()),""))</f>
      </c>
    </row>
    <row r="10549">
      <c r="E10549">
        <f>IF(DATOS!$I10549="","",IFERROR(VLOOKUP(DATOS!$I10549,CONFIG_ASIGNATURAS!$B$2:$J$61,9,FALSE()),""))</f>
      </c>
    </row>
    <row r="10550">
      <c r="E10550">
        <f>IF(DATOS!$I10550="","",IFERROR(VLOOKUP(DATOS!$I10550,CONFIG_ASIGNATURAS!$B$2:$J$61,9,FALSE()),""))</f>
      </c>
    </row>
    <row r="10551">
      <c r="E10551">
        <f>IF(DATOS!$I10551="","",IFERROR(VLOOKUP(DATOS!$I10551,CONFIG_ASIGNATURAS!$B$2:$J$61,9,FALSE()),""))</f>
      </c>
    </row>
    <row r="10552">
      <c r="E10552">
        <f>IF(DATOS!$I10552="","",IFERROR(VLOOKUP(DATOS!$I10552,CONFIG_ASIGNATURAS!$B$2:$J$61,9,FALSE()),""))</f>
      </c>
    </row>
    <row r="10553">
      <c r="E10553">
        <f>IF(DATOS!$I10553="","",IFERROR(VLOOKUP(DATOS!$I10553,CONFIG_ASIGNATURAS!$B$2:$J$61,9,FALSE()),""))</f>
      </c>
    </row>
    <row r="10554">
      <c r="E10554">
        <f>IF(DATOS!$I10554="","",IFERROR(VLOOKUP(DATOS!$I10554,CONFIG_ASIGNATURAS!$B$2:$J$61,9,FALSE()),""))</f>
      </c>
    </row>
    <row r="10555">
      <c r="E10555">
        <f>IF(DATOS!$I10555="","",IFERROR(VLOOKUP(DATOS!$I10555,CONFIG_ASIGNATURAS!$B$2:$J$61,9,FALSE()),""))</f>
      </c>
    </row>
    <row r="10556">
      <c r="E10556">
        <f>IF(DATOS!$I10556="","",IFERROR(VLOOKUP(DATOS!$I10556,CONFIG_ASIGNATURAS!$B$2:$J$61,9,FALSE()),""))</f>
      </c>
    </row>
    <row r="10557">
      <c r="E10557">
        <f>IF(DATOS!$I10557="","",IFERROR(VLOOKUP(DATOS!$I10557,CONFIG_ASIGNATURAS!$B$2:$J$61,9,FALSE()),""))</f>
      </c>
    </row>
    <row r="10558">
      <c r="E10558">
        <f>IF(DATOS!$I10558="","",IFERROR(VLOOKUP(DATOS!$I10558,CONFIG_ASIGNATURAS!$B$2:$J$61,9,FALSE()),""))</f>
      </c>
    </row>
    <row r="10559">
      <c r="E10559">
        <f>IF(DATOS!$I10559="","",IFERROR(VLOOKUP(DATOS!$I10559,CONFIG_ASIGNATURAS!$B$2:$J$61,9,FALSE()),""))</f>
      </c>
    </row>
    <row r="10560">
      <c r="E10560">
        <f>IF(DATOS!$I10560="","",IFERROR(VLOOKUP(DATOS!$I10560,CONFIG_ASIGNATURAS!$B$2:$J$61,9,FALSE()),""))</f>
      </c>
    </row>
    <row r="10561">
      <c r="E10561">
        <f>IF(DATOS!$I10561="","",IFERROR(VLOOKUP(DATOS!$I10561,CONFIG_ASIGNATURAS!$B$2:$J$61,9,FALSE()),""))</f>
      </c>
    </row>
    <row r="10562">
      <c r="E10562">
        <f>IF(DATOS!$I10562="","",IFERROR(VLOOKUP(DATOS!$I10562,CONFIG_ASIGNATURAS!$B$2:$J$61,9,FALSE()),""))</f>
      </c>
    </row>
    <row r="10563">
      <c r="E10563">
        <f>IF(DATOS!$I10563="","",IFERROR(VLOOKUP(DATOS!$I10563,CONFIG_ASIGNATURAS!$B$2:$J$61,9,FALSE()),""))</f>
      </c>
    </row>
    <row r="10564">
      <c r="E10564">
        <f>IF(DATOS!$I10564="","",IFERROR(VLOOKUP(DATOS!$I10564,CONFIG_ASIGNATURAS!$B$2:$J$61,9,FALSE()),""))</f>
      </c>
    </row>
    <row r="10565">
      <c r="E10565">
        <f>IF(DATOS!$I10565="","",IFERROR(VLOOKUP(DATOS!$I10565,CONFIG_ASIGNATURAS!$B$2:$J$61,9,FALSE()),""))</f>
      </c>
    </row>
    <row r="10566">
      <c r="E10566">
        <f>IF(DATOS!$I10566="","",IFERROR(VLOOKUP(DATOS!$I10566,CONFIG_ASIGNATURAS!$B$2:$J$61,9,FALSE()),""))</f>
      </c>
    </row>
    <row r="10567">
      <c r="E10567">
        <f>IF(DATOS!$I10567="","",IFERROR(VLOOKUP(DATOS!$I10567,CONFIG_ASIGNATURAS!$B$2:$J$61,9,FALSE()),""))</f>
      </c>
    </row>
    <row r="10568">
      <c r="E10568">
        <f>IF(DATOS!$I10568="","",IFERROR(VLOOKUP(DATOS!$I10568,CONFIG_ASIGNATURAS!$B$2:$J$61,9,FALSE()),""))</f>
      </c>
    </row>
    <row r="10569">
      <c r="E10569">
        <f>IF(DATOS!$I10569="","",IFERROR(VLOOKUP(DATOS!$I10569,CONFIG_ASIGNATURAS!$B$2:$J$61,9,FALSE()),""))</f>
      </c>
    </row>
    <row r="10570">
      <c r="E10570">
        <f>IF(DATOS!$I10570="","",IFERROR(VLOOKUP(DATOS!$I10570,CONFIG_ASIGNATURAS!$B$2:$J$61,9,FALSE()),""))</f>
      </c>
    </row>
    <row r="10571">
      <c r="E10571">
        <f>IF(DATOS!$I10571="","",IFERROR(VLOOKUP(DATOS!$I10571,CONFIG_ASIGNATURAS!$B$2:$J$61,9,FALSE()),""))</f>
      </c>
    </row>
    <row r="10572">
      <c r="E10572">
        <f>IF(DATOS!$I10572="","",IFERROR(VLOOKUP(DATOS!$I10572,CONFIG_ASIGNATURAS!$B$2:$J$61,9,FALSE()),""))</f>
      </c>
    </row>
    <row r="10573">
      <c r="E10573">
        <f>IF(DATOS!$I10573="","",IFERROR(VLOOKUP(DATOS!$I10573,CONFIG_ASIGNATURAS!$B$2:$J$61,9,FALSE()),""))</f>
      </c>
    </row>
    <row r="10574">
      <c r="E10574">
        <f>IF(DATOS!$I10574="","",IFERROR(VLOOKUP(DATOS!$I10574,CONFIG_ASIGNATURAS!$B$2:$J$61,9,FALSE()),""))</f>
      </c>
    </row>
    <row r="10575">
      <c r="E10575">
        <f>IF(DATOS!$I10575="","",IFERROR(VLOOKUP(DATOS!$I10575,CONFIG_ASIGNATURAS!$B$2:$J$61,9,FALSE()),""))</f>
      </c>
    </row>
    <row r="10576">
      <c r="E10576">
        <f>IF(DATOS!$I10576="","",IFERROR(VLOOKUP(DATOS!$I10576,CONFIG_ASIGNATURAS!$B$2:$J$61,9,FALSE()),""))</f>
      </c>
    </row>
    <row r="10577">
      <c r="E10577">
        <f>IF(DATOS!$I10577="","",IFERROR(VLOOKUP(DATOS!$I10577,CONFIG_ASIGNATURAS!$B$2:$J$61,9,FALSE()),""))</f>
      </c>
    </row>
    <row r="10578">
      <c r="E10578">
        <f>IF(DATOS!$I10578="","",IFERROR(VLOOKUP(DATOS!$I10578,CONFIG_ASIGNATURAS!$B$2:$J$61,9,FALSE()),""))</f>
      </c>
    </row>
    <row r="10579">
      <c r="E10579">
        <f>IF(DATOS!$I10579="","",IFERROR(VLOOKUP(DATOS!$I10579,CONFIG_ASIGNATURAS!$B$2:$J$61,9,FALSE()),""))</f>
      </c>
    </row>
    <row r="10580">
      <c r="E10580">
        <f>IF(DATOS!$I10580="","",IFERROR(VLOOKUP(DATOS!$I10580,CONFIG_ASIGNATURAS!$B$2:$J$61,9,FALSE()),""))</f>
      </c>
    </row>
    <row r="10581">
      <c r="E10581">
        <f>IF(DATOS!$I10581="","",IFERROR(VLOOKUP(DATOS!$I10581,CONFIG_ASIGNATURAS!$B$2:$J$61,9,FALSE()),""))</f>
      </c>
    </row>
    <row r="10582">
      <c r="E10582">
        <f>IF(DATOS!$I10582="","",IFERROR(VLOOKUP(DATOS!$I10582,CONFIG_ASIGNATURAS!$B$2:$J$61,9,FALSE()),""))</f>
      </c>
    </row>
    <row r="10583">
      <c r="E10583">
        <f>IF(DATOS!$I10583="","",IFERROR(VLOOKUP(DATOS!$I10583,CONFIG_ASIGNATURAS!$B$2:$J$61,9,FALSE()),""))</f>
      </c>
    </row>
    <row r="10584">
      <c r="E10584">
        <f>IF(DATOS!$I10584="","",IFERROR(VLOOKUP(DATOS!$I10584,CONFIG_ASIGNATURAS!$B$2:$J$61,9,FALSE()),""))</f>
      </c>
    </row>
    <row r="10585">
      <c r="E10585">
        <f>IF(DATOS!$I10585="","",IFERROR(VLOOKUP(DATOS!$I10585,CONFIG_ASIGNATURAS!$B$2:$J$61,9,FALSE()),""))</f>
      </c>
    </row>
    <row r="10586">
      <c r="E10586">
        <f>IF(DATOS!$I10586="","",IFERROR(VLOOKUP(DATOS!$I10586,CONFIG_ASIGNATURAS!$B$2:$J$61,9,FALSE()),""))</f>
      </c>
    </row>
    <row r="10587">
      <c r="E10587">
        <f>IF(DATOS!$I10587="","",IFERROR(VLOOKUP(DATOS!$I10587,CONFIG_ASIGNATURAS!$B$2:$J$61,9,FALSE()),""))</f>
      </c>
    </row>
    <row r="10588">
      <c r="E10588">
        <f>IF(DATOS!$I10588="","",IFERROR(VLOOKUP(DATOS!$I10588,CONFIG_ASIGNATURAS!$B$2:$J$61,9,FALSE()),""))</f>
      </c>
    </row>
    <row r="10589">
      <c r="E10589">
        <f>IF(DATOS!$I10589="","",IFERROR(VLOOKUP(DATOS!$I10589,CONFIG_ASIGNATURAS!$B$2:$J$61,9,FALSE()),""))</f>
      </c>
    </row>
    <row r="10590">
      <c r="E10590">
        <f>IF(DATOS!$I10590="","",IFERROR(VLOOKUP(DATOS!$I10590,CONFIG_ASIGNATURAS!$B$2:$J$61,9,FALSE()),""))</f>
      </c>
    </row>
    <row r="10591">
      <c r="E10591">
        <f>IF(DATOS!$I10591="","",IFERROR(VLOOKUP(DATOS!$I10591,CONFIG_ASIGNATURAS!$B$2:$J$61,9,FALSE()),""))</f>
      </c>
    </row>
    <row r="10592">
      <c r="E10592">
        <f>IF(DATOS!$I10592="","",IFERROR(VLOOKUP(DATOS!$I10592,CONFIG_ASIGNATURAS!$B$2:$J$61,9,FALSE()),""))</f>
      </c>
    </row>
    <row r="10593">
      <c r="E10593">
        <f>IF(DATOS!$I10593="","",IFERROR(VLOOKUP(DATOS!$I10593,CONFIG_ASIGNATURAS!$B$2:$J$61,9,FALSE()),""))</f>
      </c>
    </row>
    <row r="10594">
      <c r="E10594">
        <f>IF(DATOS!$I10594="","",IFERROR(VLOOKUP(DATOS!$I10594,CONFIG_ASIGNATURAS!$B$2:$J$61,9,FALSE()),""))</f>
      </c>
    </row>
    <row r="10595">
      <c r="E10595">
        <f>IF(DATOS!$I10595="","",IFERROR(VLOOKUP(DATOS!$I10595,CONFIG_ASIGNATURAS!$B$2:$J$61,9,FALSE()),""))</f>
      </c>
    </row>
    <row r="10596">
      <c r="E10596">
        <f>IF(DATOS!$I10596="","",IFERROR(VLOOKUP(DATOS!$I10596,CONFIG_ASIGNATURAS!$B$2:$J$61,9,FALSE()),""))</f>
      </c>
    </row>
    <row r="10597">
      <c r="E10597">
        <f>IF(DATOS!$I10597="","",IFERROR(VLOOKUP(DATOS!$I10597,CONFIG_ASIGNATURAS!$B$2:$J$61,9,FALSE()),""))</f>
      </c>
    </row>
    <row r="10598">
      <c r="E10598">
        <f>IF(DATOS!$I10598="","",IFERROR(VLOOKUP(DATOS!$I10598,CONFIG_ASIGNATURAS!$B$2:$J$61,9,FALSE()),""))</f>
      </c>
    </row>
    <row r="10599">
      <c r="E10599">
        <f>IF(DATOS!$I10599="","",IFERROR(VLOOKUP(DATOS!$I10599,CONFIG_ASIGNATURAS!$B$2:$J$61,9,FALSE()),""))</f>
      </c>
    </row>
    <row r="10600">
      <c r="E10600">
        <f>IF(DATOS!$I10600="","",IFERROR(VLOOKUP(DATOS!$I10600,CONFIG_ASIGNATURAS!$B$2:$J$61,9,FALSE()),""))</f>
      </c>
    </row>
    <row r="10601">
      <c r="E10601">
        <f>IF(DATOS!$I10601="","",IFERROR(VLOOKUP(DATOS!$I10601,CONFIG_ASIGNATURAS!$B$2:$J$61,9,FALSE()),""))</f>
      </c>
    </row>
    <row r="10602">
      <c r="E10602">
        <f>IF(DATOS!$I10602="","",IFERROR(VLOOKUP(DATOS!$I10602,CONFIG_ASIGNATURAS!$B$2:$J$61,9,FALSE()),""))</f>
      </c>
    </row>
    <row r="10603">
      <c r="E10603">
        <f>IF(DATOS!$I10603="","",IFERROR(VLOOKUP(DATOS!$I10603,CONFIG_ASIGNATURAS!$B$2:$J$61,9,FALSE()),""))</f>
      </c>
    </row>
    <row r="10604">
      <c r="E10604">
        <f>IF(DATOS!$I10604="","",IFERROR(VLOOKUP(DATOS!$I10604,CONFIG_ASIGNATURAS!$B$2:$J$61,9,FALSE()),""))</f>
      </c>
    </row>
    <row r="10605">
      <c r="E10605">
        <f>IF(DATOS!$I10605="","",IFERROR(VLOOKUP(DATOS!$I10605,CONFIG_ASIGNATURAS!$B$2:$J$61,9,FALSE()),""))</f>
      </c>
    </row>
    <row r="10606">
      <c r="E10606">
        <f>IF(DATOS!$I10606="","",IFERROR(VLOOKUP(DATOS!$I10606,CONFIG_ASIGNATURAS!$B$2:$J$61,9,FALSE()),""))</f>
      </c>
    </row>
    <row r="10607">
      <c r="E10607">
        <f>IF(DATOS!$I10607="","",IFERROR(VLOOKUP(DATOS!$I10607,CONFIG_ASIGNATURAS!$B$2:$J$61,9,FALSE()),""))</f>
      </c>
    </row>
    <row r="10608">
      <c r="E10608">
        <f>IF(DATOS!$I10608="","",IFERROR(VLOOKUP(DATOS!$I10608,CONFIG_ASIGNATURAS!$B$2:$J$61,9,FALSE()),""))</f>
      </c>
    </row>
    <row r="10609">
      <c r="E10609">
        <f>IF(DATOS!$I10609="","",IFERROR(VLOOKUP(DATOS!$I10609,CONFIG_ASIGNATURAS!$B$2:$J$61,9,FALSE()),""))</f>
      </c>
    </row>
    <row r="10610">
      <c r="E10610">
        <f>IF(DATOS!$I10610="","",IFERROR(VLOOKUP(DATOS!$I10610,CONFIG_ASIGNATURAS!$B$2:$J$61,9,FALSE()),""))</f>
      </c>
    </row>
    <row r="10611">
      <c r="E10611">
        <f>IF(DATOS!$I10611="","",IFERROR(VLOOKUP(DATOS!$I10611,CONFIG_ASIGNATURAS!$B$2:$J$61,9,FALSE()),""))</f>
      </c>
    </row>
    <row r="10612">
      <c r="E10612">
        <f>IF(DATOS!$I10612="","",IFERROR(VLOOKUP(DATOS!$I10612,CONFIG_ASIGNATURAS!$B$2:$J$61,9,FALSE()),""))</f>
      </c>
    </row>
    <row r="10613">
      <c r="E10613">
        <f>IF(DATOS!$I10613="","",IFERROR(VLOOKUP(DATOS!$I10613,CONFIG_ASIGNATURAS!$B$2:$J$61,9,FALSE()),""))</f>
      </c>
    </row>
    <row r="10614">
      <c r="E10614">
        <f>IF(DATOS!$I10614="","",IFERROR(VLOOKUP(DATOS!$I10614,CONFIG_ASIGNATURAS!$B$2:$J$61,9,FALSE()),""))</f>
      </c>
    </row>
    <row r="10615">
      <c r="E10615">
        <f>IF(DATOS!$I10615="","",IFERROR(VLOOKUP(DATOS!$I10615,CONFIG_ASIGNATURAS!$B$2:$J$61,9,FALSE()),""))</f>
      </c>
    </row>
    <row r="10616">
      <c r="E10616">
        <f>IF(DATOS!$I10616="","",IFERROR(VLOOKUP(DATOS!$I10616,CONFIG_ASIGNATURAS!$B$2:$J$61,9,FALSE()),""))</f>
      </c>
    </row>
    <row r="10617">
      <c r="E10617">
        <f>IF(DATOS!$I10617="","",IFERROR(VLOOKUP(DATOS!$I10617,CONFIG_ASIGNATURAS!$B$2:$J$61,9,FALSE()),""))</f>
      </c>
    </row>
    <row r="10618">
      <c r="E10618">
        <f>IF(DATOS!$I10618="","",IFERROR(VLOOKUP(DATOS!$I10618,CONFIG_ASIGNATURAS!$B$2:$J$61,9,FALSE()),""))</f>
      </c>
    </row>
    <row r="10619">
      <c r="E10619">
        <f>IF(DATOS!$I10619="","",IFERROR(VLOOKUP(DATOS!$I10619,CONFIG_ASIGNATURAS!$B$2:$J$61,9,FALSE()),""))</f>
      </c>
    </row>
    <row r="10620">
      <c r="E10620">
        <f>IF(DATOS!$I10620="","",IFERROR(VLOOKUP(DATOS!$I10620,CONFIG_ASIGNATURAS!$B$2:$J$61,9,FALSE()),""))</f>
      </c>
    </row>
    <row r="10621">
      <c r="E10621">
        <f>IF(DATOS!$I10621="","",IFERROR(VLOOKUP(DATOS!$I10621,CONFIG_ASIGNATURAS!$B$2:$J$61,9,FALSE()),""))</f>
      </c>
    </row>
    <row r="10622">
      <c r="E10622">
        <f>IF(DATOS!$I10622="","",IFERROR(VLOOKUP(DATOS!$I10622,CONFIG_ASIGNATURAS!$B$2:$J$61,9,FALSE()),""))</f>
      </c>
    </row>
    <row r="10623">
      <c r="E10623">
        <f>IF(DATOS!$I10623="","",IFERROR(VLOOKUP(DATOS!$I10623,CONFIG_ASIGNATURAS!$B$2:$J$61,9,FALSE()),""))</f>
      </c>
    </row>
    <row r="10624">
      <c r="E10624">
        <f>IF(DATOS!$I10624="","",IFERROR(VLOOKUP(DATOS!$I10624,CONFIG_ASIGNATURAS!$B$2:$J$61,9,FALSE()),""))</f>
      </c>
    </row>
    <row r="10625">
      <c r="E10625">
        <f>IF(DATOS!$I10625="","",IFERROR(VLOOKUP(DATOS!$I10625,CONFIG_ASIGNATURAS!$B$2:$J$61,9,FALSE()),""))</f>
      </c>
    </row>
    <row r="10626">
      <c r="E10626">
        <f>IF(DATOS!$I10626="","",IFERROR(VLOOKUP(DATOS!$I10626,CONFIG_ASIGNATURAS!$B$2:$J$61,9,FALSE()),""))</f>
      </c>
    </row>
    <row r="10627">
      <c r="E10627">
        <f>IF(DATOS!$I10627="","",IFERROR(VLOOKUP(DATOS!$I10627,CONFIG_ASIGNATURAS!$B$2:$J$61,9,FALSE()),""))</f>
      </c>
    </row>
    <row r="10628">
      <c r="E10628">
        <f>IF(DATOS!$I10628="","",IFERROR(VLOOKUP(DATOS!$I10628,CONFIG_ASIGNATURAS!$B$2:$J$61,9,FALSE()),""))</f>
      </c>
    </row>
    <row r="10629">
      <c r="E10629">
        <f>IF(DATOS!$I10629="","",IFERROR(VLOOKUP(DATOS!$I10629,CONFIG_ASIGNATURAS!$B$2:$J$61,9,FALSE()),""))</f>
      </c>
    </row>
    <row r="10630">
      <c r="E10630">
        <f>IF(DATOS!$I10630="","",IFERROR(VLOOKUP(DATOS!$I10630,CONFIG_ASIGNATURAS!$B$2:$J$61,9,FALSE()),""))</f>
      </c>
    </row>
    <row r="10631">
      <c r="E10631">
        <f>IF(DATOS!$I10631="","",IFERROR(VLOOKUP(DATOS!$I10631,CONFIG_ASIGNATURAS!$B$2:$J$61,9,FALSE()),""))</f>
      </c>
    </row>
    <row r="10632">
      <c r="E10632">
        <f>IF(DATOS!$I10632="","",IFERROR(VLOOKUP(DATOS!$I10632,CONFIG_ASIGNATURAS!$B$2:$J$61,9,FALSE()),""))</f>
      </c>
    </row>
    <row r="10633">
      <c r="E10633">
        <f>IF(DATOS!$I10633="","",IFERROR(VLOOKUP(DATOS!$I10633,CONFIG_ASIGNATURAS!$B$2:$J$61,9,FALSE()),""))</f>
      </c>
    </row>
    <row r="10634">
      <c r="E10634">
        <f>IF(DATOS!$I10634="","",IFERROR(VLOOKUP(DATOS!$I10634,CONFIG_ASIGNATURAS!$B$2:$J$61,9,FALSE()),""))</f>
      </c>
    </row>
    <row r="10635">
      <c r="E10635">
        <f>IF(DATOS!$I10635="","",IFERROR(VLOOKUP(DATOS!$I10635,CONFIG_ASIGNATURAS!$B$2:$J$61,9,FALSE()),""))</f>
      </c>
    </row>
    <row r="10636">
      <c r="E10636">
        <f>IF(DATOS!$I10636="","",IFERROR(VLOOKUP(DATOS!$I10636,CONFIG_ASIGNATURAS!$B$2:$J$61,9,FALSE()),""))</f>
      </c>
    </row>
    <row r="10637">
      <c r="E10637">
        <f>IF(DATOS!$I10637="","",IFERROR(VLOOKUP(DATOS!$I10637,CONFIG_ASIGNATURAS!$B$2:$J$61,9,FALSE()),""))</f>
      </c>
    </row>
    <row r="10638">
      <c r="E10638">
        <f>IF(DATOS!$I10638="","",IFERROR(VLOOKUP(DATOS!$I10638,CONFIG_ASIGNATURAS!$B$2:$J$61,9,FALSE()),""))</f>
      </c>
    </row>
    <row r="10639">
      <c r="E10639">
        <f>IF(DATOS!$I10639="","",IFERROR(VLOOKUP(DATOS!$I10639,CONFIG_ASIGNATURAS!$B$2:$J$61,9,FALSE()),""))</f>
      </c>
    </row>
    <row r="10640">
      <c r="E10640">
        <f>IF(DATOS!$I10640="","",IFERROR(VLOOKUP(DATOS!$I10640,CONFIG_ASIGNATURAS!$B$2:$J$61,9,FALSE()),""))</f>
      </c>
    </row>
    <row r="10641">
      <c r="E10641">
        <f>IF(DATOS!$I10641="","",IFERROR(VLOOKUP(DATOS!$I10641,CONFIG_ASIGNATURAS!$B$2:$J$61,9,FALSE()),""))</f>
      </c>
    </row>
    <row r="10642">
      <c r="E10642">
        <f>IF(DATOS!$I10642="","",IFERROR(VLOOKUP(DATOS!$I10642,CONFIG_ASIGNATURAS!$B$2:$J$61,9,FALSE()),""))</f>
      </c>
    </row>
    <row r="10643">
      <c r="E10643">
        <f>IF(DATOS!$I10643="","",IFERROR(VLOOKUP(DATOS!$I10643,CONFIG_ASIGNATURAS!$B$2:$J$61,9,FALSE()),""))</f>
      </c>
    </row>
    <row r="10644">
      <c r="E10644">
        <f>IF(DATOS!$I10644="","",IFERROR(VLOOKUP(DATOS!$I10644,CONFIG_ASIGNATURAS!$B$2:$J$61,9,FALSE()),""))</f>
      </c>
    </row>
    <row r="10645">
      <c r="E10645">
        <f>IF(DATOS!$I10645="","",IFERROR(VLOOKUP(DATOS!$I10645,CONFIG_ASIGNATURAS!$B$2:$J$61,9,FALSE()),""))</f>
      </c>
    </row>
    <row r="10646">
      <c r="E10646">
        <f>IF(DATOS!$I10646="","",IFERROR(VLOOKUP(DATOS!$I10646,CONFIG_ASIGNATURAS!$B$2:$J$61,9,FALSE()),""))</f>
      </c>
    </row>
    <row r="10647">
      <c r="E10647">
        <f>IF(DATOS!$I10647="","",IFERROR(VLOOKUP(DATOS!$I10647,CONFIG_ASIGNATURAS!$B$2:$J$61,9,FALSE()),""))</f>
      </c>
    </row>
    <row r="10648">
      <c r="E10648">
        <f>IF(DATOS!$I10648="","",IFERROR(VLOOKUP(DATOS!$I10648,CONFIG_ASIGNATURAS!$B$2:$J$61,9,FALSE()),""))</f>
      </c>
    </row>
    <row r="10649">
      <c r="E10649">
        <f>IF(DATOS!$I10649="","",IFERROR(VLOOKUP(DATOS!$I10649,CONFIG_ASIGNATURAS!$B$2:$J$61,9,FALSE()),""))</f>
      </c>
    </row>
    <row r="10650">
      <c r="E10650">
        <f>IF(DATOS!$I10650="","",IFERROR(VLOOKUP(DATOS!$I10650,CONFIG_ASIGNATURAS!$B$2:$J$61,9,FALSE()),""))</f>
      </c>
    </row>
    <row r="10651">
      <c r="E10651">
        <f>IF(DATOS!$I10651="","",IFERROR(VLOOKUP(DATOS!$I10651,CONFIG_ASIGNATURAS!$B$2:$J$61,9,FALSE()),""))</f>
      </c>
    </row>
    <row r="10652">
      <c r="E10652">
        <f>IF(DATOS!$I10652="","",IFERROR(VLOOKUP(DATOS!$I10652,CONFIG_ASIGNATURAS!$B$2:$J$61,9,FALSE()),""))</f>
      </c>
    </row>
    <row r="10653">
      <c r="E10653">
        <f>IF(DATOS!$I10653="","",IFERROR(VLOOKUP(DATOS!$I10653,CONFIG_ASIGNATURAS!$B$2:$J$61,9,FALSE()),""))</f>
      </c>
    </row>
    <row r="10654">
      <c r="E10654">
        <f>IF(DATOS!$I10654="","",IFERROR(VLOOKUP(DATOS!$I10654,CONFIG_ASIGNATURAS!$B$2:$J$61,9,FALSE()),""))</f>
      </c>
    </row>
    <row r="10655">
      <c r="E10655">
        <f>IF(DATOS!$I10655="","",IFERROR(VLOOKUP(DATOS!$I10655,CONFIG_ASIGNATURAS!$B$2:$J$61,9,FALSE()),""))</f>
      </c>
    </row>
    <row r="10656">
      <c r="E10656">
        <f>IF(DATOS!$I10656="","",IFERROR(VLOOKUP(DATOS!$I10656,CONFIG_ASIGNATURAS!$B$2:$J$61,9,FALSE()),""))</f>
      </c>
    </row>
    <row r="10657">
      <c r="E10657">
        <f>IF(DATOS!$I10657="","",IFERROR(VLOOKUP(DATOS!$I10657,CONFIG_ASIGNATURAS!$B$2:$J$61,9,FALSE()),""))</f>
      </c>
    </row>
    <row r="10658">
      <c r="E10658">
        <f>IF(DATOS!$I10658="","",IFERROR(VLOOKUP(DATOS!$I10658,CONFIG_ASIGNATURAS!$B$2:$J$61,9,FALSE()),""))</f>
      </c>
    </row>
    <row r="10659">
      <c r="E10659">
        <f>IF(DATOS!$I10659="","",IFERROR(VLOOKUP(DATOS!$I10659,CONFIG_ASIGNATURAS!$B$2:$J$61,9,FALSE()),""))</f>
      </c>
    </row>
    <row r="10660">
      <c r="E10660">
        <f>IF(DATOS!$I10660="","",IFERROR(VLOOKUP(DATOS!$I10660,CONFIG_ASIGNATURAS!$B$2:$J$61,9,FALSE()),""))</f>
      </c>
    </row>
    <row r="10661">
      <c r="E10661">
        <f>IF(DATOS!$I10661="","",IFERROR(VLOOKUP(DATOS!$I10661,CONFIG_ASIGNATURAS!$B$2:$J$61,9,FALSE()),""))</f>
      </c>
    </row>
    <row r="10662">
      <c r="E10662">
        <f>IF(DATOS!$I10662="","",IFERROR(VLOOKUP(DATOS!$I10662,CONFIG_ASIGNATURAS!$B$2:$J$61,9,FALSE()),""))</f>
      </c>
    </row>
    <row r="10663">
      <c r="E10663">
        <f>IF(DATOS!$I10663="","",IFERROR(VLOOKUP(DATOS!$I10663,CONFIG_ASIGNATURAS!$B$2:$J$61,9,FALSE()),""))</f>
      </c>
    </row>
    <row r="10664">
      <c r="E10664">
        <f>IF(DATOS!$I10664="","",IFERROR(VLOOKUP(DATOS!$I10664,CONFIG_ASIGNATURAS!$B$2:$J$61,9,FALSE()),""))</f>
      </c>
    </row>
    <row r="10665">
      <c r="E10665">
        <f>IF(DATOS!$I10665="","",IFERROR(VLOOKUP(DATOS!$I10665,CONFIG_ASIGNATURAS!$B$2:$J$61,9,FALSE()),""))</f>
      </c>
    </row>
    <row r="10666">
      <c r="E10666">
        <f>IF(DATOS!$I10666="","",IFERROR(VLOOKUP(DATOS!$I10666,CONFIG_ASIGNATURAS!$B$2:$J$61,9,FALSE()),""))</f>
      </c>
    </row>
    <row r="10667">
      <c r="E10667">
        <f>IF(DATOS!$I10667="","",IFERROR(VLOOKUP(DATOS!$I10667,CONFIG_ASIGNATURAS!$B$2:$J$61,9,FALSE()),""))</f>
      </c>
    </row>
    <row r="10668">
      <c r="E10668">
        <f>IF(DATOS!$I10668="","",IFERROR(VLOOKUP(DATOS!$I10668,CONFIG_ASIGNATURAS!$B$2:$J$61,9,FALSE()),""))</f>
      </c>
    </row>
    <row r="10669">
      <c r="E10669">
        <f>IF(DATOS!$I10669="","",IFERROR(VLOOKUP(DATOS!$I10669,CONFIG_ASIGNATURAS!$B$2:$J$61,9,FALSE()),""))</f>
      </c>
    </row>
    <row r="10670">
      <c r="E10670">
        <f>IF(DATOS!$I10670="","",IFERROR(VLOOKUP(DATOS!$I10670,CONFIG_ASIGNATURAS!$B$2:$J$61,9,FALSE()),""))</f>
      </c>
    </row>
    <row r="10671">
      <c r="E10671">
        <f>IF(DATOS!$I10671="","",IFERROR(VLOOKUP(DATOS!$I10671,CONFIG_ASIGNATURAS!$B$2:$J$61,9,FALSE()),""))</f>
      </c>
    </row>
    <row r="10672">
      <c r="E10672">
        <f>IF(DATOS!$I10672="","",IFERROR(VLOOKUP(DATOS!$I10672,CONFIG_ASIGNATURAS!$B$2:$J$61,9,FALSE()),""))</f>
      </c>
    </row>
    <row r="10673">
      <c r="E10673">
        <f>IF(DATOS!$I10673="","",IFERROR(VLOOKUP(DATOS!$I10673,CONFIG_ASIGNATURAS!$B$2:$J$61,9,FALSE()),""))</f>
      </c>
    </row>
    <row r="10674">
      <c r="E10674">
        <f>IF(DATOS!$I10674="","",IFERROR(VLOOKUP(DATOS!$I10674,CONFIG_ASIGNATURAS!$B$2:$J$61,9,FALSE()),""))</f>
      </c>
    </row>
    <row r="10675">
      <c r="E10675">
        <f>IF(DATOS!$I10675="","",IFERROR(VLOOKUP(DATOS!$I10675,CONFIG_ASIGNATURAS!$B$2:$J$61,9,FALSE()),""))</f>
      </c>
    </row>
    <row r="10676">
      <c r="E10676">
        <f>IF(DATOS!$I10676="","",IFERROR(VLOOKUP(DATOS!$I10676,CONFIG_ASIGNATURAS!$B$2:$J$61,9,FALSE()),""))</f>
      </c>
    </row>
    <row r="10677">
      <c r="E10677">
        <f>IF(DATOS!$I10677="","",IFERROR(VLOOKUP(DATOS!$I10677,CONFIG_ASIGNATURAS!$B$2:$J$61,9,FALSE()),""))</f>
      </c>
    </row>
    <row r="10678">
      <c r="E10678">
        <f>IF(DATOS!$I10678="","",IFERROR(VLOOKUP(DATOS!$I10678,CONFIG_ASIGNATURAS!$B$2:$J$61,9,FALSE()),""))</f>
      </c>
    </row>
    <row r="10679">
      <c r="E10679">
        <f>IF(DATOS!$I10679="","",IFERROR(VLOOKUP(DATOS!$I10679,CONFIG_ASIGNATURAS!$B$2:$J$61,9,FALSE()),""))</f>
      </c>
    </row>
    <row r="10680">
      <c r="E10680">
        <f>IF(DATOS!$I10680="","",IFERROR(VLOOKUP(DATOS!$I10680,CONFIG_ASIGNATURAS!$B$2:$J$61,9,FALSE()),""))</f>
      </c>
    </row>
    <row r="10681">
      <c r="E10681">
        <f>IF(DATOS!$I10681="","",IFERROR(VLOOKUP(DATOS!$I10681,CONFIG_ASIGNATURAS!$B$2:$J$61,9,FALSE()),""))</f>
      </c>
    </row>
    <row r="10682">
      <c r="E10682">
        <f>IF(DATOS!$I10682="","",IFERROR(VLOOKUP(DATOS!$I10682,CONFIG_ASIGNATURAS!$B$2:$J$61,9,FALSE()),""))</f>
      </c>
    </row>
    <row r="10683">
      <c r="E10683">
        <f>IF(DATOS!$I10683="","",IFERROR(VLOOKUP(DATOS!$I10683,CONFIG_ASIGNATURAS!$B$2:$J$61,9,FALSE()),""))</f>
      </c>
    </row>
    <row r="10684">
      <c r="E10684">
        <f>IF(DATOS!$I10684="","",IFERROR(VLOOKUP(DATOS!$I10684,CONFIG_ASIGNATURAS!$B$2:$J$61,9,FALSE()),""))</f>
      </c>
    </row>
    <row r="10685">
      <c r="E10685">
        <f>IF(DATOS!$I10685="","",IFERROR(VLOOKUP(DATOS!$I10685,CONFIG_ASIGNATURAS!$B$2:$J$61,9,FALSE()),""))</f>
      </c>
    </row>
    <row r="10686">
      <c r="E10686">
        <f>IF(DATOS!$I10686="","",IFERROR(VLOOKUP(DATOS!$I10686,CONFIG_ASIGNATURAS!$B$2:$J$61,9,FALSE()),""))</f>
      </c>
    </row>
    <row r="10687">
      <c r="E10687">
        <f>IF(DATOS!$I10687="","",IFERROR(VLOOKUP(DATOS!$I10687,CONFIG_ASIGNATURAS!$B$2:$J$61,9,FALSE()),""))</f>
      </c>
    </row>
    <row r="10688">
      <c r="E10688">
        <f>IF(DATOS!$I10688="","",IFERROR(VLOOKUP(DATOS!$I10688,CONFIG_ASIGNATURAS!$B$2:$J$61,9,FALSE()),""))</f>
      </c>
    </row>
    <row r="10689">
      <c r="E10689">
        <f>IF(DATOS!$I10689="","",IFERROR(VLOOKUP(DATOS!$I10689,CONFIG_ASIGNATURAS!$B$2:$J$61,9,FALSE()),""))</f>
      </c>
    </row>
    <row r="10690">
      <c r="E10690">
        <f>IF(DATOS!$I10690="","",IFERROR(VLOOKUP(DATOS!$I10690,CONFIG_ASIGNATURAS!$B$2:$J$61,9,FALSE()),""))</f>
      </c>
    </row>
    <row r="10691">
      <c r="E10691">
        <f>IF(DATOS!$I10691="","",IFERROR(VLOOKUP(DATOS!$I10691,CONFIG_ASIGNATURAS!$B$2:$J$61,9,FALSE()),""))</f>
      </c>
    </row>
    <row r="10692">
      <c r="E10692">
        <f>IF(DATOS!$I10692="","",IFERROR(VLOOKUP(DATOS!$I10692,CONFIG_ASIGNATURAS!$B$2:$J$61,9,FALSE()),""))</f>
      </c>
    </row>
    <row r="10693">
      <c r="E10693">
        <f>IF(DATOS!$I10693="","",IFERROR(VLOOKUP(DATOS!$I10693,CONFIG_ASIGNATURAS!$B$2:$J$61,9,FALSE()),""))</f>
      </c>
    </row>
    <row r="10694">
      <c r="E10694">
        <f>IF(DATOS!$I10694="","",IFERROR(VLOOKUP(DATOS!$I10694,CONFIG_ASIGNATURAS!$B$2:$J$61,9,FALSE()),""))</f>
      </c>
    </row>
    <row r="10695">
      <c r="E10695">
        <f>IF(DATOS!$I10695="","",IFERROR(VLOOKUP(DATOS!$I10695,CONFIG_ASIGNATURAS!$B$2:$J$61,9,FALSE()),""))</f>
      </c>
    </row>
    <row r="10696">
      <c r="E10696">
        <f>IF(DATOS!$I10696="","",IFERROR(VLOOKUP(DATOS!$I10696,CONFIG_ASIGNATURAS!$B$2:$J$61,9,FALSE()),""))</f>
      </c>
    </row>
    <row r="10697">
      <c r="E10697">
        <f>IF(DATOS!$I10697="","",IFERROR(VLOOKUP(DATOS!$I10697,CONFIG_ASIGNATURAS!$B$2:$J$61,9,FALSE()),""))</f>
      </c>
    </row>
    <row r="10698">
      <c r="E10698">
        <f>IF(DATOS!$I10698="","",IFERROR(VLOOKUP(DATOS!$I10698,CONFIG_ASIGNATURAS!$B$2:$J$61,9,FALSE()),""))</f>
      </c>
    </row>
    <row r="10699">
      <c r="E10699">
        <f>IF(DATOS!$I10699="","",IFERROR(VLOOKUP(DATOS!$I10699,CONFIG_ASIGNATURAS!$B$2:$J$61,9,FALSE()),""))</f>
      </c>
    </row>
    <row r="10700">
      <c r="E10700">
        <f>IF(DATOS!$I10700="","",IFERROR(VLOOKUP(DATOS!$I10700,CONFIG_ASIGNATURAS!$B$2:$J$61,9,FALSE()),""))</f>
      </c>
    </row>
    <row r="10701">
      <c r="E10701">
        <f>IF(DATOS!$I10701="","",IFERROR(VLOOKUP(DATOS!$I10701,CONFIG_ASIGNATURAS!$B$2:$J$61,9,FALSE()),""))</f>
      </c>
    </row>
    <row r="10702">
      <c r="E10702">
        <f>IF(DATOS!$I10702="","",IFERROR(VLOOKUP(DATOS!$I10702,CONFIG_ASIGNATURAS!$B$2:$J$61,9,FALSE()),""))</f>
      </c>
    </row>
    <row r="10703">
      <c r="E10703">
        <f>IF(DATOS!$I10703="","",IFERROR(VLOOKUP(DATOS!$I10703,CONFIG_ASIGNATURAS!$B$2:$J$61,9,FALSE()),""))</f>
      </c>
    </row>
    <row r="10704">
      <c r="E10704">
        <f>IF(DATOS!$I10704="","",IFERROR(VLOOKUP(DATOS!$I10704,CONFIG_ASIGNATURAS!$B$2:$J$61,9,FALSE()),""))</f>
      </c>
    </row>
    <row r="10705">
      <c r="E10705">
        <f>IF(DATOS!$I10705="","",IFERROR(VLOOKUP(DATOS!$I10705,CONFIG_ASIGNATURAS!$B$2:$J$61,9,FALSE()),""))</f>
      </c>
    </row>
    <row r="10706">
      <c r="E10706">
        <f>IF(DATOS!$I10706="","",IFERROR(VLOOKUP(DATOS!$I10706,CONFIG_ASIGNATURAS!$B$2:$J$61,9,FALSE()),""))</f>
      </c>
    </row>
    <row r="10707">
      <c r="E10707">
        <f>IF(DATOS!$I10707="","",IFERROR(VLOOKUP(DATOS!$I10707,CONFIG_ASIGNATURAS!$B$2:$J$61,9,FALSE()),""))</f>
      </c>
    </row>
    <row r="10708">
      <c r="E10708">
        <f>IF(DATOS!$I10708="","",IFERROR(VLOOKUP(DATOS!$I10708,CONFIG_ASIGNATURAS!$B$2:$J$61,9,FALSE()),""))</f>
      </c>
    </row>
    <row r="10709">
      <c r="E10709">
        <f>IF(DATOS!$I10709="","",IFERROR(VLOOKUP(DATOS!$I10709,CONFIG_ASIGNATURAS!$B$2:$J$61,9,FALSE()),""))</f>
      </c>
    </row>
    <row r="10710">
      <c r="E10710">
        <f>IF(DATOS!$I10710="","",IFERROR(VLOOKUP(DATOS!$I10710,CONFIG_ASIGNATURAS!$B$2:$J$61,9,FALSE()),""))</f>
      </c>
    </row>
    <row r="10711">
      <c r="E10711">
        <f>IF(DATOS!$I10711="","",IFERROR(VLOOKUP(DATOS!$I10711,CONFIG_ASIGNATURAS!$B$2:$J$61,9,FALSE()),""))</f>
      </c>
    </row>
    <row r="10712">
      <c r="E10712">
        <f>IF(DATOS!$I10712="","",IFERROR(VLOOKUP(DATOS!$I10712,CONFIG_ASIGNATURAS!$B$2:$J$61,9,FALSE()),""))</f>
      </c>
    </row>
    <row r="10713">
      <c r="E10713">
        <f>IF(DATOS!$I10713="","",IFERROR(VLOOKUP(DATOS!$I10713,CONFIG_ASIGNATURAS!$B$2:$J$61,9,FALSE()),""))</f>
      </c>
    </row>
    <row r="10714">
      <c r="E10714">
        <f>IF(DATOS!$I10714="","",IFERROR(VLOOKUP(DATOS!$I10714,CONFIG_ASIGNATURAS!$B$2:$J$61,9,FALSE()),""))</f>
      </c>
    </row>
    <row r="10715">
      <c r="E10715">
        <f>IF(DATOS!$I10715="","",IFERROR(VLOOKUP(DATOS!$I10715,CONFIG_ASIGNATURAS!$B$2:$J$61,9,FALSE()),""))</f>
      </c>
    </row>
    <row r="10716">
      <c r="E10716">
        <f>IF(DATOS!$I10716="","",IFERROR(VLOOKUP(DATOS!$I10716,CONFIG_ASIGNATURAS!$B$2:$J$61,9,FALSE()),""))</f>
      </c>
    </row>
    <row r="10717">
      <c r="E10717">
        <f>IF(DATOS!$I10717="","",IFERROR(VLOOKUP(DATOS!$I10717,CONFIG_ASIGNATURAS!$B$2:$J$61,9,FALSE()),""))</f>
      </c>
    </row>
    <row r="10718">
      <c r="E10718">
        <f>IF(DATOS!$I10718="","",IFERROR(VLOOKUP(DATOS!$I10718,CONFIG_ASIGNATURAS!$B$2:$J$61,9,FALSE()),""))</f>
      </c>
    </row>
    <row r="10719">
      <c r="E10719">
        <f>IF(DATOS!$I10719="","",IFERROR(VLOOKUP(DATOS!$I10719,CONFIG_ASIGNATURAS!$B$2:$J$61,9,FALSE()),""))</f>
      </c>
    </row>
    <row r="10720">
      <c r="E10720">
        <f>IF(DATOS!$I10720="","",IFERROR(VLOOKUP(DATOS!$I10720,CONFIG_ASIGNATURAS!$B$2:$J$61,9,FALSE()),""))</f>
      </c>
    </row>
    <row r="10721">
      <c r="E10721">
        <f>IF(DATOS!$I10721="","",IFERROR(VLOOKUP(DATOS!$I10721,CONFIG_ASIGNATURAS!$B$2:$J$61,9,FALSE()),""))</f>
      </c>
    </row>
    <row r="10722">
      <c r="E10722">
        <f>IF(DATOS!$I10722="","",IFERROR(VLOOKUP(DATOS!$I10722,CONFIG_ASIGNATURAS!$B$2:$J$61,9,FALSE()),""))</f>
      </c>
    </row>
    <row r="10723">
      <c r="E10723">
        <f>IF(DATOS!$I10723="","",IFERROR(VLOOKUP(DATOS!$I10723,CONFIG_ASIGNATURAS!$B$2:$J$61,9,FALSE()),""))</f>
      </c>
    </row>
    <row r="10724">
      <c r="E10724">
        <f>IF(DATOS!$I10724="","",IFERROR(VLOOKUP(DATOS!$I10724,CONFIG_ASIGNATURAS!$B$2:$J$61,9,FALSE()),""))</f>
      </c>
    </row>
    <row r="10725">
      <c r="E10725">
        <f>IF(DATOS!$I10725="","",IFERROR(VLOOKUP(DATOS!$I10725,CONFIG_ASIGNATURAS!$B$2:$J$61,9,FALSE()),""))</f>
      </c>
    </row>
    <row r="10726">
      <c r="E10726">
        <f>IF(DATOS!$I10726="","",IFERROR(VLOOKUP(DATOS!$I10726,CONFIG_ASIGNATURAS!$B$2:$J$61,9,FALSE()),""))</f>
      </c>
    </row>
    <row r="10727">
      <c r="E10727">
        <f>IF(DATOS!$I10727="","",IFERROR(VLOOKUP(DATOS!$I10727,CONFIG_ASIGNATURAS!$B$2:$J$61,9,FALSE()),""))</f>
      </c>
    </row>
    <row r="10728">
      <c r="E10728">
        <f>IF(DATOS!$I10728="","",IFERROR(VLOOKUP(DATOS!$I10728,CONFIG_ASIGNATURAS!$B$2:$J$61,9,FALSE()),""))</f>
      </c>
    </row>
    <row r="10729">
      <c r="E10729">
        <f>IF(DATOS!$I10729="","",IFERROR(VLOOKUP(DATOS!$I10729,CONFIG_ASIGNATURAS!$B$2:$J$61,9,FALSE()),""))</f>
      </c>
    </row>
    <row r="10730">
      <c r="E10730">
        <f>IF(DATOS!$I10730="","",IFERROR(VLOOKUP(DATOS!$I10730,CONFIG_ASIGNATURAS!$B$2:$J$61,9,FALSE()),""))</f>
      </c>
    </row>
    <row r="10731">
      <c r="E10731">
        <f>IF(DATOS!$I10731="","",IFERROR(VLOOKUP(DATOS!$I10731,CONFIG_ASIGNATURAS!$B$2:$J$61,9,FALSE()),""))</f>
      </c>
    </row>
    <row r="10732">
      <c r="E10732">
        <f>IF(DATOS!$I10732="","",IFERROR(VLOOKUP(DATOS!$I10732,CONFIG_ASIGNATURAS!$B$2:$J$61,9,FALSE()),""))</f>
      </c>
    </row>
    <row r="10733">
      <c r="E10733">
        <f>IF(DATOS!$I10733="","",IFERROR(VLOOKUP(DATOS!$I10733,CONFIG_ASIGNATURAS!$B$2:$J$61,9,FALSE()),""))</f>
      </c>
    </row>
    <row r="10734">
      <c r="E10734">
        <f>IF(DATOS!$I10734="","",IFERROR(VLOOKUP(DATOS!$I10734,CONFIG_ASIGNATURAS!$B$2:$J$61,9,FALSE()),""))</f>
      </c>
    </row>
    <row r="10735">
      <c r="E10735">
        <f>IF(DATOS!$I10735="","",IFERROR(VLOOKUP(DATOS!$I10735,CONFIG_ASIGNATURAS!$B$2:$J$61,9,FALSE()),""))</f>
      </c>
    </row>
    <row r="10736">
      <c r="E10736">
        <f>IF(DATOS!$I10736="","",IFERROR(VLOOKUP(DATOS!$I10736,CONFIG_ASIGNATURAS!$B$2:$J$61,9,FALSE()),""))</f>
      </c>
    </row>
    <row r="10737">
      <c r="E10737">
        <f>IF(DATOS!$I10737="","",IFERROR(VLOOKUP(DATOS!$I10737,CONFIG_ASIGNATURAS!$B$2:$J$61,9,FALSE()),""))</f>
      </c>
    </row>
    <row r="10738">
      <c r="E10738">
        <f>IF(DATOS!$I10738="","",IFERROR(VLOOKUP(DATOS!$I10738,CONFIG_ASIGNATURAS!$B$2:$J$61,9,FALSE()),""))</f>
      </c>
    </row>
    <row r="10739">
      <c r="E10739">
        <f>IF(DATOS!$I10739="","",IFERROR(VLOOKUP(DATOS!$I10739,CONFIG_ASIGNATURAS!$B$2:$J$61,9,FALSE()),""))</f>
      </c>
    </row>
    <row r="10740">
      <c r="E10740">
        <f>IF(DATOS!$I10740="","",IFERROR(VLOOKUP(DATOS!$I10740,CONFIG_ASIGNATURAS!$B$2:$J$61,9,FALSE()),""))</f>
      </c>
    </row>
    <row r="10741">
      <c r="E10741">
        <f>IF(DATOS!$I10741="","",IFERROR(VLOOKUP(DATOS!$I10741,CONFIG_ASIGNATURAS!$B$2:$J$61,9,FALSE()),""))</f>
      </c>
    </row>
    <row r="10742">
      <c r="E10742">
        <f>IF(DATOS!$I10742="","",IFERROR(VLOOKUP(DATOS!$I10742,CONFIG_ASIGNATURAS!$B$2:$J$61,9,FALSE()),""))</f>
      </c>
    </row>
    <row r="10743">
      <c r="E10743">
        <f>IF(DATOS!$I10743="","",IFERROR(VLOOKUP(DATOS!$I10743,CONFIG_ASIGNATURAS!$B$2:$J$61,9,FALSE()),""))</f>
      </c>
    </row>
    <row r="10744">
      <c r="E10744">
        <f>IF(DATOS!$I10744="","",IFERROR(VLOOKUP(DATOS!$I10744,CONFIG_ASIGNATURAS!$B$2:$J$61,9,FALSE()),""))</f>
      </c>
    </row>
    <row r="10745">
      <c r="E10745">
        <f>IF(DATOS!$I10745="","",IFERROR(VLOOKUP(DATOS!$I10745,CONFIG_ASIGNATURAS!$B$2:$J$61,9,FALSE()),""))</f>
      </c>
    </row>
    <row r="10746">
      <c r="E10746">
        <f>IF(DATOS!$I10746="","",IFERROR(VLOOKUP(DATOS!$I10746,CONFIG_ASIGNATURAS!$B$2:$J$61,9,FALSE()),""))</f>
      </c>
    </row>
    <row r="10747">
      <c r="E10747">
        <f>IF(DATOS!$I10747="","",IFERROR(VLOOKUP(DATOS!$I10747,CONFIG_ASIGNATURAS!$B$2:$J$61,9,FALSE()),""))</f>
      </c>
    </row>
    <row r="10748">
      <c r="E10748">
        <f>IF(DATOS!$I10748="","",IFERROR(VLOOKUP(DATOS!$I10748,CONFIG_ASIGNATURAS!$B$2:$J$61,9,FALSE()),""))</f>
      </c>
    </row>
    <row r="10749">
      <c r="E10749">
        <f>IF(DATOS!$I10749="","",IFERROR(VLOOKUP(DATOS!$I10749,CONFIG_ASIGNATURAS!$B$2:$J$61,9,FALSE()),""))</f>
      </c>
    </row>
    <row r="10750">
      <c r="E10750">
        <f>IF(DATOS!$I10750="","",IFERROR(VLOOKUP(DATOS!$I10750,CONFIG_ASIGNATURAS!$B$2:$J$61,9,FALSE()),""))</f>
      </c>
    </row>
    <row r="10751">
      <c r="E10751">
        <f>IF(DATOS!$I10751="","",IFERROR(VLOOKUP(DATOS!$I10751,CONFIG_ASIGNATURAS!$B$2:$J$61,9,FALSE()),""))</f>
      </c>
    </row>
    <row r="10752">
      <c r="E10752">
        <f>IF(DATOS!$I10752="","",IFERROR(VLOOKUP(DATOS!$I10752,CONFIG_ASIGNATURAS!$B$2:$J$61,9,FALSE()),""))</f>
      </c>
    </row>
    <row r="10753">
      <c r="E10753">
        <f>IF(DATOS!$I10753="","",IFERROR(VLOOKUP(DATOS!$I10753,CONFIG_ASIGNATURAS!$B$2:$J$61,9,FALSE()),""))</f>
      </c>
    </row>
    <row r="10754">
      <c r="E10754">
        <f>IF(DATOS!$I10754="","",IFERROR(VLOOKUP(DATOS!$I10754,CONFIG_ASIGNATURAS!$B$2:$J$61,9,FALSE()),""))</f>
      </c>
    </row>
    <row r="10755">
      <c r="E10755">
        <f>IF(DATOS!$I10755="","",IFERROR(VLOOKUP(DATOS!$I10755,CONFIG_ASIGNATURAS!$B$2:$J$61,9,FALSE()),""))</f>
      </c>
    </row>
    <row r="10756">
      <c r="E10756">
        <f>IF(DATOS!$I10756="","",IFERROR(VLOOKUP(DATOS!$I10756,CONFIG_ASIGNATURAS!$B$2:$J$61,9,FALSE()),""))</f>
      </c>
    </row>
    <row r="10757">
      <c r="E10757">
        <f>IF(DATOS!$I10757="","",IFERROR(VLOOKUP(DATOS!$I10757,CONFIG_ASIGNATURAS!$B$2:$J$61,9,FALSE()),""))</f>
      </c>
    </row>
    <row r="10758">
      <c r="E10758">
        <f>IF(DATOS!$I10758="","",IFERROR(VLOOKUP(DATOS!$I10758,CONFIG_ASIGNATURAS!$B$2:$J$61,9,FALSE()),""))</f>
      </c>
    </row>
    <row r="10759">
      <c r="E10759">
        <f>IF(DATOS!$I10759="","",IFERROR(VLOOKUP(DATOS!$I10759,CONFIG_ASIGNATURAS!$B$2:$J$61,9,FALSE()),""))</f>
      </c>
    </row>
    <row r="10760">
      <c r="E10760">
        <f>IF(DATOS!$I10760="","",IFERROR(VLOOKUP(DATOS!$I10760,CONFIG_ASIGNATURAS!$B$2:$J$61,9,FALSE()),""))</f>
      </c>
    </row>
    <row r="10761">
      <c r="E10761">
        <f>IF(DATOS!$I10761="","",IFERROR(VLOOKUP(DATOS!$I10761,CONFIG_ASIGNATURAS!$B$2:$J$61,9,FALSE()),""))</f>
      </c>
    </row>
    <row r="10762">
      <c r="E10762">
        <f>IF(DATOS!$I10762="","",IFERROR(VLOOKUP(DATOS!$I10762,CONFIG_ASIGNATURAS!$B$2:$J$61,9,FALSE()),""))</f>
      </c>
    </row>
    <row r="10763">
      <c r="E10763">
        <f>IF(DATOS!$I10763="","",IFERROR(VLOOKUP(DATOS!$I10763,CONFIG_ASIGNATURAS!$B$2:$J$61,9,FALSE()),""))</f>
      </c>
    </row>
    <row r="10764">
      <c r="E10764">
        <f>IF(DATOS!$I10764="","",IFERROR(VLOOKUP(DATOS!$I10764,CONFIG_ASIGNATURAS!$B$2:$J$61,9,FALSE()),""))</f>
      </c>
    </row>
    <row r="10765">
      <c r="E10765">
        <f>IF(DATOS!$I10765="","",IFERROR(VLOOKUP(DATOS!$I10765,CONFIG_ASIGNATURAS!$B$2:$J$61,9,FALSE()),""))</f>
      </c>
    </row>
    <row r="10766">
      <c r="E10766">
        <f>IF(DATOS!$I10766="","",IFERROR(VLOOKUP(DATOS!$I10766,CONFIG_ASIGNATURAS!$B$2:$J$61,9,FALSE()),""))</f>
      </c>
    </row>
    <row r="10767">
      <c r="E10767">
        <f>IF(DATOS!$I10767="","",IFERROR(VLOOKUP(DATOS!$I10767,CONFIG_ASIGNATURAS!$B$2:$J$61,9,FALSE()),""))</f>
      </c>
    </row>
    <row r="10768">
      <c r="E10768">
        <f>IF(DATOS!$I10768="","",IFERROR(VLOOKUP(DATOS!$I10768,CONFIG_ASIGNATURAS!$B$2:$J$61,9,FALSE()),""))</f>
      </c>
    </row>
    <row r="10769">
      <c r="E10769">
        <f>IF(DATOS!$I10769="","",IFERROR(VLOOKUP(DATOS!$I10769,CONFIG_ASIGNATURAS!$B$2:$J$61,9,FALSE()),""))</f>
      </c>
    </row>
    <row r="10770">
      <c r="E10770">
        <f>IF(DATOS!$I10770="","",IFERROR(VLOOKUP(DATOS!$I10770,CONFIG_ASIGNATURAS!$B$2:$J$61,9,FALSE()),""))</f>
      </c>
    </row>
    <row r="10771">
      <c r="E10771">
        <f>IF(DATOS!$I10771="","",IFERROR(VLOOKUP(DATOS!$I10771,CONFIG_ASIGNATURAS!$B$2:$J$61,9,FALSE()),""))</f>
      </c>
    </row>
    <row r="10772">
      <c r="E10772">
        <f>IF(DATOS!$I10772="","",IFERROR(VLOOKUP(DATOS!$I10772,CONFIG_ASIGNATURAS!$B$2:$J$61,9,FALSE()),""))</f>
      </c>
    </row>
    <row r="10773">
      <c r="E10773">
        <f>IF(DATOS!$I10773="","",IFERROR(VLOOKUP(DATOS!$I10773,CONFIG_ASIGNATURAS!$B$2:$J$61,9,FALSE()),""))</f>
      </c>
    </row>
    <row r="10774">
      <c r="E10774">
        <f>IF(DATOS!$I10774="","",IFERROR(VLOOKUP(DATOS!$I10774,CONFIG_ASIGNATURAS!$B$2:$J$61,9,FALSE()),""))</f>
      </c>
    </row>
    <row r="10775">
      <c r="E10775">
        <f>IF(DATOS!$I10775="","",IFERROR(VLOOKUP(DATOS!$I10775,CONFIG_ASIGNATURAS!$B$2:$J$61,9,FALSE()),""))</f>
      </c>
    </row>
    <row r="10776">
      <c r="E10776">
        <f>IF(DATOS!$I10776="","",IFERROR(VLOOKUP(DATOS!$I10776,CONFIG_ASIGNATURAS!$B$2:$J$61,9,FALSE()),""))</f>
      </c>
    </row>
    <row r="10777">
      <c r="E10777">
        <f>IF(DATOS!$I10777="","",IFERROR(VLOOKUP(DATOS!$I10777,CONFIG_ASIGNATURAS!$B$2:$J$61,9,FALSE()),""))</f>
      </c>
    </row>
    <row r="10778">
      <c r="E10778">
        <f>IF(DATOS!$I10778="","",IFERROR(VLOOKUP(DATOS!$I10778,CONFIG_ASIGNATURAS!$B$2:$J$61,9,FALSE()),""))</f>
      </c>
    </row>
    <row r="10779">
      <c r="E10779">
        <f>IF(DATOS!$I10779="","",IFERROR(VLOOKUP(DATOS!$I10779,CONFIG_ASIGNATURAS!$B$2:$J$61,9,FALSE()),""))</f>
      </c>
    </row>
    <row r="10780">
      <c r="E10780">
        <f>IF(DATOS!$I10780="","",IFERROR(VLOOKUP(DATOS!$I10780,CONFIG_ASIGNATURAS!$B$2:$J$61,9,FALSE()),""))</f>
      </c>
    </row>
    <row r="10781">
      <c r="E10781">
        <f>IF(DATOS!$I10781="","",IFERROR(VLOOKUP(DATOS!$I10781,CONFIG_ASIGNATURAS!$B$2:$J$61,9,FALSE()),""))</f>
      </c>
    </row>
    <row r="10782">
      <c r="E10782">
        <f>IF(DATOS!$I10782="","",IFERROR(VLOOKUP(DATOS!$I10782,CONFIG_ASIGNATURAS!$B$2:$J$61,9,FALSE()),""))</f>
      </c>
    </row>
    <row r="10783">
      <c r="E10783">
        <f>IF(DATOS!$I10783="","",IFERROR(VLOOKUP(DATOS!$I10783,CONFIG_ASIGNATURAS!$B$2:$J$61,9,FALSE()),""))</f>
      </c>
    </row>
    <row r="10784">
      <c r="E10784">
        <f>IF(DATOS!$I10784="","",IFERROR(VLOOKUP(DATOS!$I10784,CONFIG_ASIGNATURAS!$B$2:$J$61,9,FALSE()),""))</f>
      </c>
    </row>
    <row r="10785">
      <c r="E10785">
        <f>IF(DATOS!$I10785="","",IFERROR(VLOOKUP(DATOS!$I10785,CONFIG_ASIGNATURAS!$B$2:$J$61,9,FALSE()),""))</f>
      </c>
    </row>
    <row r="10786">
      <c r="E10786">
        <f>IF(DATOS!$I10786="","",IFERROR(VLOOKUP(DATOS!$I10786,CONFIG_ASIGNATURAS!$B$2:$J$61,9,FALSE()),""))</f>
      </c>
    </row>
    <row r="10787">
      <c r="E10787">
        <f>IF(DATOS!$I10787="","",IFERROR(VLOOKUP(DATOS!$I10787,CONFIG_ASIGNATURAS!$B$2:$J$61,9,FALSE()),""))</f>
      </c>
    </row>
    <row r="10788">
      <c r="E10788">
        <f>IF(DATOS!$I10788="","",IFERROR(VLOOKUP(DATOS!$I10788,CONFIG_ASIGNATURAS!$B$2:$J$61,9,FALSE()),""))</f>
      </c>
    </row>
    <row r="10789">
      <c r="E10789">
        <f>IF(DATOS!$I10789="","",IFERROR(VLOOKUP(DATOS!$I10789,CONFIG_ASIGNATURAS!$B$2:$J$61,9,FALSE()),""))</f>
      </c>
    </row>
    <row r="10790">
      <c r="E10790">
        <f>IF(DATOS!$I10790="","",IFERROR(VLOOKUP(DATOS!$I10790,CONFIG_ASIGNATURAS!$B$2:$J$61,9,FALSE()),""))</f>
      </c>
    </row>
    <row r="10791">
      <c r="E10791">
        <f>IF(DATOS!$I10791="","",IFERROR(VLOOKUP(DATOS!$I10791,CONFIG_ASIGNATURAS!$B$2:$J$61,9,FALSE()),""))</f>
      </c>
    </row>
    <row r="10792">
      <c r="E10792">
        <f>IF(DATOS!$I10792="","",IFERROR(VLOOKUP(DATOS!$I10792,CONFIG_ASIGNATURAS!$B$2:$J$61,9,FALSE()),""))</f>
      </c>
    </row>
    <row r="10793">
      <c r="E10793">
        <f>IF(DATOS!$I10793="","",IFERROR(VLOOKUP(DATOS!$I10793,CONFIG_ASIGNATURAS!$B$2:$J$61,9,FALSE()),""))</f>
      </c>
    </row>
    <row r="10794">
      <c r="E10794">
        <f>IF(DATOS!$I10794="","",IFERROR(VLOOKUP(DATOS!$I10794,CONFIG_ASIGNATURAS!$B$2:$J$61,9,FALSE()),""))</f>
      </c>
    </row>
    <row r="10795">
      <c r="E10795">
        <f>IF(DATOS!$I10795="","",IFERROR(VLOOKUP(DATOS!$I10795,CONFIG_ASIGNATURAS!$B$2:$J$61,9,FALSE()),""))</f>
      </c>
    </row>
    <row r="10796">
      <c r="E10796">
        <f>IF(DATOS!$I10796="","",IFERROR(VLOOKUP(DATOS!$I10796,CONFIG_ASIGNATURAS!$B$2:$J$61,9,FALSE()),""))</f>
      </c>
    </row>
    <row r="10797">
      <c r="E10797">
        <f>IF(DATOS!$I10797="","",IFERROR(VLOOKUP(DATOS!$I10797,CONFIG_ASIGNATURAS!$B$2:$J$61,9,FALSE()),""))</f>
      </c>
    </row>
    <row r="10798">
      <c r="E10798">
        <f>IF(DATOS!$I10798="","",IFERROR(VLOOKUP(DATOS!$I10798,CONFIG_ASIGNATURAS!$B$2:$J$61,9,FALSE()),""))</f>
      </c>
    </row>
    <row r="10799">
      <c r="E10799">
        <f>IF(DATOS!$I10799="","",IFERROR(VLOOKUP(DATOS!$I10799,CONFIG_ASIGNATURAS!$B$2:$J$61,9,FALSE()),""))</f>
      </c>
    </row>
    <row r="10800">
      <c r="E10800">
        <f>IF(DATOS!$I10800="","",IFERROR(VLOOKUP(DATOS!$I10800,CONFIG_ASIGNATURAS!$B$2:$J$61,9,FALSE()),""))</f>
      </c>
    </row>
    <row r="10801">
      <c r="E10801">
        <f>IF(DATOS!$I10801="","",IFERROR(VLOOKUP(DATOS!$I10801,CONFIG_ASIGNATURAS!$B$2:$J$61,9,FALSE()),""))</f>
      </c>
    </row>
    <row r="10802">
      <c r="E10802">
        <f>IF(DATOS!$I10802="","",IFERROR(VLOOKUP(DATOS!$I10802,CONFIG_ASIGNATURAS!$B$2:$J$61,9,FALSE()),""))</f>
      </c>
    </row>
    <row r="10803">
      <c r="E10803">
        <f>IF(DATOS!$I10803="","",IFERROR(VLOOKUP(DATOS!$I10803,CONFIG_ASIGNATURAS!$B$2:$J$61,9,FALSE()),""))</f>
      </c>
    </row>
    <row r="10804">
      <c r="E10804">
        <f>IF(DATOS!$I10804="","",IFERROR(VLOOKUP(DATOS!$I10804,CONFIG_ASIGNATURAS!$B$2:$J$61,9,FALSE()),""))</f>
      </c>
    </row>
    <row r="10805">
      <c r="E10805">
        <f>IF(DATOS!$I10805="","",IFERROR(VLOOKUP(DATOS!$I10805,CONFIG_ASIGNATURAS!$B$2:$J$61,9,FALSE()),""))</f>
      </c>
    </row>
    <row r="10806">
      <c r="E10806">
        <f>IF(DATOS!$I10806="","",IFERROR(VLOOKUP(DATOS!$I10806,CONFIG_ASIGNATURAS!$B$2:$J$61,9,FALSE()),""))</f>
      </c>
    </row>
    <row r="10807">
      <c r="E10807">
        <f>IF(DATOS!$I10807="","",IFERROR(VLOOKUP(DATOS!$I10807,CONFIG_ASIGNATURAS!$B$2:$J$61,9,FALSE()),""))</f>
      </c>
    </row>
    <row r="10808">
      <c r="E10808">
        <f>IF(DATOS!$I10808="","",IFERROR(VLOOKUP(DATOS!$I10808,CONFIG_ASIGNATURAS!$B$2:$J$61,9,FALSE()),""))</f>
      </c>
    </row>
    <row r="10809">
      <c r="E10809">
        <f>IF(DATOS!$I10809="","",IFERROR(VLOOKUP(DATOS!$I10809,CONFIG_ASIGNATURAS!$B$2:$J$61,9,FALSE()),""))</f>
      </c>
    </row>
    <row r="10810">
      <c r="E10810">
        <f>IF(DATOS!$I10810="","",IFERROR(VLOOKUP(DATOS!$I10810,CONFIG_ASIGNATURAS!$B$2:$J$61,9,FALSE()),""))</f>
      </c>
    </row>
    <row r="10811">
      <c r="E10811">
        <f>IF(DATOS!$I10811="","",IFERROR(VLOOKUP(DATOS!$I10811,CONFIG_ASIGNATURAS!$B$2:$J$61,9,FALSE()),""))</f>
      </c>
    </row>
    <row r="10812">
      <c r="E10812">
        <f>IF(DATOS!$I10812="","",IFERROR(VLOOKUP(DATOS!$I10812,CONFIG_ASIGNATURAS!$B$2:$J$61,9,FALSE()),""))</f>
      </c>
    </row>
    <row r="10813">
      <c r="E10813">
        <f>IF(DATOS!$I10813="","",IFERROR(VLOOKUP(DATOS!$I10813,CONFIG_ASIGNATURAS!$B$2:$J$61,9,FALSE()),""))</f>
      </c>
    </row>
    <row r="10814">
      <c r="E10814">
        <f>IF(DATOS!$I10814="","",IFERROR(VLOOKUP(DATOS!$I10814,CONFIG_ASIGNATURAS!$B$2:$J$61,9,FALSE()),""))</f>
      </c>
    </row>
    <row r="10815">
      <c r="E10815">
        <f>IF(DATOS!$I10815="","",IFERROR(VLOOKUP(DATOS!$I10815,CONFIG_ASIGNATURAS!$B$2:$J$61,9,FALSE()),""))</f>
      </c>
    </row>
    <row r="10816">
      <c r="E10816">
        <f>IF(DATOS!$I10816="","",IFERROR(VLOOKUP(DATOS!$I10816,CONFIG_ASIGNATURAS!$B$2:$J$61,9,FALSE()),""))</f>
      </c>
    </row>
    <row r="10817">
      <c r="E10817">
        <f>IF(DATOS!$I10817="","",IFERROR(VLOOKUP(DATOS!$I10817,CONFIG_ASIGNATURAS!$B$2:$J$61,9,FALSE()),""))</f>
      </c>
    </row>
    <row r="10818">
      <c r="E10818">
        <f>IF(DATOS!$I10818="","",IFERROR(VLOOKUP(DATOS!$I10818,CONFIG_ASIGNATURAS!$B$2:$J$61,9,FALSE()),""))</f>
      </c>
    </row>
    <row r="10819">
      <c r="E10819">
        <f>IF(DATOS!$I10819="","",IFERROR(VLOOKUP(DATOS!$I10819,CONFIG_ASIGNATURAS!$B$2:$J$61,9,FALSE()),""))</f>
      </c>
    </row>
    <row r="10820">
      <c r="E10820">
        <f>IF(DATOS!$I10820="","",IFERROR(VLOOKUP(DATOS!$I10820,CONFIG_ASIGNATURAS!$B$2:$J$61,9,FALSE()),""))</f>
      </c>
    </row>
    <row r="10821">
      <c r="E10821">
        <f>IF(DATOS!$I10821="","",IFERROR(VLOOKUP(DATOS!$I10821,CONFIG_ASIGNATURAS!$B$2:$J$61,9,FALSE()),""))</f>
      </c>
    </row>
    <row r="10822">
      <c r="E10822">
        <f>IF(DATOS!$I10822="","",IFERROR(VLOOKUP(DATOS!$I10822,CONFIG_ASIGNATURAS!$B$2:$J$61,9,FALSE()),""))</f>
      </c>
    </row>
    <row r="10823">
      <c r="E10823">
        <f>IF(DATOS!$I10823="","",IFERROR(VLOOKUP(DATOS!$I10823,CONFIG_ASIGNATURAS!$B$2:$J$61,9,FALSE()),""))</f>
      </c>
    </row>
    <row r="10824">
      <c r="E10824">
        <f>IF(DATOS!$I10824="","",IFERROR(VLOOKUP(DATOS!$I10824,CONFIG_ASIGNATURAS!$B$2:$J$61,9,FALSE()),""))</f>
      </c>
    </row>
    <row r="10825">
      <c r="E10825">
        <f>IF(DATOS!$I10825="","",IFERROR(VLOOKUP(DATOS!$I10825,CONFIG_ASIGNATURAS!$B$2:$J$61,9,FALSE()),""))</f>
      </c>
    </row>
    <row r="10826">
      <c r="E10826">
        <f>IF(DATOS!$I10826="","",IFERROR(VLOOKUP(DATOS!$I10826,CONFIG_ASIGNATURAS!$B$2:$J$61,9,FALSE()),""))</f>
      </c>
    </row>
    <row r="10827">
      <c r="E10827">
        <f>IF(DATOS!$I10827="","",IFERROR(VLOOKUP(DATOS!$I10827,CONFIG_ASIGNATURAS!$B$2:$J$61,9,FALSE()),""))</f>
      </c>
    </row>
    <row r="10828">
      <c r="E10828">
        <f>IF(DATOS!$I10828="","",IFERROR(VLOOKUP(DATOS!$I10828,CONFIG_ASIGNATURAS!$B$2:$J$61,9,FALSE()),""))</f>
      </c>
    </row>
    <row r="10829">
      <c r="E10829">
        <f>IF(DATOS!$I10829="","",IFERROR(VLOOKUP(DATOS!$I10829,CONFIG_ASIGNATURAS!$B$2:$J$61,9,FALSE()),""))</f>
      </c>
    </row>
    <row r="10830">
      <c r="E10830">
        <f>IF(DATOS!$I10830="","",IFERROR(VLOOKUP(DATOS!$I10830,CONFIG_ASIGNATURAS!$B$2:$J$61,9,FALSE()),""))</f>
      </c>
    </row>
    <row r="10831">
      <c r="E10831">
        <f>IF(DATOS!$I10831="","",IFERROR(VLOOKUP(DATOS!$I10831,CONFIG_ASIGNATURAS!$B$2:$J$61,9,FALSE()),""))</f>
      </c>
    </row>
    <row r="10832">
      <c r="E10832">
        <f>IF(DATOS!$I10832="","",IFERROR(VLOOKUP(DATOS!$I10832,CONFIG_ASIGNATURAS!$B$2:$J$61,9,FALSE()),""))</f>
      </c>
    </row>
    <row r="10833">
      <c r="E10833">
        <f>IF(DATOS!$I10833="","",IFERROR(VLOOKUP(DATOS!$I10833,CONFIG_ASIGNATURAS!$B$2:$J$61,9,FALSE()),""))</f>
      </c>
    </row>
    <row r="10834">
      <c r="E10834">
        <f>IF(DATOS!$I10834="","",IFERROR(VLOOKUP(DATOS!$I10834,CONFIG_ASIGNATURAS!$B$2:$J$61,9,FALSE()),""))</f>
      </c>
    </row>
    <row r="10835">
      <c r="E10835">
        <f>IF(DATOS!$I10835="","",IFERROR(VLOOKUP(DATOS!$I10835,CONFIG_ASIGNATURAS!$B$2:$J$61,9,FALSE()),""))</f>
      </c>
    </row>
    <row r="10836">
      <c r="E10836">
        <f>IF(DATOS!$I10836="","",IFERROR(VLOOKUP(DATOS!$I10836,CONFIG_ASIGNATURAS!$B$2:$J$61,9,FALSE()),""))</f>
      </c>
    </row>
    <row r="10837">
      <c r="E10837">
        <f>IF(DATOS!$I10837="","",IFERROR(VLOOKUP(DATOS!$I10837,CONFIG_ASIGNATURAS!$B$2:$J$61,9,FALSE()),""))</f>
      </c>
    </row>
    <row r="10838">
      <c r="E10838">
        <f>IF(DATOS!$I10838="","",IFERROR(VLOOKUP(DATOS!$I10838,CONFIG_ASIGNATURAS!$B$2:$J$61,9,FALSE()),""))</f>
      </c>
    </row>
    <row r="10839">
      <c r="E10839">
        <f>IF(DATOS!$I10839="","",IFERROR(VLOOKUP(DATOS!$I10839,CONFIG_ASIGNATURAS!$B$2:$J$61,9,FALSE()),""))</f>
      </c>
    </row>
    <row r="10840">
      <c r="E10840">
        <f>IF(DATOS!$I10840="","",IFERROR(VLOOKUP(DATOS!$I10840,CONFIG_ASIGNATURAS!$B$2:$J$61,9,FALSE()),""))</f>
      </c>
    </row>
    <row r="10841">
      <c r="E10841">
        <f>IF(DATOS!$I10841="","",IFERROR(VLOOKUP(DATOS!$I10841,CONFIG_ASIGNATURAS!$B$2:$J$61,9,FALSE()),""))</f>
      </c>
    </row>
    <row r="10842">
      <c r="E10842">
        <f>IF(DATOS!$I10842="","",IFERROR(VLOOKUP(DATOS!$I10842,CONFIG_ASIGNATURAS!$B$2:$J$61,9,FALSE()),""))</f>
      </c>
    </row>
    <row r="10843">
      <c r="E10843">
        <f>IF(DATOS!$I10843="","",IFERROR(VLOOKUP(DATOS!$I10843,CONFIG_ASIGNATURAS!$B$2:$J$61,9,FALSE()),""))</f>
      </c>
    </row>
    <row r="10844">
      <c r="E10844">
        <f>IF(DATOS!$I10844="","",IFERROR(VLOOKUP(DATOS!$I10844,CONFIG_ASIGNATURAS!$B$2:$J$61,9,FALSE()),""))</f>
      </c>
    </row>
    <row r="10845">
      <c r="E10845">
        <f>IF(DATOS!$I10845="","",IFERROR(VLOOKUP(DATOS!$I10845,CONFIG_ASIGNATURAS!$B$2:$J$61,9,FALSE()),""))</f>
      </c>
    </row>
    <row r="10846">
      <c r="E10846">
        <f>IF(DATOS!$I10846="","",IFERROR(VLOOKUP(DATOS!$I10846,CONFIG_ASIGNATURAS!$B$2:$J$61,9,FALSE()),""))</f>
      </c>
    </row>
    <row r="10847">
      <c r="E10847">
        <f>IF(DATOS!$I10847="","",IFERROR(VLOOKUP(DATOS!$I10847,CONFIG_ASIGNATURAS!$B$2:$J$61,9,FALSE()),""))</f>
      </c>
    </row>
    <row r="10848">
      <c r="E10848">
        <f>IF(DATOS!$I10848="","",IFERROR(VLOOKUP(DATOS!$I10848,CONFIG_ASIGNATURAS!$B$2:$J$61,9,FALSE()),""))</f>
      </c>
    </row>
    <row r="10849">
      <c r="E10849">
        <f>IF(DATOS!$I10849="","",IFERROR(VLOOKUP(DATOS!$I10849,CONFIG_ASIGNATURAS!$B$2:$J$61,9,FALSE()),""))</f>
      </c>
    </row>
    <row r="10850">
      <c r="E10850">
        <f>IF(DATOS!$I10850="","",IFERROR(VLOOKUP(DATOS!$I10850,CONFIG_ASIGNATURAS!$B$2:$J$61,9,FALSE()),""))</f>
      </c>
    </row>
    <row r="10851">
      <c r="E10851">
        <f>IF(DATOS!$I10851="","",IFERROR(VLOOKUP(DATOS!$I10851,CONFIG_ASIGNATURAS!$B$2:$J$61,9,FALSE()),""))</f>
      </c>
    </row>
    <row r="10852">
      <c r="E10852">
        <f>IF(DATOS!$I10852="","",IFERROR(VLOOKUP(DATOS!$I10852,CONFIG_ASIGNATURAS!$B$2:$J$61,9,FALSE()),""))</f>
      </c>
    </row>
    <row r="10853">
      <c r="E10853">
        <f>IF(DATOS!$I10853="","",IFERROR(VLOOKUP(DATOS!$I10853,CONFIG_ASIGNATURAS!$B$2:$J$61,9,FALSE()),""))</f>
      </c>
    </row>
    <row r="10854">
      <c r="E10854">
        <f>IF(DATOS!$I10854="","",IFERROR(VLOOKUP(DATOS!$I10854,CONFIG_ASIGNATURAS!$B$2:$J$61,9,FALSE()),""))</f>
      </c>
    </row>
    <row r="10855">
      <c r="E10855">
        <f>IF(DATOS!$I10855="","",IFERROR(VLOOKUP(DATOS!$I10855,CONFIG_ASIGNATURAS!$B$2:$J$61,9,FALSE()),""))</f>
      </c>
    </row>
    <row r="10856">
      <c r="E10856">
        <f>IF(DATOS!$I10856="","",IFERROR(VLOOKUP(DATOS!$I10856,CONFIG_ASIGNATURAS!$B$2:$J$61,9,FALSE()),""))</f>
      </c>
    </row>
    <row r="10857">
      <c r="E10857">
        <f>IF(DATOS!$I10857="","",IFERROR(VLOOKUP(DATOS!$I10857,CONFIG_ASIGNATURAS!$B$2:$J$61,9,FALSE()),""))</f>
      </c>
    </row>
    <row r="10858">
      <c r="E10858">
        <f>IF(DATOS!$I10858="","",IFERROR(VLOOKUP(DATOS!$I10858,CONFIG_ASIGNATURAS!$B$2:$J$61,9,FALSE()),""))</f>
      </c>
    </row>
    <row r="10859">
      <c r="E10859">
        <f>IF(DATOS!$I10859="","",IFERROR(VLOOKUP(DATOS!$I10859,CONFIG_ASIGNATURAS!$B$2:$J$61,9,FALSE()),""))</f>
      </c>
    </row>
    <row r="10860">
      <c r="E10860">
        <f>IF(DATOS!$I10860="","",IFERROR(VLOOKUP(DATOS!$I10860,CONFIG_ASIGNATURAS!$B$2:$J$61,9,FALSE()),""))</f>
      </c>
    </row>
    <row r="10861">
      <c r="E10861">
        <f>IF(DATOS!$I10861="","",IFERROR(VLOOKUP(DATOS!$I10861,CONFIG_ASIGNATURAS!$B$2:$J$61,9,FALSE()),""))</f>
      </c>
    </row>
    <row r="10862">
      <c r="E10862">
        <f>IF(DATOS!$I10862="","",IFERROR(VLOOKUP(DATOS!$I10862,CONFIG_ASIGNATURAS!$B$2:$J$61,9,FALSE()),""))</f>
      </c>
    </row>
    <row r="10863">
      <c r="E10863">
        <f>IF(DATOS!$I10863="","",IFERROR(VLOOKUP(DATOS!$I10863,CONFIG_ASIGNATURAS!$B$2:$J$61,9,FALSE()),""))</f>
      </c>
    </row>
    <row r="10864">
      <c r="E10864">
        <f>IF(DATOS!$I10864="","",IFERROR(VLOOKUP(DATOS!$I10864,CONFIG_ASIGNATURAS!$B$2:$J$61,9,FALSE()),""))</f>
      </c>
    </row>
    <row r="10865">
      <c r="E10865">
        <f>IF(DATOS!$I10865="","",IFERROR(VLOOKUP(DATOS!$I10865,CONFIG_ASIGNATURAS!$B$2:$J$61,9,FALSE()),""))</f>
      </c>
    </row>
    <row r="10866">
      <c r="E10866">
        <f>IF(DATOS!$I10866="","",IFERROR(VLOOKUP(DATOS!$I10866,CONFIG_ASIGNATURAS!$B$2:$J$61,9,FALSE()),""))</f>
      </c>
    </row>
    <row r="10867">
      <c r="E10867">
        <f>IF(DATOS!$I10867="","",IFERROR(VLOOKUP(DATOS!$I10867,CONFIG_ASIGNATURAS!$B$2:$J$61,9,FALSE()),""))</f>
      </c>
    </row>
    <row r="10868">
      <c r="E10868">
        <f>IF(DATOS!$I10868="","",IFERROR(VLOOKUP(DATOS!$I10868,CONFIG_ASIGNATURAS!$B$2:$J$61,9,FALSE()),""))</f>
      </c>
    </row>
    <row r="10869">
      <c r="E10869">
        <f>IF(DATOS!$I10869="","",IFERROR(VLOOKUP(DATOS!$I10869,CONFIG_ASIGNATURAS!$B$2:$J$61,9,FALSE()),""))</f>
      </c>
    </row>
    <row r="10870">
      <c r="E10870">
        <f>IF(DATOS!$I10870="","",IFERROR(VLOOKUP(DATOS!$I10870,CONFIG_ASIGNATURAS!$B$2:$J$61,9,FALSE()),""))</f>
      </c>
    </row>
    <row r="10871">
      <c r="E10871">
        <f>IF(DATOS!$I10871="","",IFERROR(VLOOKUP(DATOS!$I10871,CONFIG_ASIGNATURAS!$B$2:$J$61,9,FALSE()),""))</f>
      </c>
    </row>
    <row r="10872">
      <c r="E10872">
        <f>IF(DATOS!$I10872="","",IFERROR(VLOOKUP(DATOS!$I10872,CONFIG_ASIGNATURAS!$B$2:$J$61,9,FALSE()),""))</f>
      </c>
    </row>
    <row r="10873">
      <c r="E10873">
        <f>IF(DATOS!$I10873="","",IFERROR(VLOOKUP(DATOS!$I10873,CONFIG_ASIGNATURAS!$B$2:$J$61,9,FALSE()),""))</f>
      </c>
    </row>
    <row r="10874">
      <c r="E10874">
        <f>IF(DATOS!$I10874="","",IFERROR(VLOOKUP(DATOS!$I10874,CONFIG_ASIGNATURAS!$B$2:$J$61,9,FALSE()),""))</f>
      </c>
    </row>
    <row r="10875">
      <c r="E10875">
        <f>IF(DATOS!$I10875="","",IFERROR(VLOOKUP(DATOS!$I10875,CONFIG_ASIGNATURAS!$B$2:$J$61,9,FALSE()),""))</f>
      </c>
    </row>
    <row r="10876">
      <c r="E10876">
        <f>IF(DATOS!$I10876="","",IFERROR(VLOOKUP(DATOS!$I10876,CONFIG_ASIGNATURAS!$B$2:$J$61,9,FALSE()),""))</f>
      </c>
    </row>
    <row r="10877">
      <c r="E10877">
        <f>IF(DATOS!$I10877="","",IFERROR(VLOOKUP(DATOS!$I10877,CONFIG_ASIGNATURAS!$B$2:$J$61,9,FALSE()),""))</f>
      </c>
    </row>
    <row r="10878">
      <c r="E10878">
        <f>IF(DATOS!$I10878="","",IFERROR(VLOOKUP(DATOS!$I10878,CONFIG_ASIGNATURAS!$B$2:$J$61,9,FALSE()),""))</f>
      </c>
    </row>
    <row r="10879">
      <c r="E10879">
        <f>IF(DATOS!$I10879="","",IFERROR(VLOOKUP(DATOS!$I10879,CONFIG_ASIGNATURAS!$B$2:$J$61,9,FALSE()),""))</f>
      </c>
    </row>
    <row r="10880">
      <c r="E10880">
        <f>IF(DATOS!$I10880="","",IFERROR(VLOOKUP(DATOS!$I10880,CONFIG_ASIGNATURAS!$B$2:$J$61,9,FALSE()),""))</f>
      </c>
    </row>
    <row r="10881">
      <c r="E10881">
        <f>IF(DATOS!$I10881="","",IFERROR(VLOOKUP(DATOS!$I10881,CONFIG_ASIGNATURAS!$B$2:$J$61,9,FALSE()),""))</f>
      </c>
    </row>
    <row r="10882">
      <c r="E10882">
        <f>IF(DATOS!$I10882="","",IFERROR(VLOOKUP(DATOS!$I10882,CONFIG_ASIGNATURAS!$B$2:$J$61,9,FALSE()),""))</f>
      </c>
    </row>
    <row r="10883">
      <c r="E10883">
        <f>IF(DATOS!$I10883="","",IFERROR(VLOOKUP(DATOS!$I10883,CONFIG_ASIGNATURAS!$B$2:$J$61,9,FALSE()),""))</f>
      </c>
    </row>
    <row r="10884">
      <c r="E10884">
        <f>IF(DATOS!$I10884="","",IFERROR(VLOOKUP(DATOS!$I10884,CONFIG_ASIGNATURAS!$B$2:$J$61,9,FALSE()),""))</f>
      </c>
    </row>
    <row r="10885">
      <c r="E10885">
        <f>IF(DATOS!$I10885="","",IFERROR(VLOOKUP(DATOS!$I10885,CONFIG_ASIGNATURAS!$B$2:$J$61,9,FALSE()),""))</f>
      </c>
    </row>
    <row r="10886">
      <c r="E10886">
        <f>IF(DATOS!$I10886="","",IFERROR(VLOOKUP(DATOS!$I10886,CONFIG_ASIGNATURAS!$B$2:$J$61,9,FALSE()),""))</f>
      </c>
    </row>
    <row r="10887">
      <c r="E10887">
        <f>IF(DATOS!$I10887="","",IFERROR(VLOOKUP(DATOS!$I10887,CONFIG_ASIGNATURAS!$B$2:$J$61,9,FALSE()),""))</f>
      </c>
    </row>
    <row r="10888">
      <c r="E10888">
        <f>IF(DATOS!$I10888="","",IFERROR(VLOOKUP(DATOS!$I10888,CONFIG_ASIGNATURAS!$B$2:$J$61,9,FALSE()),""))</f>
      </c>
    </row>
    <row r="10889">
      <c r="E10889">
        <f>IF(DATOS!$I10889="","",IFERROR(VLOOKUP(DATOS!$I10889,CONFIG_ASIGNATURAS!$B$2:$J$61,9,FALSE()),""))</f>
      </c>
    </row>
    <row r="10890">
      <c r="E10890">
        <f>IF(DATOS!$I10890="","",IFERROR(VLOOKUP(DATOS!$I10890,CONFIG_ASIGNATURAS!$B$2:$J$61,9,FALSE()),""))</f>
      </c>
    </row>
    <row r="10891">
      <c r="E10891">
        <f>IF(DATOS!$I10891="","",IFERROR(VLOOKUP(DATOS!$I10891,CONFIG_ASIGNATURAS!$B$2:$J$61,9,FALSE()),""))</f>
      </c>
    </row>
    <row r="10892">
      <c r="E10892">
        <f>IF(DATOS!$I10892="","",IFERROR(VLOOKUP(DATOS!$I10892,CONFIG_ASIGNATURAS!$B$2:$J$61,9,FALSE()),""))</f>
      </c>
    </row>
    <row r="10893">
      <c r="E10893">
        <f>IF(DATOS!$I10893="","",IFERROR(VLOOKUP(DATOS!$I10893,CONFIG_ASIGNATURAS!$B$2:$J$61,9,FALSE()),""))</f>
      </c>
    </row>
    <row r="10894">
      <c r="E10894">
        <f>IF(DATOS!$I10894="","",IFERROR(VLOOKUP(DATOS!$I10894,CONFIG_ASIGNATURAS!$B$2:$J$61,9,FALSE()),""))</f>
      </c>
    </row>
    <row r="10895">
      <c r="E10895">
        <f>IF(DATOS!$I10895="","",IFERROR(VLOOKUP(DATOS!$I10895,CONFIG_ASIGNATURAS!$B$2:$J$61,9,FALSE()),""))</f>
      </c>
    </row>
    <row r="10896">
      <c r="E10896">
        <f>IF(DATOS!$I10896="","",IFERROR(VLOOKUP(DATOS!$I10896,CONFIG_ASIGNATURAS!$B$2:$J$61,9,FALSE()),""))</f>
      </c>
    </row>
    <row r="10897">
      <c r="E10897">
        <f>IF(DATOS!$I10897="","",IFERROR(VLOOKUP(DATOS!$I10897,CONFIG_ASIGNATURAS!$B$2:$J$61,9,FALSE()),""))</f>
      </c>
    </row>
    <row r="10898">
      <c r="E10898">
        <f>IF(DATOS!$I10898="","",IFERROR(VLOOKUP(DATOS!$I10898,CONFIG_ASIGNATURAS!$B$2:$J$61,9,FALSE()),""))</f>
      </c>
    </row>
    <row r="10899">
      <c r="E10899">
        <f>IF(DATOS!$I10899="","",IFERROR(VLOOKUP(DATOS!$I10899,CONFIG_ASIGNATURAS!$B$2:$J$61,9,FALSE()),""))</f>
      </c>
    </row>
    <row r="10900">
      <c r="E10900">
        <f>IF(DATOS!$I10900="","",IFERROR(VLOOKUP(DATOS!$I10900,CONFIG_ASIGNATURAS!$B$2:$J$61,9,FALSE()),""))</f>
      </c>
    </row>
    <row r="10901">
      <c r="E10901">
        <f>IF(DATOS!$I10901="","",IFERROR(VLOOKUP(DATOS!$I10901,CONFIG_ASIGNATURAS!$B$2:$J$61,9,FALSE()),""))</f>
      </c>
    </row>
    <row r="10902">
      <c r="E10902">
        <f>IF(DATOS!$I10902="","",IFERROR(VLOOKUP(DATOS!$I10902,CONFIG_ASIGNATURAS!$B$2:$J$61,9,FALSE()),""))</f>
      </c>
    </row>
    <row r="10903">
      <c r="E10903">
        <f>IF(DATOS!$I10903="","",IFERROR(VLOOKUP(DATOS!$I10903,CONFIG_ASIGNATURAS!$B$2:$J$61,9,FALSE()),""))</f>
      </c>
    </row>
    <row r="10904">
      <c r="E10904">
        <f>IF(DATOS!$I10904="","",IFERROR(VLOOKUP(DATOS!$I10904,CONFIG_ASIGNATURAS!$B$2:$J$61,9,FALSE()),""))</f>
      </c>
    </row>
    <row r="10905">
      <c r="E10905">
        <f>IF(DATOS!$I10905="","",IFERROR(VLOOKUP(DATOS!$I10905,CONFIG_ASIGNATURAS!$B$2:$J$61,9,FALSE()),""))</f>
      </c>
    </row>
    <row r="10906">
      <c r="E10906">
        <f>IF(DATOS!$I10906="","",IFERROR(VLOOKUP(DATOS!$I10906,CONFIG_ASIGNATURAS!$B$2:$J$61,9,FALSE()),""))</f>
      </c>
    </row>
    <row r="10907">
      <c r="E10907">
        <f>IF(DATOS!$I10907="","",IFERROR(VLOOKUP(DATOS!$I10907,CONFIG_ASIGNATURAS!$B$2:$J$61,9,FALSE()),""))</f>
      </c>
    </row>
    <row r="10908">
      <c r="E10908">
        <f>IF(DATOS!$I10908="","",IFERROR(VLOOKUP(DATOS!$I10908,CONFIG_ASIGNATURAS!$B$2:$J$61,9,FALSE()),""))</f>
      </c>
    </row>
    <row r="10909">
      <c r="E10909">
        <f>IF(DATOS!$I10909="","",IFERROR(VLOOKUP(DATOS!$I10909,CONFIG_ASIGNATURAS!$B$2:$J$61,9,FALSE()),""))</f>
      </c>
    </row>
    <row r="10910">
      <c r="E10910">
        <f>IF(DATOS!$I10910="","",IFERROR(VLOOKUP(DATOS!$I10910,CONFIG_ASIGNATURAS!$B$2:$J$61,9,FALSE()),""))</f>
      </c>
    </row>
    <row r="10911">
      <c r="E10911">
        <f>IF(DATOS!$I10911="","",IFERROR(VLOOKUP(DATOS!$I10911,CONFIG_ASIGNATURAS!$B$2:$J$61,9,FALSE()),""))</f>
      </c>
    </row>
    <row r="10912">
      <c r="E10912">
        <f>IF(DATOS!$I10912="","",IFERROR(VLOOKUP(DATOS!$I10912,CONFIG_ASIGNATURAS!$B$2:$J$61,9,FALSE()),""))</f>
      </c>
    </row>
    <row r="10913">
      <c r="E10913">
        <f>IF(DATOS!$I10913="","",IFERROR(VLOOKUP(DATOS!$I10913,CONFIG_ASIGNATURAS!$B$2:$J$61,9,FALSE()),""))</f>
      </c>
    </row>
    <row r="10914">
      <c r="E10914">
        <f>IF(DATOS!$I10914="","",IFERROR(VLOOKUP(DATOS!$I10914,CONFIG_ASIGNATURAS!$B$2:$J$61,9,FALSE()),""))</f>
      </c>
    </row>
    <row r="10915">
      <c r="E10915">
        <f>IF(DATOS!$I10915="","",IFERROR(VLOOKUP(DATOS!$I10915,CONFIG_ASIGNATURAS!$B$2:$J$61,9,FALSE()),""))</f>
      </c>
    </row>
    <row r="10916">
      <c r="E10916">
        <f>IF(DATOS!$I10916="","",IFERROR(VLOOKUP(DATOS!$I10916,CONFIG_ASIGNATURAS!$B$2:$J$61,9,FALSE()),""))</f>
      </c>
    </row>
    <row r="10917">
      <c r="E10917">
        <f>IF(DATOS!$I10917="","",IFERROR(VLOOKUP(DATOS!$I10917,CONFIG_ASIGNATURAS!$B$2:$J$61,9,FALSE()),""))</f>
      </c>
    </row>
    <row r="10918">
      <c r="E10918">
        <f>IF(DATOS!$I10918="","",IFERROR(VLOOKUP(DATOS!$I10918,CONFIG_ASIGNATURAS!$B$2:$J$61,9,FALSE()),""))</f>
      </c>
    </row>
    <row r="10919">
      <c r="E10919">
        <f>IF(DATOS!$I10919="","",IFERROR(VLOOKUP(DATOS!$I10919,CONFIG_ASIGNATURAS!$B$2:$J$61,9,FALSE()),""))</f>
      </c>
    </row>
    <row r="10920">
      <c r="E10920">
        <f>IF(DATOS!$I10920="","",IFERROR(VLOOKUP(DATOS!$I10920,CONFIG_ASIGNATURAS!$B$2:$J$61,9,FALSE()),""))</f>
      </c>
    </row>
    <row r="10921">
      <c r="E10921">
        <f>IF(DATOS!$I10921="","",IFERROR(VLOOKUP(DATOS!$I10921,CONFIG_ASIGNATURAS!$B$2:$J$61,9,FALSE()),""))</f>
      </c>
    </row>
    <row r="10922">
      <c r="E10922">
        <f>IF(DATOS!$I10922="","",IFERROR(VLOOKUP(DATOS!$I10922,CONFIG_ASIGNATURAS!$B$2:$J$61,9,FALSE()),""))</f>
      </c>
    </row>
    <row r="10923">
      <c r="E10923">
        <f>IF(DATOS!$I10923="","",IFERROR(VLOOKUP(DATOS!$I10923,CONFIG_ASIGNATURAS!$B$2:$J$61,9,FALSE()),""))</f>
      </c>
    </row>
    <row r="10924">
      <c r="E10924">
        <f>IF(DATOS!$I10924="","",IFERROR(VLOOKUP(DATOS!$I10924,CONFIG_ASIGNATURAS!$B$2:$J$61,9,FALSE()),""))</f>
      </c>
    </row>
    <row r="10925">
      <c r="E10925">
        <f>IF(DATOS!$I10925="","",IFERROR(VLOOKUP(DATOS!$I10925,CONFIG_ASIGNATURAS!$B$2:$J$61,9,FALSE()),""))</f>
      </c>
    </row>
    <row r="10926">
      <c r="E10926">
        <f>IF(DATOS!$I10926="","",IFERROR(VLOOKUP(DATOS!$I10926,CONFIG_ASIGNATURAS!$B$2:$J$61,9,FALSE()),""))</f>
      </c>
    </row>
    <row r="10927">
      <c r="E10927">
        <f>IF(DATOS!$I10927="","",IFERROR(VLOOKUP(DATOS!$I10927,CONFIG_ASIGNATURAS!$B$2:$J$61,9,FALSE()),""))</f>
      </c>
    </row>
    <row r="10928">
      <c r="E10928">
        <f>IF(DATOS!$I10928="","",IFERROR(VLOOKUP(DATOS!$I10928,CONFIG_ASIGNATURAS!$B$2:$J$61,9,FALSE()),""))</f>
      </c>
    </row>
    <row r="10929">
      <c r="E10929">
        <f>IF(DATOS!$I10929="","",IFERROR(VLOOKUP(DATOS!$I10929,CONFIG_ASIGNATURAS!$B$2:$J$61,9,FALSE()),""))</f>
      </c>
    </row>
    <row r="10930">
      <c r="E10930">
        <f>IF(DATOS!$I10930="","",IFERROR(VLOOKUP(DATOS!$I10930,CONFIG_ASIGNATURAS!$B$2:$J$61,9,FALSE()),""))</f>
      </c>
    </row>
    <row r="10931">
      <c r="E10931">
        <f>IF(DATOS!$I10931="","",IFERROR(VLOOKUP(DATOS!$I10931,CONFIG_ASIGNATURAS!$B$2:$J$61,9,FALSE()),""))</f>
      </c>
    </row>
    <row r="10932">
      <c r="E10932">
        <f>IF(DATOS!$I10932="","",IFERROR(VLOOKUP(DATOS!$I10932,CONFIG_ASIGNATURAS!$B$2:$J$61,9,FALSE()),""))</f>
      </c>
    </row>
    <row r="10933">
      <c r="E10933">
        <f>IF(DATOS!$I10933="","",IFERROR(VLOOKUP(DATOS!$I10933,CONFIG_ASIGNATURAS!$B$2:$J$61,9,FALSE()),""))</f>
      </c>
    </row>
    <row r="10934">
      <c r="E10934">
        <f>IF(DATOS!$I10934="","",IFERROR(VLOOKUP(DATOS!$I10934,CONFIG_ASIGNATURAS!$B$2:$J$61,9,FALSE()),""))</f>
      </c>
    </row>
    <row r="10935">
      <c r="E10935">
        <f>IF(DATOS!$I10935="","",IFERROR(VLOOKUP(DATOS!$I10935,CONFIG_ASIGNATURAS!$B$2:$J$61,9,FALSE()),""))</f>
      </c>
    </row>
    <row r="10936">
      <c r="E10936">
        <f>IF(DATOS!$I10936="","",IFERROR(VLOOKUP(DATOS!$I10936,CONFIG_ASIGNATURAS!$B$2:$J$61,9,FALSE()),""))</f>
      </c>
    </row>
    <row r="10937">
      <c r="E10937">
        <f>IF(DATOS!$I10937="","",IFERROR(VLOOKUP(DATOS!$I10937,CONFIG_ASIGNATURAS!$B$2:$J$61,9,FALSE()),""))</f>
      </c>
    </row>
    <row r="10938">
      <c r="E10938">
        <f>IF(DATOS!$I10938="","",IFERROR(VLOOKUP(DATOS!$I10938,CONFIG_ASIGNATURAS!$B$2:$J$61,9,FALSE()),""))</f>
      </c>
    </row>
    <row r="10939">
      <c r="E10939">
        <f>IF(DATOS!$I10939="","",IFERROR(VLOOKUP(DATOS!$I10939,CONFIG_ASIGNATURAS!$B$2:$J$61,9,FALSE()),""))</f>
      </c>
    </row>
    <row r="10940">
      <c r="E10940">
        <f>IF(DATOS!$I10940="","",IFERROR(VLOOKUP(DATOS!$I10940,CONFIG_ASIGNATURAS!$B$2:$J$61,9,FALSE()),""))</f>
      </c>
    </row>
    <row r="10941">
      <c r="E10941">
        <f>IF(DATOS!$I10941="","",IFERROR(VLOOKUP(DATOS!$I10941,CONFIG_ASIGNATURAS!$B$2:$J$61,9,FALSE()),""))</f>
      </c>
    </row>
    <row r="10942">
      <c r="E10942">
        <f>IF(DATOS!$I10942="","",IFERROR(VLOOKUP(DATOS!$I10942,CONFIG_ASIGNATURAS!$B$2:$J$61,9,FALSE()),""))</f>
      </c>
    </row>
    <row r="10943">
      <c r="E10943">
        <f>IF(DATOS!$I10943="","",IFERROR(VLOOKUP(DATOS!$I10943,CONFIG_ASIGNATURAS!$B$2:$J$61,9,FALSE()),""))</f>
      </c>
    </row>
    <row r="10944">
      <c r="E10944">
        <f>IF(DATOS!$I10944="","",IFERROR(VLOOKUP(DATOS!$I10944,CONFIG_ASIGNATURAS!$B$2:$J$61,9,FALSE()),""))</f>
      </c>
    </row>
    <row r="10945">
      <c r="E10945">
        <f>IF(DATOS!$I10945="","",IFERROR(VLOOKUP(DATOS!$I10945,CONFIG_ASIGNATURAS!$B$2:$J$61,9,FALSE()),""))</f>
      </c>
    </row>
    <row r="10946">
      <c r="E10946">
        <f>IF(DATOS!$I10946="","",IFERROR(VLOOKUP(DATOS!$I10946,CONFIG_ASIGNATURAS!$B$2:$J$61,9,FALSE()),""))</f>
      </c>
    </row>
    <row r="10947">
      <c r="E10947">
        <f>IF(DATOS!$I10947="","",IFERROR(VLOOKUP(DATOS!$I10947,CONFIG_ASIGNATURAS!$B$2:$J$61,9,FALSE()),""))</f>
      </c>
    </row>
    <row r="10948">
      <c r="E10948">
        <f>IF(DATOS!$I10948="","",IFERROR(VLOOKUP(DATOS!$I10948,CONFIG_ASIGNATURAS!$B$2:$J$61,9,FALSE()),""))</f>
      </c>
    </row>
    <row r="10949">
      <c r="E10949">
        <f>IF(DATOS!$I10949="","",IFERROR(VLOOKUP(DATOS!$I10949,CONFIG_ASIGNATURAS!$B$2:$J$61,9,FALSE()),""))</f>
      </c>
    </row>
    <row r="10950">
      <c r="E10950">
        <f>IF(DATOS!$I10950="","",IFERROR(VLOOKUP(DATOS!$I10950,CONFIG_ASIGNATURAS!$B$2:$J$61,9,FALSE()),""))</f>
      </c>
    </row>
    <row r="10951">
      <c r="E10951">
        <f>IF(DATOS!$I10951="","",IFERROR(VLOOKUP(DATOS!$I10951,CONFIG_ASIGNATURAS!$B$2:$J$61,9,FALSE()),""))</f>
      </c>
    </row>
    <row r="10952">
      <c r="E10952">
        <f>IF(DATOS!$I10952="","",IFERROR(VLOOKUP(DATOS!$I10952,CONFIG_ASIGNATURAS!$B$2:$J$61,9,FALSE()),""))</f>
      </c>
    </row>
    <row r="10953">
      <c r="E10953">
        <f>IF(DATOS!$I10953="","",IFERROR(VLOOKUP(DATOS!$I10953,CONFIG_ASIGNATURAS!$B$2:$J$61,9,FALSE()),""))</f>
      </c>
    </row>
    <row r="10954">
      <c r="E10954">
        <f>IF(DATOS!$I10954="","",IFERROR(VLOOKUP(DATOS!$I10954,CONFIG_ASIGNATURAS!$B$2:$J$61,9,FALSE()),""))</f>
      </c>
    </row>
    <row r="10955">
      <c r="E10955">
        <f>IF(DATOS!$I10955="","",IFERROR(VLOOKUP(DATOS!$I10955,CONFIG_ASIGNATURAS!$B$2:$J$61,9,FALSE()),""))</f>
      </c>
    </row>
    <row r="10956">
      <c r="E10956">
        <f>IF(DATOS!$I10956="","",IFERROR(VLOOKUP(DATOS!$I10956,CONFIG_ASIGNATURAS!$B$2:$J$61,9,FALSE()),""))</f>
      </c>
    </row>
    <row r="10957">
      <c r="E10957">
        <f>IF(DATOS!$I10957="","",IFERROR(VLOOKUP(DATOS!$I10957,CONFIG_ASIGNATURAS!$B$2:$J$61,9,FALSE()),""))</f>
      </c>
    </row>
    <row r="10958">
      <c r="E10958">
        <f>IF(DATOS!$I10958="","",IFERROR(VLOOKUP(DATOS!$I10958,CONFIG_ASIGNATURAS!$B$2:$J$61,9,FALSE()),""))</f>
      </c>
    </row>
    <row r="10959">
      <c r="E10959">
        <f>IF(DATOS!$I10959="","",IFERROR(VLOOKUP(DATOS!$I10959,CONFIG_ASIGNATURAS!$B$2:$J$61,9,FALSE()),""))</f>
      </c>
    </row>
    <row r="10960">
      <c r="E10960">
        <f>IF(DATOS!$I10960="","",IFERROR(VLOOKUP(DATOS!$I10960,CONFIG_ASIGNATURAS!$B$2:$J$61,9,FALSE()),""))</f>
      </c>
    </row>
    <row r="10961">
      <c r="E10961">
        <f>IF(DATOS!$I10961="","",IFERROR(VLOOKUP(DATOS!$I10961,CONFIG_ASIGNATURAS!$B$2:$J$61,9,FALSE()),""))</f>
      </c>
    </row>
    <row r="10962">
      <c r="E10962">
        <f>IF(DATOS!$I10962="","",IFERROR(VLOOKUP(DATOS!$I10962,CONFIG_ASIGNATURAS!$B$2:$J$61,9,FALSE()),""))</f>
      </c>
    </row>
    <row r="10963">
      <c r="E10963">
        <f>IF(DATOS!$I10963="","",IFERROR(VLOOKUP(DATOS!$I10963,CONFIG_ASIGNATURAS!$B$2:$J$61,9,FALSE()),""))</f>
      </c>
    </row>
    <row r="10964">
      <c r="E10964">
        <f>IF(DATOS!$I10964="","",IFERROR(VLOOKUP(DATOS!$I10964,CONFIG_ASIGNATURAS!$B$2:$J$61,9,FALSE()),""))</f>
      </c>
    </row>
    <row r="10965">
      <c r="E10965">
        <f>IF(DATOS!$I10965="","",IFERROR(VLOOKUP(DATOS!$I10965,CONFIG_ASIGNATURAS!$B$2:$J$61,9,FALSE()),""))</f>
      </c>
    </row>
    <row r="10966">
      <c r="E10966">
        <f>IF(DATOS!$I10966="","",IFERROR(VLOOKUP(DATOS!$I10966,CONFIG_ASIGNATURAS!$B$2:$J$61,9,FALSE()),""))</f>
      </c>
    </row>
    <row r="10967">
      <c r="E10967">
        <f>IF(DATOS!$I10967="","",IFERROR(VLOOKUP(DATOS!$I10967,CONFIG_ASIGNATURAS!$B$2:$J$61,9,FALSE()),""))</f>
      </c>
    </row>
    <row r="10968">
      <c r="E10968">
        <f>IF(DATOS!$I10968="","",IFERROR(VLOOKUP(DATOS!$I10968,CONFIG_ASIGNATURAS!$B$2:$J$61,9,FALSE()),""))</f>
      </c>
    </row>
    <row r="10969">
      <c r="E10969">
        <f>IF(DATOS!$I10969="","",IFERROR(VLOOKUP(DATOS!$I10969,CONFIG_ASIGNATURAS!$B$2:$J$61,9,FALSE()),""))</f>
      </c>
    </row>
    <row r="10970">
      <c r="E10970">
        <f>IF(DATOS!$I10970="","",IFERROR(VLOOKUP(DATOS!$I10970,CONFIG_ASIGNATURAS!$B$2:$J$61,9,FALSE()),""))</f>
      </c>
    </row>
    <row r="10971">
      <c r="E10971">
        <f>IF(DATOS!$I10971="","",IFERROR(VLOOKUP(DATOS!$I10971,CONFIG_ASIGNATURAS!$B$2:$J$61,9,FALSE()),""))</f>
      </c>
    </row>
    <row r="10972">
      <c r="E10972">
        <f>IF(DATOS!$I10972="","",IFERROR(VLOOKUP(DATOS!$I10972,CONFIG_ASIGNATURAS!$B$2:$J$61,9,FALSE()),""))</f>
      </c>
    </row>
    <row r="10973">
      <c r="E10973">
        <f>IF(DATOS!$I10973="","",IFERROR(VLOOKUP(DATOS!$I10973,CONFIG_ASIGNATURAS!$B$2:$J$61,9,FALSE()),""))</f>
      </c>
    </row>
    <row r="10974">
      <c r="E10974">
        <f>IF(DATOS!$I10974="","",IFERROR(VLOOKUP(DATOS!$I10974,CONFIG_ASIGNATURAS!$B$2:$J$61,9,FALSE()),""))</f>
      </c>
    </row>
    <row r="10975">
      <c r="E10975">
        <f>IF(DATOS!$I10975="","",IFERROR(VLOOKUP(DATOS!$I10975,CONFIG_ASIGNATURAS!$B$2:$J$61,9,FALSE()),""))</f>
      </c>
    </row>
    <row r="10976">
      <c r="E10976">
        <f>IF(DATOS!$I10976="","",IFERROR(VLOOKUP(DATOS!$I10976,CONFIG_ASIGNATURAS!$B$2:$J$61,9,FALSE()),""))</f>
      </c>
    </row>
    <row r="10977">
      <c r="E10977">
        <f>IF(DATOS!$I10977="","",IFERROR(VLOOKUP(DATOS!$I10977,CONFIG_ASIGNATURAS!$B$2:$J$61,9,FALSE()),""))</f>
      </c>
    </row>
    <row r="10978">
      <c r="E10978">
        <f>IF(DATOS!$I10978="","",IFERROR(VLOOKUP(DATOS!$I10978,CONFIG_ASIGNATURAS!$B$2:$J$61,9,FALSE()),""))</f>
      </c>
    </row>
    <row r="10979">
      <c r="E10979">
        <f>IF(DATOS!$I10979="","",IFERROR(VLOOKUP(DATOS!$I10979,CONFIG_ASIGNATURAS!$B$2:$J$61,9,FALSE()),""))</f>
      </c>
    </row>
    <row r="10980">
      <c r="E10980">
        <f>IF(DATOS!$I10980="","",IFERROR(VLOOKUP(DATOS!$I10980,CONFIG_ASIGNATURAS!$B$2:$J$61,9,FALSE()),""))</f>
      </c>
    </row>
    <row r="10981">
      <c r="E10981">
        <f>IF(DATOS!$I10981="","",IFERROR(VLOOKUP(DATOS!$I10981,CONFIG_ASIGNATURAS!$B$2:$J$61,9,FALSE()),""))</f>
      </c>
    </row>
    <row r="10982">
      <c r="E10982">
        <f>IF(DATOS!$I10982="","",IFERROR(VLOOKUP(DATOS!$I10982,CONFIG_ASIGNATURAS!$B$2:$J$61,9,FALSE()),""))</f>
      </c>
    </row>
    <row r="10983">
      <c r="E10983">
        <f>IF(DATOS!$I10983="","",IFERROR(VLOOKUP(DATOS!$I10983,CONFIG_ASIGNATURAS!$B$2:$J$61,9,FALSE()),""))</f>
      </c>
    </row>
    <row r="10984">
      <c r="E10984">
        <f>IF(DATOS!$I10984="","",IFERROR(VLOOKUP(DATOS!$I10984,CONFIG_ASIGNATURAS!$B$2:$J$61,9,FALSE()),""))</f>
      </c>
    </row>
    <row r="10985">
      <c r="E10985">
        <f>IF(DATOS!$I10985="","",IFERROR(VLOOKUP(DATOS!$I10985,CONFIG_ASIGNATURAS!$B$2:$J$61,9,FALSE()),""))</f>
      </c>
    </row>
    <row r="10986">
      <c r="E10986">
        <f>IF(DATOS!$I10986="","",IFERROR(VLOOKUP(DATOS!$I10986,CONFIG_ASIGNATURAS!$B$2:$J$61,9,FALSE()),""))</f>
      </c>
    </row>
    <row r="10987">
      <c r="E10987">
        <f>IF(DATOS!$I10987="","",IFERROR(VLOOKUP(DATOS!$I10987,CONFIG_ASIGNATURAS!$B$2:$J$61,9,FALSE()),""))</f>
      </c>
    </row>
    <row r="10988">
      <c r="E10988">
        <f>IF(DATOS!$I10988="","",IFERROR(VLOOKUP(DATOS!$I10988,CONFIG_ASIGNATURAS!$B$2:$J$61,9,FALSE()),""))</f>
      </c>
    </row>
    <row r="10989">
      <c r="E10989">
        <f>IF(DATOS!$I10989="","",IFERROR(VLOOKUP(DATOS!$I10989,CONFIG_ASIGNATURAS!$B$2:$J$61,9,FALSE()),""))</f>
      </c>
    </row>
    <row r="10990">
      <c r="E10990">
        <f>IF(DATOS!$I10990="","",IFERROR(VLOOKUP(DATOS!$I10990,CONFIG_ASIGNATURAS!$B$2:$J$61,9,FALSE()),""))</f>
      </c>
    </row>
    <row r="10991">
      <c r="E10991">
        <f>IF(DATOS!$I10991="","",IFERROR(VLOOKUP(DATOS!$I10991,CONFIG_ASIGNATURAS!$B$2:$J$61,9,FALSE()),""))</f>
      </c>
    </row>
    <row r="10992">
      <c r="E10992">
        <f>IF(DATOS!$I10992="","",IFERROR(VLOOKUP(DATOS!$I10992,CONFIG_ASIGNATURAS!$B$2:$J$61,9,FALSE()),""))</f>
      </c>
    </row>
    <row r="10993">
      <c r="E10993">
        <f>IF(DATOS!$I10993="","",IFERROR(VLOOKUP(DATOS!$I10993,CONFIG_ASIGNATURAS!$B$2:$J$61,9,FALSE()),""))</f>
      </c>
    </row>
    <row r="10994">
      <c r="E10994">
        <f>IF(DATOS!$I10994="","",IFERROR(VLOOKUP(DATOS!$I10994,CONFIG_ASIGNATURAS!$B$2:$J$61,9,FALSE()),""))</f>
      </c>
    </row>
    <row r="10995">
      <c r="E10995">
        <f>IF(DATOS!$I10995="","",IFERROR(VLOOKUP(DATOS!$I10995,CONFIG_ASIGNATURAS!$B$2:$J$61,9,FALSE()),""))</f>
      </c>
    </row>
    <row r="10996">
      <c r="E10996">
        <f>IF(DATOS!$I10996="","",IFERROR(VLOOKUP(DATOS!$I10996,CONFIG_ASIGNATURAS!$B$2:$J$61,9,FALSE()),""))</f>
      </c>
    </row>
    <row r="10997">
      <c r="E10997">
        <f>IF(DATOS!$I10997="","",IFERROR(VLOOKUP(DATOS!$I10997,CONFIG_ASIGNATURAS!$B$2:$J$61,9,FALSE()),""))</f>
      </c>
    </row>
    <row r="10998">
      <c r="E10998">
        <f>IF(DATOS!$I10998="","",IFERROR(VLOOKUP(DATOS!$I10998,CONFIG_ASIGNATURAS!$B$2:$J$61,9,FALSE()),""))</f>
      </c>
    </row>
    <row r="10999">
      <c r="E10999">
        <f>IF(DATOS!$I10999="","",IFERROR(VLOOKUP(DATOS!$I10999,CONFIG_ASIGNATURAS!$B$2:$J$61,9,FALSE()),""))</f>
      </c>
    </row>
    <row r="11000">
      <c r="E11000">
        <f>IF(DATOS!$I11000="","",IFERROR(VLOOKUP(DATOS!$I11000,CONFIG_ASIGNATURAS!$B$2:$J$61,9,FALSE()),""))</f>
      </c>
    </row>
    <row r="11001">
      <c r="E11001">
        <f>IF(DATOS!$I11001="","",IFERROR(VLOOKUP(DATOS!$I11001,CONFIG_ASIGNATURAS!$B$2:$J$61,9,FALSE()),""))</f>
      </c>
    </row>
    <row r="11002">
      <c r="E11002">
        <f>IF(DATOS!$I11002="","",IFERROR(VLOOKUP(DATOS!$I11002,CONFIG_ASIGNATURAS!$B$2:$J$61,9,FALSE()),""))</f>
      </c>
    </row>
    <row r="11003">
      <c r="E11003">
        <f>IF(DATOS!$I11003="","",IFERROR(VLOOKUP(DATOS!$I11003,CONFIG_ASIGNATURAS!$B$2:$J$61,9,FALSE()),""))</f>
      </c>
    </row>
    <row r="11004">
      <c r="E11004">
        <f>IF(DATOS!$I11004="","",IFERROR(VLOOKUP(DATOS!$I11004,CONFIG_ASIGNATURAS!$B$2:$J$61,9,FALSE()),""))</f>
      </c>
    </row>
    <row r="11005">
      <c r="E11005">
        <f>IF(DATOS!$I11005="","",IFERROR(VLOOKUP(DATOS!$I11005,CONFIG_ASIGNATURAS!$B$2:$J$61,9,FALSE()),""))</f>
      </c>
    </row>
    <row r="11006">
      <c r="E11006">
        <f>IF(DATOS!$I11006="","",IFERROR(VLOOKUP(DATOS!$I11006,CONFIG_ASIGNATURAS!$B$2:$J$61,9,FALSE()),""))</f>
      </c>
    </row>
    <row r="11007">
      <c r="E11007">
        <f>IF(DATOS!$I11007="","",IFERROR(VLOOKUP(DATOS!$I11007,CONFIG_ASIGNATURAS!$B$2:$J$61,9,FALSE()),""))</f>
      </c>
    </row>
    <row r="11008">
      <c r="E11008">
        <f>IF(DATOS!$I11008="","",IFERROR(VLOOKUP(DATOS!$I11008,CONFIG_ASIGNATURAS!$B$2:$J$61,9,FALSE()),""))</f>
      </c>
    </row>
    <row r="11009">
      <c r="E11009">
        <f>IF(DATOS!$I11009="","",IFERROR(VLOOKUP(DATOS!$I11009,CONFIG_ASIGNATURAS!$B$2:$J$61,9,FALSE()),""))</f>
      </c>
    </row>
    <row r="11010">
      <c r="E11010">
        <f>IF(DATOS!$I11010="","",IFERROR(VLOOKUP(DATOS!$I11010,CONFIG_ASIGNATURAS!$B$2:$J$61,9,FALSE()),""))</f>
      </c>
    </row>
    <row r="11011">
      <c r="E11011">
        <f>IF(DATOS!$I11011="","",IFERROR(VLOOKUP(DATOS!$I11011,CONFIG_ASIGNATURAS!$B$2:$J$61,9,FALSE()),""))</f>
      </c>
    </row>
    <row r="11012">
      <c r="E11012">
        <f>IF(DATOS!$I11012="","",IFERROR(VLOOKUP(DATOS!$I11012,CONFIG_ASIGNATURAS!$B$2:$J$61,9,FALSE()),""))</f>
      </c>
    </row>
    <row r="11013">
      <c r="E11013">
        <f>IF(DATOS!$I11013="","",IFERROR(VLOOKUP(DATOS!$I11013,CONFIG_ASIGNATURAS!$B$2:$J$61,9,FALSE()),""))</f>
      </c>
    </row>
    <row r="11014">
      <c r="E11014">
        <f>IF(DATOS!$I11014="","",IFERROR(VLOOKUP(DATOS!$I11014,CONFIG_ASIGNATURAS!$B$2:$J$61,9,FALSE()),""))</f>
      </c>
    </row>
    <row r="11015">
      <c r="E11015">
        <f>IF(DATOS!$I11015="","",IFERROR(VLOOKUP(DATOS!$I11015,CONFIG_ASIGNATURAS!$B$2:$J$61,9,FALSE()),""))</f>
      </c>
    </row>
    <row r="11016">
      <c r="E11016">
        <f>IF(DATOS!$I11016="","",IFERROR(VLOOKUP(DATOS!$I11016,CONFIG_ASIGNATURAS!$B$2:$J$61,9,FALSE()),""))</f>
      </c>
    </row>
    <row r="11017">
      <c r="E11017">
        <f>IF(DATOS!$I11017="","",IFERROR(VLOOKUP(DATOS!$I11017,CONFIG_ASIGNATURAS!$B$2:$J$61,9,FALSE()),""))</f>
      </c>
    </row>
    <row r="11018">
      <c r="E11018">
        <f>IF(DATOS!$I11018="","",IFERROR(VLOOKUP(DATOS!$I11018,CONFIG_ASIGNATURAS!$B$2:$J$61,9,FALSE()),""))</f>
      </c>
    </row>
    <row r="11019">
      <c r="E11019">
        <f>IF(DATOS!$I11019="","",IFERROR(VLOOKUP(DATOS!$I11019,CONFIG_ASIGNATURAS!$B$2:$J$61,9,FALSE()),""))</f>
      </c>
    </row>
    <row r="11020">
      <c r="E11020">
        <f>IF(DATOS!$I11020="","",IFERROR(VLOOKUP(DATOS!$I11020,CONFIG_ASIGNATURAS!$B$2:$J$61,9,FALSE()),""))</f>
      </c>
    </row>
    <row r="11021">
      <c r="E11021">
        <f>IF(DATOS!$I11021="","",IFERROR(VLOOKUP(DATOS!$I11021,CONFIG_ASIGNATURAS!$B$2:$J$61,9,FALSE()),""))</f>
      </c>
    </row>
    <row r="11022">
      <c r="E11022">
        <f>IF(DATOS!$I11022="","",IFERROR(VLOOKUP(DATOS!$I11022,CONFIG_ASIGNATURAS!$B$2:$J$61,9,FALSE()),""))</f>
      </c>
    </row>
    <row r="11023">
      <c r="E11023">
        <f>IF(DATOS!$I11023="","",IFERROR(VLOOKUP(DATOS!$I11023,CONFIG_ASIGNATURAS!$B$2:$J$61,9,FALSE()),""))</f>
      </c>
    </row>
    <row r="11024">
      <c r="E11024">
        <f>IF(DATOS!$I11024="","",IFERROR(VLOOKUP(DATOS!$I11024,CONFIG_ASIGNATURAS!$B$2:$J$61,9,FALSE()),""))</f>
      </c>
    </row>
    <row r="11025">
      <c r="E11025">
        <f>IF(DATOS!$I11025="","",IFERROR(VLOOKUP(DATOS!$I11025,CONFIG_ASIGNATURAS!$B$2:$J$61,9,FALSE()),""))</f>
      </c>
    </row>
    <row r="11026">
      <c r="E11026">
        <f>IF(DATOS!$I11026="","",IFERROR(VLOOKUP(DATOS!$I11026,CONFIG_ASIGNATURAS!$B$2:$J$61,9,FALSE()),""))</f>
      </c>
    </row>
    <row r="11027">
      <c r="E11027">
        <f>IF(DATOS!$I11027="","",IFERROR(VLOOKUP(DATOS!$I11027,CONFIG_ASIGNATURAS!$B$2:$J$61,9,FALSE()),""))</f>
      </c>
    </row>
    <row r="11028">
      <c r="E11028">
        <f>IF(DATOS!$I11028="","",IFERROR(VLOOKUP(DATOS!$I11028,CONFIG_ASIGNATURAS!$B$2:$J$61,9,FALSE()),""))</f>
      </c>
    </row>
    <row r="11029">
      <c r="E11029">
        <f>IF(DATOS!$I11029="","",IFERROR(VLOOKUP(DATOS!$I11029,CONFIG_ASIGNATURAS!$B$2:$J$61,9,FALSE()),""))</f>
      </c>
    </row>
    <row r="11030">
      <c r="E11030">
        <f>IF(DATOS!$I11030="","",IFERROR(VLOOKUP(DATOS!$I11030,CONFIG_ASIGNATURAS!$B$2:$J$61,9,FALSE()),""))</f>
      </c>
    </row>
    <row r="11031">
      <c r="E11031">
        <f>IF(DATOS!$I11031="","",IFERROR(VLOOKUP(DATOS!$I11031,CONFIG_ASIGNATURAS!$B$2:$J$61,9,FALSE()),""))</f>
      </c>
    </row>
    <row r="11032">
      <c r="E11032">
        <f>IF(DATOS!$I11032="","",IFERROR(VLOOKUP(DATOS!$I11032,CONFIG_ASIGNATURAS!$B$2:$J$61,9,FALSE()),""))</f>
      </c>
    </row>
    <row r="11033">
      <c r="E11033">
        <f>IF(DATOS!$I11033="","",IFERROR(VLOOKUP(DATOS!$I11033,CONFIG_ASIGNATURAS!$B$2:$J$61,9,FALSE()),""))</f>
      </c>
    </row>
    <row r="11034">
      <c r="E11034">
        <f>IF(DATOS!$I11034="","",IFERROR(VLOOKUP(DATOS!$I11034,CONFIG_ASIGNATURAS!$B$2:$J$61,9,FALSE()),""))</f>
      </c>
    </row>
    <row r="11035">
      <c r="E11035">
        <f>IF(DATOS!$I11035="","",IFERROR(VLOOKUP(DATOS!$I11035,CONFIG_ASIGNATURAS!$B$2:$J$61,9,FALSE()),""))</f>
      </c>
    </row>
    <row r="11036">
      <c r="E11036">
        <f>IF(DATOS!$I11036="","",IFERROR(VLOOKUP(DATOS!$I11036,CONFIG_ASIGNATURAS!$B$2:$J$61,9,FALSE()),""))</f>
      </c>
    </row>
    <row r="11037">
      <c r="E11037">
        <f>IF(DATOS!$I11037="","",IFERROR(VLOOKUP(DATOS!$I11037,CONFIG_ASIGNATURAS!$B$2:$J$61,9,FALSE()),""))</f>
      </c>
    </row>
    <row r="11038">
      <c r="E11038">
        <f>IF(DATOS!$I11038="","",IFERROR(VLOOKUP(DATOS!$I11038,CONFIG_ASIGNATURAS!$B$2:$J$61,9,FALSE()),""))</f>
      </c>
    </row>
    <row r="11039">
      <c r="E11039">
        <f>IF(DATOS!$I11039="","",IFERROR(VLOOKUP(DATOS!$I11039,CONFIG_ASIGNATURAS!$B$2:$J$61,9,FALSE()),""))</f>
      </c>
    </row>
    <row r="11040">
      <c r="E11040">
        <f>IF(DATOS!$I11040="","",IFERROR(VLOOKUP(DATOS!$I11040,CONFIG_ASIGNATURAS!$B$2:$J$61,9,FALSE()),""))</f>
      </c>
    </row>
    <row r="11041">
      <c r="E11041">
        <f>IF(DATOS!$I11041="","",IFERROR(VLOOKUP(DATOS!$I11041,CONFIG_ASIGNATURAS!$B$2:$J$61,9,FALSE()),""))</f>
      </c>
    </row>
    <row r="11042">
      <c r="E11042">
        <f>IF(DATOS!$I11042="","",IFERROR(VLOOKUP(DATOS!$I11042,CONFIG_ASIGNATURAS!$B$2:$J$61,9,FALSE()),""))</f>
      </c>
    </row>
    <row r="11043">
      <c r="E11043">
        <f>IF(DATOS!$I11043="","",IFERROR(VLOOKUP(DATOS!$I11043,CONFIG_ASIGNATURAS!$B$2:$J$61,9,FALSE()),""))</f>
      </c>
    </row>
    <row r="11044">
      <c r="E11044">
        <f>IF(DATOS!$I11044="","",IFERROR(VLOOKUP(DATOS!$I11044,CONFIG_ASIGNATURAS!$B$2:$J$61,9,FALSE()),""))</f>
      </c>
    </row>
    <row r="11045">
      <c r="E11045">
        <f>IF(DATOS!$I11045="","",IFERROR(VLOOKUP(DATOS!$I11045,CONFIG_ASIGNATURAS!$B$2:$J$61,9,FALSE()),""))</f>
      </c>
    </row>
    <row r="11046">
      <c r="E11046">
        <f>IF(DATOS!$I11046="","",IFERROR(VLOOKUP(DATOS!$I11046,CONFIG_ASIGNATURAS!$B$2:$J$61,9,FALSE()),""))</f>
      </c>
    </row>
    <row r="11047">
      <c r="E11047">
        <f>IF(DATOS!$I11047="","",IFERROR(VLOOKUP(DATOS!$I11047,CONFIG_ASIGNATURAS!$B$2:$J$61,9,FALSE()),""))</f>
      </c>
    </row>
    <row r="11048">
      <c r="E11048">
        <f>IF(DATOS!$I11048="","",IFERROR(VLOOKUP(DATOS!$I11048,CONFIG_ASIGNATURAS!$B$2:$J$61,9,FALSE()),""))</f>
      </c>
    </row>
    <row r="11049">
      <c r="E11049">
        <f>IF(DATOS!$I11049="","",IFERROR(VLOOKUP(DATOS!$I11049,CONFIG_ASIGNATURAS!$B$2:$J$61,9,FALSE()),""))</f>
      </c>
    </row>
    <row r="11050">
      <c r="E11050">
        <f>IF(DATOS!$I11050="","",IFERROR(VLOOKUP(DATOS!$I11050,CONFIG_ASIGNATURAS!$B$2:$J$61,9,FALSE()),""))</f>
      </c>
    </row>
    <row r="11051">
      <c r="E11051">
        <f>IF(DATOS!$I11051="","",IFERROR(VLOOKUP(DATOS!$I11051,CONFIG_ASIGNATURAS!$B$2:$J$61,9,FALSE()),""))</f>
      </c>
    </row>
    <row r="11052">
      <c r="E11052">
        <f>IF(DATOS!$I11052="","",IFERROR(VLOOKUP(DATOS!$I11052,CONFIG_ASIGNATURAS!$B$2:$J$61,9,FALSE()),""))</f>
      </c>
    </row>
    <row r="11053">
      <c r="E11053">
        <f>IF(DATOS!$I11053="","",IFERROR(VLOOKUP(DATOS!$I11053,CONFIG_ASIGNATURAS!$B$2:$J$61,9,FALSE()),""))</f>
      </c>
    </row>
    <row r="11054">
      <c r="E11054">
        <f>IF(DATOS!$I11054="","",IFERROR(VLOOKUP(DATOS!$I11054,CONFIG_ASIGNATURAS!$B$2:$J$61,9,FALSE()),""))</f>
      </c>
    </row>
    <row r="11055">
      <c r="E11055">
        <f>IF(DATOS!$I11055="","",IFERROR(VLOOKUP(DATOS!$I11055,CONFIG_ASIGNATURAS!$B$2:$J$61,9,FALSE()),""))</f>
      </c>
    </row>
    <row r="11056">
      <c r="E11056">
        <f>IF(DATOS!$I11056="","",IFERROR(VLOOKUP(DATOS!$I11056,CONFIG_ASIGNATURAS!$B$2:$J$61,9,FALSE()),""))</f>
      </c>
    </row>
    <row r="11057">
      <c r="E11057">
        <f>IF(DATOS!$I11057="","",IFERROR(VLOOKUP(DATOS!$I11057,CONFIG_ASIGNATURAS!$B$2:$J$61,9,FALSE()),""))</f>
      </c>
    </row>
    <row r="11058">
      <c r="E11058">
        <f>IF(DATOS!$I11058="","",IFERROR(VLOOKUP(DATOS!$I11058,CONFIG_ASIGNATURAS!$B$2:$J$61,9,FALSE()),""))</f>
      </c>
    </row>
    <row r="11059">
      <c r="E11059">
        <f>IF(DATOS!$I11059="","",IFERROR(VLOOKUP(DATOS!$I11059,CONFIG_ASIGNATURAS!$B$2:$J$61,9,FALSE()),""))</f>
      </c>
    </row>
    <row r="11060">
      <c r="E11060">
        <f>IF(DATOS!$I11060="","",IFERROR(VLOOKUP(DATOS!$I11060,CONFIG_ASIGNATURAS!$B$2:$J$61,9,FALSE()),""))</f>
      </c>
    </row>
    <row r="11061">
      <c r="E11061">
        <f>IF(DATOS!$I11061="","",IFERROR(VLOOKUP(DATOS!$I11061,CONFIG_ASIGNATURAS!$B$2:$J$61,9,FALSE()),""))</f>
      </c>
    </row>
    <row r="11062">
      <c r="E11062">
        <f>IF(DATOS!$I11062="","",IFERROR(VLOOKUP(DATOS!$I11062,CONFIG_ASIGNATURAS!$B$2:$J$61,9,FALSE()),""))</f>
      </c>
    </row>
    <row r="11063">
      <c r="E11063">
        <f>IF(DATOS!$I11063="","",IFERROR(VLOOKUP(DATOS!$I11063,CONFIG_ASIGNATURAS!$B$2:$J$61,9,FALSE()),""))</f>
      </c>
    </row>
    <row r="11064">
      <c r="E11064">
        <f>IF(DATOS!$I11064="","",IFERROR(VLOOKUP(DATOS!$I11064,CONFIG_ASIGNATURAS!$B$2:$J$61,9,FALSE()),""))</f>
      </c>
    </row>
    <row r="11065">
      <c r="E11065">
        <f>IF(DATOS!$I11065="","",IFERROR(VLOOKUP(DATOS!$I11065,CONFIG_ASIGNATURAS!$B$2:$J$61,9,FALSE()),""))</f>
      </c>
    </row>
    <row r="11066">
      <c r="E11066">
        <f>IF(DATOS!$I11066="","",IFERROR(VLOOKUP(DATOS!$I11066,CONFIG_ASIGNATURAS!$B$2:$J$61,9,FALSE()),""))</f>
      </c>
    </row>
    <row r="11067">
      <c r="E11067">
        <f>IF(DATOS!$I11067="","",IFERROR(VLOOKUP(DATOS!$I11067,CONFIG_ASIGNATURAS!$B$2:$J$61,9,FALSE()),""))</f>
      </c>
    </row>
    <row r="11068">
      <c r="E11068">
        <f>IF(DATOS!$I11068="","",IFERROR(VLOOKUP(DATOS!$I11068,CONFIG_ASIGNATURAS!$B$2:$J$61,9,FALSE()),""))</f>
      </c>
    </row>
    <row r="11069">
      <c r="E11069">
        <f>IF(DATOS!$I11069="","",IFERROR(VLOOKUP(DATOS!$I11069,CONFIG_ASIGNATURAS!$B$2:$J$61,9,FALSE()),""))</f>
      </c>
    </row>
    <row r="11070">
      <c r="E11070">
        <f>IF(DATOS!$I11070="","",IFERROR(VLOOKUP(DATOS!$I11070,CONFIG_ASIGNATURAS!$B$2:$J$61,9,FALSE()),""))</f>
      </c>
    </row>
    <row r="11071">
      <c r="E11071">
        <f>IF(DATOS!$I11071="","",IFERROR(VLOOKUP(DATOS!$I11071,CONFIG_ASIGNATURAS!$B$2:$J$61,9,FALSE()),""))</f>
      </c>
    </row>
    <row r="11072">
      <c r="E11072">
        <f>IF(DATOS!$I11072="","",IFERROR(VLOOKUP(DATOS!$I11072,CONFIG_ASIGNATURAS!$B$2:$J$61,9,FALSE()),""))</f>
      </c>
    </row>
    <row r="11073">
      <c r="E11073">
        <f>IF(DATOS!$I11073="","",IFERROR(VLOOKUP(DATOS!$I11073,CONFIG_ASIGNATURAS!$B$2:$J$61,9,FALSE()),""))</f>
      </c>
    </row>
    <row r="11074">
      <c r="E11074">
        <f>IF(DATOS!$I11074="","",IFERROR(VLOOKUP(DATOS!$I11074,CONFIG_ASIGNATURAS!$B$2:$J$61,9,FALSE()),""))</f>
      </c>
    </row>
    <row r="11075">
      <c r="E11075">
        <f>IF(DATOS!$I11075="","",IFERROR(VLOOKUP(DATOS!$I11075,CONFIG_ASIGNATURAS!$B$2:$J$61,9,FALSE()),""))</f>
      </c>
    </row>
    <row r="11076">
      <c r="E11076">
        <f>IF(DATOS!$I11076="","",IFERROR(VLOOKUP(DATOS!$I11076,CONFIG_ASIGNATURAS!$B$2:$J$61,9,FALSE()),""))</f>
      </c>
    </row>
    <row r="11077">
      <c r="E11077">
        <f>IF(DATOS!$I11077="","",IFERROR(VLOOKUP(DATOS!$I11077,CONFIG_ASIGNATURAS!$B$2:$J$61,9,FALSE()),""))</f>
      </c>
    </row>
    <row r="11078">
      <c r="E11078">
        <f>IF(DATOS!$I11078="","",IFERROR(VLOOKUP(DATOS!$I11078,CONFIG_ASIGNATURAS!$B$2:$J$61,9,FALSE()),""))</f>
      </c>
    </row>
    <row r="11079">
      <c r="E11079">
        <f>IF(DATOS!$I11079="","",IFERROR(VLOOKUP(DATOS!$I11079,CONFIG_ASIGNATURAS!$B$2:$J$61,9,FALSE()),""))</f>
      </c>
    </row>
    <row r="11080">
      <c r="E11080">
        <f>IF(DATOS!$I11080="","",IFERROR(VLOOKUP(DATOS!$I11080,CONFIG_ASIGNATURAS!$B$2:$J$61,9,FALSE()),""))</f>
      </c>
    </row>
    <row r="11081">
      <c r="E11081">
        <f>IF(DATOS!$I11081="","",IFERROR(VLOOKUP(DATOS!$I11081,CONFIG_ASIGNATURAS!$B$2:$J$61,9,FALSE()),""))</f>
      </c>
    </row>
    <row r="11082">
      <c r="E11082">
        <f>IF(DATOS!$I11082="","",IFERROR(VLOOKUP(DATOS!$I11082,CONFIG_ASIGNATURAS!$B$2:$J$61,9,FALSE()),""))</f>
      </c>
    </row>
    <row r="11083">
      <c r="E11083">
        <f>IF(DATOS!$I11083="","",IFERROR(VLOOKUP(DATOS!$I11083,CONFIG_ASIGNATURAS!$B$2:$J$61,9,FALSE()),""))</f>
      </c>
    </row>
    <row r="11084">
      <c r="E11084">
        <f>IF(DATOS!$I11084="","",IFERROR(VLOOKUP(DATOS!$I11084,CONFIG_ASIGNATURAS!$B$2:$J$61,9,FALSE()),""))</f>
      </c>
    </row>
    <row r="11085">
      <c r="E11085">
        <f>IF(DATOS!$I11085="","",IFERROR(VLOOKUP(DATOS!$I11085,CONFIG_ASIGNATURAS!$B$2:$J$61,9,FALSE()),""))</f>
      </c>
    </row>
    <row r="11086">
      <c r="E11086">
        <f>IF(DATOS!$I11086="","",IFERROR(VLOOKUP(DATOS!$I11086,CONFIG_ASIGNATURAS!$B$2:$J$61,9,FALSE()),""))</f>
      </c>
    </row>
    <row r="11087">
      <c r="E11087">
        <f>IF(DATOS!$I11087="","",IFERROR(VLOOKUP(DATOS!$I11087,CONFIG_ASIGNATURAS!$B$2:$J$61,9,FALSE()),""))</f>
      </c>
    </row>
    <row r="11088">
      <c r="E11088">
        <f>IF(DATOS!$I11088="","",IFERROR(VLOOKUP(DATOS!$I11088,CONFIG_ASIGNATURAS!$B$2:$J$61,9,FALSE()),""))</f>
      </c>
    </row>
    <row r="11089">
      <c r="E11089">
        <f>IF(DATOS!$I11089="","",IFERROR(VLOOKUP(DATOS!$I11089,CONFIG_ASIGNATURAS!$B$2:$J$61,9,FALSE()),""))</f>
      </c>
    </row>
    <row r="11090">
      <c r="E11090">
        <f>IF(DATOS!$I11090="","",IFERROR(VLOOKUP(DATOS!$I11090,CONFIG_ASIGNATURAS!$B$2:$J$61,9,FALSE()),""))</f>
      </c>
    </row>
    <row r="11091">
      <c r="E11091">
        <f>IF(DATOS!$I11091="","",IFERROR(VLOOKUP(DATOS!$I11091,CONFIG_ASIGNATURAS!$B$2:$J$61,9,FALSE()),""))</f>
      </c>
    </row>
    <row r="11092">
      <c r="E11092">
        <f>IF(DATOS!$I11092="","",IFERROR(VLOOKUP(DATOS!$I11092,CONFIG_ASIGNATURAS!$B$2:$J$61,9,FALSE()),""))</f>
      </c>
    </row>
    <row r="11093">
      <c r="E11093">
        <f>IF(DATOS!$I11093="","",IFERROR(VLOOKUP(DATOS!$I11093,CONFIG_ASIGNATURAS!$B$2:$J$61,9,FALSE()),""))</f>
      </c>
    </row>
    <row r="11094">
      <c r="E11094">
        <f>IF(DATOS!$I11094="","",IFERROR(VLOOKUP(DATOS!$I11094,CONFIG_ASIGNATURAS!$B$2:$J$61,9,FALSE()),""))</f>
      </c>
    </row>
    <row r="11095">
      <c r="E11095">
        <f>IF(DATOS!$I11095="","",IFERROR(VLOOKUP(DATOS!$I11095,CONFIG_ASIGNATURAS!$B$2:$J$61,9,FALSE()),""))</f>
      </c>
    </row>
    <row r="11096">
      <c r="E11096">
        <f>IF(DATOS!$I11096="","",IFERROR(VLOOKUP(DATOS!$I11096,CONFIG_ASIGNATURAS!$B$2:$J$61,9,FALSE()),""))</f>
      </c>
    </row>
    <row r="11097">
      <c r="E11097">
        <f>IF(DATOS!$I11097="","",IFERROR(VLOOKUP(DATOS!$I11097,CONFIG_ASIGNATURAS!$B$2:$J$61,9,FALSE()),""))</f>
      </c>
    </row>
    <row r="11098">
      <c r="E11098">
        <f>IF(DATOS!$I11098="","",IFERROR(VLOOKUP(DATOS!$I11098,CONFIG_ASIGNATURAS!$B$2:$J$61,9,FALSE()),""))</f>
      </c>
    </row>
    <row r="11099">
      <c r="E11099">
        <f>IF(DATOS!$I11099="","",IFERROR(VLOOKUP(DATOS!$I11099,CONFIG_ASIGNATURAS!$B$2:$J$61,9,FALSE()),""))</f>
      </c>
    </row>
    <row r="11100">
      <c r="E11100">
        <f>IF(DATOS!$I11100="","",IFERROR(VLOOKUP(DATOS!$I11100,CONFIG_ASIGNATURAS!$B$2:$J$61,9,FALSE()),""))</f>
      </c>
    </row>
    <row r="11101">
      <c r="E11101">
        <f>IF(DATOS!$I11101="","",IFERROR(VLOOKUP(DATOS!$I11101,CONFIG_ASIGNATURAS!$B$2:$J$61,9,FALSE()),""))</f>
      </c>
    </row>
    <row r="11102">
      <c r="E11102">
        <f>IF(DATOS!$I11102="","",IFERROR(VLOOKUP(DATOS!$I11102,CONFIG_ASIGNATURAS!$B$2:$J$61,9,FALSE()),""))</f>
      </c>
    </row>
    <row r="11103">
      <c r="E11103">
        <f>IF(DATOS!$I11103="","",IFERROR(VLOOKUP(DATOS!$I11103,CONFIG_ASIGNATURAS!$B$2:$J$61,9,FALSE()),""))</f>
      </c>
    </row>
    <row r="11104">
      <c r="E11104">
        <f>IF(DATOS!$I11104="","",IFERROR(VLOOKUP(DATOS!$I11104,CONFIG_ASIGNATURAS!$B$2:$J$61,9,FALSE()),""))</f>
      </c>
    </row>
    <row r="11105">
      <c r="E11105">
        <f>IF(DATOS!$I11105="","",IFERROR(VLOOKUP(DATOS!$I11105,CONFIG_ASIGNATURAS!$B$2:$J$61,9,FALSE()),""))</f>
      </c>
    </row>
    <row r="11106">
      <c r="E11106">
        <f>IF(DATOS!$I11106="","",IFERROR(VLOOKUP(DATOS!$I11106,CONFIG_ASIGNATURAS!$B$2:$J$61,9,FALSE()),""))</f>
      </c>
    </row>
    <row r="11107">
      <c r="E11107">
        <f>IF(DATOS!$I11107="","",IFERROR(VLOOKUP(DATOS!$I11107,CONFIG_ASIGNATURAS!$B$2:$J$61,9,FALSE()),""))</f>
      </c>
    </row>
    <row r="11108">
      <c r="E11108">
        <f>IF(DATOS!$I11108="","",IFERROR(VLOOKUP(DATOS!$I11108,CONFIG_ASIGNATURAS!$B$2:$J$61,9,FALSE()),""))</f>
      </c>
    </row>
    <row r="11109">
      <c r="E11109">
        <f>IF(DATOS!$I11109="","",IFERROR(VLOOKUP(DATOS!$I11109,CONFIG_ASIGNATURAS!$B$2:$J$61,9,FALSE()),""))</f>
      </c>
    </row>
    <row r="11110">
      <c r="E11110">
        <f>IF(DATOS!$I11110="","",IFERROR(VLOOKUP(DATOS!$I11110,CONFIG_ASIGNATURAS!$B$2:$J$61,9,FALSE()),""))</f>
      </c>
    </row>
    <row r="11111">
      <c r="E11111">
        <f>IF(DATOS!$I11111="","",IFERROR(VLOOKUP(DATOS!$I11111,CONFIG_ASIGNATURAS!$B$2:$J$61,9,FALSE()),""))</f>
      </c>
    </row>
    <row r="11112">
      <c r="E11112">
        <f>IF(DATOS!$I11112="","",IFERROR(VLOOKUP(DATOS!$I11112,CONFIG_ASIGNATURAS!$B$2:$J$61,9,FALSE()),""))</f>
      </c>
    </row>
    <row r="11113">
      <c r="E11113">
        <f>IF(DATOS!$I11113="","",IFERROR(VLOOKUP(DATOS!$I11113,CONFIG_ASIGNATURAS!$B$2:$J$61,9,FALSE()),""))</f>
      </c>
    </row>
    <row r="11114">
      <c r="E11114">
        <f>IF(DATOS!$I11114="","",IFERROR(VLOOKUP(DATOS!$I11114,CONFIG_ASIGNATURAS!$B$2:$J$61,9,FALSE()),""))</f>
      </c>
    </row>
    <row r="11115">
      <c r="E11115">
        <f>IF(DATOS!$I11115="","",IFERROR(VLOOKUP(DATOS!$I11115,CONFIG_ASIGNATURAS!$B$2:$J$61,9,FALSE()),""))</f>
      </c>
    </row>
    <row r="11116">
      <c r="E11116">
        <f>IF(DATOS!$I11116="","",IFERROR(VLOOKUP(DATOS!$I11116,CONFIG_ASIGNATURAS!$B$2:$J$61,9,FALSE()),""))</f>
      </c>
    </row>
    <row r="11117">
      <c r="E11117">
        <f>IF(DATOS!$I11117="","",IFERROR(VLOOKUP(DATOS!$I11117,CONFIG_ASIGNATURAS!$B$2:$J$61,9,FALSE()),""))</f>
      </c>
    </row>
    <row r="11118">
      <c r="E11118">
        <f>IF(DATOS!$I11118="","",IFERROR(VLOOKUP(DATOS!$I11118,CONFIG_ASIGNATURAS!$B$2:$J$61,9,FALSE()),""))</f>
      </c>
    </row>
    <row r="11119">
      <c r="E11119">
        <f>IF(DATOS!$I11119="","",IFERROR(VLOOKUP(DATOS!$I11119,CONFIG_ASIGNATURAS!$B$2:$J$61,9,FALSE()),""))</f>
      </c>
    </row>
    <row r="11120">
      <c r="E11120">
        <f>IF(DATOS!$I11120="","",IFERROR(VLOOKUP(DATOS!$I11120,CONFIG_ASIGNATURAS!$B$2:$J$61,9,FALSE()),""))</f>
      </c>
    </row>
    <row r="11121">
      <c r="E11121">
        <f>IF(DATOS!$I11121="","",IFERROR(VLOOKUP(DATOS!$I11121,CONFIG_ASIGNATURAS!$B$2:$J$61,9,FALSE()),""))</f>
      </c>
    </row>
    <row r="11122">
      <c r="E11122">
        <f>IF(DATOS!$I11122="","",IFERROR(VLOOKUP(DATOS!$I11122,CONFIG_ASIGNATURAS!$B$2:$J$61,9,FALSE()),""))</f>
      </c>
    </row>
    <row r="11123">
      <c r="E11123">
        <f>IF(DATOS!$I11123="","",IFERROR(VLOOKUP(DATOS!$I11123,CONFIG_ASIGNATURAS!$B$2:$J$61,9,FALSE()),""))</f>
      </c>
    </row>
    <row r="11124">
      <c r="E11124">
        <f>IF(DATOS!$I11124="","",IFERROR(VLOOKUP(DATOS!$I11124,CONFIG_ASIGNATURAS!$B$2:$J$61,9,FALSE()),""))</f>
      </c>
    </row>
    <row r="11125">
      <c r="E11125">
        <f>IF(DATOS!$I11125="","",IFERROR(VLOOKUP(DATOS!$I11125,CONFIG_ASIGNATURAS!$B$2:$J$61,9,FALSE()),""))</f>
      </c>
    </row>
    <row r="11126">
      <c r="E11126">
        <f>IF(DATOS!$I11126="","",IFERROR(VLOOKUP(DATOS!$I11126,CONFIG_ASIGNATURAS!$B$2:$J$61,9,FALSE()),""))</f>
      </c>
    </row>
    <row r="11127">
      <c r="E11127">
        <f>IF(DATOS!$I11127="","",IFERROR(VLOOKUP(DATOS!$I11127,CONFIG_ASIGNATURAS!$B$2:$J$61,9,FALSE()),""))</f>
      </c>
    </row>
    <row r="11128">
      <c r="E11128">
        <f>IF(DATOS!$I11128="","",IFERROR(VLOOKUP(DATOS!$I11128,CONFIG_ASIGNATURAS!$B$2:$J$61,9,FALSE()),""))</f>
      </c>
    </row>
    <row r="11129">
      <c r="E11129">
        <f>IF(DATOS!$I11129="","",IFERROR(VLOOKUP(DATOS!$I11129,CONFIG_ASIGNATURAS!$B$2:$J$61,9,FALSE()),""))</f>
      </c>
    </row>
    <row r="11130">
      <c r="E11130">
        <f>IF(DATOS!$I11130="","",IFERROR(VLOOKUP(DATOS!$I11130,CONFIG_ASIGNATURAS!$B$2:$J$61,9,FALSE()),""))</f>
      </c>
    </row>
    <row r="11131">
      <c r="E11131">
        <f>IF(DATOS!$I11131="","",IFERROR(VLOOKUP(DATOS!$I11131,CONFIG_ASIGNATURAS!$B$2:$J$61,9,FALSE()),""))</f>
      </c>
    </row>
    <row r="11132">
      <c r="E11132">
        <f>IF(DATOS!$I11132="","",IFERROR(VLOOKUP(DATOS!$I11132,CONFIG_ASIGNATURAS!$B$2:$J$61,9,FALSE()),""))</f>
      </c>
    </row>
    <row r="11133">
      <c r="E11133">
        <f>IF(DATOS!$I11133="","",IFERROR(VLOOKUP(DATOS!$I11133,CONFIG_ASIGNATURAS!$B$2:$J$61,9,FALSE()),""))</f>
      </c>
    </row>
    <row r="11134">
      <c r="E11134">
        <f>IF(DATOS!$I11134="","",IFERROR(VLOOKUP(DATOS!$I11134,CONFIG_ASIGNATURAS!$B$2:$J$61,9,FALSE()),""))</f>
      </c>
    </row>
    <row r="11135">
      <c r="E11135">
        <f>IF(DATOS!$I11135="","",IFERROR(VLOOKUP(DATOS!$I11135,CONFIG_ASIGNATURAS!$B$2:$J$61,9,FALSE()),""))</f>
      </c>
    </row>
    <row r="11136">
      <c r="E11136">
        <f>IF(DATOS!$I11136="","",IFERROR(VLOOKUP(DATOS!$I11136,CONFIG_ASIGNATURAS!$B$2:$J$61,9,FALSE()),""))</f>
      </c>
    </row>
    <row r="11137">
      <c r="E11137">
        <f>IF(DATOS!$I11137="","",IFERROR(VLOOKUP(DATOS!$I11137,CONFIG_ASIGNATURAS!$B$2:$J$61,9,FALSE()),""))</f>
      </c>
    </row>
    <row r="11138">
      <c r="E11138">
        <f>IF(DATOS!$I11138="","",IFERROR(VLOOKUP(DATOS!$I11138,CONFIG_ASIGNATURAS!$B$2:$J$61,9,FALSE()),""))</f>
      </c>
    </row>
    <row r="11139">
      <c r="E11139">
        <f>IF(DATOS!$I11139="","",IFERROR(VLOOKUP(DATOS!$I11139,CONFIG_ASIGNATURAS!$B$2:$J$61,9,FALSE()),""))</f>
      </c>
    </row>
    <row r="11140">
      <c r="E11140">
        <f>IF(DATOS!$I11140="","",IFERROR(VLOOKUP(DATOS!$I11140,CONFIG_ASIGNATURAS!$B$2:$J$61,9,FALSE()),""))</f>
      </c>
    </row>
    <row r="11141">
      <c r="E11141">
        <f>IF(DATOS!$I11141="","",IFERROR(VLOOKUP(DATOS!$I11141,CONFIG_ASIGNATURAS!$B$2:$J$61,9,FALSE()),""))</f>
      </c>
    </row>
    <row r="11142">
      <c r="E11142">
        <f>IF(DATOS!$I11142="","",IFERROR(VLOOKUP(DATOS!$I11142,CONFIG_ASIGNATURAS!$B$2:$J$61,9,FALSE()),""))</f>
      </c>
    </row>
    <row r="11143">
      <c r="E11143">
        <f>IF(DATOS!$I11143="","",IFERROR(VLOOKUP(DATOS!$I11143,CONFIG_ASIGNATURAS!$B$2:$J$61,9,FALSE()),""))</f>
      </c>
    </row>
    <row r="11144">
      <c r="E11144">
        <f>IF(DATOS!$I11144="","",IFERROR(VLOOKUP(DATOS!$I11144,CONFIG_ASIGNATURAS!$B$2:$J$61,9,FALSE()),""))</f>
      </c>
    </row>
    <row r="11145">
      <c r="E11145">
        <f>IF(DATOS!$I11145="","",IFERROR(VLOOKUP(DATOS!$I11145,CONFIG_ASIGNATURAS!$B$2:$J$61,9,FALSE()),""))</f>
      </c>
    </row>
    <row r="11146">
      <c r="E11146">
        <f>IF(DATOS!$I11146="","",IFERROR(VLOOKUP(DATOS!$I11146,CONFIG_ASIGNATURAS!$B$2:$J$61,9,FALSE()),""))</f>
      </c>
    </row>
    <row r="11147">
      <c r="E11147">
        <f>IF(DATOS!$I11147="","",IFERROR(VLOOKUP(DATOS!$I11147,CONFIG_ASIGNATURAS!$B$2:$J$61,9,FALSE()),""))</f>
      </c>
    </row>
    <row r="11148">
      <c r="E11148">
        <f>IF(DATOS!$I11148="","",IFERROR(VLOOKUP(DATOS!$I11148,CONFIG_ASIGNATURAS!$B$2:$J$61,9,FALSE()),""))</f>
      </c>
    </row>
    <row r="11149">
      <c r="E11149">
        <f>IF(DATOS!$I11149="","",IFERROR(VLOOKUP(DATOS!$I11149,CONFIG_ASIGNATURAS!$B$2:$J$61,9,FALSE()),""))</f>
      </c>
    </row>
    <row r="11150">
      <c r="E11150">
        <f>IF(DATOS!$I11150="","",IFERROR(VLOOKUP(DATOS!$I11150,CONFIG_ASIGNATURAS!$B$2:$J$61,9,FALSE()),""))</f>
      </c>
    </row>
    <row r="11151">
      <c r="E11151">
        <f>IF(DATOS!$I11151="","",IFERROR(VLOOKUP(DATOS!$I11151,CONFIG_ASIGNATURAS!$B$2:$J$61,9,FALSE()),""))</f>
      </c>
    </row>
    <row r="11152">
      <c r="E11152">
        <f>IF(DATOS!$I11152="","",IFERROR(VLOOKUP(DATOS!$I11152,CONFIG_ASIGNATURAS!$B$2:$J$61,9,FALSE()),""))</f>
      </c>
    </row>
    <row r="11153">
      <c r="E11153">
        <f>IF(DATOS!$I11153="","",IFERROR(VLOOKUP(DATOS!$I11153,CONFIG_ASIGNATURAS!$B$2:$J$61,9,FALSE()),""))</f>
      </c>
    </row>
    <row r="11154">
      <c r="E11154">
        <f>IF(DATOS!$I11154="","",IFERROR(VLOOKUP(DATOS!$I11154,CONFIG_ASIGNATURAS!$B$2:$J$61,9,FALSE()),""))</f>
      </c>
    </row>
    <row r="11155">
      <c r="E11155">
        <f>IF(DATOS!$I11155="","",IFERROR(VLOOKUP(DATOS!$I11155,CONFIG_ASIGNATURAS!$B$2:$J$61,9,FALSE()),""))</f>
      </c>
    </row>
    <row r="11156">
      <c r="E11156">
        <f>IF(DATOS!$I11156="","",IFERROR(VLOOKUP(DATOS!$I11156,CONFIG_ASIGNATURAS!$B$2:$J$61,9,FALSE()),""))</f>
      </c>
    </row>
    <row r="11157">
      <c r="E11157">
        <f>IF(DATOS!$I11157="","",IFERROR(VLOOKUP(DATOS!$I11157,CONFIG_ASIGNATURAS!$B$2:$J$61,9,FALSE()),""))</f>
      </c>
    </row>
    <row r="11158">
      <c r="E11158">
        <f>IF(DATOS!$I11158="","",IFERROR(VLOOKUP(DATOS!$I11158,CONFIG_ASIGNATURAS!$B$2:$J$61,9,FALSE()),""))</f>
      </c>
    </row>
    <row r="11159">
      <c r="E11159">
        <f>IF(DATOS!$I11159="","",IFERROR(VLOOKUP(DATOS!$I11159,CONFIG_ASIGNATURAS!$B$2:$J$61,9,FALSE()),""))</f>
      </c>
    </row>
    <row r="11160">
      <c r="E11160">
        <f>IF(DATOS!$I11160="","",IFERROR(VLOOKUP(DATOS!$I11160,CONFIG_ASIGNATURAS!$B$2:$J$61,9,FALSE()),""))</f>
      </c>
    </row>
    <row r="11161">
      <c r="E11161">
        <f>IF(DATOS!$I11161="","",IFERROR(VLOOKUP(DATOS!$I11161,CONFIG_ASIGNATURAS!$B$2:$J$61,9,FALSE()),""))</f>
      </c>
    </row>
    <row r="11162">
      <c r="E11162">
        <f>IF(DATOS!$I11162="","",IFERROR(VLOOKUP(DATOS!$I11162,CONFIG_ASIGNATURAS!$B$2:$J$61,9,FALSE()),""))</f>
      </c>
    </row>
    <row r="11163">
      <c r="E11163">
        <f>IF(DATOS!$I11163="","",IFERROR(VLOOKUP(DATOS!$I11163,CONFIG_ASIGNATURAS!$B$2:$J$61,9,FALSE()),""))</f>
      </c>
    </row>
    <row r="11164">
      <c r="E11164">
        <f>IF(DATOS!$I11164="","",IFERROR(VLOOKUP(DATOS!$I11164,CONFIG_ASIGNATURAS!$B$2:$J$61,9,FALSE()),""))</f>
      </c>
    </row>
    <row r="11165">
      <c r="E11165">
        <f>IF(DATOS!$I11165="","",IFERROR(VLOOKUP(DATOS!$I11165,CONFIG_ASIGNATURAS!$B$2:$J$61,9,FALSE()),""))</f>
      </c>
    </row>
    <row r="11166">
      <c r="E11166">
        <f>IF(DATOS!$I11166="","",IFERROR(VLOOKUP(DATOS!$I11166,CONFIG_ASIGNATURAS!$B$2:$J$61,9,FALSE()),""))</f>
      </c>
    </row>
    <row r="11167">
      <c r="E11167">
        <f>IF(DATOS!$I11167="","",IFERROR(VLOOKUP(DATOS!$I11167,CONFIG_ASIGNATURAS!$B$2:$J$61,9,FALSE()),""))</f>
      </c>
    </row>
    <row r="11168">
      <c r="E11168">
        <f>IF(DATOS!$I11168="","",IFERROR(VLOOKUP(DATOS!$I11168,CONFIG_ASIGNATURAS!$B$2:$J$61,9,FALSE()),""))</f>
      </c>
    </row>
    <row r="11169">
      <c r="E11169">
        <f>IF(DATOS!$I11169="","",IFERROR(VLOOKUP(DATOS!$I11169,CONFIG_ASIGNATURAS!$B$2:$J$61,9,FALSE()),""))</f>
      </c>
    </row>
    <row r="11170">
      <c r="E11170">
        <f>IF(DATOS!$I11170="","",IFERROR(VLOOKUP(DATOS!$I11170,CONFIG_ASIGNATURAS!$B$2:$J$61,9,FALSE()),""))</f>
      </c>
    </row>
    <row r="11171">
      <c r="E11171">
        <f>IF(DATOS!$I11171="","",IFERROR(VLOOKUP(DATOS!$I11171,CONFIG_ASIGNATURAS!$B$2:$J$61,9,FALSE()),""))</f>
      </c>
    </row>
    <row r="11172">
      <c r="E11172">
        <f>IF(DATOS!$I11172="","",IFERROR(VLOOKUP(DATOS!$I11172,CONFIG_ASIGNATURAS!$B$2:$J$61,9,FALSE()),""))</f>
      </c>
    </row>
    <row r="11173">
      <c r="E11173">
        <f>IF(DATOS!$I11173="","",IFERROR(VLOOKUP(DATOS!$I11173,CONFIG_ASIGNATURAS!$B$2:$J$61,9,FALSE()),""))</f>
      </c>
    </row>
    <row r="11174">
      <c r="E11174">
        <f>IF(DATOS!$I11174="","",IFERROR(VLOOKUP(DATOS!$I11174,CONFIG_ASIGNATURAS!$B$2:$J$61,9,FALSE()),""))</f>
      </c>
    </row>
    <row r="11175">
      <c r="E11175">
        <f>IF(DATOS!$I11175="","",IFERROR(VLOOKUP(DATOS!$I11175,CONFIG_ASIGNATURAS!$B$2:$J$61,9,FALSE()),""))</f>
      </c>
    </row>
    <row r="11176">
      <c r="E11176">
        <f>IF(DATOS!$I11176="","",IFERROR(VLOOKUP(DATOS!$I11176,CONFIG_ASIGNATURAS!$B$2:$J$61,9,FALSE()),""))</f>
      </c>
    </row>
    <row r="11177">
      <c r="E11177">
        <f>IF(DATOS!$I11177="","",IFERROR(VLOOKUP(DATOS!$I11177,CONFIG_ASIGNATURAS!$B$2:$J$61,9,FALSE()),""))</f>
      </c>
    </row>
    <row r="11178">
      <c r="E11178">
        <f>IF(DATOS!$I11178="","",IFERROR(VLOOKUP(DATOS!$I11178,CONFIG_ASIGNATURAS!$B$2:$J$61,9,FALSE()),""))</f>
      </c>
    </row>
    <row r="11179">
      <c r="E11179">
        <f>IF(DATOS!$I11179="","",IFERROR(VLOOKUP(DATOS!$I11179,CONFIG_ASIGNATURAS!$B$2:$J$61,9,FALSE()),""))</f>
      </c>
    </row>
    <row r="11180">
      <c r="E11180">
        <f>IF(DATOS!$I11180="","",IFERROR(VLOOKUP(DATOS!$I11180,CONFIG_ASIGNATURAS!$B$2:$J$61,9,FALSE()),""))</f>
      </c>
    </row>
    <row r="11181">
      <c r="E11181">
        <f>IF(DATOS!$I11181="","",IFERROR(VLOOKUP(DATOS!$I11181,CONFIG_ASIGNATURAS!$B$2:$J$61,9,FALSE()),""))</f>
      </c>
    </row>
    <row r="11182">
      <c r="E11182">
        <f>IF(DATOS!$I11182="","",IFERROR(VLOOKUP(DATOS!$I11182,CONFIG_ASIGNATURAS!$B$2:$J$61,9,FALSE()),""))</f>
      </c>
    </row>
    <row r="11183">
      <c r="E11183">
        <f>IF(DATOS!$I11183="","",IFERROR(VLOOKUP(DATOS!$I11183,CONFIG_ASIGNATURAS!$B$2:$J$61,9,FALSE()),""))</f>
      </c>
    </row>
    <row r="11184">
      <c r="E11184">
        <f>IF(DATOS!$I11184="","",IFERROR(VLOOKUP(DATOS!$I11184,CONFIG_ASIGNATURAS!$B$2:$J$61,9,FALSE()),""))</f>
      </c>
    </row>
    <row r="11185">
      <c r="E11185">
        <f>IF(DATOS!$I11185="","",IFERROR(VLOOKUP(DATOS!$I11185,CONFIG_ASIGNATURAS!$B$2:$J$61,9,FALSE()),""))</f>
      </c>
    </row>
    <row r="11186">
      <c r="E11186">
        <f>IF(DATOS!$I11186="","",IFERROR(VLOOKUP(DATOS!$I11186,CONFIG_ASIGNATURAS!$B$2:$J$61,9,FALSE()),""))</f>
      </c>
    </row>
    <row r="11187">
      <c r="E11187">
        <f>IF(DATOS!$I11187="","",IFERROR(VLOOKUP(DATOS!$I11187,CONFIG_ASIGNATURAS!$B$2:$J$61,9,FALSE()),""))</f>
      </c>
    </row>
    <row r="11188">
      <c r="E11188">
        <f>IF(DATOS!$I11188="","",IFERROR(VLOOKUP(DATOS!$I11188,CONFIG_ASIGNATURAS!$B$2:$J$61,9,FALSE()),""))</f>
      </c>
    </row>
    <row r="11189">
      <c r="E11189">
        <f>IF(DATOS!$I11189="","",IFERROR(VLOOKUP(DATOS!$I11189,CONFIG_ASIGNATURAS!$B$2:$J$61,9,FALSE()),""))</f>
      </c>
    </row>
    <row r="11190">
      <c r="E11190">
        <f>IF(DATOS!$I11190="","",IFERROR(VLOOKUP(DATOS!$I11190,CONFIG_ASIGNATURAS!$B$2:$J$61,9,FALSE()),""))</f>
      </c>
    </row>
    <row r="11191">
      <c r="E11191">
        <f>IF(DATOS!$I11191="","",IFERROR(VLOOKUP(DATOS!$I11191,CONFIG_ASIGNATURAS!$B$2:$J$61,9,FALSE()),""))</f>
      </c>
    </row>
    <row r="11192">
      <c r="E11192">
        <f>IF(DATOS!$I11192="","",IFERROR(VLOOKUP(DATOS!$I11192,CONFIG_ASIGNATURAS!$B$2:$J$61,9,FALSE()),""))</f>
      </c>
    </row>
    <row r="11193">
      <c r="E11193">
        <f>IF(DATOS!$I11193="","",IFERROR(VLOOKUP(DATOS!$I11193,CONFIG_ASIGNATURAS!$B$2:$J$61,9,FALSE()),""))</f>
      </c>
    </row>
    <row r="11194">
      <c r="E11194">
        <f>IF(DATOS!$I11194="","",IFERROR(VLOOKUP(DATOS!$I11194,CONFIG_ASIGNATURAS!$B$2:$J$61,9,FALSE()),""))</f>
      </c>
    </row>
    <row r="11195">
      <c r="E11195">
        <f>IF(DATOS!$I11195="","",IFERROR(VLOOKUP(DATOS!$I11195,CONFIG_ASIGNATURAS!$B$2:$J$61,9,FALSE()),""))</f>
      </c>
    </row>
    <row r="11196">
      <c r="E11196">
        <f>IF(DATOS!$I11196="","",IFERROR(VLOOKUP(DATOS!$I11196,CONFIG_ASIGNATURAS!$B$2:$J$61,9,FALSE()),""))</f>
      </c>
    </row>
    <row r="11197">
      <c r="E11197">
        <f>IF(DATOS!$I11197="","",IFERROR(VLOOKUP(DATOS!$I11197,CONFIG_ASIGNATURAS!$B$2:$J$61,9,FALSE()),""))</f>
      </c>
    </row>
    <row r="11198">
      <c r="E11198">
        <f>IF(DATOS!$I11198="","",IFERROR(VLOOKUP(DATOS!$I11198,CONFIG_ASIGNATURAS!$B$2:$J$61,9,FALSE()),""))</f>
      </c>
    </row>
    <row r="11199">
      <c r="E11199">
        <f>IF(DATOS!$I11199="","",IFERROR(VLOOKUP(DATOS!$I11199,CONFIG_ASIGNATURAS!$B$2:$J$61,9,FALSE()),""))</f>
      </c>
    </row>
    <row r="11200">
      <c r="E11200">
        <f>IF(DATOS!$I11200="","",IFERROR(VLOOKUP(DATOS!$I11200,CONFIG_ASIGNATURAS!$B$2:$J$61,9,FALSE()),""))</f>
      </c>
    </row>
    <row r="11201">
      <c r="E11201">
        <f>IF(DATOS!$I11201="","",IFERROR(VLOOKUP(DATOS!$I11201,CONFIG_ASIGNATURAS!$B$2:$J$61,9,FALSE()),""))</f>
      </c>
    </row>
    <row r="11202">
      <c r="E11202">
        <f>IF(DATOS!$I11202="","",IFERROR(VLOOKUP(DATOS!$I11202,CONFIG_ASIGNATURAS!$B$2:$J$61,9,FALSE()),""))</f>
      </c>
    </row>
    <row r="11203">
      <c r="E11203">
        <f>IF(DATOS!$I11203="","",IFERROR(VLOOKUP(DATOS!$I11203,CONFIG_ASIGNATURAS!$B$2:$J$61,9,FALSE()),""))</f>
      </c>
    </row>
    <row r="11204">
      <c r="E11204">
        <f>IF(DATOS!$I11204="","",IFERROR(VLOOKUP(DATOS!$I11204,CONFIG_ASIGNATURAS!$B$2:$J$61,9,FALSE()),""))</f>
      </c>
    </row>
    <row r="11205">
      <c r="E11205">
        <f>IF(DATOS!$I11205="","",IFERROR(VLOOKUP(DATOS!$I11205,CONFIG_ASIGNATURAS!$B$2:$J$61,9,FALSE()),""))</f>
      </c>
    </row>
    <row r="11206">
      <c r="E11206">
        <f>IF(DATOS!$I11206="","",IFERROR(VLOOKUP(DATOS!$I11206,CONFIG_ASIGNATURAS!$B$2:$J$61,9,FALSE()),""))</f>
      </c>
    </row>
    <row r="11207">
      <c r="E11207">
        <f>IF(DATOS!$I11207="","",IFERROR(VLOOKUP(DATOS!$I11207,CONFIG_ASIGNATURAS!$B$2:$J$61,9,FALSE()),""))</f>
      </c>
    </row>
    <row r="11208">
      <c r="E11208">
        <f>IF(DATOS!$I11208="","",IFERROR(VLOOKUP(DATOS!$I11208,CONFIG_ASIGNATURAS!$B$2:$J$61,9,FALSE()),""))</f>
      </c>
    </row>
    <row r="11209">
      <c r="E11209">
        <f>IF(DATOS!$I11209="","",IFERROR(VLOOKUP(DATOS!$I11209,CONFIG_ASIGNATURAS!$B$2:$J$61,9,FALSE()),""))</f>
      </c>
    </row>
    <row r="11210">
      <c r="E11210">
        <f>IF(DATOS!$I11210="","",IFERROR(VLOOKUP(DATOS!$I11210,CONFIG_ASIGNATURAS!$B$2:$J$61,9,FALSE()),""))</f>
      </c>
    </row>
    <row r="11211">
      <c r="E11211">
        <f>IF(DATOS!$I11211="","",IFERROR(VLOOKUP(DATOS!$I11211,CONFIG_ASIGNATURAS!$B$2:$J$61,9,FALSE()),""))</f>
      </c>
    </row>
    <row r="11212">
      <c r="E11212">
        <f>IF(DATOS!$I11212="","",IFERROR(VLOOKUP(DATOS!$I11212,CONFIG_ASIGNATURAS!$B$2:$J$61,9,FALSE()),""))</f>
      </c>
    </row>
    <row r="11213">
      <c r="E11213">
        <f>IF(DATOS!$I11213="","",IFERROR(VLOOKUP(DATOS!$I11213,CONFIG_ASIGNATURAS!$B$2:$J$61,9,FALSE()),""))</f>
      </c>
    </row>
    <row r="11214">
      <c r="E11214">
        <f>IF(DATOS!$I11214="","",IFERROR(VLOOKUP(DATOS!$I11214,CONFIG_ASIGNATURAS!$B$2:$J$61,9,FALSE()),""))</f>
      </c>
    </row>
    <row r="11215">
      <c r="E11215">
        <f>IF(DATOS!$I11215="","",IFERROR(VLOOKUP(DATOS!$I11215,CONFIG_ASIGNATURAS!$B$2:$J$61,9,FALSE()),""))</f>
      </c>
    </row>
    <row r="11216">
      <c r="E11216">
        <f>IF(DATOS!$I11216="","",IFERROR(VLOOKUP(DATOS!$I11216,CONFIG_ASIGNATURAS!$B$2:$J$61,9,FALSE()),""))</f>
      </c>
    </row>
    <row r="11217">
      <c r="E11217">
        <f>IF(DATOS!$I11217="","",IFERROR(VLOOKUP(DATOS!$I11217,CONFIG_ASIGNATURAS!$B$2:$J$61,9,FALSE()),""))</f>
      </c>
    </row>
    <row r="11218">
      <c r="E11218">
        <f>IF(DATOS!$I11218="","",IFERROR(VLOOKUP(DATOS!$I11218,CONFIG_ASIGNATURAS!$B$2:$J$61,9,FALSE()),""))</f>
      </c>
    </row>
    <row r="11219">
      <c r="E11219">
        <f>IF(DATOS!$I11219="","",IFERROR(VLOOKUP(DATOS!$I11219,CONFIG_ASIGNATURAS!$B$2:$J$61,9,FALSE()),""))</f>
      </c>
    </row>
    <row r="11220">
      <c r="E11220">
        <f>IF(DATOS!$I11220="","",IFERROR(VLOOKUP(DATOS!$I11220,CONFIG_ASIGNATURAS!$B$2:$J$61,9,FALSE()),""))</f>
      </c>
    </row>
    <row r="11221">
      <c r="E11221">
        <f>IF(DATOS!$I11221="","",IFERROR(VLOOKUP(DATOS!$I11221,CONFIG_ASIGNATURAS!$B$2:$J$61,9,FALSE()),""))</f>
      </c>
    </row>
    <row r="11222">
      <c r="E11222">
        <f>IF(DATOS!$I11222="","",IFERROR(VLOOKUP(DATOS!$I11222,CONFIG_ASIGNATURAS!$B$2:$J$61,9,FALSE()),""))</f>
      </c>
    </row>
    <row r="11223">
      <c r="E11223">
        <f>IF(DATOS!$I11223="","",IFERROR(VLOOKUP(DATOS!$I11223,CONFIG_ASIGNATURAS!$B$2:$J$61,9,FALSE()),""))</f>
      </c>
    </row>
    <row r="11224">
      <c r="E11224">
        <f>IF(DATOS!$I11224="","",IFERROR(VLOOKUP(DATOS!$I11224,CONFIG_ASIGNATURAS!$B$2:$J$61,9,FALSE()),""))</f>
      </c>
    </row>
    <row r="11225">
      <c r="E11225">
        <f>IF(DATOS!$I11225="","",IFERROR(VLOOKUP(DATOS!$I11225,CONFIG_ASIGNATURAS!$B$2:$J$61,9,FALSE()),""))</f>
      </c>
    </row>
    <row r="11226">
      <c r="E11226">
        <f>IF(DATOS!$I11226="","",IFERROR(VLOOKUP(DATOS!$I11226,CONFIG_ASIGNATURAS!$B$2:$J$61,9,FALSE()),""))</f>
      </c>
    </row>
    <row r="11227">
      <c r="E11227">
        <f>IF(DATOS!$I11227="","",IFERROR(VLOOKUP(DATOS!$I11227,CONFIG_ASIGNATURAS!$B$2:$J$61,9,FALSE()),""))</f>
      </c>
    </row>
    <row r="11228">
      <c r="E11228">
        <f>IF(DATOS!$I11228="","",IFERROR(VLOOKUP(DATOS!$I11228,CONFIG_ASIGNATURAS!$B$2:$J$61,9,FALSE()),""))</f>
      </c>
    </row>
    <row r="11229">
      <c r="E11229">
        <f>IF(DATOS!$I11229="","",IFERROR(VLOOKUP(DATOS!$I11229,CONFIG_ASIGNATURAS!$B$2:$J$61,9,FALSE()),""))</f>
      </c>
    </row>
    <row r="11230">
      <c r="E11230">
        <f>IF(DATOS!$I11230="","",IFERROR(VLOOKUP(DATOS!$I11230,CONFIG_ASIGNATURAS!$B$2:$J$61,9,FALSE()),""))</f>
      </c>
    </row>
    <row r="11231">
      <c r="E11231">
        <f>IF(DATOS!$I11231="","",IFERROR(VLOOKUP(DATOS!$I11231,CONFIG_ASIGNATURAS!$B$2:$J$61,9,FALSE()),""))</f>
      </c>
    </row>
    <row r="11232">
      <c r="E11232">
        <f>IF(DATOS!$I11232="","",IFERROR(VLOOKUP(DATOS!$I11232,CONFIG_ASIGNATURAS!$B$2:$J$61,9,FALSE()),""))</f>
      </c>
    </row>
    <row r="11233">
      <c r="E11233">
        <f>IF(DATOS!$I11233="","",IFERROR(VLOOKUP(DATOS!$I11233,CONFIG_ASIGNATURAS!$B$2:$J$61,9,FALSE()),""))</f>
      </c>
    </row>
    <row r="11234">
      <c r="E11234">
        <f>IF(DATOS!$I11234="","",IFERROR(VLOOKUP(DATOS!$I11234,CONFIG_ASIGNATURAS!$B$2:$J$61,9,FALSE()),""))</f>
      </c>
    </row>
    <row r="11235">
      <c r="E11235">
        <f>IF(DATOS!$I11235="","",IFERROR(VLOOKUP(DATOS!$I11235,CONFIG_ASIGNATURAS!$B$2:$J$61,9,FALSE()),""))</f>
      </c>
    </row>
    <row r="11236">
      <c r="E11236">
        <f>IF(DATOS!$I11236="","",IFERROR(VLOOKUP(DATOS!$I11236,CONFIG_ASIGNATURAS!$B$2:$J$61,9,FALSE()),""))</f>
      </c>
    </row>
    <row r="11237">
      <c r="E11237">
        <f>IF(DATOS!$I11237="","",IFERROR(VLOOKUP(DATOS!$I11237,CONFIG_ASIGNATURAS!$B$2:$J$61,9,FALSE()),""))</f>
      </c>
    </row>
    <row r="11238">
      <c r="E11238">
        <f>IF(DATOS!$I11238="","",IFERROR(VLOOKUP(DATOS!$I11238,CONFIG_ASIGNATURAS!$B$2:$J$61,9,FALSE()),""))</f>
      </c>
    </row>
    <row r="11239">
      <c r="E11239">
        <f>IF(DATOS!$I11239="","",IFERROR(VLOOKUP(DATOS!$I11239,CONFIG_ASIGNATURAS!$B$2:$J$61,9,FALSE()),""))</f>
      </c>
    </row>
    <row r="11240">
      <c r="E11240">
        <f>IF(DATOS!$I11240="","",IFERROR(VLOOKUP(DATOS!$I11240,CONFIG_ASIGNATURAS!$B$2:$J$61,9,FALSE()),""))</f>
      </c>
    </row>
    <row r="11241">
      <c r="E11241">
        <f>IF(DATOS!$I11241="","",IFERROR(VLOOKUP(DATOS!$I11241,CONFIG_ASIGNATURAS!$B$2:$J$61,9,FALSE()),""))</f>
      </c>
    </row>
    <row r="11242">
      <c r="E11242">
        <f>IF(DATOS!$I11242="","",IFERROR(VLOOKUP(DATOS!$I11242,CONFIG_ASIGNATURAS!$B$2:$J$61,9,FALSE()),""))</f>
      </c>
    </row>
    <row r="11243">
      <c r="E11243">
        <f>IF(DATOS!$I11243="","",IFERROR(VLOOKUP(DATOS!$I11243,CONFIG_ASIGNATURAS!$B$2:$J$61,9,FALSE()),""))</f>
      </c>
    </row>
    <row r="11244">
      <c r="E11244">
        <f>IF(DATOS!$I11244="","",IFERROR(VLOOKUP(DATOS!$I11244,CONFIG_ASIGNATURAS!$B$2:$J$61,9,FALSE()),""))</f>
      </c>
    </row>
    <row r="11245">
      <c r="E11245">
        <f>IF(DATOS!$I11245="","",IFERROR(VLOOKUP(DATOS!$I11245,CONFIG_ASIGNATURAS!$B$2:$J$61,9,FALSE()),""))</f>
      </c>
    </row>
    <row r="11246">
      <c r="E11246">
        <f>IF(DATOS!$I11246="","",IFERROR(VLOOKUP(DATOS!$I11246,CONFIG_ASIGNATURAS!$B$2:$J$61,9,FALSE()),""))</f>
      </c>
    </row>
    <row r="11247">
      <c r="E11247">
        <f>IF(DATOS!$I11247="","",IFERROR(VLOOKUP(DATOS!$I11247,CONFIG_ASIGNATURAS!$B$2:$J$61,9,FALSE()),""))</f>
      </c>
    </row>
    <row r="11248">
      <c r="E11248">
        <f>IF(DATOS!$I11248="","",IFERROR(VLOOKUP(DATOS!$I11248,CONFIG_ASIGNATURAS!$B$2:$J$61,9,FALSE()),""))</f>
      </c>
    </row>
    <row r="11249">
      <c r="E11249">
        <f>IF(DATOS!$I11249="","",IFERROR(VLOOKUP(DATOS!$I11249,CONFIG_ASIGNATURAS!$B$2:$J$61,9,FALSE()),""))</f>
      </c>
    </row>
    <row r="11250">
      <c r="E11250">
        <f>IF(DATOS!$I11250="","",IFERROR(VLOOKUP(DATOS!$I11250,CONFIG_ASIGNATURAS!$B$2:$J$61,9,FALSE()),""))</f>
      </c>
    </row>
    <row r="11251">
      <c r="E11251">
        <f>IF(DATOS!$I11251="","",IFERROR(VLOOKUP(DATOS!$I11251,CONFIG_ASIGNATURAS!$B$2:$J$61,9,FALSE()),""))</f>
      </c>
    </row>
    <row r="11252">
      <c r="E11252">
        <f>IF(DATOS!$I11252="","",IFERROR(VLOOKUP(DATOS!$I11252,CONFIG_ASIGNATURAS!$B$2:$J$61,9,FALSE()),""))</f>
      </c>
    </row>
    <row r="11253">
      <c r="E11253">
        <f>IF(DATOS!$I11253="","",IFERROR(VLOOKUP(DATOS!$I11253,CONFIG_ASIGNATURAS!$B$2:$J$61,9,FALSE()),""))</f>
      </c>
    </row>
    <row r="11254">
      <c r="E11254">
        <f>IF(DATOS!$I11254="","",IFERROR(VLOOKUP(DATOS!$I11254,CONFIG_ASIGNATURAS!$B$2:$J$61,9,FALSE()),""))</f>
      </c>
    </row>
    <row r="11255">
      <c r="E11255">
        <f>IF(DATOS!$I11255="","",IFERROR(VLOOKUP(DATOS!$I11255,CONFIG_ASIGNATURAS!$B$2:$J$61,9,FALSE()),""))</f>
      </c>
    </row>
    <row r="11256">
      <c r="E11256">
        <f>IF(DATOS!$I11256="","",IFERROR(VLOOKUP(DATOS!$I11256,CONFIG_ASIGNATURAS!$B$2:$J$61,9,FALSE()),""))</f>
      </c>
    </row>
    <row r="11257">
      <c r="E11257">
        <f>IF(DATOS!$I11257="","",IFERROR(VLOOKUP(DATOS!$I11257,CONFIG_ASIGNATURAS!$B$2:$J$61,9,FALSE()),""))</f>
      </c>
    </row>
    <row r="11258">
      <c r="E11258">
        <f>IF(DATOS!$I11258="","",IFERROR(VLOOKUP(DATOS!$I11258,CONFIG_ASIGNATURAS!$B$2:$J$61,9,FALSE()),""))</f>
      </c>
    </row>
    <row r="11259">
      <c r="E11259">
        <f>IF(DATOS!$I11259="","",IFERROR(VLOOKUP(DATOS!$I11259,CONFIG_ASIGNATURAS!$B$2:$J$61,9,FALSE()),""))</f>
      </c>
    </row>
    <row r="11260">
      <c r="E11260">
        <f>IF(DATOS!$I11260="","",IFERROR(VLOOKUP(DATOS!$I11260,CONFIG_ASIGNATURAS!$B$2:$J$61,9,FALSE()),""))</f>
      </c>
    </row>
    <row r="11261">
      <c r="E11261">
        <f>IF(DATOS!$I11261="","",IFERROR(VLOOKUP(DATOS!$I11261,CONFIG_ASIGNATURAS!$B$2:$J$61,9,FALSE()),""))</f>
      </c>
    </row>
    <row r="11262">
      <c r="E11262">
        <f>IF(DATOS!$I11262="","",IFERROR(VLOOKUP(DATOS!$I11262,CONFIG_ASIGNATURAS!$B$2:$J$61,9,FALSE()),""))</f>
      </c>
    </row>
    <row r="11263">
      <c r="E11263">
        <f>IF(DATOS!$I11263="","",IFERROR(VLOOKUP(DATOS!$I11263,CONFIG_ASIGNATURAS!$B$2:$J$61,9,FALSE()),""))</f>
      </c>
    </row>
    <row r="11264">
      <c r="E11264">
        <f>IF(DATOS!$I11264="","",IFERROR(VLOOKUP(DATOS!$I11264,CONFIG_ASIGNATURAS!$B$2:$J$61,9,FALSE()),""))</f>
      </c>
    </row>
    <row r="11265">
      <c r="E11265">
        <f>IF(DATOS!$I11265="","",IFERROR(VLOOKUP(DATOS!$I11265,CONFIG_ASIGNATURAS!$B$2:$J$61,9,FALSE()),""))</f>
      </c>
    </row>
    <row r="11266">
      <c r="E11266">
        <f>IF(DATOS!$I11266="","",IFERROR(VLOOKUP(DATOS!$I11266,CONFIG_ASIGNATURAS!$B$2:$J$61,9,FALSE()),""))</f>
      </c>
    </row>
    <row r="11267">
      <c r="E11267">
        <f>IF(DATOS!$I11267="","",IFERROR(VLOOKUP(DATOS!$I11267,CONFIG_ASIGNATURAS!$B$2:$J$61,9,FALSE()),""))</f>
      </c>
    </row>
    <row r="11268">
      <c r="E11268">
        <f>IF(DATOS!$I11268="","",IFERROR(VLOOKUP(DATOS!$I11268,CONFIG_ASIGNATURAS!$B$2:$J$61,9,FALSE()),""))</f>
      </c>
    </row>
    <row r="11269">
      <c r="E11269">
        <f>IF(DATOS!$I11269="","",IFERROR(VLOOKUP(DATOS!$I11269,CONFIG_ASIGNATURAS!$B$2:$J$61,9,FALSE()),""))</f>
      </c>
    </row>
    <row r="11270">
      <c r="E11270">
        <f>IF(DATOS!$I11270="","",IFERROR(VLOOKUP(DATOS!$I11270,CONFIG_ASIGNATURAS!$B$2:$J$61,9,FALSE()),""))</f>
      </c>
    </row>
    <row r="11271">
      <c r="E11271">
        <f>IF(DATOS!$I11271="","",IFERROR(VLOOKUP(DATOS!$I11271,CONFIG_ASIGNATURAS!$B$2:$J$61,9,FALSE()),""))</f>
      </c>
    </row>
    <row r="11272">
      <c r="E11272">
        <f>IF(DATOS!$I11272="","",IFERROR(VLOOKUP(DATOS!$I11272,CONFIG_ASIGNATURAS!$B$2:$J$61,9,FALSE()),""))</f>
      </c>
    </row>
    <row r="11273">
      <c r="E11273">
        <f>IF(DATOS!$I11273="","",IFERROR(VLOOKUP(DATOS!$I11273,CONFIG_ASIGNATURAS!$B$2:$J$61,9,FALSE()),""))</f>
      </c>
    </row>
    <row r="11274">
      <c r="E11274">
        <f>IF(DATOS!$I11274="","",IFERROR(VLOOKUP(DATOS!$I11274,CONFIG_ASIGNATURAS!$B$2:$J$61,9,FALSE()),""))</f>
      </c>
    </row>
    <row r="11275">
      <c r="E11275">
        <f>IF(DATOS!$I11275="","",IFERROR(VLOOKUP(DATOS!$I11275,CONFIG_ASIGNATURAS!$B$2:$J$61,9,FALSE()),""))</f>
      </c>
    </row>
    <row r="11276">
      <c r="E11276">
        <f>IF(DATOS!$I11276="","",IFERROR(VLOOKUP(DATOS!$I11276,CONFIG_ASIGNATURAS!$B$2:$J$61,9,FALSE()),""))</f>
      </c>
    </row>
    <row r="11277">
      <c r="E11277">
        <f>IF(DATOS!$I11277="","",IFERROR(VLOOKUP(DATOS!$I11277,CONFIG_ASIGNATURAS!$B$2:$J$61,9,FALSE()),""))</f>
      </c>
    </row>
    <row r="11278">
      <c r="E11278">
        <f>IF(DATOS!$I11278="","",IFERROR(VLOOKUP(DATOS!$I11278,CONFIG_ASIGNATURAS!$B$2:$J$61,9,FALSE()),""))</f>
      </c>
    </row>
    <row r="11279">
      <c r="E11279">
        <f>IF(DATOS!$I11279="","",IFERROR(VLOOKUP(DATOS!$I11279,CONFIG_ASIGNATURAS!$B$2:$J$61,9,FALSE()),""))</f>
      </c>
    </row>
    <row r="11280">
      <c r="E11280">
        <f>IF(DATOS!$I11280="","",IFERROR(VLOOKUP(DATOS!$I11280,CONFIG_ASIGNATURAS!$B$2:$J$61,9,FALSE()),""))</f>
      </c>
    </row>
    <row r="11281">
      <c r="E11281">
        <f>IF(DATOS!$I11281="","",IFERROR(VLOOKUP(DATOS!$I11281,CONFIG_ASIGNATURAS!$B$2:$J$61,9,FALSE()),""))</f>
      </c>
    </row>
    <row r="11282">
      <c r="E11282">
        <f>IF(DATOS!$I11282="","",IFERROR(VLOOKUP(DATOS!$I11282,CONFIG_ASIGNATURAS!$B$2:$J$61,9,FALSE()),""))</f>
      </c>
    </row>
    <row r="11283">
      <c r="E11283">
        <f>IF(DATOS!$I11283="","",IFERROR(VLOOKUP(DATOS!$I11283,CONFIG_ASIGNATURAS!$B$2:$J$61,9,FALSE()),""))</f>
      </c>
    </row>
    <row r="11284">
      <c r="E11284">
        <f>IF(DATOS!$I11284="","",IFERROR(VLOOKUP(DATOS!$I11284,CONFIG_ASIGNATURAS!$B$2:$J$61,9,FALSE()),""))</f>
      </c>
    </row>
    <row r="11285">
      <c r="E11285">
        <f>IF(DATOS!$I11285="","",IFERROR(VLOOKUP(DATOS!$I11285,CONFIG_ASIGNATURAS!$B$2:$J$61,9,FALSE()),""))</f>
      </c>
    </row>
    <row r="11286">
      <c r="E11286">
        <f>IF(DATOS!$I11286="","",IFERROR(VLOOKUP(DATOS!$I11286,CONFIG_ASIGNATURAS!$B$2:$J$61,9,FALSE()),""))</f>
      </c>
    </row>
    <row r="11287">
      <c r="E11287">
        <f>IF(DATOS!$I11287="","",IFERROR(VLOOKUP(DATOS!$I11287,CONFIG_ASIGNATURAS!$B$2:$J$61,9,FALSE()),""))</f>
      </c>
    </row>
    <row r="11288">
      <c r="E11288">
        <f>IF(DATOS!$I11288="","",IFERROR(VLOOKUP(DATOS!$I11288,CONFIG_ASIGNATURAS!$B$2:$J$61,9,FALSE()),""))</f>
      </c>
    </row>
    <row r="11289">
      <c r="E11289">
        <f>IF(DATOS!$I11289="","",IFERROR(VLOOKUP(DATOS!$I11289,CONFIG_ASIGNATURAS!$B$2:$J$61,9,FALSE()),""))</f>
      </c>
    </row>
    <row r="11290">
      <c r="E11290">
        <f>IF(DATOS!$I11290="","",IFERROR(VLOOKUP(DATOS!$I11290,CONFIG_ASIGNATURAS!$B$2:$J$61,9,FALSE()),""))</f>
      </c>
    </row>
    <row r="11291">
      <c r="E11291">
        <f>IF(DATOS!$I11291="","",IFERROR(VLOOKUP(DATOS!$I11291,CONFIG_ASIGNATURAS!$B$2:$J$61,9,FALSE()),""))</f>
      </c>
    </row>
    <row r="11292">
      <c r="E11292">
        <f>IF(DATOS!$I11292="","",IFERROR(VLOOKUP(DATOS!$I11292,CONFIG_ASIGNATURAS!$B$2:$J$61,9,FALSE()),""))</f>
      </c>
    </row>
    <row r="11293">
      <c r="E11293">
        <f>IF(DATOS!$I11293="","",IFERROR(VLOOKUP(DATOS!$I11293,CONFIG_ASIGNATURAS!$B$2:$J$61,9,FALSE()),""))</f>
      </c>
    </row>
    <row r="11294">
      <c r="E11294">
        <f>IF(DATOS!$I11294="","",IFERROR(VLOOKUP(DATOS!$I11294,CONFIG_ASIGNATURAS!$B$2:$J$61,9,FALSE()),""))</f>
      </c>
    </row>
    <row r="11295">
      <c r="E11295">
        <f>IF(DATOS!$I11295="","",IFERROR(VLOOKUP(DATOS!$I11295,CONFIG_ASIGNATURAS!$B$2:$J$61,9,FALSE()),""))</f>
      </c>
    </row>
    <row r="11296">
      <c r="E11296">
        <f>IF(DATOS!$I11296="","",IFERROR(VLOOKUP(DATOS!$I11296,CONFIG_ASIGNATURAS!$B$2:$J$61,9,FALSE()),""))</f>
      </c>
    </row>
    <row r="11297">
      <c r="E11297">
        <f>IF(DATOS!$I11297="","",IFERROR(VLOOKUP(DATOS!$I11297,CONFIG_ASIGNATURAS!$B$2:$J$61,9,FALSE()),""))</f>
      </c>
    </row>
    <row r="11298">
      <c r="E11298">
        <f>IF(DATOS!$I11298="","",IFERROR(VLOOKUP(DATOS!$I11298,CONFIG_ASIGNATURAS!$B$2:$J$61,9,FALSE()),""))</f>
      </c>
    </row>
    <row r="11299">
      <c r="E11299">
        <f>IF(DATOS!$I11299="","",IFERROR(VLOOKUP(DATOS!$I11299,CONFIG_ASIGNATURAS!$B$2:$J$61,9,FALSE()),""))</f>
      </c>
    </row>
    <row r="11300">
      <c r="E11300">
        <f>IF(DATOS!$I11300="","",IFERROR(VLOOKUP(DATOS!$I11300,CONFIG_ASIGNATURAS!$B$2:$J$61,9,FALSE()),""))</f>
      </c>
    </row>
    <row r="11301">
      <c r="E11301">
        <f>IF(DATOS!$I11301="","",IFERROR(VLOOKUP(DATOS!$I11301,CONFIG_ASIGNATURAS!$B$2:$J$61,9,FALSE()),""))</f>
      </c>
    </row>
    <row r="11302">
      <c r="E11302">
        <f>IF(DATOS!$I11302="","",IFERROR(VLOOKUP(DATOS!$I11302,CONFIG_ASIGNATURAS!$B$2:$J$61,9,FALSE()),""))</f>
      </c>
    </row>
    <row r="11303">
      <c r="E11303">
        <f>IF(DATOS!$I11303="","",IFERROR(VLOOKUP(DATOS!$I11303,CONFIG_ASIGNATURAS!$B$2:$J$61,9,FALSE()),""))</f>
      </c>
    </row>
    <row r="11304">
      <c r="E11304">
        <f>IF(DATOS!$I11304="","",IFERROR(VLOOKUP(DATOS!$I11304,CONFIG_ASIGNATURAS!$B$2:$J$61,9,FALSE()),""))</f>
      </c>
    </row>
    <row r="11305">
      <c r="E11305">
        <f>IF(DATOS!$I11305="","",IFERROR(VLOOKUP(DATOS!$I11305,CONFIG_ASIGNATURAS!$B$2:$J$61,9,FALSE()),""))</f>
      </c>
    </row>
    <row r="11306">
      <c r="E11306">
        <f>IF(DATOS!$I11306="","",IFERROR(VLOOKUP(DATOS!$I11306,CONFIG_ASIGNATURAS!$B$2:$J$61,9,FALSE()),""))</f>
      </c>
    </row>
    <row r="11307">
      <c r="E11307">
        <f>IF(DATOS!$I11307="","",IFERROR(VLOOKUP(DATOS!$I11307,CONFIG_ASIGNATURAS!$B$2:$J$61,9,FALSE()),""))</f>
      </c>
    </row>
    <row r="11308">
      <c r="E11308">
        <f>IF(DATOS!$I11308="","",IFERROR(VLOOKUP(DATOS!$I11308,CONFIG_ASIGNATURAS!$B$2:$J$61,9,FALSE()),""))</f>
      </c>
    </row>
    <row r="11309">
      <c r="E11309">
        <f>IF(DATOS!$I11309="","",IFERROR(VLOOKUP(DATOS!$I11309,CONFIG_ASIGNATURAS!$B$2:$J$61,9,FALSE()),""))</f>
      </c>
    </row>
    <row r="11310">
      <c r="E11310">
        <f>IF(DATOS!$I11310="","",IFERROR(VLOOKUP(DATOS!$I11310,CONFIG_ASIGNATURAS!$B$2:$J$61,9,FALSE()),""))</f>
      </c>
    </row>
    <row r="11311">
      <c r="E11311">
        <f>IF(DATOS!$I11311="","",IFERROR(VLOOKUP(DATOS!$I11311,CONFIG_ASIGNATURAS!$B$2:$J$61,9,FALSE()),""))</f>
      </c>
    </row>
    <row r="11312">
      <c r="E11312">
        <f>IF(DATOS!$I11312="","",IFERROR(VLOOKUP(DATOS!$I11312,CONFIG_ASIGNATURAS!$B$2:$J$61,9,FALSE()),""))</f>
      </c>
    </row>
    <row r="11313">
      <c r="E11313">
        <f>IF(DATOS!$I11313="","",IFERROR(VLOOKUP(DATOS!$I11313,CONFIG_ASIGNATURAS!$B$2:$J$61,9,FALSE()),""))</f>
      </c>
    </row>
    <row r="11314">
      <c r="E11314">
        <f>IF(DATOS!$I11314="","",IFERROR(VLOOKUP(DATOS!$I11314,CONFIG_ASIGNATURAS!$B$2:$J$61,9,FALSE()),""))</f>
      </c>
    </row>
    <row r="11315">
      <c r="E11315">
        <f>IF(DATOS!$I11315="","",IFERROR(VLOOKUP(DATOS!$I11315,CONFIG_ASIGNATURAS!$B$2:$J$61,9,FALSE()),""))</f>
      </c>
    </row>
    <row r="11316">
      <c r="E11316">
        <f>IF(DATOS!$I11316="","",IFERROR(VLOOKUP(DATOS!$I11316,CONFIG_ASIGNATURAS!$B$2:$J$61,9,FALSE()),""))</f>
      </c>
    </row>
    <row r="11317">
      <c r="E11317">
        <f>IF(DATOS!$I11317="","",IFERROR(VLOOKUP(DATOS!$I11317,CONFIG_ASIGNATURAS!$B$2:$J$61,9,FALSE()),""))</f>
      </c>
    </row>
    <row r="11318">
      <c r="E11318">
        <f>IF(DATOS!$I11318="","",IFERROR(VLOOKUP(DATOS!$I11318,CONFIG_ASIGNATURAS!$B$2:$J$61,9,FALSE()),""))</f>
      </c>
    </row>
    <row r="11319">
      <c r="E11319">
        <f>IF(DATOS!$I11319="","",IFERROR(VLOOKUP(DATOS!$I11319,CONFIG_ASIGNATURAS!$B$2:$J$61,9,FALSE()),""))</f>
      </c>
    </row>
    <row r="11320">
      <c r="E11320">
        <f>IF(DATOS!$I11320="","",IFERROR(VLOOKUP(DATOS!$I11320,CONFIG_ASIGNATURAS!$B$2:$J$61,9,FALSE()),""))</f>
      </c>
    </row>
    <row r="11321">
      <c r="E11321">
        <f>IF(DATOS!$I11321="","",IFERROR(VLOOKUP(DATOS!$I11321,CONFIG_ASIGNATURAS!$B$2:$J$61,9,FALSE()),""))</f>
      </c>
    </row>
    <row r="11322">
      <c r="E11322">
        <f>IF(DATOS!$I11322="","",IFERROR(VLOOKUP(DATOS!$I11322,CONFIG_ASIGNATURAS!$B$2:$J$61,9,FALSE()),""))</f>
      </c>
    </row>
    <row r="11323">
      <c r="E11323">
        <f>IF(DATOS!$I11323="","",IFERROR(VLOOKUP(DATOS!$I11323,CONFIG_ASIGNATURAS!$B$2:$J$61,9,FALSE()),""))</f>
      </c>
    </row>
    <row r="11324">
      <c r="E11324">
        <f>IF(DATOS!$I11324="","",IFERROR(VLOOKUP(DATOS!$I11324,CONFIG_ASIGNATURAS!$B$2:$J$61,9,FALSE()),""))</f>
      </c>
    </row>
    <row r="11325">
      <c r="E11325">
        <f>IF(DATOS!$I11325="","",IFERROR(VLOOKUP(DATOS!$I11325,CONFIG_ASIGNATURAS!$B$2:$J$61,9,FALSE()),""))</f>
      </c>
    </row>
    <row r="11326">
      <c r="E11326">
        <f>IF(DATOS!$I11326="","",IFERROR(VLOOKUP(DATOS!$I11326,CONFIG_ASIGNATURAS!$B$2:$J$61,9,FALSE()),""))</f>
      </c>
    </row>
    <row r="11327">
      <c r="E11327">
        <f>IF(DATOS!$I11327="","",IFERROR(VLOOKUP(DATOS!$I11327,CONFIG_ASIGNATURAS!$B$2:$J$61,9,FALSE()),""))</f>
      </c>
    </row>
    <row r="11328">
      <c r="E11328">
        <f>IF(DATOS!$I11328="","",IFERROR(VLOOKUP(DATOS!$I11328,CONFIG_ASIGNATURAS!$B$2:$J$61,9,FALSE()),""))</f>
      </c>
    </row>
    <row r="11329">
      <c r="E11329">
        <f>IF(DATOS!$I11329="","",IFERROR(VLOOKUP(DATOS!$I11329,CONFIG_ASIGNATURAS!$B$2:$J$61,9,FALSE()),""))</f>
      </c>
    </row>
    <row r="11330">
      <c r="E11330">
        <f>IF(DATOS!$I11330="","",IFERROR(VLOOKUP(DATOS!$I11330,CONFIG_ASIGNATURAS!$B$2:$J$61,9,FALSE()),""))</f>
      </c>
    </row>
    <row r="11331">
      <c r="E11331">
        <f>IF(DATOS!$I11331="","",IFERROR(VLOOKUP(DATOS!$I11331,CONFIG_ASIGNATURAS!$B$2:$J$61,9,FALSE()),""))</f>
      </c>
    </row>
    <row r="11332">
      <c r="E11332">
        <f>IF(DATOS!$I11332="","",IFERROR(VLOOKUP(DATOS!$I11332,CONFIG_ASIGNATURAS!$B$2:$J$61,9,FALSE()),""))</f>
      </c>
    </row>
    <row r="11333">
      <c r="E11333">
        <f>IF(DATOS!$I11333="","",IFERROR(VLOOKUP(DATOS!$I11333,CONFIG_ASIGNATURAS!$B$2:$J$61,9,FALSE()),""))</f>
      </c>
    </row>
    <row r="11334">
      <c r="E11334">
        <f>IF(DATOS!$I11334="","",IFERROR(VLOOKUP(DATOS!$I11334,CONFIG_ASIGNATURAS!$B$2:$J$61,9,FALSE()),""))</f>
      </c>
    </row>
    <row r="11335">
      <c r="E11335">
        <f>IF(DATOS!$I11335="","",IFERROR(VLOOKUP(DATOS!$I11335,CONFIG_ASIGNATURAS!$B$2:$J$61,9,FALSE()),""))</f>
      </c>
    </row>
    <row r="11336">
      <c r="E11336">
        <f>IF(DATOS!$I11336="","",IFERROR(VLOOKUP(DATOS!$I11336,CONFIG_ASIGNATURAS!$B$2:$J$61,9,FALSE()),""))</f>
      </c>
    </row>
    <row r="11337">
      <c r="E11337">
        <f>IF(DATOS!$I11337="","",IFERROR(VLOOKUP(DATOS!$I11337,CONFIG_ASIGNATURAS!$B$2:$J$61,9,FALSE()),""))</f>
      </c>
    </row>
    <row r="11338">
      <c r="E11338">
        <f>IF(DATOS!$I11338="","",IFERROR(VLOOKUP(DATOS!$I11338,CONFIG_ASIGNATURAS!$B$2:$J$61,9,FALSE()),""))</f>
      </c>
    </row>
    <row r="11339">
      <c r="E11339">
        <f>IF(DATOS!$I11339="","",IFERROR(VLOOKUP(DATOS!$I11339,CONFIG_ASIGNATURAS!$B$2:$J$61,9,FALSE()),""))</f>
      </c>
    </row>
    <row r="11340">
      <c r="E11340">
        <f>IF(DATOS!$I11340="","",IFERROR(VLOOKUP(DATOS!$I11340,CONFIG_ASIGNATURAS!$B$2:$J$61,9,FALSE()),""))</f>
      </c>
    </row>
    <row r="11341">
      <c r="E11341">
        <f>IF(DATOS!$I11341="","",IFERROR(VLOOKUP(DATOS!$I11341,CONFIG_ASIGNATURAS!$B$2:$J$61,9,FALSE()),""))</f>
      </c>
    </row>
    <row r="11342">
      <c r="E11342">
        <f>IF(DATOS!$I11342="","",IFERROR(VLOOKUP(DATOS!$I11342,CONFIG_ASIGNATURAS!$B$2:$J$61,9,FALSE()),""))</f>
      </c>
    </row>
    <row r="11343">
      <c r="E11343">
        <f>IF(DATOS!$I11343="","",IFERROR(VLOOKUP(DATOS!$I11343,CONFIG_ASIGNATURAS!$B$2:$J$61,9,FALSE()),""))</f>
      </c>
    </row>
    <row r="11344">
      <c r="E11344">
        <f>IF(DATOS!$I11344="","",IFERROR(VLOOKUP(DATOS!$I11344,CONFIG_ASIGNATURAS!$B$2:$J$61,9,FALSE()),""))</f>
      </c>
    </row>
    <row r="11345">
      <c r="E11345">
        <f>IF(DATOS!$I11345="","",IFERROR(VLOOKUP(DATOS!$I11345,CONFIG_ASIGNATURAS!$B$2:$J$61,9,FALSE()),""))</f>
      </c>
    </row>
    <row r="11346">
      <c r="E11346">
        <f>IF(DATOS!$I11346="","",IFERROR(VLOOKUP(DATOS!$I11346,CONFIG_ASIGNATURAS!$B$2:$J$61,9,FALSE()),""))</f>
      </c>
    </row>
    <row r="11347">
      <c r="E11347">
        <f>IF(DATOS!$I11347="","",IFERROR(VLOOKUP(DATOS!$I11347,CONFIG_ASIGNATURAS!$B$2:$J$61,9,FALSE()),""))</f>
      </c>
    </row>
    <row r="11348">
      <c r="E11348">
        <f>IF(DATOS!$I11348="","",IFERROR(VLOOKUP(DATOS!$I11348,CONFIG_ASIGNATURAS!$B$2:$J$61,9,FALSE()),""))</f>
      </c>
    </row>
    <row r="11349">
      <c r="E11349">
        <f>IF(DATOS!$I11349="","",IFERROR(VLOOKUP(DATOS!$I11349,CONFIG_ASIGNATURAS!$B$2:$J$61,9,FALSE()),""))</f>
      </c>
    </row>
    <row r="11350">
      <c r="E11350">
        <f>IF(DATOS!$I11350="","",IFERROR(VLOOKUP(DATOS!$I11350,CONFIG_ASIGNATURAS!$B$2:$J$61,9,FALSE()),""))</f>
      </c>
    </row>
    <row r="11351">
      <c r="E11351">
        <f>IF(DATOS!$I11351="","",IFERROR(VLOOKUP(DATOS!$I11351,CONFIG_ASIGNATURAS!$B$2:$J$61,9,FALSE()),""))</f>
      </c>
    </row>
    <row r="11352">
      <c r="E11352">
        <f>IF(DATOS!$I11352="","",IFERROR(VLOOKUP(DATOS!$I11352,CONFIG_ASIGNATURAS!$B$2:$J$61,9,FALSE()),""))</f>
      </c>
    </row>
    <row r="11353">
      <c r="E11353">
        <f>IF(DATOS!$I11353="","",IFERROR(VLOOKUP(DATOS!$I11353,CONFIG_ASIGNATURAS!$B$2:$J$61,9,FALSE()),""))</f>
      </c>
    </row>
    <row r="11354">
      <c r="E11354">
        <f>IF(DATOS!$I11354="","",IFERROR(VLOOKUP(DATOS!$I11354,CONFIG_ASIGNATURAS!$B$2:$J$61,9,FALSE()),""))</f>
      </c>
    </row>
    <row r="11355">
      <c r="E11355">
        <f>IF(DATOS!$I11355="","",IFERROR(VLOOKUP(DATOS!$I11355,CONFIG_ASIGNATURAS!$B$2:$J$61,9,FALSE()),""))</f>
      </c>
    </row>
    <row r="11356">
      <c r="E11356">
        <f>IF(DATOS!$I11356="","",IFERROR(VLOOKUP(DATOS!$I11356,CONFIG_ASIGNATURAS!$B$2:$J$61,9,FALSE()),""))</f>
      </c>
    </row>
    <row r="11357">
      <c r="E11357">
        <f>IF(DATOS!$I11357="","",IFERROR(VLOOKUP(DATOS!$I11357,CONFIG_ASIGNATURAS!$B$2:$J$61,9,FALSE()),""))</f>
      </c>
    </row>
    <row r="11358">
      <c r="E11358">
        <f>IF(DATOS!$I11358="","",IFERROR(VLOOKUP(DATOS!$I11358,CONFIG_ASIGNATURAS!$B$2:$J$61,9,FALSE()),""))</f>
      </c>
    </row>
    <row r="11359">
      <c r="E11359">
        <f>IF(DATOS!$I11359="","",IFERROR(VLOOKUP(DATOS!$I11359,CONFIG_ASIGNATURAS!$B$2:$J$61,9,FALSE()),""))</f>
      </c>
    </row>
    <row r="11360">
      <c r="E11360">
        <f>IF(DATOS!$I11360="","",IFERROR(VLOOKUP(DATOS!$I11360,CONFIG_ASIGNATURAS!$B$2:$J$61,9,FALSE()),""))</f>
      </c>
    </row>
    <row r="11361">
      <c r="E11361">
        <f>IF(DATOS!$I11361="","",IFERROR(VLOOKUP(DATOS!$I11361,CONFIG_ASIGNATURAS!$B$2:$J$61,9,FALSE()),""))</f>
      </c>
    </row>
    <row r="11362">
      <c r="E11362">
        <f>IF(DATOS!$I11362="","",IFERROR(VLOOKUP(DATOS!$I11362,CONFIG_ASIGNATURAS!$B$2:$J$61,9,FALSE()),""))</f>
      </c>
    </row>
    <row r="11363">
      <c r="E11363">
        <f>IF(DATOS!$I11363="","",IFERROR(VLOOKUP(DATOS!$I11363,CONFIG_ASIGNATURAS!$B$2:$J$61,9,FALSE()),""))</f>
      </c>
    </row>
    <row r="11364">
      <c r="E11364">
        <f>IF(DATOS!$I11364="","",IFERROR(VLOOKUP(DATOS!$I11364,CONFIG_ASIGNATURAS!$B$2:$J$61,9,FALSE()),""))</f>
      </c>
    </row>
    <row r="11365">
      <c r="E11365">
        <f>IF(DATOS!$I11365="","",IFERROR(VLOOKUP(DATOS!$I11365,CONFIG_ASIGNATURAS!$B$2:$J$61,9,FALSE()),""))</f>
      </c>
    </row>
    <row r="11366">
      <c r="E11366">
        <f>IF(DATOS!$I11366="","",IFERROR(VLOOKUP(DATOS!$I11366,CONFIG_ASIGNATURAS!$B$2:$J$61,9,FALSE()),""))</f>
      </c>
    </row>
    <row r="11367">
      <c r="E11367">
        <f>IF(DATOS!$I11367="","",IFERROR(VLOOKUP(DATOS!$I11367,CONFIG_ASIGNATURAS!$B$2:$J$61,9,FALSE()),""))</f>
      </c>
    </row>
    <row r="11368">
      <c r="E11368">
        <f>IF(DATOS!$I11368="","",IFERROR(VLOOKUP(DATOS!$I11368,CONFIG_ASIGNATURAS!$B$2:$J$61,9,FALSE()),""))</f>
      </c>
    </row>
    <row r="11369">
      <c r="E11369">
        <f>IF(DATOS!$I11369="","",IFERROR(VLOOKUP(DATOS!$I11369,CONFIG_ASIGNATURAS!$B$2:$J$61,9,FALSE()),""))</f>
      </c>
    </row>
    <row r="11370">
      <c r="E11370">
        <f>IF(DATOS!$I11370="","",IFERROR(VLOOKUP(DATOS!$I11370,CONFIG_ASIGNATURAS!$B$2:$J$61,9,FALSE()),""))</f>
      </c>
    </row>
    <row r="11371">
      <c r="E11371">
        <f>IF(DATOS!$I11371="","",IFERROR(VLOOKUP(DATOS!$I11371,CONFIG_ASIGNATURAS!$B$2:$J$61,9,FALSE()),""))</f>
      </c>
    </row>
    <row r="11372">
      <c r="E11372">
        <f>IF(DATOS!$I11372="","",IFERROR(VLOOKUP(DATOS!$I11372,CONFIG_ASIGNATURAS!$B$2:$J$61,9,FALSE()),""))</f>
      </c>
    </row>
    <row r="11373">
      <c r="E11373">
        <f>IF(DATOS!$I11373="","",IFERROR(VLOOKUP(DATOS!$I11373,CONFIG_ASIGNATURAS!$B$2:$J$61,9,FALSE()),""))</f>
      </c>
    </row>
    <row r="11374">
      <c r="E11374">
        <f>IF(DATOS!$I11374="","",IFERROR(VLOOKUP(DATOS!$I11374,CONFIG_ASIGNATURAS!$B$2:$J$61,9,FALSE()),""))</f>
      </c>
    </row>
    <row r="11375">
      <c r="E11375">
        <f>IF(DATOS!$I11375="","",IFERROR(VLOOKUP(DATOS!$I11375,CONFIG_ASIGNATURAS!$B$2:$J$61,9,FALSE()),""))</f>
      </c>
    </row>
    <row r="11376">
      <c r="E11376">
        <f>IF(DATOS!$I11376="","",IFERROR(VLOOKUP(DATOS!$I11376,CONFIG_ASIGNATURAS!$B$2:$J$61,9,FALSE()),""))</f>
      </c>
    </row>
    <row r="11377">
      <c r="E11377">
        <f>IF(DATOS!$I11377="","",IFERROR(VLOOKUP(DATOS!$I11377,CONFIG_ASIGNATURAS!$B$2:$J$61,9,FALSE()),""))</f>
      </c>
    </row>
    <row r="11378">
      <c r="E11378">
        <f>IF(DATOS!$I11378="","",IFERROR(VLOOKUP(DATOS!$I11378,CONFIG_ASIGNATURAS!$B$2:$J$61,9,FALSE()),""))</f>
      </c>
    </row>
    <row r="11379">
      <c r="E11379">
        <f>IF(DATOS!$I11379="","",IFERROR(VLOOKUP(DATOS!$I11379,CONFIG_ASIGNATURAS!$B$2:$J$61,9,FALSE()),""))</f>
      </c>
    </row>
    <row r="11380">
      <c r="E11380">
        <f>IF(DATOS!$I11380="","",IFERROR(VLOOKUP(DATOS!$I11380,CONFIG_ASIGNATURAS!$B$2:$J$61,9,FALSE()),""))</f>
      </c>
    </row>
    <row r="11381">
      <c r="E11381">
        <f>IF(DATOS!$I11381="","",IFERROR(VLOOKUP(DATOS!$I11381,CONFIG_ASIGNATURAS!$B$2:$J$61,9,FALSE()),""))</f>
      </c>
    </row>
    <row r="11382">
      <c r="E11382">
        <f>IF(DATOS!$I11382="","",IFERROR(VLOOKUP(DATOS!$I11382,CONFIG_ASIGNATURAS!$B$2:$J$61,9,FALSE()),""))</f>
      </c>
    </row>
    <row r="11383">
      <c r="E11383">
        <f>IF(DATOS!$I11383="","",IFERROR(VLOOKUP(DATOS!$I11383,CONFIG_ASIGNATURAS!$B$2:$J$61,9,FALSE()),""))</f>
      </c>
    </row>
    <row r="11384">
      <c r="E11384">
        <f>IF(DATOS!$I11384="","",IFERROR(VLOOKUP(DATOS!$I11384,CONFIG_ASIGNATURAS!$B$2:$J$61,9,FALSE()),""))</f>
      </c>
    </row>
    <row r="11385">
      <c r="E11385">
        <f>IF(DATOS!$I11385="","",IFERROR(VLOOKUP(DATOS!$I11385,CONFIG_ASIGNATURAS!$B$2:$J$61,9,FALSE()),""))</f>
      </c>
    </row>
    <row r="11386">
      <c r="E11386">
        <f>IF(DATOS!$I11386="","",IFERROR(VLOOKUP(DATOS!$I11386,CONFIG_ASIGNATURAS!$B$2:$J$61,9,FALSE()),""))</f>
      </c>
    </row>
    <row r="11387">
      <c r="E11387">
        <f>IF(DATOS!$I11387="","",IFERROR(VLOOKUP(DATOS!$I11387,CONFIG_ASIGNATURAS!$B$2:$J$61,9,FALSE()),""))</f>
      </c>
    </row>
    <row r="11388">
      <c r="E11388">
        <f>IF(DATOS!$I11388="","",IFERROR(VLOOKUP(DATOS!$I11388,CONFIG_ASIGNATURAS!$B$2:$J$61,9,FALSE()),""))</f>
      </c>
    </row>
    <row r="11389">
      <c r="E11389">
        <f>IF(DATOS!$I11389="","",IFERROR(VLOOKUP(DATOS!$I11389,CONFIG_ASIGNATURAS!$B$2:$J$61,9,FALSE()),""))</f>
      </c>
    </row>
    <row r="11390">
      <c r="E11390">
        <f>IF(DATOS!$I11390="","",IFERROR(VLOOKUP(DATOS!$I11390,CONFIG_ASIGNATURAS!$B$2:$J$61,9,FALSE()),""))</f>
      </c>
    </row>
    <row r="11391">
      <c r="E11391">
        <f>IF(DATOS!$I11391="","",IFERROR(VLOOKUP(DATOS!$I11391,CONFIG_ASIGNATURAS!$B$2:$J$61,9,FALSE()),""))</f>
      </c>
    </row>
    <row r="11392">
      <c r="E11392">
        <f>IF(DATOS!$I11392="","",IFERROR(VLOOKUP(DATOS!$I11392,CONFIG_ASIGNATURAS!$B$2:$J$61,9,FALSE()),""))</f>
      </c>
    </row>
    <row r="11393">
      <c r="E11393">
        <f>IF(DATOS!$I11393="","",IFERROR(VLOOKUP(DATOS!$I11393,CONFIG_ASIGNATURAS!$B$2:$J$61,9,FALSE()),""))</f>
      </c>
    </row>
    <row r="11394">
      <c r="E11394">
        <f>IF(DATOS!$I11394="","",IFERROR(VLOOKUP(DATOS!$I11394,CONFIG_ASIGNATURAS!$B$2:$J$61,9,FALSE()),""))</f>
      </c>
    </row>
    <row r="11395">
      <c r="E11395">
        <f>IF(DATOS!$I11395="","",IFERROR(VLOOKUP(DATOS!$I11395,CONFIG_ASIGNATURAS!$B$2:$J$61,9,FALSE()),""))</f>
      </c>
    </row>
    <row r="11396">
      <c r="E11396">
        <f>IF(DATOS!$I11396="","",IFERROR(VLOOKUP(DATOS!$I11396,CONFIG_ASIGNATURAS!$B$2:$J$61,9,FALSE()),""))</f>
      </c>
    </row>
    <row r="11397">
      <c r="E11397">
        <f>IF(DATOS!$I11397="","",IFERROR(VLOOKUP(DATOS!$I11397,CONFIG_ASIGNATURAS!$B$2:$J$61,9,FALSE()),""))</f>
      </c>
    </row>
    <row r="11398">
      <c r="E11398">
        <f>IF(DATOS!$I11398="","",IFERROR(VLOOKUP(DATOS!$I11398,CONFIG_ASIGNATURAS!$B$2:$J$61,9,FALSE()),""))</f>
      </c>
    </row>
    <row r="11399">
      <c r="E11399">
        <f>IF(DATOS!$I11399="","",IFERROR(VLOOKUP(DATOS!$I11399,CONFIG_ASIGNATURAS!$B$2:$J$61,9,FALSE()),""))</f>
      </c>
    </row>
    <row r="11400">
      <c r="E11400">
        <f>IF(DATOS!$I11400="","",IFERROR(VLOOKUP(DATOS!$I11400,CONFIG_ASIGNATURAS!$B$2:$J$61,9,FALSE()),""))</f>
      </c>
    </row>
    <row r="11401">
      <c r="E11401">
        <f>IF(DATOS!$I11401="","",IFERROR(VLOOKUP(DATOS!$I11401,CONFIG_ASIGNATURAS!$B$2:$J$61,9,FALSE()),""))</f>
      </c>
    </row>
    <row r="11402">
      <c r="E11402">
        <f>IF(DATOS!$I11402="","",IFERROR(VLOOKUP(DATOS!$I11402,CONFIG_ASIGNATURAS!$B$2:$J$61,9,FALSE()),""))</f>
      </c>
    </row>
    <row r="11403">
      <c r="E11403">
        <f>IF(DATOS!$I11403="","",IFERROR(VLOOKUP(DATOS!$I11403,CONFIG_ASIGNATURAS!$B$2:$J$61,9,FALSE()),""))</f>
      </c>
    </row>
    <row r="11404">
      <c r="E11404">
        <f>IF(DATOS!$I11404="","",IFERROR(VLOOKUP(DATOS!$I11404,CONFIG_ASIGNATURAS!$B$2:$J$61,9,FALSE()),""))</f>
      </c>
    </row>
    <row r="11405">
      <c r="E11405">
        <f>IF(DATOS!$I11405="","",IFERROR(VLOOKUP(DATOS!$I11405,CONFIG_ASIGNATURAS!$B$2:$J$61,9,FALSE()),""))</f>
      </c>
    </row>
    <row r="11406">
      <c r="E11406">
        <f>IF(DATOS!$I11406="","",IFERROR(VLOOKUP(DATOS!$I11406,CONFIG_ASIGNATURAS!$B$2:$J$61,9,FALSE()),""))</f>
      </c>
    </row>
    <row r="11407">
      <c r="E11407">
        <f>IF(DATOS!$I11407="","",IFERROR(VLOOKUP(DATOS!$I11407,CONFIG_ASIGNATURAS!$B$2:$J$61,9,FALSE()),""))</f>
      </c>
    </row>
    <row r="11408">
      <c r="E11408">
        <f>IF(DATOS!$I11408="","",IFERROR(VLOOKUP(DATOS!$I11408,CONFIG_ASIGNATURAS!$B$2:$J$61,9,FALSE()),""))</f>
      </c>
    </row>
    <row r="11409">
      <c r="E11409">
        <f>IF(DATOS!$I11409="","",IFERROR(VLOOKUP(DATOS!$I11409,CONFIG_ASIGNATURAS!$B$2:$J$61,9,FALSE()),""))</f>
      </c>
    </row>
    <row r="11410">
      <c r="E11410">
        <f>IF(DATOS!$I11410="","",IFERROR(VLOOKUP(DATOS!$I11410,CONFIG_ASIGNATURAS!$B$2:$J$61,9,FALSE()),""))</f>
      </c>
    </row>
    <row r="11411">
      <c r="E11411">
        <f>IF(DATOS!$I11411="","",IFERROR(VLOOKUP(DATOS!$I11411,CONFIG_ASIGNATURAS!$B$2:$J$61,9,FALSE()),""))</f>
      </c>
    </row>
    <row r="11412">
      <c r="E11412">
        <f>IF(DATOS!$I11412="","",IFERROR(VLOOKUP(DATOS!$I11412,CONFIG_ASIGNATURAS!$B$2:$J$61,9,FALSE()),""))</f>
      </c>
    </row>
    <row r="11413">
      <c r="E11413">
        <f>IF(DATOS!$I11413="","",IFERROR(VLOOKUP(DATOS!$I11413,CONFIG_ASIGNATURAS!$B$2:$J$61,9,FALSE()),""))</f>
      </c>
    </row>
    <row r="11414">
      <c r="E11414">
        <f>IF(DATOS!$I11414="","",IFERROR(VLOOKUP(DATOS!$I11414,CONFIG_ASIGNATURAS!$B$2:$J$61,9,FALSE()),""))</f>
      </c>
    </row>
    <row r="11415">
      <c r="E11415">
        <f>IF(DATOS!$I11415="","",IFERROR(VLOOKUP(DATOS!$I11415,CONFIG_ASIGNATURAS!$B$2:$J$61,9,FALSE()),""))</f>
      </c>
    </row>
    <row r="11416">
      <c r="E11416">
        <f>IF(DATOS!$I11416="","",IFERROR(VLOOKUP(DATOS!$I11416,CONFIG_ASIGNATURAS!$B$2:$J$61,9,FALSE()),""))</f>
      </c>
    </row>
    <row r="11417">
      <c r="E11417">
        <f>IF(DATOS!$I11417="","",IFERROR(VLOOKUP(DATOS!$I11417,CONFIG_ASIGNATURAS!$B$2:$J$61,9,FALSE()),""))</f>
      </c>
    </row>
    <row r="11418">
      <c r="E11418">
        <f>IF(DATOS!$I11418="","",IFERROR(VLOOKUP(DATOS!$I11418,CONFIG_ASIGNATURAS!$B$2:$J$61,9,FALSE()),""))</f>
      </c>
    </row>
    <row r="11419">
      <c r="E11419">
        <f>IF(DATOS!$I11419="","",IFERROR(VLOOKUP(DATOS!$I11419,CONFIG_ASIGNATURAS!$B$2:$J$61,9,FALSE()),""))</f>
      </c>
    </row>
    <row r="11420">
      <c r="E11420">
        <f>IF(DATOS!$I11420="","",IFERROR(VLOOKUP(DATOS!$I11420,CONFIG_ASIGNATURAS!$B$2:$J$61,9,FALSE()),""))</f>
      </c>
    </row>
    <row r="11421">
      <c r="E11421">
        <f>IF(DATOS!$I11421="","",IFERROR(VLOOKUP(DATOS!$I11421,CONFIG_ASIGNATURAS!$B$2:$J$61,9,FALSE()),""))</f>
      </c>
    </row>
    <row r="11422">
      <c r="E11422">
        <f>IF(DATOS!$I11422="","",IFERROR(VLOOKUP(DATOS!$I11422,CONFIG_ASIGNATURAS!$B$2:$J$61,9,FALSE()),""))</f>
      </c>
    </row>
    <row r="11423">
      <c r="E11423">
        <f>IF(DATOS!$I11423="","",IFERROR(VLOOKUP(DATOS!$I11423,CONFIG_ASIGNATURAS!$B$2:$J$61,9,FALSE()),""))</f>
      </c>
    </row>
    <row r="11424">
      <c r="E11424">
        <f>IF(DATOS!$I11424="","",IFERROR(VLOOKUP(DATOS!$I11424,CONFIG_ASIGNATURAS!$B$2:$J$61,9,FALSE()),""))</f>
      </c>
    </row>
    <row r="11425">
      <c r="E11425">
        <f>IF(DATOS!$I11425="","",IFERROR(VLOOKUP(DATOS!$I11425,CONFIG_ASIGNATURAS!$B$2:$J$61,9,FALSE()),""))</f>
      </c>
    </row>
    <row r="11426">
      <c r="E11426">
        <f>IF(DATOS!$I11426="","",IFERROR(VLOOKUP(DATOS!$I11426,CONFIG_ASIGNATURAS!$B$2:$J$61,9,FALSE()),""))</f>
      </c>
    </row>
    <row r="11427">
      <c r="E11427">
        <f>IF(DATOS!$I11427="","",IFERROR(VLOOKUP(DATOS!$I11427,CONFIG_ASIGNATURAS!$B$2:$J$61,9,FALSE()),""))</f>
      </c>
    </row>
    <row r="11428">
      <c r="E11428">
        <f>IF(DATOS!$I11428="","",IFERROR(VLOOKUP(DATOS!$I11428,CONFIG_ASIGNATURAS!$B$2:$J$61,9,FALSE()),""))</f>
      </c>
    </row>
    <row r="11429">
      <c r="E11429">
        <f>IF(DATOS!$I11429="","",IFERROR(VLOOKUP(DATOS!$I11429,CONFIG_ASIGNATURAS!$B$2:$J$61,9,FALSE()),""))</f>
      </c>
    </row>
    <row r="11430">
      <c r="E11430">
        <f>IF(DATOS!$I11430="","",IFERROR(VLOOKUP(DATOS!$I11430,CONFIG_ASIGNATURAS!$B$2:$J$61,9,FALSE()),""))</f>
      </c>
    </row>
    <row r="11431">
      <c r="E11431">
        <f>IF(DATOS!$I11431="","",IFERROR(VLOOKUP(DATOS!$I11431,CONFIG_ASIGNATURAS!$B$2:$J$61,9,FALSE()),""))</f>
      </c>
    </row>
    <row r="11432">
      <c r="E11432">
        <f>IF(DATOS!$I11432="","",IFERROR(VLOOKUP(DATOS!$I11432,CONFIG_ASIGNATURAS!$B$2:$J$61,9,FALSE()),""))</f>
      </c>
    </row>
    <row r="11433">
      <c r="E11433">
        <f>IF(DATOS!$I11433="","",IFERROR(VLOOKUP(DATOS!$I11433,CONFIG_ASIGNATURAS!$B$2:$J$61,9,FALSE()),""))</f>
      </c>
    </row>
    <row r="11434">
      <c r="E11434">
        <f>IF(DATOS!$I11434="","",IFERROR(VLOOKUP(DATOS!$I11434,CONFIG_ASIGNATURAS!$B$2:$J$61,9,FALSE()),""))</f>
      </c>
    </row>
    <row r="11435">
      <c r="E11435">
        <f>IF(DATOS!$I11435="","",IFERROR(VLOOKUP(DATOS!$I11435,CONFIG_ASIGNATURAS!$B$2:$J$61,9,FALSE()),""))</f>
      </c>
    </row>
    <row r="11436">
      <c r="E11436">
        <f>IF(DATOS!$I11436="","",IFERROR(VLOOKUP(DATOS!$I11436,CONFIG_ASIGNATURAS!$B$2:$J$61,9,FALSE()),""))</f>
      </c>
    </row>
    <row r="11437">
      <c r="E11437">
        <f>IF(DATOS!$I11437="","",IFERROR(VLOOKUP(DATOS!$I11437,CONFIG_ASIGNATURAS!$B$2:$J$61,9,FALSE()),""))</f>
      </c>
    </row>
    <row r="11438">
      <c r="E11438">
        <f>IF(DATOS!$I11438="","",IFERROR(VLOOKUP(DATOS!$I11438,CONFIG_ASIGNATURAS!$B$2:$J$61,9,FALSE()),""))</f>
      </c>
    </row>
    <row r="11439">
      <c r="E11439">
        <f>IF(DATOS!$I11439="","",IFERROR(VLOOKUP(DATOS!$I11439,CONFIG_ASIGNATURAS!$B$2:$J$61,9,FALSE()),""))</f>
      </c>
    </row>
    <row r="11440">
      <c r="E11440">
        <f>IF(DATOS!$I11440="","",IFERROR(VLOOKUP(DATOS!$I11440,CONFIG_ASIGNATURAS!$B$2:$J$61,9,FALSE()),""))</f>
      </c>
    </row>
    <row r="11441">
      <c r="E11441">
        <f>IF(DATOS!$I11441="","",IFERROR(VLOOKUP(DATOS!$I11441,CONFIG_ASIGNATURAS!$B$2:$J$61,9,FALSE()),""))</f>
      </c>
    </row>
    <row r="11442">
      <c r="E11442">
        <f>IF(DATOS!$I11442="","",IFERROR(VLOOKUP(DATOS!$I11442,CONFIG_ASIGNATURAS!$B$2:$J$61,9,FALSE()),""))</f>
      </c>
    </row>
    <row r="11443">
      <c r="E11443">
        <f>IF(DATOS!$I11443="","",IFERROR(VLOOKUP(DATOS!$I11443,CONFIG_ASIGNATURAS!$B$2:$J$61,9,FALSE()),""))</f>
      </c>
    </row>
    <row r="11444">
      <c r="E11444">
        <f>IF(DATOS!$I11444="","",IFERROR(VLOOKUP(DATOS!$I11444,CONFIG_ASIGNATURAS!$B$2:$J$61,9,FALSE()),""))</f>
      </c>
    </row>
    <row r="11445">
      <c r="E11445">
        <f>IF(DATOS!$I11445="","",IFERROR(VLOOKUP(DATOS!$I11445,CONFIG_ASIGNATURAS!$B$2:$J$61,9,FALSE()),""))</f>
      </c>
    </row>
    <row r="11446">
      <c r="E11446">
        <f>IF(DATOS!$I11446="","",IFERROR(VLOOKUP(DATOS!$I11446,CONFIG_ASIGNATURAS!$B$2:$J$61,9,FALSE()),""))</f>
      </c>
    </row>
    <row r="11447">
      <c r="E11447">
        <f>IF(DATOS!$I11447="","",IFERROR(VLOOKUP(DATOS!$I11447,CONFIG_ASIGNATURAS!$B$2:$J$61,9,FALSE()),""))</f>
      </c>
    </row>
    <row r="11448">
      <c r="E11448">
        <f>IF(DATOS!$I11448="","",IFERROR(VLOOKUP(DATOS!$I11448,CONFIG_ASIGNATURAS!$B$2:$J$61,9,FALSE()),""))</f>
      </c>
    </row>
    <row r="11449">
      <c r="E11449">
        <f>IF(DATOS!$I11449="","",IFERROR(VLOOKUP(DATOS!$I11449,CONFIG_ASIGNATURAS!$B$2:$J$61,9,FALSE()),""))</f>
      </c>
    </row>
    <row r="11450">
      <c r="E11450">
        <f>IF(DATOS!$I11450="","",IFERROR(VLOOKUP(DATOS!$I11450,CONFIG_ASIGNATURAS!$B$2:$J$61,9,FALSE()),""))</f>
      </c>
    </row>
    <row r="11451">
      <c r="E11451">
        <f>IF(DATOS!$I11451="","",IFERROR(VLOOKUP(DATOS!$I11451,CONFIG_ASIGNATURAS!$B$2:$J$61,9,FALSE()),""))</f>
      </c>
    </row>
    <row r="11452">
      <c r="E11452">
        <f>IF(DATOS!$I11452="","",IFERROR(VLOOKUP(DATOS!$I11452,CONFIG_ASIGNATURAS!$B$2:$J$61,9,FALSE()),""))</f>
      </c>
    </row>
    <row r="11453">
      <c r="E11453">
        <f>IF(DATOS!$I11453="","",IFERROR(VLOOKUP(DATOS!$I11453,CONFIG_ASIGNATURAS!$B$2:$J$61,9,FALSE()),""))</f>
      </c>
    </row>
    <row r="11454">
      <c r="E11454">
        <f>IF(DATOS!$I11454="","",IFERROR(VLOOKUP(DATOS!$I11454,CONFIG_ASIGNATURAS!$B$2:$J$61,9,FALSE()),""))</f>
      </c>
    </row>
    <row r="11455">
      <c r="E11455">
        <f>IF(DATOS!$I11455="","",IFERROR(VLOOKUP(DATOS!$I11455,CONFIG_ASIGNATURAS!$B$2:$J$61,9,FALSE()),""))</f>
      </c>
    </row>
    <row r="11456">
      <c r="E11456">
        <f>IF(DATOS!$I11456="","",IFERROR(VLOOKUP(DATOS!$I11456,CONFIG_ASIGNATURAS!$B$2:$J$61,9,FALSE()),""))</f>
      </c>
    </row>
    <row r="11457">
      <c r="E11457">
        <f>IF(DATOS!$I11457="","",IFERROR(VLOOKUP(DATOS!$I11457,CONFIG_ASIGNATURAS!$B$2:$J$61,9,FALSE()),""))</f>
      </c>
    </row>
    <row r="11458">
      <c r="E11458">
        <f>IF(DATOS!$I11458="","",IFERROR(VLOOKUP(DATOS!$I11458,CONFIG_ASIGNATURAS!$B$2:$J$61,9,FALSE()),""))</f>
      </c>
    </row>
    <row r="11459">
      <c r="E11459">
        <f>IF(DATOS!$I11459="","",IFERROR(VLOOKUP(DATOS!$I11459,CONFIG_ASIGNATURAS!$B$2:$J$61,9,FALSE()),""))</f>
      </c>
    </row>
    <row r="11460">
      <c r="E11460">
        <f>IF(DATOS!$I11460="","",IFERROR(VLOOKUP(DATOS!$I11460,CONFIG_ASIGNATURAS!$B$2:$J$61,9,FALSE()),""))</f>
      </c>
    </row>
    <row r="11461">
      <c r="E11461">
        <f>IF(DATOS!$I11461="","",IFERROR(VLOOKUP(DATOS!$I11461,CONFIG_ASIGNATURAS!$B$2:$J$61,9,FALSE()),""))</f>
      </c>
    </row>
    <row r="11462">
      <c r="E11462">
        <f>IF(DATOS!$I11462="","",IFERROR(VLOOKUP(DATOS!$I11462,CONFIG_ASIGNATURAS!$B$2:$J$61,9,FALSE()),""))</f>
      </c>
    </row>
    <row r="11463">
      <c r="E11463">
        <f>IF(DATOS!$I11463="","",IFERROR(VLOOKUP(DATOS!$I11463,CONFIG_ASIGNATURAS!$B$2:$J$61,9,FALSE()),""))</f>
      </c>
    </row>
    <row r="11464">
      <c r="E11464">
        <f>IF(DATOS!$I11464="","",IFERROR(VLOOKUP(DATOS!$I11464,CONFIG_ASIGNATURAS!$B$2:$J$61,9,FALSE()),""))</f>
      </c>
    </row>
    <row r="11465">
      <c r="E11465">
        <f>IF(DATOS!$I11465="","",IFERROR(VLOOKUP(DATOS!$I11465,CONFIG_ASIGNATURAS!$B$2:$J$61,9,FALSE()),""))</f>
      </c>
    </row>
    <row r="11466">
      <c r="E11466">
        <f>IF(DATOS!$I11466="","",IFERROR(VLOOKUP(DATOS!$I11466,CONFIG_ASIGNATURAS!$B$2:$J$61,9,FALSE()),""))</f>
      </c>
    </row>
    <row r="11467">
      <c r="E11467">
        <f>IF(DATOS!$I11467="","",IFERROR(VLOOKUP(DATOS!$I11467,CONFIG_ASIGNATURAS!$B$2:$J$61,9,FALSE()),""))</f>
      </c>
    </row>
    <row r="11468">
      <c r="E11468">
        <f>IF(DATOS!$I11468="","",IFERROR(VLOOKUP(DATOS!$I11468,CONFIG_ASIGNATURAS!$B$2:$J$61,9,FALSE()),""))</f>
      </c>
    </row>
    <row r="11469">
      <c r="E11469">
        <f>IF(DATOS!$I11469="","",IFERROR(VLOOKUP(DATOS!$I11469,CONFIG_ASIGNATURAS!$B$2:$J$61,9,FALSE()),""))</f>
      </c>
    </row>
    <row r="11470">
      <c r="E11470">
        <f>IF(DATOS!$I11470="","",IFERROR(VLOOKUP(DATOS!$I11470,CONFIG_ASIGNATURAS!$B$2:$J$61,9,FALSE()),""))</f>
      </c>
    </row>
    <row r="11471">
      <c r="E11471">
        <f>IF(DATOS!$I11471="","",IFERROR(VLOOKUP(DATOS!$I11471,CONFIG_ASIGNATURAS!$B$2:$J$61,9,FALSE()),""))</f>
      </c>
    </row>
    <row r="11472">
      <c r="E11472">
        <f>IF(DATOS!$I11472="","",IFERROR(VLOOKUP(DATOS!$I11472,CONFIG_ASIGNATURAS!$B$2:$J$61,9,FALSE()),""))</f>
      </c>
    </row>
    <row r="11473">
      <c r="E11473">
        <f>IF(DATOS!$I11473="","",IFERROR(VLOOKUP(DATOS!$I11473,CONFIG_ASIGNATURAS!$B$2:$J$61,9,FALSE()),""))</f>
      </c>
    </row>
    <row r="11474">
      <c r="E11474">
        <f>IF(DATOS!$I11474="","",IFERROR(VLOOKUP(DATOS!$I11474,CONFIG_ASIGNATURAS!$B$2:$J$61,9,FALSE()),""))</f>
      </c>
    </row>
    <row r="11475">
      <c r="E11475">
        <f>IF(DATOS!$I11475="","",IFERROR(VLOOKUP(DATOS!$I11475,CONFIG_ASIGNATURAS!$B$2:$J$61,9,FALSE()),""))</f>
      </c>
    </row>
    <row r="11476">
      <c r="E11476">
        <f>IF(DATOS!$I11476="","",IFERROR(VLOOKUP(DATOS!$I11476,CONFIG_ASIGNATURAS!$B$2:$J$61,9,FALSE()),""))</f>
      </c>
    </row>
    <row r="11477">
      <c r="E11477">
        <f>IF(DATOS!$I11477="","",IFERROR(VLOOKUP(DATOS!$I11477,CONFIG_ASIGNATURAS!$B$2:$J$61,9,FALSE()),""))</f>
      </c>
    </row>
    <row r="11478">
      <c r="E11478">
        <f>IF(DATOS!$I11478="","",IFERROR(VLOOKUP(DATOS!$I11478,CONFIG_ASIGNATURAS!$B$2:$J$61,9,FALSE()),""))</f>
      </c>
    </row>
    <row r="11479">
      <c r="E11479">
        <f>IF(DATOS!$I11479="","",IFERROR(VLOOKUP(DATOS!$I11479,CONFIG_ASIGNATURAS!$B$2:$J$61,9,FALSE()),""))</f>
      </c>
    </row>
    <row r="11480">
      <c r="E11480">
        <f>IF(DATOS!$I11480="","",IFERROR(VLOOKUP(DATOS!$I11480,CONFIG_ASIGNATURAS!$B$2:$J$61,9,FALSE()),""))</f>
      </c>
    </row>
    <row r="11481">
      <c r="E11481">
        <f>IF(DATOS!$I11481="","",IFERROR(VLOOKUP(DATOS!$I11481,CONFIG_ASIGNATURAS!$B$2:$J$61,9,FALSE()),""))</f>
      </c>
    </row>
    <row r="11482">
      <c r="E11482">
        <f>IF(DATOS!$I11482="","",IFERROR(VLOOKUP(DATOS!$I11482,CONFIG_ASIGNATURAS!$B$2:$J$61,9,FALSE()),""))</f>
      </c>
    </row>
    <row r="11483">
      <c r="E11483">
        <f>IF(DATOS!$I11483="","",IFERROR(VLOOKUP(DATOS!$I11483,CONFIG_ASIGNATURAS!$B$2:$J$61,9,FALSE()),""))</f>
      </c>
    </row>
    <row r="11484">
      <c r="E11484">
        <f>IF(DATOS!$I11484="","",IFERROR(VLOOKUP(DATOS!$I11484,CONFIG_ASIGNATURAS!$B$2:$J$61,9,FALSE()),""))</f>
      </c>
    </row>
    <row r="11485">
      <c r="E11485">
        <f>IF(DATOS!$I11485="","",IFERROR(VLOOKUP(DATOS!$I11485,CONFIG_ASIGNATURAS!$B$2:$J$61,9,FALSE()),""))</f>
      </c>
    </row>
    <row r="11486">
      <c r="E11486">
        <f>IF(DATOS!$I11486="","",IFERROR(VLOOKUP(DATOS!$I11486,CONFIG_ASIGNATURAS!$B$2:$J$61,9,FALSE()),""))</f>
      </c>
    </row>
    <row r="11487">
      <c r="E11487">
        <f>IF(DATOS!$I11487="","",IFERROR(VLOOKUP(DATOS!$I11487,CONFIG_ASIGNATURAS!$B$2:$J$61,9,FALSE()),""))</f>
      </c>
    </row>
    <row r="11488">
      <c r="E11488">
        <f>IF(DATOS!$I11488="","",IFERROR(VLOOKUP(DATOS!$I11488,CONFIG_ASIGNATURAS!$B$2:$J$61,9,FALSE()),""))</f>
      </c>
    </row>
    <row r="11489">
      <c r="E11489">
        <f>IF(DATOS!$I11489="","",IFERROR(VLOOKUP(DATOS!$I11489,CONFIG_ASIGNATURAS!$B$2:$J$61,9,FALSE()),""))</f>
      </c>
    </row>
    <row r="11490">
      <c r="E11490">
        <f>IF(DATOS!$I11490="","",IFERROR(VLOOKUP(DATOS!$I11490,CONFIG_ASIGNATURAS!$B$2:$J$61,9,FALSE()),""))</f>
      </c>
    </row>
    <row r="11491">
      <c r="E11491">
        <f>IF(DATOS!$I11491="","",IFERROR(VLOOKUP(DATOS!$I11491,CONFIG_ASIGNATURAS!$B$2:$J$61,9,FALSE()),""))</f>
      </c>
    </row>
    <row r="11492">
      <c r="E11492">
        <f>IF(DATOS!$I11492="","",IFERROR(VLOOKUP(DATOS!$I11492,CONFIG_ASIGNATURAS!$B$2:$J$61,9,FALSE()),""))</f>
      </c>
    </row>
    <row r="11493">
      <c r="E11493">
        <f>IF(DATOS!$I11493="","",IFERROR(VLOOKUP(DATOS!$I11493,CONFIG_ASIGNATURAS!$B$2:$J$61,9,FALSE()),""))</f>
      </c>
    </row>
    <row r="11494">
      <c r="E11494">
        <f>IF(DATOS!$I11494="","",IFERROR(VLOOKUP(DATOS!$I11494,CONFIG_ASIGNATURAS!$B$2:$J$61,9,FALSE()),""))</f>
      </c>
    </row>
    <row r="11495">
      <c r="E11495">
        <f>IF(DATOS!$I11495="","",IFERROR(VLOOKUP(DATOS!$I11495,CONFIG_ASIGNATURAS!$B$2:$J$61,9,FALSE()),""))</f>
      </c>
    </row>
    <row r="11496">
      <c r="E11496">
        <f>IF(DATOS!$I11496="","",IFERROR(VLOOKUP(DATOS!$I11496,CONFIG_ASIGNATURAS!$B$2:$J$61,9,FALSE()),""))</f>
      </c>
    </row>
    <row r="11497">
      <c r="E11497">
        <f>IF(DATOS!$I11497="","",IFERROR(VLOOKUP(DATOS!$I11497,CONFIG_ASIGNATURAS!$B$2:$J$61,9,FALSE()),""))</f>
      </c>
    </row>
    <row r="11498">
      <c r="E11498">
        <f>IF(DATOS!$I11498="","",IFERROR(VLOOKUP(DATOS!$I11498,CONFIG_ASIGNATURAS!$B$2:$J$61,9,FALSE()),""))</f>
      </c>
    </row>
    <row r="11499">
      <c r="E11499">
        <f>IF(DATOS!$I11499="","",IFERROR(VLOOKUP(DATOS!$I11499,CONFIG_ASIGNATURAS!$B$2:$J$61,9,FALSE()),""))</f>
      </c>
    </row>
    <row r="11500">
      <c r="E11500">
        <f>IF(DATOS!$I11500="","",IFERROR(VLOOKUP(DATOS!$I11500,CONFIG_ASIGNATURAS!$B$2:$J$61,9,FALSE()),""))</f>
      </c>
    </row>
    <row r="11501">
      <c r="E11501">
        <f>IF(DATOS!$I11501="","",IFERROR(VLOOKUP(DATOS!$I11501,CONFIG_ASIGNATURAS!$B$2:$J$61,9,FALSE()),""))</f>
      </c>
    </row>
    <row r="11502">
      <c r="E11502">
        <f>IF(DATOS!$I11502="","",IFERROR(VLOOKUP(DATOS!$I11502,CONFIG_ASIGNATURAS!$B$2:$J$61,9,FALSE()),""))</f>
      </c>
    </row>
    <row r="11503">
      <c r="E11503">
        <f>IF(DATOS!$I11503="","",IFERROR(VLOOKUP(DATOS!$I11503,CONFIG_ASIGNATURAS!$B$2:$J$61,9,FALSE()),""))</f>
      </c>
    </row>
    <row r="11504">
      <c r="E11504">
        <f>IF(DATOS!$I11504="","",IFERROR(VLOOKUP(DATOS!$I11504,CONFIG_ASIGNATURAS!$B$2:$J$61,9,FALSE()),""))</f>
      </c>
    </row>
    <row r="11505">
      <c r="E11505">
        <f>IF(DATOS!$I11505="","",IFERROR(VLOOKUP(DATOS!$I11505,CONFIG_ASIGNATURAS!$B$2:$J$61,9,FALSE()),""))</f>
      </c>
    </row>
    <row r="11506">
      <c r="E11506">
        <f>IF(DATOS!$I11506="","",IFERROR(VLOOKUP(DATOS!$I11506,CONFIG_ASIGNATURAS!$B$2:$J$61,9,FALSE()),""))</f>
      </c>
    </row>
    <row r="11507">
      <c r="E11507">
        <f>IF(DATOS!$I11507="","",IFERROR(VLOOKUP(DATOS!$I11507,CONFIG_ASIGNATURAS!$B$2:$J$61,9,FALSE()),""))</f>
      </c>
    </row>
    <row r="11508">
      <c r="E11508">
        <f>IF(DATOS!$I11508="","",IFERROR(VLOOKUP(DATOS!$I11508,CONFIG_ASIGNATURAS!$B$2:$J$61,9,FALSE()),""))</f>
      </c>
    </row>
    <row r="11509">
      <c r="E11509">
        <f>IF(DATOS!$I11509="","",IFERROR(VLOOKUP(DATOS!$I11509,CONFIG_ASIGNATURAS!$B$2:$J$61,9,FALSE()),""))</f>
      </c>
    </row>
    <row r="11510">
      <c r="E11510">
        <f>IF(DATOS!$I11510="","",IFERROR(VLOOKUP(DATOS!$I11510,CONFIG_ASIGNATURAS!$B$2:$J$61,9,FALSE()),""))</f>
      </c>
    </row>
    <row r="11511">
      <c r="E11511">
        <f>IF(DATOS!$I11511="","",IFERROR(VLOOKUP(DATOS!$I11511,CONFIG_ASIGNATURAS!$B$2:$J$61,9,FALSE()),""))</f>
      </c>
    </row>
    <row r="11512">
      <c r="E11512">
        <f>IF(DATOS!$I11512="","",IFERROR(VLOOKUP(DATOS!$I11512,CONFIG_ASIGNATURAS!$B$2:$J$61,9,FALSE()),""))</f>
      </c>
    </row>
    <row r="11513">
      <c r="E11513">
        <f>IF(DATOS!$I11513="","",IFERROR(VLOOKUP(DATOS!$I11513,CONFIG_ASIGNATURAS!$B$2:$J$61,9,FALSE()),""))</f>
      </c>
    </row>
    <row r="11514">
      <c r="E11514">
        <f>IF(DATOS!$I11514="","",IFERROR(VLOOKUP(DATOS!$I11514,CONFIG_ASIGNATURAS!$B$2:$J$61,9,FALSE()),""))</f>
      </c>
    </row>
    <row r="11515">
      <c r="E11515">
        <f>IF(DATOS!$I11515="","",IFERROR(VLOOKUP(DATOS!$I11515,CONFIG_ASIGNATURAS!$B$2:$J$61,9,FALSE()),""))</f>
      </c>
    </row>
    <row r="11516">
      <c r="E11516">
        <f>IF(DATOS!$I11516="","",IFERROR(VLOOKUP(DATOS!$I11516,CONFIG_ASIGNATURAS!$B$2:$J$61,9,FALSE()),""))</f>
      </c>
    </row>
    <row r="11517">
      <c r="E11517">
        <f>IF(DATOS!$I11517="","",IFERROR(VLOOKUP(DATOS!$I11517,CONFIG_ASIGNATURAS!$B$2:$J$61,9,FALSE()),""))</f>
      </c>
    </row>
    <row r="11518">
      <c r="E11518">
        <f>IF(DATOS!$I11518="","",IFERROR(VLOOKUP(DATOS!$I11518,CONFIG_ASIGNATURAS!$B$2:$J$61,9,FALSE()),""))</f>
      </c>
    </row>
    <row r="11519">
      <c r="E11519">
        <f>IF(DATOS!$I11519="","",IFERROR(VLOOKUP(DATOS!$I11519,CONFIG_ASIGNATURAS!$B$2:$J$61,9,FALSE()),""))</f>
      </c>
    </row>
    <row r="11520">
      <c r="E11520">
        <f>IF(DATOS!$I11520="","",IFERROR(VLOOKUP(DATOS!$I11520,CONFIG_ASIGNATURAS!$B$2:$J$61,9,FALSE()),""))</f>
      </c>
    </row>
    <row r="11521">
      <c r="E11521">
        <f>IF(DATOS!$I11521="","",IFERROR(VLOOKUP(DATOS!$I11521,CONFIG_ASIGNATURAS!$B$2:$J$61,9,FALSE()),""))</f>
      </c>
    </row>
    <row r="11522">
      <c r="E11522">
        <f>IF(DATOS!$I11522="","",IFERROR(VLOOKUP(DATOS!$I11522,CONFIG_ASIGNATURAS!$B$2:$J$61,9,FALSE()),""))</f>
      </c>
    </row>
    <row r="11523">
      <c r="E11523">
        <f>IF(DATOS!$I11523="","",IFERROR(VLOOKUP(DATOS!$I11523,CONFIG_ASIGNATURAS!$B$2:$J$61,9,FALSE()),""))</f>
      </c>
    </row>
    <row r="11524">
      <c r="E11524">
        <f>IF(DATOS!$I11524="","",IFERROR(VLOOKUP(DATOS!$I11524,CONFIG_ASIGNATURAS!$B$2:$J$61,9,FALSE()),""))</f>
      </c>
    </row>
    <row r="11525">
      <c r="E11525">
        <f>IF(DATOS!$I11525="","",IFERROR(VLOOKUP(DATOS!$I11525,CONFIG_ASIGNATURAS!$B$2:$J$61,9,FALSE()),""))</f>
      </c>
    </row>
    <row r="11526">
      <c r="E11526">
        <f>IF(DATOS!$I11526="","",IFERROR(VLOOKUP(DATOS!$I11526,CONFIG_ASIGNATURAS!$B$2:$J$61,9,FALSE()),""))</f>
      </c>
    </row>
    <row r="11527">
      <c r="E11527">
        <f>IF(DATOS!$I11527="","",IFERROR(VLOOKUP(DATOS!$I11527,CONFIG_ASIGNATURAS!$B$2:$J$61,9,FALSE()),""))</f>
      </c>
    </row>
    <row r="11528">
      <c r="E11528">
        <f>IF(DATOS!$I11528="","",IFERROR(VLOOKUP(DATOS!$I11528,CONFIG_ASIGNATURAS!$B$2:$J$61,9,FALSE()),""))</f>
      </c>
    </row>
    <row r="11529">
      <c r="E11529">
        <f>IF(DATOS!$I11529="","",IFERROR(VLOOKUP(DATOS!$I11529,CONFIG_ASIGNATURAS!$B$2:$J$61,9,FALSE()),""))</f>
      </c>
    </row>
    <row r="11530">
      <c r="E11530">
        <f>IF(DATOS!$I11530="","",IFERROR(VLOOKUP(DATOS!$I11530,CONFIG_ASIGNATURAS!$B$2:$J$61,9,FALSE()),""))</f>
      </c>
    </row>
    <row r="11531">
      <c r="E11531">
        <f>IF(DATOS!$I11531="","",IFERROR(VLOOKUP(DATOS!$I11531,CONFIG_ASIGNATURAS!$B$2:$J$61,9,FALSE()),""))</f>
      </c>
    </row>
    <row r="11532">
      <c r="E11532">
        <f>IF(DATOS!$I11532="","",IFERROR(VLOOKUP(DATOS!$I11532,CONFIG_ASIGNATURAS!$B$2:$J$61,9,FALSE()),""))</f>
      </c>
    </row>
    <row r="11533">
      <c r="E11533">
        <f>IF(DATOS!$I11533="","",IFERROR(VLOOKUP(DATOS!$I11533,CONFIG_ASIGNATURAS!$B$2:$J$61,9,FALSE()),""))</f>
      </c>
    </row>
    <row r="11534">
      <c r="E11534">
        <f>IF(DATOS!$I11534="","",IFERROR(VLOOKUP(DATOS!$I11534,CONFIG_ASIGNATURAS!$B$2:$J$61,9,FALSE()),""))</f>
      </c>
    </row>
    <row r="11535">
      <c r="E11535">
        <f>IF(DATOS!$I11535="","",IFERROR(VLOOKUP(DATOS!$I11535,CONFIG_ASIGNATURAS!$B$2:$J$61,9,FALSE()),""))</f>
      </c>
    </row>
    <row r="11536">
      <c r="E11536">
        <f>IF(DATOS!$I11536="","",IFERROR(VLOOKUP(DATOS!$I11536,CONFIG_ASIGNATURAS!$B$2:$J$61,9,FALSE()),""))</f>
      </c>
    </row>
    <row r="11537">
      <c r="E11537">
        <f>IF(DATOS!$I11537="","",IFERROR(VLOOKUP(DATOS!$I11537,CONFIG_ASIGNATURAS!$B$2:$J$61,9,FALSE()),""))</f>
      </c>
    </row>
    <row r="11538">
      <c r="E11538">
        <f>IF(DATOS!$I11538="","",IFERROR(VLOOKUP(DATOS!$I11538,CONFIG_ASIGNATURAS!$B$2:$J$61,9,FALSE()),""))</f>
      </c>
    </row>
    <row r="11539">
      <c r="E11539">
        <f>IF(DATOS!$I11539="","",IFERROR(VLOOKUP(DATOS!$I11539,CONFIG_ASIGNATURAS!$B$2:$J$61,9,FALSE()),""))</f>
      </c>
    </row>
    <row r="11540">
      <c r="E11540">
        <f>IF(DATOS!$I11540="","",IFERROR(VLOOKUP(DATOS!$I11540,CONFIG_ASIGNATURAS!$B$2:$J$61,9,FALSE()),""))</f>
      </c>
    </row>
    <row r="11541">
      <c r="E11541">
        <f>IF(DATOS!$I11541="","",IFERROR(VLOOKUP(DATOS!$I11541,CONFIG_ASIGNATURAS!$B$2:$J$61,9,FALSE()),""))</f>
      </c>
    </row>
    <row r="11542">
      <c r="E11542">
        <f>IF(DATOS!$I11542="","",IFERROR(VLOOKUP(DATOS!$I11542,CONFIG_ASIGNATURAS!$B$2:$J$61,9,FALSE()),""))</f>
      </c>
    </row>
    <row r="11543">
      <c r="E11543">
        <f>IF(DATOS!$I11543="","",IFERROR(VLOOKUP(DATOS!$I11543,CONFIG_ASIGNATURAS!$B$2:$J$61,9,FALSE()),""))</f>
      </c>
    </row>
    <row r="11544">
      <c r="E11544">
        <f>IF(DATOS!$I11544="","",IFERROR(VLOOKUP(DATOS!$I11544,CONFIG_ASIGNATURAS!$B$2:$J$61,9,FALSE()),""))</f>
      </c>
    </row>
    <row r="11545">
      <c r="E11545">
        <f>IF(DATOS!$I11545="","",IFERROR(VLOOKUP(DATOS!$I11545,CONFIG_ASIGNATURAS!$B$2:$J$61,9,FALSE()),""))</f>
      </c>
    </row>
    <row r="11546">
      <c r="E11546">
        <f>IF(DATOS!$I11546="","",IFERROR(VLOOKUP(DATOS!$I11546,CONFIG_ASIGNATURAS!$B$2:$J$61,9,FALSE()),""))</f>
      </c>
    </row>
    <row r="11547">
      <c r="E11547">
        <f>IF(DATOS!$I11547="","",IFERROR(VLOOKUP(DATOS!$I11547,CONFIG_ASIGNATURAS!$B$2:$J$61,9,FALSE()),""))</f>
      </c>
    </row>
    <row r="11548">
      <c r="E11548">
        <f>IF(DATOS!$I11548="","",IFERROR(VLOOKUP(DATOS!$I11548,CONFIG_ASIGNATURAS!$B$2:$J$61,9,FALSE()),""))</f>
      </c>
    </row>
    <row r="11549">
      <c r="E11549">
        <f>IF(DATOS!$I11549="","",IFERROR(VLOOKUP(DATOS!$I11549,CONFIG_ASIGNATURAS!$B$2:$J$61,9,FALSE()),""))</f>
      </c>
    </row>
    <row r="11550">
      <c r="E11550">
        <f>IF(DATOS!$I11550="","",IFERROR(VLOOKUP(DATOS!$I11550,CONFIG_ASIGNATURAS!$B$2:$J$61,9,FALSE()),""))</f>
      </c>
    </row>
    <row r="11551">
      <c r="E11551">
        <f>IF(DATOS!$I11551="","",IFERROR(VLOOKUP(DATOS!$I11551,CONFIG_ASIGNATURAS!$B$2:$J$61,9,FALSE()),""))</f>
      </c>
    </row>
    <row r="11552">
      <c r="E11552">
        <f>IF(DATOS!$I11552="","",IFERROR(VLOOKUP(DATOS!$I11552,CONFIG_ASIGNATURAS!$B$2:$J$61,9,FALSE()),""))</f>
      </c>
    </row>
    <row r="11553">
      <c r="E11553">
        <f>IF(DATOS!$I11553="","",IFERROR(VLOOKUP(DATOS!$I11553,CONFIG_ASIGNATURAS!$B$2:$J$61,9,FALSE()),""))</f>
      </c>
    </row>
    <row r="11554">
      <c r="E11554">
        <f>IF(DATOS!$I11554="","",IFERROR(VLOOKUP(DATOS!$I11554,CONFIG_ASIGNATURAS!$B$2:$J$61,9,FALSE()),""))</f>
      </c>
    </row>
    <row r="11555">
      <c r="E11555">
        <f>IF(DATOS!$I11555="","",IFERROR(VLOOKUP(DATOS!$I11555,CONFIG_ASIGNATURAS!$B$2:$J$61,9,FALSE()),""))</f>
      </c>
    </row>
    <row r="11556">
      <c r="E11556">
        <f>IF(DATOS!$I11556="","",IFERROR(VLOOKUP(DATOS!$I11556,CONFIG_ASIGNATURAS!$B$2:$J$61,9,FALSE()),""))</f>
      </c>
    </row>
    <row r="11557">
      <c r="E11557">
        <f>IF(DATOS!$I11557="","",IFERROR(VLOOKUP(DATOS!$I11557,CONFIG_ASIGNATURAS!$B$2:$J$61,9,FALSE()),""))</f>
      </c>
    </row>
    <row r="11558">
      <c r="E11558">
        <f>IF(DATOS!$I11558="","",IFERROR(VLOOKUP(DATOS!$I11558,CONFIG_ASIGNATURAS!$B$2:$J$61,9,FALSE()),""))</f>
      </c>
    </row>
    <row r="11559">
      <c r="E11559">
        <f>IF(DATOS!$I11559="","",IFERROR(VLOOKUP(DATOS!$I11559,CONFIG_ASIGNATURAS!$B$2:$J$61,9,FALSE()),""))</f>
      </c>
    </row>
    <row r="11560">
      <c r="E11560">
        <f>IF(DATOS!$I11560="","",IFERROR(VLOOKUP(DATOS!$I11560,CONFIG_ASIGNATURAS!$B$2:$J$61,9,FALSE()),""))</f>
      </c>
    </row>
    <row r="11561">
      <c r="E11561">
        <f>IF(DATOS!$I11561="","",IFERROR(VLOOKUP(DATOS!$I11561,CONFIG_ASIGNATURAS!$B$2:$J$61,9,FALSE()),""))</f>
      </c>
    </row>
    <row r="11562">
      <c r="E11562">
        <f>IF(DATOS!$I11562="","",IFERROR(VLOOKUP(DATOS!$I11562,CONFIG_ASIGNATURAS!$B$2:$J$61,9,FALSE()),""))</f>
      </c>
    </row>
    <row r="11563">
      <c r="E11563">
        <f>IF(DATOS!$I11563="","",IFERROR(VLOOKUP(DATOS!$I11563,CONFIG_ASIGNATURAS!$B$2:$J$61,9,FALSE()),""))</f>
      </c>
    </row>
    <row r="11564">
      <c r="E11564">
        <f>IF(DATOS!$I11564="","",IFERROR(VLOOKUP(DATOS!$I11564,CONFIG_ASIGNATURAS!$B$2:$J$61,9,FALSE()),""))</f>
      </c>
    </row>
    <row r="11565">
      <c r="E11565">
        <f>IF(DATOS!$I11565="","",IFERROR(VLOOKUP(DATOS!$I11565,CONFIG_ASIGNATURAS!$B$2:$J$61,9,FALSE()),""))</f>
      </c>
    </row>
    <row r="11566">
      <c r="E11566">
        <f>IF(DATOS!$I11566="","",IFERROR(VLOOKUP(DATOS!$I11566,CONFIG_ASIGNATURAS!$B$2:$J$61,9,FALSE()),""))</f>
      </c>
    </row>
    <row r="11567">
      <c r="E11567">
        <f>IF(DATOS!$I11567="","",IFERROR(VLOOKUP(DATOS!$I11567,CONFIG_ASIGNATURAS!$B$2:$J$61,9,FALSE()),""))</f>
      </c>
    </row>
    <row r="11568">
      <c r="E11568">
        <f>IF(DATOS!$I11568="","",IFERROR(VLOOKUP(DATOS!$I11568,CONFIG_ASIGNATURAS!$B$2:$J$61,9,FALSE()),""))</f>
      </c>
    </row>
    <row r="11569">
      <c r="E11569">
        <f>IF(DATOS!$I11569="","",IFERROR(VLOOKUP(DATOS!$I11569,CONFIG_ASIGNATURAS!$B$2:$J$61,9,FALSE()),""))</f>
      </c>
    </row>
    <row r="11570">
      <c r="E11570">
        <f>IF(DATOS!$I11570="","",IFERROR(VLOOKUP(DATOS!$I11570,CONFIG_ASIGNATURAS!$B$2:$J$61,9,FALSE()),""))</f>
      </c>
    </row>
    <row r="11571">
      <c r="E11571">
        <f>IF(DATOS!$I11571="","",IFERROR(VLOOKUP(DATOS!$I11571,CONFIG_ASIGNATURAS!$B$2:$J$61,9,FALSE()),""))</f>
      </c>
    </row>
    <row r="11572">
      <c r="E11572">
        <f>IF(DATOS!$I11572="","",IFERROR(VLOOKUP(DATOS!$I11572,CONFIG_ASIGNATURAS!$B$2:$J$61,9,FALSE()),""))</f>
      </c>
    </row>
    <row r="11573">
      <c r="E11573">
        <f>IF(DATOS!$I11573="","",IFERROR(VLOOKUP(DATOS!$I11573,CONFIG_ASIGNATURAS!$B$2:$J$61,9,FALSE()),""))</f>
      </c>
    </row>
    <row r="11574">
      <c r="E11574">
        <f>IF(DATOS!$I11574="","",IFERROR(VLOOKUP(DATOS!$I11574,CONFIG_ASIGNATURAS!$B$2:$J$61,9,FALSE()),""))</f>
      </c>
    </row>
    <row r="11575">
      <c r="E11575">
        <f>IF(DATOS!$I11575="","",IFERROR(VLOOKUP(DATOS!$I11575,CONFIG_ASIGNATURAS!$B$2:$J$61,9,FALSE()),""))</f>
      </c>
    </row>
    <row r="11576">
      <c r="E11576">
        <f>IF(DATOS!$I11576="","",IFERROR(VLOOKUP(DATOS!$I11576,CONFIG_ASIGNATURAS!$B$2:$J$61,9,FALSE()),""))</f>
      </c>
    </row>
    <row r="11577">
      <c r="E11577">
        <f>IF(DATOS!$I11577="","",IFERROR(VLOOKUP(DATOS!$I11577,CONFIG_ASIGNATURAS!$B$2:$J$61,9,FALSE()),""))</f>
      </c>
    </row>
    <row r="11578">
      <c r="E11578">
        <f>IF(DATOS!$I11578="","",IFERROR(VLOOKUP(DATOS!$I11578,CONFIG_ASIGNATURAS!$B$2:$J$61,9,FALSE()),""))</f>
      </c>
    </row>
    <row r="11579">
      <c r="E11579">
        <f>IF(DATOS!$I11579="","",IFERROR(VLOOKUP(DATOS!$I11579,CONFIG_ASIGNATURAS!$B$2:$J$61,9,FALSE()),""))</f>
      </c>
    </row>
    <row r="11580">
      <c r="E11580">
        <f>IF(DATOS!$I11580="","",IFERROR(VLOOKUP(DATOS!$I11580,CONFIG_ASIGNATURAS!$B$2:$J$61,9,FALSE()),""))</f>
      </c>
    </row>
    <row r="11581">
      <c r="E11581">
        <f>IF(DATOS!$I11581="","",IFERROR(VLOOKUP(DATOS!$I11581,CONFIG_ASIGNATURAS!$B$2:$J$61,9,FALSE()),""))</f>
      </c>
    </row>
    <row r="11582">
      <c r="E11582">
        <f>IF(DATOS!$I11582="","",IFERROR(VLOOKUP(DATOS!$I11582,CONFIG_ASIGNATURAS!$B$2:$J$61,9,FALSE()),""))</f>
      </c>
    </row>
    <row r="11583">
      <c r="E11583">
        <f>IF(DATOS!$I11583="","",IFERROR(VLOOKUP(DATOS!$I11583,CONFIG_ASIGNATURAS!$B$2:$J$61,9,FALSE()),""))</f>
      </c>
    </row>
    <row r="11584">
      <c r="E11584">
        <f>IF(DATOS!$I11584="","",IFERROR(VLOOKUP(DATOS!$I11584,CONFIG_ASIGNATURAS!$B$2:$J$61,9,FALSE()),""))</f>
      </c>
    </row>
    <row r="11585">
      <c r="E11585">
        <f>IF(DATOS!$I11585="","",IFERROR(VLOOKUP(DATOS!$I11585,CONFIG_ASIGNATURAS!$B$2:$J$61,9,FALSE()),""))</f>
      </c>
    </row>
    <row r="11586">
      <c r="E11586">
        <f>IF(DATOS!$I11586="","",IFERROR(VLOOKUP(DATOS!$I11586,CONFIG_ASIGNATURAS!$B$2:$J$61,9,FALSE()),""))</f>
      </c>
    </row>
    <row r="11587">
      <c r="E11587">
        <f>IF(DATOS!$I11587="","",IFERROR(VLOOKUP(DATOS!$I11587,CONFIG_ASIGNATURAS!$B$2:$J$61,9,FALSE()),""))</f>
      </c>
    </row>
    <row r="11588">
      <c r="E11588">
        <f>IF(DATOS!$I11588="","",IFERROR(VLOOKUP(DATOS!$I11588,CONFIG_ASIGNATURAS!$B$2:$J$61,9,FALSE()),""))</f>
      </c>
    </row>
    <row r="11589">
      <c r="E11589">
        <f>IF(DATOS!$I11589="","",IFERROR(VLOOKUP(DATOS!$I11589,CONFIG_ASIGNATURAS!$B$2:$J$61,9,FALSE()),""))</f>
      </c>
    </row>
    <row r="11590">
      <c r="E11590">
        <f>IF(DATOS!$I11590="","",IFERROR(VLOOKUP(DATOS!$I11590,CONFIG_ASIGNATURAS!$B$2:$J$61,9,FALSE()),""))</f>
      </c>
    </row>
    <row r="11591">
      <c r="E11591">
        <f>IF(DATOS!$I11591="","",IFERROR(VLOOKUP(DATOS!$I11591,CONFIG_ASIGNATURAS!$B$2:$J$61,9,FALSE()),""))</f>
      </c>
    </row>
    <row r="11592">
      <c r="E11592">
        <f>IF(DATOS!$I11592="","",IFERROR(VLOOKUP(DATOS!$I11592,CONFIG_ASIGNATURAS!$B$2:$J$61,9,FALSE()),""))</f>
      </c>
    </row>
    <row r="11593">
      <c r="E11593">
        <f>IF(DATOS!$I11593="","",IFERROR(VLOOKUP(DATOS!$I11593,CONFIG_ASIGNATURAS!$B$2:$J$61,9,FALSE()),""))</f>
      </c>
    </row>
    <row r="11594">
      <c r="E11594">
        <f>IF(DATOS!$I11594="","",IFERROR(VLOOKUP(DATOS!$I11594,CONFIG_ASIGNATURAS!$B$2:$J$61,9,FALSE()),""))</f>
      </c>
    </row>
    <row r="11595">
      <c r="E11595">
        <f>IF(DATOS!$I11595="","",IFERROR(VLOOKUP(DATOS!$I11595,CONFIG_ASIGNATURAS!$B$2:$J$61,9,FALSE()),""))</f>
      </c>
    </row>
    <row r="11596">
      <c r="E11596">
        <f>IF(DATOS!$I11596="","",IFERROR(VLOOKUP(DATOS!$I11596,CONFIG_ASIGNATURAS!$B$2:$J$61,9,FALSE()),""))</f>
      </c>
    </row>
    <row r="11597">
      <c r="E11597">
        <f>IF(DATOS!$I11597="","",IFERROR(VLOOKUP(DATOS!$I11597,CONFIG_ASIGNATURAS!$B$2:$J$61,9,FALSE()),""))</f>
      </c>
    </row>
    <row r="11598">
      <c r="E11598">
        <f>IF(DATOS!$I11598="","",IFERROR(VLOOKUP(DATOS!$I11598,CONFIG_ASIGNATURAS!$B$2:$J$61,9,FALSE()),""))</f>
      </c>
    </row>
    <row r="11599">
      <c r="E11599">
        <f>IF(DATOS!$I11599="","",IFERROR(VLOOKUP(DATOS!$I11599,CONFIG_ASIGNATURAS!$B$2:$J$61,9,FALSE()),""))</f>
      </c>
    </row>
    <row r="11600">
      <c r="E11600">
        <f>IF(DATOS!$I11600="","",IFERROR(VLOOKUP(DATOS!$I11600,CONFIG_ASIGNATURAS!$B$2:$J$61,9,FALSE()),""))</f>
      </c>
    </row>
    <row r="11601">
      <c r="E11601">
        <f>IF(DATOS!$I11601="","",IFERROR(VLOOKUP(DATOS!$I11601,CONFIG_ASIGNATURAS!$B$2:$J$61,9,FALSE()),""))</f>
      </c>
    </row>
    <row r="11602">
      <c r="E11602">
        <f>IF(DATOS!$I11602="","",IFERROR(VLOOKUP(DATOS!$I11602,CONFIG_ASIGNATURAS!$B$2:$J$61,9,FALSE()),""))</f>
      </c>
    </row>
    <row r="11603">
      <c r="E11603">
        <f>IF(DATOS!$I11603="","",IFERROR(VLOOKUP(DATOS!$I11603,CONFIG_ASIGNATURAS!$B$2:$J$61,9,FALSE()),""))</f>
      </c>
    </row>
    <row r="11604">
      <c r="E11604">
        <f>IF(DATOS!$I11604="","",IFERROR(VLOOKUP(DATOS!$I11604,CONFIG_ASIGNATURAS!$B$2:$J$61,9,FALSE()),""))</f>
      </c>
    </row>
    <row r="11605">
      <c r="E11605">
        <f>IF(DATOS!$I11605="","",IFERROR(VLOOKUP(DATOS!$I11605,CONFIG_ASIGNATURAS!$B$2:$J$61,9,FALSE()),""))</f>
      </c>
    </row>
    <row r="11606">
      <c r="E11606">
        <f>IF(DATOS!$I11606="","",IFERROR(VLOOKUP(DATOS!$I11606,CONFIG_ASIGNATURAS!$B$2:$J$61,9,FALSE()),""))</f>
      </c>
    </row>
    <row r="11607">
      <c r="E11607">
        <f>IF(DATOS!$I11607="","",IFERROR(VLOOKUP(DATOS!$I11607,CONFIG_ASIGNATURAS!$B$2:$J$61,9,FALSE()),""))</f>
      </c>
    </row>
    <row r="11608">
      <c r="E11608">
        <f>IF(DATOS!$I11608="","",IFERROR(VLOOKUP(DATOS!$I11608,CONFIG_ASIGNATURAS!$B$2:$J$61,9,FALSE()),""))</f>
      </c>
    </row>
    <row r="11609">
      <c r="E11609">
        <f>IF(DATOS!$I11609="","",IFERROR(VLOOKUP(DATOS!$I11609,CONFIG_ASIGNATURAS!$B$2:$J$61,9,FALSE()),""))</f>
      </c>
    </row>
    <row r="11610">
      <c r="E11610">
        <f>IF(DATOS!$I11610="","",IFERROR(VLOOKUP(DATOS!$I11610,CONFIG_ASIGNATURAS!$B$2:$J$61,9,FALSE()),""))</f>
      </c>
    </row>
    <row r="11611">
      <c r="E11611">
        <f>IF(DATOS!$I11611="","",IFERROR(VLOOKUP(DATOS!$I11611,CONFIG_ASIGNATURAS!$B$2:$J$61,9,FALSE()),""))</f>
      </c>
    </row>
    <row r="11612">
      <c r="E11612">
        <f>IF(DATOS!$I11612="","",IFERROR(VLOOKUP(DATOS!$I11612,CONFIG_ASIGNATURAS!$B$2:$J$61,9,FALSE()),""))</f>
      </c>
    </row>
    <row r="11613">
      <c r="E11613">
        <f>IF(DATOS!$I11613="","",IFERROR(VLOOKUP(DATOS!$I11613,CONFIG_ASIGNATURAS!$B$2:$J$61,9,FALSE()),""))</f>
      </c>
    </row>
    <row r="11614">
      <c r="E11614">
        <f>IF(DATOS!$I11614="","",IFERROR(VLOOKUP(DATOS!$I11614,CONFIG_ASIGNATURAS!$B$2:$J$61,9,FALSE()),""))</f>
      </c>
    </row>
    <row r="11615">
      <c r="E11615">
        <f>IF(DATOS!$I11615="","",IFERROR(VLOOKUP(DATOS!$I11615,CONFIG_ASIGNATURAS!$B$2:$J$61,9,FALSE()),""))</f>
      </c>
    </row>
    <row r="11616">
      <c r="E11616">
        <f>IF(DATOS!$I11616="","",IFERROR(VLOOKUP(DATOS!$I11616,CONFIG_ASIGNATURAS!$B$2:$J$61,9,FALSE()),""))</f>
      </c>
    </row>
    <row r="11617">
      <c r="E11617">
        <f>IF(DATOS!$I11617="","",IFERROR(VLOOKUP(DATOS!$I11617,CONFIG_ASIGNATURAS!$B$2:$J$61,9,FALSE()),""))</f>
      </c>
    </row>
    <row r="11618">
      <c r="E11618">
        <f>IF(DATOS!$I11618="","",IFERROR(VLOOKUP(DATOS!$I11618,CONFIG_ASIGNATURAS!$B$2:$J$61,9,FALSE()),""))</f>
      </c>
    </row>
    <row r="11619">
      <c r="E11619">
        <f>IF(DATOS!$I11619="","",IFERROR(VLOOKUP(DATOS!$I11619,CONFIG_ASIGNATURAS!$B$2:$J$61,9,FALSE()),""))</f>
      </c>
    </row>
    <row r="11620">
      <c r="E11620">
        <f>IF(DATOS!$I11620="","",IFERROR(VLOOKUP(DATOS!$I11620,CONFIG_ASIGNATURAS!$B$2:$J$61,9,FALSE()),""))</f>
      </c>
    </row>
    <row r="11621">
      <c r="E11621">
        <f>IF(DATOS!$I11621="","",IFERROR(VLOOKUP(DATOS!$I11621,CONFIG_ASIGNATURAS!$B$2:$J$61,9,FALSE()),""))</f>
      </c>
    </row>
    <row r="11622">
      <c r="E11622">
        <f>IF(DATOS!$I11622="","",IFERROR(VLOOKUP(DATOS!$I11622,CONFIG_ASIGNATURAS!$B$2:$J$61,9,FALSE()),""))</f>
      </c>
    </row>
    <row r="11623">
      <c r="E11623">
        <f>IF(DATOS!$I11623="","",IFERROR(VLOOKUP(DATOS!$I11623,CONFIG_ASIGNATURAS!$B$2:$J$61,9,FALSE()),""))</f>
      </c>
    </row>
    <row r="11624">
      <c r="E11624">
        <f>IF(DATOS!$I11624="","",IFERROR(VLOOKUP(DATOS!$I11624,CONFIG_ASIGNATURAS!$B$2:$J$61,9,FALSE()),""))</f>
      </c>
    </row>
    <row r="11625">
      <c r="E11625">
        <f>IF(DATOS!$I11625="","",IFERROR(VLOOKUP(DATOS!$I11625,CONFIG_ASIGNATURAS!$B$2:$J$61,9,FALSE()),""))</f>
      </c>
    </row>
    <row r="11626">
      <c r="E11626">
        <f>IF(DATOS!$I11626="","",IFERROR(VLOOKUP(DATOS!$I11626,CONFIG_ASIGNATURAS!$B$2:$J$61,9,FALSE()),""))</f>
      </c>
    </row>
    <row r="11627">
      <c r="E11627">
        <f>IF(DATOS!$I11627="","",IFERROR(VLOOKUP(DATOS!$I11627,CONFIG_ASIGNATURAS!$B$2:$J$61,9,FALSE()),""))</f>
      </c>
    </row>
    <row r="11628">
      <c r="E11628">
        <f>IF(DATOS!$I11628="","",IFERROR(VLOOKUP(DATOS!$I11628,CONFIG_ASIGNATURAS!$B$2:$J$61,9,FALSE()),""))</f>
      </c>
    </row>
    <row r="11629">
      <c r="E11629">
        <f>IF(DATOS!$I11629="","",IFERROR(VLOOKUP(DATOS!$I11629,CONFIG_ASIGNATURAS!$B$2:$J$61,9,FALSE()),""))</f>
      </c>
    </row>
    <row r="11630">
      <c r="E11630">
        <f>IF(DATOS!$I11630="","",IFERROR(VLOOKUP(DATOS!$I11630,CONFIG_ASIGNATURAS!$B$2:$J$61,9,FALSE()),""))</f>
      </c>
    </row>
    <row r="11631">
      <c r="E11631">
        <f>IF(DATOS!$I11631="","",IFERROR(VLOOKUP(DATOS!$I11631,CONFIG_ASIGNATURAS!$B$2:$J$61,9,FALSE()),""))</f>
      </c>
    </row>
    <row r="11632">
      <c r="E11632">
        <f>IF(DATOS!$I11632="","",IFERROR(VLOOKUP(DATOS!$I11632,CONFIG_ASIGNATURAS!$B$2:$J$61,9,FALSE()),""))</f>
      </c>
    </row>
    <row r="11633">
      <c r="E11633">
        <f>IF(DATOS!$I11633="","",IFERROR(VLOOKUP(DATOS!$I11633,CONFIG_ASIGNATURAS!$B$2:$J$61,9,FALSE()),""))</f>
      </c>
    </row>
    <row r="11634">
      <c r="E11634">
        <f>IF(DATOS!$I11634="","",IFERROR(VLOOKUP(DATOS!$I11634,CONFIG_ASIGNATURAS!$B$2:$J$61,9,FALSE()),""))</f>
      </c>
    </row>
    <row r="11635">
      <c r="E11635">
        <f>IF(DATOS!$I11635="","",IFERROR(VLOOKUP(DATOS!$I11635,CONFIG_ASIGNATURAS!$B$2:$J$61,9,FALSE()),""))</f>
      </c>
    </row>
    <row r="11636">
      <c r="E11636">
        <f>IF(DATOS!$I11636="","",IFERROR(VLOOKUP(DATOS!$I11636,CONFIG_ASIGNATURAS!$B$2:$J$61,9,FALSE()),""))</f>
      </c>
    </row>
    <row r="11637">
      <c r="E11637">
        <f>IF(DATOS!$I11637="","",IFERROR(VLOOKUP(DATOS!$I11637,CONFIG_ASIGNATURAS!$B$2:$J$61,9,FALSE()),""))</f>
      </c>
    </row>
    <row r="11638">
      <c r="E11638">
        <f>IF(DATOS!$I11638="","",IFERROR(VLOOKUP(DATOS!$I11638,CONFIG_ASIGNATURAS!$B$2:$J$61,9,FALSE()),""))</f>
      </c>
    </row>
    <row r="11639">
      <c r="E11639">
        <f>IF(DATOS!$I11639="","",IFERROR(VLOOKUP(DATOS!$I11639,CONFIG_ASIGNATURAS!$B$2:$J$61,9,FALSE()),""))</f>
      </c>
    </row>
    <row r="11640">
      <c r="E11640">
        <f>IF(DATOS!$I11640="","",IFERROR(VLOOKUP(DATOS!$I11640,CONFIG_ASIGNATURAS!$B$2:$J$61,9,FALSE()),""))</f>
      </c>
    </row>
    <row r="11641">
      <c r="E11641">
        <f>IF(DATOS!$I11641="","",IFERROR(VLOOKUP(DATOS!$I11641,CONFIG_ASIGNATURAS!$B$2:$J$61,9,FALSE()),""))</f>
      </c>
    </row>
    <row r="11642">
      <c r="E11642">
        <f>IF(DATOS!$I11642="","",IFERROR(VLOOKUP(DATOS!$I11642,CONFIG_ASIGNATURAS!$B$2:$J$61,9,FALSE()),""))</f>
      </c>
    </row>
    <row r="11643">
      <c r="E11643">
        <f>IF(DATOS!$I11643="","",IFERROR(VLOOKUP(DATOS!$I11643,CONFIG_ASIGNATURAS!$B$2:$J$61,9,FALSE()),""))</f>
      </c>
    </row>
    <row r="11644">
      <c r="E11644">
        <f>IF(DATOS!$I11644="","",IFERROR(VLOOKUP(DATOS!$I11644,CONFIG_ASIGNATURAS!$B$2:$J$61,9,FALSE()),""))</f>
      </c>
    </row>
    <row r="11645">
      <c r="E11645">
        <f>IF(DATOS!$I11645="","",IFERROR(VLOOKUP(DATOS!$I11645,CONFIG_ASIGNATURAS!$B$2:$J$61,9,FALSE()),""))</f>
      </c>
    </row>
    <row r="11646">
      <c r="E11646">
        <f>IF(DATOS!$I11646="","",IFERROR(VLOOKUP(DATOS!$I11646,CONFIG_ASIGNATURAS!$B$2:$J$61,9,FALSE()),""))</f>
      </c>
    </row>
    <row r="11647">
      <c r="E11647">
        <f>IF(DATOS!$I11647="","",IFERROR(VLOOKUP(DATOS!$I11647,CONFIG_ASIGNATURAS!$B$2:$J$61,9,FALSE()),""))</f>
      </c>
    </row>
    <row r="11648">
      <c r="E11648">
        <f>IF(DATOS!$I11648="","",IFERROR(VLOOKUP(DATOS!$I11648,CONFIG_ASIGNATURAS!$B$2:$J$61,9,FALSE()),""))</f>
      </c>
    </row>
    <row r="11649">
      <c r="E11649">
        <f>IF(DATOS!$I11649="","",IFERROR(VLOOKUP(DATOS!$I11649,CONFIG_ASIGNATURAS!$B$2:$J$61,9,FALSE()),""))</f>
      </c>
    </row>
    <row r="11650">
      <c r="E11650">
        <f>IF(DATOS!$I11650="","",IFERROR(VLOOKUP(DATOS!$I11650,CONFIG_ASIGNATURAS!$B$2:$J$61,9,FALSE()),""))</f>
      </c>
    </row>
    <row r="11651">
      <c r="E11651">
        <f>IF(DATOS!$I11651="","",IFERROR(VLOOKUP(DATOS!$I11651,CONFIG_ASIGNATURAS!$B$2:$J$61,9,FALSE()),""))</f>
      </c>
    </row>
    <row r="11652">
      <c r="E11652">
        <f>IF(DATOS!$I11652="","",IFERROR(VLOOKUP(DATOS!$I11652,CONFIG_ASIGNATURAS!$B$2:$J$61,9,FALSE()),""))</f>
      </c>
    </row>
    <row r="11653">
      <c r="E11653">
        <f>IF(DATOS!$I11653="","",IFERROR(VLOOKUP(DATOS!$I11653,CONFIG_ASIGNATURAS!$B$2:$J$61,9,FALSE()),""))</f>
      </c>
    </row>
    <row r="11654">
      <c r="E11654">
        <f>IF(DATOS!$I11654="","",IFERROR(VLOOKUP(DATOS!$I11654,CONFIG_ASIGNATURAS!$B$2:$J$61,9,FALSE()),""))</f>
      </c>
    </row>
    <row r="11655">
      <c r="E11655">
        <f>IF(DATOS!$I11655="","",IFERROR(VLOOKUP(DATOS!$I11655,CONFIG_ASIGNATURAS!$B$2:$J$61,9,FALSE()),""))</f>
      </c>
    </row>
    <row r="11656">
      <c r="E11656">
        <f>IF(DATOS!$I11656="","",IFERROR(VLOOKUP(DATOS!$I11656,CONFIG_ASIGNATURAS!$B$2:$J$61,9,FALSE()),""))</f>
      </c>
    </row>
    <row r="11657">
      <c r="E11657">
        <f>IF(DATOS!$I11657="","",IFERROR(VLOOKUP(DATOS!$I11657,CONFIG_ASIGNATURAS!$B$2:$J$61,9,FALSE()),""))</f>
      </c>
    </row>
    <row r="11658">
      <c r="E11658">
        <f>IF(DATOS!$I11658="","",IFERROR(VLOOKUP(DATOS!$I11658,CONFIG_ASIGNATURAS!$B$2:$J$61,9,FALSE()),""))</f>
      </c>
    </row>
    <row r="11659">
      <c r="E11659">
        <f>IF(DATOS!$I11659="","",IFERROR(VLOOKUP(DATOS!$I11659,CONFIG_ASIGNATURAS!$B$2:$J$61,9,FALSE()),""))</f>
      </c>
    </row>
    <row r="11660">
      <c r="E11660">
        <f>IF(DATOS!$I11660="","",IFERROR(VLOOKUP(DATOS!$I11660,CONFIG_ASIGNATURAS!$B$2:$J$61,9,FALSE()),""))</f>
      </c>
    </row>
    <row r="11661">
      <c r="E11661">
        <f>IF(DATOS!$I11661="","",IFERROR(VLOOKUP(DATOS!$I11661,CONFIG_ASIGNATURAS!$B$2:$J$61,9,FALSE()),""))</f>
      </c>
    </row>
    <row r="11662">
      <c r="E11662">
        <f>IF(DATOS!$I11662="","",IFERROR(VLOOKUP(DATOS!$I11662,CONFIG_ASIGNATURAS!$B$2:$J$61,9,FALSE()),""))</f>
      </c>
    </row>
    <row r="11663">
      <c r="E11663">
        <f>IF(DATOS!$I11663="","",IFERROR(VLOOKUP(DATOS!$I11663,CONFIG_ASIGNATURAS!$B$2:$J$61,9,FALSE()),""))</f>
      </c>
    </row>
    <row r="11664">
      <c r="E11664">
        <f>IF(DATOS!$I11664="","",IFERROR(VLOOKUP(DATOS!$I11664,CONFIG_ASIGNATURAS!$B$2:$J$61,9,FALSE()),""))</f>
      </c>
    </row>
    <row r="11665">
      <c r="E11665">
        <f>IF(DATOS!$I11665="","",IFERROR(VLOOKUP(DATOS!$I11665,CONFIG_ASIGNATURAS!$B$2:$J$61,9,FALSE()),""))</f>
      </c>
    </row>
    <row r="11666">
      <c r="E11666">
        <f>IF(DATOS!$I11666="","",IFERROR(VLOOKUP(DATOS!$I11666,CONFIG_ASIGNATURAS!$B$2:$J$61,9,FALSE()),""))</f>
      </c>
    </row>
    <row r="11667">
      <c r="E11667">
        <f>IF(DATOS!$I11667="","",IFERROR(VLOOKUP(DATOS!$I11667,CONFIG_ASIGNATURAS!$B$2:$J$61,9,FALSE()),""))</f>
      </c>
    </row>
    <row r="11668">
      <c r="E11668">
        <f>IF(DATOS!$I11668="","",IFERROR(VLOOKUP(DATOS!$I11668,CONFIG_ASIGNATURAS!$B$2:$J$61,9,FALSE()),""))</f>
      </c>
    </row>
    <row r="11669">
      <c r="E11669">
        <f>IF(DATOS!$I11669="","",IFERROR(VLOOKUP(DATOS!$I11669,CONFIG_ASIGNATURAS!$B$2:$J$61,9,FALSE()),""))</f>
      </c>
    </row>
    <row r="11670">
      <c r="E11670">
        <f>IF(DATOS!$I11670="","",IFERROR(VLOOKUP(DATOS!$I11670,CONFIG_ASIGNATURAS!$B$2:$J$61,9,FALSE()),""))</f>
      </c>
    </row>
    <row r="11671">
      <c r="E11671">
        <f>IF(DATOS!$I11671="","",IFERROR(VLOOKUP(DATOS!$I11671,CONFIG_ASIGNATURAS!$B$2:$J$61,9,FALSE()),""))</f>
      </c>
    </row>
    <row r="11672">
      <c r="E11672">
        <f>IF(DATOS!$I11672="","",IFERROR(VLOOKUP(DATOS!$I11672,CONFIG_ASIGNATURAS!$B$2:$J$61,9,FALSE()),""))</f>
      </c>
    </row>
    <row r="11673">
      <c r="E11673">
        <f>IF(DATOS!$I11673="","",IFERROR(VLOOKUP(DATOS!$I11673,CONFIG_ASIGNATURAS!$B$2:$J$61,9,FALSE()),""))</f>
      </c>
    </row>
    <row r="11674">
      <c r="E11674">
        <f>IF(DATOS!$I11674="","",IFERROR(VLOOKUP(DATOS!$I11674,CONFIG_ASIGNATURAS!$B$2:$J$61,9,FALSE()),""))</f>
      </c>
    </row>
    <row r="11675">
      <c r="E11675">
        <f>IF(DATOS!$I11675="","",IFERROR(VLOOKUP(DATOS!$I11675,CONFIG_ASIGNATURAS!$B$2:$J$61,9,FALSE()),""))</f>
      </c>
    </row>
    <row r="11676">
      <c r="E11676">
        <f>IF(DATOS!$I11676="","",IFERROR(VLOOKUP(DATOS!$I11676,CONFIG_ASIGNATURAS!$B$2:$J$61,9,FALSE()),""))</f>
      </c>
    </row>
    <row r="11677">
      <c r="E11677">
        <f>IF(DATOS!$I11677="","",IFERROR(VLOOKUP(DATOS!$I11677,CONFIG_ASIGNATURAS!$B$2:$J$61,9,FALSE()),""))</f>
      </c>
    </row>
    <row r="11678">
      <c r="E11678">
        <f>IF(DATOS!$I11678="","",IFERROR(VLOOKUP(DATOS!$I11678,CONFIG_ASIGNATURAS!$B$2:$J$61,9,FALSE()),""))</f>
      </c>
    </row>
    <row r="11679">
      <c r="E11679">
        <f>IF(DATOS!$I11679="","",IFERROR(VLOOKUP(DATOS!$I11679,CONFIG_ASIGNATURAS!$B$2:$J$61,9,FALSE()),""))</f>
      </c>
    </row>
    <row r="11680">
      <c r="E11680">
        <f>IF(DATOS!$I11680="","",IFERROR(VLOOKUP(DATOS!$I11680,CONFIG_ASIGNATURAS!$B$2:$J$61,9,FALSE()),""))</f>
      </c>
    </row>
    <row r="11681">
      <c r="E11681">
        <f>IF(DATOS!$I11681="","",IFERROR(VLOOKUP(DATOS!$I11681,CONFIG_ASIGNATURAS!$B$2:$J$61,9,FALSE()),""))</f>
      </c>
    </row>
    <row r="11682">
      <c r="E11682">
        <f>IF(DATOS!$I11682="","",IFERROR(VLOOKUP(DATOS!$I11682,CONFIG_ASIGNATURAS!$B$2:$J$61,9,FALSE()),""))</f>
      </c>
    </row>
    <row r="11683">
      <c r="E11683">
        <f>IF(DATOS!$I11683="","",IFERROR(VLOOKUP(DATOS!$I11683,CONFIG_ASIGNATURAS!$B$2:$J$61,9,FALSE()),""))</f>
      </c>
    </row>
    <row r="11684">
      <c r="E11684">
        <f>IF(DATOS!$I11684="","",IFERROR(VLOOKUP(DATOS!$I11684,CONFIG_ASIGNATURAS!$B$2:$J$61,9,FALSE()),""))</f>
      </c>
    </row>
    <row r="11685">
      <c r="E11685">
        <f>IF(DATOS!$I11685="","",IFERROR(VLOOKUP(DATOS!$I11685,CONFIG_ASIGNATURAS!$B$2:$J$61,9,FALSE()),""))</f>
      </c>
    </row>
    <row r="11686">
      <c r="E11686">
        <f>IF(DATOS!$I11686="","",IFERROR(VLOOKUP(DATOS!$I11686,CONFIG_ASIGNATURAS!$B$2:$J$61,9,FALSE()),""))</f>
      </c>
    </row>
    <row r="11687">
      <c r="E11687">
        <f>IF(DATOS!$I11687="","",IFERROR(VLOOKUP(DATOS!$I11687,CONFIG_ASIGNATURAS!$B$2:$J$61,9,FALSE()),""))</f>
      </c>
    </row>
    <row r="11688">
      <c r="E11688">
        <f>IF(DATOS!$I11688="","",IFERROR(VLOOKUP(DATOS!$I11688,CONFIG_ASIGNATURAS!$B$2:$J$61,9,FALSE()),""))</f>
      </c>
    </row>
    <row r="11689">
      <c r="E11689">
        <f>IF(DATOS!$I11689="","",IFERROR(VLOOKUP(DATOS!$I11689,CONFIG_ASIGNATURAS!$B$2:$J$61,9,FALSE()),""))</f>
      </c>
    </row>
    <row r="11690">
      <c r="E11690">
        <f>IF(DATOS!$I11690="","",IFERROR(VLOOKUP(DATOS!$I11690,CONFIG_ASIGNATURAS!$B$2:$J$61,9,FALSE()),""))</f>
      </c>
    </row>
    <row r="11691">
      <c r="E11691">
        <f>IF(DATOS!$I11691="","",IFERROR(VLOOKUP(DATOS!$I11691,CONFIG_ASIGNATURAS!$B$2:$J$61,9,FALSE()),""))</f>
      </c>
    </row>
    <row r="11692">
      <c r="E11692">
        <f>IF(DATOS!$I11692="","",IFERROR(VLOOKUP(DATOS!$I11692,CONFIG_ASIGNATURAS!$B$2:$J$61,9,FALSE()),""))</f>
      </c>
    </row>
    <row r="11693">
      <c r="E11693">
        <f>IF(DATOS!$I11693="","",IFERROR(VLOOKUP(DATOS!$I11693,CONFIG_ASIGNATURAS!$B$2:$J$61,9,FALSE()),""))</f>
      </c>
    </row>
    <row r="11694">
      <c r="E11694">
        <f>IF(DATOS!$I11694="","",IFERROR(VLOOKUP(DATOS!$I11694,CONFIG_ASIGNATURAS!$B$2:$J$61,9,FALSE()),""))</f>
      </c>
    </row>
    <row r="11695">
      <c r="E11695">
        <f>IF(DATOS!$I11695="","",IFERROR(VLOOKUP(DATOS!$I11695,CONFIG_ASIGNATURAS!$B$2:$J$61,9,FALSE()),""))</f>
      </c>
    </row>
    <row r="11696">
      <c r="E11696">
        <f>IF(DATOS!$I11696="","",IFERROR(VLOOKUP(DATOS!$I11696,CONFIG_ASIGNATURAS!$B$2:$J$61,9,FALSE()),""))</f>
      </c>
    </row>
    <row r="11697">
      <c r="E11697">
        <f>IF(DATOS!$I11697="","",IFERROR(VLOOKUP(DATOS!$I11697,CONFIG_ASIGNATURAS!$B$2:$J$61,9,FALSE()),""))</f>
      </c>
    </row>
    <row r="11698">
      <c r="E11698">
        <f>IF(DATOS!$I11698="","",IFERROR(VLOOKUP(DATOS!$I11698,CONFIG_ASIGNATURAS!$B$2:$J$61,9,FALSE()),""))</f>
      </c>
    </row>
    <row r="11699">
      <c r="E11699">
        <f>IF(DATOS!$I11699="","",IFERROR(VLOOKUP(DATOS!$I11699,CONFIG_ASIGNATURAS!$B$2:$J$61,9,FALSE()),""))</f>
      </c>
    </row>
    <row r="11700">
      <c r="E11700">
        <f>IF(DATOS!$I11700="","",IFERROR(VLOOKUP(DATOS!$I11700,CONFIG_ASIGNATURAS!$B$2:$J$61,9,FALSE()),""))</f>
      </c>
    </row>
    <row r="11701">
      <c r="E11701">
        <f>IF(DATOS!$I11701="","",IFERROR(VLOOKUP(DATOS!$I11701,CONFIG_ASIGNATURAS!$B$2:$J$61,9,FALSE()),""))</f>
      </c>
    </row>
    <row r="11702">
      <c r="E11702">
        <f>IF(DATOS!$I11702="","",IFERROR(VLOOKUP(DATOS!$I11702,CONFIG_ASIGNATURAS!$B$2:$J$61,9,FALSE()),""))</f>
      </c>
    </row>
    <row r="11703">
      <c r="E11703">
        <f>IF(DATOS!$I11703="","",IFERROR(VLOOKUP(DATOS!$I11703,CONFIG_ASIGNATURAS!$B$2:$J$61,9,FALSE()),""))</f>
      </c>
    </row>
    <row r="11704">
      <c r="E11704">
        <f>IF(DATOS!$I11704="","",IFERROR(VLOOKUP(DATOS!$I11704,CONFIG_ASIGNATURAS!$B$2:$J$61,9,FALSE()),""))</f>
      </c>
    </row>
    <row r="11705">
      <c r="E11705">
        <f>IF(DATOS!$I11705="","",IFERROR(VLOOKUP(DATOS!$I11705,CONFIG_ASIGNATURAS!$B$2:$J$61,9,FALSE()),""))</f>
      </c>
    </row>
    <row r="11706">
      <c r="E11706">
        <f>IF(DATOS!$I11706="","",IFERROR(VLOOKUP(DATOS!$I11706,CONFIG_ASIGNATURAS!$B$2:$J$61,9,FALSE()),""))</f>
      </c>
    </row>
    <row r="11707">
      <c r="E11707">
        <f>IF(DATOS!$I11707="","",IFERROR(VLOOKUP(DATOS!$I11707,CONFIG_ASIGNATURAS!$B$2:$J$61,9,FALSE()),""))</f>
      </c>
    </row>
    <row r="11708">
      <c r="E11708">
        <f>IF(DATOS!$I11708="","",IFERROR(VLOOKUP(DATOS!$I11708,CONFIG_ASIGNATURAS!$B$2:$J$61,9,FALSE()),""))</f>
      </c>
    </row>
    <row r="11709">
      <c r="E11709">
        <f>IF(DATOS!$I11709="","",IFERROR(VLOOKUP(DATOS!$I11709,CONFIG_ASIGNATURAS!$B$2:$J$61,9,FALSE()),""))</f>
      </c>
    </row>
    <row r="11710">
      <c r="E11710">
        <f>IF(DATOS!$I11710="","",IFERROR(VLOOKUP(DATOS!$I11710,CONFIG_ASIGNATURAS!$B$2:$J$61,9,FALSE()),""))</f>
      </c>
    </row>
    <row r="11711">
      <c r="E11711">
        <f>IF(DATOS!$I11711="","",IFERROR(VLOOKUP(DATOS!$I11711,CONFIG_ASIGNATURAS!$B$2:$J$61,9,FALSE()),""))</f>
      </c>
    </row>
    <row r="11712">
      <c r="E11712">
        <f>IF(DATOS!$I11712="","",IFERROR(VLOOKUP(DATOS!$I11712,CONFIG_ASIGNATURAS!$B$2:$J$61,9,FALSE()),""))</f>
      </c>
    </row>
    <row r="11713">
      <c r="E11713">
        <f>IF(DATOS!$I11713="","",IFERROR(VLOOKUP(DATOS!$I11713,CONFIG_ASIGNATURAS!$B$2:$J$61,9,FALSE()),""))</f>
      </c>
    </row>
    <row r="11714">
      <c r="E11714">
        <f>IF(DATOS!$I11714="","",IFERROR(VLOOKUP(DATOS!$I11714,CONFIG_ASIGNATURAS!$B$2:$J$61,9,FALSE()),""))</f>
      </c>
    </row>
    <row r="11715">
      <c r="E11715">
        <f>IF(DATOS!$I11715="","",IFERROR(VLOOKUP(DATOS!$I11715,CONFIG_ASIGNATURAS!$B$2:$J$61,9,FALSE()),""))</f>
      </c>
    </row>
    <row r="11716">
      <c r="E11716">
        <f>IF(DATOS!$I11716="","",IFERROR(VLOOKUP(DATOS!$I11716,CONFIG_ASIGNATURAS!$B$2:$J$61,9,FALSE()),""))</f>
      </c>
    </row>
    <row r="11717">
      <c r="E11717">
        <f>IF(DATOS!$I11717="","",IFERROR(VLOOKUP(DATOS!$I11717,CONFIG_ASIGNATURAS!$B$2:$J$61,9,FALSE()),""))</f>
      </c>
    </row>
    <row r="11718">
      <c r="E11718">
        <f>IF(DATOS!$I11718="","",IFERROR(VLOOKUP(DATOS!$I11718,CONFIG_ASIGNATURAS!$B$2:$J$61,9,FALSE()),""))</f>
      </c>
    </row>
    <row r="11719">
      <c r="E11719">
        <f>IF(DATOS!$I11719="","",IFERROR(VLOOKUP(DATOS!$I11719,CONFIG_ASIGNATURAS!$B$2:$J$61,9,FALSE()),""))</f>
      </c>
    </row>
    <row r="11720">
      <c r="E11720">
        <f>IF(DATOS!$I11720="","",IFERROR(VLOOKUP(DATOS!$I11720,CONFIG_ASIGNATURAS!$B$2:$J$61,9,FALSE()),""))</f>
      </c>
    </row>
    <row r="11721">
      <c r="E11721">
        <f>IF(DATOS!$I11721="","",IFERROR(VLOOKUP(DATOS!$I11721,CONFIG_ASIGNATURAS!$B$2:$J$61,9,FALSE()),""))</f>
      </c>
    </row>
    <row r="11722">
      <c r="E11722">
        <f>IF(DATOS!$I11722="","",IFERROR(VLOOKUP(DATOS!$I11722,CONFIG_ASIGNATURAS!$B$2:$J$61,9,FALSE()),""))</f>
      </c>
    </row>
    <row r="11723">
      <c r="E11723">
        <f>IF(DATOS!$I11723="","",IFERROR(VLOOKUP(DATOS!$I11723,CONFIG_ASIGNATURAS!$B$2:$J$61,9,FALSE()),""))</f>
      </c>
    </row>
    <row r="11724">
      <c r="E11724">
        <f>IF(DATOS!$I11724="","",IFERROR(VLOOKUP(DATOS!$I11724,CONFIG_ASIGNATURAS!$B$2:$J$61,9,FALSE()),""))</f>
      </c>
    </row>
    <row r="11725">
      <c r="E11725">
        <f>IF(DATOS!$I11725="","",IFERROR(VLOOKUP(DATOS!$I11725,CONFIG_ASIGNATURAS!$B$2:$J$61,9,FALSE()),""))</f>
      </c>
    </row>
    <row r="11726">
      <c r="E11726">
        <f>IF(DATOS!$I11726="","",IFERROR(VLOOKUP(DATOS!$I11726,CONFIG_ASIGNATURAS!$B$2:$J$61,9,FALSE()),""))</f>
      </c>
    </row>
    <row r="11727">
      <c r="E11727">
        <f>IF(DATOS!$I11727="","",IFERROR(VLOOKUP(DATOS!$I11727,CONFIG_ASIGNATURAS!$B$2:$J$61,9,FALSE()),""))</f>
      </c>
    </row>
    <row r="11728">
      <c r="E11728">
        <f>IF(DATOS!$I11728="","",IFERROR(VLOOKUP(DATOS!$I11728,CONFIG_ASIGNATURAS!$B$2:$J$61,9,FALSE()),""))</f>
      </c>
    </row>
    <row r="11729">
      <c r="E11729">
        <f>IF(DATOS!$I11729="","",IFERROR(VLOOKUP(DATOS!$I11729,CONFIG_ASIGNATURAS!$B$2:$J$61,9,FALSE()),""))</f>
      </c>
    </row>
    <row r="11730">
      <c r="E11730">
        <f>IF(DATOS!$I11730="","",IFERROR(VLOOKUP(DATOS!$I11730,CONFIG_ASIGNATURAS!$B$2:$J$61,9,FALSE()),""))</f>
      </c>
    </row>
    <row r="11731">
      <c r="E11731">
        <f>IF(DATOS!$I11731="","",IFERROR(VLOOKUP(DATOS!$I11731,CONFIG_ASIGNATURAS!$B$2:$J$61,9,FALSE()),""))</f>
      </c>
    </row>
    <row r="11732">
      <c r="E11732">
        <f>IF(DATOS!$I11732="","",IFERROR(VLOOKUP(DATOS!$I11732,CONFIG_ASIGNATURAS!$B$2:$J$61,9,FALSE()),""))</f>
      </c>
    </row>
    <row r="11733">
      <c r="E11733">
        <f>IF(DATOS!$I11733="","",IFERROR(VLOOKUP(DATOS!$I11733,CONFIG_ASIGNATURAS!$B$2:$J$61,9,FALSE()),""))</f>
      </c>
    </row>
    <row r="11734">
      <c r="E11734">
        <f>IF(DATOS!$I11734="","",IFERROR(VLOOKUP(DATOS!$I11734,CONFIG_ASIGNATURAS!$B$2:$J$61,9,FALSE()),""))</f>
      </c>
    </row>
    <row r="11735">
      <c r="E11735">
        <f>IF(DATOS!$I11735="","",IFERROR(VLOOKUP(DATOS!$I11735,CONFIG_ASIGNATURAS!$B$2:$J$61,9,FALSE()),""))</f>
      </c>
    </row>
    <row r="11736">
      <c r="E11736">
        <f>IF(DATOS!$I11736="","",IFERROR(VLOOKUP(DATOS!$I11736,CONFIG_ASIGNATURAS!$B$2:$J$61,9,FALSE()),""))</f>
      </c>
    </row>
    <row r="11737">
      <c r="E11737">
        <f>IF(DATOS!$I11737="","",IFERROR(VLOOKUP(DATOS!$I11737,CONFIG_ASIGNATURAS!$B$2:$J$61,9,FALSE()),""))</f>
      </c>
    </row>
    <row r="11738">
      <c r="E11738">
        <f>IF(DATOS!$I11738="","",IFERROR(VLOOKUP(DATOS!$I11738,CONFIG_ASIGNATURAS!$B$2:$J$61,9,FALSE()),""))</f>
      </c>
    </row>
    <row r="11739">
      <c r="E11739">
        <f>IF(DATOS!$I11739="","",IFERROR(VLOOKUP(DATOS!$I11739,CONFIG_ASIGNATURAS!$B$2:$J$61,9,FALSE()),""))</f>
      </c>
    </row>
    <row r="11740">
      <c r="E11740">
        <f>IF(DATOS!$I11740="","",IFERROR(VLOOKUP(DATOS!$I11740,CONFIG_ASIGNATURAS!$B$2:$J$61,9,FALSE()),""))</f>
      </c>
    </row>
    <row r="11741">
      <c r="E11741">
        <f>IF(DATOS!$I11741="","",IFERROR(VLOOKUP(DATOS!$I11741,CONFIG_ASIGNATURAS!$B$2:$J$61,9,FALSE()),""))</f>
      </c>
    </row>
    <row r="11742">
      <c r="E11742">
        <f>IF(DATOS!$I11742="","",IFERROR(VLOOKUP(DATOS!$I11742,CONFIG_ASIGNATURAS!$B$2:$J$61,9,FALSE()),""))</f>
      </c>
    </row>
    <row r="11743">
      <c r="E11743">
        <f>IF(DATOS!$I11743="","",IFERROR(VLOOKUP(DATOS!$I11743,CONFIG_ASIGNATURAS!$B$2:$J$61,9,FALSE()),""))</f>
      </c>
    </row>
    <row r="11744">
      <c r="E11744">
        <f>IF(DATOS!$I11744="","",IFERROR(VLOOKUP(DATOS!$I11744,CONFIG_ASIGNATURAS!$B$2:$J$61,9,FALSE()),""))</f>
      </c>
    </row>
    <row r="11745">
      <c r="E11745">
        <f>IF(DATOS!$I11745="","",IFERROR(VLOOKUP(DATOS!$I11745,CONFIG_ASIGNATURAS!$B$2:$J$61,9,FALSE()),""))</f>
      </c>
    </row>
    <row r="11746">
      <c r="E11746">
        <f>IF(DATOS!$I11746="","",IFERROR(VLOOKUP(DATOS!$I11746,CONFIG_ASIGNATURAS!$B$2:$J$61,9,FALSE()),""))</f>
      </c>
    </row>
    <row r="11747">
      <c r="E11747">
        <f>IF(DATOS!$I11747="","",IFERROR(VLOOKUP(DATOS!$I11747,CONFIG_ASIGNATURAS!$B$2:$J$61,9,FALSE()),""))</f>
      </c>
    </row>
    <row r="11748">
      <c r="E11748">
        <f>IF(DATOS!$I11748="","",IFERROR(VLOOKUP(DATOS!$I11748,CONFIG_ASIGNATURAS!$B$2:$J$61,9,FALSE()),""))</f>
      </c>
    </row>
    <row r="11749">
      <c r="E11749">
        <f>IF(DATOS!$I11749="","",IFERROR(VLOOKUP(DATOS!$I11749,CONFIG_ASIGNATURAS!$B$2:$J$61,9,FALSE()),""))</f>
      </c>
    </row>
    <row r="11750">
      <c r="E11750">
        <f>IF(DATOS!$I11750="","",IFERROR(VLOOKUP(DATOS!$I11750,CONFIG_ASIGNATURAS!$B$2:$J$61,9,FALSE()),""))</f>
      </c>
    </row>
    <row r="11751">
      <c r="E11751">
        <f>IF(DATOS!$I11751="","",IFERROR(VLOOKUP(DATOS!$I11751,CONFIG_ASIGNATURAS!$B$2:$J$61,9,FALSE()),""))</f>
      </c>
    </row>
    <row r="11752">
      <c r="E11752">
        <f>IF(DATOS!$I11752="","",IFERROR(VLOOKUP(DATOS!$I11752,CONFIG_ASIGNATURAS!$B$2:$J$61,9,FALSE()),""))</f>
      </c>
    </row>
    <row r="11753">
      <c r="E11753">
        <f>IF(DATOS!$I11753="","",IFERROR(VLOOKUP(DATOS!$I11753,CONFIG_ASIGNATURAS!$B$2:$J$61,9,FALSE()),""))</f>
      </c>
    </row>
    <row r="11754">
      <c r="E11754">
        <f>IF(DATOS!$I11754="","",IFERROR(VLOOKUP(DATOS!$I11754,CONFIG_ASIGNATURAS!$B$2:$J$61,9,FALSE()),""))</f>
      </c>
    </row>
    <row r="11755">
      <c r="E11755">
        <f>IF(DATOS!$I11755="","",IFERROR(VLOOKUP(DATOS!$I11755,CONFIG_ASIGNATURAS!$B$2:$J$61,9,FALSE()),""))</f>
      </c>
    </row>
    <row r="11756">
      <c r="E11756">
        <f>IF(DATOS!$I11756="","",IFERROR(VLOOKUP(DATOS!$I11756,CONFIG_ASIGNATURAS!$B$2:$J$61,9,FALSE()),""))</f>
      </c>
    </row>
    <row r="11757">
      <c r="E11757">
        <f>IF(DATOS!$I11757="","",IFERROR(VLOOKUP(DATOS!$I11757,CONFIG_ASIGNATURAS!$B$2:$J$61,9,FALSE()),""))</f>
      </c>
    </row>
    <row r="11758">
      <c r="E11758">
        <f>IF(DATOS!$I11758="","",IFERROR(VLOOKUP(DATOS!$I11758,CONFIG_ASIGNATURAS!$B$2:$J$61,9,FALSE()),""))</f>
      </c>
    </row>
    <row r="11759">
      <c r="E11759">
        <f>IF(DATOS!$I11759="","",IFERROR(VLOOKUP(DATOS!$I11759,CONFIG_ASIGNATURAS!$B$2:$J$61,9,FALSE()),""))</f>
      </c>
    </row>
    <row r="11760">
      <c r="E11760">
        <f>IF(DATOS!$I11760="","",IFERROR(VLOOKUP(DATOS!$I11760,CONFIG_ASIGNATURAS!$B$2:$J$61,9,FALSE()),""))</f>
      </c>
    </row>
    <row r="11761">
      <c r="E11761">
        <f>IF(DATOS!$I11761="","",IFERROR(VLOOKUP(DATOS!$I11761,CONFIG_ASIGNATURAS!$B$2:$J$61,9,FALSE()),""))</f>
      </c>
    </row>
    <row r="11762">
      <c r="E11762">
        <f>IF(DATOS!$I11762="","",IFERROR(VLOOKUP(DATOS!$I11762,CONFIG_ASIGNATURAS!$B$2:$J$61,9,FALSE()),""))</f>
      </c>
    </row>
    <row r="11763">
      <c r="E11763">
        <f>IF(DATOS!$I11763="","",IFERROR(VLOOKUP(DATOS!$I11763,CONFIG_ASIGNATURAS!$B$2:$J$61,9,FALSE()),""))</f>
      </c>
    </row>
    <row r="11764">
      <c r="E11764">
        <f>IF(DATOS!$I11764="","",IFERROR(VLOOKUP(DATOS!$I11764,CONFIG_ASIGNATURAS!$B$2:$J$61,9,FALSE()),""))</f>
      </c>
    </row>
    <row r="11765">
      <c r="E11765">
        <f>IF(DATOS!$I11765="","",IFERROR(VLOOKUP(DATOS!$I11765,CONFIG_ASIGNATURAS!$B$2:$J$61,9,FALSE()),""))</f>
      </c>
    </row>
    <row r="11766">
      <c r="E11766">
        <f>IF(DATOS!$I11766="","",IFERROR(VLOOKUP(DATOS!$I11766,CONFIG_ASIGNATURAS!$B$2:$J$61,9,FALSE()),""))</f>
      </c>
    </row>
    <row r="11767">
      <c r="E11767">
        <f>IF(DATOS!$I11767="","",IFERROR(VLOOKUP(DATOS!$I11767,CONFIG_ASIGNATURAS!$B$2:$J$61,9,FALSE()),""))</f>
      </c>
    </row>
    <row r="11768">
      <c r="E11768">
        <f>IF(DATOS!$I11768="","",IFERROR(VLOOKUP(DATOS!$I11768,CONFIG_ASIGNATURAS!$B$2:$J$61,9,FALSE()),""))</f>
      </c>
    </row>
    <row r="11769">
      <c r="E11769">
        <f>IF(DATOS!$I11769="","",IFERROR(VLOOKUP(DATOS!$I11769,CONFIG_ASIGNATURAS!$B$2:$J$61,9,FALSE()),""))</f>
      </c>
    </row>
    <row r="11770">
      <c r="E11770">
        <f>IF(DATOS!$I11770="","",IFERROR(VLOOKUP(DATOS!$I11770,CONFIG_ASIGNATURAS!$B$2:$J$61,9,FALSE()),""))</f>
      </c>
    </row>
    <row r="11771">
      <c r="E11771">
        <f>IF(DATOS!$I11771="","",IFERROR(VLOOKUP(DATOS!$I11771,CONFIG_ASIGNATURAS!$B$2:$J$61,9,FALSE()),""))</f>
      </c>
    </row>
    <row r="11772">
      <c r="E11772">
        <f>IF(DATOS!$I11772="","",IFERROR(VLOOKUP(DATOS!$I11772,CONFIG_ASIGNATURAS!$B$2:$J$61,9,FALSE()),""))</f>
      </c>
    </row>
    <row r="11773">
      <c r="E11773">
        <f>IF(DATOS!$I11773="","",IFERROR(VLOOKUP(DATOS!$I11773,CONFIG_ASIGNATURAS!$B$2:$J$61,9,FALSE()),""))</f>
      </c>
    </row>
    <row r="11774">
      <c r="E11774">
        <f>IF(DATOS!$I11774="","",IFERROR(VLOOKUP(DATOS!$I11774,CONFIG_ASIGNATURAS!$B$2:$J$61,9,FALSE()),""))</f>
      </c>
    </row>
    <row r="11775">
      <c r="E11775">
        <f>IF(DATOS!$I11775="","",IFERROR(VLOOKUP(DATOS!$I11775,CONFIG_ASIGNATURAS!$B$2:$J$61,9,FALSE()),""))</f>
      </c>
    </row>
    <row r="11776">
      <c r="E11776">
        <f>IF(DATOS!$I11776="","",IFERROR(VLOOKUP(DATOS!$I11776,CONFIG_ASIGNATURAS!$B$2:$J$61,9,FALSE()),""))</f>
      </c>
    </row>
    <row r="11777">
      <c r="E11777">
        <f>IF(DATOS!$I11777="","",IFERROR(VLOOKUP(DATOS!$I11777,CONFIG_ASIGNATURAS!$B$2:$J$61,9,FALSE()),""))</f>
      </c>
    </row>
    <row r="11778">
      <c r="E11778">
        <f>IF(DATOS!$I11778="","",IFERROR(VLOOKUP(DATOS!$I11778,CONFIG_ASIGNATURAS!$B$2:$J$61,9,FALSE()),""))</f>
      </c>
    </row>
    <row r="11779">
      <c r="E11779">
        <f>IF(DATOS!$I11779="","",IFERROR(VLOOKUP(DATOS!$I11779,CONFIG_ASIGNATURAS!$B$2:$J$61,9,FALSE()),""))</f>
      </c>
    </row>
    <row r="11780">
      <c r="E11780">
        <f>IF(DATOS!$I11780="","",IFERROR(VLOOKUP(DATOS!$I11780,CONFIG_ASIGNATURAS!$B$2:$J$61,9,FALSE()),""))</f>
      </c>
    </row>
    <row r="11781">
      <c r="E11781">
        <f>IF(DATOS!$I11781="","",IFERROR(VLOOKUP(DATOS!$I11781,CONFIG_ASIGNATURAS!$B$2:$J$61,9,FALSE()),""))</f>
      </c>
    </row>
    <row r="11782">
      <c r="E11782">
        <f>IF(DATOS!$I11782="","",IFERROR(VLOOKUP(DATOS!$I11782,CONFIG_ASIGNATURAS!$B$2:$J$61,9,FALSE()),""))</f>
      </c>
    </row>
    <row r="11783">
      <c r="E11783">
        <f>IF(DATOS!$I11783="","",IFERROR(VLOOKUP(DATOS!$I11783,CONFIG_ASIGNATURAS!$B$2:$J$61,9,FALSE()),""))</f>
      </c>
    </row>
    <row r="11784">
      <c r="E11784">
        <f>IF(DATOS!$I11784="","",IFERROR(VLOOKUP(DATOS!$I11784,CONFIG_ASIGNATURAS!$B$2:$J$61,9,FALSE()),""))</f>
      </c>
    </row>
    <row r="11785">
      <c r="E11785">
        <f>IF(DATOS!$I11785="","",IFERROR(VLOOKUP(DATOS!$I11785,CONFIG_ASIGNATURAS!$B$2:$J$61,9,FALSE()),""))</f>
      </c>
    </row>
    <row r="11786">
      <c r="E11786">
        <f>IF(DATOS!$I11786="","",IFERROR(VLOOKUP(DATOS!$I11786,CONFIG_ASIGNATURAS!$B$2:$J$61,9,FALSE()),""))</f>
      </c>
    </row>
    <row r="11787">
      <c r="E11787">
        <f>IF(DATOS!$I11787="","",IFERROR(VLOOKUP(DATOS!$I11787,CONFIG_ASIGNATURAS!$B$2:$J$61,9,FALSE()),""))</f>
      </c>
    </row>
    <row r="11788">
      <c r="E11788">
        <f>IF(DATOS!$I11788="","",IFERROR(VLOOKUP(DATOS!$I11788,CONFIG_ASIGNATURAS!$B$2:$J$61,9,FALSE()),""))</f>
      </c>
    </row>
    <row r="11789">
      <c r="E11789">
        <f>IF(DATOS!$I11789="","",IFERROR(VLOOKUP(DATOS!$I11789,CONFIG_ASIGNATURAS!$B$2:$J$61,9,FALSE()),""))</f>
      </c>
    </row>
    <row r="11790">
      <c r="E11790">
        <f>IF(DATOS!$I11790="","",IFERROR(VLOOKUP(DATOS!$I11790,CONFIG_ASIGNATURAS!$B$2:$J$61,9,FALSE()),""))</f>
      </c>
    </row>
    <row r="11791">
      <c r="E11791">
        <f>IF(DATOS!$I11791="","",IFERROR(VLOOKUP(DATOS!$I11791,CONFIG_ASIGNATURAS!$B$2:$J$61,9,FALSE()),""))</f>
      </c>
    </row>
    <row r="11792">
      <c r="E11792">
        <f>IF(DATOS!$I11792="","",IFERROR(VLOOKUP(DATOS!$I11792,CONFIG_ASIGNATURAS!$B$2:$J$61,9,FALSE()),""))</f>
      </c>
    </row>
    <row r="11793">
      <c r="E11793">
        <f>IF(DATOS!$I11793="","",IFERROR(VLOOKUP(DATOS!$I11793,CONFIG_ASIGNATURAS!$B$2:$J$61,9,FALSE()),""))</f>
      </c>
    </row>
    <row r="11794">
      <c r="E11794">
        <f>IF(DATOS!$I11794="","",IFERROR(VLOOKUP(DATOS!$I11794,CONFIG_ASIGNATURAS!$B$2:$J$61,9,FALSE()),""))</f>
      </c>
    </row>
    <row r="11795">
      <c r="E11795">
        <f>IF(DATOS!$I11795="","",IFERROR(VLOOKUP(DATOS!$I11795,CONFIG_ASIGNATURAS!$B$2:$J$61,9,FALSE()),""))</f>
      </c>
    </row>
    <row r="11796">
      <c r="E11796">
        <f>IF(DATOS!$I11796="","",IFERROR(VLOOKUP(DATOS!$I11796,CONFIG_ASIGNATURAS!$B$2:$J$61,9,FALSE()),""))</f>
      </c>
    </row>
    <row r="11797">
      <c r="E11797">
        <f>IF(DATOS!$I11797="","",IFERROR(VLOOKUP(DATOS!$I11797,CONFIG_ASIGNATURAS!$B$2:$J$61,9,FALSE()),""))</f>
      </c>
    </row>
    <row r="11798">
      <c r="E11798">
        <f>IF(DATOS!$I11798="","",IFERROR(VLOOKUP(DATOS!$I11798,CONFIG_ASIGNATURAS!$B$2:$J$61,9,FALSE()),""))</f>
      </c>
    </row>
    <row r="11799">
      <c r="E11799">
        <f>IF(DATOS!$I11799="","",IFERROR(VLOOKUP(DATOS!$I11799,CONFIG_ASIGNATURAS!$B$2:$J$61,9,FALSE()),""))</f>
      </c>
    </row>
    <row r="11800">
      <c r="E11800">
        <f>IF(DATOS!$I11800="","",IFERROR(VLOOKUP(DATOS!$I11800,CONFIG_ASIGNATURAS!$B$2:$J$61,9,FALSE()),""))</f>
      </c>
    </row>
    <row r="11801">
      <c r="E11801">
        <f>IF(DATOS!$I11801="","",IFERROR(VLOOKUP(DATOS!$I11801,CONFIG_ASIGNATURAS!$B$2:$J$61,9,FALSE()),""))</f>
      </c>
    </row>
    <row r="11802">
      <c r="E11802">
        <f>IF(DATOS!$I11802="","",IFERROR(VLOOKUP(DATOS!$I11802,CONFIG_ASIGNATURAS!$B$2:$J$61,9,FALSE()),""))</f>
      </c>
    </row>
    <row r="11803">
      <c r="E11803">
        <f>IF(DATOS!$I11803="","",IFERROR(VLOOKUP(DATOS!$I11803,CONFIG_ASIGNATURAS!$B$2:$J$61,9,FALSE()),""))</f>
      </c>
    </row>
    <row r="11804">
      <c r="E11804">
        <f>IF(DATOS!$I11804="","",IFERROR(VLOOKUP(DATOS!$I11804,CONFIG_ASIGNATURAS!$B$2:$J$61,9,FALSE()),""))</f>
      </c>
    </row>
    <row r="11805">
      <c r="E11805">
        <f>IF(DATOS!$I11805="","",IFERROR(VLOOKUP(DATOS!$I11805,CONFIG_ASIGNATURAS!$B$2:$J$61,9,FALSE()),""))</f>
      </c>
    </row>
    <row r="11806">
      <c r="E11806">
        <f>IF(DATOS!$I11806="","",IFERROR(VLOOKUP(DATOS!$I11806,CONFIG_ASIGNATURAS!$B$2:$J$61,9,FALSE()),""))</f>
      </c>
    </row>
    <row r="11807">
      <c r="E11807">
        <f>IF(DATOS!$I11807="","",IFERROR(VLOOKUP(DATOS!$I11807,CONFIG_ASIGNATURAS!$B$2:$J$61,9,FALSE()),""))</f>
      </c>
    </row>
    <row r="11808">
      <c r="E11808">
        <f>IF(DATOS!$I11808="","",IFERROR(VLOOKUP(DATOS!$I11808,CONFIG_ASIGNATURAS!$B$2:$J$61,9,FALSE()),""))</f>
      </c>
    </row>
    <row r="11809">
      <c r="E11809">
        <f>IF(DATOS!$I11809="","",IFERROR(VLOOKUP(DATOS!$I11809,CONFIG_ASIGNATURAS!$B$2:$J$61,9,FALSE()),""))</f>
      </c>
    </row>
    <row r="11810">
      <c r="E11810">
        <f>IF(DATOS!$I11810="","",IFERROR(VLOOKUP(DATOS!$I11810,CONFIG_ASIGNATURAS!$B$2:$J$61,9,FALSE()),""))</f>
      </c>
    </row>
    <row r="11811">
      <c r="E11811">
        <f>IF(DATOS!$I11811="","",IFERROR(VLOOKUP(DATOS!$I11811,CONFIG_ASIGNATURAS!$B$2:$J$61,9,FALSE()),""))</f>
      </c>
    </row>
    <row r="11812">
      <c r="E11812">
        <f>IF(DATOS!$I11812="","",IFERROR(VLOOKUP(DATOS!$I11812,CONFIG_ASIGNATURAS!$B$2:$J$61,9,FALSE()),""))</f>
      </c>
    </row>
    <row r="11813">
      <c r="E11813">
        <f>IF(DATOS!$I11813="","",IFERROR(VLOOKUP(DATOS!$I11813,CONFIG_ASIGNATURAS!$B$2:$J$61,9,FALSE()),""))</f>
      </c>
    </row>
    <row r="11814">
      <c r="E11814">
        <f>IF(DATOS!$I11814="","",IFERROR(VLOOKUP(DATOS!$I11814,CONFIG_ASIGNATURAS!$B$2:$J$61,9,FALSE()),""))</f>
      </c>
    </row>
    <row r="11815">
      <c r="E11815">
        <f>IF(DATOS!$I11815="","",IFERROR(VLOOKUP(DATOS!$I11815,CONFIG_ASIGNATURAS!$B$2:$J$61,9,FALSE()),""))</f>
      </c>
    </row>
    <row r="11816">
      <c r="E11816">
        <f>IF(DATOS!$I11816="","",IFERROR(VLOOKUP(DATOS!$I11816,CONFIG_ASIGNATURAS!$B$2:$J$61,9,FALSE()),""))</f>
      </c>
    </row>
    <row r="11817">
      <c r="E11817">
        <f>IF(DATOS!$I11817="","",IFERROR(VLOOKUP(DATOS!$I11817,CONFIG_ASIGNATURAS!$B$2:$J$61,9,FALSE()),""))</f>
      </c>
    </row>
    <row r="11818">
      <c r="E11818">
        <f>IF(DATOS!$I11818="","",IFERROR(VLOOKUP(DATOS!$I11818,CONFIG_ASIGNATURAS!$B$2:$J$61,9,FALSE()),""))</f>
      </c>
    </row>
    <row r="11819">
      <c r="E11819">
        <f>IF(DATOS!$I11819="","",IFERROR(VLOOKUP(DATOS!$I11819,CONFIG_ASIGNATURAS!$B$2:$J$61,9,FALSE()),""))</f>
      </c>
    </row>
    <row r="11820">
      <c r="E11820">
        <f>IF(DATOS!$I11820="","",IFERROR(VLOOKUP(DATOS!$I11820,CONFIG_ASIGNATURAS!$B$2:$J$61,9,FALSE()),""))</f>
      </c>
    </row>
    <row r="11821">
      <c r="E11821">
        <f>IF(DATOS!$I11821="","",IFERROR(VLOOKUP(DATOS!$I11821,CONFIG_ASIGNATURAS!$B$2:$J$61,9,FALSE()),""))</f>
      </c>
    </row>
    <row r="11822">
      <c r="E11822">
        <f>IF(DATOS!$I11822="","",IFERROR(VLOOKUP(DATOS!$I11822,CONFIG_ASIGNATURAS!$B$2:$J$61,9,FALSE()),""))</f>
      </c>
    </row>
    <row r="11823">
      <c r="E11823">
        <f>IF(DATOS!$I11823="","",IFERROR(VLOOKUP(DATOS!$I11823,CONFIG_ASIGNATURAS!$B$2:$J$61,9,FALSE()),""))</f>
      </c>
    </row>
    <row r="11824">
      <c r="E11824">
        <f>IF(DATOS!$I11824="","",IFERROR(VLOOKUP(DATOS!$I11824,CONFIG_ASIGNATURAS!$B$2:$J$61,9,FALSE()),""))</f>
      </c>
    </row>
    <row r="11825">
      <c r="E11825">
        <f>IF(DATOS!$I11825="","",IFERROR(VLOOKUP(DATOS!$I11825,CONFIG_ASIGNATURAS!$B$2:$J$61,9,FALSE()),""))</f>
      </c>
    </row>
    <row r="11826">
      <c r="E11826">
        <f>IF(DATOS!$I11826="","",IFERROR(VLOOKUP(DATOS!$I11826,CONFIG_ASIGNATURAS!$B$2:$J$61,9,FALSE()),""))</f>
      </c>
    </row>
    <row r="11827">
      <c r="E11827">
        <f>IF(DATOS!$I11827="","",IFERROR(VLOOKUP(DATOS!$I11827,CONFIG_ASIGNATURAS!$B$2:$J$61,9,FALSE()),""))</f>
      </c>
    </row>
    <row r="11828">
      <c r="E11828">
        <f>IF(DATOS!$I11828="","",IFERROR(VLOOKUP(DATOS!$I11828,CONFIG_ASIGNATURAS!$B$2:$J$61,9,FALSE()),""))</f>
      </c>
    </row>
    <row r="11829">
      <c r="E11829">
        <f>IF(DATOS!$I11829="","",IFERROR(VLOOKUP(DATOS!$I11829,CONFIG_ASIGNATURAS!$B$2:$J$61,9,FALSE()),""))</f>
      </c>
    </row>
    <row r="11830">
      <c r="E11830">
        <f>IF(DATOS!$I11830="","",IFERROR(VLOOKUP(DATOS!$I11830,CONFIG_ASIGNATURAS!$B$2:$J$61,9,FALSE()),""))</f>
      </c>
    </row>
    <row r="11831">
      <c r="E11831">
        <f>IF(DATOS!$I11831="","",IFERROR(VLOOKUP(DATOS!$I11831,CONFIG_ASIGNATURAS!$B$2:$J$61,9,FALSE()),""))</f>
      </c>
    </row>
    <row r="11832">
      <c r="E11832">
        <f>IF(DATOS!$I11832="","",IFERROR(VLOOKUP(DATOS!$I11832,CONFIG_ASIGNATURAS!$B$2:$J$61,9,FALSE()),""))</f>
      </c>
    </row>
    <row r="11833">
      <c r="E11833">
        <f>IF(DATOS!$I11833="","",IFERROR(VLOOKUP(DATOS!$I11833,CONFIG_ASIGNATURAS!$B$2:$J$61,9,FALSE()),""))</f>
      </c>
    </row>
    <row r="11834">
      <c r="E11834">
        <f>IF(DATOS!$I11834="","",IFERROR(VLOOKUP(DATOS!$I11834,CONFIG_ASIGNATURAS!$B$2:$J$61,9,FALSE()),""))</f>
      </c>
    </row>
    <row r="11835">
      <c r="E11835">
        <f>IF(DATOS!$I11835="","",IFERROR(VLOOKUP(DATOS!$I11835,CONFIG_ASIGNATURAS!$B$2:$J$61,9,FALSE()),""))</f>
      </c>
    </row>
    <row r="11836">
      <c r="E11836">
        <f>IF(DATOS!$I11836="","",IFERROR(VLOOKUP(DATOS!$I11836,CONFIG_ASIGNATURAS!$B$2:$J$61,9,FALSE()),""))</f>
      </c>
    </row>
    <row r="11837">
      <c r="E11837">
        <f>IF(DATOS!$I11837="","",IFERROR(VLOOKUP(DATOS!$I11837,CONFIG_ASIGNATURAS!$B$2:$J$61,9,FALSE()),""))</f>
      </c>
    </row>
    <row r="11838">
      <c r="E11838">
        <f>IF(DATOS!$I11838="","",IFERROR(VLOOKUP(DATOS!$I11838,CONFIG_ASIGNATURAS!$B$2:$J$61,9,FALSE()),""))</f>
      </c>
    </row>
    <row r="11839">
      <c r="E11839">
        <f>IF(DATOS!$I11839="","",IFERROR(VLOOKUP(DATOS!$I11839,CONFIG_ASIGNATURAS!$B$2:$J$61,9,FALSE()),""))</f>
      </c>
    </row>
    <row r="11840">
      <c r="E11840">
        <f>IF(DATOS!$I11840="","",IFERROR(VLOOKUP(DATOS!$I11840,CONFIG_ASIGNATURAS!$B$2:$J$61,9,FALSE()),""))</f>
      </c>
    </row>
    <row r="11841">
      <c r="E11841">
        <f>IF(DATOS!$I11841="","",IFERROR(VLOOKUP(DATOS!$I11841,CONFIG_ASIGNATURAS!$B$2:$J$61,9,FALSE()),""))</f>
      </c>
    </row>
    <row r="11842">
      <c r="E11842">
        <f>IF(DATOS!$I11842="","",IFERROR(VLOOKUP(DATOS!$I11842,CONFIG_ASIGNATURAS!$B$2:$J$61,9,FALSE()),""))</f>
      </c>
    </row>
    <row r="11843">
      <c r="E11843">
        <f>IF(DATOS!$I11843="","",IFERROR(VLOOKUP(DATOS!$I11843,CONFIG_ASIGNATURAS!$B$2:$J$61,9,FALSE()),""))</f>
      </c>
    </row>
    <row r="11844">
      <c r="E11844">
        <f>IF(DATOS!$I11844="","",IFERROR(VLOOKUP(DATOS!$I11844,CONFIG_ASIGNATURAS!$B$2:$J$61,9,FALSE()),""))</f>
      </c>
    </row>
    <row r="11845">
      <c r="E11845">
        <f>IF(DATOS!$I11845="","",IFERROR(VLOOKUP(DATOS!$I11845,CONFIG_ASIGNATURAS!$B$2:$J$61,9,FALSE()),""))</f>
      </c>
    </row>
    <row r="11846">
      <c r="E11846">
        <f>IF(DATOS!$I11846="","",IFERROR(VLOOKUP(DATOS!$I11846,CONFIG_ASIGNATURAS!$B$2:$J$61,9,FALSE()),""))</f>
      </c>
    </row>
    <row r="11847">
      <c r="E11847">
        <f>IF(DATOS!$I11847="","",IFERROR(VLOOKUP(DATOS!$I11847,CONFIG_ASIGNATURAS!$B$2:$J$61,9,FALSE()),""))</f>
      </c>
    </row>
    <row r="11848">
      <c r="E11848">
        <f>IF(DATOS!$I11848="","",IFERROR(VLOOKUP(DATOS!$I11848,CONFIG_ASIGNATURAS!$B$2:$J$61,9,FALSE()),""))</f>
      </c>
    </row>
    <row r="11849">
      <c r="E11849">
        <f>IF(DATOS!$I11849="","",IFERROR(VLOOKUP(DATOS!$I11849,CONFIG_ASIGNATURAS!$B$2:$J$61,9,FALSE()),""))</f>
      </c>
    </row>
    <row r="11850">
      <c r="E11850">
        <f>IF(DATOS!$I11850="","",IFERROR(VLOOKUP(DATOS!$I11850,CONFIG_ASIGNATURAS!$B$2:$J$61,9,FALSE()),""))</f>
      </c>
    </row>
    <row r="11851">
      <c r="E11851">
        <f>IF(DATOS!$I11851="","",IFERROR(VLOOKUP(DATOS!$I11851,CONFIG_ASIGNATURAS!$B$2:$J$61,9,FALSE()),""))</f>
      </c>
    </row>
    <row r="11852">
      <c r="E11852">
        <f>IF(DATOS!$I11852="","",IFERROR(VLOOKUP(DATOS!$I11852,CONFIG_ASIGNATURAS!$B$2:$J$61,9,FALSE()),""))</f>
      </c>
    </row>
    <row r="11853">
      <c r="E11853">
        <f>IF(DATOS!$I11853="","",IFERROR(VLOOKUP(DATOS!$I11853,CONFIG_ASIGNATURAS!$B$2:$J$61,9,FALSE()),""))</f>
      </c>
    </row>
    <row r="11854">
      <c r="E11854">
        <f>IF(DATOS!$I11854="","",IFERROR(VLOOKUP(DATOS!$I11854,CONFIG_ASIGNATURAS!$B$2:$J$61,9,FALSE()),""))</f>
      </c>
    </row>
    <row r="11855">
      <c r="E11855">
        <f>IF(DATOS!$I11855="","",IFERROR(VLOOKUP(DATOS!$I11855,CONFIG_ASIGNATURAS!$B$2:$J$61,9,FALSE()),""))</f>
      </c>
    </row>
    <row r="11856">
      <c r="E11856">
        <f>IF(DATOS!$I11856="","",IFERROR(VLOOKUP(DATOS!$I11856,CONFIG_ASIGNATURAS!$B$2:$J$61,9,FALSE()),""))</f>
      </c>
    </row>
    <row r="11857">
      <c r="E11857">
        <f>IF(DATOS!$I11857="","",IFERROR(VLOOKUP(DATOS!$I11857,CONFIG_ASIGNATURAS!$B$2:$J$61,9,FALSE()),""))</f>
      </c>
    </row>
    <row r="11858">
      <c r="E11858">
        <f>IF(DATOS!$I11858="","",IFERROR(VLOOKUP(DATOS!$I11858,CONFIG_ASIGNATURAS!$B$2:$J$61,9,FALSE()),""))</f>
      </c>
    </row>
    <row r="11859">
      <c r="E11859">
        <f>IF(DATOS!$I11859="","",IFERROR(VLOOKUP(DATOS!$I11859,CONFIG_ASIGNATURAS!$B$2:$J$61,9,FALSE()),""))</f>
      </c>
    </row>
    <row r="11860">
      <c r="E11860">
        <f>IF(DATOS!$I11860="","",IFERROR(VLOOKUP(DATOS!$I11860,CONFIG_ASIGNATURAS!$B$2:$J$61,9,FALSE()),""))</f>
      </c>
    </row>
    <row r="11861">
      <c r="E11861">
        <f>IF(DATOS!$I11861="","",IFERROR(VLOOKUP(DATOS!$I11861,CONFIG_ASIGNATURAS!$B$2:$J$61,9,FALSE()),""))</f>
      </c>
    </row>
    <row r="11862">
      <c r="E11862">
        <f>IF(DATOS!$I11862="","",IFERROR(VLOOKUP(DATOS!$I11862,CONFIG_ASIGNATURAS!$B$2:$J$61,9,FALSE()),""))</f>
      </c>
    </row>
    <row r="11863">
      <c r="E11863">
        <f>IF(DATOS!$I11863="","",IFERROR(VLOOKUP(DATOS!$I11863,CONFIG_ASIGNATURAS!$B$2:$J$61,9,FALSE()),""))</f>
      </c>
    </row>
    <row r="11864">
      <c r="E11864">
        <f>IF(DATOS!$I11864="","",IFERROR(VLOOKUP(DATOS!$I11864,CONFIG_ASIGNATURAS!$B$2:$J$61,9,FALSE()),""))</f>
      </c>
    </row>
    <row r="11865">
      <c r="E11865">
        <f>IF(DATOS!$I11865="","",IFERROR(VLOOKUP(DATOS!$I11865,CONFIG_ASIGNATURAS!$B$2:$J$61,9,FALSE()),""))</f>
      </c>
    </row>
    <row r="11866">
      <c r="E11866">
        <f>IF(DATOS!$I11866="","",IFERROR(VLOOKUP(DATOS!$I11866,CONFIG_ASIGNATURAS!$B$2:$J$61,9,FALSE()),""))</f>
      </c>
    </row>
    <row r="11867">
      <c r="E11867">
        <f>IF(DATOS!$I11867="","",IFERROR(VLOOKUP(DATOS!$I11867,CONFIG_ASIGNATURAS!$B$2:$J$61,9,FALSE()),""))</f>
      </c>
    </row>
    <row r="11868">
      <c r="E11868">
        <f>IF(DATOS!$I11868="","",IFERROR(VLOOKUP(DATOS!$I11868,CONFIG_ASIGNATURAS!$B$2:$J$61,9,FALSE()),""))</f>
      </c>
    </row>
    <row r="11869">
      <c r="E11869">
        <f>IF(DATOS!$I11869="","",IFERROR(VLOOKUP(DATOS!$I11869,CONFIG_ASIGNATURAS!$B$2:$J$61,9,FALSE()),""))</f>
      </c>
    </row>
    <row r="11870">
      <c r="E11870">
        <f>IF(DATOS!$I11870="","",IFERROR(VLOOKUP(DATOS!$I11870,CONFIG_ASIGNATURAS!$B$2:$J$61,9,FALSE()),""))</f>
      </c>
    </row>
    <row r="11871">
      <c r="E11871">
        <f>IF(DATOS!$I11871="","",IFERROR(VLOOKUP(DATOS!$I11871,CONFIG_ASIGNATURAS!$B$2:$J$61,9,FALSE()),""))</f>
      </c>
    </row>
    <row r="11872">
      <c r="E11872">
        <f>IF(DATOS!$I11872="","",IFERROR(VLOOKUP(DATOS!$I11872,CONFIG_ASIGNATURAS!$B$2:$J$61,9,FALSE()),""))</f>
      </c>
    </row>
    <row r="11873">
      <c r="E11873">
        <f>IF(DATOS!$I11873="","",IFERROR(VLOOKUP(DATOS!$I11873,CONFIG_ASIGNATURAS!$B$2:$J$61,9,FALSE()),""))</f>
      </c>
    </row>
    <row r="11874">
      <c r="E11874">
        <f>IF(DATOS!$I11874="","",IFERROR(VLOOKUP(DATOS!$I11874,CONFIG_ASIGNATURAS!$B$2:$J$61,9,FALSE()),""))</f>
      </c>
    </row>
    <row r="11875">
      <c r="E11875">
        <f>IF(DATOS!$I11875="","",IFERROR(VLOOKUP(DATOS!$I11875,CONFIG_ASIGNATURAS!$B$2:$J$61,9,FALSE()),""))</f>
      </c>
    </row>
    <row r="11876">
      <c r="E11876">
        <f>IF(DATOS!$I11876="","",IFERROR(VLOOKUP(DATOS!$I11876,CONFIG_ASIGNATURAS!$B$2:$J$61,9,FALSE()),""))</f>
      </c>
    </row>
    <row r="11877">
      <c r="E11877">
        <f>IF(DATOS!$I11877="","",IFERROR(VLOOKUP(DATOS!$I11877,CONFIG_ASIGNATURAS!$B$2:$J$61,9,FALSE()),""))</f>
      </c>
    </row>
    <row r="11878">
      <c r="E11878">
        <f>IF(DATOS!$I11878="","",IFERROR(VLOOKUP(DATOS!$I11878,CONFIG_ASIGNATURAS!$B$2:$J$61,9,FALSE()),""))</f>
      </c>
    </row>
    <row r="11879">
      <c r="E11879">
        <f>IF(DATOS!$I11879="","",IFERROR(VLOOKUP(DATOS!$I11879,CONFIG_ASIGNATURAS!$B$2:$J$61,9,FALSE()),""))</f>
      </c>
    </row>
    <row r="11880">
      <c r="E11880">
        <f>IF(DATOS!$I11880="","",IFERROR(VLOOKUP(DATOS!$I11880,CONFIG_ASIGNATURAS!$B$2:$J$61,9,FALSE()),""))</f>
      </c>
    </row>
    <row r="11881">
      <c r="E11881">
        <f>IF(DATOS!$I11881="","",IFERROR(VLOOKUP(DATOS!$I11881,CONFIG_ASIGNATURAS!$B$2:$J$61,9,FALSE()),""))</f>
      </c>
    </row>
    <row r="11882">
      <c r="E11882">
        <f>IF(DATOS!$I11882="","",IFERROR(VLOOKUP(DATOS!$I11882,CONFIG_ASIGNATURAS!$B$2:$J$61,9,FALSE()),""))</f>
      </c>
    </row>
    <row r="11883">
      <c r="E11883">
        <f>IF(DATOS!$I11883="","",IFERROR(VLOOKUP(DATOS!$I11883,CONFIG_ASIGNATURAS!$B$2:$J$61,9,FALSE()),""))</f>
      </c>
    </row>
    <row r="11884">
      <c r="E11884">
        <f>IF(DATOS!$I11884="","",IFERROR(VLOOKUP(DATOS!$I11884,CONFIG_ASIGNATURAS!$B$2:$J$61,9,FALSE()),""))</f>
      </c>
    </row>
    <row r="11885">
      <c r="E11885">
        <f>IF(DATOS!$I11885="","",IFERROR(VLOOKUP(DATOS!$I11885,CONFIG_ASIGNATURAS!$B$2:$J$61,9,FALSE()),""))</f>
      </c>
    </row>
    <row r="11886">
      <c r="E11886">
        <f>IF(DATOS!$I11886="","",IFERROR(VLOOKUP(DATOS!$I11886,CONFIG_ASIGNATURAS!$B$2:$J$61,9,FALSE()),""))</f>
      </c>
    </row>
    <row r="11887">
      <c r="E11887">
        <f>IF(DATOS!$I11887="","",IFERROR(VLOOKUP(DATOS!$I11887,CONFIG_ASIGNATURAS!$B$2:$J$61,9,FALSE()),""))</f>
      </c>
    </row>
    <row r="11888">
      <c r="E11888">
        <f>IF(DATOS!$I11888="","",IFERROR(VLOOKUP(DATOS!$I11888,CONFIG_ASIGNATURAS!$B$2:$J$61,9,FALSE()),""))</f>
      </c>
    </row>
    <row r="11889">
      <c r="E11889">
        <f>IF(DATOS!$I11889="","",IFERROR(VLOOKUP(DATOS!$I11889,CONFIG_ASIGNATURAS!$B$2:$J$61,9,FALSE()),""))</f>
      </c>
    </row>
    <row r="11890">
      <c r="E11890">
        <f>IF(DATOS!$I11890="","",IFERROR(VLOOKUP(DATOS!$I11890,CONFIG_ASIGNATURAS!$B$2:$J$61,9,FALSE()),""))</f>
      </c>
    </row>
    <row r="11891">
      <c r="E11891">
        <f>IF(DATOS!$I11891="","",IFERROR(VLOOKUP(DATOS!$I11891,CONFIG_ASIGNATURAS!$B$2:$J$61,9,FALSE()),""))</f>
      </c>
    </row>
    <row r="11892">
      <c r="E11892">
        <f>IF(DATOS!$I11892="","",IFERROR(VLOOKUP(DATOS!$I11892,CONFIG_ASIGNATURAS!$B$2:$J$61,9,FALSE()),""))</f>
      </c>
    </row>
    <row r="11893">
      <c r="E11893">
        <f>IF(DATOS!$I11893="","",IFERROR(VLOOKUP(DATOS!$I11893,CONFIG_ASIGNATURAS!$B$2:$J$61,9,FALSE()),""))</f>
      </c>
    </row>
    <row r="11894">
      <c r="E11894">
        <f>IF(DATOS!$I11894="","",IFERROR(VLOOKUP(DATOS!$I11894,CONFIG_ASIGNATURAS!$B$2:$J$61,9,FALSE()),""))</f>
      </c>
    </row>
    <row r="11895">
      <c r="E11895">
        <f>IF(DATOS!$I11895="","",IFERROR(VLOOKUP(DATOS!$I11895,CONFIG_ASIGNATURAS!$B$2:$J$61,9,FALSE()),""))</f>
      </c>
    </row>
    <row r="11896">
      <c r="E11896">
        <f>IF(DATOS!$I11896="","",IFERROR(VLOOKUP(DATOS!$I11896,CONFIG_ASIGNATURAS!$B$2:$J$61,9,FALSE()),""))</f>
      </c>
    </row>
    <row r="11897">
      <c r="E11897">
        <f>IF(DATOS!$I11897="","",IFERROR(VLOOKUP(DATOS!$I11897,CONFIG_ASIGNATURAS!$B$2:$J$61,9,FALSE()),""))</f>
      </c>
    </row>
    <row r="11898">
      <c r="E11898">
        <f>IF(DATOS!$I11898="","",IFERROR(VLOOKUP(DATOS!$I11898,CONFIG_ASIGNATURAS!$B$2:$J$61,9,FALSE()),""))</f>
      </c>
    </row>
    <row r="11899">
      <c r="E11899">
        <f>IF(DATOS!$I11899="","",IFERROR(VLOOKUP(DATOS!$I11899,CONFIG_ASIGNATURAS!$B$2:$J$61,9,FALSE()),""))</f>
      </c>
    </row>
    <row r="11900">
      <c r="E11900">
        <f>IF(DATOS!$I11900="","",IFERROR(VLOOKUP(DATOS!$I11900,CONFIG_ASIGNATURAS!$B$2:$J$61,9,FALSE()),""))</f>
      </c>
    </row>
    <row r="11901">
      <c r="E11901">
        <f>IF(DATOS!$I11901="","",IFERROR(VLOOKUP(DATOS!$I11901,CONFIG_ASIGNATURAS!$B$2:$J$61,9,FALSE()),""))</f>
      </c>
    </row>
    <row r="11902">
      <c r="E11902">
        <f>IF(DATOS!$I11902="","",IFERROR(VLOOKUP(DATOS!$I11902,CONFIG_ASIGNATURAS!$B$2:$J$61,9,FALSE()),""))</f>
      </c>
    </row>
    <row r="11903">
      <c r="E11903">
        <f>IF(DATOS!$I11903="","",IFERROR(VLOOKUP(DATOS!$I11903,CONFIG_ASIGNATURAS!$B$2:$J$61,9,FALSE()),""))</f>
      </c>
    </row>
    <row r="11904">
      <c r="E11904">
        <f>IF(DATOS!$I11904="","",IFERROR(VLOOKUP(DATOS!$I11904,CONFIG_ASIGNATURAS!$B$2:$J$61,9,FALSE()),""))</f>
      </c>
    </row>
    <row r="11905">
      <c r="E11905">
        <f>IF(DATOS!$I11905="","",IFERROR(VLOOKUP(DATOS!$I11905,CONFIG_ASIGNATURAS!$B$2:$J$61,9,FALSE()),""))</f>
      </c>
    </row>
    <row r="11906">
      <c r="E11906">
        <f>IF(DATOS!$I11906="","",IFERROR(VLOOKUP(DATOS!$I11906,CONFIG_ASIGNATURAS!$B$2:$J$61,9,FALSE()),""))</f>
      </c>
    </row>
    <row r="11907">
      <c r="E11907">
        <f>IF(DATOS!$I11907="","",IFERROR(VLOOKUP(DATOS!$I11907,CONFIG_ASIGNATURAS!$B$2:$J$61,9,FALSE()),""))</f>
      </c>
    </row>
    <row r="11908">
      <c r="E11908">
        <f>IF(DATOS!$I11908="","",IFERROR(VLOOKUP(DATOS!$I11908,CONFIG_ASIGNATURAS!$B$2:$J$61,9,FALSE()),""))</f>
      </c>
    </row>
    <row r="11909">
      <c r="E11909">
        <f>IF(DATOS!$I11909="","",IFERROR(VLOOKUP(DATOS!$I11909,CONFIG_ASIGNATURAS!$B$2:$J$61,9,FALSE()),""))</f>
      </c>
    </row>
    <row r="11910">
      <c r="E11910">
        <f>IF(DATOS!$I11910="","",IFERROR(VLOOKUP(DATOS!$I11910,CONFIG_ASIGNATURAS!$B$2:$J$61,9,FALSE()),""))</f>
      </c>
    </row>
    <row r="11911">
      <c r="E11911">
        <f>IF(DATOS!$I11911="","",IFERROR(VLOOKUP(DATOS!$I11911,CONFIG_ASIGNATURAS!$B$2:$J$61,9,FALSE()),""))</f>
      </c>
    </row>
    <row r="11912">
      <c r="E11912">
        <f>IF(DATOS!$I11912="","",IFERROR(VLOOKUP(DATOS!$I11912,CONFIG_ASIGNATURAS!$B$2:$J$61,9,FALSE()),""))</f>
      </c>
    </row>
    <row r="11913">
      <c r="E11913">
        <f>IF(DATOS!$I11913="","",IFERROR(VLOOKUP(DATOS!$I11913,CONFIG_ASIGNATURAS!$B$2:$J$61,9,FALSE()),""))</f>
      </c>
    </row>
    <row r="11914">
      <c r="E11914">
        <f>IF(DATOS!$I11914="","",IFERROR(VLOOKUP(DATOS!$I11914,CONFIG_ASIGNATURAS!$B$2:$J$61,9,FALSE()),""))</f>
      </c>
    </row>
    <row r="11915">
      <c r="E11915">
        <f>IF(DATOS!$I11915="","",IFERROR(VLOOKUP(DATOS!$I11915,CONFIG_ASIGNATURAS!$B$2:$J$61,9,FALSE()),""))</f>
      </c>
    </row>
    <row r="11916">
      <c r="E11916">
        <f>IF(DATOS!$I11916="","",IFERROR(VLOOKUP(DATOS!$I11916,CONFIG_ASIGNATURAS!$B$2:$J$61,9,FALSE()),""))</f>
      </c>
    </row>
    <row r="11917">
      <c r="E11917">
        <f>IF(DATOS!$I11917="","",IFERROR(VLOOKUP(DATOS!$I11917,CONFIG_ASIGNATURAS!$B$2:$J$61,9,FALSE()),""))</f>
      </c>
    </row>
    <row r="11918">
      <c r="E11918">
        <f>IF(DATOS!$I11918="","",IFERROR(VLOOKUP(DATOS!$I11918,CONFIG_ASIGNATURAS!$B$2:$J$61,9,FALSE()),""))</f>
      </c>
    </row>
    <row r="11919">
      <c r="E11919">
        <f>IF(DATOS!$I11919="","",IFERROR(VLOOKUP(DATOS!$I11919,CONFIG_ASIGNATURAS!$B$2:$J$61,9,FALSE()),""))</f>
      </c>
    </row>
    <row r="11920">
      <c r="E11920">
        <f>IF(DATOS!$I11920="","",IFERROR(VLOOKUP(DATOS!$I11920,CONFIG_ASIGNATURAS!$B$2:$J$61,9,FALSE()),""))</f>
      </c>
    </row>
    <row r="11921">
      <c r="E11921">
        <f>IF(DATOS!$I11921="","",IFERROR(VLOOKUP(DATOS!$I11921,CONFIG_ASIGNATURAS!$B$2:$J$61,9,FALSE()),""))</f>
      </c>
    </row>
    <row r="11922">
      <c r="E11922">
        <f>IF(DATOS!$I11922="","",IFERROR(VLOOKUP(DATOS!$I11922,CONFIG_ASIGNATURAS!$B$2:$J$61,9,FALSE()),""))</f>
      </c>
    </row>
    <row r="11923">
      <c r="E11923">
        <f>IF(DATOS!$I11923="","",IFERROR(VLOOKUP(DATOS!$I11923,CONFIG_ASIGNATURAS!$B$2:$J$61,9,FALSE()),""))</f>
      </c>
    </row>
    <row r="11924">
      <c r="E11924">
        <f>IF(DATOS!$I11924="","",IFERROR(VLOOKUP(DATOS!$I11924,CONFIG_ASIGNATURAS!$B$2:$J$61,9,FALSE()),""))</f>
      </c>
    </row>
    <row r="11925">
      <c r="E11925">
        <f>IF(DATOS!$I11925="","",IFERROR(VLOOKUP(DATOS!$I11925,CONFIG_ASIGNATURAS!$B$2:$J$61,9,FALSE()),""))</f>
      </c>
    </row>
    <row r="11926">
      <c r="E11926">
        <f>IF(DATOS!$I11926="","",IFERROR(VLOOKUP(DATOS!$I11926,CONFIG_ASIGNATURAS!$B$2:$J$61,9,FALSE()),""))</f>
      </c>
    </row>
    <row r="11927">
      <c r="E11927">
        <f>IF(DATOS!$I11927="","",IFERROR(VLOOKUP(DATOS!$I11927,CONFIG_ASIGNATURAS!$B$2:$J$61,9,FALSE()),""))</f>
      </c>
    </row>
    <row r="11928">
      <c r="E11928">
        <f>IF(DATOS!$I11928="","",IFERROR(VLOOKUP(DATOS!$I11928,CONFIG_ASIGNATURAS!$B$2:$J$61,9,FALSE()),""))</f>
      </c>
    </row>
    <row r="11929">
      <c r="E11929">
        <f>IF(DATOS!$I11929="","",IFERROR(VLOOKUP(DATOS!$I11929,CONFIG_ASIGNATURAS!$B$2:$J$61,9,FALSE()),""))</f>
      </c>
    </row>
    <row r="11930">
      <c r="E11930">
        <f>IF(DATOS!$I11930="","",IFERROR(VLOOKUP(DATOS!$I11930,CONFIG_ASIGNATURAS!$B$2:$J$61,9,FALSE()),""))</f>
      </c>
    </row>
    <row r="11931">
      <c r="E11931">
        <f>IF(DATOS!$I11931="","",IFERROR(VLOOKUP(DATOS!$I11931,CONFIG_ASIGNATURAS!$B$2:$J$61,9,FALSE()),""))</f>
      </c>
    </row>
    <row r="11932">
      <c r="E11932">
        <f>IF(DATOS!$I11932="","",IFERROR(VLOOKUP(DATOS!$I11932,CONFIG_ASIGNATURAS!$B$2:$J$61,9,FALSE()),""))</f>
      </c>
    </row>
    <row r="11933">
      <c r="E11933">
        <f>IF(DATOS!$I11933="","",IFERROR(VLOOKUP(DATOS!$I11933,CONFIG_ASIGNATURAS!$B$2:$J$61,9,FALSE()),""))</f>
      </c>
    </row>
    <row r="11934">
      <c r="E11934">
        <f>IF(DATOS!$I11934="","",IFERROR(VLOOKUP(DATOS!$I11934,CONFIG_ASIGNATURAS!$B$2:$J$61,9,FALSE()),""))</f>
      </c>
    </row>
    <row r="11935">
      <c r="E11935">
        <f>IF(DATOS!$I11935="","",IFERROR(VLOOKUP(DATOS!$I11935,CONFIG_ASIGNATURAS!$B$2:$J$61,9,FALSE()),""))</f>
      </c>
    </row>
    <row r="11936">
      <c r="E11936">
        <f>IF(DATOS!$I11936="","",IFERROR(VLOOKUP(DATOS!$I11936,CONFIG_ASIGNATURAS!$B$2:$J$61,9,FALSE()),""))</f>
      </c>
    </row>
    <row r="11937">
      <c r="E11937">
        <f>IF(DATOS!$I11937="","",IFERROR(VLOOKUP(DATOS!$I11937,CONFIG_ASIGNATURAS!$B$2:$J$61,9,FALSE()),""))</f>
      </c>
    </row>
    <row r="11938">
      <c r="E11938">
        <f>IF(DATOS!$I11938="","",IFERROR(VLOOKUP(DATOS!$I11938,CONFIG_ASIGNATURAS!$B$2:$J$61,9,FALSE()),""))</f>
      </c>
    </row>
    <row r="11939">
      <c r="E11939">
        <f>IF(DATOS!$I11939="","",IFERROR(VLOOKUP(DATOS!$I11939,CONFIG_ASIGNATURAS!$B$2:$J$61,9,FALSE()),""))</f>
      </c>
    </row>
    <row r="11940">
      <c r="E11940">
        <f>IF(DATOS!$I11940="","",IFERROR(VLOOKUP(DATOS!$I11940,CONFIG_ASIGNATURAS!$B$2:$J$61,9,FALSE()),""))</f>
      </c>
    </row>
    <row r="11941">
      <c r="E11941">
        <f>IF(DATOS!$I11941="","",IFERROR(VLOOKUP(DATOS!$I11941,CONFIG_ASIGNATURAS!$B$2:$J$61,9,FALSE()),""))</f>
      </c>
    </row>
    <row r="11942">
      <c r="E11942">
        <f>IF(DATOS!$I11942="","",IFERROR(VLOOKUP(DATOS!$I11942,CONFIG_ASIGNATURAS!$B$2:$J$61,9,FALSE()),""))</f>
      </c>
    </row>
    <row r="11943">
      <c r="E11943">
        <f>IF(DATOS!$I11943="","",IFERROR(VLOOKUP(DATOS!$I11943,CONFIG_ASIGNATURAS!$B$2:$J$61,9,FALSE()),""))</f>
      </c>
    </row>
    <row r="11944">
      <c r="E11944">
        <f>IF(DATOS!$I11944="","",IFERROR(VLOOKUP(DATOS!$I11944,CONFIG_ASIGNATURAS!$B$2:$J$61,9,FALSE()),""))</f>
      </c>
    </row>
    <row r="11945">
      <c r="E11945">
        <f>IF(DATOS!$I11945="","",IFERROR(VLOOKUP(DATOS!$I11945,CONFIG_ASIGNATURAS!$B$2:$J$61,9,FALSE()),""))</f>
      </c>
    </row>
    <row r="11946">
      <c r="E11946">
        <f>IF(DATOS!$I11946="","",IFERROR(VLOOKUP(DATOS!$I11946,CONFIG_ASIGNATURAS!$B$2:$J$61,9,FALSE()),""))</f>
      </c>
    </row>
    <row r="11947">
      <c r="E11947">
        <f>IF(DATOS!$I11947="","",IFERROR(VLOOKUP(DATOS!$I11947,CONFIG_ASIGNATURAS!$B$2:$J$61,9,FALSE()),""))</f>
      </c>
    </row>
    <row r="11948">
      <c r="E11948">
        <f>IF(DATOS!$I11948="","",IFERROR(VLOOKUP(DATOS!$I11948,CONFIG_ASIGNATURAS!$B$2:$J$61,9,FALSE()),""))</f>
      </c>
    </row>
    <row r="11949">
      <c r="E11949">
        <f>IF(DATOS!$I11949="","",IFERROR(VLOOKUP(DATOS!$I11949,CONFIG_ASIGNATURAS!$B$2:$J$61,9,FALSE()),""))</f>
      </c>
    </row>
    <row r="11950">
      <c r="E11950">
        <f>IF(DATOS!$I11950="","",IFERROR(VLOOKUP(DATOS!$I11950,CONFIG_ASIGNATURAS!$B$2:$J$61,9,FALSE()),""))</f>
      </c>
    </row>
    <row r="11951">
      <c r="E11951">
        <f>IF(DATOS!$I11951="","",IFERROR(VLOOKUP(DATOS!$I11951,CONFIG_ASIGNATURAS!$B$2:$J$61,9,FALSE()),""))</f>
      </c>
    </row>
    <row r="11952">
      <c r="E11952">
        <f>IF(DATOS!$I11952="","",IFERROR(VLOOKUP(DATOS!$I11952,CONFIG_ASIGNATURAS!$B$2:$J$61,9,FALSE()),""))</f>
      </c>
    </row>
    <row r="11953">
      <c r="E11953">
        <f>IF(DATOS!$I11953="","",IFERROR(VLOOKUP(DATOS!$I11953,CONFIG_ASIGNATURAS!$B$2:$J$61,9,FALSE()),""))</f>
      </c>
    </row>
    <row r="11954">
      <c r="E11954">
        <f>IF(DATOS!$I11954="","",IFERROR(VLOOKUP(DATOS!$I11954,CONFIG_ASIGNATURAS!$B$2:$J$61,9,FALSE()),""))</f>
      </c>
    </row>
    <row r="11955">
      <c r="E11955">
        <f>IF(DATOS!$I11955="","",IFERROR(VLOOKUP(DATOS!$I11955,CONFIG_ASIGNATURAS!$B$2:$J$61,9,FALSE()),""))</f>
      </c>
    </row>
    <row r="11956">
      <c r="E11956">
        <f>IF(DATOS!$I11956="","",IFERROR(VLOOKUP(DATOS!$I11956,CONFIG_ASIGNATURAS!$B$2:$J$61,9,FALSE()),""))</f>
      </c>
    </row>
    <row r="11957">
      <c r="E11957">
        <f>IF(DATOS!$I11957="","",IFERROR(VLOOKUP(DATOS!$I11957,CONFIG_ASIGNATURAS!$B$2:$J$61,9,FALSE()),""))</f>
      </c>
    </row>
    <row r="11958">
      <c r="E11958">
        <f>IF(DATOS!$I11958="","",IFERROR(VLOOKUP(DATOS!$I11958,CONFIG_ASIGNATURAS!$B$2:$J$61,9,FALSE()),""))</f>
      </c>
    </row>
    <row r="11959">
      <c r="E11959">
        <f>IF(DATOS!$I11959="","",IFERROR(VLOOKUP(DATOS!$I11959,CONFIG_ASIGNATURAS!$B$2:$J$61,9,FALSE()),""))</f>
      </c>
    </row>
    <row r="11960">
      <c r="E11960">
        <f>IF(DATOS!$I11960="","",IFERROR(VLOOKUP(DATOS!$I11960,CONFIG_ASIGNATURAS!$B$2:$J$61,9,FALSE()),""))</f>
      </c>
    </row>
    <row r="11961">
      <c r="E11961">
        <f>IF(DATOS!$I11961="","",IFERROR(VLOOKUP(DATOS!$I11961,CONFIG_ASIGNATURAS!$B$2:$J$61,9,FALSE()),""))</f>
      </c>
    </row>
    <row r="11962">
      <c r="E11962">
        <f>IF(DATOS!$I11962="","",IFERROR(VLOOKUP(DATOS!$I11962,CONFIG_ASIGNATURAS!$B$2:$J$61,9,FALSE()),""))</f>
      </c>
    </row>
    <row r="11963">
      <c r="E11963">
        <f>IF(DATOS!$I11963="","",IFERROR(VLOOKUP(DATOS!$I11963,CONFIG_ASIGNATURAS!$B$2:$J$61,9,FALSE()),""))</f>
      </c>
    </row>
    <row r="11964">
      <c r="E11964">
        <f>IF(DATOS!$I11964="","",IFERROR(VLOOKUP(DATOS!$I11964,CONFIG_ASIGNATURAS!$B$2:$J$61,9,FALSE()),""))</f>
      </c>
    </row>
    <row r="11965">
      <c r="E11965">
        <f>IF(DATOS!$I11965="","",IFERROR(VLOOKUP(DATOS!$I11965,CONFIG_ASIGNATURAS!$B$2:$J$61,9,FALSE()),""))</f>
      </c>
    </row>
    <row r="11966">
      <c r="E11966">
        <f>IF(DATOS!$I11966="","",IFERROR(VLOOKUP(DATOS!$I11966,CONFIG_ASIGNATURAS!$B$2:$J$61,9,FALSE()),""))</f>
      </c>
    </row>
    <row r="11967">
      <c r="E11967">
        <f>IF(DATOS!$I11967="","",IFERROR(VLOOKUP(DATOS!$I11967,CONFIG_ASIGNATURAS!$B$2:$J$61,9,FALSE()),""))</f>
      </c>
    </row>
    <row r="11968">
      <c r="E11968">
        <f>IF(DATOS!$I11968="","",IFERROR(VLOOKUP(DATOS!$I11968,CONFIG_ASIGNATURAS!$B$2:$J$61,9,FALSE()),""))</f>
      </c>
    </row>
    <row r="11969">
      <c r="E11969">
        <f>IF(DATOS!$I11969="","",IFERROR(VLOOKUP(DATOS!$I11969,CONFIG_ASIGNATURAS!$B$2:$J$61,9,FALSE()),""))</f>
      </c>
    </row>
    <row r="11970">
      <c r="E11970">
        <f>IF(DATOS!$I11970="","",IFERROR(VLOOKUP(DATOS!$I11970,CONFIG_ASIGNATURAS!$B$2:$J$61,9,FALSE()),""))</f>
      </c>
    </row>
    <row r="11971">
      <c r="E11971">
        <f>IF(DATOS!$I11971="","",IFERROR(VLOOKUP(DATOS!$I11971,CONFIG_ASIGNATURAS!$B$2:$J$61,9,FALSE()),""))</f>
      </c>
    </row>
    <row r="11972">
      <c r="E11972">
        <f>IF(DATOS!$I11972="","",IFERROR(VLOOKUP(DATOS!$I11972,CONFIG_ASIGNATURAS!$B$2:$J$61,9,FALSE()),""))</f>
      </c>
    </row>
    <row r="11973">
      <c r="E11973">
        <f>IF(DATOS!$I11973="","",IFERROR(VLOOKUP(DATOS!$I11973,CONFIG_ASIGNATURAS!$B$2:$J$61,9,FALSE()),""))</f>
      </c>
    </row>
    <row r="11974">
      <c r="E11974">
        <f>IF(DATOS!$I11974="","",IFERROR(VLOOKUP(DATOS!$I11974,CONFIG_ASIGNATURAS!$B$2:$J$61,9,FALSE()),""))</f>
      </c>
    </row>
    <row r="11975">
      <c r="E11975">
        <f>IF(DATOS!$I11975="","",IFERROR(VLOOKUP(DATOS!$I11975,CONFIG_ASIGNATURAS!$B$2:$J$61,9,FALSE()),""))</f>
      </c>
    </row>
    <row r="11976">
      <c r="E11976">
        <f>IF(DATOS!$I11976="","",IFERROR(VLOOKUP(DATOS!$I11976,CONFIG_ASIGNATURAS!$B$2:$J$61,9,FALSE()),""))</f>
      </c>
    </row>
    <row r="11977">
      <c r="E11977">
        <f>IF(DATOS!$I11977="","",IFERROR(VLOOKUP(DATOS!$I11977,CONFIG_ASIGNATURAS!$B$2:$J$61,9,FALSE()),""))</f>
      </c>
    </row>
    <row r="11978">
      <c r="E11978">
        <f>IF(DATOS!$I11978="","",IFERROR(VLOOKUP(DATOS!$I11978,CONFIG_ASIGNATURAS!$B$2:$J$61,9,FALSE()),""))</f>
      </c>
    </row>
    <row r="11979">
      <c r="E11979">
        <f>IF(DATOS!$I11979="","",IFERROR(VLOOKUP(DATOS!$I11979,CONFIG_ASIGNATURAS!$B$2:$J$61,9,FALSE()),""))</f>
      </c>
    </row>
    <row r="11980">
      <c r="E11980">
        <f>IF(DATOS!$I11980="","",IFERROR(VLOOKUP(DATOS!$I11980,CONFIG_ASIGNATURAS!$B$2:$J$61,9,FALSE()),""))</f>
      </c>
    </row>
    <row r="11981">
      <c r="E11981">
        <f>IF(DATOS!$I11981="","",IFERROR(VLOOKUP(DATOS!$I11981,CONFIG_ASIGNATURAS!$B$2:$J$61,9,FALSE()),""))</f>
      </c>
    </row>
    <row r="11982">
      <c r="E11982">
        <f>IF(DATOS!$I11982="","",IFERROR(VLOOKUP(DATOS!$I11982,CONFIG_ASIGNATURAS!$B$2:$J$61,9,FALSE()),""))</f>
      </c>
    </row>
    <row r="11983">
      <c r="E11983">
        <f>IF(DATOS!$I11983="","",IFERROR(VLOOKUP(DATOS!$I11983,CONFIG_ASIGNATURAS!$B$2:$J$61,9,FALSE()),""))</f>
      </c>
    </row>
    <row r="11984">
      <c r="E11984">
        <f>IF(DATOS!$I11984="","",IFERROR(VLOOKUP(DATOS!$I11984,CONFIG_ASIGNATURAS!$B$2:$J$61,9,FALSE()),""))</f>
      </c>
    </row>
    <row r="11985">
      <c r="E11985">
        <f>IF(DATOS!$I11985="","",IFERROR(VLOOKUP(DATOS!$I11985,CONFIG_ASIGNATURAS!$B$2:$J$61,9,FALSE()),""))</f>
      </c>
    </row>
    <row r="11986">
      <c r="E11986">
        <f>IF(DATOS!$I11986="","",IFERROR(VLOOKUP(DATOS!$I11986,CONFIG_ASIGNATURAS!$B$2:$J$61,9,FALSE()),""))</f>
      </c>
    </row>
    <row r="11987">
      <c r="E11987">
        <f>IF(DATOS!$I11987="","",IFERROR(VLOOKUP(DATOS!$I11987,CONFIG_ASIGNATURAS!$B$2:$J$61,9,FALSE()),""))</f>
      </c>
    </row>
    <row r="11988">
      <c r="E11988">
        <f>IF(DATOS!$I11988="","",IFERROR(VLOOKUP(DATOS!$I11988,CONFIG_ASIGNATURAS!$B$2:$J$61,9,FALSE()),""))</f>
      </c>
    </row>
    <row r="11989">
      <c r="E11989">
        <f>IF(DATOS!$I11989="","",IFERROR(VLOOKUP(DATOS!$I11989,CONFIG_ASIGNATURAS!$B$2:$J$61,9,FALSE()),""))</f>
      </c>
    </row>
    <row r="11990">
      <c r="E11990">
        <f>IF(DATOS!$I11990="","",IFERROR(VLOOKUP(DATOS!$I11990,CONFIG_ASIGNATURAS!$B$2:$J$61,9,FALSE()),""))</f>
      </c>
    </row>
    <row r="11991">
      <c r="E11991">
        <f>IF(DATOS!$I11991="","",IFERROR(VLOOKUP(DATOS!$I11991,CONFIG_ASIGNATURAS!$B$2:$J$61,9,FALSE()),""))</f>
      </c>
    </row>
    <row r="11992">
      <c r="E11992">
        <f>IF(DATOS!$I11992="","",IFERROR(VLOOKUP(DATOS!$I11992,CONFIG_ASIGNATURAS!$B$2:$J$61,9,FALSE()),""))</f>
      </c>
    </row>
    <row r="11993">
      <c r="E11993">
        <f>IF(DATOS!$I11993="","",IFERROR(VLOOKUP(DATOS!$I11993,CONFIG_ASIGNATURAS!$B$2:$J$61,9,FALSE()),""))</f>
      </c>
    </row>
    <row r="11994">
      <c r="E11994">
        <f>IF(DATOS!$I11994="","",IFERROR(VLOOKUP(DATOS!$I11994,CONFIG_ASIGNATURAS!$B$2:$J$61,9,FALSE()),""))</f>
      </c>
    </row>
    <row r="11995">
      <c r="E11995">
        <f>IF(DATOS!$I11995="","",IFERROR(VLOOKUP(DATOS!$I11995,CONFIG_ASIGNATURAS!$B$2:$J$61,9,FALSE()),""))</f>
      </c>
    </row>
    <row r="11996">
      <c r="E11996">
        <f>IF(DATOS!$I11996="","",IFERROR(VLOOKUP(DATOS!$I11996,CONFIG_ASIGNATURAS!$B$2:$J$61,9,FALSE()),""))</f>
      </c>
    </row>
    <row r="11997">
      <c r="E11997">
        <f>IF(DATOS!$I11997="","",IFERROR(VLOOKUP(DATOS!$I11997,CONFIG_ASIGNATURAS!$B$2:$J$61,9,FALSE()),""))</f>
      </c>
    </row>
    <row r="11998">
      <c r="E11998">
        <f>IF(DATOS!$I11998="","",IFERROR(VLOOKUP(DATOS!$I11998,CONFIG_ASIGNATURAS!$B$2:$J$61,9,FALSE()),""))</f>
      </c>
    </row>
    <row r="11999">
      <c r="E11999">
        <f>IF(DATOS!$I11999="","",IFERROR(VLOOKUP(DATOS!$I11999,CONFIG_ASIGNATURAS!$B$2:$J$61,9,FALSE()),""))</f>
      </c>
    </row>
    <row r="12000">
      <c r="E12000">
        <f>IF(DATOS!$I12000="","",IFERROR(VLOOKUP(DATOS!$I12000,CONFIG_ASIGNATURAS!$B$2:$J$61,9,FALSE()),""))</f>
      </c>
    </row>
    <row r="12001">
      <c r="E12001">
        <f>IF(DATOS!$I12001="","",IFERROR(VLOOKUP(DATOS!$I12001,CONFIG_ASIGNATURAS!$B$2:$J$61,9,FALSE()),""))</f>
      </c>
    </row>
    <row r="12002">
      <c r="E12002">
        <f>IF(DATOS!$I12002="","",IFERROR(VLOOKUP(DATOS!$I12002,CONFIG_ASIGNATURAS!$B$2:$J$61,9,FALSE()),""))</f>
      </c>
    </row>
    <row r="12003">
      <c r="E12003">
        <f>IF(DATOS!$I12003="","",IFERROR(VLOOKUP(DATOS!$I12003,CONFIG_ASIGNATURAS!$B$2:$J$61,9,FALSE()),""))</f>
      </c>
    </row>
    <row r="12004">
      <c r="E12004">
        <f>IF(DATOS!$I12004="","",IFERROR(VLOOKUP(DATOS!$I12004,CONFIG_ASIGNATURAS!$B$2:$J$61,9,FALSE()),""))</f>
      </c>
    </row>
    <row r="12005">
      <c r="E12005">
        <f>IF(DATOS!$I12005="","",IFERROR(VLOOKUP(DATOS!$I12005,CONFIG_ASIGNATURAS!$B$2:$J$61,9,FALSE()),""))</f>
      </c>
    </row>
    <row r="12006">
      <c r="E12006">
        <f>IF(DATOS!$I12006="","",IFERROR(VLOOKUP(DATOS!$I12006,CONFIG_ASIGNATURAS!$B$2:$J$61,9,FALSE()),""))</f>
      </c>
    </row>
    <row r="12007">
      <c r="E12007">
        <f>IF(DATOS!$I12007="","",IFERROR(VLOOKUP(DATOS!$I12007,CONFIG_ASIGNATURAS!$B$2:$J$61,9,FALSE()),""))</f>
      </c>
    </row>
    <row r="12008">
      <c r="E12008">
        <f>IF(DATOS!$I12008="","",IFERROR(VLOOKUP(DATOS!$I12008,CONFIG_ASIGNATURAS!$B$2:$J$61,9,FALSE()),""))</f>
      </c>
    </row>
    <row r="12009">
      <c r="E12009">
        <f>IF(DATOS!$I12009="","",IFERROR(VLOOKUP(DATOS!$I12009,CONFIG_ASIGNATURAS!$B$2:$J$61,9,FALSE()),""))</f>
      </c>
    </row>
    <row r="12010">
      <c r="E12010">
        <f>IF(DATOS!$I12010="","",IFERROR(VLOOKUP(DATOS!$I12010,CONFIG_ASIGNATURAS!$B$2:$J$61,9,FALSE()),""))</f>
      </c>
    </row>
    <row r="12011">
      <c r="E12011">
        <f>IF(DATOS!$I12011="","",IFERROR(VLOOKUP(DATOS!$I12011,CONFIG_ASIGNATURAS!$B$2:$J$61,9,FALSE()),""))</f>
      </c>
    </row>
    <row r="12012">
      <c r="E12012">
        <f>IF(DATOS!$I12012="","",IFERROR(VLOOKUP(DATOS!$I12012,CONFIG_ASIGNATURAS!$B$2:$J$61,9,FALSE()),""))</f>
      </c>
    </row>
    <row r="12013">
      <c r="E12013">
        <f>IF(DATOS!$I12013="","",IFERROR(VLOOKUP(DATOS!$I12013,CONFIG_ASIGNATURAS!$B$2:$J$61,9,FALSE()),""))</f>
      </c>
    </row>
    <row r="12014">
      <c r="E12014">
        <f>IF(DATOS!$I12014="","",IFERROR(VLOOKUP(DATOS!$I12014,CONFIG_ASIGNATURAS!$B$2:$J$61,9,FALSE()),""))</f>
      </c>
    </row>
    <row r="12015">
      <c r="E12015">
        <f>IF(DATOS!$I12015="","",IFERROR(VLOOKUP(DATOS!$I12015,CONFIG_ASIGNATURAS!$B$2:$J$61,9,FALSE()),""))</f>
      </c>
    </row>
    <row r="12016">
      <c r="E12016">
        <f>IF(DATOS!$I12016="","",IFERROR(VLOOKUP(DATOS!$I12016,CONFIG_ASIGNATURAS!$B$2:$J$61,9,FALSE()),""))</f>
      </c>
    </row>
    <row r="12017">
      <c r="E12017">
        <f>IF(DATOS!$I12017="","",IFERROR(VLOOKUP(DATOS!$I12017,CONFIG_ASIGNATURAS!$B$2:$J$61,9,FALSE()),""))</f>
      </c>
    </row>
    <row r="12018">
      <c r="E12018">
        <f>IF(DATOS!$I12018="","",IFERROR(VLOOKUP(DATOS!$I12018,CONFIG_ASIGNATURAS!$B$2:$J$61,9,FALSE()),""))</f>
      </c>
    </row>
    <row r="12019">
      <c r="E12019">
        <f>IF(DATOS!$I12019="","",IFERROR(VLOOKUP(DATOS!$I12019,CONFIG_ASIGNATURAS!$B$2:$J$61,9,FALSE()),""))</f>
      </c>
    </row>
    <row r="12020">
      <c r="E12020">
        <f>IF(DATOS!$I12020="","",IFERROR(VLOOKUP(DATOS!$I12020,CONFIG_ASIGNATURAS!$B$2:$J$61,9,FALSE()),""))</f>
      </c>
    </row>
    <row r="12021">
      <c r="E12021">
        <f>IF(DATOS!$I12021="","",IFERROR(VLOOKUP(DATOS!$I12021,CONFIG_ASIGNATURAS!$B$2:$J$61,9,FALSE()),""))</f>
      </c>
    </row>
    <row r="12022">
      <c r="E12022">
        <f>IF(DATOS!$I12022="","",IFERROR(VLOOKUP(DATOS!$I12022,CONFIG_ASIGNATURAS!$B$2:$J$61,9,FALSE()),""))</f>
      </c>
    </row>
    <row r="12023">
      <c r="E12023">
        <f>IF(DATOS!$I12023="","",IFERROR(VLOOKUP(DATOS!$I12023,CONFIG_ASIGNATURAS!$B$2:$J$61,9,FALSE()),""))</f>
      </c>
    </row>
    <row r="12024">
      <c r="E12024">
        <f>IF(DATOS!$I12024="","",IFERROR(VLOOKUP(DATOS!$I12024,CONFIG_ASIGNATURAS!$B$2:$J$61,9,FALSE()),""))</f>
      </c>
    </row>
    <row r="12025">
      <c r="E12025">
        <f>IF(DATOS!$I12025="","",IFERROR(VLOOKUP(DATOS!$I12025,CONFIG_ASIGNATURAS!$B$2:$J$61,9,FALSE()),""))</f>
      </c>
    </row>
    <row r="12026">
      <c r="E12026">
        <f>IF(DATOS!$I12026="","",IFERROR(VLOOKUP(DATOS!$I12026,CONFIG_ASIGNATURAS!$B$2:$J$61,9,FALSE()),""))</f>
      </c>
    </row>
    <row r="12027">
      <c r="E12027">
        <f>IF(DATOS!$I12027="","",IFERROR(VLOOKUP(DATOS!$I12027,CONFIG_ASIGNATURAS!$B$2:$J$61,9,FALSE()),""))</f>
      </c>
    </row>
    <row r="12028">
      <c r="E12028">
        <f>IF(DATOS!$I12028="","",IFERROR(VLOOKUP(DATOS!$I12028,CONFIG_ASIGNATURAS!$B$2:$J$61,9,FALSE()),""))</f>
      </c>
    </row>
    <row r="12029">
      <c r="E12029">
        <f>IF(DATOS!$I12029="","",IFERROR(VLOOKUP(DATOS!$I12029,CONFIG_ASIGNATURAS!$B$2:$J$61,9,FALSE()),""))</f>
      </c>
    </row>
    <row r="12030">
      <c r="E12030">
        <f>IF(DATOS!$I12030="","",IFERROR(VLOOKUP(DATOS!$I12030,CONFIG_ASIGNATURAS!$B$2:$J$61,9,FALSE()),""))</f>
      </c>
    </row>
    <row r="12031">
      <c r="E12031">
        <f>IF(DATOS!$I12031="","",IFERROR(VLOOKUP(DATOS!$I12031,CONFIG_ASIGNATURAS!$B$2:$J$61,9,FALSE()),""))</f>
      </c>
    </row>
    <row r="12032">
      <c r="E12032">
        <f>IF(DATOS!$I12032="","",IFERROR(VLOOKUP(DATOS!$I12032,CONFIG_ASIGNATURAS!$B$2:$J$61,9,FALSE()),""))</f>
      </c>
    </row>
    <row r="12033">
      <c r="E12033">
        <f>IF(DATOS!$I12033="","",IFERROR(VLOOKUP(DATOS!$I12033,CONFIG_ASIGNATURAS!$B$2:$J$61,9,FALSE()),""))</f>
      </c>
    </row>
    <row r="12034">
      <c r="E12034">
        <f>IF(DATOS!$I12034="","",IFERROR(VLOOKUP(DATOS!$I12034,CONFIG_ASIGNATURAS!$B$2:$J$61,9,FALSE()),""))</f>
      </c>
    </row>
    <row r="12035">
      <c r="E12035">
        <f>IF(DATOS!$I12035="","",IFERROR(VLOOKUP(DATOS!$I12035,CONFIG_ASIGNATURAS!$B$2:$J$61,9,FALSE()),""))</f>
      </c>
    </row>
    <row r="12036">
      <c r="E12036">
        <f>IF(DATOS!$I12036="","",IFERROR(VLOOKUP(DATOS!$I12036,CONFIG_ASIGNATURAS!$B$2:$J$61,9,FALSE()),""))</f>
      </c>
    </row>
    <row r="12037">
      <c r="E12037">
        <f>IF(DATOS!$I12037="","",IFERROR(VLOOKUP(DATOS!$I12037,CONFIG_ASIGNATURAS!$B$2:$J$61,9,FALSE()),""))</f>
      </c>
    </row>
    <row r="12038">
      <c r="E12038">
        <f>IF(DATOS!$I12038="","",IFERROR(VLOOKUP(DATOS!$I12038,CONFIG_ASIGNATURAS!$B$2:$J$61,9,FALSE()),""))</f>
      </c>
    </row>
    <row r="12039">
      <c r="E12039">
        <f>IF(DATOS!$I12039="","",IFERROR(VLOOKUP(DATOS!$I12039,CONFIG_ASIGNATURAS!$B$2:$J$61,9,FALSE()),""))</f>
      </c>
    </row>
    <row r="12040">
      <c r="E12040">
        <f>IF(DATOS!$I12040="","",IFERROR(VLOOKUP(DATOS!$I12040,CONFIG_ASIGNATURAS!$B$2:$J$61,9,FALSE()),""))</f>
      </c>
    </row>
    <row r="12041">
      <c r="E12041">
        <f>IF(DATOS!$I12041="","",IFERROR(VLOOKUP(DATOS!$I12041,CONFIG_ASIGNATURAS!$B$2:$J$61,9,FALSE()),""))</f>
      </c>
    </row>
    <row r="12042">
      <c r="E12042">
        <f>IF(DATOS!$I12042="","",IFERROR(VLOOKUP(DATOS!$I12042,CONFIG_ASIGNATURAS!$B$2:$J$61,9,FALSE()),""))</f>
      </c>
    </row>
    <row r="12043">
      <c r="E12043">
        <f>IF(DATOS!$I12043="","",IFERROR(VLOOKUP(DATOS!$I12043,CONFIG_ASIGNATURAS!$B$2:$J$61,9,FALSE()),""))</f>
      </c>
    </row>
    <row r="12044">
      <c r="E12044">
        <f>IF(DATOS!$I12044="","",IFERROR(VLOOKUP(DATOS!$I12044,CONFIG_ASIGNATURAS!$B$2:$J$61,9,FALSE()),""))</f>
      </c>
    </row>
    <row r="12045">
      <c r="E12045">
        <f>IF(DATOS!$I12045="","",IFERROR(VLOOKUP(DATOS!$I12045,CONFIG_ASIGNATURAS!$B$2:$J$61,9,FALSE()),""))</f>
      </c>
    </row>
    <row r="12046">
      <c r="E12046">
        <f>IF(DATOS!$I12046="","",IFERROR(VLOOKUP(DATOS!$I12046,CONFIG_ASIGNATURAS!$B$2:$J$61,9,FALSE()),""))</f>
      </c>
    </row>
    <row r="12047">
      <c r="E12047">
        <f>IF(DATOS!$I12047="","",IFERROR(VLOOKUP(DATOS!$I12047,CONFIG_ASIGNATURAS!$B$2:$J$61,9,FALSE()),""))</f>
      </c>
    </row>
    <row r="12048">
      <c r="E12048">
        <f>IF(DATOS!$I12048="","",IFERROR(VLOOKUP(DATOS!$I12048,CONFIG_ASIGNATURAS!$B$2:$J$61,9,FALSE()),""))</f>
      </c>
    </row>
    <row r="12049">
      <c r="E12049">
        <f>IF(DATOS!$I12049="","",IFERROR(VLOOKUP(DATOS!$I12049,CONFIG_ASIGNATURAS!$B$2:$J$61,9,FALSE()),""))</f>
      </c>
    </row>
    <row r="12050">
      <c r="E12050">
        <f>IF(DATOS!$I12050="","",IFERROR(VLOOKUP(DATOS!$I12050,CONFIG_ASIGNATURAS!$B$2:$J$61,9,FALSE()),""))</f>
      </c>
    </row>
    <row r="12051">
      <c r="E12051">
        <f>IF(DATOS!$I12051="","",IFERROR(VLOOKUP(DATOS!$I12051,CONFIG_ASIGNATURAS!$B$2:$J$61,9,FALSE()),""))</f>
      </c>
    </row>
    <row r="12052">
      <c r="E12052">
        <f>IF(DATOS!$I12052="","",IFERROR(VLOOKUP(DATOS!$I12052,CONFIG_ASIGNATURAS!$B$2:$J$61,9,FALSE()),""))</f>
      </c>
    </row>
    <row r="12053">
      <c r="E12053">
        <f>IF(DATOS!$I12053="","",IFERROR(VLOOKUP(DATOS!$I12053,CONFIG_ASIGNATURAS!$B$2:$J$61,9,FALSE()),""))</f>
      </c>
    </row>
    <row r="12054">
      <c r="E12054">
        <f>IF(DATOS!$I12054="","",IFERROR(VLOOKUP(DATOS!$I12054,CONFIG_ASIGNATURAS!$B$2:$J$61,9,FALSE()),""))</f>
      </c>
    </row>
    <row r="12055">
      <c r="E12055">
        <f>IF(DATOS!$I12055="","",IFERROR(VLOOKUP(DATOS!$I12055,CONFIG_ASIGNATURAS!$B$2:$J$61,9,FALSE()),""))</f>
      </c>
    </row>
    <row r="12056">
      <c r="E12056">
        <f>IF(DATOS!$I12056="","",IFERROR(VLOOKUP(DATOS!$I12056,CONFIG_ASIGNATURAS!$B$2:$J$61,9,FALSE()),""))</f>
      </c>
    </row>
    <row r="12057">
      <c r="E12057">
        <f>IF(DATOS!$I12057="","",IFERROR(VLOOKUP(DATOS!$I12057,CONFIG_ASIGNATURAS!$B$2:$J$61,9,FALSE()),""))</f>
      </c>
    </row>
    <row r="12058">
      <c r="E12058">
        <f>IF(DATOS!$I12058="","",IFERROR(VLOOKUP(DATOS!$I12058,CONFIG_ASIGNATURAS!$B$2:$J$61,9,FALSE()),""))</f>
      </c>
    </row>
    <row r="12059">
      <c r="E12059">
        <f>IF(DATOS!$I12059="","",IFERROR(VLOOKUP(DATOS!$I12059,CONFIG_ASIGNATURAS!$B$2:$J$61,9,FALSE()),""))</f>
      </c>
    </row>
    <row r="12060">
      <c r="E12060">
        <f>IF(DATOS!$I12060="","",IFERROR(VLOOKUP(DATOS!$I12060,CONFIG_ASIGNATURAS!$B$2:$J$61,9,FALSE()),""))</f>
      </c>
    </row>
    <row r="12061">
      <c r="E12061">
        <f>IF(DATOS!$I12061="","",IFERROR(VLOOKUP(DATOS!$I12061,CONFIG_ASIGNATURAS!$B$2:$J$61,9,FALSE()),""))</f>
      </c>
    </row>
    <row r="12062">
      <c r="E12062">
        <f>IF(DATOS!$I12062="","",IFERROR(VLOOKUP(DATOS!$I12062,CONFIG_ASIGNATURAS!$B$2:$J$61,9,FALSE()),""))</f>
      </c>
    </row>
    <row r="12063">
      <c r="E12063">
        <f>IF(DATOS!$I12063="","",IFERROR(VLOOKUP(DATOS!$I12063,CONFIG_ASIGNATURAS!$B$2:$J$61,9,FALSE()),""))</f>
      </c>
    </row>
    <row r="12064">
      <c r="E12064">
        <f>IF(DATOS!$I12064="","",IFERROR(VLOOKUP(DATOS!$I12064,CONFIG_ASIGNATURAS!$B$2:$J$61,9,FALSE()),""))</f>
      </c>
    </row>
    <row r="12065">
      <c r="E12065">
        <f>IF(DATOS!$I12065="","",IFERROR(VLOOKUP(DATOS!$I12065,CONFIG_ASIGNATURAS!$B$2:$J$61,9,FALSE()),""))</f>
      </c>
    </row>
    <row r="12066">
      <c r="E12066">
        <f>IF(DATOS!$I12066="","",IFERROR(VLOOKUP(DATOS!$I12066,CONFIG_ASIGNATURAS!$B$2:$J$61,9,FALSE()),""))</f>
      </c>
    </row>
    <row r="12067">
      <c r="E12067">
        <f>IF(DATOS!$I12067="","",IFERROR(VLOOKUP(DATOS!$I12067,CONFIG_ASIGNATURAS!$B$2:$J$61,9,FALSE()),""))</f>
      </c>
    </row>
    <row r="12068">
      <c r="E12068">
        <f>IF(DATOS!$I12068="","",IFERROR(VLOOKUP(DATOS!$I12068,CONFIG_ASIGNATURAS!$B$2:$J$61,9,FALSE()),""))</f>
      </c>
    </row>
    <row r="12069">
      <c r="E12069">
        <f>IF(DATOS!$I12069="","",IFERROR(VLOOKUP(DATOS!$I12069,CONFIG_ASIGNATURAS!$B$2:$J$61,9,FALSE()),""))</f>
      </c>
    </row>
    <row r="12070">
      <c r="E12070">
        <f>IF(DATOS!$I12070="","",IFERROR(VLOOKUP(DATOS!$I12070,CONFIG_ASIGNATURAS!$B$2:$J$61,9,FALSE()),""))</f>
      </c>
    </row>
    <row r="12071">
      <c r="E12071">
        <f>IF(DATOS!$I12071="","",IFERROR(VLOOKUP(DATOS!$I12071,CONFIG_ASIGNATURAS!$B$2:$J$61,9,FALSE()),""))</f>
      </c>
    </row>
    <row r="12072">
      <c r="E12072">
        <f>IF(DATOS!$I12072="","",IFERROR(VLOOKUP(DATOS!$I12072,CONFIG_ASIGNATURAS!$B$2:$J$61,9,FALSE()),""))</f>
      </c>
    </row>
    <row r="12073">
      <c r="E12073">
        <f>IF(DATOS!$I12073="","",IFERROR(VLOOKUP(DATOS!$I12073,CONFIG_ASIGNATURAS!$B$2:$J$61,9,FALSE()),""))</f>
      </c>
    </row>
    <row r="12074">
      <c r="E12074">
        <f>IF(DATOS!$I12074="","",IFERROR(VLOOKUP(DATOS!$I12074,CONFIG_ASIGNATURAS!$B$2:$J$61,9,FALSE()),""))</f>
      </c>
    </row>
    <row r="12075">
      <c r="E12075">
        <f>IF(DATOS!$I12075="","",IFERROR(VLOOKUP(DATOS!$I12075,CONFIG_ASIGNATURAS!$B$2:$J$61,9,FALSE()),""))</f>
      </c>
    </row>
    <row r="12076">
      <c r="E12076">
        <f>IF(DATOS!$I12076="","",IFERROR(VLOOKUP(DATOS!$I12076,CONFIG_ASIGNATURAS!$B$2:$J$61,9,FALSE()),""))</f>
      </c>
    </row>
    <row r="12077">
      <c r="E12077">
        <f>IF(DATOS!$I12077="","",IFERROR(VLOOKUP(DATOS!$I12077,CONFIG_ASIGNATURAS!$B$2:$J$61,9,FALSE()),""))</f>
      </c>
    </row>
    <row r="12078">
      <c r="E12078">
        <f>IF(DATOS!$I12078="","",IFERROR(VLOOKUP(DATOS!$I12078,CONFIG_ASIGNATURAS!$B$2:$J$61,9,FALSE()),""))</f>
      </c>
    </row>
    <row r="12079">
      <c r="E12079">
        <f>IF(DATOS!$I12079="","",IFERROR(VLOOKUP(DATOS!$I12079,CONFIG_ASIGNATURAS!$B$2:$J$61,9,FALSE()),""))</f>
      </c>
    </row>
    <row r="12080">
      <c r="E12080">
        <f>IF(DATOS!$I12080="","",IFERROR(VLOOKUP(DATOS!$I12080,CONFIG_ASIGNATURAS!$B$2:$J$61,9,FALSE()),""))</f>
      </c>
    </row>
    <row r="12081">
      <c r="E12081">
        <f>IF(DATOS!$I12081="","",IFERROR(VLOOKUP(DATOS!$I12081,CONFIG_ASIGNATURAS!$B$2:$J$61,9,FALSE()),""))</f>
      </c>
    </row>
    <row r="12082">
      <c r="E12082">
        <f>IF(DATOS!$I12082="","",IFERROR(VLOOKUP(DATOS!$I12082,CONFIG_ASIGNATURAS!$B$2:$J$61,9,FALSE()),""))</f>
      </c>
    </row>
    <row r="12083">
      <c r="E12083">
        <f>IF(DATOS!$I12083="","",IFERROR(VLOOKUP(DATOS!$I12083,CONFIG_ASIGNATURAS!$B$2:$J$61,9,FALSE()),""))</f>
      </c>
    </row>
    <row r="12084">
      <c r="E12084">
        <f>IF(DATOS!$I12084="","",IFERROR(VLOOKUP(DATOS!$I12084,CONFIG_ASIGNATURAS!$B$2:$J$61,9,FALSE()),""))</f>
      </c>
    </row>
    <row r="12085">
      <c r="E12085">
        <f>IF(DATOS!$I12085="","",IFERROR(VLOOKUP(DATOS!$I12085,CONFIG_ASIGNATURAS!$B$2:$J$61,9,FALSE()),""))</f>
      </c>
    </row>
    <row r="12086">
      <c r="E12086">
        <f>IF(DATOS!$I12086="","",IFERROR(VLOOKUP(DATOS!$I12086,CONFIG_ASIGNATURAS!$B$2:$J$61,9,FALSE()),""))</f>
      </c>
    </row>
    <row r="12087">
      <c r="E12087">
        <f>IF(DATOS!$I12087="","",IFERROR(VLOOKUP(DATOS!$I12087,CONFIG_ASIGNATURAS!$B$2:$J$61,9,FALSE()),""))</f>
      </c>
    </row>
    <row r="12088">
      <c r="E12088">
        <f>IF(DATOS!$I12088="","",IFERROR(VLOOKUP(DATOS!$I12088,CONFIG_ASIGNATURAS!$B$2:$J$61,9,FALSE()),""))</f>
      </c>
    </row>
    <row r="12089">
      <c r="E12089">
        <f>IF(DATOS!$I12089="","",IFERROR(VLOOKUP(DATOS!$I12089,CONFIG_ASIGNATURAS!$B$2:$J$61,9,FALSE()),""))</f>
      </c>
    </row>
    <row r="12090">
      <c r="E12090">
        <f>IF(DATOS!$I12090="","",IFERROR(VLOOKUP(DATOS!$I12090,CONFIG_ASIGNATURAS!$B$2:$J$61,9,FALSE()),""))</f>
      </c>
    </row>
    <row r="12091">
      <c r="E12091">
        <f>IF(DATOS!$I12091="","",IFERROR(VLOOKUP(DATOS!$I12091,CONFIG_ASIGNATURAS!$B$2:$J$61,9,FALSE()),""))</f>
      </c>
    </row>
    <row r="12092">
      <c r="E12092">
        <f>IF(DATOS!$I12092="","",IFERROR(VLOOKUP(DATOS!$I12092,CONFIG_ASIGNATURAS!$B$2:$J$61,9,FALSE()),""))</f>
      </c>
    </row>
    <row r="12093">
      <c r="E12093">
        <f>IF(DATOS!$I12093="","",IFERROR(VLOOKUP(DATOS!$I12093,CONFIG_ASIGNATURAS!$B$2:$J$61,9,FALSE()),""))</f>
      </c>
    </row>
    <row r="12094">
      <c r="E12094">
        <f>IF(DATOS!$I12094="","",IFERROR(VLOOKUP(DATOS!$I12094,CONFIG_ASIGNATURAS!$B$2:$J$61,9,FALSE()),""))</f>
      </c>
    </row>
    <row r="12095">
      <c r="E12095">
        <f>IF(DATOS!$I12095="","",IFERROR(VLOOKUP(DATOS!$I12095,CONFIG_ASIGNATURAS!$B$2:$J$61,9,FALSE()),""))</f>
      </c>
    </row>
    <row r="12096">
      <c r="E12096">
        <f>IF(DATOS!$I12096="","",IFERROR(VLOOKUP(DATOS!$I12096,CONFIG_ASIGNATURAS!$B$2:$J$61,9,FALSE()),""))</f>
      </c>
    </row>
    <row r="12097">
      <c r="E12097">
        <f>IF(DATOS!$I12097="","",IFERROR(VLOOKUP(DATOS!$I12097,CONFIG_ASIGNATURAS!$B$2:$J$61,9,FALSE()),""))</f>
      </c>
    </row>
    <row r="12098">
      <c r="E12098">
        <f>IF(DATOS!$I12098="","",IFERROR(VLOOKUP(DATOS!$I12098,CONFIG_ASIGNATURAS!$B$2:$J$61,9,FALSE()),""))</f>
      </c>
    </row>
    <row r="12099">
      <c r="E12099">
        <f>IF(DATOS!$I12099="","",IFERROR(VLOOKUP(DATOS!$I12099,CONFIG_ASIGNATURAS!$B$2:$J$61,9,FALSE()),""))</f>
      </c>
    </row>
    <row r="12100">
      <c r="E12100">
        <f>IF(DATOS!$I12100="","",IFERROR(VLOOKUP(DATOS!$I12100,CONFIG_ASIGNATURAS!$B$2:$J$61,9,FALSE()),""))</f>
      </c>
    </row>
    <row r="12101">
      <c r="E12101">
        <f>IF(DATOS!$I12101="","",IFERROR(VLOOKUP(DATOS!$I12101,CONFIG_ASIGNATURAS!$B$2:$J$61,9,FALSE()),""))</f>
      </c>
    </row>
    <row r="12102">
      <c r="E12102">
        <f>IF(DATOS!$I12102="","",IFERROR(VLOOKUP(DATOS!$I12102,CONFIG_ASIGNATURAS!$B$2:$J$61,9,FALSE()),""))</f>
      </c>
    </row>
    <row r="12103">
      <c r="E12103">
        <f>IF(DATOS!$I12103="","",IFERROR(VLOOKUP(DATOS!$I12103,CONFIG_ASIGNATURAS!$B$2:$J$61,9,FALSE()),""))</f>
      </c>
    </row>
    <row r="12104">
      <c r="E12104">
        <f>IF(DATOS!$I12104="","",IFERROR(VLOOKUP(DATOS!$I12104,CONFIG_ASIGNATURAS!$B$2:$J$61,9,FALSE()),""))</f>
      </c>
    </row>
    <row r="12105">
      <c r="E12105">
        <f>IF(DATOS!$I12105="","",IFERROR(VLOOKUP(DATOS!$I12105,CONFIG_ASIGNATURAS!$B$2:$J$61,9,FALSE()),""))</f>
      </c>
    </row>
    <row r="12106">
      <c r="E12106">
        <f>IF(DATOS!$I12106="","",IFERROR(VLOOKUP(DATOS!$I12106,CONFIG_ASIGNATURAS!$B$2:$J$61,9,FALSE()),""))</f>
      </c>
    </row>
    <row r="12107">
      <c r="E12107">
        <f>IF(DATOS!$I12107="","",IFERROR(VLOOKUP(DATOS!$I12107,CONFIG_ASIGNATURAS!$B$2:$J$61,9,FALSE()),""))</f>
      </c>
    </row>
    <row r="12108">
      <c r="E12108">
        <f>IF(DATOS!$I12108="","",IFERROR(VLOOKUP(DATOS!$I12108,CONFIG_ASIGNATURAS!$B$2:$J$61,9,FALSE()),""))</f>
      </c>
    </row>
    <row r="12109">
      <c r="E12109">
        <f>IF(DATOS!$I12109="","",IFERROR(VLOOKUP(DATOS!$I12109,CONFIG_ASIGNATURAS!$B$2:$J$61,9,FALSE()),""))</f>
      </c>
    </row>
    <row r="12110">
      <c r="E12110">
        <f>IF(DATOS!$I12110="","",IFERROR(VLOOKUP(DATOS!$I12110,CONFIG_ASIGNATURAS!$B$2:$J$61,9,FALSE()),""))</f>
      </c>
    </row>
    <row r="12111">
      <c r="E12111">
        <f>IF(DATOS!$I12111="","",IFERROR(VLOOKUP(DATOS!$I12111,CONFIG_ASIGNATURAS!$B$2:$J$61,9,FALSE()),""))</f>
      </c>
    </row>
    <row r="12112">
      <c r="E12112">
        <f>IF(DATOS!$I12112="","",IFERROR(VLOOKUP(DATOS!$I12112,CONFIG_ASIGNATURAS!$B$2:$J$61,9,FALSE()),""))</f>
      </c>
    </row>
    <row r="12113">
      <c r="E12113">
        <f>IF(DATOS!$I12113="","",IFERROR(VLOOKUP(DATOS!$I12113,CONFIG_ASIGNATURAS!$B$2:$J$61,9,FALSE()),""))</f>
      </c>
    </row>
    <row r="12114">
      <c r="E12114">
        <f>IF(DATOS!$I12114="","",IFERROR(VLOOKUP(DATOS!$I12114,CONFIG_ASIGNATURAS!$B$2:$J$61,9,FALSE()),""))</f>
      </c>
    </row>
    <row r="12115">
      <c r="E12115">
        <f>IF(DATOS!$I12115="","",IFERROR(VLOOKUP(DATOS!$I12115,CONFIG_ASIGNATURAS!$B$2:$J$61,9,FALSE()),""))</f>
      </c>
    </row>
    <row r="12116">
      <c r="E12116">
        <f>IF(DATOS!$I12116="","",IFERROR(VLOOKUP(DATOS!$I12116,CONFIG_ASIGNATURAS!$B$2:$J$61,9,FALSE()),""))</f>
      </c>
    </row>
    <row r="12117">
      <c r="E12117">
        <f>IF(DATOS!$I12117="","",IFERROR(VLOOKUP(DATOS!$I12117,CONFIG_ASIGNATURAS!$B$2:$J$61,9,FALSE()),""))</f>
      </c>
    </row>
    <row r="12118">
      <c r="E12118">
        <f>IF(DATOS!$I12118="","",IFERROR(VLOOKUP(DATOS!$I12118,CONFIG_ASIGNATURAS!$B$2:$J$61,9,FALSE()),""))</f>
      </c>
    </row>
    <row r="12119">
      <c r="E12119">
        <f>IF(DATOS!$I12119="","",IFERROR(VLOOKUP(DATOS!$I12119,CONFIG_ASIGNATURAS!$B$2:$J$61,9,FALSE()),""))</f>
      </c>
    </row>
    <row r="12120">
      <c r="E12120">
        <f>IF(DATOS!$I12120="","",IFERROR(VLOOKUP(DATOS!$I12120,CONFIG_ASIGNATURAS!$B$2:$J$61,9,FALSE()),""))</f>
      </c>
    </row>
    <row r="12121">
      <c r="E12121">
        <f>IF(DATOS!$I12121="","",IFERROR(VLOOKUP(DATOS!$I12121,CONFIG_ASIGNATURAS!$B$2:$J$61,9,FALSE()),""))</f>
      </c>
    </row>
    <row r="12122">
      <c r="E12122">
        <f>IF(DATOS!$I12122="","",IFERROR(VLOOKUP(DATOS!$I12122,CONFIG_ASIGNATURAS!$B$2:$J$61,9,FALSE()),""))</f>
      </c>
    </row>
    <row r="12123">
      <c r="E12123">
        <f>IF(DATOS!$I12123="","",IFERROR(VLOOKUP(DATOS!$I12123,CONFIG_ASIGNATURAS!$B$2:$J$61,9,FALSE()),""))</f>
      </c>
    </row>
    <row r="12124">
      <c r="E12124">
        <f>IF(DATOS!$I12124="","",IFERROR(VLOOKUP(DATOS!$I12124,CONFIG_ASIGNATURAS!$B$2:$J$61,9,FALSE()),""))</f>
      </c>
    </row>
    <row r="12125">
      <c r="E12125">
        <f>IF(DATOS!$I12125="","",IFERROR(VLOOKUP(DATOS!$I12125,CONFIG_ASIGNATURAS!$B$2:$J$61,9,FALSE()),""))</f>
      </c>
    </row>
    <row r="12126">
      <c r="E12126">
        <f>IF(DATOS!$I12126="","",IFERROR(VLOOKUP(DATOS!$I12126,CONFIG_ASIGNATURAS!$B$2:$J$61,9,FALSE()),""))</f>
      </c>
    </row>
    <row r="12127">
      <c r="E12127">
        <f>IF(DATOS!$I12127="","",IFERROR(VLOOKUP(DATOS!$I12127,CONFIG_ASIGNATURAS!$B$2:$J$61,9,FALSE()),""))</f>
      </c>
    </row>
    <row r="12128">
      <c r="E12128">
        <f>IF(DATOS!$I12128="","",IFERROR(VLOOKUP(DATOS!$I12128,CONFIG_ASIGNATURAS!$B$2:$J$61,9,FALSE()),""))</f>
      </c>
    </row>
    <row r="12129">
      <c r="E12129">
        <f>IF(DATOS!$I12129="","",IFERROR(VLOOKUP(DATOS!$I12129,CONFIG_ASIGNATURAS!$B$2:$J$61,9,FALSE()),""))</f>
      </c>
    </row>
    <row r="12130">
      <c r="E12130">
        <f>IF(DATOS!$I12130="","",IFERROR(VLOOKUP(DATOS!$I12130,CONFIG_ASIGNATURAS!$B$2:$J$61,9,FALSE()),""))</f>
      </c>
    </row>
    <row r="12131">
      <c r="E12131">
        <f>IF(DATOS!$I12131="","",IFERROR(VLOOKUP(DATOS!$I12131,CONFIG_ASIGNATURAS!$B$2:$J$61,9,FALSE()),""))</f>
      </c>
    </row>
    <row r="12132">
      <c r="E12132">
        <f>IF(DATOS!$I12132="","",IFERROR(VLOOKUP(DATOS!$I12132,CONFIG_ASIGNATURAS!$B$2:$J$61,9,FALSE()),""))</f>
      </c>
    </row>
    <row r="12133">
      <c r="E12133">
        <f>IF(DATOS!$I12133="","",IFERROR(VLOOKUP(DATOS!$I12133,CONFIG_ASIGNATURAS!$B$2:$J$61,9,FALSE()),""))</f>
      </c>
    </row>
    <row r="12134">
      <c r="E12134">
        <f>IF(DATOS!$I12134="","",IFERROR(VLOOKUP(DATOS!$I12134,CONFIG_ASIGNATURAS!$B$2:$J$61,9,FALSE()),""))</f>
      </c>
    </row>
    <row r="12135">
      <c r="E12135">
        <f>IF(DATOS!$I12135="","",IFERROR(VLOOKUP(DATOS!$I12135,CONFIG_ASIGNATURAS!$B$2:$J$61,9,FALSE()),""))</f>
      </c>
    </row>
    <row r="12136">
      <c r="E12136">
        <f>IF(DATOS!$I12136="","",IFERROR(VLOOKUP(DATOS!$I12136,CONFIG_ASIGNATURAS!$B$2:$J$61,9,FALSE()),""))</f>
      </c>
    </row>
    <row r="12137">
      <c r="E12137">
        <f>IF(DATOS!$I12137="","",IFERROR(VLOOKUP(DATOS!$I12137,CONFIG_ASIGNATURAS!$B$2:$J$61,9,FALSE()),""))</f>
      </c>
    </row>
    <row r="12138">
      <c r="E12138">
        <f>IF(DATOS!$I12138="","",IFERROR(VLOOKUP(DATOS!$I12138,CONFIG_ASIGNATURAS!$B$2:$J$61,9,FALSE()),""))</f>
      </c>
    </row>
    <row r="12139">
      <c r="E12139">
        <f>IF(DATOS!$I12139="","",IFERROR(VLOOKUP(DATOS!$I12139,CONFIG_ASIGNATURAS!$B$2:$J$61,9,FALSE()),""))</f>
      </c>
    </row>
    <row r="12140">
      <c r="E12140">
        <f>IF(DATOS!$I12140="","",IFERROR(VLOOKUP(DATOS!$I12140,CONFIG_ASIGNATURAS!$B$2:$J$61,9,FALSE()),""))</f>
      </c>
    </row>
    <row r="12141">
      <c r="E12141">
        <f>IF(DATOS!$I12141="","",IFERROR(VLOOKUP(DATOS!$I12141,CONFIG_ASIGNATURAS!$B$2:$J$61,9,FALSE()),""))</f>
      </c>
    </row>
    <row r="12142">
      <c r="E12142">
        <f>IF(DATOS!$I12142="","",IFERROR(VLOOKUP(DATOS!$I12142,CONFIG_ASIGNATURAS!$B$2:$J$61,9,FALSE()),""))</f>
      </c>
    </row>
    <row r="12143">
      <c r="E12143">
        <f>IF(DATOS!$I12143="","",IFERROR(VLOOKUP(DATOS!$I12143,CONFIG_ASIGNATURAS!$B$2:$J$61,9,FALSE()),""))</f>
      </c>
    </row>
    <row r="12144">
      <c r="E12144">
        <f>IF(DATOS!$I12144="","",IFERROR(VLOOKUP(DATOS!$I12144,CONFIG_ASIGNATURAS!$B$2:$J$61,9,FALSE()),""))</f>
      </c>
    </row>
    <row r="12145">
      <c r="E12145">
        <f>IF(DATOS!$I12145="","",IFERROR(VLOOKUP(DATOS!$I12145,CONFIG_ASIGNATURAS!$B$2:$J$61,9,FALSE()),""))</f>
      </c>
    </row>
    <row r="12146">
      <c r="E12146">
        <f>IF(DATOS!$I12146="","",IFERROR(VLOOKUP(DATOS!$I12146,CONFIG_ASIGNATURAS!$B$2:$J$61,9,FALSE()),""))</f>
      </c>
    </row>
    <row r="12147">
      <c r="E12147">
        <f>IF(DATOS!$I12147="","",IFERROR(VLOOKUP(DATOS!$I12147,CONFIG_ASIGNATURAS!$B$2:$J$61,9,FALSE()),""))</f>
      </c>
    </row>
    <row r="12148">
      <c r="E12148">
        <f>IF(DATOS!$I12148="","",IFERROR(VLOOKUP(DATOS!$I12148,CONFIG_ASIGNATURAS!$B$2:$J$61,9,FALSE()),""))</f>
      </c>
    </row>
    <row r="12149">
      <c r="E12149">
        <f>IF(DATOS!$I12149="","",IFERROR(VLOOKUP(DATOS!$I12149,CONFIG_ASIGNATURAS!$B$2:$J$61,9,FALSE()),""))</f>
      </c>
    </row>
    <row r="12150">
      <c r="E12150">
        <f>IF(DATOS!$I12150="","",IFERROR(VLOOKUP(DATOS!$I12150,CONFIG_ASIGNATURAS!$B$2:$J$61,9,FALSE()),""))</f>
      </c>
    </row>
    <row r="12151">
      <c r="E12151">
        <f>IF(DATOS!$I12151="","",IFERROR(VLOOKUP(DATOS!$I12151,CONFIG_ASIGNATURAS!$B$2:$J$61,9,FALSE()),""))</f>
      </c>
    </row>
    <row r="12152">
      <c r="E12152">
        <f>IF(DATOS!$I12152="","",IFERROR(VLOOKUP(DATOS!$I12152,CONFIG_ASIGNATURAS!$B$2:$J$61,9,FALSE()),""))</f>
      </c>
    </row>
    <row r="12153">
      <c r="E12153">
        <f>IF(DATOS!$I12153="","",IFERROR(VLOOKUP(DATOS!$I12153,CONFIG_ASIGNATURAS!$B$2:$J$61,9,FALSE()),""))</f>
      </c>
    </row>
    <row r="12154">
      <c r="E12154">
        <f>IF(DATOS!$I12154="","",IFERROR(VLOOKUP(DATOS!$I12154,CONFIG_ASIGNATURAS!$B$2:$J$61,9,FALSE()),""))</f>
      </c>
    </row>
    <row r="12155">
      <c r="E12155">
        <f>IF(DATOS!$I12155="","",IFERROR(VLOOKUP(DATOS!$I12155,CONFIG_ASIGNATURAS!$B$2:$J$61,9,FALSE()),""))</f>
      </c>
    </row>
    <row r="12156">
      <c r="E12156">
        <f>IF(DATOS!$I12156="","",IFERROR(VLOOKUP(DATOS!$I12156,CONFIG_ASIGNATURAS!$B$2:$J$61,9,FALSE()),""))</f>
      </c>
    </row>
    <row r="12157">
      <c r="E12157">
        <f>IF(DATOS!$I12157="","",IFERROR(VLOOKUP(DATOS!$I12157,CONFIG_ASIGNATURAS!$B$2:$J$61,9,FALSE()),""))</f>
      </c>
    </row>
    <row r="12158">
      <c r="E12158">
        <f>IF(DATOS!$I12158="","",IFERROR(VLOOKUP(DATOS!$I12158,CONFIG_ASIGNATURAS!$B$2:$J$61,9,FALSE()),""))</f>
      </c>
    </row>
    <row r="12159">
      <c r="E12159">
        <f>IF(DATOS!$I12159="","",IFERROR(VLOOKUP(DATOS!$I12159,CONFIG_ASIGNATURAS!$B$2:$J$61,9,FALSE()),""))</f>
      </c>
    </row>
    <row r="12160">
      <c r="E12160">
        <f>IF(DATOS!$I12160="","",IFERROR(VLOOKUP(DATOS!$I12160,CONFIG_ASIGNATURAS!$B$2:$J$61,9,FALSE()),""))</f>
      </c>
    </row>
    <row r="12161">
      <c r="E12161">
        <f>IF(DATOS!$I12161="","",IFERROR(VLOOKUP(DATOS!$I12161,CONFIG_ASIGNATURAS!$B$2:$J$61,9,FALSE()),""))</f>
      </c>
    </row>
    <row r="12162">
      <c r="E12162">
        <f>IF(DATOS!$I12162="","",IFERROR(VLOOKUP(DATOS!$I12162,CONFIG_ASIGNATURAS!$B$2:$J$61,9,FALSE()),""))</f>
      </c>
    </row>
    <row r="12163">
      <c r="E12163">
        <f>IF(DATOS!$I12163="","",IFERROR(VLOOKUP(DATOS!$I12163,CONFIG_ASIGNATURAS!$B$2:$J$61,9,FALSE()),""))</f>
      </c>
    </row>
    <row r="12164">
      <c r="E12164">
        <f>IF(DATOS!$I12164="","",IFERROR(VLOOKUP(DATOS!$I12164,CONFIG_ASIGNATURAS!$B$2:$J$61,9,FALSE()),""))</f>
      </c>
    </row>
    <row r="12165">
      <c r="E12165">
        <f>IF(DATOS!$I12165="","",IFERROR(VLOOKUP(DATOS!$I12165,CONFIG_ASIGNATURAS!$B$2:$J$61,9,FALSE()),""))</f>
      </c>
    </row>
    <row r="12166">
      <c r="E12166">
        <f>IF(DATOS!$I12166="","",IFERROR(VLOOKUP(DATOS!$I12166,CONFIG_ASIGNATURAS!$B$2:$J$61,9,FALSE()),""))</f>
      </c>
    </row>
    <row r="12167">
      <c r="E12167">
        <f>IF(DATOS!$I12167="","",IFERROR(VLOOKUP(DATOS!$I12167,CONFIG_ASIGNATURAS!$B$2:$J$61,9,FALSE()),""))</f>
      </c>
    </row>
    <row r="12168">
      <c r="E12168">
        <f>IF(DATOS!$I12168="","",IFERROR(VLOOKUP(DATOS!$I12168,CONFIG_ASIGNATURAS!$B$2:$J$61,9,FALSE()),""))</f>
      </c>
    </row>
    <row r="12169">
      <c r="E12169">
        <f>IF(DATOS!$I12169="","",IFERROR(VLOOKUP(DATOS!$I12169,CONFIG_ASIGNATURAS!$B$2:$J$61,9,FALSE()),""))</f>
      </c>
    </row>
    <row r="12170">
      <c r="E12170">
        <f>IF(DATOS!$I12170="","",IFERROR(VLOOKUP(DATOS!$I12170,CONFIG_ASIGNATURAS!$B$2:$J$61,9,FALSE()),""))</f>
      </c>
    </row>
    <row r="12171">
      <c r="E12171">
        <f>IF(DATOS!$I12171="","",IFERROR(VLOOKUP(DATOS!$I12171,CONFIG_ASIGNATURAS!$B$2:$J$61,9,FALSE()),""))</f>
      </c>
    </row>
    <row r="12172">
      <c r="E12172">
        <f>IF(DATOS!$I12172="","",IFERROR(VLOOKUP(DATOS!$I12172,CONFIG_ASIGNATURAS!$B$2:$J$61,9,FALSE()),""))</f>
      </c>
    </row>
    <row r="12173">
      <c r="E12173">
        <f>IF(DATOS!$I12173="","",IFERROR(VLOOKUP(DATOS!$I12173,CONFIG_ASIGNATURAS!$B$2:$J$61,9,FALSE()),""))</f>
      </c>
    </row>
    <row r="12174">
      <c r="E12174">
        <f>IF(DATOS!$I12174="","",IFERROR(VLOOKUP(DATOS!$I12174,CONFIG_ASIGNATURAS!$B$2:$J$61,9,FALSE()),""))</f>
      </c>
    </row>
    <row r="12175">
      <c r="E12175">
        <f>IF(DATOS!$I12175="","",IFERROR(VLOOKUP(DATOS!$I12175,CONFIG_ASIGNATURAS!$B$2:$J$61,9,FALSE()),""))</f>
      </c>
    </row>
    <row r="12176">
      <c r="E12176">
        <f>IF(DATOS!$I12176="","",IFERROR(VLOOKUP(DATOS!$I12176,CONFIG_ASIGNATURAS!$B$2:$J$61,9,FALSE()),""))</f>
      </c>
    </row>
    <row r="12177">
      <c r="E12177">
        <f>IF(DATOS!$I12177="","",IFERROR(VLOOKUP(DATOS!$I12177,CONFIG_ASIGNATURAS!$B$2:$J$61,9,FALSE()),""))</f>
      </c>
    </row>
    <row r="12178">
      <c r="E12178">
        <f>IF(DATOS!$I12178="","",IFERROR(VLOOKUP(DATOS!$I12178,CONFIG_ASIGNATURAS!$B$2:$J$61,9,FALSE()),""))</f>
      </c>
    </row>
    <row r="12179">
      <c r="E12179">
        <f>IF(DATOS!$I12179="","",IFERROR(VLOOKUP(DATOS!$I12179,CONFIG_ASIGNATURAS!$B$2:$J$61,9,FALSE()),""))</f>
      </c>
    </row>
    <row r="12180">
      <c r="E12180">
        <f>IF(DATOS!$I12180="","",IFERROR(VLOOKUP(DATOS!$I12180,CONFIG_ASIGNATURAS!$B$2:$J$61,9,FALSE()),""))</f>
      </c>
    </row>
    <row r="12181">
      <c r="E12181">
        <f>IF(DATOS!$I12181="","",IFERROR(VLOOKUP(DATOS!$I12181,CONFIG_ASIGNATURAS!$B$2:$J$61,9,FALSE()),""))</f>
      </c>
    </row>
    <row r="12182">
      <c r="E12182">
        <f>IF(DATOS!$I12182="","",IFERROR(VLOOKUP(DATOS!$I12182,CONFIG_ASIGNATURAS!$B$2:$J$61,9,FALSE()),""))</f>
      </c>
    </row>
    <row r="12183">
      <c r="E12183">
        <f>IF(DATOS!$I12183="","",IFERROR(VLOOKUP(DATOS!$I12183,CONFIG_ASIGNATURAS!$B$2:$J$61,9,FALSE()),""))</f>
      </c>
    </row>
    <row r="12184">
      <c r="E12184">
        <f>IF(DATOS!$I12184="","",IFERROR(VLOOKUP(DATOS!$I12184,CONFIG_ASIGNATURAS!$B$2:$J$61,9,FALSE()),""))</f>
      </c>
    </row>
    <row r="12185">
      <c r="E12185">
        <f>IF(DATOS!$I12185="","",IFERROR(VLOOKUP(DATOS!$I12185,CONFIG_ASIGNATURAS!$B$2:$J$61,9,FALSE()),""))</f>
      </c>
    </row>
    <row r="12186">
      <c r="E12186">
        <f>IF(DATOS!$I12186="","",IFERROR(VLOOKUP(DATOS!$I12186,CONFIG_ASIGNATURAS!$B$2:$J$61,9,FALSE()),""))</f>
      </c>
    </row>
    <row r="12187">
      <c r="E12187">
        <f>IF(DATOS!$I12187="","",IFERROR(VLOOKUP(DATOS!$I12187,CONFIG_ASIGNATURAS!$B$2:$J$61,9,FALSE()),""))</f>
      </c>
    </row>
    <row r="12188">
      <c r="E12188">
        <f>IF(DATOS!$I12188="","",IFERROR(VLOOKUP(DATOS!$I12188,CONFIG_ASIGNATURAS!$B$2:$J$61,9,FALSE()),""))</f>
      </c>
    </row>
    <row r="12189">
      <c r="E12189">
        <f>IF(DATOS!$I12189="","",IFERROR(VLOOKUP(DATOS!$I12189,CONFIG_ASIGNATURAS!$B$2:$J$61,9,FALSE()),""))</f>
      </c>
    </row>
    <row r="12190">
      <c r="E12190">
        <f>IF(DATOS!$I12190="","",IFERROR(VLOOKUP(DATOS!$I12190,CONFIG_ASIGNATURAS!$B$2:$J$61,9,FALSE()),""))</f>
      </c>
    </row>
    <row r="12191">
      <c r="E12191">
        <f>IF(DATOS!$I12191="","",IFERROR(VLOOKUP(DATOS!$I12191,CONFIG_ASIGNATURAS!$B$2:$J$61,9,FALSE()),""))</f>
      </c>
    </row>
    <row r="12192">
      <c r="E12192">
        <f>IF(DATOS!$I12192="","",IFERROR(VLOOKUP(DATOS!$I12192,CONFIG_ASIGNATURAS!$B$2:$J$61,9,FALSE()),""))</f>
      </c>
    </row>
    <row r="12193">
      <c r="E12193">
        <f>IF(DATOS!$I12193="","",IFERROR(VLOOKUP(DATOS!$I12193,CONFIG_ASIGNATURAS!$B$2:$J$61,9,FALSE()),""))</f>
      </c>
    </row>
    <row r="12194">
      <c r="E12194">
        <f>IF(DATOS!$I12194="","",IFERROR(VLOOKUP(DATOS!$I12194,CONFIG_ASIGNATURAS!$B$2:$J$61,9,FALSE()),""))</f>
      </c>
    </row>
    <row r="12195">
      <c r="E12195">
        <f>IF(DATOS!$I12195="","",IFERROR(VLOOKUP(DATOS!$I12195,CONFIG_ASIGNATURAS!$B$2:$J$61,9,FALSE()),""))</f>
      </c>
    </row>
    <row r="12196">
      <c r="E12196">
        <f>IF(DATOS!$I12196="","",IFERROR(VLOOKUP(DATOS!$I12196,CONFIG_ASIGNATURAS!$B$2:$J$61,9,FALSE()),""))</f>
      </c>
    </row>
    <row r="12197">
      <c r="E12197">
        <f>IF(DATOS!$I12197="","",IFERROR(VLOOKUP(DATOS!$I12197,CONFIG_ASIGNATURAS!$B$2:$J$61,9,FALSE()),""))</f>
      </c>
    </row>
    <row r="12198">
      <c r="E12198">
        <f>IF(DATOS!$I12198="","",IFERROR(VLOOKUP(DATOS!$I12198,CONFIG_ASIGNATURAS!$B$2:$J$61,9,FALSE()),""))</f>
      </c>
    </row>
    <row r="12199">
      <c r="E12199">
        <f>IF(DATOS!$I12199="","",IFERROR(VLOOKUP(DATOS!$I12199,CONFIG_ASIGNATURAS!$B$2:$J$61,9,FALSE()),""))</f>
      </c>
    </row>
    <row r="12200">
      <c r="E12200">
        <f>IF(DATOS!$I12200="","",IFERROR(VLOOKUP(DATOS!$I12200,CONFIG_ASIGNATURAS!$B$2:$J$61,9,FALSE()),""))</f>
      </c>
    </row>
    <row r="12201">
      <c r="E12201">
        <f>IF(DATOS!$I12201="","",IFERROR(VLOOKUP(DATOS!$I12201,CONFIG_ASIGNATURAS!$B$2:$J$61,9,FALSE()),""))</f>
      </c>
    </row>
    <row r="12202">
      <c r="E12202">
        <f>IF(DATOS!$I12202="","",IFERROR(VLOOKUP(DATOS!$I12202,CONFIG_ASIGNATURAS!$B$2:$J$61,9,FALSE()),""))</f>
      </c>
    </row>
    <row r="12203">
      <c r="E12203">
        <f>IF(DATOS!$I12203="","",IFERROR(VLOOKUP(DATOS!$I12203,CONFIG_ASIGNATURAS!$B$2:$J$61,9,FALSE()),""))</f>
      </c>
    </row>
    <row r="12204">
      <c r="E12204">
        <f>IF(DATOS!$I12204="","",IFERROR(VLOOKUP(DATOS!$I12204,CONFIG_ASIGNATURAS!$B$2:$J$61,9,FALSE()),""))</f>
      </c>
    </row>
    <row r="12205">
      <c r="E12205">
        <f>IF(DATOS!$I12205="","",IFERROR(VLOOKUP(DATOS!$I12205,CONFIG_ASIGNATURAS!$B$2:$J$61,9,FALSE()),""))</f>
      </c>
    </row>
    <row r="12206">
      <c r="E12206">
        <f>IF(DATOS!$I12206="","",IFERROR(VLOOKUP(DATOS!$I12206,CONFIG_ASIGNATURAS!$B$2:$J$61,9,FALSE()),""))</f>
      </c>
    </row>
    <row r="12207">
      <c r="E12207">
        <f>IF(DATOS!$I12207="","",IFERROR(VLOOKUP(DATOS!$I12207,CONFIG_ASIGNATURAS!$B$2:$J$61,9,FALSE()),""))</f>
      </c>
    </row>
    <row r="12208">
      <c r="E12208">
        <f>IF(DATOS!$I12208="","",IFERROR(VLOOKUP(DATOS!$I12208,CONFIG_ASIGNATURAS!$B$2:$J$61,9,FALSE()),""))</f>
      </c>
    </row>
    <row r="12209">
      <c r="E12209">
        <f>IF(DATOS!$I12209="","",IFERROR(VLOOKUP(DATOS!$I12209,CONFIG_ASIGNATURAS!$B$2:$J$61,9,FALSE()),""))</f>
      </c>
    </row>
    <row r="12210">
      <c r="E12210">
        <f>IF(DATOS!$I12210="","",IFERROR(VLOOKUP(DATOS!$I12210,CONFIG_ASIGNATURAS!$B$2:$J$61,9,FALSE()),""))</f>
      </c>
    </row>
    <row r="12211">
      <c r="E12211">
        <f>IF(DATOS!$I12211="","",IFERROR(VLOOKUP(DATOS!$I12211,CONFIG_ASIGNATURAS!$B$2:$J$61,9,FALSE()),""))</f>
      </c>
    </row>
    <row r="12212">
      <c r="E12212">
        <f>IF(DATOS!$I12212="","",IFERROR(VLOOKUP(DATOS!$I12212,CONFIG_ASIGNATURAS!$B$2:$J$61,9,FALSE()),""))</f>
      </c>
    </row>
    <row r="12213">
      <c r="E12213">
        <f>IF(DATOS!$I12213="","",IFERROR(VLOOKUP(DATOS!$I12213,CONFIG_ASIGNATURAS!$B$2:$J$61,9,FALSE()),""))</f>
      </c>
    </row>
    <row r="12214">
      <c r="E12214">
        <f>IF(DATOS!$I12214="","",IFERROR(VLOOKUP(DATOS!$I12214,CONFIG_ASIGNATURAS!$B$2:$J$61,9,FALSE()),""))</f>
      </c>
    </row>
    <row r="12215">
      <c r="E12215">
        <f>IF(DATOS!$I12215="","",IFERROR(VLOOKUP(DATOS!$I12215,CONFIG_ASIGNATURAS!$B$2:$J$61,9,FALSE()),""))</f>
      </c>
    </row>
    <row r="12216">
      <c r="E12216">
        <f>IF(DATOS!$I12216="","",IFERROR(VLOOKUP(DATOS!$I12216,CONFIG_ASIGNATURAS!$B$2:$J$61,9,FALSE()),""))</f>
      </c>
    </row>
    <row r="12217">
      <c r="E12217">
        <f>IF(DATOS!$I12217="","",IFERROR(VLOOKUP(DATOS!$I12217,CONFIG_ASIGNATURAS!$B$2:$J$61,9,FALSE()),""))</f>
      </c>
    </row>
    <row r="12218">
      <c r="E12218">
        <f>IF(DATOS!$I12218="","",IFERROR(VLOOKUP(DATOS!$I12218,CONFIG_ASIGNATURAS!$B$2:$J$61,9,FALSE()),""))</f>
      </c>
    </row>
    <row r="12219">
      <c r="E12219">
        <f>IF(DATOS!$I12219="","",IFERROR(VLOOKUP(DATOS!$I12219,CONFIG_ASIGNATURAS!$B$2:$J$61,9,FALSE()),""))</f>
      </c>
    </row>
    <row r="12220">
      <c r="E12220">
        <f>IF(DATOS!$I12220="","",IFERROR(VLOOKUP(DATOS!$I12220,CONFIG_ASIGNATURAS!$B$2:$J$61,9,FALSE()),""))</f>
      </c>
    </row>
    <row r="12221">
      <c r="E12221">
        <f>IF(DATOS!$I12221="","",IFERROR(VLOOKUP(DATOS!$I12221,CONFIG_ASIGNATURAS!$B$2:$J$61,9,FALSE()),""))</f>
      </c>
    </row>
    <row r="12222">
      <c r="E12222">
        <f>IF(DATOS!$I12222="","",IFERROR(VLOOKUP(DATOS!$I12222,CONFIG_ASIGNATURAS!$B$2:$J$61,9,FALSE()),""))</f>
      </c>
    </row>
    <row r="12223">
      <c r="E12223">
        <f>IF(DATOS!$I12223="","",IFERROR(VLOOKUP(DATOS!$I12223,CONFIG_ASIGNATURAS!$B$2:$J$61,9,FALSE()),""))</f>
      </c>
    </row>
    <row r="12224">
      <c r="E12224">
        <f>IF(DATOS!$I12224="","",IFERROR(VLOOKUP(DATOS!$I12224,CONFIG_ASIGNATURAS!$B$2:$J$61,9,FALSE()),""))</f>
      </c>
    </row>
    <row r="12225">
      <c r="E12225">
        <f>IF(DATOS!$I12225="","",IFERROR(VLOOKUP(DATOS!$I12225,CONFIG_ASIGNATURAS!$B$2:$J$61,9,FALSE()),""))</f>
      </c>
    </row>
    <row r="12226">
      <c r="E12226">
        <f>IF(DATOS!$I12226="","",IFERROR(VLOOKUP(DATOS!$I12226,CONFIG_ASIGNATURAS!$B$2:$J$61,9,FALSE()),""))</f>
      </c>
    </row>
    <row r="12227">
      <c r="E12227">
        <f>IF(DATOS!$I12227="","",IFERROR(VLOOKUP(DATOS!$I12227,CONFIG_ASIGNATURAS!$B$2:$J$61,9,FALSE()),""))</f>
      </c>
    </row>
    <row r="12228">
      <c r="E12228">
        <f>IF(DATOS!$I12228="","",IFERROR(VLOOKUP(DATOS!$I12228,CONFIG_ASIGNATURAS!$B$2:$J$61,9,FALSE()),""))</f>
      </c>
    </row>
    <row r="12229">
      <c r="E12229">
        <f>IF(DATOS!$I12229="","",IFERROR(VLOOKUP(DATOS!$I12229,CONFIG_ASIGNATURAS!$B$2:$J$61,9,FALSE()),""))</f>
      </c>
    </row>
    <row r="12230">
      <c r="E12230">
        <f>IF(DATOS!$I12230="","",IFERROR(VLOOKUP(DATOS!$I12230,CONFIG_ASIGNATURAS!$B$2:$J$61,9,FALSE()),""))</f>
      </c>
    </row>
    <row r="12231">
      <c r="E12231">
        <f>IF(DATOS!$I12231="","",IFERROR(VLOOKUP(DATOS!$I12231,CONFIG_ASIGNATURAS!$B$2:$J$61,9,FALSE()),""))</f>
      </c>
    </row>
    <row r="12232">
      <c r="E12232">
        <f>IF(DATOS!$I12232="","",IFERROR(VLOOKUP(DATOS!$I12232,CONFIG_ASIGNATURAS!$B$2:$J$61,9,FALSE()),""))</f>
      </c>
    </row>
    <row r="12233">
      <c r="E12233">
        <f>IF(DATOS!$I12233="","",IFERROR(VLOOKUP(DATOS!$I12233,CONFIG_ASIGNATURAS!$B$2:$J$61,9,FALSE()),""))</f>
      </c>
    </row>
    <row r="12234">
      <c r="E12234">
        <f>IF(DATOS!$I12234="","",IFERROR(VLOOKUP(DATOS!$I12234,CONFIG_ASIGNATURAS!$B$2:$J$61,9,FALSE()),""))</f>
      </c>
    </row>
    <row r="12235">
      <c r="E12235">
        <f>IF(DATOS!$I12235="","",IFERROR(VLOOKUP(DATOS!$I12235,CONFIG_ASIGNATURAS!$B$2:$J$61,9,FALSE()),""))</f>
      </c>
    </row>
    <row r="12236">
      <c r="E12236">
        <f>IF(DATOS!$I12236="","",IFERROR(VLOOKUP(DATOS!$I12236,CONFIG_ASIGNATURAS!$B$2:$J$61,9,FALSE()),""))</f>
      </c>
    </row>
    <row r="12237">
      <c r="E12237">
        <f>IF(DATOS!$I12237="","",IFERROR(VLOOKUP(DATOS!$I12237,CONFIG_ASIGNATURAS!$B$2:$J$61,9,FALSE()),""))</f>
      </c>
    </row>
    <row r="12238">
      <c r="E12238">
        <f>IF(DATOS!$I12238="","",IFERROR(VLOOKUP(DATOS!$I12238,CONFIG_ASIGNATURAS!$B$2:$J$61,9,FALSE()),""))</f>
      </c>
    </row>
    <row r="12239">
      <c r="E12239">
        <f>IF(DATOS!$I12239="","",IFERROR(VLOOKUP(DATOS!$I12239,CONFIG_ASIGNATURAS!$B$2:$J$61,9,FALSE()),""))</f>
      </c>
    </row>
    <row r="12240">
      <c r="E12240">
        <f>IF(DATOS!$I12240="","",IFERROR(VLOOKUP(DATOS!$I12240,CONFIG_ASIGNATURAS!$B$2:$J$61,9,FALSE()),""))</f>
      </c>
    </row>
    <row r="12241">
      <c r="E12241">
        <f>IF(DATOS!$I12241="","",IFERROR(VLOOKUP(DATOS!$I12241,CONFIG_ASIGNATURAS!$B$2:$J$61,9,FALSE()),""))</f>
      </c>
    </row>
    <row r="12242">
      <c r="E12242">
        <f>IF(DATOS!$I12242="","",IFERROR(VLOOKUP(DATOS!$I12242,CONFIG_ASIGNATURAS!$B$2:$J$61,9,FALSE()),""))</f>
      </c>
    </row>
    <row r="12243">
      <c r="E12243">
        <f>IF(DATOS!$I12243="","",IFERROR(VLOOKUP(DATOS!$I12243,CONFIG_ASIGNATURAS!$B$2:$J$61,9,FALSE()),""))</f>
      </c>
    </row>
    <row r="12244">
      <c r="E12244">
        <f>IF(DATOS!$I12244="","",IFERROR(VLOOKUP(DATOS!$I12244,CONFIG_ASIGNATURAS!$B$2:$J$61,9,FALSE()),""))</f>
      </c>
    </row>
    <row r="12245">
      <c r="E12245">
        <f>IF(DATOS!$I12245="","",IFERROR(VLOOKUP(DATOS!$I12245,CONFIG_ASIGNATURAS!$B$2:$J$61,9,FALSE()),""))</f>
      </c>
    </row>
    <row r="12246">
      <c r="E12246">
        <f>IF(DATOS!$I12246="","",IFERROR(VLOOKUP(DATOS!$I12246,CONFIG_ASIGNATURAS!$B$2:$J$61,9,FALSE()),""))</f>
      </c>
    </row>
    <row r="12247">
      <c r="E12247">
        <f>IF(DATOS!$I12247="","",IFERROR(VLOOKUP(DATOS!$I12247,CONFIG_ASIGNATURAS!$B$2:$J$61,9,FALSE()),""))</f>
      </c>
    </row>
    <row r="12248">
      <c r="E12248">
        <f>IF(DATOS!$I12248="","",IFERROR(VLOOKUP(DATOS!$I12248,CONFIG_ASIGNATURAS!$B$2:$J$61,9,FALSE()),""))</f>
      </c>
    </row>
    <row r="12249">
      <c r="E12249">
        <f>IF(DATOS!$I12249="","",IFERROR(VLOOKUP(DATOS!$I12249,CONFIG_ASIGNATURAS!$B$2:$J$61,9,FALSE()),""))</f>
      </c>
    </row>
    <row r="12250">
      <c r="E12250">
        <f>IF(DATOS!$I12250="","",IFERROR(VLOOKUP(DATOS!$I12250,CONFIG_ASIGNATURAS!$B$2:$J$61,9,FALSE()),""))</f>
      </c>
    </row>
    <row r="12251">
      <c r="E12251">
        <f>IF(DATOS!$I12251="","",IFERROR(VLOOKUP(DATOS!$I12251,CONFIG_ASIGNATURAS!$B$2:$J$61,9,FALSE()),""))</f>
      </c>
    </row>
    <row r="12252">
      <c r="E12252">
        <f>IF(DATOS!$I12252="","",IFERROR(VLOOKUP(DATOS!$I12252,CONFIG_ASIGNATURAS!$B$2:$J$61,9,FALSE()),""))</f>
      </c>
    </row>
    <row r="12253">
      <c r="E12253">
        <f>IF(DATOS!$I12253="","",IFERROR(VLOOKUP(DATOS!$I12253,CONFIG_ASIGNATURAS!$B$2:$J$61,9,FALSE()),""))</f>
      </c>
    </row>
    <row r="12254">
      <c r="E12254">
        <f>IF(DATOS!$I12254="","",IFERROR(VLOOKUP(DATOS!$I12254,CONFIG_ASIGNATURAS!$B$2:$J$61,9,FALSE()),""))</f>
      </c>
    </row>
    <row r="12255">
      <c r="E12255">
        <f>IF(DATOS!$I12255="","",IFERROR(VLOOKUP(DATOS!$I12255,CONFIG_ASIGNATURAS!$B$2:$J$61,9,FALSE()),""))</f>
      </c>
    </row>
    <row r="12256">
      <c r="E12256">
        <f>IF(DATOS!$I12256="","",IFERROR(VLOOKUP(DATOS!$I12256,CONFIG_ASIGNATURAS!$B$2:$J$61,9,FALSE()),""))</f>
      </c>
    </row>
    <row r="12257">
      <c r="E12257">
        <f>IF(DATOS!$I12257="","",IFERROR(VLOOKUP(DATOS!$I12257,CONFIG_ASIGNATURAS!$B$2:$J$61,9,FALSE()),""))</f>
      </c>
    </row>
    <row r="12258">
      <c r="E12258">
        <f>IF(DATOS!$I12258="","",IFERROR(VLOOKUP(DATOS!$I12258,CONFIG_ASIGNATURAS!$B$2:$J$61,9,FALSE()),""))</f>
      </c>
    </row>
    <row r="12259">
      <c r="E12259">
        <f>IF(DATOS!$I12259="","",IFERROR(VLOOKUP(DATOS!$I12259,CONFIG_ASIGNATURAS!$B$2:$J$61,9,FALSE()),""))</f>
      </c>
    </row>
    <row r="12260">
      <c r="E12260">
        <f>IF(DATOS!$I12260="","",IFERROR(VLOOKUP(DATOS!$I12260,CONFIG_ASIGNATURAS!$B$2:$J$61,9,FALSE()),""))</f>
      </c>
    </row>
    <row r="12261">
      <c r="E12261">
        <f>IF(DATOS!$I12261="","",IFERROR(VLOOKUP(DATOS!$I12261,CONFIG_ASIGNATURAS!$B$2:$J$61,9,FALSE()),""))</f>
      </c>
    </row>
    <row r="12262">
      <c r="E12262">
        <f>IF(DATOS!$I12262="","",IFERROR(VLOOKUP(DATOS!$I12262,CONFIG_ASIGNATURAS!$B$2:$J$61,9,FALSE()),""))</f>
      </c>
    </row>
    <row r="12263">
      <c r="E12263">
        <f>IF(DATOS!$I12263="","",IFERROR(VLOOKUP(DATOS!$I12263,CONFIG_ASIGNATURAS!$B$2:$J$61,9,FALSE()),""))</f>
      </c>
    </row>
    <row r="12264">
      <c r="E12264">
        <f>IF(DATOS!$I12264="","",IFERROR(VLOOKUP(DATOS!$I12264,CONFIG_ASIGNATURAS!$B$2:$J$61,9,FALSE()),""))</f>
      </c>
    </row>
    <row r="12265">
      <c r="E12265">
        <f>IF(DATOS!$I12265="","",IFERROR(VLOOKUP(DATOS!$I12265,CONFIG_ASIGNATURAS!$B$2:$J$61,9,FALSE()),""))</f>
      </c>
    </row>
    <row r="12266">
      <c r="E12266">
        <f>IF(DATOS!$I12266="","",IFERROR(VLOOKUP(DATOS!$I12266,CONFIG_ASIGNATURAS!$B$2:$J$61,9,FALSE()),""))</f>
      </c>
    </row>
    <row r="12267">
      <c r="E12267">
        <f>IF(DATOS!$I12267="","",IFERROR(VLOOKUP(DATOS!$I12267,CONFIG_ASIGNATURAS!$B$2:$J$61,9,FALSE()),""))</f>
      </c>
    </row>
    <row r="12268">
      <c r="E12268">
        <f>IF(DATOS!$I12268="","",IFERROR(VLOOKUP(DATOS!$I12268,CONFIG_ASIGNATURAS!$B$2:$J$61,9,FALSE()),""))</f>
      </c>
    </row>
    <row r="12269">
      <c r="E12269">
        <f>IF(DATOS!$I12269="","",IFERROR(VLOOKUP(DATOS!$I12269,CONFIG_ASIGNATURAS!$B$2:$J$61,9,FALSE()),""))</f>
      </c>
    </row>
    <row r="12270">
      <c r="E12270">
        <f>IF(DATOS!$I12270="","",IFERROR(VLOOKUP(DATOS!$I12270,CONFIG_ASIGNATURAS!$B$2:$J$61,9,FALSE()),""))</f>
      </c>
    </row>
    <row r="12271">
      <c r="E12271">
        <f>IF(DATOS!$I12271="","",IFERROR(VLOOKUP(DATOS!$I12271,CONFIG_ASIGNATURAS!$B$2:$J$61,9,FALSE()),""))</f>
      </c>
    </row>
    <row r="12272">
      <c r="E12272">
        <f>IF(DATOS!$I12272="","",IFERROR(VLOOKUP(DATOS!$I12272,CONFIG_ASIGNATURAS!$B$2:$J$61,9,FALSE()),""))</f>
      </c>
    </row>
    <row r="12273">
      <c r="E12273">
        <f>IF(DATOS!$I12273="","",IFERROR(VLOOKUP(DATOS!$I12273,CONFIG_ASIGNATURAS!$B$2:$J$61,9,FALSE()),""))</f>
      </c>
    </row>
    <row r="12274">
      <c r="E12274">
        <f>IF(DATOS!$I12274="","",IFERROR(VLOOKUP(DATOS!$I12274,CONFIG_ASIGNATURAS!$B$2:$J$61,9,FALSE()),""))</f>
      </c>
    </row>
    <row r="12275">
      <c r="E12275">
        <f>IF(DATOS!$I12275="","",IFERROR(VLOOKUP(DATOS!$I12275,CONFIG_ASIGNATURAS!$B$2:$J$61,9,FALSE()),""))</f>
      </c>
    </row>
    <row r="12276">
      <c r="E12276">
        <f>IF(DATOS!$I12276="","",IFERROR(VLOOKUP(DATOS!$I12276,CONFIG_ASIGNATURAS!$B$2:$J$61,9,FALSE()),""))</f>
      </c>
    </row>
    <row r="12277">
      <c r="E12277">
        <f>IF(DATOS!$I12277="","",IFERROR(VLOOKUP(DATOS!$I12277,CONFIG_ASIGNATURAS!$B$2:$J$61,9,FALSE()),""))</f>
      </c>
    </row>
    <row r="12278">
      <c r="E12278">
        <f>IF(DATOS!$I12278="","",IFERROR(VLOOKUP(DATOS!$I12278,CONFIG_ASIGNATURAS!$B$2:$J$61,9,FALSE()),""))</f>
      </c>
    </row>
    <row r="12279">
      <c r="E12279">
        <f>IF(DATOS!$I12279="","",IFERROR(VLOOKUP(DATOS!$I12279,CONFIG_ASIGNATURAS!$B$2:$J$61,9,FALSE()),""))</f>
      </c>
    </row>
    <row r="12280">
      <c r="E12280">
        <f>IF(DATOS!$I12280="","",IFERROR(VLOOKUP(DATOS!$I12280,CONFIG_ASIGNATURAS!$B$2:$J$61,9,FALSE()),""))</f>
      </c>
    </row>
    <row r="12281">
      <c r="E12281">
        <f>IF(DATOS!$I12281="","",IFERROR(VLOOKUP(DATOS!$I12281,CONFIG_ASIGNATURAS!$B$2:$J$61,9,FALSE()),""))</f>
      </c>
    </row>
    <row r="12282">
      <c r="E12282">
        <f>IF(DATOS!$I12282="","",IFERROR(VLOOKUP(DATOS!$I12282,CONFIG_ASIGNATURAS!$B$2:$J$61,9,FALSE()),""))</f>
      </c>
    </row>
    <row r="12283">
      <c r="E12283">
        <f>IF(DATOS!$I12283="","",IFERROR(VLOOKUP(DATOS!$I12283,CONFIG_ASIGNATURAS!$B$2:$J$61,9,FALSE()),""))</f>
      </c>
    </row>
    <row r="12284">
      <c r="E12284">
        <f>IF(DATOS!$I12284="","",IFERROR(VLOOKUP(DATOS!$I12284,CONFIG_ASIGNATURAS!$B$2:$J$61,9,FALSE()),""))</f>
      </c>
    </row>
    <row r="12285">
      <c r="E12285">
        <f>IF(DATOS!$I12285="","",IFERROR(VLOOKUP(DATOS!$I12285,CONFIG_ASIGNATURAS!$B$2:$J$61,9,FALSE()),""))</f>
      </c>
    </row>
    <row r="12286">
      <c r="E12286">
        <f>IF(DATOS!$I12286="","",IFERROR(VLOOKUP(DATOS!$I12286,CONFIG_ASIGNATURAS!$B$2:$J$61,9,FALSE()),""))</f>
      </c>
    </row>
    <row r="12287">
      <c r="E12287">
        <f>IF(DATOS!$I12287="","",IFERROR(VLOOKUP(DATOS!$I12287,CONFIG_ASIGNATURAS!$B$2:$J$61,9,FALSE()),""))</f>
      </c>
    </row>
    <row r="12288">
      <c r="E12288">
        <f>IF(DATOS!$I12288="","",IFERROR(VLOOKUP(DATOS!$I12288,CONFIG_ASIGNATURAS!$B$2:$J$61,9,FALSE()),""))</f>
      </c>
    </row>
    <row r="12289">
      <c r="E12289">
        <f>IF(DATOS!$I12289="","",IFERROR(VLOOKUP(DATOS!$I12289,CONFIG_ASIGNATURAS!$B$2:$J$61,9,FALSE()),""))</f>
      </c>
    </row>
    <row r="12290">
      <c r="E12290">
        <f>IF(DATOS!$I12290="","",IFERROR(VLOOKUP(DATOS!$I12290,CONFIG_ASIGNATURAS!$B$2:$J$61,9,FALSE()),""))</f>
      </c>
    </row>
    <row r="12291">
      <c r="E12291">
        <f>IF(DATOS!$I12291="","",IFERROR(VLOOKUP(DATOS!$I12291,CONFIG_ASIGNATURAS!$B$2:$J$61,9,FALSE()),""))</f>
      </c>
    </row>
    <row r="12292">
      <c r="E12292">
        <f>IF(DATOS!$I12292="","",IFERROR(VLOOKUP(DATOS!$I12292,CONFIG_ASIGNATURAS!$B$2:$J$61,9,FALSE()),""))</f>
      </c>
    </row>
    <row r="12293">
      <c r="E12293">
        <f>IF(DATOS!$I12293="","",IFERROR(VLOOKUP(DATOS!$I12293,CONFIG_ASIGNATURAS!$B$2:$J$61,9,FALSE()),""))</f>
      </c>
    </row>
    <row r="12294">
      <c r="E12294">
        <f>IF(DATOS!$I12294="","",IFERROR(VLOOKUP(DATOS!$I12294,CONFIG_ASIGNATURAS!$B$2:$J$61,9,FALSE()),""))</f>
      </c>
    </row>
    <row r="12295">
      <c r="E12295">
        <f>IF(DATOS!$I12295="","",IFERROR(VLOOKUP(DATOS!$I12295,CONFIG_ASIGNATURAS!$B$2:$J$61,9,FALSE()),""))</f>
      </c>
    </row>
    <row r="12296">
      <c r="E12296">
        <f>IF(DATOS!$I12296="","",IFERROR(VLOOKUP(DATOS!$I12296,CONFIG_ASIGNATURAS!$B$2:$J$61,9,FALSE()),""))</f>
      </c>
    </row>
    <row r="12297">
      <c r="E12297">
        <f>IF(DATOS!$I12297="","",IFERROR(VLOOKUP(DATOS!$I12297,CONFIG_ASIGNATURAS!$B$2:$J$61,9,FALSE()),""))</f>
      </c>
    </row>
    <row r="12298">
      <c r="E12298">
        <f>IF(DATOS!$I12298="","",IFERROR(VLOOKUP(DATOS!$I12298,CONFIG_ASIGNATURAS!$B$2:$J$61,9,FALSE()),""))</f>
      </c>
    </row>
    <row r="12299">
      <c r="E12299">
        <f>IF(DATOS!$I12299="","",IFERROR(VLOOKUP(DATOS!$I12299,CONFIG_ASIGNATURAS!$B$2:$J$61,9,FALSE()),""))</f>
      </c>
    </row>
    <row r="12300">
      <c r="E12300">
        <f>IF(DATOS!$I12300="","",IFERROR(VLOOKUP(DATOS!$I12300,CONFIG_ASIGNATURAS!$B$2:$J$61,9,FALSE()),""))</f>
      </c>
    </row>
    <row r="12301">
      <c r="E12301">
        <f>IF(DATOS!$I12301="","",IFERROR(VLOOKUP(DATOS!$I12301,CONFIG_ASIGNATURAS!$B$2:$J$61,9,FALSE()),""))</f>
      </c>
    </row>
    <row r="12302">
      <c r="E12302">
        <f>IF(DATOS!$I12302="","",IFERROR(VLOOKUP(DATOS!$I12302,CONFIG_ASIGNATURAS!$B$2:$J$61,9,FALSE()),""))</f>
      </c>
    </row>
    <row r="12303">
      <c r="E12303">
        <f>IF(DATOS!$I12303="","",IFERROR(VLOOKUP(DATOS!$I12303,CONFIG_ASIGNATURAS!$B$2:$J$61,9,FALSE()),""))</f>
      </c>
    </row>
    <row r="12304">
      <c r="E12304">
        <f>IF(DATOS!$I12304="","",IFERROR(VLOOKUP(DATOS!$I12304,CONFIG_ASIGNATURAS!$B$2:$J$61,9,FALSE()),""))</f>
      </c>
    </row>
    <row r="12305">
      <c r="E12305">
        <f>IF(DATOS!$I12305="","",IFERROR(VLOOKUP(DATOS!$I12305,CONFIG_ASIGNATURAS!$B$2:$J$61,9,FALSE()),""))</f>
      </c>
    </row>
    <row r="12306">
      <c r="E12306">
        <f>IF(DATOS!$I12306="","",IFERROR(VLOOKUP(DATOS!$I12306,CONFIG_ASIGNATURAS!$B$2:$J$61,9,FALSE()),""))</f>
      </c>
    </row>
    <row r="12307">
      <c r="E12307">
        <f>IF(DATOS!$I12307="","",IFERROR(VLOOKUP(DATOS!$I12307,CONFIG_ASIGNATURAS!$B$2:$J$61,9,FALSE()),""))</f>
      </c>
    </row>
    <row r="12308">
      <c r="E12308">
        <f>IF(DATOS!$I12308="","",IFERROR(VLOOKUP(DATOS!$I12308,CONFIG_ASIGNATURAS!$B$2:$J$61,9,FALSE()),""))</f>
      </c>
    </row>
    <row r="12309">
      <c r="E12309">
        <f>IF(DATOS!$I12309="","",IFERROR(VLOOKUP(DATOS!$I12309,CONFIG_ASIGNATURAS!$B$2:$J$61,9,FALSE()),""))</f>
      </c>
    </row>
    <row r="12310">
      <c r="E12310">
        <f>IF(DATOS!$I12310="","",IFERROR(VLOOKUP(DATOS!$I12310,CONFIG_ASIGNATURAS!$B$2:$J$61,9,FALSE()),""))</f>
      </c>
    </row>
    <row r="12311">
      <c r="E12311">
        <f>IF(DATOS!$I12311="","",IFERROR(VLOOKUP(DATOS!$I12311,CONFIG_ASIGNATURAS!$B$2:$J$61,9,FALSE()),""))</f>
      </c>
    </row>
    <row r="12312">
      <c r="E12312">
        <f>IF(DATOS!$I12312="","",IFERROR(VLOOKUP(DATOS!$I12312,CONFIG_ASIGNATURAS!$B$2:$J$61,9,FALSE()),""))</f>
      </c>
    </row>
    <row r="12313">
      <c r="E12313">
        <f>IF(DATOS!$I12313="","",IFERROR(VLOOKUP(DATOS!$I12313,CONFIG_ASIGNATURAS!$B$2:$J$61,9,FALSE()),""))</f>
      </c>
    </row>
    <row r="12314">
      <c r="E12314">
        <f>IF(DATOS!$I12314="","",IFERROR(VLOOKUP(DATOS!$I12314,CONFIG_ASIGNATURAS!$B$2:$J$61,9,FALSE()),""))</f>
      </c>
    </row>
    <row r="12315">
      <c r="E12315">
        <f>IF(DATOS!$I12315="","",IFERROR(VLOOKUP(DATOS!$I12315,CONFIG_ASIGNATURAS!$B$2:$J$61,9,FALSE()),""))</f>
      </c>
    </row>
    <row r="12316">
      <c r="E12316">
        <f>IF(DATOS!$I12316="","",IFERROR(VLOOKUP(DATOS!$I12316,CONFIG_ASIGNATURAS!$B$2:$J$61,9,FALSE()),""))</f>
      </c>
    </row>
    <row r="12317">
      <c r="E12317">
        <f>IF(DATOS!$I12317="","",IFERROR(VLOOKUP(DATOS!$I12317,CONFIG_ASIGNATURAS!$B$2:$J$61,9,FALSE()),""))</f>
      </c>
    </row>
    <row r="12318">
      <c r="E12318">
        <f>IF(DATOS!$I12318="","",IFERROR(VLOOKUP(DATOS!$I12318,CONFIG_ASIGNATURAS!$B$2:$J$61,9,FALSE()),""))</f>
      </c>
    </row>
    <row r="12319">
      <c r="E12319">
        <f>IF(DATOS!$I12319="","",IFERROR(VLOOKUP(DATOS!$I12319,CONFIG_ASIGNATURAS!$B$2:$J$61,9,FALSE()),""))</f>
      </c>
    </row>
    <row r="12320">
      <c r="E12320">
        <f>IF(DATOS!$I12320="","",IFERROR(VLOOKUP(DATOS!$I12320,CONFIG_ASIGNATURAS!$B$2:$J$61,9,FALSE()),""))</f>
      </c>
    </row>
    <row r="12321">
      <c r="E12321">
        <f>IF(DATOS!$I12321="","",IFERROR(VLOOKUP(DATOS!$I12321,CONFIG_ASIGNATURAS!$B$2:$J$61,9,FALSE()),""))</f>
      </c>
    </row>
    <row r="12322">
      <c r="E12322">
        <f>IF(DATOS!$I12322="","",IFERROR(VLOOKUP(DATOS!$I12322,CONFIG_ASIGNATURAS!$B$2:$J$61,9,FALSE()),""))</f>
      </c>
    </row>
    <row r="12323">
      <c r="E12323">
        <f>IF(DATOS!$I12323="","",IFERROR(VLOOKUP(DATOS!$I12323,CONFIG_ASIGNATURAS!$B$2:$J$61,9,FALSE()),""))</f>
      </c>
    </row>
    <row r="12324">
      <c r="E12324">
        <f>IF(DATOS!$I12324="","",IFERROR(VLOOKUP(DATOS!$I12324,CONFIG_ASIGNATURAS!$B$2:$J$61,9,FALSE()),""))</f>
      </c>
    </row>
    <row r="12325">
      <c r="E12325">
        <f>IF(DATOS!$I12325="","",IFERROR(VLOOKUP(DATOS!$I12325,CONFIG_ASIGNATURAS!$B$2:$J$61,9,FALSE()),""))</f>
      </c>
    </row>
    <row r="12326">
      <c r="E12326">
        <f>IF(DATOS!$I12326="","",IFERROR(VLOOKUP(DATOS!$I12326,CONFIG_ASIGNATURAS!$B$2:$J$61,9,FALSE()),""))</f>
      </c>
    </row>
    <row r="12327">
      <c r="E12327">
        <f>IF(DATOS!$I12327="","",IFERROR(VLOOKUP(DATOS!$I12327,CONFIG_ASIGNATURAS!$B$2:$J$61,9,FALSE()),""))</f>
      </c>
    </row>
    <row r="12328">
      <c r="E12328">
        <f>IF(DATOS!$I12328="","",IFERROR(VLOOKUP(DATOS!$I12328,CONFIG_ASIGNATURAS!$B$2:$J$61,9,FALSE()),""))</f>
      </c>
    </row>
    <row r="12329">
      <c r="E12329">
        <f>IF(DATOS!$I12329="","",IFERROR(VLOOKUP(DATOS!$I12329,CONFIG_ASIGNATURAS!$B$2:$J$61,9,FALSE()),""))</f>
      </c>
    </row>
    <row r="12330">
      <c r="E12330">
        <f>IF(DATOS!$I12330="","",IFERROR(VLOOKUP(DATOS!$I12330,CONFIG_ASIGNATURAS!$B$2:$J$61,9,FALSE()),""))</f>
      </c>
    </row>
    <row r="12331">
      <c r="E12331">
        <f>IF(DATOS!$I12331="","",IFERROR(VLOOKUP(DATOS!$I12331,CONFIG_ASIGNATURAS!$B$2:$J$61,9,FALSE()),""))</f>
      </c>
    </row>
    <row r="12332">
      <c r="E12332">
        <f>IF(DATOS!$I12332="","",IFERROR(VLOOKUP(DATOS!$I12332,CONFIG_ASIGNATURAS!$B$2:$J$61,9,FALSE()),""))</f>
      </c>
    </row>
    <row r="12333">
      <c r="E12333">
        <f>IF(DATOS!$I12333="","",IFERROR(VLOOKUP(DATOS!$I12333,CONFIG_ASIGNATURAS!$B$2:$J$61,9,FALSE()),""))</f>
      </c>
    </row>
    <row r="12334">
      <c r="E12334">
        <f>IF(DATOS!$I12334="","",IFERROR(VLOOKUP(DATOS!$I12334,CONFIG_ASIGNATURAS!$B$2:$J$61,9,FALSE()),""))</f>
      </c>
    </row>
    <row r="12335">
      <c r="E12335">
        <f>IF(DATOS!$I12335="","",IFERROR(VLOOKUP(DATOS!$I12335,CONFIG_ASIGNATURAS!$B$2:$J$61,9,FALSE()),""))</f>
      </c>
    </row>
    <row r="12336">
      <c r="E12336">
        <f>IF(DATOS!$I12336="","",IFERROR(VLOOKUP(DATOS!$I12336,CONFIG_ASIGNATURAS!$B$2:$J$61,9,FALSE()),""))</f>
      </c>
    </row>
    <row r="12337">
      <c r="E12337">
        <f>IF(DATOS!$I12337="","",IFERROR(VLOOKUP(DATOS!$I12337,CONFIG_ASIGNATURAS!$B$2:$J$61,9,FALSE()),""))</f>
      </c>
    </row>
    <row r="12338">
      <c r="E12338">
        <f>IF(DATOS!$I12338="","",IFERROR(VLOOKUP(DATOS!$I12338,CONFIG_ASIGNATURAS!$B$2:$J$61,9,FALSE()),""))</f>
      </c>
    </row>
    <row r="12339">
      <c r="E12339">
        <f>IF(DATOS!$I12339="","",IFERROR(VLOOKUP(DATOS!$I12339,CONFIG_ASIGNATURAS!$B$2:$J$61,9,FALSE()),""))</f>
      </c>
    </row>
    <row r="12340">
      <c r="E12340">
        <f>IF(DATOS!$I12340="","",IFERROR(VLOOKUP(DATOS!$I12340,CONFIG_ASIGNATURAS!$B$2:$J$61,9,FALSE()),""))</f>
      </c>
    </row>
    <row r="12341">
      <c r="E12341">
        <f>IF(DATOS!$I12341="","",IFERROR(VLOOKUP(DATOS!$I12341,CONFIG_ASIGNATURAS!$B$2:$J$61,9,FALSE()),""))</f>
      </c>
    </row>
    <row r="12342">
      <c r="E12342">
        <f>IF(DATOS!$I12342="","",IFERROR(VLOOKUP(DATOS!$I12342,CONFIG_ASIGNATURAS!$B$2:$J$61,9,FALSE()),""))</f>
      </c>
    </row>
    <row r="12343">
      <c r="E12343">
        <f>IF(DATOS!$I12343="","",IFERROR(VLOOKUP(DATOS!$I12343,CONFIG_ASIGNATURAS!$B$2:$J$61,9,FALSE()),""))</f>
      </c>
    </row>
    <row r="12344">
      <c r="E12344">
        <f>IF(DATOS!$I12344="","",IFERROR(VLOOKUP(DATOS!$I12344,CONFIG_ASIGNATURAS!$B$2:$J$61,9,FALSE()),""))</f>
      </c>
    </row>
    <row r="12345">
      <c r="E12345">
        <f>IF(DATOS!$I12345="","",IFERROR(VLOOKUP(DATOS!$I12345,CONFIG_ASIGNATURAS!$B$2:$J$61,9,FALSE()),""))</f>
      </c>
    </row>
    <row r="12346">
      <c r="E12346">
        <f>IF(DATOS!$I12346="","",IFERROR(VLOOKUP(DATOS!$I12346,CONFIG_ASIGNATURAS!$B$2:$J$61,9,FALSE()),""))</f>
      </c>
    </row>
    <row r="12347">
      <c r="E12347">
        <f>IF(DATOS!$I12347="","",IFERROR(VLOOKUP(DATOS!$I12347,CONFIG_ASIGNATURAS!$B$2:$J$61,9,FALSE()),""))</f>
      </c>
    </row>
    <row r="12348">
      <c r="E12348">
        <f>IF(DATOS!$I12348="","",IFERROR(VLOOKUP(DATOS!$I12348,CONFIG_ASIGNATURAS!$B$2:$J$61,9,FALSE()),""))</f>
      </c>
    </row>
    <row r="12349">
      <c r="E12349">
        <f>IF(DATOS!$I12349="","",IFERROR(VLOOKUP(DATOS!$I12349,CONFIG_ASIGNATURAS!$B$2:$J$61,9,FALSE()),""))</f>
      </c>
    </row>
    <row r="12350">
      <c r="E12350">
        <f>IF(DATOS!$I12350="","",IFERROR(VLOOKUP(DATOS!$I12350,CONFIG_ASIGNATURAS!$B$2:$J$61,9,FALSE()),""))</f>
      </c>
    </row>
    <row r="12351">
      <c r="E12351">
        <f>IF(DATOS!$I12351="","",IFERROR(VLOOKUP(DATOS!$I12351,CONFIG_ASIGNATURAS!$B$2:$J$61,9,FALSE()),""))</f>
      </c>
    </row>
    <row r="12352">
      <c r="E12352">
        <f>IF(DATOS!$I12352="","",IFERROR(VLOOKUP(DATOS!$I12352,CONFIG_ASIGNATURAS!$B$2:$J$61,9,FALSE()),""))</f>
      </c>
    </row>
    <row r="12353">
      <c r="E12353">
        <f>IF(DATOS!$I12353="","",IFERROR(VLOOKUP(DATOS!$I12353,CONFIG_ASIGNATURAS!$B$2:$J$61,9,FALSE()),""))</f>
      </c>
    </row>
    <row r="12354">
      <c r="E12354">
        <f>IF(DATOS!$I12354="","",IFERROR(VLOOKUP(DATOS!$I12354,CONFIG_ASIGNATURAS!$B$2:$J$61,9,FALSE()),""))</f>
      </c>
    </row>
    <row r="12355">
      <c r="E12355">
        <f>IF(DATOS!$I12355="","",IFERROR(VLOOKUP(DATOS!$I12355,CONFIG_ASIGNATURAS!$B$2:$J$61,9,FALSE()),""))</f>
      </c>
    </row>
    <row r="12356">
      <c r="E12356">
        <f>IF(DATOS!$I12356="","",IFERROR(VLOOKUP(DATOS!$I12356,CONFIG_ASIGNATURAS!$B$2:$J$61,9,FALSE()),""))</f>
      </c>
    </row>
    <row r="12357">
      <c r="E12357">
        <f>IF(DATOS!$I12357="","",IFERROR(VLOOKUP(DATOS!$I12357,CONFIG_ASIGNATURAS!$B$2:$J$61,9,FALSE()),""))</f>
      </c>
    </row>
    <row r="12358">
      <c r="E12358">
        <f>IF(DATOS!$I12358="","",IFERROR(VLOOKUP(DATOS!$I12358,CONFIG_ASIGNATURAS!$B$2:$J$61,9,FALSE()),""))</f>
      </c>
    </row>
    <row r="12359">
      <c r="E12359">
        <f>IF(DATOS!$I12359="","",IFERROR(VLOOKUP(DATOS!$I12359,CONFIG_ASIGNATURAS!$B$2:$J$61,9,FALSE()),""))</f>
      </c>
    </row>
    <row r="12360">
      <c r="E12360">
        <f>IF(DATOS!$I12360="","",IFERROR(VLOOKUP(DATOS!$I12360,CONFIG_ASIGNATURAS!$B$2:$J$61,9,FALSE()),""))</f>
      </c>
    </row>
    <row r="12361">
      <c r="E12361">
        <f>IF(DATOS!$I12361="","",IFERROR(VLOOKUP(DATOS!$I12361,CONFIG_ASIGNATURAS!$B$2:$J$61,9,FALSE()),""))</f>
      </c>
    </row>
    <row r="12362">
      <c r="E12362">
        <f>IF(DATOS!$I12362="","",IFERROR(VLOOKUP(DATOS!$I12362,CONFIG_ASIGNATURAS!$B$2:$J$61,9,FALSE()),""))</f>
      </c>
    </row>
    <row r="12363">
      <c r="E12363">
        <f>IF(DATOS!$I12363="","",IFERROR(VLOOKUP(DATOS!$I12363,CONFIG_ASIGNATURAS!$B$2:$J$61,9,FALSE()),""))</f>
      </c>
    </row>
    <row r="12364">
      <c r="E12364">
        <f>IF(DATOS!$I12364="","",IFERROR(VLOOKUP(DATOS!$I12364,CONFIG_ASIGNATURAS!$B$2:$J$61,9,FALSE()),""))</f>
      </c>
    </row>
    <row r="12365">
      <c r="E12365">
        <f>IF(DATOS!$I12365="","",IFERROR(VLOOKUP(DATOS!$I12365,CONFIG_ASIGNATURAS!$B$2:$J$61,9,FALSE()),""))</f>
      </c>
    </row>
    <row r="12366">
      <c r="E12366">
        <f>IF(DATOS!$I12366="","",IFERROR(VLOOKUP(DATOS!$I12366,CONFIG_ASIGNATURAS!$B$2:$J$61,9,FALSE()),""))</f>
      </c>
    </row>
    <row r="12367">
      <c r="E12367">
        <f>IF(DATOS!$I12367="","",IFERROR(VLOOKUP(DATOS!$I12367,CONFIG_ASIGNATURAS!$B$2:$J$61,9,FALSE()),""))</f>
      </c>
    </row>
    <row r="12368">
      <c r="E12368">
        <f>IF(DATOS!$I12368="","",IFERROR(VLOOKUP(DATOS!$I12368,CONFIG_ASIGNATURAS!$B$2:$J$61,9,FALSE()),""))</f>
      </c>
    </row>
    <row r="12369">
      <c r="E12369">
        <f>IF(DATOS!$I12369="","",IFERROR(VLOOKUP(DATOS!$I12369,CONFIG_ASIGNATURAS!$B$2:$J$61,9,FALSE()),""))</f>
      </c>
    </row>
    <row r="12370">
      <c r="E12370">
        <f>IF(DATOS!$I12370="","",IFERROR(VLOOKUP(DATOS!$I12370,CONFIG_ASIGNATURAS!$B$2:$J$61,9,FALSE()),""))</f>
      </c>
    </row>
    <row r="12371">
      <c r="E12371">
        <f>IF(DATOS!$I12371="","",IFERROR(VLOOKUP(DATOS!$I12371,CONFIG_ASIGNATURAS!$B$2:$J$61,9,FALSE()),""))</f>
      </c>
    </row>
    <row r="12372">
      <c r="E12372">
        <f>IF(DATOS!$I12372="","",IFERROR(VLOOKUP(DATOS!$I12372,CONFIG_ASIGNATURAS!$B$2:$J$61,9,FALSE()),""))</f>
      </c>
    </row>
    <row r="12373">
      <c r="E12373">
        <f>IF(DATOS!$I12373="","",IFERROR(VLOOKUP(DATOS!$I12373,CONFIG_ASIGNATURAS!$B$2:$J$61,9,FALSE()),""))</f>
      </c>
    </row>
    <row r="12374">
      <c r="E12374">
        <f>IF(DATOS!$I12374="","",IFERROR(VLOOKUP(DATOS!$I12374,CONFIG_ASIGNATURAS!$B$2:$J$61,9,FALSE()),""))</f>
      </c>
    </row>
    <row r="12375">
      <c r="E12375">
        <f>IF(DATOS!$I12375="","",IFERROR(VLOOKUP(DATOS!$I12375,CONFIG_ASIGNATURAS!$B$2:$J$61,9,FALSE()),""))</f>
      </c>
    </row>
    <row r="12376">
      <c r="E12376">
        <f>IF(DATOS!$I12376="","",IFERROR(VLOOKUP(DATOS!$I12376,CONFIG_ASIGNATURAS!$B$2:$J$61,9,FALSE()),""))</f>
      </c>
    </row>
    <row r="12377">
      <c r="E12377">
        <f>IF(DATOS!$I12377="","",IFERROR(VLOOKUP(DATOS!$I12377,CONFIG_ASIGNATURAS!$B$2:$J$61,9,FALSE()),""))</f>
      </c>
    </row>
    <row r="12378">
      <c r="E12378">
        <f>IF(DATOS!$I12378="","",IFERROR(VLOOKUP(DATOS!$I12378,CONFIG_ASIGNATURAS!$B$2:$J$61,9,FALSE()),""))</f>
      </c>
    </row>
    <row r="12379">
      <c r="E12379">
        <f>IF(DATOS!$I12379="","",IFERROR(VLOOKUP(DATOS!$I12379,CONFIG_ASIGNATURAS!$B$2:$J$61,9,FALSE()),""))</f>
      </c>
    </row>
    <row r="12380">
      <c r="E12380">
        <f>IF(DATOS!$I12380="","",IFERROR(VLOOKUP(DATOS!$I12380,CONFIG_ASIGNATURAS!$B$2:$J$61,9,FALSE()),""))</f>
      </c>
    </row>
    <row r="12381">
      <c r="E12381">
        <f>IF(DATOS!$I12381="","",IFERROR(VLOOKUP(DATOS!$I12381,CONFIG_ASIGNATURAS!$B$2:$J$61,9,FALSE()),""))</f>
      </c>
    </row>
    <row r="12382">
      <c r="E12382">
        <f>IF(DATOS!$I12382="","",IFERROR(VLOOKUP(DATOS!$I12382,CONFIG_ASIGNATURAS!$B$2:$J$61,9,FALSE()),""))</f>
      </c>
    </row>
    <row r="12383">
      <c r="E12383">
        <f>IF(DATOS!$I12383="","",IFERROR(VLOOKUP(DATOS!$I12383,CONFIG_ASIGNATURAS!$B$2:$J$61,9,FALSE()),""))</f>
      </c>
    </row>
    <row r="12384">
      <c r="E12384">
        <f>IF(DATOS!$I12384="","",IFERROR(VLOOKUP(DATOS!$I12384,CONFIG_ASIGNATURAS!$B$2:$J$61,9,FALSE()),""))</f>
      </c>
    </row>
    <row r="12385">
      <c r="E12385">
        <f>IF(DATOS!$I12385="","",IFERROR(VLOOKUP(DATOS!$I12385,CONFIG_ASIGNATURAS!$B$2:$J$61,9,FALSE()),""))</f>
      </c>
    </row>
    <row r="12386">
      <c r="E12386">
        <f>IF(DATOS!$I12386="","",IFERROR(VLOOKUP(DATOS!$I12386,CONFIG_ASIGNATURAS!$B$2:$J$61,9,FALSE()),""))</f>
      </c>
    </row>
    <row r="12387">
      <c r="E12387">
        <f>IF(DATOS!$I12387="","",IFERROR(VLOOKUP(DATOS!$I12387,CONFIG_ASIGNATURAS!$B$2:$J$61,9,FALSE()),""))</f>
      </c>
    </row>
    <row r="12388">
      <c r="E12388">
        <f>IF(DATOS!$I12388="","",IFERROR(VLOOKUP(DATOS!$I12388,CONFIG_ASIGNATURAS!$B$2:$J$61,9,FALSE()),""))</f>
      </c>
    </row>
    <row r="12389">
      <c r="E12389">
        <f>IF(DATOS!$I12389="","",IFERROR(VLOOKUP(DATOS!$I12389,CONFIG_ASIGNATURAS!$B$2:$J$61,9,FALSE()),""))</f>
      </c>
    </row>
    <row r="12390">
      <c r="E12390">
        <f>IF(DATOS!$I12390="","",IFERROR(VLOOKUP(DATOS!$I12390,CONFIG_ASIGNATURAS!$B$2:$J$61,9,FALSE()),""))</f>
      </c>
    </row>
    <row r="12391">
      <c r="E12391">
        <f>IF(DATOS!$I12391="","",IFERROR(VLOOKUP(DATOS!$I12391,CONFIG_ASIGNATURAS!$B$2:$J$61,9,FALSE()),""))</f>
      </c>
    </row>
    <row r="12392">
      <c r="E12392">
        <f>IF(DATOS!$I12392="","",IFERROR(VLOOKUP(DATOS!$I12392,CONFIG_ASIGNATURAS!$B$2:$J$61,9,FALSE()),""))</f>
      </c>
    </row>
    <row r="12393">
      <c r="E12393">
        <f>IF(DATOS!$I12393="","",IFERROR(VLOOKUP(DATOS!$I12393,CONFIG_ASIGNATURAS!$B$2:$J$61,9,FALSE()),""))</f>
      </c>
    </row>
    <row r="12394">
      <c r="E12394">
        <f>IF(DATOS!$I12394="","",IFERROR(VLOOKUP(DATOS!$I12394,CONFIG_ASIGNATURAS!$B$2:$J$61,9,FALSE()),""))</f>
      </c>
    </row>
    <row r="12395">
      <c r="E12395">
        <f>IF(DATOS!$I12395="","",IFERROR(VLOOKUP(DATOS!$I12395,CONFIG_ASIGNATURAS!$B$2:$J$61,9,FALSE()),""))</f>
      </c>
    </row>
    <row r="12396">
      <c r="E12396">
        <f>IF(DATOS!$I12396="","",IFERROR(VLOOKUP(DATOS!$I12396,CONFIG_ASIGNATURAS!$B$2:$J$61,9,FALSE()),""))</f>
      </c>
    </row>
    <row r="12397">
      <c r="E12397">
        <f>IF(DATOS!$I12397="","",IFERROR(VLOOKUP(DATOS!$I12397,CONFIG_ASIGNATURAS!$B$2:$J$61,9,FALSE()),""))</f>
      </c>
    </row>
    <row r="12398">
      <c r="E12398">
        <f>IF(DATOS!$I12398="","",IFERROR(VLOOKUP(DATOS!$I12398,CONFIG_ASIGNATURAS!$B$2:$J$61,9,FALSE()),""))</f>
      </c>
    </row>
    <row r="12399">
      <c r="E12399">
        <f>IF(DATOS!$I12399="","",IFERROR(VLOOKUP(DATOS!$I12399,CONFIG_ASIGNATURAS!$B$2:$J$61,9,FALSE()),""))</f>
      </c>
    </row>
    <row r="12400">
      <c r="E12400">
        <f>IF(DATOS!$I12400="","",IFERROR(VLOOKUP(DATOS!$I12400,CONFIG_ASIGNATURAS!$B$2:$J$61,9,FALSE()),""))</f>
      </c>
    </row>
    <row r="12401">
      <c r="E12401">
        <f>IF(DATOS!$I12401="","",IFERROR(VLOOKUP(DATOS!$I12401,CONFIG_ASIGNATURAS!$B$2:$J$61,9,FALSE()),""))</f>
      </c>
    </row>
    <row r="12402">
      <c r="E12402">
        <f>IF(DATOS!$I12402="","",IFERROR(VLOOKUP(DATOS!$I12402,CONFIG_ASIGNATURAS!$B$2:$J$61,9,FALSE()),""))</f>
      </c>
    </row>
    <row r="12403">
      <c r="E12403">
        <f>IF(DATOS!$I12403="","",IFERROR(VLOOKUP(DATOS!$I12403,CONFIG_ASIGNATURAS!$B$2:$J$61,9,FALSE()),""))</f>
      </c>
    </row>
    <row r="12404">
      <c r="E12404">
        <f>IF(DATOS!$I12404="","",IFERROR(VLOOKUP(DATOS!$I12404,CONFIG_ASIGNATURAS!$B$2:$J$61,9,FALSE()),""))</f>
      </c>
    </row>
    <row r="12405">
      <c r="E12405">
        <f>IF(DATOS!$I12405="","",IFERROR(VLOOKUP(DATOS!$I12405,CONFIG_ASIGNATURAS!$B$2:$J$61,9,FALSE()),""))</f>
      </c>
    </row>
    <row r="12406">
      <c r="E12406">
        <f>IF(DATOS!$I12406="","",IFERROR(VLOOKUP(DATOS!$I12406,CONFIG_ASIGNATURAS!$B$2:$J$61,9,FALSE()),""))</f>
      </c>
    </row>
    <row r="12407">
      <c r="E12407">
        <f>IF(DATOS!$I12407="","",IFERROR(VLOOKUP(DATOS!$I12407,CONFIG_ASIGNATURAS!$B$2:$J$61,9,FALSE()),""))</f>
      </c>
    </row>
    <row r="12408">
      <c r="E12408">
        <f>IF(DATOS!$I12408="","",IFERROR(VLOOKUP(DATOS!$I12408,CONFIG_ASIGNATURAS!$B$2:$J$61,9,FALSE()),""))</f>
      </c>
    </row>
    <row r="12409">
      <c r="E12409">
        <f>IF(DATOS!$I12409="","",IFERROR(VLOOKUP(DATOS!$I12409,CONFIG_ASIGNATURAS!$B$2:$J$61,9,FALSE()),""))</f>
      </c>
    </row>
    <row r="12410">
      <c r="E12410">
        <f>IF(DATOS!$I12410="","",IFERROR(VLOOKUP(DATOS!$I12410,CONFIG_ASIGNATURAS!$B$2:$J$61,9,FALSE()),""))</f>
      </c>
    </row>
    <row r="12411">
      <c r="E12411">
        <f>IF(DATOS!$I12411="","",IFERROR(VLOOKUP(DATOS!$I12411,CONFIG_ASIGNATURAS!$B$2:$J$61,9,FALSE()),""))</f>
      </c>
    </row>
    <row r="12412">
      <c r="E12412">
        <f>IF(DATOS!$I12412="","",IFERROR(VLOOKUP(DATOS!$I12412,CONFIG_ASIGNATURAS!$B$2:$J$61,9,FALSE()),""))</f>
      </c>
    </row>
    <row r="12413">
      <c r="E12413">
        <f>IF(DATOS!$I12413="","",IFERROR(VLOOKUP(DATOS!$I12413,CONFIG_ASIGNATURAS!$B$2:$J$61,9,FALSE()),""))</f>
      </c>
    </row>
    <row r="12414">
      <c r="E12414">
        <f>IF(DATOS!$I12414="","",IFERROR(VLOOKUP(DATOS!$I12414,CONFIG_ASIGNATURAS!$B$2:$J$61,9,FALSE()),""))</f>
      </c>
    </row>
    <row r="12415">
      <c r="E12415">
        <f>IF(DATOS!$I12415="","",IFERROR(VLOOKUP(DATOS!$I12415,CONFIG_ASIGNATURAS!$B$2:$J$61,9,FALSE()),""))</f>
      </c>
    </row>
    <row r="12416">
      <c r="E12416">
        <f>IF(DATOS!$I12416="","",IFERROR(VLOOKUP(DATOS!$I12416,CONFIG_ASIGNATURAS!$B$2:$J$61,9,FALSE()),""))</f>
      </c>
    </row>
    <row r="12417">
      <c r="E12417">
        <f>IF(DATOS!$I12417="","",IFERROR(VLOOKUP(DATOS!$I12417,CONFIG_ASIGNATURAS!$B$2:$J$61,9,FALSE()),""))</f>
      </c>
    </row>
    <row r="12418">
      <c r="E12418">
        <f>IF(DATOS!$I12418="","",IFERROR(VLOOKUP(DATOS!$I12418,CONFIG_ASIGNATURAS!$B$2:$J$61,9,FALSE()),""))</f>
      </c>
    </row>
    <row r="12419">
      <c r="E12419">
        <f>IF(DATOS!$I12419="","",IFERROR(VLOOKUP(DATOS!$I12419,CONFIG_ASIGNATURAS!$B$2:$J$61,9,FALSE()),""))</f>
      </c>
    </row>
    <row r="12420">
      <c r="E12420">
        <f>IF(DATOS!$I12420="","",IFERROR(VLOOKUP(DATOS!$I12420,CONFIG_ASIGNATURAS!$B$2:$J$61,9,FALSE()),""))</f>
      </c>
    </row>
    <row r="12421">
      <c r="E12421">
        <f>IF(DATOS!$I12421="","",IFERROR(VLOOKUP(DATOS!$I12421,CONFIG_ASIGNATURAS!$B$2:$J$61,9,FALSE()),""))</f>
      </c>
    </row>
    <row r="12422">
      <c r="E12422">
        <f>IF(DATOS!$I12422="","",IFERROR(VLOOKUP(DATOS!$I12422,CONFIG_ASIGNATURAS!$B$2:$J$61,9,FALSE()),""))</f>
      </c>
    </row>
    <row r="12423">
      <c r="E12423">
        <f>IF(DATOS!$I12423="","",IFERROR(VLOOKUP(DATOS!$I12423,CONFIG_ASIGNATURAS!$B$2:$J$61,9,FALSE()),""))</f>
      </c>
    </row>
    <row r="12424">
      <c r="E12424">
        <f>IF(DATOS!$I12424="","",IFERROR(VLOOKUP(DATOS!$I12424,CONFIG_ASIGNATURAS!$B$2:$J$61,9,FALSE()),""))</f>
      </c>
    </row>
    <row r="12425">
      <c r="E12425">
        <f>IF(DATOS!$I12425="","",IFERROR(VLOOKUP(DATOS!$I12425,CONFIG_ASIGNATURAS!$B$2:$J$61,9,FALSE()),""))</f>
      </c>
    </row>
    <row r="12426">
      <c r="E12426">
        <f>IF(DATOS!$I12426="","",IFERROR(VLOOKUP(DATOS!$I12426,CONFIG_ASIGNATURAS!$B$2:$J$61,9,FALSE()),""))</f>
      </c>
    </row>
    <row r="12427">
      <c r="E12427">
        <f>IF(DATOS!$I12427="","",IFERROR(VLOOKUP(DATOS!$I12427,CONFIG_ASIGNATURAS!$B$2:$J$61,9,FALSE()),""))</f>
      </c>
    </row>
    <row r="12428">
      <c r="E12428">
        <f>IF(DATOS!$I12428="","",IFERROR(VLOOKUP(DATOS!$I12428,CONFIG_ASIGNATURAS!$B$2:$J$61,9,FALSE()),""))</f>
      </c>
    </row>
    <row r="12429">
      <c r="E12429">
        <f>IF(DATOS!$I12429="","",IFERROR(VLOOKUP(DATOS!$I12429,CONFIG_ASIGNATURAS!$B$2:$J$61,9,FALSE()),""))</f>
      </c>
    </row>
    <row r="12430">
      <c r="E12430">
        <f>IF(DATOS!$I12430="","",IFERROR(VLOOKUP(DATOS!$I12430,CONFIG_ASIGNATURAS!$B$2:$J$61,9,FALSE()),""))</f>
      </c>
    </row>
    <row r="12431">
      <c r="E12431">
        <f>IF(DATOS!$I12431="","",IFERROR(VLOOKUP(DATOS!$I12431,CONFIG_ASIGNATURAS!$B$2:$J$61,9,FALSE()),""))</f>
      </c>
    </row>
    <row r="12432">
      <c r="E12432">
        <f>IF(DATOS!$I12432="","",IFERROR(VLOOKUP(DATOS!$I12432,CONFIG_ASIGNATURAS!$B$2:$J$61,9,FALSE()),""))</f>
      </c>
    </row>
    <row r="12433">
      <c r="E12433">
        <f>IF(DATOS!$I12433="","",IFERROR(VLOOKUP(DATOS!$I12433,CONFIG_ASIGNATURAS!$B$2:$J$61,9,FALSE()),""))</f>
      </c>
    </row>
    <row r="12434">
      <c r="E12434">
        <f>IF(DATOS!$I12434="","",IFERROR(VLOOKUP(DATOS!$I12434,CONFIG_ASIGNATURAS!$B$2:$J$61,9,FALSE()),""))</f>
      </c>
    </row>
    <row r="12435">
      <c r="E12435">
        <f>IF(DATOS!$I12435="","",IFERROR(VLOOKUP(DATOS!$I12435,CONFIG_ASIGNATURAS!$B$2:$J$61,9,FALSE()),""))</f>
      </c>
    </row>
    <row r="12436">
      <c r="E12436">
        <f>IF(DATOS!$I12436="","",IFERROR(VLOOKUP(DATOS!$I12436,CONFIG_ASIGNATURAS!$B$2:$J$61,9,FALSE()),""))</f>
      </c>
    </row>
    <row r="12437">
      <c r="E12437">
        <f>IF(DATOS!$I12437="","",IFERROR(VLOOKUP(DATOS!$I12437,CONFIG_ASIGNATURAS!$B$2:$J$61,9,FALSE()),""))</f>
      </c>
    </row>
    <row r="12438">
      <c r="E12438">
        <f>IF(DATOS!$I12438="","",IFERROR(VLOOKUP(DATOS!$I12438,CONFIG_ASIGNATURAS!$B$2:$J$61,9,FALSE()),""))</f>
      </c>
    </row>
    <row r="12439">
      <c r="E12439">
        <f>IF(DATOS!$I12439="","",IFERROR(VLOOKUP(DATOS!$I12439,CONFIG_ASIGNATURAS!$B$2:$J$61,9,FALSE()),""))</f>
      </c>
    </row>
    <row r="12440">
      <c r="E12440">
        <f>IF(DATOS!$I12440="","",IFERROR(VLOOKUP(DATOS!$I12440,CONFIG_ASIGNATURAS!$B$2:$J$61,9,FALSE()),""))</f>
      </c>
    </row>
    <row r="12441">
      <c r="E12441">
        <f>IF(DATOS!$I12441="","",IFERROR(VLOOKUP(DATOS!$I12441,CONFIG_ASIGNATURAS!$B$2:$J$61,9,FALSE()),""))</f>
      </c>
    </row>
    <row r="12442">
      <c r="E12442">
        <f>IF(DATOS!$I12442="","",IFERROR(VLOOKUP(DATOS!$I12442,CONFIG_ASIGNATURAS!$B$2:$J$61,9,FALSE()),""))</f>
      </c>
    </row>
    <row r="12443">
      <c r="E12443">
        <f>IF(DATOS!$I12443="","",IFERROR(VLOOKUP(DATOS!$I12443,CONFIG_ASIGNATURAS!$B$2:$J$61,9,FALSE()),""))</f>
      </c>
    </row>
    <row r="12444">
      <c r="E12444">
        <f>IF(DATOS!$I12444="","",IFERROR(VLOOKUP(DATOS!$I12444,CONFIG_ASIGNATURAS!$B$2:$J$61,9,FALSE()),""))</f>
      </c>
    </row>
    <row r="12445">
      <c r="E12445">
        <f>IF(DATOS!$I12445="","",IFERROR(VLOOKUP(DATOS!$I12445,CONFIG_ASIGNATURAS!$B$2:$J$61,9,FALSE()),""))</f>
      </c>
    </row>
    <row r="12446">
      <c r="E12446">
        <f>IF(DATOS!$I12446="","",IFERROR(VLOOKUP(DATOS!$I12446,CONFIG_ASIGNATURAS!$B$2:$J$61,9,FALSE()),""))</f>
      </c>
    </row>
    <row r="12447">
      <c r="E12447">
        <f>IF(DATOS!$I12447="","",IFERROR(VLOOKUP(DATOS!$I12447,CONFIG_ASIGNATURAS!$B$2:$J$61,9,FALSE()),""))</f>
      </c>
    </row>
    <row r="12448">
      <c r="E12448">
        <f>IF(DATOS!$I12448="","",IFERROR(VLOOKUP(DATOS!$I12448,CONFIG_ASIGNATURAS!$B$2:$J$61,9,FALSE()),""))</f>
      </c>
    </row>
    <row r="12449">
      <c r="E12449">
        <f>IF(DATOS!$I12449="","",IFERROR(VLOOKUP(DATOS!$I12449,CONFIG_ASIGNATURAS!$B$2:$J$61,9,FALSE()),""))</f>
      </c>
    </row>
    <row r="12450">
      <c r="E12450">
        <f>IF(DATOS!$I12450="","",IFERROR(VLOOKUP(DATOS!$I12450,CONFIG_ASIGNATURAS!$B$2:$J$61,9,FALSE()),""))</f>
      </c>
    </row>
    <row r="12451">
      <c r="E12451">
        <f>IF(DATOS!$I12451="","",IFERROR(VLOOKUP(DATOS!$I12451,CONFIG_ASIGNATURAS!$B$2:$J$61,9,FALSE()),""))</f>
      </c>
    </row>
    <row r="12452">
      <c r="E12452">
        <f>IF(DATOS!$I12452="","",IFERROR(VLOOKUP(DATOS!$I12452,CONFIG_ASIGNATURAS!$B$2:$J$61,9,FALSE()),""))</f>
      </c>
    </row>
    <row r="12453">
      <c r="E12453">
        <f>IF(DATOS!$I12453="","",IFERROR(VLOOKUP(DATOS!$I12453,CONFIG_ASIGNATURAS!$B$2:$J$61,9,FALSE()),""))</f>
      </c>
    </row>
    <row r="12454">
      <c r="E12454">
        <f>IF(DATOS!$I12454="","",IFERROR(VLOOKUP(DATOS!$I12454,CONFIG_ASIGNATURAS!$B$2:$J$61,9,FALSE()),""))</f>
      </c>
    </row>
    <row r="12455">
      <c r="E12455">
        <f>IF(DATOS!$I12455="","",IFERROR(VLOOKUP(DATOS!$I12455,CONFIG_ASIGNATURAS!$B$2:$J$61,9,FALSE()),""))</f>
      </c>
    </row>
    <row r="12456">
      <c r="E12456">
        <f>IF(DATOS!$I12456="","",IFERROR(VLOOKUP(DATOS!$I12456,CONFIG_ASIGNATURAS!$B$2:$J$61,9,FALSE()),""))</f>
      </c>
    </row>
    <row r="12457">
      <c r="E12457">
        <f>IF(DATOS!$I12457="","",IFERROR(VLOOKUP(DATOS!$I12457,CONFIG_ASIGNATURAS!$B$2:$J$61,9,FALSE()),""))</f>
      </c>
    </row>
    <row r="12458">
      <c r="E12458">
        <f>IF(DATOS!$I12458="","",IFERROR(VLOOKUP(DATOS!$I12458,CONFIG_ASIGNATURAS!$B$2:$J$61,9,FALSE()),""))</f>
      </c>
    </row>
    <row r="12459">
      <c r="E12459">
        <f>IF(DATOS!$I12459="","",IFERROR(VLOOKUP(DATOS!$I12459,CONFIG_ASIGNATURAS!$B$2:$J$61,9,FALSE()),""))</f>
      </c>
    </row>
    <row r="12460">
      <c r="E12460">
        <f>IF(DATOS!$I12460="","",IFERROR(VLOOKUP(DATOS!$I12460,CONFIG_ASIGNATURAS!$B$2:$J$61,9,FALSE()),""))</f>
      </c>
    </row>
    <row r="12461">
      <c r="E12461">
        <f>IF(DATOS!$I12461="","",IFERROR(VLOOKUP(DATOS!$I12461,CONFIG_ASIGNATURAS!$B$2:$J$61,9,FALSE()),""))</f>
      </c>
    </row>
    <row r="12462">
      <c r="E12462">
        <f>IF(DATOS!$I12462="","",IFERROR(VLOOKUP(DATOS!$I12462,CONFIG_ASIGNATURAS!$B$2:$J$61,9,FALSE()),""))</f>
      </c>
    </row>
    <row r="12463">
      <c r="E12463">
        <f>IF(DATOS!$I12463="","",IFERROR(VLOOKUP(DATOS!$I12463,CONFIG_ASIGNATURAS!$B$2:$J$61,9,FALSE()),""))</f>
      </c>
    </row>
    <row r="12464">
      <c r="E12464">
        <f>IF(DATOS!$I12464="","",IFERROR(VLOOKUP(DATOS!$I12464,CONFIG_ASIGNATURAS!$B$2:$J$61,9,FALSE()),""))</f>
      </c>
    </row>
    <row r="12465">
      <c r="E12465">
        <f>IF(DATOS!$I12465="","",IFERROR(VLOOKUP(DATOS!$I12465,CONFIG_ASIGNATURAS!$B$2:$J$61,9,FALSE()),""))</f>
      </c>
    </row>
    <row r="12466">
      <c r="E12466">
        <f>IF(DATOS!$I12466="","",IFERROR(VLOOKUP(DATOS!$I12466,CONFIG_ASIGNATURAS!$B$2:$J$61,9,FALSE()),""))</f>
      </c>
    </row>
    <row r="12467">
      <c r="E12467">
        <f>IF(DATOS!$I12467="","",IFERROR(VLOOKUP(DATOS!$I12467,CONFIG_ASIGNATURAS!$B$2:$J$61,9,FALSE()),""))</f>
      </c>
    </row>
    <row r="12468">
      <c r="E12468">
        <f>IF(DATOS!$I12468="","",IFERROR(VLOOKUP(DATOS!$I12468,CONFIG_ASIGNATURAS!$B$2:$J$61,9,FALSE()),""))</f>
      </c>
    </row>
    <row r="12469">
      <c r="E12469">
        <f>IF(DATOS!$I12469="","",IFERROR(VLOOKUP(DATOS!$I12469,CONFIG_ASIGNATURAS!$B$2:$J$61,9,FALSE()),""))</f>
      </c>
    </row>
    <row r="12470">
      <c r="E12470">
        <f>IF(DATOS!$I12470="","",IFERROR(VLOOKUP(DATOS!$I12470,CONFIG_ASIGNATURAS!$B$2:$J$61,9,FALSE()),""))</f>
      </c>
    </row>
    <row r="12471">
      <c r="E12471">
        <f>IF(DATOS!$I12471="","",IFERROR(VLOOKUP(DATOS!$I12471,CONFIG_ASIGNATURAS!$B$2:$J$61,9,FALSE()),""))</f>
      </c>
    </row>
    <row r="12472">
      <c r="E12472">
        <f>IF(DATOS!$I12472="","",IFERROR(VLOOKUP(DATOS!$I12472,CONFIG_ASIGNATURAS!$B$2:$J$61,9,FALSE()),""))</f>
      </c>
    </row>
    <row r="12473">
      <c r="E12473">
        <f>IF(DATOS!$I12473="","",IFERROR(VLOOKUP(DATOS!$I12473,CONFIG_ASIGNATURAS!$B$2:$J$61,9,FALSE()),""))</f>
      </c>
    </row>
    <row r="12474">
      <c r="E12474">
        <f>IF(DATOS!$I12474="","",IFERROR(VLOOKUP(DATOS!$I12474,CONFIG_ASIGNATURAS!$B$2:$J$61,9,FALSE()),""))</f>
      </c>
    </row>
    <row r="12475">
      <c r="E12475">
        <f>IF(DATOS!$I12475="","",IFERROR(VLOOKUP(DATOS!$I12475,CONFIG_ASIGNATURAS!$B$2:$J$61,9,FALSE()),""))</f>
      </c>
    </row>
    <row r="12476">
      <c r="E12476">
        <f>IF(DATOS!$I12476="","",IFERROR(VLOOKUP(DATOS!$I12476,CONFIG_ASIGNATURAS!$B$2:$J$61,9,FALSE()),""))</f>
      </c>
    </row>
    <row r="12477">
      <c r="E12477">
        <f>IF(DATOS!$I12477="","",IFERROR(VLOOKUP(DATOS!$I12477,CONFIG_ASIGNATURAS!$B$2:$J$61,9,FALSE()),""))</f>
      </c>
    </row>
    <row r="12478">
      <c r="E12478">
        <f>IF(DATOS!$I12478="","",IFERROR(VLOOKUP(DATOS!$I12478,CONFIG_ASIGNATURAS!$B$2:$J$61,9,FALSE()),""))</f>
      </c>
    </row>
    <row r="12479">
      <c r="E12479">
        <f>IF(DATOS!$I12479="","",IFERROR(VLOOKUP(DATOS!$I12479,CONFIG_ASIGNATURAS!$B$2:$J$61,9,FALSE()),""))</f>
      </c>
    </row>
    <row r="12480">
      <c r="E12480">
        <f>IF(DATOS!$I12480="","",IFERROR(VLOOKUP(DATOS!$I12480,CONFIG_ASIGNATURAS!$B$2:$J$61,9,FALSE()),""))</f>
      </c>
    </row>
    <row r="12481">
      <c r="E12481">
        <f>IF(DATOS!$I12481="","",IFERROR(VLOOKUP(DATOS!$I12481,CONFIG_ASIGNATURAS!$B$2:$J$61,9,FALSE()),""))</f>
      </c>
    </row>
    <row r="12482">
      <c r="E12482">
        <f>IF(DATOS!$I12482="","",IFERROR(VLOOKUP(DATOS!$I12482,CONFIG_ASIGNATURAS!$B$2:$J$61,9,FALSE()),""))</f>
      </c>
    </row>
    <row r="12483">
      <c r="E12483">
        <f>IF(DATOS!$I12483="","",IFERROR(VLOOKUP(DATOS!$I12483,CONFIG_ASIGNATURAS!$B$2:$J$61,9,FALSE()),""))</f>
      </c>
    </row>
    <row r="12484">
      <c r="E12484">
        <f>IF(DATOS!$I12484="","",IFERROR(VLOOKUP(DATOS!$I12484,CONFIG_ASIGNATURAS!$B$2:$J$61,9,FALSE()),""))</f>
      </c>
    </row>
    <row r="12485">
      <c r="E12485">
        <f>IF(DATOS!$I12485="","",IFERROR(VLOOKUP(DATOS!$I12485,CONFIG_ASIGNATURAS!$B$2:$J$61,9,FALSE()),""))</f>
      </c>
    </row>
    <row r="12486">
      <c r="E12486">
        <f>IF(DATOS!$I12486="","",IFERROR(VLOOKUP(DATOS!$I12486,CONFIG_ASIGNATURAS!$B$2:$J$61,9,FALSE()),""))</f>
      </c>
    </row>
    <row r="12487">
      <c r="E12487">
        <f>IF(DATOS!$I12487="","",IFERROR(VLOOKUP(DATOS!$I12487,CONFIG_ASIGNATURAS!$B$2:$J$61,9,FALSE()),""))</f>
      </c>
    </row>
    <row r="12488">
      <c r="E12488">
        <f>IF(DATOS!$I12488="","",IFERROR(VLOOKUP(DATOS!$I12488,CONFIG_ASIGNATURAS!$B$2:$J$61,9,FALSE()),""))</f>
      </c>
    </row>
    <row r="12489">
      <c r="E12489">
        <f>IF(DATOS!$I12489="","",IFERROR(VLOOKUP(DATOS!$I12489,CONFIG_ASIGNATURAS!$B$2:$J$61,9,FALSE()),""))</f>
      </c>
    </row>
    <row r="12490">
      <c r="E12490">
        <f>IF(DATOS!$I12490="","",IFERROR(VLOOKUP(DATOS!$I12490,CONFIG_ASIGNATURAS!$B$2:$J$61,9,FALSE()),""))</f>
      </c>
    </row>
    <row r="12491">
      <c r="E12491">
        <f>IF(DATOS!$I12491="","",IFERROR(VLOOKUP(DATOS!$I12491,CONFIG_ASIGNATURAS!$B$2:$J$61,9,FALSE()),""))</f>
      </c>
    </row>
    <row r="12492">
      <c r="E12492">
        <f>IF(DATOS!$I12492="","",IFERROR(VLOOKUP(DATOS!$I12492,CONFIG_ASIGNATURAS!$B$2:$J$61,9,FALSE()),""))</f>
      </c>
    </row>
    <row r="12493">
      <c r="E12493">
        <f>IF(DATOS!$I12493="","",IFERROR(VLOOKUP(DATOS!$I12493,CONFIG_ASIGNATURAS!$B$2:$J$61,9,FALSE()),""))</f>
      </c>
    </row>
    <row r="12494">
      <c r="E12494">
        <f>IF(DATOS!$I12494="","",IFERROR(VLOOKUP(DATOS!$I12494,CONFIG_ASIGNATURAS!$B$2:$J$61,9,FALSE()),""))</f>
      </c>
    </row>
    <row r="12495">
      <c r="E12495">
        <f>IF(DATOS!$I12495="","",IFERROR(VLOOKUP(DATOS!$I12495,CONFIG_ASIGNATURAS!$B$2:$J$61,9,FALSE()),""))</f>
      </c>
    </row>
    <row r="12496">
      <c r="E12496">
        <f>IF(DATOS!$I12496="","",IFERROR(VLOOKUP(DATOS!$I12496,CONFIG_ASIGNATURAS!$B$2:$J$61,9,FALSE()),""))</f>
      </c>
    </row>
    <row r="12497">
      <c r="E12497">
        <f>IF(DATOS!$I12497="","",IFERROR(VLOOKUP(DATOS!$I12497,CONFIG_ASIGNATURAS!$B$2:$J$61,9,FALSE()),""))</f>
      </c>
    </row>
    <row r="12498">
      <c r="E12498">
        <f>IF(DATOS!$I12498="","",IFERROR(VLOOKUP(DATOS!$I12498,CONFIG_ASIGNATURAS!$B$2:$J$61,9,FALSE()),""))</f>
      </c>
    </row>
    <row r="12499">
      <c r="E12499">
        <f>IF(DATOS!$I12499="","",IFERROR(VLOOKUP(DATOS!$I12499,CONFIG_ASIGNATURAS!$B$2:$J$61,9,FALSE()),""))</f>
      </c>
    </row>
    <row r="12500">
      <c r="E12500">
        <f>IF(DATOS!$I12500="","",IFERROR(VLOOKUP(DATOS!$I12500,CONFIG_ASIGNATURAS!$B$2:$J$61,9,FALSE()),""))</f>
      </c>
    </row>
    <row r="12501">
      <c r="E12501">
        <f>IF(DATOS!$I12501="","",IFERROR(VLOOKUP(DATOS!$I12501,CONFIG_ASIGNATURAS!$B$2:$J$61,9,FALSE()),""))</f>
      </c>
    </row>
    <row r="12502">
      <c r="E12502">
        <f>IF(DATOS!$I12502="","",IFERROR(VLOOKUP(DATOS!$I12502,CONFIG_ASIGNATURAS!$B$2:$J$61,9,FALSE()),""))</f>
      </c>
    </row>
    <row r="12503">
      <c r="E12503">
        <f>IF(DATOS!$I12503="","",IFERROR(VLOOKUP(DATOS!$I12503,CONFIG_ASIGNATURAS!$B$2:$J$61,9,FALSE()),""))</f>
      </c>
    </row>
    <row r="12504">
      <c r="E12504">
        <f>IF(DATOS!$I12504="","",IFERROR(VLOOKUP(DATOS!$I12504,CONFIG_ASIGNATURAS!$B$2:$J$61,9,FALSE()),""))</f>
      </c>
    </row>
    <row r="12505">
      <c r="E12505">
        <f>IF(DATOS!$I12505="","",IFERROR(VLOOKUP(DATOS!$I12505,CONFIG_ASIGNATURAS!$B$2:$J$61,9,FALSE()),""))</f>
      </c>
    </row>
    <row r="12506">
      <c r="E12506">
        <f>IF(DATOS!$I12506="","",IFERROR(VLOOKUP(DATOS!$I12506,CONFIG_ASIGNATURAS!$B$2:$J$61,9,FALSE()),""))</f>
      </c>
    </row>
    <row r="12507">
      <c r="E12507">
        <f>IF(DATOS!$I12507="","",IFERROR(VLOOKUP(DATOS!$I12507,CONFIG_ASIGNATURAS!$B$2:$J$61,9,FALSE()),""))</f>
      </c>
    </row>
    <row r="12508">
      <c r="E12508">
        <f>IF(DATOS!$I12508="","",IFERROR(VLOOKUP(DATOS!$I12508,CONFIG_ASIGNATURAS!$B$2:$J$61,9,FALSE()),""))</f>
      </c>
    </row>
    <row r="12509">
      <c r="E12509">
        <f>IF(DATOS!$I12509="","",IFERROR(VLOOKUP(DATOS!$I12509,CONFIG_ASIGNATURAS!$B$2:$J$61,9,FALSE()),""))</f>
      </c>
    </row>
    <row r="12510">
      <c r="E12510">
        <f>IF(DATOS!$I12510="","",IFERROR(VLOOKUP(DATOS!$I12510,CONFIG_ASIGNATURAS!$B$2:$J$61,9,FALSE()),""))</f>
      </c>
    </row>
    <row r="12511">
      <c r="E12511">
        <f>IF(DATOS!$I12511="","",IFERROR(VLOOKUP(DATOS!$I12511,CONFIG_ASIGNATURAS!$B$2:$J$61,9,FALSE()),""))</f>
      </c>
    </row>
    <row r="12512">
      <c r="E12512">
        <f>IF(DATOS!$I12512="","",IFERROR(VLOOKUP(DATOS!$I12512,CONFIG_ASIGNATURAS!$B$2:$J$61,9,FALSE()),""))</f>
      </c>
    </row>
    <row r="12513">
      <c r="E12513">
        <f>IF(DATOS!$I12513="","",IFERROR(VLOOKUP(DATOS!$I12513,CONFIG_ASIGNATURAS!$B$2:$J$61,9,FALSE()),""))</f>
      </c>
    </row>
    <row r="12514">
      <c r="E12514">
        <f>IF(DATOS!$I12514="","",IFERROR(VLOOKUP(DATOS!$I12514,CONFIG_ASIGNATURAS!$B$2:$J$61,9,FALSE()),""))</f>
      </c>
    </row>
    <row r="12515">
      <c r="E12515">
        <f>IF(DATOS!$I12515="","",IFERROR(VLOOKUP(DATOS!$I12515,CONFIG_ASIGNATURAS!$B$2:$J$61,9,FALSE()),""))</f>
      </c>
    </row>
    <row r="12516">
      <c r="E12516">
        <f>IF(DATOS!$I12516="","",IFERROR(VLOOKUP(DATOS!$I12516,CONFIG_ASIGNATURAS!$B$2:$J$61,9,FALSE()),""))</f>
      </c>
    </row>
    <row r="12517">
      <c r="E12517">
        <f>IF(DATOS!$I12517="","",IFERROR(VLOOKUP(DATOS!$I12517,CONFIG_ASIGNATURAS!$B$2:$J$61,9,FALSE()),""))</f>
      </c>
    </row>
    <row r="12518">
      <c r="E12518">
        <f>IF(DATOS!$I12518="","",IFERROR(VLOOKUP(DATOS!$I12518,CONFIG_ASIGNATURAS!$B$2:$J$61,9,FALSE()),""))</f>
      </c>
    </row>
    <row r="12519">
      <c r="E12519">
        <f>IF(DATOS!$I12519="","",IFERROR(VLOOKUP(DATOS!$I12519,CONFIG_ASIGNATURAS!$B$2:$J$61,9,FALSE()),""))</f>
      </c>
    </row>
    <row r="12520">
      <c r="E12520">
        <f>IF(DATOS!$I12520="","",IFERROR(VLOOKUP(DATOS!$I12520,CONFIG_ASIGNATURAS!$B$2:$J$61,9,FALSE()),""))</f>
      </c>
    </row>
    <row r="12521">
      <c r="E12521">
        <f>IF(DATOS!$I12521="","",IFERROR(VLOOKUP(DATOS!$I12521,CONFIG_ASIGNATURAS!$B$2:$J$61,9,FALSE()),""))</f>
      </c>
    </row>
    <row r="12522">
      <c r="E12522">
        <f>IF(DATOS!$I12522="","",IFERROR(VLOOKUP(DATOS!$I12522,CONFIG_ASIGNATURAS!$B$2:$J$61,9,FALSE()),""))</f>
      </c>
    </row>
    <row r="12523">
      <c r="E12523">
        <f>IF(DATOS!$I12523="","",IFERROR(VLOOKUP(DATOS!$I12523,CONFIG_ASIGNATURAS!$B$2:$J$61,9,FALSE()),""))</f>
      </c>
    </row>
    <row r="12524">
      <c r="E12524">
        <f>IF(DATOS!$I12524="","",IFERROR(VLOOKUP(DATOS!$I12524,CONFIG_ASIGNATURAS!$B$2:$J$61,9,FALSE()),""))</f>
      </c>
    </row>
    <row r="12525">
      <c r="E12525">
        <f>IF(DATOS!$I12525="","",IFERROR(VLOOKUP(DATOS!$I12525,CONFIG_ASIGNATURAS!$B$2:$J$61,9,FALSE()),""))</f>
      </c>
    </row>
    <row r="12526">
      <c r="E12526">
        <f>IF(DATOS!$I12526="","",IFERROR(VLOOKUP(DATOS!$I12526,CONFIG_ASIGNATURAS!$B$2:$J$61,9,FALSE()),""))</f>
      </c>
    </row>
    <row r="12527">
      <c r="E12527">
        <f>IF(DATOS!$I12527="","",IFERROR(VLOOKUP(DATOS!$I12527,CONFIG_ASIGNATURAS!$B$2:$J$61,9,FALSE()),""))</f>
      </c>
    </row>
    <row r="12528">
      <c r="E12528">
        <f>IF(DATOS!$I12528="","",IFERROR(VLOOKUP(DATOS!$I12528,CONFIG_ASIGNATURAS!$B$2:$J$61,9,FALSE()),""))</f>
      </c>
    </row>
    <row r="12529">
      <c r="E12529">
        <f>IF(DATOS!$I12529="","",IFERROR(VLOOKUP(DATOS!$I12529,CONFIG_ASIGNATURAS!$B$2:$J$61,9,FALSE()),""))</f>
      </c>
    </row>
    <row r="12530">
      <c r="E12530">
        <f>IF(DATOS!$I12530="","",IFERROR(VLOOKUP(DATOS!$I12530,CONFIG_ASIGNATURAS!$B$2:$J$61,9,FALSE()),""))</f>
      </c>
    </row>
    <row r="12531">
      <c r="E12531">
        <f>IF(DATOS!$I12531="","",IFERROR(VLOOKUP(DATOS!$I12531,CONFIG_ASIGNATURAS!$B$2:$J$61,9,FALSE()),""))</f>
      </c>
    </row>
    <row r="12532">
      <c r="E12532">
        <f>IF(DATOS!$I12532="","",IFERROR(VLOOKUP(DATOS!$I12532,CONFIG_ASIGNATURAS!$B$2:$J$61,9,FALSE()),""))</f>
      </c>
    </row>
    <row r="12533">
      <c r="E12533">
        <f>IF(DATOS!$I12533="","",IFERROR(VLOOKUP(DATOS!$I12533,CONFIG_ASIGNATURAS!$B$2:$J$61,9,FALSE()),""))</f>
      </c>
    </row>
    <row r="12534">
      <c r="E12534">
        <f>IF(DATOS!$I12534="","",IFERROR(VLOOKUP(DATOS!$I12534,CONFIG_ASIGNATURAS!$B$2:$J$61,9,FALSE()),""))</f>
      </c>
    </row>
    <row r="12535">
      <c r="E12535">
        <f>IF(DATOS!$I12535="","",IFERROR(VLOOKUP(DATOS!$I12535,CONFIG_ASIGNATURAS!$B$2:$J$61,9,FALSE()),""))</f>
      </c>
    </row>
    <row r="12536">
      <c r="E12536">
        <f>IF(DATOS!$I12536="","",IFERROR(VLOOKUP(DATOS!$I12536,CONFIG_ASIGNATURAS!$B$2:$J$61,9,FALSE()),""))</f>
      </c>
    </row>
    <row r="12537">
      <c r="E12537">
        <f>IF(DATOS!$I12537="","",IFERROR(VLOOKUP(DATOS!$I12537,CONFIG_ASIGNATURAS!$B$2:$J$61,9,FALSE()),""))</f>
      </c>
    </row>
    <row r="12538">
      <c r="E12538">
        <f>IF(DATOS!$I12538="","",IFERROR(VLOOKUP(DATOS!$I12538,CONFIG_ASIGNATURAS!$B$2:$J$61,9,FALSE()),""))</f>
      </c>
    </row>
    <row r="12539">
      <c r="E12539">
        <f>IF(DATOS!$I12539="","",IFERROR(VLOOKUP(DATOS!$I12539,CONFIG_ASIGNATURAS!$B$2:$J$61,9,FALSE()),""))</f>
      </c>
    </row>
    <row r="12540">
      <c r="E12540">
        <f>IF(DATOS!$I12540="","",IFERROR(VLOOKUP(DATOS!$I12540,CONFIG_ASIGNATURAS!$B$2:$J$61,9,FALSE()),""))</f>
      </c>
    </row>
    <row r="12541">
      <c r="E12541">
        <f>IF(DATOS!$I12541="","",IFERROR(VLOOKUP(DATOS!$I12541,CONFIG_ASIGNATURAS!$B$2:$J$61,9,FALSE()),""))</f>
      </c>
    </row>
    <row r="12542">
      <c r="E12542">
        <f>IF(DATOS!$I12542="","",IFERROR(VLOOKUP(DATOS!$I12542,CONFIG_ASIGNATURAS!$B$2:$J$61,9,FALSE()),""))</f>
      </c>
    </row>
    <row r="12543">
      <c r="E12543">
        <f>IF(DATOS!$I12543="","",IFERROR(VLOOKUP(DATOS!$I12543,CONFIG_ASIGNATURAS!$B$2:$J$61,9,FALSE()),""))</f>
      </c>
    </row>
    <row r="12544">
      <c r="E12544">
        <f>IF(DATOS!$I12544="","",IFERROR(VLOOKUP(DATOS!$I12544,CONFIG_ASIGNATURAS!$B$2:$J$61,9,FALSE()),""))</f>
      </c>
    </row>
    <row r="12545">
      <c r="E12545">
        <f>IF(DATOS!$I12545="","",IFERROR(VLOOKUP(DATOS!$I12545,CONFIG_ASIGNATURAS!$B$2:$J$61,9,FALSE()),""))</f>
      </c>
    </row>
    <row r="12546">
      <c r="E12546">
        <f>IF(DATOS!$I12546="","",IFERROR(VLOOKUP(DATOS!$I12546,CONFIG_ASIGNATURAS!$B$2:$J$61,9,FALSE()),""))</f>
      </c>
    </row>
    <row r="12547">
      <c r="E12547">
        <f>IF(DATOS!$I12547="","",IFERROR(VLOOKUP(DATOS!$I12547,CONFIG_ASIGNATURAS!$B$2:$J$61,9,FALSE()),""))</f>
      </c>
    </row>
    <row r="12548">
      <c r="E12548">
        <f>IF(DATOS!$I12548="","",IFERROR(VLOOKUP(DATOS!$I12548,CONFIG_ASIGNATURAS!$B$2:$J$61,9,FALSE()),""))</f>
      </c>
    </row>
    <row r="12549">
      <c r="E12549">
        <f>IF(DATOS!$I12549="","",IFERROR(VLOOKUP(DATOS!$I12549,CONFIG_ASIGNATURAS!$B$2:$J$61,9,FALSE()),""))</f>
      </c>
    </row>
    <row r="12550">
      <c r="E12550">
        <f>IF(DATOS!$I12550="","",IFERROR(VLOOKUP(DATOS!$I12550,CONFIG_ASIGNATURAS!$B$2:$J$61,9,FALSE()),""))</f>
      </c>
    </row>
    <row r="12551">
      <c r="E12551">
        <f>IF(DATOS!$I12551="","",IFERROR(VLOOKUP(DATOS!$I12551,CONFIG_ASIGNATURAS!$B$2:$J$61,9,FALSE()),""))</f>
      </c>
    </row>
    <row r="12552">
      <c r="E12552">
        <f>IF(DATOS!$I12552="","",IFERROR(VLOOKUP(DATOS!$I12552,CONFIG_ASIGNATURAS!$B$2:$J$61,9,FALSE()),""))</f>
      </c>
    </row>
    <row r="12553">
      <c r="E12553">
        <f>IF(DATOS!$I12553="","",IFERROR(VLOOKUP(DATOS!$I12553,CONFIG_ASIGNATURAS!$B$2:$J$61,9,FALSE()),""))</f>
      </c>
    </row>
    <row r="12554">
      <c r="E12554">
        <f>IF(DATOS!$I12554="","",IFERROR(VLOOKUP(DATOS!$I12554,CONFIG_ASIGNATURAS!$B$2:$J$61,9,FALSE()),""))</f>
      </c>
    </row>
    <row r="12555">
      <c r="E12555">
        <f>IF(DATOS!$I12555="","",IFERROR(VLOOKUP(DATOS!$I12555,CONFIG_ASIGNATURAS!$B$2:$J$61,9,FALSE()),""))</f>
      </c>
    </row>
    <row r="12556">
      <c r="E12556">
        <f>IF(DATOS!$I12556="","",IFERROR(VLOOKUP(DATOS!$I12556,CONFIG_ASIGNATURAS!$B$2:$J$61,9,FALSE()),""))</f>
      </c>
    </row>
    <row r="12557">
      <c r="E12557">
        <f>IF(DATOS!$I12557="","",IFERROR(VLOOKUP(DATOS!$I12557,CONFIG_ASIGNATURAS!$B$2:$J$61,9,FALSE()),""))</f>
      </c>
    </row>
    <row r="12558">
      <c r="E12558">
        <f>IF(DATOS!$I12558="","",IFERROR(VLOOKUP(DATOS!$I12558,CONFIG_ASIGNATURAS!$B$2:$J$61,9,FALSE()),""))</f>
      </c>
    </row>
    <row r="12559">
      <c r="E12559">
        <f>IF(DATOS!$I12559="","",IFERROR(VLOOKUP(DATOS!$I12559,CONFIG_ASIGNATURAS!$B$2:$J$61,9,FALSE()),""))</f>
      </c>
    </row>
    <row r="12560">
      <c r="E12560">
        <f>IF(DATOS!$I12560="","",IFERROR(VLOOKUP(DATOS!$I12560,CONFIG_ASIGNATURAS!$B$2:$J$61,9,FALSE()),""))</f>
      </c>
    </row>
    <row r="12561">
      <c r="E12561">
        <f>IF(DATOS!$I12561="","",IFERROR(VLOOKUP(DATOS!$I12561,CONFIG_ASIGNATURAS!$B$2:$J$61,9,FALSE()),""))</f>
      </c>
    </row>
    <row r="12562">
      <c r="E12562">
        <f>IF(DATOS!$I12562="","",IFERROR(VLOOKUP(DATOS!$I12562,CONFIG_ASIGNATURAS!$B$2:$J$61,9,FALSE()),""))</f>
      </c>
    </row>
    <row r="12563">
      <c r="E12563">
        <f>IF(DATOS!$I12563="","",IFERROR(VLOOKUP(DATOS!$I12563,CONFIG_ASIGNATURAS!$B$2:$J$61,9,FALSE()),""))</f>
      </c>
    </row>
    <row r="12564">
      <c r="E12564">
        <f>IF(DATOS!$I12564="","",IFERROR(VLOOKUP(DATOS!$I12564,CONFIG_ASIGNATURAS!$B$2:$J$61,9,FALSE()),""))</f>
      </c>
    </row>
    <row r="12565">
      <c r="E12565">
        <f>IF(DATOS!$I12565="","",IFERROR(VLOOKUP(DATOS!$I12565,CONFIG_ASIGNATURAS!$B$2:$J$61,9,FALSE()),""))</f>
      </c>
    </row>
    <row r="12566">
      <c r="E12566">
        <f>IF(DATOS!$I12566="","",IFERROR(VLOOKUP(DATOS!$I12566,CONFIG_ASIGNATURAS!$B$2:$J$61,9,FALSE()),""))</f>
      </c>
    </row>
    <row r="12567">
      <c r="E12567">
        <f>IF(DATOS!$I12567="","",IFERROR(VLOOKUP(DATOS!$I12567,CONFIG_ASIGNATURAS!$B$2:$J$61,9,FALSE()),""))</f>
      </c>
    </row>
    <row r="12568">
      <c r="E12568">
        <f>IF(DATOS!$I12568="","",IFERROR(VLOOKUP(DATOS!$I12568,CONFIG_ASIGNATURAS!$B$2:$J$61,9,FALSE()),""))</f>
      </c>
    </row>
    <row r="12569">
      <c r="E12569">
        <f>IF(DATOS!$I12569="","",IFERROR(VLOOKUP(DATOS!$I12569,CONFIG_ASIGNATURAS!$B$2:$J$61,9,FALSE()),""))</f>
      </c>
    </row>
    <row r="12570">
      <c r="E12570">
        <f>IF(DATOS!$I12570="","",IFERROR(VLOOKUP(DATOS!$I12570,CONFIG_ASIGNATURAS!$B$2:$J$61,9,FALSE()),""))</f>
      </c>
    </row>
    <row r="12571">
      <c r="E12571">
        <f>IF(DATOS!$I12571="","",IFERROR(VLOOKUP(DATOS!$I12571,CONFIG_ASIGNATURAS!$B$2:$J$61,9,FALSE()),""))</f>
      </c>
    </row>
    <row r="12572">
      <c r="E12572">
        <f>IF(DATOS!$I12572="","",IFERROR(VLOOKUP(DATOS!$I12572,CONFIG_ASIGNATURAS!$B$2:$J$61,9,FALSE()),""))</f>
      </c>
    </row>
    <row r="12573">
      <c r="E12573">
        <f>IF(DATOS!$I12573="","",IFERROR(VLOOKUP(DATOS!$I12573,CONFIG_ASIGNATURAS!$B$2:$J$61,9,FALSE()),""))</f>
      </c>
    </row>
    <row r="12574">
      <c r="E12574">
        <f>IF(DATOS!$I12574="","",IFERROR(VLOOKUP(DATOS!$I12574,CONFIG_ASIGNATURAS!$B$2:$J$61,9,FALSE()),""))</f>
      </c>
    </row>
    <row r="12575">
      <c r="E12575">
        <f>IF(DATOS!$I12575="","",IFERROR(VLOOKUP(DATOS!$I12575,CONFIG_ASIGNATURAS!$B$2:$J$61,9,FALSE()),""))</f>
      </c>
    </row>
    <row r="12576">
      <c r="E12576">
        <f>IF(DATOS!$I12576="","",IFERROR(VLOOKUP(DATOS!$I12576,CONFIG_ASIGNATURAS!$B$2:$J$61,9,FALSE()),""))</f>
      </c>
    </row>
    <row r="12577">
      <c r="E12577">
        <f>IF(DATOS!$I12577="","",IFERROR(VLOOKUP(DATOS!$I12577,CONFIG_ASIGNATURAS!$B$2:$J$61,9,FALSE()),""))</f>
      </c>
    </row>
    <row r="12578">
      <c r="E12578">
        <f>IF(DATOS!$I12578="","",IFERROR(VLOOKUP(DATOS!$I12578,CONFIG_ASIGNATURAS!$B$2:$J$61,9,FALSE()),""))</f>
      </c>
    </row>
    <row r="12579">
      <c r="E12579">
        <f>IF(DATOS!$I12579="","",IFERROR(VLOOKUP(DATOS!$I12579,CONFIG_ASIGNATURAS!$B$2:$J$61,9,FALSE()),""))</f>
      </c>
    </row>
    <row r="12580">
      <c r="E12580">
        <f>IF(DATOS!$I12580="","",IFERROR(VLOOKUP(DATOS!$I12580,CONFIG_ASIGNATURAS!$B$2:$J$61,9,FALSE()),""))</f>
      </c>
    </row>
    <row r="12581">
      <c r="E12581">
        <f>IF(DATOS!$I12581="","",IFERROR(VLOOKUP(DATOS!$I12581,CONFIG_ASIGNATURAS!$B$2:$J$61,9,FALSE()),""))</f>
      </c>
    </row>
    <row r="12582">
      <c r="E12582">
        <f>IF(DATOS!$I12582="","",IFERROR(VLOOKUP(DATOS!$I12582,CONFIG_ASIGNATURAS!$B$2:$J$61,9,FALSE()),""))</f>
      </c>
    </row>
    <row r="12583">
      <c r="E12583">
        <f>IF(DATOS!$I12583="","",IFERROR(VLOOKUP(DATOS!$I12583,CONFIG_ASIGNATURAS!$B$2:$J$61,9,FALSE()),""))</f>
      </c>
    </row>
    <row r="12584">
      <c r="E12584">
        <f>IF(DATOS!$I12584="","",IFERROR(VLOOKUP(DATOS!$I12584,CONFIG_ASIGNATURAS!$B$2:$J$61,9,FALSE()),""))</f>
      </c>
    </row>
    <row r="12585">
      <c r="E12585">
        <f>IF(DATOS!$I12585="","",IFERROR(VLOOKUP(DATOS!$I12585,CONFIG_ASIGNATURAS!$B$2:$J$61,9,FALSE()),""))</f>
      </c>
    </row>
    <row r="12586">
      <c r="E12586">
        <f>IF(DATOS!$I12586="","",IFERROR(VLOOKUP(DATOS!$I12586,CONFIG_ASIGNATURAS!$B$2:$J$61,9,FALSE()),""))</f>
      </c>
    </row>
    <row r="12587">
      <c r="E12587">
        <f>IF(DATOS!$I12587="","",IFERROR(VLOOKUP(DATOS!$I12587,CONFIG_ASIGNATURAS!$B$2:$J$61,9,FALSE()),""))</f>
      </c>
    </row>
    <row r="12588">
      <c r="E12588">
        <f>IF(DATOS!$I12588="","",IFERROR(VLOOKUP(DATOS!$I12588,CONFIG_ASIGNATURAS!$B$2:$J$61,9,FALSE()),""))</f>
      </c>
    </row>
    <row r="12589">
      <c r="E12589">
        <f>IF(DATOS!$I12589="","",IFERROR(VLOOKUP(DATOS!$I12589,CONFIG_ASIGNATURAS!$B$2:$J$61,9,FALSE()),""))</f>
      </c>
    </row>
    <row r="12590">
      <c r="E12590">
        <f>IF(DATOS!$I12590="","",IFERROR(VLOOKUP(DATOS!$I12590,CONFIG_ASIGNATURAS!$B$2:$J$61,9,FALSE()),""))</f>
      </c>
    </row>
    <row r="12591">
      <c r="E12591">
        <f>IF(DATOS!$I12591="","",IFERROR(VLOOKUP(DATOS!$I12591,CONFIG_ASIGNATURAS!$B$2:$J$61,9,FALSE()),""))</f>
      </c>
    </row>
    <row r="12592">
      <c r="E12592">
        <f>IF(DATOS!$I12592="","",IFERROR(VLOOKUP(DATOS!$I12592,CONFIG_ASIGNATURAS!$B$2:$J$61,9,FALSE()),""))</f>
      </c>
    </row>
    <row r="12593">
      <c r="E12593">
        <f>IF(DATOS!$I12593="","",IFERROR(VLOOKUP(DATOS!$I12593,CONFIG_ASIGNATURAS!$B$2:$J$61,9,FALSE()),""))</f>
      </c>
    </row>
    <row r="12594">
      <c r="E12594">
        <f>IF(DATOS!$I12594="","",IFERROR(VLOOKUP(DATOS!$I12594,CONFIG_ASIGNATURAS!$B$2:$J$61,9,FALSE()),""))</f>
      </c>
    </row>
    <row r="12595">
      <c r="E12595">
        <f>IF(DATOS!$I12595="","",IFERROR(VLOOKUP(DATOS!$I12595,CONFIG_ASIGNATURAS!$B$2:$J$61,9,FALSE()),""))</f>
      </c>
    </row>
    <row r="12596">
      <c r="E12596">
        <f>IF(DATOS!$I12596="","",IFERROR(VLOOKUP(DATOS!$I12596,CONFIG_ASIGNATURAS!$B$2:$J$61,9,FALSE()),""))</f>
      </c>
    </row>
    <row r="12597">
      <c r="E12597">
        <f>IF(DATOS!$I12597="","",IFERROR(VLOOKUP(DATOS!$I12597,CONFIG_ASIGNATURAS!$B$2:$J$61,9,FALSE()),""))</f>
      </c>
    </row>
    <row r="12598">
      <c r="E12598">
        <f>IF(DATOS!$I12598="","",IFERROR(VLOOKUP(DATOS!$I12598,CONFIG_ASIGNATURAS!$B$2:$J$61,9,FALSE()),""))</f>
      </c>
    </row>
    <row r="12599">
      <c r="E12599">
        <f>IF(DATOS!$I12599="","",IFERROR(VLOOKUP(DATOS!$I12599,CONFIG_ASIGNATURAS!$B$2:$J$61,9,FALSE()),""))</f>
      </c>
    </row>
    <row r="12600">
      <c r="E12600">
        <f>IF(DATOS!$I12600="","",IFERROR(VLOOKUP(DATOS!$I12600,CONFIG_ASIGNATURAS!$B$2:$J$61,9,FALSE()),""))</f>
      </c>
    </row>
    <row r="12601">
      <c r="E12601">
        <f>IF(DATOS!$I12601="","",IFERROR(VLOOKUP(DATOS!$I12601,CONFIG_ASIGNATURAS!$B$2:$J$61,9,FALSE()),""))</f>
      </c>
    </row>
    <row r="12602">
      <c r="E12602">
        <f>IF(DATOS!$I12602="","",IFERROR(VLOOKUP(DATOS!$I12602,CONFIG_ASIGNATURAS!$B$2:$J$61,9,FALSE()),""))</f>
      </c>
    </row>
    <row r="12603">
      <c r="E12603">
        <f>IF(DATOS!$I12603="","",IFERROR(VLOOKUP(DATOS!$I12603,CONFIG_ASIGNATURAS!$B$2:$J$61,9,FALSE()),""))</f>
      </c>
    </row>
    <row r="12604">
      <c r="E12604">
        <f>IF(DATOS!$I12604="","",IFERROR(VLOOKUP(DATOS!$I12604,CONFIG_ASIGNATURAS!$B$2:$J$61,9,FALSE()),""))</f>
      </c>
    </row>
    <row r="12605">
      <c r="E12605">
        <f>IF(DATOS!$I12605="","",IFERROR(VLOOKUP(DATOS!$I12605,CONFIG_ASIGNATURAS!$B$2:$J$61,9,FALSE()),""))</f>
      </c>
    </row>
    <row r="12606">
      <c r="E12606">
        <f>IF(DATOS!$I12606="","",IFERROR(VLOOKUP(DATOS!$I12606,CONFIG_ASIGNATURAS!$B$2:$J$61,9,FALSE()),""))</f>
      </c>
    </row>
    <row r="12607">
      <c r="E12607">
        <f>IF(DATOS!$I12607="","",IFERROR(VLOOKUP(DATOS!$I12607,CONFIG_ASIGNATURAS!$B$2:$J$61,9,FALSE()),""))</f>
      </c>
    </row>
    <row r="12608">
      <c r="E12608">
        <f>IF(DATOS!$I12608="","",IFERROR(VLOOKUP(DATOS!$I12608,CONFIG_ASIGNATURAS!$B$2:$J$61,9,FALSE()),""))</f>
      </c>
    </row>
    <row r="12609">
      <c r="E12609">
        <f>IF(DATOS!$I12609="","",IFERROR(VLOOKUP(DATOS!$I12609,CONFIG_ASIGNATURAS!$B$2:$J$61,9,FALSE()),""))</f>
      </c>
    </row>
    <row r="12610">
      <c r="E12610">
        <f>IF(DATOS!$I12610="","",IFERROR(VLOOKUP(DATOS!$I12610,CONFIG_ASIGNATURAS!$B$2:$J$61,9,FALSE()),""))</f>
      </c>
    </row>
    <row r="12611">
      <c r="E12611">
        <f>IF(DATOS!$I12611="","",IFERROR(VLOOKUP(DATOS!$I12611,CONFIG_ASIGNATURAS!$B$2:$J$61,9,FALSE()),""))</f>
      </c>
    </row>
    <row r="12612">
      <c r="E12612">
        <f>IF(DATOS!$I12612="","",IFERROR(VLOOKUP(DATOS!$I12612,CONFIG_ASIGNATURAS!$B$2:$J$61,9,FALSE()),""))</f>
      </c>
    </row>
    <row r="12613">
      <c r="E12613">
        <f>IF(DATOS!$I12613="","",IFERROR(VLOOKUP(DATOS!$I12613,CONFIG_ASIGNATURAS!$B$2:$J$61,9,FALSE()),""))</f>
      </c>
    </row>
    <row r="12614">
      <c r="E12614">
        <f>IF(DATOS!$I12614="","",IFERROR(VLOOKUP(DATOS!$I12614,CONFIG_ASIGNATURAS!$B$2:$J$61,9,FALSE()),""))</f>
      </c>
    </row>
    <row r="12615">
      <c r="E12615">
        <f>IF(DATOS!$I12615="","",IFERROR(VLOOKUP(DATOS!$I12615,CONFIG_ASIGNATURAS!$B$2:$J$61,9,FALSE()),""))</f>
      </c>
    </row>
    <row r="12616">
      <c r="E12616">
        <f>IF(DATOS!$I12616="","",IFERROR(VLOOKUP(DATOS!$I12616,CONFIG_ASIGNATURAS!$B$2:$J$61,9,FALSE()),""))</f>
      </c>
    </row>
    <row r="12617">
      <c r="E12617">
        <f>IF(DATOS!$I12617="","",IFERROR(VLOOKUP(DATOS!$I12617,CONFIG_ASIGNATURAS!$B$2:$J$61,9,FALSE()),""))</f>
      </c>
    </row>
    <row r="12618">
      <c r="E12618">
        <f>IF(DATOS!$I12618="","",IFERROR(VLOOKUP(DATOS!$I12618,CONFIG_ASIGNATURAS!$B$2:$J$61,9,FALSE()),""))</f>
      </c>
    </row>
    <row r="12619">
      <c r="E12619">
        <f>IF(DATOS!$I12619="","",IFERROR(VLOOKUP(DATOS!$I12619,CONFIG_ASIGNATURAS!$B$2:$J$61,9,FALSE()),""))</f>
      </c>
    </row>
    <row r="12620">
      <c r="E12620">
        <f>IF(DATOS!$I12620="","",IFERROR(VLOOKUP(DATOS!$I12620,CONFIG_ASIGNATURAS!$B$2:$J$61,9,FALSE()),""))</f>
      </c>
    </row>
    <row r="12621">
      <c r="E12621">
        <f>IF(DATOS!$I12621="","",IFERROR(VLOOKUP(DATOS!$I12621,CONFIG_ASIGNATURAS!$B$2:$J$61,9,FALSE()),""))</f>
      </c>
    </row>
    <row r="12622">
      <c r="E12622">
        <f>IF(DATOS!$I12622="","",IFERROR(VLOOKUP(DATOS!$I12622,CONFIG_ASIGNATURAS!$B$2:$J$61,9,FALSE()),""))</f>
      </c>
    </row>
    <row r="12623">
      <c r="E12623">
        <f>IF(DATOS!$I12623="","",IFERROR(VLOOKUP(DATOS!$I12623,CONFIG_ASIGNATURAS!$B$2:$J$61,9,FALSE()),""))</f>
      </c>
    </row>
    <row r="12624">
      <c r="E12624">
        <f>IF(DATOS!$I12624="","",IFERROR(VLOOKUP(DATOS!$I12624,CONFIG_ASIGNATURAS!$B$2:$J$61,9,FALSE()),""))</f>
      </c>
    </row>
    <row r="12625">
      <c r="E12625">
        <f>IF(DATOS!$I12625="","",IFERROR(VLOOKUP(DATOS!$I12625,CONFIG_ASIGNATURAS!$B$2:$J$61,9,FALSE()),""))</f>
      </c>
    </row>
    <row r="12626">
      <c r="E12626">
        <f>IF(DATOS!$I12626="","",IFERROR(VLOOKUP(DATOS!$I12626,CONFIG_ASIGNATURAS!$B$2:$J$61,9,FALSE()),""))</f>
      </c>
    </row>
    <row r="12627">
      <c r="E12627">
        <f>IF(DATOS!$I12627="","",IFERROR(VLOOKUP(DATOS!$I12627,CONFIG_ASIGNATURAS!$B$2:$J$61,9,FALSE()),""))</f>
      </c>
    </row>
    <row r="12628">
      <c r="E12628">
        <f>IF(DATOS!$I12628="","",IFERROR(VLOOKUP(DATOS!$I12628,CONFIG_ASIGNATURAS!$B$2:$J$61,9,FALSE()),""))</f>
      </c>
    </row>
    <row r="12629">
      <c r="E12629">
        <f>IF(DATOS!$I12629="","",IFERROR(VLOOKUP(DATOS!$I12629,CONFIG_ASIGNATURAS!$B$2:$J$61,9,FALSE()),""))</f>
      </c>
    </row>
    <row r="12630">
      <c r="E12630">
        <f>IF(DATOS!$I12630="","",IFERROR(VLOOKUP(DATOS!$I12630,CONFIG_ASIGNATURAS!$B$2:$J$61,9,FALSE()),""))</f>
      </c>
    </row>
    <row r="12631">
      <c r="E12631">
        <f>IF(DATOS!$I12631="","",IFERROR(VLOOKUP(DATOS!$I12631,CONFIG_ASIGNATURAS!$B$2:$J$61,9,FALSE()),""))</f>
      </c>
    </row>
    <row r="12632">
      <c r="E12632">
        <f>IF(DATOS!$I12632="","",IFERROR(VLOOKUP(DATOS!$I12632,CONFIG_ASIGNATURAS!$B$2:$J$61,9,FALSE()),""))</f>
      </c>
    </row>
    <row r="12633">
      <c r="E12633">
        <f>IF(DATOS!$I12633="","",IFERROR(VLOOKUP(DATOS!$I12633,CONFIG_ASIGNATURAS!$B$2:$J$61,9,FALSE()),""))</f>
      </c>
    </row>
    <row r="12634">
      <c r="E12634">
        <f>IF(DATOS!$I12634="","",IFERROR(VLOOKUP(DATOS!$I12634,CONFIG_ASIGNATURAS!$B$2:$J$61,9,FALSE()),""))</f>
      </c>
    </row>
    <row r="12635">
      <c r="E12635">
        <f>IF(DATOS!$I12635="","",IFERROR(VLOOKUP(DATOS!$I12635,CONFIG_ASIGNATURAS!$B$2:$J$61,9,FALSE()),""))</f>
      </c>
    </row>
    <row r="12636">
      <c r="E12636">
        <f>IF(DATOS!$I12636="","",IFERROR(VLOOKUP(DATOS!$I12636,CONFIG_ASIGNATURAS!$B$2:$J$61,9,FALSE()),""))</f>
      </c>
    </row>
    <row r="12637">
      <c r="E12637">
        <f>IF(DATOS!$I12637="","",IFERROR(VLOOKUP(DATOS!$I12637,CONFIG_ASIGNATURAS!$B$2:$J$61,9,FALSE()),""))</f>
      </c>
    </row>
    <row r="12638">
      <c r="E12638">
        <f>IF(DATOS!$I12638="","",IFERROR(VLOOKUP(DATOS!$I12638,CONFIG_ASIGNATURAS!$B$2:$J$61,9,FALSE()),""))</f>
      </c>
    </row>
    <row r="12639">
      <c r="E12639">
        <f>IF(DATOS!$I12639="","",IFERROR(VLOOKUP(DATOS!$I12639,CONFIG_ASIGNATURAS!$B$2:$J$61,9,FALSE()),""))</f>
      </c>
    </row>
    <row r="12640">
      <c r="E12640">
        <f>IF(DATOS!$I12640="","",IFERROR(VLOOKUP(DATOS!$I12640,CONFIG_ASIGNATURAS!$B$2:$J$61,9,FALSE()),""))</f>
      </c>
    </row>
    <row r="12641">
      <c r="E12641">
        <f>IF(DATOS!$I12641="","",IFERROR(VLOOKUP(DATOS!$I12641,CONFIG_ASIGNATURAS!$B$2:$J$61,9,FALSE()),""))</f>
      </c>
    </row>
    <row r="12642">
      <c r="E12642">
        <f>IF(DATOS!$I12642="","",IFERROR(VLOOKUP(DATOS!$I12642,CONFIG_ASIGNATURAS!$B$2:$J$61,9,FALSE()),""))</f>
      </c>
    </row>
    <row r="12643">
      <c r="E12643">
        <f>IF(DATOS!$I12643="","",IFERROR(VLOOKUP(DATOS!$I12643,CONFIG_ASIGNATURAS!$B$2:$J$61,9,FALSE()),""))</f>
      </c>
    </row>
    <row r="12644">
      <c r="E12644">
        <f>IF(DATOS!$I12644="","",IFERROR(VLOOKUP(DATOS!$I12644,CONFIG_ASIGNATURAS!$B$2:$J$61,9,FALSE()),""))</f>
      </c>
    </row>
    <row r="12645">
      <c r="E12645">
        <f>IF(DATOS!$I12645="","",IFERROR(VLOOKUP(DATOS!$I12645,CONFIG_ASIGNATURAS!$B$2:$J$61,9,FALSE()),""))</f>
      </c>
    </row>
    <row r="12646">
      <c r="E12646">
        <f>IF(DATOS!$I12646="","",IFERROR(VLOOKUP(DATOS!$I12646,CONFIG_ASIGNATURAS!$B$2:$J$61,9,FALSE()),""))</f>
      </c>
    </row>
    <row r="12647">
      <c r="E12647">
        <f>IF(DATOS!$I12647="","",IFERROR(VLOOKUP(DATOS!$I12647,CONFIG_ASIGNATURAS!$B$2:$J$61,9,FALSE()),""))</f>
      </c>
    </row>
    <row r="12648">
      <c r="E12648">
        <f>IF(DATOS!$I12648="","",IFERROR(VLOOKUP(DATOS!$I12648,CONFIG_ASIGNATURAS!$B$2:$J$61,9,FALSE()),""))</f>
      </c>
    </row>
    <row r="12649">
      <c r="E12649">
        <f>IF(DATOS!$I12649="","",IFERROR(VLOOKUP(DATOS!$I12649,CONFIG_ASIGNATURAS!$B$2:$J$61,9,FALSE()),""))</f>
      </c>
    </row>
    <row r="12650">
      <c r="E12650">
        <f>IF(DATOS!$I12650="","",IFERROR(VLOOKUP(DATOS!$I12650,CONFIG_ASIGNATURAS!$B$2:$J$61,9,FALSE()),""))</f>
      </c>
    </row>
    <row r="12651">
      <c r="E12651">
        <f>IF(DATOS!$I12651="","",IFERROR(VLOOKUP(DATOS!$I12651,CONFIG_ASIGNATURAS!$B$2:$J$61,9,FALSE()),""))</f>
      </c>
    </row>
    <row r="12652">
      <c r="E12652">
        <f>IF(DATOS!$I12652="","",IFERROR(VLOOKUP(DATOS!$I12652,CONFIG_ASIGNATURAS!$B$2:$J$61,9,FALSE()),""))</f>
      </c>
    </row>
    <row r="12653">
      <c r="E12653">
        <f>IF(DATOS!$I12653="","",IFERROR(VLOOKUP(DATOS!$I12653,CONFIG_ASIGNATURAS!$B$2:$J$61,9,FALSE()),""))</f>
      </c>
    </row>
    <row r="12654">
      <c r="E12654">
        <f>IF(DATOS!$I12654="","",IFERROR(VLOOKUP(DATOS!$I12654,CONFIG_ASIGNATURAS!$B$2:$J$61,9,FALSE()),""))</f>
      </c>
    </row>
    <row r="12655">
      <c r="E12655">
        <f>IF(DATOS!$I12655="","",IFERROR(VLOOKUP(DATOS!$I12655,CONFIG_ASIGNATURAS!$B$2:$J$61,9,FALSE()),""))</f>
      </c>
    </row>
    <row r="12656">
      <c r="E12656">
        <f>IF(DATOS!$I12656="","",IFERROR(VLOOKUP(DATOS!$I12656,CONFIG_ASIGNATURAS!$B$2:$J$61,9,FALSE()),""))</f>
      </c>
    </row>
    <row r="12657">
      <c r="E12657">
        <f>IF(DATOS!$I12657="","",IFERROR(VLOOKUP(DATOS!$I12657,CONFIG_ASIGNATURAS!$B$2:$J$61,9,FALSE()),""))</f>
      </c>
    </row>
    <row r="12658">
      <c r="E12658">
        <f>IF(DATOS!$I12658="","",IFERROR(VLOOKUP(DATOS!$I12658,CONFIG_ASIGNATURAS!$B$2:$J$61,9,FALSE()),""))</f>
      </c>
    </row>
    <row r="12659">
      <c r="E12659">
        <f>IF(DATOS!$I12659="","",IFERROR(VLOOKUP(DATOS!$I12659,CONFIG_ASIGNATURAS!$B$2:$J$61,9,FALSE()),""))</f>
      </c>
    </row>
    <row r="12660">
      <c r="E12660">
        <f>IF(DATOS!$I12660="","",IFERROR(VLOOKUP(DATOS!$I12660,CONFIG_ASIGNATURAS!$B$2:$J$61,9,FALSE()),""))</f>
      </c>
    </row>
    <row r="12661">
      <c r="E12661">
        <f>IF(DATOS!$I12661="","",IFERROR(VLOOKUP(DATOS!$I12661,CONFIG_ASIGNATURAS!$B$2:$J$61,9,FALSE()),""))</f>
      </c>
    </row>
    <row r="12662">
      <c r="E12662">
        <f>IF(DATOS!$I12662="","",IFERROR(VLOOKUP(DATOS!$I12662,CONFIG_ASIGNATURAS!$B$2:$J$61,9,FALSE()),""))</f>
      </c>
    </row>
    <row r="12663">
      <c r="E12663">
        <f>IF(DATOS!$I12663="","",IFERROR(VLOOKUP(DATOS!$I12663,CONFIG_ASIGNATURAS!$B$2:$J$61,9,FALSE()),""))</f>
      </c>
    </row>
    <row r="12664">
      <c r="E12664">
        <f>IF(DATOS!$I12664="","",IFERROR(VLOOKUP(DATOS!$I12664,CONFIG_ASIGNATURAS!$B$2:$J$61,9,FALSE()),""))</f>
      </c>
    </row>
    <row r="12665">
      <c r="E12665">
        <f>IF(DATOS!$I12665="","",IFERROR(VLOOKUP(DATOS!$I12665,CONFIG_ASIGNATURAS!$B$2:$J$61,9,FALSE()),""))</f>
      </c>
    </row>
    <row r="12666">
      <c r="E12666">
        <f>IF(DATOS!$I12666="","",IFERROR(VLOOKUP(DATOS!$I12666,CONFIG_ASIGNATURAS!$B$2:$J$61,9,FALSE()),""))</f>
      </c>
    </row>
    <row r="12667">
      <c r="E12667">
        <f>IF(DATOS!$I12667="","",IFERROR(VLOOKUP(DATOS!$I12667,CONFIG_ASIGNATURAS!$B$2:$J$61,9,FALSE()),""))</f>
      </c>
    </row>
    <row r="12668">
      <c r="E12668">
        <f>IF(DATOS!$I12668="","",IFERROR(VLOOKUP(DATOS!$I12668,CONFIG_ASIGNATURAS!$B$2:$J$61,9,FALSE()),""))</f>
      </c>
    </row>
    <row r="12669">
      <c r="E12669">
        <f>IF(DATOS!$I12669="","",IFERROR(VLOOKUP(DATOS!$I12669,CONFIG_ASIGNATURAS!$B$2:$J$61,9,FALSE()),""))</f>
      </c>
    </row>
    <row r="12670">
      <c r="E12670">
        <f>IF(DATOS!$I12670="","",IFERROR(VLOOKUP(DATOS!$I12670,CONFIG_ASIGNATURAS!$B$2:$J$61,9,FALSE()),""))</f>
      </c>
    </row>
    <row r="12671">
      <c r="E12671">
        <f>IF(DATOS!$I12671="","",IFERROR(VLOOKUP(DATOS!$I12671,CONFIG_ASIGNATURAS!$B$2:$J$61,9,FALSE()),""))</f>
      </c>
    </row>
    <row r="12672">
      <c r="E12672">
        <f>IF(DATOS!$I12672="","",IFERROR(VLOOKUP(DATOS!$I12672,CONFIG_ASIGNATURAS!$B$2:$J$61,9,FALSE()),""))</f>
      </c>
    </row>
    <row r="12673">
      <c r="E12673">
        <f>IF(DATOS!$I12673="","",IFERROR(VLOOKUP(DATOS!$I12673,CONFIG_ASIGNATURAS!$B$2:$J$61,9,FALSE()),""))</f>
      </c>
    </row>
    <row r="12674">
      <c r="E12674">
        <f>IF(DATOS!$I12674="","",IFERROR(VLOOKUP(DATOS!$I12674,CONFIG_ASIGNATURAS!$B$2:$J$61,9,FALSE()),""))</f>
      </c>
    </row>
    <row r="12675">
      <c r="E12675">
        <f>IF(DATOS!$I12675="","",IFERROR(VLOOKUP(DATOS!$I12675,CONFIG_ASIGNATURAS!$B$2:$J$61,9,FALSE()),""))</f>
      </c>
    </row>
    <row r="12676">
      <c r="E12676">
        <f>IF(DATOS!$I12676="","",IFERROR(VLOOKUP(DATOS!$I12676,CONFIG_ASIGNATURAS!$B$2:$J$61,9,FALSE()),""))</f>
      </c>
    </row>
    <row r="12677">
      <c r="E12677">
        <f>IF(DATOS!$I12677="","",IFERROR(VLOOKUP(DATOS!$I12677,CONFIG_ASIGNATURAS!$B$2:$J$61,9,FALSE()),""))</f>
      </c>
    </row>
    <row r="12678">
      <c r="E12678">
        <f>IF(DATOS!$I12678="","",IFERROR(VLOOKUP(DATOS!$I12678,CONFIG_ASIGNATURAS!$B$2:$J$61,9,FALSE()),""))</f>
      </c>
    </row>
    <row r="12679">
      <c r="E12679">
        <f>IF(DATOS!$I12679="","",IFERROR(VLOOKUP(DATOS!$I12679,CONFIG_ASIGNATURAS!$B$2:$J$61,9,FALSE()),""))</f>
      </c>
    </row>
    <row r="12680">
      <c r="E12680">
        <f>IF(DATOS!$I12680="","",IFERROR(VLOOKUP(DATOS!$I12680,CONFIG_ASIGNATURAS!$B$2:$J$61,9,FALSE()),""))</f>
      </c>
    </row>
    <row r="12681">
      <c r="E12681">
        <f>IF(DATOS!$I12681="","",IFERROR(VLOOKUP(DATOS!$I12681,CONFIG_ASIGNATURAS!$B$2:$J$61,9,FALSE()),""))</f>
      </c>
    </row>
    <row r="12682">
      <c r="E12682">
        <f>IF(DATOS!$I12682="","",IFERROR(VLOOKUP(DATOS!$I12682,CONFIG_ASIGNATURAS!$B$2:$J$61,9,FALSE()),""))</f>
      </c>
    </row>
    <row r="12683">
      <c r="E12683">
        <f>IF(DATOS!$I12683="","",IFERROR(VLOOKUP(DATOS!$I12683,CONFIG_ASIGNATURAS!$B$2:$J$61,9,FALSE()),""))</f>
      </c>
    </row>
    <row r="12684">
      <c r="E12684">
        <f>IF(DATOS!$I12684="","",IFERROR(VLOOKUP(DATOS!$I12684,CONFIG_ASIGNATURAS!$B$2:$J$61,9,FALSE()),""))</f>
      </c>
    </row>
    <row r="12685">
      <c r="E12685">
        <f>IF(DATOS!$I12685="","",IFERROR(VLOOKUP(DATOS!$I12685,CONFIG_ASIGNATURAS!$B$2:$J$61,9,FALSE()),""))</f>
      </c>
    </row>
    <row r="12686">
      <c r="E12686">
        <f>IF(DATOS!$I12686="","",IFERROR(VLOOKUP(DATOS!$I12686,CONFIG_ASIGNATURAS!$B$2:$J$61,9,FALSE()),""))</f>
      </c>
    </row>
    <row r="12687">
      <c r="E12687">
        <f>IF(DATOS!$I12687="","",IFERROR(VLOOKUP(DATOS!$I12687,CONFIG_ASIGNATURAS!$B$2:$J$61,9,FALSE()),""))</f>
      </c>
    </row>
    <row r="12688">
      <c r="E12688">
        <f>IF(DATOS!$I12688="","",IFERROR(VLOOKUP(DATOS!$I12688,CONFIG_ASIGNATURAS!$B$2:$J$61,9,FALSE()),""))</f>
      </c>
    </row>
    <row r="12689">
      <c r="E12689">
        <f>IF(DATOS!$I12689="","",IFERROR(VLOOKUP(DATOS!$I12689,CONFIG_ASIGNATURAS!$B$2:$J$61,9,FALSE()),""))</f>
      </c>
    </row>
    <row r="12690">
      <c r="E12690">
        <f>IF(DATOS!$I12690="","",IFERROR(VLOOKUP(DATOS!$I12690,CONFIG_ASIGNATURAS!$B$2:$J$61,9,FALSE()),""))</f>
      </c>
    </row>
    <row r="12691">
      <c r="E12691">
        <f>IF(DATOS!$I12691="","",IFERROR(VLOOKUP(DATOS!$I12691,CONFIG_ASIGNATURAS!$B$2:$J$61,9,FALSE()),""))</f>
      </c>
    </row>
    <row r="12692">
      <c r="E12692">
        <f>IF(DATOS!$I12692="","",IFERROR(VLOOKUP(DATOS!$I12692,CONFIG_ASIGNATURAS!$B$2:$J$61,9,FALSE()),""))</f>
      </c>
    </row>
    <row r="12693">
      <c r="E12693">
        <f>IF(DATOS!$I12693="","",IFERROR(VLOOKUP(DATOS!$I12693,CONFIG_ASIGNATURAS!$B$2:$J$61,9,FALSE()),""))</f>
      </c>
    </row>
    <row r="12694">
      <c r="E12694">
        <f>IF(DATOS!$I12694="","",IFERROR(VLOOKUP(DATOS!$I12694,CONFIG_ASIGNATURAS!$B$2:$J$61,9,FALSE()),""))</f>
      </c>
    </row>
    <row r="12695">
      <c r="E12695">
        <f>IF(DATOS!$I12695="","",IFERROR(VLOOKUP(DATOS!$I12695,CONFIG_ASIGNATURAS!$B$2:$J$61,9,FALSE()),""))</f>
      </c>
    </row>
    <row r="12696">
      <c r="E12696">
        <f>IF(DATOS!$I12696="","",IFERROR(VLOOKUP(DATOS!$I12696,CONFIG_ASIGNATURAS!$B$2:$J$61,9,FALSE()),""))</f>
      </c>
    </row>
    <row r="12697">
      <c r="E12697">
        <f>IF(DATOS!$I12697="","",IFERROR(VLOOKUP(DATOS!$I12697,CONFIG_ASIGNATURAS!$B$2:$J$61,9,FALSE()),""))</f>
      </c>
    </row>
    <row r="12698">
      <c r="E12698">
        <f>IF(DATOS!$I12698="","",IFERROR(VLOOKUP(DATOS!$I12698,CONFIG_ASIGNATURAS!$B$2:$J$61,9,FALSE()),""))</f>
      </c>
    </row>
    <row r="12699">
      <c r="E12699">
        <f>IF(DATOS!$I12699="","",IFERROR(VLOOKUP(DATOS!$I12699,CONFIG_ASIGNATURAS!$B$2:$J$61,9,FALSE()),""))</f>
      </c>
    </row>
    <row r="12700">
      <c r="E12700">
        <f>IF(DATOS!$I12700="","",IFERROR(VLOOKUP(DATOS!$I12700,CONFIG_ASIGNATURAS!$B$2:$J$61,9,FALSE()),""))</f>
      </c>
    </row>
    <row r="12701">
      <c r="E12701">
        <f>IF(DATOS!$I12701="","",IFERROR(VLOOKUP(DATOS!$I12701,CONFIG_ASIGNATURAS!$B$2:$J$61,9,FALSE()),""))</f>
      </c>
    </row>
    <row r="12702">
      <c r="E12702">
        <f>IF(DATOS!$I12702="","",IFERROR(VLOOKUP(DATOS!$I12702,CONFIG_ASIGNATURAS!$B$2:$J$61,9,FALSE()),""))</f>
      </c>
    </row>
    <row r="12703">
      <c r="E12703">
        <f>IF(DATOS!$I12703="","",IFERROR(VLOOKUP(DATOS!$I12703,CONFIG_ASIGNATURAS!$B$2:$J$61,9,FALSE()),""))</f>
      </c>
    </row>
    <row r="12704">
      <c r="E12704">
        <f>IF(DATOS!$I12704="","",IFERROR(VLOOKUP(DATOS!$I12704,CONFIG_ASIGNATURAS!$B$2:$J$61,9,FALSE()),""))</f>
      </c>
    </row>
    <row r="12705">
      <c r="E12705">
        <f>IF(DATOS!$I12705="","",IFERROR(VLOOKUP(DATOS!$I12705,CONFIG_ASIGNATURAS!$B$2:$J$61,9,FALSE()),""))</f>
      </c>
    </row>
    <row r="12706">
      <c r="E12706">
        <f>IF(DATOS!$I12706="","",IFERROR(VLOOKUP(DATOS!$I12706,CONFIG_ASIGNATURAS!$B$2:$J$61,9,FALSE()),""))</f>
      </c>
    </row>
    <row r="12707">
      <c r="E12707">
        <f>IF(DATOS!$I12707="","",IFERROR(VLOOKUP(DATOS!$I12707,CONFIG_ASIGNATURAS!$B$2:$J$61,9,FALSE()),""))</f>
      </c>
    </row>
    <row r="12708">
      <c r="E12708">
        <f>IF(DATOS!$I12708="","",IFERROR(VLOOKUP(DATOS!$I12708,CONFIG_ASIGNATURAS!$B$2:$J$61,9,FALSE()),""))</f>
      </c>
    </row>
    <row r="12709">
      <c r="E12709">
        <f>IF(DATOS!$I12709="","",IFERROR(VLOOKUP(DATOS!$I12709,CONFIG_ASIGNATURAS!$B$2:$J$61,9,FALSE()),""))</f>
      </c>
    </row>
    <row r="12710">
      <c r="E12710">
        <f>IF(DATOS!$I12710="","",IFERROR(VLOOKUP(DATOS!$I12710,CONFIG_ASIGNATURAS!$B$2:$J$61,9,FALSE()),""))</f>
      </c>
    </row>
    <row r="12711">
      <c r="E12711">
        <f>IF(DATOS!$I12711="","",IFERROR(VLOOKUP(DATOS!$I12711,CONFIG_ASIGNATURAS!$B$2:$J$61,9,FALSE()),""))</f>
      </c>
    </row>
    <row r="12712">
      <c r="E12712">
        <f>IF(DATOS!$I12712="","",IFERROR(VLOOKUP(DATOS!$I12712,CONFIG_ASIGNATURAS!$B$2:$J$61,9,FALSE()),""))</f>
      </c>
    </row>
    <row r="12713">
      <c r="E12713">
        <f>IF(DATOS!$I12713="","",IFERROR(VLOOKUP(DATOS!$I12713,CONFIG_ASIGNATURAS!$B$2:$J$61,9,FALSE()),""))</f>
      </c>
    </row>
    <row r="12714">
      <c r="E12714">
        <f>IF(DATOS!$I12714="","",IFERROR(VLOOKUP(DATOS!$I12714,CONFIG_ASIGNATURAS!$B$2:$J$61,9,FALSE()),""))</f>
      </c>
    </row>
    <row r="12715">
      <c r="E12715">
        <f>IF(DATOS!$I12715="","",IFERROR(VLOOKUP(DATOS!$I12715,CONFIG_ASIGNATURAS!$B$2:$J$61,9,FALSE()),""))</f>
      </c>
    </row>
    <row r="12716">
      <c r="E12716">
        <f>IF(DATOS!$I12716="","",IFERROR(VLOOKUP(DATOS!$I12716,CONFIG_ASIGNATURAS!$B$2:$J$61,9,FALSE()),""))</f>
      </c>
    </row>
    <row r="12717">
      <c r="E12717">
        <f>IF(DATOS!$I12717="","",IFERROR(VLOOKUP(DATOS!$I12717,CONFIG_ASIGNATURAS!$B$2:$J$61,9,FALSE()),""))</f>
      </c>
    </row>
    <row r="12718">
      <c r="E12718">
        <f>IF(DATOS!$I12718="","",IFERROR(VLOOKUP(DATOS!$I12718,CONFIG_ASIGNATURAS!$B$2:$J$61,9,FALSE()),""))</f>
      </c>
    </row>
    <row r="12719">
      <c r="E12719">
        <f>IF(DATOS!$I12719="","",IFERROR(VLOOKUP(DATOS!$I12719,CONFIG_ASIGNATURAS!$B$2:$J$61,9,FALSE()),""))</f>
      </c>
    </row>
    <row r="12720">
      <c r="E12720">
        <f>IF(DATOS!$I12720="","",IFERROR(VLOOKUP(DATOS!$I12720,CONFIG_ASIGNATURAS!$B$2:$J$61,9,FALSE()),""))</f>
      </c>
    </row>
    <row r="12721">
      <c r="E12721">
        <f>IF(DATOS!$I12721="","",IFERROR(VLOOKUP(DATOS!$I12721,CONFIG_ASIGNATURAS!$B$2:$J$61,9,FALSE()),""))</f>
      </c>
    </row>
    <row r="12722">
      <c r="E12722">
        <f>IF(DATOS!$I12722="","",IFERROR(VLOOKUP(DATOS!$I12722,CONFIG_ASIGNATURAS!$B$2:$J$61,9,FALSE()),""))</f>
      </c>
    </row>
    <row r="12723">
      <c r="E12723">
        <f>IF(DATOS!$I12723="","",IFERROR(VLOOKUP(DATOS!$I12723,CONFIG_ASIGNATURAS!$B$2:$J$61,9,FALSE()),""))</f>
      </c>
    </row>
    <row r="12724">
      <c r="E12724">
        <f>IF(DATOS!$I12724="","",IFERROR(VLOOKUP(DATOS!$I12724,CONFIG_ASIGNATURAS!$B$2:$J$61,9,FALSE()),""))</f>
      </c>
    </row>
    <row r="12725">
      <c r="E12725">
        <f>IF(DATOS!$I12725="","",IFERROR(VLOOKUP(DATOS!$I12725,CONFIG_ASIGNATURAS!$B$2:$J$61,9,FALSE()),""))</f>
      </c>
    </row>
    <row r="12726">
      <c r="E12726">
        <f>IF(DATOS!$I12726="","",IFERROR(VLOOKUP(DATOS!$I12726,CONFIG_ASIGNATURAS!$B$2:$J$61,9,FALSE()),""))</f>
      </c>
    </row>
    <row r="12727">
      <c r="E12727">
        <f>IF(DATOS!$I12727="","",IFERROR(VLOOKUP(DATOS!$I12727,CONFIG_ASIGNATURAS!$B$2:$J$61,9,FALSE()),""))</f>
      </c>
    </row>
    <row r="12728">
      <c r="E12728">
        <f>IF(DATOS!$I12728="","",IFERROR(VLOOKUP(DATOS!$I12728,CONFIG_ASIGNATURAS!$B$2:$J$61,9,FALSE()),""))</f>
      </c>
    </row>
    <row r="12729">
      <c r="E12729">
        <f>IF(DATOS!$I12729="","",IFERROR(VLOOKUP(DATOS!$I12729,CONFIG_ASIGNATURAS!$B$2:$J$61,9,FALSE()),""))</f>
      </c>
    </row>
    <row r="12730">
      <c r="E12730">
        <f>IF(DATOS!$I12730="","",IFERROR(VLOOKUP(DATOS!$I12730,CONFIG_ASIGNATURAS!$B$2:$J$61,9,FALSE()),""))</f>
      </c>
    </row>
    <row r="12731">
      <c r="E12731">
        <f>IF(DATOS!$I12731="","",IFERROR(VLOOKUP(DATOS!$I12731,CONFIG_ASIGNATURAS!$B$2:$J$61,9,FALSE()),""))</f>
      </c>
    </row>
    <row r="12732">
      <c r="E12732">
        <f>IF(DATOS!$I12732="","",IFERROR(VLOOKUP(DATOS!$I12732,CONFIG_ASIGNATURAS!$B$2:$J$61,9,FALSE()),""))</f>
      </c>
    </row>
    <row r="12733">
      <c r="E12733">
        <f>IF(DATOS!$I12733="","",IFERROR(VLOOKUP(DATOS!$I12733,CONFIG_ASIGNATURAS!$B$2:$J$61,9,FALSE()),""))</f>
      </c>
    </row>
    <row r="12734">
      <c r="E12734">
        <f>IF(DATOS!$I12734="","",IFERROR(VLOOKUP(DATOS!$I12734,CONFIG_ASIGNATURAS!$B$2:$J$61,9,FALSE()),""))</f>
      </c>
    </row>
    <row r="12735">
      <c r="E12735">
        <f>IF(DATOS!$I12735="","",IFERROR(VLOOKUP(DATOS!$I12735,CONFIG_ASIGNATURAS!$B$2:$J$61,9,FALSE()),""))</f>
      </c>
    </row>
    <row r="12736">
      <c r="E12736">
        <f>IF(DATOS!$I12736="","",IFERROR(VLOOKUP(DATOS!$I12736,CONFIG_ASIGNATURAS!$B$2:$J$61,9,FALSE()),""))</f>
      </c>
    </row>
    <row r="12737">
      <c r="E12737">
        <f>IF(DATOS!$I12737="","",IFERROR(VLOOKUP(DATOS!$I12737,CONFIG_ASIGNATURAS!$B$2:$J$61,9,FALSE()),""))</f>
      </c>
    </row>
    <row r="12738">
      <c r="E12738">
        <f>IF(DATOS!$I12738="","",IFERROR(VLOOKUP(DATOS!$I12738,CONFIG_ASIGNATURAS!$B$2:$J$61,9,FALSE()),""))</f>
      </c>
    </row>
    <row r="12739">
      <c r="E12739">
        <f>IF(DATOS!$I12739="","",IFERROR(VLOOKUP(DATOS!$I12739,CONFIG_ASIGNATURAS!$B$2:$J$61,9,FALSE()),""))</f>
      </c>
    </row>
    <row r="12740">
      <c r="E12740">
        <f>IF(DATOS!$I12740="","",IFERROR(VLOOKUP(DATOS!$I12740,CONFIG_ASIGNATURAS!$B$2:$J$61,9,FALSE()),""))</f>
      </c>
    </row>
    <row r="12741">
      <c r="E12741">
        <f>IF(DATOS!$I12741="","",IFERROR(VLOOKUP(DATOS!$I12741,CONFIG_ASIGNATURAS!$B$2:$J$61,9,FALSE()),""))</f>
      </c>
    </row>
    <row r="12742">
      <c r="E12742">
        <f>IF(DATOS!$I12742="","",IFERROR(VLOOKUP(DATOS!$I12742,CONFIG_ASIGNATURAS!$B$2:$J$61,9,FALSE()),""))</f>
      </c>
    </row>
    <row r="12743">
      <c r="E12743">
        <f>IF(DATOS!$I12743="","",IFERROR(VLOOKUP(DATOS!$I12743,CONFIG_ASIGNATURAS!$B$2:$J$61,9,FALSE()),""))</f>
      </c>
    </row>
    <row r="12744">
      <c r="E12744">
        <f>IF(DATOS!$I12744="","",IFERROR(VLOOKUP(DATOS!$I12744,CONFIG_ASIGNATURAS!$B$2:$J$61,9,FALSE()),""))</f>
      </c>
    </row>
    <row r="12745">
      <c r="E12745">
        <f>IF(DATOS!$I12745="","",IFERROR(VLOOKUP(DATOS!$I12745,CONFIG_ASIGNATURAS!$B$2:$J$61,9,FALSE()),""))</f>
      </c>
    </row>
    <row r="12746">
      <c r="E12746">
        <f>IF(DATOS!$I12746="","",IFERROR(VLOOKUP(DATOS!$I12746,CONFIG_ASIGNATURAS!$B$2:$J$61,9,FALSE()),""))</f>
      </c>
    </row>
    <row r="12747">
      <c r="E12747">
        <f>IF(DATOS!$I12747="","",IFERROR(VLOOKUP(DATOS!$I12747,CONFIG_ASIGNATURAS!$B$2:$J$61,9,FALSE()),""))</f>
      </c>
    </row>
    <row r="12748">
      <c r="E12748">
        <f>IF(DATOS!$I12748="","",IFERROR(VLOOKUP(DATOS!$I12748,CONFIG_ASIGNATURAS!$B$2:$J$61,9,FALSE()),""))</f>
      </c>
    </row>
    <row r="12749">
      <c r="E12749">
        <f>IF(DATOS!$I12749="","",IFERROR(VLOOKUP(DATOS!$I12749,CONFIG_ASIGNATURAS!$B$2:$J$61,9,FALSE()),""))</f>
      </c>
    </row>
    <row r="12750">
      <c r="E12750">
        <f>IF(DATOS!$I12750="","",IFERROR(VLOOKUP(DATOS!$I12750,CONFIG_ASIGNATURAS!$B$2:$J$61,9,FALSE()),""))</f>
      </c>
    </row>
    <row r="12751">
      <c r="E12751">
        <f>IF(DATOS!$I12751="","",IFERROR(VLOOKUP(DATOS!$I12751,CONFIG_ASIGNATURAS!$B$2:$J$61,9,FALSE()),""))</f>
      </c>
    </row>
    <row r="12752">
      <c r="E12752">
        <f>IF(DATOS!$I12752="","",IFERROR(VLOOKUP(DATOS!$I12752,CONFIG_ASIGNATURAS!$B$2:$J$61,9,FALSE()),""))</f>
      </c>
    </row>
    <row r="12753">
      <c r="E12753">
        <f>IF(DATOS!$I12753="","",IFERROR(VLOOKUP(DATOS!$I12753,CONFIG_ASIGNATURAS!$B$2:$J$61,9,FALSE()),""))</f>
      </c>
    </row>
    <row r="12754">
      <c r="E12754">
        <f>IF(DATOS!$I12754="","",IFERROR(VLOOKUP(DATOS!$I12754,CONFIG_ASIGNATURAS!$B$2:$J$61,9,FALSE()),""))</f>
      </c>
    </row>
    <row r="12755">
      <c r="E12755">
        <f>IF(DATOS!$I12755="","",IFERROR(VLOOKUP(DATOS!$I12755,CONFIG_ASIGNATURAS!$B$2:$J$61,9,FALSE()),""))</f>
      </c>
    </row>
    <row r="12756">
      <c r="E12756">
        <f>IF(DATOS!$I12756="","",IFERROR(VLOOKUP(DATOS!$I12756,CONFIG_ASIGNATURAS!$B$2:$J$61,9,FALSE()),""))</f>
      </c>
    </row>
    <row r="12757">
      <c r="E12757">
        <f>IF(DATOS!$I12757="","",IFERROR(VLOOKUP(DATOS!$I12757,CONFIG_ASIGNATURAS!$B$2:$J$61,9,FALSE()),""))</f>
      </c>
    </row>
    <row r="12758">
      <c r="E12758">
        <f>IF(DATOS!$I12758="","",IFERROR(VLOOKUP(DATOS!$I12758,CONFIG_ASIGNATURAS!$B$2:$J$61,9,FALSE()),""))</f>
      </c>
    </row>
    <row r="12759">
      <c r="E12759">
        <f>IF(DATOS!$I12759="","",IFERROR(VLOOKUP(DATOS!$I12759,CONFIG_ASIGNATURAS!$B$2:$J$61,9,FALSE()),""))</f>
      </c>
    </row>
    <row r="12760">
      <c r="E12760">
        <f>IF(DATOS!$I12760="","",IFERROR(VLOOKUP(DATOS!$I12760,CONFIG_ASIGNATURAS!$B$2:$J$61,9,FALSE()),""))</f>
      </c>
    </row>
    <row r="12761">
      <c r="E12761">
        <f>IF(DATOS!$I12761="","",IFERROR(VLOOKUP(DATOS!$I12761,CONFIG_ASIGNATURAS!$B$2:$J$61,9,FALSE()),""))</f>
      </c>
    </row>
    <row r="12762">
      <c r="E12762">
        <f>IF(DATOS!$I12762="","",IFERROR(VLOOKUP(DATOS!$I12762,CONFIG_ASIGNATURAS!$B$2:$J$61,9,FALSE()),""))</f>
      </c>
    </row>
    <row r="12763">
      <c r="E12763">
        <f>IF(DATOS!$I12763="","",IFERROR(VLOOKUP(DATOS!$I12763,CONFIG_ASIGNATURAS!$B$2:$J$61,9,FALSE()),""))</f>
      </c>
    </row>
    <row r="12764">
      <c r="E12764">
        <f>IF(DATOS!$I12764="","",IFERROR(VLOOKUP(DATOS!$I12764,CONFIG_ASIGNATURAS!$B$2:$J$61,9,FALSE()),""))</f>
      </c>
    </row>
    <row r="12765">
      <c r="E12765">
        <f>IF(DATOS!$I12765="","",IFERROR(VLOOKUP(DATOS!$I12765,CONFIG_ASIGNATURAS!$B$2:$J$61,9,FALSE()),""))</f>
      </c>
    </row>
    <row r="12766">
      <c r="E12766">
        <f>IF(DATOS!$I12766="","",IFERROR(VLOOKUP(DATOS!$I12766,CONFIG_ASIGNATURAS!$B$2:$J$61,9,FALSE()),""))</f>
      </c>
    </row>
    <row r="12767">
      <c r="E12767">
        <f>IF(DATOS!$I12767="","",IFERROR(VLOOKUP(DATOS!$I12767,CONFIG_ASIGNATURAS!$B$2:$J$61,9,FALSE()),""))</f>
      </c>
    </row>
    <row r="12768">
      <c r="E12768">
        <f>IF(DATOS!$I12768="","",IFERROR(VLOOKUP(DATOS!$I12768,CONFIG_ASIGNATURAS!$B$2:$J$61,9,FALSE()),""))</f>
      </c>
    </row>
    <row r="12769">
      <c r="E12769">
        <f>IF(DATOS!$I12769="","",IFERROR(VLOOKUP(DATOS!$I12769,CONFIG_ASIGNATURAS!$B$2:$J$61,9,FALSE()),""))</f>
      </c>
    </row>
    <row r="12770">
      <c r="E12770">
        <f>IF(DATOS!$I12770="","",IFERROR(VLOOKUP(DATOS!$I12770,CONFIG_ASIGNATURAS!$B$2:$J$61,9,FALSE()),""))</f>
      </c>
    </row>
    <row r="12771">
      <c r="E12771">
        <f>IF(DATOS!$I12771="","",IFERROR(VLOOKUP(DATOS!$I12771,CONFIG_ASIGNATURAS!$B$2:$J$61,9,FALSE()),""))</f>
      </c>
    </row>
    <row r="12772">
      <c r="E12772">
        <f>IF(DATOS!$I12772="","",IFERROR(VLOOKUP(DATOS!$I12772,CONFIG_ASIGNATURAS!$B$2:$J$61,9,FALSE()),""))</f>
      </c>
    </row>
    <row r="12773">
      <c r="E12773">
        <f>IF(DATOS!$I12773="","",IFERROR(VLOOKUP(DATOS!$I12773,CONFIG_ASIGNATURAS!$B$2:$J$61,9,FALSE()),""))</f>
      </c>
    </row>
    <row r="12774">
      <c r="E12774">
        <f>IF(DATOS!$I12774="","",IFERROR(VLOOKUP(DATOS!$I12774,CONFIG_ASIGNATURAS!$B$2:$J$61,9,FALSE()),""))</f>
      </c>
    </row>
    <row r="12775">
      <c r="E12775">
        <f>IF(DATOS!$I12775="","",IFERROR(VLOOKUP(DATOS!$I12775,CONFIG_ASIGNATURAS!$B$2:$J$61,9,FALSE()),""))</f>
      </c>
    </row>
    <row r="12776">
      <c r="E12776">
        <f>IF(DATOS!$I12776="","",IFERROR(VLOOKUP(DATOS!$I12776,CONFIG_ASIGNATURAS!$B$2:$J$61,9,FALSE()),""))</f>
      </c>
    </row>
    <row r="12777">
      <c r="E12777">
        <f>IF(DATOS!$I12777="","",IFERROR(VLOOKUP(DATOS!$I12777,CONFIG_ASIGNATURAS!$B$2:$J$61,9,FALSE()),""))</f>
      </c>
    </row>
    <row r="12778">
      <c r="E12778">
        <f>IF(DATOS!$I12778="","",IFERROR(VLOOKUP(DATOS!$I12778,CONFIG_ASIGNATURAS!$B$2:$J$61,9,FALSE()),""))</f>
      </c>
    </row>
    <row r="12779">
      <c r="E12779">
        <f>IF(DATOS!$I12779="","",IFERROR(VLOOKUP(DATOS!$I12779,CONFIG_ASIGNATURAS!$B$2:$J$61,9,FALSE()),""))</f>
      </c>
    </row>
    <row r="12780">
      <c r="E12780">
        <f>IF(DATOS!$I12780="","",IFERROR(VLOOKUP(DATOS!$I12780,CONFIG_ASIGNATURAS!$B$2:$J$61,9,FALSE()),""))</f>
      </c>
    </row>
    <row r="12781">
      <c r="E12781">
        <f>IF(DATOS!$I12781="","",IFERROR(VLOOKUP(DATOS!$I12781,CONFIG_ASIGNATURAS!$B$2:$J$61,9,FALSE()),""))</f>
      </c>
    </row>
    <row r="12782">
      <c r="E12782">
        <f>IF(DATOS!$I12782="","",IFERROR(VLOOKUP(DATOS!$I12782,CONFIG_ASIGNATURAS!$B$2:$J$61,9,FALSE()),""))</f>
      </c>
    </row>
    <row r="12783">
      <c r="E12783">
        <f>IF(DATOS!$I12783="","",IFERROR(VLOOKUP(DATOS!$I12783,CONFIG_ASIGNATURAS!$B$2:$J$61,9,FALSE()),""))</f>
      </c>
    </row>
    <row r="12784">
      <c r="E12784">
        <f>IF(DATOS!$I12784="","",IFERROR(VLOOKUP(DATOS!$I12784,CONFIG_ASIGNATURAS!$B$2:$J$61,9,FALSE()),""))</f>
      </c>
    </row>
    <row r="12785">
      <c r="E12785">
        <f>IF(DATOS!$I12785="","",IFERROR(VLOOKUP(DATOS!$I12785,CONFIG_ASIGNATURAS!$B$2:$J$61,9,FALSE()),""))</f>
      </c>
    </row>
    <row r="12786">
      <c r="E12786">
        <f>IF(DATOS!$I12786="","",IFERROR(VLOOKUP(DATOS!$I12786,CONFIG_ASIGNATURAS!$B$2:$J$61,9,FALSE()),""))</f>
      </c>
    </row>
    <row r="12787">
      <c r="E12787">
        <f>IF(DATOS!$I12787="","",IFERROR(VLOOKUP(DATOS!$I12787,CONFIG_ASIGNATURAS!$B$2:$J$61,9,FALSE()),""))</f>
      </c>
    </row>
    <row r="12788">
      <c r="E12788">
        <f>IF(DATOS!$I12788="","",IFERROR(VLOOKUP(DATOS!$I12788,CONFIG_ASIGNATURAS!$B$2:$J$61,9,FALSE()),""))</f>
      </c>
    </row>
    <row r="12789">
      <c r="E12789">
        <f>IF(DATOS!$I12789="","",IFERROR(VLOOKUP(DATOS!$I12789,CONFIG_ASIGNATURAS!$B$2:$J$61,9,FALSE()),""))</f>
      </c>
    </row>
    <row r="12790">
      <c r="E12790">
        <f>IF(DATOS!$I12790="","",IFERROR(VLOOKUP(DATOS!$I12790,CONFIG_ASIGNATURAS!$B$2:$J$61,9,FALSE()),""))</f>
      </c>
    </row>
    <row r="12791">
      <c r="E12791">
        <f>IF(DATOS!$I12791="","",IFERROR(VLOOKUP(DATOS!$I12791,CONFIG_ASIGNATURAS!$B$2:$J$61,9,FALSE()),""))</f>
      </c>
    </row>
    <row r="12792">
      <c r="E12792">
        <f>IF(DATOS!$I12792="","",IFERROR(VLOOKUP(DATOS!$I12792,CONFIG_ASIGNATURAS!$B$2:$J$61,9,FALSE()),""))</f>
      </c>
    </row>
    <row r="12793">
      <c r="E12793">
        <f>IF(DATOS!$I12793="","",IFERROR(VLOOKUP(DATOS!$I12793,CONFIG_ASIGNATURAS!$B$2:$J$61,9,FALSE()),""))</f>
      </c>
    </row>
    <row r="12794">
      <c r="E12794">
        <f>IF(DATOS!$I12794="","",IFERROR(VLOOKUP(DATOS!$I12794,CONFIG_ASIGNATURAS!$B$2:$J$61,9,FALSE()),""))</f>
      </c>
    </row>
    <row r="12795">
      <c r="E12795">
        <f>IF(DATOS!$I12795="","",IFERROR(VLOOKUP(DATOS!$I12795,CONFIG_ASIGNATURAS!$B$2:$J$61,9,FALSE()),""))</f>
      </c>
    </row>
    <row r="12796">
      <c r="E12796">
        <f>IF(DATOS!$I12796="","",IFERROR(VLOOKUP(DATOS!$I12796,CONFIG_ASIGNATURAS!$B$2:$J$61,9,FALSE()),""))</f>
      </c>
    </row>
    <row r="12797">
      <c r="E12797">
        <f>IF(DATOS!$I12797="","",IFERROR(VLOOKUP(DATOS!$I12797,CONFIG_ASIGNATURAS!$B$2:$J$61,9,FALSE()),""))</f>
      </c>
    </row>
    <row r="12798">
      <c r="E12798">
        <f>IF(DATOS!$I12798="","",IFERROR(VLOOKUP(DATOS!$I12798,CONFIG_ASIGNATURAS!$B$2:$J$61,9,FALSE()),""))</f>
      </c>
    </row>
    <row r="12799">
      <c r="E12799">
        <f>IF(DATOS!$I12799="","",IFERROR(VLOOKUP(DATOS!$I12799,CONFIG_ASIGNATURAS!$B$2:$J$61,9,FALSE()),""))</f>
      </c>
    </row>
    <row r="12800">
      <c r="E12800">
        <f>IF(DATOS!$I12800="","",IFERROR(VLOOKUP(DATOS!$I12800,CONFIG_ASIGNATURAS!$B$2:$J$61,9,FALSE()),""))</f>
      </c>
    </row>
    <row r="12801">
      <c r="E12801">
        <f>IF(DATOS!$I12801="","",IFERROR(VLOOKUP(DATOS!$I12801,CONFIG_ASIGNATURAS!$B$2:$J$61,9,FALSE()),""))</f>
      </c>
    </row>
    <row r="12802">
      <c r="E12802">
        <f>IF(DATOS!$I12802="","",IFERROR(VLOOKUP(DATOS!$I12802,CONFIG_ASIGNATURAS!$B$2:$J$61,9,FALSE()),""))</f>
      </c>
    </row>
    <row r="12803">
      <c r="E12803">
        <f>IF(DATOS!$I12803="","",IFERROR(VLOOKUP(DATOS!$I12803,CONFIG_ASIGNATURAS!$B$2:$J$61,9,FALSE()),""))</f>
      </c>
    </row>
    <row r="12804">
      <c r="E12804">
        <f>IF(DATOS!$I12804="","",IFERROR(VLOOKUP(DATOS!$I12804,CONFIG_ASIGNATURAS!$B$2:$J$61,9,FALSE()),""))</f>
      </c>
    </row>
    <row r="12805">
      <c r="E12805">
        <f>IF(DATOS!$I12805="","",IFERROR(VLOOKUP(DATOS!$I12805,CONFIG_ASIGNATURAS!$B$2:$J$61,9,FALSE()),""))</f>
      </c>
    </row>
    <row r="12806">
      <c r="E12806">
        <f>IF(DATOS!$I12806="","",IFERROR(VLOOKUP(DATOS!$I12806,CONFIG_ASIGNATURAS!$B$2:$J$61,9,FALSE()),""))</f>
      </c>
    </row>
    <row r="12807">
      <c r="E12807">
        <f>IF(DATOS!$I12807="","",IFERROR(VLOOKUP(DATOS!$I12807,CONFIG_ASIGNATURAS!$B$2:$J$61,9,FALSE()),""))</f>
      </c>
    </row>
    <row r="12808">
      <c r="E12808">
        <f>IF(DATOS!$I12808="","",IFERROR(VLOOKUP(DATOS!$I12808,CONFIG_ASIGNATURAS!$B$2:$J$61,9,FALSE()),""))</f>
      </c>
    </row>
    <row r="12809">
      <c r="E12809">
        <f>IF(DATOS!$I12809="","",IFERROR(VLOOKUP(DATOS!$I12809,CONFIG_ASIGNATURAS!$B$2:$J$61,9,FALSE()),""))</f>
      </c>
    </row>
    <row r="12810">
      <c r="E12810">
        <f>IF(DATOS!$I12810="","",IFERROR(VLOOKUP(DATOS!$I12810,CONFIG_ASIGNATURAS!$B$2:$J$61,9,FALSE()),""))</f>
      </c>
    </row>
    <row r="12811">
      <c r="E12811">
        <f>IF(DATOS!$I12811="","",IFERROR(VLOOKUP(DATOS!$I12811,CONFIG_ASIGNATURAS!$B$2:$J$61,9,FALSE()),""))</f>
      </c>
    </row>
    <row r="12812">
      <c r="E12812">
        <f>IF(DATOS!$I12812="","",IFERROR(VLOOKUP(DATOS!$I12812,CONFIG_ASIGNATURAS!$B$2:$J$61,9,FALSE()),""))</f>
      </c>
    </row>
    <row r="12813">
      <c r="E12813">
        <f>IF(DATOS!$I12813="","",IFERROR(VLOOKUP(DATOS!$I12813,CONFIG_ASIGNATURAS!$B$2:$J$61,9,FALSE()),""))</f>
      </c>
    </row>
    <row r="12814">
      <c r="E12814">
        <f>IF(DATOS!$I12814="","",IFERROR(VLOOKUP(DATOS!$I12814,CONFIG_ASIGNATURAS!$B$2:$J$61,9,FALSE()),""))</f>
      </c>
    </row>
    <row r="12815">
      <c r="E12815">
        <f>IF(DATOS!$I12815="","",IFERROR(VLOOKUP(DATOS!$I12815,CONFIG_ASIGNATURAS!$B$2:$J$61,9,FALSE()),""))</f>
      </c>
    </row>
    <row r="12816">
      <c r="E12816">
        <f>IF(DATOS!$I12816="","",IFERROR(VLOOKUP(DATOS!$I12816,CONFIG_ASIGNATURAS!$B$2:$J$61,9,FALSE()),""))</f>
      </c>
    </row>
    <row r="12817">
      <c r="E12817">
        <f>IF(DATOS!$I12817="","",IFERROR(VLOOKUP(DATOS!$I12817,CONFIG_ASIGNATURAS!$B$2:$J$61,9,FALSE()),""))</f>
      </c>
    </row>
    <row r="12818">
      <c r="E12818">
        <f>IF(DATOS!$I12818="","",IFERROR(VLOOKUP(DATOS!$I12818,CONFIG_ASIGNATURAS!$B$2:$J$61,9,FALSE()),""))</f>
      </c>
    </row>
    <row r="12819">
      <c r="E12819">
        <f>IF(DATOS!$I12819="","",IFERROR(VLOOKUP(DATOS!$I12819,CONFIG_ASIGNATURAS!$B$2:$J$61,9,FALSE()),""))</f>
      </c>
    </row>
    <row r="12820">
      <c r="E12820">
        <f>IF(DATOS!$I12820="","",IFERROR(VLOOKUP(DATOS!$I12820,CONFIG_ASIGNATURAS!$B$2:$J$61,9,FALSE()),""))</f>
      </c>
    </row>
    <row r="12821">
      <c r="E12821">
        <f>IF(DATOS!$I12821="","",IFERROR(VLOOKUP(DATOS!$I12821,CONFIG_ASIGNATURAS!$B$2:$J$61,9,FALSE()),""))</f>
      </c>
    </row>
    <row r="12822">
      <c r="E12822">
        <f>IF(DATOS!$I12822="","",IFERROR(VLOOKUP(DATOS!$I12822,CONFIG_ASIGNATURAS!$B$2:$J$61,9,FALSE()),""))</f>
      </c>
    </row>
    <row r="12823">
      <c r="E12823">
        <f>IF(DATOS!$I12823="","",IFERROR(VLOOKUP(DATOS!$I12823,CONFIG_ASIGNATURAS!$B$2:$J$61,9,FALSE()),""))</f>
      </c>
    </row>
    <row r="12824">
      <c r="E12824">
        <f>IF(DATOS!$I12824="","",IFERROR(VLOOKUP(DATOS!$I12824,CONFIG_ASIGNATURAS!$B$2:$J$61,9,FALSE()),""))</f>
      </c>
    </row>
    <row r="12825">
      <c r="E12825">
        <f>IF(DATOS!$I12825="","",IFERROR(VLOOKUP(DATOS!$I12825,CONFIG_ASIGNATURAS!$B$2:$J$61,9,FALSE()),""))</f>
      </c>
    </row>
    <row r="12826">
      <c r="E12826">
        <f>IF(DATOS!$I12826="","",IFERROR(VLOOKUP(DATOS!$I12826,CONFIG_ASIGNATURAS!$B$2:$J$61,9,FALSE()),""))</f>
      </c>
    </row>
    <row r="12827">
      <c r="E12827">
        <f>IF(DATOS!$I12827="","",IFERROR(VLOOKUP(DATOS!$I12827,CONFIG_ASIGNATURAS!$B$2:$J$61,9,FALSE()),""))</f>
      </c>
    </row>
    <row r="12828">
      <c r="E12828">
        <f>IF(DATOS!$I12828="","",IFERROR(VLOOKUP(DATOS!$I12828,CONFIG_ASIGNATURAS!$B$2:$J$61,9,FALSE()),""))</f>
      </c>
    </row>
    <row r="12829">
      <c r="E12829">
        <f>IF(DATOS!$I12829="","",IFERROR(VLOOKUP(DATOS!$I12829,CONFIG_ASIGNATURAS!$B$2:$J$61,9,FALSE()),""))</f>
      </c>
    </row>
    <row r="12830">
      <c r="E12830">
        <f>IF(DATOS!$I12830="","",IFERROR(VLOOKUP(DATOS!$I12830,CONFIG_ASIGNATURAS!$B$2:$J$61,9,FALSE()),""))</f>
      </c>
    </row>
    <row r="12831">
      <c r="E12831">
        <f>IF(DATOS!$I12831="","",IFERROR(VLOOKUP(DATOS!$I12831,CONFIG_ASIGNATURAS!$B$2:$J$61,9,FALSE()),""))</f>
      </c>
    </row>
    <row r="12832">
      <c r="E12832">
        <f>IF(DATOS!$I12832="","",IFERROR(VLOOKUP(DATOS!$I12832,CONFIG_ASIGNATURAS!$B$2:$J$61,9,FALSE()),""))</f>
      </c>
    </row>
    <row r="12833">
      <c r="E12833">
        <f>IF(DATOS!$I12833="","",IFERROR(VLOOKUP(DATOS!$I12833,CONFIG_ASIGNATURAS!$B$2:$J$61,9,FALSE()),""))</f>
      </c>
    </row>
    <row r="12834">
      <c r="E12834">
        <f>IF(DATOS!$I12834="","",IFERROR(VLOOKUP(DATOS!$I12834,CONFIG_ASIGNATURAS!$B$2:$J$61,9,FALSE()),""))</f>
      </c>
    </row>
    <row r="12835">
      <c r="E12835">
        <f>IF(DATOS!$I12835="","",IFERROR(VLOOKUP(DATOS!$I12835,CONFIG_ASIGNATURAS!$B$2:$J$61,9,FALSE()),""))</f>
      </c>
    </row>
    <row r="12836">
      <c r="E12836">
        <f>IF(DATOS!$I12836="","",IFERROR(VLOOKUP(DATOS!$I12836,CONFIG_ASIGNATURAS!$B$2:$J$61,9,FALSE()),""))</f>
      </c>
    </row>
    <row r="12837">
      <c r="E12837">
        <f>IF(DATOS!$I12837="","",IFERROR(VLOOKUP(DATOS!$I12837,CONFIG_ASIGNATURAS!$B$2:$J$61,9,FALSE()),""))</f>
      </c>
    </row>
    <row r="12838">
      <c r="E12838">
        <f>IF(DATOS!$I12838="","",IFERROR(VLOOKUP(DATOS!$I12838,CONFIG_ASIGNATURAS!$B$2:$J$61,9,FALSE()),""))</f>
      </c>
    </row>
    <row r="12839">
      <c r="E12839">
        <f>IF(DATOS!$I12839="","",IFERROR(VLOOKUP(DATOS!$I12839,CONFIG_ASIGNATURAS!$B$2:$J$61,9,FALSE()),""))</f>
      </c>
    </row>
    <row r="12840">
      <c r="E12840">
        <f>IF(DATOS!$I12840="","",IFERROR(VLOOKUP(DATOS!$I12840,CONFIG_ASIGNATURAS!$B$2:$J$61,9,FALSE()),""))</f>
      </c>
    </row>
    <row r="12841">
      <c r="E12841">
        <f>IF(DATOS!$I12841="","",IFERROR(VLOOKUP(DATOS!$I12841,CONFIG_ASIGNATURAS!$B$2:$J$61,9,FALSE()),""))</f>
      </c>
    </row>
    <row r="12842">
      <c r="E12842">
        <f>IF(DATOS!$I12842="","",IFERROR(VLOOKUP(DATOS!$I12842,CONFIG_ASIGNATURAS!$B$2:$J$61,9,FALSE()),""))</f>
      </c>
    </row>
    <row r="12843">
      <c r="E12843">
        <f>IF(DATOS!$I12843="","",IFERROR(VLOOKUP(DATOS!$I12843,CONFIG_ASIGNATURAS!$B$2:$J$61,9,FALSE()),""))</f>
      </c>
    </row>
    <row r="12844">
      <c r="E12844">
        <f>IF(DATOS!$I12844="","",IFERROR(VLOOKUP(DATOS!$I12844,CONFIG_ASIGNATURAS!$B$2:$J$61,9,FALSE()),""))</f>
      </c>
    </row>
    <row r="12845">
      <c r="E12845">
        <f>IF(DATOS!$I12845="","",IFERROR(VLOOKUP(DATOS!$I12845,CONFIG_ASIGNATURAS!$B$2:$J$61,9,FALSE()),""))</f>
      </c>
    </row>
    <row r="12846">
      <c r="E12846">
        <f>IF(DATOS!$I12846="","",IFERROR(VLOOKUP(DATOS!$I12846,CONFIG_ASIGNATURAS!$B$2:$J$61,9,FALSE()),""))</f>
      </c>
    </row>
    <row r="12847">
      <c r="E12847">
        <f>IF(DATOS!$I12847="","",IFERROR(VLOOKUP(DATOS!$I12847,CONFIG_ASIGNATURAS!$B$2:$J$61,9,FALSE()),""))</f>
      </c>
    </row>
    <row r="12848">
      <c r="E12848">
        <f>IF(DATOS!$I12848="","",IFERROR(VLOOKUP(DATOS!$I12848,CONFIG_ASIGNATURAS!$B$2:$J$61,9,FALSE()),""))</f>
      </c>
    </row>
    <row r="12849">
      <c r="E12849">
        <f>IF(DATOS!$I12849="","",IFERROR(VLOOKUP(DATOS!$I12849,CONFIG_ASIGNATURAS!$B$2:$J$61,9,FALSE()),""))</f>
      </c>
    </row>
    <row r="12850">
      <c r="E12850">
        <f>IF(DATOS!$I12850="","",IFERROR(VLOOKUP(DATOS!$I12850,CONFIG_ASIGNATURAS!$B$2:$J$61,9,FALSE()),""))</f>
      </c>
    </row>
    <row r="12851">
      <c r="E12851">
        <f>IF(DATOS!$I12851="","",IFERROR(VLOOKUP(DATOS!$I12851,CONFIG_ASIGNATURAS!$B$2:$J$61,9,FALSE()),""))</f>
      </c>
    </row>
    <row r="12852">
      <c r="E12852">
        <f>IF(DATOS!$I12852="","",IFERROR(VLOOKUP(DATOS!$I12852,CONFIG_ASIGNATURAS!$B$2:$J$61,9,FALSE()),""))</f>
      </c>
    </row>
    <row r="12853">
      <c r="E12853">
        <f>IF(DATOS!$I12853="","",IFERROR(VLOOKUP(DATOS!$I12853,CONFIG_ASIGNATURAS!$B$2:$J$61,9,FALSE()),""))</f>
      </c>
    </row>
    <row r="12854">
      <c r="E12854">
        <f>IF(DATOS!$I12854="","",IFERROR(VLOOKUP(DATOS!$I12854,CONFIG_ASIGNATURAS!$B$2:$J$61,9,FALSE()),""))</f>
      </c>
    </row>
    <row r="12855">
      <c r="E12855">
        <f>IF(DATOS!$I12855="","",IFERROR(VLOOKUP(DATOS!$I12855,CONFIG_ASIGNATURAS!$B$2:$J$61,9,FALSE()),""))</f>
      </c>
    </row>
    <row r="12856">
      <c r="E12856">
        <f>IF(DATOS!$I12856="","",IFERROR(VLOOKUP(DATOS!$I12856,CONFIG_ASIGNATURAS!$B$2:$J$61,9,FALSE()),""))</f>
      </c>
    </row>
    <row r="12857">
      <c r="E12857">
        <f>IF(DATOS!$I12857="","",IFERROR(VLOOKUP(DATOS!$I12857,CONFIG_ASIGNATURAS!$B$2:$J$61,9,FALSE()),""))</f>
      </c>
    </row>
    <row r="12858">
      <c r="E12858">
        <f>IF(DATOS!$I12858="","",IFERROR(VLOOKUP(DATOS!$I12858,CONFIG_ASIGNATURAS!$B$2:$J$61,9,FALSE()),""))</f>
      </c>
    </row>
    <row r="12859">
      <c r="E12859">
        <f>IF(DATOS!$I12859="","",IFERROR(VLOOKUP(DATOS!$I12859,CONFIG_ASIGNATURAS!$B$2:$J$61,9,FALSE()),""))</f>
      </c>
    </row>
    <row r="12860">
      <c r="E12860">
        <f>IF(DATOS!$I12860="","",IFERROR(VLOOKUP(DATOS!$I12860,CONFIG_ASIGNATURAS!$B$2:$J$61,9,FALSE()),""))</f>
      </c>
    </row>
    <row r="12861">
      <c r="E12861">
        <f>IF(DATOS!$I12861="","",IFERROR(VLOOKUP(DATOS!$I12861,CONFIG_ASIGNATURAS!$B$2:$J$61,9,FALSE()),""))</f>
      </c>
    </row>
    <row r="12862">
      <c r="E12862">
        <f>IF(DATOS!$I12862="","",IFERROR(VLOOKUP(DATOS!$I12862,CONFIG_ASIGNATURAS!$B$2:$J$61,9,FALSE()),""))</f>
      </c>
    </row>
    <row r="12863">
      <c r="E12863">
        <f>IF(DATOS!$I12863="","",IFERROR(VLOOKUP(DATOS!$I12863,CONFIG_ASIGNATURAS!$B$2:$J$61,9,FALSE()),""))</f>
      </c>
    </row>
    <row r="12864">
      <c r="E12864">
        <f>IF(DATOS!$I12864="","",IFERROR(VLOOKUP(DATOS!$I12864,CONFIG_ASIGNATURAS!$B$2:$J$61,9,FALSE()),""))</f>
      </c>
    </row>
    <row r="12865">
      <c r="E12865">
        <f>IF(DATOS!$I12865="","",IFERROR(VLOOKUP(DATOS!$I12865,CONFIG_ASIGNATURAS!$B$2:$J$61,9,FALSE()),""))</f>
      </c>
    </row>
    <row r="12866">
      <c r="E12866">
        <f>IF(DATOS!$I12866="","",IFERROR(VLOOKUP(DATOS!$I12866,CONFIG_ASIGNATURAS!$B$2:$J$61,9,FALSE()),""))</f>
      </c>
    </row>
    <row r="12867">
      <c r="E12867">
        <f>IF(DATOS!$I12867="","",IFERROR(VLOOKUP(DATOS!$I12867,CONFIG_ASIGNATURAS!$B$2:$J$61,9,FALSE()),""))</f>
      </c>
    </row>
    <row r="12868">
      <c r="E12868">
        <f>IF(DATOS!$I12868="","",IFERROR(VLOOKUP(DATOS!$I12868,CONFIG_ASIGNATURAS!$B$2:$J$61,9,FALSE()),""))</f>
      </c>
    </row>
    <row r="12869">
      <c r="E12869">
        <f>IF(DATOS!$I12869="","",IFERROR(VLOOKUP(DATOS!$I12869,CONFIG_ASIGNATURAS!$B$2:$J$61,9,FALSE()),""))</f>
      </c>
    </row>
    <row r="12870">
      <c r="E12870">
        <f>IF(DATOS!$I12870="","",IFERROR(VLOOKUP(DATOS!$I12870,CONFIG_ASIGNATURAS!$B$2:$J$61,9,FALSE()),""))</f>
      </c>
    </row>
    <row r="12871">
      <c r="E12871">
        <f>IF(DATOS!$I12871="","",IFERROR(VLOOKUP(DATOS!$I12871,CONFIG_ASIGNATURAS!$B$2:$J$61,9,FALSE()),""))</f>
      </c>
    </row>
    <row r="12872">
      <c r="E12872">
        <f>IF(DATOS!$I12872="","",IFERROR(VLOOKUP(DATOS!$I12872,CONFIG_ASIGNATURAS!$B$2:$J$61,9,FALSE()),""))</f>
      </c>
    </row>
    <row r="12873">
      <c r="E12873">
        <f>IF(DATOS!$I12873="","",IFERROR(VLOOKUP(DATOS!$I12873,CONFIG_ASIGNATURAS!$B$2:$J$61,9,FALSE()),""))</f>
      </c>
    </row>
    <row r="12874">
      <c r="E12874">
        <f>IF(DATOS!$I12874="","",IFERROR(VLOOKUP(DATOS!$I12874,CONFIG_ASIGNATURAS!$B$2:$J$61,9,FALSE()),""))</f>
      </c>
    </row>
    <row r="12875">
      <c r="E12875">
        <f>IF(DATOS!$I12875="","",IFERROR(VLOOKUP(DATOS!$I12875,CONFIG_ASIGNATURAS!$B$2:$J$61,9,FALSE()),""))</f>
      </c>
    </row>
    <row r="12876">
      <c r="E12876">
        <f>IF(DATOS!$I12876="","",IFERROR(VLOOKUP(DATOS!$I12876,CONFIG_ASIGNATURAS!$B$2:$J$61,9,FALSE()),""))</f>
      </c>
    </row>
    <row r="12877">
      <c r="E12877">
        <f>IF(DATOS!$I12877="","",IFERROR(VLOOKUP(DATOS!$I12877,CONFIG_ASIGNATURAS!$B$2:$J$61,9,FALSE()),""))</f>
      </c>
    </row>
    <row r="12878">
      <c r="E12878">
        <f>IF(DATOS!$I12878="","",IFERROR(VLOOKUP(DATOS!$I12878,CONFIG_ASIGNATURAS!$B$2:$J$61,9,FALSE()),""))</f>
      </c>
    </row>
    <row r="12879">
      <c r="E12879">
        <f>IF(DATOS!$I12879="","",IFERROR(VLOOKUP(DATOS!$I12879,CONFIG_ASIGNATURAS!$B$2:$J$61,9,FALSE()),""))</f>
      </c>
    </row>
    <row r="12880">
      <c r="E12880">
        <f>IF(DATOS!$I12880="","",IFERROR(VLOOKUP(DATOS!$I12880,CONFIG_ASIGNATURAS!$B$2:$J$61,9,FALSE()),""))</f>
      </c>
    </row>
    <row r="12881">
      <c r="E12881">
        <f>IF(DATOS!$I12881="","",IFERROR(VLOOKUP(DATOS!$I12881,CONFIG_ASIGNATURAS!$B$2:$J$61,9,FALSE()),""))</f>
      </c>
    </row>
    <row r="12882">
      <c r="E12882">
        <f>IF(DATOS!$I12882="","",IFERROR(VLOOKUP(DATOS!$I12882,CONFIG_ASIGNATURAS!$B$2:$J$61,9,FALSE()),""))</f>
      </c>
    </row>
    <row r="12883">
      <c r="E12883">
        <f>IF(DATOS!$I12883="","",IFERROR(VLOOKUP(DATOS!$I12883,CONFIG_ASIGNATURAS!$B$2:$J$61,9,FALSE()),""))</f>
      </c>
    </row>
    <row r="12884">
      <c r="E12884">
        <f>IF(DATOS!$I12884="","",IFERROR(VLOOKUP(DATOS!$I12884,CONFIG_ASIGNATURAS!$B$2:$J$61,9,FALSE()),""))</f>
      </c>
    </row>
    <row r="12885">
      <c r="E12885">
        <f>IF(DATOS!$I12885="","",IFERROR(VLOOKUP(DATOS!$I12885,CONFIG_ASIGNATURAS!$B$2:$J$61,9,FALSE()),""))</f>
      </c>
    </row>
    <row r="12886">
      <c r="E12886">
        <f>IF(DATOS!$I12886="","",IFERROR(VLOOKUP(DATOS!$I12886,CONFIG_ASIGNATURAS!$B$2:$J$61,9,FALSE()),""))</f>
      </c>
    </row>
    <row r="12887">
      <c r="E12887">
        <f>IF(DATOS!$I12887="","",IFERROR(VLOOKUP(DATOS!$I12887,CONFIG_ASIGNATURAS!$B$2:$J$61,9,FALSE()),""))</f>
      </c>
    </row>
    <row r="12888">
      <c r="E12888">
        <f>IF(DATOS!$I12888="","",IFERROR(VLOOKUP(DATOS!$I12888,CONFIG_ASIGNATURAS!$B$2:$J$61,9,FALSE()),""))</f>
      </c>
    </row>
    <row r="12889">
      <c r="E12889">
        <f>IF(DATOS!$I12889="","",IFERROR(VLOOKUP(DATOS!$I12889,CONFIG_ASIGNATURAS!$B$2:$J$61,9,FALSE()),""))</f>
      </c>
    </row>
    <row r="12890">
      <c r="E12890">
        <f>IF(DATOS!$I12890="","",IFERROR(VLOOKUP(DATOS!$I12890,CONFIG_ASIGNATURAS!$B$2:$J$61,9,FALSE()),""))</f>
      </c>
    </row>
    <row r="12891">
      <c r="E12891">
        <f>IF(DATOS!$I12891="","",IFERROR(VLOOKUP(DATOS!$I12891,CONFIG_ASIGNATURAS!$B$2:$J$61,9,FALSE()),""))</f>
      </c>
    </row>
    <row r="12892">
      <c r="E12892">
        <f>IF(DATOS!$I12892="","",IFERROR(VLOOKUP(DATOS!$I12892,CONFIG_ASIGNATURAS!$B$2:$J$61,9,FALSE()),""))</f>
      </c>
    </row>
    <row r="12893">
      <c r="E12893">
        <f>IF(DATOS!$I12893="","",IFERROR(VLOOKUP(DATOS!$I12893,CONFIG_ASIGNATURAS!$B$2:$J$61,9,FALSE()),""))</f>
      </c>
    </row>
    <row r="12894">
      <c r="E12894">
        <f>IF(DATOS!$I12894="","",IFERROR(VLOOKUP(DATOS!$I12894,CONFIG_ASIGNATURAS!$B$2:$J$61,9,FALSE()),""))</f>
      </c>
    </row>
    <row r="12895">
      <c r="E12895">
        <f>IF(DATOS!$I12895="","",IFERROR(VLOOKUP(DATOS!$I12895,CONFIG_ASIGNATURAS!$B$2:$J$61,9,FALSE()),""))</f>
      </c>
    </row>
    <row r="12896">
      <c r="E12896">
        <f>IF(DATOS!$I12896="","",IFERROR(VLOOKUP(DATOS!$I12896,CONFIG_ASIGNATURAS!$B$2:$J$61,9,FALSE()),""))</f>
      </c>
    </row>
    <row r="12897">
      <c r="E12897">
        <f>IF(DATOS!$I12897="","",IFERROR(VLOOKUP(DATOS!$I12897,CONFIG_ASIGNATURAS!$B$2:$J$61,9,FALSE()),""))</f>
      </c>
    </row>
    <row r="12898">
      <c r="E12898">
        <f>IF(DATOS!$I12898="","",IFERROR(VLOOKUP(DATOS!$I12898,CONFIG_ASIGNATURAS!$B$2:$J$61,9,FALSE()),""))</f>
      </c>
    </row>
    <row r="12899">
      <c r="E12899">
        <f>IF(DATOS!$I12899="","",IFERROR(VLOOKUP(DATOS!$I12899,CONFIG_ASIGNATURAS!$B$2:$J$61,9,FALSE()),""))</f>
      </c>
    </row>
    <row r="12900">
      <c r="E12900">
        <f>IF(DATOS!$I12900="","",IFERROR(VLOOKUP(DATOS!$I12900,CONFIG_ASIGNATURAS!$B$2:$J$61,9,FALSE()),""))</f>
      </c>
    </row>
    <row r="12901">
      <c r="E12901">
        <f>IF(DATOS!$I12901="","",IFERROR(VLOOKUP(DATOS!$I12901,CONFIG_ASIGNATURAS!$B$2:$J$61,9,FALSE()),""))</f>
      </c>
    </row>
    <row r="12902">
      <c r="E12902">
        <f>IF(DATOS!$I12902="","",IFERROR(VLOOKUP(DATOS!$I12902,CONFIG_ASIGNATURAS!$B$2:$J$61,9,FALSE()),""))</f>
      </c>
    </row>
    <row r="12903">
      <c r="E12903">
        <f>IF(DATOS!$I12903="","",IFERROR(VLOOKUP(DATOS!$I12903,CONFIG_ASIGNATURAS!$B$2:$J$61,9,FALSE()),""))</f>
      </c>
    </row>
    <row r="12904">
      <c r="E12904">
        <f>IF(DATOS!$I12904="","",IFERROR(VLOOKUP(DATOS!$I12904,CONFIG_ASIGNATURAS!$B$2:$J$61,9,FALSE()),""))</f>
      </c>
    </row>
    <row r="12905">
      <c r="E12905">
        <f>IF(DATOS!$I12905="","",IFERROR(VLOOKUP(DATOS!$I12905,CONFIG_ASIGNATURAS!$B$2:$J$61,9,FALSE()),""))</f>
      </c>
    </row>
    <row r="12906">
      <c r="E12906">
        <f>IF(DATOS!$I12906="","",IFERROR(VLOOKUP(DATOS!$I12906,CONFIG_ASIGNATURAS!$B$2:$J$61,9,FALSE()),""))</f>
      </c>
    </row>
    <row r="12907">
      <c r="E12907">
        <f>IF(DATOS!$I12907="","",IFERROR(VLOOKUP(DATOS!$I12907,CONFIG_ASIGNATURAS!$B$2:$J$61,9,FALSE()),""))</f>
      </c>
    </row>
    <row r="12908">
      <c r="E12908">
        <f>IF(DATOS!$I12908="","",IFERROR(VLOOKUP(DATOS!$I12908,CONFIG_ASIGNATURAS!$B$2:$J$61,9,FALSE()),""))</f>
      </c>
    </row>
    <row r="12909">
      <c r="E12909">
        <f>IF(DATOS!$I12909="","",IFERROR(VLOOKUP(DATOS!$I12909,CONFIG_ASIGNATURAS!$B$2:$J$61,9,FALSE()),""))</f>
      </c>
    </row>
    <row r="12910">
      <c r="E12910">
        <f>IF(DATOS!$I12910="","",IFERROR(VLOOKUP(DATOS!$I12910,CONFIG_ASIGNATURAS!$B$2:$J$61,9,FALSE()),""))</f>
      </c>
    </row>
    <row r="12911">
      <c r="E12911">
        <f>IF(DATOS!$I12911="","",IFERROR(VLOOKUP(DATOS!$I12911,CONFIG_ASIGNATURAS!$B$2:$J$61,9,FALSE()),""))</f>
      </c>
    </row>
    <row r="12912">
      <c r="E12912">
        <f>IF(DATOS!$I12912="","",IFERROR(VLOOKUP(DATOS!$I12912,CONFIG_ASIGNATURAS!$B$2:$J$61,9,FALSE()),""))</f>
      </c>
    </row>
    <row r="12913">
      <c r="E12913">
        <f>IF(DATOS!$I12913="","",IFERROR(VLOOKUP(DATOS!$I12913,CONFIG_ASIGNATURAS!$B$2:$J$61,9,FALSE()),""))</f>
      </c>
    </row>
    <row r="12914">
      <c r="E12914">
        <f>IF(DATOS!$I12914="","",IFERROR(VLOOKUP(DATOS!$I12914,CONFIG_ASIGNATURAS!$B$2:$J$61,9,FALSE()),""))</f>
      </c>
    </row>
    <row r="12915">
      <c r="E12915">
        <f>IF(DATOS!$I12915="","",IFERROR(VLOOKUP(DATOS!$I12915,CONFIG_ASIGNATURAS!$B$2:$J$61,9,FALSE()),""))</f>
      </c>
    </row>
    <row r="12916">
      <c r="E12916">
        <f>IF(DATOS!$I12916="","",IFERROR(VLOOKUP(DATOS!$I12916,CONFIG_ASIGNATURAS!$B$2:$J$61,9,FALSE()),""))</f>
      </c>
    </row>
    <row r="12917">
      <c r="E12917">
        <f>IF(DATOS!$I12917="","",IFERROR(VLOOKUP(DATOS!$I12917,CONFIG_ASIGNATURAS!$B$2:$J$61,9,FALSE()),""))</f>
      </c>
    </row>
    <row r="12918">
      <c r="E12918">
        <f>IF(DATOS!$I12918="","",IFERROR(VLOOKUP(DATOS!$I12918,CONFIG_ASIGNATURAS!$B$2:$J$61,9,FALSE()),""))</f>
      </c>
    </row>
    <row r="12919">
      <c r="E12919">
        <f>IF(DATOS!$I12919="","",IFERROR(VLOOKUP(DATOS!$I12919,CONFIG_ASIGNATURAS!$B$2:$J$61,9,FALSE()),""))</f>
      </c>
    </row>
    <row r="12920">
      <c r="E12920">
        <f>IF(DATOS!$I12920="","",IFERROR(VLOOKUP(DATOS!$I12920,CONFIG_ASIGNATURAS!$B$2:$J$61,9,FALSE()),""))</f>
      </c>
    </row>
    <row r="12921">
      <c r="E12921">
        <f>IF(DATOS!$I12921="","",IFERROR(VLOOKUP(DATOS!$I12921,CONFIG_ASIGNATURAS!$B$2:$J$61,9,FALSE()),""))</f>
      </c>
    </row>
    <row r="12922">
      <c r="E12922">
        <f>IF(DATOS!$I12922="","",IFERROR(VLOOKUP(DATOS!$I12922,CONFIG_ASIGNATURAS!$B$2:$J$61,9,FALSE()),""))</f>
      </c>
    </row>
    <row r="12923">
      <c r="E12923">
        <f>IF(DATOS!$I12923="","",IFERROR(VLOOKUP(DATOS!$I12923,CONFIG_ASIGNATURAS!$B$2:$J$61,9,FALSE()),""))</f>
      </c>
    </row>
    <row r="12924">
      <c r="E12924">
        <f>IF(DATOS!$I12924="","",IFERROR(VLOOKUP(DATOS!$I12924,CONFIG_ASIGNATURAS!$B$2:$J$61,9,FALSE()),""))</f>
      </c>
    </row>
    <row r="12925">
      <c r="E12925">
        <f>IF(DATOS!$I12925="","",IFERROR(VLOOKUP(DATOS!$I12925,CONFIG_ASIGNATURAS!$B$2:$J$61,9,FALSE()),""))</f>
      </c>
    </row>
    <row r="12926">
      <c r="E12926">
        <f>IF(DATOS!$I12926="","",IFERROR(VLOOKUP(DATOS!$I12926,CONFIG_ASIGNATURAS!$B$2:$J$61,9,FALSE()),""))</f>
      </c>
    </row>
    <row r="12927">
      <c r="E12927">
        <f>IF(DATOS!$I12927="","",IFERROR(VLOOKUP(DATOS!$I12927,CONFIG_ASIGNATURAS!$B$2:$J$61,9,FALSE()),""))</f>
      </c>
    </row>
    <row r="12928">
      <c r="E12928">
        <f>IF(DATOS!$I12928="","",IFERROR(VLOOKUP(DATOS!$I12928,CONFIG_ASIGNATURAS!$B$2:$J$61,9,FALSE()),""))</f>
      </c>
    </row>
    <row r="12929">
      <c r="E12929">
        <f>IF(DATOS!$I12929="","",IFERROR(VLOOKUP(DATOS!$I12929,CONFIG_ASIGNATURAS!$B$2:$J$61,9,FALSE()),""))</f>
      </c>
    </row>
    <row r="12930">
      <c r="E12930">
        <f>IF(DATOS!$I12930="","",IFERROR(VLOOKUP(DATOS!$I12930,CONFIG_ASIGNATURAS!$B$2:$J$61,9,FALSE()),""))</f>
      </c>
    </row>
    <row r="12931">
      <c r="E12931">
        <f>IF(DATOS!$I12931="","",IFERROR(VLOOKUP(DATOS!$I12931,CONFIG_ASIGNATURAS!$B$2:$J$61,9,FALSE()),""))</f>
      </c>
    </row>
    <row r="12932">
      <c r="E12932">
        <f>IF(DATOS!$I12932="","",IFERROR(VLOOKUP(DATOS!$I12932,CONFIG_ASIGNATURAS!$B$2:$J$61,9,FALSE()),""))</f>
      </c>
    </row>
    <row r="12933">
      <c r="E12933">
        <f>IF(DATOS!$I12933="","",IFERROR(VLOOKUP(DATOS!$I12933,CONFIG_ASIGNATURAS!$B$2:$J$61,9,FALSE()),""))</f>
      </c>
    </row>
    <row r="12934">
      <c r="E12934">
        <f>IF(DATOS!$I12934="","",IFERROR(VLOOKUP(DATOS!$I12934,CONFIG_ASIGNATURAS!$B$2:$J$61,9,FALSE()),""))</f>
      </c>
    </row>
    <row r="12935">
      <c r="E12935">
        <f>IF(DATOS!$I12935="","",IFERROR(VLOOKUP(DATOS!$I12935,CONFIG_ASIGNATURAS!$B$2:$J$61,9,FALSE()),""))</f>
      </c>
    </row>
    <row r="12936">
      <c r="E12936">
        <f>IF(DATOS!$I12936="","",IFERROR(VLOOKUP(DATOS!$I12936,CONFIG_ASIGNATURAS!$B$2:$J$61,9,FALSE()),""))</f>
      </c>
    </row>
    <row r="12937">
      <c r="E12937">
        <f>IF(DATOS!$I12937="","",IFERROR(VLOOKUP(DATOS!$I12937,CONFIG_ASIGNATURAS!$B$2:$J$61,9,FALSE()),""))</f>
      </c>
    </row>
    <row r="12938">
      <c r="E12938">
        <f>IF(DATOS!$I12938="","",IFERROR(VLOOKUP(DATOS!$I12938,CONFIG_ASIGNATURAS!$B$2:$J$61,9,FALSE()),""))</f>
      </c>
    </row>
    <row r="12939">
      <c r="E12939">
        <f>IF(DATOS!$I12939="","",IFERROR(VLOOKUP(DATOS!$I12939,CONFIG_ASIGNATURAS!$B$2:$J$61,9,FALSE()),""))</f>
      </c>
    </row>
    <row r="12940">
      <c r="E12940">
        <f>IF(DATOS!$I12940="","",IFERROR(VLOOKUP(DATOS!$I12940,CONFIG_ASIGNATURAS!$B$2:$J$61,9,FALSE()),""))</f>
      </c>
    </row>
    <row r="12941">
      <c r="E12941">
        <f>IF(DATOS!$I12941="","",IFERROR(VLOOKUP(DATOS!$I12941,CONFIG_ASIGNATURAS!$B$2:$J$61,9,FALSE()),""))</f>
      </c>
    </row>
    <row r="12942">
      <c r="E12942">
        <f>IF(DATOS!$I12942="","",IFERROR(VLOOKUP(DATOS!$I12942,CONFIG_ASIGNATURAS!$B$2:$J$61,9,FALSE()),""))</f>
      </c>
    </row>
    <row r="12943">
      <c r="E12943">
        <f>IF(DATOS!$I12943="","",IFERROR(VLOOKUP(DATOS!$I12943,CONFIG_ASIGNATURAS!$B$2:$J$61,9,FALSE()),""))</f>
      </c>
    </row>
    <row r="12944">
      <c r="E12944">
        <f>IF(DATOS!$I12944="","",IFERROR(VLOOKUP(DATOS!$I12944,CONFIG_ASIGNATURAS!$B$2:$J$61,9,FALSE()),""))</f>
      </c>
    </row>
    <row r="12945">
      <c r="E12945">
        <f>IF(DATOS!$I12945="","",IFERROR(VLOOKUP(DATOS!$I12945,CONFIG_ASIGNATURAS!$B$2:$J$61,9,FALSE()),""))</f>
      </c>
    </row>
    <row r="12946">
      <c r="E12946">
        <f>IF(DATOS!$I12946="","",IFERROR(VLOOKUP(DATOS!$I12946,CONFIG_ASIGNATURAS!$B$2:$J$61,9,FALSE()),""))</f>
      </c>
    </row>
    <row r="12947">
      <c r="E12947">
        <f>IF(DATOS!$I12947="","",IFERROR(VLOOKUP(DATOS!$I12947,CONFIG_ASIGNATURAS!$B$2:$J$61,9,FALSE()),""))</f>
      </c>
    </row>
    <row r="12948">
      <c r="E12948">
        <f>IF(DATOS!$I12948="","",IFERROR(VLOOKUP(DATOS!$I12948,CONFIG_ASIGNATURAS!$B$2:$J$61,9,FALSE()),""))</f>
      </c>
    </row>
    <row r="12949">
      <c r="E12949">
        <f>IF(DATOS!$I12949="","",IFERROR(VLOOKUP(DATOS!$I12949,CONFIG_ASIGNATURAS!$B$2:$J$61,9,FALSE()),""))</f>
      </c>
    </row>
    <row r="12950">
      <c r="E12950">
        <f>IF(DATOS!$I12950="","",IFERROR(VLOOKUP(DATOS!$I12950,CONFIG_ASIGNATURAS!$B$2:$J$61,9,FALSE()),""))</f>
      </c>
    </row>
    <row r="12951">
      <c r="E12951">
        <f>IF(DATOS!$I12951="","",IFERROR(VLOOKUP(DATOS!$I12951,CONFIG_ASIGNATURAS!$B$2:$J$61,9,FALSE()),""))</f>
      </c>
    </row>
    <row r="12952">
      <c r="E12952">
        <f>IF(DATOS!$I12952="","",IFERROR(VLOOKUP(DATOS!$I12952,CONFIG_ASIGNATURAS!$B$2:$J$61,9,FALSE()),""))</f>
      </c>
    </row>
    <row r="12953">
      <c r="E12953">
        <f>IF(DATOS!$I12953="","",IFERROR(VLOOKUP(DATOS!$I12953,CONFIG_ASIGNATURAS!$B$2:$J$61,9,FALSE()),""))</f>
      </c>
    </row>
    <row r="12954">
      <c r="E12954">
        <f>IF(DATOS!$I12954="","",IFERROR(VLOOKUP(DATOS!$I12954,CONFIG_ASIGNATURAS!$B$2:$J$61,9,FALSE()),""))</f>
      </c>
    </row>
    <row r="12955">
      <c r="E12955">
        <f>IF(DATOS!$I12955="","",IFERROR(VLOOKUP(DATOS!$I12955,CONFIG_ASIGNATURAS!$B$2:$J$61,9,FALSE()),""))</f>
      </c>
    </row>
    <row r="12956">
      <c r="E12956">
        <f>IF(DATOS!$I12956="","",IFERROR(VLOOKUP(DATOS!$I12956,CONFIG_ASIGNATURAS!$B$2:$J$61,9,FALSE()),""))</f>
      </c>
    </row>
    <row r="12957">
      <c r="E12957">
        <f>IF(DATOS!$I12957="","",IFERROR(VLOOKUP(DATOS!$I12957,CONFIG_ASIGNATURAS!$B$2:$J$61,9,FALSE()),""))</f>
      </c>
    </row>
    <row r="12958">
      <c r="E12958">
        <f>IF(DATOS!$I12958="","",IFERROR(VLOOKUP(DATOS!$I12958,CONFIG_ASIGNATURAS!$B$2:$J$61,9,FALSE()),""))</f>
      </c>
    </row>
    <row r="12959">
      <c r="E12959">
        <f>IF(DATOS!$I12959="","",IFERROR(VLOOKUP(DATOS!$I12959,CONFIG_ASIGNATURAS!$B$2:$J$61,9,FALSE()),""))</f>
      </c>
    </row>
    <row r="12960">
      <c r="E12960">
        <f>IF(DATOS!$I12960="","",IFERROR(VLOOKUP(DATOS!$I12960,CONFIG_ASIGNATURAS!$B$2:$J$61,9,FALSE()),""))</f>
      </c>
    </row>
    <row r="12961">
      <c r="E12961">
        <f>IF(DATOS!$I12961="","",IFERROR(VLOOKUP(DATOS!$I12961,CONFIG_ASIGNATURAS!$B$2:$J$61,9,FALSE()),""))</f>
      </c>
    </row>
    <row r="12962">
      <c r="E12962">
        <f>IF(DATOS!$I12962="","",IFERROR(VLOOKUP(DATOS!$I12962,CONFIG_ASIGNATURAS!$B$2:$J$61,9,FALSE()),""))</f>
      </c>
    </row>
    <row r="12963">
      <c r="E12963">
        <f>IF(DATOS!$I12963="","",IFERROR(VLOOKUP(DATOS!$I12963,CONFIG_ASIGNATURAS!$B$2:$J$61,9,FALSE()),""))</f>
      </c>
    </row>
    <row r="12964">
      <c r="E12964">
        <f>IF(DATOS!$I12964="","",IFERROR(VLOOKUP(DATOS!$I12964,CONFIG_ASIGNATURAS!$B$2:$J$61,9,FALSE()),""))</f>
      </c>
    </row>
    <row r="12965">
      <c r="E12965">
        <f>IF(DATOS!$I12965="","",IFERROR(VLOOKUP(DATOS!$I12965,CONFIG_ASIGNATURAS!$B$2:$J$61,9,FALSE()),""))</f>
      </c>
    </row>
    <row r="12966">
      <c r="E12966">
        <f>IF(DATOS!$I12966="","",IFERROR(VLOOKUP(DATOS!$I12966,CONFIG_ASIGNATURAS!$B$2:$J$61,9,FALSE()),""))</f>
      </c>
    </row>
    <row r="12967">
      <c r="E12967">
        <f>IF(DATOS!$I12967="","",IFERROR(VLOOKUP(DATOS!$I12967,CONFIG_ASIGNATURAS!$B$2:$J$61,9,FALSE()),""))</f>
      </c>
    </row>
    <row r="12968">
      <c r="E12968">
        <f>IF(DATOS!$I12968="","",IFERROR(VLOOKUP(DATOS!$I12968,CONFIG_ASIGNATURAS!$B$2:$J$61,9,FALSE()),""))</f>
      </c>
    </row>
    <row r="12969">
      <c r="E12969">
        <f>IF(DATOS!$I12969="","",IFERROR(VLOOKUP(DATOS!$I12969,CONFIG_ASIGNATURAS!$B$2:$J$61,9,FALSE()),""))</f>
      </c>
    </row>
    <row r="12970">
      <c r="E12970">
        <f>IF(DATOS!$I12970="","",IFERROR(VLOOKUP(DATOS!$I12970,CONFIG_ASIGNATURAS!$B$2:$J$61,9,FALSE()),""))</f>
      </c>
    </row>
    <row r="12971">
      <c r="E12971">
        <f>IF(DATOS!$I12971="","",IFERROR(VLOOKUP(DATOS!$I12971,CONFIG_ASIGNATURAS!$B$2:$J$61,9,FALSE()),""))</f>
      </c>
    </row>
    <row r="12972">
      <c r="E12972">
        <f>IF(DATOS!$I12972="","",IFERROR(VLOOKUP(DATOS!$I12972,CONFIG_ASIGNATURAS!$B$2:$J$61,9,FALSE()),""))</f>
      </c>
    </row>
    <row r="12973">
      <c r="E12973">
        <f>IF(DATOS!$I12973="","",IFERROR(VLOOKUP(DATOS!$I12973,CONFIG_ASIGNATURAS!$B$2:$J$61,9,FALSE()),""))</f>
      </c>
    </row>
    <row r="12974">
      <c r="E12974">
        <f>IF(DATOS!$I12974="","",IFERROR(VLOOKUP(DATOS!$I12974,CONFIG_ASIGNATURAS!$B$2:$J$61,9,FALSE()),""))</f>
      </c>
    </row>
    <row r="12975">
      <c r="E12975">
        <f>IF(DATOS!$I12975="","",IFERROR(VLOOKUP(DATOS!$I12975,CONFIG_ASIGNATURAS!$B$2:$J$61,9,FALSE()),""))</f>
      </c>
    </row>
    <row r="12976">
      <c r="E12976">
        <f>IF(DATOS!$I12976="","",IFERROR(VLOOKUP(DATOS!$I12976,CONFIG_ASIGNATURAS!$B$2:$J$61,9,FALSE()),""))</f>
      </c>
    </row>
    <row r="12977">
      <c r="E12977">
        <f>IF(DATOS!$I12977="","",IFERROR(VLOOKUP(DATOS!$I12977,CONFIG_ASIGNATURAS!$B$2:$J$61,9,FALSE()),""))</f>
      </c>
    </row>
    <row r="12978">
      <c r="E12978">
        <f>IF(DATOS!$I12978="","",IFERROR(VLOOKUP(DATOS!$I12978,CONFIG_ASIGNATURAS!$B$2:$J$61,9,FALSE()),""))</f>
      </c>
    </row>
    <row r="12979">
      <c r="E12979">
        <f>IF(DATOS!$I12979="","",IFERROR(VLOOKUP(DATOS!$I12979,CONFIG_ASIGNATURAS!$B$2:$J$61,9,FALSE()),""))</f>
      </c>
    </row>
    <row r="12980">
      <c r="E12980">
        <f>IF(DATOS!$I12980="","",IFERROR(VLOOKUP(DATOS!$I12980,CONFIG_ASIGNATURAS!$B$2:$J$61,9,FALSE()),""))</f>
      </c>
    </row>
    <row r="12981">
      <c r="E12981">
        <f>IF(DATOS!$I12981="","",IFERROR(VLOOKUP(DATOS!$I12981,CONFIG_ASIGNATURAS!$B$2:$J$61,9,FALSE()),""))</f>
      </c>
    </row>
    <row r="12982">
      <c r="E12982">
        <f>IF(DATOS!$I12982="","",IFERROR(VLOOKUP(DATOS!$I12982,CONFIG_ASIGNATURAS!$B$2:$J$61,9,FALSE()),""))</f>
      </c>
    </row>
    <row r="12983">
      <c r="E12983">
        <f>IF(DATOS!$I12983="","",IFERROR(VLOOKUP(DATOS!$I12983,CONFIG_ASIGNATURAS!$B$2:$J$61,9,FALSE()),""))</f>
      </c>
    </row>
    <row r="12984">
      <c r="E12984">
        <f>IF(DATOS!$I12984="","",IFERROR(VLOOKUP(DATOS!$I12984,CONFIG_ASIGNATURAS!$B$2:$J$61,9,FALSE()),""))</f>
      </c>
    </row>
    <row r="12985">
      <c r="E12985">
        <f>IF(DATOS!$I12985="","",IFERROR(VLOOKUP(DATOS!$I12985,CONFIG_ASIGNATURAS!$B$2:$J$61,9,FALSE()),""))</f>
      </c>
    </row>
    <row r="12986">
      <c r="E12986">
        <f>IF(DATOS!$I12986="","",IFERROR(VLOOKUP(DATOS!$I12986,CONFIG_ASIGNATURAS!$B$2:$J$61,9,FALSE()),""))</f>
      </c>
    </row>
    <row r="12987">
      <c r="E12987">
        <f>IF(DATOS!$I12987="","",IFERROR(VLOOKUP(DATOS!$I12987,CONFIG_ASIGNATURAS!$B$2:$J$61,9,FALSE()),""))</f>
      </c>
    </row>
    <row r="12988">
      <c r="E12988">
        <f>IF(DATOS!$I12988="","",IFERROR(VLOOKUP(DATOS!$I12988,CONFIG_ASIGNATURAS!$B$2:$J$61,9,FALSE()),""))</f>
      </c>
    </row>
    <row r="12989">
      <c r="E12989">
        <f>IF(DATOS!$I12989="","",IFERROR(VLOOKUP(DATOS!$I12989,CONFIG_ASIGNATURAS!$B$2:$J$61,9,FALSE()),""))</f>
      </c>
    </row>
    <row r="12990">
      <c r="E12990">
        <f>IF(DATOS!$I12990="","",IFERROR(VLOOKUP(DATOS!$I12990,CONFIG_ASIGNATURAS!$B$2:$J$61,9,FALSE()),""))</f>
      </c>
    </row>
    <row r="12991">
      <c r="E12991">
        <f>IF(DATOS!$I12991="","",IFERROR(VLOOKUP(DATOS!$I12991,CONFIG_ASIGNATURAS!$B$2:$J$61,9,FALSE()),""))</f>
      </c>
    </row>
    <row r="12992">
      <c r="E12992">
        <f>IF(DATOS!$I12992="","",IFERROR(VLOOKUP(DATOS!$I12992,CONFIG_ASIGNATURAS!$B$2:$J$61,9,FALSE()),""))</f>
      </c>
    </row>
    <row r="12993">
      <c r="E12993">
        <f>IF(DATOS!$I12993="","",IFERROR(VLOOKUP(DATOS!$I12993,CONFIG_ASIGNATURAS!$B$2:$J$61,9,FALSE()),""))</f>
      </c>
    </row>
    <row r="12994">
      <c r="E12994">
        <f>IF(DATOS!$I12994="","",IFERROR(VLOOKUP(DATOS!$I12994,CONFIG_ASIGNATURAS!$B$2:$J$61,9,FALSE()),""))</f>
      </c>
    </row>
    <row r="12995">
      <c r="E12995">
        <f>IF(DATOS!$I12995="","",IFERROR(VLOOKUP(DATOS!$I12995,CONFIG_ASIGNATURAS!$B$2:$J$61,9,FALSE()),""))</f>
      </c>
    </row>
    <row r="12996">
      <c r="E12996">
        <f>IF(DATOS!$I12996="","",IFERROR(VLOOKUP(DATOS!$I12996,CONFIG_ASIGNATURAS!$B$2:$J$61,9,FALSE()),""))</f>
      </c>
    </row>
    <row r="12997">
      <c r="E12997">
        <f>IF(DATOS!$I12997="","",IFERROR(VLOOKUP(DATOS!$I12997,CONFIG_ASIGNATURAS!$B$2:$J$61,9,FALSE()),""))</f>
      </c>
    </row>
    <row r="12998">
      <c r="E12998">
        <f>IF(DATOS!$I12998="","",IFERROR(VLOOKUP(DATOS!$I12998,CONFIG_ASIGNATURAS!$B$2:$J$61,9,FALSE()),""))</f>
      </c>
    </row>
    <row r="12999">
      <c r="E12999">
        <f>IF(DATOS!$I12999="","",IFERROR(VLOOKUP(DATOS!$I12999,CONFIG_ASIGNATURAS!$B$2:$J$61,9,FALSE()),""))</f>
      </c>
    </row>
    <row r="13000">
      <c r="E13000">
        <f>IF(DATOS!$I13000="","",IFERROR(VLOOKUP(DATOS!$I13000,CONFIG_ASIGNATURAS!$B$2:$J$61,9,FALSE()),""))</f>
      </c>
    </row>
    <row r="13001">
      <c r="E13001">
        <f>IF(DATOS!$I13001="","",IFERROR(VLOOKUP(DATOS!$I13001,CONFIG_ASIGNATURAS!$B$2:$J$61,9,FALSE()),""))</f>
      </c>
    </row>
    <row r="13002">
      <c r="E13002">
        <f>IF(DATOS!$I13002="","",IFERROR(VLOOKUP(DATOS!$I13002,CONFIG_ASIGNATURAS!$B$2:$J$61,9,FALSE()),""))</f>
      </c>
    </row>
    <row r="13003">
      <c r="E13003">
        <f>IF(DATOS!$I13003="","",IFERROR(VLOOKUP(DATOS!$I13003,CONFIG_ASIGNATURAS!$B$2:$J$61,9,FALSE()),""))</f>
      </c>
    </row>
    <row r="13004">
      <c r="E13004">
        <f>IF(DATOS!$I13004="","",IFERROR(VLOOKUP(DATOS!$I13004,CONFIG_ASIGNATURAS!$B$2:$J$61,9,FALSE()),""))</f>
      </c>
    </row>
    <row r="13005">
      <c r="E13005">
        <f>IF(DATOS!$I13005="","",IFERROR(VLOOKUP(DATOS!$I13005,CONFIG_ASIGNATURAS!$B$2:$J$61,9,FALSE()),""))</f>
      </c>
    </row>
    <row r="13006">
      <c r="E13006">
        <f>IF(DATOS!$I13006="","",IFERROR(VLOOKUP(DATOS!$I13006,CONFIG_ASIGNATURAS!$B$2:$J$61,9,FALSE()),""))</f>
      </c>
    </row>
    <row r="13007">
      <c r="E13007">
        <f>IF(DATOS!$I13007="","",IFERROR(VLOOKUP(DATOS!$I13007,CONFIG_ASIGNATURAS!$B$2:$J$61,9,FALSE()),""))</f>
      </c>
    </row>
    <row r="13008">
      <c r="E13008">
        <f>IF(DATOS!$I13008="","",IFERROR(VLOOKUP(DATOS!$I13008,CONFIG_ASIGNATURAS!$B$2:$J$61,9,FALSE()),""))</f>
      </c>
    </row>
    <row r="13009">
      <c r="E13009">
        <f>IF(DATOS!$I13009="","",IFERROR(VLOOKUP(DATOS!$I13009,CONFIG_ASIGNATURAS!$B$2:$J$61,9,FALSE()),""))</f>
      </c>
    </row>
    <row r="13010">
      <c r="E13010">
        <f>IF(DATOS!$I13010="","",IFERROR(VLOOKUP(DATOS!$I13010,CONFIG_ASIGNATURAS!$B$2:$J$61,9,FALSE()),""))</f>
      </c>
    </row>
    <row r="13011">
      <c r="E13011">
        <f>IF(DATOS!$I13011="","",IFERROR(VLOOKUP(DATOS!$I13011,CONFIG_ASIGNATURAS!$B$2:$J$61,9,FALSE()),""))</f>
      </c>
    </row>
    <row r="13012">
      <c r="E13012">
        <f>IF(DATOS!$I13012="","",IFERROR(VLOOKUP(DATOS!$I13012,CONFIG_ASIGNATURAS!$B$2:$J$61,9,FALSE()),""))</f>
      </c>
    </row>
    <row r="13013">
      <c r="E13013">
        <f>IF(DATOS!$I13013="","",IFERROR(VLOOKUP(DATOS!$I13013,CONFIG_ASIGNATURAS!$B$2:$J$61,9,FALSE()),""))</f>
      </c>
    </row>
    <row r="13014">
      <c r="E13014">
        <f>IF(DATOS!$I13014="","",IFERROR(VLOOKUP(DATOS!$I13014,CONFIG_ASIGNATURAS!$B$2:$J$61,9,FALSE()),""))</f>
      </c>
    </row>
    <row r="13015">
      <c r="E13015">
        <f>IF(DATOS!$I13015="","",IFERROR(VLOOKUP(DATOS!$I13015,CONFIG_ASIGNATURAS!$B$2:$J$61,9,FALSE()),""))</f>
      </c>
    </row>
    <row r="13016">
      <c r="E13016">
        <f>IF(DATOS!$I13016="","",IFERROR(VLOOKUP(DATOS!$I13016,CONFIG_ASIGNATURAS!$B$2:$J$61,9,FALSE()),""))</f>
      </c>
    </row>
    <row r="13017">
      <c r="E13017">
        <f>IF(DATOS!$I13017="","",IFERROR(VLOOKUP(DATOS!$I13017,CONFIG_ASIGNATURAS!$B$2:$J$61,9,FALSE()),""))</f>
      </c>
    </row>
    <row r="13018">
      <c r="E13018">
        <f>IF(DATOS!$I13018="","",IFERROR(VLOOKUP(DATOS!$I13018,CONFIG_ASIGNATURAS!$B$2:$J$61,9,FALSE()),""))</f>
      </c>
    </row>
    <row r="13019">
      <c r="E13019">
        <f>IF(DATOS!$I13019="","",IFERROR(VLOOKUP(DATOS!$I13019,CONFIG_ASIGNATURAS!$B$2:$J$61,9,FALSE()),""))</f>
      </c>
    </row>
    <row r="13020">
      <c r="E13020">
        <f>IF(DATOS!$I13020="","",IFERROR(VLOOKUP(DATOS!$I13020,CONFIG_ASIGNATURAS!$B$2:$J$61,9,FALSE()),""))</f>
      </c>
    </row>
    <row r="13021">
      <c r="E13021">
        <f>IF(DATOS!$I13021="","",IFERROR(VLOOKUP(DATOS!$I13021,CONFIG_ASIGNATURAS!$B$2:$J$61,9,FALSE()),""))</f>
      </c>
    </row>
    <row r="13022">
      <c r="E13022">
        <f>IF(DATOS!$I13022="","",IFERROR(VLOOKUP(DATOS!$I13022,CONFIG_ASIGNATURAS!$B$2:$J$61,9,FALSE()),""))</f>
      </c>
    </row>
    <row r="13023">
      <c r="E13023">
        <f>IF(DATOS!$I13023="","",IFERROR(VLOOKUP(DATOS!$I13023,CONFIG_ASIGNATURAS!$B$2:$J$61,9,FALSE()),""))</f>
      </c>
    </row>
    <row r="13024">
      <c r="E13024">
        <f>IF(DATOS!$I13024="","",IFERROR(VLOOKUP(DATOS!$I13024,CONFIG_ASIGNATURAS!$B$2:$J$61,9,FALSE()),""))</f>
      </c>
    </row>
    <row r="13025">
      <c r="E13025">
        <f>IF(DATOS!$I13025="","",IFERROR(VLOOKUP(DATOS!$I13025,CONFIG_ASIGNATURAS!$B$2:$J$61,9,FALSE()),""))</f>
      </c>
    </row>
    <row r="13026">
      <c r="E13026">
        <f>IF(DATOS!$I13026="","",IFERROR(VLOOKUP(DATOS!$I13026,CONFIG_ASIGNATURAS!$B$2:$J$61,9,FALSE()),""))</f>
      </c>
    </row>
    <row r="13027">
      <c r="E13027">
        <f>IF(DATOS!$I13027="","",IFERROR(VLOOKUP(DATOS!$I13027,CONFIG_ASIGNATURAS!$B$2:$J$61,9,FALSE()),""))</f>
      </c>
    </row>
    <row r="13028">
      <c r="E13028">
        <f>IF(DATOS!$I13028="","",IFERROR(VLOOKUP(DATOS!$I13028,CONFIG_ASIGNATURAS!$B$2:$J$61,9,FALSE()),""))</f>
      </c>
    </row>
    <row r="13029">
      <c r="E13029">
        <f>IF(DATOS!$I13029="","",IFERROR(VLOOKUP(DATOS!$I13029,CONFIG_ASIGNATURAS!$B$2:$J$61,9,FALSE()),""))</f>
      </c>
    </row>
    <row r="13030">
      <c r="E13030">
        <f>IF(DATOS!$I13030="","",IFERROR(VLOOKUP(DATOS!$I13030,CONFIG_ASIGNATURAS!$B$2:$J$61,9,FALSE()),""))</f>
      </c>
    </row>
    <row r="13031">
      <c r="E13031">
        <f>IF(DATOS!$I13031="","",IFERROR(VLOOKUP(DATOS!$I13031,CONFIG_ASIGNATURAS!$B$2:$J$61,9,FALSE()),""))</f>
      </c>
    </row>
    <row r="13032">
      <c r="E13032">
        <f>IF(DATOS!$I13032="","",IFERROR(VLOOKUP(DATOS!$I13032,CONFIG_ASIGNATURAS!$B$2:$J$61,9,FALSE()),""))</f>
      </c>
    </row>
    <row r="13033">
      <c r="E13033">
        <f>IF(DATOS!$I13033="","",IFERROR(VLOOKUP(DATOS!$I13033,CONFIG_ASIGNATURAS!$B$2:$J$61,9,FALSE()),""))</f>
      </c>
    </row>
    <row r="13034">
      <c r="E13034">
        <f>IF(DATOS!$I13034="","",IFERROR(VLOOKUP(DATOS!$I13034,CONFIG_ASIGNATURAS!$B$2:$J$61,9,FALSE()),""))</f>
      </c>
    </row>
    <row r="13035">
      <c r="E13035">
        <f>IF(DATOS!$I13035="","",IFERROR(VLOOKUP(DATOS!$I13035,CONFIG_ASIGNATURAS!$B$2:$J$61,9,FALSE()),""))</f>
      </c>
    </row>
    <row r="13036">
      <c r="E13036">
        <f>IF(DATOS!$I13036="","",IFERROR(VLOOKUP(DATOS!$I13036,CONFIG_ASIGNATURAS!$B$2:$J$61,9,FALSE()),""))</f>
      </c>
    </row>
    <row r="13037">
      <c r="E13037">
        <f>IF(DATOS!$I13037="","",IFERROR(VLOOKUP(DATOS!$I13037,CONFIG_ASIGNATURAS!$B$2:$J$61,9,FALSE()),""))</f>
      </c>
    </row>
    <row r="13038">
      <c r="E13038">
        <f>IF(DATOS!$I13038="","",IFERROR(VLOOKUP(DATOS!$I13038,CONFIG_ASIGNATURAS!$B$2:$J$61,9,FALSE()),""))</f>
      </c>
    </row>
    <row r="13039">
      <c r="E13039">
        <f>IF(DATOS!$I13039="","",IFERROR(VLOOKUP(DATOS!$I13039,CONFIG_ASIGNATURAS!$B$2:$J$61,9,FALSE()),""))</f>
      </c>
    </row>
    <row r="13040">
      <c r="E13040">
        <f>IF(DATOS!$I13040="","",IFERROR(VLOOKUP(DATOS!$I13040,CONFIG_ASIGNATURAS!$B$2:$J$61,9,FALSE()),""))</f>
      </c>
    </row>
    <row r="13041">
      <c r="E13041">
        <f>IF(DATOS!$I13041="","",IFERROR(VLOOKUP(DATOS!$I13041,CONFIG_ASIGNATURAS!$B$2:$J$61,9,FALSE()),""))</f>
      </c>
    </row>
    <row r="13042">
      <c r="E13042">
        <f>IF(DATOS!$I13042="","",IFERROR(VLOOKUP(DATOS!$I13042,CONFIG_ASIGNATURAS!$B$2:$J$61,9,FALSE()),""))</f>
      </c>
    </row>
    <row r="13043">
      <c r="E13043">
        <f>IF(DATOS!$I13043="","",IFERROR(VLOOKUP(DATOS!$I13043,CONFIG_ASIGNATURAS!$B$2:$J$61,9,FALSE()),""))</f>
      </c>
    </row>
    <row r="13044">
      <c r="E13044">
        <f>IF(DATOS!$I13044="","",IFERROR(VLOOKUP(DATOS!$I13044,CONFIG_ASIGNATURAS!$B$2:$J$61,9,FALSE()),""))</f>
      </c>
    </row>
    <row r="13045">
      <c r="E13045">
        <f>IF(DATOS!$I13045="","",IFERROR(VLOOKUP(DATOS!$I13045,CONFIG_ASIGNATURAS!$B$2:$J$61,9,FALSE()),""))</f>
      </c>
    </row>
    <row r="13046">
      <c r="E13046">
        <f>IF(DATOS!$I13046="","",IFERROR(VLOOKUP(DATOS!$I13046,CONFIG_ASIGNATURAS!$B$2:$J$61,9,FALSE()),""))</f>
      </c>
    </row>
    <row r="13047">
      <c r="E13047">
        <f>IF(DATOS!$I13047="","",IFERROR(VLOOKUP(DATOS!$I13047,CONFIG_ASIGNATURAS!$B$2:$J$61,9,FALSE()),""))</f>
      </c>
    </row>
    <row r="13048">
      <c r="E13048">
        <f>IF(DATOS!$I13048="","",IFERROR(VLOOKUP(DATOS!$I13048,CONFIG_ASIGNATURAS!$B$2:$J$61,9,FALSE()),""))</f>
      </c>
    </row>
    <row r="13049">
      <c r="E13049">
        <f>IF(DATOS!$I13049="","",IFERROR(VLOOKUP(DATOS!$I13049,CONFIG_ASIGNATURAS!$B$2:$J$61,9,FALSE()),""))</f>
      </c>
    </row>
    <row r="13050">
      <c r="E13050">
        <f>IF(DATOS!$I13050="","",IFERROR(VLOOKUP(DATOS!$I13050,CONFIG_ASIGNATURAS!$B$2:$J$61,9,FALSE()),""))</f>
      </c>
    </row>
    <row r="13051">
      <c r="E13051">
        <f>IF(DATOS!$I13051="","",IFERROR(VLOOKUP(DATOS!$I13051,CONFIG_ASIGNATURAS!$B$2:$J$61,9,FALSE()),""))</f>
      </c>
    </row>
    <row r="13052">
      <c r="E13052">
        <f>IF(DATOS!$I13052="","",IFERROR(VLOOKUP(DATOS!$I13052,CONFIG_ASIGNATURAS!$B$2:$J$61,9,FALSE()),""))</f>
      </c>
    </row>
    <row r="13053">
      <c r="E13053">
        <f>IF(DATOS!$I13053="","",IFERROR(VLOOKUP(DATOS!$I13053,CONFIG_ASIGNATURAS!$B$2:$J$61,9,FALSE()),""))</f>
      </c>
    </row>
    <row r="13054">
      <c r="E13054">
        <f>IF(DATOS!$I13054="","",IFERROR(VLOOKUP(DATOS!$I13054,CONFIG_ASIGNATURAS!$B$2:$J$61,9,FALSE()),""))</f>
      </c>
    </row>
    <row r="13055">
      <c r="E13055">
        <f>IF(DATOS!$I13055="","",IFERROR(VLOOKUP(DATOS!$I13055,CONFIG_ASIGNATURAS!$B$2:$J$61,9,FALSE()),""))</f>
      </c>
    </row>
    <row r="13056">
      <c r="E13056">
        <f>IF(DATOS!$I13056="","",IFERROR(VLOOKUP(DATOS!$I13056,CONFIG_ASIGNATURAS!$B$2:$J$61,9,FALSE()),""))</f>
      </c>
    </row>
    <row r="13057">
      <c r="E13057">
        <f>IF(DATOS!$I13057="","",IFERROR(VLOOKUP(DATOS!$I13057,CONFIG_ASIGNATURAS!$B$2:$J$61,9,FALSE()),""))</f>
      </c>
    </row>
    <row r="13058">
      <c r="E13058">
        <f>IF(DATOS!$I13058="","",IFERROR(VLOOKUP(DATOS!$I13058,CONFIG_ASIGNATURAS!$B$2:$J$61,9,FALSE()),""))</f>
      </c>
    </row>
    <row r="13059">
      <c r="E13059">
        <f>IF(DATOS!$I13059="","",IFERROR(VLOOKUP(DATOS!$I13059,CONFIG_ASIGNATURAS!$B$2:$J$61,9,FALSE()),""))</f>
      </c>
    </row>
    <row r="13060">
      <c r="E13060">
        <f>IF(DATOS!$I13060="","",IFERROR(VLOOKUP(DATOS!$I13060,CONFIG_ASIGNATURAS!$B$2:$J$61,9,FALSE()),""))</f>
      </c>
    </row>
    <row r="13061">
      <c r="E13061">
        <f>IF(DATOS!$I13061="","",IFERROR(VLOOKUP(DATOS!$I13061,CONFIG_ASIGNATURAS!$B$2:$J$61,9,FALSE()),""))</f>
      </c>
    </row>
    <row r="13062">
      <c r="E13062">
        <f>IF(DATOS!$I13062="","",IFERROR(VLOOKUP(DATOS!$I13062,CONFIG_ASIGNATURAS!$B$2:$J$61,9,FALSE()),""))</f>
      </c>
    </row>
    <row r="13063">
      <c r="E13063">
        <f>IF(DATOS!$I13063="","",IFERROR(VLOOKUP(DATOS!$I13063,CONFIG_ASIGNATURAS!$B$2:$J$61,9,FALSE()),""))</f>
      </c>
    </row>
    <row r="13064">
      <c r="E13064">
        <f>IF(DATOS!$I13064="","",IFERROR(VLOOKUP(DATOS!$I13064,CONFIG_ASIGNATURAS!$B$2:$J$61,9,FALSE()),""))</f>
      </c>
    </row>
    <row r="13065">
      <c r="E13065">
        <f>IF(DATOS!$I13065="","",IFERROR(VLOOKUP(DATOS!$I13065,CONFIG_ASIGNATURAS!$B$2:$J$61,9,FALSE()),""))</f>
      </c>
    </row>
    <row r="13066">
      <c r="E13066">
        <f>IF(DATOS!$I13066="","",IFERROR(VLOOKUP(DATOS!$I13066,CONFIG_ASIGNATURAS!$B$2:$J$61,9,FALSE()),""))</f>
      </c>
    </row>
    <row r="13067">
      <c r="E13067">
        <f>IF(DATOS!$I13067="","",IFERROR(VLOOKUP(DATOS!$I13067,CONFIG_ASIGNATURAS!$B$2:$J$61,9,FALSE()),""))</f>
      </c>
    </row>
    <row r="13068">
      <c r="E13068">
        <f>IF(DATOS!$I13068="","",IFERROR(VLOOKUP(DATOS!$I13068,CONFIG_ASIGNATURAS!$B$2:$J$61,9,FALSE()),""))</f>
      </c>
    </row>
    <row r="13069">
      <c r="E13069">
        <f>IF(DATOS!$I13069="","",IFERROR(VLOOKUP(DATOS!$I13069,CONFIG_ASIGNATURAS!$B$2:$J$61,9,FALSE()),""))</f>
      </c>
    </row>
    <row r="13070">
      <c r="E13070">
        <f>IF(DATOS!$I13070="","",IFERROR(VLOOKUP(DATOS!$I13070,CONFIG_ASIGNATURAS!$B$2:$J$61,9,FALSE()),""))</f>
      </c>
    </row>
    <row r="13071">
      <c r="E13071">
        <f>IF(DATOS!$I13071="","",IFERROR(VLOOKUP(DATOS!$I13071,CONFIG_ASIGNATURAS!$B$2:$J$61,9,FALSE()),""))</f>
      </c>
    </row>
    <row r="13072">
      <c r="E13072">
        <f>IF(DATOS!$I13072="","",IFERROR(VLOOKUP(DATOS!$I13072,CONFIG_ASIGNATURAS!$B$2:$J$61,9,FALSE()),""))</f>
      </c>
    </row>
    <row r="13073">
      <c r="E13073">
        <f>IF(DATOS!$I13073="","",IFERROR(VLOOKUP(DATOS!$I13073,CONFIG_ASIGNATURAS!$B$2:$J$61,9,FALSE()),""))</f>
      </c>
    </row>
    <row r="13074">
      <c r="E13074">
        <f>IF(DATOS!$I13074="","",IFERROR(VLOOKUP(DATOS!$I13074,CONFIG_ASIGNATURAS!$B$2:$J$61,9,FALSE()),""))</f>
      </c>
    </row>
    <row r="13075">
      <c r="E13075">
        <f>IF(DATOS!$I13075="","",IFERROR(VLOOKUP(DATOS!$I13075,CONFIG_ASIGNATURAS!$B$2:$J$61,9,FALSE()),""))</f>
      </c>
    </row>
    <row r="13076">
      <c r="E13076">
        <f>IF(DATOS!$I13076="","",IFERROR(VLOOKUP(DATOS!$I13076,CONFIG_ASIGNATURAS!$B$2:$J$61,9,FALSE()),""))</f>
      </c>
    </row>
    <row r="13077">
      <c r="E13077">
        <f>IF(DATOS!$I13077="","",IFERROR(VLOOKUP(DATOS!$I13077,CONFIG_ASIGNATURAS!$B$2:$J$61,9,FALSE()),""))</f>
      </c>
    </row>
    <row r="13078">
      <c r="E13078">
        <f>IF(DATOS!$I13078="","",IFERROR(VLOOKUP(DATOS!$I13078,CONFIG_ASIGNATURAS!$B$2:$J$61,9,FALSE()),""))</f>
      </c>
    </row>
    <row r="13079">
      <c r="E13079">
        <f>IF(DATOS!$I13079="","",IFERROR(VLOOKUP(DATOS!$I13079,CONFIG_ASIGNATURAS!$B$2:$J$61,9,FALSE()),""))</f>
      </c>
    </row>
    <row r="13080">
      <c r="E13080">
        <f>IF(DATOS!$I13080="","",IFERROR(VLOOKUP(DATOS!$I13080,CONFIG_ASIGNATURAS!$B$2:$J$61,9,FALSE()),""))</f>
      </c>
    </row>
    <row r="13081">
      <c r="E13081">
        <f>IF(DATOS!$I13081="","",IFERROR(VLOOKUP(DATOS!$I13081,CONFIG_ASIGNATURAS!$B$2:$J$61,9,FALSE()),""))</f>
      </c>
    </row>
    <row r="13082">
      <c r="E13082">
        <f>IF(DATOS!$I13082="","",IFERROR(VLOOKUP(DATOS!$I13082,CONFIG_ASIGNATURAS!$B$2:$J$61,9,FALSE()),""))</f>
      </c>
    </row>
    <row r="13083">
      <c r="E13083">
        <f>IF(DATOS!$I13083="","",IFERROR(VLOOKUP(DATOS!$I13083,CONFIG_ASIGNATURAS!$B$2:$J$61,9,FALSE()),""))</f>
      </c>
    </row>
    <row r="13084">
      <c r="E13084">
        <f>IF(DATOS!$I13084="","",IFERROR(VLOOKUP(DATOS!$I13084,CONFIG_ASIGNATURAS!$B$2:$J$61,9,FALSE()),""))</f>
      </c>
    </row>
    <row r="13085">
      <c r="E13085">
        <f>IF(DATOS!$I13085="","",IFERROR(VLOOKUP(DATOS!$I13085,CONFIG_ASIGNATURAS!$B$2:$J$61,9,FALSE()),""))</f>
      </c>
    </row>
    <row r="13086">
      <c r="E13086">
        <f>IF(DATOS!$I13086="","",IFERROR(VLOOKUP(DATOS!$I13086,CONFIG_ASIGNATURAS!$B$2:$J$61,9,FALSE()),""))</f>
      </c>
    </row>
    <row r="13087">
      <c r="E13087">
        <f>IF(DATOS!$I13087="","",IFERROR(VLOOKUP(DATOS!$I13087,CONFIG_ASIGNATURAS!$B$2:$J$61,9,FALSE()),""))</f>
      </c>
    </row>
    <row r="13088">
      <c r="E13088">
        <f>IF(DATOS!$I13088="","",IFERROR(VLOOKUP(DATOS!$I13088,CONFIG_ASIGNATURAS!$B$2:$J$61,9,FALSE()),""))</f>
      </c>
    </row>
    <row r="13089">
      <c r="E13089">
        <f>IF(DATOS!$I13089="","",IFERROR(VLOOKUP(DATOS!$I13089,CONFIG_ASIGNATURAS!$B$2:$J$61,9,FALSE()),""))</f>
      </c>
    </row>
    <row r="13090">
      <c r="E13090">
        <f>IF(DATOS!$I13090="","",IFERROR(VLOOKUP(DATOS!$I13090,CONFIG_ASIGNATURAS!$B$2:$J$61,9,FALSE()),""))</f>
      </c>
    </row>
    <row r="13091">
      <c r="E13091">
        <f>IF(DATOS!$I13091="","",IFERROR(VLOOKUP(DATOS!$I13091,CONFIG_ASIGNATURAS!$B$2:$J$61,9,FALSE()),""))</f>
      </c>
    </row>
    <row r="13092">
      <c r="E13092">
        <f>IF(DATOS!$I13092="","",IFERROR(VLOOKUP(DATOS!$I13092,CONFIG_ASIGNATURAS!$B$2:$J$61,9,FALSE()),""))</f>
      </c>
    </row>
    <row r="13093">
      <c r="E13093">
        <f>IF(DATOS!$I13093="","",IFERROR(VLOOKUP(DATOS!$I13093,CONFIG_ASIGNATURAS!$B$2:$J$61,9,FALSE()),""))</f>
      </c>
    </row>
    <row r="13094">
      <c r="E13094">
        <f>IF(DATOS!$I13094="","",IFERROR(VLOOKUP(DATOS!$I13094,CONFIG_ASIGNATURAS!$B$2:$J$61,9,FALSE()),""))</f>
      </c>
    </row>
    <row r="13095">
      <c r="E13095">
        <f>IF(DATOS!$I13095="","",IFERROR(VLOOKUP(DATOS!$I13095,CONFIG_ASIGNATURAS!$B$2:$J$61,9,FALSE()),""))</f>
      </c>
    </row>
    <row r="13096">
      <c r="E13096">
        <f>IF(DATOS!$I13096="","",IFERROR(VLOOKUP(DATOS!$I13096,CONFIG_ASIGNATURAS!$B$2:$J$61,9,FALSE()),""))</f>
      </c>
    </row>
    <row r="13097">
      <c r="E13097">
        <f>IF(DATOS!$I13097="","",IFERROR(VLOOKUP(DATOS!$I13097,CONFIG_ASIGNATURAS!$B$2:$J$61,9,FALSE()),""))</f>
      </c>
    </row>
    <row r="13098">
      <c r="E13098">
        <f>IF(DATOS!$I13098="","",IFERROR(VLOOKUP(DATOS!$I13098,CONFIG_ASIGNATURAS!$B$2:$J$61,9,FALSE()),""))</f>
      </c>
    </row>
    <row r="13099">
      <c r="E13099">
        <f>IF(DATOS!$I13099="","",IFERROR(VLOOKUP(DATOS!$I13099,CONFIG_ASIGNATURAS!$B$2:$J$61,9,FALSE()),""))</f>
      </c>
    </row>
    <row r="13100">
      <c r="E13100">
        <f>IF(DATOS!$I13100="","",IFERROR(VLOOKUP(DATOS!$I13100,CONFIG_ASIGNATURAS!$B$2:$J$61,9,FALSE()),""))</f>
      </c>
    </row>
    <row r="13101">
      <c r="E13101">
        <f>IF(DATOS!$I13101="","",IFERROR(VLOOKUP(DATOS!$I13101,CONFIG_ASIGNATURAS!$B$2:$J$61,9,FALSE()),""))</f>
      </c>
    </row>
    <row r="13102">
      <c r="E13102">
        <f>IF(DATOS!$I13102="","",IFERROR(VLOOKUP(DATOS!$I13102,CONFIG_ASIGNATURAS!$B$2:$J$61,9,FALSE()),""))</f>
      </c>
    </row>
    <row r="13103">
      <c r="E13103">
        <f>IF(DATOS!$I13103="","",IFERROR(VLOOKUP(DATOS!$I13103,CONFIG_ASIGNATURAS!$B$2:$J$61,9,FALSE()),""))</f>
      </c>
    </row>
    <row r="13104">
      <c r="E13104">
        <f>IF(DATOS!$I13104="","",IFERROR(VLOOKUP(DATOS!$I13104,CONFIG_ASIGNATURAS!$B$2:$J$61,9,FALSE()),""))</f>
      </c>
    </row>
    <row r="13105">
      <c r="E13105">
        <f>IF(DATOS!$I13105="","",IFERROR(VLOOKUP(DATOS!$I13105,CONFIG_ASIGNATURAS!$B$2:$J$61,9,FALSE()),""))</f>
      </c>
    </row>
    <row r="13106">
      <c r="E13106">
        <f>IF(DATOS!$I13106="","",IFERROR(VLOOKUP(DATOS!$I13106,CONFIG_ASIGNATURAS!$B$2:$J$61,9,FALSE()),""))</f>
      </c>
    </row>
    <row r="13107">
      <c r="E13107">
        <f>IF(DATOS!$I13107="","",IFERROR(VLOOKUP(DATOS!$I13107,CONFIG_ASIGNATURAS!$B$2:$J$61,9,FALSE()),""))</f>
      </c>
    </row>
    <row r="13108">
      <c r="E13108">
        <f>IF(DATOS!$I13108="","",IFERROR(VLOOKUP(DATOS!$I13108,CONFIG_ASIGNATURAS!$B$2:$J$61,9,FALSE()),""))</f>
      </c>
    </row>
    <row r="13109">
      <c r="E13109">
        <f>IF(DATOS!$I13109="","",IFERROR(VLOOKUP(DATOS!$I13109,CONFIG_ASIGNATURAS!$B$2:$J$61,9,FALSE()),""))</f>
      </c>
    </row>
    <row r="13110">
      <c r="E13110">
        <f>IF(DATOS!$I13110="","",IFERROR(VLOOKUP(DATOS!$I13110,CONFIG_ASIGNATURAS!$B$2:$J$61,9,FALSE()),""))</f>
      </c>
    </row>
    <row r="13111">
      <c r="E13111">
        <f>IF(DATOS!$I13111="","",IFERROR(VLOOKUP(DATOS!$I13111,CONFIG_ASIGNATURAS!$B$2:$J$61,9,FALSE()),""))</f>
      </c>
    </row>
    <row r="13112">
      <c r="E13112">
        <f>IF(DATOS!$I13112="","",IFERROR(VLOOKUP(DATOS!$I13112,CONFIG_ASIGNATURAS!$B$2:$J$61,9,FALSE()),""))</f>
      </c>
    </row>
    <row r="13113">
      <c r="E13113">
        <f>IF(DATOS!$I13113="","",IFERROR(VLOOKUP(DATOS!$I13113,CONFIG_ASIGNATURAS!$B$2:$J$61,9,FALSE()),""))</f>
      </c>
    </row>
    <row r="13114">
      <c r="E13114">
        <f>IF(DATOS!$I13114="","",IFERROR(VLOOKUP(DATOS!$I13114,CONFIG_ASIGNATURAS!$B$2:$J$61,9,FALSE()),""))</f>
      </c>
    </row>
    <row r="13115">
      <c r="E13115">
        <f>IF(DATOS!$I13115="","",IFERROR(VLOOKUP(DATOS!$I13115,CONFIG_ASIGNATURAS!$B$2:$J$61,9,FALSE()),""))</f>
      </c>
    </row>
    <row r="13116">
      <c r="E13116">
        <f>IF(DATOS!$I13116="","",IFERROR(VLOOKUP(DATOS!$I13116,CONFIG_ASIGNATURAS!$B$2:$J$61,9,FALSE()),""))</f>
      </c>
    </row>
    <row r="13117">
      <c r="E13117">
        <f>IF(DATOS!$I13117="","",IFERROR(VLOOKUP(DATOS!$I13117,CONFIG_ASIGNATURAS!$B$2:$J$61,9,FALSE()),""))</f>
      </c>
    </row>
    <row r="13118">
      <c r="E13118">
        <f>IF(DATOS!$I13118="","",IFERROR(VLOOKUP(DATOS!$I13118,CONFIG_ASIGNATURAS!$B$2:$J$61,9,FALSE()),""))</f>
      </c>
    </row>
    <row r="13119">
      <c r="E13119">
        <f>IF(DATOS!$I13119="","",IFERROR(VLOOKUP(DATOS!$I13119,CONFIG_ASIGNATURAS!$B$2:$J$61,9,FALSE()),""))</f>
      </c>
    </row>
    <row r="13120">
      <c r="E13120">
        <f>IF(DATOS!$I13120="","",IFERROR(VLOOKUP(DATOS!$I13120,CONFIG_ASIGNATURAS!$B$2:$J$61,9,FALSE()),""))</f>
      </c>
    </row>
    <row r="13121">
      <c r="E13121">
        <f>IF(DATOS!$I13121="","",IFERROR(VLOOKUP(DATOS!$I13121,CONFIG_ASIGNATURAS!$B$2:$J$61,9,FALSE()),""))</f>
      </c>
    </row>
    <row r="13122">
      <c r="E13122">
        <f>IF(DATOS!$I13122="","",IFERROR(VLOOKUP(DATOS!$I13122,CONFIG_ASIGNATURAS!$B$2:$J$61,9,FALSE()),""))</f>
      </c>
    </row>
    <row r="13123">
      <c r="E13123">
        <f>IF(DATOS!$I13123="","",IFERROR(VLOOKUP(DATOS!$I13123,CONFIG_ASIGNATURAS!$B$2:$J$61,9,FALSE()),""))</f>
      </c>
    </row>
    <row r="13124">
      <c r="E13124">
        <f>IF(DATOS!$I13124="","",IFERROR(VLOOKUP(DATOS!$I13124,CONFIG_ASIGNATURAS!$B$2:$J$61,9,FALSE()),""))</f>
      </c>
    </row>
    <row r="13125">
      <c r="E13125">
        <f>IF(DATOS!$I13125="","",IFERROR(VLOOKUP(DATOS!$I13125,CONFIG_ASIGNATURAS!$B$2:$J$61,9,FALSE()),""))</f>
      </c>
    </row>
    <row r="13126">
      <c r="E13126">
        <f>IF(DATOS!$I13126="","",IFERROR(VLOOKUP(DATOS!$I13126,CONFIG_ASIGNATURAS!$B$2:$J$61,9,FALSE()),""))</f>
      </c>
    </row>
    <row r="13127">
      <c r="E13127">
        <f>IF(DATOS!$I13127="","",IFERROR(VLOOKUP(DATOS!$I13127,CONFIG_ASIGNATURAS!$B$2:$J$61,9,FALSE()),""))</f>
      </c>
    </row>
    <row r="13128">
      <c r="E13128">
        <f>IF(DATOS!$I13128="","",IFERROR(VLOOKUP(DATOS!$I13128,CONFIG_ASIGNATURAS!$B$2:$J$61,9,FALSE()),""))</f>
      </c>
    </row>
    <row r="13129">
      <c r="E13129">
        <f>IF(DATOS!$I13129="","",IFERROR(VLOOKUP(DATOS!$I13129,CONFIG_ASIGNATURAS!$B$2:$J$61,9,FALSE()),""))</f>
      </c>
    </row>
    <row r="13130">
      <c r="E13130">
        <f>IF(DATOS!$I13130="","",IFERROR(VLOOKUP(DATOS!$I13130,CONFIG_ASIGNATURAS!$B$2:$J$61,9,FALSE()),""))</f>
      </c>
    </row>
    <row r="13131">
      <c r="E13131">
        <f>IF(DATOS!$I13131="","",IFERROR(VLOOKUP(DATOS!$I13131,CONFIG_ASIGNATURAS!$B$2:$J$61,9,FALSE()),""))</f>
      </c>
    </row>
    <row r="13132">
      <c r="E13132">
        <f>IF(DATOS!$I13132="","",IFERROR(VLOOKUP(DATOS!$I13132,CONFIG_ASIGNATURAS!$B$2:$J$61,9,FALSE()),""))</f>
      </c>
    </row>
    <row r="13133">
      <c r="E13133">
        <f>IF(DATOS!$I13133="","",IFERROR(VLOOKUP(DATOS!$I13133,CONFIG_ASIGNATURAS!$B$2:$J$61,9,FALSE()),""))</f>
      </c>
    </row>
    <row r="13134">
      <c r="E13134">
        <f>IF(DATOS!$I13134="","",IFERROR(VLOOKUP(DATOS!$I13134,CONFIG_ASIGNATURAS!$B$2:$J$61,9,FALSE()),""))</f>
      </c>
    </row>
    <row r="13135">
      <c r="E13135">
        <f>IF(DATOS!$I13135="","",IFERROR(VLOOKUP(DATOS!$I13135,CONFIG_ASIGNATURAS!$B$2:$J$61,9,FALSE()),""))</f>
      </c>
    </row>
    <row r="13136">
      <c r="E13136">
        <f>IF(DATOS!$I13136="","",IFERROR(VLOOKUP(DATOS!$I13136,CONFIG_ASIGNATURAS!$B$2:$J$61,9,FALSE()),""))</f>
      </c>
    </row>
    <row r="13137">
      <c r="E13137">
        <f>IF(DATOS!$I13137="","",IFERROR(VLOOKUP(DATOS!$I13137,CONFIG_ASIGNATURAS!$B$2:$J$61,9,FALSE()),""))</f>
      </c>
    </row>
    <row r="13138">
      <c r="E13138">
        <f>IF(DATOS!$I13138="","",IFERROR(VLOOKUP(DATOS!$I13138,CONFIG_ASIGNATURAS!$B$2:$J$61,9,FALSE()),""))</f>
      </c>
    </row>
    <row r="13139">
      <c r="E13139">
        <f>IF(DATOS!$I13139="","",IFERROR(VLOOKUP(DATOS!$I13139,CONFIG_ASIGNATURAS!$B$2:$J$61,9,FALSE()),""))</f>
      </c>
    </row>
    <row r="13140">
      <c r="E13140">
        <f>IF(DATOS!$I13140="","",IFERROR(VLOOKUP(DATOS!$I13140,CONFIG_ASIGNATURAS!$B$2:$J$61,9,FALSE()),""))</f>
      </c>
    </row>
    <row r="13141">
      <c r="E13141">
        <f>IF(DATOS!$I13141="","",IFERROR(VLOOKUP(DATOS!$I13141,CONFIG_ASIGNATURAS!$B$2:$J$61,9,FALSE()),""))</f>
      </c>
    </row>
    <row r="13142">
      <c r="E13142">
        <f>IF(DATOS!$I13142="","",IFERROR(VLOOKUP(DATOS!$I13142,CONFIG_ASIGNATURAS!$B$2:$J$61,9,FALSE()),""))</f>
      </c>
    </row>
    <row r="13143">
      <c r="E13143">
        <f>IF(DATOS!$I13143="","",IFERROR(VLOOKUP(DATOS!$I13143,CONFIG_ASIGNATURAS!$B$2:$J$61,9,FALSE()),""))</f>
      </c>
    </row>
    <row r="13144">
      <c r="E13144">
        <f>IF(DATOS!$I13144="","",IFERROR(VLOOKUP(DATOS!$I13144,CONFIG_ASIGNATURAS!$B$2:$J$61,9,FALSE()),""))</f>
      </c>
    </row>
    <row r="13145">
      <c r="E13145">
        <f>IF(DATOS!$I13145="","",IFERROR(VLOOKUP(DATOS!$I13145,CONFIG_ASIGNATURAS!$B$2:$J$61,9,FALSE()),""))</f>
      </c>
    </row>
    <row r="13146">
      <c r="E13146">
        <f>IF(DATOS!$I13146="","",IFERROR(VLOOKUP(DATOS!$I13146,CONFIG_ASIGNATURAS!$B$2:$J$61,9,FALSE()),""))</f>
      </c>
    </row>
    <row r="13147">
      <c r="E13147">
        <f>IF(DATOS!$I13147="","",IFERROR(VLOOKUP(DATOS!$I13147,CONFIG_ASIGNATURAS!$B$2:$J$61,9,FALSE()),""))</f>
      </c>
    </row>
    <row r="13148">
      <c r="E13148">
        <f>IF(DATOS!$I13148="","",IFERROR(VLOOKUP(DATOS!$I13148,CONFIG_ASIGNATURAS!$B$2:$J$61,9,FALSE()),""))</f>
      </c>
    </row>
    <row r="13149">
      <c r="E13149">
        <f>IF(DATOS!$I13149="","",IFERROR(VLOOKUP(DATOS!$I13149,CONFIG_ASIGNATURAS!$B$2:$J$61,9,FALSE()),""))</f>
      </c>
    </row>
    <row r="13150">
      <c r="E13150">
        <f>IF(DATOS!$I13150="","",IFERROR(VLOOKUP(DATOS!$I13150,CONFIG_ASIGNATURAS!$B$2:$J$61,9,FALSE()),""))</f>
      </c>
    </row>
    <row r="13151">
      <c r="E13151">
        <f>IF(DATOS!$I13151="","",IFERROR(VLOOKUP(DATOS!$I13151,CONFIG_ASIGNATURAS!$B$2:$J$61,9,FALSE()),""))</f>
      </c>
    </row>
    <row r="13152">
      <c r="E13152">
        <f>IF(DATOS!$I13152="","",IFERROR(VLOOKUP(DATOS!$I13152,CONFIG_ASIGNATURAS!$B$2:$J$61,9,FALSE()),""))</f>
      </c>
    </row>
    <row r="13153">
      <c r="E13153">
        <f>IF(DATOS!$I13153="","",IFERROR(VLOOKUP(DATOS!$I13153,CONFIG_ASIGNATURAS!$B$2:$J$61,9,FALSE()),""))</f>
      </c>
    </row>
    <row r="13154">
      <c r="E13154">
        <f>IF(DATOS!$I13154="","",IFERROR(VLOOKUP(DATOS!$I13154,CONFIG_ASIGNATURAS!$B$2:$J$61,9,FALSE()),""))</f>
      </c>
    </row>
    <row r="13155">
      <c r="E13155">
        <f>IF(DATOS!$I13155="","",IFERROR(VLOOKUP(DATOS!$I13155,CONFIG_ASIGNATURAS!$B$2:$J$61,9,FALSE()),""))</f>
      </c>
    </row>
    <row r="13156">
      <c r="E13156">
        <f>IF(DATOS!$I13156="","",IFERROR(VLOOKUP(DATOS!$I13156,CONFIG_ASIGNATURAS!$B$2:$J$61,9,FALSE()),""))</f>
      </c>
    </row>
    <row r="13157">
      <c r="E13157">
        <f>IF(DATOS!$I13157="","",IFERROR(VLOOKUP(DATOS!$I13157,CONFIG_ASIGNATURAS!$B$2:$J$61,9,FALSE()),""))</f>
      </c>
    </row>
    <row r="13158">
      <c r="E13158">
        <f>IF(DATOS!$I13158="","",IFERROR(VLOOKUP(DATOS!$I13158,CONFIG_ASIGNATURAS!$B$2:$J$61,9,FALSE()),""))</f>
      </c>
    </row>
    <row r="13159">
      <c r="E13159">
        <f>IF(DATOS!$I13159="","",IFERROR(VLOOKUP(DATOS!$I13159,CONFIG_ASIGNATURAS!$B$2:$J$61,9,FALSE()),""))</f>
      </c>
    </row>
    <row r="13160">
      <c r="E13160">
        <f>IF(DATOS!$I13160="","",IFERROR(VLOOKUP(DATOS!$I13160,CONFIG_ASIGNATURAS!$B$2:$J$61,9,FALSE()),""))</f>
      </c>
    </row>
    <row r="13161">
      <c r="E13161">
        <f>IF(DATOS!$I13161="","",IFERROR(VLOOKUP(DATOS!$I13161,CONFIG_ASIGNATURAS!$B$2:$J$61,9,FALSE()),""))</f>
      </c>
    </row>
    <row r="13162">
      <c r="E13162">
        <f>IF(DATOS!$I13162="","",IFERROR(VLOOKUP(DATOS!$I13162,CONFIG_ASIGNATURAS!$B$2:$J$61,9,FALSE()),""))</f>
      </c>
    </row>
    <row r="13163">
      <c r="E13163">
        <f>IF(DATOS!$I13163="","",IFERROR(VLOOKUP(DATOS!$I13163,CONFIG_ASIGNATURAS!$B$2:$J$61,9,FALSE()),""))</f>
      </c>
    </row>
    <row r="13164">
      <c r="E13164">
        <f>IF(DATOS!$I13164="","",IFERROR(VLOOKUP(DATOS!$I13164,CONFIG_ASIGNATURAS!$B$2:$J$61,9,FALSE()),""))</f>
      </c>
    </row>
    <row r="13165">
      <c r="E13165">
        <f>IF(DATOS!$I13165="","",IFERROR(VLOOKUP(DATOS!$I13165,CONFIG_ASIGNATURAS!$B$2:$J$61,9,FALSE()),""))</f>
      </c>
    </row>
    <row r="13166">
      <c r="E13166">
        <f>IF(DATOS!$I13166="","",IFERROR(VLOOKUP(DATOS!$I13166,CONFIG_ASIGNATURAS!$B$2:$J$61,9,FALSE()),""))</f>
      </c>
    </row>
    <row r="13167">
      <c r="E13167">
        <f>IF(DATOS!$I13167="","",IFERROR(VLOOKUP(DATOS!$I13167,CONFIG_ASIGNATURAS!$B$2:$J$61,9,FALSE()),""))</f>
      </c>
    </row>
    <row r="13168">
      <c r="E13168">
        <f>IF(DATOS!$I13168="","",IFERROR(VLOOKUP(DATOS!$I13168,CONFIG_ASIGNATURAS!$B$2:$J$61,9,FALSE()),""))</f>
      </c>
    </row>
    <row r="13169">
      <c r="E13169">
        <f>IF(DATOS!$I13169="","",IFERROR(VLOOKUP(DATOS!$I13169,CONFIG_ASIGNATURAS!$B$2:$J$61,9,FALSE()),""))</f>
      </c>
    </row>
    <row r="13170">
      <c r="E13170">
        <f>IF(DATOS!$I13170="","",IFERROR(VLOOKUP(DATOS!$I13170,CONFIG_ASIGNATURAS!$B$2:$J$61,9,FALSE()),""))</f>
      </c>
    </row>
    <row r="13171">
      <c r="E13171">
        <f>IF(DATOS!$I13171="","",IFERROR(VLOOKUP(DATOS!$I13171,CONFIG_ASIGNATURAS!$B$2:$J$61,9,FALSE()),""))</f>
      </c>
    </row>
    <row r="13172">
      <c r="E13172">
        <f>IF(DATOS!$I13172="","",IFERROR(VLOOKUP(DATOS!$I13172,CONFIG_ASIGNATURAS!$B$2:$J$61,9,FALSE()),""))</f>
      </c>
    </row>
    <row r="13173">
      <c r="E13173">
        <f>IF(DATOS!$I13173="","",IFERROR(VLOOKUP(DATOS!$I13173,CONFIG_ASIGNATURAS!$B$2:$J$61,9,FALSE()),""))</f>
      </c>
    </row>
    <row r="13174">
      <c r="E13174">
        <f>IF(DATOS!$I13174="","",IFERROR(VLOOKUP(DATOS!$I13174,CONFIG_ASIGNATURAS!$B$2:$J$61,9,FALSE()),""))</f>
      </c>
    </row>
    <row r="13175">
      <c r="E13175">
        <f>IF(DATOS!$I13175="","",IFERROR(VLOOKUP(DATOS!$I13175,CONFIG_ASIGNATURAS!$B$2:$J$61,9,FALSE()),""))</f>
      </c>
    </row>
    <row r="13176">
      <c r="E13176">
        <f>IF(DATOS!$I13176="","",IFERROR(VLOOKUP(DATOS!$I13176,CONFIG_ASIGNATURAS!$B$2:$J$61,9,FALSE()),""))</f>
      </c>
    </row>
    <row r="13177">
      <c r="E13177">
        <f>IF(DATOS!$I13177="","",IFERROR(VLOOKUP(DATOS!$I13177,CONFIG_ASIGNATURAS!$B$2:$J$61,9,FALSE()),""))</f>
      </c>
    </row>
    <row r="13178">
      <c r="E13178">
        <f>IF(DATOS!$I13178="","",IFERROR(VLOOKUP(DATOS!$I13178,CONFIG_ASIGNATURAS!$B$2:$J$61,9,FALSE()),""))</f>
      </c>
    </row>
    <row r="13179">
      <c r="E13179">
        <f>IF(DATOS!$I13179="","",IFERROR(VLOOKUP(DATOS!$I13179,CONFIG_ASIGNATURAS!$B$2:$J$61,9,FALSE()),""))</f>
      </c>
    </row>
    <row r="13180">
      <c r="E13180">
        <f>IF(DATOS!$I13180="","",IFERROR(VLOOKUP(DATOS!$I13180,CONFIG_ASIGNATURAS!$B$2:$J$61,9,FALSE()),""))</f>
      </c>
    </row>
    <row r="13181">
      <c r="E13181">
        <f>IF(DATOS!$I13181="","",IFERROR(VLOOKUP(DATOS!$I13181,CONFIG_ASIGNATURAS!$B$2:$J$61,9,FALSE()),""))</f>
      </c>
    </row>
    <row r="13182">
      <c r="E13182">
        <f>IF(DATOS!$I13182="","",IFERROR(VLOOKUP(DATOS!$I13182,CONFIG_ASIGNATURAS!$B$2:$J$61,9,FALSE()),""))</f>
      </c>
    </row>
    <row r="13183">
      <c r="E13183">
        <f>IF(DATOS!$I13183="","",IFERROR(VLOOKUP(DATOS!$I13183,CONFIG_ASIGNATURAS!$B$2:$J$61,9,FALSE()),""))</f>
      </c>
    </row>
    <row r="13184">
      <c r="E13184">
        <f>IF(DATOS!$I13184="","",IFERROR(VLOOKUP(DATOS!$I13184,CONFIG_ASIGNATURAS!$B$2:$J$61,9,FALSE()),""))</f>
      </c>
    </row>
    <row r="13185">
      <c r="E13185">
        <f>IF(DATOS!$I13185="","",IFERROR(VLOOKUP(DATOS!$I13185,CONFIG_ASIGNATURAS!$B$2:$J$61,9,FALSE()),""))</f>
      </c>
    </row>
    <row r="13186">
      <c r="E13186">
        <f>IF(DATOS!$I13186="","",IFERROR(VLOOKUP(DATOS!$I13186,CONFIG_ASIGNATURAS!$B$2:$J$61,9,FALSE()),""))</f>
      </c>
    </row>
    <row r="13187">
      <c r="E13187">
        <f>IF(DATOS!$I13187="","",IFERROR(VLOOKUP(DATOS!$I13187,CONFIG_ASIGNATURAS!$B$2:$J$61,9,FALSE()),""))</f>
      </c>
    </row>
    <row r="13188">
      <c r="E13188">
        <f>IF(DATOS!$I13188="","",IFERROR(VLOOKUP(DATOS!$I13188,CONFIG_ASIGNATURAS!$B$2:$J$61,9,FALSE()),""))</f>
      </c>
    </row>
    <row r="13189">
      <c r="E13189">
        <f>IF(DATOS!$I13189="","",IFERROR(VLOOKUP(DATOS!$I13189,CONFIG_ASIGNATURAS!$B$2:$J$61,9,FALSE()),""))</f>
      </c>
    </row>
    <row r="13190">
      <c r="E13190">
        <f>IF(DATOS!$I13190="","",IFERROR(VLOOKUP(DATOS!$I13190,CONFIG_ASIGNATURAS!$B$2:$J$61,9,FALSE()),""))</f>
      </c>
    </row>
    <row r="13191">
      <c r="E13191">
        <f>IF(DATOS!$I13191="","",IFERROR(VLOOKUP(DATOS!$I13191,CONFIG_ASIGNATURAS!$B$2:$J$61,9,FALSE()),""))</f>
      </c>
    </row>
    <row r="13192">
      <c r="E13192">
        <f>IF(DATOS!$I13192="","",IFERROR(VLOOKUP(DATOS!$I13192,CONFIG_ASIGNATURAS!$B$2:$J$61,9,FALSE()),""))</f>
      </c>
    </row>
    <row r="13193">
      <c r="E13193">
        <f>IF(DATOS!$I13193="","",IFERROR(VLOOKUP(DATOS!$I13193,CONFIG_ASIGNATURAS!$B$2:$J$61,9,FALSE()),""))</f>
      </c>
    </row>
    <row r="13194">
      <c r="E13194">
        <f>IF(DATOS!$I13194="","",IFERROR(VLOOKUP(DATOS!$I13194,CONFIG_ASIGNATURAS!$B$2:$J$61,9,FALSE()),""))</f>
      </c>
    </row>
    <row r="13195">
      <c r="E13195">
        <f>IF(DATOS!$I13195="","",IFERROR(VLOOKUP(DATOS!$I13195,CONFIG_ASIGNATURAS!$B$2:$J$61,9,FALSE()),""))</f>
      </c>
    </row>
    <row r="13196">
      <c r="E13196">
        <f>IF(DATOS!$I13196="","",IFERROR(VLOOKUP(DATOS!$I13196,CONFIG_ASIGNATURAS!$B$2:$J$61,9,FALSE()),""))</f>
      </c>
    </row>
    <row r="13197">
      <c r="E13197">
        <f>IF(DATOS!$I13197="","",IFERROR(VLOOKUP(DATOS!$I13197,CONFIG_ASIGNATURAS!$B$2:$J$61,9,FALSE()),""))</f>
      </c>
    </row>
    <row r="13198">
      <c r="E13198">
        <f>IF(DATOS!$I13198="","",IFERROR(VLOOKUP(DATOS!$I13198,CONFIG_ASIGNATURAS!$B$2:$J$61,9,FALSE()),""))</f>
      </c>
    </row>
    <row r="13199">
      <c r="E13199">
        <f>IF(DATOS!$I13199="","",IFERROR(VLOOKUP(DATOS!$I13199,CONFIG_ASIGNATURAS!$B$2:$J$61,9,FALSE()),""))</f>
      </c>
    </row>
    <row r="13200">
      <c r="E13200">
        <f>IF(DATOS!$I13200="","",IFERROR(VLOOKUP(DATOS!$I13200,CONFIG_ASIGNATURAS!$B$2:$J$61,9,FALSE()),""))</f>
      </c>
    </row>
    <row r="13201">
      <c r="E13201">
        <f>IF(DATOS!$I13201="","",IFERROR(VLOOKUP(DATOS!$I13201,CONFIG_ASIGNATURAS!$B$2:$J$61,9,FALSE()),""))</f>
      </c>
    </row>
    <row r="13202">
      <c r="E13202">
        <f>IF(DATOS!$I13202="","",IFERROR(VLOOKUP(DATOS!$I13202,CONFIG_ASIGNATURAS!$B$2:$J$61,9,FALSE()),""))</f>
      </c>
    </row>
    <row r="13203">
      <c r="E13203">
        <f>IF(DATOS!$I13203="","",IFERROR(VLOOKUP(DATOS!$I13203,CONFIG_ASIGNATURAS!$B$2:$J$61,9,FALSE()),""))</f>
      </c>
    </row>
    <row r="13204">
      <c r="E13204">
        <f>IF(DATOS!$I13204="","",IFERROR(VLOOKUP(DATOS!$I13204,CONFIG_ASIGNATURAS!$B$2:$J$61,9,FALSE()),""))</f>
      </c>
    </row>
    <row r="13205">
      <c r="E13205">
        <f>IF(DATOS!$I13205="","",IFERROR(VLOOKUP(DATOS!$I13205,CONFIG_ASIGNATURAS!$B$2:$J$61,9,FALSE()),""))</f>
      </c>
    </row>
    <row r="13206">
      <c r="E13206">
        <f>IF(DATOS!$I13206="","",IFERROR(VLOOKUP(DATOS!$I13206,CONFIG_ASIGNATURAS!$B$2:$J$61,9,FALSE()),""))</f>
      </c>
    </row>
    <row r="13207">
      <c r="E13207">
        <f>IF(DATOS!$I13207="","",IFERROR(VLOOKUP(DATOS!$I13207,CONFIG_ASIGNATURAS!$B$2:$J$61,9,FALSE()),""))</f>
      </c>
    </row>
    <row r="13208">
      <c r="E13208">
        <f>IF(DATOS!$I13208="","",IFERROR(VLOOKUP(DATOS!$I13208,CONFIG_ASIGNATURAS!$B$2:$J$61,9,FALSE()),""))</f>
      </c>
    </row>
    <row r="13209">
      <c r="E13209">
        <f>IF(DATOS!$I13209="","",IFERROR(VLOOKUP(DATOS!$I13209,CONFIG_ASIGNATURAS!$B$2:$J$61,9,FALSE()),""))</f>
      </c>
    </row>
    <row r="13210">
      <c r="E13210">
        <f>IF(DATOS!$I13210="","",IFERROR(VLOOKUP(DATOS!$I13210,CONFIG_ASIGNATURAS!$B$2:$J$61,9,FALSE()),""))</f>
      </c>
    </row>
    <row r="13211">
      <c r="E13211">
        <f>IF(DATOS!$I13211="","",IFERROR(VLOOKUP(DATOS!$I13211,CONFIG_ASIGNATURAS!$B$2:$J$61,9,FALSE()),""))</f>
      </c>
    </row>
    <row r="13212">
      <c r="E13212">
        <f>IF(DATOS!$I13212="","",IFERROR(VLOOKUP(DATOS!$I13212,CONFIG_ASIGNATURAS!$B$2:$J$61,9,FALSE()),""))</f>
      </c>
    </row>
    <row r="13213">
      <c r="E13213">
        <f>IF(DATOS!$I13213="","",IFERROR(VLOOKUP(DATOS!$I13213,CONFIG_ASIGNATURAS!$B$2:$J$61,9,FALSE()),""))</f>
      </c>
    </row>
    <row r="13214">
      <c r="E13214">
        <f>IF(DATOS!$I13214="","",IFERROR(VLOOKUP(DATOS!$I13214,CONFIG_ASIGNATURAS!$B$2:$J$61,9,FALSE()),""))</f>
      </c>
    </row>
    <row r="13215">
      <c r="E13215">
        <f>IF(DATOS!$I13215="","",IFERROR(VLOOKUP(DATOS!$I13215,CONFIG_ASIGNATURAS!$B$2:$J$61,9,FALSE()),""))</f>
      </c>
    </row>
    <row r="13216">
      <c r="E13216">
        <f>IF(DATOS!$I13216="","",IFERROR(VLOOKUP(DATOS!$I13216,CONFIG_ASIGNATURAS!$B$2:$J$61,9,FALSE()),""))</f>
      </c>
    </row>
    <row r="13217">
      <c r="E13217">
        <f>IF(DATOS!$I13217="","",IFERROR(VLOOKUP(DATOS!$I13217,CONFIG_ASIGNATURAS!$B$2:$J$61,9,FALSE()),""))</f>
      </c>
    </row>
    <row r="13218">
      <c r="E13218">
        <f>IF(DATOS!$I13218="","",IFERROR(VLOOKUP(DATOS!$I13218,CONFIG_ASIGNATURAS!$B$2:$J$61,9,FALSE()),""))</f>
      </c>
    </row>
    <row r="13219">
      <c r="E13219">
        <f>IF(DATOS!$I13219="","",IFERROR(VLOOKUP(DATOS!$I13219,CONFIG_ASIGNATURAS!$B$2:$J$61,9,FALSE()),""))</f>
      </c>
    </row>
    <row r="13220">
      <c r="E13220">
        <f>IF(DATOS!$I13220="","",IFERROR(VLOOKUP(DATOS!$I13220,CONFIG_ASIGNATURAS!$B$2:$J$61,9,FALSE()),""))</f>
      </c>
    </row>
    <row r="13221">
      <c r="E13221">
        <f>IF(DATOS!$I13221="","",IFERROR(VLOOKUP(DATOS!$I13221,CONFIG_ASIGNATURAS!$B$2:$J$61,9,FALSE()),""))</f>
      </c>
    </row>
    <row r="13222">
      <c r="E13222">
        <f>IF(DATOS!$I13222="","",IFERROR(VLOOKUP(DATOS!$I13222,CONFIG_ASIGNATURAS!$B$2:$J$61,9,FALSE()),""))</f>
      </c>
    </row>
    <row r="13223">
      <c r="E13223">
        <f>IF(DATOS!$I13223="","",IFERROR(VLOOKUP(DATOS!$I13223,CONFIG_ASIGNATURAS!$B$2:$J$61,9,FALSE()),""))</f>
      </c>
    </row>
    <row r="13224">
      <c r="E13224">
        <f>IF(DATOS!$I13224="","",IFERROR(VLOOKUP(DATOS!$I13224,CONFIG_ASIGNATURAS!$B$2:$J$61,9,FALSE()),""))</f>
      </c>
    </row>
    <row r="13225">
      <c r="E13225">
        <f>IF(DATOS!$I13225="","",IFERROR(VLOOKUP(DATOS!$I13225,CONFIG_ASIGNATURAS!$B$2:$J$61,9,FALSE()),""))</f>
      </c>
    </row>
    <row r="13226">
      <c r="E13226">
        <f>IF(DATOS!$I13226="","",IFERROR(VLOOKUP(DATOS!$I13226,CONFIG_ASIGNATURAS!$B$2:$J$61,9,FALSE()),""))</f>
      </c>
    </row>
    <row r="13227">
      <c r="E13227">
        <f>IF(DATOS!$I13227="","",IFERROR(VLOOKUP(DATOS!$I13227,CONFIG_ASIGNATURAS!$B$2:$J$61,9,FALSE()),""))</f>
      </c>
    </row>
    <row r="13228">
      <c r="E13228">
        <f>IF(DATOS!$I13228="","",IFERROR(VLOOKUP(DATOS!$I13228,CONFIG_ASIGNATURAS!$B$2:$J$61,9,FALSE()),""))</f>
      </c>
    </row>
    <row r="13229">
      <c r="E13229">
        <f>IF(DATOS!$I13229="","",IFERROR(VLOOKUP(DATOS!$I13229,CONFIG_ASIGNATURAS!$B$2:$J$61,9,FALSE()),""))</f>
      </c>
    </row>
    <row r="13230">
      <c r="E13230">
        <f>IF(DATOS!$I13230="","",IFERROR(VLOOKUP(DATOS!$I13230,CONFIG_ASIGNATURAS!$B$2:$J$61,9,FALSE()),""))</f>
      </c>
    </row>
    <row r="13231">
      <c r="E13231">
        <f>IF(DATOS!$I13231="","",IFERROR(VLOOKUP(DATOS!$I13231,CONFIG_ASIGNATURAS!$B$2:$J$61,9,FALSE()),""))</f>
      </c>
    </row>
    <row r="13232">
      <c r="E13232">
        <f>IF(DATOS!$I13232="","",IFERROR(VLOOKUP(DATOS!$I13232,CONFIG_ASIGNATURAS!$B$2:$J$61,9,FALSE()),""))</f>
      </c>
    </row>
    <row r="13233">
      <c r="E13233">
        <f>IF(DATOS!$I13233="","",IFERROR(VLOOKUP(DATOS!$I13233,CONFIG_ASIGNATURAS!$B$2:$J$61,9,FALSE()),""))</f>
      </c>
    </row>
    <row r="13234">
      <c r="E13234">
        <f>IF(DATOS!$I13234="","",IFERROR(VLOOKUP(DATOS!$I13234,CONFIG_ASIGNATURAS!$B$2:$J$61,9,FALSE()),""))</f>
      </c>
    </row>
    <row r="13235">
      <c r="E13235">
        <f>IF(DATOS!$I13235="","",IFERROR(VLOOKUP(DATOS!$I13235,CONFIG_ASIGNATURAS!$B$2:$J$61,9,FALSE()),""))</f>
      </c>
    </row>
    <row r="13236">
      <c r="E13236">
        <f>IF(DATOS!$I13236="","",IFERROR(VLOOKUP(DATOS!$I13236,CONFIG_ASIGNATURAS!$B$2:$J$61,9,FALSE()),""))</f>
      </c>
    </row>
    <row r="13237">
      <c r="E13237">
        <f>IF(DATOS!$I13237="","",IFERROR(VLOOKUP(DATOS!$I13237,CONFIG_ASIGNATURAS!$B$2:$J$61,9,FALSE()),""))</f>
      </c>
    </row>
    <row r="13238">
      <c r="E13238">
        <f>IF(DATOS!$I13238="","",IFERROR(VLOOKUP(DATOS!$I13238,CONFIG_ASIGNATURAS!$B$2:$J$61,9,FALSE()),""))</f>
      </c>
    </row>
    <row r="13239">
      <c r="E13239">
        <f>IF(DATOS!$I13239="","",IFERROR(VLOOKUP(DATOS!$I13239,CONFIG_ASIGNATURAS!$B$2:$J$61,9,FALSE()),""))</f>
      </c>
    </row>
    <row r="13240">
      <c r="E13240">
        <f>IF(DATOS!$I13240="","",IFERROR(VLOOKUP(DATOS!$I13240,CONFIG_ASIGNATURAS!$B$2:$J$61,9,FALSE()),""))</f>
      </c>
    </row>
    <row r="13241">
      <c r="E13241">
        <f>IF(DATOS!$I13241="","",IFERROR(VLOOKUP(DATOS!$I13241,CONFIG_ASIGNATURAS!$B$2:$J$61,9,FALSE()),""))</f>
      </c>
    </row>
    <row r="13242">
      <c r="E13242">
        <f>IF(DATOS!$I13242="","",IFERROR(VLOOKUP(DATOS!$I13242,CONFIG_ASIGNATURAS!$B$2:$J$61,9,FALSE()),""))</f>
      </c>
    </row>
    <row r="13243">
      <c r="E13243">
        <f>IF(DATOS!$I13243="","",IFERROR(VLOOKUP(DATOS!$I13243,CONFIG_ASIGNATURAS!$B$2:$J$61,9,FALSE()),""))</f>
      </c>
    </row>
    <row r="13244">
      <c r="E13244">
        <f>IF(DATOS!$I13244="","",IFERROR(VLOOKUP(DATOS!$I13244,CONFIG_ASIGNATURAS!$B$2:$J$61,9,FALSE()),""))</f>
      </c>
    </row>
    <row r="13245">
      <c r="E13245">
        <f>IF(DATOS!$I13245="","",IFERROR(VLOOKUP(DATOS!$I13245,CONFIG_ASIGNATURAS!$B$2:$J$61,9,FALSE()),""))</f>
      </c>
    </row>
    <row r="13246">
      <c r="E13246">
        <f>IF(DATOS!$I13246="","",IFERROR(VLOOKUP(DATOS!$I13246,CONFIG_ASIGNATURAS!$B$2:$J$61,9,FALSE()),""))</f>
      </c>
    </row>
    <row r="13247">
      <c r="E13247">
        <f>IF(DATOS!$I13247="","",IFERROR(VLOOKUP(DATOS!$I13247,CONFIG_ASIGNATURAS!$B$2:$J$61,9,FALSE()),""))</f>
      </c>
    </row>
    <row r="13248">
      <c r="E13248">
        <f>IF(DATOS!$I13248="","",IFERROR(VLOOKUP(DATOS!$I13248,CONFIG_ASIGNATURAS!$B$2:$J$61,9,FALSE()),""))</f>
      </c>
    </row>
    <row r="13249">
      <c r="E13249">
        <f>IF(DATOS!$I13249="","",IFERROR(VLOOKUP(DATOS!$I13249,CONFIG_ASIGNATURAS!$B$2:$J$61,9,FALSE()),""))</f>
      </c>
    </row>
    <row r="13250">
      <c r="E13250">
        <f>IF(DATOS!$I13250="","",IFERROR(VLOOKUP(DATOS!$I13250,CONFIG_ASIGNATURAS!$B$2:$J$61,9,FALSE()),""))</f>
      </c>
    </row>
    <row r="13251">
      <c r="E13251">
        <f>IF(DATOS!$I13251="","",IFERROR(VLOOKUP(DATOS!$I13251,CONFIG_ASIGNATURAS!$B$2:$J$61,9,FALSE()),""))</f>
      </c>
    </row>
    <row r="13252">
      <c r="E13252">
        <f>IF(DATOS!$I13252="","",IFERROR(VLOOKUP(DATOS!$I13252,CONFIG_ASIGNATURAS!$B$2:$J$61,9,FALSE()),""))</f>
      </c>
    </row>
    <row r="13253">
      <c r="E13253">
        <f>IF(DATOS!$I13253="","",IFERROR(VLOOKUP(DATOS!$I13253,CONFIG_ASIGNATURAS!$B$2:$J$61,9,FALSE()),""))</f>
      </c>
    </row>
    <row r="13254">
      <c r="E13254">
        <f>IF(DATOS!$I13254="","",IFERROR(VLOOKUP(DATOS!$I13254,CONFIG_ASIGNATURAS!$B$2:$J$61,9,FALSE()),""))</f>
      </c>
    </row>
    <row r="13255">
      <c r="E13255">
        <f>IF(DATOS!$I13255="","",IFERROR(VLOOKUP(DATOS!$I13255,CONFIG_ASIGNATURAS!$B$2:$J$61,9,FALSE()),""))</f>
      </c>
    </row>
    <row r="13256">
      <c r="E13256">
        <f>IF(DATOS!$I13256="","",IFERROR(VLOOKUP(DATOS!$I13256,CONFIG_ASIGNATURAS!$B$2:$J$61,9,FALSE()),""))</f>
      </c>
    </row>
    <row r="13257">
      <c r="E13257">
        <f>IF(DATOS!$I13257="","",IFERROR(VLOOKUP(DATOS!$I13257,CONFIG_ASIGNATURAS!$B$2:$J$61,9,FALSE()),""))</f>
      </c>
    </row>
    <row r="13258">
      <c r="E13258">
        <f>IF(DATOS!$I13258="","",IFERROR(VLOOKUP(DATOS!$I13258,CONFIG_ASIGNATURAS!$B$2:$J$61,9,FALSE()),""))</f>
      </c>
    </row>
    <row r="13259">
      <c r="E13259">
        <f>IF(DATOS!$I13259="","",IFERROR(VLOOKUP(DATOS!$I13259,CONFIG_ASIGNATURAS!$B$2:$J$61,9,FALSE()),""))</f>
      </c>
    </row>
    <row r="13260">
      <c r="E13260">
        <f>IF(DATOS!$I13260="","",IFERROR(VLOOKUP(DATOS!$I13260,CONFIG_ASIGNATURAS!$B$2:$J$61,9,FALSE()),""))</f>
      </c>
    </row>
    <row r="13261">
      <c r="E13261">
        <f>IF(DATOS!$I13261="","",IFERROR(VLOOKUP(DATOS!$I13261,CONFIG_ASIGNATURAS!$B$2:$J$61,9,FALSE()),""))</f>
      </c>
    </row>
    <row r="13262">
      <c r="E13262">
        <f>IF(DATOS!$I13262="","",IFERROR(VLOOKUP(DATOS!$I13262,CONFIG_ASIGNATURAS!$B$2:$J$61,9,FALSE()),""))</f>
      </c>
    </row>
    <row r="13263">
      <c r="E13263">
        <f>IF(DATOS!$I13263="","",IFERROR(VLOOKUP(DATOS!$I13263,CONFIG_ASIGNATURAS!$B$2:$J$61,9,FALSE()),""))</f>
      </c>
    </row>
    <row r="13264">
      <c r="E13264">
        <f>IF(DATOS!$I13264="","",IFERROR(VLOOKUP(DATOS!$I13264,CONFIG_ASIGNATURAS!$B$2:$J$61,9,FALSE()),""))</f>
      </c>
    </row>
    <row r="13265">
      <c r="E13265">
        <f>IF(DATOS!$I13265="","",IFERROR(VLOOKUP(DATOS!$I13265,CONFIG_ASIGNATURAS!$B$2:$J$61,9,FALSE()),""))</f>
      </c>
    </row>
    <row r="13266">
      <c r="E13266">
        <f>IF(DATOS!$I13266="","",IFERROR(VLOOKUP(DATOS!$I13266,CONFIG_ASIGNATURAS!$B$2:$J$61,9,FALSE()),""))</f>
      </c>
    </row>
    <row r="13267">
      <c r="E13267">
        <f>IF(DATOS!$I13267="","",IFERROR(VLOOKUP(DATOS!$I13267,CONFIG_ASIGNATURAS!$B$2:$J$61,9,FALSE()),""))</f>
      </c>
    </row>
    <row r="13268">
      <c r="E13268">
        <f>IF(DATOS!$I13268="","",IFERROR(VLOOKUP(DATOS!$I13268,CONFIG_ASIGNATURAS!$B$2:$J$61,9,FALSE()),""))</f>
      </c>
    </row>
    <row r="13269">
      <c r="E13269">
        <f>IF(DATOS!$I13269="","",IFERROR(VLOOKUP(DATOS!$I13269,CONFIG_ASIGNATURAS!$B$2:$J$61,9,FALSE()),""))</f>
      </c>
    </row>
    <row r="13270">
      <c r="E13270">
        <f>IF(DATOS!$I13270="","",IFERROR(VLOOKUP(DATOS!$I13270,CONFIG_ASIGNATURAS!$B$2:$J$61,9,FALSE()),""))</f>
      </c>
    </row>
    <row r="13271">
      <c r="E13271">
        <f>IF(DATOS!$I13271="","",IFERROR(VLOOKUP(DATOS!$I13271,CONFIG_ASIGNATURAS!$B$2:$J$61,9,FALSE()),""))</f>
      </c>
    </row>
    <row r="13272">
      <c r="E13272">
        <f>IF(DATOS!$I13272="","",IFERROR(VLOOKUP(DATOS!$I13272,CONFIG_ASIGNATURAS!$B$2:$J$61,9,FALSE()),""))</f>
      </c>
    </row>
    <row r="13273">
      <c r="E13273">
        <f>IF(DATOS!$I13273="","",IFERROR(VLOOKUP(DATOS!$I13273,CONFIG_ASIGNATURAS!$B$2:$J$61,9,FALSE()),""))</f>
      </c>
    </row>
    <row r="13274">
      <c r="E13274">
        <f>IF(DATOS!$I13274="","",IFERROR(VLOOKUP(DATOS!$I13274,CONFIG_ASIGNATURAS!$B$2:$J$61,9,FALSE()),""))</f>
      </c>
    </row>
    <row r="13275">
      <c r="E13275">
        <f>IF(DATOS!$I13275="","",IFERROR(VLOOKUP(DATOS!$I13275,CONFIG_ASIGNATURAS!$B$2:$J$61,9,FALSE()),""))</f>
      </c>
    </row>
    <row r="13276">
      <c r="E13276">
        <f>IF(DATOS!$I13276="","",IFERROR(VLOOKUP(DATOS!$I13276,CONFIG_ASIGNATURAS!$B$2:$J$61,9,FALSE()),""))</f>
      </c>
    </row>
    <row r="13277">
      <c r="E13277">
        <f>IF(DATOS!$I13277="","",IFERROR(VLOOKUP(DATOS!$I13277,CONFIG_ASIGNATURAS!$B$2:$J$61,9,FALSE()),""))</f>
      </c>
    </row>
    <row r="13278">
      <c r="E13278">
        <f>IF(DATOS!$I13278="","",IFERROR(VLOOKUP(DATOS!$I13278,CONFIG_ASIGNATURAS!$B$2:$J$61,9,FALSE()),""))</f>
      </c>
    </row>
    <row r="13279">
      <c r="E13279">
        <f>IF(DATOS!$I13279="","",IFERROR(VLOOKUP(DATOS!$I13279,CONFIG_ASIGNATURAS!$B$2:$J$61,9,FALSE()),""))</f>
      </c>
    </row>
    <row r="13280">
      <c r="E13280">
        <f>IF(DATOS!$I13280="","",IFERROR(VLOOKUP(DATOS!$I13280,CONFIG_ASIGNATURAS!$B$2:$J$61,9,FALSE()),""))</f>
      </c>
    </row>
    <row r="13281">
      <c r="E13281">
        <f>IF(DATOS!$I13281="","",IFERROR(VLOOKUP(DATOS!$I13281,CONFIG_ASIGNATURAS!$B$2:$J$61,9,FALSE()),""))</f>
      </c>
    </row>
    <row r="13282">
      <c r="E13282">
        <f>IF(DATOS!$I13282="","",IFERROR(VLOOKUP(DATOS!$I13282,CONFIG_ASIGNATURAS!$B$2:$J$61,9,FALSE()),""))</f>
      </c>
    </row>
    <row r="13283">
      <c r="E13283">
        <f>IF(DATOS!$I13283="","",IFERROR(VLOOKUP(DATOS!$I13283,CONFIG_ASIGNATURAS!$B$2:$J$61,9,FALSE()),""))</f>
      </c>
    </row>
    <row r="13284">
      <c r="E13284">
        <f>IF(DATOS!$I13284="","",IFERROR(VLOOKUP(DATOS!$I13284,CONFIG_ASIGNATURAS!$B$2:$J$61,9,FALSE()),""))</f>
      </c>
    </row>
    <row r="13285">
      <c r="E13285">
        <f>IF(DATOS!$I13285="","",IFERROR(VLOOKUP(DATOS!$I13285,CONFIG_ASIGNATURAS!$B$2:$J$61,9,FALSE()),""))</f>
      </c>
    </row>
    <row r="13286">
      <c r="E13286">
        <f>IF(DATOS!$I13286="","",IFERROR(VLOOKUP(DATOS!$I13286,CONFIG_ASIGNATURAS!$B$2:$J$61,9,FALSE()),""))</f>
      </c>
    </row>
    <row r="13287">
      <c r="E13287">
        <f>IF(DATOS!$I13287="","",IFERROR(VLOOKUP(DATOS!$I13287,CONFIG_ASIGNATURAS!$B$2:$J$61,9,FALSE()),""))</f>
      </c>
    </row>
    <row r="13288">
      <c r="E13288">
        <f>IF(DATOS!$I13288="","",IFERROR(VLOOKUP(DATOS!$I13288,CONFIG_ASIGNATURAS!$B$2:$J$61,9,FALSE()),""))</f>
      </c>
    </row>
    <row r="13289">
      <c r="E13289">
        <f>IF(DATOS!$I13289="","",IFERROR(VLOOKUP(DATOS!$I13289,CONFIG_ASIGNATURAS!$B$2:$J$61,9,FALSE()),""))</f>
      </c>
    </row>
    <row r="13290">
      <c r="E13290">
        <f>IF(DATOS!$I13290="","",IFERROR(VLOOKUP(DATOS!$I13290,CONFIG_ASIGNATURAS!$B$2:$J$61,9,FALSE()),""))</f>
      </c>
    </row>
    <row r="13291">
      <c r="E13291">
        <f>IF(DATOS!$I13291="","",IFERROR(VLOOKUP(DATOS!$I13291,CONFIG_ASIGNATURAS!$B$2:$J$61,9,FALSE()),""))</f>
      </c>
    </row>
    <row r="13292">
      <c r="E13292">
        <f>IF(DATOS!$I13292="","",IFERROR(VLOOKUP(DATOS!$I13292,CONFIG_ASIGNATURAS!$B$2:$J$61,9,FALSE()),""))</f>
      </c>
    </row>
    <row r="13293">
      <c r="E13293">
        <f>IF(DATOS!$I13293="","",IFERROR(VLOOKUP(DATOS!$I13293,CONFIG_ASIGNATURAS!$B$2:$J$61,9,FALSE()),""))</f>
      </c>
    </row>
    <row r="13294">
      <c r="E13294">
        <f>IF(DATOS!$I13294="","",IFERROR(VLOOKUP(DATOS!$I13294,CONFIG_ASIGNATURAS!$B$2:$J$61,9,FALSE()),""))</f>
      </c>
    </row>
    <row r="13295">
      <c r="E13295">
        <f>IF(DATOS!$I13295="","",IFERROR(VLOOKUP(DATOS!$I13295,CONFIG_ASIGNATURAS!$B$2:$J$61,9,FALSE()),""))</f>
      </c>
    </row>
    <row r="13296">
      <c r="E13296">
        <f>IF(DATOS!$I13296="","",IFERROR(VLOOKUP(DATOS!$I13296,CONFIG_ASIGNATURAS!$B$2:$J$61,9,FALSE()),""))</f>
      </c>
    </row>
    <row r="13297">
      <c r="E13297">
        <f>IF(DATOS!$I13297="","",IFERROR(VLOOKUP(DATOS!$I13297,CONFIG_ASIGNATURAS!$B$2:$J$61,9,FALSE()),""))</f>
      </c>
    </row>
    <row r="13298">
      <c r="E13298">
        <f>IF(DATOS!$I13298="","",IFERROR(VLOOKUP(DATOS!$I13298,CONFIG_ASIGNATURAS!$B$2:$J$61,9,FALSE()),""))</f>
      </c>
    </row>
    <row r="13299">
      <c r="E13299">
        <f>IF(DATOS!$I13299="","",IFERROR(VLOOKUP(DATOS!$I13299,CONFIG_ASIGNATURAS!$B$2:$J$61,9,FALSE()),""))</f>
      </c>
    </row>
    <row r="13300">
      <c r="E13300">
        <f>IF(DATOS!$I13300="","",IFERROR(VLOOKUP(DATOS!$I13300,CONFIG_ASIGNATURAS!$B$2:$J$61,9,FALSE()),""))</f>
      </c>
    </row>
    <row r="13301">
      <c r="E13301">
        <f>IF(DATOS!$I13301="","",IFERROR(VLOOKUP(DATOS!$I13301,CONFIG_ASIGNATURAS!$B$2:$J$61,9,FALSE()),""))</f>
      </c>
    </row>
    <row r="13302">
      <c r="E13302">
        <f>IF(DATOS!$I13302="","",IFERROR(VLOOKUP(DATOS!$I13302,CONFIG_ASIGNATURAS!$B$2:$J$61,9,FALSE()),""))</f>
      </c>
    </row>
    <row r="13303">
      <c r="E13303">
        <f>IF(DATOS!$I13303="","",IFERROR(VLOOKUP(DATOS!$I13303,CONFIG_ASIGNATURAS!$B$2:$J$61,9,FALSE()),""))</f>
      </c>
    </row>
    <row r="13304">
      <c r="E13304">
        <f>IF(DATOS!$I13304="","",IFERROR(VLOOKUP(DATOS!$I13304,CONFIG_ASIGNATURAS!$B$2:$J$61,9,FALSE()),""))</f>
      </c>
    </row>
    <row r="13305">
      <c r="E13305">
        <f>IF(DATOS!$I13305="","",IFERROR(VLOOKUP(DATOS!$I13305,CONFIG_ASIGNATURAS!$B$2:$J$61,9,FALSE()),""))</f>
      </c>
    </row>
    <row r="13306">
      <c r="E13306">
        <f>IF(DATOS!$I13306="","",IFERROR(VLOOKUP(DATOS!$I13306,CONFIG_ASIGNATURAS!$B$2:$J$61,9,FALSE()),""))</f>
      </c>
    </row>
    <row r="13307">
      <c r="E13307">
        <f>IF(DATOS!$I13307="","",IFERROR(VLOOKUP(DATOS!$I13307,CONFIG_ASIGNATURAS!$B$2:$J$61,9,FALSE()),""))</f>
      </c>
    </row>
    <row r="13308">
      <c r="E13308">
        <f>IF(DATOS!$I13308="","",IFERROR(VLOOKUP(DATOS!$I13308,CONFIG_ASIGNATURAS!$B$2:$J$61,9,FALSE()),""))</f>
      </c>
    </row>
    <row r="13309">
      <c r="E13309">
        <f>IF(DATOS!$I13309="","",IFERROR(VLOOKUP(DATOS!$I13309,CONFIG_ASIGNATURAS!$B$2:$J$61,9,FALSE()),""))</f>
      </c>
    </row>
    <row r="13310">
      <c r="E13310">
        <f>IF(DATOS!$I13310="","",IFERROR(VLOOKUP(DATOS!$I13310,CONFIG_ASIGNATURAS!$B$2:$J$61,9,FALSE()),""))</f>
      </c>
    </row>
    <row r="13311">
      <c r="E13311">
        <f>IF(DATOS!$I13311="","",IFERROR(VLOOKUP(DATOS!$I13311,CONFIG_ASIGNATURAS!$B$2:$J$61,9,FALSE()),""))</f>
      </c>
    </row>
    <row r="13312">
      <c r="E13312">
        <f>IF(DATOS!$I13312="","",IFERROR(VLOOKUP(DATOS!$I13312,CONFIG_ASIGNATURAS!$B$2:$J$61,9,FALSE()),""))</f>
      </c>
    </row>
    <row r="13313">
      <c r="E13313">
        <f>IF(DATOS!$I13313="","",IFERROR(VLOOKUP(DATOS!$I13313,CONFIG_ASIGNATURAS!$B$2:$J$61,9,FALSE()),""))</f>
      </c>
    </row>
    <row r="13314">
      <c r="E13314">
        <f>IF(DATOS!$I13314="","",IFERROR(VLOOKUP(DATOS!$I13314,CONFIG_ASIGNATURAS!$B$2:$J$61,9,FALSE()),""))</f>
      </c>
    </row>
    <row r="13315">
      <c r="E13315">
        <f>IF(DATOS!$I13315="","",IFERROR(VLOOKUP(DATOS!$I13315,CONFIG_ASIGNATURAS!$B$2:$J$61,9,FALSE()),""))</f>
      </c>
    </row>
    <row r="13316">
      <c r="E13316">
        <f>IF(DATOS!$I13316="","",IFERROR(VLOOKUP(DATOS!$I13316,CONFIG_ASIGNATURAS!$B$2:$J$61,9,FALSE()),""))</f>
      </c>
    </row>
    <row r="13317">
      <c r="E13317">
        <f>IF(DATOS!$I13317="","",IFERROR(VLOOKUP(DATOS!$I13317,CONFIG_ASIGNATURAS!$B$2:$J$61,9,FALSE()),""))</f>
      </c>
    </row>
    <row r="13318">
      <c r="E13318">
        <f>IF(DATOS!$I13318="","",IFERROR(VLOOKUP(DATOS!$I13318,CONFIG_ASIGNATURAS!$B$2:$J$61,9,FALSE()),""))</f>
      </c>
    </row>
    <row r="13319">
      <c r="E13319">
        <f>IF(DATOS!$I13319="","",IFERROR(VLOOKUP(DATOS!$I13319,CONFIG_ASIGNATURAS!$B$2:$J$61,9,FALSE()),""))</f>
      </c>
    </row>
    <row r="13320">
      <c r="E13320">
        <f>IF(DATOS!$I13320="","",IFERROR(VLOOKUP(DATOS!$I13320,CONFIG_ASIGNATURAS!$B$2:$J$61,9,FALSE()),""))</f>
      </c>
    </row>
    <row r="13321">
      <c r="E13321">
        <f>IF(DATOS!$I13321="","",IFERROR(VLOOKUP(DATOS!$I13321,CONFIG_ASIGNATURAS!$B$2:$J$61,9,FALSE()),""))</f>
      </c>
    </row>
    <row r="13322">
      <c r="E13322">
        <f>IF(DATOS!$I13322="","",IFERROR(VLOOKUP(DATOS!$I13322,CONFIG_ASIGNATURAS!$B$2:$J$61,9,FALSE()),""))</f>
      </c>
    </row>
    <row r="13323">
      <c r="E13323">
        <f>IF(DATOS!$I13323="","",IFERROR(VLOOKUP(DATOS!$I13323,CONFIG_ASIGNATURAS!$B$2:$J$61,9,FALSE()),""))</f>
      </c>
    </row>
    <row r="13324">
      <c r="E13324">
        <f>IF(DATOS!$I13324="","",IFERROR(VLOOKUP(DATOS!$I13324,CONFIG_ASIGNATURAS!$B$2:$J$61,9,FALSE()),""))</f>
      </c>
    </row>
    <row r="13325">
      <c r="E13325">
        <f>IF(DATOS!$I13325="","",IFERROR(VLOOKUP(DATOS!$I13325,CONFIG_ASIGNATURAS!$B$2:$J$61,9,FALSE()),""))</f>
      </c>
    </row>
    <row r="13326">
      <c r="E13326">
        <f>IF(DATOS!$I13326="","",IFERROR(VLOOKUP(DATOS!$I13326,CONFIG_ASIGNATURAS!$B$2:$J$61,9,FALSE()),""))</f>
      </c>
    </row>
    <row r="13327">
      <c r="E13327">
        <f>IF(DATOS!$I13327="","",IFERROR(VLOOKUP(DATOS!$I13327,CONFIG_ASIGNATURAS!$B$2:$J$61,9,FALSE()),""))</f>
      </c>
    </row>
    <row r="13328">
      <c r="E13328">
        <f>IF(DATOS!$I13328="","",IFERROR(VLOOKUP(DATOS!$I13328,CONFIG_ASIGNATURAS!$B$2:$J$61,9,FALSE()),""))</f>
      </c>
    </row>
    <row r="13329">
      <c r="E13329">
        <f>IF(DATOS!$I13329="","",IFERROR(VLOOKUP(DATOS!$I13329,CONFIG_ASIGNATURAS!$B$2:$J$61,9,FALSE()),""))</f>
      </c>
    </row>
    <row r="13330">
      <c r="E13330">
        <f>IF(DATOS!$I13330="","",IFERROR(VLOOKUP(DATOS!$I13330,CONFIG_ASIGNATURAS!$B$2:$J$61,9,FALSE()),""))</f>
      </c>
    </row>
    <row r="13331">
      <c r="E13331">
        <f>IF(DATOS!$I13331="","",IFERROR(VLOOKUP(DATOS!$I13331,CONFIG_ASIGNATURAS!$B$2:$J$61,9,FALSE()),""))</f>
      </c>
    </row>
    <row r="13332">
      <c r="E13332">
        <f>IF(DATOS!$I13332="","",IFERROR(VLOOKUP(DATOS!$I13332,CONFIG_ASIGNATURAS!$B$2:$J$61,9,FALSE()),""))</f>
      </c>
    </row>
    <row r="13333">
      <c r="E13333">
        <f>IF(DATOS!$I13333="","",IFERROR(VLOOKUP(DATOS!$I13333,CONFIG_ASIGNATURAS!$B$2:$J$61,9,FALSE()),""))</f>
      </c>
    </row>
    <row r="13334">
      <c r="E13334">
        <f>IF(DATOS!$I13334="","",IFERROR(VLOOKUP(DATOS!$I13334,CONFIG_ASIGNATURAS!$B$2:$J$61,9,FALSE()),""))</f>
      </c>
    </row>
    <row r="13335">
      <c r="E13335">
        <f>IF(DATOS!$I13335="","",IFERROR(VLOOKUP(DATOS!$I13335,CONFIG_ASIGNATURAS!$B$2:$J$61,9,FALSE()),""))</f>
      </c>
    </row>
    <row r="13336">
      <c r="E13336">
        <f>IF(DATOS!$I13336="","",IFERROR(VLOOKUP(DATOS!$I13336,CONFIG_ASIGNATURAS!$B$2:$J$61,9,FALSE()),""))</f>
      </c>
    </row>
    <row r="13337">
      <c r="E13337">
        <f>IF(DATOS!$I13337="","",IFERROR(VLOOKUP(DATOS!$I13337,CONFIG_ASIGNATURAS!$B$2:$J$61,9,FALSE()),""))</f>
      </c>
    </row>
    <row r="13338">
      <c r="E13338">
        <f>IF(DATOS!$I13338="","",IFERROR(VLOOKUP(DATOS!$I13338,CONFIG_ASIGNATURAS!$B$2:$J$61,9,FALSE()),""))</f>
      </c>
    </row>
    <row r="13339">
      <c r="E13339">
        <f>IF(DATOS!$I13339="","",IFERROR(VLOOKUP(DATOS!$I13339,CONFIG_ASIGNATURAS!$B$2:$J$61,9,FALSE()),""))</f>
      </c>
    </row>
    <row r="13340">
      <c r="E13340">
        <f>IF(DATOS!$I13340="","",IFERROR(VLOOKUP(DATOS!$I13340,CONFIG_ASIGNATURAS!$B$2:$J$61,9,FALSE()),""))</f>
      </c>
    </row>
    <row r="13341">
      <c r="E13341">
        <f>IF(DATOS!$I13341="","",IFERROR(VLOOKUP(DATOS!$I13341,CONFIG_ASIGNATURAS!$B$2:$J$61,9,FALSE()),""))</f>
      </c>
    </row>
    <row r="13342">
      <c r="E13342">
        <f>IF(DATOS!$I13342="","",IFERROR(VLOOKUP(DATOS!$I13342,CONFIG_ASIGNATURAS!$B$2:$J$61,9,FALSE()),""))</f>
      </c>
    </row>
    <row r="13343">
      <c r="E13343">
        <f>IF(DATOS!$I13343="","",IFERROR(VLOOKUP(DATOS!$I13343,CONFIG_ASIGNATURAS!$B$2:$J$61,9,FALSE()),""))</f>
      </c>
    </row>
    <row r="13344">
      <c r="E13344">
        <f>IF(DATOS!$I13344="","",IFERROR(VLOOKUP(DATOS!$I13344,CONFIG_ASIGNATURAS!$B$2:$J$61,9,FALSE()),""))</f>
      </c>
    </row>
    <row r="13345">
      <c r="E13345">
        <f>IF(DATOS!$I13345="","",IFERROR(VLOOKUP(DATOS!$I13345,CONFIG_ASIGNATURAS!$B$2:$J$61,9,FALSE()),""))</f>
      </c>
    </row>
    <row r="13346">
      <c r="E13346">
        <f>IF(DATOS!$I13346="","",IFERROR(VLOOKUP(DATOS!$I13346,CONFIG_ASIGNATURAS!$B$2:$J$61,9,FALSE()),""))</f>
      </c>
    </row>
    <row r="13347">
      <c r="E13347">
        <f>IF(DATOS!$I13347="","",IFERROR(VLOOKUP(DATOS!$I13347,CONFIG_ASIGNATURAS!$B$2:$J$61,9,FALSE()),""))</f>
      </c>
    </row>
    <row r="13348">
      <c r="E13348">
        <f>IF(DATOS!$I13348="","",IFERROR(VLOOKUP(DATOS!$I13348,CONFIG_ASIGNATURAS!$B$2:$J$61,9,FALSE()),""))</f>
      </c>
    </row>
    <row r="13349">
      <c r="E13349">
        <f>IF(DATOS!$I13349="","",IFERROR(VLOOKUP(DATOS!$I13349,CONFIG_ASIGNATURAS!$B$2:$J$61,9,FALSE()),""))</f>
      </c>
    </row>
    <row r="13350">
      <c r="E13350">
        <f>IF(DATOS!$I13350="","",IFERROR(VLOOKUP(DATOS!$I13350,CONFIG_ASIGNATURAS!$B$2:$J$61,9,FALSE()),""))</f>
      </c>
    </row>
    <row r="13351">
      <c r="E13351">
        <f>IF(DATOS!$I13351="","",IFERROR(VLOOKUP(DATOS!$I13351,CONFIG_ASIGNATURAS!$B$2:$J$61,9,FALSE()),""))</f>
      </c>
    </row>
    <row r="13352">
      <c r="E13352">
        <f>IF(DATOS!$I13352="","",IFERROR(VLOOKUP(DATOS!$I13352,CONFIG_ASIGNATURAS!$B$2:$J$61,9,FALSE()),""))</f>
      </c>
    </row>
    <row r="13353">
      <c r="E13353">
        <f>IF(DATOS!$I13353="","",IFERROR(VLOOKUP(DATOS!$I13353,CONFIG_ASIGNATURAS!$B$2:$J$61,9,FALSE()),""))</f>
      </c>
    </row>
    <row r="13354">
      <c r="E13354">
        <f>IF(DATOS!$I13354="","",IFERROR(VLOOKUP(DATOS!$I13354,CONFIG_ASIGNATURAS!$B$2:$J$61,9,FALSE()),""))</f>
      </c>
    </row>
    <row r="13355">
      <c r="E13355">
        <f>IF(DATOS!$I13355="","",IFERROR(VLOOKUP(DATOS!$I13355,CONFIG_ASIGNATURAS!$B$2:$J$61,9,FALSE()),""))</f>
      </c>
    </row>
    <row r="13356">
      <c r="E13356">
        <f>IF(DATOS!$I13356="","",IFERROR(VLOOKUP(DATOS!$I13356,CONFIG_ASIGNATURAS!$B$2:$J$61,9,FALSE()),""))</f>
      </c>
    </row>
    <row r="13357">
      <c r="E13357">
        <f>IF(DATOS!$I13357="","",IFERROR(VLOOKUP(DATOS!$I13357,CONFIG_ASIGNATURAS!$B$2:$J$61,9,FALSE()),""))</f>
      </c>
    </row>
    <row r="13358">
      <c r="E13358">
        <f>IF(DATOS!$I13358="","",IFERROR(VLOOKUP(DATOS!$I13358,CONFIG_ASIGNATURAS!$B$2:$J$61,9,FALSE()),""))</f>
      </c>
    </row>
    <row r="13359">
      <c r="E13359">
        <f>IF(DATOS!$I13359="","",IFERROR(VLOOKUP(DATOS!$I13359,CONFIG_ASIGNATURAS!$B$2:$J$61,9,FALSE()),""))</f>
      </c>
    </row>
    <row r="13360">
      <c r="E13360">
        <f>IF(DATOS!$I13360="","",IFERROR(VLOOKUP(DATOS!$I13360,CONFIG_ASIGNATURAS!$B$2:$J$61,9,FALSE()),""))</f>
      </c>
    </row>
    <row r="13361">
      <c r="E13361">
        <f>IF(DATOS!$I13361="","",IFERROR(VLOOKUP(DATOS!$I13361,CONFIG_ASIGNATURAS!$B$2:$J$61,9,FALSE()),""))</f>
      </c>
    </row>
    <row r="13362">
      <c r="E13362">
        <f>IF(DATOS!$I13362="","",IFERROR(VLOOKUP(DATOS!$I13362,CONFIG_ASIGNATURAS!$B$2:$J$61,9,FALSE()),""))</f>
      </c>
    </row>
    <row r="13363">
      <c r="E13363">
        <f>IF(DATOS!$I13363="","",IFERROR(VLOOKUP(DATOS!$I13363,CONFIG_ASIGNATURAS!$B$2:$J$61,9,FALSE()),""))</f>
      </c>
    </row>
    <row r="13364">
      <c r="E13364">
        <f>IF(DATOS!$I13364="","",IFERROR(VLOOKUP(DATOS!$I13364,CONFIG_ASIGNATURAS!$B$2:$J$61,9,FALSE()),""))</f>
      </c>
    </row>
    <row r="13365">
      <c r="E13365">
        <f>IF(DATOS!$I13365="","",IFERROR(VLOOKUP(DATOS!$I13365,CONFIG_ASIGNATURAS!$B$2:$J$61,9,FALSE()),""))</f>
      </c>
    </row>
    <row r="13366">
      <c r="E13366">
        <f>IF(DATOS!$I13366="","",IFERROR(VLOOKUP(DATOS!$I13366,CONFIG_ASIGNATURAS!$B$2:$J$61,9,FALSE()),""))</f>
      </c>
    </row>
    <row r="13367">
      <c r="E13367">
        <f>IF(DATOS!$I13367="","",IFERROR(VLOOKUP(DATOS!$I13367,CONFIG_ASIGNATURAS!$B$2:$J$61,9,FALSE()),""))</f>
      </c>
    </row>
    <row r="13368">
      <c r="E13368">
        <f>IF(DATOS!$I13368="","",IFERROR(VLOOKUP(DATOS!$I13368,CONFIG_ASIGNATURAS!$B$2:$J$61,9,FALSE()),""))</f>
      </c>
    </row>
    <row r="13369">
      <c r="E13369">
        <f>IF(DATOS!$I13369="","",IFERROR(VLOOKUP(DATOS!$I13369,CONFIG_ASIGNATURAS!$B$2:$J$61,9,FALSE()),""))</f>
      </c>
    </row>
    <row r="13370">
      <c r="E13370">
        <f>IF(DATOS!$I13370="","",IFERROR(VLOOKUP(DATOS!$I13370,CONFIG_ASIGNATURAS!$B$2:$J$61,9,FALSE()),""))</f>
      </c>
    </row>
    <row r="13371">
      <c r="E13371">
        <f>IF(DATOS!$I13371="","",IFERROR(VLOOKUP(DATOS!$I13371,CONFIG_ASIGNATURAS!$B$2:$J$61,9,FALSE()),""))</f>
      </c>
    </row>
    <row r="13372">
      <c r="E13372">
        <f>IF(DATOS!$I13372="","",IFERROR(VLOOKUP(DATOS!$I13372,CONFIG_ASIGNATURAS!$B$2:$J$61,9,FALSE()),""))</f>
      </c>
    </row>
    <row r="13373">
      <c r="E13373">
        <f>IF(DATOS!$I13373="","",IFERROR(VLOOKUP(DATOS!$I13373,CONFIG_ASIGNATURAS!$B$2:$J$61,9,FALSE()),""))</f>
      </c>
    </row>
    <row r="13374">
      <c r="E13374">
        <f>IF(DATOS!$I13374="","",IFERROR(VLOOKUP(DATOS!$I13374,CONFIG_ASIGNATURAS!$B$2:$J$61,9,FALSE()),""))</f>
      </c>
    </row>
    <row r="13375">
      <c r="E13375">
        <f>IF(DATOS!$I13375="","",IFERROR(VLOOKUP(DATOS!$I13375,CONFIG_ASIGNATURAS!$B$2:$J$61,9,FALSE()),""))</f>
      </c>
    </row>
    <row r="13376">
      <c r="E13376">
        <f>IF(DATOS!$I13376="","",IFERROR(VLOOKUP(DATOS!$I13376,CONFIG_ASIGNATURAS!$B$2:$J$61,9,FALSE()),""))</f>
      </c>
    </row>
    <row r="13377">
      <c r="E13377">
        <f>IF(DATOS!$I13377="","",IFERROR(VLOOKUP(DATOS!$I13377,CONFIG_ASIGNATURAS!$B$2:$J$61,9,FALSE()),""))</f>
      </c>
    </row>
    <row r="13378">
      <c r="E13378">
        <f>IF(DATOS!$I13378="","",IFERROR(VLOOKUP(DATOS!$I13378,CONFIG_ASIGNATURAS!$B$2:$J$61,9,FALSE()),""))</f>
      </c>
    </row>
    <row r="13379">
      <c r="E13379">
        <f>IF(DATOS!$I13379="","",IFERROR(VLOOKUP(DATOS!$I13379,CONFIG_ASIGNATURAS!$B$2:$J$61,9,FALSE()),""))</f>
      </c>
    </row>
    <row r="13380">
      <c r="E13380">
        <f>IF(DATOS!$I13380="","",IFERROR(VLOOKUP(DATOS!$I13380,CONFIG_ASIGNATURAS!$B$2:$J$61,9,FALSE()),""))</f>
      </c>
    </row>
    <row r="13381">
      <c r="E13381">
        <f>IF(DATOS!$I13381="","",IFERROR(VLOOKUP(DATOS!$I13381,CONFIG_ASIGNATURAS!$B$2:$J$61,9,FALSE()),""))</f>
      </c>
    </row>
    <row r="13382">
      <c r="E13382">
        <f>IF(DATOS!$I13382="","",IFERROR(VLOOKUP(DATOS!$I13382,CONFIG_ASIGNATURAS!$B$2:$J$61,9,FALSE()),""))</f>
      </c>
    </row>
    <row r="13383">
      <c r="E13383">
        <f>IF(DATOS!$I13383="","",IFERROR(VLOOKUP(DATOS!$I13383,CONFIG_ASIGNATURAS!$B$2:$J$61,9,FALSE()),""))</f>
      </c>
    </row>
    <row r="13384">
      <c r="E13384">
        <f>IF(DATOS!$I13384="","",IFERROR(VLOOKUP(DATOS!$I13384,CONFIG_ASIGNATURAS!$B$2:$J$61,9,FALSE()),""))</f>
      </c>
    </row>
    <row r="13385">
      <c r="E13385">
        <f>IF(DATOS!$I13385="","",IFERROR(VLOOKUP(DATOS!$I13385,CONFIG_ASIGNATURAS!$B$2:$J$61,9,FALSE()),""))</f>
      </c>
    </row>
    <row r="13386">
      <c r="E13386">
        <f>IF(DATOS!$I13386="","",IFERROR(VLOOKUP(DATOS!$I13386,CONFIG_ASIGNATURAS!$B$2:$J$61,9,FALSE()),""))</f>
      </c>
    </row>
    <row r="13387">
      <c r="E13387">
        <f>IF(DATOS!$I13387="","",IFERROR(VLOOKUP(DATOS!$I13387,CONFIG_ASIGNATURAS!$B$2:$J$61,9,FALSE()),""))</f>
      </c>
    </row>
    <row r="13388">
      <c r="E13388">
        <f>IF(DATOS!$I13388="","",IFERROR(VLOOKUP(DATOS!$I13388,CONFIG_ASIGNATURAS!$B$2:$J$61,9,FALSE()),""))</f>
      </c>
    </row>
    <row r="13389">
      <c r="E13389">
        <f>IF(DATOS!$I13389="","",IFERROR(VLOOKUP(DATOS!$I13389,CONFIG_ASIGNATURAS!$B$2:$J$61,9,FALSE()),""))</f>
      </c>
    </row>
    <row r="13390">
      <c r="E13390">
        <f>IF(DATOS!$I13390="","",IFERROR(VLOOKUP(DATOS!$I13390,CONFIG_ASIGNATURAS!$B$2:$J$61,9,FALSE()),""))</f>
      </c>
    </row>
    <row r="13391">
      <c r="E13391">
        <f>IF(DATOS!$I13391="","",IFERROR(VLOOKUP(DATOS!$I13391,CONFIG_ASIGNATURAS!$B$2:$J$61,9,FALSE()),""))</f>
      </c>
    </row>
    <row r="13392">
      <c r="E13392">
        <f>IF(DATOS!$I13392="","",IFERROR(VLOOKUP(DATOS!$I13392,CONFIG_ASIGNATURAS!$B$2:$J$61,9,FALSE()),""))</f>
      </c>
    </row>
    <row r="13393">
      <c r="E13393">
        <f>IF(DATOS!$I13393="","",IFERROR(VLOOKUP(DATOS!$I13393,CONFIG_ASIGNATURAS!$B$2:$J$61,9,FALSE()),""))</f>
      </c>
    </row>
    <row r="13394">
      <c r="E13394">
        <f>IF(DATOS!$I13394="","",IFERROR(VLOOKUP(DATOS!$I13394,CONFIG_ASIGNATURAS!$B$2:$J$61,9,FALSE()),""))</f>
      </c>
    </row>
    <row r="13395">
      <c r="E13395">
        <f>IF(DATOS!$I13395="","",IFERROR(VLOOKUP(DATOS!$I13395,CONFIG_ASIGNATURAS!$B$2:$J$61,9,FALSE()),""))</f>
      </c>
    </row>
    <row r="13396">
      <c r="E13396">
        <f>IF(DATOS!$I13396="","",IFERROR(VLOOKUP(DATOS!$I13396,CONFIG_ASIGNATURAS!$B$2:$J$61,9,FALSE()),""))</f>
      </c>
    </row>
    <row r="13397">
      <c r="E13397">
        <f>IF(DATOS!$I13397="","",IFERROR(VLOOKUP(DATOS!$I13397,CONFIG_ASIGNATURAS!$B$2:$J$61,9,FALSE()),""))</f>
      </c>
    </row>
    <row r="13398">
      <c r="E13398">
        <f>IF(DATOS!$I13398="","",IFERROR(VLOOKUP(DATOS!$I13398,CONFIG_ASIGNATURAS!$B$2:$J$61,9,FALSE()),""))</f>
      </c>
    </row>
    <row r="13399">
      <c r="E13399">
        <f>IF(DATOS!$I13399="","",IFERROR(VLOOKUP(DATOS!$I13399,CONFIG_ASIGNATURAS!$B$2:$J$61,9,FALSE()),""))</f>
      </c>
    </row>
    <row r="13400">
      <c r="E13400">
        <f>IF(DATOS!$I13400="","",IFERROR(VLOOKUP(DATOS!$I13400,CONFIG_ASIGNATURAS!$B$2:$J$61,9,FALSE()),""))</f>
      </c>
    </row>
    <row r="13401">
      <c r="E13401">
        <f>IF(DATOS!$I13401="","",IFERROR(VLOOKUP(DATOS!$I13401,CONFIG_ASIGNATURAS!$B$2:$J$61,9,FALSE()),""))</f>
      </c>
    </row>
    <row r="13402">
      <c r="E13402">
        <f>IF(DATOS!$I13402="","",IFERROR(VLOOKUP(DATOS!$I13402,CONFIG_ASIGNATURAS!$B$2:$J$61,9,FALSE()),""))</f>
      </c>
    </row>
    <row r="13403">
      <c r="E13403">
        <f>IF(DATOS!$I13403="","",IFERROR(VLOOKUP(DATOS!$I13403,CONFIG_ASIGNATURAS!$B$2:$J$61,9,FALSE()),""))</f>
      </c>
    </row>
    <row r="13404">
      <c r="E13404">
        <f>IF(DATOS!$I13404="","",IFERROR(VLOOKUP(DATOS!$I13404,CONFIG_ASIGNATURAS!$B$2:$J$61,9,FALSE()),""))</f>
      </c>
    </row>
    <row r="13405">
      <c r="E13405">
        <f>IF(DATOS!$I13405="","",IFERROR(VLOOKUP(DATOS!$I13405,CONFIG_ASIGNATURAS!$B$2:$J$61,9,FALSE()),""))</f>
      </c>
    </row>
    <row r="13406">
      <c r="E13406">
        <f>IF(DATOS!$I13406="","",IFERROR(VLOOKUP(DATOS!$I13406,CONFIG_ASIGNATURAS!$B$2:$J$61,9,FALSE()),""))</f>
      </c>
    </row>
    <row r="13407">
      <c r="E13407">
        <f>IF(DATOS!$I13407="","",IFERROR(VLOOKUP(DATOS!$I13407,CONFIG_ASIGNATURAS!$B$2:$J$61,9,FALSE()),""))</f>
      </c>
    </row>
    <row r="13408">
      <c r="E13408">
        <f>IF(DATOS!$I13408="","",IFERROR(VLOOKUP(DATOS!$I13408,CONFIG_ASIGNATURAS!$B$2:$J$61,9,FALSE()),""))</f>
      </c>
    </row>
    <row r="13409">
      <c r="E13409">
        <f>IF(DATOS!$I13409="","",IFERROR(VLOOKUP(DATOS!$I13409,CONFIG_ASIGNATURAS!$B$2:$J$61,9,FALSE()),""))</f>
      </c>
    </row>
    <row r="13410">
      <c r="E13410">
        <f>IF(DATOS!$I13410="","",IFERROR(VLOOKUP(DATOS!$I13410,CONFIG_ASIGNATURAS!$B$2:$J$61,9,FALSE()),""))</f>
      </c>
    </row>
    <row r="13411">
      <c r="E13411">
        <f>IF(DATOS!$I13411="","",IFERROR(VLOOKUP(DATOS!$I13411,CONFIG_ASIGNATURAS!$B$2:$J$61,9,FALSE()),""))</f>
      </c>
    </row>
    <row r="13412">
      <c r="E13412">
        <f>IF(DATOS!$I13412="","",IFERROR(VLOOKUP(DATOS!$I13412,CONFIG_ASIGNATURAS!$B$2:$J$61,9,FALSE()),""))</f>
      </c>
    </row>
    <row r="13413">
      <c r="E13413">
        <f>IF(DATOS!$I13413="","",IFERROR(VLOOKUP(DATOS!$I13413,CONFIG_ASIGNATURAS!$B$2:$J$61,9,FALSE()),""))</f>
      </c>
    </row>
    <row r="13414">
      <c r="E13414">
        <f>IF(DATOS!$I13414="","",IFERROR(VLOOKUP(DATOS!$I13414,CONFIG_ASIGNATURAS!$B$2:$J$61,9,FALSE()),""))</f>
      </c>
    </row>
    <row r="13415">
      <c r="E13415">
        <f>IF(DATOS!$I13415="","",IFERROR(VLOOKUP(DATOS!$I13415,CONFIG_ASIGNATURAS!$B$2:$J$61,9,FALSE()),""))</f>
      </c>
    </row>
    <row r="13416">
      <c r="E13416">
        <f>IF(DATOS!$I13416="","",IFERROR(VLOOKUP(DATOS!$I13416,CONFIG_ASIGNATURAS!$B$2:$J$61,9,FALSE()),""))</f>
      </c>
    </row>
    <row r="13417">
      <c r="E13417">
        <f>IF(DATOS!$I13417="","",IFERROR(VLOOKUP(DATOS!$I13417,CONFIG_ASIGNATURAS!$B$2:$J$61,9,FALSE()),""))</f>
      </c>
    </row>
    <row r="13418">
      <c r="E13418">
        <f>IF(DATOS!$I13418="","",IFERROR(VLOOKUP(DATOS!$I13418,CONFIG_ASIGNATURAS!$B$2:$J$61,9,FALSE()),""))</f>
      </c>
    </row>
    <row r="13419">
      <c r="E13419">
        <f>IF(DATOS!$I13419="","",IFERROR(VLOOKUP(DATOS!$I13419,CONFIG_ASIGNATURAS!$B$2:$J$61,9,FALSE()),""))</f>
      </c>
    </row>
    <row r="13420">
      <c r="E13420">
        <f>IF(DATOS!$I13420="","",IFERROR(VLOOKUP(DATOS!$I13420,CONFIG_ASIGNATURAS!$B$2:$J$61,9,FALSE()),""))</f>
      </c>
    </row>
    <row r="13421">
      <c r="E13421">
        <f>IF(DATOS!$I13421="","",IFERROR(VLOOKUP(DATOS!$I13421,CONFIG_ASIGNATURAS!$B$2:$J$61,9,FALSE()),""))</f>
      </c>
    </row>
    <row r="13422">
      <c r="E13422">
        <f>IF(DATOS!$I13422="","",IFERROR(VLOOKUP(DATOS!$I13422,CONFIG_ASIGNATURAS!$B$2:$J$61,9,FALSE()),""))</f>
      </c>
    </row>
    <row r="13423">
      <c r="E13423">
        <f>IF(DATOS!$I13423="","",IFERROR(VLOOKUP(DATOS!$I13423,CONFIG_ASIGNATURAS!$B$2:$J$61,9,FALSE()),""))</f>
      </c>
    </row>
    <row r="13424">
      <c r="E13424">
        <f>IF(DATOS!$I13424="","",IFERROR(VLOOKUP(DATOS!$I13424,CONFIG_ASIGNATURAS!$B$2:$J$61,9,FALSE()),""))</f>
      </c>
    </row>
    <row r="13425">
      <c r="E13425">
        <f>IF(DATOS!$I13425="","",IFERROR(VLOOKUP(DATOS!$I13425,CONFIG_ASIGNATURAS!$B$2:$J$61,9,FALSE()),""))</f>
      </c>
    </row>
    <row r="13426">
      <c r="E13426">
        <f>IF(DATOS!$I13426="","",IFERROR(VLOOKUP(DATOS!$I13426,CONFIG_ASIGNATURAS!$B$2:$J$61,9,FALSE()),""))</f>
      </c>
    </row>
    <row r="13427">
      <c r="E13427">
        <f>IF(DATOS!$I13427="","",IFERROR(VLOOKUP(DATOS!$I13427,CONFIG_ASIGNATURAS!$B$2:$J$61,9,FALSE()),""))</f>
      </c>
    </row>
    <row r="13428">
      <c r="E13428">
        <f>IF(DATOS!$I13428="","",IFERROR(VLOOKUP(DATOS!$I13428,CONFIG_ASIGNATURAS!$B$2:$J$61,9,FALSE()),""))</f>
      </c>
    </row>
    <row r="13429">
      <c r="E13429">
        <f>IF(DATOS!$I13429="","",IFERROR(VLOOKUP(DATOS!$I13429,CONFIG_ASIGNATURAS!$B$2:$J$61,9,FALSE()),""))</f>
      </c>
    </row>
    <row r="13430">
      <c r="E13430">
        <f>IF(DATOS!$I13430="","",IFERROR(VLOOKUP(DATOS!$I13430,CONFIG_ASIGNATURAS!$B$2:$J$61,9,FALSE()),""))</f>
      </c>
    </row>
    <row r="13431">
      <c r="E13431">
        <f>IF(DATOS!$I13431="","",IFERROR(VLOOKUP(DATOS!$I13431,CONFIG_ASIGNATURAS!$B$2:$J$61,9,FALSE()),""))</f>
      </c>
    </row>
    <row r="13432">
      <c r="E13432">
        <f>IF(DATOS!$I13432="","",IFERROR(VLOOKUP(DATOS!$I13432,CONFIG_ASIGNATURAS!$B$2:$J$61,9,FALSE()),""))</f>
      </c>
    </row>
    <row r="13433">
      <c r="E13433">
        <f>IF(DATOS!$I13433="","",IFERROR(VLOOKUP(DATOS!$I13433,CONFIG_ASIGNATURAS!$B$2:$J$61,9,FALSE()),""))</f>
      </c>
    </row>
    <row r="13434">
      <c r="E13434">
        <f>IF(DATOS!$I13434="","",IFERROR(VLOOKUP(DATOS!$I13434,CONFIG_ASIGNATURAS!$B$2:$J$61,9,FALSE()),""))</f>
      </c>
    </row>
    <row r="13435">
      <c r="E13435">
        <f>IF(DATOS!$I13435="","",IFERROR(VLOOKUP(DATOS!$I13435,CONFIG_ASIGNATURAS!$B$2:$J$61,9,FALSE()),""))</f>
      </c>
    </row>
    <row r="13436">
      <c r="E13436">
        <f>IF(DATOS!$I13436="","",IFERROR(VLOOKUP(DATOS!$I13436,CONFIG_ASIGNATURAS!$B$2:$J$61,9,FALSE()),""))</f>
      </c>
    </row>
    <row r="13437">
      <c r="E13437">
        <f>IF(DATOS!$I13437="","",IFERROR(VLOOKUP(DATOS!$I13437,CONFIG_ASIGNATURAS!$B$2:$J$61,9,FALSE()),""))</f>
      </c>
    </row>
    <row r="13438">
      <c r="E13438">
        <f>IF(DATOS!$I13438="","",IFERROR(VLOOKUP(DATOS!$I13438,CONFIG_ASIGNATURAS!$B$2:$J$61,9,FALSE()),""))</f>
      </c>
    </row>
    <row r="13439">
      <c r="E13439">
        <f>IF(DATOS!$I13439="","",IFERROR(VLOOKUP(DATOS!$I13439,CONFIG_ASIGNATURAS!$B$2:$J$61,9,FALSE()),""))</f>
      </c>
    </row>
    <row r="13440">
      <c r="E13440">
        <f>IF(DATOS!$I13440="","",IFERROR(VLOOKUP(DATOS!$I13440,CONFIG_ASIGNATURAS!$B$2:$J$61,9,FALSE()),""))</f>
      </c>
    </row>
    <row r="13441">
      <c r="E13441">
        <f>IF(DATOS!$I13441="","",IFERROR(VLOOKUP(DATOS!$I13441,CONFIG_ASIGNATURAS!$B$2:$J$61,9,FALSE()),""))</f>
      </c>
    </row>
    <row r="13442">
      <c r="E13442">
        <f>IF(DATOS!$I13442="","",IFERROR(VLOOKUP(DATOS!$I13442,CONFIG_ASIGNATURAS!$B$2:$J$61,9,FALSE()),""))</f>
      </c>
    </row>
    <row r="13443">
      <c r="E13443">
        <f>IF(DATOS!$I13443="","",IFERROR(VLOOKUP(DATOS!$I13443,CONFIG_ASIGNATURAS!$B$2:$J$61,9,FALSE()),""))</f>
      </c>
    </row>
    <row r="13444">
      <c r="E13444">
        <f>IF(DATOS!$I13444="","",IFERROR(VLOOKUP(DATOS!$I13444,CONFIG_ASIGNATURAS!$B$2:$J$61,9,FALSE()),""))</f>
      </c>
    </row>
    <row r="13445">
      <c r="E13445">
        <f>IF(DATOS!$I13445="","",IFERROR(VLOOKUP(DATOS!$I13445,CONFIG_ASIGNATURAS!$B$2:$J$61,9,FALSE()),""))</f>
      </c>
    </row>
    <row r="13446">
      <c r="E13446">
        <f>IF(DATOS!$I13446="","",IFERROR(VLOOKUP(DATOS!$I13446,CONFIG_ASIGNATURAS!$B$2:$J$61,9,FALSE()),""))</f>
      </c>
    </row>
    <row r="13447">
      <c r="E13447">
        <f>IF(DATOS!$I13447="","",IFERROR(VLOOKUP(DATOS!$I13447,CONFIG_ASIGNATURAS!$B$2:$J$61,9,FALSE()),""))</f>
      </c>
    </row>
    <row r="13448">
      <c r="E13448">
        <f>IF(DATOS!$I13448="","",IFERROR(VLOOKUP(DATOS!$I13448,CONFIG_ASIGNATURAS!$B$2:$J$61,9,FALSE()),""))</f>
      </c>
    </row>
    <row r="13449">
      <c r="E13449">
        <f>IF(DATOS!$I13449="","",IFERROR(VLOOKUP(DATOS!$I13449,CONFIG_ASIGNATURAS!$B$2:$J$61,9,FALSE()),""))</f>
      </c>
    </row>
    <row r="13450">
      <c r="E13450">
        <f>IF(DATOS!$I13450="","",IFERROR(VLOOKUP(DATOS!$I13450,CONFIG_ASIGNATURAS!$B$2:$J$61,9,FALSE()),""))</f>
      </c>
    </row>
    <row r="13451">
      <c r="E13451">
        <f>IF(DATOS!$I13451="","",IFERROR(VLOOKUP(DATOS!$I13451,CONFIG_ASIGNATURAS!$B$2:$J$61,9,FALSE()),""))</f>
      </c>
    </row>
    <row r="13452">
      <c r="E13452">
        <f>IF(DATOS!$I13452="","",IFERROR(VLOOKUP(DATOS!$I13452,CONFIG_ASIGNATURAS!$B$2:$J$61,9,FALSE()),""))</f>
      </c>
    </row>
    <row r="13453">
      <c r="E13453">
        <f>IF(DATOS!$I13453="","",IFERROR(VLOOKUP(DATOS!$I13453,CONFIG_ASIGNATURAS!$B$2:$J$61,9,FALSE()),""))</f>
      </c>
    </row>
    <row r="13454">
      <c r="E13454">
        <f>IF(DATOS!$I13454="","",IFERROR(VLOOKUP(DATOS!$I13454,CONFIG_ASIGNATURAS!$B$2:$J$61,9,FALSE()),""))</f>
      </c>
    </row>
    <row r="13455">
      <c r="E13455">
        <f>IF(DATOS!$I13455="","",IFERROR(VLOOKUP(DATOS!$I13455,CONFIG_ASIGNATURAS!$B$2:$J$61,9,FALSE()),""))</f>
      </c>
    </row>
    <row r="13456">
      <c r="E13456">
        <f>IF(DATOS!$I13456="","",IFERROR(VLOOKUP(DATOS!$I13456,CONFIG_ASIGNATURAS!$B$2:$J$61,9,FALSE()),""))</f>
      </c>
    </row>
    <row r="13457">
      <c r="E13457">
        <f>IF(DATOS!$I13457="","",IFERROR(VLOOKUP(DATOS!$I13457,CONFIG_ASIGNATURAS!$B$2:$J$61,9,FALSE()),""))</f>
      </c>
    </row>
    <row r="13458">
      <c r="E13458">
        <f>IF(DATOS!$I13458="","",IFERROR(VLOOKUP(DATOS!$I13458,CONFIG_ASIGNATURAS!$B$2:$J$61,9,FALSE()),""))</f>
      </c>
    </row>
    <row r="13459">
      <c r="E13459">
        <f>IF(DATOS!$I13459="","",IFERROR(VLOOKUP(DATOS!$I13459,CONFIG_ASIGNATURAS!$B$2:$J$61,9,FALSE()),""))</f>
      </c>
    </row>
    <row r="13460">
      <c r="E13460">
        <f>IF(DATOS!$I13460="","",IFERROR(VLOOKUP(DATOS!$I13460,CONFIG_ASIGNATURAS!$B$2:$J$61,9,FALSE()),""))</f>
      </c>
    </row>
    <row r="13461">
      <c r="E13461">
        <f>IF(DATOS!$I13461="","",IFERROR(VLOOKUP(DATOS!$I13461,CONFIG_ASIGNATURAS!$B$2:$J$61,9,FALSE()),""))</f>
      </c>
    </row>
    <row r="13462">
      <c r="E13462">
        <f>IF(DATOS!$I13462="","",IFERROR(VLOOKUP(DATOS!$I13462,CONFIG_ASIGNATURAS!$B$2:$J$61,9,FALSE()),""))</f>
      </c>
    </row>
    <row r="13463">
      <c r="E13463">
        <f>IF(DATOS!$I13463="","",IFERROR(VLOOKUP(DATOS!$I13463,CONFIG_ASIGNATURAS!$B$2:$J$61,9,FALSE()),""))</f>
      </c>
    </row>
    <row r="13464">
      <c r="E13464">
        <f>IF(DATOS!$I13464="","",IFERROR(VLOOKUP(DATOS!$I13464,CONFIG_ASIGNATURAS!$B$2:$J$61,9,FALSE()),""))</f>
      </c>
    </row>
    <row r="13465">
      <c r="E13465">
        <f>IF(DATOS!$I13465="","",IFERROR(VLOOKUP(DATOS!$I13465,CONFIG_ASIGNATURAS!$B$2:$J$61,9,FALSE()),""))</f>
      </c>
    </row>
    <row r="13466">
      <c r="E13466">
        <f>IF(DATOS!$I13466="","",IFERROR(VLOOKUP(DATOS!$I13466,CONFIG_ASIGNATURAS!$B$2:$J$61,9,FALSE()),""))</f>
      </c>
    </row>
    <row r="13467">
      <c r="E13467">
        <f>IF(DATOS!$I13467="","",IFERROR(VLOOKUP(DATOS!$I13467,CONFIG_ASIGNATURAS!$B$2:$J$61,9,FALSE()),""))</f>
      </c>
    </row>
    <row r="13468">
      <c r="E13468">
        <f>IF(DATOS!$I13468="","",IFERROR(VLOOKUP(DATOS!$I13468,CONFIG_ASIGNATURAS!$B$2:$J$61,9,FALSE()),""))</f>
      </c>
    </row>
    <row r="13469">
      <c r="E13469">
        <f>IF(DATOS!$I13469="","",IFERROR(VLOOKUP(DATOS!$I13469,CONFIG_ASIGNATURAS!$B$2:$J$61,9,FALSE()),""))</f>
      </c>
    </row>
    <row r="13470">
      <c r="E13470">
        <f>IF(DATOS!$I13470="","",IFERROR(VLOOKUP(DATOS!$I13470,CONFIG_ASIGNATURAS!$B$2:$J$61,9,FALSE()),""))</f>
      </c>
    </row>
    <row r="13471">
      <c r="E13471">
        <f>IF(DATOS!$I13471="","",IFERROR(VLOOKUP(DATOS!$I13471,CONFIG_ASIGNATURAS!$B$2:$J$61,9,FALSE()),""))</f>
      </c>
    </row>
    <row r="13472">
      <c r="E13472">
        <f>IF(DATOS!$I13472="","",IFERROR(VLOOKUP(DATOS!$I13472,CONFIG_ASIGNATURAS!$B$2:$J$61,9,FALSE()),""))</f>
      </c>
    </row>
    <row r="13473">
      <c r="E13473">
        <f>IF(DATOS!$I13473="","",IFERROR(VLOOKUP(DATOS!$I13473,CONFIG_ASIGNATURAS!$B$2:$J$61,9,FALSE()),""))</f>
      </c>
    </row>
    <row r="13474">
      <c r="E13474">
        <f>IF(DATOS!$I13474="","",IFERROR(VLOOKUP(DATOS!$I13474,CONFIG_ASIGNATURAS!$B$2:$J$61,9,FALSE()),""))</f>
      </c>
    </row>
    <row r="13475">
      <c r="E13475">
        <f>IF(DATOS!$I13475="","",IFERROR(VLOOKUP(DATOS!$I13475,CONFIG_ASIGNATURAS!$B$2:$J$61,9,FALSE()),""))</f>
      </c>
    </row>
    <row r="13476">
      <c r="E13476">
        <f>IF(DATOS!$I13476="","",IFERROR(VLOOKUP(DATOS!$I13476,CONFIG_ASIGNATURAS!$B$2:$J$61,9,FALSE()),""))</f>
      </c>
    </row>
    <row r="13477">
      <c r="E13477">
        <f>IF(DATOS!$I13477="","",IFERROR(VLOOKUP(DATOS!$I13477,CONFIG_ASIGNATURAS!$B$2:$J$61,9,FALSE()),""))</f>
      </c>
    </row>
    <row r="13478">
      <c r="E13478">
        <f>IF(DATOS!$I13478="","",IFERROR(VLOOKUP(DATOS!$I13478,CONFIG_ASIGNATURAS!$B$2:$J$61,9,FALSE()),""))</f>
      </c>
    </row>
    <row r="13479">
      <c r="E13479">
        <f>IF(DATOS!$I13479="","",IFERROR(VLOOKUP(DATOS!$I13479,CONFIG_ASIGNATURAS!$B$2:$J$61,9,FALSE()),""))</f>
      </c>
    </row>
    <row r="13480">
      <c r="E13480">
        <f>IF(DATOS!$I13480="","",IFERROR(VLOOKUP(DATOS!$I13480,CONFIG_ASIGNATURAS!$B$2:$J$61,9,FALSE()),""))</f>
      </c>
    </row>
    <row r="13481">
      <c r="E13481">
        <f>IF(DATOS!$I13481="","",IFERROR(VLOOKUP(DATOS!$I13481,CONFIG_ASIGNATURAS!$B$2:$J$61,9,FALSE()),""))</f>
      </c>
    </row>
    <row r="13482">
      <c r="E13482">
        <f>IF(DATOS!$I13482="","",IFERROR(VLOOKUP(DATOS!$I13482,CONFIG_ASIGNATURAS!$B$2:$J$61,9,FALSE()),""))</f>
      </c>
    </row>
    <row r="13483">
      <c r="E13483">
        <f>IF(DATOS!$I13483="","",IFERROR(VLOOKUP(DATOS!$I13483,CONFIG_ASIGNATURAS!$B$2:$J$61,9,FALSE()),""))</f>
      </c>
    </row>
    <row r="13484">
      <c r="E13484">
        <f>IF(DATOS!$I13484="","",IFERROR(VLOOKUP(DATOS!$I13484,CONFIG_ASIGNATURAS!$B$2:$J$61,9,FALSE()),""))</f>
      </c>
    </row>
    <row r="13485">
      <c r="E13485">
        <f>IF(DATOS!$I13485="","",IFERROR(VLOOKUP(DATOS!$I13485,CONFIG_ASIGNATURAS!$B$2:$J$61,9,FALSE()),""))</f>
      </c>
    </row>
    <row r="13486">
      <c r="E13486">
        <f>IF(DATOS!$I13486="","",IFERROR(VLOOKUP(DATOS!$I13486,CONFIG_ASIGNATURAS!$B$2:$J$61,9,FALSE()),""))</f>
      </c>
    </row>
    <row r="13487">
      <c r="E13487">
        <f>IF(DATOS!$I13487="","",IFERROR(VLOOKUP(DATOS!$I13487,CONFIG_ASIGNATURAS!$B$2:$J$61,9,FALSE()),""))</f>
      </c>
    </row>
    <row r="13488">
      <c r="E13488">
        <f>IF(DATOS!$I13488="","",IFERROR(VLOOKUP(DATOS!$I13488,CONFIG_ASIGNATURAS!$B$2:$J$61,9,FALSE()),""))</f>
      </c>
    </row>
    <row r="13489">
      <c r="E13489">
        <f>IF(DATOS!$I13489="","",IFERROR(VLOOKUP(DATOS!$I13489,CONFIG_ASIGNATURAS!$B$2:$J$61,9,FALSE()),""))</f>
      </c>
    </row>
    <row r="13490">
      <c r="E13490">
        <f>IF(DATOS!$I13490="","",IFERROR(VLOOKUP(DATOS!$I13490,CONFIG_ASIGNATURAS!$B$2:$J$61,9,FALSE()),""))</f>
      </c>
    </row>
    <row r="13491">
      <c r="E13491">
        <f>IF(DATOS!$I13491="","",IFERROR(VLOOKUP(DATOS!$I13491,CONFIG_ASIGNATURAS!$B$2:$J$61,9,FALSE()),""))</f>
      </c>
    </row>
    <row r="13492">
      <c r="E13492">
        <f>IF(DATOS!$I13492="","",IFERROR(VLOOKUP(DATOS!$I13492,CONFIG_ASIGNATURAS!$B$2:$J$61,9,FALSE()),""))</f>
      </c>
    </row>
    <row r="13493">
      <c r="E13493">
        <f>IF(DATOS!$I13493="","",IFERROR(VLOOKUP(DATOS!$I13493,CONFIG_ASIGNATURAS!$B$2:$J$61,9,FALSE()),""))</f>
      </c>
    </row>
    <row r="13494">
      <c r="E13494">
        <f>IF(DATOS!$I13494="","",IFERROR(VLOOKUP(DATOS!$I13494,CONFIG_ASIGNATURAS!$B$2:$J$61,9,FALSE()),""))</f>
      </c>
    </row>
    <row r="13495">
      <c r="E13495">
        <f>IF(DATOS!$I13495="","",IFERROR(VLOOKUP(DATOS!$I13495,CONFIG_ASIGNATURAS!$B$2:$J$61,9,FALSE()),""))</f>
      </c>
    </row>
    <row r="13496">
      <c r="E13496">
        <f>IF(DATOS!$I13496="","",IFERROR(VLOOKUP(DATOS!$I13496,CONFIG_ASIGNATURAS!$B$2:$J$61,9,FALSE()),""))</f>
      </c>
    </row>
    <row r="13497">
      <c r="E13497">
        <f>IF(DATOS!$I13497="","",IFERROR(VLOOKUP(DATOS!$I13497,CONFIG_ASIGNATURAS!$B$2:$J$61,9,FALSE()),""))</f>
      </c>
    </row>
    <row r="13498">
      <c r="E13498">
        <f>IF(DATOS!$I13498="","",IFERROR(VLOOKUP(DATOS!$I13498,CONFIG_ASIGNATURAS!$B$2:$J$61,9,FALSE()),""))</f>
      </c>
    </row>
    <row r="13499">
      <c r="E13499">
        <f>IF(DATOS!$I13499="","",IFERROR(VLOOKUP(DATOS!$I13499,CONFIG_ASIGNATURAS!$B$2:$J$61,9,FALSE()),""))</f>
      </c>
    </row>
    <row r="13500">
      <c r="E13500">
        <f>IF(DATOS!$I13500="","",IFERROR(VLOOKUP(DATOS!$I13500,CONFIG_ASIGNATURAS!$B$2:$J$61,9,FALSE()),""))</f>
      </c>
    </row>
    <row r="13501">
      <c r="E13501">
        <f>IF(DATOS!$I13501="","",IFERROR(VLOOKUP(DATOS!$I13501,CONFIG_ASIGNATURAS!$B$2:$J$61,9,FALSE()),""))</f>
      </c>
    </row>
    <row r="13502">
      <c r="E13502">
        <f>IF(DATOS!$I13502="","",IFERROR(VLOOKUP(DATOS!$I13502,CONFIG_ASIGNATURAS!$B$2:$J$61,9,FALSE()),""))</f>
      </c>
    </row>
    <row r="13503">
      <c r="E13503">
        <f>IF(DATOS!$I13503="","",IFERROR(VLOOKUP(DATOS!$I13503,CONFIG_ASIGNATURAS!$B$2:$J$61,9,FALSE()),""))</f>
      </c>
    </row>
    <row r="13504">
      <c r="E13504">
        <f>IF(DATOS!$I13504="","",IFERROR(VLOOKUP(DATOS!$I13504,CONFIG_ASIGNATURAS!$B$2:$J$61,9,FALSE()),""))</f>
      </c>
    </row>
    <row r="13505">
      <c r="E13505">
        <f>IF(DATOS!$I13505="","",IFERROR(VLOOKUP(DATOS!$I13505,CONFIG_ASIGNATURAS!$B$2:$J$61,9,FALSE()),""))</f>
      </c>
    </row>
    <row r="13506">
      <c r="E13506">
        <f>IF(DATOS!$I13506="","",IFERROR(VLOOKUP(DATOS!$I13506,CONFIG_ASIGNATURAS!$B$2:$J$61,9,FALSE()),""))</f>
      </c>
    </row>
    <row r="13507">
      <c r="E13507">
        <f>IF(DATOS!$I13507="","",IFERROR(VLOOKUP(DATOS!$I13507,CONFIG_ASIGNATURAS!$B$2:$J$61,9,FALSE()),""))</f>
      </c>
    </row>
    <row r="13508">
      <c r="E13508">
        <f>IF(DATOS!$I13508="","",IFERROR(VLOOKUP(DATOS!$I13508,CONFIG_ASIGNATURAS!$B$2:$J$61,9,FALSE()),""))</f>
      </c>
    </row>
    <row r="13509">
      <c r="E13509">
        <f>IF(DATOS!$I13509="","",IFERROR(VLOOKUP(DATOS!$I13509,CONFIG_ASIGNATURAS!$B$2:$J$61,9,FALSE()),""))</f>
      </c>
    </row>
    <row r="13510">
      <c r="E13510">
        <f>IF(DATOS!$I13510="","",IFERROR(VLOOKUP(DATOS!$I13510,CONFIG_ASIGNATURAS!$B$2:$J$61,9,FALSE()),""))</f>
      </c>
    </row>
    <row r="13511">
      <c r="E13511">
        <f>IF(DATOS!$I13511="","",IFERROR(VLOOKUP(DATOS!$I13511,CONFIG_ASIGNATURAS!$B$2:$J$61,9,FALSE()),""))</f>
      </c>
    </row>
    <row r="13512">
      <c r="E13512">
        <f>IF(DATOS!$I13512="","",IFERROR(VLOOKUP(DATOS!$I13512,CONFIG_ASIGNATURAS!$B$2:$J$61,9,FALSE()),""))</f>
      </c>
    </row>
    <row r="13513">
      <c r="E13513">
        <f>IF(DATOS!$I13513="","",IFERROR(VLOOKUP(DATOS!$I13513,CONFIG_ASIGNATURAS!$B$2:$J$61,9,FALSE()),""))</f>
      </c>
    </row>
    <row r="13514">
      <c r="E13514">
        <f>IF(DATOS!$I13514="","",IFERROR(VLOOKUP(DATOS!$I13514,CONFIG_ASIGNATURAS!$B$2:$J$61,9,FALSE()),""))</f>
      </c>
    </row>
    <row r="13515">
      <c r="E13515">
        <f>IF(DATOS!$I13515="","",IFERROR(VLOOKUP(DATOS!$I13515,CONFIG_ASIGNATURAS!$B$2:$J$61,9,FALSE()),""))</f>
      </c>
    </row>
    <row r="13516">
      <c r="E13516">
        <f>IF(DATOS!$I13516="","",IFERROR(VLOOKUP(DATOS!$I13516,CONFIG_ASIGNATURAS!$B$2:$J$61,9,FALSE()),""))</f>
      </c>
    </row>
    <row r="13517">
      <c r="E13517">
        <f>IF(DATOS!$I13517="","",IFERROR(VLOOKUP(DATOS!$I13517,CONFIG_ASIGNATURAS!$B$2:$J$61,9,FALSE()),""))</f>
      </c>
    </row>
    <row r="13518">
      <c r="E13518">
        <f>IF(DATOS!$I13518="","",IFERROR(VLOOKUP(DATOS!$I13518,CONFIG_ASIGNATURAS!$B$2:$J$61,9,FALSE()),""))</f>
      </c>
    </row>
    <row r="13519">
      <c r="E13519">
        <f>IF(DATOS!$I13519="","",IFERROR(VLOOKUP(DATOS!$I13519,CONFIG_ASIGNATURAS!$B$2:$J$61,9,FALSE()),""))</f>
      </c>
    </row>
    <row r="13520">
      <c r="E13520">
        <f>IF(DATOS!$I13520="","",IFERROR(VLOOKUP(DATOS!$I13520,CONFIG_ASIGNATURAS!$B$2:$J$61,9,FALSE()),""))</f>
      </c>
    </row>
    <row r="13521">
      <c r="E13521">
        <f>IF(DATOS!$I13521="","",IFERROR(VLOOKUP(DATOS!$I13521,CONFIG_ASIGNATURAS!$B$2:$J$61,9,FALSE()),""))</f>
      </c>
    </row>
    <row r="13522">
      <c r="E13522">
        <f>IF(DATOS!$I13522="","",IFERROR(VLOOKUP(DATOS!$I13522,CONFIG_ASIGNATURAS!$B$2:$J$61,9,FALSE()),""))</f>
      </c>
    </row>
    <row r="13523">
      <c r="E13523">
        <f>IF(DATOS!$I13523="","",IFERROR(VLOOKUP(DATOS!$I13523,CONFIG_ASIGNATURAS!$B$2:$J$61,9,FALSE()),""))</f>
      </c>
    </row>
    <row r="13524">
      <c r="E13524">
        <f>IF(DATOS!$I13524="","",IFERROR(VLOOKUP(DATOS!$I13524,CONFIG_ASIGNATURAS!$B$2:$J$61,9,FALSE()),""))</f>
      </c>
    </row>
    <row r="13525">
      <c r="E13525">
        <f>IF(DATOS!$I13525="","",IFERROR(VLOOKUP(DATOS!$I13525,CONFIG_ASIGNATURAS!$B$2:$J$61,9,FALSE()),""))</f>
      </c>
    </row>
    <row r="13526">
      <c r="E13526">
        <f>IF(DATOS!$I13526="","",IFERROR(VLOOKUP(DATOS!$I13526,CONFIG_ASIGNATURAS!$B$2:$J$61,9,FALSE()),""))</f>
      </c>
    </row>
    <row r="13527">
      <c r="E13527">
        <f>IF(DATOS!$I13527="","",IFERROR(VLOOKUP(DATOS!$I13527,CONFIG_ASIGNATURAS!$B$2:$J$61,9,FALSE()),""))</f>
      </c>
    </row>
    <row r="13528">
      <c r="E13528">
        <f>IF(DATOS!$I13528="","",IFERROR(VLOOKUP(DATOS!$I13528,CONFIG_ASIGNATURAS!$B$2:$J$61,9,FALSE()),""))</f>
      </c>
    </row>
    <row r="13529">
      <c r="E13529">
        <f>IF(DATOS!$I13529="","",IFERROR(VLOOKUP(DATOS!$I13529,CONFIG_ASIGNATURAS!$B$2:$J$61,9,FALSE()),""))</f>
      </c>
    </row>
    <row r="13530">
      <c r="E13530">
        <f>IF(DATOS!$I13530="","",IFERROR(VLOOKUP(DATOS!$I13530,CONFIG_ASIGNATURAS!$B$2:$J$61,9,FALSE()),""))</f>
      </c>
    </row>
    <row r="13531">
      <c r="E13531">
        <f>IF(DATOS!$I13531="","",IFERROR(VLOOKUP(DATOS!$I13531,CONFIG_ASIGNATURAS!$B$2:$J$61,9,FALSE()),""))</f>
      </c>
    </row>
    <row r="13532">
      <c r="E13532">
        <f>IF(DATOS!$I13532="","",IFERROR(VLOOKUP(DATOS!$I13532,CONFIG_ASIGNATURAS!$B$2:$J$61,9,FALSE()),""))</f>
      </c>
    </row>
    <row r="13533">
      <c r="E13533">
        <f>IF(DATOS!$I13533="","",IFERROR(VLOOKUP(DATOS!$I13533,CONFIG_ASIGNATURAS!$B$2:$J$61,9,FALSE()),""))</f>
      </c>
    </row>
    <row r="13534">
      <c r="E13534">
        <f>IF(DATOS!$I13534="","",IFERROR(VLOOKUP(DATOS!$I13534,CONFIG_ASIGNATURAS!$B$2:$J$61,9,FALSE()),""))</f>
      </c>
    </row>
    <row r="13535">
      <c r="E13535">
        <f>IF(DATOS!$I13535="","",IFERROR(VLOOKUP(DATOS!$I13535,CONFIG_ASIGNATURAS!$B$2:$J$61,9,FALSE()),""))</f>
      </c>
    </row>
    <row r="13536">
      <c r="E13536">
        <f>IF(DATOS!$I13536="","",IFERROR(VLOOKUP(DATOS!$I13536,CONFIG_ASIGNATURAS!$B$2:$J$61,9,FALSE()),""))</f>
      </c>
    </row>
    <row r="13537">
      <c r="E13537">
        <f>IF(DATOS!$I13537="","",IFERROR(VLOOKUP(DATOS!$I13537,CONFIG_ASIGNATURAS!$B$2:$J$61,9,FALSE()),""))</f>
      </c>
    </row>
    <row r="13538">
      <c r="E13538">
        <f>IF(DATOS!$I13538="","",IFERROR(VLOOKUP(DATOS!$I13538,CONFIG_ASIGNATURAS!$B$2:$J$61,9,FALSE()),""))</f>
      </c>
    </row>
    <row r="13539">
      <c r="E13539">
        <f>IF(DATOS!$I13539="","",IFERROR(VLOOKUP(DATOS!$I13539,CONFIG_ASIGNATURAS!$B$2:$J$61,9,FALSE()),""))</f>
      </c>
    </row>
    <row r="13540">
      <c r="E13540">
        <f>IF(DATOS!$I13540="","",IFERROR(VLOOKUP(DATOS!$I13540,CONFIG_ASIGNATURAS!$B$2:$J$61,9,FALSE()),""))</f>
      </c>
    </row>
    <row r="13541">
      <c r="E13541">
        <f>IF(DATOS!$I13541="","",IFERROR(VLOOKUP(DATOS!$I13541,CONFIG_ASIGNATURAS!$B$2:$J$61,9,FALSE()),""))</f>
      </c>
    </row>
    <row r="13542">
      <c r="E13542">
        <f>IF(DATOS!$I13542="","",IFERROR(VLOOKUP(DATOS!$I13542,CONFIG_ASIGNATURAS!$B$2:$J$61,9,FALSE()),""))</f>
      </c>
    </row>
    <row r="13543">
      <c r="E13543">
        <f>IF(DATOS!$I13543="","",IFERROR(VLOOKUP(DATOS!$I13543,CONFIG_ASIGNATURAS!$B$2:$J$61,9,FALSE()),""))</f>
      </c>
    </row>
    <row r="13544">
      <c r="E13544">
        <f>IF(DATOS!$I13544="","",IFERROR(VLOOKUP(DATOS!$I13544,CONFIG_ASIGNATURAS!$B$2:$J$61,9,FALSE()),""))</f>
      </c>
    </row>
    <row r="13545">
      <c r="E13545">
        <f>IF(DATOS!$I13545="","",IFERROR(VLOOKUP(DATOS!$I13545,CONFIG_ASIGNATURAS!$B$2:$J$61,9,FALSE()),""))</f>
      </c>
    </row>
    <row r="13546">
      <c r="E13546">
        <f>IF(DATOS!$I13546="","",IFERROR(VLOOKUP(DATOS!$I13546,CONFIG_ASIGNATURAS!$B$2:$J$61,9,FALSE()),""))</f>
      </c>
    </row>
    <row r="13547">
      <c r="E13547">
        <f>IF(DATOS!$I13547="","",IFERROR(VLOOKUP(DATOS!$I13547,CONFIG_ASIGNATURAS!$B$2:$J$61,9,FALSE()),""))</f>
      </c>
    </row>
    <row r="13548">
      <c r="E13548">
        <f>IF(DATOS!$I13548="","",IFERROR(VLOOKUP(DATOS!$I13548,CONFIG_ASIGNATURAS!$B$2:$J$61,9,FALSE()),""))</f>
      </c>
    </row>
    <row r="13549">
      <c r="E13549">
        <f>IF(DATOS!$I13549="","",IFERROR(VLOOKUP(DATOS!$I13549,CONFIG_ASIGNATURAS!$B$2:$J$61,9,FALSE()),""))</f>
      </c>
    </row>
    <row r="13550">
      <c r="E13550">
        <f>IF(DATOS!$I13550="","",IFERROR(VLOOKUP(DATOS!$I13550,CONFIG_ASIGNATURAS!$B$2:$J$61,9,FALSE()),""))</f>
      </c>
    </row>
    <row r="13551">
      <c r="E13551">
        <f>IF(DATOS!$I13551="","",IFERROR(VLOOKUP(DATOS!$I13551,CONFIG_ASIGNATURAS!$B$2:$J$61,9,FALSE()),""))</f>
      </c>
    </row>
    <row r="13552">
      <c r="E13552">
        <f>IF(DATOS!$I13552="","",IFERROR(VLOOKUP(DATOS!$I13552,CONFIG_ASIGNATURAS!$B$2:$J$61,9,FALSE()),""))</f>
      </c>
    </row>
    <row r="13553">
      <c r="E13553">
        <f>IF(DATOS!$I13553="","",IFERROR(VLOOKUP(DATOS!$I13553,CONFIG_ASIGNATURAS!$B$2:$J$61,9,FALSE()),""))</f>
      </c>
    </row>
    <row r="13554">
      <c r="E13554">
        <f>IF(DATOS!$I13554="","",IFERROR(VLOOKUP(DATOS!$I13554,CONFIG_ASIGNATURAS!$B$2:$J$61,9,FALSE()),""))</f>
      </c>
    </row>
    <row r="13555">
      <c r="E13555">
        <f>IF(DATOS!$I13555="","",IFERROR(VLOOKUP(DATOS!$I13555,CONFIG_ASIGNATURAS!$B$2:$J$61,9,FALSE()),""))</f>
      </c>
    </row>
    <row r="13556">
      <c r="E13556">
        <f>IF(DATOS!$I13556="","",IFERROR(VLOOKUP(DATOS!$I13556,CONFIG_ASIGNATURAS!$B$2:$J$61,9,FALSE()),""))</f>
      </c>
    </row>
    <row r="13557">
      <c r="E13557">
        <f>IF(DATOS!$I13557="","",IFERROR(VLOOKUP(DATOS!$I13557,CONFIG_ASIGNATURAS!$B$2:$J$61,9,FALSE()),""))</f>
      </c>
    </row>
    <row r="13558">
      <c r="E13558">
        <f>IF(DATOS!$I13558="","",IFERROR(VLOOKUP(DATOS!$I13558,CONFIG_ASIGNATURAS!$B$2:$J$61,9,FALSE()),""))</f>
      </c>
    </row>
    <row r="13559">
      <c r="E13559">
        <f>IF(DATOS!$I13559="","",IFERROR(VLOOKUP(DATOS!$I13559,CONFIG_ASIGNATURAS!$B$2:$J$61,9,FALSE()),""))</f>
      </c>
    </row>
    <row r="13560">
      <c r="E13560">
        <f>IF(DATOS!$I13560="","",IFERROR(VLOOKUP(DATOS!$I13560,CONFIG_ASIGNATURAS!$B$2:$J$61,9,FALSE()),""))</f>
      </c>
    </row>
    <row r="13561">
      <c r="E13561">
        <f>IF(DATOS!$I13561="","",IFERROR(VLOOKUP(DATOS!$I13561,CONFIG_ASIGNATURAS!$B$2:$J$61,9,FALSE()),""))</f>
      </c>
    </row>
    <row r="13562">
      <c r="E13562">
        <f>IF(DATOS!$I13562="","",IFERROR(VLOOKUP(DATOS!$I13562,CONFIG_ASIGNATURAS!$B$2:$J$61,9,FALSE()),""))</f>
      </c>
    </row>
    <row r="13563">
      <c r="E13563">
        <f>IF(DATOS!$I13563="","",IFERROR(VLOOKUP(DATOS!$I13563,CONFIG_ASIGNATURAS!$B$2:$J$61,9,FALSE()),""))</f>
      </c>
    </row>
    <row r="13564">
      <c r="E13564">
        <f>IF(DATOS!$I13564="","",IFERROR(VLOOKUP(DATOS!$I13564,CONFIG_ASIGNATURAS!$B$2:$J$61,9,FALSE()),""))</f>
      </c>
    </row>
    <row r="13565">
      <c r="E13565">
        <f>IF(DATOS!$I13565="","",IFERROR(VLOOKUP(DATOS!$I13565,CONFIG_ASIGNATURAS!$B$2:$J$61,9,FALSE()),""))</f>
      </c>
    </row>
    <row r="13566">
      <c r="E13566">
        <f>IF(DATOS!$I13566="","",IFERROR(VLOOKUP(DATOS!$I13566,CONFIG_ASIGNATURAS!$B$2:$J$61,9,FALSE()),""))</f>
      </c>
    </row>
    <row r="13567">
      <c r="E13567">
        <f>IF(DATOS!$I13567="","",IFERROR(VLOOKUP(DATOS!$I13567,CONFIG_ASIGNATURAS!$B$2:$J$61,9,FALSE()),""))</f>
      </c>
    </row>
    <row r="13568">
      <c r="E13568">
        <f>IF(DATOS!$I13568="","",IFERROR(VLOOKUP(DATOS!$I13568,CONFIG_ASIGNATURAS!$B$2:$J$61,9,FALSE()),""))</f>
      </c>
    </row>
    <row r="13569">
      <c r="E13569">
        <f>IF(DATOS!$I13569="","",IFERROR(VLOOKUP(DATOS!$I13569,CONFIG_ASIGNATURAS!$B$2:$J$61,9,FALSE()),""))</f>
      </c>
    </row>
    <row r="13570">
      <c r="E13570">
        <f>IF(DATOS!$I13570="","",IFERROR(VLOOKUP(DATOS!$I13570,CONFIG_ASIGNATURAS!$B$2:$J$61,9,FALSE()),""))</f>
      </c>
    </row>
    <row r="13571">
      <c r="E13571">
        <f>IF(DATOS!$I13571="","",IFERROR(VLOOKUP(DATOS!$I13571,CONFIG_ASIGNATURAS!$B$2:$J$61,9,FALSE()),""))</f>
      </c>
    </row>
    <row r="13572">
      <c r="E13572">
        <f>IF(DATOS!$I13572="","",IFERROR(VLOOKUP(DATOS!$I13572,CONFIG_ASIGNATURAS!$B$2:$J$61,9,FALSE()),""))</f>
      </c>
    </row>
    <row r="13573">
      <c r="E13573">
        <f>IF(DATOS!$I13573="","",IFERROR(VLOOKUP(DATOS!$I13573,CONFIG_ASIGNATURAS!$B$2:$J$61,9,FALSE()),""))</f>
      </c>
    </row>
    <row r="13574">
      <c r="E13574">
        <f>IF(DATOS!$I13574="","",IFERROR(VLOOKUP(DATOS!$I13574,CONFIG_ASIGNATURAS!$B$2:$J$61,9,FALSE()),""))</f>
      </c>
    </row>
    <row r="13575">
      <c r="E13575">
        <f>IF(DATOS!$I13575="","",IFERROR(VLOOKUP(DATOS!$I13575,CONFIG_ASIGNATURAS!$B$2:$J$61,9,FALSE()),""))</f>
      </c>
    </row>
    <row r="13576">
      <c r="E13576">
        <f>IF(DATOS!$I13576="","",IFERROR(VLOOKUP(DATOS!$I13576,CONFIG_ASIGNATURAS!$B$2:$J$61,9,FALSE()),""))</f>
      </c>
    </row>
    <row r="13577">
      <c r="E13577">
        <f>IF(DATOS!$I13577="","",IFERROR(VLOOKUP(DATOS!$I13577,CONFIG_ASIGNATURAS!$B$2:$J$61,9,FALSE()),""))</f>
      </c>
    </row>
    <row r="13578">
      <c r="E13578">
        <f>IF(DATOS!$I13578="","",IFERROR(VLOOKUP(DATOS!$I13578,CONFIG_ASIGNATURAS!$B$2:$J$61,9,FALSE()),""))</f>
      </c>
    </row>
    <row r="13579">
      <c r="E13579">
        <f>IF(DATOS!$I13579="","",IFERROR(VLOOKUP(DATOS!$I13579,CONFIG_ASIGNATURAS!$B$2:$J$61,9,FALSE()),""))</f>
      </c>
    </row>
    <row r="13580">
      <c r="E13580">
        <f>IF(DATOS!$I13580="","",IFERROR(VLOOKUP(DATOS!$I13580,CONFIG_ASIGNATURAS!$B$2:$J$61,9,FALSE()),""))</f>
      </c>
    </row>
    <row r="13581">
      <c r="E13581">
        <f>IF(DATOS!$I13581="","",IFERROR(VLOOKUP(DATOS!$I13581,CONFIG_ASIGNATURAS!$B$2:$J$61,9,FALSE()),""))</f>
      </c>
    </row>
    <row r="13582">
      <c r="E13582">
        <f>IF(DATOS!$I13582="","",IFERROR(VLOOKUP(DATOS!$I13582,CONFIG_ASIGNATURAS!$B$2:$J$61,9,FALSE()),""))</f>
      </c>
    </row>
    <row r="13583">
      <c r="E13583">
        <f>IF(DATOS!$I13583="","",IFERROR(VLOOKUP(DATOS!$I13583,CONFIG_ASIGNATURAS!$B$2:$J$61,9,FALSE()),""))</f>
      </c>
    </row>
    <row r="13584">
      <c r="E13584">
        <f>IF(DATOS!$I13584="","",IFERROR(VLOOKUP(DATOS!$I13584,CONFIG_ASIGNATURAS!$B$2:$J$61,9,FALSE()),""))</f>
      </c>
    </row>
    <row r="13585">
      <c r="E13585">
        <f>IF(DATOS!$I13585="","",IFERROR(VLOOKUP(DATOS!$I13585,CONFIG_ASIGNATURAS!$B$2:$J$61,9,FALSE()),""))</f>
      </c>
    </row>
    <row r="13586">
      <c r="E13586">
        <f>IF(DATOS!$I13586="","",IFERROR(VLOOKUP(DATOS!$I13586,CONFIG_ASIGNATURAS!$B$2:$J$61,9,FALSE()),""))</f>
      </c>
    </row>
    <row r="13587">
      <c r="E13587">
        <f>IF(DATOS!$I13587="","",IFERROR(VLOOKUP(DATOS!$I13587,CONFIG_ASIGNATURAS!$B$2:$J$61,9,FALSE()),""))</f>
      </c>
    </row>
    <row r="13588">
      <c r="E13588">
        <f>IF(DATOS!$I13588="","",IFERROR(VLOOKUP(DATOS!$I13588,CONFIG_ASIGNATURAS!$B$2:$J$61,9,FALSE()),""))</f>
      </c>
    </row>
    <row r="13589">
      <c r="E13589">
        <f>IF(DATOS!$I13589="","",IFERROR(VLOOKUP(DATOS!$I13589,CONFIG_ASIGNATURAS!$B$2:$J$61,9,FALSE()),""))</f>
      </c>
    </row>
    <row r="13590">
      <c r="E13590">
        <f>IF(DATOS!$I13590="","",IFERROR(VLOOKUP(DATOS!$I13590,CONFIG_ASIGNATURAS!$B$2:$J$61,9,FALSE()),""))</f>
      </c>
    </row>
    <row r="13591">
      <c r="E13591">
        <f>IF(DATOS!$I13591="","",IFERROR(VLOOKUP(DATOS!$I13591,CONFIG_ASIGNATURAS!$B$2:$J$61,9,FALSE()),""))</f>
      </c>
    </row>
    <row r="13592">
      <c r="E13592">
        <f>IF(DATOS!$I13592="","",IFERROR(VLOOKUP(DATOS!$I13592,CONFIG_ASIGNATURAS!$B$2:$J$61,9,FALSE()),""))</f>
      </c>
    </row>
    <row r="13593">
      <c r="E13593">
        <f>IF(DATOS!$I13593="","",IFERROR(VLOOKUP(DATOS!$I13593,CONFIG_ASIGNATURAS!$B$2:$J$61,9,FALSE()),""))</f>
      </c>
    </row>
    <row r="13594">
      <c r="E13594">
        <f>IF(DATOS!$I13594="","",IFERROR(VLOOKUP(DATOS!$I13594,CONFIG_ASIGNATURAS!$B$2:$J$61,9,FALSE()),""))</f>
      </c>
    </row>
    <row r="13595">
      <c r="E13595">
        <f>IF(DATOS!$I13595="","",IFERROR(VLOOKUP(DATOS!$I13595,CONFIG_ASIGNATURAS!$B$2:$J$61,9,FALSE()),""))</f>
      </c>
    </row>
    <row r="13596">
      <c r="E13596">
        <f>IF(DATOS!$I13596="","",IFERROR(VLOOKUP(DATOS!$I13596,CONFIG_ASIGNATURAS!$B$2:$J$61,9,FALSE()),""))</f>
      </c>
    </row>
    <row r="13597">
      <c r="E13597">
        <f>IF(DATOS!$I13597="","",IFERROR(VLOOKUP(DATOS!$I13597,CONFIG_ASIGNATURAS!$B$2:$J$61,9,FALSE()),""))</f>
      </c>
    </row>
    <row r="13598">
      <c r="E13598">
        <f>IF(DATOS!$I13598="","",IFERROR(VLOOKUP(DATOS!$I13598,CONFIG_ASIGNATURAS!$B$2:$J$61,9,FALSE()),""))</f>
      </c>
    </row>
    <row r="13599">
      <c r="E13599">
        <f>IF(DATOS!$I13599="","",IFERROR(VLOOKUP(DATOS!$I13599,CONFIG_ASIGNATURAS!$B$2:$J$61,9,FALSE()),""))</f>
      </c>
    </row>
    <row r="13600">
      <c r="E13600">
        <f>IF(DATOS!$I13600="","",IFERROR(VLOOKUP(DATOS!$I13600,CONFIG_ASIGNATURAS!$B$2:$J$61,9,FALSE()),""))</f>
      </c>
    </row>
    <row r="13601">
      <c r="E13601">
        <f>IF(DATOS!$I13601="","",IFERROR(VLOOKUP(DATOS!$I13601,CONFIG_ASIGNATURAS!$B$2:$J$61,9,FALSE()),""))</f>
      </c>
    </row>
    <row r="13602">
      <c r="E13602">
        <f>IF(DATOS!$I13602="","",IFERROR(VLOOKUP(DATOS!$I13602,CONFIG_ASIGNATURAS!$B$2:$J$61,9,FALSE()),""))</f>
      </c>
    </row>
    <row r="13603">
      <c r="E13603">
        <f>IF(DATOS!$I13603="","",IFERROR(VLOOKUP(DATOS!$I13603,CONFIG_ASIGNATURAS!$B$2:$J$61,9,FALSE()),""))</f>
      </c>
    </row>
    <row r="13604">
      <c r="E13604">
        <f>IF(DATOS!$I13604="","",IFERROR(VLOOKUP(DATOS!$I13604,CONFIG_ASIGNATURAS!$B$2:$J$61,9,FALSE()),""))</f>
      </c>
    </row>
    <row r="13605">
      <c r="E13605">
        <f>IF(DATOS!$I13605="","",IFERROR(VLOOKUP(DATOS!$I13605,CONFIG_ASIGNATURAS!$B$2:$J$61,9,FALSE()),""))</f>
      </c>
    </row>
    <row r="13606">
      <c r="E13606">
        <f>IF(DATOS!$I13606="","",IFERROR(VLOOKUP(DATOS!$I13606,CONFIG_ASIGNATURAS!$B$2:$J$61,9,FALSE()),""))</f>
      </c>
    </row>
    <row r="13607">
      <c r="E13607">
        <f>IF(DATOS!$I13607="","",IFERROR(VLOOKUP(DATOS!$I13607,CONFIG_ASIGNATURAS!$B$2:$J$61,9,FALSE()),""))</f>
      </c>
    </row>
    <row r="13608">
      <c r="E13608">
        <f>IF(DATOS!$I13608="","",IFERROR(VLOOKUP(DATOS!$I13608,CONFIG_ASIGNATURAS!$B$2:$J$61,9,FALSE()),""))</f>
      </c>
    </row>
    <row r="13609">
      <c r="E13609">
        <f>IF(DATOS!$I13609="","",IFERROR(VLOOKUP(DATOS!$I13609,CONFIG_ASIGNATURAS!$B$2:$J$61,9,FALSE()),""))</f>
      </c>
    </row>
    <row r="13610">
      <c r="E13610">
        <f>IF(DATOS!$I13610="","",IFERROR(VLOOKUP(DATOS!$I13610,CONFIG_ASIGNATURAS!$B$2:$J$61,9,FALSE()),""))</f>
      </c>
    </row>
    <row r="13611">
      <c r="E13611">
        <f>IF(DATOS!$I13611="","",IFERROR(VLOOKUP(DATOS!$I13611,CONFIG_ASIGNATURAS!$B$2:$J$61,9,FALSE()),""))</f>
      </c>
    </row>
    <row r="13612">
      <c r="E13612">
        <f>IF(DATOS!$I13612="","",IFERROR(VLOOKUP(DATOS!$I13612,CONFIG_ASIGNATURAS!$B$2:$J$61,9,FALSE()),""))</f>
      </c>
    </row>
    <row r="13613">
      <c r="E13613">
        <f>IF(DATOS!$I13613="","",IFERROR(VLOOKUP(DATOS!$I13613,CONFIG_ASIGNATURAS!$B$2:$J$61,9,FALSE()),""))</f>
      </c>
    </row>
    <row r="13614">
      <c r="E13614">
        <f>IF(DATOS!$I13614="","",IFERROR(VLOOKUP(DATOS!$I13614,CONFIG_ASIGNATURAS!$B$2:$J$61,9,FALSE()),""))</f>
      </c>
    </row>
    <row r="13615">
      <c r="E13615">
        <f>IF(DATOS!$I13615="","",IFERROR(VLOOKUP(DATOS!$I13615,CONFIG_ASIGNATURAS!$B$2:$J$61,9,FALSE()),""))</f>
      </c>
    </row>
    <row r="13616">
      <c r="E13616">
        <f>IF(DATOS!$I13616="","",IFERROR(VLOOKUP(DATOS!$I13616,CONFIG_ASIGNATURAS!$B$2:$J$61,9,FALSE()),""))</f>
      </c>
    </row>
    <row r="13617">
      <c r="E13617">
        <f>IF(DATOS!$I13617="","",IFERROR(VLOOKUP(DATOS!$I13617,CONFIG_ASIGNATURAS!$B$2:$J$61,9,FALSE()),""))</f>
      </c>
    </row>
    <row r="13618">
      <c r="E13618">
        <f>IF(DATOS!$I13618="","",IFERROR(VLOOKUP(DATOS!$I13618,CONFIG_ASIGNATURAS!$B$2:$J$61,9,FALSE()),""))</f>
      </c>
    </row>
    <row r="13619">
      <c r="E13619">
        <f>IF(DATOS!$I13619="","",IFERROR(VLOOKUP(DATOS!$I13619,CONFIG_ASIGNATURAS!$B$2:$J$61,9,FALSE()),""))</f>
      </c>
    </row>
    <row r="13620">
      <c r="E13620">
        <f>IF(DATOS!$I13620="","",IFERROR(VLOOKUP(DATOS!$I13620,CONFIG_ASIGNATURAS!$B$2:$J$61,9,FALSE()),""))</f>
      </c>
    </row>
    <row r="13621">
      <c r="E13621">
        <f>IF(DATOS!$I13621="","",IFERROR(VLOOKUP(DATOS!$I13621,CONFIG_ASIGNATURAS!$B$2:$J$61,9,FALSE()),""))</f>
      </c>
    </row>
    <row r="13622">
      <c r="E13622">
        <f>IF(DATOS!$I13622="","",IFERROR(VLOOKUP(DATOS!$I13622,CONFIG_ASIGNATURAS!$B$2:$J$61,9,FALSE()),""))</f>
      </c>
    </row>
    <row r="13623">
      <c r="E13623">
        <f>IF(DATOS!$I13623="","",IFERROR(VLOOKUP(DATOS!$I13623,CONFIG_ASIGNATURAS!$B$2:$J$61,9,FALSE()),""))</f>
      </c>
    </row>
    <row r="13624">
      <c r="E13624">
        <f>IF(DATOS!$I13624="","",IFERROR(VLOOKUP(DATOS!$I13624,CONFIG_ASIGNATURAS!$B$2:$J$61,9,FALSE()),""))</f>
      </c>
    </row>
    <row r="13625">
      <c r="E13625">
        <f>IF(DATOS!$I13625="","",IFERROR(VLOOKUP(DATOS!$I13625,CONFIG_ASIGNATURAS!$B$2:$J$61,9,FALSE()),""))</f>
      </c>
    </row>
    <row r="13626">
      <c r="E13626">
        <f>IF(DATOS!$I13626="","",IFERROR(VLOOKUP(DATOS!$I13626,CONFIG_ASIGNATURAS!$B$2:$J$61,9,FALSE()),""))</f>
      </c>
    </row>
    <row r="13627">
      <c r="E13627">
        <f>IF(DATOS!$I13627="","",IFERROR(VLOOKUP(DATOS!$I13627,CONFIG_ASIGNATURAS!$B$2:$J$61,9,FALSE()),""))</f>
      </c>
    </row>
    <row r="13628">
      <c r="E13628">
        <f>IF(DATOS!$I13628="","",IFERROR(VLOOKUP(DATOS!$I13628,CONFIG_ASIGNATURAS!$B$2:$J$61,9,FALSE()),""))</f>
      </c>
    </row>
    <row r="13629">
      <c r="E13629">
        <f>IF(DATOS!$I13629="","",IFERROR(VLOOKUP(DATOS!$I13629,CONFIG_ASIGNATURAS!$B$2:$J$61,9,FALSE()),""))</f>
      </c>
    </row>
    <row r="13630">
      <c r="E13630">
        <f>IF(DATOS!$I13630="","",IFERROR(VLOOKUP(DATOS!$I13630,CONFIG_ASIGNATURAS!$B$2:$J$61,9,FALSE()),""))</f>
      </c>
    </row>
    <row r="13631">
      <c r="E13631">
        <f>IF(DATOS!$I13631="","",IFERROR(VLOOKUP(DATOS!$I13631,CONFIG_ASIGNATURAS!$B$2:$J$61,9,FALSE()),""))</f>
      </c>
    </row>
    <row r="13632">
      <c r="E13632">
        <f>IF(DATOS!$I13632="","",IFERROR(VLOOKUP(DATOS!$I13632,CONFIG_ASIGNATURAS!$B$2:$J$61,9,FALSE()),""))</f>
      </c>
    </row>
    <row r="13633">
      <c r="E13633">
        <f>IF(DATOS!$I13633="","",IFERROR(VLOOKUP(DATOS!$I13633,CONFIG_ASIGNATURAS!$B$2:$J$61,9,FALSE()),""))</f>
      </c>
    </row>
    <row r="13634">
      <c r="E13634">
        <f>IF(DATOS!$I13634="","",IFERROR(VLOOKUP(DATOS!$I13634,CONFIG_ASIGNATURAS!$B$2:$J$61,9,FALSE()),""))</f>
      </c>
    </row>
    <row r="13635">
      <c r="E13635">
        <f>IF(DATOS!$I13635="","",IFERROR(VLOOKUP(DATOS!$I13635,CONFIG_ASIGNATURAS!$B$2:$J$61,9,FALSE()),""))</f>
      </c>
    </row>
    <row r="13636">
      <c r="E13636">
        <f>IF(DATOS!$I13636="","",IFERROR(VLOOKUP(DATOS!$I13636,CONFIG_ASIGNATURAS!$B$2:$J$61,9,FALSE()),""))</f>
      </c>
    </row>
    <row r="13637">
      <c r="E13637">
        <f>IF(DATOS!$I13637="","",IFERROR(VLOOKUP(DATOS!$I13637,CONFIG_ASIGNATURAS!$B$2:$J$61,9,FALSE()),""))</f>
      </c>
    </row>
    <row r="13638">
      <c r="E13638">
        <f>IF(DATOS!$I13638="","",IFERROR(VLOOKUP(DATOS!$I13638,CONFIG_ASIGNATURAS!$B$2:$J$61,9,FALSE()),""))</f>
      </c>
    </row>
    <row r="13639">
      <c r="E13639">
        <f>IF(DATOS!$I13639="","",IFERROR(VLOOKUP(DATOS!$I13639,CONFIG_ASIGNATURAS!$B$2:$J$61,9,FALSE()),""))</f>
      </c>
    </row>
    <row r="13640">
      <c r="E13640">
        <f>IF(DATOS!$I13640="","",IFERROR(VLOOKUP(DATOS!$I13640,CONFIG_ASIGNATURAS!$B$2:$J$61,9,FALSE()),""))</f>
      </c>
    </row>
    <row r="13641">
      <c r="E13641">
        <f>IF(DATOS!$I13641="","",IFERROR(VLOOKUP(DATOS!$I13641,CONFIG_ASIGNATURAS!$B$2:$J$61,9,FALSE()),""))</f>
      </c>
    </row>
    <row r="13642">
      <c r="E13642">
        <f>IF(DATOS!$I13642="","",IFERROR(VLOOKUP(DATOS!$I13642,CONFIG_ASIGNATURAS!$B$2:$J$61,9,FALSE()),""))</f>
      </c>
    </row>
    <row r="13643">
      <c r="E13643">
        <f>IF(DATOS!$I13643="","",IFERROR(VLOOKUP(DATOS!$I13643,CONFIG_ASIGNATURAS!$B$2:$J$61,9,FALSE()),""))</f>
      </c>
    </row>
    <row r="13644">
      <c r="E13644">
        <f>IF(DATOS!$I13644="","",IFERROR(VLOOKUP(DATOS!$I13644,CONFIG_ASIGNATURAS!$B$2:$J$61,9,FALSE()),""))</f>
      </c>
    </row>
    <row r="13645">
      <c r="E13645">
        <f>IF(DATOS!$I13645="","",IFERROR(VLOOKUP(DATOS!$I13645,CONFIG_ASIGNATURAS!$B$2:$J$61,9,FALSE()),""))</f>
      </c>
    </row>
    <row r="13646">
      <c r="E13646">
        <f>IF(DATOS!$I13646="","",IFERROR(VLOOKUP(DATOS!$I13646,CONFIG_ASIGNATURAS!$B$2:$J$61,9,FALSE()),""))</f>
      </c>
    </row>
    <row r="13647">
      <c r="E13647">
        <f>IF(DATOS!$I13647="","",IFERROR(VLOOKUP(DATOS!$I13647,CONFIG_ASIGNATURAS!$B$2:$J$61,9,FALSE()),""))</f>
      </c>
    </row>
    <row r="13648">
      <c r="E13648">
        <f>IF(DATOS!$I13648="","",IFERROR(VLOOKUP(DATOS!$I13648,CONFIG_ASIGNATURAS!$B$2:$J$61,9,FALSE()),""))</f>
      </c>
    </row>
    <row r="13649">
      <c r="E13649">
        <f>IF(DATOS!$I13649="","",IFERROR(VLOOKUP(DATOS!$I13649,CONFIG_ASIGNATURAS!$B$2:$J$61,9,FALSE()),""))</f>
      </c>
    </row>
    <row r="13650">
      <c r="E13650">
        <f>IF(DATOS!$I13650="","",IFERROR(VLOOKUP(DATOS!$I13650,CONFIG_ASIGNATURAS!$B$2:$J$61,9,FALSE()),""))</f>
      </c>
    </row>
    <row r="13651">
      <c r="E13651">
        <f>IF(DATOS!$I13651="","",IFERROR(VLOOKUP(DATOS!$I13651,CONFIG_ASIGNATURAS!$B$2:$J$61,9,FALSE()),""))</f>
      </c>
    </row>
    <row r="13652">
      <c r="E13652">
        <f>IF(DATOS!$I13652="","",IFERROR(VLOOKUP(DATOS!$I13652,CONFIG_ASIGNATURAS!$B$2:$J$61,9,FALSE()),""))</f>
      </c>
    </row>
    <row r="13653">
      <c r="E13653">
        <f>IF(DATOS!$I13653="","",IFERROR(VLOOKUP(DATOS!$I13653,CONFIG_ASIGNATURAS!$B$2:$J$61,9,FALSE()),""))</f>
      </c>
    </row>
    <row r="13654">
      <c r="E13654">
        <f>IF(DATOS!$I13654="","",IFERROR(VLOOKUP(DATOS!$I13654,CONFIG_ASIGNATURAS!$B$2:$J$61,9,FALSE()),""))</f>
      </c>
    </row>
    <row r="13655">
      <c r="E13655">
        <f>IF(DATOS!$I13655="","",IFERROR(VLOOKUP(DATOS!$I13655,CONFIG_ASIGNATURAS!$B$2:$J$61,9,FALSE()),""))</f>
      </c>
    </row>
    <row r="13656">
      <c r="E13656">
        <f>IF(DATOS!$I13656="","",IFERROR(VLOOKUP(DATOS!$I13656,CONFIG_ASIGNATURAS!$B$2:$J$61,9,FALSE()),""))</f>
      </c>
    </row>
    <row r="13657">
      <c r="E13657">
        <f>IF(DATOS!$I13657="","",IFERROR(VLOOKUP(DATOS!$I13657,CONFIG_ASIGNATURAS!$B$2:$J$61,9,FALSE()),""))</f>
      </c>
    </row>
    <row r="13658">
      <c r="E13658">
        <f>IF(DATOS!$I13658="","",IFERROR(VLOOKUP(DATOS!$I13658,CONFIG_ASIGNATURAS!$B$2:$J$61,9,FALSE()),""))</f>
      </c>
    </row>
    <row r="13659">
      <c r="E13659">
        <f>IF(DATOS!$I13659="","",IFERROR(VLOOKUP(DATOS!$I13659,CONFIG_ASIGNATURAS!$B$2:$J$61,9,FALSE()),""))</f>
      </c>
    </row>
    <row r="13660">
      <c r="E13660">
        <f>IF(DATOS!$I13660="","",IFERROR(VLOOKUP(DATOS!$I13660,CONFIG_ASIGNATURAS!$B$2:$J$61,9,FALSE()),""))</f>
      </c>
    </row>
    <row r="13661">
      <c r="E13661">
        <f>IF(DATOS!$I13661="","",IFERROR(VLOOKUP(DATOS!$I13661,CONFIG_ASIGNATURAS!$B$2:$J$61,9,FALSE()),""))</f>
      </c>
    </row>
    <row r="13662">
      <c r="E13662">
        <f>IF(DATOS!$I13662="","",IFERROR(VLOOKUP(DATOS!$I13662,CONFIG_ASIGNATURAS!$B$2:$J$61,9,FALSE()),""))</f>
      </c>
    </row>
    <row r="13663">
      <c r="E13663">
        <f>IF(DATOS!$I13663="","",IFERROR(VLOOKUP(DATOS!$I13663,CONFIG_ASIGNATURAS!$B$2:$J$61,9,FALSE()),""))</f>
      </c>
    </row>
    <row r="13664">
      <c r="E13664">
        <f>IF(DATOS!$I13664="","",IFERROR(VLOOKUP(DATOS!$I13664,CONFIG_ASIGNATURAS!$B$2:$J$61,9,FALSE()),""))</f>
      </c>
    </row>
    <row r="13665">
      <c r="E13665">
        <f>IF(DATOS!$I13665="","",IFERROR(VLOOKUP(DATOS!$I13665,CONFIG_ASIGNATURAS!$B$2:$J$61,9,FALSE()),""))</f>
      </c>
    </row>
    <row r="13666">
      <c r="E13666">
        <f>IF(DATOS!$I13666="","",IFERROR(VLOOKUP(DATOS!$I13666,CONFIG_ASIGNATURAS!$B$2:$J$61,9,FALSE()),""))</f>
      </c>
    </row>
    <row r="13667">
      <c r="E13667">
        <f>IF(DATOS!$I13667="","",IFERROR(VLOOKUP(DATOS!$I13667,CONFIG_ASIGNATURAS!$B$2:$J$61,9,FALSE()),""))</f>
      </c>
    </row>
    <row r="13668">
      <c r="E13668">
        <f>IF(DATOS!$I13668="","",IFERROR(VLOOKUP(DATOS!$I13668,CONFIG_ASIGNATURAS!$B$2:$J$61,9,FALSE()),""))</f>
      </c>
    </row>
    <row r="13669">
      <c r="E13669">
        <f>IF(DATOS!$I13669="","",IFERROR(VLOOKUP(DATOS!$I13669,CONFIG_ASIGNATURAS!$B$2:$J$61,9,FALSE()),""))</f>
      </c>
    </row>
    <row r="13670">
      <c r="E13670">
        <f>IF(DATOS!$I13670="","",IFERROR(VLOOKUP(DATOS!$I13670,CONFIG_ASIGNATURAS!$B$2:$J$61,9,FALSE()),""))</f>
      </c>
    </row>
    <row r="13671">
      <c r="E13671">
        <f>IF(DATOS!$I13671="","",IFERROR(VLOOKUP(DATOS!$I13671,CONFIG_ASIGNATURAS!$B$2:$J$61,9,FALSE()),""))</f>
      </c>
    </row>
    <row r="13672">
      <c r="E13672">
        <f>IF(DATOS!$I13672="","",IFERROR(VLOOKUP(DATOS!$I13672,CONFIG_ASIGNATURAS!$B$2:$J$61,9,FALSE()),""))</f>
      </c>
    </row>
    <row r="13673">
      <c r="E13673">
        <f>IF(DATOS!$I13673="","",IFERROR(VLOOKUP(DATOS!$I13673,CONFIG_ASIGNATURAS!$B$2:$J$61,9,FALSE()),""))</f>
      </c>
    </row>
    <row r="13674">
      <c r="E13674">
        <f>IF(DATOS!$I13674="","",IFERROR(VLOOKUP(DATOS!$I13674,CONFIG_ASIGNATURAS!$B$2:$J$61,9,FALSE()),""))</f>
      </c>
    </row>
    <row r="13675">
      <c r="E13675">
        <f>IF(DATOS!$I13675="","",IFERROR(VLOOKUP(DATOS!$I13675,CONFIG_ASIGNATURAS!$B$2:$J$61,9,FALSE()),""))</f>
      </c>
    </row>
    <row r="13676">
      <c r="E13676">
        <f>IF(DATOS!$I13676="","",IFERROR(VLOOKUP(DATOS!$I13676,CONFIG_ASIGNATURAS!$B$2:$J$61,9,FALSE()),""))</f>
      </c>
    </row>
    <row r="13677">
      <c r="E13677">
        <f>IF(DATOS!$I13677="","",IFERROR(VLOOKUP(DATOS!$I13677,CONFIG_ASIGNATURAS!$B$2:$J$61,9,FALSE()),""))</f>
      </c>
    </row>
    <row r="13678">
      <c r="E13678">
        <f>IF(DATOS!$I13678="","",IFERROR(VLOOKUP(DATOS!$I13678,CONFIG_ASIGNATURAS!$B$2:$J$61,9,FALSE()),""))</f>
      </c>
    </row>
    <row r="13679">
      <c r="E13679">
        <f>IF(DATOS!$I13679="","",IFERROR(VLOOKUP(DATOS!$I13679,CONFIG_ASIGNATURAS!$B$2:$J$61,9,FALSE()),""))</f>
      </c>
    </row>
    <row r="13680">
      <c r="E13680">
        <f>IF(DATOS!$I13680="","",IFERROR(VLOOKUP(DATOS!$I13680,CONFIG_ASIGNATURAS!$B$2:$J$61,9,FALSE()),""))</f>
      </c>
    </row>
    <row r="13681">
      <c r="E13681">
        <f>IF(DATOS!$I13681="","",IFERROR(VLOOKUP(DATOS!$I13681,CONFIG_ASIGNATURAS!$B$2:$J$61,9,FALSE()),""))</f>
      </c>
    </row>
    <row r="13682">
      <c r="E13682">
        <f>IF(DATOS!$I13682="","",IFERROR(VLOOKUP(DATOS!$I13682,CONFIG_ASIGNATURAS!$B$2:$J$61,9,FALSE()),""))</f>
      </c>
    </row>
    <row r="13683">
      <c r="E13683">
        <f>IF(DATOS!$I13683="","",IFERROR(VLOOKUP(DATOS!$I13683,CONFIG_ASIGNATURAS!$B$2:$J$61,9,FALSE()),""))</f>
      </c>
    </row>
    <row r="13684">
      <c r="E13684">
        <f>IF(DATOS!$I13684="","",IFERROR(VLOOKUP(DATOS!$I13684,CONFIG_ASIGNATURAS!$B$2:$J$61,9,FALSE()),""))</f>
      </c>
    </row>
    <row r="13685">
      <c r="E13685">
        <f>IF(DATOS!$I13685="","",IFERROR(VLOOKUP(DATOS!$I13685,CONFIG_ASIGNATURAS!$B$2:$J$61,9,FALSE()),""))</f>
      </c>
    </row>
    <row r="13686">
      <c r="E13686">
        <f>IF(DATOS!$I13686="","",IFERROR(VLOOKUP(DATOS!$I13686,CONFIG_ASIGNATURAS!$B$2:$J$61,9,FALSE()),""))</f>
      </c>
    </row>
    <row r="13687">
      <c r="E13687">
        <f>IF(DATOS!$I13687="","",IFERROR(VLOOKUP(DATOS!$I13687,CONFIG_ASIGNATURAS!$B$2:$J$61,9,FALSE()),""))</f>
      </c>
    </row>
    <row r="13688">
      <c r="E13688">
        <f>IF(DATOS!$I13688="","",IFERROR(VLOOKUP(DATOS!$I13688,CONFIG_ASIGNATURAS!$B$2:$J$61,9,FALSE()),""))</f>
      </c>
    </row>
    <row r="13689">
      <c r="E13689">
        <f>IF(DATOS!$I13689="","",IFERROR(VLOOKUP(DATOS!$I13689,CONFIG_ASIGNATURAS!$B$2:$J$61,9,FALSE()),""))</f>
      </c>
    </row>
    <row r="13690">
      <c r="E13690">
        <f>IF(DATOS!$I13690="","",IFERROR(VLOOKUP(DATOS!$I13690,CONFIG_ASIGNATURAS!$B$2:$J$61,9,FALSE()),""))</f>
      </c>
    </row>
    <row r="13691">
      <c r="E13691">
        <f>IF(DATOS!$I13691="","",IFERROR(VLOOKUP(DATOS!$I13691,CONFIG_ASIGNATURAS!$B$2:$J$61,9,FALSE()),""))</f>
      </c>
    </row>
    <row r="13692">
      <c r="E13692">
        <f>IF(DATOS!$I13692="","",IFERROR(VLOOKUP(DATOS!$I13692,CONFIG_ASIGNATURAS!$B$2:$J$61,9,FALSE()),""))</f>
      </c>
    </row>
    <row r="13693">
      <c r="E13693">
        <f>IF(DATOS!$I13693="","",IFERROR(VLOOKUP(DATOS!$I13693,CONFIG_ASIGNATURAS!$B$2:$J$61,9,FALSE()),""))</f>
      </c>
    </row>
    <row r="13694">
      <c r="E13694">
        <f>IF(DATOS!$I13694="","",IFERROR(VLOOKUP(DATOS!$I13694,CONFIG_ASIGNATURAS!$B$2:$J$61,9,FALSE()),""))</f>
      </c>
    </row>
    <row r="13695">
      <c r="E13695">
        <f>IF(DATOS!$I13695="","",IFERROR(VLOOKUP(DATOS!$I13695,CONFIG_ASIGNATURAS!$B$2:$J$61,9,FALSE()),""))</f>
      </c>
    </row>
    <row r="13696">
      <c r="E13696">
        <f>IF(DATOS!$I13696="","",IFERROR(VLOOKUP(DATOS!$I13696,CONFIG_ASIGNATURAS!$B$2:$J$61,9,FALSE()),""))</f>
      </c>
    </row>
    <row r="13697">
      <c r="E13697">
        <f>IF(DATOS!$I13697="","",IFERROR(VLOOKUP(DATOS!$I13697,CONFIG_ASIGNATURAS!$B$2:$J$61,9,FALSE()),""))</f>
      </c>
    </row>
    <row r="13698">
      <c r="E13698">
        <f>IF(DATOS!$I13698="","",IFERROR(VLOOKUP(DATOS!$I13698,CONFIG_ASIGNATURAS!$B$2:$J$61,9,FALSE()),""))</f>
      </c>
    </row>
    <row r="13699">
      <c r="E13699">
        <f>IF(DATOS!$I13699="","",IFERROR(VLOOKUP(DATOS!$I13699,CONFIG_ASIGNATURAS!$B$2:$J$61,9,FALSE()),""))</f>
      </c>
    </row>
    <row r="13700">
      <c r="E13700">
        <f>IF(DATOS!$I13700="","",IFERROR(VLOOKUP(DATOS!$I13700,CONFIG_ASIGNATURAS!$B$2:$J$61,9,FALSE()),""))</f>
      </c>
    </row>
    <row r="13701">
      <c r="E13701">
        <f>IF(DATOS!$I13701="","",IFERROR(VLOOKUP(DATOS!$I13701,CONFIG_ASIGNATURAS!$B$2:$J$61,9,FALSE()),""))</f>
      </c>
    </row>
    <row r="13702">
      <c r="E13702">
        <f>IF(DATOS!$I13702="","",IFERROR(VLOOKUP(DATOS!$I13702,CONFIG_ASIGNATURAS!$B$2:$J$61,9,FALSE()),""))</f>
      </c>
    </row>
    <row r="13703">
      <c r="E13703">
        <f>IF(DATOS!$I13703="","",IFERROR(VLOOKUP(DATOS!$I13703,CONFIG_ASIGNATURAS!$B$2:$J$61,9,FALSE()),""))</f>
      </c>
    </row>
    <row r="13704">
      <c r="E13704">
        <f>IF(DATOS!$I13704="","",IFERROR(VLOOKUP(DATOS!$I13704,CONFIG_ASIGNATURAS!$B$2:$J$61,9,FALSE()),""))</f>
      </c>
    </row>
    <row r="13705">
      <c r="E13705">
        <f>IF(DATOS!$I13705="","",IFERROR(VLOOKUP(DATOS!$I13705,CONFIG_ASIGNATURAS!$B$2:$J$61,9,FALSE()),""))</f>
      </c>
    </row>
    <row r="13706">
      <c r="E13706">
        <f>IF(DATOS!$I13706="","",IFERROR(VLOOKUP(DATOS!$I13706,CONFIG_ASIGNATURAS!$B$2:$J$61,9,FALSE()),""))</f>
      </c>
    </row>
    <row r="13707">
      <c r="E13707">
        <f>IF(DATOS!$I13707="","",IFERROR(VLOOKUP(DATOS!$I13707,CONFIG_ASIGNATURAS!$B$2:$J$61,9,FALSE()),""))</f>
      </c>
    </row>
    <row r="13708">
      <c r="E13708">
        <f>IF(DATOS!$I13708="","",IFERROR(VLOOKUP(DATOS!$I13708,CONFIG_ASIGNATURAS!$B$2:$J$61,9,FALSE()),""))</f>
      </c>
    </row>
    <row r="13709">
      <c r="E13709">
        <f>IF(DATOS!$I13709="","",IFERROR(VLOOKUP(DATOS!$I13709,CONFIG_ASIGNATURAS!$B$2:$J$61,9,FALSE()),""))</f>
      </c>
    </row>
    <row r="13710">
      <c r="E13710">
        <f>IF(DATOS!$I13710="","",IFERROR(VLOOKUP(DATOS!$I13710,CONFIG_ASIGNATURAS!$B$2:$J$61,9,FALSE()),""))</f>
      </c>
    </row>
    <row r="13711">
      <c r="E13711">
        <f>IF(DATOS!$I13711="","",IFERROR(VLOOKUP(DATOS!$I13711,CONFIG_ASIGNATURAS!$B$2:$J$61,9,FALSE()),""))</f>
      </c>
    </row>
    <row r="13712">
      <c r="E13712">
        <f>IF(DATOS!$I13712="","",IFERROR(VLOOKUP(DATOS!$I13712,CONFIG_ASIGNATURAS!$B$2:$J$61,9,FALSE()),""))</f>
      </c>
    </row>
    <row r="13713">
      <c r="E13713">
        <f>IF(DATOS!$I13713="","",IFERROR(VLOOKUP(DATOS!$I13713,CONFIG_ASIGNATURAS!$B$2:$J$61,9,FALSE()),""))</f>
      </c>
    </row>
    <row r="13714">
      <c r="E13714">
        <f>IF(DATOS!$I13714="","",IFERROR(VLOOKUP(DATOS!$I13714,CONFIG_ASIGNATURAS!$B$2:$J$61,9,FALSE()),""))</f>
      </c>
    </row>
    <row r="13715">
      <c r="E13715">
        <f>IF(DATOS!$I13715="","",IFERROR(VLOOKUP(DATOS!$I13715,CONFIG_ASIGNATURAS!$B$2:$J$61,9,FALSE()),""))</f>
      </c>
    </row>
    <row r="13716">
      <c r="E13716">
        <f>IF(DATOS!$I13716="","",IFERROR(VLOOKUP(DATOS!$I13716,CONFIG_ASIGNATURAS!$B$2:$J$61,9,FALSE()),""))</f>
      </c>
    </row>
    <row r="13717">
      <c r="E13717">
        <f>IF(DATOS!$I13717="","",IFERROR(VLOOKUP(DATOS!$I13717,CONFIG_ASIGNATURAS!$B$2:$J$61,9,FALSE()),""))</f>
      </c>
    </row>
    <row r="13718">
      <c r="E13718">
        <f>IF(DATOS!$I13718="","",IFERROR(VLOOKUP(DATOS!$I13718,CONFIG_ASIGNATURAS!$B$2:$J$61,9,FALSE()),""))</f>
      </c>
    </row>
    <row r="13719">
      <c r="E13719">
        <f>IF(DATOS!$I13719="","",IFERROR(VLOOKUP(DATOS!$I13719,CONFIG_ASIGNATURAS!$B$2:$J$61,9,FALSE()),""))</f>
      </c>
    </row>
    <row r="13720">
      <c r="E13720">
        <f>IF(DATOS!$I13720="","",IFERROR(VLOOKUP(DATOS!$I13720,CONFIG_ASIGNATURAS!$B$2:$J$61,9,FALSE()),""))</f>
      </c>
    </row>
    <row r="13721">
      <c r="E13721">
        <f>IF(DATOS!$I13721="","",IFERROR(VLOOKUP(DATOS!$I13721,CONFIG_ASIGNATURAS!$B$2:$J$61,9,FALSE()),""))</f>
      </c>
    </row>
    <row r="13722">
      <c r="E13722">
        <f>IF(DATOS!$I13722="","",IFERROR(VLOOKUP(DATOS!$I13722,CONFIG_ASIGNATURAS!$B$2:$J$61,9,FALSE()),""))</f>
      </c>
    </row>
    <row r="13723">
      <c r="E13723">
        <f>IF(DATOS!$I13723="","",IFERROR(VLOOKUP(DATOS!$I13723,CONFIG_ASIGNATURAS!$B$2:$J$61,9,FALSE()),""))</f>
      </c>
    </row>
    <row r="13724">
      <c r="E13724">
        <f>IF(DATOS!$I13724="","",IFERROR(VLOOKUP(DATOS!$I13724,CONFIG_ASIGNATURAS!$B$2:$J$61,9,FALSE()),""))</f>
      </c>
    </row>
    <row r="13725">
      <c r="E13725">
        <f>IF(DATOS!$I13725="","",IFERROR(VLOOKUP(DATOS!$I13725,CONFIG_ASIGNATURAS!$B$2:$J$61,9,FALSE()),""))</f>
      </c>
    </row>
    <row r="13726">
      <c r="E13726">
        <f>IF(DATOS!$I13726="","",IFERROR(VLOOKUP(DATOS!$I13726,CONFIG_ASIGNATURAS!$B$2:$J$61,9,FALSE()),""))</f>
      </c>
    </row>
    <row r="13727">
      <c r="E13727">
        <f>IF(DATOS!$I13727="","",IFERROR(VLOOKUP(DATOS!$I13727,CONFIG_ASIGNATURAS!$B$2:$J$61,9,FALSE()),""))</f>
      </c>
    </row>
    <row r="13728">
      <c r="E13728">
        <f>IF(DATOS!$I13728="","",IFERROR(VLOOKUP(DATOS!$I13728,CONFIG_ASIGNATURAS!$B$2:$J$61,9,FALSE()),""))</f>
      </c>
    </row>
    <row r="13729">
      <c r="E13729">
        <f>IF(DATOS!$I13729="","",IFERROR(VLOOKUP(DATOS!$I13729,CONFIG_ASIGNATURAS!$B$2:$J$61,9,FALSE()),""))</f>
      </c>
    </row>
    <row r="13730">
      <c r="E13730">
        <f>IF(DATOS!$I13730="","",IFERROR(VLOOKUP(DATOS!$I13730,CONFIG_ASIGNATURAS!$B$2:$J$61,9,FALSE()),""))</f>
      </c>
    </row>
    <row r="13731">
      <c r="E13731">
        <f>IF(DATOS!$I13731="","",IFERROR(VLOOKUP(DATOS!$I13731,CONFIG_ASIGNATURAS!$B$2:$J$61,9,FALSE()),""))</f>
      </c>
    </row>
    <row r="13732">
      <c r="E13732">
        <f>IF(DATOS!$I13732="","",IFERROR(VLOOKUP(DATOS!$I13732,CONFIG_ASIGNATURAS!$B$2:$J$61,9,FALSE()),""))</f>
      </c>
    </row>
    <row r="13733">
      <c r="E13733">
        <f>IF(DATOS!$I13733="","",IFERROR(VLOOKUP(DATOS!$I13733,CONFIG_ASIGNATURAS!$B$2:$J$61,9,FALSE()),""))</f>
      </c>
    </row>
    <row r="13734">
      <c r="E13734">
        <f>IF(DATOS!$I13734="","",IFERROR(VLOOKUP(DATOS!$I13734,CONFIG_ASIGNATURAS!$B$2:$J$61,9,FALSE()),""))</f>
      </c>
    </row>
    <row r="13735">
      <c r="E13735">
        <f>IF(DATOS!$I13735="","",IFERROR(VLOOKUP(DATOS!$I13735,CONFIG_ASIGNATURAS!$B$2:$J$61,9,FALSE()),""))</f>
      </c>
    </row>
    <row r="13736">
      <c r="E13736">
        <f>IF(DATOS!$I13736="","",IFERROR(VLOOKUP(DATOS!$I13736,CONFIG_ASIGNATURAS!$B$2:$J$61,9,FALSE()),""))</f>
      </c>
    </row>
    <row r="13737">
      <c r="E13737">
        <f>IF(DATOS!$I13737="","",IFERROR(VLOOKUP(DATOS!$I13737,CONFIG_ASIGNATURAS!$B$2:$J$61,9,FALSE()),""))</f>
      </c>
    </row>
    <row r="13738">
      <c r="E13738">
        <f>IF(DATOS!$I13738="","",IFERROR(VLOOKUP(DATOS!$I13738,CONFIG_ASIGNATURAS!$B$2:$J$61,9,FALSE()),""))</f>
      </c>
    </row>
    <row r="13739">
      <c r="E13739">
        <f>IF(DATOS!$I13739="","",IFERROR(VLOOKUP(DATOS!$I13739,CONFIG_ASIGNATURAS!$B$2:$J$61,9,FALSE()),""))</f>
      </c>
    </row>
    <row r="13740">
      <c r="E13740">
        <f>IF(DATOS!$I13740="","",IFERROR(VLOOKUP(DATOS!$I13740,CONFIG_ASIGNATURAS!$B$2:$J$61,9,FALSE()),""))</f>
      </c>
    </row>
    <row r="13741">
      <c r="E13741">
        <f>IF(DATOS!$I13741="","",IFERROR(VLOOKUP(DATOS!$I13741,CONFIG_ASIGNATURAS!$B$2:$J$61,9,FALSE()),""))</f>
      </c>
    </row>
    <row r="13742">
      <c r="E13742">
        <f>IF(DATOS!$I13742="","",IFERROR(VLOOKUP(DATOS!$I13742,CONFIG_ASIGNATURAS!$B$2:$J$61,9,FALSE()),""))</f>
      </c>
    </row>
    <row r="13743">
      <c r="E13743">
        <f>IF(DATOS!$I13743="","",IFERROR(VLOOKUP(DATOS!$I13743,CONFIG_ASIGNATURAS!$B$2:$J$61,9,FALSE()),""))</f>
      </c>
    </row>
    <row r="13744">
      <c r="E13744">
        <f>IF(DATOS!$I13744="","",IFERROR(VLOOKUP(DATOS!$I13744,CONFIG_ASIGNATURAS!$B$2:$J$61,9,FALSE()),""))</f>
      </c>
    </row>
    <row r="13745">
      <c r="E13745">
        <f>IF(DATOS!$I13745="","",IFERROR(VLOOKUP(DATOS!$I13745,CONFIG_ASIGNATURAS!$B$2:$J$61,9,FALSE()),""))</f>
      </c>
    </row>
    <row r="13746">
      <c r="E13746">
        <f>IF(DATOS!$I13746="","",IFERROR(VLOOKUP(DATOS!$I13746,CONFIG_ASIGNATURAS!$B$2:$J$61,9,FALSE()),""))</f>
      </c>
    </row>
    <row r="13747">
      <c r="E13747">
        <f>IF(DATOS!$I13747="","",IFERROR(VLOOKUP(DATOS!$I13747,CONFIG_ASIGNATURAS!$B$2:$J$61,9,FALSE()),""))</f>
      </c>
    </row>
    <row r="13748">
      <c r="E13748">
        <f>IF(DATOS!$I13748="","",IFERROR(VLOOKUP(DATOS!$I13748,CONFIG_ASIGNATURAS!$B$2:$J$61,9,FALSE()),""))</f>
      </c>
    </row>
    <row r="13749">
      <c r="E13749">
        <f>IF(DATOS!$I13749="","",IFERROR(VLOOKUP(DATOS!$I13749,CONFIG_ASIGNATURAS!$B$2:$J$61,9,FALSE()),""))</f>
      </c>
    </row>
    <row r="13750">
      <c r="E13750">
        <f>IF(DATOS!$I13750="","",IFERROR(VLOOKUP(DATOS!$I13750,CONFIG_ASIGNATURAS!$B$2:$J$61,9,FALSE()),""))</f>
      </c>
    </row>
    <row r="13751">
      <c r="E13751">
        <f>IF(DATOS!$I13751="","",IFERROR(VLOOKUP(DATOS!$I13751,CONFIG_ASIGNATURAS!$B$2:$J$61,9,FALSE()),""))</f>
      </c>
    </row>
    <row r="13752">
      <c r="E13752">
        <f>IF(DATOS!$I13752="","",IFERROR(VLOOKUP(DATOS!$I13752,CONFIG_ASIGNATURAS!$B$2:$J$61,9,FALSE()),""))</f>
      </c>
    </row>
    <row r="13753">
      <c r="E13753">
        <f>IF(DATOS!$I13753="","",IFERROR(VLOOKUP(DATOS!$I13753,CONFIG_ASIGNATURAS!$B$2:$J$61,9,FALSE()),""))</f>
      </c>
    </row>
    <row r="13754">
      <c r="E13754">
        <f>IF(DATOS!$I13754="","",IFERROR(VLOOKUP(DATOS!$I13754,CONFIG_ASIGNATURAS!$B$2:$J$61,9,FALSE()),""))</f>
      </c>
    </row>
    <row r="13755">
      <c r="E13755">
        <f>IF(DATOS!$I13755="","",IFERROR(VLOOKUP(DATOS!$I13755,CONFIG_ASIGNATURAS!$B$2:$J$61,9,FALSE()),""))</f>
      </c>
    </row>
    <row r="13756">
      <c r="E13756">
        <f>IF(DATOS!$I13756="","",IFERROR(VLOOKUP(DATOS!$I13756,CONFIG_ASIGNATURAS!$B$2:$J$61,9,FALSE()),""))</f>
      </c>
    </row>
    <row r="13757">
      <c r="E13757">
        <f>IF(DATOS!$I13757="","",IFERROR(VLOOKUP(DATOS!$I13757,CONFIG_ASIGNATURAS!$B$2:$J$61,9,FALSE()),""))</f>
      </c>
    </row>
    <row r="13758">
      <c r="E13758">
        <f>IF(DATOS!$I13758="","",IFERROR(VLOOKUP(DATOS!$I13758,CONFIG_ASIGNATURAS!$B$2:$J$61,9,FALSE()),""))</f>
      </c>
    </row>
    <row r="13759">
      <c r="E13759">
        <f>IF(DATOS!$I13759="","",IFERROR(VLOOKUP(DATOS!$I13759,CONFIG_ASIGNATURAS!$B$2:$J$61,9,FALSE()),""))</f>
      </c>
    </row>
    <row r="13760">
      <c r="E13760">
        <f>IF(DATOS!$I13760="","",IFERROR(VLOOKUP(DATOS!$I13760,CONFIG_ASIGNATURAS!$B$2:$J$61,9,FALSE()),""))</f>
      </c>
    </row>
    <row r="13761">
      <c r="E13761">
        <f>IF(DATOS!$I13761="","",IFERROR(VLOOKUP(DATOS!$I13761,CONFIG_ASIGNATURAS!$B$2:$J$61,9,FALSE()),""))</f>
      </c>
    </row>
    <row r="13762">
      <c r="E13762">
        <f>IF(DATOS!$I13762="","",IFERROR(VLOOKUP(DATOS!$I13762,CONFIG_ASIGNATURAS!$B$2:$J$61,9,FALSE()),""))</f>
      </c>
    </row>
    <row r="13763">
      <c r="E13763">
        <f>IF(DATOS!$I13763="","",IFERROR(VLOOKUP(DATOS!$I13763,CONFIG_ASIGNATURAS!$B$2:$J$61,9,FALSE()),""))</f>
      </c>
    </row>
    <row r="13764">
      <c r="E13764">
        <f>IF(DATOS!$I13764="","",IFERROR(VLOOKUP(DATOS!$I13764,CONFIG_ASIGNATURAS!$B$2:$J$61,9,FALSE()),""))</f>
      </c>
    </row>
    <row r="13765">
      <c r="E13765">
        <f>IF(DATOS!$I13765="","",IFERROR(VLOOKUP(DATOS!$I13765,CONFIG_ASIGNATURAS!$B$2:$J$61,9,FALSE()),""))</f>
      </c>
    </row>
    <row r="13766">
      <c r="E13766">
        <f>IF(DATOS!$I13766="","",IFERROR(VLOOKUP(DATOS!$I13766,CONFIG_ASIGNATURAS!$B$2:$J$61,9,FALSE()),""))</f>
      </c>
    </row>
    <row r="13767">
      <c r="E13767">
        <f>IF(DATOS!$I13767="","",IFERROR(VLOOKUP(DATOS!$I13767,CONFIG_ASIGNATURAS!$B$2:$J$61,9,FALSE()),""))</f>
      </c>
    </row>
    <row r="13768">
      <c r="E13768">
        <f>IF(DATOS!$I13768="","",IFERROR(VLOOKUP(DATOS!$I13768,CONFIG_ASIGNATURAS!$B$2:$J$61,9,FALSE()),""))</f>
      </c>
    </row>
    <row r="13769">
      <c r="E13769">
        <f>IF(DATOS!$I13769="","",IFERROR(VLOOKUP(DATOS!$I13769,CONFIG_ASIGNATURAS!$B$2:$J$61,9,FALSE()),""))</f>
      </c>
    </row>
    <row r="13770">
      <c r="E13770">
        <f>IF(DATOS!$I13770="","",IFERROR(VLOOKUP(DATOS!$I13770,CONFIG_ASIGNATURAS!$B$2:$J$61,9,FALSE()),""))</f>
      </c>
    </row>
    <row r="13771">
      <c r="E13771">
        <f>IF(DATOS!$I13771="","",IFERROR(VLOOKUP(DATOS!$I13771,CONFIG_ASIGNATURAS!$B$2:$J$61,9,FALSE()),""))</f>
      </c>
    </row>
    <row r="13772">
      <c r="E13772">
        <f>IF(DATOS!$I13772="","",IFERROR(VLOOKUP(DATOS!$I13772,CONFIG_ASIGNATURAS!$B$2:$J$61,9,FALSE()),""))</f>
      </c>
    </row>
    <row r="13773">
      <c r="E13773">
        <f>IF(DATOS!$I13773="","",IFERROR(VLOOKUP(DATOS!$I13773,CONFIG_ASIGNATURAS!$B$2:$J$61,9,FALSE()),""))</f>
      </c>
    </row>
    <row r="13774">
      <c r="E13774">
        <f>IF(DATOS!$I13774="","",IFERROR(VLOOKUP(DATOS!$I13774,CONFIG_ASIGNATURAS!$B$2:$J$61,9,FALSE()),""))</f>
      </c>
    </row>
    <row r="13775">
      <c r="E13775">
        <f>IF(DATOS!$I13775="","",IFERROR(VLOOKUP(DATOS!$I13775,CONFIG_ASIGNATURAS!$B$2:$J$61,9,FALSE()),""))</f>
      </c>
    </row>
    <row r="13776">
      <c r="E13776">
        <f>IF(DATOS!$I13776="","",IFERROR(VLOOKUP(DATOS!$I13776,CONFIG_ASIGNATURAS!$B$2:$J$61,9,FALSE()),""))</f>
      </c>
    </row>
    <row r="13777">
      <c r="E13777">
        <f>IF(DATOS!$I13777="","",IFERROR(VLOOKUP(DATOS!$I13777,CONFIG_ASIGNATURAS!$B$2:$J$61,9,FALSE()),""))</f>
      </c>
    </row>
    <row r="13778">
      <c r="E13778">
        <f>IF(DATOS!$I13778="","",IFERROR(VLOOKUP(DATOS!$I13778,CONFIG_ASIGNATURAS!$B$2:$J$61,9,FALSE()),""))</f>
      </c>
    </row>
    <row r="13779">
      <c r="E13779">
        <f>IF(DATOS!$I13779="","",IFERROR(VLOOKUP(DATOS!$I13779,CONFIG_ASIGNATURAS!$B$2:$J$61,9,FALSE()),""))</f>
      </c>
    </row>
    <row r="13780">
      <c r="E13780">
        <f>IF(DATOS!$I13780="","",IFERROR(VLOOKUP(DATOS!$I13780,CONFIG_ASIGNATURAS!$B$2:$J$61,9,FALSE()),""))</f>
      </c>
    </row>
    <row r="13781">
      <c r="E13781">
        <f>IF(DATOS!$I13781="","",IFERROR(VLOOKUP(DATOS!$I13781,CONFIG_ASIGNATURAS!$B$2:$J$61,9,FALSE()),""))</f>
      </c>
    </row>
    <row r="13782">
      <c r="E13782">
        <f>IF(DATOS!$I13782="","",IFERROR(VLOOKUP(DATOS!$I13782,CONFIG_ASIGNATURAS!$B$2:$J$61,9,FALSE()),""))</f>
      </c>
    </row>
    <row r="13783">
      <c r="E13783">
        <f>IF(DATOS!$I13783="","",IFERROR(VLOOKUP(DATOS!$I13783,CONFIG_ASIGNATURAS!$B$2:$J$61,9,FALSE()),""))</f>
      </c>
    </row>
    <row r="13784">
      <c r="E13784">
        <f>IF(DATOS!$I13784="","",IFERROR(VLOOKUP(DATOS!$I13784,CONFIG_ASIGNATURAS!$B$2:$J$61,9,FALSE()),""))</f>
      </c>
    </row>
    <row r="13785">
      <c r="E13785">
        <f>IF(DATOS!$I13785="","",IFERROR(VLOOKUP(DATOS!$I13785,CONFIG_ASIGNATURAS!$B$2:$J$61,9,FALSE()),""))</f>
      </c>
    </row>
    <row r="13786">
      <c r="E13786">
        <f>IF(DATOS!$I13786="","",IFERROR(VLOOKUP(DATOS!$I13786,CONFIG_ASIGNATURAS!$B$2:$J$61,9,FALSE()),""))</f>
      </c>
    </row>
    <row r="13787">
      <c r="E13787">
        <f>IF(DATOS!$I13787="","",IFERROR(VLOOKUP(DATOS!$I13787,CONFIG_ASIGNATURAS!$B$2:$J$61,9,FALSE()),""))</f>
      </c>
    </row>
    <row r="13788">
      <c r="E13788">
        <f>IF(DATOS!$I13788="","",IFERROR(VLOOKUP(DATOS!$I13788,CONFIG_ASIGNATURAS!$B$2:$J$61,9,FALSE()),""))</f>
      </c>
    </row>
    <row r="13789">
      <c r="E13789">
        <f>IF(DATOS!$I13789="","",IFERROR(VLOOKUP(DATOS!$I13789,CONFIG_ASIGNATURAS!$B$2:$J$61,9,FALSE()),""))</f>
      </c>
    </row>
    <row r="13790">
      <c r="E13790">
        <f>IF(DATOS!$I13790="","",IFERROR(VLOOKUP(DATOS!$I13790,CONFIG_ASIGNATURAS!$B$2:$J$61,9,FALSE()),""))</f>
      </c>
    </row>
    <row r="13791">
      <c r="E13791">
        <f>IF(DATOS!$I13791="","",IFERROR(VLOOKUP(DATOS!$I13791,CONFIG_ASIGNATURAS!$B$2:$J$61,9,FALSE()),""))</f>
      </c>
    </row>
    <row r="13792">
      <c r="E13792">
        <f>IF(DATOS!$I13792="","",IFERROR(VLOOKUP(DATOS!$I13792,CONFIG_ASIGNATURAS!$B$2:$J$61,9,FALSE()),""))</f>
      </c>
    </row>
    <row r="13793">
      <c r="E13793">
        <f>IF(DATOS!$I13793="","",IFERROR(VLOOKUP(DATOS!$I13793,CONFIG_ASIGNATURAS!$B$2:$J$61,9,FALSE()),""))</f>
      </c>
    </row>
    <row r="13794">
      <c r="E13794">
        <f>IF(DATOS!$I13794="","",IFERROR(VLOOKUP(DATOS!$I13794,CONFIG_ASIGNATURAS!$B$2:$J$61,9,FALSE()),""))</f>
      </c>
    </row>
    <row r="13795">
      <c r="E13795">
        <f>IF(DATOS!$I13795="","",IFERROR(VLOOKUP(DATOS!$I13795,CONFIG_ASIGNATURAS!$B$2:$J$61,9,FALSE()),""))</f>
      </c>
    </row>
    <row r="13796">
      <c r="E13796">
        <f>IF(DATOS!$I13796="","",IFERROR(VLOOKUP(DATOS!$I13796,CONFIG_ASIGNATURAS!$B$2:$J$61,9,FALSE()),""))</f>
      </c>
    </row>
    <row r="13797">
      <c r="E13797">
        <f>IF(DATOS!$I13797="","",IFERROR(VLOOKUP(DATOS!$I13797,CONFIG_ASIGNATURAS!$B$2:$J$61,9,FALSE()),""))</f>
      </c>
    </row>
    <row r="13798">
      <c r="E13798">
        <f>IF(DATOS!$I13798="","",IFERROR(VLOOKUP(DATOS!$I13798,CONFIG_ASIGNATURAS!$B$2:$J$61,9,FALSE()),""))</f>
      </c>
    </row>
    <row r="13799">
      <c r="E13799">
        <f>IF(DATOS!$I13799="","",IFERROR(VLOOKUP(DATOS!$I13799,CONFIG_ASIGNATURAS!$B$2:$J$61,9,FALSE()),""))</f>
      </c>
    </row>
    <row r="13800">
      <c r="E13800">
        <f>IF(DATOS!$I13800="","",IFERROR(VLOOKUP(DATOS!$I13800,CONFIG_ASIGNATURAS!$B$2:$J$61,9,FALSE()),""))</f>
      </c>
    </row>
    <row r="13801">
      <c r="E13801">
        <f>IF(DATOS!$I13801="","",IFERROR(VLOOKUP(DATOS!$I13801,CONFIG_ASIGNATURAS!$B$2:$J$61,9,FALSE()),""))</f>
      </c>
    </row>
    <row r="13802">
      <c r="E13802">
        <f>IF(DATOS!$I13802="","",IFERROR(VLOOKUP(DATOS!$I13802,CONFIG_ASIGNATURAS!$B$2:$J$61,9,FALSE()),""))</f>
      </c>
    </row>
    <row r="13803">
      <c r="E13803">
        <f>IF(DATOS!$I13803="","",IFERROR(VLOOKUP(DATOS!$I13803,CONFIG_ASIGNATURAS!$B$2:$J$61,9,FALSE()),""))</f>
      </c>
    </row>
    <row r="13804">
      <c r="E13804">
        <f>IF(DATOS!$I13804="","",IFERROR(VLOOKUP(DATOS!$I13804,CONFIG_ASIGNATURAS!$B$2:$J$61,9,FALSE()),""))</f>
      </c>
    </row>
    <row r="13805">
      <c r="E13805">
        <f>IF(DATOS!$I13805="","",IFERROR(VLOOKUP(DATOS!$I13805,CONFIG_ASIGNATURAS!$B$2:$J$61,9,FALSE()),""))</f>
      </c>
    </row>
    <row r="13806">
      <c r="E13806">
        <f>IF(DATOS!$I13806="","",IFERROR(VLOOKUP(DATOS!$I13806,CONFIG_ASIGNATURAS!$B$2:$J$61,9,FALSE()),""))</f>
      </c>
    </row>
    <row r="13807">
      <c r="E13807">
        <f>IF(DATOS!$I13807="","",IFERROR(VLOOKUP(DATOS!$I13807,CONFIG_ASIGNATURAS!$B$2:$J$61,9,FALSE()),""))</f>
      </c>
    </row>
    <row r="13808">
      <c r="E13808">
        <f>IF(DATOS!$I13808="","",IFERROR(VLOOKUP(DATOS!$I13808,CONFIG_ASIGNATURAS!$B$2:$J$61,9,FALSE()),""))</f>
      </c>
    </row>
    <row r="13809">
      <c r="E13809">
        <f>IF(DATOS!$I13809="","",IFERROR(VLOOKUP(DATOS!$I13809,CONFIG_ASIGNATURAS!$B$2:$J$61,9,FALSE()),""))</f>
      </c>
    </row>
    <row r="13810">
      <c r="E13810">
        <f>IF(DATOS!$I13810="","",IFERROR(VLOOKUP(DATOS!$I13810,CONFIG_ASIGNATURAS!$B$2:$J$61,9,FALSE()),""))</f>
      </c>
    </row>
    <row r="13811">
      <c r="E13811">
        <f>IF(DATOS!$I13811="","",IFERROR(VLOOKUP(DATOS!$I13811,CONFIG_ASIGNATURAS!$B$2:$J$61,9,FALSE()),""))</f>
      </c>
    </row>
    <row r="13812">
      <c r="E13812">
        <f>IF(DATOS!$I13812="","",IFERROR(VLOOKUP(DATOS!$I13812,CONFIG_ASIGNATURAS!$B$2:$J$61,9,FALSE()),""))</f>
      </c>
    </row>
    <row r="13813">
      <c r="E13813">
        <f>IF(DATOS!$I13813="","",IFERROR(VLOOKUP(DATOS!$I13813,CONFIG_ASIGNATURAS!$B$2:$J$61,9,FALSE()),""))</f>
      </c>
    </row>
    <row r="13814">
      <c r="E13814">
        <f>IF(DATOS!$I13814="","",IFERROR(VLOOKUP(DATOS!$I13814,CONFIG_ASIGNATURAS!$B$2:$J$61,9,FALSE()),""))</f>
      </c>
    </row>
    <row r="13815">
      <c r="E13815">
        <f>IF(DATOS!$I13815="","",IFERROR(VLOOKUP(DATOS!$I13815,CONFIG_ASIGNATURAS!$B$2:$J$61,9,FALSE()),""))</f>
      </c>
    </row>
    <row r="13816">
      <c r="E13816">
        <f>IF(DATOS!$I13816="","",IFERROR(VLOOKUP(DATOS!$I13816,CONFIG_ASIGNATURAS!$B$2:$J$61,9,FALSE()),""))</f>
      </c>
    </row>
    <row r="13817">
      <c r="E13817">
        <f>IF(DATOS!$I13817="","",IFERROR(VLOOKUP(DATOS!$I13817,CONFIG_ASIGNATURAS!$B$2:$J$61,9,FALSE()),""))</f>
      </c>
    </row>
    <row r="13818">
      <c r="E13818">
        <f>IF(DATOS!$I13818="","",IFERROR(VLOOKUP(DATOS!$I13818,CONFIG_ASIGNATURAS!$B$2:$J$61,9,FALSE()),""))</f>
      </c>
    </row>
    <row r="13819">
      <c r="E13819">
        <f>IF(DATOS!$I13819="","",IFERROR(VLOOKUP(DATOS!$I13819,CONFIG_ASIGNATURAS!$B$2:$J$61,9,FALSE()),""))</f>
      </c>
    </row>
    <row r="13820">
      <c r="E13820">
        <f>IF(DATOS!$I13820="","",IFERROR(VLOOKUP(DATOS!$I13820,CONFIG_ASIGNATURAS!$B$2:$J$61,9,FALSE()),""))</f>
      </c>
    </row>
    <row r="13821">
      <c r="E13821">
        <f>IF(DATOS!$I13821="","",IFERROR(VLOOKUP(DATOS!$I13821,CONFIG_ASIGNATURAS!$B$2:$J$61,9,FALSE()),""))</f>
      </c>
    </row>
    <row r="13822">
      <c r="E13822">
        <f>IF(DATOS!$I13822="","",IFERROR(VLOOKUP(DATOS!$I13822,CONFIG_ASIGNATURAS!$B$2:$J$61,9,FALSE()),""))</f>
      </c>
    </row>
    <row r="13823">
      <c r="E13823">
        <f>IF(DATOS!$I13823="","",IFERROR(VLOOKUP(DATOS!$I13823,CONFIG_ASIGNATURAS!$B$2:$J$61,9,FALSE()),""))</f>
      </c>
    </row>
    <row r="13824">
      <c r="E13824">
        <f>IF(DATOS!$I13824="","",IFERROR(VLOOKUP(DATOS!$I13824,CONFIG_ASIGNATURAS!$B$2:$J$61,9,FALSE()),""))</f>
      </c>
    </row>
    <row r="13825">
      <c r="E13825">
        <f>IF(DATOS!$I13825="","",IFERROR(VLOOKUP(DATOS!$I13825,CONFIG_ASIGNATURAS!$B$2:$J$61,9,FALSE()),""))</f>
      </c>
    </row>
    <row r="13826">
      <c r="E13826">
        <f>IF(DATOS!$I13826="","",IFERROR(VLOOKUP(DATOS!$I13826,CONFIG_ASIGNATURAS!$B$2:$J$61,9,FALSE()),""))</f>
      </c>
    </row>
    <row r="13827">
      <c r="E13827">
        <f>IF(DATOS!$I13827="","",IFERROR(VLOOKUP(DATOS!$I13827,CONFIG_ASIGNATURAS!$B$2:$J$61,9,FALSE()),""))</f>
      </c>
    </row>
    <row r="13828">
      <c r="E13828">
        <f>IF(DATOS!$I13828="","",IFERROR(VLOOKUP(DATOS!$I13828,CONFIG_ASIGNATURAS!$B$2:$J$61,9,FALSE()),""))</f>
      </c>
    </row>
    <row r="13829">
      <c r="E13829">
        <f>IF(DATOS!$I13829="","",IFERROR(VLOOKUP(DATOS!$I13829,CONFIG_ASIGNATURAS!$B$2:$J$61,9,FALSE()),""))</f>
      </c>
    </row>
    <row r="13830">
      <c r="E13830">
        <f>IF(DATOS!$I13830="","",IFERROR(VLOOKUP(DATOS!$I13830,CONFIG_ASIGNATURAS!$B$2:$J$61,9,FALSE()),""))</f>
      </c>
    </row>
    <row r="13831">
      <c r="E13831">
        <f>IF(DATOS!$I13831="","",IFERROR(VLOOKUP(DATOS!$I13831,CONFIG_ASIGNATURAS!$B$2:$J$61,9,FALSE()),""))</f>
      </c>
    </row>
    <row r="13832">
      <c r="E13832">
        <f>IF(DATOS!$I13832="","",IFERROR(VLOOKUP(DATOS!$I13832,CONFIG_ASIGNATURAS!$B$2:$J$61,9,FALSE()),""))</f>
      </c>
    </row>
    <row r="13833">
      <c r="E13833">
        <f>IF(DATOS!$I13833="","",IFERROR(VLOOKUP(DATOS!$I13833,CONFIG_ASIGNATURAS!$B$2:$J$61,9,FALSE()),""))</f>
      </c>
    </row>
    <row r="13834">
      <c r="E13834">
        <f>IF(DATOS!$I13834="","",IFERROR(VLOOKUP(DATOS!$I13834,CONFIG_ASIGNATURAS!$B$2:$J$61,9,FALSE()),""))</f>
      </c>
    </row>
    <row r="13835">
      <c r="E13835">
        <f>IF(DATOS!$I13835="","",IFERROR(VLOOKUP(DATOS!$I13835,CONFIG_ASIGNATURAS!$B$2:$J$61,9,FALSE()),""))</f>
      </c>
    </row>
    <row r="13836">
      <c r="E13836">
        <f>IF(DATOS!$I13836="","",IFERROR(VLOOKUP(DATOS!$I13836,CONFIG_ASIGNATURAS!$B$2:$J$61,9,FALSE()),""))</f>
      </c>
    </row>
    <row r="13837">
      <c r="E13837">
        <f>IF(DATOS!$I13837="","",IFERROR(VLOOKUP(DATOS!$I13837,CONFIG_ASIGNATURAS!$B$2:$J$61,9,FALSE()),""))</f>
      </c>
    </row>
    <row r="13838">
      <c r="E13838">
        <f>IF(DATOS!$I13838="","",IFERROR(VLOOKUP(DATOS!$I13838,CONFIG_ASIGNATURAS!$B$2:$J$61,9,FALSE()),""))</f>
      </c>
    </row>
    <row r="13839">
      <c r="E13839">
        <f>IF(DATOS!$I13839="","",IFERROR(VLOOKUP(DATOS!$I13839,CONFIG_ASIGNATURAS!$B$2:$J$61,9,FALSE()),""))</f>
      </c>
    </row>
    <row r="13840">
      <c r="E13840">
        <f>IF(DATOS!$I13840="","",IFERROR(VLOOKUP(DATOS!$I13840,CONFIG_ASIGNATURAS!$B$2:$J$61,9,FALSE()),""))</f>
      </c>
    </row>
    <row r="13841">
      <c r="E13841">
        <f>IF(DATOS!$I13841="","",IFERROR(VLOOKUP(DATOS!$I13841,CONFIG_ASIGNATURAS!$B$2:$J$61,9,FALSE()),""))</f>
      </c>
    </row>
    <row r="13842">
      <c r="E13842">
        <f>IF(DATOS!$I13842="","",IFERROR(VLOOKUP(DATOS!$I13842,CONFIG_ASIGNATURAS!$B$2:$J$61,9,FALSE()),""))</f>
      </c>
    </row>
    <row r="13843">
      <c r="E13843">
        <f>IF(DATOS!$I13843="","",IFERROR(VLOOKUP(DATOS!$I13843,CONFIG_ASIGNATURAS!$B$2:$J$61,9,FALSE()),""))</f>
      </c>
    </row>
    <row r="13844">
      <c r="E13844">
        <f>IF(DATOS!$I13844="","",IFERROR(VLOOKUP(DATOS!$I13844,CONFIG_ASIGNATURAS!$B$2:$J$61,9,FALSE()),""))</f>
      </c>
    </row>
    <row r="13845">
      <c r="E13845">
        <f>IF(DATOS!$I13845="","",IFERROR(VLOOKUP(DATOS!$I13845,CONFIG_ASIGNATURAS!$B$2:$J$61,9,FALSE()),""))</f>
      </c>
    </row>
    <row r="13846">
      <c r="E13846">
        <f>IF(DATOS!$I13846="","",IFERROR(VLOOKUP(DATOS!$I13846,CONFIG_ASIGNATURAS!$B$2:$J$61,9,FALSE()),""))</f>
      </c>
    </row>
    <row r="13847">
      <c r="E13847">
        <f>IF(DATOS!$I13847="","",IFERROR(VLOOKUP(DATOS!$I13847,CONFIG_ASIGNATURAS!$B$2:$J$61,9,FALSE()),""))</f>
      </c>
    </row>
    <row r="13848">
      <c r="E13848">
        <f>IF(DATOS!$I13848="","",IFERROR(VLOOKUP(DATOS!$I13848,CONFIG_ASIGNATURAS!$B$2:$J$61,9,FALSE()),""))</f>
      </c>
    </row>
    <row r="13849">
      <c r="E13849">
        <f>IF(DATOS!$I13849="","",IFERROR(VLOOKUP(DATOS!$I13849,CONFIG_ASIGNATURAS!$B$2:$J$61,9,FALSE()),""))</f>
      </c>
    </row>
    <row r="13850">
      <c r="E13850">
        <f>IF(DATOS!$I13850="","",IFERROR(VLOOKUP(DATOS!$I13850,CONFIG_ASIGNATURAS!$B$2:$J$61,9,FALSE()),""))</f>
      </c>
    </row>
    <row r="13851">
      <c r="E13851">
        <f>IF(DATOS!$I13851="","",IFERROR(VLOOKUP(DATOS!$I13851,CONFIG_ASIGNATURAS!$B$2:$J$61,9,FALSE()),""))</f>
      </c>
    </row>
    <row r="13852">
      <c r="E13852">
        <f>IF(DATOS!$I13852="","",IFERROR(VLOOKUP(DATOS!$I13852,CONFIG_ASIGNATURAS!$B$2:$J$61,9,FALSE()),""))</f>
      </c>
    </row>
    <row r="13853">
      <c r="E13853">
        <f>IF(DATOS!$I13853="","",IFERROR(VLOOKUP(DATOS!$I13853,CONFIG_ASIGNATURAS!$B$2:$J$61,9,FALSE()),""))</f>
      </c>
    </row>
    <row r="13854">
      <c r="E13854">
        <f>IF(DATOS!$I13854="","",IFERROR(VLOOKUP(DATOS!$I13854,CONFIG_ASIGNATURAS!$B$2:$J$61,9,FALSE()),""))</f>
      </c>
    </row>
    <row r="13855">
      <c r="E13855">
        <f>IF(DATOS!$I13855="","",IFERROR(VLOOKUP(DATOS!$I13855,CONFIG_ASIGNATURAS!$B$2:$J$61,9,FALSE()),""))</f>
      </c>
    </row>
    <row r="13856">
      <c r="E13856">
        <f>IF(DATOS!$I13856="","",IFERROR(VLOOKUP(DATOS!$I13856,CONFIG_ASIGNATURAS!$B$2:$J$61,9,FALSE()),""))</f>
      </c>
    </row>
    <row r="13857">
      <c r="E13857">
        <f>IF(DATOS!$I13857="","",IFERROR(VLOOKUP(DATOS!$I13857,CONFIG_ASIGNATURAS!$B$2:$J$61,9,FALSE()),""))</f>
      </c>
    </row>
    <row r="13858">
      <c r="E13858">
        <f>IF(DATOS!$I13858="","",IFERROR(VLOOKUP(DATOS!$I13858,CONFIG_ASIGNATURAS!$B$2:$J$61,9,FALSE()),""))</f>
      </c>
    </row>
    <row r="13859">
      <c r="E13859">
        <f>IF(DATOS!$I13859="","",IFERROR(VLOOKUP(DATOS!$I13859,CONFIG_ASIGNATURAS!$B$2:$J$61,9,FALSE()),""))</f>
      </c>
    </row>
    <row r="13860">
      <c r="E13860">
        <f>IF(DATOS!$I13860="","",IFERROR(VLOOKUP(DATOS!$I13860,CONFIG_ASIGNATURAS!$B$2:$J$61,9,FALSE()),""))</f>
      </c>
    </row>
    <row r="13861">
      <c r="E13861">
        <f>IF(DATOS!$I13861="","",IFERROR(VLOOKUP(DATOS!$I13861,CONFIG_ASIGNATURAS!$B$2:$J$61,9,FALSE()),""))</f>
      </c>
    </row>
    <row r="13862">
      <c r="E13862">
        <f>IF(DATOS!$I13862="","",IFERROR(VLOOKUP(DATOS!$I13862,CONFIG_ASIGNATURAS!$B$2:$J$61,9,FALSE()),""))</f>
      </c>
    </row>
    <row r="13863">
      <c r="E13863">
        <f>IF(DATOS!$I13863="","",IFERROR(VLOOKUP(DATOS!$I13863,CONFIG_ASIGNATURAS!$B$2:$J$61,9,FALSE()),""))</f>
      </c>
    </row>
    <row r="13864">
      <c r="E13864">
        <f>IF(DATOS!$I13864="","",IFERROR(VLOOKUP(DATOS!$I13864,CONFIG_ASIGNATURAS!$B$2:$J$61,9,FALSE()),""))</f>
      </c>
    </row>
    <row r="13865">
      <c r="E13865">
        <f>IF(DATOS!$I13865="","",IFERROR(VLOOKUP(DATOS!$I13865,CONFIG_ASIGNATURAS!$B$2:$J$61,9,FALSE()),""))</f>
      </c>
    </row>
    <row r="13866">
      <c r="E13866">
        <f>IF(DATOS!$I13866="","",IFERROR(VLOOKUP(DATOS!$I13866,CONFIG_ASIGNATURAS!$B$2:$J$61,9,FALSE()),""))</f>
      </c>
    </row>
    <row r="13867">
      <c r="E13867">
        <f>IF(DATOS!$I13867="","",IFERROR(VLOOKUP(DATOS!$I13867,CONFIG_ASIGNATURAS!$B$2:$J$61,9,FALSE()),""))</f>
      </c>
    </row>
    <row r="13868">
      <c r="E13868">
        <f>IF(DATOS!$I13868="","",IFERROR(VLOOKUP(DATOS!$I13868,CONFIG_ASIGNATURAS!$B$2:$J$61,9,FALSE()),""))</f>
      </c>
    </row>
    <row r="13869">
      <c r="E13869">
        <f>IF(DATOS!$I13869="","",IFERROR(VLOOKUP(DATOS!$I13869,CONFIG_ASIGNATURAS!$B$2:$J$61,9,FALSE()),""))</f>
      </c>
    </row>
    <row r="13870">
      <c r="E13870">
        <f>IF(DATOS!$I13870="","",IFERROR(VLOOKUP(DATOS!$I13870,CONFIG_ASIGNATURAS!$B$2:$J$61,9,FALSE()),""))</f>
      </c>
    </row>
    <row r="13871">
      <c r="E13871">
        <f>IF(DATOS!$I13871="","",IFERROR(VLOOKUP(DATOS!$I13871,CONFIG_ASIGNATURAS!$B$2:$J$61,9,FALSE()),""))</f>
      </c>
    </row>
    <row r="13872">
      <c r="E13872">
        <f>IF(DATOS!$I13872="","",IFERROR(VLOOKUP(DATOS!$I13872,CONFIG_ASIGNATURAS!$B$2:$J$61,9,FALSE()),""))</f>
      </c>
    </row>
    <row r="13873">
      <c r="E13873">
        <f>IF(DATOS!$I13873="","",IFERROR(VLOOKUP(DATOS!$I13873,CONFIG_ASIGNATURAS!$B$2:$J$61,9,FALSE()),""))</f>
      </c>
    </row>
    <row r="13874">
      <c r="E13874">
        <f>IF(DATOS!$I13874="","",IFERROR(VLOOKUP(DATOS!$I13874,CONFIG_ASIGNATURAS!$B$2:$J$61,9,FALSE()),""))</f>
      </c>
    </row>
    <row r="13875">
      <c r="E13875">
        <f>IF(DATOS!$I13875="","",IFERROR(VLOOKUP(DATOS!$I13875,CONFIG_ASIGNATURAS!$B$2:$J$61,9,FALSE()),""))</f>
      </c>
    </row>
    <row r="13876">
      <c r="E13876">
        <f>IF(DATOS!$I13876="","",IFERROR(VLOOKUP(DATOS!$I13876,CONFIG_ASIGNATURAS!$B$2:$J$61,9,FALSE()),""))</f>
      </c>
    </row>
    <row r="13877">
      <c r="E13877">
        <f>IF(DATOS!$I13877="","",IFERROR(VLOOKUP(DATOS!$I13877,CONFIG_ASIGNATURAS!$B$2:$J$61,9,FALSE()),""))</f>
      </c>
    </row>
    <row r="13878">
      <c r="E13878">
        <f>IF(DATOS!$I13878="","",IFERROR(VLOOKUP(DATOS!$I13878,CONFIG_ASIGNATURAS!$B$2:$J$61,9,FALSE()),""))</f>
      </c>
    </row>
    <row r="13879">
      <c r="E13879">
        <f>IF(DATOS!$I13879="","",IFERROR(VLOOKUP(DATOS!$I13879,CONFIG_ASIGNATURAS!$B$2:$J$61,9,FALSE()),""))</f>
      </c>
    </row>
    <row r="13880">
      <c r="E13880">
        <f>IF(DATOS!$I13880="","",IFERROR(VLOOKUP(DATOS!$I13880,CONFIG_ASIGNATURAS!$B$2:$J$61,9,FALSE()),""))</f>
      </c>
    </row>
    <row r="13881">
      <c r="E13881">
        <f>IF(DATOS!$I13881="","",IFERROR(VLOOKUP(DATOS!$I13881,CONFIG_ASIGNATURAS!$B$2:$J$61,9,FALSE()),""))</f>
      </c>
    </row>
    <row r="13882">
      <c r="E13882">
        <f>IF(DATOS!$I13882="","",IFERROR(VLOOKUP(DATOS!$I13882,CONFIG_ASIGNATURAS!$B$2:$J$61,9,FALSE()),""))</f>
      </c>
    </row>
    <row r="13883">
      <c r="E13883">
        <f>IF(DATOS!$I13883="","",IFERROR(VLOOKUP(DATOS!$I13883,CONFIG_ASIGNATURAS!$B$2:$J$61,9,FALSE()),""))</f>
      </c>
    </row>
    <row r="13884">
      <c r="E13884">
        <f>IF(DATOS!$I13884="","",IFERROR(VLOOKUP(DATOS!$I13884,CONFIG_ASIGNATURAS!$B$2:$J$61,9,FALSE()),""))</f>
      </c>
    </row>
    <row r="13885">
      <c r="E13885">
        <f>IF(DATOS!$I13885="","",IFERROR(VLOOKUP(DATOS!$I13885,CONFIG_ASIGNATURAS!$B$2:$J$61,9,FALSE()),""))</f>
      </c>
    </row>
    <row r="13886">
      <c r="E13886">
        <f>IF(DATOS!$I13886="","",IFERROR(VLOOKUP(DATOS!$I13886,CONFIG_ASIGNATURAS!$B$2:$J$61,9,FALSE()),""))</f>
      </c>
    </row>
    <row r="13887">
      <c r="E13887">
        <f>IF(DATOS!$I13887="","",IFERROR(VLOOKUP(DATOS!$I13887,CONFIG_ASIGNATURAS!$B$2:$J$61,9,FALSE()),""))</f>
      </c>
    </row>
    <row r="13888">
      <c r="E13888">
        <f>IF(DATOS!$I13888="","",IFERROR(VLOOKUP(DATOS!$I13888,CONFIG_ASIGNATURAS!$B$2:$J$61,9,FALSE()),""))</f>
      </c>
    </row>
    <row r="13889">
      <c r="E13889">
        <f>IF(DATOS!$I13889="","",IFERROR(VLOOKUP(DATOS!$I13889,CONFIG_ASIGNATURAS!$B$2:$J$61,9,FALSE()),""))</f>
      </c>
    </row>
    <row r="13890">
      <c r="E13890">
        <f>IF(DATOS!$I13890="","",IFERROR(VLOOKUP(DATOS!$I13890,CONFIG_ASIGNATURAS!$B$2:$J$61,9,FALSE()),""))</f>
      </c>
    </row>
    <row r="13891">
      <c r="E13891">
        <f>IF(DATOS!$I13891="","",IFERROR(VLOOKUP(DATOS!$I13891,CONFIG_ASIGNATURAS!$B$2:$J$61,9,FALSE()),""))</f>
      </c>
    </row>
    <row r="13892">
      <c r="E13892">
        <f>IF(DATOS!$I13892="","",IFERROR(VLOOKUP(DATOS!$I13892,CONFIG_ASIGNATURAS!$B$2:$J$61,9,FALSE()),""))</f>
      </c>
    </row>
    <row r="13893">
      <c r="E13893">
        <f>IF(DATOS!$I13893="","",IFERROR(VLOOKUP(DATOS!$I13893,CONFIG_ASIGNATURAS!$B$2:$J$61,9,FALSE()),""))</f>
      </c>
    </row>
    <row r="13894">
      <c r="E13894">
        <f>IF(DATOS!$I13894="","",IFERROR(VLOOKUP(DATOS!$I13894,CONFIG_ASIGNATURAS!$B$2:$J$61,9,FALSE()),""))</f>
      </c>
    </row>
    <row r="13895">
      <c r="E13895">
        <f>IF(DATOS!$I13895="","",IFERROR(VLOOKUP(DATOS!$I13895,CONFIG_ASIGNATURAS!$B$2:$J$61,9,FALSE()),""))</f>
      </c>
    </row>
    <row r="13896">
      <c r="E13896">
        <f>IF(DATOS!$I13896="","",IFERROR(VLOOKUP(DATOS!$I13896,CONFIG_ASIGNATURAS!$B$2:$J$61,9,FALSE()),""))</f>
      </c>
    </row>
    <row r="13897">
      <c r="E13897">
        <f>IF(DATOS!$I13897="","",IFERROR(VLOOKUP(DATOS!$I13897,CONFIG_ASIGNATURAS!$B$2:$J$61,9,FALSE()),""))</f>
      </c>
    </row>
    <row r="13898">
      <c r="E13898">
        <f>IF(DATOS!$I13898="","",IFERROR(VLOOKUP(DATOS!$I13898,CONFIG_ASIGNATURAS!$B$2:$J$61,9,FALSE()),""))</f>
      </c>
    </row>
    <row r="13899">
      <c r="E13899">
        <f>IF(DATOS!$I13899="","",IFERROR(VLOOKUP(DATOS!$I13899,CONFIG_ASIGNATURAS!$B$2:$J$61,9,FALSE()),""))</f>
      </c>
    </row>
    <row r="13900">
      <c r="E13900">
        <f>IF(DATOS!$I13900="","",IFERROR(VLOOKUP(DATOS!$I13900,CONFIG_ASIGNATURAS!$B$2:$J$61,9,FALSE()),""))</f>
      </c>
    </row>
    <row r="13901">
      <c r="E13901">
        <f>IF(DATOS!$I13901="","",IFERROR(VLOOKUP(DATOS!$I13901,CONFIG_ASIGNATURAS!$B$2:$J$61,9,FALSE()),""))</f>
      </c>
    </row>
    <row r="13902">
      <c r="E13902">
        <f>IF(DATOS!$I13902="","",IFERROR(VLOOKUP(DATOS!$I13902,CONFIG_ASIGNATURAS!$B$2:$J$61,9,FALSE()),""))</f>
      </c>
    </row>
    <row r="13903">
      <c r="E13903">
        <f>IF(DATOS!$I13903="","",IFERROR(VLOOKUP(DATOS!$I13903,CONFIG_ASIGNATURAS!$B$2:$J$61,9,FALSE()),""))</f>
      </c>
    </row>
    <row r="13904">
      <c r="E13904">
        <f>IF(DATOS!$I13904="","",IFERROR(VLOOKUP(DATOS!$I13904,CONFIG_ASIGNATURAS!$B$2:$J$61,9,FALSE()),""))</f>
      </c>
    </row>
    <row r="13905">
      <c r="E13905">
        <f>IF(DATOS!$I13905="","",IFERROR(VLOOKUP(DATOS!$I13905,CONFIG_ASIGNATURAS!$B$2:$J$61,9,FALSE()),""))</f>
      </c>
    </row>
    <row r="13906">
      <c r="E13906">
        <f>IF(DATOS!$I13906="","",IFERROR(VLOOKUP(DATOS!$I13906,CONFIG_ASIGNATURAS!$B$2:$J$61,9,FALSE()),""))</f>
      </c>
    </row>
    <row r="13907">
      <c r="E13907">
        <f>IF(DATOS!$I13907="","",IFERROR(VLOOKUP(DATOS!$I13907,CONFIG_ASIGNATURAS!$B$2:$J$61,9,FALSE()),""))</f>
      </c>
    </row>
    <row r="13908">
      <c r="E13908">
        <f>IF(DATOS!$I13908="","",IFERROR(VLOOKUP(DATOS!$I13908,CONFIG_ASIGNATURAS!$B$2:$J$61,9,FALSE()),""))</f>
      </c>
    </row>
    <row r="13909">
      <c r="E13909">
        <f>IF(DATOS!$I13909="","",IFERROR(VLOOKUP(DATOS!$I13909,CONFIG_ASIGNATURAS!$B$2:$J$61,9,FALSE()),""))</f>
      </c>
    </row>
    <row r="13910">
      <c r="E13910">
        <f>IF(DATOS!$I13910="","",IFERROR(VLOOKUP(DATOS!$I13910,CONFIG_ASIGNATURAS!$B$2:$J$61,9,FALSE()),""))</f>
      </c>
    </row>
    <row r="13911">
      <c r="E13911">
        <f>IF(DATOS!$I13911="","",IFERROR(VLOOKUP(DATOS!$I13911,CONFIG_ASIGNATURAS!$B$2:$J$61,9,FALSE()),""))</f>
      </c>
    </row>
    <row r="13912">
      <c r="E13912">
        <f>IF(DATOS!$I13912="","",IFERROR(VLOOKUP(DATOS!$I13912,CONFIG_ASIGNATURAS!$B$2:$J$61,9,FALSE()),""))</f>
      </c>
    </row>
    <row r="13913">
      <c r="E13913">
        <f>IF(DATOS!$I13913="","",IFERROR(VLOOKUP(DATOS!$I13913,CONFIG_ASIGNATURAS!$B$2:$J$61,9,FALSE()),""))</f>
      </c>
    </row>
    <row r="13914">
      <c r="E13914">
        <f>IF(DATOS!$I13914="","",IFERROR(VLOOKUP(DATOS!$I13914,CONFIG_ASIGNATURAS!$B$2:$J$61,9,FALSE()),""))</f>
      </c>
    </row>
    <row r="13915">
      <c r="E13915">
        <f>IF(DATOS!$I13915="","",IFERROR(VLOOKUP(DATOS!$I13915,CONFIG_ASIGNATURAS!$B$2:$J$61,9,FALSE()),""))</f>
      </c>
    </row>
    <row r="13916">
      <c r="E13916">
        <f>IF(DATOS!$I13916="","",IFERROR(VLOOKUP(DATOS!$I13916,CONFIG_ASIGNATURAS!$B$2:$J$61,9,FALSE()),""))</f>
      </c>
    </row>
    <row r="13917">
      <c r="E13917">
        <f>IF(DATOS!$I13917="","",IFERROR(VLOOKUP(DATOS!$I13917,CONFIG_ASIGNATURAS!$B$2:$J$61,9,FALSE()),""))</f>
      </c>
    </row>
    <row r="13918">
      <c r="E13918">
        <f>IF(DATOS!$I13918="","",IFERROR(VLOOKUP(DATOS!$I13918,CONFIG_ASIGNATURAS!$B$2:$J$61,9,FALSE()),""))</f>
      </c>
    </row>
    <row r="13919">
      <c r="E13919">
        <f>IF(DATOS!$I13919="","",IFERROR(VLOOKUP(DATOS!$I13919,CONFIG_ASIGNATURAS!$B$2:$J$61,9,FALSE()),""))</f>
      </c>
    </row>
    <row r="13920">
      <c r="E13920">
        <f>IF(DATOS!$I13920="","",IFERROR(VLOOKUP(DATOS!$I13920,CONFIG_ASIGNATURAS!$B$2:$J$61,9,FALSE()),""))</f>
      </c>
    </row>
    <row r="13921">
      <c r="E13921">
        <f>IF(DATOS!$I13921="","",IFERROR(VLOOKUP(DATOS!$I13921,CONFIG_ASIGNATURAS!$B$2:$J$61,9,FALSE()),""))</f>
      </c>
    </row>
    <row r="13922">
      <c r="E13922">
        <f>IF(DATOS!$I13922="","",IFERROR(VLOOKUP(DATOS!$I13922,CONFIG_ASIGNATURAS!$B$2:$J$61,9,FALSE()),""))</f>
      </c>
    </row>
    <row r="13923">
      <c r="E13923">
        <f>IF(DATOS!$I13923="","",IFERROR(VLOOKUP(DATOS!$I13923,CONFIG_ASIGNATURAS!$B$2:$J$61,9,FALSE()),""))</f>
      </c>
    </row>
    <row r="13924">
      <c r="E13924">
        <f>IF(DATOS!$I13924="","",IFERROR(VLOOKUP(DATOS!$I13924,CONFIG_ASIGNATURAS!$B$2:$J$61,9,FALSE()),""))</f>
      </c>
    </row>
    <row r="13925">
      <c r="E13925">
        <f>IF(DATOS!$I13925="","",IFERROR(VLOOKUP(DATOS!$I13925,CONFIG_ASIGNATURAS!$B$2:$J$61,9,FALSE()),""))</f>
      </c>
    </row>
    <row r="13926">
      <c r="E13926">
        <f>IF(DATOS!$I13926="","",IFERROR(VLOOKUP(DATOS!$I13926,CONFIG_ASIGNATURAS!$B$2:$J$61,9,FALSE()),""))</f>
      </c>
    </row>
    <row r="13927">
      <c r="E13927">
        <f>IF(DATOS!$I13927="","",IFERROR(VLOOKUP(DATOS!$I13927,CONFIG_ASIGNATURAS!$B$2:$J$61,9,FALSE()),""))</f>
      </c>
    </row>
    <row r="13928">
      <c r="E13928">
        <f>IF(DATOS!$I13928="","",IFERROR(VLOOKUP(DATOS!$I13928,CONFIG_ASIGNATURAS!$B$2:$J$61,9,FALSE()),""))</f>
      </c>
    </row>
    <row r="13929">
      <c r="E13929">
        <f>IF(DATOS!$I13929="","",IFERROR(VLOOKUP(DATOS!$I13929,CONFIG_ASIGNATURAS!$B$2:$J$61,9,FALSE()),""))</f>
      </c>
    </row>
    <row r="13930">
      <c r="E13930">
        <f>IF(DATOS!$I13930="","",IFERROR(VLOOKUP(DATOS!$I13930,CONFIG_ASIGNATURAS!$B$2:$J$61,9,FALSE()),""))</f>
      </c>
    </row>
    <row r="13931">
      <c r="E13931">
        <f>IF(DATOS!$I13931="","",IFERROR(VLOOKUP(DATOS!$I13931,CONFIG_ASIGNATURAS!$B$2:$J$61,9,FALSE()),""))</f>
      </c>
    </row>
    <row r="13932">
      <c r="E13932">
        <f>IF(DATOS!$I13932="","",IFERROR(VLOOKUP(DATOS!$I13932,CONFIG_ASIGNATURAS!$B$2:$J$61,9,FALSE()),""))</f>
      </c>
    </row>
    <row r="13933">
      <c r="E13933">
        <f>IF(DATOS!$I13933="","",IFERROR(VLOOKUP(DATOS!$I13933,CONFIG_ASIGNATURAS!$B$2:$J$61,9,FALSE()),""))</f>
      </c>
    </row>
    <row r="13934">
      <c r="E13934">
        <f>IF(DATOS!$I13934="","",IFERROR(VLOOKUP(DATOS!$I13934,CONFIG_ASIGNATURAS!$B$2:$J$61,9,FALSE()),""))</f>
      </c>
    </row>
    <row r="13935">
      <c r="E13935">
        <f>IF(DATOS!$I13935="","",IFERROR(VLOOKUP(DATOS!$I13935,CONFIG_ASIGNATURAS!$B$2:$J$61,9,FALSE()),""))</f>
      </c>
    </row>
    <row r="13936">
      <c r="E13936">
        <f>IF(DATOS!$I13936="","",IFERROR(VLOOKUP(DATOS!$I13936,CONFIG_ASIGNATURAS!$B$2:$J$61,9,FALSE()),""))</f>
      </c>
    </row>
    <row r="13937">
      <c r="E13937">
        <f>IF(DATOS!$I13937="","",IFERROR(VLOOKUP(DATOS!$I13937,CONFIG_ASIGNATURAS!$B$2:$J$61,9,FALSE()),""))</f>
      </c>
    </row>
    <row r="13938">
      <c r="E13938">
        <f>IF(DATOS!$I13938="","",IFERROR(VLOOKUP(DATOS!$I13938,CONFIG_ASIGNATURAS!$B$2:$J$61,9,FALSE()),""))</f>
      </c>
    </row>
    <row r="13939">
      <c r="E13939">
        <f>IF(DATOS!$I13939="","",IFERROR(VLOOKUP(DATOS!$I13939,CONFIG_ASIGNATURAS!$B$2:$J$61,9,FALSE()),""))</f>
      </c>
    </row>
    <row r="13940">
      <c r="E13940">
        <f>IF(DATOS!$I13940="","",IFERROR(VLOOKUP(DATOS!$I13940,CONFIG_ASIGNATURAS!$B$2:$J$61,9,FALSE()),""))</f>
      </c>
    </row>
    <row r="13941">
      <c r="E13941">
        <f>IF(DATOS!$I13941="","",IFERROR(VLOOKUP(DATOS!$I13941,CONFIG_ASIGNATURAS!$B$2:$J$61,9,FALSE()),""))</f>
      </c>
    </row>
    <row r="13942">
      <c r="E13942">
        <f>IF(DATOS!$I13942="","",IFERROR(VLOOKUP(DATOS!$I13942,CONFIG_ASIGNATURAS!$B$2:$J$61,9,FALSE()),""))</f>
      </c>
    </row>
    <row r="13943">
      <c r="E13943">
        <f>IF(DATOS!$I13943="","",IFERROR(VLOOKUP(DATOS!$I13943,CONFIG_ASIGNATURAS!$B$2:$J$61,9,FALSE()),""))</f>
      </c>
    </row>
    <row r="13944">
      <c r="E13944">
        <f>IF(DATOS!$I13944="","",IFERROR(VLOOKUP(DATOS!$I13944,CONFIG_ASIGNATURAS!$B$2:$J$61,9,FALSE()),""))</f>
      </c>
    </row>
    <row r="13945">
      <c r="E13945">
        <f>IF(DATOS!$I13945="","",IFERROR(VLOOKUP(DATOS!$I13945,CONFIG_ASIGNATURAS!$B$2:$J$61,9,FALSE()),""))</f>
      </c>
    </row>
    <row r="13946">
      <c r="E13946">
        <f>IF(DATOS!$I13946="","",IFERROR(VLOOKUP(DATOS!$I13946,CONFIG_ASIGNATURAS!$B$2:$J$61,9,FALSE()),""))</f>
      </c>
    </row>
    <row r="13947">
      <c r="E13947">
        <f>IF(DATOS!$I13947="","",IFERROR(VLOOKUP(DATOS!$I13947,CONFIG_ASIGNATURAS!$B$2:$J$61,9,FALSE()),""))</f>
      </c>
    </row>
    <row r="13948">
      <c r="E13948">
        <f>IF(DATOS!$I13948="","",IFERROR(VLOOKUP(DATOS!$I13948,CONFIG_ASIGNATURAS!$B$2:$J$61,9,FALSE()),""))</f>
      </c>
    </row>
    <row r="13949">
      <c r="E13949">
        <f>IF(DATOS!$I13949="","",IFERROR(VLOOKUP(DATOS!$I13949,CONFIG_ASIGNATURAS!$B$2:$J$61,9,FALSE()),""))</f>
      </c>
    </row>
    <row r="13950">
      <c r="E13950">
        <f>IF(DATOS!$I13950="","",IFERROR(VLOOKUP(DATOS!$I13950,CONFIG_ASIGNATURAS!$B$2:$J$61,9,FALSE()),""))</f>
      </c>
    </row>
    <row r="13951">
      <c r="E13951">
        <f>IF(DATOS!$I13951="","",IFERROR(VLOOKUP(DATOS!$I13951,CONFIG_ASIGNATURAS!$B$2:$J$61,9,FALSE()),""))</f>
      </c>
    </row>
    <row r="13952">
      <c r="E13952">
        <f>IF(DATOS!$I13952="","",IFERROR(VLOOKUP(DATOS!$I13952,CONFIG_ASIGNATURAS!$B$2:$J$61,9,FALSE()),""))</f>
      </c>
    </row>
    <row r="13953">
      <c r="E13953">
        <f>IF(DATOS!$I13953="","",IFERROR(VLOOKUP(DATOS!$I13953,CONFIG_ASIGNATURAS!$B$2:$J$61,9,FALSE()),""))</f>
      </c>
    </row>
    <row r="13954">
      <c r="E13954">
        <f>IF(DATOS!$I13954="","",IFERROR(VLOOKUP(DATOS!$I13954,CONFIG_ASIGNATURAS!$B$2:$J$61,9,FALSE()),""))</f>
      </c>
    </row>
    <row r="13955">
      <c r="E13955">
        <f>IF(DATOS!$I13955="","",IFERROR(VLOOKUP(DATOS!$I13955,CONFIG_ASIGNATURAS!$B$2:$J$61,9,FALSE()),""))</f>
      </c>
    </row>
    <row r="13956">
      <c r="E13956">
        <f>IF(DATOS!$I13956="","",IFERROR(VLOOKUP(DATOS!$I13956,CONFIG_ASIGNATURAS!$B$2:$J$61,9,FALSE()),""))</f>
      </c>
    </row>
    <row r="13957">
      <c r="E13957">
        <f>IF(DATOS!$I13957="","",IFERROR(VLOOKUP(DATOS!$I13957,CONFIG_ASIGNATURAS!$B$2:$J$61,9,FALSE()),""))</f>
      </c>
    </row>
    <row r="13958">
      <c r="E13958">
        <f>IF(DATOS!$I13958="","",IFERROR(VLOOKUP(DATOS!$I13958,CONFIG_ASIGNATURAS!$B$2:$J$61,9,FALSE()),""))</f>
      </c>
    </row>
    <row r="13959">
      <c r="E13959">
        <f>IF(DATOS!$I13959="","",IFERROR(VLOOKUP(DATOS!$I13959,CONFIG_ASIGNATURAS!$B$2:$J$61,9,FALSE()),""))</f>
      </c>
    </row>
    <row r="13960">
      <c r="E13960">
        <f>IF(DATOS!$I13960="","",IFERROR(VLOOKUP(DATOS!$I13960,CONFIG_ASIGNATURAS!$B$2:$J$61,9,FALSE()),""))</f>
      </c>
    </row>
    <row r="13961">
      <c r="E13961">
        <f>IF(DATOS!$I13961="","",IFERROR(VLOOKUP(DATOS!$I13961,CONFIG_ASIGNATURAS!$B$2:$J$61,9,FALSE()),""))</f>
      </c>
    </row>
    <row r="13962">
      <c r="E13962">
        <f>IF(DATOS!$I13962="","",IFERROR(VLOOKUP(DATOS!$I13962,CONFIG_ASIGNATURAS!$B$2:$J$61,9,FALSE()),""))</f>
      </c>
    </row>
    <row r="13963">
      <c r="E13963">
        <f>IF(DATOS!$I13963="","",IFERROR(VLOOKUP(DATOS!$I13963,CONFIG_ASIGNATURAS!$B$2:$J$61,9,FALSE()),""))</f>
      </c>
    </row>
    <row r="13964">
      <c r="E13964">
        <f>IF(DATOS!$I13964="","",IFERROR(VLOOKUP(DATOS!$I13964,CONFIG_ASIGNATURAS!$B$2:$J$61,9,FALSE()),""))</f>
      </c>
    </row>
    <row r="13965">
      <c r="E13965">
        <f>IF(DATOS!$I13965="","",IFERROR(VLOOKUP(DATOS!$I13965,CONFIG_ASIGNATURAS!$B$2:$J$61,9,FALSE()),""))</f>
      </c>
    </row>
    <row r="13966">
      <c r="E13966">
        <f>IF(DATOS!$I13966="","",IFERROR(VLOOKUP(DATOS!$I13966,CONFIG_ASIGNATURAS!$B$2:$J$61,9,FALSE()),""))</f>
      </c>
    </row>
    <row r="13967">
      <c r="E13967">
        <f>IF(DATOS!$I13967="","",IFERROR(VLOOKUP(DATOS!$I13967,CONFIG_ASIGNATURAS!$B$2:$J$61,9,FALSE()),""))</f>
      </c>
    </row>
    <row r="13968">
      <c r="E13968">
        <f>IF(DATOS!$I13968="","",IFERROR(VLOOKUP(DATOS!$I13968,CONFIG_ASIGNATURAS!$B$2:$J$61,9,FALSE()),""))</f>
      </c>
    </row>
    <row r="13969">
      <c r="E13969">
        <f>IF(DATOS!$I13969="","",IFERROR(VLOOKUP(DATOS!$I13969,CONFIG_ASIGNATURAS!$B$2:$J$61,9,FALSE()),""))</f>
      </c>
    </row>
    <row r="13970">
      <c r="E13970">
        <f>IF(DATOS!$I13970="","",IFERROR(VLOOKUP(DATOS!$I13970,CONFIG_ASIGNATURAS!$B$2:$J$61,9,FALSE()),""))</f>
      </c>
    </row>
    <row r="13971">
      <c r="E13971">
        <f>IF(DATOS!$I13971="","",IFERROR(VLOOKUP(DATOS!$I13971,CONFIG_ASIGNATURAS!$B$2:$J$61,9,FALSE()),""))</f>
      </c>
    </row>
    <row r="13972">
      <c r="E13972">
        <f>IF(DATOS!$I13972="","",IFERROR(VLOOKUP(DATOS!$I13972,CONFIG_ASIGNATURAS!$B$2:$J$61,9,FALSE()),""))</f>
      </c>
    </row>
    <row r="13973">
      <c r="E13973">
        <f>IF(DATOS!$I13973="","",IFERROR(VLOOKUP(DATOS!$I13973,CONFIG_ASIGNATURAS!$B$2:$J$61,9,FALSE()),""))</f>
      </c>
    </row>
    <row r="13974">
      <c r="E13974">
        <f>IF(DATOS!$I13974="","",IFERROR(VLOOKUP(DATOS!$I13974,CONFIG_ASIGNATURAS!$B$2:$J$61,9,FALSE()),""))</f>
      </c>
    </row>
    <row r="13975">
      <c r="E13975">
        <f>IF(DATOS!$I13975="","",IFERROR(VLOOKUP(DATOS!$I13975,CONFIG_ASIGNATURAS!$B$2:$J$61,9,FALSE()),""))</f>
      </c>
    </row>
    <row r="13976">
      <c r="E13976">
        <f>IF(DATOS!$I13976="","",IFERROR(VLOOKUP(DATOS!$I13976,CONFIG_ASIGNATURAS!$B$2:$J$61,9,FALSE()),""))</f>
      </c>
    </row>
    <row r="13977">
      <c r="E13977">
        <f>IF(DATOS!$I13977="","",IFERROR(VLOOKUP(DATOS!$I13977,CONFIG_ASIGNATURAS!$B$2:$J$61,9,FALSE()),""))</f>
      </c>
    </row>
    <row r="13978">
      <c r="E13978">
        <f>IF(DATOS!$I13978="","",IFERROR(VLOOKUP(DATOS!$I13978,CONFIG_ASIGNATURAS!$B$2:$J$61,9,FALSE()),""))</f>
      </c>
    </row>
    <row r="13979">
      <c r="E13979">
        <f>IF(DATOS!$I13979="","",IFERROR(VLOOKUP(DATOS!$I13979,CONFIG_ASIGNATURAS!$B$2:$J$61,9,FALSE()),""))</f>
      </c>
    </row>
    <row r="13980">
      <c r="E13980">
        <f>IF(DATOS!$I13980="","",IFERROR(VLOOKUP(DATOS!$I13980,CONFIG_ASIGNATURAS!$B$2:$J$61,9,FALSE()),""))</f>
      </c>
    </row>
    <row r="13981">
      <c r="E13981">
        <f>IF(DATOS!$I13981="","",IFERROR(VLOOKUP(DATOS!$I13981,CONFIG_ASIGNATURAS!$B$2:$J$61,9,FALSE()),""))</f>
      </c>
    </row>
    <row r="13982">
      <c r="E13982">
        <f>IF(DATOS!$I13982="","",IFERROR(VLOOKUP(DATOS!$I13982,CONFIG_ASIGNATURAS!$B$2:$J$61,9,FALSE()),""))</f>
      </c>
    </row>
    <row r="13983">
      <c r="E13983">
        <f>IF(DATOS!$I13983="","",IFERROR(VLOOKUP(DATOS!$I13983,CONFIG_ASIGNATURAS!$B$2:$J$61,9,FALSE()),""))</f>
      </c>
    </row>
    <row r="13984">
      <c r="E13984">
        <f>IF(DATOS!$I13984="","",IFERROR(VLOOKUP(DATOS!$I13984,CONFIG_ASIGNATURAS!$B$2:$J$61,9,FALSE()),""))</f>
      </c>
    </row>
    <row r="13985">
      <c r="E13985">
        <f>IF(DATOS!$I13985="","",IFERROR(VLOOKUP(DATOS!$I13985,CONFIG_ASIGNATURAS!$B$2:$J$61,9,FALSE()),""))</f>
      </c>
    </row>
    <row r="13986">
      <c r="E13986">
        <f>IF(DATOS!$I13986="","",IFERROR(VLOOKUP(DATOS!$I13986,CONFIG_ASIGNATURAS!$B$2:$J$61,9,FALSE()),""))</f>
      </c>
    </row>
    <row r="13987">
      <c r="E13987">
        <f>IF(DATOS!$I13987="","",IFERROR(VLOOKUP(DATOS!$I13987,CONFIG_ASIGNATURAS!$B$2:$J$61,9,FALSE()),""))</f>
      </c>
    </row>
    <row r="13988">
      <c r="E13988">
        <f>IF(DATOS!$I13988="","",IFERROR(VLOOKUP(DATOS!$I13988,CONFIG_ASIGNATURAS!$B$2:$J$61,9,FALSE()),""))</f>
      </c>
    </row>
    <row r="13989">
      <c r="E13989">
        <f>IF(DATOS!$I13989="","",IFERROR(VLOOKUP(DATOS!$I13989,CONFIG_ASIGNATURAS!$B$2:$J$61,9,FALSE()),""))</f>
      </c>
    </row>
    <row r="13990">
      <c r="E13990">
        <f>IF(DATOS!$I13990="","",IFERROR(VLOOKUP(DATOS!$I13990,CONFIG_ASIGNATURAS!$B$2:$J$61,9,FALSE()),""))</f>
      </c>
    </row>
    <row r="13991">
      <c r="E13991">
        <f>IF(DATOS!$I13991="","",IFERROR(VLOOKUP(DATOS!$I13991,CONFIG_ASIGNATURAS!$B$2:$J$61,9,FALSE()),""))</f>
      </c>
    </row>
    <row r="13992">
      <c r="E13992">
        <f>IF(DATOS!$I13992="","",IFERROR(VLOOKUP(DATOS!$I13992,CONFIG_ASIGNATURAS!$B$2:$J$61,9,FALSE()),""))</f>
      </c>
    </row>
    <row r="13993">
      <c r="E13993">
        <f>IF(DATOS!$I13993="","",IFERROR(VLOOKUP(DATOS!$I13993,CONFIG_ASIGNATURAS!$B$2:$J$61,9,FALSE()),""))</f>
      </c>
    </row>
    <row r="13994">
      <c r="E13994">
        <f>IF(DATOS!$I13994="","",IFERROR(VLOOKUP(DATOS!$I13994,CONFIG_ASIGNATURAS!$B$2:$J$61,9,FALSE()),""))</f>
      </c>
    </row>
    <row r="13995">
      <c r="E13995">
        <f>IF(DATOS!$I13995="","",IFERROR(VLOOKUP(DATOS!$I13995,CONFIG_ASIGNATURAS!$B$2:$J$61,9,FALSE()),""))</f>
      </c>
    </row>
    <row r="13996">
      <c r="E13996">
        <f>IF(DATOS!$I13996="","",IFERROR(VLOOKUP(DATOS!$I13996,CONFIG_ASIGNATURAS!$B$2:$J$61,9,FALSE()),""))</f>
      </c>
    </row>
    <row r="13997">
      <c r="E13997">
        <f>IF(DATOS!$I13997="","",IFERROR(VLOOKUP(DATOS!$I13997,CONFIG_ASIGNATURAS!$B$2:$J$61,9,FALSE()),""))</f>
      </c>
    </row>
    <row r="13998">
      <c r="E13998">
        <f>IF(DATOS!$I13998="","",IFERROR(VLOOKUP(DATOS!$I13998,CONFIG_ASIGNATURAS!$B$2:$J$61,9,FALSE()),""))</f>
      </c>
    </row>
    <row r="13999">
      <c r="E13999">
        <f>IF(DATOS!$I13999="","",IFERROR(VLOOKUP(DATOS!$I13999,CONFIG_ASIGNATURAS!$B$2:$J$61,9,FALSE()),""))</f>
      </c>
    </row>
    <row r="14000">
      <c r="E14000">
        <f>IF(DATOS!$I14000="","",IFERROR(VLOOKUP(DATOS!$I14000,CONFIG_ASIGNATURAS!$B$2:$J$61,9,FALSE()),""))</f>
      </c>
    </row>
    <row r="14001">
      <c r="E14001">
        <f>IF(DATOS!$I14001="","",IFERROR(VLOOKUP(DATOS!$I14001,CONFIG_ASIGNATURAS!$B$2:$J$61,9,FALSE()),""))</f>
      </c>
    </row>
    <row r="14002">
      <c r="E14002">
        <f>IF(DATOS!$I14002="","",IFERROR(VLOOKUP(DATOS!$I14002,CONFIG_ASIGNATURAS!$B$2:$J$61,9,FALSE()),""))</f>
      </c>
    </row>
    <row r="14003">
      <c r="E14003">
        <f>IF(DATOS!$I14003="","",IFERROR(VLOOKUP(DATOS!$I14003,CONFIG_ASIGNATURAS!$B$2:$J$61,9,FALSE()),""))</f>
      </c>
    </row>
    <row r="14004">
      <c r="E14004">
        <f>IF(DATOS!$I14004="","",IFERROR(VLOOKUP(DATOS!$I14004,CONFIG_ASIGNATURAS!$B$2:$J$61,9,FALSE()),""))</f>
      </c>
    </row>
    <row r="14005">
      <c r="E14005">
        <f>IF(DATOS!$I14005="","",IFERROR(VLOOKUP(DATOS!$I14005,CONFIG_ASIGNATURAS!$B$2:$J$61,9,FALSE()),""))</f>
      </c>
    </row>
    <row r="14006">
      <c r="E14006">
        <f>IF(DATOS!$I14006="","",IFERROR(VLOOKUP(DATOS!$I14006,CONFIG_ASIGNATURAS!$B$2:$J$61,9,FALSE()),""))</f>
      </c>
    </row>
    <row r="14007">
      <c r="E14007">
        <f>IF(DATOS!$I14007="","",IFERROR(VLOOKUP(DATOS!$I14007,CONFIG_ASIGNATURAS!$B$2:$J$61,9,FALSE()),""))</f>
      </c>
    </row>
    <row r="14008">
      <c r="E14008">
        <f>IF(DATOS!$I14008="","",IFERROR(VLOOKUP(DATOS!$I14008,CONFIG_ASIGNATURAS!$B$2:$J$61,9,FALSE()),""))</f>
      </c>
    </row>
    <row r="14009">
      <c r="E14009">
        <f>IF(DATOS!$I14009="","",IFERROR(VLOOKUP(DATOS!$I14009,CONFIG_ASIGNATURAS!$B$2:$J$61,9,FALSE()),""))</f>
      </c>
    </row>
    <row r="14010">
      <c r="E14010">
        <f>IF(DATOS!$I14010="","",IFERROR(VLOOKUP(DATOS!$I14010,CONFIG_ASIGNATURAS!$B$2:$J$61,9,FALSE()),""))</f>
      </c>
    </row>
    <row r="14011">
      <c r="E14011">
        <f>IF(DATOS!$I14011="","",IFERROR(VLOOKUP(DATOS!$I14011,CONFIG_ASIGNATURAS!$B$2:$J$61,9,FALSE()),""))</f>
      </c>
    </row>
    <row r="14012">
      <c r="E14012">
        <f>IF(DATOS!$I14012="","",IFERROR(VLOOKUP(DATOS!$I14012,CONFIG_ASIGNATURAS!$B$2:$J$61,9,FALSE()),""))</f>
      </c>
    </row>
    <row r="14013">
      <c r="E14013">
        <f>IF(DATOS!$I14013="","",IFERROR(VLOOKUP(DATOS!$I14013,CONFIG_ASIGNATURAS!$B$2:$J$61,9,FALSE()),""))</f>
      </c>
    </row>
    <row r="14014">
      <c r="E14014">
        <f>IF(DATOS!$I14014="","",IFERROR(VLOOKUP(DATOS!$I14014,CONFIG_ASIGNATURAS!$B$2:$J$61,9,FALSE()),""))</f>
      </c>
    </row>
    <row r="14015">
      <c r="E14015">
        <f>IF(DATOS!$I14015="","",IFERROR(VLOOKUP(DATOS!$I14015,CONFIG_ASIGNATURAS!$B$2:$J$61,9,FALSE()),""))</f>
      </c>
    </row>
    <row r="14016">
      <c r="E14016">
        <f>IF(DATOS!$I14016="","",IFERROR(VLOOKUP(DATOS!$I14016,CONFIG_ASIGNATURAS!$B$2:$J$61,9,FALSE()),""))</f>
      </c>
    </row>
    <row r="14017">
      <c r="E14017">
        <f>IF(DATOS!$I14017="","",IFERROR(VLOOKUP(DATOS!$I14017,CONFIG_ASIGNATURAS!$B$2:$J$61,9,FALSE()),""))</f>
      </c>
    </row>
    <row r="14018">
      <c r="E14018">
        <f>IF(DATOS!$I14018="","",IFERROR(VLOOKUP(DATOS!$I14018,CONFIG_ASIGNATURAS!$B$2:$J$61,9,FALSE()),""))</f>
      </c>
    </row>
    <row r="14019">
      <c r="E14019">
        <f>IF(DATOS!$I14019="","",IFERROR(VLOOKUP(DATOS!$I14019,CONFIG_ASIGNATURAS!$B$2:$J$61,9,FALSE()),""))</f>
      </c>
    </row>
    <row r="14020">
      <c r="E14020">
        <f>IF(DATOS!$I14020="","",IFERROR(VLOOKUP(DATOS!$I14020,CONFIG_ASIGNATURAS!$B$2:$J$61,9,FALSE()),""))</f>
      </c>
    </row>
    <row r="14021">
      <c r="E14021">
        <f>IF(DATOS!$I14021="","",IFERROR(VLOOKUP(DATOS!$I14021,CONFIG_ASIGNATURAS!$B$2:$J$61,9,FALSE()),""))</f>
      </c>
    </row>
    <row r="14022">
      <c r="E14022">
        <f>IF(DATOS!$I14022="","",IFERROR(VLOOKUP(DATOS!$I14022,CONFIG_ASIGNATURAS!$B$2:$J$61,9,FALSE()),""))</f>
      </c>
    </row>
    <row r="14023">
      <c r="E14023">
        <f>IF(DATOS!$I14023="","",IFERROR(VLOOKUP(DATOS!$I14023,CONFIG_ASIGNATURAS!$B$2:$J$61,9,FALSE()),""))</f>
      </c>
    </row>
    <row r="14024">
      <c r="E14024">
        <f>IF(DATOS!$I14024="","",IFERROR(VLOOKUP(DATOS!$I14024,CONFIG_ASIGNATURAS!$B$2:$J$61,9,FALSE()),""))</f>
      </c>
    </row>
    <row r="14025">
      <c r="E14025">
        <f>IF(DATOS!$I14025="","",IFERROR(VLOOKUP(DATOS!$I14025,CONFIG_ASIGNATURAS!$B$2:$J$61,9,FALSE()),""))</f>
      </c>
    </row>
    <row r="14026">
      <c r="E14026">
        <f>IF(DATOS!$I14026="","",IFERROR(VLOOKUP(DATOS!$I14026,CONFIG_ASIGNATURAS!$B$2:$J$61,9,FALSE()),""))</f>
      </c>
    </row>
    <row r="14027">
      <c r="E14027">
        <f>IF(DATOS!$I14027="","",IFERROR(VLOOKUP(DATOS!$I14027,CONFIG_ASIGNATURAS!$B$2:$J$61,9,FALSE()),""))</f>
      </c>
    </row>
    <row r="14028">
      <c r="E14028">
        <f>IF(DATOS!$I14028="","",IFERROR(VLOOKUP(DATOS!$I14028,CONFIG_ASIGNATURAS!$B$2:$J$61,9,FALSE()),""))</f>
      </c>
    </row>
    <row r="14029">
      <c r="E14029">
        <f>IF(DATOS!$I14029="","",IFERROR(VLOOKUP(DATOS!$I14029,CONFIG_ASIGNATURAS!$B$2:$J$61,9,FALSE()),""))</f>
      </c>
    </row>
    <row r="14030">
      <c r="E14030">
        <f>IF(DATOS!$I14030="","",IFERROR(VLOOKUP(DATOS!$I14030,CONFIG_ASIGNATURAS!$B$2:$J$61,9,FALSE()),""))</f>
      </c>
    </row>
    <row r="14031">
      <c r="E14031">
        <f>IF(DATOS!$I14031="","",IFERROR(VLOOKUP(DATOS!$I14031,CONFIG_ASIGNATURAS!$B$2:$J$61,9,FALSE()),""))</f>
      </c>
    </row>
    <row r="14032">
      <c r="E14032">
        <f>IF(DATOS!$I14032="","",IFERROR(VLOOKUP(DATOS!$I14032,CONFIG_ASIGNATURAS!$B$2:$J$61,9,FALSE()),""))</f>
      </c>
    </row>
    <row r="14033">
      <c r="E14033">
        <f>IF(DATOS!$I14033="","",IFERROR(VLOOKUP(DATOS!$I14033,CONFIG_ASIGNATURAS!$B$2:$J$61,9,FALSE()),""))</f>
      </c>
    </row>
    <row r="14034">
      <c r="E14034">
        <f>IF(DATOS!$I14034="","",IFERROR(VLOOKUP(DATOS!$I14034,CONFIG_ASIGNATURAS!$B$2:$J$61,9,FALSE()),""))</f>
      </c>
    </row>
    <row r="14035">
      <c r="E14035">
        <f>IF(DATOS!$I14035="","",IFERROR(VLOOKUP(DATOS!$I14035,CONFIG_ASIGNATURAS!$B$2:$J$61,9,FALSE()),""))</f>
      </c>
    </row>
    <row r="14036">
      <c r="E14036">
        <f>IF(DATOS!$I14036="","",IFERROR(VLOOKUP(DATOS!$I14036,CONFIG_ASIGNATURAS!$B$2:$J$61,9,FALSE()),""))</f>
      </c>
    </row>
    <row r="14037">
      <c r="E14037">
        <f>IF(DATOS!$I14037="","",IFERROR(VLOOKUP(DATOS!$I14037,CONFIG_ASIGNATURAS!$B$2:$J$61,9,FALSE()),""))</f>
      </c>
    </row>
    <row r="14038">
      <c r="E14038">
        <f>IF(DATOS!$I14038="","",IFERROR(VLOOKUP(DATOS!$I14038,CONFIG_ASIGNATURAS!$B$2:$J$61,9,FALSE()),""))</f>
      </c>
    </row>
    <row r="14039">
      <c r="E14039">
        <f>IF(DATOS!$I14039="","",IFERROR(VLOOKUP(DATOS!$I14039,CONFIG_ASIGNATURAS!$B$2:$J$61,9,FALSE()),""))</f>
      </c>
    </row>
    <row r="14040">
      <c r="E14040">
        <f>IF(DATOS!$I14040="","",IFERROR(VLOOKUP(DATOS!$I14040,CONFIG_ASIGNATURAS!$B$2:$J$61,9,FALSE()),""))</f>
      </c>
    </row>
    <row r="14041">
      <c r="E14041">
        <f>IF(DATOS!$I14041="","",IFERROR(VLOOKUP(DATOS!$I14041,CONFIG_ASIGNATURAS!$B$2:$J$61,9,FALSE()),""))</f>
      </c>
    </row>
    <row r="14042">
      <c r="E14042">
        <f>IF(DATOS!$I14042="","",IFERROR(VLOOKUP(DATOS!$I14042,CONFIG_ASIGNATURAS!$B$2:$J$61,9,FALSE()),""))</f>
      </c>
    </row>
    <row r="14043">
      <c r="E14043">
        <f>IF(DATOS!$I14043="","",IFERROR(VLOOKUP(DATOS!$I14043,CONFIG_ASIGNATURAS!$B$2:$J$61,9,FALSE()),""))</f>
      </c>
    </row>
    <row r="14044">
      <c r="E14044">
        <f>IF(DATOS!$I14044="","",IFERROR(VLOOKUP(DATOS!$I14044,CONFIG_ASIGNATURAS!$B$2:$J$61,9,FALSE()),""))</f>
      </c>
    </row>
    <row r="14045">
      <c r="E14045">
        <f>IF(DATOS!$I14045="","",IFERROR(VLOOKUP(DATOS!$I14045,CONFIG_ASIGNATURAS!$B$2:$J$61,9,FALSE()),""))</f>
      </c>
    </row>
    <row r="14046">
      <c r="E14046">
        <f>IF(DATOS!$I14046="","",IFERROR(VLOOKUP(DATOS!$I14046,CONFIG_ASIGNATURAS!$B$2:$J$61,9,FALSE()),""))</f>
      </c>
    </row>
    <row r="14047">
      <c r="E14047">
        <f>IF(DATOS!$I14047="","",IFERROR(VLOOKUP(DATOS!$I14047,CONFIG_ASIGNATURAS!$B$2:$J$61,9,FALSE()),""))</f>
      </c>
    </row>
    <row r="14048">
      <c r="E14048">
        <f>IF(DATOS!$I14048="","",IFERROR(VLOOKUP(DATOS!$I14048,CONFIG_ASIGNATURAS!$B$2:$J$61,9,FALSE()),""))</f>
      </c>
    </row>
    <row r="14049">
      <c r="E14049">
        <f>IF(DATOS!$I14049="","",IFERROR(VLOOKUP(DATOS!$I14049,CONFIG_ASIGNATURAS!$B$2:$J$61,9,FALSE()),""))</f>
      </c>
    </row>
    <row r="14050">
      <c r="E14050">
        <f>IF(DATOS!$I14050="","",IFERROR(VLOOKUP(DATOS!$I14050,CONFIG_ASIGNATURAS!$B$2:$J$61,9,FALSE()),""))</f>
      </c>
    </row>
    <row r="14051">
      <c r="E14051">
        <f>IF(DATOS!$I14051="","",IFERROR(VLOOKUP(DATOS!$I14051,CONFIG_ASIGNATURAS!$B$2:$J$61,9,FALSE()),""))</f>
      </c>
    </row>
    <row r="14052">
      <c r="E14052">
        <f>IF(DATOS!$I14052="","",IFERROR(VLOOKUP(DATOS!$I14052,CONFIG_ASIGNATURAS!$B$2:$J$61,9,FALSE()),""))</f>
      </c>
    </row>
    <row r="14053">
      <c r="E14053">
        <f>IF(DATOS!$I14053="","",IFERROR(VLOOKUP(DATOS!$I14053,CONFIG_ASIGNATURAS!$B$2:$J$61,9,FALSE()),""))</f>
      </c>
    </row>
    <row r="14054">
      <c r="E14054">
        <f>IF(DATOS!$I14054="","",IFERROR(VLOOKUP(DATOS!$I14054,CONFIG_ASIGNATURAS!$B$2:$J$61,9,FALSE()),""))</f>
      </c>
    </row>
    <row r="14055">
      <c r="E14055">
        <f>IF(DATOS!$I14055="","",IFERROR(VLOOKUP(DATOS!$I14055,CONFIG_ASIGNATURAS!$B$2:$J$61,9,FALSE()),""))</f>
      </c>
    </row>
    <row r="14056">
      <c r="E14056">
        <f>IF(DATOS!$I14056="","",IFERROR(VLOOKUP(DATOS!$I14056,CONFIG_ASIGNATURAS!$B$2:$J$61,9,FALSE()),""))</f>
      </c>
    </row>
    <row r="14057">
      <c r="E14057">
        <f>IF(DATOS!$I14057="","",IFERROR(VLOOKUP(DATOS!$I14057,CONFIG_ASIGNATURAS!$B$2:$J$61,9,FALSE()),""))</f>
      </c>
    </row>
    <row r="14058">
      <c r="E14058">
        <f>IF(DATOS!$I14058="","",IFERROR(VLOOKUP(DATOS!$I14058,CONFIG_ASIGNATURAS!$B$2:$J$61,9,FALSE()),""))</f>
      </c>
    </row>
    <row r="14059">
      <c r="E14059">
        <f>IF(DATOS!$I14059="","",IFERROR(VLOOKUP(DATOS!$I14059,CONFIG_ASIGNATURAS!$B$2:$J$61,9,FALSE()),""))</f>
      </c>
    </row>
    <row r="14060">
      <c r="E14060">
        <f>IF(DATOS!$I14060="","",IFERROR(VLOOKUP(DATOS!$I14060,CONFIG_ASIGNATURAS!$B$2:$J$61,9,FALSE()),""))</f>
      </c>
    </row>
    <row r="14061">
      <c r="E14061">
        <f>IF(DATOS!$I14061="","",IFERROR(VLOOKUP(DATOS!$I14061,CONFIG_ASIGNATURAS!$B$2:$J$61,9,FALSE()),""))</f>
      </c>
    </row>
    <row r="14062">
      <c r="E14062">
        <f>IF(DATOS!$I14062="","",IFERROR(VLOOKUP(DATOS!$I14062,CONFIG_ASIGNATURAS!$B$2:$J$61,9,FALSE()),""))</f>
      </c>
    </row>
    <row r="14063">
      <c r="E14063">
        <f>IF(DATOS!$I14063="","",IFERROR(VLOOKUP(DATOS!$I14063,CONFIG_ASIGNATURAS!$B$2:$J$61,9,FALSE()),""))</f>
      </c>
    </row>
    <row r="14064">
      <c r="E14064">
        <f>IF(DATOS!$I14064="","",IFERROR(VLOOKUP(DATOS!$I14064,CONFIG_ASIGNATURAS!$B$2:$J$61,9,FALSE()),""))</f>
      </c>
    </row>
    <row r="14065">
      <c r="E14065">
        <f>IF(DATOS!$I14065="","",IFERROR(VLOOKUP(DATOS!$I14065,CONFIG_ASIGNATURAS!$B$2:$J$61,9,FALSE()),""))</f>
      </c>
    </row>
    <row r="14066">
      <c r="E14066">
        <f>IF(DATOS!$I14066="","",IFERROR(VLOOKUP(DATOS!$I14066,CONFIG_ASIGNATURAS!$B$2:$J$61,9,FALSE()),""))</f>
      </c>
    </row>
    <row r="14067">
      <c r="E14067">
        <f>IF(DATOS!$I14067="","",IFERROR(VLOOKUP(DATOS!$I14067,CONFIG_ASIGNATURAS!$B$2:$J$61,9,FALSE()),""))</f>
      </c>
    </row>
    <row r="14068">
      <c r="E14068">
        <f>IF(DATOS!$I14068="","",IFERROR(VLOOKUP(DATOS!$I14068,CONFIG_ASIGNATURAS!$B$2:$J$61,9,FALSE()),""))</f>
      </c>
    </row>
    <row r="14069">
      <c r="E14069">
        <f>IF(DATOS!$I14069="","",IFERROR(VLOOKUP(DATOS!$I14069,CONFIG_ASIGNATURAS!$B$2:$J$61,9,FALSE()),""))</f>
      </c>
    </row>
    <row r="14070">
      <c r="E14070">
        <f>IF(DATOS!$I14070="","",IFERROR(VLOOKUP(DATOS!$I14070,CONFIG_ASIGNATURAS!$B$2:$J$61,9,FALSE()),""))</f>
      </c>
    </row>
    <row r="14071">
      <c r="E14071">
        <f>IF(DATOS!$I14071="","",IFERROR(VLOOKUP(DATOS!$I14071,CONFIG_ASIGNATURAS!$B$2:$J$61,9,FALSE()),""))</f>
      </c>
    </row>
    <row r="14072">
      <c r="E14072">
        <f>IF(DATOS!$I14072="","",IFERROR(VLOOKUP(DATOS!$I14072,CONFIG_ASIGNATURAS!$B$2:$J$61,9,FALSE()),""))</f>
      </c>
    </row>
    <row r="14073">
      <c r="E14073">
        <f>IF(DATOS!$I14073="","",IFERROR(VLOOKUP(DATOS!$I14073,CONFIG_ASIGNATURAS!$B$2:$J$61,9,FALSE()),""))</f>
      </c>
    </row>
    <row r="14074">
      <c r="E14074">
        <f>IF(DATOS!$I14074="","",IFERROR(VLOOKUP(DATOS!$I14074,CONFIG_ASIGNATURAS!$B$2:$J$61,9,FALSE()),""))</f>
      </c>
    </row>
    <row r="14075">
      <c r="E14075">
        <f>IF(DATOS!$I14075="","",IFERROR(VLOOKUP(DATOS!$I14075,CONFIG_ASIGNATURAS!$B$2:$J$61,9,FALSE()),""))</f>
      </c>
    </row>
    <row r="14076">
      <c r="E14076">
        <f>IF(DATOS!$I14076="","",IFERROR(VLOOKUP(DATOS!$I14076,CONFIG_ASIGNATURAS!$B$2:$J$61,9,FALSE()),""))</f>
      </c>
    </row>
    <row r="14077">
      <c r="E14077">
        <f>IF(DATOS!$I14077="","",IFERROR(VLOOKUP(DATOS!$I14077,CONFIG_ASIGNATURAS!$B$2:$J$61,9,FALSE()),""))</f>
      </c>
    </row>
    <row r="14078">
      <c r="E14078">
        <f>IF(DATOS!$I14078="","",IFERROR(VLOOKUP(DATOS!$I14078,CONFIG_ASIGNATURAS!$B$2:$J$61,9,FALSE()),""))</f>
      </c>
    </row>
    <row r="14079">
      <c r="E14079">
        <f>IF(DATOS!$I14079="","",IFERROR(VLOOKUP(DATOS!$I14079,CONFIG_ASIGNATURAS!$B$2:$J$61,9,FALSE()),""))</f>
      </c>
    </row>
    <row r="14080">
      <c r="E14080">
        <f>IF(DATOS!$I14080="","",IFERROR(VLOOKUP(DATOS!$I14080,CONFIG_ASIGNATURAS!$B$2:$J$61,9,FALSE()),""))</f>
      </c>
    </row>
    <row r="14081">
      <c r="E14081">
        <f>IF(DATOS!$I14081="","",IFERROR(VLOOKUP(DATOS!$I14081,CONFIG_ASIGNATURAS!$B$2:$J$61,9,FALSE()),""))</f>
      </c>
    </row>
    <row r="14082">
      <c r="E14082">
        <f>IF(DATOS!$I14082="","",IFERROR(VLOOKUP(DATOS!$I14082,CONFIG_ASIGNATURAS!$B$2:$J$61,9,FALSE()),""))</f>
      </c>
    </row>
    <row r="14083">
      <c r="E14083">
        <f>IF(DATOS!$I14083="","",IFERROR(VLOOKUP(DATOS!$I14083,CONFIG_ASIGNATURAS!$B$2:$J$61,9,FALSE()),""))</f>
      </c>
    </row>
    <row r="14084">
      <c r="E14084">
        <f>IF(DATOS!$I14084="","",IFERROR(VLOOKUP(DATOS!$I14084,CONFIG_ASIGNATURAS!$B$2:$J$61,9,FALSE()),""))</f>
      </c>
    </row>
    <row r="14085">
      <c r="E14085">
        <f>IF(DATOS!$I14085="","",IFERROR(VLOOKUP(DATOS!$I14085,CONFIG_ASIGNATURAS!$B$2:$J$61,9,FALSE()),""))</f>
      </c>
    </row>
    <row r="14086">
      <c r="E14086">
        <f>IF(DATOS!$I14086="","",IFERROR(VLOOKUP(DATOS!$I14086,CONFIG_ASIGNATURAS!$B$2:$J$61,9,FALSE()),""))</f>
      </c>
    </row>
    <row r="14087">
      <c r="E14087">
        <f>IF(DATOS!$I14087="","",IFERROR(VLOOKUP(DATOS!$I14087,CONFIG_ASIGNATURAS!$B$2:$J$61,9,FALSE()),""))</f>
      </c>
    </row>
    <row r="14088">
      <c r="E14088">
        <f>IF(DATOS!$I14088="","",IFERROR(VLOOKUP(DATOS!$I14088,CONFIG_ASIGNATURAS!$B$2:$J$61,9,FALSE()),""))</f>
      </c>
    </row>
    <row r="14089">
      <c r="E14089">
        <f>IF(DATOS!$I14089="","",IFERROR(VLOOKUP(DATOS!$I14089,CONFIG_ASIGNATURAS!$B$2:$J$61,9,FALSE()),""))</f>
      </c>
    </row>
    <row r="14090">
      <c r="E14090">
        <f>IF(DATOS!$I14090="","",IFERROR(VLOOKUP(DATOS!$I14090,CONFIG_ASIGNATURAS!$B$2:$J$61,9,FALSE()),""))</f>
      </c>
    </row>
    <row r="14091">
      <c r="E14091">
        <f>IF(DATOS!$I14091="","",IFERROR(VLOOKUP(DATOS!$I14091,CONFIG_ASIGNATURAS!$B$2:$J$61,9,FALSE()),""))</f>
      </c>
    </row>
    <row r="14092">
      <c r="E14092">
        <f>IF(DATOS!$I14092="","",IFERROR(VLOOKUP(DATOS!$I14092,CONFIG_ASIGNATURAS!$B$2:$J$61,9,FALSE()),""))</f>
      </c>
    </row>
    <row r="14093">
      <c r="E14093">
        <f>IF(DATOS!$I14093="","",IFERROR(VLOOKUP(DATOS!$I14093,CONFIG_ASIGNATURAS!$B$2:$J$61,9,FALSE()),""))</f>
      </c>
    </row>
    <row r="14094">
      <c r="E14094">
        <f>IF(DATOS!$I14094="","",IFERROR(VLOOKUP(DATOS!$I14094,CONFIG_ASIGNATURAS!$B$2:$J$61,9,FALSE()),""))</f>
      </c>
    </row>
    <row r="14095">
      <c r="E14095">
        <f>IF(DATOS!$I14095="","",IFERROR(VLOOKUP(DATOS!$I14095,CONFIG_ASIGNATURAS!$B$2:$J$61,9,FALSE()),""))</f>
      </c>
    </row>
    <row r="14096">
      <c r="E14096">
        <f>IF(DATOS!$I14096="","",IFERROR(VLOOKUP(DATOS!$I14096,CONFIG_ASIGNATURAS!$B$2:$J$61,9,FALSE()),""))</f>
      </c>
    </row>
    <row r="14097">
      <c r="E14097">
        <f>IF(DATOS!$I14097="","",IFERROR(VLOOKUP(DATOS!$I14097,CONFIG_ASIGNATURAS!$B$2:$J$61,9,FALSE()),""))</f>
      </c>
    </row>
    <row r="14098">
      <c r="E14098">
        <f>IF(DATOS!$I14098="","",IFERROR(VLOOKUP(DATOS!$I14098,CONFIG_ASIGNATURAS!$B$2:$J$61,9,FALSE()),""))</f>
      </c>
    </row>
    <row r="14099">
      <c r="E14099">
        <f>IF(DATOS!$I14099="","",IFERROR(VLOOKUP(DATOS!$I14099,CONFIG_ASIGNATURAS!$B$2:$J$61,9,FALSE()),""))</f>
      </c>
    </row>
    <row r="14100">
      <c r="E14100">
        <f>IF(DATOS!$I14100="","",IFERROR(VLOOKUP(DATOS!$I14100,CONFIG_ASIGNATURAS!$B$2:$J$61,9,FALSE()),""))</f>
      </c>
    </row>
    <row r="14101">
      <c r="E14101">
        <f>IF(DATOS!$I14101="","",IFERROR(VLOOKUP(DATOS!$I14101,CONFIG_ASIGNATURAS!$B$2:$J$61,9,FALSE()),""))</f>
      </c>
    </row>
    <row r="14102">
      <c r="E14102">
        <f>IF(DATOS!$I14102="","",IFERROR(VLOOKUP(DATOS!$I14102,CONFIG_ASIGNATURAS!$B$2:$J$61,9,FALSE()),""))</f>
      </c>
    </row>
    <row r="14103">
      <c r="E14103">
        <f>IF(DATOS!$I14103="","",IFERROR(VLOOKUP(DATOS!$I14103,CONFIG_ASIGNATURAS!$B$2:$J$61,9,FALSE()),""))</f>
      </c>
    </row>
    <row r="14104">
      <c r="E14104">
        <f>IF(DATOS!$I14104="","",IFERROR(VLOOKUP(DATOS!$I14104,CONFIG_ASIGNATURAS!$B$2:$J$61,9,FALSE()),""))</f>
      </c>
    </row>
    <row r="14105">
      <c r="E14105">
        <f>IF(DATOS!$I14105="","",IFERROR(VLOOKUP(DATOS!$I14105,CONFIG_ASIGNATURAS!$B$2:$J$61,9,FALSE()),""))</f>
      </c>
    </row>
    <row r="14106">
      <c r="E14106">
        <f>IF(DATOS!$I14106="","",IFERROR(VLOOKUP(DATOS!$I14106,CONFIG_ASIGNATURAS!$B$2:$J$61,9,FALSE()),""))</f>
      </c>
    </row>
    <row r="14107">
      <c r="E14107">
        <f>IF(DATOS!$I14107="","",IFERROR(VLOOKUP(DATOS!$I14107,CONFIG_ASIGNATURAS!$B$2:$J$61,9,FALSE()),""))</f>
      </c>
    </row>
    <row r="14108">
      <c r="E14108">
        <f>IF(DATOS!$I14108="","",IFERROR(VLOOKUP(DATOS!$I14108,CONFIG_ASIGNATURAS!$B$2:$J$61,9,FALSE()),""))</f>
      </c>
    </row>
    <row r="14109">
      <c r="E14109">
        <f>IF(DATOS!$I14109="","",IFERROR(VLOOKUP(DATOS!$I14109,CONFIG_ASIGNATURAS!$B$2:$J$61,9,FALSE()),""))</f>
      </c>
    </row>
    <row r="14110">
      <c r="E14110">
        <f>IF(DATOS!$I14110="","",IFERROR(VLOOKUP(DATOS!$I14110,CONFIG_ASIGNATURAS!$B$2:$J$61,9,FALSE()),""))</f>
      </c>
    </row>
    <row r="14111">
      <c r="E14111">
        <f>IF(DATOS!$I14111="","",IFERROR(VLOOKUP(DATOS!$I14111,CONFIG_ASIGNATURAS!$B$2:$J$61,9,FALSE()),""))</f>
      </c>
    </row>
    <row r="14112">
      <c r="E14112">
        <f>IF(DATOS!$I14112="","",IFERROR(VLOOKUP(DATOS!$I14112,CONFIG_ASIGNATURAS!$B$2:$J$61,9,FALSE()),""))</f>
      </c>
    </row>
    <row r="14113">
      <c r="E14113">
        <f>IF(DATOS!$I14113="","",IFERROR(VLOOKUP(DATOS!$I14113,CONFIG_ASIGNATURAS!$B$2:$J$61,9,FALSE()),""))</f>
      </c>
    </row>
    <row r="14114">
      <c r="E14114">
        <f>IF(DATOS!$I14114="","",IFERROR(VLOOKUP(DATOS!$I14114,CONFIG_ASIGNATURAS!$B$2:$J$61,9,FALSE()),""))</f>
      </c>
    </row>
    <row r="14115">
      <c r="E14115">
        <f>IF(DATOS!$I14115="","",IFERROR(VLOOKUP(DATOS!$I14115,CONFIG_ASIGNATURAS!$B$2:$J$61,9,FALSE()),""))</f>
      </c>
    </row>
    <row r="14116">
      <c r="E14116">
        <f>IF(DATOS!$I14116="","",IFERROR(VLOOKUP(DATOS!$I14116,CONFIG_ASIGNATURAS!$B$2:$J$61,9,FALSE()),""))</f>
      </c>
    </row>
    <row r="14117">
      <c r="E14117">
        <f>IF(DATOS!$I14117="","",IFERROR(VLOOKUP(DATOS!$I14117,CONFIG_ASIGNATURAS!$B$2:$J$61,9,FALSE()),""))</f>
      </c>
    </row>
    <row r="14118">
      <c r="E14118">
        <f>IF(DATOS!$I14118="","",IFERROR(VLOOKUP(DATOS!$I14118,CONFIG_ASIGNATURAS!$B$2:$J$61,9,FALSE()),""))</f>
      </c>
    </row>
    <row r="14119">
      <c r="E14119">
        <f>IF(DATOS!$I14119="","",IFERROR(VLOOKUP(DATOS!$I14119,CONFIG_ASIGNATURAS!$B$2:$J$61,9,FALSE()),""))</f>
      </c>
    </row>
    <row r="14120">
      <c r="E14120">
        <f>IF(DATOS!$I14120="","",IFERROR(VLOOKUP(DATOS!$I14120,CONFIG_ASIGNATURAS!$B$2:$J$61,9,FALSE()),""))</f>
      </c>
    </row>
    <row r="14121">
      <c r="E14121">
        <f>IF(DATOS!$I14121="","",IFERROR(VLOOKUP(DATOS!$I14121,CONFIG_ASIGNATURAS!$B$2:$J$61,9,FALSE()),""))</f>
      </c>
    </row>
    <row r="14122">
      <c r="E14122">
        <f>IF(DATOS!$I14122="","",IFERROR(VLOOKUP(DATOS!$I14122,CONFIG_ASIGNATURAS!$B$2:$J$61,9,FALSE()),""))</f>
      </c>
    </row>
    <row r="14123">
      <c r="E14123">
        <f>IF(DATOS!$I14123="","",IFERROR(VLOOKUP(DATOS!$I14123,CONFIG_ASIGNATURAS!$B$2:$J$61,9,FALSE()),""))</f>
      </c>
    </row>
    <row r="14124">
      <c r="E14124">
        <f>IF(DATOS!$I14124="","",IFERROR(VLOOKUP(DATOS!$I14124,CONFIG_ASIGNATURAS!$B$2:$J$61,9,FALSE()),""))</f>
      </c>
    </row>
    <row r="14125">
      <c r="E14125">
        <f>IF(DATOS!$I14125="","",IFERROR(VLOOKUP(DATOS!$I14125,CONFIG_ASIGNATURAS!$B$2:$J$61,9,FALSE()),""))</f>
      </c>
    </row>
    <row r="14126">
      <c r="E14126">
        <f>IF(DATOS!$I14126="","",IFERROR(VLOOKUP(DATOS!$I14126,CONFIG_ASIGNATURAS!$B$2:$J$61,9,FALSE()),""))</f>
      </c>
    </row>
    <row r="14127">
      <c r="E14127">
        <f>IF(DATOS!$I14127="","",IFERROR(VLOOKUP(DATOS!$I14127,CONFIG_ASIGNATURAS!$B$2:$J$61,9,FALSE()),""))</f>
      </c>
    </row>
    <row r="14128">
      <c r="E14128">
        <f>IF(DATOS!$I14128="","",IFERROR(VLOOKUP(DATOS!$I14128,CONFIG_ASIGNATURAS!$B$2:$J$61,9,FALSE()),""))</f>
      </c>
    </row>
    <row r="14129">
      <c r="E14129">
        <f>IF(DATOS!$I14129="","",IFERROR(VLOOKUP(DATOS!$I14129,CONFIG_ASIGNATURAS!$B$2:$J$61,9,FALSE()),""))</f>
      </c>
    </row>
    <row r="14130">
      <c r="E14130">
        <f>IF(DATOS!$I14130="","",IFERROR(VLOOKUP(DATOS!$I14130,CONFIG_ASIGNATURAS!$B$2:$J$61,9,FALSE()),""))</f>
      </c>
    </row>
    <row r="14131">
      <c r="E14131">
        <f>IF(DATOS!$I14131="","",IFERROR(VLOOKUP(DATOS!$I14131,CONFIG_ASIGNATURAS!$B$2:$J$61,9,FALSE()),""))</f>
      </c>
    </row>
    <row r="14132">
      <c r="E14132">
        <f>IF(DATOS!$I14132="","",IFERROR(VLOOKUP(DATOS!$I14132,CONFIG_ASIGNATURAS!$B$2:$J$61,9,FALSE()),""))</f>
      </c>
    </row>
    <row r="14133">
      <c r="E14133">
        <f>IF(DATOS!$I14133="","",IFERROR(VLOOKUP(DATOS!$I14133,CONFIG_ASIGNATURAS!$B$2:$J$61,9,FALSE()),""))</f>
      </c>
    </row>
    <row r="14134">
      <c r="E14134">
        <f>IF(DATOS!$I14134="","",IFERROR(VLOOKUP(DATOS!$I14134,CONFIG_ASIGNATURAS!$B$2:$J$61,9,FALSE()),""))</f>
      </c>
    </row>
    <row r="14135">
      <c r="E14135">
        <f>IF(DATOS!$I14135="","",IFERROR(VLOOKUP(DATOS!$I14135,CONFIG_ASIGNATURAS!$B$2:$J$61,9,FALSE()),""))</f>
      </c>
    </row>
    <row r="14136">
      <c r="E14136">
        <f>IF(DATOS!$I14136="","",IFERROR(VLOOKUP(DATOS!$I14136,CONFIG_ASIGNATURAS!$B$2:$J$61,9,FALSE()),""))</f>
      </c>
    </row>
    <row r="14137">
      <c r="E14137">
        <f>IF(DATOS!$I14137="","",IFERROR(VLOOKUP(DATOS!$I14137,CONFIG_ASIGNATURAS!$B$2:$J$61,9,FALSE()),""))</f>
      </c>
    </row>
    <row r="14138">
      <c r="E14138">
        <f>IF(DATOS!$I14138="","",IFERROR(VLOOKUP(DATOS!$I14138,CONFIG_ASIGNATURAS!$B$2:$J$61,9,FALSE()),""))</f>
      </c>
    </row>
    <row r="14139">
      <c r="E14139">
        <f>IF(DATOS!$I14139="","",IFERROR(VLOOKUP(DATOS!$I14139,CONFIG_ASIGNATURAS!$B$2:$J$61,9,FALSE()),""))</f>
      </c>
    </row>
    <row r="14140">
      <c r="E14140">
        <f>IF(DATOS!$I14140="","",IFERROR(VLOOKUP(DATOS!$I14140,CONFIG_ASIGNATURAS!$B$2:$J$61,9,FALSE()),""))</f>
      </c>
    </row>
    <row r="14141">
      <c r="E14141">
        <f>IF(DATOS!$I14141="","",IFERROR(VLOOKUP(DATOS!$I14141,CONFIG_ASIGNATURAS!$B$2:$J$61,9,FALSE()),""))</f>
      </c>
    </row>
    <row r="14142">
      <c r="E14142">
        <f>IF(DATOS!$I14142="","",IFERROR(VLOOKUP(DATOS!$I14142,CONFIG_ASIGNATURAS!$B$2:$J$61,9,FALSE()),""))</f>
      </c>
    </row>
    <row r="14143">
      <c r="E14143">
        <f>IF(DATOS!$I14143="","",IFERROR(VLOOKUP(DATOS!$I14143,CONFIG_ASIGNATURAS!$B$2:$J$61,9,FALSE()),""))</f>
      </c>
    </row>
    <row r="14144">
      <c r="E14144">
        <f>IF(DATOS!$I14144="","",IFERROR(VLOOKUP(DATOS!$I14144,CONFIG_ASIGNATURAS!$B$2:$J$61,9,FALSE()),""))</f>
      </c>
    </row>
    <row r="14145">
      <c r="E14145">
        <f>IF(DATOS!$I14145="","",IFERROR(VLOOKUP(DATOS!$I14145,CONFIG_ASIGNATURAS!$B$2:$J$61,9,FALSE()),""))</f>
      </c>
    </row>
    <row r="14146">
      <c r="E14146">
        <f>IF(DATOS!$I14146="","",IFERROR(VLOOKUP(DATOS!$I14146,CONFIG_ASIGNATURAS!$B$2:$J$61,9,FALSE()),""))</f>
      </c>
    </row>
    <row r="14147">
      <c r="E14147">
        <f>IF(DATOS!$I14147="","",IFERROR(VLOOKUP(DATOS!$I14147,CONFIG_ASIGNATURAS!$B$2:$J$61,9,FALSE()),""))</f>
      </c>
    </row>
    <row r="14148">
      <c r="E14148">
        <f>IF(DATOS!$I14148="","",IFERROR(VLOOKUP(DATOS!$I14148,CONFIG_ASIGNATURAS!$B$2:$J$61,9,FALSE()),""))</f>
      </c>
    </row>
    <row r="14149">
      <c r="E14149">
        <f>IF(DATOS!$I14149="","",IFERROR(VLOOKUP(DATOS!$I14149,CONFIG_ASIGNATURAS!$B$2:$J$61,9,FALSE()),""))</f>
      </c>
    </row>
    <row r="14150">
      <c r="E14150">
        <f>IF(DATOS!$I14150="","",IFERROR(VLOOKUP(DATOS!$I14150,CONFIG_ASIGNATURAS!$B$2:$J$61,9,FALSE()),""))</f>
      </c>
    </row>
    <row r="14151">
      <c r="E14151">
        <f>IF(DATOS!$I14151="","",IFERROR(VLOOKUP(DATOS!$I14151,CONFIG_ASIGNATURAS!$B$2:$J$61,9,FALSE()),""))</f>
      </c>
    </row>
    <row r="14152">
      <c r="E14152">
        <f>IF(DATOS!$I14152="","",IFERROR(VLOOKUP(DATOS!$I14152,CONFIG_ASIGNATURAS!$B$2:$J$61,9,FALSE()),""))</f>
      </c>
    </row>
    <row r="14153">
      <c r="E14153">
        <f>IF(DATOS!$I14153="","",IFERROR(VLOOKUP(DATOS!$I14153,CONFIG_ASIGNATURAS!$B$2:$J$61,9,FALSE()),""))</f>
      </c>
    </row>
    <row r="14154">
      <c r="E14154">
        <f>IF(DATOS!$I14154="","",IFERROR(VLOOKUP(DATOS!$I14154,CONFIG_ASIGNATURAS!$B$2:$J$61,9,FALSE()),""))</f>
      </c>
    </row>
    <row r="14155">
      <c r="E14155">
        <f>IF(DATOS!$I14155="","",IFERROR(VLOOKUP(DATOS!$I14155,CONFIG_ASIGNATURAS!$B$2:$J$61,9,FALSE()),""))</f>
      </c>
    </row>
    <row r="14156">
      <c r="E14156">
        <f>IF(DATOS!$I14156="","",IFERROR(VLOOKUP(DATOS!$I14156,CONFIG_ASIGNATURAS!$B$2:$J$61,9,FALSE()),""))</f>
      </c>
    </row>
    <row r="14157">
      <c r="E14157">
        <f>IF(DATOS!$I14157="","",IFERROR(VLOOKUP(DATOS!$I14157,CONFIG_ASIGNATURAS!$B$2:$J$61,9,FALSE()),""))</f>
      </c>
    </row>
    <row r="14158">
      <c r="E14158">
        <f>IF(DATOS!$I14158="","",IFERROR(VLOOKUP(DATOS!$I14158,CONFIG_ASIGNATURAS!$B$2:$J$61,9,FALSE()),""))</f>
      </c>
    </row>
    <row r="14159">
      <c r="E14159">
        <f>IF(DATOS!$I14159="","",IFERROR(VLOOKUP(DATOS!$I14159,CONFIG_ASIGNATURAS!$B$2:$J$61,9,FALSE()),""))</f>
      </c>
    </row>
    <row r="14160">
      <c r="E14160">
        <f>IF(DATOS!$I14160="","",IFERROR(VLOOKUP(DATOS!$I14160,CONFIG_ASIGNATURAS!$B$2:$J$61,9,FALSE()),""))</f>
      </c>
    </row>
    <row r="14161">
      <c r="E14161">
        <f>IF(DATOS!$I14161="","",IFERROR(VLOOKUP(DATOS!$I14161,CONFIG_ASIGNATURAS!$B$2:$J$61,9,FALSE()),""))</f>
      </c>
    </row>
    <row r="14162">
      <c r="E14162">
        <f>IF(DATOS!$I14162="","",IFERROR(VLOOKUP(DATOS!$I14162,CONFIG_ASIGNATURAS!$B$2:$J$61,9,FALSE()),""))</f>
      </c>
    </row>
    <row r="14163">
      <c r="E14163">
        <f>IF(DATOS!$I14163="","",IFERROR(VLOOKUP(DATOS!$I14163,CONFIG_ASIGNATURAS!$B$2:$J$61,9,FALSE()),""))</f>
      </c>
    </row>
    <row r="14164">
      <c r="E14164">
        <f>IF(DATOS!$I14164="","",IFERROR(VLOOKUP(DATOS!$I14164,CONFIG_ASIGNATURAS!$B$2:$J$61,9,FALSE()),""))</f>
      </c>
    </row>
    <row r="14165">
      <c r="E14165">
        <f>IF(DATOS!$I14165="","",IFERROR(VLOOKUP(DATOS!$I14165,CONFIG_ASIGNATURAS!$B$2:$J$61,9,FALSE()),""))</f>
      </c>
    </row>
    <row r="14166">
      <c r="E14166">
        <f>IF(DATOS!$I14166="","",IFERROR(VLOOKUP(DATOS!$I14166,CONFIG_ASIGNATURAS!$B$2:$J$61,9,FALSE()),""))</f>
      </c>
    </row>
    <row r="14167">
      <c r="E14167">
        <f>IF(DATOS!$I14167="","",IFERROR(VLOOKUP(DATOS!$I14167,CONFIG_ASIGNATURAS!$B$2:$J$61,9,FALSE()),""))</f>
      </c>
    </row>
    <row r="14168">
      <c r="E14168">
        <f>IF(DATOS!$I14168="","",IFERROR(VLOOKUP(DATOS!$I14168,CONFIG_ASIGNATURAS!$B$2:$J$61,9,FALSE()),""))</f>
      </c>
    </row>
    <row r="14169">
      <c r="E14169">
        <f>IF(DATOS!$I14169="","",IFERROR(VLOOKUP(DATOS!$I14169,CONFIG_ASIGNATURAS!$B$2:$J$61,9,FALSE()),""))</f>
      </c>
    </row>
    <row r="14170">
      <c r="E14170">
        <f>IF(DATOS!$I14170="","",IFERROR(VLOOKUP(DATOS!$I14170,CONFIG_ASIGNATURAS!$B$2:$J$61,9,FALSE()),""))</f>
      </c>
    </row>
    <row r="14171">
      <c r="E14171">
        <f>IF(DATOS!$I14171="","",IFERROR(VLOOKUP(DATOS!$I14171,CONFIG_ASIGNATURAS!$B$2:$J$61,9,FALSE()),""))</f>
      </c>
    </row>
    <row r="14172">
      <c r="E14172">
        <f>IF(DATOS!$I14172="","",IFERROR(VLOOKUP(DATOS!$I14172,CONFIG_ASIGNATURAS!$B$2:$J$61,9,FALSE()),""))</f>
      </c>
    </row>
    <row r="14173">
      <c r="E14173">
        <f>IF(DATOS!$I14173="","",IFERROR(VLOOKUP(DATOS!$I14173,CONFIG_ASIGNATURAS!$B$2:$J$61,9,FALSE()),""))</f>
      </c>
    </row>
    <row r="14174">
      <c r="E14174">
        <f>IF(DATOS!$I14174="","",IFERROR(VLOOKUP(DATOS!$I14174,CONFIG_ASIGNATURAS!$B$2:$J$61,9,FALSE()),""))</f>
      </c>
    </row>
    <row r="14175">
      <c r="E14175">
        <f>IF(DATOS!$I14175="","",IFERROR(VLOOKUP(DATOS!$I14175,CONFIG_ASIGNATURAS!$B$2:$J$61,9,FALSE()),""))</f>
      </c>
    </row>
    <row r="14176">
      <c r="E14176">
        <f>IF(DATOS!$I14176="","",IFERROR(VLOOKUP(DATOS!$I14176,CONFIG_ASIGNATURAS!$B$2:$J$61,9,FALSE()),""))</f>
      </c>
    </row>
    <row r="14177">
      <c r="E14177">
        <f>IF(DATOS!$I14177="","",IFERROR(VLOOKUP(DATOS!$I14177,CONFIG_ASIGNATURAS!$B$2:$J$61,9,FALSE()),""))</f>
      </c>
    </row>
    <row r="14178">
      <c r="E14178">
        <f>IF(DATOS!$I14178="","",IFERROR(VLOOKUP(DATOS!$I14178,CONFIG_ASIGNATURAS!$B$2:$J$61,9,FALSE()),""))</f>
      </c>
    </row>
    <row r="14179">
      <c r="E14179">
        <f>IF(DATOS!$I14179="","",IFERROR(VLOOKUP(DATOS!$I14179,CONFIG_ASIGNATURAS!$B$2:$J$61,9,FALSE()),""))</f>
      </c>
    </row>
    <row r="14180">
      <c r="E14180">
        <f>IF(DATOS!$I14180="","",IFERROR(VLOOKUP(DATOS!$I14180,CONFIG_ASIGNATURAS!$B$2:$J$61,9,FALSE()),""))</f>
      </c>
    </row>
    <row r="14181">
      <c r="E14181">
        <f>IF(DATOS!$I14181="","",IFERROR(VLOOKUP(DATOS!$I14181,CONFIG_ASIGNATURAS!$B$2:$J$61,9,FALSE()),""))</f>
      </c>
    </row>
    <row r="14182">
      <c r="E14182">
        <f>IF(DATOS!$I14182="","",IFERROR(VLOOKUP(DATOS!$I14182,CONFIG_ASIGNATURAS!$B$2:$J$61,9,FALSE()),""))</f>
      </c>
    </row>
    <row r="14183">
      <c r="E14183">
        <f>IF(DATOS!$I14183="","",IFERROR(VLOOKUP(DATOS!$I14183,CONFIG_ASIGNATURAS!$B$2:$J$61,9,FALSE()),""))</f>
      </c>
    </row>
    <row r="14184">
      <c r="E14184">
        <f>IF(DATOS!$I14184="","",IFERROR(VLOOKUP(DATOS!$I14184,CONFIG_ASIGNATURAS!$B$2:$J$61,9,FALSE()),""))</f>
      </c>
    </row>
    <row r="14185">
      <c r="E14185">
        <f>IF(DATOS!$I14185="","",IFERROR(VLOOKUP(DATOS!$I14185,CONFIG_ASIGNATURAS!$B$2:$J$61,9,FALSE()),""))</f>
      </c>
    </row>
    <row r="14186">
      <c r="E14186">
        <f>IF(DATOS!$I14186="","",IFERROR(VLOOKUP(DATOS!$I14186,CONFIG_ASIGNATURAS!$B$2:$J$61,9,FALSE()),""))</f>
      </c>
    </row>
    <row r="14187">
      <c r="E14187">
        <f>IF(DATOS!$I14187="","",IFERROR(VLOOKUP(DATOS!$I14187,CONFIG_ASIGNATURAS!$B$2:$J$61,9,FALSE()),""))</f>
      </c>
    </row>
    <row r="14188">
      <c r="E14188">
        <f>IF(DATOS!$I14188="","",IFERROR(VLOOKUP(DATOS!$I14188,CONFIG_ASIGNATURAS!$B$2:$J$61,9,FALSE()),""))</f>
      </c>
    </row>
    <row r="14189">
      <c r="E14189">
        <f>IF(DATOS!$I14189="","",IFERROR(VLOOKUP(DATOS!$I14189,CONFIG_ASIGNATURAS!$B$2:$J$61,9,FALSE()),""))</f>
      </c>
    </row>
    <row r="14190">
      <c r="E14190">
        <f>IF(DATOS!$I14190="","",IFERROR(VLOOKUP(DATOS!$I14190,CONFIG_ASIGNATURAS!$B$2:$J$61,9,FALSE()),""))</f>
      </c>
    </row>
    <row r="14191">
      <c r="E14191">
        <f>IF(DATOS!$I14191="","",IFERROR(VLOOKUP(DATOS!$I14191,CONFIG_ASIGNATURAS!$B$2:$J$61,9,FALSE()),""))</f>
      </c>
    </row>
    <row r="14192">
      <c r="E14192">
        <f>IF(DATOS!$I14192="","",IFERROR(VLOOKUP(DATOS!$I14192,CONFIG_ASIGNATURAS!$B$2:$J$61,9,FALSE()),""))</f>
      </c>
    </row>
    <row r="14193">
      <c r="E14193">
        <f>IF(DATOS!$I14193="","",IFERROR(VLOOKUP(DATOS!$I14193,CONFIG_ASIGNATURAS!$B$2:$J$61,9,FALSE()),""))</f>
      </c>
    </row>
    <row r="14194">
      <c r="E14194">
        <f>IF(DATOS!$I14194="","",IFERROR(VLOOKUP(DATOS!$I14194,CONFIG_ASIGNATURAS!$B$2:$J$61,9,FALSE()),""))</f>
      </c>
    </row>
    <row r="14195">
      <c r="E14195">
        <f>IF(DATOS!$I14195="","",IFERROR(VLOOKUP(DATOS!$I14195,CONFIG_ASIGNATURAS!$B$2:$J$61,9,FALSE()),""))</f>
      </c>
    </row>
    <row r="14196">
      <c r="E14196">
        <f>IF(DATOS!$I14196="","",IFERROR(VLOOKUP(DATOS!$I14196,CONFIG_ASIGNATURAS!$B$2:$J$61,9,FALSE()),""))</f>
      </c>
    </row>
    <row r="14197">
      <c r="E14197">
        <f>IF(DATOS!$I14197="","",IFERROR(VLOOKUP(DATOS!$I14197,CONFIG_ASIGNATURAS!$B$2:$J$61,9,FALSE()),""))</f>
      </c>
    </row>
    <row r="14198">
      <c r="E14198">
        <f>IF(DATOS!$I14198="","",IFERROR(VLOOKUP(DATOS!$I14198,CONFIG_ASIGNATURAS!$B$2:$J$61,9,FALSE()),""))</f>
      </c>
    </row>
    <row r="14199">
      <c r="E14199">
        <f>IF(DATOS!$I14199="","",IFERROR(VLOOKUP(DATOS!$I14199,CONFIG_ASIGNATURAS!$B$2:$J$61,9,FALSE()),""))</f>
      </c>
    </row>
    <row r="14200">
      <c r="E14200">
        <f>IF(DATOS!$I14200="","",IFERROR(VLOOKUP(DATOS!$I14200,CONFIG_ASIGNATURAS!$B$2:$J$61,9,FALSE()),""))</f>
      </c>
    </row>
    <row r="14201">
      <c r="E14201">
        <f>IF(DATOS!$I14201="","",IFERROR(VLOOKUP(DATOS!$I14201,CONFIG_ASIGNATURAS!$B$2:$J$61,9,FALSE()),""))</f>
      </c>
    </row>
    <row r="14202">
      <c r="E14202">
        <f>IF(DATOS!$I14202="","",IFERROR(VLOOKUP(DATOS!$I14202,CONFIG_ASIGNATURAS!$B$2:$J$61,9,FALSE()),""))</f>
      </c>
    </row>
    <row r="14203">
      <c r="E14203">
        <f>IF(DATOS!$I14203="","",IFERROR(VLOOKUP(DATOS!$I14203,CONFIG_ASIGNATURAS!$B$2:$J$61,9,FALSE()),""))</f>
      </c>
    </row>
    <row r="14204">
      <c r="E14204">
        <f>IF(DATOS!$I14204="","",IFERROR(VLOOKUP(DATOS!$I14204,CONFIG_ASIGNATURAS!$B$2:$J$61,9,FALSE()),""))</f>
      </c>
    </row>
    <row r="14205">
      <c r="E14205">
        <f>IF(DATOS!$I14205="","",IFERROR(VLOOKUP(DATOS!$I14205,CONFIG_ASIGNATURAS!$B$2:$J$61,9,FALSE()),""))</f>
      </c>
    </row>
    <row r="14206">
      <c r="E14206">
        <f>IF(DATOS!$I14206="","",IFERROR(VLOOKUP(DATOS!$I14206,CONFIG_ASIGNATURAS!$B$2:$J$61,9,FALSE()),""))</f>
      </c>
    </row>
    <row r="14207">
      <c r="E14207">
        <f>IF(DATOS!$I14207="","",IFERROR(VLOOKUP(DATOS!$I14207,CONFIG_ASIGNATURAS!$B$2:$J$61,9,FALSE()),""))</f>
      </c>
    </row>
    <row r="14208">
      <c r="E14208">
        <f>IF(DATOS!$I14208="","",IFERROR(VLOOKUP(DATOS!$I14208,CONFIG_ASIGNATURAS!$B$2:$J$61,9,FALSE()),""))</f>
      </c>
    </row>
    <row r="14209">
      <c r="E14209">
        <f>IF(DATOS!$I14209="","",IFERROR(VLOOKUP(DATOS!$I14209,CONFIG_ASIGNATURAS!$B$2:$J$61,9,FALSE()),""))</f>
      </c>
    </row>
    <row r="14210">
      <c r="E14210">
        <f>IF(DATOS!$I14210="","",IFERROR(VLOOKUP(DATOS!$I14210,CONFIG_ASIGNATURAS!$B$2:$J$61,9,FALSE()),""))</f>
      </c>
    </row>
    <row r="14211">
      <c r="E14211">
        <f>IF(DATOS!$I14211="","",IFERROR(VLOOKUP(DATOS!$I14211,CONFIG_ASIGNATURAS!$B$2:$J$61,9,FALSE()),""))</f>
      </c>
    </row>
    <row r="14212">
      <c r="E14212">
        <f>IF(DATOS!$I14212="","",IFERROR(VLOOKUP(DATOS!$I14212,CONFIG_ASIGNATURAS!$B$2:$J$61,9,FALSE()),""))</f>
      </c>
    </row>
    <row r="14213">
      <c r="E14213">
        <f>IF(DATOS!$I14213="","",IFERROR(VLOOKUP(DATOS!$I14213,CONFIG_ASIGNATURAS!$B$2:$J$61,9,FALSE()),""))</f>
      </c>
    </row>
    <row r="14214">
      <c r="E14214">
        <f>IF(DATOS!$I14214="","",IFERROR(VLOOKUP(DATOS!$I14214,CONFIG_ASIGNATURAS!$B$2:$J$61,9,FALSE()),""))</f>
      </c>
    </row>
    <row r="14215">
      <c r="E14215">
        <f>IF(DATOS!$I14215="","",IFERROR(VLOOKUP(DATOS!$I14215,CONFIG_ASIGNATURAS!$B$2:$J$61,9,FALSE()),""))</f>
      </c>
    </row>
    <row r="14216">
      <c r="E14216">
        <f>IF(DATOS!$I14216="","",IFERROR(VLOOKUP(DATOS!$I14216,CONFIG_ASIGNATURAS!$B$2:$J$61,9,FALSE()),""))</f>
      </c>
    </row>
    <row r="14217">
      <c r="E14217">
        <f>IF(DATOS!$I14217="","",IFERROR(VLOOKUP(DATOS!$I14217,CONFIG_ASIGNATURAS!$B$2:$J$61,9,FALSE()),""))</f>
      </c>
    </row>
    <row r="14218">
      <c r="E14218">
        <f>IF(DATOS!$I14218="","",IFERROR(VLOOKUP(DATOS!$I14218,CONFIG_ASIGNATURAS!$B$2:$J$61,9,FALSE()),""))</f>
      </c>
    </row>
    <row r="14219">
      <c r="E14219">
        <f>IF(DATOS!$I14219="","",IFERROR(VLOOKUP(DATOS!$I14219,CONFIG_ASIGNATURAS!$B$2:$J$61,9,FALSE()),""))</f>
      </c>
    </row>
    <row r="14220">
      <c r="E14220">
        <f>IF(DATOS!$I14220="","",IFERROR(VLOOKUP(DATOS!$I14220,CONFIG_ASIGNATURAS!$B$2:$J$61,9,FALSE()),""))</f>
      </c>
    </row>
    <row r="14221">
      <c r="E14221">
        <f>IF(DATOS!$I14221="","",IFERROR(VLOOKUP(DATOS!$I14221,CONFIG_ASIGNATURAS!$B$2:$J$61,9,FALSE()),""))</f>
      </c>
    </row>
    <row r="14222">
      <c r="E14222">
        <f>IF(DATOS!$I14222="","",IFERROR(VLOOKUP(DATOS!$I14222,CONFIG_ASIGNATURAS!$B$2:$J$61,9,FALSE()),""))</f>
      </c>
    </row>
    <row r="14223">
      <c r="E14223">
        <f>IF(DATOS!$I14223="","",IFERROR(VLOOKUP(DATOS!$I14223,CONFIG_ASIGNATURAS!$B$2:$J$61,9,FALSE()),""))</f>
      </c>
    </row>
    <row r="14224">
      <c r="E14224">
        <f>IF(DATOS!$I14224="","",IFERROR(VLOOKUP(DATOS!$I14224,CONFIG_ASIGNATURAS!$B$2:$J$61,9,FALSE()),""))</f>
      </c>
    </row>
    <row r="14225">
      <c r="E14225">
        <f>IF(DATOS!$I14225="","",IFERROR(VLOOKUP(DATOS!$I14225,CONFIG_ASIGNATURAS!$B$2:$J$61,9,FALSE()),""))</f>
      </c>
    </row>
    <row r="14226">
      <c r="E14226">
        <f>IF(DATOS!$I14226="","",IFERROR(VLOOKUP(DATOS!$I14226,CONFIG_ASIGNATURAS!$B$2:$J$61,9,FALSE()),""))</f>
      </c>
    </row>
    <row r="14227">
      <c r="E14227">
        <f>IF(DATOS!$I14227="","",IFERROR(VLOOKUP(DATOS!$I14227,CONFIG_ASIGNATURAS!$B$2:$J$61,9,FALSE()),""))</f>
      </c>
    </row>
    <row r="14228">
      <c r="E14228">
        <f>IF(DATOS!$I14228="","",IFERROR(VLOOKUP(DATOS!$I14228,CONFIG_ASIGNATURAS!$B$2:$J$61,9,FALSE()),""))</f>
      </c>
    </row>
    <row r="14229">
      <c r="E14229">
        <f>IF(DATOS!$I14229="","",IFERROR(VLOOKUP(DATOS!$I14229,CONFIG_ASIGNATURAS!$B$2:$J$61,9,FALSE()),""))</f>
      </c>
    </row>
    <row r="14230">
      <c r="E14230">
        <f>IF(DATOS!$I14230="","",IFERROR(VLOOKUP(DATOS!$I14230,CONFIG_ASIGNATURAS!$B$2:$J$61,9,FALSE()),""))</f>
      </c>
    </row>
    <row r="14231">
      <c r="E14231">
        <f>IF(DATOS!$I14231="","",IFERROR(VLOOKUP(DATOS!$I14231,CONFIG_ASIGNATURAS!$B$2:$J$61,9,FALSE()),""))</f>
      </c>
    </row>
    <row r="14232">
      <c r="E14232">
        <f>IF(DATOS!$I14232="","",IFERROR(VLOOKUP(DATOS!$I14232,CONFIG_ASIGNATURAS!$B$2:$J$61,9,FALSE()),""))</f>
      </c>
    </row>
    <row r="14233">
      <c r="E14233">
        <f>IF(DATOS!$I14233="","",IFERROR(VLOOKUP(DATOS!$I14233,CONFIG_ASIGNATURAS!$B$2:$J$61,9,FALSE()),""))</f>
      </c>
    </row>
    <row r="14234">
      <c r="E14234">
        <f>IF(DATOS!$I14234="","",IFERROR(VLOOKUP(DATOS!$I14234,CONFIG_ASIGNATURAS!$B$2:$J$61,9,FALSE()),""))</f>
      </c>
    </row>
    <row r="14235">
      <c r="E14235">
        <f>IF(DATOS!$I14235="","",IFERROR(VLOOKUP(DATOS!$I14235,CONFIG_ASIGNATURAS!$B$2:$J$61,9,FALSE()),""))</f>
      </c>
    </row>
    <row r="14236">
      <c r="E14236">
        <f>IF(DATOS!$I14236="","",IFERROR(VLOOKUP(DATOS!$I14236,CONFIG_ASIGNATURAS!$B$2:$J$61,9,FALSE()),""))</f>
      </c>
    </row>
    <row r="14237">
      <c r="E14237">
        <f>IF(DATOS!$I14237="","",IFERROR(VLOOKUP(DATOS!$I14237,CONFIG_ASIGNATURAS!$B$2:$J$61,9,FALSE()),""))</f>
      </c>
    </row>
    <row r="14238">
      <c r="E14238">
        <f>IF(DATOS!$I14238="","",IFERROR(VLOOKUP(DATOS!$I14238,CONFIG_ASIGNATURAS!$B$2:$J$61,9,FALSE()),""))</f>
      </c>
    </row>
    <row r="14239">
      <c r="E14239">
        <f>IF(DATOS!$I14239="","",IFERROR(VLOOKUP(DATOS!$I14239,CONFIG_ASIGNATURAS!$B$2:$J$61,9,FALSE()),""))</f>
      </c>
    </row>
    <row r="14240">
      <c r="E14240">
        <f>IF(DATOS!$I14240="","",IFERROR(VLOOKUP(DATOS!$I14240,CONFIG_ASIGNATURAS!$B$2:$J$61,9,FALSE()),""))</f>
      </c>
    </row>
    <row r="14241">
      <c r="E14241">
        <f>IF(DATOS!$I14241="","",IFERROR(VLOOKUP(DATOS!$I14241,CONFIG_ASIGNATURAS!$B$2:$J$61,9,FALSE()),""))</f>
      </c>
    </row>
    <row r="14242">
      <c r="E14242">
        <f>IF(DATOS!$I14242="","",IFERROR(VLOOKUP(DATOS!$I14242,CONFIG_ASIGNATURAS!$B$2:$J$61,9,FALSE()),""))</f>
      </c>
    </row>
    <row r="14243">
      <c r="E14243">
        <f>IF(DATOS!$I14243="","",IFERROR(VLOOKUP(DATOS!$I14243,CONFIG_ASIGNATURAS!$B$2:$J$61,9,FALSE()),""))</f>
      </c>
    </row>
    <row r="14244">
      <c r="E14244">
        <f>IF(DATOS!$I14244="","",IFERROR(VLOOKUP(DATOS!$I14244,CONFIG_ASIGNATURAS!$B$2:$J$61,9,FALSE()),""))</f>
      </c>
    </row>
    <row r="14245">
      <c r="E14245">
        <f>IF(DATOS!$I14245="","",IFERROR(VLOOKUP(DATOS!$I14245,CONFIG_ASIGNATURAS!$B$2:$J$61,9,FALSE()),""))</f>
      </c>
    </row>
    <row r="14246">
      <c r="E14246">
        <f>IF(DATOS!$I14246="","",IFERROR(VLOOKUP(DATOS!$I14246,CONFIG_ASIGNATURAS!$B$2:$J$61,9,FALSE()),""))</f>
      </c>
    </row>
    <row r="14247">
      <c r="E14247">
        <f>IF(DATOS!$I14247="","",IFERROR(VLOOKUP(DATOS!$I14247,CONFIG_ASIGNATURAS!$B$2:$J$61,9,FALSE()),""))</f>
      </c>
    </row>
    <row r="14248">
      <c r="E14248">
        <f>IF(DATOS!$I14248="","",IFERROR(VLOOKUP(DATOS!$I14248,CONFIG_ASIGNATURAS!$B$2:$J$61,9,FALSE()),""))</f>
      </c>
    </row>
    <row r="14249">
      <c r="E14249">
        <f>IF(DATOS!$I14249="","",IFERROR(VLOOKUP(DATOS!$I14249,CONFIG_ASIGNATURAS!$B$2:$J$61,9,FALSE()),""))</f>
      </c>
    </row>
    <row r="14250">
      <c r="E14250">
        <f>IF(DATOS!$I14250="","",IFERROR(VLOOKUP(DATOS!$I14250,CONFIG_ASIGNATURAS!$B$2:$J$61,9,FALSE()),""))</f>
      </c>
    </row>
    <row r="14251">
      <c r="E14251">
        <f>IF(DATOS!$I14251="","",IFERROR(VLOOKUP(DATOS!$I14251,CONFIG_ASIGNATURAS!$B$2:$J$61,9,FALSE()),""))</f>
      </c>
    </row>
    <row r="14252">
      <c r="E14252">
        <f>IF(DATOS!$I14252="","",IFERROR(VLOOKUP(DATOS!$I14252,CONFIG_ASIGNATURAS!$B$2:$J$61,9,FALSE()),""))</f>
      </c>
    </row>
    <row r="14253">
      <c r="E14253">
        <f>IF(DATOS!$I14253="","",IFERROR(VLOOKUP(DATOS!$I14253,CONFIG_ASIGNATURAS!$B$2:$J$61,9,FALSE()),""))</f>
      </c>
    </row>
    <row r="14254">
      <c r="E14254">
        <f>IF(DATOS!$I14254="","",IFERROR(VLOOKUP(DATOS!$I14254,CONFIG_ASIGNATURAS!$B$2:$J$61,9,FALSE()),""))</f>
      </c>
    </row>
    <row r="14255">
      <c r="E14255">
        <f>IF(DATOS!$I14255="","",IFERROR(VLOOKUP(DATOS!$I14255,CONFIG_ASIGNATURAS!$B$2:$J$61,9,FALSE()),""))</f>
      </c>
    </row>
    <row r="14256">
      <c r="E14256">
        <f>IF(DATOS!$I14256="","",IFERROR(VLOOKUP(DATOS!$I14256,CONFIG_ASIGNATURAS!$B$2:$J$61,9,FALSE()),""))</f>
      </c>
    </row>
    <row r="14257">
      <c r="E14257">
        <f>IF(DATOS!$I14257="","",IFERROR(VLOOKUP(DATOS!$I14257,CONFIG_ASIGNATURAS!$B$2:$J$61,9,FALSE()),""))</f>
      </c>
    </row>
    <row r="14258">
      <c r="E14258">
        <f>IF(DATOS!$I14258="","",IFERROR(VLOOKUP(DATOS!$I14258,CONFIG_ASIGNATURAS!$B$2:$J$61,9,FALSE()),""))</f>
      </c>
    </row>
    <row r="14259">
      <c r="E14259">
        <f>IF(DATOS!$I14259="","",IFERROR(VLOOKUP(DATOS!$I14259,CONFIG_ASIGNATURAS!$B$2:$J$61,9,FALSE()),""))</f>
      </c>
    </row>
    <row r="14260">
      <c r="E14260">
        <f>IF(DATOS!$I14260="","",IFERROR(VLOOKUP(DATOS!$I14260,CONFIG_ASIGNATURAS!$B$2:$J$61,9,FALSE()),""))</f>
      </c>
    </row>
    <row r="14261">
      <c r="E14261">
        <f>IF(DATOS!$I14261="","",IFERROR(VLOOKUP(DATOS!$I14261,CONFIG_ASIGNATURAS!$B$2:$J$61,9,FALSE()),""))</f>
      </c>
    </row>
    <row r="14262">
      <c r="E14262">
        <f>IF(DATOS!$I14262="","",IFERROR(VLOOKUP(DATOS!$I14262,CONFIG_ASIGNATURAS!$B$2:$J$61,9,FALSE()),""))</f>
      </c>
    </row>
    <row r="14263">
      <c r="E14263">
        <f>IF(DATOS!$I14263="","",IFERROR(VLOOKUP(DATOS!$I14263,CONFIG_ASIGNATURAS!$B$2:$J$61,9,FALSE()),""))</f>
      </c>
    </row>
    <row r="14264">
      <c r="E14264">
        <f>IF(DATOS!$I14264="","",IFERROR(VLOOKUP(DATOS!$I14264,CONFIG_ASIGNATURAS!$B$2:$J$61,9,FALSE()),""))</f>
      </c>
    </row>
    <row r="14265">
      <c r="E14265">
        <f>IF(DATOS!$I14265="","",IFERROR(VLOOKUP(DATOS!$I14265,CONFIG_ASIGNATURAS!$B$2:$J$61,9,FALSE()),""))</f>
      </c>
    </row>
    <row r="14266">
      <c r="E14266">
        <f>IF(DATOS!$I14266="","",IFERROR(VLOOKUP(DATOS!$I14266,CONFIG_ASIGNATURAS!$B$2:$J$61,9,FALSE()),""))</f>
      </c>
    </row>
    <row r="14267">
      <c r="E14267">
        <f>IF(DATOS!$I14267="","",IFERROR(VLOOKUP(DATOS!$I14267,CONFIG_ASIGNATURAS!$B$2:$J$61,9,FALSE()),""))</f>
      </c>
    </row>
    <row r="14268">
      <c r="E14268">
        <f>IF(DATOS!$I14268="","",IFERROR(VLOOKUP(DATOS!$I14268,CONFIG_ASIGNATURAS!$B$2:$J$61,9,FALSE()),""))</f>
      </c>
    </row>
    <row r="14269">
      <c r="E14269">
        <f>IF(DATOS!$I14269="","",IFERROR(VLOOKUP(DATOS!$I14269,CONFIG_ASIGNATURAS!$B$2:$J$61,9,FALSE()),""))</f>
      </c>
    </row>
    <row r="14270">
      <c r="E14270">
        <f>IF(DATOS!$I14270="","",IFERROR(VLOOKUP(DATOS!$I14270,CONFIG_ASIGNATURAS!$B$2:$J$61,9,FALSE()),""))</f>
      </c>
    </row>
    <row r="14271">
      <c r="E14271">
        <f>IF(DATOS!$I14271="","",IFERROR(VLOOKUP(DATOS!$I14271,CONFIG_ASIGNATURAS!$B$2:$J$61,9,FALSE()),""))</f>
      </c>
    </row>
    <row r="14272">
      <c r="E14272">
        <f>IF(DATOS!$I14272="","",IFERROR(VLOOKUP(DATOS!$I14272,CONFIG_ASIGNATURAS!$B$2:$J$61,9,FALSE()),""))</f>
      </c>
    </row>
    <row r="14273">
      <c r="E14273">
        <f>IF(DATOS!$I14273="","",IFERROR(VLOOKUP(DATOS!$I14273,CONFIG_ASIGNATURAS!$B$2:$J$61,9,FALSE()),""))</f>
      </c>
    </row>
    <row r="14274">
      <c r="E14274">
        <f>IF(DATOS!$I14274="","",IFERROR(VLOOKUP(DATOS!$I14274,CONFIG_ASIGNATURAS!$B$2:$J$61,9,FALSE()),""))</f>
      </c>
    </row>
    <row r="14275">
      <c r="E14275">
        <f>IF(DATOS!$I14275="","",IFERROR(VLOOKUP(DATOS!$I14275,CONFIG_ASIGNATURAS!$B$2:$J$61,9,FALSE()),""))</f>
      </c>
    </row>
    <row r="14276">
      <c r="E14276">
        <f>IF(DATOS!$I14276="","",IFERROR(VLOOKUP(DATOS!$I14276,CONFIG_ASIGNATURAS!$B$2:$J$61,9,FALSE()),""))</f>
      </c>
    </row>
    <row r="14277">
      <c r="E14277">
        <f>IF(DATOS!$I14277="","",IFERROR(VLOOKUP(DATOS!$I14277,CONFIG_ASIGNATURAS!$B$2:$J$61,9,FALSE()),""))</f>
      </c>
    </row>
    <row r="14278">
      <c r="E14278">
        <f>IF(DATOS!$I14278="","",IFERROR(VLOOKUP(DATOS!$I14278,CONFIG_ASIGNATURAS!$B$2:$J$61,9,FALSE()),""))</f>
      </c>
    </row>
    <row r="14279">
      <c r="E14279">
        <f>IF(DATOS!$I14279="","",IFERROR(VLOOKUP(DATOS!$I14279,CONFIG_ASIGNATURAS!$B$2:$J$61,9,FALSE()),""))</f>
      </c>
    </row>
    <row r="14280">
      <c r="E14280">
        <f>IF(DATOS!$I14280="","",IFERROR(VLOOKUP(DATOS!$I14280,CONFIG_ASIGNATURAS!$B$2:$J$61,9,FALSE()),""))</f>
      </c>
    </row>
    <row r="14281">
      <c r="E14281">
        <f>IF(DATOS!$I14281="","",IFERROR(VLOOKUP(DATOS!$I14281,CONFIG_ASIGNATURAS!$B$2:$J$61,9,FALSE()),""))</f>
      </c>
    </row>
    <row r="14282">
      <c r="E14282">
        <f>IF(DATOS!$I14282="","",IFERROR(VLOOKUP(DATOS!$I14282,CONFIG_ASIGNATURAS!$B$2:$J$61,9,FALSE()),""))</f>
      </c>
    </row>
    <row r="14283">
      <c r="E14283">
        <f>IF(DATOS!$I14283="","",IFERROR(VLOOKUP(DATOS!$I14283,CONFIG_ASIGNATURAS!$B$2:$J$61,9,FALSE()),""))</f>
      </c>
    </row>
    <row r="14284">
      <c r="E14284">
        <f>IF(DATOS!$I14284="","",IFERROR(VLOOKUP(DATOS!$I14284,CONFIG_ASIGNATURAS!$B$2:$J$61,9,FALSE()),""))</f>
      </c>
    </row>
    <row r="14285">
      <c r="E14285">
        <f>IF(DATOS!$I14285="","",IFERROR(VLOOKUP(DATOS!$I14285,CONFIG_ASIGNATURAS!$B$2:$J$61,9,FALSE()),""))</f>
      </c>
    </row>
    <row r="14286">
      <c r="E14286">
        <f>IF(DATOS!$I14286="","",IFERROR(VLOOKUP(DATOS!$I14286,CONFIG_ASIGNATURAS!$B$2:$J$61,9,FALSE()),""))</f>
      </c>
    </row>
    <row r="14287">
      <c r="E14287">
        <f>IF(DATOS!$I14287="","",IFERROR(VLOOKUP(DATOS!$I14287,CONFIG_ASIGNATURAS!$B$2:$J$61,9,FALSE()),""))</f>
      </c>
    </row>
    <row r="14288">
      <c r="E14288">
        <f>IF(DATOS!$I14288="","",IFERROR(VLOOKUP(DATOS!$I14288,CONFIG_ASIGNATURAS!$B$2:$J$61,9,FALSE()),""))</f>
      </c>
    </row>
    <row r="14289">
      <c r="E14289">
        <f>IF(DATOS!$I14289="","",IFERROR(VLOOKUP(DATOS!$I14289,CONFIG_ASIGNATURAS!$B$2:$J$61,9,FALSE()),""))</f>
      </c>
    </row>
    <row r="14290">
      <c r="E14290">
        <f>IF(DATOS!$I14290="","",IFERROR(VLOOKUP(DATOS!$I14290,CONFIG_ASIGNATURAS!$B$2:$J$61,9,FALSE()),""))</f>
      </c>
    </row>
    <row r="14291">
      <c r="E14291">
        <f>IF(DATOS!$I14291="","",IFERROR(VLOOKUP(DATOS!$I14291,CONFIG_ASIGNATURAS!$B$2:$J$61,9,FALSE()),""))</f>
      </c>
    </row>
    <row r="14292">
      <c r="E14292">
        <f>IF(DATOS!$I14292="","",IFERROR(VLOOKUP(DATOS!$I14292,CONFIG_ASIGNATURAS!$B$2:$J$61,9,FALSE()),""))</f>
      </c>
    </row>
    <row r="14293">
      <c r="E14293">
        <f>IF(DATOS!$I14293="","",IFERROR(VLOOKUP(DATOS!$I14293,CONFIG_ASIGNATURAS!$B$2:$J$61,9,FALSE()),""))</f>
      </c>
    </row>
    <row r="14294">
      <c r="E14294">
        <f>IF(DATOS!$I14294="","",IFERROR(VLOOKUP(DATOS!$I14294,CONFIG_ASIGNATURAS!$B$2:$J$61,9,FALSE()),""))</f>
      </c>
    </row>
    <row r="14295">
      <c r="E14295">
        <f>IF(DATOS!$I14295="","",IFERROR(VLOOKUP(DATOS!$I14295,CONFIG_ASIGNATURAS!$B$2:$J$61,9,FALSE()),""))</f>
      </c>
    </row>
    <row r="14296">
      <c r="E14296">
        <f>IF(DATOS!$I14296="","",IFERROR(VLOOKUP(DATOS!$I14296,CONFIG_ASIGNATURAS!$B$2:$J$61,9,FALSE()),""))</f>
      </c>
    </row>
    <row r="14297">
      <c r="E14297">
        <f>IF(DATOS!$I14297="","",IFERROR(VLOOKUP(DATOS!$I14297,CONFIG_ASIGNATURAS!$B$2:$J$61,9,FALSE()),""))</f>
      </c>
    </row>
    <row r="14298">
      <c r="E14298">
        <f>IF(DATOS!$I14298="","",IFERROR(VLOOKUP(DATOS!$I14298,CONFIG_ASIGNATURAS!$B$2:$J$61,9,FALSE()),""))</f>
      </c>
    </row>
    <row r="14299">
      <c r="E14299">
        <f>IF(DATOS!$I14299="","",IFERROR(VLOOKUP(DATOS!$I14299,CONFIG_ASIGNATURAS!$B$2:$J$61,9,FALSE()),""))</f>
      </c>
    </row>
    <row r="14300">
      <c r="E14300">
        <f>IF(DATOS!$I14300="","",IFERROR(VLOOKUP(DATOS!$I14300,CONFIG_ASIGNATURAS!$B$2:$J$61,9,FALSE()),""))</f>
      </c>
    </row>
    <row r="14301">
      <c r="E14301">
        <f>IF(DATOS!$I14301="","",IFERROR(VLOOKUP(DATOS!$I14301,CONFIG_ASIGNATURAS!$B$2:$J$61,9,FALSE()),""))</f>
      </c>
    </row>
    <row r="14302">
      <c r="E14302">
        <f>IF(DATOS!$I14302="","",IFERROR(VLOOKUP(DATOS!$I14302,CONFIG_ASIGNATURAS!$B$2:$J$61,9,FALSE()),""))</f>
      </c>
    </row>
    <row r="14303">
      <c r="E14303">
        <f>IF(DATOS!$I14303="","",IFERROR(VLOOKUP(DATOS!$I14303,CONFIG_ASIGNATURAS!$B$2:$J$61,9,FALSE()),""))</f>
      </c>
    </row>
    <row r="14304">
      <c r="E14304">
        <f>IF(DATOS!$I14304="","",IFERROR(VLOOKUP(DATOS!$I14304,CONFIG_ASIGNATURAS!$B$2:$J$61,9,FALSE()),""))</f>
      </c>
    </row>
    <row r="14305">
      <c r="E14305">
        <f>IF(DATOS!$I14305="","",IFERROR(VLOOKUP(DATOS!$I14305,CONFIG_ASIGNATURAS!$B$2:$J$61,9,FALSE()),""))</f>
      </c>
    </row>
    <row r="14306">
      <c r="E14306">
        <f>IF(DATOS!$I14306="","",IFERROR(VLOOKUP(DATOS!$I14306,CONFIG_ASIGNATURAS!$B$2:$J$61,9,FALSE()),""))</f>
      </c>
    </row>
    <row r="14307">
      <c r="E14307">
        <f>IF(DATOS!$I14307="","",IFERROR(VLOOKUP(DATOS!$I14307,CONFIG_ASIGNATURAS!$B$2:$J$61,9,FALSE()),""))</f>
      </c>
    </row>
    <row r="14308">
      <c r="E14308">
        <f>IF(DATOS!$I14308="","",IFERROR(VLOOKUP(DATOS!$I14308,CONFIG_ASIGNATURAS!$B$2:$J$61,9,FALSE()),""))</f>
      </c>
    </row>
    <row r="14309">
      <c r="E14309">
        <f>IF(DATOS!$I14309="","",IFERROR(VLOOKUP(DATOS!$I14309,CONFIG_ASIGNATURAS!$B$2:$J$61,9,FALSE()),""))</f>
      </c>
    </row>
    <row r="14310">
      <c r="E14310">
        <f>IF(DATOS!$I14310="","",IFERROR(VLOOKUP(DATOS!$I14310,CONFIG_ASIGNATURAS!$B$2:$J$61,9,FALSE()),""))</f>
      </c>
    </row>
    <row r="14311">
      <c r="E14311">
        <f>IF(DATOS!$I14311="","",IFERROR(VLOOKUP(DATOS!$I14311,CONFIG_ASIGNATURAS!$B$2:$J$61,9,FALSE()),""))</f>
      </c>
    </row>
    <row r="14312">
      <c r="E14312">
        <f>IF(DATOS!$I14312="","",IFERROR(VLOOKUP(DATOS!$I14312,CONFIG_ASIGNATURAS!$B$2:$J$61,9,FALSE()),""))</f>
      </c>
    </row>
    <row r="14313">
      <c r="E14313">
        <f>IF(DATOS!$I14313="","",IFERROR(VLOOKUP(DATOS!$I14313,CONFIG_ASIGNATURAS!$B$2:$J$61,9,FALSE()),""))</f>
      </c>
    </row>
    <row r="14314">
      <c r="E14314">
        <f>IF(DATOS!$I14314="","",IFERROR(VLOOKUP(DATOS!$I14314,CONFIG_ASIGNATURAS!$B$2:$J$61,9,FALSE()),""))</f>
      </c>
    </row>
    <row r="14315">
      <c r="E14315">
        <f>IF(DATOS!$I14315="","",IFERROR(VLOOKUP(DATOS!$I14315,CONFIG_ASIGNATURAS!$B$2:$J$61,9,FALSE()),""))</f>
      </c>
    </row>
    <row r="14316">
      <c r="E14316">
        <f>IF(DATOS!$I14316="","",IFERROR(VLOOKUP(DATOS!$I14316,CONFIG_ASIGNATURAS!$B$2:$J$61,9,FALSE()),""))</f>
      </c>
    </row>
    <row r="14317">
      <c r="E14317">
        <f>IF(DATOS!$I14317="","",IFERROR(VLOOKUP(DATOS!$I14317,CONFIG_ASIGNATURAS!$B$2:$J$61,9,FALSE()),""))</f>
      </c>
    </row>
    <row r="14318">
      <c r="E14318">
        <f>IF(DATOS!$I14318="","",IFERROR(VLOOKUP(DATOS!$I14318,CONFIG_ASIGNATURAS!$B$2:$J$61,9,FALSE()),""))</f>
      </c>
    </row>
    <row r="14319">
      <c r="E14319">
        <f>IF(DATOS!$I14319="","",IFERROR(VLOOKUP(DATOS!$I14319,CONFIG_ASIGNATURAS!$B$2:$J$61,9,FALSE()),""))</f>
      </c>
    </row>
    <row r="14320">
      <c r="E14320">
        <f>IF(DATOS!$I14320="","",IFERROR(VLOOKUP(DATOS!$I14320,CONFIG_ASIGNATURAS!$B$2:$J$61,9,FALSE()),""))</f>
      </c>
    </row>
    <row r="14321">
      <c r="E14321">
        <f>IF(DATOS!$I14321="","",IFERROR(VLOOKUP(DATOS!$I14321,CONFIG_ASIGNATURAS!$B$2:$J$61,9,FALSE()),""))</f>
      </c>
    </row>
    <row r="14322">
      <c r="E14322">
        <f>IF(DATOS!$I14322="","",IFERROR(VLOOKUP(DATOS!$I14322,CONFIG_ASIGNATURAS!$B$2:$J$61,9,FALSE()),""))</f>
      </c>
    </row>
    <row r="14323">
      <c r="E14323">
        <f>IF(DATOS!$I14323="","",IFERROR(VLOOKUP(DATOS!$I14323,CONFIG_ASIGNATURAS!$B$2:$J$61,9,FALSE()),""))</f>
      </c>
    </row>
    <row r="14324">
      <c r="E14324">
        <f>IF(DATOS!$I14324="","",IFERROR(VLOOKUP(DATOS!$I14324,CONFIG_ASIGNATURAS!$B$2:$J$61,9,FALSE()),""))</f>
      </c>
    </row>
    <row r="14325">
      <c r="E14325">
        <f>IF(DATOS!$I14325="","",IFERROR(VLOOKUP(DATOS!$I14325,CONFIG_ASIGNATURAS!$B$2:$J$61,9,FALSE()),""))</f>
      </c>
    </row>
    <row r="14326">
      <c r="E14326">
        <f>IF(DATOS!$I14326="","",IFERROR(VLOOKUP(DATOS!$I14326,CONFIG_ASIGNATURAS!$B$2:$J$61,9,FALSE()),""))</f>
      </c>
    </row>
    <row r="14327">
      <c r="E14327">
        <f>IF(DATOS!$I14327="","",IFERROR(VLOOKUP(DATOS!$I14327,CONFIG_ASIGNATURAS!$B$2:$J$61,9,FALSE()),""))</f>
      </c>
    </row>
    <row r="14328">
      <c r="E14328">
        <f>IF(DATOS!$I14328="","",IFERROR(VLOOKUP(DATOS!$I14328,CONFIG_ASIGNATURAS!$B$2:$J$61,9,FALSE()),""))</f>
      </c>
    </row>
    <row r="14329">
      <c r="E14329">
        <f>IF(DATOS!$I14329="","",IFERROR(VLOOKUP(DATOS!$I14329,CONFIG_ASIGNATURAS!$B$2:$J$61,9,FALSE()),""))</f>
      </c>
    </row>
    <row r="14330">
      <c r="E14330">
        <f>IF(DATOS!$I14330="","",IFERROR(VLOOKUP(DATOS!$I14330,CONFIG_ASIGNATURAS!$B$2:$J$61,9,FALSE()),""))</f>
      </c>
    </row>
    <row r="14331">
      <c r="E14331">
        <f>IF(DATOS!$I14331="","",IFERROR(VLOOKUP(DATOS!$I14331,CONFIG_ASIGNATURAS!$B$2:$J$61,9,FALSE()),""))</f>
      </c>
    </row>
    <row r="14332">
      <c r="E14332">
        <f>IF(DATOS!$I14332="","",IFERROR(VLOOKUP(DATOS!$I14332,CONFIG_ASIGNATURAS!$B$2:$J$61,9,FALSE()),""))</f>
      </c>
    </row>
    <row r="14333">
      <c r="E14333">
        <f>IF(DATOS!$I14333="","",IFERROR(VLOOKUP(DATOS!$I14333,CONFIG_ASIGNATURAS!$B$2:$J$61,9,FALSE()),""))</f>
      </c>
    </row>
    <row r="14334">
      <c r="E14334">
        <f>IF(DATOS!$I14334="","",IFERROR(VLOOKUP(DATOS!$I14334,CONFIG_ASIGNATURAS!$B$2:$J$61,9,FALSE()),""))</f>
      </c>
    </row>
    <row r="14335">
      <c r="E14335">
        <f>IF(DATOS!$I14335="","",IFERROR(VLOOKUP(DATOS!$I14335,CONFIG_ASIGNATURAS!$B$2:$J$61,9,FALSE()),""))</f>
      </c>
    </row>
    <row r="14336">
      <c r="E14336">
        <f>IF(DATOS!$I14336="","",IFERROR(VLOOKUP(DATOS!$I14336,CONFIG_ASIGNATURAS!$B$2:$J$61,9,FALSE()),""))</f>
      </c>
    </row>
    <row r="14337">
      <c r="E14337">
        <f>IF(DATOS!$I14337="","",IFERROR(VLOOKUP(DATOS!$I14337,CONFIG_ASIGNATURAS!$B$2:$J$61,9,FALSE()),""))</f>
      </c>
    </row>
    <row r="14338">
      <c r="E14338">
        <f>IF(DATOS!$I14338="","",IFERROR(VLOOKUP(DATOS!$I14338,CONFIG_ASIGNATURAS!$B$2:$J$61,9,FALSE()),""))</f>
      </c>
    </row>
    <row r="14339">
      <c r="E14339">
        <f>IF(DATOS!$I14339="","",IFERROR(VLOOKUP(DATOS!$I14339,CONFIG_ASIGNATURAS!$B$2:$J$61,9,FALSE()),""))</f>
      </c>
    </row>
    <row r="14340">
      <c r="E14340">
        <f>IF(DATOS!$I14340="","",IFERROR(VLOOKUP(DATOS!$I14340,CONFIG_ASIGNATURAS!$B$2:$J$61,9,FALSE()),""))</f>
      </c>
    </row>
    <row r="14341">
      <c r="E14341">
        <f>IF(DATOS!$I14341="","",IFERROR(VLOOKUP(DATOS!$I14341,CONFIG_ASIGNATURAS!$B$2:$J$61,9,FALSE()),""))</f>
      </c>
    </row>
    <row r="14342">
      <c r="E14342">
        <f>IF(DATOS!$I14342="","",IFERROR(VLOOKUP(DATOS!$I14342,CONFIG_ASIGNATURAS!$B$2:$J$61,9,FALSE()),""))</f>
      </c>
    </row>
    <row r="14343">
      <c r="E14343">
        <f>IF(DATOS!$I14343="","",IFERROR(VLOOKUP(DATOS!$I14343,CONFIG_ASIGNATURAS!$B$2:$J$61,9,FALSE()),""))</f>
      </c>
    </row>
    <row r="14344">
      <c r="E14344">
        <f>IF(DATOS!$I14344="","",IFERROR(VLOOKUP(DATOS!$I14344,CONFIG_ASIGNATURAS!$B$2:$J$61,9,FALSE()),""))</f>
      </c>
    </row>
    <row r="14345">
      <c r="E14345">
        <f>IF(DATOS!$I14345="","",IFERROR(VLOOKUP(DATOS!$I14345,CONFIG_ASIGNATURAS!$B$2:$J$61,9,FALSE()),""))</f>
      </c>
    </row>
    <row r="14346">
      <c r="E14346">
        <f>IF(DATOS!$I14346="","",IFERROR(VLOOKUP(DATOS!$I14346,CONFIG_ASIGNATURAS!$B$2:$J$61,9,FALSE()),""))</f>
      </c>
    </row>
    <row r="14347">
      <c r="E14347">
        <f>IF(DATOS!$I14347="","",IFERROR(VLOOKUP(DATOS!$I14347,CONFIG_ASIGNATURAS!$B$2:$J$61,9,FALSE()),""))</f>
      </c>
    </row>
    <row r="14348">
      <c r="E14348">
        <f>IF(DATOS!$I14348="","",IFERROR(VLOOKUP(DATOS!$I14348,CONFIG_ASIGNATURAS!$B$2:$J$61,9,FALSE()),""))</f>
      </c>
    </row>
    <row r="14349">
      <c r="E14349">
        <f>IF(DATOS!$I14349="","",IFERROR(VLOOKUP(DATOS!$I14349,CONFIG_ASIGNATURAS!$B$2:$J$61,9,FALSE()),""))</f>
      </c>
    </row>
    <row r="14350">
      <c r="E14350">
        <f>IF(DATOS!$I14350="","",IFERROR(VLOOKUP(DATOS!$I14350,CONFIG_ASIGNATURAS!$B$2:$J$61,9,FALSE()),""))</f>
      </c>
    </row>
    <row r="14351">
      <c r="E14351">
        <f>IF(DATOS!$I14351="","",IFERROR(VLOOKUP(DATOS!$I14351,CONFIG_ASIGNATURAS!$B$2:$J$61,9,FALSE()),""))</f>
      </c>
    </row>
    <row r="14352">
      <c r="E14352">
        <f>IF(DATOS!$I14352="","",IFERROR(VLOOKUP(DATOS!$I14352,CONFIG_ASIGNATURAS!$B$2:$J$61,9,FALSE()),""))</f>
      </c>
    </row>
    <row r="14353">
      <c r="E14353">
        <f>IF(DATOS!$I14353="","",IFERROR(VLOOKUP(DATOS!$I14353,CONFIG_ASIGNATURAS!$B$2:$J$61,9,FALSE()),""))</f>
      </c>
    </row>
    <row r="14354">
      <c r="E14354">
        <f>IF(DATOS!$I14354="","",IFERROR(VLOOKUP(DATOS!$I14354,CONFIG_ASIGNATURAS!$B$2:$J$61,9,FALSE()),""))</f>
      </c>
    </row>
    <row r="14355">
      <c r="E14355">
        <f>IF(DATOS!$I14355="","",IFERROR(VLOOKUP(DATOS!$I14355,CONFIG_ASIGNATURAS!$B$2:$J$61,9,FALSE()),""))</f>
      </c>
    </row>
    <row r="14356">
      <c r="E14356">
        <f>IF(DATOS!$I14356="","",IFERROR(VLOOKUP(DATOS!$I14356,CONFIG_ASIGNATURAS!$B$2:$J$61,9,FALSE()),""))</f>
      </c>
    </row>
    <row r="14357">
      <c r="E14357">
        <f>IF(DATOS!$I14357="","",IFERROR(VLOOKUP(DATOS!$I14357,CONFIG_ASIGNATURAS!$B$2:$J$61,9,FALSE()),""))</f>
      </c>
    </row>
    <row r="14358">
      <c r="E14358">
        <f>IF(DATOS!$I14358="","",IFERROR(VLOOKUP(DATOS!$I14358,CONFIG_ASIGNATURAS!$B$2:$J$61,9,FALSE()),""))</f>
      </c>
    </row>
    <row r="14359">
      <c r="E14359">
        <f>IF(DATOS!$I14359="","",IFERROR(VLOOKUP(DATOS!$I14359,CONFIG_ASIGNATURAS!$B$2:$J$61,9,FALSE()),""))</f>
      </c>
    </row>
    <row r="14360">
      <c r="E14360">
        <f>IF(DATOS!$I14360="","",IFERROR(VLOOKUP(DATOS!$I14360,CONFIG_ASIGNATURAS!$B$2:$J$61,9,FALSE()),""))</f>
      </c>
    </row>
    <row r="14361">
      <c r="E14361">
        <f>IF(DATOS!$I14361="","",IFERROR(VLOOKUP(DATOS!$I14361,CONFIG_ASIGNATURAS!$B$2:$J$61,9,FALSE()),""))</f>
      </c>
    </row>
    <row r="14362">
      <c r="E14362">
        <f>IF(DATOS!$I14362="","",IFERROR(VLOOKUP(DATOS!$I14362,CONFIG_ASIGNATURAS!$B$2:$J$61,9,FALSE()),""))</f>
      </c>
    </row>
    <row r="14363">
      <c r="E14363">
        <f>IF(DATOS!$I14363="","",IFERROR(VLOOKUP(DATOS!$I14363,CONFIG_ASIGNATURAS!$B$2:$J$61,9,FALSE()),""))</f>
      </c>
    </row>
    <row r="14364">
      <c r="E14364">
        <f>IF(DATOS!$I14364="","",IFERROR(VLOOKUP(DATOS!$I14364,CONFIG_ASIGNATURAS!$B$2:$J$61,9,FALSE()),""))</f>
      </c>
    </row>
    <row r="14365">
      <c r="E14365">
        <f>IF(DATOS!$I14365="","",IFERROR(VLOOKUP(DATOS!$I14365,CONFIG_ASIGNATURAS!$B$2:$J$61,9,FALSE()),""))</f>
      </c>
    </row>
    <row r="14366">
      <c r="E14366">
        <f>IF(DATOS!$I14366="","",IFERROR(VLOOKUP(DATOS!$I14366,CONFIG_ASIGNATURAS!$B$2:$J$61,9,FALSE()),""))</f>
      </c>
    </row>
    <row r="14367">
      <c r="E14367">
        <f>IF(DATOS!$I14367="","",IFERROR(VLOOKUP(DATOS!$I14367,CONFIG_ASIGNATURAS!$B$2:$J$61,9,FALSE()),""))</f>
      </c>
    </row>
    <row r="14368">
      <c r="E14368">
        <f>IF(DATOS!$I14368="","",IFERROR(VLOOKUP(DATOS!$I14368,CONFIG_ASIGNATURAS!$B$2:$J$61,9,FALSE()),""))</f>
      </c>
    </row>
    <row r="14369">
      <c r="E14369">
        <f>IF(DATOS!$I14369="","",IFERROR(VLOOKUP(DATOS!$I14369,CONFIG_ASIGNATURAS!$B$2:$J$61,9,FALSE()),""))</f>
      </c>
    </row>
    <row r="14370">
      <c r="E14370">
        <f>IF(DATOS!$I14370="","",IFERROR(VLOOKUP(DATOS!$I14370,CONFIG_ASIGNATURAS!$B$2:$J$61,9,FALSE()),""))</f>
      </c>
    </row>
    <row r="14371">
      <c r="E14371">
        <f>IF(DATOS!$I14371="","",IFERROR(VLOOKUP(DATOS!$I14371,CONFIG_ASIGNATURAS!$B$2:$J$61,9,FALSE()),""))</f>
      </c>
    </row>
    <row r="14372">
      <c r="E14372">
        <f>IF(DATOS!$I14372="","",IFERROR(VLOOKUP(DATOS!$I14372,CONFIG_ASIGNATURAS!$B$2:$J$61,9,FALSE()),""))</f>
      </c>
    </row>
    <row r="14373">
      <c r="E14373">
        <f>IF(DATOS!$I14373="","",IFERROR(VLOOKUP(DATOS!$I14373,CONFIG_ASIGNATURAS!$B$2:$J$61,9,FALSE()),""))</f>
      </c>
    </row>
    <row r="14374">
      <c r="E14374">
        <f>IF(DATOS!$I14374="","",IFERROR(VLOOKUP(DATOS!$I14374,CONFIG_ASIGNATURAS!$B$2:$J$61,9,FALSE()),""))</f>
      </c>
    </row>
    <row r="14375">
      <c r="E14375">
        <f>IF(DATOS!$I14375="","",IFERROR(VLOOKUP(DATOS!$I14375,CONFIG_ASIGNATURAS!$B$2:$J$61,9,FALSE()),""))</f>
      </c>
    </row>
    <row r="14376">
      <c r="E14376">
        <f>IF(DATOS!$I14376="","",IFERROR(VLOOKUP(DATOS!$I14376,CONFIG_ASIGNATURAS!$B$2:$J$61,9,FALSE()),""))</f>
      </c>
    </row>
    <row r="14377">
      <c r="E14377">
        <f>IF(DATOS!$I14377="","",IFERROR(VLOOKUP(DATOS!$I14377,CONFIG_ASIGNATURAS!$B$2:$J$61,9,FALSE()),""))</f>
      </c>
    </row>
    <row r="14378">
      <c r="E14378">
        <f>IF(DATOS!$I14378="","",IFERROR(VLOOKUP(DATOS!$I14378,CONFIG_ASIGNATURAS!$B$2:$J$61,9,FALSE()),""))</f>
      </c>
    </row>
    <row r="14379">
      <c r="E14379">
        <f>IF(DATOS!$I14379="","",IFERROR(VLOOKUP(DATOS!$I14379,CONFIG_ASIGNATURAS!$B$2:$J$61,9,FALSE()),""))</f>
      </c>
    </row>
    <row r="14380">
      <c r="E14380">
        <f>IF(DATOS!$I14380="","",IFERROR(VLOOKUP(DATOS!$I14380,CONFIG_ASIGNATURAS!$B$2:$J$61,9,FALSE()),""))</f>
      </c>
    </row>
    <row r="14381">
      <c r="E14381">
        <f>IF(DATOS!$I14381="","",IFERROR(VLOOKUP(DATOS!$I14381,CONFIG_ASIGNATURAS!$B$2:$J$61,9,FALSE()),""))</f>
      </c>
    </row>
    <row r="14382">
      <c r="E14382">
        <f>IF(DATOS!$I14382="","",IFERROR(VLOOKUP(DATOS!$I14382,CONFIG_ASIGNATURAS!$B$2:$J$61,9,FALSE()),""))</f>
      </c>
    </row>
    <row r="14383">
      <c r="E14383">
        <f>IF(DATOS!$I14383="","",IFERROR(VLOOKUP(DATOS!$I14383,CONFIG_ASIGNATURAS!$B$2:$J$61,9,FALSE()),""))</f>
      </c>
    </row>
    <row r="14384">
      <c r="E14384">
        <f>IF(DATOS!$I14384="","",IFERROR(VLOOKUP(DATOS!$I14384,CONFIG_ASIGNATURAS!$B$2:$J$61,9,FALSE()),""))</f>
      </c>
    </row>
    <row r="14385">
      <c r="E14385">
        <f>IF(DATOS!$I14385="","",IFERROR(VLOOKUP(DATOS!$I14385,CONFIG_ASIGNATURAS!$B$2:$J$61,9,FALSE()),""))</f>
      </c>
    </row>
    <row r="14386">
      <c r="E14386">
        <f>IF(DATOS!$I14386="","",IFERROR(VLOOKUP(DATOS!$I14386,CONFIG_ASIGNATURAS!$B$2:$J$61,9,FALSE()),""))</f>
      </c>
    </row>
    <row r="14387">
      <c r="E14387">
        <f>IF(DATOS!$I14387="","",IFERROR(VLOOKUP(DATOS!$I14387,CONFIG_ASIGNATURAS!$B$2:$J$61,9,FALSE()),""))</f>
      </c>
    </row>
    <row r="14388">
      <c r="E14388">
        <f>IF(DATOS!$I14388="","",IFERROR(VLOOKUP(DATOS!$I14388,CONFIG_ASIGNATURAS!$B$2:$J$61,9,FALSE()),""))</f>
      </c>
    </row>
    <row r="14389">
      <c r="E14389">
        <f>IF(DATOS!$I14389="","",IFERROR(VLOOKUP(DATOS!$I14389,CONFIG_ASIGNATURAS!$B$2:$J$61,9,FALSE()),""))</f>
      </c>
    </row>
    <row r="14390">
      <c r="E14390">
        <f>IF(DATOS!$I14390="","",IFERROR(VLOOKUP(DATOS!$I14390,CONFIG_ASIGNATURAS!$B$2:$J$61,9,FALSE()),""))</f>
      </c>
    </row>
    <row r="14391">
      <c r="E14391">
        <f>IF(DATOS!$I14391="","",IFERROR(VLOOKUP(DATOS!$I14391,CONFIG_ASIGNATURAS!$B$2:$J$61,9,FALSE()),""))</f>
      </c>
    </row>
    <row r="14392">
      <c r="E14392">
        <f>IF(DATOS!$I14392="","",IFERROR(VLOOKUP(DATOS!$I14392,CONFIG_ASIGNATURAS!$B$2:$J$61,9,FALSE()),""))</f>
      </c>
    </row>
    <row r="14393">
      <c r="E14393">
        <f>IF(DATOS!$I14393="","",IFERROR(VLOOKUP(DATOS!$I14393,CONFIG_ASIGNATURAS!$B$2:$J$61,9,FALSE()),""))</f>
      </c>
    </row>
    <row r="14394">
      <c r="E14394">
        <f>IF(DATOS!$I14394="","",IFERROR(VLOOKUP(DATOS!$I14394,CONFIG_ASIGNATURAS!$B$2:$J$61,9,FALSE()),""))</f>
      </c>
    </row>
    <row r="14395">
      <c r="E14395">
        <f>IF(DATOS!$I14395="","",IFERROR(VLOOKUP(DATOS!$I14395,CONFIG_ASIGNATURAS!$B$2:$J$61,9,FALSE()),""))</f>
      </c>
    </row>
    <row r="14396">
      <c r="E14396">
        <f>IF(DATOS!$I14396="","",IFERROR(VLOOKUP(DATOS!$I14396,CONFIG_ASIGNATURAS!$B$2:$J$61,9,FALSE()),""))</f>
      </c>
    </row>
    <row r="14397">
      <c r="E14397">
        <f>IF(DATOS!$I14397="","",IFERROR(VLOOKUP(DATOS!$I14397,CONFIG_ASIGNATURAS!$B$2:$J$61,9,FALSE()),""))</f>
      </c>
    </row>
    <row r="14398">
      <c r="E14398">
        <f>IF(DATOS!$I14398="","",IFERROR(VLOOKUP(DATOS!$I14398,CONFIG_ASIGNATURAS!$B$2:$J$61,9,FALSE()),""))</f>
      </c>
    </row>
    <row r="14399">
      <c r="E14399">
        <f>IF(DATOS!$I14399="","",IFERROR(VLOOKUP(DATOS!$I14399,CONFIG_ASIGNATURAS!$B$2:$J$61,9,FALSE()),""))</f>
      </c>
    </row>
    <row r="14400">
      <c r="E14400">
        <f>IF(DATOS!$I14400="","",IFERROR(VLOOKUP(DATOS!$I14400,CONFIG_ASIGNATURAS!$B$2:$J$61,9,FALSE()),""))</f>
      </c>
    </row>
    <row r="14401">
      <c r="E14401">
        <f>IF(DATOS!$I14401="","",IFERROR(VLOOKUP(DATOS!$I14401,CONFIG_ASIGNATURAS!$B$2:$J$61,9,FALSE()),""))</f>
      </c>
    </row>
    <row r="14402">
      <c r="E14402">
        <f>IF(DATOS!$I14402="","",IFERROR(VLOOKUP(DATOS!$I14402,CONFIG_ASIGNATURAS!$B$2:$J$61,9,FALSE()),""))</f>
      </c>
    </row>
    <row r="14403">
      <c r="E14403">
        <f>IF(DATOS!$I14403="","",IFERROR(VLOOKUP(DATOS!$I14403,CONFIG_ASIGNATURAS!$B$2:$J$61,9,FALSE()),""))</f>
      </c>
    </row>
    <row r="14404">
      <c r="E14404">
        <f>IF(DATOS!$I14404="","",IFERROR(VLOOKUP(DATOS!$I14404,CONFIG_ASIGNATURAS!$B$2:$J$61,9,FALSE()),""))</f>
      </c>
    </row>
    <row r="14405">
      <c r="E14405">
        <f>IF(DATOS!$I14405="","",IFERROR(VLOOKUP(DATOS!$I14405,CONFIG_ASIGNATURAS!$B$2:$J$61,9,FALSE()),""))</f>
      </c>
    </row>
    <row r="14406">
      <c r="E14406">
        <f>IF(DATOS!$I14406="","",IFERROR(VLOOKUP(DATOS!$I14406,CONFIG_ASIGNATURAS!$B$2:$J$61,9,FALSE()),""))</f>
      </c>
    </row>
    <row r="14407">
      <c r="E14407">
        <f>IF(DATOS!$I14407="","",IFERROR(VLOOKUP(DATOS!$I14407,CONFIG_ASIGNATURAS!$B$2:$J$61,9,FALSE()),""))</f>
      </c>
    </row>
    <row r="14408">
      <c r="E14408">
        <f>IF(DATOS!$I14408="","",IFERROR(VLOOKUP(DATOS!$I14408,CONFIG_ASIGNATURAS!$B$2:$J$61,9,FALSE()),""))</f>
      </c>
    </row>
    <row r="14409">
      <c r="E14409">
        <f>IF(DATOS!$I14409="","",IFERROR(VLOOKUP(DATOS!$I14409,CONFIG_ASIGNATURAS!$B$2:$J$61,9,FALSE()),""))</f>
      </c>
    </row>
    <row r="14410">
      <c r="E14410">
        <f>IF(DATOS!$I14410="","",IFERROR(VLOOKUP(DATOS!$I14410,CONFIG_ASIGNATURAS!$B$2:$J$61,9,FALSE()),""))</f>
      </c>
    </row>
    <row r="14411">
      <c r="E14411">
        <f>IF(DATOS!$I14411="","",IFERROR(VLOOKUP(DATOS!$I14411,CONFIG_ASIGNATURAS!$B$2:$J$61,9,FALSE()),""))</f>
      </c>
    </row>
    <row r="14412">
      <c r="E14412">
        <f>IF(DATOS!$I14412="","",IFERROR(VLOOKUP(DATOS!$I14412,CONFIG_ASIGNATURAS!$B$2:$J$61,9,FALSE()),""))</f>
      </c>
    </row>
    <row r="14413">
      <c r="E14413">
        <f>IF(DATOS!$I14413="","",IFERROR(VLOOKUP(DATOS!$I14413,CONFIG_ASIGNATURAS!$B$2:$J$61,9,FALSE()),""))</f>
      </c>
    </row>
    <row r="14414">
      <c r="E14414">
        <f>IF(DATOS!$I14414="","",IFERROR(VLOOKUP(DATOS!$I14414,CONFIG_ASIGNATURAS!$B$2:$J$61,9,FALSE()),""))</f>
      </c>
    </row>
    <row r="14415">
      <c r="E14415">
        <f>IF(DATOS!$I14415="","",IFERROR(VLOOKUP(DATOS!$I14415,CONFIG_ASIGNATURAS!$B$2:$J$61,9,FALSE()),""))</f>
      </c>
    </row>
    <row r="14416">
      <c r="E14416">
        <f>IF(DATOS!$I14416="","",IFERROR(VLOOKUP(DATOS!$I14416,CONFIG_ASIGNATURAS!$B$2:$J$61,9,FALSE()),""))</f>
      </c>
    </row>
    <row r="14417">
      <c r="E14417">
        <f>IF(DATOS!$I14417="","",IFERROR(VLOOKUP(DATOS!$I14417,CONFIG_ASIGNATURAS!$B$2:$J$61,9,FALSE()),""))</f>
      </c>
    </row>
    <row r="14418">
      <c r="E14418">
        <f>IF(DATOS!$I14418="","",IFERROR(VLOOKUP(DATOS!$I14418,CONFIG_ASIGNATURAS!$B$2:$J$61,9,FALSE()),""))</f>
      </c>
    </row>
    <row r="14419">
      <c r="E14419">
        <f>IF(DATOS!$I14419="","",IFERROR(VLOOKUP(DATOS!$I14419,CONFIG_ASIGNATURAS!$B$2:$J$61,9,FALSE()),""))</f>
      </c>
    </row>
    <row r="14420">
      <c r="E14420">
        <f>IF(DATOS!$I14420="","",IFERROR(VLOOKUP(DATOS!$I14420,CONFIG_ASIGNATURAS!$B$2:$J$61,9,FALSE()),""))</f>
      </c>
    </row>
    <row r="14421">
      <c r="E14421">
        <f>IF(DATOS!$I14421="","",IFERROR(VLOOKUP(DATOS!$I14421,CONFIG_ASIGNATURAS!$B$2:$J$61,9,FALSE()),""))</f>
      </c>
    </row>
    <row r="14422">
      <c r="E14422">
        <f>IF(DATOS!$I14422="","",IFERROR(VLOOKUP(DATOS!$I14422,CONFIG_ASIGNATURAS!$B$2:$J$61,9,FALSE()),""))</f>
      </c>
    </row>
    <row r="14423">
      <c r="E14423">
        <f>IF(DATOS!$I14423="","",IFERROR(VLOOKUP(DATOS!$I14423,CONFIG_ASIGNATURAS!$B$2:$J$61,9,FALSE()),""))</f>
      </c>
    </row>
    <row r="14424">
      <c r="E14424">
        <f>IF(DATOS!$I14424="","",IFERROR(VLOOKUP(DATOS!$I14424,CONFIG_ASIGNATURAS!$B$2:$J$61,9,FALSE()),""))</f>
      </c>
    </row>
    <row r="14425">
      <c r="E14425">
        <f>IF(DATOS!$I14425="","",IFERROR(VLOOKUP(DATOS!$I14425,CONFIG_ASIGNATURAS!$B$2:$J$61,9,FALSE()),""))</f>
      </c>
    </row>
    <row r="14426">
      <c r="E14426">
        <f>IF(DATOS!$I14426="","",IFERROR(VLOOKUP(DATOS!$I14426,CONFIG_ASIGNATURAS!$B$2:$J$61,9,FALSE()),""))</f>
      </c>
    </row>
    <row r="14427">
      <c r="E14427">
        <f>IF(DATOS!$I14427="","",IFERROR(VLOOKUP(DATOS!$I14427,CONFIG_ASIGNATURAS!$B$2:$J$61,9,FALSE()),""))</f>
      </c>
    </row>
    <row r="14428">
      <c r="E14428">
        <f>IF(DATOS!$I14428="","",IFERROR(VLOOKUP(DATOS!$I14428,CONFIG_ASIGNATURAS!$B$2:$J$61,9,FALSE()),""))</f>
      </c>
    </row>
    <row r="14429">
      <c r="E14429">
        <f>IF(DATOS!$I14429="","",IFERROR(VLOOKUP(DATOS!$I14429,CONFIG_ASIGNATURAS!$B$2:$J$61,9,FALSE()),""))</f>
      </c>
    </row>
    <row r="14430">
      <c r="E14430">
        <f>IF(DATOS!$I14430="","",IFERROR(VLOOKUP(DATOS!$I14430,CONFIG_ASIGNATURAS!$B$2:$J$61,9,FALSE()),""))</f>
      </c>
    </row>
    <row r="14431">
      <c r="E14431">
        <f>IF(DATOS!$I14431="","",IFERROR(VLOOKUP(DATOS!$I14431,CONFIG_ASIGNATURAS!$B$2:$J$61,9,FALSE()),""))</f>
      </c>
    </row>
    <row r="14432">
      <c r="E14432">
        <f>IF(DATOS!$I14432="","",IFERROR(VLOOKUP(DATOS!$I14432,CONFIG_ASIGNATURAS!$B$2:$J$61,9,FALSE()),""))</f>
      </c>
    </row>
    <row r="14433">
      <c r="E14433">
        <f>IF(DATOS!$I14433="","",IFERROR(VLOOKUP(DATOS!$I14433,CONFIG_ASIGNATURAS!$B$2:$J$61,9,FALSE()),""))</f>
      </c>
    </row>
    <row r="14434">
      <c r="E14434">
        <f>IF(DATOS!$I14434="","",IFERROR(VLOOKUP(DATOS!$I14434,CONFIG_ASIGNATURAS!$B$2:$J$61,9,FALSE()),""))</f>
      </c>
    </row>
    <row r="14435">
      <c r="E14435">
        <f>IF(DATOS!$I14435="","",IFERROR(VLOOKUP(DATOS!$I14435,CONFIG_ASIGNATURAS!$B$2:$J$61,9,FALSE()),""))</f>
      </c>
    </row>
    <row r="14436">
      <c r="E14436">
        <f>IF(DATOS!$I14436="","",IFERROR(VLOOKUP(DATOS!$I14436,CONFIG_ASIGNATURAS!$B$2:$J$61,9,FALSE()),""))</f>
      </c>
    </row>
    <row r="14437">
      <c r="E14437">
        <f>IF(DATOS!$I14437="","",IFERROR(VLOOKUP(DATOS!$I14437,CONFIG_ASIGNATURAS!$B$2:$J$61,9,FALSE()),""))</f>
      </c>
    </row>
    <row r="14438">
      <c r="E14438">
        <f>IF(DATOS!$I14438="","",IFERROR(VLOOKUP(DATOS!$I14438,CONFIG_ASIGNATURAS!$B$2:$J$61,9,FALSE()),""))</f>
      </c>
    </row>
    <row r="14439">
      <c r="E14439">
        <f>IF(DATOS!$I14439="","",IFERROR(VLOOKUP(DATOS!$I14439,CONFIG_ASIGNATURAS!$B$2:$J$61,9,FALSE()),""))</f>
      </c>
    </row>
    <row r="14440">
      <c r="E14440">
        <f>IF(DATOS!$I14440="","",IFERROR(VLOOKUP(DATOS!$I14440,CONFIG_ASIGNATURAS!$B$2:$J$61,9,FALSE()),""))</f>
      </c>
    </row>
    <row r="14441">
      <c r="E14441">
        <f>IF(DATOS!$I14441="","",IFERROR(VLOOKUP(DATOS!$I14441,CONFIG_ASIGNATURAS!$B$2:$J$61,9,FALSE()),""))</f>
      </c>
    </row>
    <row r="14442">
      <c r="E14442">
        <f>IF(DATOS!$I14442="","",IFERROR(VLOOKUP(DATOS!$I14442,CONFIG_ASIGNATURAS!$B$2:$J$61,9,FALSE()),""))</f>
      </c>
    </row>
    <row r="14443">
      <c r="E14443">
        <f>IF(DATOS!$I14443="","",IFERROR(VLOOKUP(DATOS!$I14443,CONFIG_ASIGNATURAS!$B$2:$J$61,9,FALSE()),""))</f>
      </c>
    </row>
    <row r="14444">
      <c r="E14444">
        <f>IF(DATOS!$I14444="","",IFERROR(VLOOKUP(DATOS!$I14444,CONFIG_ASIGNATURAS!$B$2:$J$61,9,FALSE()),""))</f>
      </c>
    </row>
    <row r="14445">
      <c r="E14445">
        <f>IF(DATOS!$I14445="","",IFERROR(VLOOKUP(DATOS!$I14445,CONFIG_ASIGNATURAS!$B$2:$J$61,9,FALSE()),""))</f>
      </c>
    </row>
    <row r="14446">
      <c r="E14446">
        <f>IF(DATOS!$I14446="","",IFERROR(VLOOKUP(DATOS!$I14446,CONFIG_ASIGNATURAS!$B$2:$J$61,9,FALSE()),""))</f>
      </c>
    </row>
    <row r="14447">
      <c r="E14447">
        <f>IF(DATOS!$I14447="","",IFERROR(VLOOKUP(DATOS!$I14447,CONFIG_ASIGNATURAS!$B$2:$J$61,9,FALSE()),""))</f>
      </c>
    </row>
    <row r="14448">
      <c r="E14448">
        <f>IF(DATOS!$I14448="","",IFERROR(VLOOKUP(DATOS!$I14448,CONFIG_ASIGNATURAS!$B$2:$J$61,9,FALSE()),""))</f>
      </c>
    </row>
    <row r="14449">
      <c r="E14449">
        <f>IF(DATOS!$I14449="","",IFERROR(VLOOKUP(DATOS!$I14449,CONFIG_ASIGNATURAS!$B$2:$J$61,9,FALSE()),""))</f>
      </c>
    </row>
    <row r="14450">
      <c r="E14450">
        <f>IF(DATOS!$I14450="","",IFERROR(VLOOKUP(DATOS!$I14450,CONFIG_ASIGNATURAS!$B$2:$J$61,9,FALSE()),""))</f>
      </c>
    </row>
    <row r="14451">
      <c r="E14451">
        <f>IF(DATOS!$I14451="","",IFERROR(VLOOKUP(DATOS!$I14451,CONFIG_ASIGNATURAS!$B$2:$J$61,9,FALSE()),""))</f>
      </c>
    </row>
    <row r="14452">
      <c r="E14452">
        <f>IF(DATOS!$I14452="","",IFERROR(VLOOKUP(DATOS!$I14452,CONFIG_ASIGNATURAS!$B$2:$J$61,9,FALSE()),""))</f>
      </c>
    </row>
    <row r="14453">
      <c r="E14453">
        <f>IF(DATOS!$I14453="","",IFERROR(VLOOKUP(DATOS!$I14453,CONFIG_ASIGNATURAS!$B$2:$J$61,9,FALSE()),""))</f>
      </c>
    </row>
    <row r="14454">
      <c r="E14454">
        <f>IF(DATOS!$I14454="","",IFERROR(VLOOKUP(DATOS!$I14454,CONFIG_ASIGNATURAS!$B$2:$J$61,9,FALSE()),""))</f>
      </c>
    </row>
    <row r="14455">
      <c r="E14455">
        <f>IF(DATOS!$I14455="","",IFERROR(VLOOKUP(DATOS!$I14455,CONFIG_ASIGNATURAS!$B$2:$J$61,9,FALSE()),""))</f>
      </c>
    </row>
    <row r="14456">
      <c r="E14456">
        <f>IF(DATOS!$I14456="","",IFERROR(VLOOKUP(DATOS!$I14456,CONFIG_ASIGNATURAS!$B$2:$J$61,9,FALSE()),""))</f>
      </c>
    </row>
    <row r="14457">
      <c r="E14457">
        <f>IF(DATOS!$I14457="","",IFERROR(VLOOKUP(DATOS!$I14457,CONFIG_ASIGNATURAS!$B$2:$J$61,9,FALSE()),""))</f>
      </c>
    </row>
    <row r="14458">
      <c r="E14458">
        <f>IF(DATOS!$I14458="","",IFERROR(VLOOKUP(DATOS!$I14458,CONFIG_ASIGNATURAS!$B$2:$J$61,9,FALSE()),""))</f>
      </c>
    </row>
    <row r="14459">
      <c r="E14459">
        <f>IF(DATOS!$I14459="","",IFERROR(VLOOKUP(DATOS!$I14459,CONFIG_ASIGNATURAS!$B$2:$J$61,9,FALSE()),""))</f>
      </c>
    </row>
    <row r="14460">
      <c r="E14460">
        <f>IF(DATOS!$I14460="","",IFERROR(VLOOKUP(DATOS!$I14460,CONFIG_ASIGNATURAS!$B$2:$J$61,9,FALSE()),""))</f>
      </c>
    </row>
    <row r="14461">
      <c r="E14461">
        <f>IF(DATOS!$I14461="","",IFERROR(VLOOKUP(DATOS!$I14461,CONFIG_ASIGNATURAS!$B$2:$J$61,9,FALSE()),""))</f>
      </c>
    </row>
    <row r="14462">
      <c r="E14462">
        <f>IF(DATOS!$I14462="","",IFERROR(VLOOKUP(DATOS!$I14462,CONFIG_ASIGNATURAS!$B$2:$J$61,9,FALSE()),""))</f>
      </c>
    </row>
    <row r="14463">
      <c r="E14463">
        <f>IF(DATOS!$I14463="","",IFERROR(VLOOKUP(DATOS!$I14463,CONFIG_ASIGNATURAS!$B$2:$J$61,9,FALSE()),""))</f>
      </c>
    </row>
    <row r="14464">
      <c r="E14464">
        <f>IF(DATOS!$I14464="","",IFERROR(VLOOKUP(DATOS!$I14464,CONFIG_ASIGNATURAS!$B$2:$J$61,9,FALSE()),""))</f>
      </c>
    </row>
    <row r="14465">
      <c r="E14465">
        <f>IF(DATOS!$I14465="","",IFERROR(VLOOKUP(DATOS!$I14465,CONFIG_ASIGNATURAS!$B$2:$J$61,9,FALSE()),""))</f>
      </c>
    </row>
    <row r="14466">
      <c r="E14466">
        <f>IF(DATOS!$I14466="","",IFERROR(VLOOKUP(DATOS!$I14466,CONFIG_ASIGNATURAS!$B$2:$J$61,9,FALSE()),""))</f>
      </c>
    </row>
    <row r="14467">
      <c r="E14467">
        <f>IF(DATOS!$I14467="","",IFERROR(VLOOKUP(DATOS!$I14467,CONFIG_ASIGNATURAS!$B$2:$J$61,9,FALSE()),""))</f>
      </c>
    </row>
    <row r="14468">
      <c r="E14468">
        <f>IF(DATOS!$I14468="","",IFERROR(VLOOKUP(DATOS!$I14468,CONFIG_ASIGNATURAS!$B$2:$J$61,9,FALSE()),""))</f>
      </c>
    </row>
    <row r="14469">
      <c r="E14469">
        <f>IF(DATOS!$I14469="","",IFERROR(VLOOKUP(DATOS!$I14469,CONFIG_ASIGNATURAS!$B$2:$J$61,9,FALSE()),""))</f>
      </c>
    </row>
    <row r="14470">
      <c r="E14470">
        <f>IF(DATOS!$I14470="","",IFERROR(VLOOKUP(DATOS!$I14470,CONFIG_ASIGNATURAS!$B$2:$J$61,9,FALSE()),""))</f>
      </c>
    </row>
    <row r="14471">
      <c r="E14471">
        <f>IF(DATOS!$I14471="","",IFERROR(VLOOKUP(DATOS!$I14471,CONFIG_ASIGNATURAS!$B$2:$J$61,9,FALSE()),""))</f>
      </c>
    </row>
    <row r="14472">
      <c r="E14472">
        <f>IF(DATOS!$I14472="","",IFERROR(VLOOKUP(DATOS!$I14472,CONFIG_ASIGNATURAS!$B$2:$J$61,9,FALSE()),""))</f>
      </c>
    </row>
    <row r="14473">
      <c r="E14473">
        <f>IF(DATOS!$I14473="","",IFERROR(VLOOKUP(DATOS!$I14473,CONFIG_ASIGNATURAS!$B$2:$J$61,9,FALSE()),""))</f>
      </c>
    </row>
    <row r="14474">
      <c r="E14474">
        <f>IF(DATOS!$I14474="","",IFERROR(VLOOKUP(DATOS!$I14474,CONFIG_ASIGNATURAS!$B$2:$J$61,9,FALSE()),""))</f>
      </c>
    </row>
    <row r="14475">
      <c r="E14475">
        <f>IF(DATOS!$I14475="","",IFERROR(VLOOKUP(DATOS!$I14475,CONFIG_ASIGNATURAS!$B$2:$J$61,9,FALSE()),""))</f>
      </c>
    </row>
    <row r="14476">
      <c r="E14476">
        <f>IF(DATOS!$I14476="","",IFERROR(VLOOKUP(DATOS!$I14476,CONFIG_ASIGNATURAS!$B$2:$J$61,9,FALSE()),""))</f>
      </c>
    </row>
    <row r="14477">
      <c r="E14477">
        <f>IF(DATOS!$I14477="","",IFERROR(VLOOKUP(DATOS!$I14477,CONFIG_ASIGNATURAS!$B$2:$J$61,9,FALSE()),""))</f>
      </c>
    </row>
    <row r="14478">
      <c r="E14478">
        <f>IF(DATOS!$I14478="","",IFERROR(VLOOKUP(DATOS!$I14478,CONFIG_ASIGNATURAS!$B$2:$J$61,9,FALSE()),""))</f>
      </c>
    </row>
    <row r="14479">
      <c r="E14479">
        <f>IF(DATOS!$I14479="","",IFERROR(VLOOKUP(DATOS!$I14479,CONFIG_ASIGNATURAS!$B$2:$J$61,9,FALSE()),""))</f>
      </c>
    </row>
    <row r="14480">
      <c r="E14480">
        <f>IF(DATOS!$I14480="","",IFERROR(VLOOKUP(DATOS!$I14480,CONFIG_ASIGNATURAS!$B$2:$J$61,9,FALSE()),""))</f>
      </c>
    </row>
    <row r="14481">
      <c r="E14481">
        <f>IF(DATOS!$I14481="","",IFERROR(VLOOKUP(DATOS!$I14481,CONFIG_ASIGNATURAS!$B$2:$J$61,9,FALSE()),""))</f>
      </c>
    </row>
    <row r="14482">
      <c r="E14482">
        <f>IF(DATOS!$I14482="","",IFERROR(VLOOKUP(DATOS!$I14482,CONFIG_ASIGNATURAS!$B$2:$J$61,9,FALSE()),""))</f>
      </c>
    </row>
    <row r="14483">
      <c r="E14483">
        <f>IF(DATOS!$I14483="","",IFERROR(VLOOKUP(DATOS!$I14483,CONFIG_ASIGNATURAS!$B$2:$J$61,9,FALSE()),""))</f>
      </c>
    </row>
    <row r="14484">
      <c r="E14484">
        <f>IF(DATOS!$I14484="","",IFERROR(VLOOKUP(DATOS!$I14484,CONFIG_ASIGNATURAS!$B$2:$J$61,9,FALSE()),""))</f>
      </c>
    </row>
    <row r="14485">
      <c r="E14485">
        <f>IF(DATOS!$I14485="","",IFERROR(VLOOKUP(DATOS!$I14485,CONFIG_ASIGNATURAS!$B$2:$J$61,9,FALSE()),""))</f>
      </c>
    </row>
    <row r="14486">
      <c r="E14486">
        <f>IF(DATOS!$I14486="","",IFERROR(VLOOKUP(DATOS!$I14486,CONFIG_ASIGNATURAS!$B$2:$J$61,9,FALSE()),""))</f>
      </c>
    </row>
    <row r="14487">
      <c r="E14487">
        <f>IF(DATOS!$I14487="","",IFERROR(VLOOKUP(DATOS!$I14487,CONFIG_ASIGNATURAS!$B$2:$J$61,9,FALSE()),""))</f>
      </c>
    </row>
    <row r="14488">
      <c r="E14488">
        <f>IF(DATOS!$I14488="","",IFERROR(VLOOKUP(DATOS!$I14488,CONFIG_ASIGNATURAS!$B$2:$J$61,9,FALSE()),""))</f>
      </c>
    </row>
    <row r="14489">
      <c r="E14489">
        <f>IF(DATOS!$I14489="","",IFERROR(VLOOKUP(DATOS!$I14489,CONFIG_ASIGNATURAS!$B$2:$J$61,9,FALSE()),""))</f>
      </c>
    </row>
    <row r="14490">
      <c r="E14490">
        <f>IF(DATOS!$I14490="","",IFERROR(VLOOKUP(DATOS!$I14490,CONFIG_ASIGNATURAS!$B$2:$J$61,9,FALSE()),""))</f>
      </c>
    </row>
    <row r="14491">
      <c r="E14491">
        <f>IF(DATOS!$I14491="","",IFERROR(VLOOKUP(DATOS!$I14491,CONFIG_ASIGNATURAS!$B$2:$J$61,9,FALSE()),""))</f>
      </c>
    </row>
    <row r="14492">
      <c r="E14492">
        <f>IF(DATOS!$I14492="","",IFERROR(VLOOKUP(DATOS!$I14492,CONFIG_ASIGNATURAS!$B$2:$J$61,9,FALSE()),""))</f>
      </c>
    </row>
    <row r="14493">
      <c r="E14493">
        <f>IF(DATOS!$I14493="","",IFERROR(VLOOKUP(DATOS!$I14493,CONFIG_ASIGNATURAS!$B$2:$J$61,9,FALSE()),""))</f>
      </c>
    </row>
    <row r="14494">
      <c r="E14494">
        <f>IF(DATOS!$I14494="","",IFERROR(VLOOKUP(DATOS!$I14494,CONFIG_ASIGNATURAS!$B$2:$J$61,9,FALSE()),""))</f>
      </c>
    </row>
    <row r="14495">
      <c r="E14495">
        <f>IF(DATOS!$I14495="","",IFERROR(VLOOKUP(DATOS!$I14495,CONFIG_ASIGNATURAS!$B$2:$J$61,9,FALSE()),""))</f>
      </c>
    </row>
    <row r="14496">
      <c r="E14496">
        <f>IF(DATOS!$I14496="","",IFERROR(VLOOKUP(DATOS!$I14496,CONFIG_ASIGNATURAS!$B$2:$J$61,9,FALSE()),""))</f>
      </c>
    </row>
    <row r="14497">
      <c r="E14497">
        <f>IF(DATOS!$I14497="","",IFERROR(VLOOKUP(DATOS!$I14497,CONFIG_ASIGNATURAS!$B$2:$J$61,9,FALSE()),""))</f>
      </c>
    </row>
    <row r="14498">
      <c r="E14498">
        <f>IF(DATOS!$I14498="","",IFERROR(VLOOKUP(DATOS!$I14498,CONFIG_ASIGNATURAS!$B$2:$J$61,9,FALSE()),""))</f>
      </c>
    </row>
    <row r="14499">
      <c r="E14499">
        <f>IF(DATOS!$I14499="","",IFERROR(VLOOKUP(DATOS!$I14499,CONFIG_ASIGNATURAS!$B$2:$J$61,9,FALSE()),""))</f>
      </c>
    </row>
    <row r="14500">
      <c r="E14500">
        <f>IF(DATOS!$I14500="","",IFERROR(VLOOKUP(DATOS!$I14500,CONFIG_ASIGNATURAS!$B$2:$J$61,9,FALSE()),""))</f>
      </c>
    </row>
    <row r="14501">
      <c r="E14501">
        <f>IF(DATOS!$I14501="","",IFERROR(VLOOKUP(DATOS!$I14501,CONFIG_ASIGNATURAS!$B$2:$J$61,9,FALSE()),""))</f>
      </c>
    </row>
    <row r="14502">
      <c r="E14502">
        <f>IF(DATOS!$I14502="","",IFERROR(VLOOKUP(DATOS!$I14502,CONFIG_ASIGNATURAS!$B$2:$J$61,9,FALSE()),""))</f>
      </c>
    </row>
    <row r="14503">
      <c r="E14503">
        <f>IF(DATOS!$I14503="","",IFERROR(VLOOKUP(DATOS!$I14503,CONFIG_ASIGNATURAS!$B$2:$J$61,9,FALSE()),""))</f>
      </c>
    </row>
    <row r="14504">
      <c r="E14504">
        <f>IF(DATOS!$I14504="","",IFERROR(VLOOKUP(DATOS!$I14504,CONFIG_ASIGNATURAS!$B$2:$J$61,9,FALSE()),""))</f>
      </c>
    </row>
    <row r="14505">
      <c r="E14505">
        <f>IF(DATOS!$I14505="","",IFERROR(VLOOKUP(DATOS!$I14505,CONFIG_ASIGNATURAS!$B$2:$J$61,9,FALSE()),""))</f>
      </c>
    </row>
    <row r="14506">
      <c r="E14506">
        <f>IF(DATOS!$I14506="","",IFERROR(VLOOKUP(DATOS!$I14506,CONFIG_ASIGNATURAS!$B$2:$J$61,9,FALSE()),""))</f>
      </c>
    </row>
    <row r="14507">
      <c r="E14507">
        <f>IF(DATOS!$I14507="","",IFERROR(VLOOKUP(DATOS!$I14507,CONFIG_ASIGNATURAS!$B$2:$J$61,9,FALSE()),""))</f>
      </c>
    </row>
    <row r="14508">
      <c r="E14508">
        <f>IF(DATOS!$I14508="","",IFERROR(VLOOKUP(DATOS!$I14508,CONFIG_ASIGNATURAS!$B$2:$J$61,9,FALSE()),""))</f>
      </c>
    </row>
    <row r="14509">
      <c r="E14509">
        <f>IF(DATOS!$I14509="","",IFERROR(VLOOKUP(DATOS!$I14509,CONFIG_ASIGNATURAS!$B$2:$J$61,9,FALSE()),""))</f>
      </c>
    </row>
    <row r="14510">
      <c r="E14510">
        <f>IF(DATOS!$I14510="","",IFERROR(VLOOKUP(DATOS!$I14510,CONFIG_ASIGNATURAS!$B$2:$J$61,9,FALSE()),""))</f>
      </c>
    </row>
    <row r="14511">
      <c r="E14511">
        <f>IF(DATOS!$I14511="","",IFERROR(VLOOKUP(DATOS!$I14511,CONFIG_ASIGNATURAS!$B$2:$J$61,9,FALSE()),""))</f>
      </c>
    </row>
    <row r="14512">
      <c r="E14512">
        <f>IF(DATOS!$I14512="","",IFERROR(VLOOKUP(DATOS!$I14512,CONFIG_ASIGNATURAS!$B$2:$J$61,9,FALSE()),""))</f>
      </c>
    </row>
    <row r="14513">
      <c r="E14513">
        <f>IF(DATOS!$I14513="","",IFERROR(VLOOKUP(DATOS!$I14513,CONFIG_ASIGNATURAS!$B$2:$J$61,9,FALSE()),""))</f>
      </c>
    </row>
    <row r="14514">
      <c r="E14514">
        <f>IF(DATOS!$I14514="","",IFERROR(VLOOKUP(DATOS!$I14514,CONFIG_ASIGNATURAS!$B$2:$J$61,9,FALSE()),""))</f>
      </c>
    </row>
    <row r="14515">
      <c r="E14515">
        <f>IF(DATOS!$I14515="","",IFERROR(VLOOKUP(DATOS!$I14515,CONFIG_ASIGNATURAS!$B$2:$J$61,9,FALSE()),""))</f>
      </c>
    </row>
    <row r="14516">
      <c r="E14516">
        <f>IF(DATOS!$I14516="","",IFERROR(VLOOKUP(DATOS!$I14516,CONFIG_ASIGNATURAS!$B$2:$J$61,9,FALSE()),""))</f>
      </c>
    </row>
    <row r="14517">
      <c r="E14517">
        <f>IF(DATOS!$I14517="","",IFERROR(VLOOKUP(DATOS!$I14517,CONFIG_ASIGNATURAS!$B$2:$J$61,9,FALSE()),""))</f>
      </c>
    </row>
    <row r="14518">
      <c r="E14518">
        <f>IF(DATOS!$I14518="","",IFERROR(VLOOKUP(DATOS!$I14518,CONFIG_ASIGNATURAS!$B$2:$J$61,9,FALSE()),""))</f>
      </c>
    </row>
    <row r="14519">
      <c r="E14519">
        <f>IF(DATOS!$I14519="","",IFERROR(VLOOKUP(DATOS!$I14519,CONFIG_ASIGNATURAS!$B$2:$J$61,9,FALSE()),""))</f>
      </c>
    </row>
    <row r="14520">
      <c r="E14520">
        <f>IF(DATOS!$I14520="","",IFERROR(VLOOKUP(DATOS!$I14520,CONFIG_ASIGNATURAS!$B$2:$J$61,9,FALSE()),""))</f>
      </c>
    </row>
    <row r="14521">
      <c r="E14521">
        <f>IF(DATOS!$I14521="","",IFERROR(VLOOKUP(DATOS!$I14521,CONFIG_ASIGNATURAS!$B$2:$J$61,9,FALSE()),""))</f>
      </c>
    </row>
    <row r="14522">
      <c r="E14522">
        <f>IF(DATOS!$I14522="","",IFERROR(VLOOKUP(DATOS!$I14522,CONFIG_ASIGNATURAS!$B$2:$J$61,9,FALSE()),""))</f>
      </c>
    </row>
    <row r="14523">
      <c r="E14523">
        <f>IF(DATOS!$I14523="","",IFERROR(VLOOKUP(DATOS!$I14523,CONFIG_ASIGNATURAS!$B$2:$J$61,9,FALSE()),""))</f>
      </c>
    </row>
    <row r="14524">
      <c r="E14524">
        <f>IF(DATOS!$I14524="","",IFERROR(VLOOKUP(DATOS!$I14524,CONFIG_ASIGNATURAS!$B$2:$J$61,9,FALSE()),""))</f>
      </c>
    </row>
    <row r="14525">
      <c r="E14525">
        <f>IF(DATOS!$I14525="","",IFERROR(VLOOKUP(DATOS!$I14525,CONFIG_ASIGNATURAS!$B$2:$J$61,9,FALSE()),""))</f>
      </c>
    </row>
    <row r="14526">
      <c r="E14526">
        <f>IF(DATOS!$I14526="","",IFERROR(VLOOKUP(DATOS!$I14526,CONFIG_ASIGNATURAS!$B$2:$J$61,9,FALSE()),""))</f>
      </c>
    </row>
    <row r="14527">
      <c r="E14527">
        <f>IF(DATOS!$I14527="","",IFERROR(VLOOKUP(DATOS!$I14527,CONFIG_ASIGNATURAS!$B$2:$J$61,9,FALSE()),""))</f>
      </c>
    </row>
    <row r="14528">
      <c r="E14528">
        <f>IF(DATOS!$I14528="","",IFERROR(VLOOKUP(DATOS!$I14528,CONFIG_ASIGNATURAS!$B$2:$J$61,9,FALSE()),""))</f>
      </c>
    </row>
    <row r="14529">
      <c r="E14529">
        <f>IF(DATOS!$I14529="","",IFERROR(VLOOKUP(DATOS!$I14529,CONFIG_ASIGNATURAS!$B$2:$J$61,9,FALSE()),""))</f>
      </c>
    </row>
    <row r="14530">
      <c r="E14530">
        <f>IF(DATOS!$I14530="","",IFERROR(VLOOKUP(DATOS!$I14530,CONFIG_ASIGNATURAS!$B$2:$J$61,9,FALSE()),""))</f>
      </c>
    </row>
    <row r="14531">
      <c r="E14531">
        <f>IF(DATOS!$I14531="","",IFERROR(VLOOKUP(DATOS!$I14531,CONFIG_ASIGNATURAS!$B$2:$J$61,9,FALSE()),""))</f>
      </c>
    </row>
    <row r="14532">
      <c r="E14532">
        <f>IF(DATOS!$I14532="","",IFERROR(VLOOKUP(DATOS!$I14532,CONFIG_ASIGNATURAS!$B$2:$J$61,9,FALSE()),""))</f>
      </c>
    </row>
    <row r="14533">
      <c r="E14533">
        <f>IF(DATOS!$I14533="","",IFERROR(VLOOKUP(DATOS!$I14533,CONFIG_ASIGNATURAS!$B$2:$J$61,9,FALSE()),""))</f>
      </c>
    </row>
    <row r="14534">
      <c r="E14534">
        <f>IF(DATOS!$I14534="","",IFERROR(VLOOKUP(DATOS!$I14534,CONFIG_ASIGNATURAS!$B$2:$J$61,9,FALSE()),""))</f>
      </c>
    </row>
    <row r="14535">
      <c r="E14535">
        <f>IF(DATOS!$I14535="","",IFERROR(VLOOKUP(DATOS!$I14535,CONFIG_ASIGNATURAS!$B$2:$J$61,9,FALSE()),""))</f>
      </c>
    </row>
    <row r="14536">
      <c r="E14536">
        <f>IF(DATOS!$I14536="","",IFERROR(VLOOKUP(DATOS!$I14536,CONFIG_ASIGNATURAS!$B$2:$J$61,9,FALSE()),""))</f>
      </c>
    </row>
    <row r="14537">
      <c r="E14537">
        <f>IF(DATOS!$I14537="","",IFERROR(VLOOKUP(DATOS!$I14537,CONFIG_ASIGNATURAS!$B$2:$J$61,9,FALSE()),""))</f>
      </c>
    </row>
    <row r="14538">
      <c r="E14538">
        <f>IF(DATOS!$I14538="","",IFERROR(VLOOKUP(DATOS!$I14538,CONFIG_ASIGNATURAS!$B$2:$J$61,9,FALSE()),""))</f>
      </c>
    </row>
    <row r="14539">
      <c r="E14539">
        <f>IF(DATOS!$I14539="","",IFERROR(VLOOKUP(DATOS!$I14539,CONFIG_ASIGNATURAS!$B$2:$J$61,9,FALSE()),""))</f>
      </c>
    </row>
    <row r="14540">
      <c r="E14540">
        <f>IF(DATOS!$I14540="","",IFERROR(VLOOKUP(DATOS!$I14540,CONFIG_ASIGNATURAS!$B$2:$J$61,9,FALSE()),""))</f>
      </c>
    </row>
    <row r="14541">
      <c r="E14541">
        <f>IF(DATOS!$I14541="","",IFERROR(VLOOKUP(DATOS!$I14541,CONFIG_ASIGNATURAS!$B$2:$J$61,9,FALSE()),""))</f>
      </c>
    </row>
    <row r="14542">
      <c r="E14542">
        <f>IF(DATOS!$I14542="","",IFERROR(VLOOKUP(DATOS!$I14542,CONFIG_ASIGNATURAS!$B$2:$J$61,9,FALSE()),""))</f>
      </c>
    </row>
    <row r="14543">
      <c r="E14543">
        <f>IF(DATOS!$I14543="","",IFERROR(VLOOKUP(DATOS!$I14543,CONFIG_ASIGNATURAS!$B$2:$J$61,9,FALSE()),""))</f>
      </c>
    </row>
    <row r="14544">
      <c r="E14544">
        <f>IF(DATOS!$I14544="","",IFERROR(VLOOKUP(DATOS!$I14544,CONFIG_ASIGNATURAS!$B$2:$J$61,9,FALSE()),""))</f>
      </c>
    </row>
    <row r="14545">
      <c r="E14545">
        <f>IF(DATOS!$I14545="","",IFERROR(VLOOKUP(DATOS!$I14545,CONFIG_ASIGNATURAS!$B$2:$J$61,9,FALSE()),""))</f>
      </c>
    </row>
    <row r="14546">
      <c r="E14546">
        <f>IF(DATOS!$I14546="","",IFERROR(VLOOKUP(DATOS!$I14546,CONFIG_ASIGNATURAS!$B$2:$J$61,9,FALSE()),""))</f>
      </c>
    </row>
    <row r="14547">
      <c r="E14547">
        <f>IF(DATOS!$I14547="","",IFERROR(VLOOKUP(DATOS!$I14547,CONFIG_ASIGNATURAS!$B$2:$J$61,9,FALSE()),""))</f>
      </c>
    </row>
    <row r="14548">
      <c r="E14548">
        <f>IF(DATOS!$I14548="","",IFERROR(VLOOKUP(DATOS!$I14548,CONFIG_ASIGNATURAS!$B$2:$J$61,9,FALSE()),""))</f>
      </c>
    </row>
    <row r="14549">
      <c r="E14549">
        <f>IF(DATOS!$I14549="","",IFERROR(VLOOKUP(DATOS!$I14549,CONFIG_ASIGNATURAS!$B$2:$J$61,9,FALSE()),""))</f>
      </c>
    </row>
    <row r="14550">
      <c r="E14550">
        <f>IF(DATOS!$I14550="","",IFERROR(VLOOKUP(DATOS!$I14550,CONFIG_ASIGNATURAS!$B$2:$J$61,9,FALSE()),""))</f>
      </c>
    </row>
    <row r="14551">
      <c r="E14551">
        <f>IF(DATOS!$I14551="","",IFERROR(VLOOKUP(DATOS!$I14551,CONFIG_ASIGNATURAS!$B$2:$J$61,9,FALSE()),""))</f>
      </c>
    </row>
    <row r="14552">
      <c r="E14552">
        <f>IF(DATOS!$I14552="","",IFERROR(VLOOKUP(DATOS!$I14552,CONFIG_ASIGNATURAS!$B$2:$J$61,9,FALSE()),""))</f>
      </c>
    </row>
    <row r="14553">
      <c r="E14553">
        <f>IF(DATOS!$I14553="","",IFERROR(VLOOKUP(DATOS!$I14553,CONFIG_ASIGNATURAS!$B$2:$J$61,9,FALSE()),""))</f>
      </c>
    </row>
    <row r="14554">
      <c r="E14554">
        <f>IF(DATOS!$I14554="","",IFERROR(VLOOKUP(DATOS!$I14554,CONFIG_ASIGNATURAS!$B$2:$J$61,9,FALSE()),""))</f>
      </c>
    </row>
    <row r="14555">
      <c r="E14555">
        <f>IF(DATOS!$I14555="","",IFERROR(VLOOKUP(DATOS!$I14555,CONFIG_ASIGNATURAS!$B$2:$J$61,9,FALSE()),""))</f>
      </c>
    </row>
    <row r="14556">
      <c r="E14556">
        <f>IF(DATOS!$I14556="","",IFERROR(VLOOKUP(DATOS!$I14556,CONFIG_ASIGNATURAS!$B$2:$J$61,9,FALSE()),""))</f>
      </c>
    </row>
    <row r="14557">
      <c r="E14557">
        <f>IF(DATOS!$I14557="","",IFERROR(VLOOKUP(DATOS!$I14557,CONFIG_ASIGNATURAS!$B$2:$J$61,9,FALSE()),""))</f>
      </c>
    </row>
    <row r="14558">
      <c r="E14558">
        <f>IF(DATOS!$I14558="","",IFERROR(VLOOKUP(DATOS!$I14558,CONFIG_ASIGNATURAS!$B$2:$J$61,9,FALSE()),""))</f>
      </c>
    </row>
    <row r="14559">
      <c r="E14559">
        <f>IF(DATOS!$I14559="","",IFERROR(VLOOKUP(DATOS!$I14559,CONFIG_ASIGNATURAS!$B$2:$J$61,9,FALSE()),""))</f>
      </c>
    </row>
    <row r="14560">
      <c r="E14560">
        <f>IF(DATOS!$I14560="","",IFERROR(VLOOKUP(DATOS!$I14560,CONFIG_ASIGNATURAS!$B$2:$J$61,9,FALSE()),""))</f>
      </c>
    </row>
    <row r="14561">
      <c r="E14561">
        <f>IF(DATOS!$I14561="","",IFERROR(VLOOKUP(DATOS!$I14561,CONFIG_ASIGNATURAS!$B$2:$J$61,9,FALSE()),""))</f>
      </c>
    </row>
    <row r="14562">
      <c r="E14562">
        <f>IF(DATOS!$I14562="","",IFERROR(VLOOKUP(DATOS!$I14562,CONFIG_ASIGNATURAS!$B$2:$J$61,9,FALSE()),""))</f>
      </c>
    </row>
    <row r="14563">
      <c r="E14563">
        <f>IF(DATOS!$I14563="","",IFERROR(VLOOKUP(DATOS!$I14563,CONFIG_ASIGNATURAS!$B$2:$J$61,9,FALSE()),""))</f>
      </c>
    </row>
    <row r="14564">
      <c r="E14564">
        <f>IF(DATOS!$I14564="","",IFERROR(VLOOKUP(DATOS!$I14564,CONFIG_ASIGNATURAS!$B$2:$J$61,9,FALSE()),""))</f>
      </c>
    </row>
    <row r="14565">
      <c r="E14565">
        <f>IF(DATOS!$I14565="","",IFERROR(VLOOKUP(DATOS!$I14565,CONFIG_ASIGNATURAS!$B$2:$J$61,9,FALSE()),""))</f>
      </c>
    </row>
    <row r="14566">
      <c r="E14566">
        <f>IF(DATOS!$I14566="","",IFERROR(VLOOKUP(DATOS!$I14566,CONFIG_ASIGNATURAS!$B$2:$J$61,9,FALSE()),""))</f>
      </c>
    </row>
    <row r="14567">
      <c r="E14567">
        <f>IF(DATOS!$I14567="","",IFERROR(VLOOKUP(DATOS!$I14567,CONFIG_ASIGNATURAS!$B$2:$J$61,9,FALSE()),""))</f>
      </c>
    </row>
    <row r="14568">
      <c r="E14568">
        <f>IF(DATOS!$I14568="","",IFERROR(VLOOKUP(DATOS!$I14568,CONFIG_ASIGNATURAS!$B$2:$J$61,9,FALSE()),""))</f>
      </c>
    </row>
    <row r="14569">
      <c r="E14569">
        <f>IF(DATOS!$I14569="","",IFERROR(VLOOKUP(DATOS!$I14569,CONFIG_ASIGNATURAS!$B$2:$J$61,9,FALSE()),""))</f>
      </c>
    </row>
    <row r="14570">
      <c r="E14570">
        <f>IF(DATOS!$I14570="","",IFERROR(VLOOKUP(DATOS!$I14570,CONFIG_ASIGNATURAS!$B$2:$J$61,9,FALSE()),""))</f>
      </c>
    </row>
    <row r="14571">
      <c r="E14571">
        <f>IF(DATOS!$I14571="","",IFERROR(VLOOKUP(DATOS!$I14571,CONFIG_ASIGNATURAS!$B$2:$J$61,9,FALSE()),""))</f>
      </c>
    </row>
    <row r="14572">
      <c r="E14572">
        <f>IF(DATOS!$I14572="","",IFERROR(VLOOKUP(DATOS!$I14572,CONFIG_ASIGNATURAS!$B$2:$J$61,9,FALSE()),""))</f>
      </c>
    </row>
    <row r="14573">
      <c r="E14573">
        <f>IF(DATOS!$I14573="","",IFERROR(VLOOKUP(DATOS!$I14573,CONFIG_ASIGNATURAS!$B$2:$J$61,9,FALSE()),""))</f>
      </c>
    </row>
    <row r="14574">
      <c r="E14574">
        <f>IF(DATOS!$I14574="","",IFERROR(VLOOKUP(DATOS!$I14574,CONFIG_ASIGNATURAS!$B$2:$J$61,9,FALSE()),""))</f>
      </c>
    </row>
    <row r="14575">
      <c r="E14575">
        <f>IF(DATOS!$I14575="","",IFERROR(VLOOKUP(DATOS!$I14575,CONFIG_ASIGNATURAS!$B$2:$J$61,9,FALSE()),""))</f>
      </c>
    </row>
    <row r="14576">
      <c r="E14576">
        <f>IF(DATOS!$I14576="","",IFERROR(VLOOKUP(DATOS!$I14576,CONFIG_ASIGNATURAS!$B$2:$J$61,9,FALSE()),""))</f>
      </c>
    </row>
    <row r="14577">
      <c r="E14577">
        <f>IF(DATOS!$I14577="","",IFERROR(VLOOKUP(DATOS!$I14577,CONFIG_ASIGNATURAS!$B$2:$J$61,9,FALSE()),""))</f>
      </c>
    </row>
    <row r="14578">
      <c r="E14578">
        <f>IF(DATOS!$I14578="","",IFERROR(VLOOKUP(DATOS!$I14578,CONFIG_ASIGNATURAS!$B$2:$J$61,9,FALSE()),""))</f>
      </c>
    </row>
    <row r="14579">
      <c r="E14579">
        <f>IF(DATOS!$I14579="","",IFERROR(VLOOKUP(DATOS!$I14579,CONFIG_ASIGNATURAS!$B$2:$J$61,9,FALSE()),""))</f>
      </c>
    </row>
    <row r="14580">
      <c r="E14580">
        <f>IF(DATOS!$I14580="","",IFERROR(VLOOKUP(DATOS!$I14580,CONFIG_ASIGNATURAS!$B$2:$J$61,9,FALSE()),""))</f>
      </c>
    </row>
    <row r="14581">
      <c r="E14581">
        <f>IF(DATOS!$I14581="","",IFERROR(VLOOKUP(DATOS!$I14581,CONFIG_ASIGNATURAS!$B$2:$J$61,9,FALSE()),""))</f>
      </c>
    </row>
    <row r="14582">
      <c r="E14582">
        <f>IF(DATOS!$I14582="","",IFERROR(VLOOKUP(DATOS!$I14582,CONFIG_ASIGNATURAS!$B$2:$J$61,9,FALSE()),""))</f>
      </c>
    </row>
    <row r="14583">
      <c r="E14583">
        <f>IF(DATOS!$I14583="","",IFERROR(VLOOKUP(DATOS!$I14583,CONFIG_ASIGNATURAS!$B$2:$J$61,9,FALSE()),""))</f>
      </c>
    </row>
    <row r="14584">
      <c r="E14584">
        <f>IF(DATOS!$I14584="","",IFERROR(VLOOKUP(DATOS!$I14584,CONFIG_ASIGNATURAS!$B$2:$J$61,9,FALSE()),""))</f>
      </c>
    </row>
    <row r="14585">
      <c r="E14585">
        <f>IF(DATOS!$I14585="","",IFERROR(VLOOKUP(DATOS!$I14585,CONFIG_ASIGNATURAS!$B$2:$J$61,9,FALSE()),""))</f>
      </c>
    </row>
    <row r="14586">
      <c r="E14586">
        <f>IF(DATOS!$I14586="","",IFERROR(VLOOKUP(DATOS!$I14586,CONFIG_ASIGNATURAS!$B$2:$J$61,9,FALSE()),""))</f>
      </c>
    </row>
    <row r="14587">
      <c r="E14587">
        <f>IF(DATOS!$I14587="","",IFERROR(VLOOKUP(DATOS!$I14587,CONFIG_ASIGNATURAS!$B$2:$J$61,9,FALSE()),""))</f>
      </c>
    </row>
    <row r="14588">
      <c r="E14588">
        <f>IF(DATOS!$I14588="","",IFERROR(VLOOKUP(DATOS!$I14588,CONFIG_ASIGNATURAS!$B$2:$J$61,9,FALSE()),""))</f>
      </c>
    </row>
    <row r="14589">
      <c r="E14589">
        <f>IF(DATOS!$I14589="","",IFERROR(VLOOKUP(DATOS!$I14589,CONFIG_ASIGNATURAS!$B$2:$J$61,9,FALSE()),""))</f>
      </c>
    </row>
    <row r="14590">
      <c r="E14590">
        <f>IF(DATOS!$I14590="","",IFERROR(VLOOKUP(DATOS!$I14590,CONFIG_ASIGNATURAS!$B$2:$J$61,9,FALSE()),""))</f>
      </c>
    </row>
    <row r="14591">
      <c r="E14591">
        <f>IF(DATOS!$I14591="","",IFERROR(VLOOKUP(DATOS!$I14591,CONFIG_ASIGNATURAS!$B$2:$J$61,9,FALSE()),""))</f>
      </c>
    </row>
    <row r="14592">
      <c r="E14592">
        <f>IF(DATOS!$I14592="","",IFERROR(VLOOKUP(DATOS!$I14592,CONFIG_ASIGNATURAS!$B$2:$J$61,9,FALSE()),""))</f>
      </c>
    </row>
    <row r="14593">
      <c r="E14593">
        <f>IF(DATOS!$I14593="","",IFERROR(VLOOKUP(DATOS!$I14593,CONFIG_ASIGNATURAS!$B$2:$J$61,9,FALSE()),""))</f>
      </c>
    </row>
    <row r="14594">
      <c r="E14594">
        <f>IF(DATOS!$I14594="","",IFERROR(VLOOKUP(DATOS!$I14594,CONFIG_ASIGNATURAS!$B$2:$J$61,9,FALSE()),""))</f>
      </c>
    </row>
    <row r="14595">
      <c r="E14595">
        <f>IF(DATOS!$I14595="","",IFERROR(VLOOKUP(DATOS!$I14595,CONFIG_ASIGNATURAS!$B$2:$J$61,9,FALSE()),""))</f>
      </c>
    </row>
    <row r="14596">
      <c r="E14596">
        <f>IF(DATOS!$I14596="","",IFERROR(VLOOKUP(DATOS!$I14596,CONFIG_ASIGNATURAS!$B$2:$J$61,9,FALSE()),""))</f>
      </c>
    </row>
    <row r="14597">
      <c r="E14597">
        <f>IF(DATOS!$I14597="","",IFERROR(VLOOKUP(DATOS!$I14597,CONFIG_ASIGNATURAS!$B$2:$J$61,9,FALSE()),""))</f>
      </c>
    </row>
    <row r="14598">
      <c r="E14598">
        <f>IF(DATOS!$I14598="","",IFERROR(VLOOKUP(DATOS!$I14598,CONFIG_ASIGNATURAS!$B$2:$J$61,9,FALSE()),""))</f>
      </c>
    </row>
    <row r="14599">
      <c r="E14599">
        <f>IF(DATOS!$I14599="","",IFERROR(VLOOKUP(DATOS!$I14599,CONFIG_ASIGNATURAS!$B$2:$J$61,9,FALSE()),""))</f>
      </c>
    </row>
    <row r="14600">
      <c r="E14600">
        <f>IF(DATOS!$I14600="","",IFERROR(VLOOKUP(DATOS!$I14600,CONFIG_ASIGNATURAS!$B$2:$J$61,9,FALSE()),""))</f>
      </c>
    </row>
    <row r="14601">
      <c r="E14601">
        <f>IF(DATOS!$I14601="","",IFERROR(VLOOKUP(DATOS!$I14601,CONFIG_ASIGNATURAS!$B$2:$J$61,9,FALSE()),""))</f>
      </c>
    </row>
    <row r="14602">
      <c r="E14602">
        <f>IF(DATOS!$I14602="","",IFERROR(VLOOKUP(DATOS!$I14602,CONFIG_ASIGNATURAS!$B$2:$J$61,9,FALSE()),""))</f>
      </c>
    </row>
    <row r="14603">
      <c r="E14603">
        <f>IF(DATOS!$I14603="","",IFERROR(VLOOKUP(DATOS!$I14603,CONFIG_ASIGNATURAS!$B$2:$J$61,9,FALSE()),""))</f>
      </c>
    </row>
    <row r="14604">
      <c r="E14604">
        <f>IF(DATOS!$I14604="","",IFERROR(VLOOKUP(DATOS!$I14604,CONFIG_ASIGNATURAS!$B$2:$J$61,9,FALSE()),""))</f>
      </c>
    </row>
    <row r="14605">
      <c r="E14605">
        <f>IF(DATOS!$I14605="","",IFERROR(VLOOKUP(DATOS!$I14605,CONFIG_ASIGNATURAS!$B$2:$J$61,9,FALSE()),""))</f>
      </c>
    </row>
    <row r="14606">
      <c r="E14606">
        <f>IF(DATOS!$I14606="","",IFERROR(VLOOKUP(DATOS!$I14606,CONFIG_ASIGNATURAS!$B$2:$J$61,9,FALSE()),""))</f>
      </c>
    </row>
    <row r="14607">
      <c r="E14607">
        <f>IF(DATOS!$I14607="","",IFERROR(VLOOKUP(DATOS!$I14607,CONFIG_ASIGNATURAS!$B$2:$J$61,9,FALSE()),""))</f>
      </c>
    </row>
    <row r="14608">
      <c r="E14608">
        <f>IF(DATOS!$I14608="","",IFERROR(VLOOKUP(DATOS!$I14608,CONFIG_ASIGNATURAS!$B$2:$J$61,9,FALSE()),""))</f>
      </c>
    </row>
    <row r="14609">
      <c r="E14609">
        <f>IF(DATOS!$I14609="","",IFERROR(VLOOKUP(DATOS!$I14609,CONFIG_ASIGNATURAS!$B$2:$J$61,9,FALSE()),""))</f>
      </c>
    </row>
    <row r="14610">
      <c r="E14610">
        <f>IF(DATOS!$I14610="","",IFERROR(VLOOKUP(DATOS!$I14610,CONFIG_ASIGNATURAS!$B$2:$J$61,9,FALSE()),""))</f>
      </c>
    </row>
    <row r="14611">
      <c r="E14611">
        <f>IF(DATOS!$I14611="","",IFERROR(VLOOKUP(DATOS!$I14611,CONFIG_ASIGNATURAS!$B$2:$J$61,9,FALSE()),""))</f>
      </c>
    </row>
    <row r="14612">
      <c r="E14612">
        <f>IF(DATOS!$I14612="","",IFERROR(VLOOKUP(DATOS!$I14612,CONFIG_ASIGNATURAS!$B$2:$J$61,9,FALSE()),""))</f>
      </c>
    </row>
    <row r="14613">
      <c r="E14613">
        <f>IF(DATOS!$I14613="","",IFERROR(VLOOKUP(DATOS!$I14613,CONFIG_ASIGNATURAS!$B$2:$J$61,9,FALSE()),""))</f>
      </c>
    </row>
    <row r="14614">
      <c r="E14614">
        <f>IF(DATOS!$I14614="","",IFERROR(VLOOKUP(DATOS!$I14614,CONFIG_ASIGNATURAS!$B$2:$J$61,9,FALSE()),""))</f>
      </c>
    </row>
    <row r="14615">
      <c r="E14615">
        <f>IF(DATOS!$I14615="","",IFERROR(VLOOKUP(DATOS!$I14615,CONFIG_ASIGNATURAS!$B$2:$J$61,9,FALSE()),""))</f>
      </c>
    </row>
    <row r="14616">
      <c r="E14616">
        <f>IF(DATOS!$I14616="","",IFERROR(VLOOKUP(DATOS!$I14616,CONFIG_ASIGNATURAS!$B$2:$J$61,9,FALSE()),""))</f>
      </c>
    </row>
    <row r="14617">
      <c r="E14617">
        <f>IF(DATOS!$I14617="","",IFERROR(VLOOKUP(DATOS!$I14617,CONFIG_ASIGNATURAS!$B$2:$J$61,9,FALSE()),""))</f>
      </c>
    </row>
    <row r="14618">
      <c r="E14618">
        <f>IF(DATOS!$I14618="","",IFERROR(VLOOKUP(DATOS!$I14618,CONFIG_ASIGNATURAS!$B$2:$J$61,9,FALSE()),""))</f>
      </c>
    </row>
    <row r="14619">
      <c r="E14619">
        <f>IF(DATOS!$I14619="","",IFERROR(VLOOKUP(DATOS!$I14619,CONFIG_ASIGNATURAS!$B$2:$J$61,9,FALSE()),""))</f>
      </c>
    </row>
    <row r="14620">
      <c r="E14620">
        <f>IF(DATOS!$I14620="","",IFERROR(VLOOKUP(DATOS!$I14620,CONFIG_ASIGNATURAS!$B$2:$J$61,9,FALSE()),""))</f>
      </c>
    </row>
    <row r="14621">
      <c r="E14621">
        <f>IF(DATOS!$I14621="","",IFERROR(VLOOKUP(DATOS!$I14621,CONFIG_ASIGNATURAS!$B$2:$J$61,9,FALSE()),""))</f>
      </c>
    </row>
    <row r="14622">
      <c r="E14622">
        <f>IF(DATOS!$I14622="","",IFERROR(VLOOKUP(DATOS!$I14622,CONFIG_ASIGNATURAS!$B$2:$J$61,9,FALSE()),""))</f>
      </c>
    </row>
    <row r="14623">
      <c r="E14623">
        <f>IF(DATOS!$I14623="","",IFERROR(VLOOKUP(DATOS!$I14623,CONFIG_ASIGNATURAS!$B$2:$J$61,9,FALSE()),""))</f>
      </c>
    </row>
    <row r="14624">
      <c r="E14624">
        <f>IF(DATOS!$I14624="","",IFERROR(VLOOKUP(DATOS!$I14624,CONFIG_ASIGNATURAS!$B$2:$J$61,9,FALSE()),""))</f>
      </c>
    </row>
    <row r="14625">
      <c r="E14625">
        <f>IF(DATOS!$I14625="","",IFERROR(VLOOKUP(DATOS!$I14625,CONFIG_ASIGNATURAS!$B$2:$J$61,9,FALSE()),""))</f>
      </c>
    </row>
    <row r="14626">
      <c r="E14626">
        <f>IF(DATOS!$I14626="","",IFERROR(VLOOKUP(DATOS!$I14626,CONFIG_ASIGNATURAS!$B$2:$J$61,9,FALSE()),""))</f>
      </c>
    </row>
    <row r="14627">
      <c r="E14627">
        <f>IF(DATOS!$I14627="","",IFERROR(VLOOKUP(DATOS!$I14627,CONFIG_ASIGNATURAS!$B$2:$J$61,9,FALSE()),""))</f>
      </c>
    </row>
    <row r="14628">
      <c r="E14628">
        <f>IF(DATOS!$I14628="","",IFERROR(VLOOKUP(DATOS!$I14628,CONFIG_ASIGNATURAS!$B$2:$J$61,9,FALSE()),""))</f>
      </c>
    </row>
    <row r="14629">
      <c r="E14629">
        <f>IF(DATOS!$I14629="","",IFERROR(VLOOKUP(DATOS!$I14629,CONFIG_ASIGNATURAS!$B$2:$J$61,9,FALSE()),""))</f>
      </c>
    </row>
    <row r="14630">
      <c r="E14630">
        <f>IF(DATOS!$I14630="","",IFERROR(VLOOKUP(DATOS!$I14630,CONFIG_ASIGNATURAS!$B$2:$J$61,9,FALSE()),""))</f>
      </c>
    </row>
    <row r="14631">
      <c r="E14631">
        <f>IF(DATOS!$I14631="","",IFERROR(VLOOKUP(DATOS!$I14631,CONFIG_ASIGNATURAS!$B$2:$J$61,9,FALSE()),""))</f>
      </c>
    </row>
    <row r="14632">
      <c r="E14632">
        <f>IF(DATOS!$I14632="","",IFERROR(VLOOKUP(DATOS!$I14632,CONFIG_ASIGNATURAS!$B$2:$J$61,9,FALSE()),""))</f>
      </c>
    </row>
    <row r="14633">
      <c r="E14633">
        <f>IF(DATOS!$I14633="","",IFERROR(VLOOKUP(DATOS!$I14633,CONFIG_ASIGNATURAS!$B$2:$J$61,9,FALSE()),""))</f>
      </c>
    </row>
    <row r="14634">
      <c r="E14634">
        <f>IF(DATOS!$I14634="","",IFERROR(VLOOKUP(DATOS!$I14634,CONFIG_ASIGNATURAS!$B$2:$J$61,9,FALSE()),""))</f>
      </c>
    </row>
    <row r="14635">
      <c r="E14635">
        <f>IF(DATOS!$I14635="","",IFERROR(VLOOKUP(DATOS!$I14635,CONFIG_ASIGNATURAS!$B$2:$J$61,9,FALSE()),""))</f>
      </c>
    </row>
    <row r="14636">
      <c r="E14636">
        <f>IF(DATOS!$I14636="","",IFERROR(VLOOKUP(DATOS!$I14636,CONFIG_ASIGNATURAS!$B$2:$J$61,9,FALSE()),""))</f>
      </c>
    </row>
    <row r="14637">
      <c r="E14637">
        <f>IF(DATOS!$I14637="","",IFERROR(VLOOKUP(DATOS!$I14637,CONFIG_ASIGNATURAS!$B$2:$J$61,9,FALSE()),""))</f>
      </c>
    </row>
    <row r="14638">
      <c r="E14638">
        <f>IF(DATOS!$I14638="","",IFERROR(VLOOKUP(DATOS!$I14638,CONFIG_ASIGNATURAS!$B$2:$J$61,9,FALSE()),""))</f>
      </c>
    </row>
    <row r="14639">
      <c r="E14639">
        <f>IF(DATOS!$I14639="","",IFERROR(VLOOKUP(DATOS!$I14639,CONFIG_ASIGNATURAS!$B$2:$J$61,9,FALSE()),""))</f>
      </c>
    </row>
    <row r="14640">
      <c r="E14640">
        <f>IF(DATOS!$I14640="","",IFERROR(VLOOKUP(DATOS!$I14640,CONFIG_ASIGNATURAS!$B$2:$J$61,9,FALSE()),""))</f>
      </c>
    </row>
    <row r="14641">
      <c r="E14641">
        <f>IF(DATOS!$I14641="","",IFERROR(VLOOKUP(DATOS!$I14641,CONFIG_ASIGNATURAS!$B$2:$J$61,9,FALSE()),""))</f>
      </c>
    </row>
    <row r="14642">
      <c r="E14642">
        <f>IF(DATOS!$I14642="","",IFERROR(VLOOKUP(DATOS!$I14642,CONFIG_ASIGNATURAS!$B$2:$J$61,9,FALSE()),""))</f>
      </c>
    </row>
    <row r="14643">
      <c r="E14643">
        <f>IF(DATOS!$I14643="","",IFERROR(VLOOKUP(DATOS!$I14643,CONFIG_ASIGNATURAS!$B$2:$J$61,9,FALSE()),""))</f>
      </c>
    </row>
    <row r="14644">
      <c r="E14644">
        <f>IF(DATOS!$I14644="","",IFERROR(VLOOKUP(DATOS!$I14644,CONFIG_ASIGNATURAS!$B$2:$J$61,9,FALSE()),""))</f>
      </c>
    </row>
    <row r="14645">
      <c r="E14645">
        <f>IF(DATOS!$I14645="","",IFERROR(VLOOKUP(DATOS!$I14645,CONFIG_ASIGNATURAS!$B$2:$J$61,9,FALSE()),""))</f>
      </c>
    </row>
    <row r="14646">
      <c r="E14646">
        <f>IF(DATOS!$I14646="","",IFERROR(VLOOKUP(DATOS!$I14646,CONFIG_ASIGNATURAS!$B$2:$J$61,9,FALSE()),""))</f>
      </c>
    </row>
    <row r="14647">
      <c r="E14647">
        <f>IF(DATOS!$I14647="","",IFERROR(VLOOKUP(DATOS!$I14647,CONFIG_ASIGNATURAS!$B$2:$J$61,9,FALSE()),""))</f>
      </c>
    </row>
    <row r="14648">
      <c r="E14648">
        <f>IF(DATOS!$I14648="","",IFERROR(VLOOKUP(DATOS!$I14648,CONFIG_ASIGNATURAS!$B$2:$J$61,9,FALSE()),""))</f>
      </c>
    </row>
    <row r="14649">
      <c r="E14649">
        <f>IF(DATOS!$I14649="","",IFERROR(VLOOKUP(DATOS!$I14649,CONFIG_ASIGNATURAS!$B$2:$J$61,9,FALSE()),""))</f>
      </c>
    </row>
    <row r="14650">
      <c r="E14650">
        <f>IF(DATOS!$I14650="","",IFERROR(VLOOKUP(DATOS!$I14650,CONFIG_ASIGNATURAS!$B$2:$J$61,9,FALSE()),""))</f>
      </c>
    </row>
    <row r="14651">
      <c r="E14651">
        <f>IF(DATOS!$I14651="","",IFERROR(VLOOKUP(DATOS!$I14651,CONFIG_ASIGNATURAS!$B$2:$J$61,9,FALSE()),""))</f>
      </c>
    </row>
    <row r="14652">
      <c r="E14652">
        <f>IF(DATOS!$I14652="","",IFERROR(VLOOKUP(DATOS!$I14652,CONFIG_ASIGNATURAS!$B$2:$J$61,9,FALSE()),""))</f>
      </c>
    </row>
    <row r="14653">
      <c r="E14653">
        <f>IF(DATOS!$I14653="","",IFERROR(VLOOKUP(DATOS!$I14653,CONFIG_ASIGNATURAS!$B$2:$J$61,9,FALSE()),""))</f>
      </c>
    </row>
    <row r="14654">
      <c r="E14654">
        <f>IF(DATOS!$I14654="","",IFERROR(VLOOKUP(DATOS!$I14654,CONFIG_ASIGNATURAS!$B$2:$J$61,9,FALSE()),""))</f>
      </c>
    </row>
    <row r="14655">
      <c r="E14655">
        <f>IF(DATOS!$I14655="","",IFERROR(VLOOKUP(DATOS!$I14655,CONFIG_ASIGNATURAS!$B$2:$J$61,9,FALSE()),""))</f>
      </c>
    </row>
    <row r="14656">
      <c r="E14656">
        <f>IF(DATOS!$I14656="","",IFERROR(VLOOKUP(DATOS!$I14656,CONFIG_ASIGNATURAS!$B$2:$J$61,9,FALSE()),""))</f>
      </c>
    </row>
    <row r="14657">
      <c r="E14657">
        <f>IF(DATOS!$I14657="","",IFERROR(VLOOKUP(DATOS!$I14657,CONFIG_ASIGNATURAS!$B$2:$J$61,9,FALSE()),""))</f>
      </c>
    </row>
    <row r="14658">
      <c r="E14658">
        <f>IF(DATOS!$I14658="","",IFERROR(VLOOKUP(DATOS!$I14658,CONFIG_ASIGNATURAS!$B$2:$J$61,9,FALSE()),""))</f>
      </c>
    </row>
    <row r="14659">
      <c r="E14659">
        <f>IF(DATOS!$I14659="","",IFERROR(VLOOKUP(DATOS!$I14659,CONFIG_ASIGNATURAS!$B$2:$J$61,9,FALSE()),""))</f>
      </c>
    </row>
    <row r="14660">
      <c r="E14660">
        <f>IF(DATOS!$I14660="","",IFERROR(VLOOKUP(DATOS!$I14660,CONFIG_ASIGNATURAS!$B$2:$J$61,9,FALSE()),""))</f>
      </c>
    </row>
    <row r="14661">
      <c r="E14661">
        <f>IF(DATOS!$I14661="","",IFERROR(VLOOKUP(DATOS!$I14661,CONFIG_ASIGNATURAS!$B$2:$J$61,9,FALSE()),""))</f>
      </c>
    </row>
    <row r="14662">
      <c r="E14662">
        <f>IF(DATOS!$I14662="","",IFERROR(VLOOKUP(DATOS!$I14662,CONFIG_ASIGNATURAS!$B$2:$J$61,9,FALSE()),""))</f>
      </c>
    </row>
    <row r="14663">
      <c r="E14663">
        <f>IF(DATOS!$I14663="","",IFERROR(VLOOKUP(DATOS!$I14663,CONFIG_ASIGNATURAS!$B$2:$J$61,9,FALSE()),""))</f>
      </c>
    </row>
    <row r="14664">
      <c r="E14664">
        <f>IF(DATOS!$I14664="","",IFERROR(VLOOKUP(DATOS!$I14664,CONFIG_ASIGNATURAS!$B$2:$J$61,9,FALSE()),""))</f>
      </c>
    </row>
    <row r="14665">
      <c r="E14665">
        <f>IF(DATOS!$I14665="","",IFERROR(VLOOKUP(DATOS!$I14665,CONFIG_ASIGNATURAS!$B$2:$J$61,9,FALSE()),""))</f>
      </c>
    </row>
    <row r="14666">
      <c r="E14666">
        <f>IF(DATOS!$I14666="","",IFERROR(VLOOKUP(DATOS!$I14666,CONFIG_ASIGNATURAS!$B$2:$J$61,9,FALSE()),""))</f>
      </c>
    </row>
    <row r="14667">
      <c r="E14667">
        <f>IF(DATOS!$I14667="","",IFERROR(VLOOKUP(DATOS!$I14667,CONFIG_ASIGNATURAS!$B$2:$J$61,9,FALSE()),""))</f>
      </c>
    </row>
    <row r="14668">
      <c r="E14668">
        <f>IF(DATOS!$I14668="","",IFERROR(VLOOKUP(DATOS!$I14668,CONFIG_ASIGNATURAS!$B$2:$J$61,9,FALSE()),""))</f>
      </c>
    </row>
    <row r="14669">
      <c r="E14669">
        <f>IF(DATOS!$I14669="","",IFERROR(VLOOKUP(DATOS!$I14669,CONFIG_ASIGNATURAS!$B$2:$J$61,9,FALSE()),""))</f>
      </c>
    </row>
    <row r="14670">
      <c r="E14670">
        <f>IF(DATOS!$I14670="","",IFERROR(VLOOKUP(DATOS!$I14670,CONFIG_ASIGNATURAS!$B$2:$J$61,9,FALSE()),""))</f>
      </c>
    </row>
    <row r="14671">
      <c r="E14671">
        <f>IF(DATOS!$I14671="","",IFERROR(VLOOKUP(DATOS!$I14671,CONFIG_ASIGNATURAS!$B$2:$J$61,9,FALSE()),""))</f>
      </c>
    </row>
    <row r="14672">
      <c r="E14672">
        <f>IF(DATOS!$I14672="","",IFERROR(VLOOKUP(DATOS!$I14672,CONFIG_ASIGNATURAS!$B$2:$J$61,9,FALSE()),""))</f>
      </c>
    </row>
    <row r="14673">
      <c r="E14673">
        <f>IF(DATOS!$I14673="","",IFERROR(VLOOKUP(DATOS!$I14673,CONFIG_ASIGNATURAS!$B$2:$J$61,9,FALSE()),""))</f>
      </c>
    </row>
    <row r="14674">
      <c r="E14674">
        <f>IF(DATOS!$I14674="","",IFERROR(VLOOKUP(DATOS!$I14674,CONFIG_ASIGNATURAS!$B$2:$J$61,9,FALSE()),""))</f>
      </c>
    </row>
    <row r="14675">
      <c r="E14675">
        <f>IF(DATOS!$I14675="","",IFERROR(VLOOKUP(DATOS!$I14675,CONFIG_ASIGNATURAS!$B$2:$J$61,9,FALSE()),""))</f>
      </c>
    </row>
    <row r="14676">
      <c r="E14676">
        <f>IF(DATOS!$I14676="","",IFERROR(VLOOKUP(DATOS!$I14676,CONFIG_ASIGNATURAS!$B$2:$J$61,9,FALSE()),""))</f>
      </c>
    </row>
    <row r="14677">
      <c r="E14677">
        <f>IF(DATOS!$I14677="","",IFERROR(VLOOKUP(DATOS!$I14677,CONFIG_ASIGNATURAS!$B$2:$J$61,9,FALSE()),""))</f>
      </c>
    </row>
    <row r="14678">
      <c r="E14678">
        <f>IF(DATOS!$I14678="","",IFERROR(VLOOKUP(DATOS!$I14678,CONFIG_ASIGNATURAS!$B$2:$J$61,9,FALSE()),""))</f>
      </c>
    </row>
    <row r="14679">
      <c r="E14679">
        <f>IF(DATOS!$I14679="","",IFERROR(VLOOKUP(DATOS!$I14679,CONFIG_ASIGNATURAS!$B$2:$J$61,9,FALSE()),""))</f>
      </c>
    </row>
    <row r="14680">
      <c r="E14680">
        <f>IF(DATOS!$I14680="","",IFERROR(VLOOKUP(DATOS!$I14680,CONFIG_ASIGNATURAS!$B$2:$J$61,9,FALSE()),""))</f>
      </c>
    </row>
    <row r="14681">
      <c r="E14681">
        <f>IF(DATOS!$I14681="","",IFERROR(VLOOKUP(DATOS!$I14681,CONFIG_ASIGNATURAS!$B$2:$J$61,9,FALSE()),""))</f>
      </c>
    </row>
    <row r="14682">
      <c r="E14682">
        <f>IF(DATOS!$I14682="","",IFERROR(VLOOKUP(DATOS!$I14682,CONFIG_ASIGNATURAS!$B$2:$J$61,9,FALSE()),""))</f>
      </c>
    </row>
    <row r="14683">
      <c r="E14683">
        <f>IF(DATOS!$I14683="","",IFERROR(VLOOKUP(DATOS!$I14683,CONFIG_ASIGNATURAS!$B$2:$J$61,9,FALSE()),""))</f>
      </c>
    </row>
    <row r="14684">
      <c r="E14684">
        <f>IF(DATOS!$I14684="","",IFERROR(VLOOKUP(DATOS!$I14684,CONFIG_ASIGNATURAS!$B$2:$J$61,9,FALSE()),""))</f>
      </c>
    </row>
    <row r="14685">
      <c r="E14685">
        <f>IF(DATOS!$I14685="","",IFERROR(VLOOKUP(DATOS!$I14685,CONFIG_ASIGNATURAS!$B$2:$J$61,9,FALSE()),""))</f>
      </c>
    </row>
    <row r="14686">
      <c r="E14686">
        <f>IF(DATOS!$I14686="","",IFERROR(VLOOKUP(DATOS!$I14686,CONFIG_ASIGNATURAS!$B$2:$J$61,9,FALSE()),""))</f>
      </c>
    </row>
    <row r="14687">
      <c r="E14687">
        <f>IF(DATOS!$I14687="","",IFERROR(VLOOKUP(DATOS!$I14687,CONFIG_ASIGNATURAS!$B$2:$J$61,9,FALSE()),""))</f>
      </c>
    </row>
    <row r="14688">
      <c r="E14688">
        <f>IF(DATOS!$I14688="","",IFERROR(VLOOKUP(DATOS!$I14688,CONFIG_ASIGNATURAS!$B$2:$J$61,9,FALSE()),""))</f>
      </c>
    </row>
    <row r="14689">
      <c r="E14689">
        <f>IF(DATOS!$I14689="","",IFERROR(VLOOKUP(DATOS!$I14689,CONFIG_ASIGNATURAS!$B$2:$J$61,9,FALSE()),""))</f>
      </c>
    </row>
    <row r="14690">
      <c r="E14690">
        <f>IF(DATOS!$I14690="","",IFERROR(VLOOKUP(DATOS!$I14690,CONFIG_ASIGNATURAS!$B$2:$J$61,9,FALSE()),""))</f>
      </c>
    </row>
    <row r="14691">
      <c r="E14691">
        <f>IF(DATOS!$I14691="","",IFERROR(VLOOKUP(DATOS!$I14691,CONFIG_ASIGNATURAS!$B$2:$J$61,9,FALSE()),""))</f>
      </c>
    </row>
    <row r="14692">
      <c r="E14692">
        <f>IF(DATOS!$I14692="","",IFERROR(VLOOKUP(DATOS!$I14692,CONFIG_ASIGNATURAS!$B$2:$J$61,9,FALSE()),""))</f>
      </c>
    </row>
    <row r="14693">
      <c r="E14693">
        <f>IF(DATOS!$I14693="","",IFERROR(VLOOKUP(DATOS!$I14693,CONFIG_ASIGNATURAS!$B$2:$J$61,9,FALSE()),""))</f>
      </c>
    </row>
    <row r="14694">
      <c r="E14694">
        <f>IF(DATOS!$I14694="","",IFERROR(VLOOKUP(DATOS!$I14694,CONFIG_ASIGNATURAS!$B$2:$J$61,9,FALSE()),""))</f>
      </c>
    </row>
    <row r="14695">
      <c r="E14695">
        <f>IF(DATOS!$I14695="","",IFERROR(VLOOKUP(DATOS!$I14695,CONFIG_ASIGNATURAS!$B$2:$J$61,9,FALSE()),""))</f>
      </c>
    </row>
    <row r="14696">
      <c r="E14696">
        <f>IF(DATOS!$I14696="","",IFERROR(VLOOKUP(DATOS!$I14696,CONFIG_ASIGNATURAS!$B$2:$J$61,9,FALSE()),""))</f>
      </c>
    </row>
    <row r="14697">
      <c r="E14697">
        <f>IF(DATOS!$I14697="","",IFERROR(VLOOKUP(DATOS!$I14697,CONFIG_ASIGNATURAS!$B$2:$J$61,9,FALSE()),""))</f>
      </c>
    </row>
    <row r="14698">
      <c r="E14698">
        <f>IF(DATOS!$I14698="","",IFERROR(VLOOKUP(DATOS!$I14698,CONFIG_ASIGNATURAS!$B$2:$J$61,9,FALSE()),""))</f>
      </c>
    </row>
    <row r="14699">
      <c r="E14699">
        <f>IF(DATOS!$I14699="","",IFERROR(VLOOKUP(DATOS!$I14699,CONFIG_ASIGNATURAS!$B$2:$J$61,9,FALSE()),""))</f>
      </c>
    </row>
    <row r="14700">
      <c r="E14700">
        <f>IF(DATOS!$I14700="","",IFERROR(VLOOKUP(DATOS!$I14700,CONFIG_ASIGNATURAS!$B$2:$J$61,9,FALSE()),""))</f>
      </c>
    </row>
    <row r="14701">
      <c r="E14701">
        <f>IF(DATOS!$I14701="","",IFERROR(VLOOKUP(DATOS!$I14701,CONFIG_ASIGNATURAS!$B$2:$J$61,9,FALSE()),""))</f>
      </c>
    </row>
    <row r="14702">
      <c r="E14702">
        <f>IF(DATOS!$I14702="","",IFERROR(VLOOKUP(DATOS!$I14702,CONFIG_ASIGNATURAS!$B$2:$J$61,9,FALSE()),""))</f>
      </c>
    </row>
    <row r="14703">
      <c r="E14703">
        <f>IF(DATOS!$I14703="","",IFERROR(VLOOKUP(DATOS!$I14703,CONFIG_ASIGNATURAS!$B$2:$J$61,9,FALSE()),""))</f>
      </c>
    </row>
    <row r="14704">
      <c r="E14704">
        <f>IF(DATOS!$I14704="","",IFERROR(VLOOKUP(DATOS!$I14704,CONFIG_ASIGNATURAS!$B$2:$J$61,9,FALSE()),""))</f>
      </c>
    </row>
    <row r="14705">
      <c r="E14705">
        <f>IF(DATOS!$I14705="","",IFERROR(VLOOKUP(DATOS!$I14705,CONFIG_ASIGNATURAS!$B$2:$J$61,9,FALSE()),""))</f>
      </c>
    </row>
    <row r="14706">
      <c r="E14706">
        <f>IF(DATOS!$I14706="","",IFERROR(VLOOKUP(DATOS!$I14706,CONFIG_ASIGNATURAS!$B$2:$J$61,9,FALSE()),""))</f>
      </c>
    </row>
    <row r="14707">
      <c r="E14707">
        <f>IF(DATOS!$I14707="","",IFERROR(VLOOKUP(DATOS!$I14707,CONFIG_ASIGNATURAS!$B$2:$J$61,9,FALSE()),""))</f>
      </c>
    </row>
    <row r="14708">
      <c r="E14708">
        <f>IF(DATOS!$I14708="","",IFERROR(VLOOKUP(DATOS!$I14708,CONFIG_ASIGNATURAS!$B$2:$J$61,9,FALSE()),""))</f>
      </c>
    </row>
    <row r="14709">
      <c r="E14709">
        <f>IF(DATOS!$I14709="","",IFERROR(VLOOKUP(DATOS!$I14709,CONFIG_ASIGNATURAS!$B$2:$J$61,9,FALSE()),""))</f>
      </c>
    </row>
    <row r="14710">
      <c r="E14710">
        <f>IF(DATOS!$I14710="","",IFERROR(VLOOKUP(DATOS!$I14710,CONFIG_ASIGNATURAS!$B$2:$J$61,9,FALSE()),""))</f>
      </c>
    </row>
    <row r="14711">
      <c r="E14711">
        <f>IF(DATOS!$I14711="","",IFERROR(VLOOKUP(DATOS!$I14711,CONFIG_ASIGNATURAS!$B$2:$J$61,9,FALSE()),""))</f>
      </c>
    </row>
    <row r="14712">
      <c r="E14712">
        <f>IF(DATOS!$I14712="","",IFERROR(VLOOKUP(DATOS!$I14712,CONFIG_ASIGNATURAS!$B$2:$J$61,9,FALSE()),""))</f>
      </c>
    </row>
    <row r="14713">
      <c r="E14713">
        <f>IF(DATOS!$I14713="","",IFERROR(VLOOKUP(DATOS!$I14713,CONFIG_ASIGNATURAS!$B$2:$J$61,9,FALSE()),""))</f>
      </c>
    </row>
    <row r="14714">
      <c r="E14714">
        <f>IF(DATOS!$I14714="","",IFERROR(VLOOKUP(DATOS!$I14714,CONFIG_ASIGNATURAS!$B$2:$J$61,9,FALSE()),""))</f>
      </c>
    </row>
    <row r="14715">
      <c r="E14715">
        <f>IF(DATOS!$I14715="","",IFERROR(VLOOKUP(DATOS!$I14715,CONFIG_ASIGNATURAS!$B$2:$J$61,9,FALSE()),""))</f>
      </c>
    </row>
    <row r="14716">
      <c r="E14716">
        <f>IF(DATOS!$I14716="","",IFERROR(VLOOKUP(DATOS!$I14716,CONFIG_ASIGNATURAS!$B$2:$J$61,9,FALSE()),""))</f>
      </c>
    </row>
    <row r="14717">
      <c r="E14717">
        <f>IF(DATOS!$I14717="","",IFERROR(VLOOKUP(DATOS!$I14717,CONFIG_ASIGNATURAS!$B$2:$J$61,9,FALSE()),""))</f>
      </c>
    </row>
    <row r="14718">
      <c r="E14718">
        <f>IF(DATOS!$I14718="","",IFERROR(VLOOKUP(DATOS!$I14718,CONFIG_ASIGNATURAS!$B$2:$J$61,9,FALSE()),""))</f>
      </c>
    </row>
    <row r="14719">
      <c r="E14719">
        <f>IF(DATOS!$I14719="","",IFERROR(VLOOKUP(DATOS!$I14719,CONFIG_ASIGNATURAS!$B$2:$J$61,9,FALSE()),""))</f>
      </c>
    </row>
    <row r="14720">
      <c r="E14720">
        <f>IF(DATOS!$I14720="","",IFERROR(VLOOKUP(DATOS!$I14720,CONFIG_ASIGNATURAS!$B$2:$J$61,9,FALSE()),""))</f>
      </c>
    </row>
    <row r="14721">
      <c r="E14721">
        <f>IF(DATOS!$I14721="","",IFERROR(VLOOKUP(DATOS!$I14721,CONFIG_ASIGNATURAS!$B$2:$J$61,9,FALSE()),""))</f>
      </c>
    </row>
    <row r="14722">
      <c r="E14722">
        <f>IF(DATOS!$I14722="","",IFERROR(VLOOKUP(DATOS!$I14722,CONFIG_ASIGNATURAS!$B$2:$J$61,9,FALSE()),""))</f>
      </c>
    </row>
    <row r="14723">
      <c r="E14723">
        <f>IF(DATOS!$I14723="","",IFERROR(VLOOKUP(DATOS!$I14723,CONFIG_ASIGNATURAS!$B$2:$J$61,9,FALSE()),""))</f>
      </c>
    </row>
    <row r="14724">
      <c r="E14724">
        <f>IF(DATOS!$I14724="","",IFERROR(VLOOKUP(DATOS!$I14724,CONFIG_ASIGNATURAS!$B$2:$J$61,9,FALSE()),""))</f>
      </c>
    </row>
    <row r="14725">
      <c r="E14725">
        <f>IF(DATOS!$I14725="","",IFERROR(VLOOKUP(DATOS!$I14725,CONFIG_ASIGNATURAS!$B$2:$J$61,9,FALSE()),""))</f>
      </c>
    </row>
    <row r="14726">
      <c r="E14726">
        <f>IF(DATOS!$I14726="","",IFERROR(VLOOKUP(DATOS!$I14726,CONFIG_ASIGNATURAS!$B$2:$J$61,9,FALSE()),""))</f>
      </c>
    </row>
    <row r="14727">
      <c r="E14727">
        <f>IF(DATOS!$I14727="","",IFERROR(VLOOKUP(DATOS!$I14727,CONFIG_ASIGNATURAS!$B$2:$J$61,9,FALSE()),""))</f>
      </c>
    </row>
    <row r="14728">
      <c r="E14728">
        <f>IF(DATOS!$I14728="","",IFERROR(VLOOKUP(DATOS!$I14728,CONFIG_ASIGNATURAS!$B$2:$J$61,9,FALSE()),""))</f>
      </c>
    </row>
    <row r="14729">
      <c r="E14729">
        <f>IF(DATOS!$I14729="","",IFERROR(VLOOKUP(DATOS!$I14729,CONFIG_ASIGNATURAS!$B$2:$J$61,9,FALSE()),""))</f>
      </c>
    </row>
    <row r="14730">
      <c r="E14730">
        <f>IF(DATOS!$I14730="","",IFERROR(VLOOKUP(DATOS!$I14730,CONFIG_ASIGNATURAS!$B$2:$J$61,9,FALSE()),""))</f>
      </c>
    </row>
    <row r="14731">
      <c r="E14731">
        <f>IF(DATOS!$I14731="","",IFERROR(VLOOKUP(DATOS!$I14731,CONFIG_ASIGNATURAS!$B$2:$J$61,9,FALSE()),""))</f>
      </c>
    </row>
    <row r="14732">
      <c r="E14732">
        <f>IF(DATOS!$I14732="","",IFERROR(VLOOKUP(DATOS!$I14732,CONFIG_ASIGNATURAS!$B$2:$J$61,9,FALSE()),""))</f>
      </c>
    </row>
    <row r="14733">
      <c r="E14733">
        <f>IF(DATOS!$I14733="","",IFERROR(VLOOKUP(DATOS!$I14733,CONFIG_ASIGNATURAS!$B$2:$J$61,9,FALSE()),""))</f>
      </c>
    </row>
    <row r="14734">
      <c r="E14734">
        <f>IF(DATOS!$I14734="","",IFERROR(VLOOKUP(DATOS!$I14734,CONFIG_ASIGNATURAS!$B$2:$J$61,9,FALSE()),""))</f>
      </c>
    </row>
    <row r="14735">
      <c r="E14735">
        <f>IF(DATOS!$I14735="","",IFERROR(VLOOKUP(DATOS!$I14735,CONFIG_ASIGNATURAS!$B$2:$J$61,9,FALSE()),""))</f>
      </c>
    </row>
    <row r="14736">
      <c r="E14736">
        <f>IF(DATOS!$I14736="","",IFERROR(VLOOKUP(DATOS!$I14736,CONFIG_ASIGNATURAS!$B$2:$J$61,9,FALSE()),""))</f>
      </c>
    </row>
    <row r="14737">
      <c r="E14737">
        <f>IF(DATOS!$I14737="","",IFERROR(VLOOKUP(DATOS!$I14737,CONFIG_ASIGNATURAS!$B$2:$J$61,9,FALSE()),""))</f>
      </c>
    </row>
    <row r="14738">
      <c r="E14738">
        <f>IF(DATOS!$I14738="","",IFERROR(VLOOKUP(DATOS!$I14738,CONFIG_ASIGNATURAS!$B$2:$J$61,9,FALSE()),""))</f>
      </c>
    </row>
    <row r="14739">
      <c r="E14739">
        <f>IF(DATOS!$I14739="","",IFERROR(VLOOKUP(DATOS!$I14739,CONFIG_ASIGNATURAS!$B$2:$J$61,9,FALSE()),""))</f>
      </c>
    </row>
    <row r="14740">
      <c r="E14740">
        <f>IF(DATOS!$I14740="","",IFERROR(VLOOKUP(DATOS!$I14740,CONFIG_ASIGNATURAS!$B$2:$J$61,9,FALSE()),""))</f>
      </c>
    </row>
    <row r="14741">
      <c r="E14741">
        <f>IF(DATOS!$I14741="","",IFERROR(VLOOKUP(DATOS!$I14741,CONFIG_ASIGNATURAS!$B$2:$J$61,9,FALSE()),""))</f>
      </c>
    </row>
    <row r="14742">
      <c r="E14742">
        <f>IF(DATOS!$I14742="","",IFERROR(VLOOKUP(DATOS!$I14742,CONFIG_ASIGNATURAS!$B$2:$J$61,9,FALSE()),""))</f>
      </c>
    </row>
    <row r="14743">
      <c r="E14743">
        <f>IF(DATOS!$I14743="","",IFERROR(VLOOKUP(DATOS!$I14743,CONFIG_ASIGNATURAS!$B$2:$J$61,9,FALSE()),""))</f>
      </c>
    </row>
    <row r="14744">
      <c r="E14744">
        <f>IF(DATOS!$I14744="","",IFERROR(VLOOKUP(DATOS!$I14744,CONFIG_ASIGNATURAS!$B$2:$J$61,9,FALSE()),""))</f>
      </c>
    </row>
    <row r="14745">
      <c r="E14745">
        <f>IF(DATOS!$I14745="","",IFERROR(VLOOKUP(DATOS!$I14745,CONFIG_ASIGNATURAS!$B$2:$J$61,9,FALSE()),""))</f>
      </c>
    </row>
    <row r="14746">
      <c r="E14746">
        <f>IF(DATOS!$I14746="","",IFERROR(VLOOKUP(DATOS!$I14746,CONFIG_ASIGNATURAS!$B$2:$J$61,9,FALSE()),""))</f>
      </c>
    </row>
    <row r="14747">
      <c r="E14747">
        <f>IF(DATOS!$I14747="","",IFERROR(VLOOKUP(DATOS!$I14747,CONFIG_ASIGNATURAS!$B$2:$J$61,9,FALSE()),""))</f>
      </c>
    </row>
    <row r="14748">
      <c r="E14748">
        <f>IF(DATOS!$I14748="","",IFERROR(VLOOKUP(DATOS!$I14748,CONFIG_ASIGNATURAS!$B$2:$J$61,9,FALSE()),""))</f>
      </c>
    </row>
    <row r="14749">
      <c r="E14749">
        <f>IF(DATOS!$I14749="","",IFERROR(VLOOKUP(DATOS!$I14749,CONFIG_ASIGNATURAS!$B$2:$J$61,9,FALSE()),""))</f>
      </c>
    </row>
    <row r="14750">
      <c r="E14750">
        <f>IF(DATOS!$I14750="","",IFERROR(VLOOKUP(DATOS!$I14750,CONFIG_ASIGNATURAS!$B$2:$J$61,9,FALSE()),""))</f>
      </c>
    </row>
    <row r="14751">
      <c r="E14751">
        <f>IF(DATOS!$I14751="","",IFERROR(VLOOKUP(DATOS!$I14751,CONFIG_ASIGNATURAS!$B$2:$J$61,9,FALSE()),""))</f>
      </c>
    </row>
    <row r="14752">
      <c r="E14752">
        <f>IF(DATOS!$I14752="","",IFERROR(VLOOKUP(DATOS!$I14752,CONFIG_ASIGNATURAS!$B$2:$J$61,9,FALSE()),""))</f>
      </c>
    </row>
    <row r="14753">
      <c r="E14753">
        <f>IF(DATOS!$I14753="","",IFERROR(VLOOKUP(DATOS!$I14753,CONFIG_ASIGNATURAS!$B$2:$J$61,9,FALSE()),""))</f>
      </c>
    </row>
    <row r="14754">
      <c r="E14754">
        <f>IF(DATOS!$I14754="","",IFERROR(VLOOKUP(DATOS!$I14754,CONFIG_ASIGNATURAS!$B$2:$J$61,9,FALSE()),""))</f>
      </c>
    </row>
    <row r="14755">
      <c r="E14755">
        <f>IF(DATOS!$I14755="","",IFERROR(VLOOKUP(DATOS!$I14755,CONFIG_ASIGNATURAS!$B$2:$J$61,9,FALSE()),""))</f>
      </c>
    </row>
    <row r="14756">
      <c r="E14756">
        <f>IF(DATOS!$I14756="","",IFERROR(VLOOKUP(DATOS!$I14756,CONFIG_ASIGNATURAS!$B$2:$J$61,9,FALSE()),""))</f>
      </c>
    </row>
    <row r="14757">
      <c r="E14757">
        <f>IF(DATOS!$I14757="","",IFERROR(VLOOKUP(DATOS!$I14757,CONFIG_ASIGNATURAS!$B$2:$J$61,9,FALSE()),""))</f>
      </c>
    </row>
    <row r="14758">
      <c r="E14758">
        <f>IF(DATOS!$I14758="","",IFERROR(VLOOKUP(DATOS!$I14758,CONFIG_ASIGNATURAS!$B$2:$J$61,9,FALSE()),""))</f>
      </c>
    </row>
    <row r="14759">
      <c r="E14759">
        <f>IF(DATOS!$I14759="","",IFERROR(VLOOKUP(DATOS!$I14759,CONFIG_ASIGNATURAS!$B$2:$J$61,9,FALSE()),""))</f>
      </c>
    </row>
    <row r="14760">
      <c r="E14760">
        <f>IF(DATOS!$I14760="","",IFERROR(VLOOKUP(DATOS!$I14760,CONFIG_ASIGNATURAS!$B$2:$J$61,9,FALSE()),""))</f>
      </c>
    </row>
    <row r="14761">
      <c r="E14761">
        <f>IF(DATOS!$I14761="","",IFERROR(VLOOKUP(DATOS!$I14761,CONFIG_ASIGNATURAS!$B$2:$J$61,9,FALSE()),""))</f>
      </c>
    </row>
    <row r="14762">
      <c r="E14762">
        <f>IF(DATOS!$I14762="","",IFERROR(VLOOKUP(DATOS!$I14762,CONFIG_ASIGNATURAS!$B$2:$J$61,9,FALSE()),""))</f>
      </c>
    </row>
    <row r="14763">
      <c r="E14763">
        <f>IF(DATOS!$I14763="","",IFERROR(VLOOKUP(DATOS!$I14763,CONFIG_ASIGNATURAS!$B$2:$J$61,9,FALSE()),""))</f>
      </c>
    </row>
    <row r="14764">
      <c r="E14764">
        <f>IF(DATOS!$I14764="","",IFERROR(VLOOKUP(DATOS!$I14764,CONFIG_ASIGNATURAS!$B$2:$J$61,9,FALSE()),""))</f>
      </c>
    </row>
    <row r="14765">
      <c r="E14765">
        <f>IF(DATOS!$I14765="","",IFERROR(VLOOKUP(DATOS!$I14765,CONFIG_ASIGNATURAS!$B$2:$J$61,9,FALSE()),""))</f>
      </c>
    </row>
    <row r="14766">
      <c r="E14766">
        <f>IF(DATOS!$I14766="","",IFERROR(VLOOKUP(DATOS!$I14766,CONFIG_ASIGNATURAS!$B$2:$J$61,9,FALSE()),""))</f>
      </c>
    </row>
    <row r="14767">
      <c r="E14767">
        <f>IF(DATOS!$I14767="","",IFERROR(VLOOKUP(DATOS!$I14767,CONFIG_ASIGNATURAS!$B$2:$J$61,9,FALSE()),""))</f>
      </c>
    </row>
    <row r="14768">
      <c r="E14768">
        <f>IF(DATOS!$I14768="","",IFERROR(VLOOKUP(DATOS!$I14768,CONFIG_ASIGNATURAS!$B$2:$J$61,9,FALSE()),""))</f>
      </c>
    </row>
    <row r="14769">
      <c r="E14769">
        <f>IF(DATOS!$I14769="","",IFERROR(VLOOKUP(DATOS!$I14769,CONFIG_ASIGNATURAS!$B$2:$J$61,9,FALSE()),""))</f>
      </c>
    </row>
    <row r="14770">
      <c r="E14770">
        <f>IF(DATOS!$I14770="","",IFERROR(VLOOKUP(DATOS!$I14770,CONFIG_ASIGNATURAS!$B$2:$J$61,9,FALSE()),""))</f>
      </c>
    </row>
    <row r="14771">
      <c r="E14771">
        <f>IF(DATOS!$I14771="","",IFERROR(VLOOKUP(DATOS!$I14771,CONFIG_ASIGNATURAS!$B$2:$J$61,9,FALSE()),""))</f>
      </c>
    </row>
    <row r="14772">
      <c r="E14772">
        <f>IF(DATOS!$I14772="","",IFERROR(VLOOKUP(DATOS!$I14772,CONFIG_ASIGNATURAS!$B$2:$J$61,9,FALSE()),""))</f>
      </c>
    </row>
    <row r="14773">
      <c r="E14773">
        <f>IF(DATOS!$I14773="","",IFERROR(VLOOKUP(DATOS!$I14773,CONFIG_ASIGNATURAS!$B$2:$J$61,9,FALSE()),""))</f>
      </c>
    </row>
    <row r="14774">
      <c r="E14774">
        <f>IF(DATOS!$I14774="","",IFERROR(VLOOKUP(DATOS!$I14774,CONFIG_ASIGNATURAS!$B$2:$J$61,9,FALSE()),""))</f>
      </c>
    </row>
    <row r="14775">
      <c r="E14775">
        <f>IF(DATOS!$I14775="","",IFERROR(VLOOKUP(DATOS!$I14775,CONFIG_ASIGNATURAS!$B$2:$J$61,9,FALSE()),""))</f>
      </c>
    </row>
    <row r="14776">
      <c r="E14776">
        <f>IF(DATOS!$I14776="","",IFERROR(VLOOKUP(DATOS!$I14776,CONFIG_ASIGNATURAS!$B$2:$J$61,9,FALSE()),""))</f>
      </c>
    </row>
    <row r="14777">
      <c r="E14777">
        <f>IF(DATOS!$I14777="","",IFERROR(VLOOKUP(DATOS!$I14777,CONFIG_ASIGNATURAS!$B$2:$J$61,9,FALSE()),""))</f>
      </c>
    </row>
    <row r="14778">
      <c r="E14778">
        <f>IF(DATOS!$I14778="","",IFERROR(VLOOKUP(DATOS!$I14778,CONFIG_ASIGNATURAS!$B$2:$J$61,9,FALSE()),""))</f>
      </c>
    </row>
    <row r="14779">
      <c r="E14779">
        <f>IF(DATOS!$I14779="","",IFERROR(VLOOKUP(DATOS!$I14779,CONFIG_ASIGNATURAS!$B$2:$J$61,9,FALSE()),""))</f>
      </c>
    </row>
    <row r="14780">
      <c r="E14780">
        <f>IF(DATOS!$I14780="","",IFERROR(VLOOKUP(DATOS!$I14780,CONFIG_ASIGNATURAS!$B$2:$J$61,9,FALSE()),""))</f>
      </c>
    </row>
    <row r="14781">
      <c r="E14781">
        <f>IF(DATOS!$I14781="","",IFERROR(VLOOKUP(DATOS!$I14781,CONFIG_ASIGNATURAS!$B$2:$J$61,9,FALSE()),""))</f>
      </c>
    </row>
    <row r="14782">
      <c r="E14782">
        <f>IF(DATOS!$I14782="","",IFERROR(VLOOKUP(DATOS!$I14782,CONFIG_ASIGNATURAS!$B$2:$J$61,9,FALSE()),""))</f>
      </c>
    </row>
    <row r="14783">
      <c r="E14783">
        <f>IF(DATOS!$I14783="","",IFERROR(VLOOKUP(DATOS!$I14783,CONFIG_ASIGNATURAS!$B$2:$J$61,9,FALSE()),""))</f>
      </c>
    </row>
    <row r="14784">
      <c r="E14784">
        <f>IF(DATOS!$I14784="","",IFERROR(VLOOKUP(DATOS!$I14784,CONFIG_ASIGNATURAS!$B$2:$J$61,9,FALSE()),""))</f>
      </c>
    </row>
    <row r="14785">
      <c r="E14785">
        <f>IF(DATOS!$I14785="","",IFERROR(VLOOKUP(DATOS!$I14785,CONFIG_ASIGNATURAS!$B$2:$J$61,9,FALSE()),""))</f>
      </c>
    </row>
    <row r="14786">
      <c r="E14786">
        <f>IF(DATOS!$I14786="","",IFERROR(VLOOKUP(DATOS!$I14786,CONFIG_ASIGNATURAS!$B$2:$J$61,9,FALSE()),""))</f>
      </c>
    </row>
    <row r="14787">
      <c r="E14787">
        <f>IF(DATOS!$I14787="","",IFERROR(VLOOKUP(DATOS!$I14787,CONFIG_ASIGNATURAS!$B$2:$J$61,9,FALSE()),""))</f>
      </c>
    </row>
    <row r="14788">
      <c r="E14788">
        <f>IF(DATOS!$I14788="","",IFERROR(VLOOKUP(DATOS!$I14788,CONFIG_ASIGNATURAS!$B$2:$J$61,9,FALSE()),""))</f>
      </c>
    </row>
    <row r="14789">
      <c r="E14789">
        <f>IF(DATOS!$I14789="","",IFERROR(VLOOKUP(DATOS!$I14789,CONFIG_ASIGNATURAS!$B$2:$J$61,9,FALSE()),""))</f>
      </c>
    </row>
    <row r="14790">
      <c r="E14790">
        <f>IF(DATOS!$I14790="","",IFERROR(VLOOKUP(DATOS!$I14790,CONFIG_ASIGNATURAS!$B$2:$J$61,9,FALSE()),""))</f>
      </c>
    </row>
    <row r="14791">
      <c r="E14791">
        <f>IF(DATOS!$I14791="","",IFERROR(VLOOKUP(DATOS!$I14791,CONFIG_ASIGNATURAS!$B$2:$J$61,9,FALSE()),""))</f>
      </c>
    </row>
    <row r="14792">
      <c r="E14792">
        <f>IF(DATOS!$I14792="","",IFERROR(VLOOKUP(DATOS!$I14792,CONFIG_ASIGNATURAS!$B$2:$J$61,9,FALSE()),""))</f>
      </c>
    </row>
    <row r="14793">
      <c r="E14793">
        <f>IF(DATOS!$I14793="","",IFERROR(VLOOKUP(DATOS!$I14793,CONFIG_ASIGNATURAS!$B$2:$J$61,9,FALSE()),""))</f>
      </c>
    </row>
    <row r="14794">
      <c r="E14794">
        <f>IF(DATOS!$I14794="","",IFERROR(VLOOKUP(DATOS!$I14794,CONFIG_ASIGNATURAS!$B$2:$J$61,9,FALSE()),""))</f>
      </c>
    </row>
    <row r="14795">
      <c r="E14795">
        <f>IF(DATOS!$I14795="","",IFERROR(VLOOKUP(DATOS!$I14795,CONFIG_ASIGNATURAS!$B$2:$J$61,9,FALSE()),""))</f>
      </c>
    </row>
    <row r="14796">
      <c r="E14796">
        <f>IF(DATOS!$I14796="","",IFERROR(VLOOKUP(DATOS!$I14796,CONFIG_ASIGNATURAS!$B$2:$J$61,9,FALSE()),""))</f>
      </c>
    </row>
    <row r="14797">
      <c r="E14797">
        <f>IF(DATOS!$I14797="","",IFERROR(VLOOKUP(DATOS!$I14797,CONFIG_ASIGNATURAS!$B$2:$J$61,9,FALSE()),""))</f>
      </c>
    </row>
    <row r="14798">
      <c r="E14798">
        <f>IF(DATOS!$I14798="","",IFERROR(VLOOKUP(DATOS!$I14798,CONFIG_ASIGNATURAS!$B$2:$J$61,9,FALSE()),""))</f>
      </c>
    </row>
    <row r="14799">
      <c r="E14799">
        <f>IF(DATOS!$I14799="","",IFERROR(VLOOKUP(DATOS!$I14799,CONFIG_ASIGNATURAS!$B$2:$J$61,9,FALSE()),""))</f>
      </c>
    </row>
    <row r="14800">
      <c r="E14800">
        <f>IF(DATOS!$I14800="","",IFERROR(VLOOKUP(DATOS!$I14800,CONFIG_ASIGNATURAS!$B$2:$J$61,9,FALSE()),""))</f>
      </c>
    </row>
    <row r="14801">
      <c r="E14801">
        <f>IF(DATOS!$I14801="","",IFERROR(VLOOKUP(DATOS!$I14801,CONFIG_ASIGNATURAS!$B$2:$J$61,9,FALSE()),""))</f>
      </c>
    </row>
    <row r="14802">
      <c r="E14802">
        <f>IF(DATOS!$I14802="","",IFERROR(VLOOKUP(DATOS!$I14802,CONFIG_ASIGNATURAS!$B$2:$J$61,9,FALSE()),""))</f>
      </c>
    </row>
    <row r="14803">
      <c r="E14803">
        <f>IF(DATOS!$I14803="","",IFERROR(VLOOKUP(DATOS!$I14803,CONFIG_ASIGNATURAS!$B$2:$J$61,9,FALSE()),""))</f>
      </c>
    </row>
    <row r="14804">
      <c r="E14804">
        <f>IF(DATOS!$I14804="","",IFERROR(VLOOKUP(DATOS!$I14804,CONFIG_ASIGNATURAS!$B$2:$J$61,9,FALSE()),""))</f>
      </c>
    </row>
    <row r="14805">
      <c r="E14805">
        <f>IF(DATOS!$I14805="","",IFERROR(VLOOKUP(DATOS!$I14805,CONFIG_ASIGNATURAS!$B$2:$J$61,9,FALSE()),""))</f>
      </c>
    </row>
    <row r="14806">
      <c r="E14806">
        <f>IF(DATOS!$I14806="","",IFERROR(VLOOKUP(DATOS!$I14806,CONFIG_ASIGNATURAS!$B$2:$J$61,9,FALSE()),""))</f>
      </c>
    </row>
    <row r="14807">
      <c r="E14807">
        <f>IF(DATOS!$I14807="","",IFERROR(VLOOKUP(DATOS!$I14807,CONFIG_ASIGNATURAS!$B$2:$J$61,9,FALSE()),""))</f>
      </c>
    </row>
    <row r="14808">
      <c r="E14808">
        <f>IF(DATOS!$I14808="","",IFERROR(VLOOKUP(DATOS!$I14808,CONFIG_ASIGNATURAS!$B$2:$J$61,9,FALSE()),""))</f>
      </c>
    </row>
    <row r="14809">
      <c r="E14809">
        <f>IF(DATOS!$I14809="","",IFERROR(VLOOKUP(DATOS!$I14809,CONFIG_ASIGNATURAS!$B$2:$J$61,9,FALSE()),""))</f>
      </c>
    </row>
    <row r="14810">
      <c r="E14810">
        <f>IF(DATOS!$I14810="","",IFERROR(VLOOKUP(DATOS!$I14810,CONFIG_ASIGNATURAS!$B$2:$J$61,9,FALSE()),""))</f>
      </c>
    </row>
    <row r="14811">
      <c r="E14811">
        <f>IF(DATOS!$I14811="","",IFERROR(VLOOKUP(DATOS!$I14811,CONFIG_ASIGNATURAS!$B$2:$J$61,9,FALSE()),""))</f>
      </c>
    </row>
    <row r="14812">
      <c r="E14812">
        <f>IF(DATOS!$I14812="","",IFERROR(VLOOKUP(DATOS!$I14812,CONFIG_ASIGNATURAS!$B$2:$J$61,9,FALSE()),""))</f>
      </c>
    </row>
    <row r="14813">
      <c r="E14813">
        <f>IF(DATOS!$I14813="","",IFERROR(VLOOKUP(DATOS!$I14813,CONFIG_ASIGNATURAS!$B$2:$J$61,9,FALSE()),""))</f>
      </c>
    </row>
    <row r="14814">
      <c r="E14814">
        <f>IF(DATOS!$I14814="","",IFERROR(VLOOKUP(DATOS!$I14814,CONFIG_ASIGNATURAS!$B$2:$J$61,9,FALSE()),""))</f>
      </c>
    </row>
    <row r="14815">
      <c r="E14815">
        <f>IF(DATOS!$I14815="","",IFERROR(VLOOKUP(DATOS!$I14815,CONFIG_ASIGNATURAS!$B$2:$J$61,9,FALSE()),""))</f>
      </c>
    </row>
    <row r="14816">
      <c r="E14816">
        <f>IF(DATOS!$I14816="","",IFERROR(VLOOKUP(DATOS!$I14816,CONFIG_ASIGNATURAS!$B$2:$J$61,9,FALSE()),""))</f>
      </c>
    </row>
    <row r="14817">
      <c r="E14817">
        <f>IF(DATOS!$I14817="","",IFERROR(VLOOKUP(DATOS!$I14817,CONFIG_ASIGNATURAS!$B$2:$J$61,9,FALSE()),""))</f>
      </c>
    </row>
    <row r="14818">
      <c r="E14818">
        <f>IF(DATOS!$I14818="","",IFERROR(VLOOKUP(DATOS!$I14818,CONFIG_ASIGNATURAS!$B$2:$J$61,9,FALSE()),""))</f>
      </c>
    </row>
    <row r="14819">
      <c r="E14819">
        <f>IF(DATOS!$I14819="","",IFERROR(VLOOKUP(DATOS!$I14819,CONFIG_ASIGNATURAS!$B$2:$J$61,9,FALSE()),""))</f>
      </c>
    </row>
    <row r="14820">
      <c r="E14820">
        <f>IF(DATOS!$I14820="","",IFERROR(VLOOKUP(DATOS!$I14820,CONFIG_ASIGNATURAS!$B$2:$J$61,9,FALSE()),""))</f>
      </c>
    </row>
    <row r="14821">
      <c r="E14821">
        <f>IF(DATOS!$I14821="","",IFERROR(VLOOKUP(DATOS!$I14821,CONFIG_ASIGNATURAS!$B$2:$J$61,9,FALSE()),""))</f>
      </c>
    </row>
    <row r="14822">
      <c r="E14822">
        <f>IF(DATOS!$I14822="","",IFERROR(VLOOKUP(DATOS!$I14822,CONFIG_ASIGNATURAS!$B$2:$J$61,9,FALSE()),""))</f>
      </c>
    </row>
    <row r="14823">
      <c r="E14823">
        <f>IF(DATOS!$I14823="","",IFERROR(VLOOKUP(DATOS!$I14823,CONFIG_ASIGNATURAS!$B$2:$J$61,9,FALSE()),""))</f>
      </c>
    </row>
    <row r="14824">
      <c r="E14824">
        <f>IF(DATOS!$I14824="","",IFERROR(VLOOKUP(DATOS!$I14824,CONFIG_ASIGNATURAS!$B$2:$J$61,9,FALSE()),""))</f>
      </c>
    </row>
    <row r="14825">
      <c r="E14825">
        <f>IF(DATOS!$I14825="","",IFERROR(VLOOKUP(DATOS!$I14825,CONFIG_ASIGNATURAS!$B$2:$J$61,9,FALSE()),""))</f>
      </c>
    </row>
    <row r="14826">
      <c r="E14826">
        <f>IF(DATOS!$I14826="","",IFERROR(VLOOKUP(DATOS!$I14826,CONFIG_ASIGNATURAS!$B$2:$J$61,9,FALSE()),""))</f>
      </c>
    </row>
    <row r="14827">
      <c r="E14827">
        <f>IF(DATOS!$I14827="","",IFERROR(VLOOKUP(DATOS!$I14827,CONFIG_ASIGNATURAS!$B$2:$J$61,9,FALSE()),""))</f>
      </c>
    </row>
    <row r="14828">
      <c r="E14828">
        <f>IF(DATOS!$I14828="","",IFERROR(VLOOKUP(DATOS!$I14828,CONFIG_ASIGNATURAS!$B$2:$J$61,9,FALSE()),""))</f>
      </c>
    </row>
    <row r="14829">
      <c r="E14829">
        <f>IF(DATOS!$I14829="","",IFERROR(VLOOKUP(DATOS!$I14829,CONFIG_ASIGNATURAS!$B$2:$J$61,9,FALSE()),""))</f>
      </c>
    </row>
    <row r="14830">
      <c r="E14830">
        <f>IF(DATOS!$I14830="","",IFERROR(VLOOKUP(DATOS!$I14830,CONFIG_ASIGNATURAS!$B$2:$J$61,9,FALSE()),""))</f>
      </c>
    </row>
    <row r="14831">
      <c r="E14831">
        <f>IF(DATOS!$I14831="","",IFERROR(VLOOKUP(DATOS!$I14831,CONFIG_ASIGNATURAS!$B$2:$J$61,9,FALSE()),""))</f>
      </c>
    </row>
    <row r="14832">
      <c r="E14832">
        <f>IF(DATOS!$I14832="","",IFERROR(VLOOKUP(DATOS!$I14832,CONFIG_ASIGNATURAS!$B$2:$J$61,9,FALSE()),""))</f>
      </c>
    </row>
    <row r="14833">
      <c r="E14833">
        <f>IF(DATOS!$I14833="","",IFERROR(VLOOKUP(DATOS!$I14833,CONFIG_ASIGNATURAS!$B$2:$J$61,9,FALSE()),""))</f>
      </c>
    </row>
    <row r="14834">
      <c r="E14834">
        <f>IF(DATOS!$I14834="","",IFERROR(VLOOKUP(DATOS!$I14834,CONFIG_ASIGNATURAS!$B$2:$J$61,9,FALSE()),""))</f>
      </c>
    </row>
    <row r="14835">
      <c r="E14835">
        <f>IF(DATOS!$I14835="","",IFERROR(VLOOKUP(DATOS!$I14835,CONFIG_ASIGNATURAS!$B$2:$J$61,9,FALSE()),""))</f>
      </c>
    </row>
    <row r="14836">
      <c r="E14836">
        <f>IF(DATOS!$I14836="","",IFERROR(VLOOKUP(DATOS!$I14836,CONFIG_ASIGNATURAS!$B$2:$J$61,9,FALSE()),""))</f>
      </c>
    </row>
    <row r="14837">
      <c r="E14837">
        <f>IF(DATOS!$I14837="","",IFERROR(VLOOKUP(DATOS!$I14837,CONFIG_ASIGNATURAS!$B$2:$J$61,9,FALSE()),""))</f>
      </c>
    </row>
    <row r="14838">
      <c r="E14838">
        <f>IF(DATOS!$I14838="","",IFERROR(VLOOKUP(DATOS!$I14838,CONFIG_ASIGNATURAS!$B$2:$J$61,9,FALSE()),""))</f>
      </c>
    </row>
    <row r="14839">
      <c r="E14839">
        <f>IF(DATOS!$I14839="","",IFERROR(VLOOKUP(DATOS!$I14839,CONFIG_ASIGNATURAS!$B$2:$J$61,9,FALSE()),""))</f>
      </c>
    </row>
    <row r="14840">
      <c r="E14840">
        <f>IF(DATOS!$I14840="","",IFERROR(VLOOKUP(DATOS!$I14840,CONFIG_ASIGNATURAS!$B$2:$J$61,9,FALSE()),""))</f>
      </c>
    </row>
    <row r="14841">
      <c r="E14841">
        <f>IF(DATOS!$I14841="","",IFERROR(VLOOKUP(DATOS!$I14841,CONFIG_ASIGNATURAS!$B$2:$J$61,9,FALSE()),""))</f>
      </c>
    </row>
    <row r="14842">
      <c r="E14842">
        <f>IF(DATOS!$I14842="","",IFERROR(VLOOKUP(DATOS!$I14842,CONFIG_ASIGNATURAS!$B$2:$J$61,9,FALSE()),""))</f>
      </c>
    </row>
    <row r="14843">
      <c r="E14843">
        <f>IF(DATOS!$I14843="","",IFERROR(VLOOKUP(DATOS!$I14843,CONFIG_ASIGNATURAS!$B$2:$J$61,9,FALSE()),""))</f>
      </c>
    </row>
    <row r="14844">
      <c r="E14844">
        <f>IF(DATOS!$I14844="","",IFERROR(VLOOKUP(DATOS!$I14844,CONFIG_ASIGNATURAS!$B$2:$J$61,9,FALSE()),""))</f>
      </c>
    </row>
    <row r="14845">
      <c r="E14845">
        <f>IF(DATOS!$I14845="","",IFERROR(VLOOKUP(DATOS!$I14845,CONFIG_ASIGNATURAS!$B$2:$J$61,9,FALSE()),""))</f>
      </c>
    </row>
    <row r="14846">
      <c r="E14846">
        <f>IF(DATOS!$I14846="","",IFERROR(VLOOKUP(DATOS!$I14846,CONFIG_ASIGNATURAS!$B$2:$J$61,9,FALSE()),""))</f>
      </c>
    </row>
    <row r="14847">
      <c r="E14847">
        <f>IF(DATOS!$I14847="","",IFERROR(VLOOKUP(DATOS!$I14847,CONFIG_ASIGNATURAS!$B$2:$J$61,9,FALSE()),""))</f>
      </c>
    </row>
    <row r="14848">
      <c r="E14848">
        <f>IF(DATOS!$I14848="","",IFERROR(VLOOKUP(DATOS!$I14848,CONFIG_ASIGNATURAS!$B$2:$J$61,9,FALSE()),""))</f>
      </c>
    </row>
    <row r="14849">
      <c r="E14849">
        <f>IF(DATOS!$I14849="","",IFERROR(VLOOKUP(DATOS!$I14849,CONFIG_ASIGNATURAS!$B$2:$J$61,9,FALSE()),""))</f>
      </c>
    </row>
    <row r="14850">
      <c r="E14850">
        <f>IF(DATOS!$I14850="","",IFERROR(VLOOKUP(DATOS!$I14850,CONFIG_ASIGNATURAS!$B$2:$J$61,9,FALSE()),""))</f>
      </c>
    </row>
    <row r="14851">
      <c r="E14851">
        <f>IF(DATOS!$I14851="","",IFERROR(VLOOKUP(DATOS!$I14851,CONFIG_ASIGNATURAS!$B$2:$J$61,9,FALSE()),""))</f>
      </c>
    </row>
    <row r="14852">
      <c r="E14852">
        <f>IF(DATOS!$I14852="","",IFERROR(VLOOKUP(DATOS!$I14852,CONFIG_ASIGNATURAS!$B$2:$J$61,9,FALSE()),""))</f>
      </c>
    </row>
    <row r="14853">
      <c r="E14853">
        <f>IF(DATOS!$I14853="","",IFERROR(VLOOKUP(DATOS!$I14853,CONFIG_ASIGNATURAS!$B$2:$J$61,9,FALSE()),""))</f>
      </c>
    </row>
    <row r="14854">
      <c r="E14854">
        <f>IF(DATOS!$I14854="","",IFERROR(VLOOKUP(DATOS!$I14854,CONFIG_ASIGNATURAS!$B$2:$J$61,9,FALSE()),""))</f>
      </c>
    </row>
    <row r="14855">
      <c r="E14855">
        <f>IF(DATOS!$I14855="","",IFERROR(VLOOKUP(DATOS!$I14855,CONFIG_ASIGNATURAS!$B$2:$J$61,9,FALSE()),""))</f>
      </c>
    </row>
    <row r="14856">
      <c r="E14856">
        <f>IF(DATOS!$I14856="","",IFERROR(VLOOKUP(DATOS!$I14856,CONFIG_ASIGNATURAS!$B$2:$J$61,9,FALSE()),""))</f>
      </c>
    </row>
    <row r="14857">
      <c r="E14857">
        <f>IF(DATOS!$I14857="","",IFERROR(VLOOKUP(DATOS!$I14857,CONFIG_ASIGNATURAS!$B$2:$J$61,9,FALSE()),""))</f>
      </c>
    </row>
    <row r="14858">
      <c r="E14858">
        <f>IF(DATOS!$I14858="","",IFERROR(VLOOKUP(DATOS!$I14858,CONFIG_ASIGNATURAS!$B$2:$J$61,9,FALSE()),""))</f>
      </c>
    </row>
    <row r="14859">
      <c r="E14859">
        <f>IF(DATOS!$I14859="","",IFERROR(VLOOKUP(DATOS!$I14859,CONFIG_ASIGNATURAS!$B$2:$J$61,9,FALSE()),""))</f>
      </c>
    </row>
    <row r="14860">
      <c r="E14860">
        <f>IF(DATOS!$I14860="","",IFERROR(VLOOKUP(DATOS!$I14860,CONFIG_ASIGNATURAS!$B$2:$J$61,9,FALSE()),""))</f>
      </c>
    </row>
    <row r="14861">
      <c r="E14861">
        <f>IF(DATOS!$I14861="","",IFERROR(VLOOKUP(DATOS!$I14861,CONFIG_ASIGNATURAS!$B$2:$J$61,9,FALSE()),""))</f>
      </c>
    </row>
    <row r="14862">
      <c r="E14862">
        <f>IF(DATOS!$I14862="","",IFERROR(VLOOKUP(DATOS!$I14862,CONFIG_ASIGNATURAS!$B$2:$J$61,9,FALSE()),""))</f>
      </c>
    </row>
    <row r="14863">
      <c r="E14863">
        <f>IF(DATOS!$I14863="","",IFERROR(VLOOKUP(DATOS!$I14863,CONFIG_ASIGNATURAS!$B$2:$J$61,9,FALSE()),""))</f>
      </c>
    </row>
    <row r="14864">
      <c r="E14864">
        <f>IF(DATOS!$I14864="","",IFERROR(VLOOKUP(DATOS!$I14864,CONFIG_ASIGNATURAS!$B$2:$J$61,9,FALSE()),""))</f>
      </c>
    </row>
    <row r="14865">
      <c r="E14865">
        <f>IF(DATOS!$I14865="","",IFERROR(VLOOKUP(DATOS!$I14865,CONFIG_ASIGNATURAS!$B$2:$J$61,9,FALSE()),""))</f>
      </c>
    </row>
    <row r="14866">
      <c r="E14866">
        <f>IF(DATOS!$I14866="","",IFERROR(VLOOKUP(DATOS!$I14866,CONFIG_ASIGNATURAS!$B$2:$J$61,9,FALSE()),""))</f>
      </c>
    </row>
    <row r="14867">
      <c r="E14867">
        <f>IF(DATOS!$I14867="","",IFERROR(VLOOKUP(DATOS!$I14867,CONFIG_ASIGNATURAS!$B$2:$J$61,9,FALSE()),""))</f>
      </c>
    </row>
    <row r="14868">
      <c r="E14868">
        <f>IF(DATOS!$I14868="","",IFERROR(VLOOKUP(DATOS!$I14868,CONFIG_ASIGNATURAS!$B$2:$J$61,9,FALSE()),""))</f>
      </c>
    </row>
    <row r="14869">
      <c r="E14869">
        <f>IF(DATOS!$I14869="","",IFERROR(VLOOKUP(DATOS!$I14869,CONFIG_ASIGNATURAS!$B$2:$J$61,9,FALSE()),""))</f>
      </c>
    </row>
    <row r="14870">
      <c r="E14870">
        <f>IF(DATOS!$I14870="","",IFERROR(VLOOKUP(DATOS!$I14870,CONFIG_ASIGNATURAS!$B$2:$J$61,9,FALSE()),""))</f>
      </c>
    </row>
    <row r="14871">
      <c r="E14871">
        <f>IF(DATOS!$I14871="","",IFERROR(VLOOKUP(DATOS!$I14871,CONFIG_ASIGNATURAS!$B$2:$J$61,9,FALSE()),""))</f>
      </c>
    </row>
    <row r="14872">
      <c r="E14872">
        <f>IF(DATOS!$I14872="","",IFERROR(VLOOKUP(DATOS!$I14872,CONFIG_ASIGNATURAS!$B$2:$J$61,9,FALSE()),""))</f>
      </c>
    </row>
    <row r="14873">
      <c r="E14873">
        <f>IF(DATOS!$I14873="","",IFERROR(VLOOKUP(DATOS!$I14873,CONFIG_ASIGNATURAS!$B$2:$J$61,9,FALSE()),""))</f>
      </c>
    </row>
    <row r="14874">
      <c r="E14874">
        <f>IF(DATOS!$I14874="","",IFERROR(VLOOKUP(DATOS!$I14874,CONFIG_ASIGNATURAS!$B$2:$J$61,9,FALSE()),""))</f>
      </c>
    </row>
    <row r="14875">
      <c r="E14875">
        <f>IF(DATOS!$I14875="","",IFERROR(VLOOKUP(DATOS!$I14875,CONFIG_ASIGNATURAS!$B$2:$J$61,9,FALSE()),""))</f>
      </c>
    </row>
    <row r="14876">
      <c r="E14876">
        <f>IF(DATOS!$I14876="","",IFERROR(VLOOKUP(DATOS!$I14876,CONFIG_ASIGNATURAS!$B$2:$J$61,9,FALSE()),""))</f>
      </c>
    </row>
    <row r="14877">
      <c r="E14877">
        <f>IF(DATOS!$I14877="","",IFERROR(VLOOKUP(DATOS!$I14877,CONFIG_ASIGNATURAS!$B$2:$J$61,9,FALSE()),""))</f>
      </c>
    </row>
    <row r="14878">
      <c r="E14878">
        <f>IF(DATOS!$I14878="","",IFERROR(VLOOKUP(DATOS!$I14878,CONFIG_ASIGNATURAS!$B$2:$J$61,9,FALSE()),""))</f>
      </c>
    </row>
    <row r="14879">
      <c r="E14879">
        <f>IF(DATOS!$I14879="","",IFERROR(VLOOKUP(DATOS!$I14879,CONFIG_ASIGNATURAS!$B$2:$J$61,9,FALSE()),""))</f>
      </c>
    </row>
    <row r="14880">
      <c r="E14880">
        <f>IF(DATOS!$I14880="","",IFERROR(VLOOKUP(DATOS!$I14880,CONFIG_ASIGNATURAS!$B$2:$J$61,9,FALSE()),""))</f>
      </c>
    </row>
    <row r="14881">
      <c r="E14881">
        <f>IF(DATOS!$I14881="","",IFERROR(VLOOKUP(DATOS!$I14881,CONFIG_ASIGNATURAS!$B$2:$J$61,9,FALSE()),""))</f>
      </c>
    </row>
    <row r="14882">
      <c r="E14882">
        <f>IF(DATOS!$I14882="","",IFERROR(VLOOKUP(DATOS!$I14882,CONFIG_ASIGNATURAS!$B$2:$J$61,9,FALSE()),""))</f>
      </c>
    </row>
    <row r="14883">
      <c r="E14883">
        <f>IF(DATOS!$I14883="","",IFERROR(VLOOKUP(DATOS!$I14883,CONFIG_ASIGNATURAS!$B$2:$J$61,9,FALSE()),""))</f>
      </c>
    </row>
    <row r="14884">
      <c r="E14884">
        <f>IF(DATOS!$I14884="","",IFERROR(VLOOKUP(DATOS!$I14884,CONFIG_ASIGNATURAS!$B$2:$J$61,9,FALSE()),""))</f>
      </c>
    </row>
    <row r="14885">
      <c r="E14885">
        <f>IF(DATOS!$I14885="","",IFERROR(VLOOKUP(DATOS!$I14885,CONFIG_ASIGNATURAS!$B$2:$J$61,9,FALSE()),""))</f>
      </c>
    </row>
    <row r="14886">
      <c r="E14886">
        <f>IF(DATOS!$I14886="","",IFERROR(VLOOKUP(DATOS!$I14886,CONFIG_ASIGNATURAS!$B$2:$J$61,9,FALSE()),""))</f>
      </c>
    </row>
    <row r="14887">
      <c r="E14887">
        <f>IF(DATOS!$I14887="","",IFERROR(VLOOKUP(DATOS!$I14887,CONFIG_ASIGNATURAS!$B$2:$J$61,9,FALSE()),""))</f>
      </c>
    </row>
    <row r="14888">
      <c r="E14888">
        <f>IF(DATOS!$I14888="","",IFERROR(VLOOKUP(DATOS!$I14888,CONFIG_ASIGNATURAS!$B$2:$J$61,9,FALSE()),""))</f>
      </c>
    </row>
    <row r="14889">
      <c r="E14889">
        <f>IF(DATOS!$I14889="","",IFERROR(VLOOKUP(DATOS!$I14889,CONFIG_ASIGNATURAS!$B$2:$J$61,9,FALSE()),""))</f>
      </c>
    </row>
    <row r="14890">
      <c r="E14890">
        <f>IF(DATOS!$I14890="","",IFERROR(VLOOKUP(DATOS!$I14890,CONFIG_ASIGNATURAS!$B$2:$J$61,9,FALSE()),""))</f>
      </c>
    </row>
    <row r="14891">
      <c r="E14891">
        <f>IF(DATOS!$I14891="","",IFERROR(VLOOKUP(DATOS!$I14891,CONFIG_ASIGNATURAS!$B$2:$J$61,9,FALSE()),""))</f>
      </c>
    </row>
    <row r="14892">
      <c r="E14892">
        <f>IF(DATOS!$I14892="","",IFERROR(VLOOKUP(DATOS!$I14892,CONFIG_ASIGNATURAS!$B$2:$J$61,9,FALSE()),""))</f>
      </c>
    </row>
    <row r="14893">
      <c r="E14893">
        <f>IF(DATOS!$I14893="","",IFERROR(VLOOKUP(DATOS!$I14893,CONFIG_ASIGNATURAS!$B$2:$J$61,9,FALSE()),""))</f>
      </c>
    </row>
    <row r="14894">
      <c r="E14894">
        <f>IF(DATOS!$I14894="","",IFERROR(VLOOKUP(DATOS!$I14894,CONFIG_ASIGNATURAS!$B$2:$J$61,9,FALSE()),""))</f>
      </c>
    </row>
    <row r="14895">
      <c r="E14895">
        <f>IF(DATOS!$I14895="","",IFERROR(VLOOKUP(DATOS!$I14895,CONFIG_ASIGNATURAS!$B$2:$J$61,9,FALSE()),""))</f>
      </c>
    </row>
    <row r="14896">
      <c r="E14896">
        <f>IF(DATOS!$I14896="","",IFERROR(VLOOKUP(DATOS!$I14896,CONFIG_ASIGNATURAS!$B$2:$J$61,9,FALSE()),""))</f>
      </c>
    </row>
    <row r="14897">
      <c r="E14897">
        <f>IF(DATOS!$I14897="","",IFERROR(VLOOKUP(DATOS!$I14897,CONFIG_ASIGNATURAS!$B$2:$J$61,9,FALSE()),""))</f>
      </c>
    </row>
    <row r="14898">
      <c r="E14898">
        <f>IF(DATOS!$I14898="","",IFERROR(VLOOKUP(DATOS!$I14898,CONFIG_ASIGNATURAS!$B$2:$J$61,9,FALSE()),""))</f>
      </c>
    </row>
    <row r="14899">
      <c r="E14899">
        <f>IF(DATOS!$I14899="","",IFERROR(VLOOKUP(DATOS!$I14899,CONFIG_ASIGNATURAS!$B$2:$J$61,9,FALSE()),""))</f>
      </c>
    </row>
    <row r="14900">
      <c r="E14900">
        <f>IF(DATOS!$I14900="","",IFERROR(VLOOKUP(DATOS!$I14900,CONFIG_ASIGNATURAS!$B$2:$J$61,9,FALSE()),""))</f>
      </c>
    </row>
    <row r="14901">
      <c r="E14901">
        <f>IF(DATOS!$I14901="","",IFERROR(VLOOKUP(DATOS!$I14901,CONFIG_ASIGNATURAS!$B$2:$J$61,9,FALSE()),""))</f>
      </c>
    </row>
    <row r="14902">
      <c r="E14902">
        <f>IF(DATOS!$I14902="","",IFERROR(VLOOKUP(DATOS!$I14902,CONFIG_ASIGNATURAS!$B$2:$J$61,9,FALSE()),""))</f>
      </c>
    </row>
    <row r="14903">
      <c r="E14903">
        <f>IF(DATOS!$I14903="","",IFERROR(VLOOKUP(DATOS!$I14903,CONFIG_ASIGNATURAS!$B$2:$J$61,9,FALSE()),""))</f>
      </c>
    </row>
    <row r="14904">
      <c r="E14904">
        <f>IF(DATOS!$I14904="","",IFERROR(VLOOKUP(DATOS!$I14904,CONFIG_ASIGNATURAS!$B$2:$J$61,9,FALSE()),""))</f>
      </c>
    </row>
    <row r="14905">
      <c r="E14905">
        <f>IF(DATOS!$I14905="","",IFERROR(VLOOKUP(DATOS!$I14905,CONFIG_ASIGNATURAS!$B$2:$J$61,9,FALSE()),""))</f>
      </c>
    </row>
    <row r="14906">
      <c r="E14906">
        <f>IF(DATOS!$I14906="","",IFERROR(VLOOKUP(DATOS!$I14906,CONFIG_ASIGNATURAS!$B$2:$J$61,9,FALSE()),""))</f>
      </c>
    </row>
    <row r="14907">
      <c r="E14907">
        <f>IF(DATOS!$I14907="","",IFERROR(VLOOKUP(DATOS!$I14907,CONFIG_ASIGNATURAS!$B$2:$J$61,9,FALSE()),""))</f>
      </c>
    </row>
    <row r="14908">
      <c r="E14908">
        <f>IF(DATOS!$I14908="","",IFERROR(VLOOKUP(DATOS!$I14908,CONFIG_ASIGNATURAS!$B$2:$J$61,9,FALSE()),""))</f>
      </c>
    </row>
    <row r="14909">
      <c r="E14909">
        <f>IF(DATOS!$I14909="","",IFERROR(VLOOKUP(DATOS!$I14909,CONFIG_ASIGNATURAS!$B$2:$J$61,9,FALSE()),""))</f>
      </c>
    </row>
    <row r="14910">
      <c r="E14910">
        <f>IF(DATOS!$I14910="","",IFERROR(VLOOKUP(DATOS!$I14910,CONFIG_ASIGNATURAS!$B$2:$J$61,9,FALSE()),""))</f>
      </c>
    </row>
    <row r="14911">
      <c r="E14911">
        <f>IF(DATOS!$I14911="","",IFERROR(VLOOKUP(DATOS!$I14911,CONFIG_ASIGNATURAS!$B$2:$J$61,9,FALSE()),""))</f>
      </c>
    </row>
    <row r="14912">
      <c r="E14912">
        <f>IF(DATOS!$I14912="","",IFERROR(VLOOKUP(DATOS!$I14912,CONFIG_ASIGNATURAS!$B$2:$J$61,9,FALSE()),""))</f>
      </c>
    </row>
    <row r="14913">
      <c r="E14913">
        <f>IF(DATOS!$I14913="","",IFERROR(VLOOKUP(DATOS!$I14913,CONFIG_ASIGNATURAS!$B$2:$J$61,9,FALSE()),""))</f>
      </c>
    </row>
    <row r="14914">
      <c r="E14914">
        <f>IF(DATOS!$I14914="","",IFERROR(VLOOKUP(DATOS!$I14914,CONFIG_ASIGNATURAS!$B$2:$J$61,9,FALSE()),""))</f>
      </c>
    </row>
    <row r="14915">
      <c r="E14915">
        <f>IF(DATOS!$I14915="","",IFERROR(VLOOKUP(DATOS!$I14915,CONFIG_ASIGNATURAS!$B$2:$J$61,9,FALSE()),""))</f>
      </c>
    </row>
    <row r="14916">
      <c r="E14916">
        <f>IF(DATOS!$I14916="","",IFERROR(VLOOKUP(DATOS!$I14916,CONFIG_ASIGNATURAS!$B$2:$J$61,9,FALSE()),""))</f>
      </c>
    </row>
    <row r="14917">
      <c r="E14917">
        <f>IF(DATOS!$I14917="","",IFERROR(VLOOKUP(DATOS!$I14917,CONFIG_ASIGNATURAS!$B$2:$J$61,9,FALSE()),""))</f>
      </c>
    </row>
    <row r="14918">
      <c r="E14918">
        <f>IF(DATOS!$I14918="","",IFERROR(VLOOKUP(DATOS!$I14918,CONFIG_ASIGNATURAS!$B$2:$J$61,9,FALSE()),""))</f>
      </c>
    </row>
    <row r="14919">
      <c r="E14919">
        <f>IF(DATOS!$I14919="","",IFERROR(VLOOKUP(DATOS!$I14919,CONFIG_ASIGNATURAS!$B$2:$J$61,9,FALSE()),""))</f>
      </c>
    </row>
    <row r="14920">
      <c r="E14920">
        <f>IF(DATOS!$I14920="","",IFERROR(VLOOKUP(DATOS!$I14920,CONFIG_ASIGNATURAS!$B$2:$J$61,9,FALSE()),""))</f>
      </c>
    </row>
    <row r="14921">
      <c r="E14921">
        <f>IF(DATOS!$I14921="","",IFERROR(VLOOKUP(DATOS!$I14921,CONFIG_ASIGNATURAS!$B$2:$J$61,9,FALSE()),""))</f>
      </c>
    </row>
    <row r="14922">
      <c r="E14922">
        <f>IF(DATOS!$I14922="","",IFERROR(VLOOKUP(DATOS!$I14922,CONFIG_ASIGNATURAS!$B$2:$J$61,9,FALSE()),""))</f>
      </c>
    </row>
    <row r="14923">
      <c r="E14923">
        <f>IF(DATOS!$I14923="","",IFERROR(VLOOKUP(DATOS!$I14923,CONFIG_ASIGNATURAS!$B$2:$J$61,9,FALSE()),""))</f>
      </c>
    </row>
    <row r="14924">
      <c r="E14924">
        <f>IF(DATOS!$I14924="","",IFERROR(VLOOKUP(DATOS!$I14924,CONFIG_ASIGNATURAS!$B$2:$J$61,9,FALSE()),""))</f>
      </c>
    </row>
    <row r="14925">
      <c r="E14925">
        <f>IF(DATOS!$I14925="","",IFERROR(VLOOKUP(DATOS!$I14925,CONFIG_ASIGNATURAS!$B$2:$J$61,9,FALSE()),""))</f>
      </c>
    </row>
    <row r="14926">
      <c r="E14926">
        <f>IF(DATOS!$I14926="","",IFERROR(VLOOKUP(DATOS!$I14926,CONFIG_ASIGNATURAS!$B$2:$J$61,9,FALSE()),""))</f>
      </c>
    </row>
    <row r="14927">
      <c r="E14927">
        <f>IF(DATOS!$I14927="","",IFERROR(VLOOKUP(DATOS!$I14927,CONFIG_ASIGNATURAS!$B$2:$J$61,9,FALSE()),""))</f>
      </c>
    </row>
    <row r="14928">
      <c r="E14928">
        <f>IF(DATOS!$I14928="","",IFERROR(VLOOKUP(DATOS!$I14928,CONFIG_ASIGNATURAS!$B$2:$J$61,9,FALSE()),""))</f>
      </c>
    </row>
    <row r="14929">
      <c r="E14929">
        <f>IF(DATOS!$I14929="","",IFERROR(VLOOKUP(DATOS!$I14929,CONFIG_ASIGNATURAS!$B$2:$J$61,9,FALSE()),""))</f>
      </c>
    </row>
    <row r="14930">
      <c r="E14930">
        <f>IF(DATOS!$I14930="","",IFERROR(VLOOKUP(DATOS!$I14930,CONFIG_ASIGNATURAS!$B$2:$J$61,9,FALSE()),""))</f>
      </c>
    </row>
    <row r="14931">
      <c r="E14931">
        <f>IF(DATOS!$I14931="","",IFERROR(VLOOKUP(DATOS!$I14931,CONFIG_ASIGNATURAS!$B$2:$J$61,9,FALSE()),""))</f>
      </c>
    </row>
    <row r="14932">
      <c r="E14932">
        <f>IF(DATOS!$I14932="","",IFERROR(VLOOKUP(DATOS!$I14932,CONFIG_ASIGNATURAS!$B$2:$J$61,9,FALSE()),""))</f>
      </c>
    </row>
    <row r="14933">
      <c r="E14933">
        <f>IF(DATOS!$I14933="","",IFERROR(VLOOKUP(DATOS!$I14933,CONFIG_ASIGNATURAS!$B$2:$J$61,9,FALSE()),""))</f>
      </c>
    </row>
    <row r="14934">
      <c r="E14934">
        <f>IF(DATOS!$I14934="","",IFERROR(VLOOKUP(DATOS!$I14934,CONFIG_ASIGNATURAS!$B$2:$J$61,9,FALSE()),""))</f>
      </c>
    </row>
    <row r="14935">
      <c r="E14935">
        <f>IF(DATOS!$I14935="","",IFERROR(VLOOKUP(DATOS!$I14935,CONFIG_ASIGNATURAS!$B$2:$J$61,9,FALSE()),""))</f>
      </c>
    </row>
    <row r="14936">
      <c r="E14936">
        <f>IF(DATOS!$I14936="","",IFERROR(VLOOKUP(DATOS!$I14936,CONFIG_ASIGNATURAS!$B$2:$J$61,9,FALSE()),""))</f>
      </c>
    </row>
    <row r="14937">
      <c r="E14937">
        <f>IF(DATOS!$I14937="","",IFERROR(VLOOKUP(DATOS!$I14937,CONFIG_ASIGNATURAS!$B$2:$J$61,9,FALSE()),""))</f>
      </c>
    </row>
    <row r="14938">
      <c r="E14938">
        <f>IF(DATOS!$I14938="","",IFERROR(VLOOKUP(DATOS!$I14938,CONFIG_ASIGNATURAS!$B$2:$J$61,9,FALSE()),""))</f>
      </c>
    </row>
    <row r="14939">
      <c r="E14939">
        <f>IF(DATOS!$I14939="","",IFERROR(VLOOKUP(DATOS!$I14939,CONFIG_ASIGNATURAS!$B$2:$J$61,9,FALSE()),""))</f>
      </c>
    </row>
    <row r="14940">
      <c r="E14940">
        <f>IF(DATOS!$I14940="","",IFERROR(VLOOKUP(DATOS!$I14940,CONFIG_ASIGNATURAS!$B$2:$J$61,9,FALSE()),""))</f>
      </c>
    </row>
    <row r="14941">
      <c r="E14941">
        <f>IF(DATOS!$I14941="","",IFERROR(VLOOKUP(DATOS!$I14941,CONFIG_ASIGNATURAS!$B$2:$J$61,9,FALSE()),""))</f>
      </c>
    </row>
    <row r="14942">
      <c r="E14942">
        <f>IF(DATOS!$I14942="","",IFERROR(VLOOKUP(DATOS!$I14942,CONFIG_ASIGNATURAS!$B$2:$J$61,9,FALSE()),""))</f>
      </c>
    </row>
    <row r="14943">
      <c r="E14943">
        <f>IF(DATOS!$I14943="","",IFERROR(VLOOKUP(DATOS!$I14943,CONFIG_ASIGNATURAS!$B$2:$J$61,9,FALSE()),""))</f>
      </c>
    </row>
    <row r="14944">
      <c r="E14944">
        <f>IF(DATOS!$I14944="","",IFERROR(VLOOKUP(DATOS!$I14944,CONFIG_ASIGNATURAS!$B$2:$J$61,9,FALSE()),""))</f>
      </c>
    </row>
    <row r="14945">
      <c r="E14945">
        <f>IF(DATOS!$I14945="","",IFERROR(VLOOKUP(DATOS!$I14945,CONFIG_ASIGNATURAS!$B$2:$J$61,9,FALSE()),""))</f>
      </c>
    </row>
    <row r="14946">
      <c r="E14946">
        <f>IF(DATOS!$I14946="","",IFERROR(VLOOKUP(DATOS!$I14946,CONFIG_ASIGNATURAS!$B$2:$J$61,9,FALSE()),""))</f>
      </c>
    </row>
    <row r="14947">
      <c r="E14947">
        <f>IF(DATOS!$I14947="","",IFERROR(VLOOKUP(DATOS!$I14947,CONFIG_ASIGNATURAS!$B$2:$J$61,9,FALSE()),""))</f>
      </c>
    </row>
    <row r="14948">
      <c r="E14948">
        <f>IF(DATOS!$I14948="","",IFERROR(VLOOKUP(DATOS!$I14948,CONFIG_ASIGNATURAS!$B$2:$J$61,9,FALSE()),""))</f>
      </c>
    </row>
    <row r="14949">
      <c r="E14949">
        <f>IF(DATOS!$I14949="","",IFERROR(VLOOKUP(DATOS!$I14949,CONFIG_ASIGNATURAS!$B$2:$J$61,9,FALSE()),""))</f>
      </c>
    </row>
    <row r="14950">
      <c r="E14950">
        <f>IF(DATOS!$I14950="","",IFERROR(VLOOKUP(DATOS!$I14950,CONFIG_ASIGNATURAS!$B$2:$J$61,9,FALSE()),""))</f>
      </c>
    </row>
    <row r="14951">
      <c r="E14951">
        <f>IF(DATOS!$I14951="","",IFERROR(VLOOKUP(DATOS!$I14951,CONFIG_ASIGNATURAS!$B$2:$J$61,9,FALSE()),""))</f>
      </c>
    </row>
    <row r="14952">
      <c r="E14952">
        <f>IF(DATOS!$I14952="","",IFERROR(VLOOKUP(DATOS!$I14952,CONFIG_ASIGNATURAS!$B$2:$J$61,9,FALSE()),""))</f>
      </c>
    </row>
    <row r="14953">
      <c r="E14953">
        <f>IF(DATOS!$I14953="","",IFERROR(VLOOKUP(DATOS!$I14953,CONFIG_ASIGNATURAS!$B$2:$J$61,9,FALSE()),""))</f>
      </c>
    </row>
    <row r="14954">
      <c r="E14954">
        <f>IF(DATOS!$I14954="","",IFERROR(VLOOKUP(DATOS!$I14954,CONFIG_ASIGNATURAS!$B$2:$J$61,9,FALSE()),""))</f>
      </c>
    </row>
    <row r="14955">
      <c r="E14955">
        <f>IF(DATOS!$I14955="","",IFERROR(VLOOKUP(DATOS!$I14955,CONFIG_ASIGNATURAS!$B$2:$J$61,9,FALSE()),""))</f>
      </c>
    </row>
    <row r="14956">
      <c r="E14956">
        <f>IF(DATOS!$I14956="","",IFERROR(VLOOKUP(DATOS!$I14956,CONFIG_ASIGNATURAS!$B$2:$J$61,9,FALSE()),""))</f>
      </c>
    </row>
    <row r="14957">
      <c r="E14957">
        <f>IF(DATOS!$I14957="","",IFERROR(VLOOKUP(DATOS!$I14957,CONFIG_ASIGNATURAS!$B$2:$J$61,9,FALSE()),""))</f>
      </c>
    </row>
    <row r="14958">
      <c r="E14958">
        <f>IF(DATOS!$I14958="","",IFERROR(VLOOKUP(DATOS!$I14958,CONFIG_ASIGNATURAS!$B$2:$J$61,9,FALSE()),""))</f>
      </c>
    </row>
    <row r="14959">
      <c r="E14959">
        <f>IF(DATOS!$I14959="","",IFERROR(VLOOKUP(DATOS!$I14959,CONFIG_ASIGNATURAS!$B$2:$J$61,9,FALSE()),""))</f>
      </c>
    </row>
    <row r="14960">
      <c r="E14960">
        <f>IF(DATOS!$I14960="","",IFERROR(VLOOKUP(DATOS!$I14960,CONFIG_ASIGNATURAS!$B$2:$J$61,9,FALSE()),""))</f>
      </c>
    </row>
    <row r="14961">
      <c r="E14961">
        <f>IF(DATOS!$I14961="","",IFERROR(VLOOKUP(DATOS!$I14961,CONFIG_ASIGNATURAS!$B$2:$J$61,9,FALSE()),""))</f>
      </c>
    </row>
    <row r="14962">
      <c r="E14962">
        <f>IF(DATOS!$I14962="","",IFERROR(VLOOKUP(DATOS!$I14962,CONFIG_ASIGNATURAS!$B$2:$J$61,9,FALSE()),""))</f>
      </c>
    </row>
    <row r="14963">
      <c r="E14963">
        <f>IF(DATOS!$I14963="","",IFERROR(VLOOKUP(DATOS!$I14963,CONFIG_ASIGNATURAS!$B$2:$J$61,9,FALSE()),""))</f>
      </c>
    </row>
    <row r="14964">
      <c r="E14964">
        <f>IF(DATOS!$I14964="","",IFERROR(VLOOKUP(DATOS!$I14964,CONFIG_ASIGNATURAS!$B$2:$J$61,9,FALSE()),""))</f>
      </c>
    </row>
    <row r="14965">
      <c r="E14965">
        <f>IF(DATOS!$I14965="","",IFERROR(VLOOKUP(DATOS!$I14965,CONFIG_ASIGNATURAS!$B$2:$J$61,9,FALSE()),""))</f>
      </c>
    </row>
    <row r="14966">
      <c r="E14966">
        <f>IF(DATOS!$I14966="","",IFERROR(VLOOKUP(DATOS!$I14966,CONFIG_ASIGNATURAS!$B$2:$J$61,9,FALSE()),""))</f>
      </c>
    </row>
    <row r="14967">
      <c r="E14967">
        <f>IF(DATOS!$I14967="","",IFERROR(VLOOKUP(DATOS!$I14967,CONFIG_ASIGNATURAS!$B$2:$J$61,9,FALSE()),""))</f>
      </c>
    </row>
    <row r="14968">
      <c r="E14968">
        <f>IF(DATOS!$I14968="","",IFERROR(VLOOKUP(DATOS!$I14968,CONFIG_ASIGNATURAS!$B$2:$J$61,9,FALSE()),""))</f>
      </c>
    </row>
    <row r="14969">
      <c r="E14969">
        <f>IF(DATOS!$I14969="","",IFERROR(VLOOKUP(DATOS!$I14969,CONFIG_ASIGNATURAS!$B$2:$J$61,9,FALSE()),""))</f>
      </c>
    </row>
    <row r="14970">
      <c r="E14970">
        <f>IF(DATOS!$I14970="","",IFERROR(VLOOKUP(DATOS!$I14970,CONFIG_ASIGNATURAS!$B$2:$J$61,9,FALSE()),""))</f>
      </c>
    </row>
    <row r="14971">
      <c r="E14971">
        <f>IF(DATOS!$I14971="","",IFERROR(VLOOKUP(DATOS!$I14971,CONFIG_ASIGNATURAS!$B$2:$J$61,9,FALSE()),""))</f>
      </c>
    </row>
    <row r="14972">
      <c r="E14972">
        <f>IF(DATOS!$I14972="","",IFERROR(VLOOKUP(DATOS!$I14972,CONFIG_ASIGNATURAS!$B$2:$J$61,9,FALSE()),""))</f>
      </c>
    </row>
    <row r="14973">
      <c r="E14973">
        <f>IF(DATOS!$I14973="","",IFERROR(VLOOKUP(DATOS!$I14973,CONFIG_ASIGNATURAS!$B$2:$J$61,9,FALSE()),""))</f>
      </c>
    </row>
    <row r="14974">
      <c r="E14974">
        <f>IF(DATOS!$I14974="","",IFERROR(VLOOKUP(DATOS!$I14974,CONFIG_ASIGNATURAS!$B$2:$J$61,9,FALSE()),""))</f>
      </c>
    </row>
    <row r="14975">
      <c r="E14975">
        <f>IF(DATOS!$I14975="","",IFERROR(VLOOKUP(DATOS!$I14975,CONFIG_ASIGNATURAS!$B$2:$J$61,9,FALSE()),""))</f>
      </c>
    </row>
    <row r="14976">
      <c r="E14976">
        <f>IF(DATOS!$I14976="","",IFERROR(VLOOKUP(DATOS!$I14976,CONFIG_ASIGNATURAS!$B$2:$J$61,9,FALSE()),""))</f>
      </c>
    </row>
    <row r="14977">
      <c r="E14977">
        <f>IF(DATOS!$I14977="","",IFERROR(VLOOKUP(DATOS!$I14977,CONFIG_ASIGNATURAS!$B$2:$J$61,9,FALSE()),""))</f>
      </c>
    </row>
    <row r="14978">
      <c r="E14978">
        <f>IF(DATOS!$I14978="","",IFERROR(VLOOKUP(DATOS!$I14978,CONFIG_ASIGNATURAS!$B$2:$J$61,9,FALSE()),""))</f>
      </c>
    </row>
    <row r="14979">
      <c r="E14979">
        <f>IF(DATOS!$I14979="","",IFERROR(VLOOKUP(DATOS!$I14979,CONFIG_ASIGNATURAS!$B$2:$J$61,9,FALSE()),""))</f>
      </c>
    </row>
    <row r="14980">
      <c r="E14980">
        <f>IF(DATOS!$I14980="","",IFERROR(VLOOKUP(DATOS!$I14980,CONFIG_ASIGNATURAS!$B$2:$J$61,9,FALSE()),""))</f>
      </c>
    </row>
    <row r="14981">
      <c r="E14981">
        <f>IF(DATOS!$I14981="","",IFERROR(VLOOKUP(DATOS!$I14981,CONFIG_ASIGNATURAS!$B$2:$J$61,9,FALSE()),""))</f>
      </c>
    </row>
    <row r="14982">
      <c r="E14982">
        <f>IF(DATOS!$I14982="","",IFERROR(VLOOKUP(DATOS!$I14982,CONFIG_ASIGNATURAS!$B$2:$J$61,9,FALSE()),""))</f>
      </c>
    </row>
    <row r="14983">
      <c r="E14983">
        <f>IF(DATOS!$I14983="","",IFERROR(VLOOKUP(DATOS!$I14983,CONFIG_ASIGNATURAS!$B$2:$J$61,9,FALSE()),""))</f>
      </c>
    </row>
    <row r="14984">
      <c r="E14984">
        <f>IF(DATOS!$I14984="","",IFERROR(VLOOKUP(DATOS!$I14984,CONFIG_ASIGNATURAS!$B$2:$J$61,9,FALSE()),""))</f>
      </c>
    </row>
    <row r="14985">
      <c r="E14985">
        <f>IF(DATOS!$I14985="","",IFERROR(VLOOKUP(DATOS!$I14985,CONFIG_ASIGNATURAS!$B$2:$J$61,9,FALSE()),""))</f>
      </c>
    </row>
    <row r="14986">
      <c r="E14986">
        <f>IF(DATOS!$I14986="","",IFERROR(VLOOKUP(DATOS!$I14986,CONFIG_ASIGNATURAS!$B$2:$J$61,9,FALSE()),""))</f>
      </c>
    </row>
    <row r="14987">
      <c r="E14987">
        <f>IF(DATOS!$I14987="","",IFERROR(VLOOKUP(DATOS!$I14987,CONFIG_ASIGNATURAS!$B$2:$J$61,9,FALSE()),""))</f>
      </c>
    </row>
    <row r="14988">
      <c r="E14988">
        <f>IF(DATOS!$I14988="","",IFERROR(VLOOKUP(DATOS!$I14988,CONFIG_ASIGNATURAS!$B$2:$J$61,9,FALSE()),""))</f>
      </c>
    </row>
    <row r="14989">
      <c r="E14989">
        <f>IF(DATOS!$I14989="","",IFERROR(VLOOKUP(DATOS!$I14989,CONFIG_ASIGNATURAS!$B$2:$J$61,9,FALSE()),""))</f>
      </c>
    </row>
    <row r="14990">
      <c r="E14990">
        <f>IF(DATOS!$I14990="","",IFERROR(VLOOKUP(DATOS!$I14990,CONFIG_ASIGNATURAS!$B$2:$J$61,9,FALSE()),""))</f>
      </c>
    </row>
    <row r="14991">
      <c r="E14991">
        <f>IF(DATOS!$I14991="","",IFERROR(VLOOKUP(DATOS!$I14991,CONFIG_ASIGNATURAS!$B$2:$J$61,9,FALSE()),""))</f>
      </c>
    </row>
    <row r="14992">
      <c r="E14992">
        <f>IF(DATOS!$I14992="","",IFERROR(VLOOKUP(DATOS!$I14992,CONFIG_ASIGNATURAS!$B$2:$J$61,9,FALSE()),""))</f>
      </c>
    </row>
    <row r="14993">
      <c r="E14993">
        <f>IF(DATOS!$I14993="","",IFERROR(VLOOKUP(DATOS!$I14993,CONFIG_ASIGNATURAS!$B$2:$J$61,9,FALSE()),""))</f>
      </c>
    </row>
    <row r="14994">
      <c r="E14994">
        <f>IF(DATOS!$I14994="","",IFERROR(VLOOKUP(DATOS!$I14994,CONFIG_ASIGNATURAS!$B$2:$J$61,9,FALSE()),""))</f>
      </c>
    </row>
    <row r="14995">
      <c r="E14995">
        <f>IF(DATOS!$I14995="","",IFERROR(VLOOKUP(DATOS!$I14995,CONFIG_ASIGNATURAS!$B$2:$J$61,9,FALSE()),""))</f>
      </c>
    </row>
    <row r="14996">
      <c r="E14996">
        <f>IF(DATOS!$I14996="","",IFERROR(VLOOKUP(DATOS!$I14996,CONFIG_ASIGNATURAS!$B$2:$J$61,9,FALSE()),""))</f>
      </c>
    </row>
    <row r="14997">
      <c r="E14997">
        <f>IF(DATOS!$I14997="","",IFERROR(VLOOKUP(DATOS!$I14997,CONFIG_ASIGNATURAS!$B$2:$J$61,9,FALSE()),""))</f>
      </c>
    </row>
    <row r="14998">
      <c r="E14998">
        <f>IF(DATOS!$I14998="","",IFERROR(VLOOKUP(DATOS!$I14998,CONFIG_ASIGNATURAS!$B$2:$J$61,9,FALSE()),""))</f>
      </c>
    </row>
    <row r="14999">
      <c r="E14999">
        <f>IF(DATOS!$I14999="","",IFERROR(VLOOKUP(DATOS!$I14999,CONFIG_ASIGNATURAS!$B$2:$J$61,9,FALSE()),""))</f>
      </c>
    </row>
    <row r="15000">
      <c r="E15000">
        <f>IF(DATOS!$I15000="","",IFERROR(VLOOKUP(DATOS!$I15000,CONFIG_ASIGNATURAS!$B$2:$J$61,9,FALSE()),""))</f>
      </c>
    </row>
    <row r="15001">
      <c r="E15001">
        <f>IF(DATOS!$I15001="","",IFERROR(VLOOKUP(DATOS!$I15001,CONFIG_ASIGNATURAS!$B$2:$J$61,9,FALSE()),""))</f>
      </c>
    </row>
    <row r="15002">
      <c r="E15002">
        <f>IF(DATOS!$I15002="","",IFERROR(VLOOKUP(DATOS!$I15002,CONFIG_ASIGNATURAS!$B$2:$J$61,9,FALSE()),""))</f>
      </c>
    </row>
    <row r="15003">
      <c r="E15003">
        <f>IF(DATOS!$I15003="","",IFERROR(VLOOKUP(DATOS!$I15003,CONFIG_ASIGNATURAS!$B$2:$J$61,9,FALSE()),""))</f>
      </c>
    </row>
    <row r="15004">
      <c r="E15004">
        <f>IF(DATOS!$I15004="","",IFERROR(VLOOKUP(DATOS!$I15004,CONFIG_ASIGNATURAS!$B$2:$J$61,9,FALSE()),""))</f>
      </c>
    </row>
    <row r="15005">
      <c r="E15005">
        <f>IF(DATOS!$I15005="","",IFERROR(VLOOKUP(DATOS!$I15005,CONFIG_ASIGNATURAS!$B$2:$J$61,9,FALSE()),""))</f>
      </c>
    </row>
    <row r="15006">
      <c r="E15006">
        <f>IF(DATOS!$I15006="","",IFERROR(VLOOKUP(DATOS!$I15006,CONFIG_ASIGNATURAS!$B$2:$J$61,9,FALSE()),""))</f>
      </c>
    </row>
    <row r="15007">
      <c r="E15007">
        <f>IF(DATOS!$I15007="","",IFERROR(VLOOKUP(DATOS!$I15007,CONFIG_ASIGNATURAS!$B$2:$J$61,9,FALSE()),""))</f>
      </c>
    </row>
    <row r="15008">
      <c r="E15008">
        <f>IF(DATOS!$I15008="","",IFERROR(VLOOKUP(DATOS!$I15008,CONFIG_ASIGNATURAS!$B$2:$J$61,9,FALSE()),""))</f>
      </c>
    </row>
    <row r="15009">
      <c r="E15009">
        <f>IF(DATOS!$I15009="","",IFERROR(VLOOKUP(DATOS!$I15009,CONFIG_ASIGNATURAS!$B$2:$J$61,9,FALSE()),""))</f>
      </c>
    </row>
    <row r="15010">
      <c r="E15010">
        <f>IF(DATOS!$I15010="","",IFERROR(VLOOKUP(DATOS!$I15010,CONFIG_ASIGNATURAS!$B$2:$J$61,9,FALSE()),""))</f>
      </c>
    </row>
    <row r="15011">
      <c r="E15011">
        <f>IF(DATOS!$I15011="","",IFERROR(VLOOKUP(DATOS!$I15011,CONFIG_ASIGNATURAS!$B$2:$J$61,9,FALSE()),""))</f>
      </c>
    </row>
    <row r="15012">
      <c r="E15012">
        <f>IF(DATOS!$I15012="","",IFERROR(VLOOKUP(DATOS!$I15012,CONFIG_ASIGNATURAS!$B$2:$J$61,9,FALSE()),""))</f>
      </c>
    </row>
    <row r="15013">
      <c r="E15013">
        <f>IF(DATOS!$I15013="","",IFERROR(VLOOKUP(DATOS!$I15013,CONFIG_ASIGNATURAS!$B$2:$J$61,9,FALSE()),""))</f>
      </c>
    </row>
    <row r="15014">
      <c r="E15014">
        <f>IF(DATOS!$I15014="","",IFERROR(VLOOKUP(DATOS!$I15014,CONFIG_ASIGNATURAS!$B$2:$J$61,9,FALSE()),""))</f>
      </c>
    </row>
    <row r="15015">
      <c r="E15015">
        <f>IF(DATOS!$I15015="","",IFERROR(VLOOKUP(DATOS!$I15015,CONFIG_ASIGNATURAS!$B$2:$J$61,9,FALSE()),""))</f>
      </c>
    </row>
    <row r="15016">
      <c r="E15016">
        <f>IF(DATOS!$I15016="","",IFERROR(VLOOKUP(DATOS!$I15016,CONFIG_ASIGNATURAS!$B$2:$J$61,9,FALSE()),""))</f>
      </c>
    </row>
    <row r="15017">
      <c r="E15017">
        <f>IF(DATOS!$I15017="","",IFERROR(VLOOKUP(DATOS!$I15017,CONFIG_ASIGNATURAS!$B$2:$J$61,9,FALSE()),""))</f>
      </c>
    </row>
    <row r="15018">
      <c r="E15018">
        <f>IF(DATOS!$I15018="","",IFERROR(VLOOKUP(DATOS!$I15018,CONFIG_ASIGNATURAS!$B$2:$J$61,9,FALSE()),""))</f>
      </c>
    </row>
    <row r="15019">
      <c r="E15019">
        <f>IF(DATOS!$I15019="","",IFERROR(VLOOKUP(DATOS!$I15019,CONFIG_ASIGNATURAS!$B$2:$J$61,9,FALSE()),""))</f>
      </c>
    </row>
    <row r="15020">
      <c r="E15020">
        <f>IF(DATOS!$I15020="","",IFERROR(VLOOKUP(DATOS!$I15020,CONFIG_ASIGNATURAS!$B$2:$J$61,9,FALSE()),""))</f>
      </c>
    </row>
    <row r="15021">
      <c r="E15021">
        <f>IF(DATOS!$I15021="","",IFERROR(VLOOKUP(DATOS!$I15021,CONFIG_ASIGNATURAS!$B$2:$J$61,9,FALSE()),""))</f>
      </c>
    </row>
    <row r="15022">
      <c r="E15022">
        <f>IF(DATOS!$I15022="","",IFERROR(VLOOKUP(DATOS!$I15022,CONFIG_ASIGNATURAS!$B$2:$J$61,9,FALSE()),""))</f>
      </c>
    </row>
    <row r="15023">
      <c r="E15023">
        <f>IF(DATOS!$I15023="","",IFERROR(VLOOKUP(DATOS!$I15023,CONFIG_ASIGNATURAS!$B$2:$J$61,9,FALSE()),""))</f>
      </c>
    </row>
    <row r="15024">
      <c r="E15024">
        <f>IF(DATOS!$I15024="","",IFERROR(VLOOKUP(DATOS!$I15024,CONFIG_ASIGNATURAS!$B$2:$J$61,9,FALSE()),""))</f>
      </c>
    </row>
    <row r="15025">
      <c r="E15025">
        <f>IF(DATOS!$I15025="","",IFERROR(VLOOKUP(DATOS!$I15025,CONFIG_ASIGNATURAS!$B$2:$J$61,9,FALSE()),""))</f>
      </c>
    </row>
    <row r="15026">
      <c r="E15026">
        <f>IF(DATOS!$I15026="","",IFERROR(VLOOKUP(DATOS!$I15026,CONFIG_ASIGNATURAS!$B$2:$J$61,9,FALSE()),""))</f>
      </c>
    </row>
    <row r="15027">
      <c r="E15027">
        <f>IF(DATOS!$I15027="","",IFERROR(VLOOKUP(DATOS!$I15027,CONFIG_ASIGNATURAS!$B$2:$J$61,9,FALSE()),""))</f>
      </c>
    </row>
    <row r="15028">
      <c r="E15028">
        <f>IF(DATOS!$I15028="","",IFERROR(VLOOKUP(DATOS!$I15028,CONFIG_ASIGNATURAS!$B$2:$J$61,9,FALSE()),""))</f>
      </c>
    </row>
    <row r="15029">
      <c r="E15029">
        <f>IF(DATOS!$I15029="","",IFERROR(VLOOKUP(DATOS!$I15029,CONFIG_ASIGNATURAS!$B$2:$J$61,9,FALSE()),""))</f>
      </c>
    </row>
    <row r="15030">
      <c r="E15030">
        <f>IF(DATOS!$I15030="","",IFERROR(VLOOKUP(DATOS!$I15030,CONFIG_ASIGNATURAS!$B$2:$J$61,9,FALSE()),""))</f>
      </c>
    </row>
    <row r="15031">
      <c r="E15031">
        <f>IF(DATOS!$I15031="","",IFERROR(VLOOKUP(DATOS!$I15031,CONFIG_ASIGNATURAS!$B$2:$J$61,9,FALSE()),""))</f>
      </c>
    </row>
    <row r="15032">
      <c r="E15032">
        <f>IF(DATOS!$I15032="","",IFERROR(VLOOKUP(DATOS!$I15032,CONFIG_ASIGNATURAS!$B$2:$J$61,9,FALSE()),""))</f>
      </c>
    </row>
    <row r="15033">
      <c r="E15033">
        <f>IF(DATOS!$I15033="","",IFERROR(VLOOKUP(DATOS!$I15033,CONFIG_ASIGNATURAS!$B$2:$J$61,9,FALSE()),""))</f>
      </c>
    </row>
    <row r="15034">
      <c r="E15034">
        <f>IF(DATOS!$I15034="","",IFERROR(VLOOKUP(DATOS!$I15034,CONFIG_ASIGNATURAS!$B$2:$J$61,9,FALSE()),""))</f>
      </c>
    </row>
    <row r="15035">
      <c r="E15035">
        <f>IF(DATOS!$I15035="","",IFERROR(VLOOKUP(DATOS!$I15035,CONFIG_ASIGNATURAS!$B$2:$J$61,9,FALSE()),""))</f>
      </c>
    </row>
    <row r="15036">
      <c r="E15036">
        <f>IF(DATOS!$I15036="","",IFERROR(VLOOKUP(DATOS!$I15036,CONFIG_ASIGNATURAS!$B$2:$J$61,9,FALSE()),""))</f>
      </c>
    </row>
    <row r="15037">
      <c r="E15037">
        <f>IF(DATOS!$I15037="","",IFERROR(VLOOKUP(DATOS!$I15037,CONFIG_ASIGNATURAS!$B$2:$J$61,9,FALSE()),""))</f>
      </c>
    </row>
    <row r="15038">
      <c r="E15038">
        <f>IF(DATOS!$I15038="","",IFERROR(VLOOKUP(DATOS!$I15038,CONFIG_ASIGNATURAS!$B$2:$J$61,9,FALSE()),""))</f>
      </c>
    </row>
    <row r="15039">
      <c r="E15039">
        <f>IF(DATOS!$I15039="","",IFERROR(VLOOKUP(DATOS!$I15039,CONFIG_ASIGNATURAS!$B$2:$J$61,9,FALSE()),""))</f>
      </c>
    </row>
    <row r="15040">
      <c r="E15040">
        <f>IF(DATOS!$I15040="","",IFERROR(VLOOKUP(DATOS!$I15040,CONFIG_ASIGNATURAS!$B$2:$J$61,9,FALSE()),""))</f>
      </c>
    </row>
    <row r="15041">
      <c r="E15041">
        <f>IF(DATOS!$I15041="","",IFERROR(VLOOKUP(DATOS!$I15041,CONFIG_ASIGNATURAS!$B$2:$J$61,9,FALSE()),""))</f>
      </c>
    </row>
    <row r="15042">
      <c r="E15042">
        <f>IF(DATOS!$I15042="","",IFERROR(VLOOKUP(DATOS!$I15042,CONFIG_ASIGNATURAS!$B$2:$J$61,9,FALSE()),""))</f>
      </c>
    </row>
    <row r="15043">
      <c r="E15043">
        <f>IF(DATOS!$I15043="","",IFERROR(VLOOKUP(DATOS!$I15043,CONFIG_ASIGNATURAS!$B$2:$J$61,9,FALSE()),""))</f>
      </c>
    </row>
    <row r="15044">
      <c r="E15044">
        <f>IF(DATOS!$I15044="","",IFERROR(VLOOKUP(DATOS!$I15044,CONFIG_ASIGNATURAS!$B$2:$J$61,9,FALSE()),""))</f>
      </c>
    </row>
    <row r="15045">
      <c r="E15045">
        <f>IF(DATOS!$I15045="","",IFERROR(VLOOKUP(DATOS!$I15045,CONFIG_ASIGNATURAS!$B$2:$J$61,9,FALSE()),""))</f>
      </c>
    </row>
    <row r="15046">
      <c r="E15046">
        <f>IF(DATOS!$I15046="","",IFERROR(VLOOKUP(DATOS!$I15046,CONFIG_ASIGNATURAS!$B$2:$J$61,9,FALSE()),""))</f>
      </c>
    </row>
    <row r="15047">
      <c r="E15047">
        <f>IF(DATOS!$I15047="","",IFERROR(VLOOKUP(DATOS!$I15047,CONFIG_ASIGNATURAS!$B$2:$J$61,9,FALSE()),""))</f>
      </c>
    </row>
    <row r="15048">
      <c r="E15048">
        <f>IF(DATOS!$I15048="","",IFERROR(VLOOKUP(DATOS!$I15048,CONFIG_ASIGNATURAS!$B$2:$J$61,9,FALSE()),""))</f>
      </c>
    </row>
    <row r="15049">
      <c r="E15049">
        <f>IF(DATOS!$I15049="","",IFERROR(VLOOKUP(DATOS!$I15049,CONFIG_ASIGNATURAS!$B$2:$J$61,9,FALSE()),""))</f>
      </c>
    </row>
    <row r="15050">
      <c r="E15050">
        <f>IF(DATOS!$I15050="","",IFERROR(VLOOKUP(DATOS!$I15050,CONFIG_ASIGNATURAS!$B$2:$J$61,9,FALSE()),""))</f>
      </c>
    </row>
    <row r="15051">
      <c r="E15051">
        <f>IF(DATOS!$I15051="","",IFERROR(VLOOKUP(DATOS!$I15051,CONFIG_ASIGNATURAS!$B$2:$J$61,9,FALSE()),""))</f>
      </c>
    </row>
    <row r="15052">
      <c r="E15052">
        <f>IF(DATOS!$I15052="","",IFERROR(VLOOKUP(DATOS!$I15052,CONFIG_ASIGNATURAS!$B$2:$J$61,9,FALSE()),""))</f>
      </c>
    </row>
    <row r="15053">
      <c r="E15053">
        <f>IF(DATOS!$I15053="","",IFERROR(VLOOKUP(DATOS!$I15053,CONFIG_ASIGNATURAS!$B$2:$J$61,9,FALSE()),""))</f>
      </c>
    </row>
    <row r="15054">
      <c r="E15054">
        <f>IF(DATOS!$I15054="","",IFERROR(VLOOKUP(DATOS!$I15054,CONFIG_ASIGNATURAS!$B$2:$J$61,9,FALSE()),""))</f>
      </c>
    </row>
    <row r="15055">
      <c r="E15055">
        <f>IF(DATOS!$I15055="","",IFERROR(VLOOKUP(DATOS!$I15055,CONFIG_ASIGNATURAS!$B$2:$J$61,9,FALSE()),""))</f>
      </c>
    </row>
    <row r="15056">
      <c r="E15056">
        <f>IF(DATOS!$I15056="","",IFERROR(VLOOKUP(DATOS!$I15056,CONFIG_ASIGNATURAS!$B$2:$J$61,9,FALSE()),""))</f>
      </c>
    </row>
    <row r="15057">
      <c r="E15057">
        <f>IF(DATOS!$I15057="","",IFERROR(VLOOKUP(DATOS!$I15057,CONFIG_ASIGNATURAS!$B$2:$J$61,9,FALSE()),""))</f>
      </c>
    </row>
    <row r="15058">
      <c r="E15058">
        <f>IF(DATOS!$I15058="","",IFERROR(VLOOKUP(DATOS!$I15058,CONFIG_ASIGNATURAS!$B$2:$J$61,9,FALSE()),""))</f>
      </c>
    </row>
    <row r="15059">
      <c r="E15059">
        <f>IF(DATOS!$I15059="","",IFERROR(VLOOKUP(DATOS!$I15059,CONFIG_ASIGNATURAS!$B$2:$J$61,9,FALSE()),""))</f>
      </c>
    </row>
    <row r="15060">
      <c r="E15060">
        <f>IF(DATOS!$I15060="","",IFERROR(VLOOKUP(DATOS!$I15060,CONFIG_ASIGNATURAS!$B$2:$J$61,9,FALSE()),""))</f>
      </c>
    </row>
    <row r="15061">
      <c r="E15061">
        <f>IF(DATOS!$I15061="","",IFERROR(VLOOKUP(DATOS!$I15061,CONFIG_ASIGNATURAS!$B$2:$J$61,9,FALSE()),""))</f>
      </c>
    </row>
    <row r="15062">
      <c r="E15062">
        <f>IF(DATOS!$I15062="","",IFERROR(VLOOKUP(DATOS!$I15062,CONFIG_ASIGNATURAS!$B$2:$J$61,9,FALSE()),""))</f>
      </c>
    </row>
    <row r="15063">
      <c r="E15063">
        <f>IF(DATOS!$I15063="","",IFERROR(VLOOKUP(DATOS!$I15063,CONFIG_ASIGNATURAS!$B$2:$J$61,9,FALSE()),""))</f>
      </c>
    </row>
    <row r="15064">
      <c r="E15064">
        <f>IF(DATOS!$I15064="","",IFERROR(VLOOKUP(DATOS!$I15064,CONFIG_ASIGNATURAS!$B$2:$J$61,9,FALSE()),""))</f>
      </c>
    </row>
    <row r="15065">
      <c r="E15065">
        <f>IF(DATOS!$I15065="","",IFERROR(VLOOKUP(DATOS!$I15065,CONFIG_ASIGNATURAS!$B$2:$J$61,9,FALSE()),""))</f>
      </c>
    </row>
    <row r="15066">
      <c r="E15066">
        <f>IF(DATOS!$I15066="","",IFERROR(VLOOKUP(DATOS!$I15066,CONFIG_ASIGNATURAS!$B$2:$J$61,9,FALSE()),""))</f>
      </c>
    </row>
    <row r="15067">
      <c r="E15067">
        <f>IF(DATOS!$I15067="","",IFERROR(VLOOKUP(DATOS!$I15067,CONFIG_ASIGNATURAS!$B$2:$J$61,9,FALSE()),""))</f>
      </c>
    </row>
    <row r="15068">
      <c r="E15068">
        <f>IF(DATOS!$I15068="","",IFERROR(VLOOKUP(DATOS!$I15068,CONFIG_ASIGNATURAS!$B$2:$J$61,9,FALSE()),""))</f>
      </c>
    </row>
    <row r="15069">
      <c r="E15069">
        <f>IF(DATOS!$I15069="","",IFERROR(VLOOKUP(DATOS!$I15069,CONFIG_ASIGNATURAS!$B$2:$J$61,9,FALSE()),""))</f>
      </c>
    </row>
    <row r="15070">
      <c r="E15070">
        <f>IF(DATOS!$I15070="","",IFERROR(VLOOKUP(DATOS!$I15070,CONFIG_ASIGNATURAS!$B$2:$J$61,9,FALSE()),""))</f>
      </c>
    </row>
    <row r="15071">
      <c r="E15071">
        <f>IF(DATOS!$I15071="","",IFERROR(VLOOKUP(DATOS!$I15071,CONFIG_ASIGNATURAS!$B$2:$J$61,9,FALSE()),""))</f>
      </c>
    </row>
    <row r="15072">
      <c r="E15072">
        <f>IF(DATOS!$I15072="","",IFERROR(VLOOKUP(DATOS!$I15072,CONFIG_ASIGNATURAS!$B$2:$J$61,9,FALSE()),""))</f>
      </c>
    </row>
    <row r="15073">
      <c r="E15073">
        <f>IF(DATOS!$I15073="","",IFERROR(VLOOKUP(DATOS!$I15073,CONFIG_ASIGNATURAS!$B$2:$J$61,9,FALSE()),""))</f>
      </c>
    </row>
    <row r="15074">
      <c r="E15074">
        <f>IF(DATOS!$I15074="","",IFERROR(VLOOKUP(DATOS!$I15074,CONFIG_ASIGNATURAS!$B$2:$J$61,9,FALSE()),""))</f>
      </c>
    </row>
    <row r="15075">
      <c r="E15075">
        <f>IF(DATOS!$I15075="","",IFERROR(VLOOKUP(DATOS!$I15075,CONFIG_ASIGNATURAS!$B$2:$J$61,9,FALSE()),""))</f>
      </c>
    </row>
    <row r="15076">
      <c r="E15076">
        <f>IF(DATOS!$I15076="","",IFERROR(VLOOKUP(DATOS!$I15076,CONFIG_ASIGNATURAS!$B$2:$J$61,9,FALSE()),""))</f>
      </c>
    </row>
    <row r="15077">
      <c r="E15077">
        <f>IF(DATOS!$I15077="","",IFERROR(VLOOKUP(DATOS!$I15077,CONFIG_ASIGNATURAS!$B$2:$J$61,9,FALSE()),""))</f>
      </c>
    </row>
    <row r="15078">
      <c r="E15078">
        <f>IF(DATOS!$I15078="","",IFERROR(VLOOKUP(DATOS!$I15078,CONFIG_ASIGNATURAS!$B$2:$J$61,9,FALSE()),""))</f>
      </c>
    </row>
    <row r="15079">
      <c r="E15079">
        <f>IF(DATOS!$I15079="","",IFERROR(VLOOKUP(DATOS!$I15079,CONFIG_ASIGNATURAS!$B$2:$J$61,9,FALSE()),""))</f>
      </c>
    </row>
    <row r="15080">
      <c r="E15080">
        <f>IF(DATOS!$I15080="","",IFERROR(VLOOKUP(DATOS!$I15080,CONFIG_ASIGNATURAS!$B$2:$J$61,9,FALSE()),""))</f>
      </c>
    </row>
    <row r="15081">
      <c r="E15081">
        <f>IF(DATOS!$I15081="","",IFERROR(VLOOKUP(DATOS!$I15081,CONFIG_ASIGNATURAS!$B$2:$J$61,9,FALSE()),""))</f>
      </c>
    </row>
    <row r="15082">
      <c r="E15082">
        <f>IF(DATOS!$I15082="","",IFERROR(VLOOKUP(DATOS!$I15082,CONFIG_ASIGNATURAS!$B$2:$J$61,9,FALSE()),""))</f>
      </c>
    </row>
    <row r="15083">
      <c r="E15083">
        <f>IF(DATOS!$I15083="","",IFERROR(VLOOKUP(DATOS!$I15083,CONFIG_ASIGNATURAS!$B$2:$J$61,9,FALSE()),""))</f>
      </c>
    </row>
    <row r="15084">
      <c r="E15084">
        <f>IF(DATOS!$I15084="","",IFERROR(VLOOKUP(DATOS!$I15084,CONFIG_ASIGNATURAS!$B$2:$J$61,9,FALSE()),""))</f>
      </c>
    </row>
    <row r="15085">
      <c r="E15085">
        <f>IF(DATOS!$I15085="","",IFERROR(VLOOKUP(DATOS!$I15085,CONFIG_ASIGNATURAS!$B$2:$J$61,9,FALSE()),""))</f>
      </c>
    </row>
    <row r="15086">
      <c r="E15086">
        <f>IF(DATOS!$I15086="","",IFERROR(VLOOKUP(DATOS!$I15086,CONFIG_ASIGNATURAS!$B$2:$J$61,9,FALSE()),""))</f>
      </c>
    </row>
    <row r="15087">
      <c r="E15087">
        <f>IF(DATOS!$I15087="","",IFERROR(VLOOKUP(DATOS!$I15087,CONFIG_ASIGNATURAS!$B$2:$J$61,9,FALSE()),""))</f>
      </c>
    </row>
    <row r="15088">
      <c r="E15088">
        <f>IF(DATOS!$I15088="","",IFERROR(VLOOKUP(DATOS!$I15088,CONFIG_ASIGNATURAS!$B$2:$J$61,9,FALSE()),""))</f>
      </c>
    </row>
    <row r="15089">
      <c r="E15089">
        <f>IF(DATOS!$I15089="","",IFERROR(VLOOKUP(DATOS!$I15089,CONFIG_ASIGNATURAS!$B$2:$J$61,9,FALSE()),""))</f>
      </c>
    </row>
    <row r="15090">
      <c r="E15090">
        <f>IF(DATOS!$I15090="","",IFERROR(VLOOKUP(DATOS!$I15090,CONFIG_ASIGNATURAS!$B$2:$J$61,9,FALSE()),""))</f>
      </c>
    </row>
    <row r="15091">
      <c r="E15091">
        <f>IF(DATOS!$I15091="","",IFERROR(VLOOKUP(DATOS!$I15091,CONFIG_ASIGNATURAS!$B$2:$J$61,9,FALSE()),""))</f>
      </c>
    </row>
    <row r="15092">
      <c r="E15092">
        <f>IF(DATOS!$I15092="","",IFERROR(VLOOKUP(DATOS!$I15092,CONFIG_ASIGNATURAS!$B$2:$J$61,9,FALSE()),""))</f>
      </c>
    </row>
    <row r="15093">
      <c r="E15093">
        <f>IF(DATOS!$I15093="","",IFERROR(VLOOKUP(DATOS!$I15093,CONFIG_ASIGNATURAS!$B$2:$J$61,9,FALSE()),""))</f>
      </c>
    </row>
    <row r="15094">
      <c r="E15094">
        <f>IF(DATOS!$I15094="","",IFERROR(VLOOKUP(DATOS!$I15094,CONFIG_ASIGNATURAS!$B$2:$J$61,9,FALSE()),""))</f>
      </c>
    </row>
    <row r="15095">
      <c r="E15095">
        <f>IF(DATOS!$I15095="","",IFERROR(VLOOKUP(DATOS!$I15095,CONFIG_ASIGNATURAS!$B$2:$J$61,9,FALSE()),""))</f>
      </c>
    </row>
    <row r="15096">
      <c r="E15096">
        <f>IF(DATOS!$I15096="","",IFERROR(VLOOKUP(DATOS!$I15096,CONFIG_ASIGNATURAS!$B$2:$J$61,9,FALSE()),""))</f>
      </c>
    </row>
    <row r="15097">
      <c r="E15097">
        <f>IF(DATOS!$I15097="","",IFERROR(VLOOKUP(DATOS!$I15097,CONFIG_ASIGNATURAS!$B$2:$J$61,9,FALSE()),""))</f>
      </c>
    </row>
    <row r="15098">
      <c r="E15098">
        <f>IF(DATOS!$I15098="","",IFERROR(VLOOKUP(DATOS!$I15098,CONFIG_ASIGNATURAS!$B$2:$J$61,9,FALSE()),""))</f>
      </c>
    </row>
    <row r="15099">
      <c r="E15099">
        <f>IF(DATOS!$I15099="","",IFERROR(VLOOKUP(DATOS!$I15099,CONFIG_ASIGNATURAS!$B$2:$J$61,9,FALSE()),""))</f>
      </c>
    </row>
    <row r="15100">
      <c r="E15100">
        <f>IF(DATOS!$I15100="","",IFERROR(VLOOKUP(DATOS!$I15100,CONFIG_ASIGNATURAS!$B$2:$J$61,9,FALSE()),""))</f>
      </c>
    </row>
    <row r="15101">
      <c r="E15101">
        <f>IF(DATOS!$I15101="","",IFERROR(VLOOKUP(DATOS!$I15101,CONFIG_ASIGNATURAS!$B$2:$J$61,9,FALSE()),""))</f>
      </c>
    </row>
    <row r="15102">
      <c r="E15102">
        <f>IF(DATOS!$I15102="","",IFERROR(VLOOKUP(DATOS!$I15102,CONFIG_ASIGNATURAS!$B$2:$J$61,9,FALSE()),""))</f>
      </c>
    </row>
    <row r="15103">
      <c r="E15103">
        <f>IF(DATOS!$I15103="","",IFERROR(VLOOKUP(DATOS!$I15103,CONFIG_ASIGNATURAS!$B$2:$J$61,9,FALSE()),""))</f>
      </c>
    </row>
    <row r="15104">
      <c r="E15104">
        <f>IF(DATOS!$I15104="","",IFERROR(VLOOKUP(DATOS!$I15104,CONFIG_ASIGNATURAS!$B$2:$J$61,9,FALSE()),""))</f>
      </c>
    </row>
    <row r="15105">
      <c r="E15105">
        <f>IF(DATOS!$I15105="","",IFERROR(VLOOKUP(DATOS!$I15105,CONFIG_ASIGNATURAS!$B$2:$J$61,9,FALSE()),""))</f>
      </c>
    </row>
    <row r="15106">
      <c r="E15106">
        <f>IF(DATOS!$I15106="","",IFERROR(VLOOKUP(DATOS!$I15106,CONFIG_ASIGNATURAS!$B$2:$J$61,9,FALSE()),""))</f>
      </c>
    </row>
    <row r="15107">
      <c r="E15107">
        <f>IF(DATOS!$I15107="","",IFERROR(VLOOKUP(DATOS!$I15107,CONFIG_ASIGNATURAS!$B$2:$J$61,9,FALSE()),""))</f>
      </c>
    </row>
    <row r="15108">
      <c r="E15108">
        <f>IF(DATOS!$I15108="","",IFERROR(VLOOKUP(DATOS!$I15108,CONFIG_ASIGNATURAS!$B$2:$J$61,9,FALSE()),""))</f>
      </c>
    </row>
    <row r="15109">
      <c r="E15109">
        <f>IF(DATOS!$I15109="","",IFERROR(VLOOKUP(DATOS!$I15109,CONFIG_ASIGNATURAS!$B$2:$J$61,9,FALSE()),""))</f>
      </c>
    </row>
    <row r="15110">
      <c r="E15110">
        <f>IF(DATOS!$I15110="","",IFERROR(VLOOKUP(DATOS!$I15110,CONFIG_ASIGNATURAS!$B$2:$J$61,9,FALSE()),""))</f>
      </c>
    </row>
    <row r="15111">
      <c r="E15111">
        <f>IF(DATOS!$I15111="","",IFERROR(VLOOKUP(DATOS!$I15111,CONFIG_ASIGNATURAS!$B$2:$J$61,9,FALSE()),""))</f>
      </c>
    </row>
    <row r="15112">
      <c r="E15112">
        <f>IF(DATOS!$I15112="","",IFERROR(VLOOKUP(DATOS!$I15112,CONFIG_ASIGNATURAS!$B$2:$J$61,9,FALSE()),""))</f>
      </c>
    </row>
    <row r="15113">
      <c r="E15113">
        <f>IF(DATOS!$I15113="","",IFERROR(VLOOKUP(DATOS!$I15113,CONFIG_ASIGNATURAS!$B$2:$J$61,9,FALSE()),""))</f>
      </c>
    </row>
    <row r="15114">
      <c r="E15114">
        <f>IF(DATOS!$I15114="","",IFERROR(VLOOKUP(DATOS!$I15114,CONFIG_ASIGNATURAS!$B$2:$J$61,9,FALSE()),""))</f>
      </c>
    </row>
    <row r="15115">
      <c r="E15115">
        <f>IF(DATOS!$I15115="","",IFERROR(VLOOKUP(DATOS!$I15115,CONFIG_ASIGNATURAS!$B$2:$J$61,9,FALSE()),""))</f>
      </c>
    </row>
    <row r="15116">
      <c r="E15116">
        <f>IF(DATOS!$I15116="","",IFERROR(VLOOKUP(DATOS!$I15116,CONFIG_ASIGNATURAS!$B$2:$J$61,9,FALSE()),""))</f>
      </c>
    </row>
    <row r="15117">
      <c r="E15117">
        <f>IF(DATOS!$I15117="","",IFERROR(VLOOKUP(DATOS!$I15117,CONFIG_ASIGNATURAS!$B$2:$J$61,9,FALSE()),""))</f>
      </c>
    </row>
    <row r="15118">
      <c r="E15118">
        <f>IF(DATOS!$I15118="","",IFERROR(VLOOKUP(DATOS!$I15118,CONFIG_ASIGNATURAS!$B$2:$J$61,9,FALSE()),""))</f>
      </c>
    </row>
    <row r="15119">
      <c r="E15119">
        <f>IF(DATOS!$I15119="","",IFERROR(VLOOKUP(DATOS!$I15119,CONFIG_ASIGNATURAS!$B$2:$J$61,9,FALSE()),""))</f>
      </c>
    </row>
    <row r="15120">
      <c r="E15120">
        <f>IF(DATOS!$I15120="","",IFERROR(VLOOKUP(DATOS!$I15120,CONFIG_ASIGNATURAS!$B$2:$J$61,9,FALSE()),""))</f>
      </c>
    </row>
    <row r="15121">
      <c r="E15121">
        <f>IF(DATOS!$I15121="","",IFERROR(VLOOKUP(DATOS!$I15121,CONFIG_ASIGNATURAS!$B$2:$J$61,9,FALSE()),""))</f>
      </c>
    </row>
    <row r="15122">
      <c r="E15122">
        <f>IF(DATOS!$I15122="","",IFERROR(VLOOKUP(DATOS!$I15122,CONFIG_ASIGNATURAS!$B$2:$J$61,9,FALSE()),""))</f>
      </c>
    </row>
    <row r="15123">
      <c r="E15123">
        <f>IF(DATOS!$I15123="","",IFERROR(VLOOKUP(DATOS!$I15123,CONFIG_ASIGNATURAS!$B$2:$J$61,9,FALSE()),""))</f>
      </c>
    </row>
    <row r="15124">
      <c r="E15124">
        <f>IF(DATOS!$I15124="","",IFERROR(VLOOKUP(DATOS!$I15124,CONFIG_ASIGNATURAS!$B$2:$J$61,9,FALSE()),""))</f>
      </c>
    </row>
    <row r="15125">
      <c r="E15125">
        <f>IF(DATOS!$I15125="","",IFERROR(VLOOKUP(DATOS!$I15125,CONFIG_ASIGNATURAS!$B$2:$J$61,9,FALSE()),""))</f>
      </c>
    </row>
    <row r="15126">
      <c r="E15126">
        <f>IF(DATOS!$I15126="","",IFERROR(VLOOKUP(DATOS!$I15126,CONFIG_ASIGNATURAS!$B$2:$J$61,9,FALSE()),""))</f>
      </c>
    </row>
    <row r="15127">
      <c r="E15127">
        <f>IF(DATOS!$I15127="","",IFERROR(VLOOKUP(DATOS!$I15127,CONFIG_ASIGNATURAS!$B$2:$J$61,9,FALSE()),""))</f>
      </c>
    </row>
    <row r="15128">
      <c r="E15128">
        <f>IF(DATOS!$I15128="","",IFERROR(VLOOKUP(DATOS!$I15128,CONFIG_ASIGNATURAS!$B$2:$J$61,9,FALSE()),""))</f>
      </c>
    </row>
    <row r="15129">
      <c r="E15129">
        <f>IF(DATOS!$I15129="","",IFERROR(VLOOKUP(DATOS!$I15129,CONFIG_ASIGNATURAS!$B$2:$J$61,9,FALSE()),""))</f>
      </c>
    </row>
    <row r="15130">
      <c r="E15130">
        <f>IF(DATOS!$I15130="","",IFERROR(VLOOKUP(DATOS!$I15130,CONFIG_ASIGNATURAS!$B$2:$J$61,9,FALSE()),""))</f>
      </c>
    </row>
    <row r="15131">
      <c r="E15131">
        <f>IF(DATOS!$I15131="","",IFERROR(VLOOKUP(DATOS!$I15131,CONFIG_ASIGNATURAS!$B$2:$J$61,9,FALSE()),""))</f>
      </c>
    </row>
    <row r="15132">
      <c r="E15132">
        <f>IF(DATOS!$I15132="","",IFERROR(VLOOKUP(DATOS!$I15132,CONFIG_ASIGNATURAS!$B$2:$J$61,9,FALSE()),""))</f>
      </c>
    </row>
    <row r="15133">
      <c r="E15133">
        <f>IF(DATOS!$I15133="","",IFERROR(VLOOKUP(DATOS!$I15133,CONFIG_ASIGNATURAS!$B$2:$J$61,9,FALSE()),""))</f>
      </c>
    </row>
    <row r="15134">
      <c r="E15134">
        <f>IF(DATOS!$I15134="","",IFERROR(VLOOKUP(DATOS!$I15134,CONFIG_ASIGNATURAS!$B$2:$J$61,9,FALSE()),""))</f>
      </c>
    </row>
    <row r="15135">
      <c r="E15135">
        <f>IF(DATOS!$I15135="","",IFERROR(VLOOKUP(DATOS!$I15135,CONFIG_ASIGNATURAS!$B$2:$J$61,9,FALSE()),""))</f>
      </c>
    </row>
    <row r="15136">
      <c r="E15136">
        <f>IF(DATOS!$I15136="","",IFERROR(VLOOKUP(DATOS!$I15136,CONFIG_ASIGNATURAS!$B$2:$J$61,9,FALSE()),""))</f>
      </c>
    </row>
    <row r="15137">
      <c r="E15137">
        <f>IF(DATOS!$I15137="","",IFERROR(VLOOKUP(DATOS!$I15137,CONFIG_ASIGNATURAS!$B$2:$J$61,9,FALSE()),""))</f>
      </c>
    </row>
    <row r="15138">
      <c r="E15138">
        <f>IF(DATOS!$I15138="","",IFERROR(VLOOKUP(DATOS!$I15138,CONFIG_ASIGNATURAS!$B$2:$J$61,9,FALSE()),""))</f>
      </c>
    </row>
    <row r="15139">
      <c r="E15139">
        <f>IF(DATOS!$I15139="","",IFERROR(VLOOKUP(DATOS!$I15139,CONFIG_ASIGNATURAS!$B$2:$J$61,9,FALSE()),""))</f>
      </c>
    </row>
    <row r="15140">
      <c r="E15140">
        <f>IF(DATOS!$I15140="","",IFERROR(VLOOKUP(DATOS!$I15140,CONFIG_ASIGNATURAS!$B$2:$J$61,9,FALSE()),""))</f>
      </c>
    </row>
    <row r="15141">
      <c r="E15141">
        <f>IF(DATOS!$I15141="","",IFERROR(VLOOKUP(DATOS!$I15141,CONFIG_ASIGNATURAS!$B$2:$J$61,9,FALSE()),""))</f>
      </c>
    </row>
    <row r="15142">
      <c r="E15142">
        <f>IF(DATOS!$I15142="","",IFERROR(VLOOKUP(DATOS!$I15142,CONFIG_ASIGNATURAS!$B$2:$J$61,9,FALSE()),""))</f>
      </c>
    </row>
    <row r="15143">
      <c r="E15143">
        <f>IF(DATOS!$I15143="","",IFERROR(VLOOKUP(DATOS!$I15143,CONFIG_ASIGNATURAS!$B$2:$J$61,9,FALSE()),""))</f>
      </c>
    </row>
    <row r="15144">
      <c r="E15144">
        <f>IF(DATOS!$I15144="","",IFERROR(VLOOKUP(DATOS!$I15144,CONFIG_ASIGNATURAS!$B$2:$J$61,9,FALSE()),""))</f>
      </c>
    </row>
    <row r="15145">
      <c r="E15145">
        <f>IF(DATOS!$I15145="","",IFERROR(VLOOKUP(DATOS!$I15145,CONFIG_ASIGNATURAS!$B$2:$J$61,9,FALSE()),""))</f>
      </c>
    </row>
    <row r="15146">
      <c r="E15146">
        <f>IF(DATOS!$I15146="","",IFERROR(VLOOKUP(DATOS!$I15146,CONFIG_ASIGNATURAS!$B$2:$J$61,9,FALSE()),""))</f>
      </c>
    </row>
    <row r="15147">
      <c r="E15147">
        <f>IF(DATOS!$I15147="","",IFERROR(VLOOKUP(DATOS!$I15147,CONFIG_ASIGNATURAS!$B$2:$J$61,9,FALSE()),""))</f>
      </c>
    </row>
    <row r="15148">
      <c r="E15148">
        <f>IF(DATOS!$I15148="","",IFERROR(VLOOKUP(DATOS!$I15148,CONFIG_ASIGNATURAS!$B$2:$J$61,9,FALSE()),""))</f>
      </c>
    </row>
    <row r="15149">
      <c r="E15149">
        <f>IF(DATOS!$I15149="","",IFERROR(VLOOKUP(DATOS!$I15149,CONFIG_ASIGNATURAS!$B$2:$J$61,9,FALSE()),""))</f>
      </c>
    </row>
    <row r="15150">
      <c r="E15150">
        <f>IF(DATOS!$I15150="","",IFERROR(VLOOKUP(DATOS!$I15150,CONFIG_ASIGNATURAS!$B$2:$J$61,9,FALSE()),""))</f>
      </c>
    </row>
    <row r="15151">
      <c r="E15151">
        <f>IF(DATOS!$I15151="","",IFERROR(VLOOKUP(DATOS!$I15151,CONFIG_ASIGNATURAS!$B$2:$J$61,9,FALSE()),""))</f>
      </c>
    </row>
    <row r="15152">
      <c r="E15152">
        <f>IF(DATOS!$I15152="","",IFERROR(VLOOKUP(DATOS!$I15152,CONFIG_ASIGNATURAS!$B$2:$J$61,9,FALSE()),""))</f>
      </c>
    </row>
    <row r="15153">
      <c r="E15153">
        <f>IF(DATOS!$I15153="","",IFERROR(VLOOKUP(DATOS!$I15153,CONFIG_ASIGNATURAS!$B$2:$J$61,9,FALSE()),""))</f>
      </c>
    </row>
    <row r="15154">
      <c r="E15154">
        <f>IF(DATOS!$I15154="","",IFERROR(VLOOKUP(DATOS!$I15154,CONFIG_ASIGNATURAS!$B$2:$J$61,9,FALSE()),""))</f>
      </c>
    </row>
    <row r="15155">
      <c r="E15155">
        <f>IF(DATOS!$I15155="","",IFERROR(VLOOKUP(DATOS!$I15155,CONFIG_ASIGNATURAS!$B$2:$J$61,9,FALSE()),""))</f>
      </c>
    </row>
    <row r="15156">
      <c r="E15156">
        <f>IF(DATOS!$I15156="","",IFERROR(VLOOKUP(DATOS!$I15156,CONFIG_ASIGNATURAS!$B$2:$J$61,9,FALSE()),""))</f>
      </c>
    </row>
    <row r="15157">
      <c r="E15157">
        <f>IF(DATOS!$I15157="","",IFERROR(VLOOKUP(DATOS!$I15157,CONFIG_ASIGNATURAS!$B$2:$J$61,9,FALSE()),""))</f>
      </c>
    </row>
    <row r="15158">
      <c r="E15158">
        <f>IF(DATOS!$I15158="","",IFERROR(VLOOKUP(DATOS!$I15158,CONFIG_ASIGNATURAS!$B$2:$J$61,9,FALSE()),""))</f>
      </c>
    </row>
    <row r="15159">
      <c r="E15159">
        <f>IF(DATOS!$I15159="","",IFERROR(VLOOKUP(DATOS!$I15159,CONFIG_ASIGNATURAS!$B$2:$J$61,9,FALSE()),""))</f>
      </c>
    </row>
    <row r="15160">
      <c r="E15160">
        <f>IF(DATOS!$I15160="","",IFERROR(VLOOKUP(DATOS!$I15160,CONFIG_ASIGNATURAS!$B$2:$J$61,9,FALSE()),""))</f>
      </c>
    </row>
    <row r="15161">
      <c r="E15161">
        <f>IF(DATOS!$I15161="","",IFERROR(VLOOKUP(DATOS!$I15161,CONFIG_ASIGNATURAS!$B$2:$J$61,9,FALSE()),""))</f>
      </c>
    </row>
    <row r="15162">
      <c r="E15162">
        <f>IF(DATOS!$I15162="","",IFERROR(VLOOKUP(DATOS!$I15162,CONFIG_ASIGNATURAS!$B$2:$J$61,9,FALSE()),""))</f>
      </c>
    </row>
    <row r="15163">
      <c r="E15163">
        <f>IF(DATOS!$I15163="","",IFERROR(VLOOKUP(DATOS!$I15163,CONFIG_ASIGNATURAS!$B$2:$J$61,9,FALSE()),""))</f>
      </c>
    </row>
    <row r="15164">
      <c r="E15164">
        <f>IF(DATOS!$I15164="","",IFERROR(VLOOKUP(DATOS!$I15164,CONFIG_ASIGNATURAS!$B$2:$J$61,9,FALSE()),""))</f>
      </c>
    </row>
    <row r="15165">
      <c r="E15165">
        <f>IF(DATOS!$I15165="","",IFERROR(VLOOKUP(DATOS!$I15165,CONFIG_ASIGNATURAS!$B$2:$J$61,9,FALSE()),""))</f>
      </c>
    </row>
    <row r="15166">
      <c r="E15166">
        <f>IF(DATOS!$I15166="","",IFERROR(VLOOKUP(DATOS!$I15166,CONFIG_ASIGNATURAS!$B$2:$J$61,9,FALSE()),""))</f>
      </c>
    </row>
    <row r="15167">
      <c r="E15167">
        <f>IF(DATOS!$I15167="","",IFERROR(VLOOKUP(DATOS!$I15167,CONFIG_ASIGNATURAS!$B$2:$J$61,9,FALSE()),""))</f>
      </c>
    </row>
    <row r="15168">
      <c r="E15168">
        <f>IF(DATOS!$I15168="","",IFERROR(VLOOKUP(DATOS!$I15168,CONFIG_ASIGNATURAS!$B$2:$J$61,9,FALSE()),""))</f>
      </c>
    </row>
    <row r="15169">
      <c r="E15169">
        <f>IF(DATOS!$I15169="","",IFERROR(VLOOKUP(DATOS!$I15169,CONFIG_ASIGNATURAS!$B$2:$J$61,9,FALSE()),""))</f>
      </c>
    </row>
    <row r="15170">
      <c r="E15170">
        <f>IF(DATOS!$I15170="","",IFERROR(VLOOKUP(DATOS!$I15170,CONFIG_ASIGNATURAS!$B$2:$J$61,9,FALSE()),""))</f>
      </c>
    </row>
    <row r="15171">
      <c r="E15171">
        <f>IF(DATOS!$I15171="","",IFERROR(VLOOKUP(DATOS!$I15171,CONFIG_ASIGNATURAS!$B$2:$J$61,9,FALSE()),""))</f>
      </c>
    </row>
    <row r="15172">
      <c r="E15172">
        <f>IF(DATOS!$I15172="","",IFERROR(VLOOKUP(DATOS!$I15172,CONFIG_ASIGNATURAS!$B$2:$J$61,9,FALSE()),""))</f>
      </c>
    </row>
    <row r="15173">
      <c r="E15173">
        <f>IF(DATOS!$I15173="","",IFERROR(VLOOKUP(DATOS!$I15173,CONFIG_ASIGNATURAS!$B$2:$J$61,9,FALSE()),""))</f>
      </c>
    </row>
    <row r="15174">
      <c r="E15174">
        <f>IF(DATOS!$I15174="","",IFERROR(VLOOKUP(DATOS!$I15174,CONFIG_ASIGNATURAS!$B$2:$J$61,9,FALSE()),""))</f>
      </c>
    </row>
    <row r="15175">
      <c r="E15175">
        <f>IF(DATOS!$I15175="","",IFERROR(VLOOKUP(DATOS!$I15175,CONFIG_ASIGNATURAS!$B$2:$J$61,9,FALSE()),""))</f>
      </c>
    </row>
    <row r="15176">
      <c r="E15176">
        <f>IF(DATOS!$I15176="","",IFERROR(VLOOKUP(DATOS!$I15176,CONFIG_ASIGNATURAS!$B$2:$J$61,9,FALSE()),""))</f>
      </c>
    </row>
    <row r="15177">
      <c r="E15177">
        <f>IF(DATOS!$I15177="","",IFERROR(VLOOKUP(DATOS!$I15177,CONFIG_ASIGNATURAS!$B$2:$J$61,9,FALSE()),""))</f>
      </c>
    </row>
    <row r="15178">
      <c r="E15178">
        <f>IF(DATOS!$I15178="","",IFERROR(VLOOKUP(DATOS!$I15178,CONFIG_ASIGNATURAS!$B$2:$J$61,9,FALSE()),""))</f>
      </c>
    </row>
    <row r="15179">
      <c r="E15179">
        <f>IF(DATOS!$I15179="","",IFERROR(VLOOKUP(DATOS!$I15179,CONFIG_ASIGNATURAS!$B$2:$J$61,9,FALSE()),""))</f>
      </c>
    </row>
    <row r="15180">
      <c r="E15180">
        <f>IF(DATOS!$I15180="","",IFERROR(VLOOKUP(DATOS!$I15180,CONFIG_ASIGNATURAS!$B$2:$J$61,9,FALSE()),""))</f>
      </c>
    </row>
    <row r="15181">
      <c r="E15181">
        <f>IF(DATOS!$I15181="","",IFERROR(VLOOKUP(DATOS!$I15181,CONFIG_ASIGNATURAS!$B$2:$J$61,9,FALSE()),""))</f>
      </c>
    </row>
    <row r="15182">
      <c r="E15182">
        <f>IF(DATOS!$I15182="","",IFERROR(VLOOKUP(DATOS!$I15182,CONFIG_ASIGNATURAS!$B$2:$J$61,9,FALSE()),""))</f>
      </c>
    </row>
    <row r="15183">
      <c r="E15183">
        <f>IF(DATOS!$I15183="","",IFERROR(VLOOKUP(DATOS!$I15183,CONFIG_ASIGNATURAS!$B$2:$J$61,9,FALSE()),""))</f>
      </c>
    </row>
    <row r="15184">
      <c r="E15184">
        <f>IF(DATOS!$I15184="","",IFERROR(VLOOKUP(DATOS!$I15184,CONFIG_ASIGNATURAS!$B$2:$J$61,9,FALSE()),""))</f>
      </c>
    </row>
    <row r="15185">
      <c r="E15185">
        <f>IF(DATOS!$I15185="","",IFERROR(VLOOKUP(DATOS!$I15185,CONFIG_ASIGNATURAS!$B$2:$J$61,9,FALSE()),""))</f>
      </c>
    </row>
    <row r="15186">
      <c r="E15186">
        <f>IF(DATOS!$I15186="","",IFERROR(VLOOKUP(DATOS!$I15186,CONFIG_ASIGNATURAS!$B$2:$J$61,9,FALSE()),""))</f>
      </c>
    </row>
    <row r="15187">
      <c r="E15187">
        <f>IF(DATOS!$I15187="","",IFERROR(VLOOKUP(DATOS!$I15187,CONFIG_ASIGNATURAS!$B$2:$J$61,9,FALSE()),""))</f>
      </c>
    </row>
    <row r="15188">
      <c r="E15188">
        <f>IF(DATOS!$I15188="","",IFERROR(VLOOKUP(DATOS!$I15188,CONFIG_ASIGNATURAS!$B$2:$J$61,9,FALSE()),""))</f>
      </c>
    </row>
    <row r="15189">
      <c r="E15189">
        <f>IF(DATOS!$I15189="","",IFERROR(VLOOKUP(DATOS!$I15189,CONFIG_ASIGNATURAS!$B$2:$J$61,9,FALSE()),""))</f>
      </c>
    </row>
    <row r="15190">
      <c r="E15190">
        <f>IF(DATOS!$I15190="","",IFERROR(VLOOKUP(DATOS!$I15190,CONFIG_ASIGNATURAS!$B$2:$J$61,9,FALSE()),""))</f>
      </c>
    </row>
    <row r="15191">
      <c r="E15191">
        <f>IF(DATOS!$I15191="","",IFERROR(VLOOKUP(DATOS!$I15191,CONFIG_ASIGNATURAS!$B$2:$J$61,9,FALSE()),""))</f>
      </c>
    </row>
    <row r="15192">
      <c r="E15192">
        <f>IF(DATOS!$I15192="","",IFERROR(VLOOKUP(DATOS!$I15192,CONFIG_ASIGNATURAS!$B$2:$J$61,9,FALSE()),""))</f>
      </c>
    </row>
    <row r="15193">
      <c r="E15193">
        <f>IF(DATOS!$I15193="","",IFERROR(VLOOKUP(DATOS!$I15193,CONFIG_ASIGNATURAS!$B$2:$J$61,9,FALSE()),""))</f>
      </c>
    </row>
    <row r="15194">
      <c r="E15194">
        <f>IF(DATOS!$I15194="","",IFERROR(VLOOKUP(DATOS!$I15194,CONFIG_ASIGNATURAS!$B$2:$J$61,9,FALSE()),""))</f>
      </c>
    </row>
    <row r="15195">
      <c r="E15195">
        <f>IF(DATOS!$I15195="","",IFERROR(VLOOKUP(DATOS!$I15195,CONFIG_ASIGNATURAS!$B$2:$J$61,9,FALSE()),""))</f>
      </c>
    </row>
    <row r="15196">
      <c r="E15196">
        <f>IF(DATOS!$I15196="","",IFERROR(VLOOKUP(DATOS!$I15196,CONFIG_ASIGNATURAS!$B$2:$J$61,9,FALSE()),""))</f>
      </c>
    </row>
    <row r="15197">
      <c r="E15197">
        <f>IF(DATOS!$I15197="","",IFERROR(VLOOKUP(DATOS!$I15197,CONFIG_ASIGNATURAS!$B$2:$J$61,9,FALSE()),""))</f>
      </c>
    </row>
    <row r="15198">
      <c r="E15198">
        <f>IF(DATOS!$I15198="","",IFERROR(VLOOKUP(DATOS!$I15198,CONFIG_ASIGNATURAS!$B$2:$J$61,9,FALSE()),""))</f>
      </c>
    </row>
    <row r="15199">
      <c r="E15199">
        <f>IF(DATOS!$I15199="","",IFERROR(VLOOKUP(DATOS!$I15199,CONFIG_ASIGNATURAS!$B$2:$J$61,9,FALSE()),""))</f>
      </c>
    </row>
    <row r="15200">
      <c r="E15200">
        <f>IF(DATOS!$I15200="","",IFERROR(VLOOKUP(DATOS!$I15200,CONFIG_ASIGNATURAS!$B$2:$J$61,9,FALSE()),""))</f>
      </c>
    </row>
    <row r="15201">
      <c r="E15201">
        <f>IF(DATOS!$I15201="","",IFERROR(VLOOKUP(DATOS!$I15201,CONFIG_ASIGNATURAS!$B$2:$J$61,9,FALSE()),""))</f>
      </c>
    </row>
    <row r="15202">
      <c r="E15202">
        <f>IF(DATOS!$I15202="","",IFERROR(VLOOKUP(DATOS!$I15202,CONFIG_ASIGNATURAS!$B$2:$J$61,9,FALSE()),""))</f>
      </c>
    </row>
    <row r="15203">
      <c r="E15203">
        <f>IF(DATOS!$I15203="","",IFERROR(VLOOKUP(DATOS!$I15203,CONFIG_ASIGNATURAS!$B$2:$J$61,9,FALSE()),""))</f>
      </c>
    </row>
    <row r="15204">
      <c r="E15204">
        <f>IF(DATOS!$I15204="","",IFERROR(VLOOKUP(DATOS!$I15204,CONFIG_ASIGNATURAS!$B$2:$J$61,9,FALSE()),""))</f>
      </c>
    </row>
    <row r="15205">
      <c r="E15205">
        <f>IF(DATOS!$I15205="","",IFERROR(VLOOKUP(DATOS!$I15205,CONFIG_ASIGNATURAS!$B$2:$J$61,9,FALSE()),""))</f>
      </c>
    </row>
    <row r="15206">
      <c r="E15206">
        <f>IF(DATOS!$I15206="","",IFERROR(VLOOKUP(DATOS!$I15206,CONFIG_ASIGNATURAS!$B$2:$J$61,9,FALSE()),""))</f>
      </c>
    </row>
    <row r="15207">
      <c r="E15207">
        <f>IF(DATOS!$I15207="","",IFERROR(VLOOKUP(DATOS!$I15207,CONFIG_ASIGNATURAS!$B$2:$J$61,9,FALSE()),""))</f>
      </c>
    </row>
    <row r="15208">
      <c r="E15208">
        <f>IF(DATOS!$I15208="","",IFERROR(VLOOKUP(DATOS!$I15208,CONFIG_ASIGNATURAS!$B$2:$J$61,9,FALSE()),""))</f>
      </c>
    </row>
    <row r="15209">
      <c r="E15209">
        <f>IF(DATOS!$I15209="","",IFERROR(VLOOKUP(DATOS!$I15209,CONFIG_ASIGNATURAS!$B$2:$J$61,9,FALSE()),""))</f>
      </c>
    </row>
    <row r="15210">
      <c r="E15210">
        <f>IF(DATOS!$I15210="","",IFERROR(VLOOKUP(DATOS!$I15210,CONFIG_ASIGNATURAS!$B$2:$J$61,9,FALSE()),""))</f>
      </c>
    </row>
    <row r="15211">
      <c r="E15211">
        <f>IF(DATOS!$I15211="","",IFERROR(VLOOKUP(DATOS!$I15211,CONFIG_ASIGNATURAS!$B$2:$J$61,9,FALSE()),""))</f>
      </c>
    </row>
    <row r="15212">
      <c r="E15212">
        <f>IF(DATOS!$I15212="","",IFERROR(VLOOKUP(DATOS!$I15212,CONFIG_ASIGNATURAS!$B$2:$J$61,9,FALSE()),""))</f>
      </c>
    </row>
    <row r="15213">
      <c r="E15213">
        <f>IF(DATOS!$I15213="","",IFERROR(VLOOKUP(DATOS!$I15213,CONFIG_ASIGNATURAS!$B$2:$J$61,9,FALSE()),""))</f>
      </c>
    </row>
    <row r="15214">
      <c r="E15214">
        <f>IF(DATOS!$I15214="","",IFERROR(VLOOKUP(DATOS!$I15214,CONFIG_ASIGNATURAS!$B$2:$J$61,9,FALSE()),""))</f>
      </c>
    </row>
    <row r="15215">
      <c r="E15215">
        <f>IF(DATOS!$I15215="","",IFERROR(VLOOKUP(DATOS!$I15215,CONFIG_ASIGNATURAS!$B$2:$J$61,9,FALSE()),""))</f>
      </c>
    </row>
    <row r="15216">
      <c r="E15216">
        <f>IF(DATOS!$I15216="","",IFERROR(VLOOKUP(DATOS!$I15216,CONFIG_ASIGNATURAS!$B$2:$J$61,9,FALSE()),""))</f>
      </c>
    </row>
    <row r="15217">
      <c r="E15217">
        <f>IF(DATOS!$I15217="","",IFERROR(VLOOKUP(DATOS!$I15217,CONFIG_ASIGNATURAS!$B$2:$J$61,9,FALSE()),""))</f>
      </c>
    </row>
    <row r="15218">
      <c r="E15218">
        <f>IF(DATOS!$I15218="","",IFERROR(VLOOKUP(DATOS!$I15218,CONFIG_ASIGNATURAS!$B$2:$J$61,9,FALSE()),""))</f>
      </c>
    </row>
    <row r="15219">
      <c r="E15219">
        <f>IF(DATOS!$I15219="","",IFERROR(VLOOKUP(DATOS!$I15219,CONFIG_ASIGNATURAS!$B$2:$J$61,9,FALSE()),""))</f>
      </c>
    </row>
    <row r="15220">
      <c r="E15220">
        <f>IF(DATOS!$I15220="","",IFERROR(VLOOKUP(DATOS!$I15220,CONFIG_ASIGNATURAS!$B$2:$J$61,9,FALSE()),""))</f>
      </c>
    </row>
    <row r="15221">
      <c r="E15221">
        <f>IF(DATOS!$I15221="","",IFERROR(VLOOKUP(DATOS!$I15221,CONFIG_ASIGNATURAS!$B$2:$J$61,9,FALSE()),""))</f>
      </c>
    </row>
    <row r="15222">
      <c r="E15222">
        <f>IF(DATOS!$I15222="","",IFERROR(VLOOKUP(DATOS!$I15222,CONFIG_ASIGNATURAS!$B$2:$J$61,9,FALSE()),""))</f>
      </c>
    </row>
    <row r="15223">
      <c r="E15223">
        <f>IF(DATOS!$I15223="","",IFERROR(VLOOKUP(DATOS!$I15223,CONFIG_ASIGNATURAS!$B$2:$J$61,9,FALSE()),""))</f>
      </c>
    </row>
    <row r="15224">
      <c r="E15224">
        <f>IF(DATOS!$I15224="","",IFERROR(VLOOKUP(DATOS!$I15224,CONFIG_ASIGNATURAS!$B$2:$J$61,9,FALSE()),""))</f>
      </c>
    </row>
    <row r="15225">
      <c r="E15225">
        <f>IF(DATOS!$I15225="","",IFERROR(VLOOKUP(DATOS!$I15225,CONFIG_ASIGNATURAS!$B$2:$J$61,9,FALSE()),""))</f>
      </c>
    </row>
    <row r="15226">
      <c r="E15226">
        <f>IF(DATOS!$I15226="","",IFERROR(VLOOKUP(DATOS!$I15226,CONFIG_ASIGNATURAS!$B$2:$J$61,9,FALSE()),""))</f>
      </c>
    </row>
    <row r="15227">
      <c r="E15227">
        <f>IF(DATOS!$I15227="","",IFERROR(VLOOKUP(DATOS!$I15227,CONFIG_ASIGNATURAS!$B$2:$J$61,9,FALSE()),""))</f>
      </c>
    </row>
    <row r="15228">
      <c r="E15228">
        <f>IF(DATOS!$I15228="","",IFERROR(VLOOKUP(DATOS!$I15228,CONFIG_ASIGNATURAS!$B$2:$J$61,9,FALSE()),""))</f>
      </c>
    </row>
    <row r="15229">
      <c r="E15229">
        <f>IF(DATOS!$I15229="","",IFERROR(VLOOKUP(DATOS!$I15229,CONFIG_ASIGNATURAS!$B$2:$J$61,9,FALSE()),""))</f>
      </c>
    </row>
    <row r="15230">
      <c r="E15230">
        <f>IF(DATOS!$I15230="","",IFERROR(VLOOKUP(DATOS!$I15230,CONFIG_ASIGNATURAS!$B$2:$J$61,9,FALSE()),""))</f>
      </c>
    </row>
    <row r="15231">
      <c r="E15231">
        <f>IF(DATOS!$I15231="","",IFERROR(VLOOKUP(DATOS!$I15231,CONFIG_ASIGNATURAS!$B$2:$J$61,9,FALSE()),""))</f>
      </c>
    </row>
    <row r="15232">
      <c r="E15232">
        <f>IF(DATOS!$I15232="","",IFERROR(VLOOKUP(DATOS!$I15232,CONFIG_ASIGNATURAS!$B$2:$J$61,9,FALSE()),""))</f>
      </c>
    </row>
    <row r="15233">
      <c r="E15233">
        <f>IF(DATOS!$I15233="","",IFERROR(VLOOKUP(DATOS!$I15233,CONFIG_ASIGNATURAS!$B$2:$J$61,9,FALSE()),""))</f>
      </c>
    </row>
    <row r="15234">
      <c r="E15234">
        <f>IF(DATOS!$I15234="","",IFERROR(VLOOKUP(DATOS!$I15234,CONFIG_ASIGNATURAS!$B$2:$J$61,9,FALSE()),""))</f>
      </c>
    </row>
    <row r="15235">
      <c r="E15235">
        <f>IF(DATOS!$I15235="","",IFERROR(VLOOKUP(DATOS!$I15235,CONFIG_ASIGNATURAS!$B$2:$J$61,9,FALSE()),""))</f>
      </c>
    </row>
    <row r="15236">
      <c r="E15236">
        <f>IF(DATOS!$I15236="","",IFERROR(VLOOKUP(DATOS!$I15236,CONFIG_ASIGNATURAS!$B$2:$J$61,9,FALSE()),""))</f>
      </c>
    </row>
    <row r="15237">
      <c r="E15237">
        <f>IF(DATOS!$I15237="","",IFERROR(VLOOKUP(DATOS!$I15237,CONFIG_ASIGNATURAS!$B$2:$J$61,9,FALSE()),""))</f>
      </c>
    </row>
    <row r="15238">
      <c r="E15238">
        <f>IF(DATOS!$I15238="","",IFERROR(VLOOKUP(DATOS!$I15238,CONFIG_ASIGNATURAS!$B$2:$J$61,9,FALSE()),""))</f>
      </c>
    </row>
    <row r="15239">
      <c r="E15239">
        <f>IF(DATOS!$I15239="","",IFERROR(VLOOKUP(DATOS!$I15239,CONFIG_ASIGNATURAS!$B$2:$J$61,9,FALSE()),""))</f>
      </c>
    </row>
    <row r="15240">
      <c r="E15240">
        <f>IF(DATOS!$I15240="","",IFERROR(VLOOKUP(DATOS!$I15240,CONFIG_ASIGNATURAS!$B$2:$J$61,9,FALSE()),""))</f>
      </c>
    </row>
    <row r="15241">
      <c r="E15241">
        <f>IF(DATOS!$I15241="","",IFERROR(VLOOKUP(DATOS!$I15241,CONFIG_ASIGNATURAS!$B$2:$J$61,9,FALSE()),""))</f>
      </c>
    </row>
    <row r="15242">
      <c r="E15242">
        <f>IF(DATOS!$I15242="","",IFERROR(VLOOKUP(DATOS!$I15242,CONFIG_ASIGNATURAS!$B$2:$J$61,9,FALSE()),""))</f>
      </c>
    </row>
    <row r="15243">
      <c r="E15243">
        <f>IF(DATOS!$I15243="","",IFERROR(VLOOKUP(DATOS!$I15243,CONFIG_ASIGNATURAS!$B$2:$J$61,9,FALSE()),""))</f>
      </c>
    </row>
    <row r="15244">
      <c r="E15244">
        <f>IF(DATOS!$I15244="","",IFERROR(VLOOKUP(DATOS!$I15244,CONFIG_ASIGNATURAS!$B$2:$J$61,9,FALSE()),""))</f>
      </c>
    </row>
    <row r="15245">
      <c r="E15245">
        <f>IF(DATOS!$I15245="","",IFERROR(VLOOKUP(DATOS!$I15245,CONFIG_ASIGNATURAS!$B$2:$J$61,9,FALSE()),""))</f>
      </c>
    </row>
    <row r="15246">
      <c r="E15246">
        <f>IF(DATOS!$I15246="","",IFERROR(VLOOKUP(DATOS!$I15246,CONFIG_ASIGNATURAS!$B$2:$J$61,9,FALSE()),""))</f>
      </c>
    </row>
    <row r="15247">
      <c r="E15247">
        <f>IF(DATOS!$I15247="","",IFERROR(VLOOKUP(DATOS!$I15247,CONFIG_ASIGNATURAS!$B$2:$J$61,9,FALSE()),""))</f>
      </c>
    </row>
    <row r="15248">
      <c r="E15248">
        <f>IF(DATOS!$I15248="","",IFERROR(VLOOKUP(DATOS!$I15248,CONFIG_ASIGNATURAS!$B$2:$J$61,9,FALSE()),""))</f>
      </c>
    </row>
    <row r="15249">
      <c r="E15249">
        <f>IF(DATOS!$I15249="","",IFERROR(VLOOKUP(DATOS!$I15249,CONFIG_ASIGNATURAS!$B$2:$J$61,9,FALSE()),""))</f>
      </c>
    </row>
    <row r="15250">
      <c r="E15250">
        <f>IF(DATOS!$I15250="","",IFERROR(VLOOKUP(DATOS!$I15250,CONFIG_ASIGNATURAS!$B$2:$J$61,9,FALSE()),""))</f>
      </c>
    </row>
    <row r="15251">
      <c r="E15251">
        <f>IF(DATOS!$I15251="","",IFERROR(VLOOKUP(DATOS!$I15251,CONFIG_ASIGNATURAS!$B$2:$J$61,9,FALSE()),""))</f>
      </c>
    </row>
    <row r="15252">
      <c r="E15252">
        <f>IF(DATOS!$I15252="","",IFERROR(VLOOKUP(DATOS!$I15252,CONFIG_ASIGNATURAS!$B$2:$J$61,9,FALSE()),""))</f>
      </c>
    </row>
    <row r="15253">
      <c r="E15253">
        <f>IF(DATOS!$I15253="","",IFERROR(VLOOKUP(DATOS!$I15253,CONFIG_ASIGNATURAS!$B$2:$J$61,9,FALSE()),""))</f>
      </c>
    </row>
    <row r="15254">
      <c r="E15254">
        <f>IF(DATOS!$I15254="","",IFERROR(VLOOKUP(DATOS!$I15254,CONFIG_ASIGNATURAS!$B$2:$J$61,9,FALSE()),""))</f>
      </c>
    </row>
    <row r="15255">
      <c r="E15255">
        <f>IF(DATOS!$I15255="","",IFERROR(VLOOKUP(DATOS!$I15255,CONFIG_ASIGNATURAS!$B$2:$J$61,9,FALSE()),""))</f>
      </c>
    </row>
    <row r="15256">
      <c r="E15256">
        <f>IF(DATOS!$I15256="","",IFERROR(VLOOKUP(DATOS!$I15256,CONFIG_ASIGNATURAS!$B$2:$J$61,9,FALSE()),""))</f>
      </c>
    </row>
    <row r="15257">
      <c r="E15257">
        <f>IF(DATOS!$I15257="","",IFERROR(VLOOKUP(DATOS!$I15257,CONFIG_ASIGNATURAS!$B$2:$J$61,9,FALSE()),""))</f>
      </c>
    </row>
    <row r="15258">
      <c r="E15258">
        <f>IF(DATOS!$I15258="","",IFERROR(VLOOKUP(DATOS!$I15258,CONFIG_ASIGNATURAS!$B$2:$J$61,9,FALSE()),""))</f>
      </c>
    </row>
    <row r="15259">
      <c r="E15259">
        <f>IF(DATOS!$I15259="","",IFERROR(VLOOKUP(DATOS!$I15259,CONFIG_ASIGNATURAS!$B$2:$J$61,9,FALSE()),""))</f>
      </c>
    </row>
    <row r="15260">
      <c r="E15260">
        <f>IF(DATOS!$I15260="","",IFERROR(VLOOKUP(DATOS!$I15260,CONFIG_ASIGNATURAS!$B$2:$J$61,9,FALSE()),""))</f>
      </c>
    </row>
    <row r="15261">
      <c r="E15261">
        <f>IF(DATOS!$I15261="","",IFERROR(VLOOKUP(DATOS!$I15261,CONFIG_ASIGNATURAS!$B$2:$J$61,9,FALSE()),""))</f>
      </c>
    </row>
    <row r="15262">
      <c r="E15262">
        <f>IF(DATOS!$I15262="","",IFERROR(VLOOKUP(DATOS!$I15262,CONFIG_ASIGNATURAS!$B$2:$J$61,9,FALSE()),""))</f>
      </c>
    </row>
    <row r="15263">
      <c r="E15263">
        <f>IF(DATOS!$I15263="","",IFERROR(VLOOKUP(DATOS!$I15263,CONFIG_ASIGNATURAS!$B$2:$J$61,9,FALSE()),""))</f>
      </c>
    </row>
    <row r="15264">
      <c r="E15264">
        <f>IF(DATOS!$I15264="","",IFERROR(VLOOKUP(DATOS!$I15264,CONFIG_ASIGNATURAS!$B$2:$J$61,9,FALSE()),""))</f>
      </c>
    </row>
    <row r="15265">
      <c r="E15265">
        <f>IF(DATOS!$I15265="","",IFERROR(VLOOKUP(DATOS!$I15265,CONFIG_ASIGNATURAS!$B$2:$J$61,9,FALSE()),""))</f>
      </c>
    </row>
    <row r="15266">
      <c r="E15266">
        <f>IF(DATOS!$I15266="","",IFERROR(VLOOKUP(DATOS!$I15266,CONFIG_ASIGNATURAS!$B$2:$J$61,9,FALSE()),""))</f>
      </c>
    </row>
    <row r="15267">
      <c r="E15267">
        <f>IF(DATOS!$I15267="","",IFERROR(VLOOKUP(DATOS!$I15267,CONFIG_ASIGNATURAS!$B$2:$J$61,9,FALSE()),""))</f>
      </c>
    </row>
    <row r="15268">
      <c r="E15268">
        <f>IF(DATOS!$I15268="","",IFERROR(VLOOKUP(DATOS!$I15268,CONFIG_ASIGNATURAS!$B$2:$J$61,9,FALSE()),""))</f>
      </c>
    </row>
    <row r="15269">
      <c r="E15269">
        <f>IF(DATOS!$I15269="","",IFERROR(VLOOKUP(DATOS!$I15269,CONFIG_ASIGNATURAS!$B$2:$J$61,9,FALSE()),""))</f>
      </c>
    </row>
    <row r="15270">
      <c r="E15270">
        <f>IF(DATOS!$I15270="","",IFERROR(VLOOKUP(DATOS!$I15270,CONFIG_ASIGNATURAS!$B$2:$J$61,9,FALSE()),""))</f>
      </c>
    </row>
    <row r="15271">
      <c r="E15271">
        <f>IF(DATOS!$I15271="","",IFERROR(VLOOKUP(DATOS!$I15271,CONFIG_ASIGNATURAS!$B$2:$J$61,9,FALSE()),""))</f>
      </c>
    </row>
    <row r="15272">
      <c r="E15272">
        <f>IF(DATOS!$I15272="","",IFERROR(VLOOKUP(DATOS!$I15272,CONFIG_ASIGNATURAS!$B$2:$J$61,9,FALSE()),""))</f>
      </c>
    </row>
    <row r="15273">
      <c r="E15273">
        <f>IF(DATOS!$I15273="","",IFERROR(VLOOKUP(DATOS!$I15273,CONFIG_ASIGNATURAS!$B$2:$J$61,9,FALSE()),""))</f>
      </c>
    </row>
    <row r="15274">
      <c r="E15274">
        <f>IF(DATOS!$I15274="","",IFERROR(VLOOKUP(DATOS!$I15274,CONFIG_ASIGNATURAS!$B$2:$J$61,9,FALSE()),""))</f>
      </c>
    </row>
    <row r="15275">
      <c r="E15275">
        <f>IF(DATOS!$I15275="","",IFERROR(VLOOKUP(DATOS!$I15275,CONFIG_ASIGNATURAS!$B$2:$J$61,9,FALSE()),""))</f>
      </c>
    </row>
    <row r="15276">
      <c r="E15276">
        <f>IF(DATOS!$I15276="","",IFERROR(VLOOKUP(DATOS!$I15276,CONFIG_ASIGNATURAS!$B$2:$J$61,9,FALSE()),""))</f>
      </c>
    </row>
    <row r="15277">
      <c r="E15277">
        <f>IF(DATOS!$I15277="","",IFERROR(VLOOKUP(DATOS!$I15277,CONFIG_ASIGNATURAS!$B$2:$J$61,9,FALSE()),""))</f>
      </c>
    </row>
    <row r="15278">
      <c r="E15278">
        <f>IF(DATOS!$I15278="","",IFERROR(VLOOKUP(DATOS!$I15278,CONFIG_ASIGNATURAS!$B$2:$J$61,9,FALSE()),""))</f>
      </c>
    </row>
    <row r="15279">
      <c r="E15279">
        <f>IF(DATOS!$I15279="","",IFERROR(VLOOKUP(DATOS!$I15279,CONFIG_ASIGNATURAS!$B$2:$J$61,9,FALSE()),""))</f>
      </c>
    </row>
    <row r="15280">
      <c r="E15280">
        <f>IF(DATOS!$I15280="","",IFERROR(VLOOKUP(DATOS!$I15280,CONFIG_ASIGNATURAS!$B$2:$J$61,9,FALSE()),""))</f>
      </c>
    </row>
    <row r="15281">
      <c r="E15281">
        <f>IF(DATOS!$I15281="","",IFERROR(VLOOKUP(DATOS!$I15281,CONFIG_ASIGNATURAS!$B$2:$J$61,9,FALSE()),""))</f>
      </c>
    </row>
    <row r="15282">
      <c r="E15282">
        <f>IF(DATOS!$I15282="","",IFERROR(VLOOKUP(DATOS!$I15282,CONFIG_ASIGNATURAS!$B$2:$J$61,9,FALSE()),""))</f>
      </c>
    </row>
    <row r="15283">
      <c r="E15283">
        <f>IF(DATOS!$I15283="","",IFERROR(VLOOKUP(DATOS!$I15283,CONFIG_ASIGNATURAS!$B$2:$J$61,9,FALSE()),""))</f>
      </c>
    </row>
    <row r="15284">
      <c r="E15284">
        <f>IF(DATOS!$I15284="","",IFERROR(VLOOKUP(DATOS!$I15284,CONFIG_ASIGNATURAS!$B$2:$J$61,9,FALSE()),""))</f>
      </c>
    </row>
    <row r="15285">
      <c r="E15285">
        <f>IF(DATOS!$I15285="","",IFERROR(VLOOKUP(DATOS!$I15285,CONFIG_ASIGNATURAS!$B$2:$J$61,9,FALSE()),""))</f>
      </c>
    </row>
    <row r="15286">
      <c r="E15286">
        <f>IF(DATOS!$I15286="","",IFERROR(VLOOKUP(DATOS!$I15286,CONFIG_ASIGNATURAS!$B$2:$J$61,9,FALSE()),""))</f>
      </c>
    </row>
    <row r="15287">
      <c r="E15287">
        <f>IF(DATOS!$I15287="","",IFERROR(VLOOKUP(DATOS!$I15287,CONFIG_ASIGNATURAS!$B$2:$J$61,9,FALSE()),""))</f>
      </c>
    </row>
    <row r="15288">
      <c r="E15288">
        <f>IF(DATOS!$I15288="","",IFERROR(VLOOKUP(DATOS!$I15288,CONFIG_ASIGNATURAS!$B$2:$J$61,9,FALSE()),""))</f>
      </c>
    </row>
    <row r="15289">
      <c r="E15289">
        <f>IF(DATOS!$I15289="","",IFERROR(VLOOKUP(DATOS!$I15289,CONFIG_ASIGNATURAS!$B$2:$J$61,9,FALSE()),""))</f>
      </c>
    </row>
    <row r="15290">
      <c r="E15290">
        <f>IF(DATOS!$I15290="","",IFERROR(VLOOKUP(DATOS!$I15290,CONFIG_ASIGNATURAS!$B$2:$J$61,9,FALSE()),""))</f>
      </c>
    </row>
    <row r="15291">
      <c r="E15291">
        <f>IF(DATOS!$I15291="","",IFERROR(VLOOKUP(DATOS!$I15291,CONFIG_ASIGNATURAS!$B$2:$J$61,9,FALSE()),""))</f>
      </c>
    </row>
    <row r="15292">
      <c r="E15292">
        <f>IF(DATOS!$I15292="","",IFERROR(VLOOKUP(DATOS!$I15292,CONFIG_ASIGNATURAS!$B$2:$J$61,9,FALSE()),""))</f>
      </c>
    </row>
    <row r="15293">
      <c r="E15293">
        <f>IF(DATOS!$I15293="","",IFERROR(VLOOKUP(DATOS!$I15293,CONFIG_ASIGNATURAS!$B$2:$J$61,9,FALSE()),""))</f>
      </c>
    </row>
    <row r="15294">
      <c r="E15294">
        <f>IF(DATOS!$I15294="","",IFERROR(VLOOKUP(DATOS!$I15294,CONFIG_ASIGNATURAS!$B$2:$J$61,9,FALSE()),""))</f>
      </c>
    </row>
    <row r="15295">
      <c r="E15295">
        <f>IF(DATOS!$I15295="","",IFERROR(VLOOKUP(DATOS!$I15295,CONFIG_ASIGNATURAS!$B$2:$J$61,9,FALSE()),""))</f>
      </c>
    </row>
    <row r="15296">
      <c r="E15296">
        <f>IF(DATOS!$I15296="","",IFERROR(VLOOKUP(DATOS!$I15296,CONFIG_ASIGNATURAS!$B$2:$J$61,9,FALSE()),""))</f>
      </c>
    </row>
    <row r="15297">
      <c r="E15297">
        <f>IF(DATOS!$I15297="","",IFERROR(VLOOKUP(DATOS!$I15297,CONFIG_ASIGNATURAS!$B$2:$J$61,9,FALSE()),""))</f>
      </c>
    </row>
    <row r="15298">
      <c r="E15298">
        <f>IF(DATOS!$I15298="","",IFERROR(VLOOKUP(DATOS!$I15298,CONFIG_ASIGNATURAS!$B$2:$J$61,9,FALSE()),""))</f>
      </c>
    </row>
    <row r="15299">
      <c r="E15299">
        <f>IF(DATOS!$I15299="","",IFERROR(VLOOKUP(DATOS!$I15299,CONFIG_ASIGNATURAS!$B$2:$J$61,9,FALSE()),""))</f>
      </c>
    </row>
    <row r="15300">
      <c r="E15300">
        <f>IF(DATOS!$I15300="","",IFERROR(VLOOKUP(DATOS!$I15300,CONFIG_ASIGNATURAS!$B$2:$J$61,9,FALSE()),""))</f>
      </c>
    </row>
    <row r="15301">
      <c r="E15301">
        <f>IF(DATOS!$I15301="","",IFERROR(VLOOKUP(DATOS!$I15301,CONFIG_ASIGNATURAS!$B$2:$J$61,9,FALSE()),""))</f>
      </c>
    </row>
    <row r="15302">
      <c r="E15302">
        <f>IF(DATOS!$I15302="","",IFERROR(VLOOKUP(DATOS!$I15302,CONFIG_ASIGNATURAS!$B$2:$J$61,9,FALSE()),""))</f>
      </c>
    </row>
    <row r="15303">
      <c r="E15303">
        <f>IF(DATOS!$I15303="","",IFERROR(VLOOKUP(DATOS!$I15303,CONFIG_ASIGNATURAS!$B$2:$J$61,9,FALSE()),""))</f>
      </c>
    </row>
    <row r="15304">
      <c r="E15304">
        <f>IF(DATOS!$I15304="","",IFERROR(VLOOKUP(DATOS!$I15304,CONFIG_ASIGNATURAS!$B$2:$J$61,9,FALSE()),""))</f>
      </c>
    </row>
    <row r="15305">
      <c r="E15305">
        <f>IF(DATOS!$I15305="","",IFERROR(VLOOKUP(DATOS!$I15305,CONFIG_ASIGNATURAS!$B$2:$J$61,9,FALSE()),""))</f>
      </c>
    </row>
    <row r="15306">
      <c r="E15306">
        <f>IF(DATOS!$I15306="","",IFERROR(VLOOKUP(DATOS!$I15306,CONFIG_ASIGNATURAS!$B$2:$J$61,9,FALSE()),""))</f>
      </c>
    </row>
    <row r="15307">
      <c r="E15307">
        <f>IF(DATOS!$I15307="","",IFERROR(VLOOKUP(DATOS!$I15307,CONFIG_ASIGNATURAS!$B$2:$J$61,9,FALSE()),""))</f>
      </c>
    </row>
    <row r="15308">
      <c r="E15308">
        <f>IF(DATOS!$I15308="","",IFERROR(VLOOKUP(DATOS!$I15308,CONFIG_ASIGNATURAS!$B$2:$J$61,9,FALSE()),""))</f>
      </c>
    </row>
    <row r="15309">
      <c r="E15309">
        <f>IF(DATOS!$I15309="","",IFERROR(VLOOKUP(DATOS!$I15309,CONFIG_ASIGNATURAS!$B$2:$J$61,9,FALSE()),""))</f>
      </c>
    </row>
    <row r="15310">
      <c r="E15310">
        <f>IF(DATOS!$I15310="","",IFERROR(VLOOKUP(DATOS!$I15310,CONFIG_ASIGNATURAS!$B$2:$J$61,9,FALSE()),""))</f>
      </c>
    </row>
    <row r="15311">
      <c r="E15311">
        <f>IF(DATOS!$I15311="","",IFERROR(VLOOKUP(DATOS!$I15311,CONFIG_ASIGNATURAS!$B$2:$J$61,9,FALSE()),""))</f>
      </c>
    </row>
    <row r="15312">
      <c r="E15312">
        <f>IF(DATOS!$I15312="","",IFERROR(VLOOKUP(DATOS!$I15312,CONFIG_ASIGNATURAS!$B$2:$J$61,9,FALSE()),""))</f>
      </c>
    </row>
    <row r="15313">
      <c r="E15313">
        <f>IF(DATOS!$I15313="","",IFERROR(VLOOKUP(DATOS!$I15313,CONFIG_ASIGNATURAS!$B$2:$J$61,9,FALSE()),""))</f>
      </c>
    </row>
    <row r="15314">
      <c r="E15314">
        <f>IF(DATOS!$I15314="","",IFERROR(VLOOKUP(DATOS!$I15314,CONFIG_ASIGNATURAS!$B$2:$J$61,9,FALSE()),""))</f>
      </c>
    </row>
    <row r="15315">
      <c r="E15315">
        <f>IF(DATOS!$I15315="","",IFERROR(VLOOKUP(DATOS!$I15315,CONFIG_ASIGNATURAS!$B$2:$J$61,9,FALSE()),""))</f>
      </c>
    </row>
    <row r="15316">
      <c r="E15316">
        <f>IF(DATOS!$I15316="","",IFERROR(VLOOKUP(DATOS!$I15316,CONFIG_ASIGNATURAS!$B$2:$J$61,9,FALSE()),""))</f>
      </c>
    </row>
    <row r="15317">
      <c r="E15317">
        <f>IF(DATOS!$I15317="","",IFERROR(VLOOKUP(DATOS!$I15317,CONFIG_ASIGNATURAS!$B$2:$J$61,9,FALSE()),""))</f>
      </c>
    </row>
    <row r="15318">
      <c r="E15318">
        <f>IF(DATOS!$I15318="","",IFERROR(VLOOKUP(DATOS!$I15318,CONFIG_ASIGNATURAS!$B$2:$J$61,9,FALSE()),""))</f>
      </c>
    </row>
    <row r="15319">
      <c r="E15319">
        <f>IF(DATOS!$I15319="","",IFERROR(VLOOKUP(DATOS!$I15319,CONFIG_ASIGNATURAS!$B$2:$J$61,9,FALSE()),""))</f>
      </c>
    </row>
    <row r="15320">
      <c r="E15320">
        <f>IF(DATOS!$I15320="","",IFERROR(VLOOKUP(DATOS!$I15320,CONFIG_ASIGNATURAS!$B$2:$J$61,9,FALSE()),""))</f>
      </c>
    </row>
    <row r="15321">
      <c r="E15321">
        <f>IF(DATOS!$I15321="","",IFERROR(VLOOKUP(DATOS!$I15321,CONFIG_ASIGNATURAS!$B$2:$J$61,9,FALSE()),""))</f>
      </c>
    </row>
    <row r="15322">
      <c r="E15322">
        <f>IF(DATOS!$I15322="","",IFERROR(VLOOKUP(DATOS!$I15322,CONFIG_ASIGNATURAS!$B$2:$J$61,9,FALSE()),""))</f>
      </c>
    </row>
    <row r="15323">
      <c r="E15323">
        <f>IF(DATOS!$I15323="","",IFERROR(VLOOKUP(DATOS!$I15323,CONFIG_ASIGNATURAS!$B$2:$J$61,9,FALSE()),""))</f>
      </c>
    </row>
    <row r="15324">
      <c r="E15324">
        <f>IF(DATOS!$I15324="","",IFERROR(VLOOKUP(DATOS!$I15324,CONFIG_ASIGNATURAS!$B$2:$J$61,9,FALSE()),""))</f>
      </c>
    </row>
    <row r="15325">
      <c r="E15325">
        <f>IF(DATOS!$I15325="","",IFERROR(VLOOKUP(DATOS!$I15325,CONFIG_ASIGNATURAS!$B$2:$J$61,9,FALSE()),""))</f>
      </c>
    </row>
    <row r="15326">
      <c r="E15326">
        <f>IF(DATOS!$I15326="","",IFERROR(VLOOKUP(DATOS!$I15326,CONFIG_ASIGNATURAS!$B$2:$J$61,9,FALSE()),""))</f>
      </c>
    </row>
    <row r="15327">
      <c r="E15327">
        <f>IF(DATOS!$I15327="","",IFERROR(VLOOKUP(DATOS!$I15327,CONFIG_ASIGNATURAS!$B$2:$J$61,9,FALSE()),""))</f>
      </c>
    </row>
    <row r="15328">
      <c r="E15328">
        <f>IF(DATOS!$I15328="","",IFERROR(VLOOKUP(DATOS!$I15328,CONFIG_ASIGNATURAS!$B$2:$J$61,9,FALSE()),""))</f>
      </c>
    </row>
    <row r="15329">
      <c r="E15329">
        <f>IF(DATOS!$I15329="","",IFERROR(VLOOKUP(DATOS!$I15329,CONFIG_ASIGNATURAS!$B$2:$J$61,9,FALSE()),""))</f>
      </c>
    </row>
    <row r="15330">
      <c r="E15330">
        <f>IF(DATOS!$I15330="","",IFERROR(VLOOKUP(DATOS!$I15330,CONFIG_ASIGNATURAS!$B$2:$J$61,9,FALSE()),""))</f>
      </c>
    </row>
    <row r="15331">
      <c r="E15331">
        <f>IF(DATOS!$I15331="","",IFERROR(VLOOKUP(DATOS!$I15331,CONFIG_ASIGNATURAS!$B$2:$J$61,9,FALSE()),""))</f>
      </c>
    </row>
    <row r="15332">
      <c r="E15332">
        <f>IF(DATOS!$I15332="","",IFERROR(VLOOKUP(DATOS!$I15332,CONFIG_ASIGNATURAS!$B$2:$J$61,9,FALSE()),""))</f>
      </c>
    </row>
    <row r="15333">
      <c r="E15333">
        <f>IF(DATOS!$I15333="","",IFERROR(VLOOKUP(DATOS!$I15333,CONFIG_ASIGNATURAS!$B$2:$J$61,9,FALSE()),""))</f>
      </c>
    </row>
    <row r="15334">
      <c r="E15334">
        <f>IF(DATOS!$I15334="","",IFERROR(VLOOKUP(DATOS!$I15334,CONFIG_ASIGNATURAS!$B$2:$J$61,9,FALSE()),""))</f>
      </c>
    </row>
    <row r="15335">
      <c r="E15335">
        <f>IF(DATOS!$I15335="","",IFERROR(VLOOKUP(DATOS!$I15335,CONFIG_ASIGNATURAS!$B$2:$J$61,9,FALSE()),""))</f>
      </c>
    </row>
    <row r="15336">
      <c r="E15336">
        <f>IF(DATOS!$I15336="","",IFERROR(VLOOKUP(DATOS!$I15336,CONFIG_ASIGNATURAS!$B$2:$J$61,9,FALSE()),""))</f>
      </c>
    </row>
    <row r="15337">
      <c r="E15337">
        <f>IF(DATOS!$I15337="","",IFERROR(VLOOKUP(DATOS!$I15337,CONFIG_ASIGNATURAS!$B$2:$J$61,9,FALSE()),""))</f>
      </c>
    </row>
    <row r="15338">
      <c r="E15338">
        <f>IF(DATOS!$I15338="","",IFERROR(VLOOKUP(DATOS!$I15338,CONFIG_ASIGNATURAS!$B$2:$J$61,9,FALSE()),""))</f>
      </c>
    </row>
    <row r="15339">
      <c r="E15339">
        <f>IF(DATOS!$I15339="","",IFERROR(VLOOKUP(DATOS!$I15339,CONFIG_ASIGNATURAS!$B$2:$J$61,9,FALSE()),""))</f>
      </c>
    </row>
    <row r="15340">
      <c r="E15340">
        <f>IF(DATOS!$I15340="","",IFERROR(VLOOKUP(DATOS!$I15340,CONFIG_ASIGNATURAS!$B$2:$J$61,9,FALSE()),""))</f>
      </c>
    </row>
    <row r="15341">
      <c r="E15341">
        <f>IF(DATOS!$I15341="","",IFERROR(VLOOKUP(DATOS!$I15341,CONFIG_ASIGNATURAS!$B$2:$J$61,9,FALSE()),""))</f>
      </c>
    </row>
    <row r="15342">
      <c r="E15342">
        <f>IF(DATOS!$I15342="","",IFERROR(VLOOKUP(DATOS!$I15342,CONFIG_ASIGNATURAS!$B$2:$J$61,9,FALSE()),""))</f>
      </c>
    </row>
    <row r="15343">
      <c r="E15343">
        <f>IF(DATOS!$I15343="","",IFERROR(VLOOKUP(DATOS!$I15343,CONFIG_ASIGNATURAS!$B$2:$J$61,9,FALSE()),""))</f>
      </c>
    </row>
    <row r="15344">
      <c r="E15344">
        <f>IF(DATOS!$I15344="","",IFERROR(VLOOKUP(DATOS!$I15344,CONFIG_ASIGNATURAS!$B$2:$J$61,9,FALSE()),""))</f>
      </c>
    </row>
    <row r="15345">
      <c r="E15345">
        <f>IF(DATOS!$I15345="","",IFERROR(VLOOKUP(DATOS!$I15345,CONFIG_ASIGNATURAS!$B$2:$J$61,9,FALSE()),""))</f>
      </c>
    </row>
    <row r="15346">
      <c r="E15346">
        <f>IF(DATOS!$I15346="","",IFERROR(VLOOKUP(DATOS!$I15346,CONFIG_ASIGNATURAS!$B$2:$J$61,9,FALSE()),""))</f>
      </c>
    </row>
    <row r="15347">
      <c r="E15347">
        <f>IF(DATOS!$I15347="","",IFERROR(VLOOKUP(DATOS!$I15347,CONFIG_ASIGNATURAS!$B$2:$J$61,9,FALSE()),""))</f>
      </c>
    </row>
    <row r="15348">
      <c r="E15348">
        <f>IF(DATOS!$I15348="","",IFERROR(VLOOKUP(DATOS!$I15348,CONFIG_ASIGNATURAS!$B$2:$J$61,9,FALSE()),""))</f>
      </c>
    </row>
    <row r="15349">
      <c r="E15349">
        <f>IF(DATOS!$I15349="","",IFERROR(VLOOKUP(DATOS!$I15349,CONFIG_ASIGNATURAS!$B$2:$J$61,9,FALSE()),""))</f>
      </c>
    </row>
    <row r="15350">
      <c r="E15350">
        <f>IF(DATOS!$I15350="","",IFERROR(VLOOKUP(DATOS!$I15350,CONFIG_ASIGNATURAS!$B$2:$J$61,9,FALSE()),""))</f>
      </c>
    </row>
    <row r="15351">
      <c r="E15351">
        <f>IF(DATOS!$I15351="","",IFERROR(VLOOKUP(DATOS!$I15351,CONFIG_ASIGNATURAS!$B$2:$J$61,9,FALSE()),""))</f>
      </c>
    </row>
    <row r="15352">
      <c r="E15352">
        <f>IF(DATOS!$I15352="","",IFERROR(VLOOKUP(DATOS!$I15352,CONFIG_ASIGNATURAS!$B$2:$J$61,9,FALSE()),""))</f>
      </c>
    </row>
    <row r="15353">
      <c r="E15353">
        <f>IF(DATOS!$I15353="","",IFERROR(VLOOKUP(DATOS!$I15353,CONFIG_ASIGNATURAS!$B$2:$J$61,9,FALSE()),""))</f>
      </c>
    </row>
    <row r="15354">
      <c r="E15354">
        <f>IF(DATOS!$I15354="","",IFERROR(VLOOKUP(DATOS!$I15354,CONFIG_ASIGNATURAS!$B$2:$J$61,9,FALSE()),""))</f>
      </c>
    </row>
    <row r="15355">
      <c r="E15355">
        <f>IF(DATOS!$I15355="","",IFERROR(VLOOKUP(DATOS!$I15355,CONFIG_ASIGNATURAS!$B$2:$J$61,9,FALSE()),""))</f>
      </c>
    </row>
    <row r="15356">
      <c r="E15356">
        <f>IF(DATOS!$I15356="","",IFERROR(VLOOKUP(DATOS!$I15356,CONFIG_ASIGNATURAS!$B$2:$J$61,9,FALSE()),""))</f>
      </c>
    </row>
    <row r="15357">
      <c r="E15357">
        <f>IF(DATOS!$I15357="","",IFERROR(VLOOKUP(DATOS!$I15357,CONFIG_ASIGNATURAS!$B$2:$J$61,9,FALSE()),""))</f>
      </c>
    </row>
    <row r="15358">
      <c r="E15358">
        <f>IF(DATOS!$I15358="","",IFERROR(VLOOKUP(DATOS!$I15358,CONFIG_ASIGNATURAS!$B$2:$J$61,9,FALSE()),""))</f>
      </c>
    </row>
    <row r="15359">
      <c r="E15359">
        <f>IF(DATOS!$I15359="","",IFERROR(VLOOKUP(DATOS!$I15359,CONFIG_ASIGNATURAS!$B$2:$J$61,9,FALSE()),""))</f>
      </c>
    </row>
    <row r="15360">
      <c r="E15360">
        <f>IF(DATOS!$I15360="","",IFERROR(VLOOKUP(DATOS!$I15360,CONFIG_ASIGNATURAS!$B$2:$J$61,9,FALSE()),""))</f>
      </c>
    </row>
    <row r="15361">
      <c r="E15361">
        <f>IF(DATOS!$I15361="","",IFERROR(VLOOKUP(DATOS!$I15361,CONFIG_ASIGNATURAS!$B$2:$J$61,9,FALSE()),""))</f>
      </c>
    </row>
    <row r="15362">
      <c r="E15362">
        <f>IF(DATOS!$I15362="","",IFERROR(VLOOKUP(DATOS!$I15362,CONFIG_ASIGNATURAS!$B$2:$J$61,9,FALSE()),""))</f>
      </c>
    </row>
    <row r="15363">
      <c r="E15363">
        <f>IF(DATOS!$I15363="","",IFERROR(VLOOKUP(DATOS!$I15363,CONFIG_ASIGNATURAS!$B$2:$J$61,9,FALSE()),""))</f>
      </c>
    </row>
    <row r="15364">
      <c r="E15364">
        <f>IF(DATOS!$I15364="","",IFERROR(VLOOKUP(DATOS!$I15364,CONFIG_ASIGNATURAS!$B$2:$J$61,9,FALSE()),""))</f>
      </c>
    </row>
    <row r="15365">
      <c r="E15365">
        <f>IF(DATOS!$I15365="","",IFERROR(VLOOKUP(DATOS!$I15365,CONFIG_ASIGNATURAS!$B$2:$J$61,9,FALSE()),""))</f>
      </c>
    </row>
    <row r="15366">
      <c r="E15366">
        <f>IF(DATOS!$I15366="","",IFERROR(VLOOKUP(DATOS!$I15366,CONFIG_ASIGNATURAS!$B$2:$J$61,9,FALSE()),""))</f>
      </c>
    </row>
    <row r="15367">
      <c r="E15367">
        <f>IF(DATOS!$I15367="","",IFERROR(VLOOKUP(DATOS!$I15367,CONFIG_ASIGNATURAS!$B$2:$J$61,9,FALSE()),""))</f>
      </c>
    </row>
    <row r="15368">
      <c r="E15368">
        <f>IF(DATOS!$I15368="","",IFERROR(VLOOKUP(DATOS!$I15368,CONFIG_ASIGNATURAS!$B$2:$J$61,9,FALSE()),""))</f>
      </c>
    </row>
    <row r="15369">
      <c r="E15369">
        <f>IF(DATOS!$I15369="","",IFERROR(VLOOKUP(DATOS!$I15369,CONFIG_ASIGNATURAS!$B$2:$J$61,9,FALSE()),""))</f>
      </c>
    </row>
    <row r="15370">
      <c r="E15370">
        <f>IF(DATOS!$I15370="","",IFERROR(VLOOKUP(DATOS!$I15370,CONFIG_ASIGNATURAS!$B$2:$J$61,9,FALSE()),""))</f>
      </c>
    </row>
    <row r="15371">
      <c r="E15371">
        <f>IF(DATOS!$I15371="","",IFERROR(VLOOKUP(DATOS!$I15371,CONFIG_ASIGNATURAS!$B$2:$J$61,9,FALSE()),""))</f>
      </c>
    </row>
    <row r="15372">
      <c r="E15372">
        <f>IF(DATOS!$I15372="","",IFERROR(VLOOKUP(DATOS!$I15372,CONFIG_ASIGNATURAS!$B$2:$J$61,9,FALSE()),""))</f>
      </c>
    </row>
    <row r="15373">
      <c r="E15373">
        <f>IF(DATOS!$I15373="","",IFERROR(VLOOKUP(DATOS!$I15373,CONFIG_ASIGNATURAS!$B$2:$J$61,9,FALSE()),""))</f>
      </c>
    </row>
    <row r="15374">
      <c r="E15374">
        <f>IF(DATOS!$I15374="","",IFERROR(VLOOKUP(DATOS!$I15374,CONFIG_ASIGNATURAS!$B$2:$J$61,9,FALSE()),""))</f>
      </c>
    </row>
    <row r="15375">
      <c r="E15375">
        <f>IF(DATOS!$I15375="","",IFERROR(VLOOKUP(DATOS!$I15375,CONFIG_ASIGNATURAS!$B$2:$J$61,9,FALSE()),""))</f>
      </c>
    </row>
    <row r="15376">
      <c r="E15376">
        <f>IF(DATOS!$I15376="","",IFERROR(VLOOKUP(DATOS!$I15376,CONFIG_ASIGNATURAS!$B$2:$J$61,9,FALSE()),""))</f>
      </c>
    </row>
    <row r="15377">
      <c r="E15377">
        <f>IF(DATOS!$I15377="","",IFERROR(VLOOKUP(DATOS!$I15377,CONFIG_ASIGNATURAS!$B$2:$J$61,9,FALSE()),""))</f>
      </c>
    </row>
    <row r="15378">
      <c r="E15378">
        <f>IF(DATOS!$I15378="","",IFERROR(VLOOKUP(DATOS!$I15378,CONFIG_ASIGNATURAS!$B$2:$J$61,9,FALSE()),""))</f>
      </c>
    </row>
    <row r="15379">
      <c r="E15379">
        <f>IF(DATOS!$I15379="","",IFERROR(VLOOKUP(DATOS!$I15379,CONFIG_ASIGNATURAS!$B$2:$J$61,9,FALSE()),""))</f>
      </c>
    </row>
    <row r="15380">
      <c r="E15380">
        <f>IF(DATOS!$I15380="","",IFERROR(VLOOKUP(DATOS!$I15380,CONFIG_ASIGNATURAS!$B$2:$J$61,9,FALSE()),""))</f>
      </c>
    </row>
    <row r="15381">
      <c r="E15381">
        <f>IF(DATOS!$I15381="","",IFERROR(VLOOKUP(DATOS!$I15381,CONFIG_ASIGNATURAS!$B$2:$J$61,9,FALSE()),""))</f>
      </c>
    </row>
    <row r="15382">
      <c r="E15382">
        <f>IF(DATOS!$I15382="","",IFERROR(VLOOKUP(DATOS!$I15382,CONFIG_ASIGNATURAS!$B$2:$J$61,9,FALSE()),""))</f>
      </c>
    </row>
    <row r="15383">
      <c r="E15383">
        <f>IF(DATOS!$I15383="","",IFERROR(VLOOKUP(DATOS!$I15383,CONFIG_ASIGNATURAS!$B$2:$J$61,9,FALSE()),""))</f>
      </c>
    </row>
    <row r="15384">
      <c r="E15384">
        <f>IF(DATOS!$I15384="","",IFERROR(VLOOKUP(DATOS!$I15384,CONFIG_ASIGNATURAS!$B$2:$J$61,9,FALSE()),""))</f>
      </c>
    </row>
    <row r="15385">
      <c r="E15385">
        <f>IF(DATOS!$I15385="","",IFERROR(VLOOKUP(DATOS!$I15385,CONFIG_ASIGNATURAS!$B$2:$J$61,9,FALSE()),""))</f>
      </c>
    </row>
    <row r="15386">
      <c r="E15386">
        <f>IF(DATOS!$I15386="","",IFERROR(VLOOKUP(DATOS!$I15386,CONFIG_ASIGNATURAS!$B$2:$J$61,9,FALSE()),""))</f>
      </c>
    </row>
    <row r="15387">
      <c r="E15387">
        <f>IF(DATOS!$I15387="","",IFERROR(VLOOKUP(DATOS!$I15387,CONFIG_ASIGNATURAS!$B$2:$J$61,9,FALSE()),""))</f>
      </c>
    </row>
    <row r="15388">
      <c r="E15388">
        <f>IF(DATOS!$I15388="","",IFERROR(VLOOKUP(DATOS!$I15388,CONFIG_ASIGNATURAS!$B$2:$J$61,9,FALSE()),""))</f>
      </c>
    </row>
    <row r="15389">
      <c r="E15389">
        <f>IF(DATOS!$I15389="","",IFERROR(VLOOKUP(DATOS!$I15389,CONFIG_ASIGNATURAS!$B$2:$J$61,9,FALSE()),""))</f>
      </c>
    </row>
    <row r="15390">
      <c r="E15390">
        <f>IF(DATOS!$I15390="","",IFERROR(VLOOKUP(DATOS!$I15390,CONFIG_ASIGNATURAS!$B$2:$J$61,9,FALSE()),""))</f>
      </c>
    </row>
    <row r="15391">
      <c r="E15391">
        <f>IF(DATOS!$I15391="","",IFERROR(VLOOKUP(DATOS!$I15391,CONFIG_ASIGNATURAS!$B$2:$J$61,9,FALSE()),""))</f>
      </c>
    </row>
    <row r="15392">
      <c r="E15392">
        <f>IF(DATOS!$I15392="","",IFERROR(VLOOKUP(DATOS!$I15392,CONFIG_ASIGNATURAS!$B$2:$J$61,9,FALSE()),""))</f>
      </c>
    </row>
    <row r="15393">
      <c r="E15393">
        <f>IF(DATOS!$I15393="","",IFERROR(VLOOKUP(DATOS!$I15393,CONFIG_ASIGNATURAS!$B$2:$J$61,9,FALSE()),""))</f>
      </c>
    </row>
    <row r="15394">
      <c r="E15394">
        <f>IF(DATOS!$I15394="","",IFERROR(VLOOKUP(DATOS!$I15394,CONFIG_ASIGNATURAS!$B$2:$J$61,9,FALSE()),""))</f>
      </c>
    </row>
    <row r="15395">
      <c r="E15395">
        <f>IF(DATOS!$I15395="","",IFERROR(VLOOKUP(DATOS!$I15395,CONFIG_ASIGNATURAS!$B$2:$J$61,9,FALSE()),""))</f>
      </c>
    </row>
    <row r="15396">
      <c r="E15396">
        <f>IF(DATOS!$I15396="","",IFERROR(VLOOKUP(DATOS!$I15396,CONFIG_ASIGNATURAS!$B$2:$J$61,9,FALSE()),""))</f>
      </c>
    </row>
    <row r="15397">
      <c r="E15397">
        <f>IF(DATOS!$I15397="","",IFERROR(VLOOKUP(DATOS!$I15397,CONFIG_ASIGNATURAS!$B$2:$J$61,9,FALSE()),""))</f>
      </c>
    </row>
    <row r="15398">
      <c r="E15398">
        <f>IF(DATOS!$I15398="","",IFERROR(VLOOKUP(DATOS!$I15398,CONFIG_ASIGNATURAS!$B$2:$J$61,9,FALSE()),""))</f>
      </c>
    </row>
    <row r="15399">
      <c r="E15399">
        <f>IF(DATOS!$I15399="","",IFERROR(VLOOKUP(DATOS!$I15399,CONFIG_ASIGNATURAS!$B$2:$J$61,9,FALSE()),""))</f>
      </c>
    </row>
    <row r="15400">
      <c r="E15400">
        <f>IF(DATOS!$I15400="","",IFERROR(VLOOKUP(DATOS!$I15400,CONFIG_ASIGNATURAS!$B$2:$J$61,9,FALSE()),""))</f>
      </c>
    </row>
    <row r="15401">
      <c r="E15401">
        <f>IF(DATOS!$I15401="","",IFERROR(VLOOKUP(DATOS!$I15401,CONFIG_ASIGNATURAS!$B$2:$J$61,9,FALSE()),""))</f>
      </c>
    </row>
    <row r="15402">
      <c r="E15402">
        <f>IF(DATOS!$I15402="","",IFERROR(VLOOKUP(DATOS!$I15402,CONFIG_ASIGNATURAS!$B$2:$J$61,9,FALSE()),""))</f>
      </c>
    </row>
    <row r="15403">
      <c r="E15403">
        <f>IF(DATOS!$I15403="","",IFERROR(VLOOKUP(DATOS!$I15403,CONFIG_ASIGNATURAS!$B$2:$J$61,9,FALSE()),""))</f>
      </c>
    </row>
    <row r="15404">
      <c r="E15404">
        <f>IF(DATOS!$I15404="","",IFERROR(VLOOKUP(DATOS!$I15404,CONFIG_ASIGNATURAS!$B$2:$J$61,9,FALSE()),""))</f>
      </c>
    </row>
    <row r="15405">
      <c r="E15405">
        <f>IF(DATOS!$I15405="","",IFERROR(VLOOKUP(DATOS!$I15405,CONFIG_ASIGNATURAS!$B$2:$J$61,9,FALSE()),""))</f>
      </c>
    </row>
    <row r="15406">
      <c r="E15406">
        <f>IF(DATOS!$I15406="","",IFERROR(VLOOKUP(DATOS!$I15406,CONFIG_ASIGNATURAS!$B$2:$J$61,9,FALSE()),""))</f>
      </c>
    </row>
    <row r="15407">
      <c r="E15407">
        <f>IF(DATOS!$I15407="","",IFERROR(VLOOKUP(DATOS!$I15407,CONFIG_ASIGNATURAS!$B$2:$J$61,9,FALSE()),""))</f>
      </c>
    </row>
    <row r="15408">
      <c r="E15408">
        <f>IF(DATOS!$I15408="","",IFERROR(VLOOKUP(DATOS!$I15408,CONFIG_ASIGNATURAS!$B$2:$J$61,9,FALSE()),""))</f>
      </c>
    </row>
    <row r="15409">
      <c r="E15409">
        <f>IF(DATOS!$I15409="","",IFERROR(VLOOKUP(DATOS!$I15409,CONFIG_ASIGNATURAS!$B$2:$J$61,9,FALSE()),""))</f>
      </c>
    </row>
    <row r="15410">
      <c r="E15410">
        <f>IF(DATOS!$I15410="","",IFERROR(VLOOKUP(DATOS!$I15410,CONFIG_ASIGNATURAS!$B$2:$J$61,9,FALSE()),""))</f>
      </c>
    </row>
    <row r="15411">
      <c r="E15411">
        <f>IF(DATOS!$I15411="","",IFERROR(VLOOKUP(DATOS!$I15411,CONFIG_ASIGNATURAS!$B$2:$J$61,9,FALSE()),""))</f>
      </c>
    </row>
    <row r="15412">
      <c r="E15412">
        <f>IF(DATOS!$I15412="","",IFERROR(VLOOKUP(DATOS!$I15412,CONFIG_ASIGNATURAS!$B$2:$J$61,9,FALSE()),""))</f>
      </c>
    </row>
    <row r="15413">
      <c r="E15413">
        <f>IF(DATOS!$I15413="","",IFERROR(VLOOKUP(DATOS!$I15413,CONFIG_ASIGNATURAS!$B$2:$J$61,9,FALSE()),""))</f>
      </c>
    </row>
    <row r="15414">
      <c r="E15414">
        <f>IF(DATOS!$I15414="","",IFERROR(VLOOKUP(DATOS!$I15414,CONFIG_ASIGNATURAS!$B$2:$J$61,9,FALSE()),""))</f>
      </c>
    </row>
    <row r="15415">
      <c r="E15415">
        <f>IF(DATOS!$I15415="","",IFERROR(VLOOKUP(DATOS!$I15415,CONFIG_ASIGNATURAS!$B$2:$J$61,9,FALSE()),""))</f>
      </c>
    </row>
    <row r="15416">
      <c r="E15416">
        <f>IF(DATOS!$I15416="","",IFERROR(VLOOKUP(DATOS!$I15416,CONFIG_ASIGNATURAS!$B$2:$J$61,9,FALSE()),""))</f>
      </c>
    </row>
    <row r="15417">
      <c r="E15417">
        <f>IF(DATOS!$I15417="","",IFERROR(VLOOKUP(DATOS!$I15417,CONFIG_ASIGNATURAS!$B$2:$J$61,9,FALSE()),""))</f>
      </c>
    </row>
    <row r="15418">
      <c r="E15418">
        <f>IF(DATOS!$I15418="","",IFERROR(VLOOKUP(DATOS!$I15418,CONFIG_ASIGNATURAS!$B$2:$J$61,9,FALSE()),""))</f>
      </c>
    </row>
    <row r="15419">
      <c r="E15419">
        <f>IF(DATOS!$I15419="","",IFERROR(VLOOKUP(DATOS!$I15419,CONFIG_ASIGNATURAS!$B$2:$J$61,9,FALSE()),""))</f>
      </c>
    </row>
    <row r="15420">
      <c r="E15420">
        <f>IF(DATOS!$I15420="","",IFERROR(VLOOKUP(DATOS!$I15420,CONFIG_ASIGNATURAS!$B$2:$J$61,9,FALSE()),""))</f>
      </c>
    </row>
    <row r="15421">
      <c r="E15421">
        <f>IF(DATOS!$I15421="","",IFERROR(VLOOKUP(DATOS!$I15421,CONFIG_ASIGNATURAS!$B$2:$J$61,9,FALSE()),""))</f>
      </c>
    </row>
    <row r="15422">
      <c r="E15422">
        <f>IF(DATOS!$I15422="","",IFERROR(VLOOKUP(DATOS!$I15422,CONFIG_ASIGNATURAS!$B$2:$J$61,9,FALSE()),""))</f>
      </c>
    </row>
    <row r="15423">
      <c r="E15423">
        <f>IF(DATOS!$I15423="","",IFERROR(VLOOKUP(DATOS!$I15423,CONFIG_ASIGNATURAS!$B$2:$J$61,9,FALSE()),""))</f>
      </c>
    </row>
    <row r="15424">
      <c r="E15424">
        <f>IF(DATOS!$I15424="","",IFERROR(VLOOKUP(DATOS!$I15424,CONFIG_ASIGNATURAS!$B$2:$J$61,9,FALSE()),""))</f>
      </c>
    </row>
    <row r="15425">
      <c r="E15425">
        <f>IF(DATOS!$I15425="","",IFERROR(VLOOKUP(DATOS!$I15425,CONFIG_ASIGNATURAS!$B$2:$J$61,9,FALSE()),""))</f>
      </c>
    </row>
    <row r="15426">
      <c r="E15426">
        <f>IF(DATOS!$I15426="","",IFERROR(VLOOKUP(DATOS!$I15426,CONFIG_ASIGNATURAS!$B$2:$J$61,9,FALSE()),""))</f>
      </c>
    </row>
    <row r="15427">
      <c r="E15427">
        <f>IF(DATOS!$I15427="","",IFERROR(VLOOKUP(DATOS!$I15427,CONFIG_ASIGNATURAS!$B$2:$J$61,9,FALSE()),""))</f>
      </c>
    </row>
    <row r="15428">
      <c r="E15428">
        <f>IF(DATOS!$I15428="","",IFERROR(VLOOKUP(DATOS!$I15428,CONFIG_ASIGNATURAS!$B$2:$J$61,9,FALSE()),""))</f>
      </c>
    </row>
    <row r="15429">
      <c r="E15429">
        <f>IF(DATOS!$I15429="","",IFERROR(VLOOKUP(DATOS!$I15429,CONFIG_ASIGNATURAS!$B$2:$J$61,9,FALSE()),""))</f>
      </c>
    </row>
    <row r="15430">
      <c r="E15430">
        <f>IF(DATOS!$I15430="","",IFERROR(VLOOKUP(DATOS!$I15430,CONFIG_ASIGNATURAS!$B$2:$J$61,9,FALSE()),""))</f>
      </c>
    </row>
    <row r="15431">
      <c r="E15431">
        <f>IF(DATOS!$I15431="","",IFERROR(VLOOKUP(DATOS!$I15431,CONFIG_ASIGNATURAS!$B$2:$J$61,9,FALSE()),""))</f>
      </c>
    </row>
    <row r="15432">
      <c r="E15432">
        <f>IF(DATOS!$I15432="","",IFERROR(VLOOKUP(DATOS!$I15432,CONFIG_ASIGNATURAS!$B$2:$J$61,9,FALSE()),""))</f>
      </c>
    </row>
    <row r="15433">
      <c r="E15433">
        <f>IF(DATOS!$I15433="","",IFERROR(VLOOKUP(DATOS!$I15433,CONFIG_ASIGNATURAS!$B$2:$J$61,9,FALSE()),""))</f>
      </c>
    </row>
    <row r="15434">
      <c r="E15434">
        <f>IF(DATOS!$I15434="","",IFERROR(VLOOKUP(DATOS!$I15434,CONFIG_ASIGNATURAS!$B$2:$J$61,9,FALSE()),""))</f>
      </c>
    </row>
    <row r="15435">
      <c r="E15435">
        <f>IF(DATOS!$I15435="","",IFERROR(VLOOKUP(DATOS!$I15435,CONFIG_ASIGNATURAS!$B$2:$J$61,9,FALSE()),""))</f>
      </c>
    </row>
    <row r="15436">
      <c r="E15436">
        <f>IF(DATOS!$I15436="","",IFERROR(VLOOKUP(DATOS!$I15436,CONFIG_ASIGNATURAS!$B$2:$J$61,9,FALSE()),""))</f>
      </c>
    </row>
    <row r="15437">
      <c r="E15437">
        <f>IF(DATOS!$I15437="","",IFERROR(VLOOKUP(DATOS!$I15437,CONFIG_ASIGNATURAS!$B$2:$J$61,9,FALSE()),""))</f>
      </c>
    </row>
    <row r="15438">
      <c r="E15438">
        <f>IF(DATOS!$I15438="","",IFERROR(VLOOKUP(DATOS!$I15438,CONFIG_ASIGNATURAS!$B$2:$J$61,9,FALSE()),""))</f>
      </c>
    </row>
    <row r="15439">
      <c r="E15439">
        <f>IF(DATOS!$I15439="","",IFERROR(VLOOKUP(DATOS!$I15439,CONFIG_ASIGNATURAS!$B$2:$J$61,9,FALSE()),""))</f>
      </c>
    </row>
    <row r="15440">
      <c r="E15440">
        <f>IF(DATOS!$I15440="","",IFERROR(VLOOKUP(DATOS!$I15440,CONFIG_ASIGNATURAS!$B$2:$J$61,9,FALSE()),""))</f>
      </c>
    </row>
    <row r="15441">
      <c r="E15441">
        <f>IF(DATOS!$I15441="","",IFERROR(VLOOKUP(DATOS!$I15441,CONFIG_ASIGNATURAS!$B$2:$J$61,9,FALSE()),""))</f>
      </c>
    </row>
    <row r="15442">
      <c r="E15442">
        <f>IF(DATOS!$I15442="","",IFERROR(VLOOKUP(DATOS!$I15442,CONFIG_ASIGNATURAS!$B$2:$J$61,9,FALSE()),""))</f>
      </c>
    </row>
    <row r="15443">
      <c r="E15443">
        <f>IF(DATOS!$I15443="","",IFERROR(VLOOKUP(DATOS!$I15443,CONFIG_ASIGNATURAS!$B$2:$J$61,9,FALSE()),""))</f>
      </c>
    </row>
    <row r="15444">
      <c r="E15444">
        <f>IF(DATOS!$I15444="","",IFERROR(VLOOKUP(DATOS!$I15444,CONFIG_ASIGNATURAS!$B$2:$J$61,9,FALSE()),""))</f>
      </c>
    </row>
    <row r="15445">
      <c r="E15445">
        <f>IF(DATOS!$I15445="","",IFERROR(VLOOKUP(DATOS!$I15445,CONFIG_ASIGNATURAS!$B$2:$J$61,9,FALSE()),""))</f>
      </c>
    </row>
    <row r="15446">
      <c r="E15446">
        <f>IF(DATOS!$I15446="","",IFERROR(VLOOKUP(DATOS!$I15446,CONFIG_ASIGNATURAS!$B$2:$J$61,9,FALSE()),""))</f>
      </c>
    </row>
    <row r="15447">
      <c r="E15447">
        <f>IF(DATOS!$I15447="","",IFERROR(VLOOKUP(DATOS!$I15447,CONFIG_ASIGNATURAS!$B$2:$J$61,9,FALSE()),""))</f>
      </c>
    </row>
    <row r="15448">
      <c r="E15448">
        <f>IF(DATOS!$I15448="","",IFERROR(VLOOKUP(DATOS!$I15448,CONFIG_ASIGNATURAS!$B$2:$J$61,9,FALSE()),""))</f>
      </c>
    </row>
    <row r="15449">
      <c r="E15449">
        <f>IF(DATOS!$I15449="","",IFERROR(VLOOKUP(DATOS!$I15449,CONFIG_ASIGNATURAS!$B$2:$J$61,9,FALSE()),""))</f>
      </c>
    </row>
    <row r="15450">
      <c r="E15450">
        <f>IF(DATOS!$I15450="","",IFERROR(VLOOKUP(DATOS!$I15450,CONFIG_ASIGNATURAS!$B$2:$J$61,9,FALSE()),""))</f>
      </c>
    </row>
    <row r="15451">
      <c r="E15451">
        <f>IF(DATOS!$I15451="","",IFERROR(VLOOKUP(DATOS!$I15451,CONFIG_ASIGNATURAS!$B$2:$J$61,9,FALSE()),""))</f>
      </c>
    </row>
    <row r="15452">
      <c r="E15452">
        <f>IF(DATOS!$I15452="","",IFERROR(VLOOKUP(DATOS!$I15452,CONFIG_ASIGNATURAS!$B$2:$J$61,9,FALSE()),""))</f>
      </c>
    </row>
    <row r="15453">
      <c r="E15453">
        <f>IF(DATOS!$I15453="","",IFERROR(VLOOKUP(DATOS!$I15453,CONFIG_ASIGNATURAS!$B$2:$J$61,9,FALSE()),""))</f>
      </c>
    </row>
    <row r="15454">
      <c r="E15454">
        <f>IF(DATOS!$I15454="","",IFERROR(VLOOKUP(DATOS!$I15454,CONFIG_ASIGNATURAS!$B$2:$J$61,9,FALSE()),""))</f>
      </c>
    </row>
    <row r="15455">
      <c r="E15455">
        <f>IF(DATOS!$I15455="","",IFERROR(VLOOKUP(DATOS!$I15455,CONFIG_ASIGNATURAS!$B$2:$J$61,9,FALSE()),""))</f>
      </c>
    </row>
    <row r="15456">
      <c r="E15456">
        <f>IF(DATOS!$I15456="","",IFERROR(VLOOKUP(DATOS!$I15456,CONFIG_ASIGNATURAS!$B$2:$J$61,9,FALSE()),""))</f>
      </c>
    </row>
    <row r="15457">
      <c r="E15457">
        <f>IF(DATOS!$I15457="","",IFERROR(VLOOKUP(DATOS!$I15457,CONFIG_ASIGNATURAS!$B$2:$J$61,9,FALSE()),""))</f>
      </c>
    </row>
    <row r="15458">
      <c r="E15458">
        <f>IF(DATOS!$I15458="","",IFERROR(VLOOKUP(DATOS!$I15458,CONFIG_ASIGNATURAS!$B$2:$J$61,9,FALSE()),""))</f>
      </c>
    </row>
    <row r="15459">
      <c r="E15459">
        <f>IF(DATOS!$I15459="","",IFERROR(VLOOKUP(DATOS!$I15459,CONFIG_ASIGNATURAS!$B$2:$J$61,9,FALSE()),""))</f>
      </c>
    </row>
    <row r="15460">
      <c r="E15460">
        <f>IF(DATOS!$I15460="","",IFERROR(VLOOKUP(DATOS!$I15460,CONFIG_ASIGNATURAS!$B$2:$J$61,9,FALSE()),""))</f>
      </c>
    </row>
    <row r="15461">
      <c r="E15461">
        <f>IF(DATOS!$I15461="","",IFERROR(VLOOKUP(DATOS!$I15461,CONFIG_ASIGNATURAS!$B$2:$J$61,9,FALSE()),""))</f>
      </c>
    </row>
    <row r="15462">
      <c r="E15462">
        <f>IF(DATOS!$I15462="","",IFERROR(VLOOKUP(DATOS!$I15462,CONFIG_ASIGNATURAS!$B$2:$J$61,9,FALSE()),""))</f>
      </c>
    </row>
    <row r="15463">
      <c r="E15463">
        <f>IF(DATOS!$I15463="","",IFERROR(VLOOKUP(DATOS!$I15463,CONFIG_ASIGNATURAS!$B$2:$J$61,9,FALSE()),""))</f>
      </c>
    </row>
    <row r="15464">
      <c r="E15464">
        <f>IF(DATOS!$I15464="","",IFERROR(VLOOKUP(DATOS!$I15464,CONFIG_ASIGNATURAS!$B$2:$J$61,9,FALSE()),""))</f>
      </c>
    </row>
    <row r="15465">
      <c r="E15465">
        <f>IF(DATOS!$I15465="","",IFERROR(VLOOKUP(DATOS!$I15465,CONFIG_ASIGNATURAS!$B$2:$J$61,9,FALSE()),""))</f>
      </c>
    </row>
    <row r="15466">
      <c r="E15466">
        <f>IF(DATOS!$I15466="","",IFERROR(VLOOKUP(DATOS!$I15466,CONFIG_ASIGNATURAS!$B$2:$J$61,9,FALSE()),""))</f>
      </c>
    </row>
    <row r="15467">
      <c r="E15467">
        <f>IF(DATOS!$I15467="","",IFERROR(VLOOKUP(DATOS!$I15467,CONFIG_ASIGNATURAS!$B$2:$J$61,9,FALSE()),""))</f>
      </c>
    </row>
    <row r="15468">
      <c r="E15468">
        <f>IF(DATOS!$I15468="","",IFERROR(VLOOKUP(DATOS!$I15468,CONFIG_ASIGNATURAS!$B$2:$J$61,9,FALSE()),""))</f>
      </c>
    </row>
    <row r="15469">
      <c r="E15469">
        <f>IF(DATOS!$I15469="","",IFERROR(VLOOKUP(DATOS!$I15469,CONFIG_ASIGNATURAS!$B$2:$J$61,9,FALSE()),""))</f>
      </c>
    </row>
    <row r="15470">
      <c r="E15470">
        <f>IF(DATOS!$I15470="","",IFERROR(VLOOKUP(DATOS!$I15470,CONFIG_ASIGNATURAS!$B$2:$J$61,9,FALSE()),""))</f>
      </c>
    </row>
    <row r="15471">
      <c r="E15471">
        <f>IF(DATOS!$I15471="","",IFERROR(VLOOKUP(DATOS!$I15471,CONFIG_ASIGNATURAS!$B$2:$J$61,9,FALSE()),""))</f>
      </c>
    </row>
    <row r="15472">
      <c r="E15472">
        <f>IF(DATOS!$I15472="","",IFERROR(VLOOKUP(DATOS!$I15472,CONFIG_ASIGNATURAS!$B$2:$J$61,9,FALSE()),""))</f>
      </c>
    </row>
    <row r="15473">
      <c r="E15473">
        <f>IF(DATOS!$I15473="","",IFERROR(VLOOKUP(DATOS!$I15473,CONFIG_ASIGNATURAS!$B$2:$J$61,9,FALSE()),""))</f>
      </c>
    </row>
    <row r="15474">
      <c r="E15474">
        <f>IF(DATOS!$I15474="","",IFERROR(VLOOKUP(DATOS!$I15474,CONFIG_ASIGNATURAS!$B$2:$J$61,9,FALSE()),""))</f>
      </c>
    </row>
    <row r="15475">
      <c r="E15475">
        <f>IF(DATOS!$I15475="","",IFERROR(VLOOKUP(DATOS!$I15475,CONFIG_ASIGNATURAS!$B$2:$J$61,9,FALSE()),""))</f>
      </c>
    </row>
    <row r="15476">
      <c r="E15476">
        <f>IF(DATOS!$I15476="","",IFERROR(VLOOKUP(DATOS!$I15476,CONFIG_ASIGNATURAS!$B$2:$J$61,9,FALSE()),""))</f>
      </c>
    </row>
    <row r="15477">
      <c r="E15477">
        <f>IF(DATOS!$I15477="","",IFERROR(VLOOKUP(DATOS!$I15477,CONFIG_ASIGNATURAS!$B$2:$J$61,9,FALSE()),""))</f>
      </c>
    </row>
    <row r="15478">
      <c r="E15478">
        <f>IF(DATOS!$I15478="","",IFERROR(VLOOKUP(DATOS!$I15478,CONFIG_ASIGNATURAS!$B$2:$J$61,9,FALSE()),""))</f>
      </c>
    </row>
    <row r="15479">
      <c r="E15479">
        <f>IF(DATOS!$I15479="","",IFERROR(VLOOKUP(DATOS!$I15479,CONFIG_ASIGNATURAS!$B$2:$J$61,9,FALSE()),""))</f>
      </c>
    </row>
    <row r="15480">
      <c r="E15480">
        <f>IF(DATOS!$I15480="","",IFERROR(VLOOKUP(DATOS!$I15480,CONFIG_ASIGNATURAS!$B$2:$J$61,9,FALSE()),""))</f>
      </c>
    </row>
    <row r="15481">
      <c r="E15481">
        <f>IF(DATOS!$I15481="","",IFERROR(VLOOKUP(DATOS!$I15481,CONFIG_ASIGNATURAS!$B$2:$J$61,9,FALSE()),""))</f>
      </c>
    </row>
    <row r="15482">
      <c r="E15482">
        <f>IF(DATOS!$I15482="","",IFERROR(VLOOKUP(DATOS!$I15482,CONFIG_ASIGNATURAS!$B$2:$J$61,9,FALSE()),""))</f>
      </c>
    </row>
    <row r="15483">
      <c r="E15483">
        <f>IF(DATOS!$I15483="","",IFERROR(VLOOKUP(DATOS!$I15483,CONFIG_ASIGNATURAS!$B$2:$J$61,9,FALSE()),""))</f>
      </c>
    </row>
    <row r="15484">
      <c r="E15484">
        <f>IF(DATOS!$I15484="","",IFERROR(VLOOKUP(DATOS!$I15484,CONFIG_ASIGNATURAS!$B$2:$J$61,9,FALSE()),""))</f>
      </c>
    </row>
    <row r="15485">
      <c r="E15485">
        <f>IF(DATOS!$I15485="","",IFERROR(VLOOKUP(DATOS!$I15485,CONFIG_ASIGNATURAS!$B$2:$J$61,9,FALSE()),""))</f>
      </c>
    </row>
    <row r="15486">
      <c r="E15486">
        <f>IF(DATOS!$I15486="","",IFERROR(VLOOKUP(DATOS!$I15486,CONFIG_ASIGNATURAS!$B$2:$J$61,9,FALSE()),""))</f>
      </c>
    </row>
    <row r="15487">
      <c r="E15487">
        <f>IF(DATOS!$I15487="","",IFERROR(VLOOKUP(DATOS!$I15487,CONFIG_ASIGNATURAS!$B$2:$J$61,9,FALSE()),""))</f>
      </c>
    </row>
    <row r="15488">
      <c r="E15488">
        <f>IF(DATOS!$I15488="","",IFERROR(VLOOKUP(DATOS!$I15488,CONFIG_ASIGNATURAS!$B$2:$J$61,9,FALSE()),""))</f>
      </c>
    </row>
    <row r="15489">
      <c r="E15489">
        <f>IF(DATOS!$I15489="","",IFERROR(VLOOKUP(DATOS!$I15489,CONFIG_ASIGNATURAS!$B$2:$J$61,9,FALSE()),""))</f>
      </c>
    </row>
    <row r="15490">
      <c r="E15490">
        <f>IF(DATOS!$I15490="","",IFERROR(VLOOKUP(DATOS!$I15490,CONFIG_ASIGNATURAS!$B$2:$J$61,9,FALSE()),""))</f>
      </c>
    </row>
    <row r="15491">
      <c r="E15491">
        <f>IF(DATOS!$I15491="","",IFERROR(VLOOKUP(DATOS!$I15491,CONFIG_ASIGNATURAS!$B$2:$J$61,9,FALSE()),""))</f>
      </c>
    </row>
    <row r="15492">
      <c r="E15492">
        <f>IF(DATOS!$I15492="","",IFERROR(VLOOKUP(DATOS!$I15492,CONFIG_ASIGNATURAS!$B$2:$J$61,9,FALSE()),""))</f>
      </c>
    </row>
    <row r="15493">
      <c r="E15493">
        <f>IF(DATOS!$I15493="","",IFERROR(VLOOKUP(DATOS!$I15493,CONFIG_ASIGNATURAS!$B$2:$J$61,9,FALSE()),""))</f>
      </c>
    </row>
    <row r="15494">
      <c r="E15494">
        <f>IF(DATOS!$I15494="","",IFERROR(VLOOKUP(DATOS!$I15494,CONFIG_ASIGNATURAS!$B$2:$J$61,9,FALSE()),""))</f>
      </c>
    </row>
    <row r="15495">
      <c r="E15495">
        <f>IF(DATOS!$I15495="","",IFERROR(VLOOKUP(DATOS!$I15495,CONFIG_ASIGNATURAS!$B$2:$J$61,9,FALSE()),""))</f>
      </c>
    </row>
    <row r="15496">
      <c r="E15496">
        <f>IF(DATOS!$I15496="","",IFERROR(VLOOKUP(DATOS!$I15496,CONFIG_ASIGNATURAS!$B$2:$J$61,9,FALSE()),""))</f>
      </c>
    </row>
    <row r="15497">
      <c r="E15497">
        <f>IF(DATOS!$I15497="","",IFERROR(VLOOKUP(DATOS!$I15497,CONFIG_ASIGNATURAS!$B$2:$J$61,9,FALSE()),""))</f>
      </c>
    </row>
    <row r="15498">
      <c r="E15498">
        <f>IF(DATOS!$I15498="","",IFERROR(VLOOKUP(DATOS!$I15498,CONFIG_ASIGNATURAS!$B$2:$J$61,9,FALSE()),""))</f>
      </c>
    </row>
    <row r="15499">
      <c r="E15499">
        <f>IF(DATOS!$I15499="","",IFERROR(VLOOKUP(DATOS!$I15499,CONFIG_ASIGNATURAS!$B$2:$J$61,9,FALSE()),""))</f>
      </c>
    </row>
    <row r="15500">
      <c r="E15500">
        <f>IF(DATOS!$I15500="","",IFERROR(VLOOKUP(DATOS!$I15500,CONFIG_ASIGNATURAS!$B$2:$J$61,9,FALSE()),""))</f>
      </c>
    </row>
    <row r="15501">
      <c r="E15501">
        <f>IF(DATOS!$I15501="","",IFERROR(VLOOKUP(DATOS!$I15501,CONFIG_ASIGNATURAS!$B$2:$J$61,9,FALSE()),""))</f>
      </c>
    </row>
    <row r="15502">
      <c r="E15502">
        <f>IF(DATOS!$I15502="","",IFERROR(VLOOKUP(DATOS!$I15502,CONFIG_ASIGNATURAS!$B$2:$J$61,9,FALSE()),""))</f>
      </c>
    </row>
    <row r="15503">
      <c r="E15503">
        <f>IF(DATOS!$I15503="","",IFERROR(VLOOKUP(DATOS!$I15503,CONFIG_ASIGNATURAS!$B$2:$J$61,9,FALSE()),""))</f>
      </c>
    </row>
    <row r="15504">
      <c r="E15504">
        <f>IF(DATOS!$I15504="","",IFERROR(VLOOKUP(DATOS!$I15504,CONFIG_ASIGNATURAS!$B$2:$J$61,9,FALSE()),""))</f>
      </c>
    </row>
    <row r="15505">
      <c r="E15505">
        <f>IF(DATOS!$I15505="","",IFERROR(VLOOKUP(DATOS!$I15505,CONFIG_ASIGNATURAS!$B$2:$J$61,9,FALSE()),""))</f>
      </c>
    </row>
    <row r="15506">
      <c r="E15506">
        <f>IF(DATOS!$I15506="","",IFERROR(VLOOKUP(DATOS!$I15506,CONFIG_ASIGNATURAS!$B$2:$J$61,9,FALSE()),""))</f>
      </c>
    </row>
    <row r="15507">
      <c r="E15507">
        <f>IF(DATOS!$I15507="","",IFERROR(VLOOKUP(DATOS!$I15507,CONFIG_ASIGNATURAS!$B$2:$J$61,9,FALSE()),""))</f>
      </c>
    </row>
    <row r="15508">
      <c r="E15508">
        <f>IF(DATOS!$I15508="","",IFERROR(VLOOKUP(DATOS!$I15508,CONFIG_ASIGNATURAS!$B$2:$J$61,9,FALSE()),""))</f>
      </c>
    </row>
    <row r="15509">
      <c r="E15509">
        <f>IF(DATOS!$I15509="","",IFERROR(VLOOKUP(DATOS!$I15509,CONFIG_ASIGNATURAS!$B$2:$J$61,9,FALSE()),""))</f>
      </c>
    </row>
    <row r="15510">
      <c r="E15510">
        <f>IF(DATOS!$I15510="","",IFERROR(VLOOKUP(DATOS!$I15510,CONFIG_ASIGNATURAS!$B$2:$J$61,9,FALSE()),""))</f>
      </c>
    </row>
    <row r="15511">
      <c r="E15511">
        <f>IF(DATOS!$I15511="","",IFERROR(VLOOKUP(DATOS!$I15511,CONFIG_ASIGNATURAS!$B$2:$J$61,9,FALSE()),""))</f>
      </c>
    </row>
    <row r="15512">
      <c r="E15512">
        <f>IF(DATOS!$I15512="","",IFERROR(VLOOKUP(DATOS!$I15512,CONFIG_ASIGNATURAS!$B$2:$J$61,9,FALSE()),""))</f>
      </c>
    </row>
    <row r="15513">
      <c r="E15513">
        <f>IF(DATOS!$I15513="","",IFERROR(VLOOKUP(DATOS!$I15513,CONFIG_ASIGNATURAS!$B$2:$J$61,9,FALSE()),""))</f>
      </c>
    </row>
    <row r="15514">
      <c r="E15514">
        <f>IF(DATOS!$I15514="","",IFERROR(VLOOKUP(DATOS!$I15514,CONFIG_ASIGNATURAS!$B$2:$J$61,9,FALSE()),""))</f>
      </c>
    </row>
    <row r="15515">
      <c r="E15515">
        <f>IF(DATOS!$I15515="","",IFERROR(VLOOKUP(DATOS!$I15515,CONFIG_ASIGNATURAS!$B$2:$J$61,9,FALSE()),""))</f>
      </c>
    </row>
    <row r="15516">
      <c r="E15516">
        <f>IF(DATOS!$I15516="","",IFERROR(VLOOKUP(DATOS!$I15516,CONFIG_ASIGNATURAS!$B$2:$J$61,9,FALSE()),""))</f>
      </c>
    </row>
    <row r="15517">
      <c r="E15517">
        <f>IF(DATOS!$I15517="","",IFERROR(VLOOKUP(DATOS!$I15517,CONFIG_ASIGNATURAS!$B$2:$J$61,9,FALSE()),""))</f>
      </c>
    </row>
    <row r="15518">
      <c r="E15518">
        <f>IF(DATOS!$I15518="","",IFERROR(VLOOKUP(DATOS!$I15518,CONFIG_ASIGNATURAS!$B$2:$J$61,9,FALSE()),""))</f>
      </c>
    </row>
    <row r="15519">
      <c r="E15519">
        <f>IF(DATOS!$I15519="","",IFERROR(VLOOKUP(DATOS!$I15519,CONFIG_ASIGNATURAS!$B$2:$J$61,9,FALSE()),""))</f>
      </c>
    </row>
    <row r="15520">
      <c r="E15520">
        <f>IF(DATOS!$I15520="","",IFERROR(VLOOKUP(DATOS!$I15520,CONFIG_ASIGNATURAS!$B$2:$J$61,9,FALSE()),""))</f>
      </c>
    </row>
    <row r="15521">
      <c r="E15521">
        <f>IF(DATOS!$I15521="","",IFERROR(VLOOKUP(DATOS!$I15521,CONFIG_ASIGNATURAS!$B$2:$J$61,9,FALSE()),""))</f>
      </c>
    </row>
    <row r="15522">
      <c r="E15522">
        <f>IF(DATOS!$I15522="","",IFERROR(VLOOKUP(DATOS!$I15522,CONFIG_ASIGNATURAS!$B$2:$J$61,9,FALSE()),""))</f>
      </c>
    </row>
    <row r="15523">
      <c r="E15523">
        <f>IF(DATOS!$I15523="","",IFERROR(VLOOKUP(DATOS!$I15523,CONFIG_ASIGNATURAS!$B$2:$J$61,9,FALSE()),""))</f>
      </c>
    </row>
    <row r="15524">
      <c r="E15524">
        <f>IF(DATOS!$I15524="","",IFERROR(VLOOKUP(DATOS!$I15524,CONFIG_ASIGNATURAS!$B$2:$J$61,9,FALSE()),""))</f>
      </c>
    </row>
    <row r="15525">
      <c r="E15525">
        <f>IF(DATOS!$I15525="","",IFERROR(VLOOKUP(DATOS!$I15525,CONFIG_ASIGNATURAS!$B$2:$J$61,9,FALSE()),""))</f>
      </c>
    </row>
    <row r="15526">
      <c r="E15526">
        <f>IF(DATOS!$I15526="","",IFERROR(VLOOKUP(DATOS!$I15526,CONFIG_ASIGNATURAS!$B$2:$J$61,9,FALSE()),""))</f>
      </c>
    </row>
    <row r="15527">
      <c r="E15527">
        <f>IF(DATOS!$I15527="","",IFERROR(VLOOKUP(DATOS!$I15527,CONFIG_ASIGNATURAS!$B$2:$J$61,9,FALSE()),""))</f>
      </c>
    </row>
    <row r="15528">
      <c r="E15528">
        <f>IF(DATOS!$I15528="","",IFERROR(VLOOKUP(DATOS!$I15528,CONFIG_ASIGNATURAS!$B$2:$J$61,9,FALSE()),""))</f>
      </c>
    </row>
    <row r="15529">
      <c r="E15529">
        <f>IF(DATOS!$I15529="","",IFERROR(VLOOKUP(DATOS!$I15529,CONFIG_ASIGNATURAS!$B$2:$J$61,9,FALSE()),""))</f>
      </c>
    </row>
    <row r="15530">
      <c r="E15530">
        <f>IF(DATOS!$I15530="","",IFERROR(VLOOKUP(DATOS!$I15530,CONFIG_ASIGNATURAS!$B$2:$J$61,9,FALSE()),""))</f>
      </c>
    </row>
    <row r="15531">
      <c r="E15531">
        <f>IF(DATOS!$I15531="","",IFERROR(VLOOKUP(DATOS!$I15531,CONFIG_ASIGNATURAS!$B$2:$J$61,9,FALSE()),""))</f>
      </c>
    </row>
    <row r="15532">
      <c r="E15532">
        <f>IF(DATOS!$I15532="","",IFERROR(VLOOKUP(DATOS!$I15532,CONFIG_ASIGNATURAS!$B$2:$J$61,9,FALSE()),""))</f>
      </c>
    </row>
    <row r="15533">
      <c r="E15533">
        <f>IF(DATOS!$I15533="","",IFERROR(VLOOKUP(DATOS!$I15533,CONFIG_ASIGNATURAS!$B$2:$J$61,9,FALSE()),""))</f>
      </c>
    </row>
    <row r="15534">
      <c r="E15534">
        <f>IF(DATOS!$I15534="","",IFERROR(VLOOKUP(DATOS!$I15534,CONFIG_ASIGNATURAS!$B$2:$J$61,9,FALSE()),""))</f>
      </c>
    </row>
    <row r="15535">
      <c r="E15535">
        <f>IF(DATOS!$I15535="","",IFERROR(VLOOKUP(DATOS!$I15535,CONFIG_ASIGNATURAS!$B$2:$J$61,9,FALSE()),""))</f>
      </c>
    </row>
    <row r="15536">
      <c r="E15536">
        <f>IF(DATOS!$I15536="","",IFERROR(VLOOKUP(DATOS!$I15536,CONFIG_ASIGNATURAS!$B$2:$J$61,9,FALSE()),""))</f>
      </c>
    </row>
    <row r="15537">
      <c r="E15537">
        <f>IF(DATOS!$I15537="","",IFERROR(VLOOKUP(DATOS!$I15537,CONFIG_ASIGNATURAS!$B$2:$J$61,9,FALSE()),""))</f>
      </c>
    </row>
    <row r="15538">
      <c r="E15538">
        <f>IF(DATOS!$I15538="","",IFERROR(VLOOKUP(DATOS!$I15538,CONFIG_ASIGNATURAS!$B$2:$J$61,9,FALSE()),""))</f>
      </c>
    </row>
    <row r="15539">
      <c r="E15539">
        <f>IF(DATOS!$I15539="","",IFERROR(VLOOKUP(DATOS!$I15539,CONFIG_ASIGNATURAS!$B$2:$J$61,9,FALSE()),""))</f>
      </c>
    </row>
    <row r="15540">
      <c r="E15540">
        <f>IF(DATOS!$I15540="","",IFERROR(VLOOKUP(DATOS!$I15540,CONFIG_ASIGNATURAS!$B$2:$J$61,9,FALSE()),""))</f>
      </c>
    </row>
    <row r="15541">
      <c r="E15541">
        <f>IF(DATOS!$I15541="","",IFERROR(VLOOKUP(DATOS!$I15541,CONFIG_ASIGNATURAS!$B$2:$J$61,9,FALSE()),""))</f>
      </c>
    </row>
    <row r="15542">
      <c r="E15542">
        <f>IF(DATOS!$I15542="","",IFERROR(VLOOKUP(DATOS!$I15542,CONFIG_ASIGNATURAS!$B$2:$J$61,9,FALSE()),""))</f>
      </c>
    </row>
    <row r="15543">
      <c r="E15543">
        <f>IF(DATOS!$I15543="","",IFERROR(VLOOKUP(DATOS!$I15543,CONFIG_ASIGNATURAS!$B$2:$J$61,9,FALSE()),""))</f>
      </c>
    </row>
    <row r="15544">
      <c r="E15544">
        <f>IF(DATOS!$I15544="","",IFERROR(VLOOKUP(DATOS!$I15544,CONFIG_ASIGNATURAS!$B$2:$J$61,9,FALSE()),""))</f>
      </c>
    </row>
    <row r="15545">
      <c r="E15545">
        <f>IF(DATOS!$I15545="","",IFERROR(VLOOKUP(DATOS!$I15545,CONFIG_ASIGNATURAS!$B$2:$J$61,9,FALSE()),""))</f>
      </c>
    </row>
    <row r="15546">
      <c r="E15546">
        <f>IF(DATOS!$I15546="","",IFERROR(VLOOKUP(DATOS!$I15546,CONFIG_ASIGNATURAS!$B$2:$J$61,9,FALSE()),""))</f>
      </c>
    </row>
    <row r="15547">
      <c r="E15547">
        <f>IF(DATOS!$I15547="","",IFERROR(VLOOKUP(DATOS!$I15547,CONFIG_ASIGNATURAS!$B$2:$J$61,9,FALSE()),""))</f>
      </c>
    </row>
    <row r="15548">
      <c r="E15548">
        <f>IF(DATOS!$I15548="","",IFERROR(VLOOKUP(DATOS!$I15548,CONFIG_ASIGNATURAS!$B$2:$J$61,9,FALSE()),""))</f>
      </c>
    </row>
    <row r="15549">
      <c r="E15549">
        <f>IF(DATOS!$I15549="","",IFERROR(VLOOKUP(DATOS!$I15549,CONFIG_ASIGNATURAS!$B$2:$J$61,9,FALSE()),""))</f>
      </c>
    </row>
    <row r="15550">
      <c r="E15550">
        <f>IF(DATOS!$I15550="","",IFERROR(VLOOKUP(DATOS!$I15550,CONFIG_ASIGNATURAS!$B$2:$J$61,9,FALSE()),""))</f>
      </c>
    </row>
    <row r="15551">
      <c r="E15551">
        <f>IF(DATOS!$I15551="","",IFERROR(VLOOKUP(DATOS!$I15551,CONFIG_ASIGNATURAS!$B$2:$J$61,9,FALSE()),""))</f>
      </c>
    </row>
    <row r="15552">
      <c r="E15552">
        <f>IF(DATOS!$I15552="","",IFERROR(VLOOKUP(DATOS!$I15552,CONFIG_ASIGNATURAS!$B$2:$J$61,9,FALSE()),""))</f>
      </c>
    </row>
    <row r="15553">
      <c r="E15553">
        <f>IF(DATOS!$I15553="","",IFERROR(VLOOKUP(DATOS!$I15553,CONFIG_ASIGNATURAS!$B$2:$J$61,9,FALSE()),""))</f>
      </c>
    </row>
    <row r="15554">
      <c r="E15554">
        <f>IF(DATOS!$I15554="","",IFERROR(VLOOKUP(DATOS!$I15554,CONFIG_ASIGNATURAS!$B$2:$J$61,9,FALSE()),""))</f>
      </c>
    </row>
    <row r="15555">
      <c r="E15555">
        <f>IF(DATOS!$I15555="","",IFERROR(VLOOKUP(DATOS!$I15555,CONFIG_ASIGNATURAS!$B$2:$J$61,9,FALSE()),""))</f>
      </c>
    </row>
    <row r="15556">
      <c r="E15556">
        <f>IF(DATOS!$I15556="","",IFERROR(VLOOKUP(DATOS!$I15556,CONFIG_ASIGNATURAS!$B$2:$J$61,9,FALSE()),""))</f>
      </c>
    </row>
    <row r="15557">
      <c r="E15557">
        <f>IF(DATOS!$I15557="","",IFERROR(VLOOKUP(DATOS!$I15557,CONFIG_ASIGNATURAS!$B$2:$J$61,9,FALSE()),""))</f>
      </c>
    </row>
    <row r="15558">
      <c r="E15558">
        <f>IF(DATOS!$I15558="","",IFERROR(VLOOKUP(DATOS!$I15558,CONFIG_ASIGNATURAS!$B$2:$J$61,9,FALSE()),""))</f>
      </c>
    </row>
    <row r="15559">
      <c r="E15559">
        <f>IF(DATOS!$I15559="","",IFERROR(VLOOKUP(DATOS!$I15559,CONFIG_ASIGNATURAS!$B$2:$J$61,9,FALSE()),""))</f>
      </c>
    </row>
    <row r="15560">
      <c r="E15560">
        <f>IF(DATOS!$I15560="","",IFERROR(VLOOKUP(DATOS!$I15560,CONFIG_ASIGNATURAS!$B$2:$J$61,9,FALSE()),""))</f>
      </c>
    </row>
    <row r="15561">
      <c r="E15561">
        <f>IF(DATOS!$I15561="","",IFERROR(VLOOKUP(DATOS!$I15561,CONFIG_ASIGNATURAS!$B$2:$J$61,9,FALSE()),""))</f>
      </c>
    </row>
    <row r="15562">
      <c r="E15562">
        <f>IF(DATOS!$I15562="","",IFERROR(VLOOKUP(DATOS!$I15562,CONFIG_ASIGNATURAS!$B$2:$J$61,9,FALSE()),""))</f>
      </c>
    </row>
    <row r="15563">
      <c r="E15563">
        <f>IF(DATOS!$I15563="","",IFERROR(VLOOKUP(DATOS!$I15563,CONFIG_ASIGNATURAS!$B$2:$J$61,9,FALSE()),""))</f>
      </c>
    </row>
    <row r="15564">
      <c r="E15564">
        <f>IF(DATOS!$I15564="","",IFERROR(VLOOKUP(DATOS!$I15564,CONFIG_ASIGNATURAS!$B$2:$J$61,9,FALSE()),""))</f>
      </c>
    </row>
    <row r="15565">
      <c r="E15565">
        <f>IF(DATOS!$I15565="","",IFERROR(VLOOKUP(DATOS!$I15565,CONFIG_ASIGNATURAS!$B$2:$J$61,9,FALSE()),""))</f>
      </c>
    </row>
    <row r="15566">
      <c r="E15566">
        <f>IF(DATOS!$I15566="","",IFERROR(VLOOKUP(DATOS!$I15566,CONFIG_ASIGNATURAS!$B$2:$J$61,9,FALSE()),""))</f>
      </c>
    </row>
    <row r="15567">
      <c r="E15567">
        <f>IF(DATOS!$I15567="","",IFERROR(VLOOKUP(DATOS!$I15567,CONFIG_ASIGNATURAS!$B$2:$J$61,9,FALSE()),""))</f>
      </c>
    </row>
    <row r="15568">
      <c r="E15568">
        <f>IF(DATOS!$I15568="","",IFERROR(VLOOKUP(DATOS!$I15568,CONFIG_ASIGNATURAS!$B$2:$J$61,9,FALSE()),""))</f>
      </c>
    </row>
    <row r="15569">
      <c r="E15569">
        <f>IF(DATOS!$I15569="","",IFERROR(VLOOKUP(DATOS!$I15569,CONFIG_ASIGNATURAS!$B$2:$J$61,9,FALSE()),""))</f>
      </c>
    </row>
    <row r="15570">
      <c r="E15570">
        <f>IF(DATOS!$I15570="","",IFERROR(VLOOKUP(DATOS!$I15570,CONFIG_ASIGNATURAS!$B$2:$J$61,9,FALSE()),""))</f>
      </c>
    </row>
    <row r="15571">
      <c r="E15571">
        <f>IF(DATOS!$I15571="","",IFERROR(VLOOKUP(DATOS!$I15571,CONFIG_ASIGNATURAS!$B$2:$J$61,9,FALSE()),""))</f>
      </c>
    </row>
    <row r="15572">
      <c r="E15572">
        <f>IF(DATOS!$I15572="","",IFERROR(VLOOKUP(DATOS!$I15572,CONFIG_ASIGNATURAS!$B$2:$J$61,9,FALSE()),""))</f>
      </c>
    </row>
    <row r="15573">
      <c r="E15573">
        <f>IF(DATOS!$I15573="","",IFERROR(VLOOKUP(DATOS!$I15573,CONFIG_ASIGNATURAS!$B$2:$J$61,9,FALSE()),""))</f>
      </c>
    </row>
    <row r="15574">
      <c r="E15574">
        <f>IF(DATOS!$I15574="","",IFERROR(VLOOKUP(DATOS!$I15574,CONFIG_ASIGNATURAS!$B$2:$J$61,9,FALSE()),""))</f>
      </c>
    </row>
    <row r="15575">
      <c r="E15575">
        <f>IF(DATOS!$I15575="","",IFERROR(VLOOKUP(DATOS!$I15575,CONFIG_ASIGNATURAS!$B$2:$J$61,9,FALSE()),""))</f>
      </c>
    </row>
    <row r="15576">
      <c r="E15576">
        <f>IF(DATOS!$I15576="","",IFERROR(VLOOKUP(DATOS!$I15576,CONFIG_ASIGNATURAS!$B$2:$J$61,9,FALSE()),""))</f>
      </c>
    </row>
    <row r="15577">
      <c r="E15577">
        <f>IF(DATOS!$I15577="","",IFERROR(VLOOKUP(DATOS!$I15577,CONFIG_ASIGNATURAS!$B$2:$J$61,9,FALSE()),""))</f>
      </c>
    </row>
    <row r="15578">
      <c r="E15578">
        <f>IF(DATOS!$I15578="","",IFERROR(VLOOKUP(DATOS!$I15578,CONFIG_ASIGNATURAS!$B$2:$J$61,9,FALSE()),""))</f>
      </c>
    </row>
    <row r="15579">
      <c r="E15579">
        <f>IF(DATOS!$I15579="","",IFERROR(VLOOKUP(DATOS!$I15579,CONFIG_ASIGNATURAS!$B$2:$J$61,9,FALSE()),""))</f>
      </c>
    </row>
    <row r="15580">
      <c r="E15580">
        <f>IF(DATOS!$I15580="","",IFERROR(VLOOKUP(DATOS!$I15580,CONFIG_ASIGNATURAS!$B$2:$J$61,9,FALSE()),""))</f>
      </c>
    </row>
    <row r="15581">
      <c r="E15581">
        <f>IF(DATOS!$I15581="","",IFERROR(VLOOKUP(DATOS!$I15581,CONFIG_ASIGNATURAS!$B$2:$J$61,9,FALSE()),""))</f>
      </c>
    </row>
    <row r="15582">
      <c r="E15582">
        <f>IF(DATOS!$I15582="","",IFERROR(VLOOKUP(DATOS!$I15582,CONFIG_ASIGNATURAS!$B$2:$J$61,9,FALSE()),""))</f>
      </c>
    </row>
    <row r="15583">
      <c r="E15583">
        <f>IF(DATOS!$I15583="","",IFERROR(VLOOKUP(DATOS!$I15583,CONFIG_ASIGNATURAS!$B$2:$J$61,9,FALSE()),""))</f>
      </c>
    </row>
    <row r="15584">
      <c r="E15584">
        <f>IF(DATOS!$I15584="","",IFERROR(VLOOKUP(DATOS!$I15584,CONFIG_ASIGNATURAS!$B$2:$J$61,9,FALSE()),""))</f>
      </c>
    </row>
    <row r="15585">
      <c r="E15585">
        <f>IF(DATOS!$I15585="","",IFERROR(VLOOKUP(DATOS!$I15585,CONFIG_ASIGNATURAS!$B$2:$J$61,9,FALSE()),""))</f>
      </c>
    </row>
    <row r="15586">
      <c r="E15586">
        <f>IF(DATOS!$I15586="","",IFERROR(VLOOKUP(DATOS!$I15586,CONFIG_ASIGNATURAS!$B$2:$J$61,9,FALSE()),""))</f>
      </c>
    </row>
    <row r="15587">
      <c r="E15587">
        <f>IF(DATOS!$I15587="","",IFERROR(VLOOKUP(DATOS!$I15587,CONFIG_ASIGNATURAS!$B$2:$J$61,9,FALSE()),""))</f>
      </c>
    </row>
    <row r="15588">
      <c r="E15588">
        <f>IF(DATOS!$I15588="","",IFERROR(VLOOKUP(DATOS!$I15588,CONFIG_ASIGNATURAS!$B$2:$J$61,9,FALSE()),""))</f>
      </c>
    </row>
    <row r="15589">
      <c r="E15589">
        <f>IF(DATOS!$I15589="","",IFERROR(VLOOKUP(DATOS!$I15589,CONFIG_ASIGNATURAS!$B$2:$J$61,9,FALSE()),""))</f>
      </c>
    </row>
    <row r="15590">
      <c r="E15590">
        <f>IF(DATOS!$I15590="","",IFERROR(VLOOKUP(DATOS!$I15590,CONFIG_ASIGNATURAS!$B$2:$J$61,9,FALSE()),""))</f>
      </c>
    </row>
    <row r="15591">
      <c r="E15591">
        <f>IF(DATOS!$I15591="","",IFERROR(VLOOKUP(DATOS!$I15591,CONFIG_ASIGNATURAS!$B$2:$J$61,9,FALSE()),""))</f>
      </c>
    </row>
    <row r="15592">
      <c r="E15592">
        <f>IF(DATOS!$I15592="","",IFERROR(VLOOKUP(DATOS!$I15592,CONFIG_ASIGNATURAS!$B$2:$J$61,9,FALSE()),""))</f>
      </c>
    </row>
    <row r="15593">
      <c r="E15593">
        <f>IF(DATOS!$I15593="","",IFERROR(VLOOKUP(DATOS!$I15593,CONFIG_ASIGNATURAS!$B$2:$J$61,9,FALSE()),""))</f>
      </c>
    </row>
    <row r="15594">
      <c r="E15594">
        <f>IF(DATOS!$I15594="","",IFERROR(VLOOKUP(DATOS!$I15594,CONFIG_ASIGNATURAS!$B$2:$J$61,9,FALSE()),""))</f>
      </c>
    </row>
    <row r="15595">
      <c r="E15595">
        <f>IF(DATOS!$I15595="","",IFERROR(VLOOKUP(DATOS!$I15595,CONFIG_ASIGNATURAS!$B$2:$J$61,9,FALSE()),""))</f>
      </c>
    </row>
    <row r="15596">
      <c r="E15596">
        <f>IF(DATOS!$I15596="","",IFERROR(VLOOKUP(DATOS!$I15596,CONFIG_ASIGNATURAS!$B$2:$J$61,9,FALSE()),""))</f>
      </c>
    </row>
    <row r="15597">
      <c r="E15597">
        <f>IF(DATOS!$I15597="","",IFERROR(VLOOKUP(DATOS!$I15597,CONFIG_ASIGNATURAS!$B$2:$J$61,9,FALSE()),""))</f>
      </c>
    </row>
    <row r="15598">
      <c r="E15598">
        <f>IF(DATOS!$I15598="","",IFERROR(VLOOKUP(DATOS!$I15598,CONFIG_ASIGNATURAS!$B$2:$J$61,9,FALSE()),""))</f>
      </c>
    </row>
    <row r="15599">
      <c r="E15599">
        <f>IF(DATOS!$I15599="","",IFERROR(VLOOKUP(DATOS!$I15599,CONFIG_ASIGNATURAS!$B$2:$J$61,9,FALSE()),""))</f>
      </c>
    </row>
    <row r="15600">
      <c r="E15600">
        <f>IF(DATOS!$I15600="","",IFERROR(VLOOKUP(DATOS!$I15600,CONFIG_ASIGNATURAS!$B$2:$J$61,9,FALSE()),""))</f>
      </c>
    </row>
    <row r="15601">
      <c r="E15601">
        <f>IF(DATOS!$I15601="","",IFERROR(VLOOKUP(DATOS!$I15601,CONFIG_ASIGNATURAS!$B$2:$J$61,9,FALSE()),""))</f>
      </c>
    </row>
    <row r="15602">
      <c r="E15602">
        <f>IF(DATOS!$I15602="","",IFERROR(VLOOKUP(DATOS!$I15602,CONFIG_ASIGNATURAS!$B$2:$J$61,9,FALSE()),""))</f>
      </c>
    </row>
    <row r="15603">
      <c r="E15603">
        <f>IF(DATOS!$I15603="","",IFERROR(VLOOKUP(DATOS!$I15603,CONFIG_ASIGNATURAS!$B$2:$J$61,9,FALSE()),""))</f>
      </c>
    </row>
    <row r="15604">
      <c r="E15604">
        <f>IF(DATOS!$I15604="","",IFERROR(VLOOKUP(DATOS!$I15604,CONFIG_ASIGNATURAS!$B$2:$J$61,9,FALSE()),""))</f>
      </c>
    </row>
    <row r="15605">
      <c r="E15605">
        <f>IF(DATOS!$I15605="","",IFERROR(VLOOKUP(DATOS!$I15605,CONFIG_ASIGNATURAS!$B$2:$J$61,9,FALSE()),""))</f>
      </c>
    </row>
    <row r="15606">
      <c r="E15606">
        <f>IF(DATOS!$I15606="","",IFERROR(VLOOKUP(DATOS!$I15606,CONFIG_ASIGNATURAS!$B$2:$J$61,9,FALSE()),""))</f>
      </c>
    </row>
    <row r="15607">
      <c r="E15607">
        <f>IF(DATOS!$I15607="","",IFERROR(VLOOKUP(DATOS!$I15607,CONFIG_ASIGNATURAS!$B$2:$J$61,9,FALSE()),""))</f>
      </c>
    </row>
    <row r="15608">
      <c r="E15608">
        <f>IF(DATOS!$I15608="","",IFERROR(VLOOKUP(DATOS!$I15608,CONFIG_ASIGNATURAS!$B$2:$J$61,9,FALSE()),""))</f>
      </c>
    </row>
    <row r="15609">
      <c r="E15609">
        <f>IF(DATOS!$I15609="","",IFERROR(VLOOKUP(DATOS!$I15609,CONFIG_ASIGNATURAS!$B$2:$J$61,9,FALSE()),""))</f>
      </c>
    </row>
    <row r="15610">
      <c r="E15610">
        <f>IF(DATOS!$I15610="","",IFERROR(VLOOKUP(DATOS!$I15610,CONFIG_ASIGNATURAS!$B$2:$J$61,9,FALSE()),""))</f>
      </c>
    </row>
    <row r="15611">
      <c r="E15611">
        <f>IF(DATOS!$I15611="","",IFERROR(VLOOKUP(DATOS!$I15611,CONFIG_ASIGNATURAS!$B$2:$J$61,9,FALSE()),""))</f>
      </c>
    </row>
    <row r="15612">
      <c r="E15612">
        <f>IF(DATOS!$I15612="","",IFERROR(VLOOKUP(DATOS!$I15612,CONFIG_ASIGNATURAS!$B$2:$J$61,9,FALSE()),""))</f>
      </c>
    </row>
    <row r="15613">
      <c r="E15613">
        <f>IF(DATOS!$I15613="","",IFERROR(VLOOKUP(DATOS!$I15613,CONFIG_ASIGNATURAS!$B$2:$J$61,9,FALSE()),""))</f>
      </c>
    </row>
    <row r="15614">
      <c r="E15614">
        <f>IF(DATOS!$I15614="","",IFERROR(VLOOKUP(DATOS!$I15614,CONFIG_ASIGNATURAS!$B$2:$J$61,9,FALSE()),""))</f>
      </c>
    </row>
    <row r="15615">
      <c r="E15615">
        <f>IF(DATOS!$I15615="","",IFERROR(VLOOKUP(DATOS!$I15615,CONFIG_ASIGNATURAS!$B$2:$J$61,9,FALSE()),""))</f>
      </c>
    </row>
    <row r="15616">
      <c r="E15616">
        <f>IF(DATOS!$I15616="","",IFERROR(VLOOKUP(DATOS!$I15616,CONFIG_ASIGNATURAS!$B$2:$J$61,9,FALSE()),""))</f>
      </c>
    </row>
    <row r="15617">
      <c r="E15617">
        <f>IF(DATOS!$I15617="","",IFERROR(VLOOKUP(DATOS!$I15617,CONFIG_ASIGNATURAS!$B$2:$J$61,9,FALSE()),""))</f>
      </c>
    </row>
    <row r="15618">
      <c r="E15618">
        <f>IF(DATOS!$I15618="","",IFERROR(VLOOKUP(DATOS!$I15618,CONFIG_ASIGNATURAS!$B$2:$J$61,9,FALSE()),""))</f>
      </c>
    </row>
    <row r="15619">
      <c r="E15619">
        <f>IF(DATOS!$I15619="","",IFERROR(VLOOKUP(DATOS!$I15619,CONFIG_ASIGNATURAS!$B$2:$J$61,9,FALSE()),""))</f>
      </c>
    </row>
    <row r="15620">
      <c r="E15620">
        <f>IF(DATOS!$I15620="","",IFERROR(VLOOKUP(DATOS!$I15620,CONFIG_ASIGNATURAS!$B$2:$J$61,9,FALSE()),""))</f>
      </c>
    </row>
    <row r="15621">
      <c r="E15621">
        <f>IF(DATOS!$I15621="","",IFERROR(VLOOKUP(DATOS!$I15621,CONFIG_ASIGNATURAS!$B$2:$J$61,9,FALSE()),""))</f>
      </c>
    </row>
    <row r="15622">
      <c r="E15622">
        <f>IF(DATOS!$I15622="","",IFERROR(VLOOKUP(DATOS!$I15622,CONFIG_ASIGNATURAS!$B$2:$J$61,9,FALSE()),""))</f>
      </c>
    </row>
    <row r="15623">
      <c r="E15623">
        <f>IF(DATOS!$I15623="","",IFERROR(VLOOKUP(DATOS!$I15623,CONFIG_ASIGNATURAS!$B$2:$J$61,9,FALSE()),""))</f>
      </c>
    </row>
    <row r="15624">
      <c r="E15624">
        <f>IF(DATOS!$I15624="","",IFERROR(VLOOKUP(DATOS!$I15624,CONFIG_ASIGNATURAS!$B$2:$J$61,9,FALSE()),""))</f>
      </c>
    </row>
    <row r="15625">
      <c r="E15625">
        <f>IF(DATOS!$I15625="","",IFERROR(VLOOKUP(DATOS!$I15625,CONFIG_ASIGNATURAS!$B$2:$J$61,9,FALSE()),""))</f>
      </c>
    </row>
    <row r="15626">
      <c r="E15626">
        <f>IF(DATOS!$I15626="","",IFERROR(VLOOKUP(DATOS!$I15626,CONFIG_ASIGNATURAS!$B$2:$J$61,9,FALSE()),""))</f>
      </c>
    </row>
    <row r="15627">
      <c r="E15627">
        <f>IF(DATOS!$I15627="","",IFERROR(VLOOKUP(DATOS!$I15627,CONFIG_ASIGNATURAS!$B$2:$J$61,9,FALSE()),""))</f>
      </c>
    </row>
    <row r="15628">
      <c r="E15628">
        <f>IF(DATOS!$I15628="","",IFERROR(VLOOKUP(DATOS!$I15628,CONFIG_ASIGNATURAS!$B$2:$J$61,9,FALSE()),""))</f>
      </c>
    </row>
    <row r="15629">
      <c r="E15629">
        <f>IF(DATOS!$I15629="","",IFERROR(VLOOKUP(DATOS!$I15629,CONFIG_ASIGNATURAS!$B$2:$J$61,9,FALSE()),""))</f>
      </c>
    </row>
    <row r="15630">
      <c r="E15630">
        <f>IF(DATOS!$I15630="","",IFERROR(VLOOKUP(DATOS!$I15630,CONFIG_ASIGNATURAS!$B$2:$J$61,9,FALSE()),""))</f>
      </c>
    </row>
    <row r="15631">
      <c r="E15631">
        <f>IF(DATOS!$I15631="","",IFERROR(VLOOKUP(DATOS!$I15631,CONFIG_ASIGNATURAS!$B$2:$J$61,9,FALSE()),""))</f>
      </c>
    </row>
    <row r="15632">
      <c r="E15632">
        <f>IF(DATOS!$I15632="","",IFERROR(VLOOKUP(DATOS!$I15632,CONFIG_ASIGNATURAS!$B$2:$J$61,9,FALSE()),""))</f>
      </c>
    </row>
    <row r="15633">
      <c r="E15633">
        <f>IF(DATOS!$I15633="","",IFERROR(VLOOKUP(DATOS!$I15633,CONFIG_ASIGNATURAS!$B$2:$J$61,9,FALSE()),""))</f>
      </c>
    </row>
    <row r="15634">
      <c r="E15634">
        <f>IF(DATOS!$I15634="","",IFERROR(VLOOKUP(DATOS!$I15634,CONFIG_ASIGNATURAS!$B$2:$J$61,9,FALSE()),""))</f>
      </c>
    </row>
    <row r="15635">
      <c r="E15635">
        <f>IF(DATOS!$I15635="","",IFERROR(VLOOKUP(DATOS!$I15635,CONFIG_ASIGNATURAS!$B$2:$J$61,9,FALSE()),""))</f>
      </c>
    </row>
    <row r="15636">
      <c r="E15636">
        <f>IF(DATOS!$I15636="","",IFERROR(VLOOKUP(DATOS!$I15636,CONFIG_ASIGNATURAS!$B$2:$J$61,9,FALSE()),""))</f>
      </c>
    </row>
    <row r="15637">
      <c r="E15637">
        <f>IF(DATOS!$I15637="","",IFERROR(VLOOKUP(DATOS!$I15637,CONFIG_ASIGNATURAS!$B$2:$J$61,9,FALSE()),""))</f>
      </c>
    </row>
    <row r="15638">
      <c r="E15638">
        <f>IF(DATOS!$I15638="","",IFERROR(VLOOKUP(DATOS!$I15638,CONFIG_ASIGNATURAS!$B$2:$J$61,9,FALSE()),""))</f>
      </c>
    </row>
    <row r="15639">
      <c r="E15639">
        <f>IF(DATOS!$I15639="","",IFERROR(VLOOKUP(DATOS!$I15639,CONFIG_ASIGNATURAS!$B$2:$J$61,9,FALSE()),""))</f>
      </c>
    </row>
    <row r="15640">
      <c r="E15640">
        <f>IF(DATOS!$I15640="","",IFERROR(VLOOKUP(DATOS!$I15640,CONFIG_ASIGNATURAS!$B$2:$J$61,9,FALSE()),""))</f>
      </c>
    </row>
    <row r="15641">
      <c r="E15641">
        <f>IF(DATOS!$I15641="","",IFERROR(VLOOKUP(DATOS!$I15641,CONFIG_ASIGNATURAS!$B$2:$J$61,9,FALSE()),""))</f>
      </c>
    </row>
    <row r="15642">
      <c r="E15642">
        <f>IF(DATOS!$I15642="","",IFERROR(VLOOKUP(DATOS!$I15642,CONFIG_ASIGNATURAS!$B$2:$J$61,9,FALSE()),""))</f>
      </c>
    </row>
    <row r="15643">
      <c r="E15643">
        <f>IF(DATOS!$I15643="","",IFERROR(VLOOKUP(DATOS!$I15643,CONFIG_ASIGNATURAS!$B$2:$J$61,9,FALSE()),""))</f>
      </c>
    </row>
    <row r="15644">
      <c r="E15644">
        <f>IF(DATOS!$I15644="","",IFERROR(VLOOKUP(DATOS!$I15644,CONFIG_ASIGNATURAS!$B$2:$J$61,9,FALSE()),""))</f>
      </c>
    </row>
    <row r="15645">
      <c r="E15645">
        <f>IF(DATOS!$I15645="","",IFERROR(VLOOKUP(DATOS!$I15645,CONFIG_ASIGNATURAS!$B$2:$J$61,9,FALSE()),""))</f>
      </c>
    </row>
    <row r="15646">
      <c r="E15646">
        <f>IF(DATOS!$I15646="","",IFERROR(VLOOKUP(DATOS!$I15646,CONFIG_ASIGNATURAS!$B$2:$J$61,9,FALSE()),""))</f>
      </c>
    </row>
    <row r="15647">
      <c r="E15647">
        <f>IF(DATOS!$I15647="","",IFERROR(VLOOKUP(DATOS!$I15647,CONFIG_ASIGNATURAS!$B$2:$J$61,9,FALSE()),""))</f>
      </c>
    </row>
    <row r="15648">
      <c r="E15648">
        <f>IF(DATOS!$I15648="","",IFERROR(VLOOKUP(DATOS!$I15648,CONFIG_ASIGNATURAS!$B$2:$J$61,9,FALSE()),""))</f>
      </c>
    </row>
    <row r="15649">
      <c r="E15649">
        <f>IF(DATOS!$I15649="","",IFERROR(VLOOKUP(DATOS!$I15649,CONFIG_ASIGNATURAS!$B$2:$J$61,9,FALSE()),""))</f>
      </c>
    </row>
    <row r="15650">
      <c r="E15650">
        <f>IF(DATOS!$I15650="","",IFERROR(VLOOKUP(DATOS!$I15650,CONFIG_ASIGNATURAS!$B$2:$J$61,9,FALSE()),""))</f>
      </c>
    </row>
    <row r="15651">
      <c r="E15651">
        <f>IF(DATOS!$I15651="","",IFERROR(VLOOKUP(DATOS!$I15651,CONFIG_ASIGNATURAS!$B$2:$J$61,9,FALSE()),""))</f>
      </c>
    </row>
    <row r="15652">
      <c r="E15652">
        <f>IF(DATOS!$I15652="","",IFERROR(VLOOKUP(DATOS!$I15652,CONFIG_ASIGNATURAS!$B$2:$J$61,9,FALSE()),""))</f>
      </c>
    </row>
    <row r="15653">
      <c r="E15653">
        <f>IF(DATOS!$I15653="","",IFERROR(VLOOKUP(DATOS!$I15653,CONFIG_ASIGNATURAS!$B$2:$J$61,9,FALSE()),""))</f>
      </c>
    </row>
    <row r="15654">
      <c r="E15654">
        <f>IF(DATOS!$I15654="","",IFERROR(VLOOKUP(DATOS!$I15654,CONFIG_ASIGNATURAS!$B$2:$J$61,9,FALSE()),""))</f>
      </c>
    </row>
    <row r="15655">
      <c r="E15655">
        <f>IF(DATOS!$I15655="","",IFERROR(VLOOKUP(DATOS!$I15655,CONFIG_ASIGNATURAS!$B$2:$J$61,9,FALSE()),""))</f>
      </c>
    </row>
    <row r="15656">
      <c r="E15656">
        <f>IF(DATOS!$I15656="","",IFERROR(VLOOKUP(DATOS!$I15656,CONFIG_ASIGNATURAS!$B$2:$J$61,9,FALSE()),""))</f>
      </c>
    </row>
    <row r="15657">
      <c r="E15657">
        <f>IF(DATOS!$I15657="","",IFERROR(VLOOKUP(DATOS!$I15657,CONFIG_ASIGNATURAS!$B$2:$J$61,9,FALSE()),""))</f>
      </c>
    </row>
    <row r="15658">
      <c r="E15658">
        <f>IF(DATOS!$I15658="","",IFERROR(VLOOKUP(DATOS!$I15658,CONFIG_ASIGNATURAS!$B$2:$J$61,9,FALSE()),""))</f>
      </c>
    </row>
    <row r="15659">
      <c r="E15659">
        <f>IF(DATOS!$I15659="","",IFERROR(VLOOKUP(DATOS!$I15659,CONFIG_ASIGNATURAS!$B$2:$J$61,9,FALSE()),""))</f>
      </c>
    </row>
    <row r="15660">
      <c r="E15660">
        <f>IF(DATOS!$I15660="","",IFERROR(VLOOKUP(DATOS!$I15660,CONFIG_ASIGNATURAS!$B$2:$J$61,9,FALSE()),""))</f>
      </c>
    </row>
    <row r="15661">
      <c r="E15661">
        <f>IF(DATOS!$I15661="","",IFERROR(VLOOKUP(DATOS!$I15661,CONFIG_ASIGNATURAS!$B$2:$J$61,9,FALSE()),""))</f>
      </c>
    </row>
    <row r="15662">
      <c r="E15662">
        <f>IF(DATOS!$I15662="","",IFERROR(VLOOKUP(DATOS!$I15662,CONFIG_ASIGNATURAS!$B$2:$J$61,9,FALSE()),""))</f>
      </c>
    </row>
    <row r="15663">
      <c r="E15663">
        <f>IF(DATOS!$I15663="","",IFERROR(VLOOKUP(DATOS!$I15663,CONFIG_ASIGNATURAS!$B$2:$J$61,9,FALSE()),""))</f>
      </c>
    </row>
    <row r="15664">
      <c r="E15664">
        <f>IF(DATOS!$I15664="","",IFERROR(VLOOKUP(DATOS!$I15664,CONFIG_ASIGNATURAS!$B$2:$J$61,9,FALSE()),""))</f>
      </c>
    </row>
    <row r="15665">
      <c r="E15665">
        <f>IF(DATOS!$I15665="","",IFERROR(VLOOKUP(DATOS!$I15665,CONFIG_ASIGNATURAS!$B$2:$J$61,9,FALSE()),""))</f>
      </c>
    </row>
    <row r="15666">
      <c r="E15666">
        <f>IF(DATOS!$I15666="","",IFERROR(VLOOKUP(DATOS!$I15666,CONFIG_ASIGNATURAS!$B$2:$J$61,9,FALSE()),""))</f>
      </c>
    </row>
    <row r="15667">
      <c r="E15667">
        <f>IF(DATOS!$I15667="","",IFERROR(VLOOKUP(DATOS!$I15667,CONFIG_ASIGNATURAS!$B$2:$J$61,9,FALSE()),""))</f>
      </c>
    </row>
    <row r="15668">
      <c r="E15668">
        <f>IF(DATOS!$I15668="","",IFERROR(VLOOKUP(DATOS!$I15668,CONFIG_ASIGNATURAS!$B$2:$J$61,9,FALSE()),""))</f>
      </c>
    </row>
    <row r="15669">
      <c r="E15669">
        <f>IF(DATOS!$I15669="","",IFERROR(VLOOKUP(DATOS!$I15669,CONFIG_ASIGNATURAS!$B$2:$J$61,9,FALSE()),""))</f>
      </c>
    </row>
    <row r="15670">
      <c r="E15670">
        <f>IF(DATOS!$I15670="","",IFERROR(VLOOKUP(DATOS!$I15670,CONFIG_ASIGNATURAS!$B$2:$J$61,9,FALSE()),""))</f>
      </c>
    </row>
    <row r="15671">
      <c r="E15671">
        <f>IF(DATOS!$I15671="","",IFERROR(VLOOKUP(DATOS!$I15671,CONFIG_ASIGNATURAS!$B$2:$J$61,9,FALSE()),""))</f>
      </c>
    </row>
    <row r="15672">
      <c r="E15672">
        <f>IF(DATOS!$I15672="","",IFERROR(VLOOKUP(DATOS!$I15672,CONFIG_ASIGNATURAS!$B$2:$J$61,9,FALSE()),""))</f>
      </c>
    </row>
    <row r="15673">
      <c r="E15673">
        <f>IF(DATOS!$I15673="","",IFERROR(VLOOKUP(DATOS!$I15673,CONFIG_ASIGNATURAS!$B$2:$J$61,9,FALSE()),""))</f>
      </c>
    </row>
    <row r="15674">
      <c r="E15674">
        <f>IF(DATOS!$I15674="","",IFERROR(VLOOKUP(DATOS!$I15674,CONFIG_ASIGNATURAS!$B$2:$J$61,9,FALSE()),""))</f>
      </c>
    </row>
    <row r="15675">
      <c r="E15675">
        <f>IF(DATOS!$I15675="","",IFERROR(VLOOKUP(DATOS!$I15675,CONFIG_ASIGNATURAS!$B$2:$J$61,9,FALSE()),""))</f>
      </c>
    </row>
    <row r="15676">
      <c r="E15676">
        <f>IF(DATOS!$I15676="","",IFERROR(VLOOKUP(DATOS!$I15676,CONFIG_ASIGNATURAS!$B$2:$J$61,9,FALSE()),""))</f>
      </c>
    </row>
    <row r="15677">
      <c r="E15677">
        <f>IF(DATOS!$I15677="","",IFERROR(VLOOKUP(DATOS!$I15677,CONFIG_ASIGNATURAS!$B$2:$J$61,9,FALSE()),""))</f>
      </c>
    </row>
    <row r="15678">
      <c r="E15678">
        <f>IF(DATOS!$I15678="","",IFERROR(VLOOKUP(DATOS!$I15678,CONFIG_ASIGNATURAS!$B$2:$J$61,9,FALSE()),""))</f>
      </c>
    </row>
    <row r="15679">
      <c r="E15679">
        <f>IF(DATOS!$I15679="","",IFERROR(VLOOKUP(DATOS!$I15679,CONFIG_ASIGNATURAS!$B$2:$J$61,9,FALSE()),""))</f>
      </c>
    </row>
    <row r="15680">
      <c r="E15680">
        <f>IF(DATOS!$I15680="","",IFERROR(VLOOKUP(DATOS!$I15680,CONFIG_ASIGNATURAS!$B$2:$J$61,9,FALSE()),""))</f>
      </c>
    </row>
    <row r="15681">
      <c r="E15681">
        <f>IF(DATOS!$I15681="","",IFERROR(VLOOKUP(DATOS!$I15681,CONFIG_ASIGNATURAS!$B$2:$J$61,9,FALSE()),""))</f>
      </c>
    </row>
    <row r="15682">
      <c r="E15682">
        <f>IF(DATOS!$I15682="","",IFERROR(VLOOKUP(DATOS!$I15682,CONFIG_ASIGNATURAS!$B$2:$J$61,9,FALSE()),""))</f>
      </c>
    </row>
    <row r="15683">
      <c r="E15683">
        <f>IF(DATOS!$I15683="","",IFERROR(VLOOKUP(DATOS!$I15683,CONFIG_ASIGNATURAS!$B$2:$J$61,9,FALSE()),""))</f>
      </c>
    </row>
    <row r="15684">
      <c r="E15684">
        <f>IF(DATOS!$I15684="","",IFERROR(VLOOKUP(DATOS!$I15684,CONFIG_ASIGNATURAS!$B$2:$J$61,9,FALSE()),""))</f>
      </c>
    </row>
    <row r="15685">
      <c r="E15685">
        <f>IF(DATOS!$I15685="","",IFERROR(VLOOKUP(DATOS!$I15685,CONFIG_ASIGNATURAS!$B$2:$J$61,9,FALSE()),""))</f>
      </c>
    </row>
    <row r="15686">
      <c r="E15686">
        <f>IF(DATOS!$I15686="","",IFERROR(VLOOKUP(DATOS!$I15686,CONFIG_ASIGNATURAS!$B$2:$J$61,9,FALSE()),""))</f>
      </c>
    </row>
    <row r="15687">
      <c r="E15687">
        <f>IF(DATOS!$I15687="","",IFERROR(VLOOKUP(DATOS!$I15687,CONFIG_ASIGNATURAS!$B$2:$J$61,9,FALSE()),""))</f>
      </c>
    </row>
    <row r="15688">
      <c r="E15688">
        <f>IF(DATOS!$I15688="","",IFERROR(VLOOKUP(DATOS!$I15688,CONFIG_ASIGNATURAS!$B$2:$J$61,9,FALSE()),""))</f>
      </c>
    </row>
    <row r="15689">
      <c r="E15689">
        <f>IF(DATOS!$I15689="","",IFERROR(VLOOKUP(DATOS!$I15689,CONFIG_ASIGNATURAS!$B$2:$J$61,9,FALSE()),""))</f>
      </c>
    </row>
    <row r="15690">
      <c r="E15690">
        <f>IF(DATOS!$I15690="","",IFERROR(VLOOKUP(DATOS!$I15690,CONFIG_ASIGNATURAS!$B$2:$J$61,9,FALSE()),""))</f>
      </c>
    </row>
    <row r="15691">
      <c r="E15691">
        <f>IF(DATOS!$I15691="","",IFERROR(VLOOKUP(DATOS!$I15691,CONFIG_ASIGNATURAS!$B$2:$J$61,9,FALSE()),""))</f>
      </c>
    </row>
    <row r="15692">
      <c r="E15692">
        <f>IF(DATOS!$I15692="","",IFERROR(VLOOKUP(DATOS!$I15692,CONFIG_ASIGNATURAS!$B$2:$J$61,9,FALSE()),""))</f>
      </c>
    </row>
    <row r="15693">
      <c r="E15693">
        <f>IF(DATOS!$I15693="","",IFERROR(VLOOKUP(DATOS!$I15693,CONFIG_ASIGNATURAS!$B$2:$J$61,9,FALSE()),""))</f>
      </c>
    </row>
    <row r="15694">
      <c r="E15694">
        <f>IF(DATOS!$I15694="","",IFERROR(VLOOKUP(DATOS!$I15694,CONFIG_ASIGNATURAS!$B$2:$J$61,9,FALSE()),""))</f>
      </c>
    </row>
    <row r="15695">
      <c r="E15695">
        <f>IF(DATOS!$I15695="","",IFERROR(VLOOKUP(DATOS!$I15695,CONFIG_ASIGNATURAS!$B$2:$J$61,9,FALSE()),""))</f>
      </c>
    </row>
    <row r="15696">
      <c r="E15696">
        <f>IF(DATOS!$I15696="","",IFERROR(VLOOKUP(DATOS!$I15696,CONFIG_ASIGNATURAS!$B$2:$J$61,9,FALSE()),""))</f>
      </c>
    </row>
    <row r="15697">
      <c r="E15697">
        <f>IF(DATOS!$I15697="","",IFERROR(VLOOKUP(DATOS!$I15697,CONFIG_ASIGNATURAS!$B$2:$J$61,9,FALSE()),""))</f>
      </c>
    </row>
    <row r="15698">
      <c r="E15698">
        <f>IF(DATOS!$I15698="","",IFERROR(VLOOKUP(DATOS!$I15698,CONFIG_ASIGNATURAS!$B$2:$J$61,9,FALSE()),""))</f>
      </c>
    </row>
    <row r="15699">
      <c r="E15699">
        <f>IF(DATOS!$I15699="","",IFERROR(VLOOKUP(DATOS!$I15699,CONFIG_ASIGNATURAS!$B$2:$J$61,9,FALSE()),""))</f>
      </c>
    </row>
    <row r="15700">
      <c r="E15700">
        <f>IF(DATOS!$I15700="","",IFERROR(VLOOKUP(DATOS!$I15700,CONFIG_ASIGNATURAS!$B$2:$J$61,9,FALSE()),""))</f>
      </c>
    </row>
    <row r="15701">
      <c r="E15701">
        <f>IF(DATOS!$I15701="","",IFERROR(VLOOKUP(DATOS!$I15701,CONFIG_ASIGNATURAS!$B$2:$J$61,9,FALSE()),""))</f>
      </c>
    </row>
    <row r="15702">
      <c r="E15702">
        <f>IF(DATOS!$I15702="","",IFERROR(VLOOKUP(DATOS!$I15702,CONFIG_ASIGNATURAS!$B$2:$J$61,9,FALSE()),""))</f>
      </c>
    </row>
    <row r="15703">
      <c r="E15703">
        <f>IF(DATOS!$I15703="","",IFERROR(VLOOKUP(DATOS!$I15703,CONFIG_ASIGNATURAS!$B$2:$J$61,9,FALSE()),""))</f>
      </c>
    </row>
    <row r="15704">
      <c r="E15704">
        <f>IF(DATOS!$I15704="","",IFERROR(VLOOKUP(DATOS!$I15704,CONFIG_ASIGNATURAS!$B$2:$J$61,9,FALSE()),""))</f>
      </c>
    </row>
    <row r="15705">
      <c r="E15705">
        <f>IF(DATOS!$I15705="","",IFERROR(VLOOKUP(DATOS!$I15705,CONFIG_ASIGNATURAS!$B$2:$J$61,9,FALSE()),""))</f>
      </c>
    </row>
    <row r="15706">
      <c r="E15706">
        <f>IF(DATOS!$I15706="","",IFERROR(VLOOKUP(DATOS!$I15706,CONFIG_ASIGNATURAS!$B$2:$J$61,9,FALSE()),""))</f>
      </c>
    </row>
    <row r="15707">
      <c r="E15707">
        <f>IF(DATOS!$I15707="","",IFERROR(VLOOKUP(DATOS!$I15707,CONFIG_ASIGNATURAS!$B$2:$J$61,9,FALSE()),""))</f>
      </c>
    </row>
    <row r="15708">
      <c r="E15708">
        <f>IF(DATOS!$I15708="","",IFERROR(VLOOKUP(DATOS!$I15708,CONFIG_ASIGNATURAS!$B$2:$J$61,9,FALSE()),""))</f>
      </c>
    </row>
    <row r="15709">
      <c r="E15709">
        <f>IF(DATOS!$I15709="","",IFERROR(VLOOKUP(DATOS!$I15709,CONFIG_ASIGNATURAS!$B$2:$J$61,9,FALSE()),""))</f>
      </c>
    </row>
    <row r="15710">
      <c r="E15710">
        <f>IF(DATOS!$I15710="","",IFERROR(VLOOKUP(DATOS!$I15710,CONFIG_ASIGNATURAS!$B$2:$J$61,9,FALSE()),""))</f>
      </c>
    </row>
    <row r="15711">
      <c r="E15711">
        <f>IF(DATOS!$I15711="","",IFERROR(VLOOKUP(DATOS!$I15711,CONFIG_ASIGNATURAS!$B$2:$J$61,9,FALSE()),""))</f>
      </c>
    </row>
    <row r="15712">
      <c r="E15712">
        <f>IF(DATOS!$I15712="","",IFERROR(VLOOKUP(DATOS!$I15712,CONFIG_ASIGNATURAS!$B$2:$J$61,9,FALSE()),""))</f>
      </c>
    </row>
    <row r="15713">
      <c r="E15713">
        <f>IF(DATOS!$I15713="","",IFERROR(VLOOKUP(DATOS!$I15713,CONFIG_ASIGNATURAS!$B$2:$J$61,9,FALSE()),""))</f>
      </c>
    </row>
    <row r="15714">
      <c r="E15714">
        <f>IF(DATOS!$I15714="","",IFERROR(VLOOKUP(DATOS!$I15714,CONFIG_ASIGNATURAS!$B$2:$J$61,9,FALSE()),""))</f>
      </c>
    </row>
    <row r="15715">
      <c r="E15715">
        <f>IF(DATOS!$I15715="","",IFERROR(VLOOKUP(DATOS!$I15715,CONFIG_ASIGNATURAS!$B$2:$J$61,9,FALSE()),""))</f>
      </c>
    </row>
    <row r="15716">
      <c r="E15716">
        <f>IF(DATOS!$I15716="","",IFERROR(VLOOKUP(DATOS!$I15716,CONFIG_ASIGNATURAS!$B$2:$J$61,9,FALSE()),""))</f>
      </c>
    </row>
    <row r="15717">
      <c r="E15717">
        <f>IF(DATOS!$I15717="","",IFERROR(VLOOKUP(DATOS!$I15717,CONFIG_ASIGNATURAS!$B$2:$J$61,9,FALSE()),""))</f>
      </c>
    </row>
    <row r="15718">
      <c r="E15718">
        <f>IF(DATOS!$I15718="","",IFERROR(VLOOKUP(DATOS!$I15718,CONFIG_ASIGNATURAS!$B$2:$J$61,9,FALSE()),""))</f>
      </c>
    </row>
    <row r="15719">
      <c r="E15719">
        <f>IF(DATOS!$I15719="","",IFERROR(VLOOKUP(DATOS!$I15719,CONFIG_ASIGNATURAS!$B$2:$J$61,9,FALSE()),""))</f>
      </c>
    </row>
    <row r="15720">
      <c r="E15720">
        <f>IF(DATOS!$I15720="","",IFERROR(VLOOKUP(DATOS!$I15720,CONFIG_ASIGNATURAS!$B$2:$J$61,9,FALSE()),""))</f>
      </c>
    </row>
    <row r="15721">
      <c r="E15721">
        <f>IF(DATOS!$I15721="","",IFERROR(VLOOKUP(DATOS!$I15721,CONFIG_ASIGNATURAS!$B$2:$J$61,9,FALSE()),""))</f>
      </c>
    </row>
    <row r="15722">
      <c r="E15722">
        <f>IF(DATOS!$I15722="","",IFERROR(VLOOKUP(DATOS!$I15722,CONFIG_ASIGNATURAS!$B$2:$J$61,9,FALSE()),""))</f>
      </c>
    </row>
    <row r="15723">
      <c r="E15723">
        <f>IF(DATOS!$I15723="","",IFERROR(VLOOKUP(DATOS!$I15723,CONFIG_ASIGNATURAS!$B$2:$J$61,9,FALSE()),""))</f>
      </c>
    </row>
    <row r="15724">
      <c r="E15724">
        <f>IF(DATOS!$I15724="","",IFERROR(VLOOKUP(DATOS!$I15724,CONFIG_ASIGNATURAS!$B$2:$J$61,9,FALSE()),""))</f>
      </c>
    </row>
    <row r="15725">
      <c r="E15725">
        <f>IF(DATOS!$I15725="","",IFERROR(VLOOKUP(DATOS!$I15725,CONFIG_ASIGNATURAS!$B$2:$J$61,9,FALSE()),""))</f>
      </c>
    </row>
    <row r="15726">
      <c r="E15726">
        <f>IF(DATOS!$I15726="","",IFERROR(VLOOKUP(DATOS!$I15726,CONFIG_ASIGNATURAS!$B$2:$J$61,9,FALSE()),""))</f>
      </c>
    </row>
    <row r="15727">
      <c r="E15727">
        <f>IF(DATOS!$I15727="","",IFERROR(VLOOKUP(DATOS!$I15727,CONFIG_ASIGNATURAS!$B$2:$J$61,9,FALSE()),""))</f>
      </c>
    </row>
    <row r="15728">
      <c r="E15728">
        <f>IF(DATOS!$I15728="","",IFERROR(VLOOKUP(DATOS!$I15728,CONFIG_ASIGNATURAS!$B$2:$J$61,9,FALSE()),""))</f>
      </c>
    </row>
    <row r="15729">
      <c r="E15729">
        <f>IF(DATOS!$I15729="","",IFERROR(VLOOKUP(DATOS!$I15729,CONFIG_ASIGNATURAS!$B$2:$J$61,9,FALSE()),""))</f>
      </c>
    </row>
    <row r="15730">
      <c r="E15730">
        <f>IF(DATOS!$I15730="","",IFERROR(VLOOKUP(DATOS!$I15730,CONFIG_ASIGNATURAS!$B$2:$J$61,9,FALSE()),""))</f>
      </c>
    </row>
    <row r="15731">
      <c r="E15731">
        <f>IF(DATOS!$I15731="","",IFERROR(VLOOKUP(DATOS!$I15731,CONFIG_ASIGNATURAS!$B$2:$J$61,9,FALSE()),""))</f>
      </c>
    </row>
    <row r="15732">
      <c r="E15732">
        <f>IF(DATOS!$I15732="","",IFERROR(VLOOKUP(DATOS!$I15732,CONFIG_ASIGNATURAS!$B$2:$J$61,9,FALSE()),""))</f>
      </c>
    </row>
    <row r="15733">
      <c r="E15733">
        <f>IF(DATOS!$I15733="","",IFERROR(VLOOKUP(DATOS!$I15733,CONFIG_ASIGNATURAS!$B$2:$J$61,9,FALSE()),""))</f>
      </c>
    </row>
    <row r="15734">
      <c r="E15734">
        <f>IF(DATOS!$I15734="","",IFERROR(VLOOKUP(DATOS!$I15734,CONFIG_ASIGNATURAS!$B$2:$J$61,9,FALSE()),""))</f>
      </c>
    </row>
    <row r="15735">
      <c r="E15735">
        <f>IF(DATOS!$I15735="","",IFERROR(VLOOKUP(DATOS!$I15735,CONFIG_ASIGNATURAS!$B$2:$J$61,9,FALSE()),""))</f>
      </c>
    </row>
    <row r="15736">
      <c r="E15736">
        <f>IF(DATOS!$I15736="","",IFERROR(VLOOKUP(DATOS!$I15736,CONFIG_ASIGNATURAS!$B$2:$J$61,9,FALSE()),""))</f>
      </c>
    </row>
    <row r="15737">
      <c r="E15737">
        <f>IF(DATOS!$I15737="","",IFERROR(VLOOKUP(DATOS!$I15737,CONFIG_ASIGNATURAS!$B$2:$J$61,9,FALSE()),""))</f>
      </c>
    </row>
    <row r="15738">
      <c r="E15738">
        <f>IF(DATOS!$I15738="","",IFERROR(VLOOKUP(DATOS!$I15738,CONFIG_ASIGNATURAS!$B$2:$J$61,9,FALSE()),""))</f>
      </c>
    </row>
    <row r="15739">
      <c r="E15739">
        <f>IF(DATOS!$I15739="","",IFERROR(VLOOKUP(DATOS!$I15739,CONFIG_ASIGNATURAS!$B$2:$J$61,9,FALSE()),""))</f>
      </c>
    </row>
    <row r="15740">
      <c r="E15740">
        <f>IF(DATOS!$I15740="","",IFERROR(VLOOKUP(DATOS!$I15740,CONFIG_ASIGNATURAS!$B$2:$J$61,9,FALSE()),""))</f>
      </c>
    </row>
    <row r="15741">
      <c r="E15741">
        <f>IF(DATOS!$I15741="","",IFERROR(VLOOKUP(DATOS!$I15741,CONFIG_ASIGNATURAS!$B$2:$J$61,9,FALSE()),""))</f>
      </c>
    </row>
    <row r="15742">
      <c r="E15742">
        <f>IF(DATOS!$I15742="","",IFERROR(VLOOKUP(DATOS!$I15742,CONFIG_ASIGNATURAS!$B$2:$J$61,9,FALSE()),""))</f>
      </c>
    </row>
    <row r="15743">
      <c r="E15743">
        <f>IF(DATOS!$I15743="","",IFERROR(VLOOKUP(DATOS!$I15743,CONFIG_ASIGNATURAS!$B$2:$J$61,9,FALSE()),""))</f>
      </c>
    </row>
    <row r="15744">
      <c r="E15744">
        <f>IF(DATOS!$I15744="","",IFERROR(VLOOKUP(DATOS!$I15744,CONFIG_ASIGNATURAS!$B$2:$J$61,9,FALSE()),""))</f>
      </c>
    </row>
    <row r="15745">
      <c r="E15745">
        <f>IF(DATOS!$I15745="","",IFERROR(VLOOKUP(DATOS!$I15745,CONFIG_ASIGNATURAS!$B$2:$J$61,9,FALSE()),""))</f>
      </c>
    </row>
    <row r="15746">
      <c r="E15746">
        <f>IF(DATOS!$I15746="","",IFERROR(VLOOKUP(DATOS!$I15746,CONFIG_ASIGNATURAS!$B$2:$J$61,9,FALSE()),""))</f>
      </c>
    </row>
    <row r="15747">
      <c r="E15747">
        <f>IF(DATOS!$I15747="","",IFERROR(VLOOKUP(DATOS!$I15747,CONFIG_ASIGNATURAS!$B$2:$J$61,9,FALSE()),""))</f>
      </c>
    </row>
    <row r="15748">
      <c r="E15748">
        <f>IF(DATOS!$I15748="","",IFERROR(VLOOKUP(DATOS!$I15748,CONFIG_ASIGNATURAS!$B$2:$J$61,9,FALSE()),""))</f>
      </c>
    </row>
    <row r="15749">
      <c r="E15749">
        <f>IF(DATOS!$I15749="","",IFERROR(VLOOKUP(DATOS!$I15749,CONFIG_ASIGNATURAS!$B$2:$J$61,9,FALSE()),""))</f>
      </c>
    </row>
    <row r="15750">
      <c r="E15750">
        <f>IF(DATOS!$I15750="","",IFERROR(VLOOKUP(DATOS!$I15750,CONFIG_ASIGNATURAS!$B$2:$J$61,9,FALSE()),""))</f>
      </c>
    </row>
    <row r="15751">
      <c r="E15751">
        <f>IF(DATOS!$I15751="","",IFERROR(VLOOKUP(DATOS!$I15751,CONFIG_ASIGNATURAS!$B$2:$J$61,9,FALSE()),""))</f>
      </c>
    </row>
    <row r="15752">
      <c r="E15752">
        <f>IF(DATOS!$I15752="","",IFERROR(VLOOKUP(DATOS!$I15752,CONFIG_ASIGNATURAS!$B$2:$J$61,9,FALSE()),""))</f>
      </c>
    </row>
    <row r="15753">
      <c r="E15753">
        <f>IF(DATOS!$I15753="","",IFERROR(VLOOKUP(DATOS!$I15753,CONFIG_ASIGNATURAS!$B$2:$J$61,9,FALSE()),""))</f>
      </c>
    </row>
    <row r="15754">
      <c r="E15754">
        <f>IF(DATOS!$I15754="","",IFERROR(VLOOKUP(DATOS!$I15754,CONFIG_ASIGNATURAS!$B$2:$J$61,9,FALSE()),""))</f>
      </c>
    </row>
    <row r="15755">
      <c r="E15755">
        <f>IF(DATOS!$I15755="","",IFERROR(VLOOKUP(DATOS!$I15755,CONFIG_ASIGNATURAS!$B$2:$J$61,9,FALSE()),""))</f>
      </c>
    </row>
    <row r="15756">
      <c r="E15756">
        <f>IF(DATOS!$I15756="","",IFERROR(VLOOKUP(DATOS!$I15756,CONFIG_ASIGNATURAS!$B$2:$J$61,9,FALSE()),""))</f>
      </c>
    </row>
    <row r="15757">
      <c r="E15757">
        <f>IF(DATOS!$I15757="","",IFERROR(VLOOKUP(DATOS!$I15757,CONFIG_ASIGNATURAS!$B$2:$J$61,9,FALSE()),""))</f>
      </c>
    </row>
    <row r="15758">
      <c r="E15758">
        <f>IF(DATOS!$I15758="","",IFERROR(VLOOKUP(DATOS!$I15758,CONFIG_ASIGNATURAS!$B$2:$J$61,9,FALSE()),""))</f>
      </c>
    </row>
    <row r="15759">
      <c r="E15759">
        <f>IF(DATOS!$I15759="","",IFERROR(VLOOKUP(DATOS!$I15759,CONFIG_ASIGNATURAS!$B$2:$J$61,9,FALSE()),""))</f>
      </c>
    </row>
    <row r="15760">
      <c r="E15760">
        <f>IF(DATOS!$I15760="","",IFERROR(VLOOKUP(DATOS!$I15760,CONFIG_ASIGNATURAS!$B$2:$J$61,9,FALSE()),""))</f>
      </c>
    </row>
    <row r="15761">
      <c r="E15761">
        <f>IF(DATOS!$I15761="","",IFERROR(VLOOKUP(DATOS!$I15761,CONFIG_ASIGNATURAS!$B$2:$J$61,9,FALSE()),""))</f>
      </c>
    </row>
    <row r="15762">
      <c r="E15762">
        <f>IF(DATOS!$I15762="","",IFERROR(VLOOKUP(DATOS!$I15762,CONFIG_ASIGNATURAS!$B$2:$J$61,9,FALSE()),""))</f>
      </c>
    </row>
    <row r="15763">
      <c r="E15763">
        <f>IF(DATOS!$I15763="","",IFERROR(VLOOKUP(DATOS!$I15763,CONFIG_ASIGNATURAS!$B$2:$J$61,9,FALSE()),""))</f>
      </c>
    </row>
    <row r="15764">
      <c r="E15764">
        <f>IF(DATOS!$I15764="","",IFERROR(VLOOKUP(DATOS!$I15764,CONFIG_ASIGNATURAS!$B$2:$J$61,9,FALSE()),""))</f>
      </c>
    </row>
    <row r="15765">
      <c r="E15765">
        <f>IF(DATOS!$I15765="","",IFERROR(VLOOKUP(DATOS!$I15765,CONFIG_ASIGNATURAS!$B$2:$J$61,9,FALSE()),""))</f>
      </c>
    </row>
    <row r="15766">
      <c r="E15766">
        <f>IF(DATOS!$I15766="","",IFERROR(VLOOKUP(DATOS!$I15766,CONFIG_ASIGNATURAS!$B$2:$J$61,9,FALSE()),""))</f>
      </c>
    </row>
    <row r="15767">
      <c r="E15767">
        <f>IF(DATOS!$I15767="","",IFERROR(VLOOKUP(DATOS!$I15767,CONFIG_ASIGNATURAS!$B$2:$J$61,9,FALSE()),""))</f>
      </c>
    </row>
    <row r="15768">
      <c r="E15768">
        <f>IF(DATOS!$I15768="","",IFERROR(VLOOKUP(DATOS!$I15768,CONFIG_ASIGNATURAS!$B$2:$J$61,9,FALSE()),""))</f>
      </c>
    </row>
    <row r="15769">
      <c r="E15769">
        <f>IF(DATOS!$I15769="","",IFERROR(VLOOKUP(DATOS!$I15769,CONFIG_ASIGNATURAS!$B$2:$J$61,9,FALSE()),""))</f>
      </c>
    </row>
    <row r="15770">
      <c r="E15770">
        <f>IF(DATOS!$I15770="","",IFERROR(VLOOKUP(DATOS!$I15770,CONFIG_ASIGNATURAS!$B$2:$J$61,9,FALSE()),""))</f>
      </c>
    </row>
    <row r="15771">
      <c r="E15771">
        <f>IF(DATOS!$I15771="","",IFERROR(VLOOKUP(DATOS!$I15771,CONFIG_ASIGNATURAS!$B$2:$J$61,9,FALSE()),""))</f>
      </c>
    </row>
    <row r="15772">
      <c r="E15772">
        <f>IF(DATOS!$I15772="","",IFERROR(VLOOKUP(DATOS!$I15772,CONFIG_ASIGNATURAS!$B$2:$J$61,9,FALSE()),""))</f>
      </c>
    </row>
    <row r="15773">
      <c r="E15773">
        <f>IF(DATOS!$I15773="","",IFERROR(VLOOKUP(DATOS!$I15773,CONFIG_ASIGNATURAS!$B$2:$J$61,9,FALSE()),""))</f>
      </c>
    </row>
    <row r="15774">
      <c r="E15774">
        <f>IF(DATOS!$I15774="","",IFERROR(VLOOKUP(DATOS!$I15774,CONFIG_ASIGNATURAS!$B$2:$J$61,9,FALSE()),""))</f>
      </c>
    </row>
    <row r="15775">
      <c r="E15775">
        <f>IF(DATOS!$I15775="","",IFERROR(VLOOKUP(DATOS!$I15775,CONFIG_ASIGNATURAS!$B$2:$J$61,9,FALSE()),""))</f>
      </c>
    </row>
    <row r="15776">
      <c r="E15776">
        <f>IF(DATOS!$I15776="","",IFERROR(VLOOKUP(DATOS!$I15776,CONFIG_ASIGNATURAS!$B$2:$J$61,9,FALSE()),""))</f>
      </c>
    </row>
    <row r="15777">
      <c r="E15777">
        <f>IF(DATOS!$I15777="","",IFERROR(VLOOKUP(DATOS!$I15777,CONFIG_ASIGNATURAS!$B$2:$J$61,9,FALSE()),""))</f>
      </c>
    </row>
    <row r="15778">
      <c r="E15778">
        <f>IF(DATOS!$I15778="","",IFERROR(VLOOKUP(DATOS!$I15778,CONFIG_ASIGNATURAS!$B$2:$J$61,9,FALSE()),""))</f>
      </c>
    </row>
    <row r="15779">
      <c r="E15779">
        <f>IF(DATOS!$I15779="","",IFERROR(VLOOKUP(DATOS!$I15779,CONFIG_ASIGNATURAS!$B$2:$J$61,9,FALSE()),""))</f>
      </c>
    </row>
    <row r="15780">
      <c r="E15780">
        <f>IF(DATOS!$I15780="","",IFERROR(VLOOKUP(DATOS!$I15780,CONFIG_ASIGNATURAS!$B$2:$J$61,9,FALSE()),""))</f>
      </c>
    </row>
    <row r="15781">
      <c r="E15781">
        <f>IF(DATOS!$I15781="","",IFERROR(VLOOKUP(DATOS!$I15781,CONFIG_ASIGNATURAS!$B$2:$J$61,9,FALSE()),""))</f>
      </c>
    </row>
    <row r="15782">
      <c r="E15782">
        <f>IF(DATOS!$I15782="","",IFERROR(VLOOKUP(DATOS!$I15782,CONFIG_ASIGNATURAS!$B$2:$J$61,9,FALSE()),""))</f>
      </c>
    </row>
    <row r="15783">
      <c r="E15783">
        <f>IF(DATOS!$I15783="","",IFERROR(VLOOKUP(DATOS!$I15783,CONFIG_ASIGNATURAS!$B$2:$J$61,9,FALSE()),""))</f>
      </c>
    </row>
    <row r="15784">
      <c r="E15784">
        <f>IF(DATOS!$I15784="","",IFERROR(VLOOKUP(DATOS!$I15784,CONFIG_ASIGNATURAS!$B$2:$J$61,9,FALSE()),""))</f>
      </c>
    </row>
    <row r="15785">
      <c r="E15785">
        <f>IF(DATOS!$I15785="","",IFERROR(VLOOKUP(DATOS!$I15785,CONFIG_ASIGNATURAS!$B$2:$J$61,9,FALSE()),""))</f>
      </c>
    </row>
    <row r="15786">
      <c r="E15786">
        <f>IF(DATOS!$I15786="","",IFERROR(VLOOKUP(DATOS!$I15786,CONFIG_ASIGNATURAS!$B$2:$J$61,9,FALSE()),""))</f>
      </c>
    </row>
    <row r="15787">
      <c r="E15787">
        <f>IF(DATOS!$I15787="","",IFERROR(VLOOKUP(DATOS!$I15787,CONFIG_ASIGNATURAS!$B$2:$J$61,9,FALSE()),""))</f>
      </c>
    </row>
    <row r="15788">
      <c r="E15788">
        <f>IF(DATOS!$I15788="","",IFERROR(VLOOKUP(DATOS!$I15788,CONFIG_ASIGNATURAS!$B$2:$J$61,9,FALSE()),""))</f>
      </c>
    </row>
    <row r="15789">
      <c r="E15789">
        <f>IF(DATOS!$I15789="","",IFERROR(VLOOKUP(DATOS!$I15789,CONFIG_ASIGNATURAS!$B$2:$J$61,9,FALSE()),""))</f>
      </c>
    </row>
    <row r="15790">
      <c r="E15790">
        <f>IF(DATOS!$I15790="","",IFERROR(VLOOKUP(DATOS!$I15790,CONFIG_ASIGNATURAS!$B$2:$J$61,9,FALSE()),""))</f>
      </c>
    </row>
    <row r="15791">
      <c r="E15791">
        <f>IF(DATOS!$I15791="","",IFERROR(VLOOKUP(DATOS!$I15791,CONFIG_ASIGNATURAS!$B$2:$J$61,9,FALSE()),""))</f>
      </c>
    </row>
    <row r="15792">
      <c r="E15792">
        <f>IF(DATOS!$I15792="","",IFERROR(VLOOKUP(DATOS!$I15792,CONFIG_ASIGNATURAS!$B$2:$J$61,9,FALSE()),""))</f>
      </c>
    </row>
    <row r="15793">
      <c r="E15793">
        <f>IF(DATOS!$I15793="","",IFERROR(VLOOKUP(DATOS!$I15793,CONFIG_ASIGNATURAS!$B$2:$J$61,9,FALSE()),""))</f>
      </c>
    </row>
    <row r="15794">
      <c r="E15794">
        <f>IF(DATOS!$I15794="","",IFERROR(VLOOKUP(DATOS!$I15794,CONFIG_ASIGNATURAS!$B$2:$J$61,9,FALSE()),""))</f>
      </c>
    </row>
    <row r="15795">
      <c r="E15795">
        <f>IF(DATOS!$I15795="","",IFERROR(VLOOKUP(DATOS!$I15795,CONFIG_ASIGNATURAS!$B$2:$J$61,9,FALSE()),""))</f>
      </c>
    </row>
    <row r="15796">
      <c r="E15796">
        <f>IF(DATOS!$I15796="","",IFERROR(VLOOKUP(DATOS!$I15796,CONFIG_ASIGNATURAS!$B$2:$J$61,9,FALSE()),""))</f>
      </c>
    </row>
    <row r="15797">
      <c r="E15797">
        <f>IF(DATOS!$I15797="","",IFERROR(VLOOKUP(DATOS!$I15797,CONFIG_ASIGNATURAS!$B$2:$J$61,9,FALSE()),""))</f>
      </c>
    </row>
    <row r="15798">
      <c r="E15798">
        <f>IF(DATOS!$I15798="","",IFERROR(VLOOKUP(DATOS!$I15798,CONFIG_ASIGNATURAS!$B$2:$J$61,9,FALSE()),""))</f>
      </c>
    </row>
    <row r="15799">
      <c r="E15799">
        <f>IF(DATOS!$I15799="","",IFERROR(VLOOKUP(DATOS!$I15799,CONFIG_ASIGNATURAS!$B$2:$J$61,9,FALSE()),""))</f>
      </c>
    </row>
    <row r="15800">
      <c r="E15800">
        <f>IF(DATOS!$I15800="","",IFERROR(VLOOKUP(DATOS!$I15800,CONFIG_ASIGNATURAS!$B$2:$J$61,9,FALSE()),""))</f>
      </c>
    </row>
    <row r="15801">
      <c r="E15801">
        <f>IF(DATOS!$I15801="","",IFERROR(VLOOKUP(DATOS!$I15801,CONFIG_ASIGNATURAS!$B$2:$J$61,9,FALSE()),""))</f>
      </c>
    </row>
    <row r="15802">
      <c r="E15802">
        <f>IF(DATOS!$I15802="","",IFERROR(VLOOKUP(DATOS!$I15802,CONFIG_ASIGNATURAS!$B$2:$J$61,9,FALSE()),""))</f>
      </c>
    </row>
    <row r="15803">
      <c r="E15803">
        <f>IF(DATOS!$I15803="","",IFERROR(VLOOKUP(DATOS!$I15803,CONFIG_ASIGNATURAS!$B$2:$J$61,9,FALSE()),""))</f>
      </c>
    </row>
    <row r="15804">
      <c r="E15804">
        <f>IF(DATOS!$I15804="","",IFERROR(VLOOKUP(DATOS!$I15804,CONFIG_ASIGNATURAS!$B$2:$J$61,9,FALSE()),""))</f>
      </c>
    </row>
    <row r="15805">
      <c r="E15805">
        <f>IF(DATOS!$I15805="","",IFERROR(VLOOKUP(DATOS!$I15805,CONFIG_ASIGNATURAS!$B$2:$J$61,9,FALSE()),""))</f>
      </c>
    </row>
    <row r="15806">
      <c r="E15806">
        <f>IF(DATOS!$I15806="","",IFERROR(VLOOKUP(DATOS!$I15806,CONFIG_ASIGNATURAS!$B$2:$J$61,9,FALSE()),""))</f>
      </c>
    </row>
    <row r="15807">
      <c r="E15807">
        <f>IF(DATOS!$I15807="","",IFERROR(VLOOKUP(DATOS!$I15807,CONFIG_ASIGNATURAS!$B$2:$J$61,9,FALSE()),""))</f>
      </c>
    </row>
    <row r="15808">
      <c r="E15808">
        <f>IF(DATOS!$I15808="","",IFERROR(VLOOKUP(DATOS!$I15808,CONFIG_ASIGNATURAS!$B$2:$J$61,9,FALSE()),""))</f>
      </c>
    </row>
    <row r="15809">
      <c r="E15809">
        <f>IF(DATOS!$I15809="","",IFERROR(VLOOKUP(DATOS!$I15809,CONFIG_ASIGNATURAS!$B$2:$J$61,9,FALSE()),""))</f>
      </c>
    </row>
    <row r="15810">
      <c r="E15810">
        <f>IF(DATOS!$I15810="","",IFERROR(VLOOKUP(DATOS!$I15810,CONFIG_ASIGNATURAS!$B$2:$J$61,9,FALSE()),""))</f>
      </c>
    </row>
    <row r="15811">
      <c r="E15811">
        <f>IF(DATOS!$I15811="","",IFERROR(VLOOKUP(DATOS!$I15811,CONFIG_ASIGNATURAS!$B$2:$J$61,9,FALSE()),""))</f>
      </c>
    </row>
    <row r="15812">
      <c r="E15812">
        <f>IF(DATOS!$I15812="","",IFERROR(VLOOKUP(DATOS!$I15812,CONFIG_ASIGNATURAS!$B$2:$J$61,9,FALSE()),""))</f>
      </c>
    </row>
    <row r="15813">
      <c r="E15813">
        <f>IF(DATOS!$I15813="","",IFERROR(VLOOKUP(DATOS!$I15813,CONFIG_ASIGNATURAS!$B$2:$J$61,9,FALSE()),""))</f>
      </c>
    </row>
    <row r="15814">
      <c r="E15814">
        <f>IF(DATOS!$I15814="","",IFERROR(VLOOKUP(DATOS!$I15814,CONFIG_ASIGNATURAS!$B$2:$J$61,9,FALSE()),""))</f>
      </c>
    </row>
    <row r="15815">
      <c r="E15815">
        <f>IF(DATOS!$I15815="","",IFERROR(VLOOKUP(DATOS!$I15815,CONFIG_ASIGNATURAS!$B$2:$J$61,9,FALSE()),""))</f>
      </c>
    </row>
    <row r="15816">
      <c r="E15816">
        <f>IF(DATOS!$I15816="","",IFERROR(VLOOKUP(DATOS!$I15816,CONFIG_ASIGNATURAS!$B$2:$J$61,9,FALSE()),""))</f>
      </c>
    </row>
    <row r="15817">
      <c r="E15817">
        <f>IF(DATOS!$I15817="","",IFERROR(VLOOKUP(DATOS!$I15817,CONFIG_ASIGNATURAS!$B$2:$J$61,9,FALSE()),""))</f>
      </c>
    </row>
    <row r="15818">
      <c r="E15818">
        <f>IF(DATOS!$I15818="","",IFERROR(VLOOKUP(DATOS!$I15818,CONFIG_ASIGNATURAS!$B$2:$J$61,9,FALSE()),""))</f>
      </c>
    </row>
    <row r="15819">
      <c r="E15819">
        <f>IF(DATOS!$I15819="","",IFERROR(VLOOKUP(DATOS!$I15819,CONFIG_ASIGNATURAS!$B$2:$J$61,9,FALSE()),""))</f>
      </c>
    </row>
    <row r="15820">
      <c r="E15820">
        <f>IF(DATOS!$I15820="","",IFERROR(VLOOKUP(DATOS!$I15820,CONFIG_ASIGNATURAS!$B$2:$J$61,9,FALSE()),""))</f>
      </c>
    </row>
    <row r="15821">
      <c r="E15821">
        <f>IF(DATOS!$I15821="","",IFERROR(VLOOKUP(DATOS!$I15821,CONFIG_ASIGNATURAS!$B$2:$J$61,9,FALSE()),""))</f>
      </c>
    </row>
    <row r="15822">
      <c r="E15822">
        <f>IF(DATOS!$I15822="","",IFERROR(VLOOKUP(DATOS!$I15822,CONFIG_ASIGNATURAS!$B$2:$J$61,9,FALSE()),""))</f>
      </c>
    </row>
    <row r="15823">
      <c r="E15823">
        <f>IF(DATOS!$I15823="","",IFERROR(VLOOKUP(DATOS!$I15823,CONFIG_ASIGNATURAS!$B$2:$J$61,9,FALSE()),""))</f>
      </c>
    </row>
    <row r="15824">
      <c r="E15824">
        <f>IF(DATOS!$I15824="","",IFERROR(VLOOKUP(DATOS!$I15824,CONFIG_ASIGNATURAS!$B$2:$J$61,9,FALSE()),""))</f>
      </c>
    </row>
    <row r="15825">
      <c r="E15825">
        <f>IF(DATOS!$I15825="","",IFERROR(VLOOKUP(DATOS!$I15825,CONFIG_ASIGNATURAS!$B$2:$J$61,9,FALSE()),""))</f>
      </c>
    </row>
    <row r="15826">
      <c r="E15826">
        <f>IF(DATOS!$I15826="","",IFERROR(VLOOKUP(DATOS!$I15826,CONFIG_ASIGNATURAS!$B$2:$J$61,9,FALSE()),""))</f>
      </c>
    </row>
    <row r="15827">
      <c r="E15827">
        <f>IF(DATOS!$I15827="","",IFERROR(VLOOKUP(DATOS!$I15827,CONFIG_ASIGNATURAS!$B$2:$J$61,9,FALSE()),""))</f>
      </c>
    </row>
    <row r="15828">
      <c r="E15828">
        <f>IF(DATOS!$I15828="","",IFERROR(VLOOKUP(DATOS!$I15828,CONFIG_ASIGNATURAS!$B$2:$J$61,9,FALSE()),""))</f>
      </c>
    </row>
    <row r="15829">
      <c r="E15829">
        <f>IF(DATOS!$I15829="","",IFERROR(VLOOKUP(DATOS!$I15829,CONFIG_ASIGNATURAS!$B$2:$J$61,9,FALSE()),""))</f>
      </c>
    </row>
    <row r="15830">
      <c r="E15830">
        <f>IF(DATOS!$I15830="","",IFERROR(VLOOKUP(DATOS!$I15830,CONFIG_ASIGNATURAS!$B$2:$J$61,9,FALSE()),""))</f>
      </c>
    </row>
    <row r="15831">
      <c r="E15831">
        <f>IF(DATOS!$I15831="","",IFERROR(VLOOKUP(DATOS!$I15831,CONFIG_ASIGNATURAS!$B$2:$J$61,9,FALSE()),""))</f>
      </c>
    </row>
    <row r="15832">
      <c r="E15832">
        <f>IF(DATOS!$I15832="","",IFERROR(VLOOKUP(DATOS!$I15832,CONFIG_ASIGNATURAS!$B$2:$J$61,9,FALSE()),""))</f>
      </c>
    </row>
    <row r="15833">
      <c r="E15833">
        <f>IF(DATOS!$I15833="","",IFERROR(VLOOKUP(DATOS!$I15833,CONFIG_ASIGNATURAS!$B$2:$J$61,9,FALSE()),""))</f>
      </c>
    </row>
    <row r="15834">
      <c r="E15834">
        <f>IF(DATOS!$I15834="","",IFERROR(VLOOKUP(DATOS!$I15834,CONFIG_ASIGNATURAS!$B$2:$J$61,9,FALSE()),""))</f>
      </c>
    </row>
    <row r="15835">
      <c r="E15835">
        <f>IF(DATOS!$I15835="","",IFERROR(VLOOKUP(DATOS!$I15835,CONFIG_ASIGNATURAS!$B$2:$J$61,9,FALSE()),""))</f>
      </c>
    </row>
    <row r="15836">
      <c r="E15836">
        <f>IF(DATOS!$I15836="","",IFERROR(VLOOKUP(DATOS!$I15836,CONFIG_ASIGNATURAS!$B$2:$J$61,9,FALSE()),""))</f>
      </c>
    </row>
    <row r="15837">
      <c r="E15837">
        <f>IF(DATOS!$I15837="","",IFERROR(VLOOKUP(DATOS!$I15837,CONFIG_ASIGNATURAS!$B$2:$J$61,9,FALSE()),""))</f>
      </c>
    </row>
    <row r="15838">
      <c r="E15838">
        <f>IF(DATOS!$I15838="","",IFERROR(VLOOKUP(DATOS!$I15838,CONFIG_ASIGNATURAS!$B$2:$J$61,9,FALSE()),""))</f>
      </c>
    </row>
    <row r="15839">
      <c r="E15839">
        <f>IF(DATOS!$I15839="","",IFERROR(VLOOKUP(DATOS!$I15839,CONFIG_ASIGNATURAS!$B$2:$J$61,9,FALSE()),""))</f>
      </c>
    </row>
    <row r="15840">
      <c r="E15840">
        <f>IF(DATOS!$I15840="","",IFERROR(VLOOKUP(DATOS!$I15840,CONFIG_ASIGNATURAS!$B$2:$J$61,9,FALSE()),""))</f>
      </c>
    </row>
    <row r="15841">
      <c r="E15841">
        <f>IF(DATOS!$I15841="","",IFERROR(VLOOKUP(DATOS!$I15841,CONFIG_ASIGNATURAS!$B$2:$J$61,9,FALSE()),""))</f>
      </c>
    </row>
    <row r="15842">
      <c r="E15842">
        <f>IF(DATOS!$I15842="","",IFERROR(VLOOKUP(DATOS!$I15842,CONFIG_ASIGNATURAS!$B$2:$J$61,9,FALSE()),""))</f>
      </c>
    </row>
    <row r="15843">
      <c r="E15843">
        <f>IF(DATOS!$I15843="","",IFERROR(VLOOKUP(DATOS!$I15843,CONFIG_ASIGNATURAS!$B$2:$J$61,9,FALSE()),""))</f>
      </c>
    </row>
    <row r="15844">
      <c r="E15844">
        <f>IF(DATOS!$I15844="","",IFERROR(VLOOKUP(DATOS!$I15844,CONFIG_ASIGNATURAS!$B$2:$J$61,9,FALSE()),""))</f>
      </c>
    </row>
    <row r="15845">
      <c r="E15845">
        <f>IF(DATOS!$I15845="","",IFERROR(VLOOKUP(DATOS!$I15845,CONFIG_ASIGNATURAS!$B$2:$J$61,9,FALSE()),""))</f>
      </c>
    </row>
    <row r="15846">
      <c r="E15846">
        <f>IF(DATOS!$I15846="","",IFERROR(VLOOKUP(DATOS!$I15846,CONFIG_ASIGNATURAS!$B$2:$J$61,9,FALSE()),""))</f>
      </c>
    </row>
    <row r="15847">
      <c r="E15847">
        <f>IF(DATOS!$I15847="","",IFERROR(VLOOKUP(DATOS!$I15847,CONFIG_ASIGNATURAS!$B$2:$J$61,9,FALSE()),""))</f>
      </c>
    </row>
    <row r="15848">
      <c r="E15848">
        <f>IF(DATOS!$I15848="","",IFERROR(VLOOKUP(DATOS!$I15848,CONFIG_ASIGNATURAS!$B$2:$J$61,9,FALSE()),""))</f>
      </c>
    </row>
    <row r="15849">
      <c r="E15849">
        <f>IF(DATOS!$I15849="","",IFERROR(VLOOKUP(DATOS!$I15849,CONFIG_ASIGNATURAS!$B$2:$J$61,9,FALSE()),""))</f>
      </c>
    </row>
    <row r="15850">
      <c r="E15850">
        <f>IF(DATOS!$I15850="","",IFERROR(VLOOKUP(DATOS!$I15850,CONFIG_ASIGNATURAS!$B$2:$J$61,9,FALSE()),""))</f>
      </c>
    </row>
    <row r="15851">
      <c r="E15851">
        <f>IF(DATOS!$I15851="","",IFERROR(VLOOKUP(DATOS!$I15851,CONFIG_ASIGNATURAS!$B$2:$J$61,9,FALSE()),""))</f>
      </c>
    </row>
    <row r="15852">
      <c r="E15852">
        <f>IF(DATOS!$I15852="","",IFERROR(VLOOKUP(DATOS!$I15852,CONFIG_ASIGNATURAS!$B$2:$J$61,9,FALSE()),""))</f>
      </c>
    </row>
    <row r="15853">
      <c r="E15853">
        <f>IF(DATOS!$I15853="","",IFERROR(VLOOKUP(DATOS!$I15853,CONFIG_ASIGNATURAS!$B$2:$J$61,9,FALSE()),""))</f>
      </c>
    </row>
    <row r="15854">
      <c r="E15854">
        <f>IF(DATOS!$I15854="","",IFERROR(VLOOKUP(DATOS!$I15854,CONFIG_ASIGNATURAS!$B$2:$J$61,9,FALSE()),""))</f>
      </c>
    </row>
    <row r="15855">
      <c r="E15855">
        <f>IF(DATOS!$I15855="","",IFERROR(VLOOKUP(DATOS!$I15855,CONFIG_ASIGNATURAS!$B$2:$J$61,9,FALSE()),""))</f>
      </c>
    </row>
    <row r="15856">
      <c r="E15856">
        <f>IF(DATOS!$I15856="","",IFERROR(VLOOKUP(DATOS!$I15856,CONFIG_ASIGNATURAS!$B$2:$J$61,9,FALSE()),""))</f>
      </c>
    </row>
    <row r="15857">
      <c r="E15857">
        <f>IF(DATOS!$I15857="","",IFERROR(VLOOKUP(DATOS!$I15857,CONFIG_ASIGNATURAS!$B$2:$J$61,9,FALSE()),""))</f>
      </c>
    </row>
    <row r="15858">
      <c r="E15858">
        <f>IF(DATOS!$I15858="","",IFERROR(VLOOKUP(DATOS!$I15858,CONFIG_ASIGNATURAS!$B$2:$J$61,9,FALSE()),""))</f>
      </c>
    </row>
    <row r="15859">
      <c r="E15859">
        <f>IF(DATOS!$I15859="","",IFERROR(VLOOKUP(DATOS!$I15859,CONFIG_ASIGNATURAS!$B$2:$J$61,9,FALSE()),""))</f>
      </c>
    </row>
    <row r="15860">
      <c r="E15860">
        <f>IF(DATOS!$I15860="","",IFERROR(VLOOKUP(DATOS!$I15860,CONFIG_ASIGNATURAS!$B$2:$J$61,9,FALSE()),""))</f>
      </c>
    </row>
    <row r="15861">
      <c r="E15861">
        <f>IF(DATOS!$I15861="","",IFERROR(VLOOKUP(DATOS!$I15861,CONFIG_ASIGNATURAS!$B$2:$J$61,9,FALSE()),""))</f>
      </c>
    </row>
    <row r="15862">
      <c r="E15862">
        <f>IF(DATOS!$I15862="","",IFERROR(VLOOKUP(DATOS!$I15862,CONFIG_ASIGNATURAS!$B$2:$J$61,9,FALSE()),""))</f>
      </c>
    </row>
    <row r="15863">
      <c r="E15863">
        <f>IF(DATOS!$I15863="","",IFERROR(VLOOKUP(DATOS!$I15863,CONFIG_ASIGNATURAS!$B$2:$J$61,9,FALSE()),""))</f>
      </c>
    </row>
    <row r="15864">
      <c r="E15864">
        <f>IF(DATOS!$I15864="","",IFERROR(VLOOKUP(DATOS!$I15864,CONFIG_ASIGNATURAS!$B$2:$J$61,9,FALSE()),""))</f>
      </c>
    </row>
    <row r="15865">
      <c r="E15865">
        <f>IF(DATOS!$I15865="","",IFERROR(VLOOKUP(DATOS!$I15865,CONFIG_ASIGNATURAS!$B$2:$J$61,9,FALSE()),""))</f>
      </c>
    </row>
    <row r="15866">
      <c r="E15866">
        <f>IF(DATOS!$I15866="","",IFERROR(VLOOKUP(DATOS!$I15866,CONFIG_ASIGNATURAS!$B$2:$J$61,9,FALSE()),""))</f>
      </c>
    </row>
    <row r="15867">
      <c r="E15867">
        <f>IF(DATOS!$I15867="","",IFERROR(VLOOKUP(DATOS!$I15867,CONFIG_ASIGNATURAS!$B$2:$J$61,9,FALSE()),""))</f>
      </c>
    </row>
    <row r="15868">
      <c r="E15868">
        <f>IF(DATOS!$I15868="","",IFERROR(VLOOKUP(DATOS!$I15868,CONFIG_ASIGNATURAS!$B$2:$J$61,9,FALSE()),""))</f>
      </c>
    </row>
    <row r="15869">
      <c r="E15869">
        <f>IF(DATOS!$I15869="","",IFERROR(VLOOKUP(DATOS!$I15869,CONFIG_ASIGNATURAS!$B$2:$J$61,9,FALSE()),""))</f>
      </c>
    </row>
    <row r="15870">
      <c r="E15870">
        <f>IF(DATOS!$I15870="","",IFERROR(VLOOKUP(DATOS!$I15870,CONFIG_ASIGNATURAS!$B$2:$J$61,9,FALSE()),""))</f>
      </c>
    </row>
    <row r="15871">
      <c r="E15871">
        <f>IF(DATOS!$I15871="","",IFERROR(VLOOKUP(DATOS!$I15871,CONFIG_ASIGNATURAS!$B$2:$J$61,9,FALSE()),""))</f>
      </c>
    </row>
    <row r="15872">
      <c r="E15872">
        <f>IF(DATOS!$I15872="","",IFERROR(VLOOKUP(DATOS!$I15872,CONFIG_ASIGNATURAS!$B$2:$J$61,9,FALSE()),""))</f>
      </c>
    </row>
    <row r="15873">
      <c r="E15873">
        <f>IF(DATOS!$I15873="","",IFERROR(VLOOKUP(DATOS!$I15873,CONFIG_ASIGNATURAS!$B$2:$J$61,9,FALSE()),""))</f>
      </c>
    </row>
    <row r="15874">
      <c r="E15874">
        <f>IF(DATOS!$I15874="","",IFERROR(VLOOKUP(DATOS!$I15874,CONFIG_ASIGNATURAS!$B$2:$J$61,9,FALSE()),""))</f>
      </c>
    </row>
    <row r="15875">
      <c r="E15875">
        <f>IF(DATOS!$I15875="","",IFERROR(VLOOKUP(DATOS!$I15875,CONFIG_ASIGNATURAS!$B$2:$J$61,9,FALSE()),""))</f>
      </c>
    </row>
    <row r="15876">
      <c r="E15876">
        <f>IF(DATOS!$I15876="","",IFERROR(VLOOKUP(DATOS!$I15876,CONFIG_ASIGNATURAS!$B$2:$J$61,9,FALSE()),""))</f>
      </c>
    </row>
    <row r="15877">
      <c r="E15877">
        <f>IF(DATOS!$I15877="","",IFERROR(VLOOKUP(DATOS!$I15877,CONFIG_ASIGNATURAS!$B$2:$J$61,9,FALSE()),""))</f>
      </c>
    </row>
    <row r="15878">
      <c r="E15878">
        <f>IF(DATOS!$I15878="","",IFERROR(VLOOKUP(DATOS!$I15878,CONFIG_ASIGNATURAS!$B$2:$J$61,9,FALSE()),""))</f>
      </c>
    </row>
    <row r="15879">
      <c r="E15879">
        <f>IF(DATOS!$I15879="","",IFERROR(VLOOKUP(DATOS!$I15879,CONFIG_ASIGNATURAS!$B$2:$J$61,9,FALSE()),""))</f>
      </c>
    </row>
    <row r="15880">
      <c r="E15880">
        <f>IF(DATOS!$I15880="","",IFERROR(VLOOKUP(DATOS!$I15880,CONFIG_ASIGNATURAS!$B$2:$J$61,9,FALSE()),""))</f>
      </c>
    </row>
    <row r="15881">
      <c r="E15881">
        <f>IF(DATOS!$I15881="","",IFERROR(VLOOKUP(DATOS!$I15881,CONFIG_ASIGNATURAS!$B$2:$J$61,9,FALSE()),""))</f>
      </c>
    </row>
    <row r="15882">
      <c r="E15882">
        <f>IF(DATOS!$I15882="","",IFERROR(VLOOKUP(DATOS!$I15882,CONFIG_ASIGNATURAS!$B$2:$J$61,9,FALSE()),""))</f>
      </c>
    </row>
    <row r="15883">
      <c r="E15883">
        <f>IF(DATOS!$I15883="","",IFERROR(VLOOKUP(DATOS!$I15883,CONFIG_ASIGNATURAS!$B$2:$J$61,9,FALSE()),""))</f>
      </c>
    </row>
    <row r="15884">
      <c r="E15884">
        <f>IF(DATOS!$I15884="","",IFERROR(VLOOKUP(DATOS!$I15884,CONFIG_ASIGNATURAS!$B$2:$J$61,9,FALSE()),""))</f>
      </c>
    </row>
    <row r="15885">
      <c r="E15885">
        <f>IF(DATOS!$I15885="","",IFERROR(VLOOKUP(DATOS!$I15885,CONFIG_ASIGNATURAS!$B$2:$J$61,9,FALSE()),""))</f>
      </c>
    </row>
    <row r="15886">
      <c r="E15886">
        <f>IF(DATOS!$I15886="","",IFERROR(VLOOKUP(DATOS!$I15886,CONFIG_ASIGNATURAS!$B$2:$J$61,9,FALSE()),""))</f>
      </c>
    </row>
    <row r="15887">
      <c r="E15887">
        <f>IF(DATOS!$I15887="","",IFERROR(VLOOKUP(DATOS!$I15887,CONFIG_ASIGNATURAS!$B$2:$J$61,9,FALSE()),""))</f>
      </c>
    </row>
    <row r="15888">
      <c r="E15888">
        <f>IF(DATOS!$I15888="","",IFERROR(VLOOKUP(DATOS!$I15888,CONFIG_ASIGNATURAS!$B$2:$J$61,9,FALSE()),""))</f>
      </c>
    </row>
    <row r="15889">
      <c r="E15889">
        <f>IF(DATOS!$I15889="","",IFERROR(VLOOKUP(DATOS!$I15889,CONFIG_ASIGNATURAS!$B$2:$J$61,9,FALSE()),""))</f>
      </c>
    </row>
    <row r="15890">
      <c r="E15890">
        <f>IF(DATOS!$I15890="","",IFERROR(VLOOKUP(DATOS!$I15890,CONFIG_ASIGNATURAS!$B$2:$J$61,9,FALSE()),""))</f>
      </c>
    </row>
    <row r="15891">
      <c r="E15891">
        <f>IF(DATOS!$I15891="","",IFERROR(VLOOKUP(DATOS!$I15891,CONFIG_ASIGNATURAS!$B$2:$J$61,9,FALSE()),""))</f>
      </c>
    </row>
    <row r="15892">
      <c r="E15892">
        <f>IF(DATOS!$I15892="","",IFERROR(VLOOKUP(DATOS!$I15892,CONFIG_ASIGNATURAS!$B$2:$J$61,9,FALSE()),""))</f>
      </c>
    </row>
    <row r="15893">
      <c r="E15893">
        <f>IF(DATOS!$I15893="","",IFERROR(VLOOKUP(DATOS!$I15893,CONFIG_ASIGNATURAS!$B$2:$J$61,9,FALSE()),""))</f>
      </c>
    </row>
    <row r="15894">
      <c r="E15894">
        <f>IF(DATOS!$I15894="","",IFERROR(VLOOKUP(DATOS!$I15894,CONFIG_ASIGNATURAS!$B$2:$J$61,9,FALSE()),""))</f>
      </c>
    </row>
    <row r="15895">
      <c r="E15895">
        <f>IF(DATOS!$I15895="","",IFERROR(VLOOKUP(DATOS!$I15895,CONFIG_ASIGNATURAS!$B$2:$J$61,9,FALSE()),""))</f>
      </c>
    </row>
    <row r="15896">
      <c r="E15896">
        <f>IF(DATOS!$I15896="","",IFERROR(VLOOKUP(DATOS!$I15896,CONFIG_ASIGNATURAS!$B$2:$J$61,9,FALSE()),""))</f>
      </c>
    </row>
    <row r="15897">
      <c r="E15897">
        <f>IF(DATOS!$I15897="","",IFERROR(VLOOKUP(DATOS!$I15897,CONFIG_ASIGNATURAS!$B$2:$J$61,9,FALSE()),""))</f>
      </c>
    </row>
    <row r="15898">
      <c r="E15898">
        <f>IF(DATOS!$I15898="","",IFERROR(VLOOKUP(DATOS!$I15898,CONFIG_ASIGNATURAS!$B$2:$J$61,9,FALSE()),""))</f>
      </c>
    </row>
    <row r="15899">
      <c r="E15899">
        <f>IF(DATOS!$I15899="","",IFERROR(VLOOKUP(DATOS!$I15899,CONFIG_ASIGNATURAS!$B$2:$J$61,9,FALSE()),""))</f>
      </c>
    </row>
    <row r="15900">
      <c r="E15900">
        <f>IF(DATOS!$I15900="","",IFERROR(VLOOKUP(DATOS!$I15900,CONFIG_ASIGNATURAS!$B$2:$J$61,9,FALSE()),""))</f>
      </c>
    </row>
    <row r="15901">
      <c r="E15901">
        <f>IF(DATOS!$I15901="","",IFERROR(VLOOKUP(DATOS!$I15901,CONFIG_ASIGNATURAS!$B$2:$J$61,9,FALSE()),""))</f>
      </c>
    </row>
    <row r="15902">
      <c r="E15902">
        <f>IF(DATOS!$I15902="","",IFERROR(VLOOKUP(DATOS!$I15902,CONFIG_ASIGNATURAS!$B$2:$J$61,9,FALSE()),""))</f>
      </c>
    </row>
    <row r="15903">
      <c r="E15903">
        <f>IF(DATOS!$I15903="","",IFERROR(VLOOKUP(DATOS!$I15903,CONFIG_ASIGNATURAS!$B$2:$J$61,9,FALSE()),""))</f>
      </c>
    </row>
    <row r="15904">
      <c r="E15904">
        <f>IF(DATOS!$I15904="","",IFERROR(VLOOKUP(DATOS!$I15904,CONFIG_ASIGNATURAS!$B$2:$J$61,9,FALSE()),""))</f>
      </c>
    </row>
    <row r="15905">
      <c r="E15905">
        <f>IF(DATOS!$I15905="","",IFERROR(VLOOKUP(DATOS!$I15905,CONFIG_ASIGNATURAS!$B$2:$J$61,9,FALSE()),""))</f>
      </c>
    </row>
    <row r="15906">
      <c r="E15906">
        <f>IF(DATOS!$I15906="","",IFERROR(VLOOKUP(DATOS!$I15906,CONFIG_ASIGNATURAS!$B$2:$J$61,9,FALSE()),""))</f>
      </c>
    </row>
    <row r="15907">
      <c r="E15907">
        <f>IF(DATOS!$I15907="","",IFERROR(VLOOKUP(DATOS!$I15907,CONFIG_ASIGNATURAS!$B$2:$J$61,9,FALSE()),""))</f>
      </c>
    </row>
    <row r="15908">
      <c r="E15908">
        <f>IF(DATOS!$I15908="","",IFERROR(VLOOKUP(DATOS!$I15908,CONFIG_ASIGNATURAS!$B$2:$J$61,9,FALSE()),""))</f>
      </c>
    </row>
    <row r="15909">
      <c r="E15909">
        <f>IF(DATOS!$I15909="","",IFERROR(VLOOKUP(DATOS!$I15909,CONFIG_ASIGNATURAS!$B$2:$J$61,9,FALSE()),""))</f>
      </c>
    </row>
    <row r="15910">
      <c r="E15910">
        <f>IF(DATOS!$I15910="","",IFERROR(VLOOKUP(DATOS!$I15910,CONFIG_ASIGNATURAS!$B$2:$J$61,9,FALSE()),""))</f>
      </c>
    </row>
    <row r="15911">
      <c r="E15911">
        <f>IF(DATOS!$I15911="","",IFERROR(VLOOKUP(DATOS!$I15911,CONFIG_ASIGNATURAS!$B$2:$J$61,9,FALSE()),""))</f>
      </c>
    </row>
    <row r="15912">
      <c r="E15912">
        <f>IF(DATOS!$I15912="","",IFERROR(VLOOKUP(DATOS!$I15912,CONFIG_ASIGNATURAS!$B$2:$J$61,9,FALSE()),""))</f>
      </c>
    </row>
    <row r="15913">
      <c r="E15913">
        <f>IF(DATOS!$I15913="","",IFERROR(VLOOKUP(DATOS!$I15913,CONFIG_ASIGNATURAS!$B$2:$J$61,9,FALSE()),""))</f>
      </c>
    </row>
    <row r="15914">
      <c r="E15914">
        <f>IF(DATOS!$I15914="","",IFERROR(VLOOKUP(DATOS!$I15914,CONFIG_ASIGNATURAS!$B$2:$J$61,9,FALSE()),""))</f>
      </c>
    </row>
    <row r="15915">
      <c r="E15915">
        <f>IF(DATOS!$I15915="","",IFERROR(VLOOKUP(DATOS!$I15915,CONFIG_ASIGNATURAS!$B$2:$J$61,9,FALSE()),""))</f>
      </c>
    </row>
    <row r="15916">
      <c r="E15916">
        <f>IF(DATOS!$I15916="","",IFERROR(VLOOKUP(DATOS!$I15916,CONFIG_ASIGNATURAS!$B$2:$J$61,9,FALSE()),""))</f>
      </c>
    </row>
    <row r="15917">
      <c r="E15917">
        <f>IF(DATOS!$I15917="","",IFERROR(VLOOKUP(DATOS!$I15917,CONFIG_ASIGNATURAS!$B$2:$J$61,9,FALSE()),""))</f>
      </c>
    </row>
    <row r="15918">
      <c r="E15918">
        <f>IF(DATOS!$I15918="","",IFERROR(VLOOKUP(DATOS!$I15918,CONFIG_ASIGNATURAS!$B$2:$J$61,9,FALSE()),""))</f>
      </c>
    </row>
    <row r="15919">
      <c r="E15919">
        <f>IF(DATOS!$I15919="","",IFERROR(VLOOKUP(DATOS!$I15919,CONFIG_ASIGNATURAS!$B$2:$J$61,9,FALSE()),""))</f>
      </c>
    </row>
    <row r="15920">
      <c r="E15920">
        <f>IF(DATOS!$I15920="","",IFERROR(VLOOKUP(DATOS!$I15920,CONFIG_ASIGNATURAS!$B$2:$J$61,9,FALSE()),""))</f>
      </c>
    </row>
    <row r="15921">
      <c r="E15921">
        <f>IF(DATOS!$I15921="","",IFERROR(VLOOKUP(DATOS!$I15921,CONFIG_ASIGNATURAS!$B$2:$J$61,9,FALSE()),""))</f>
      </c>
    </row>
    <row r="15922">
      <c r="E15922">
        <f>IF(DATOS!$I15922="","",IFERROR(VLOOKUP(DATOS!$I15922,CONFIG_ASIGNATURAS!$B$2:$J$61,9,FALSE()),""))</f>
      </c>
    </row>
    <row r="15923">
      <c r="E15923">
        <f>IF(DATOS!$I15923="","",IFERROR(VLOOKUP(DATOS!$I15923,CONFIG_ASIGNATURAS!$B$2:$J$61,9,FALSE()),""))</f>
      </c>
    </row>
    <row r="15924">
      <c r="E15924">
        <f>IF(DATOS!$I15924="","",IFERROR(VLOOKUP(DATOS!$I15924,CONFIG_ASIGNATURAS!$B$2:$J$61,9,FALSE()),""))</f>
      </c>
    </row>
    <row r="15925">
      <c r="E15925">
        <f>IF(DATOS!$I15925="","",IFERROR(VLOOKUP(DATOS!$I15925,CONFIG_ASIGNATURAS!$B$2:$J$61,9,FALSE()),""))</f>
      </c>
    </row>
    <row r="15926">
      <c r="E15926">
        <f>IF(DATOS!$I15926="","",IFERROR(VLOOKUP(DATOS!$I15926,CONFIG_ASIGNATURAS!$B$2:$J$61,9,FALSE()),""))</f>
      </c>
    </row>
    <row r="15927">
      <c r="E15927">
        <f>IF(DATOS!$I15927="","",IFERROR(VLOOKUP(DATOS!$I15927,CONFIG_ASIGNATURAS!$B$2:$J$61,9,FALSE()),""))</f>
      </c>
    </row>
    <row r="15928">
      <c r="E15928">
        <f>IF(DATOS!$I15928="","",IFERROR(VLOOKUP(DATOS!$I15928,CONFIG_ASIGNATURAS!$B$2:$J$61,9,FALSE()),""))</f>
      </c>
    </row>
    <row r="15929">
      <c r="E15929">
        <f>IF(DATOS!$I15929="","",IFERROR(VLOOKUP(DATOS!$I15929,CONFIG_ASIGNATURAS!$B$2:$J$61,9,FALSE()),""))</f>
      </c>
    </row>
    <row r="15930">
      <c r="E15930">
        <f>IF(DATOS!$I15930="","",IFERROR(VLOOKUP(DATOS!$I15930,CONFIG_ASIGNATURAS!$B$2:$J$61,9,FALSE()),""))</f>
      </c>
    </row>
    <row r="15931">
      <c r="E15931">
        <f>IF(DATOS!$I15931="","",IFERROR(VLOOKUP(DATOS!$I15931,CONFIG_ASIGNATURAS!$B$2:$J$61,9,FALSE()),""))</f>
      </c>
    </row>
    <row r="15932">
      <c r="E15932">
        <f>IF(DATOS!$I15932="","",IFERROR(VLOOKUP(DATOS!$I15932,CONFIG_ASIGNATURAS!$B$2:$J$61,9,FALSE()),""))</f>
      </c>
    </row>
    <row r="15933">
      <c r="E15933">
        <f>IF(DATOS!$I15933="","",IFERROR(VLOOKUP(DATOS!$I15933,CONFIG_ASIGNATURAS!$B$2:$J$61,9,FALSE()),""))</f>
      </c>
    </row>
    <row r="15934">
      <c r="E15934">
        <f>IF(DATOS!$I15934="","",IFERROR(VLOOKUP(DATOS!$I15934,CONFIG_ASIGNATURAS!$B$2:$J$61,9,FALSE()),""))</f>
      </c>
    </row>
    <row r="15935">
      <c r="E15935">
        <f>IF(DATOS!$I15935="","",IFERROR(VLOOKUP(DATOS!$I15935,CONFIG_ASIGNATURAS!$B$2:$J$61,9,FALSE()),""))</f>
      </c>
    </row>
    <row r="15936">
      <c r="E15936">
        <f>IF(DATOS!$I15936="","",IFERROR(VLOOKUP(DATOS!$I15936,CONFIG_ASIGNATURAS!$B$2:$J$61,9,FALSE()),""))</f>
      </c>
    </row>
    <row r="15937">
      <c r="E15937">
        <f>IF(DATOS!$I15937="","",IFERROR(VLOOKUP(DATOS!$I15937,CONFIG_ASIGNATURAS!$B$2:$J$61,9,FALSE()),""))</f>
      </c>
    </row>
    <row r="15938">
      <c r="E15938">
        <f>IF(DATOS!$I15938="","",IFERROR(VLOOKUP(DATOS!$I15938,CONFIG_ASIGNATURAS!$B$2:$J$61,9,FALSE()),""))</f>
      </c>
    </row>
    <row r="15939">
      <c r="E15939">
        <f>IF(DATOS!$I15939="","",IFERROR(VLOOKUP(DATOS!$I15939,CONFIG_ASIGNATURAS!$B$2:$J$61,9,FALSE()),""))</f>
      </c>
    </row>
    <row r="15940">
      <c r="E15940">
        <f>IF(DATOS!$I15940="","",IFERROR(VLOOKUP(DATOS!$I15940,CONFIG_ASIGNATURAS!$B$2:$J$61,9,FALSE()),""))</f>
      </c>
    </row>
    <row r="15941">
      <c r="E15941">
        <f>IF(DATOS!$I15941="","",IFERROR(VLOOKUP(DATOS!$I15941,CONFIG_ASIGNATURAS!$B$2:$J$61,9,FALSE()),""))</f>
      </c>
    </row>
    <row r="15942">
      <c r="E15942">
        <f>IF(DATOS!$I15942="","",IFERROR(VLOOKUP(DATOS!$I15942,CONFIG_ASIGNATURAS!$B$2:$J$61,9,FALSE()),""))</f>
      </c>
    </row>
    <row r="15943">
      <c r="E15943">
        <f>IF(DATOS!$I15943="","",IFERROR(VLOOKUP(DATOS!$I15943,CONFIG_ASIGNATURAS!$B$2:$J$61,9,FALSE()),""))</f>
      </c>
    </row>
    <row r="15944">
      <c r="E15944">
        <f>IF(DATOS!$I15944="","",IFERROR(VLOOKUP(DATOS!$I15944,CONFIG_ASIGNATURAS!$B$2:$J$61,9,FALSE()),""))</f>
      </c>
    </row>
    <row r="15945">
      <c r="E15945">
        <f>IF(DATOS!$I15945="","",IFERROR(VLOOKUP(DATOS!$I15945,CONFIG_ASIGNATURAS!$B$2:$J$61,9,FALSE()),""))</f>
      </c>
    </row>
    <row r="15946">
      <c r="E15946">
        <f>IF(DATOS!$I15946="","",IFERROR(VLOOKUP(DATOS!$I15946,CONFIG_ASIGNATURAS!$B$2:$J$61,9,FALSE()),""))</f>
      </c>
    </row>
    <row r="15947">
      <c r="E15947">
        <f>IF(DATOS!$I15947="","",IFERROR(VLOOKUP(DATOS!$I15947,CONFIG_ASIGNATURAS!$B$2:$J$61,9,FALSE()),""))</f>
      </c>
    </row>
    <row r="15948">
      <c r="E15948">
        <f>IF(DATOS!$I15948="","",IFERROR(VLOOKUP(DATOS!$I15948,CONFIG_ASIGNATURAS!$B$2:$J$61,9,FALSE()),""))</f>
      </c>
    </row>
    <row r="15949">
      <c r="E15949">
        <f>IF(DATOS!$I15949="","",IFERROR(VLOOKUP(DATOS!$I15949,CONFIG_ASIGNATURAS!$B$2:$J$61,9,FALSE()),""))</f>
      </c>
    </row>
    <row r="15950">
      <c r="E15950">
        <f>IF(DATOS!$I15950="","",IFERROR(VLOOKUP(DATOS!$I15950,CONFIG_ASIGNATURAS!$B$2:$J$61,9,FALSE()),""))</f>
      </c>
    </row>
    <row r="15951">
      <c r="E15951">
        <f>IF(DATOS!$I15951="","",IFERROR(VLOOKUP(DATOS!$I15951,CONFIG_ASIGNATURAS!$B$2:$J$61,9,FALSE()),""))</f>
      </c>
    </row>
    <row r="15952">
      <c r="E15952">
        <f>IF(DATOS!$I15952="","",IFERROR(VLOOKUP(DATOS!$I15952,CONFIG_ASIGNATURAS!$B$2:$J$61,9,FALSE()),""))</f>
      </c>
    </row>
    <row r="15953">
      <c r="E15953">
        <f>IF(DATOS!$I15953="","",IFERROR(VLOOKUP(DATOS!$I15953,CONFIG_ASIGNATURAS!$B$2:$J$61,9,FALSE()),""))</f>
      </c>
    </row>
    <row r="15954">
      <c r="E15954">
        <f>IF(DATOS!$I15954="","",IFERROR(VLOOKUP(DATOS!$I15954,CONFIG_ASIGNATURAS!$B$2:$J$61,9,FALSE()),""))</f>
      </c>
    </row>
    <row r="15955">
      <c r="E15955">
        <f>IF(DATOS!$I15955="","",IFERROR(VLOOKUP(DATOS!$I15955,CONFIG_ASIGNATURAS!$B$2:$J$61,9,FALSE()),""))</f>
      </c>
    </row>
    <row r="15956">
      <c r="E15956">
        <f>IF(DATOS!$I15956="","",IFERROR(VLOOKUP(DATOS!$I15956,CONFIG_ASIGNATURAS!$B$2:$J$61,9,FALSE()),""))</f>
      </c>
    </row>
    <row r="15957">
      <c r="E15957">
        <f>IF(DATOS!$I15957="","",IFERROR(VLOOKUP(DATOS!$I15957,CONFIG_ASIGNATURAS!$B$2:$J$61,9,FALSE()),""))</f>
      </c>
    </row>
    <row r="15958">
      <c r="E15958">
        <f>IF(DATOS!$I15958="","",IFERROR(VLOOKUP(DATOS!$I15958,CONFIG_ASIGNATURAS!$B$2:$J$61,9,FALSE()),""))</f>
      </c>
    </row>
    <row r="15959">
      <c r="E15959">
        <f>IF(DATOS!$I15959="","",IFERROR(VLOOKUP(DATOS!$I15959,CONFIG_ASIGNATURAS!$B$2:$J$61,9,FALSE()),""))</f>
      </c>
    </row>
    <row r="15960">
      <c r="E15960">
        <f>IF(DATOS!$I15960="","",IFERROR(VLOOKUP(DATOS!$I15960,CONFIG_ASIGNATURAS!$B$2:$J$61,9,FALSE()),""))</f>
      </c>
    </row>
    <row r="15961">
      <c r="E15961">
        <f>IF(DATOS!$I15961="","",IFERROR(VLOOKUP(DATOS!$I15961,CONFIG_ASIGNATURAS!$B$2:$J$61,9,FALSE()),""))</f>
      </c>
    </row>
    <row r="15962">
      <c r="E15962">
        <f>IF(DATOS!$I15962="","",IFERROR(VLOOKUP(DATOS!$I15962,CONFIG_ASIGNATURAS!$B$2:$J$61,9,FALSE()),""))</f>
      </c>
    </row>
    <row r="15963">
      <c r="E15963">
        <f>IF(DATOS!$I15963="","",IFERROR(VLOOKUP(DATOS!$I15963,CONFIG_ASIGNATURAS!$B$2:$J$61,9,FALSE()),""))</f>
      </c>
    </row>
    <row r="15964">
      <c r="E15964">
        <f>IF(DATOS!$I15964="","",IFERROR(VLOOKUP(DATOS!$I15964,CONFIG_ASIGNATURAS!$B$2:$J$61,9,FALSE()),""))</f>
      </c>
    </row>
    <row r="15965">
      <c r="E15965">
        <f>IF(DATOS!$I15965="","",IFERROR(VLOOKUP(DATOS!$I15965,CONFIG_ASIGNATURAS!$B$2:$J$61,9,FALSE()),""))</f>
      </c>
    </row>
    <row r="15966">
      <c r="E15966">
        <f>IF(DATOS!$I15966="","",IFERROR(VLOOKUP(DATOS!$I15966,CONFIG_ASIGNATURAS!$B$2:$J$61,9,FALSE()),""))</f>
      </c>
    </row>
    <row r="15967">
      <c r="E15967">
        <f>IF(DATOS!$I15967="","",IFERROR(VLOOKUP(DATOS!$I15967,CONFIG_ASIGNATURAS!$B$2:$J$61,9,FALSE()),""))</f>
      </c>
    </row>
    <row r="15968">
      <c r="E15968">
        <f>IF(DATOS!$I15968="","",IFERROR(VLOOKUP(DATOS!$I15968,CONFIG_ASIGNATURAS!$B$2:$J$61,9,FALSE()),""))</f>
      </c>
    </row>
    <row r="15969">
      <c r="E15969">
        <f>IF(DATOS!$I15969="","",IFERROR(VLOOKUP(DATOS!$I15969,CONFIG_ASIGNATURAS!$B$2:$J$61,9,FALSE()),""))</f>
      </c>
    </row>
    <row r="15970">
      <c r="E15970">
        <f>IF(DATOS!$I15970="","",IFERROR(VLOOKUP(DATOS!$I15970,CONFIG_ASIGNATURAS!$B$2:$J$61,9,FALSE()),""))</f>
      </c>
    </row>
    <row r="15971">
      <c r="E15971">
        <f>IF(DATOS!$I15971="","",IFERROR(VLOOKUP(DATOS!$I15971,CONFIG_ASIGNATURAS!$B$2:$J$61,9,FALSE()),""))</f>
      </c>
    </row>
    <row r="15972">
      <c r="E15972">
        <f>IF(DATOS!$I15972="","",IFERROR(VLOOKUP(DATOS!$I15972,CONFIG_ASIGNATURAS!$B$2:$J$61,9,FALSE()),""))</f>
      </c>
    </row>
    <row r="15973">
      <c r="E15973">
        <f>IF(DATOS!$I15973="","",IFERROR(VLOOKUP(DATOS!$I15973,CONFIG_ASIGNATURAS!$B$2:$J$61,9,FALSE()),""))</f>
      </c>
    </row>
    <row r="15974">
      <c r="E15974">
        <f>IF(DATOS!$I15974="","",IFERROR(VLOOKUP(DATOS!$I15974,CONFIG_ASIGNATURAS!$B$2:$J$61,9,FALSE()),""))</f>
      </c>
    </row>
    <row r="15975">
      <c r="E15975">
        <f>IF(DATOS!$I15975="","",IFERROR(VLOOKUP(DATOS!$I15975,CONFIG_ASIGNATURAS!$B$2:$J$61,9,FALSE()),""))</f>
      </c>
    </row>
    <row r="15976">
      <c r="E15976">
        <f>IF(DATOS!$I15976="","",IFERROR(VLOOKUP(DATOS!$I15976,CONFIG_ASIGNATURAS!$B$2:$J$61,9,FALSE()),""))</f>
      </c>
    </row>
    <row r="15977">
      <c r="E15977">
        <f>IF(DATOS!$I15977="","",IFERROR(VLOOKUP(DATOS!$I15977,CONFIG_ASIGNATURAS!$B$2:$J$61,9,FALSE()),""))</f>
      </c>
    </row>
    <row r="15978">
      <c r="E15978">
        <f>IF(DATOS!$I15978="","",IFERROR(VLOOKUP(DATOS!$I15978,CONFIG_ASIGNATURAS!$B$2:$J$61,9,FALSE()),""))</f>
      </c>
    </row>
    <row r="15979">
      <c r="E15979">
        <f>IF(DATOS!$I15979="","",IFERROR(VLOOKUP(DATOS!$I15979,CONFIG_ASIGNATURAS!$B$2:$J$61,9,FALSE()),""))</f>
      </c>
    </row>
    <row r="15980">
      <c r="E15980">
        <f>IF(DATOS!$I15980="","",IFERROR(VLOOKUP(DATOS!$I15980,CONFIG_ASIGNATURAS!$B$2:$J$61,9,FALSE()),""))</f>
      </c>
    </row>
    <row r="15981">
      <c r="E15981">
        <f>IF(DATOS!$I15981="","",IFERROR(VLOOKUP(DATOS!$I15981,CONFIG_ASIGNATURAS!$B$2:$J$61,9,FALSE()),""))</f>
      </c>
    </row>
    <row r="15982">
      <c r="E15982">
        <f>IF(DATOS!$I15982="","",IFERROR(VLOOKUP(DATOS!$I15982,CONFIG_ASIGNATURAS!$B$2:$J$61,9,FALSE()),""))</f>
      </c>
    </row>
    <row r="15983">
      <c r="E15983">
        <f>IF(DATOS!$I15983="","",IFERROR(VLOOKUP(DATOS!$I15983,CONFIG_ASIGNATURAS!$B$2:$J$61,9,FALSE()),""))</f>
      </c>
    </row>
    <row r="15984">
      <c r="E15984">
        <f>IF(DATOS!$I15984="","",IFERROR(VLOOKUP(DATOS!$I15984,CONFIG_ASIGNATURAS!$B$2:$J$61,9,FALSE()),""))</f>
      </c>
    </row>
    <row r="15985">
      <c r="E15985">
        <f>IF(DATOS!$I15985="","",IFERROR(VLOOKUP(DATOS!$I15985,CONFIG_ASIGNATURAS!$B$2:$J$61,9,FALSE()),""))</f>
      </c>
    </row>
    <row r="15986">
      <c r="E15986">
        <f>IF(DATOS!$I15986="","",IFERROR(VLOOKUP(DATOS!$I15986,CONFIG_ASIGNATURAS!$B$2:$J$61,9,FALSE()),""))</f>
      </c>
    </row>
    <row r="15987">
      <c r="E15987">
        <f>IF(DATOS!$I15987="","",IFERROR(VLOOKUP(DATOS!$I15987,CONFIG_ASIGNATURAS!$B$2:$J$61,9,FALSE()),""))</f>
      </c>
    </row>
    <row r="15988">
      <c r="E15988">
        <f>IF(DATOS!$I15988="","",IFERROR(VLOOKUP(DATOS!$I15988,CONFIG_ASIGNATURAS!$B$2:$J$61,9,FALSE()),""))</f>
      </c>
    </row>
    <row r="15989">
      <c r="E15989">
        <f>IF(DATOS!$I15989="","",IFERROR(VLOOKUP(DATOS!$I15989,CONFIG_ASIGNATURAS!$B$2:$J$61,9,FALSE()),""))</f>
      </c>
    </row>
    <row r="15990">
      <c r="E15990">
        <f>IF(DATOS!$I15990="","",IFERROR(VLOOKUP(DATOS!$I15990,CONFIG_ASIGNATURAS!$B$2:$J$61,9,FALSE()),""))</f>
      </c>
    </row>
    <row r="15991">
      <c r="E15991">
        <f>IF(DATOS!$I15991="","",IFERROR(VLOOKUP(DATOS!$I15991,CONFIG_ASIGNATURAS!$B$2:$J$61,9,FALSE()),""))</f>
      </c>
    </row>
    <row r="15992">
      <c r="E15992">
        <f>IF(DATOS!$I15992="","",IFERROR(VLOOKUP(DATOS!$I15992,CONFIG_ASIGNATURAS!$B$2:$J$61,9,FALSE()),""))</f>
      </c>
    </row>
    <row r="15993">
      <c r="E15993">
        <f>IF(DATOS!$I15993="","",IFERROR(VLOOKUP(DATOS!$I15993,CONFIG_ASIGNATURAS!$B$2:$J$61,9,FALSE()),""))</f>
      </c>
    </row>
    <row r="15994">
      <c r="E15994">
        <f>IF(DATOS!$I15994="","",IFERROR(VLOOKUP(DATOS!$I15994,CONFIG_ASIGNATURAS!$B$2:$J$61,9,FALSE()),""))</f>
      </c>
    </row>
    <row r="15995">
      <c r="E15995">
        <f>IF(DATOS!$I15995="","",IFERROR(VLOOKUP(DATOS!$I15995,CONFIG_ASIGNATURAS!$B$2:$J$61,9,FALSE()),""))</f>
      </c>
    </row>
    <row r="15996">
      <c r="E15996">
        <f>IF(DATOS!$I15996="","",IFERROR(VLOOKUP(DATOS!$I15996,CONFIG_ASIGNATURAS!$B$2:$J$61,9,FALSE()),""))</f>
      </c>
    </row>
    <row r="15997">
      <c r="E15997">
        <f>IF(DATOS!$I15997="","",IFERROR(VLOOKUP(DATOS!$I15997,CONFIG_ASIGNATURAS!$B$2:$J$61,9,FALSE()),""))</f>
      </c>
    </row>
    <row r="15998">
      <c r="E15998">
        <f>IF(DATOS!$I15998="","",IFERROR(VLOOKUP(DATOS!$I15998,CONFIG_ASIGNATURAS!$B$2:$J$61,9,FALSE()),""))</f>
      </c>
    </row>
    <row r="15999">
      <c r="E15999">
        <f>IF(DATOS!$I15999="","",IFERROR(VLOOKUP(DATOS!$I15999,CONFIG_ASIGNATURAS!$B$2:$J$61,9,FALSE()),""))</f>
      </c>
    </row>
    <row r="16000">
      <c r="E16000">
        <f>IF(DATOS!$I16000="","",IFERROR(VLOOKUP(DATOS!$I16000,CONFIG_ASIGNATURAS!$B$2:$J$61,9,FALSE()),""))</f>
      </c>
    </row>
    <row r="16001">
      <c r="E16001">
        <f>IF(DATOS!$I16001="","",IFERROR(VLOOKUP(DATOS!$I16001,CONFIG_ASIGNATURAS!$B$2:$J$61,9,FALSE()),""))</f>
      </c>
    </row>
    <row r="16002">
      <c r="E16002">
        <f>IF(DATOS!$I16002="","",IFERROR(VLOOKUP(DATOS!$I16002,CONFIG_ASIGNATURAS!$B$2:$J$61,9,FALSE()),""))</f>
      </c>
    </row>
    <row r="16003">
      <c r="E16003">
        <f>IF(DATOS!$I16003="","",IFERROR(VLOOKUP(DATOS!$I16003,CONFIG_ASIGNATURAS!$B$2:$J$61,9,FALSE()),""))</f>
      </c>
    </row>
    <row r="16004">
      <c r="E16004">
        <f>IF(DATOS!$I16004="","",IFERROR(VLOOKUP(DATOS!$I16004,CONFIG_ASIGNATURAS!$B$2:$J$61,9,FALSE()),""))</f>
      </c>
    </row>
    <row r="16005">
      <c r="E16005">
        <f>IF(DATOS!$I16005="","",IFERROR(VLOOKUP(DATOS!$I16005,CONFIG_ASIGNATURAS!$B$2:$J$61,9,FALSE()),""))</f>
      </c>
    </row>
    <row r="16006">
      <c r="E16006">
        <f>IF(DATOS!$I16006="","",IFERROR(VLOOKUP(DATOS!$I16006,CONFIG_ASIGNATURAS!$B$2:$J$61,9,FALSE()),""))</f>
      </c>
    </row>
    <row r="16007">
      <c r="E16007">
        <f>IF(DATOS!$I16007="","",IFERROR(VLOOKUP(DATOS!$I16007,CONFIG_ASIGNATURAS!$B$2:$J$61,9,FALSE()),""))</f>
      </c>
    </row>
    <row r="16008">
      <c r="E16008">
        <f>IF(DATOS!$I16008="","",IFERROR(VLOOKUP(DATOS!$I16008,CONFIG_ASIGNATURAS!$B$2:$J$61,9,FALSE()),""))</f>
      </c>
    </row>
    <row r="16009">
      <c r="E16009">
        <f>IF(DATOS!$I16009="","",IFERROR(VLOOKUP(DATOS!$I16009,CONFIG_ASIGNATURAS!$B$2:$J$61,9,FALSE()),""))</f>
      </c>
    </row>
    <row r="16010">
      <c r="E16010">
        <f>IF(DATOS!$I16010="","",IFERROR(VLOOKUP(DATOS!$I16010,CONFIG_ASIGNATURAS!$B$2:$J$61,9,FALSE()),""))</f>
      </c>
    </row>
    <row r="16011">
      <c r="E16011">
        <f>IF(DATOS!$I16011="","",IFERROR(VLOOKUP(DATOS!$I16011,CONFIG_ASIGNATURAS!$B$2:$J$61,9,FALSE()),""))</f>
      </c>
    </row>
    <row r="16012">
      <c r="E16012">
        <f>IF(DATOS!$I16012="","",IFERROR(VLOOKUP(DATOS!$I16012,CONFIG_ASIGNATURAS!$B$2:$J$61,9,FALSE()),""))</f>
      </c>
    </row>
    <row r="16013">
      <c r="E16013">
        <f>IF(DATOS!$I16013="","",IFERROR(VLOOKUP(DATOS!$I16013,CONFIG_ASIGNATURAS!$B$2:$J$61,9,FALSE()),""))</f>
      </c>
    </row>
    <row r="16014">
      <c r="E16014">
        <f>IF(DATOS!$I16014="","",IFERROR(VLOOKUP(DATOS!$I16014,CONFIG_ASIGNATURAS!$B$2:$J$61,9,FALSE()),""))</f>
      </c>
    </row>
    <row r="16015">
      <c r="E16015">
        <f>IF(DATOS!$I16015="","",IFERROR(VLOOKUP(DATOS!$I16015,CONFIG_ASIGNATURAS!$B$2:$J$61,9,FALSE()),""))</f>
      </c>
    </row>
    <row r="16016">
      <c r="E16016">
        <f>IF(DATOS!$I16016="","",IFERROR(VLOOKUP(DATOS!$I16016,CONFIG_ASIGNATURAS!$B$2:$J$61,9,FALSE()),""))</f>
      </c>
    </row>
    <row r="16017">
      <c r="E16017">
        <f>IF(DATOS!$I16017="","",IFERROR(VLOOKUP(DATOS!$I16017,CONFIG_ASIGNATURAS!$B$2:$J$61,9,FALSE()),""))</f>
      </c>
    </row>
    <row r="16018">
      <c r="E16018">
        <f>IF(DATOS!$I16018="","",IFERROR(VLOOKUP(DATOS!$I16018,CONFIG_ASIGNATURAS!$B$2:$J$61,9,FALSE()),""))</f>
      </c>
    </row>
    <row r="16019">
      <c r="E16019">
        <f>IF(DATOS!$I16019="","",IFERROR(VLOOKUP(DATOS!$I16019,CONFIG_ASIGNATURAS!$B$2:$J$61,9,FALSE()),""))</f>
      </c>
    </row>
    <row r="16020">
      <c r="E16020">
        <f>IF(DATOS!$I16020="","",IFERROR(VLOOKUP(DATOS!$I16020,CONFIG_ASIGNATURAS!$B$2:$J$61,9,FALSE()),""))</f>
      </c>
    </row>
    <row r="16021">
      <c r="E16021">
        <f>IF(DATOS!$I16021="","",IFERROR(VLOOKUP(DATOS!$I16021,CONFIG_ASIGNATURAS!$B$2:$J$61,9,FALSE()),""))</f>
      </c>
    </row>
    <row r="16022">
      <c r="E16022">
        <f>IF(DATOS!$I16022="","",IFERROR(VLOOKUP(DATOS!$I16022,CONFIG_ASIGNATURAS!$B$2:$J$61,9,FALSE()),""))</f>
      </c>
    </row>
    <row r="16023">
      <c r="E16023">
        <f>IF(DATOS!$I16023="","",IFERROR(VLOOKUP(DATOS!$I16023,CONFIG_ASIGNATURAS!$B$2:$J$61,9,FALSE()),""))</f>
      </c>
    </row>
    <row r="16024">
      <c r="E16024">
        <f>IF(DATOS!$I16024="","",IFERROR(VLOOKUP(DATOS!$I16024,CONFIG_ASIGNATURAS!$B$2:$J$61,9,FALSE()),""))</f>
      </c>
    </row>
    <row r="16025">
      <c r="E16025">
        <f>IF(DATOS!$I16025="","",IFERROR(VLOOKUP(DATOS!$I16025,CONFIG_ASIGNATURAS!$B$2:$J$61,9,FALSE()),""))</f>
      </c>
    </row>
    <row r="16026">
      <c r="E16026">
        <f>IF(DATOS!$I16026="","",IFERROR(VLOOKUP(DATOS!$I16026,CONFIG_ASIGNATURAS!$B$2:$J$61,9,FALSE()),""))</f>
      </c>
    </row>
    <row r="16027">
      <c r="E16027">
        <f>IF(DATOS!$I16027="","",IFERROR(VLOOKUP(DATOS!$I16027,CONFIG_ASIGNATURAS!$B$2:$J$61,9,FALSE()),""))</f>
      </c>
    </row>
    <row r="16028">
      <c r="E16028">
        <f>IF(DATOS!$I16028="","",IFERROR(VLOOKUP(DATOS!$I16028,CONFIG_ASIGNATURAS!$B$2:$J$61,9,FALSE()),""))</f>
      </c>
    </row>
    <row r="16029">
      <c r="E16029">
        <f>IF(DATOS!$I16029="","",IFERROR(VLOOKUP(DATOS!$I16029,CONFIG_ASIGNATURAS!$B$2:$J$61,9,FALSE()),""))</f>
      </c>
    </row>
    <row r="16030">
      <c r="E16030">
        <f>IF(DATOS!$I16030="","",IFERROR(VLOOKUP(DATOS!$I16030,CONFIG_ASIGNATURAS!$B$2:$J$61,9,FALSE()),""))</f>
      </c>
    </row>
    <row r="16031">
      <c r="E16031">
        <f>IF(DATOS!$I16031="","",IFERROR(VLOOKUP(DATOS!$I16031,CONFIG_ASIGNATURAS!$B$2:$J$61,9,FALSE()),""))</f>
      </c>
    </row>
    <row r="16032">
      <c r="E16032">
        <f>IF(DATOS!$I16032="","",IFERROR(VLOOKUP(DATOS!$I16032,CONFIG_ASIGNATURAS!$B$2:$J$61,9,FALSE()),""))</f>
      </c>
    </row>
    <row r="16033">
      <c r="E16033">
        <f>IF(DATOS!$I16033="","",IFERROR(VLOOKUP(DATOS!$I16033,CONFIG_ASIGNATURAS!$B$2:$J$61,9,FALSE()),""))</f>
      </c>
    </row>
    <row r="16034">
      <c r="E16034">
        <f>IF(DATOS!$I16034="","",IFERROR(VLOOKUP(DATOS!$I16034,CONFIG_ASIGNATURAS!$B$2:$J$61,9,FALSE()),""))</f>
      </c>
    </row>
    <row r="16035">
      <c r="E16035">
        <f>IF(DATOS!$I16035="","",IFERROR(VLOOKUP(DATOS!$I16035,CONFIG_ASIGNATURAS!$B$2:$J$61,9,FALSE()),""))</f>
      </c>
    </row>
    <row r="16036">
      <c r="E16036">
        <f>IF(DATOS!$I16036="","",IFERROR(VLOOKUP(DATOS!$I16036,CONFIG_ASIGNATURAS!$B$2:$J$61,9,FALSE()),""))</f>
      </c>
    </row>
    <row r="16037">
      <c r="E16037">
        <f>IF(DATOS!$I16037="","",IFERROR(VLOOKUP(DATOS!$I16037,CONFIG_ASIGNATURAS!$B$2:$J$61,9,FALSE()),""))</f>
      </c>
    </row>
    <row r="16038">
      <c r="E16038">
        <f>IF(DATOS!$I16038="","",IFERROR(VLOOKUP(DATOS!$I16038,CONFIG_ASIGNATURAS!$B$2:$J$61,9,FALSE()),""))</f>
      </c>
    </row>
    <row r="16039">
      <c r="E16039">
        <f>IF(DATOS!$I16039="","",IFERROR(VLOOKUP(DATOS!$I16039,CONFIG_ASIGNATURAS!$B$2:$J$61,9,FALSE()),""))</f>
      </c>
    </row>
    <row r="16040">
      <c r="E16040">
        <f>IF(DATOS!$I16040="","",IFERROR(VLOOKUP(DATOS!$I16040,CONFIG_ASIGNATURAS!$B$2:$J$61,9,FALSE()),""))</f>
      </c>
    </row>
    <row r="16041">
      <c r="E16041">
        <f>IF(DATOS!$I16041="","",IFERROR(VLOOKUP(DATOS!$I16041,CONFIG_ASIGNATURAS!$B$2:$J$61,9,FALSE()),""))</f>
      </c>
    </row>
    <row r="16042">
      <c r="E16042">
        <f>IF(DATOS!$I16042="","",IFERROR(VLOOKUP(DATOS!$I16042,CONFIG_ASIGNATURAS!$B$2:$J$61,9,FALSE()),""))</f>
      </c>
    </row>
    <row r="16043">
      <c r="E16043">
        <f>IF(DATOS!$I16043="","",IFERROR(VLOOKUP(DATOS!$I16043,CONFIG_ASIGNATURAS!$B$2:$J$61,9,FALSE()),""))</f>
      </c>
    </row>
    <row r="16044">
      <c r="E16044">
        <f>IF(DATOS!$I16044="","",IFERROR(VLOOKUP(DATOS!$I16044,CONFIG_ASIGNATURAS!$B$2:$J$61,9,FALSE()),""))</f>
      </c>
    </row>
    <row r="16045">
      <c r="E16045">
        <f>IF(DATOS!$I16045="","",IFERROR(VLOOKUP(DATOS!$I16045,CONFIG_ASIGNATURAS!$B$2:$J$61,9,FALSE()),""))</f>
      </c>
    </row>
    <row r="16046">
      <c r="E16046">
        <f>IF(DATOS!$I16046="","",IFERROR(VLOOKUP(DATOS!$I16046,CONFIG_ASIGNATURAS!$B$2:$J$61,9,FALSE()),""))</f>
      </c>
    </row>
    <row r="16047">
      <c r="E16047">
        <f>IF(DATOS!$I16047="","",IFERROR(VLOOKUP(DATOS!$I16047,CONFIG_ASIGNATURAS!$B$2:$J$61,9,FALSE()),""))</f>
      </c>
    </row>
    <row r="16048">
      <c r="E16048">
        <f>IF(DATOS!$I16048="","",IFERROR(VLOOKUP(DATOS!$I16048,CONFIG_ASIGNATURAS!$B$2:$J$61,9,FALSE()),""))</f>
      </c>
    </row>
    <row r="16049">
      <c r="E16049">
        <f>IF(DATOS!$I16049="","",IFERROR(VLOOKUP(DATOS!$I16049,CONFIG_ASIGNATURAS!$B$2:$J$61,9,FALSE()),""))</f>
      </c>
    </row>
    <row r="16050">
      <c r="E16050">
        <f>IF(DATOS!$I16050="","",IFERROR(VLOOKUP(DATOS!$I16050,CONFIG_ASIGNATURAS!$B$2:$J$61,9,FALSE()),""))</f>
      </c>
    </row>
    <row r="16051">
      <c r="E16051">
        <f>IF(DATOS!$I16051="","",IFERROR(VLOOKUP(DATOS!$I16051,CONFIG_ASIGNATURAS!$B$2:$J$61,9,FALSE()),""))</f>
      </c>
    </row>
    <row r="16052">
      <c r="E16052">
        <f>IF(DATOS!$I16052="","",IFERROR(VLOOKUP(DATOS!$I16052,CONFIG_ASIGNATURAS!$B$2:$J$61,9,FALSE()),""))</f>
      </c>
    </row>
    <row r="16053">
      <c r="E16053">
        <f>IF(DATOS!$I16053="","",IFERROR(VLOOKUP(DATOS!$I16053,CONFIG_ASIGNATURAS!$B$2:$J$61,9,FALSE()),""))</f>
      </c>
    </row>
    <row r="16054">
      <c r="E16054">
        <f>IF(DATOS!$I16054="","",IFERROR(VLOOKUP(DATOS!$I16054,CONFIG_ASIGNATURAS!$B$2:$J$61,9,FALSE()),""))</f>
      </c>
    </row>
    <row r="16055">
      <c r="E16055">
        <f>IF(DATOS!$I16055="","",IFERROR(VLOOKUP(DATOS!$I16055,CONFIG_ASIGNATURAS!$B$2:$J$61,9,FALSE()),""))</f>
      </c>
    </row>
    <row r="16056">
      <c r="E16056">
        <f>IF(DATOS!$I16056="","",IFERROR(VLOOKUP(DATOS!$I16056,CONFIG_ASIGNATURAS!$B$2:$J$61,9,FALSE()),""))</f>
      </c>
    </row>
    <row r="16057">
      <c r="E16057">
        <f>IF(DATOS!$I16057="","",IFERROR(VLOOKUP(DATOS!$I16057,CONFIG_ASIGNATURAS!$B$2:$J$61,9,FALSE()),""))</f>
      </c>
    </row>
    <row r="16058">
      <c r="E16058">
        <f>IF(DATOS!$I16058="","",IFERROR(VLOOKUP(DATOS!$I16058,CONFIG_ASIGNATURAS!$B$2:$J$61,9,FALSE()),""))</f>
      </c>
    </row>
    <row r="16059">
      <c r="E16059">
        <f>IF(DATOS!$I16059="","",IFERROR(VLOOKUP(DATOS!$I16059,CONFIG_ASIGNATURAS!$B$2:$J$61,9,FALSE()),""))</f>
      </c>
    </row>
    <row r="16060">
      <c r="E16060">
        <f>IF(DATOS!$I16060="","",IFERROR(VLOOKUP(DATOS!$I16060,CONFIG_ASIGNATURAS!$B$2:$J$61,9,FALSE()),""))</f>
      </c>
    </row>
    <row r="16061">
      <c r="E16061">
        <f>IF(DATOS!$I16061="","",IFERROR(VLOOKUP(DATOS!$I16061,CONFIG_ASIGNATURAS!$B$2:$J$61,9,FALSE()),""))</f>
      </c>
    </row>
    <row r="16062">
      <c r="E16062">
        <f>IF(DATOS!$I16062="","",IFERROR(VLOOKUP(DATOS!$I16062,CONFIG_ASIGNATURAS!$B$2:$J$61,9,FALSE()),""))</f>
      </c>
    </row>
    <row r="16063">
      <c r="E16063">
        <f>IF(DATOS!$I16063="","",IFERROR(VLOOKUP(DATOS!$I16063,CONFIG_ASIGNATURAS!$B$2:$J$61,9,FALSE()),""))</f>
      </c>
    </row>
    <row r="16064">
      <c r="E16064">
        <f>IF(DATOS!$I16064="","",IFERROR(VLOOKUP(DATOS!$I16064,CONFIG_ASIGNATURAS!$B$2:$J$61,9,FALSE()),""))</f>
      </c>
    </row>
    <row r="16065">
      <c r="E16065">
        <f>IF(DATOS!$I16065="","",IFERROR(VLOOKUP(DATOS!$I16065,CONFIG_ASIGNATURAS!$B$2:$J$61,9,FALSE()),""))</f>
      </c>
    </row>
    <row r="16066">
      <c r="E16066">
        <f>IF(DATOS!$I16066="","",IFERROR(VLOOKUP(DATOS!$I16066,CONFIG_ASIGNATURAS!$B$2:$J$61,9,FALSE()),""))</f>
      </c>
    </row>
    <row r="16067">
      <c r="E16067">
        <f>IF(DATOS!$I16067="","",IFERROR(VLOOKUP(DATOS!$I16067,CONFIG_ASIGNATURAS!$B$2:$J$61,9,FALSE()),""))</f>
      </c>
    </row>
    <row r="16068">
      <c r="E16068">
        <f>IF(DATOS!$I16068="","",IFERROR(VLOOKUP(DATOS!$I16068,CONFIG_ASIGNATURAS!$B$2:$J$61,9,FALSE()),""))</f>
      </c>
    </row>
    <row r="16069">
      <c r="E16069">
        <f>IF(DATOS!$I16069="","",IFERROR(VLOOKUP(DATOS!$I16069,CONFIG_ASIGNATURAS!$B$2:$J$61,9,FALSE()),""))</f>
      </c>
    </row>
    <row r="16070">
      <c r="E16070">
        <f>IF(DATOS!$I16070="","",IFERROR(VLOOKUP(DATOS!$I16070,CONFIG_ASIGNATURAS!$B$2:$J$61,9,FALSE()),""))</f>
      </c>
    </row>
    <row r="16071">
      <c r="E16071">
        <f>IF(DATOS!$I16071="","",IFERROR(VLOOKUP(DATOS!$I16071,CONFIG_ASIGNATURAS!$B$2:$J$61,9,FALSE()),""))</f>
      </c>
    </row>
    <row r="16072">
      <c r="E16072">
        <f>IF(DATOS!$I16072="","",IFERROR(VLOOKUP(DATOS!$I16072,CONFIG_ASIGNATURAS!$B$2:$J$61,9,FALSE()),""))</f>
      </c>
    </row>
    <row r="16073">
      <c r="E16073">
        <f>IF(DATOS!$I16073="","",IFERROR(VLOOKUP(DATOS!$I16073,CONFIG_ASIGNATURAS!$B$2:$J$61,9,FALSE()),""))</f>
      </c>
    </row>
    <row r="16074">
      <c r="E16074">
        <f>IF(DATOS!$I16074="","",IFERROR(VLOOKUP(DATOS!$I16074,CONFIG_ASIGNATURAS!$B$2:$J$61,9,FALSE()),""))</f>
      </c>
    </row>
    <row r="16075">
      <c r="E16075">
        <f>IF(DATOS!$I16075="","",IFERROR(VLOOKUP(DATOS!$I16075,CONFIG_ASIGNATURAS!$B$2:$J$61,9,FALSE()),""))</f>
      </c>
    </row>
    <row r="16076">
      <c r="E16076">
        <f>IF(DATOS!$I16076="","",IFERROR(VLOOKUP(DATOS!$I16076,CONFIG_ASIGNATURAS!$B$2:$J$61,9,FALSE()),""))</f>
      </c>
    </row>
    <row r="16077">
      <c r="E16077">
        <f>IF(DATOS!$I16077="","",IFERROR(VLOOKUP(DATOS!$I16077,CONFIG_ASIGNATURAS!$B$2:$J$61,9,FALSE()),""))</f>
      </c>
    </row>
    <row r="16078">
      <c r="E16078">
        <f>IF(DATOS!$I16078="","",IFERROR(VLOOKUP(DATOS!$I16078,CONFIG_ASIGNATURAS!$B$2:$J$61,9,FALSE()),""))</f>
      </c>
    </row>
    <row r="16079">
      <c r="E16079">
        <f>IF(DATOS!$I16079="","",IFERROR(VLOOKUP(DATOS!$I16079,CONFIG_ASIGNATURAS!$B$2:$J$61,9,FALSE()),""))</f>
      </c>
    </row>
    <row r="16080">
      <c r="E16080">
        <f>IF(DATOS!$I16080="","",IFERROR(VLOOKUP(DATOS!$I16080,CONFIG_ASIGNATURAS!$B$2:$J$61,9,FALSE()),""))</f>
      </c>
    </row>
    <row r="16081">
      <c r="E16081">
        <f>IF(DATOS!$I16081="","",IFERROR(VLOOKUP(DATOS!$I16081,CONFIG_ASIGNATURAS!$B$2:$J$61,9,FALSE()),""))</f>
      </c>
    </row>
    <row r="16082">
      <c r="E16082">
        <f>IF(DATOS!$I16082="","",IFERROR(VLOOKUP(DATOS!$I16082,CONFIG_ASIGNATURAS!$B$2:$J$61,9,FALSE()),""))</f>
      </c>
    </row>
    <row r="16083">
      <c r="E16083">
        <f>IF(DATOS!$I16083="","",IFERROR(VLOOKUP(DATOS!$I16083,CONFIG_ASIGNATURAS!$B$2:$J$61,9,FALSE()),""))</f>
      </c>
    </row>
    <row r="16084">
      <c r="E16084">
        <f>IF(DATOS!$I16084="","",IFERROR(VLOOKUP(DATOS!$I16084,CONFIG_ASIGNATURAS!$B$2:$J$61,9,FALSE()),""))</f>
      </c>
    </row>
    <row r="16085">
      <c r="E16085">
        <f>IF(DATOS!$I16085="","",IFERROR(VLOOKUP(DATOS!$I16085,CONFIG_ASIGNATURAS!$B$2:$J$61,9,FALSE()),""))</f>
      </c>
    </row>
    <row r="16086">
      <c r="E16086">
        <f>IF(DATOS!$I16086="","",IFERROR(VLOOKUP(DATOS!$I16086,CONFIG_ASIGNATURAS!$B$2:$J$61,9,FALSE()),""))</f>
      </c>
    </row>
    <row r="16087">
      <c r="E16087">
        <f>IF(DATOS!$I16087="","",IFERROR(VLOOKUP(DATOS!$I16087,CONFIG_ASIGNATURAS!$B$2:$J$61,9,FALSE()),""))</f>
      </c>
    </row>
    <row r="16088">
      <c r="E16088">
        <f>IF(DATOS!$I16088="","",IFERROR(VLOOKUP(DATOS!$I16088,CONFIG_ASIGNATURAS!$B$2:$J$61,9,FALSE()),""))</f>
      </c>
    </row>
    <row r="16089">
      <c r="E16089">
        <f>IF(DATOS!$I16089="","",IFERROR(VLOOKUP(DATOS!$I16089,CONFIG_ASIGNATURAS!$B$2:$J$61,9,FALSE()),""))</f>
      </c>
    </row>
    <row r="16090">
      <c r="E16090">
        <f>IF(DATOS!$I16090="","",IFERROR(VLOOKUP(DATOS!$I16090,CONFIG_ASIGNATURAS!$B$2:$J$61,9,FALSE()),""))</f>
      </c>
    </row>
    <row r="16091">
      <c r="E16091">
        <f>IF(DATOS!$I16091="","",IFERROR(VLOOKUP(DATOS!$I16091,CONFIG_ASIGNATURAS!$B$2:$J$61,9,FALSE()),""))</f>
      </c>
    </row>
    <row r="16092">
      <c r="E16092">
        <f>IF(DATOS!$I16092="","",IFERROR(VLOOKUP(DATOS!$I16092,CONFIG_ASIGNATURAS!$B$2:$J$61,9,FALSE()),""))</f>
      </c>
    </row>
    <row r="16093">
      <c r="E16093">
        <f>IF(DATOS!$I16093="","",IFERROR(VLOOKUP(DATOS!$I16093,CONFIG_ASIGNATURAS!$B$2:$J$61,9,FALSE()),""))</f>
      </c>
    </row>
    <row r="16094">
      <c r="E16094">
        <f>IF(DATOS!$I16094="","",IFERROR(VLOOKUP(DATOS!$I16094,CONFIG_ASIGNATURAS!$B$2:$J$61,9,FALSE()),""))</f>
      </c>
    </row>
    <row r="16095">
      <c r="E16095">
        <f>IF(DATOS!$I16095="","",IFERROR(VLOOKUP(DATOS!$I16095,CONFIG_ASIGNATURAS!$B$2:$J$61,9,FALSE()),""))</f>
      </c>
    </row>
    <row r="16096">
      <c r="E16096">
        <f>IF(DATOS!$I16096="","",IFERROR(VLOOKUP(DATOS!$I16096,CONFIG_ASIGNATURAS!$B$2:$J$61,9,FALSE()),""))</f>
      </c>
    </row>
    <row r="16097">
      <c r="E16097">
        <f>IF(DATOS!$I16097="","",IFERROR(VLOOKUP(DATOS!$I16097,CONFIG_ASIGNATURAS!$B$2:$J$61,9,FALSE()),""))</f>
      </c>
    </row>
    <row r="16098">
      <c r="E16098">
        <f>IF(DATOS!$I16098="","",IFERROR(VLOOKUP(DATOS!$I16098,CONFIG_ASIGNATURAS!$B$2:$J$61,9,FALSE()),""))</f>
      </c>
    </row>
    <row r="16099">
      <c r="E16099">
        <f>IF(DATOS!$I16099="","",IFERROR(VLOOKUP(DATOS!$I16099,CONFIG_ASIGNATURAS!$B$2:$J$61,9,FALSE()),""))</f>
      </c>
    </row>
    <row r="16100">
      <c r="E16100">
        <f>IF(DATOS!$I16100="","",IFERROR(VLOOKUP(DATOS!$I16100,CONFIG_ASIGNATURAS!$B$2:$J$61,9,FALSE()),""))</f>
      </c>
    </row>
    <row r="16101">
      <c r="E16101">
        <f>IF(DATOS!$I16101="","",IFERROR(VLOOKUP(DATOS!$I16101,CONFIG_ASIGNATURAS!$B$2:$J$61,9,FALSE()),""))</f>
      </c>
    </row>
    <row r="16102">
      <c r="E16102">
        <f>IF(DATOS!$I16102="","",IFERROR(VLOOKUP(DATOS!$I16102,CONFIG_ASIGNATURAS!$B$2:$J$61,9,FALSE()),""))</f>
      </c>
    </row>
    <row r="16103">
      <c r="E16103">
        <f>IF(DATOS!$I16103="","",IFERROR(VLOOKUP(DATOS!$I16103,CONFIG_ASIGNATURAS!$B$2:$J$61,9,FALSE()),""))</f>
      </c>
    </row>
    <row r="16104">
      <c r="E16104">
        <f>IF(DATOS!$I16104="","",IFERROR(VLOOKUP(DATOS!$I16104,CONFIG_ASIGNATURAS!$B$2:$J$61,9,FALSE()),""))</f>
      </c>
    </row>
    <row r="16105">
      <c r="E16105">
        <f>IF(DATOS!$I16105="","",IFERROR(VLOOKUP(DATOS!$I16105,CONFIG_ASIGNATURAS!$B$2:$J$61,9,FALSE()),""))</f>
      </c>
    </row>
    <row r="16106">
      <c r="E16106">
        <f>IF(DATOS!$I16106="","",IFERROR(VLOOKUP(DATOS!$I16106,CONFIG_ASIGNATURAS!$B$2:$J$61,9,FALSE()),""))</f>
      </c>
    </row>
    <row r="16107">
      <c r="E16107">
        <f>IF(DATOS!$I16107="","",IFERROR(VLOOKUP(DATOS!$I16107,CONFIG_ASIGNATURAS!$B$2:$J$61,9,FALSE()),""))</f>
      </c>
    </row>
    <row r="16108">
      <c r="E16108">
        <f>IF(DATOS!$I16108="","",IFERROR(VLOOKUP(DATOS!$I16108,CONFIG_ASIGNATURAS!$B$2:$J$61,9,FALSE()),""))</f>
      </c>
    </row>
    <row r="16109">
      <c r="E16109">
        <f>IF(DATOS!$I16109="","",IFERROR(VLOOKUP(DATOS!$I16109,CONFIG_ASIGNATURAS!$B$2:$J$61,9,FALSE()),""))</f>
      </c>
    </row>
    <row r="16110">
      <c r="E16110">
        <f>IF(DATOS!$I16110="","",IFERROR(VLOOKUP(DATOS!$I16110,CONFIG_ASIGNATURAS!$B$2:$J$61,9,FALSE()),""))</f>
      </c>
    </row>
    <row r="16111">
      <c r="E16111">
        <f>IF(DATOS!$I16111="","",IFERROR(VLOOKUP(DATOS!$I16111,CONFIG_ASIGNATURAS!$B$2:$J$61,9,FALSE()),""))</f>
      </c>
    </row>
    <row r="16112">
      <c r="E16112">
        <f>IF(DATOS!$I16112="","",IFERROR(VLOOKUP(DATOS!$I16112,CONFIG_ASIGNATURAS!$B$2:$J$61,9,FALSE()),""))</f>
      </c>
    </row>
    <row r="16113">
      <c r="E16113">
        <f>IF(DATOS!$I16113="","",IFERROR(VLOOKUP(DATOS!$I16113,CONFIG_ASIGNATURAS!$B$2:$J$61,9,FALSE()),""))</f>
      </c>
    </row>
    <row r="16114">
      <c r="E16114">
        <f>IF(DATOS!$I16114="","",IFERROR(VLOOKUP(DATOS!$I16114,CONFIG_ASIGNATURAS!$B$2:$J$61,9,FALSE()),""))</f>
      </c>
    </row>
    <row r="16115">
      <c r="E16115">
        <f>IF(DATOS!$I16115="","",IFERROR(VLOOKUP(DATOS!$I16115,CONFIG_ASIGNATURAS!$B$2:$J$61,9,FALSE()),""))</f>
      </c>
    </row>
    <row r="16116">
      <c r="E16116">
        <f>IF(DATOS!$I16116="","",IFERROR(VLOOKUP(DATOS!$I16116,CONFIG_ASIGNATURAS!$B$2:$J$61,9,FALSE()),""))</f>
      </c>
    </row>
    <row r="16117">
      <c r="E16117">
        <f>IF(DATOS!$I16117="","",IFERROR(VLOOKUP(DATOS!$I16117,CONFIG_ASIGNATURAS!$B$2:$J$61,9,FALSE()),""))</f>
      </c>
    </row>
    <row r="16118">
      <c r="E16118">
        <f>IF(DATOS!$I16118="","",IFERROR(VLOOKUP(DATOS!$I16118,CONFIG_ASIGNATURAS!$B$2:$J$61,9,FALSE()),""))</f>
      </c>
    </row>
    <row r="16119">
      <c r="E16119">
        <f>IF(DATOS!$I16119="","",IFERROR(VLOOKUP(DATOS!$I16119,CONFIG_ASIGNATURAS!$B$2:$J$61,9,FALSE()),""))</f>
      </c>
    </row>
    <row r="16120">
      <c r="E16120">
        <f>IF(DATOS!$I16120="","",IFERROR(VLOOKUP(DATOS!$I16120,CONFIG_ASIGNATURAS!$B$2:$J$61,9,FALSE()),""))</f>
      </c>
    </row>
    <row r="16121">
      <c r="E16121">
        <f>IF(DATOS!$I16121="","",IFERROR(VLOOKUP(DATOS!$I16121,CONFIG_ASIGNATURAS!$B$2:$J$61,9,FALSE()),""))</f>
      </c>
    </row>
    <row r="16122">
      <c r="E16122">
        <f>IF(DATOS!$I16122="","",IFERROR(VLOOKUP(DATOS!$I16122,CONFIG_ASIGNATURAS!$B$2:$J$61,9,FALSE()),""))</f>
      </c>
    </row>
    <row r="16123">
      <c r="E16123">
        <f>IF(DATOS!$I16123="","",IFERROR(VLOOKUP(DATOS!$I16123,CONFIG_ASIGNATURAS!$B$2:$J$61,9,FALSE()),""))</f>
      </c>
    </row>
    <row r="16124">
      <c r="E16124">
        <f>IF(DATOS!$I16124="","",IFERROR(VLOOKUP(DATOS!$I16124,CONFIG_ASIGNATURAS!$B$2:$J$61,9,FALSE()),""))</f>
      </c>
    </row>
    <row r="16125">
      <c r="E16125">
        <f>IF(DATOS!$I16125="","",IFERROR(VLOOKUP(DATOS!$I16125,CONFIG_ASIGNATURAS!$B$2:$J$61,9,FALSE()),""))</f>
      </c>
    </row>
    <row r="16126">
      <c r="E16126">
        <f>IF(DATOS!$I16126="","",IFERROR(VLOOKUP(DATOS!$I16126,CONFIG_ASIGNATURAS!$B$2:$J$61,9,FALSE()),""))</f>
      </c>
    </row>
    <row r="16127">
      <c r="E16127">
        <f>IF(DATOS!$I16127="","",IFERROR(VLOOKUP(DATOS!$I16127,CONFIG_ASIGNATURAS!$B$2:$J$61,9,FALSE()),""))</f>
      </c>
    </row>
    <row r="16128">
      <c r="E16128">
        <f>IF(DATOS!$I16128="","",IFERROR(VLOOKUP(DATOS!$I16128,CONFIG_ASIGNATURAS!$B$2:$J$61,9,FALSE()),""))</f>
      </c>
    </row>
    <row r="16129">
      <c r="E16129">
        <f>IF(DATOS!$I16129="","",IFERROR(VLOOKUP(DATOS!$I16129,CONFIG_ASIGNATURAS!$B$2:$J$61,9,FALSE()),""))</f>
      </c>
    </row>
    <row r="16130">
      <c r="E16130">
        <f>IF(DATOS!$I16130="","",IFERROR(VLOOKUP(DATOS!$I16130,CONFIG_ASIGNATURAS!$B$2:$J$61,9,FALSE()),""))</f>
      </c>
    </row>
    <row r="16131">
      <c r="E16131">
        <f>IF(DATOS!$I16131="","",IFERROR(VLOOKUP(DATOS!$I16131,CONFIG_ASIGNATURAS!$B$2:$J$61,9,FALSE()),""))</f>
      </c>
    </row>
    <row r="16132">
      <c r="E16132">
        <f>IF(DATOS!$I16132="","",IFERROR(VLOOKUP(DATOS!$I16132,CONFIG_ASIGNATURAS!$B$2:$J$61,9,FALSE()),""))</f>
      </c>
    </row>
    <row r="16133">
      <c r="E16133">
        <f>IF(DATOS!$I16133="","",IFERROR(VLOOKUP(DATOS!$I16133,CONFIG_ASIGNATURAS!$B$2:$J$61,9,FALSE()),""))</f>
      </c>
    </row>
    <row r="16134">
      <c r="E16134">
        <f>IF(DATOS!$I16134="","",IFERROR(VLOOKUP(DATOS!$I16134,CONFIG_ASIGNATURAS!$B$2:$J$61,9,FALSE()),""))</f>
      </c>
    </row>
    <row r="16135">
      <c r="E16135">
        <f>IF(DATOS!$I16135="","",IFERROR(VLOOKUP(DATOS!$I16135,CONFIG_ASIGNATURAS!$B$2:$J$61,9,FALSE()),""))</f>
      </c>
    </row>
    <row r="16136">
      <c r="E16136">
        <f>IF(DATOS!$I16136="","",IFERROR(VLOOKUP(DATOS!$I16136,CONFIG_ASIGNATURAS!$B$2:$J$61,9,FALSE()),""))</f>
      </c>
    </row>
    <row r="16137">
      <c r="E16137">
        <f>IF(DATOS!$I16137="","",IFERROR(VLOOKUP(DATOS!$I16137,CONFIG_ASIGNATURAS!$B$2:$J$61,9,FALSE()),""))</f>
      </c>
    </row>
    <row r="16138">
      <c r="E16138">
        <f>IF(DATOS!$I16138="","",IFERROR(VLOOKUP(DATOS!$I16138,CONFIG_ASIGNATURAS!$B$2:$J$61,9,FALSE()),""))</f>
      </c>
    </row>
    <row r="16139">
      <c r="E16139">
        <f>IF(DATOS!$I16139="","",IFERROR(VLOOKUP(DATOS!$I16139,CONFIG_ASIGNATURAS!$B$2:$J$61,9,FALSE()),""))</f>
      </c>
    </row>
    <row r="16140">
      <c r="E16140">
        <f>IF(DATOS!$I16140="","",IFERROR(VLOOKUP(DATOS!$I16140,CONFIG_ASIGNATURAS!$B$2:$J$61,9,FALSE()),""))</f>
      </c>
    </row>
    <row r="16141">
      <c r="E16141">
        <f>IF(DATOS!$I16141="","",IFERROR(VLOOKUP(DATOS!$I16141,CONFIG_ASIGNATURAS!$B$2:$J$61,9,FALSE()),""))</f>
      </c>
    </row>
    <row r="16142">
      <c r="E16142">
        <f>IF(DATOS!$I16142="","",IFERROR(VLOOKUP(DATOS!$I16142,CONFIG_ASIGNATURAS!$B$2:$J$61,9,FALSE()),""))</f>
      </c>
    </row>
    <row r="16143">
      <c r="E16143">
        <f>IF(DATOS!$I16143="","",IFERROR(VLOOKUP(DATOS!$I16143,CONFIG_ASIGNATURAS!$B$2:$J$61,9,FALSE()),""))</f>
      </c>
    </row>
    <row r="16144">
      <c r="E16144">
        <f>IF(DATOS!$I16144="","",IFERROR(VLOOKUP(DATOS!$I16144,CONFIG_ASIGNATURAS!$B$2:$J$61,9,FALSE()),""))</f>
      </c>
    </row>
    <row r="16145">
      <c r="E16145">
        <f>IF(DATOS!$I16145="","",IFERROR(VLOOKUP(DATOS!$I16145,CONFIG_ASIGNATURAS!$B$2:$J$61,9,FALSE()),""))</f>
      </c>
    </row>
    <row r="16146">
      <c r="E16146">
        <f>IF(DATOS!$I16146="","",IFERROR(VLOOKUP(DATOS!$I16146,CONFIG_ASIGNATURAS!$B$2:$J$61,9,FALSE()),""))</f>
      </c>
    </row>
    <row r="16147">
      <c r="E16147">
        <f>IF(DATOS!$I16147="","",IFERROR(VLOOKUP(DATOS!$I16147,CONFIG_ASIGNATURAS!$B$2:$J$61,9,FALSE()),""))</f>
      </c>
    </row>
    <row r="16148">
      <c r="E16148">
        <f>IF(DATOS!$I16148="","",IFERROR(VLOOKUP(DATOS!$I16148,CONFIG_ASIGNATURAS!$B$2:$J$61,9,FALSE()),""))</f>
      </c>
    </row>
    <row r="16149">
      <c r="E16149">
        <f>IF(DATOS!$I16149="","",IFERROR(VLOOKUP(DATOS!$I16149,CONFIG_ASIGNATURAS!$B$2:$J$61,9,FALSE()),""))</f>
      </c>
    </row>
    <row r="16150">
      <c r="E16150">
        <f>IF(DATOS!$I16150="","",IFERROR(VLOOKUP(DATOS!$I16150,CONFIG_ASIGNATURAS!$B$2:$J$61,9,FALSE()),""))</f>
      </c>
    </row>
    <row r="16151">
      <c r="E16151">
        <f>IF(DATOS!$I16151="","",IFERROR(VLOOKUP(DATOS!$I16151,CONFIG_ASIGNATURAS!$B$2:$J$61,9,FALSE()),""))</f>
      </c>
    </row>
    <row r="16152">
      <c r="E16152">
        <f>IF(DATOS!$I16152="","",IFERROR(VLOOKUP(DATOS!$I16152,CONFIG_ASIGNATURAS!$B$2:$J$61,9,FALSE()),""))</f>
      </c>
    </row>
    <row r="16153">
      <c r="E16153">
        <f>IF(DATOS!$I16153="","",IFERROR(VLOOKUP(DATOS!$I16153,CONFIG_ASIGNATURAS!$B$2:$J$61,9,FALSE()),""))</f>
      </c>
    </row>
    <row r="16154">
      <c r="E16154">
        <f>IF(DATOS!$I16154="","",IFERROR(VLOOKUP(DATOS!$I16154,CONFIG_ASIGNATURAS!$B$2:$J$61,9,FALSE()),""))</f>
      </c>
    </row>
    <row r="16155">
      <c r="E16155">
        <f>IF(DATOS!$I16155="","",IFERROR(VLOOKUP(DATOS!$I16155,CONFIG_ASIGNATURAS!$B$2:$J$61,9,FALSE()),""))</f>
      </c>
    </row>
    <row r="16156">
      <c r="E16156">
        <f>IF(DATOS!$I16156="","",IFERROR(VLOOKUP(DATOS!$I16156,CONFIG_ASIGNATURAS!$B$2:$J$61,9,FALSE()),""))</f>
      </c>
    </row>
    <row r="16157">
      <c r="E16157">
        <f>IF(DATOS!$I16157="","",IFERROR(VLOOKUP(DATOS!$I16157,CONFIG_ASIGNATURAS!$B$2:$J$61,9,FALSE()),""))</f>
      </c>
    </row>
    <row r="16158">
      <c r="E16158">
        <f>IF(DATOS!$I16158="","",IFERROR(VLOOKUP(DATOS!$I16158,CONFIG_ASIGNATURAS!$B$2:$J$61,9,FALSE()),""))</f>
      </c>
    </row>
    <row r="16159">
      <c r="E16159">
        <f>IF(DATOS!$I16159="","",IFERROR(VLOOKUP(DATOS!$I16159,CONFIG_ASIGNATURAS!$B$2:$J$61,9,FALSE()),""))</f>
      </c>
    </row>
    <row r="16160">
      <c r="E16160">
        <f>IF(DATOS!$I16160="","",IFERROR(VLOOKUP(DATOS!$I16160,CONFIG_ASIGNATURAS!$B$2:$J$61,9,FALSE()),""))</f>
      </c>
    </row>
    <row r="16161">
      <c r="E16161">
        <f>IF(DATOS!$I16161="","",IFERROR(VLOOKUP(DATOS!$I16161,CONFIG_ASIGNATURAS!$B$2:$J$61,9,FALSE()),""))</f>
      </c>
    </row>
    <row r="16162">
      <c r="E16162">
        <f>IF(DATOS!$I16162="","",IFERROR(VLOOKUP(DATOS!$I16162,CONFIG_ASIGNATURAS!$B$2:$J$61,9,FALSE()),""))</f>
      </c>
    </row>
    <row r="16163">
      <c r="E16163">
        <f>IF(DATOS!$I16163="","",IFERROR(VLOOKUP(DATOS!$I16163,CONFIG_ASIGNATURAS!$B$2:$J$61,9,FALSE()),""))</f>
      </c>
    </row>
    <row r="16164">
      <c r="E16164">
        <f>IF(DATOS!$I16164="","",IFERROR(VLOOKUP(DATOS!$I16164,CONFIG_ASIGNATURAS!$B$2:$J$61,9,FALSE()),""))</f>
      </c>
    </row>
    <row r="16165">
      <c r="E16165">
        <f>IF(DATOS!$I16165="","",IFERROR(VLOOKUP(DATOS!$I16165,CONFIG_ASIGNATURAS!$B$2:$J$61,9,FALSE()),""))</f>
      </c>
    </row>
    <row r="16166">
      <c r="E16166">
        <f>IF(DATOS!$I16166="","",IFERROR(VLOOKUP(DATOS!$I16166,CONFIG_ASIGNATURAS!$B$2:$J$61,9,FALSE()),""))</f>
      </c>
    </row>
    <row r="16167">
      <c r="E16167">
        <f>IF(DATOS!$I16167="","",IFERROR(VLOOKUP(DATOS!$I16167,CONFIG_ASIGNATURAS!$B$2:$J$61,9,FALSE()),""))</f>
      </c>
    </row>
    <row r="16168">
      <c r="E16168">
        <f>IF(DATOS!$I16168="","",IFERROR(VLOOKUP(DATOS!$I16168,CONFIG_ASIGNATURAS!$B$2:$J$61,9,FALSE()),""))</f>
      </c>
    </row>
    <row r="16169">
      <c r="E16169">
        <f>IF(DATOS!$I16169="","",IFERROR(VLOOKUP(DATOS!$I16169,CONFIG_ASIGNATURAS!$B$2:$J$61,9,FALSE()),""))</f>
      </c>
    </row>
    <row r="16170">
      <c r="E16170">
        <f>IF(DATOS!$I16170="","",IFERROR(VLOOKUP(DATOS!$I16170,CONFIG_ASIGNATURAS!$B$2:$J$61,9,FALSE()),""))</f>
      </c>
    </row>
    <row r="16171">
      <c r="E16171">
        <f>IF(DATOS!$I16171="","",IFERROR(VLOOKUP(DATOS!$I16171,CONFIG_ASIGNATURAS!$B$2:$J$61,9,FALSE()),""))</f>
      </c>
    </row>
    <row r="16172">
      <c r="E16172">
        <f>IF(DATOS!$I16172="","",IFERROR(VLOOKUP(DATOS!$I16172,CONFIG_ASIGNATURAS!$B$2:$J$61,9,FALSE()),""))</f>
      </c>
    </row>
    <row r="16173">
      <c r="E16173">
        <f>IF(DATOS!$I16173="","",IFERROR(VLOOKUP(DATOS!$I16173,CONFIG_ASIGNATURAS!$B$2:$J$61,9,FALSE()),""))</f>
      </c>
    </row>
    <row r="16174">
      <c r="E16174">
        <f>IF(DATOS!$I16174="","",IFERROR(VLOOKUP(DATOS!$I16174,CONFIG_ASIGNATURAS!$B$2:$J$61,9,FALSE()),""))</f>
      </c>
    </row>
    <row r="16175">
      <c r="E16175">
        <f>IF(DATOS!$I16175="","",IFERROR(VLOOKUP(DATOS!$I16175,CONFIG_ASIGNATURAS!$B$2:$J$61,9,FALSE()),""))</f>
      </c>
    </row>
    <row r="16176">
      <c r="E16176">
        <f>IF(DATOS!$I16176="","",IFERROR(VLOOKUP(DATOS!$I16176,CONFIG_ASIGNATURAS!$B$2:$J$61,9,FALSE()),""))</f>
      </c>
    </row>
    <row r="16177">
      <c r="E16177">
        <f>IF(DATOS!$I16177="","",IFERROR(VLOOKUP(DATOS!$I16177,CONFIG_ASIGNATURAS!$B$2:$J$61,9,FALSE()),""))</f>
      </c>
    </row>
    <row r="16178">
      <c r="E16178">
        <f>IF(DATOS!$I16178="","",IFERROR(VLOOKUP(DATOS!$I16178,CONFIG_ASIGNATURAS!$B$2:$J$61,9,FALSE()),""))</f>
      </c>
    </row>
    <row r="16179">
      <c r="E16179">
        <f>IF(DATOS!$I16179="","",IFERROR(VLOOKUP(DATOS!$I16179,CONFIG_ASIGNATURAS!$B$2:$J$61,9,FALSE()),""))</f>
      </c>
    </row>
    <row r="16180">
      <c r="E16180">
        <f>IF(DATOS!$I16180="","",IFERROR(VLOOKUP(DATOS!$I16180,CONFIG_ASIGNATURAS!$B$2:$J$61,9,FALSE()),""))</f>
      </c>
    </row>
    <row r="16181">
      <c r="E16181">
        <f>IF(DATOS!$I16181="","",IFERROR(VLOOKUP(DATOS!$I16181,CONFIG_ASIGNATURAS!$B$2:$J$61,9,FALSE()),""))</f>
      </c>
    </row>
    <row r="16182">
      <c r="E16182">
        <f>IF(DATOS!$I16182="","",IFERROR(VLOOKUP(DATOS!$I16182,CONFIG_ASIGNATURAS!$B$2:$J$61,9,FALSE()),""))</f>
      </c>
    </row>
    <row r="16183">
      <c r="E16183">
        <f>IF(DATOS!$I16183="","",IFERROR(VLOOKUP(DATOS!$I16183,CONFIG_ASIGNATURAS!$B$2:$J$61,9,FALSE()),""))</f>
      </c>
    </row>
    <row r="16184">
      <c r="E16184">
        <f>IF(DATOS!$I16184="","",IFERROR(VLOOKUP(DATOS!$I16184,CONFIG_ASIGNATURAS!$B$2:$J$61,9,FALSE()),""))</f>
      </c>
    </row>
    <row r="16185">
      <c r="E16185">
        <f>IF(DATOS!$I16185="","",IFERROR(VLOOKUP(DATOS!$I16185,CONFIG_ASIGNATURAS!$B$2:$J$61,9,FALSE()),""))</f>
      </c>
    </row>
    <row r="16186">
      <c r="E16186">
        <f>IF(DATOS!$I16186="","",IFERROR(VLOOKUP(DATOS!$I16186,CONFIG_ASIGNATURAS!$B$2:$J$61,9,FALSE()),""))</f>
      </c>
    </row>
    <row r="16187">
      <c r="E16187">
        <f>IF(DATOS!$I16187="","",IFERROR(VLOOKUP(DATOS!$I16187,CONFIG_ASIGNATURAS!$B$2:$J$61,9,FALSE()),""))</f>
      </c>
    </row>
    <row r="16188">
      <c r="E16188">
        <f>IF(DATOS!$I16188="","",IFERROR(VLOOKUP(DATOS!$I16188,CONFIG_ASIGNATURAS!$B$2:$J$61,9,FALSE()),""))</f>
      </c>
    </row>
    <row r="16189">
      <c r="E16189">
        <f>IF(DATOS!$I16189="","",IFERROR(VLOOKUP(DATOS!$I16189,CONFIG_ASIGNATURAS!$B$2:$J$61,9,FALSE()),""))</f>
      </c>
    </row>
    <row r="16190">
      <c r="E16190">
        <f>IF(DATOS!$I16190="","",IFERROR(VLOOKUP(DATOS!$I16190,CONFIG_ASIGNATURAS!$B$2:$J$61,9,FALSE()),""))</f>
      </c>
    </row>
    <row r="16191">
      <c r="E16191">
        <f>IF(DATOS!$I16191="","",IFERROR(VLOOKUP(DATOS!$I16191,CONFIG_ASIGNATURAS!$B$2:$J$61,9,FALSE()),""))</f>
      </c>
    </row>
    <row r="16192">
      <c r="E16192">
        <f>IF(DATOS!$I16192="","",IFERROR(VLOOKUP(DATOS!$I16192,CONFIG_ASIGNATURAS!$B$2:$J$61,9,FALSE()),""))</f>
      </c>
    </row>
    <row r="16193">
      <c r="E16193">
        <f>IF(DATOS!$I16193="","",IFERROR(VLOOKUP(DATOS!$I16193,CONFIG_ASIGNATURAS!$B$2:$J$61,9,FALSE()),""))</f>
      </c>
    </row>
    <row r="16194">
      <c r="E16194">
        <f>IF(DATOS!$I16194="","",IFERROR(VLOOKUP(DATOS!$I16194,CONFIG_ASIGNATURAS!$B$2:$J$61,9,FALSE()),""))</f>
      </c>
    </row>
    <row r="16195">
      <c r="E16195">
        <f>IF(DATOS!$I16195="","",IFERROR(VLOOKUP(DATOS!$I16195,CONFIG_ASIGNATURAS!$B$2:$J$61,9,FALSE()),""))</f>
      </c>
    </row>
    <row r="16196">
      <c r="E16196">
        <f>IF(DATOS!$I16196="","",IFERROR(VLOOKUP(DATOS!$I16196,CONFIG_ASIGNATURAS!$B$2:$J$61,9,FALSE()),""))</f>
      </c>
    </row>
    <row r="16197">
      <c r="E16197">
        <f>IF(DATOS!$I16197="","",IFERROR(VLOOKUP(DATOS!$I16197,CONFIG_ASIGNATURAS!$B$2:$J$61,9,FALSE()),""))</f>
      </c>
    </row>
    <row r="16198">
      <c r="E16198">
        <f>IF(DATOS!$I16198="","",IFERROR(VLOOKUP(DATOS!$I16198,CONFIG_ASIGNATURAS!$B$2:$J$61,9,FALSE()),""))</f>
      </c>
    </row>
    <row r="16199">
      <c r="E16199">
        <f>IF(DATOS!$I16199="","",IFERROR(VLOOKUP(DATOS!$I16199,CONFIG_ASIGNATURAS!$B$2:$J$61,9,FALSE()),""))</f>
      </c>
    </row>
    <row r="16200">
      <c r="E16200">
        <f>IF(DATOS!$I16200="","",IFERROR(VLOOKUP(DATOS!$I16200,CONFIG_ASIGNATURAS!$B$2:$J$61,9,FALSE()),""))</f>
      </c>
    </row>
    <row r="16201">
      <c r="E16201">
        <f>IF(DATOS!$I16201="","",IFERROR(VLOOKUP(DATOS!$I16201,CONFIG_ASIGNATURAS!$B$2:$J$61,9,FALSE()),""))</f>
      </c>
    </row>
    <row r="16202">
      <c r="E16202">
        <f>IF(DATOS!$I16202="","",IFERROR(VLOOKUP(DATOS!$I16202,CONFIG_ASIGNATURAS!$B$2:$J$61,9,FALSE()),""))</f>
      </c>
    </row>
    <row r="16203">
      <c r="E16203">
        <f>IF(DATOS!$I16203="","",IFERROR(VLOOKUP(DATOS!$I16203,CONFIG_ASIGNATURAS!$B$2:$J$61,9,FALSE()),""))</f>
      </c>
    </row>
    <row r="16204">
      <c r="E16204">
        <f>IF(DATOS!$I16204="","",IFERROR(VLOOKUP(DATOS!$I16204,CONFIG_ASIGNATURAS!$B$2:$J$61,9,FALSE()),""))</f>
      </c>
    </row>
    <row r="16205">
      <c r="E16205">
        <f>IF(DATOS!$I16205="","",IFERROR(VLOOKUP(DATOS!$I16205,CONFIG_ASIGNATURAS!$B$2:$J$61,9,FALSE()),""))</f>
      </c>
    </row>
    <row r="16206">
      <c r="E16206">
        <f>IF(DATOS!$I16206="","",IFERROR(VLOOKUP(DATOS!$I16206,CONFIG_ASIGNATURAS!$B$2:$J$61,9,FALSE()),""))</f>
      </c>
    </row>
    <row r="16207">
      <c r="E16207">
        <f>IF(DATOS!$I16207="","",IFERROR(VLOOKUP(DATOS!$I16207,CONFIG_ASIGNATURAS!$B$2:$J$61,9,FALSE()),""))</f>
      </c>
    </row>
    <row r="16208">
      <c r="E16208">
        <f>IF(DATOS!$I16208="","",IFERROR(VLOOKUP(DATOS!$I16208,CONFIG_ASIGNATURAS!$B$2:$J$61,9,FALSE()),""))</f>
      </c>
    </row>
    <row r="16209">
      <c r="E16209">
        <f>IF(DATOS!$I16209="","",IFERROR(VLOOKUP(DATOS!$I16209,CONFIG_ASIGNATURAS!$B$2:$J$61,9,FALSE()),""))</f>
      </c>
    </row>
    <row r="16210">
      <c r="E16210">
        <f>IF(DATOS!$I16210="","",IFERROR(VLOOKUP(DATOS!$I16210,CONFIG_ASIGNATURAS!$B$2:$J$61,9,FALSE()),""))</f>
      </c>
    </row>
    <row r="16211">
      <c r="E16211">
        <f>IF(DATOS!$I16211="","",IFERROR(VLOOKUP(DATOS!$I16211,CONFIG_ASIGNATURAS!$B$2:$J$61,9,FALSE()),""))</f>
      </c>
    </row>
    <row r="16212">
      <c r="E16212">
        <f>IF(DATOS!$I16212="","",IFERROR(VLOOKUP(DATOS!$I16212,CONFIG_ASIGNATURAS!$B$2:$J$61,9,FALSE()),""))</f>
      </c>
    </row>
    <row r="16213">
      <c r="E16213">
        <f>IF(DATOS!$I16213="","",IFERROR(VLOOKUP(DATOS!$I16213,CONFIG_ASIGNATURAS!$B$2:$J$61,9,FALSE()),""))</f>
      </c>
    </row>
    <row r="16214">
      <c r="E16214">
        <f>IF(DATOS!$I16214="","",IFERROR(VLOOKUP(DATOS!$I16214,CONFIG_ASIGNATURAS!$B$2:$J$61,9,FALSE()),""))</f>
      </c>
    </row>
    <row r="16215">
      <c r="E16215">
        <f>IF(DATOS!$I16215="","",IFERROR(VLOOKUP(DATOS!$I16215,CONFIG_ASIGNATURAS!$B$2:$J$61,9,FALSE()),""))</f>
      </c>
    </row>
    <row r="16216">
      <c r="E16216">
        <f>IF(DATOS!$I16216="","",IFERROR(VLOOKUP(DATOS!$I16216,CONFIG_ASIGNATURAS!$B$2:$J$61,9,FALSE()),""))</f>
      </c>
    </row>
    <row r="16217">
      <c r="E16217">
        <f>IF(DATOS!$I16217="","",IFERROR(VLOOKUP(DATOS!$I16217,CONFIG_ASIGNATURAS!$B$2:$J$61,9,FALSE()),""))</f>
      </c>
    </row>
    <row r="16218">
      <c r="E16218">
        <f>IF(DATOS!$I16218="","",IFERROR(VLOOKUP(DATOS!$I16218,CONFIG_ASIGNATURAS!$B$2:$J$61,9,FALSE()),""))</f>
      </c>
    </row>
    <row r="16219">
      <c r="E16219">
        <f>IF(DATOS!$I16219="","",IFERROR(VLOOKUP(DATOS!$I16219,CONFIG_ASIGNATURAS!$B$2:$J$61,9,FALSE()),""))</f>
      </c>
    </row>
    <row r="16220">
      <c r="E16220">
        <f>IF(DATOS!$I16220="","",IFERROR(VLOOKUP(DATOS!$I16220,CONFIG_ASIGNATURAS!$B$2:$J$61,9,FALSE()),""))</f>
      </c>
    </row>
    <row r="16221">
      <c r="E16221">
        <f>IF(DATOS!$I16221="","",IFERROR(VLOOKUP(DATOS!$I16221,CONFIG_ASIGNATURAS!$B$2:$J$61,9,FALSE()),""))</f>
      </c>
    </row>
    <row r="16222">
      <c r="E16222">
        <f>IF(DATOS!$I16222="","",IFERROR(VLOOKUP(DATOS!$I16222,CONFIG_ASIGNATURAS!$B$2:$J$61,9,FALSE()),""))</f>
      </c>
    </row>
    <row r="16223">
      <c r="E16223">
        <f>IF(DATOS!$I16223="","",IFERROR(VLOOKUP(DATOS!$I16223,CONFIG_ASIGNATURAS!$B$2:$J$61,9,FALSE()),""))</f>
      </c>
    </row>
    <row r="16224">
      <c r="E16224">
        <f>IF(DATOS!$I16224="","",IFERROR(VLOOKUP(DATOS!$I16224,CONFIG_ASIGNATURAS!$B$2:$J$61,9,FALSE()),""))</f>
      </c>
    </row>
    <row r="16225">
      <c r="E16225">
        <f>IF(DATOS!$I16225="","",IFERROR(VLOOKUP(DATOS!$I16225,CONFIG_ASIGNATURAS!$B$2:$J$61,9,FALSE()),""))</f>
      </c>
    </row>
    <row r="16226">
      <c r="E16226">
        <f>IF(DATOS!$I16226="","",IFERROR(VLOOKUP(DATOS!$I16226,CONFIG_ASIGNATURAS!$B$2:$J$61,9,FALSE()),""))</f>
      </c>
    </row>
    <row r="16227">
      <c r="E16227">
        <f>IF(DATOS!$I16227="","",IFERROR(VLOOKUP(DATOS!$I16227,CONFIG_ASIGNATURAS!$B$2:$J$61,9,FALSE()),""))</f>
      </c>
    </row>
    <row r="16228">
      <c r="E16228">
        <f>IF(DATOS!$I16228="","",IFERROR(VLOOKUP(DATOS!$I16228,CONFIG_ASIGNATURAS!$B$2:$J$61,9,FALSE()),""))</f>
      </c>
    </row>
    <row r="16229">
      <c r="E16229">
        <f>IF(DATOS!$I16229="","",IFERROR(VLOOKUP(DATOS!$I16229,CONFIG_ASIGNATURAS!$B$2:$J$61,9,FALSE()),""))</f>
      </c>
    </row>
    <row r="16230">
      <c r="E16230">
        <f>IF(DATOS!$I16230="","",IFERROR(VLOOKUP(DATOS!$I16230,CONFIG_ASIGNATURAS!$B$2:$J$61,9,FALSE()),""))</f>
      </c>
    </row>
    <row r="16231">
      <c r="E16231">
        <f>IF(DATOS!$I16231="","",IFERROR(VLOOKUP(DATOS!$I16231,CONFIG_ASIGNATURAS!$B$2:$J$61,9,FALSE()),""))</f>
      </c>
    </row>
    <row r="16232">
      <c r="E16232">
        <f>IF(DATOS!$I16232="","",IFERROR(VLOOKUP(DATOS!$I16232,CONFIG_ASIGNATURAS!$B$2:$J$61,9,FALSE()),""))</f>
      </c>
    </row>
    <row r="16233">
      <c r="E16233">
        <f>IF(DATOS!$I16233="","",IFERROR(VLOOKUP(DATOS!$I16233,CONFIG_ASIGNATURAS!$B$2:$J$61,9,FALSE()),""))</f>
      </c>
    </row>
    <row r="16234">
      <c r="E16234">
        <f>IF(DATOS!$I16234="","",IFERROR(VLOOKUP(DATOS!$I16234,CONFIG_ASIGNATURAS!$B$2:$J$61,9,FALSE()),""))</f>
      </c>
    </row>
    <row r="16235">
      <c r="E16235">
        <f>IF(DATOS!$I16235="","",IFERROR(VLOOKUP(DATOS!$I16235,CONFIG_ASIGNATURAS!$B$2:$J$61,9,FALSE()),""))</f>
      </c>
    </row>
    <row r="16236">
      <c r="E16236">
        <f>IF(DATOS!$I16236="","",IFERROR(VLOOKUP(DATOS!$I16236,CONFIG_ASIGNATURAS!$B$2:$J$61,9,FALSE()),""))</f>
      </c>
    </row>
    <row r="16237">
      <c r="E16237">
        <f>IF(DATOS!$I16237="","",IFERROR(VLOOKUP(DATOS!$I16237,CONFIG_ASIGNATURAS!$B$2:$J$61,9,FALSE()),""))</f>
      </c>
    </row>
    <row r="16238">
      <c r="E16238">
        <f>IF(DATOS!$I16238="","",IFERROR(VLOOKUP(DATOS!$I16238,CONFIG_ASIGNATURAS!$B$2:$J$61,9,FALSE()),""))</f>
      </c>
    </row>
    <row r="16239">
      <c r="E16239">
        <f>IF(DATOS!$I16239="","",IFERROR(VLOOKUP(DATOS!$I16239,CONFIG_ASIGNATURAS!$B$2:$J$61,9,FALSE()),""))</f>
      </c>
    </row>
    <row r="16240">
      <c r="E16240">
        <f>IF(DATOS!$I16240="","",IFERROR(VLOOKUP(DATOS!$I16240,CONFIG_ASIGNATURAS!$B$2:$J$61,9,FALSE()),""))</f>
      </c>
    </row>
    <row r="16241">
      <c r="E16241">
        <f>IF(DATOS!$I16241="","",IFERROR(VLOOKUP(DATOS!$I16241,CONFIG_ASIGNATURAS!$B$2:$J$61,9,FALSE()),""))</f>
      </c>
    </row>
    <row r="16242">
      <c r="E16242">
        <f>IF(DATOS!$I16242="","",IFERROR(VLOOKUP(DATOS!$I16242,CONFIG_ASIGNATURAS!$B$2:$J$61,9,FALSE()),""))</f>
      </c>
    </row>
    <row r="16243">
      <c r="E16243">
        <f>IF(DATOS!$I16243="","",IFERROR(VLOOKUP(DATOS!$I16243,CONFIG_ASIGNATURAS!$B$2:$J$61,9,FALSE()),""))</f>
      </c>
    </row>
    <row r="16244">
      <c r="E16244">
        <f>IF(DATOS!$I16244="","",IFERROR(VLOOKUP(DATOS!$I16244,CONFIG_ASIGNATURAS!$B$2:$J$61,9,FALSE()),""))</f>
      </c>
    </row>
    <row r="16245">
      <c r="E16245">
        <f>IF(DATOS!$I16245="","",IFERROR(VLOOKUP(DATOS!$I16245,CONFIG_ASIGNATURAS!$B$2:$J$61,9,FALSE()),""))</f>
      </c>
    </row>
    <row r="16246">
      <c r="E16246">
        <f>IF(DATOS!$I16246="","",IFERROR(VLOOKUP(DATOS!$I16246,CONFIG_ASIGNATURAS!$B$2:$J$61,9,FALSE()),""))</f>
      </c>
    </row>
    <row r="16247">
      <c r="E16247">
        <f>IF(DATOS!$I16247="","",IFERROR(VLOOKUP(DATOS!$I16247,CONFIG_ASIGNATURAS!$B$2:$J$61,9,FALSE()),""))</f>
      </c>
    </row>
    <row r="16248">
      <c r="E16248">
        <f>IF(DATOS!$I16248="","",IFERROR(VLOOKUP(DATOS!$I16248,CONFIG_ASIGNATURAS!$B$2:$J$61,9,FALSE()),""))</f>
      </c>
    </row>
    <row r="16249">
      <c r="E16249">
        <f>IF(DATOS!$I16249="","",IFERROR(VLOOKUP(DATOS!$I16249,CONFIG_ASIGNATURAS!$B$2:$J$61,9,FALSE()),""))</f>
      </c>
    </row>
    <row r="16250">
      <c r="E16250">
        <f>IF(DATOS!$I16250="","",IFERROR(VLOOKUP(DATOS!$I16250,CONFIG_ASIGNATURAS!$B$2:$J$61,9,FALSE()),""))</f>
      </c>
    </row>
    <row r="16251">
      <c r="E16251">
        <f>IF(DATOS!$I16251="","",IFERROR(VLOOKUP(DATOS!$I16251,CONFIG_ASIGNATURAS!$B$2:$J$61,9,FALSE()),""))</f>
      </c>
    </row>
    <row r="16252">
      <c r="E16252">
        <f>IF(DATOS!$I16252="","",IFERROR(VLOOKUP(DATOS!$I16252,CONFIG_ASIGNATURAS!$B$2:$J$61,9,FALSE()),""))</f>
      </c>
    </row>
    <row r="16253">
      <c r="E16253">
        <f>IF(DATOS!$I16253="","",IFERROR(VLOOKUP(DATOS!$I16253,CONFIG_ASIGNATURAS!$B$2:$J$61,9,FALSE()),""))</f>
      </c>
    </row>
    <row r="16254">
      <c r="E16254">
        <f>IF(DATOS!$I16254="","",IFERROR(VLOOKUP(DATOS!$I16254,CONFIG_ASIGNATURAS!$B$2:$J$61,9,FALSE()),""))</f>
      </c>
    </row>
    <row r="16255">
      <c r="E16255">
        <f>IF(DATOS!$I16255="","",IFERROR(VLOOKUP(DATOS!$I16255,CONFIG_ASIGNATURAS!$B$2:$J$61,9,FALSE()),""))</f>
      </c>
    </row>
    <row r="16256">
      <c r="E16256">
        <f>IF(DATOS!$I16256="","",IFERROR(VLOOKUP(DATOS!$I16256,CONFIG_ASIGNATURAS!$B$2:$J$61,9,FALSE()),""))</f>
      </c>
    </row>
    <row r="16257">
      <c r="E16257">
        <f>IF(DATOS!$I16257="","",IFERROR(VLOOKUP(DATOS!$I16257,CONFIG_ASIGNATURAS!$B$2:$J$61,9,FALSE()),""))</f>
      </c>
    </row>
    <row r="16258">
      <c r="E16258">
        <f>IF(DATOS!$I16258="","",IFERROR(VLOOKUP(DATOS!$I16258,CONFIG_ASIGNATURAS!$B$2:$J$61,9,FALSE()),""))</f>
      </c>
    </row>
    <row r="16259">
      <c r="E16259">
        <f>IF(DATOS!$I16259="","",IFERROR(VLOOKUP(DATOS!$I16259,CONFIG_ASIGNATURAS!$B$2:$J$61,9,FALSE()),""))</f>
      </c>
    </row>
    <row r="16260">
      <c r="E16260">
        <f>IF(DATOS!$I16260="","",IFERROR(VLOOKUP(DATOS!$I16260,CONFIG_ASIGNATURAS!$B$2:$J$61,9,FALSE()),""))</f>
      </c>
    </row>
    <row r="16261">
      <c r="E16261">
        <f>IF(DATOS!$I16261="","",IFERROR(VLOOKUP(DATOS!$I16261,CONFIG_ASIGNATURAS!$B$2:$J$61,9,FALSE()),""))</f>
      </c>
    </row>
    <row r="16262">
      <c r="E16262">
        <f>IF(DATOS!$I16262="","",IFERROR(VLOOKUP(DATOS!$I16262,CONFIG_ASIGNATURAS!$B$2:$J$61,9,FALSE()),""))</f>
      </c>
    </row>
    <row r="16263">
      <c r="E16263">
        <f>IF(DATOS!$I16263="","",IFERROR(VLOOKUP(DATOS!$I16263,CONFIG_ASIGNATURAS!$B$2:$J$61,9,FALSE()),""))</f>
      </c>
    </row>
    <row r="16264">
      <c r="E16264">
        <f>IF(DATOS!$I16264="","",IFERROR(VLOOKUP(DATOS!$I16264,CONFIG_ASIGNATURAS!$B$2:$J$61,9,FALSE()),""))</f>
      </c>
    </row>
    <row r="16265">
      <c r="E16265">
        <f>IF(DATOS!$I16265="","",IFERROR(VLOOKUP(DATOS!$I16265,CONFIG_ASIGNATURAS!$B$2:$J$61,9,FALSE()),""))</f>
      </c>
    </row>
    <row r="16266">
      <c r="E16266">
        <f>IF(DATOS!$I16266="","",IFERROR(VLOOKUP(DATOS!$I16266,CONFIG_ASIGNATURAS!$B$2:$J$61,9,FALSE()),""))</f>
      </c>
    </row>
    <row r="16267">
      <c r="E16267">
        <f>IF(DATOS!$I16267="","",IFERROR(VLOOKUP(DATOS!$I16267,CONFIG_ASIGNATURAS!$B$2:$J$61,9,FALSE()),""))</f>
      </c>
    </row>
    <row r="16268">
      <c r="E16268">
        <f>IF(DATOS!$I16268="","",IFERROR(VLOOKUP(DATOS!$I16268,CONFIG_ASIGNATURAS!$B$2:$J$61,9,FALSE()),""))</f>
      </c>
    </row>
    <row r="16269">
      <c r="E16269">
        <f>IF(DATOS!$I16269="","",IFERROR(VLOOKUP(DATOS!$I16269,CONFIG_ASIGNATURAS!$B$2:$J$61,9,FALSE()),""))</f>
      </c>
    </row>
    <row r="16270">
      <c r="E16270">
        <f>IF(DATOS!$I16270="","",IFERROR(VLOOKUP(DATOS!$I16270,CONFIG_ASIGNATURAS!$B$2:$J$61,9,FALSE()),""))</f>
      </c>
    </row>
    <row r="16271">
      <c r="E16271">
        <f>IF(DATOS!$I16271="","",IFERROR(VLOOKUP(DATOS!$I16271,CONFIG_ASIGNATURAS!$B$2:$J$61,9,FALSE()),""))</f>
      </c>
    </row>
    <row r="16272">
      <c r="E16272">
        <f>IF(DATOS!$I16272="","",IFERROR(VLOOKUP(DATOS!$I16272,CONFIG_ASIGNATURAS!$B$2:$J$61,9,FALSE()),""))</f>
      </c>
    </row>
    <row r="16273">
      <c r="E16273">
        <f>IF(DATOS!$I16273="","",IFERROR(VLOOKUP(DATOS!$I16273,CONFIG_ASIGNATURAS!$B$2:$J$61,9,FALSE()),""))</f>
      </c>
    </row>
    <row r="16274">
      <c r="E16274">
        <f>IF(DATOS!$I16274="","",IFERROR(VLOOKUP(DATOS!$I16274,CONFIG_ASIGNATURAS!$B$2:$J$61,9,FALSE()),""))</f>
      </c>
    </row>
    <row r="16275">
      <c r="E16275">
        <f>IF(DATOS!$I16275="","",IFERROR(VLOOKUP(DATOS!$I16275,CONFIG_ASIGNATURAS!$B$2:$J$61,9,FALSE()),""))</f>
      </c>
    </row>
    <row r="16276">
      <c r="E16276">
        <f>IF(DATOS!$I16276="","",IFERROR(VLOOKUP(DATOS!$I16276,CONFIG_ASIGNATURAS!$B$2:$J$61,9,FALSE()),""))</f>
      </c>
    </row>
    <row r="16277">
      <c r="E16277">
        <f>IF(DATOS!$I16277="","",IFERROR(VLOOKUP(DATOS!$I16277,CONFIG_ASIGNATURAS!$B$2:$J$61,9,FALSE()),""))</f>
      </c>
    </row>
    <row r="16278">
      <c r="E16278">
        <f>IF(DATOS!$I16278="","",IFERROR(VLOOKUP(DATOS!$I16278,CONFIG_ASIGNATURAS!$B$2:$J$61,9,FALSE()),""))</f>
      </c>
    </row>
    <row r="16279">
      <c r="E16279">
        <f>IF(DATOS!$I16279="","",IFERROR(VLOOKUP(DATOS!$I16279,CONFIG_ASIGNATURAS!$B$2:$J$61,9,FALSE()),""))</f>
      </c>
    </row>
    <row r="16280">
      <c r="E16280">
        <f>IF(DATOS!$I16280="","",IFERROR(VLOOKUP(DATOS!$I16280,CONFIG_ASIGNATURAS!$B$2:$J$61,9,FALSE()),""))</f>
      </c>
    </row>
    <row r="16281">
      <c r="E16281">
        <f>IF(DATOS!$I16281="","",IFERROR(VLOOKUP(DATOS!$I16281,CONFIG_ASIGNATURAS!$B$2:$J$61,9,FALSE()),""))</f>
      </c>
    </row>
    <row r="16282">
      <c r="E16282">
        <f>IF(DATOS!$I16282="","",IFERROR(VLOOKUP(DATOS!$I16282,CONFIG_ASIGNATURAS!$B$2:$J$61,9,FALSE()),""))</f>
      </c>
    </row>
    <row r="16283">
      <c r="E16283">
        <f>IF(DATOS!$I16283="","",IFERROR(VLOOKUP(DATOS!$I16283,CONFIG_ASIGNATURAS!$B$2:$J$61,9,FALSE()),""))</f>
      </c>
    </row>
    <row r="16284">
      <c r="E16284">
        <f>IF(DATOS!$I16284="","",IFERROR(VLOOKUP(DATOS!$I16284,CONFIG_ASIGNATURAS!$B$2:$J$61,9,FALSE()),""))</f>
      </c>
    </row>
    <row r="16285">
      <c r="E16285">
        <f>IF(DATOS!$I16285="","",IFERROR(VLOOKUP(DATOS!$I16285,CONFIG_ASIGNATURAS!$B$2:$J$61,9,FALSE()),""))</f>
      </c>
    </row>
    <row r="16286">
      <c r="E16286">
        <f>IF(DATOS!$I16286="","",IFERROR(VLOOKUP(DATOS!$I16286,CONFIG_ASIGNATURAS!$B$2:$J$61,9,FALSE()),""))</f>
      </c>
    </row>
    <row r="16287">
      <c r="E16287">
        <f>IF(DATOS!$I16287="","",IFERROR(VLOOKUP(DATOS!$I16287,CONFIG_ASIGNATURAS!$B$2:$J$61,9,FALSE()),""))</f>
      </c>
    </row>
    <row r="16288">
      <c r="E16288">
        <f>IF(DATOS!$I16288="","",IFERROR(VLOOKUP(DATOS!$I16288,CONFIG_ASIGNATURAS!$B$2:$J$61,9,FALSE()),""))</f>
      </c>
    </row>
    <row r="16289">
      <c r="E16289">
        <f>IF(DATOS!$I16289="","",IFERROR(VLOOKUP(DATOS!$I16289,CONFIG_ASIGNATURAS!$B$2:$J$61,9,FALSE()),""))</f>
      </c>
    </row>
    <row r="16290">
      <c r="E16290">
        <f>IF(DATOS!$I16290="","",IFERROR(VLOOKUP(DATOS!$I16290,CONFIG_ASIGNATURAS!$B$2:$J$61,9,FALSE()),""))</f>
      </c>
    </row>
    <row r="16291">
      <c r="E16291">
        <f>IF(DATOS!$I16291="","",IFERROR(VLOOKUP(DATOS!$I16291,CONFIG_ASIGNATURAS!$B$2:$J$61,9,FALSE()),""))</f>
      </c>
    </row>
    <row r="16292">
      <c r="E16292">
        <f>IF(DATOS!$I16292="","",IFERROR(VLOOKUP(DATOS!$I16292,CONFIG_ASIGNATURAS!$B$2:$J$61,9,FALSE()),""))</f>
      </c>
    </row>
    <row r="16293">
      <c r="E16293">
        <f>IF(DATOS!$I16293="","",IFERROR(VLOOKUP(DATOS!$I16293,CONFIG_ASIGNATURAS!$B$2:$J$61,9,FALSE()),""))</f>
      </c>
    </row>
    <row r="16294">
      <c r="E16294">
        <f>IF(DATOS!$I16294="","",IFERROR(VLOOKUP(DATOS!$I16294,CONFIG_ASIGNATURAS!$B$2:$J$61,9,FALSE()),""))</f>
      </c>
    </row>
    <row r="16295">
      <c r="E16295">
        <f>IF(DATOS!$I16295="","",IFERROR(VLOOKUP(DATOS!$I16295,CONFIG_ASIGNATURAS!$B$2:$J$61,9,FALSE()),""))</f>
      </c>
    </row>
    <row r="16296">
      <c r="E16296">
        <f>IF(DATOS!$I16296="","",IFERROR(VLOOKUP(DATOS!$I16296,CONFIG_ASIGNATURAS!$B$2:$J$61,9,FALSE()),""))</f>
      </c>
    </row>
    <row r="16297">
      <c r="E16297">
        <f>IF(DATOS!$I16297="","",IFERROR(VLOOKUP(DATOS!$I16297,CONFIG_ASIGNATURAS!$B$2:$J$61,9,FALSE()),""))</f>
      </c>
    </row>
    <row r="16298">
      <c r="E16298">
        <f>IF(DATOS!$I16298="","",IFERROR(VLOOKUP(DATOS!$I16298,CONFIG_ASIGNATURAS!$B$2:$J$61,9,FALSE()),""))</f>
      </c>
    </row>
    <row r="16299">
      <c r="E16299">
        <f>IF(DATOS!$I16299="","",IFERROR(VLOOKUP(DATOS!$I16299,CONFIG_ASIGNATURAS!$B$2:$J$61,9,FALSE()),""))</f>
      </c>
    </row>
    <row r="16300">
      <c r="E16300">
        <f>IF(DATOS!$I16300="","",IFERROR(VLOOKUP(DATOS!$I16300,CONFIG_ASIGNATURAS!$B$2:$J$61,9,FALSE()),""))</f>
      </c>
    </row>
    <row r="16301">
      <c r="E16301">
        <f>IF(DATOS!$I16301="","",IFERROR(VLOOKUP(DATOS!$I16301,CONFIG_ASIGNATURAS!$B$2:$J$61,9,FALSE()),""))</f>
      </c>
    </row>
    <row r="16302">
      <c r="E16302">
        <f>IF(DATOS!$I16302="","",IFERROR(VLOOKUP(DATOS!$I16302,CONFIG_ASIGNATURAS!$B$2:$J$61,9,FALSE()),""))</f>
      </c>
    </row>
    <row r="16303">
      <c r="E16303">
        <f>IF(DATOS!$I16303="","",IFERROR(VLOOKUP(DATOS!$I16303,CONFIG_ASIGNATURAS!$B$2:$J$61,9,FALSE()),""))</f>
      </c>
    </row>
    <row r="16304">
      <c r="E16304">
        <f>IF(DATOS!$I16304="","",IFERROR(VLOOKUP(DATOS!$I16304,CONFIG_ASIGNATURAS!$B$2:$J$61,9,FALSE()),""))</f>
      </c>
    </row>
    <row r="16305">
      <c r="E16305">
        <f>IF(DATOS!$I16305="","",IFERROR(VLOOKUP(DATOS!$I16305,CONFIG_ASIGNATURAS!$B$2:$J$61,9,FALSE()),""))</f>
      </c>
    </row>
    <row r="16306">
      <c r="E16306">
        <f>IF(DATOS!$I16306="","",IFERROR(VLOOKUP(DATOS!$I16306,CONFIG_ASIGNATURAS!$B$2:$J$61,9,FALSE()),""))</f>
      </c>
    </row>
    <row r="16307">
      <c r="E16307">
        <f>IF(DATOS!$I16307="","",IFERROR(VLOOKUP(DATOS!$I16307,CONFIG_ASIGNATURAS!$B$2:$J$61,9,FALSE()),""))</f>
      </c>
    </row>
    <row r="16308">
      <c r="E16308">
        <f>IF(DATOS!$I16308="","",IFERROR(VLOOKUP(DATOS!$I16308,CONFIG_ASIGNATURAS!$B$2:$J$61,9,FALSE()),""))</f>
      </c>
    </row>
    <row r="16309">
      <c r="E16309">
        <f>IF(DATOS!$I16309="","",IFERROR(VLOOKUP(DATOS!$I16309,CONFIG_ASIGNATURAS!$B$2:$J$61,9,FALSE()),""))</f>
      </c>
    </row>
    <row r="16310">
      <c r="E16310">
        <f>IF(DATOS!$I16310="","",IFERROR(VLOOKUP(DATOS!$I16310,CONFIG_ASIGNATURAS!$B$2:$J$61,9,FALSE()),""))</f>
      </c>
    </row>
    <row r="16311">
      <c r="E16311">
        <f>IF(DATOS!$I16311="","",IFERROR(VLOOKUP(DATOS!$I16311,CONFIG_ASIGNATURAS!$B$2:$J$61,9,FALSE()),""))</f>
      </c>
    </row>
    <row r="16312">
      <c r="E16312">
        <f>IF(DATOS!$I16312="","",IFERROR(VLOOKUP(DATOS!$I16312,CONFIG_ASIGNATURAS!$B$2:$J$61,9,FALSE()),""))</f>
      </c>
    </row>
    <row r="16313">
      <c r="E16313">
        <f>IF(DATOS!$I16313="","",IFERROR(VLOOKUP(DATOS!$I16313,CONFIG_ASIGNATURAS!$B$2:$J$61,9,FALSE()),""))</f>
      </c>
    </row>
    <row r="16314">
      <c r="E16314">
        <f>IF(DATOS!$I16314="","",IFERROR(VLOOKUP(DATOS!$I16314,CONFIG_ASIGNATURAS!$B$2:$J$61,9,FALSE()),""))</f>
      </c>
    </row>
    <row r="16315">
      <c r="E16315">
        <f>IF(DATOS!$I16315="","",IFERROR(VLOOKUP(DATOS!$I16315,CONFIG_ASIGNATURAS!$B$2:$J$61,9,FALSE()),""))</f>
      </c>
    </row>
    <row r="16316">
      <c r="E16316">
        <f>IF(DATOS!$I16316="","",IFERROR(VLOOKUP(DATOS!$I16316,CONFIG_ASIGNATURAS!$B$2:$J$61,9,FALSE()),""))</f>
      </c>
    </row>
    <row r="16317">
      <c r="E16317">
        <f>IF(DATOS!$I16317="","",IFERROR(VLOOKUP(DATOS!$I16317,CONFIG_ASIGNATURAS!$B$2:$J$61,9,FALSE()),""))</f>
      </c>
    </row>
    <row r="16318">
      <c r="E16318">
        <f>IF(DATOS!$I16318="","",IFERROR(VLOOKUP(DATOS!$I16318,CONFIG_ASIGNATURAS!$B$2:$J$61,9,FALSE()),""))</f>
      </c>
    </row>
    <row r="16319">
      <c r="E16319">
        <f>IF(DATOS!$I16319="","",IFERROR(VLOOKUP(DATOS!$I16319,CONFIG_ASIGNATURAS!$B$2:$J$61,9,FALSE()),""))</f>
      </c>
    </row>
    <row r="16320">
      <c r="E16320">
        <f>IF(DATOS!$I16320="","",IFERROR(VLOOKUP(DATOS!$I16320,CONFIG_ASIGNATURAS!$B$2:$J$61,9,FALSE()),""))</f>
      </c>
    </row>
    <row r="16321">
      <c r="E16321">
        <f>IF(DATOS!$I16321="","",IFERROR(VLOOKUP(DATOS!$I16321,CONFIG_ASIGNATURAS!$B$2:$J$61,9,FALSE()),""))</f>
      </c>
    </row>
    <row r="16322">
      <c r="E16322">
        <f>IF(DATOS!$I16322="","",IFERROR(VLOOKUP(DATOS!$I16322,CONFIG_ASIGNATURAS!$B$2:$J$61,9,FALSE()),""))</f>
      </c>
    </row>
    <row r="16323">
      <c r="E16323">
        <f>IF(DATOS!$I16323="","",IFERROR(VLOOKUP(DATOS!$I16323,CONFIG_ASIGNATURAS!$B$2:$J$61,9,FALSE()),""))</f>
      </c>
    </row>
    <row r="16324">
      <c r="E16324">
        <f>IF(DATOS!$I16324="","",IFERROR(VLOOKUP(DATOS!$I16324,CONFIG_ASIGNATURAS!$B$2:$J$61,9,FALSE()),""))</f>
      </c>
    </row>
    <row r="16325">
      <c r="E16325">
        <f>IF(DATOS!$I16325="","",IFERROR(VLOOKUP(DATOS!$I16325,CONFIG_ASIGNATURAS!$B$2:$J$61,9,FALSE()),""))</f>
      </c>
    </row>
    <row r="16326">
      <c r="E16326">
        <f>IF(DATOS!$I16326="","",IFERROR(VLOOKUP(DATOS!$I16326,CONFIG_ASIGNATURAS!$B$2:$J$61,9,FALSE()),""))</f>
      </c>
    </row>
    <row r="16327">
      <c r="E16327">
        <f>IF(DATOS!$I16327="","",IFERROR(VLOOKUP(DATOS!$I16327,CONFIG_ASIGNATURAS!$B$2:$J$61,9,FALSE()),""))</f>
      </c>
    </row>
    <row r="16328">
      <c r="E16328">
        <f>IF(DATOS!$I16328="","",IFERROR(VLOOKUP(DATOS!$I16328,CONFIG_ASIGNATURAS!$B$2:$J$61,9,FALSE()),""))</f>
      </c>
    </row>
    <row r="16329">
      <c r="E16329">
        <f>IF(DATOS!$I16329="","",IFERROR(VLOOKUP(DATOS!$I16329,CONFIG_ASIGNATURAS!$B$2:$J$61,9,FALSE()),""))</f>
      </c>
    </row>
    <row r="16330">
      <c r="E16330">
        <f>IF(DATOS!$I16330="","",IFERROR(VLOOKUP(DATOS!$I16330,CONFIG_ASIGNATURAS!$B$2:$J$61,9,FALSE()),""))</f>
      </c>
    </row>
    <row r="16331">
      <c r="E16331">
        <f>IF(DATOS!$I16331="","",IFERROR(VLOOKUP(DATOS!$I16331,CONFIG_ASIGNATURAS!$B$2:$J$61,9,FALSE()),""))</f>
      </c>
    </row>
    <row r="16332">
      <c r="E16332">
        <f>IF(DATOS!$I16332="","",IFERROR(VLOOKUP(DATOS!$I16332,CONFIG_ASIGNATURAS!$B$2:$J$61,9,FALSE()),""))</f>
      </c>
    </row>
    <row r="16333">
      <c r="E16333">
        <f>IF(DATOS!$I16333="","",IFERROR(VLOOKUP(DATOS!$I16333,CONFIG_ASIGNATURAS!$B$2:$J$61,9,FALSE()),""))</f>
      </c>
    </row>
    <row r="16334">
      <c r="E16334">
        <f>IF(DATOS!$I16334="","",IFERROR(VLOOKUP(DATOS!$I16334,CONFIG_ASIGNATURAS!$B$2:$J$61,9,FALSE()),""))</f>
      </c>
    </row>
    <row r="16335">
      <c r="E16335">
        <f>IF(DATOS!$I16335="","",IFERROR(VLOOKUP(DATOS!$I16335,CONFIG_ASIGNATURAS!$B$2:$J$61,9,FALSE()),""))</f>
      </c>
    </row>
    <row r="16336">
      <c r="E16336">
        <f>IF(DATOS!$I16336="","",IFERROR(VLOOKUP(DATOS!$I16336,CONFIG_ASIGNATURAS!$B$2:$J$61,9,FALSE()),""))</f>
      </c>
    </row>
    <row r="16337">
      <c r="E16337">
        <f>IF(DATOS!$I16337="","",IFERROR(VLOOKUP(DATOS!$I16337,CONFIG_ASIGNATURAS!$B$2:$J$61,9,FALSE()),""))</f>
      </c>
    </row>
    <row r="16338">
      <c r="E16338">
        <f>IF(DATOS!$I16338="","",IFERROR(VLOOKUP(DATOS!$I16338,CONFIG_ASIGNATURAS!$B$2:$J$61,9,FALSE()),""))</f>
      </c>
    </row>
    <row r="16339">
      <c r="E16339">
        <f>IF(DATOS!$I16339="","",IFERROR(VLOOKUP(DATOS!$I16339,CONFIG_ASIGNATURAS!$B$2:$J$61,9,FALSE()),""))</f>
      </c>
    </row>
    <row r="16340">
      <c r="E16340">
        <f>IF(DATOS!$I16340="","",IFERROR(VLOOKUP(DATOS!$I16340,CONFIG_ASIGNATURAS!$B$2:$J$61,9,FALSE()),""))</f>
      </c>
    </row>
    <row r="16341">
      <c r="E16341">
        <f>IF(DATOS!$I16341="","",IFERROR(VLOOKUP(DATOS!$I16341,CONFIG_ASIGNATURAS!$B$2:$J$61,9,FALSE()),""))</f>
      </c>
    </row>
    <row r="16342">
      <c r="E16342">
        <f>IF(DATOS!$I16342="","",IFERROR(VLOOKUP(DATOS!$I16342,CONFIG_ASIGNATURAS!$B$2:$J$61,9,FALSE()),""))</f>
      </c>
    </row>
    <row r="16343">
      <c r="E16343">
        <f>IF(DATOS!$I16343="","",IFERROR(VLOOKUP(DATOS!$I16343,CONFIG_ASIGNATURAS!$B$2:$J$61,9,FALSE()),""))</f>
      </c>
    </row>
    <row r="16344">
      <c r="E16344">
        <f>IF(DATOS!$I16344="","",IFERROR(VLOOKUP(DATOS!$I16344,CONFIG_ASIGNATURAS!$B$2:$J$61,9,FALSE()),""))</f>
      </c>
    </row>
    <row r="16345">
      <c r="E16345">
        <f>IF(DATOS!$I16345="","",IFERROR(VLOOKUP(DATOS!$I16345,CONFIG_ASIGNATURAS!$B$2:$J$61,9,FALSE()),""))</f>
      </c>
    </row>
    <row r="16346">
      <c r="E16346">
        <f>IF(DATOS!$I16346="","",IFERROR(VLOOKUP(DATOS!$I16346,CONFIG_ASIGNATURAS!$B$2:$J$61,9,FALSE()),""))</f>
      </c>
    </row>
    <row r="16347">
      <c r="E16347">
        <f>IF(DATOS!$I16347="","",IFERROR(VLOOKUP(DATOS!$I16347,CONFIG_ASIGNATURAS!$B$2:$J$61,9,FALSE()),""))</f>
      </c>
    </row>
    <row r="16348">
      <c r="E16348">
        <f>IF(DATOS!$I16348="","",IFERROR(VLOOKUP(DATOS!$I16348,CONFIG_ASIGNATURAS!$B$2:$J$61,9,FALSE()),""))</f>
      </c>
    </row>
    <row r="16349">
      <c r="E16349">
        <f>IF(DATOS!$I16349="","",IFERROR(VLOOKUP(DATOS!$I16349,CONFIG_ASIGNATURAS!$B$2:$J$61,9,FALSE()),""))</f>
      </c>
    </row>
    <row r="16350">
      <c r="E16350">
        <f>IF(DATOS!$I16350="","",IFERROR(VLOOKUP(DATOS!$I16350,CONFIG_ASIGNATURAS!$B$2:$J$61,9,FALSE()),""))</f>
      </c>
    </row>
    <row r="16351">
      <c r="E16351">
        <f>IF(DATOS!$I16351="","",IFERROR(VLOOKUP(DATOS!$I16351,CONFIG_ASIGNATURAS!$B$2:$J$61,9,FALSE()),""))</f>
      </c>
    </row>
    <row r="16352">
      <c r="E16352">
        <f>IF(DATOS!$I16352="","",IFERROR(VLOOKUP(DATOS!$I16352,CONFIG_ASIGNATURAS!$B$2:$J$61,9,FALSE()),""))</f>
      </c>
    </row>
    <row r="16353">
      <c r="E16353">
        <f>IF(DATOS!$I16353="","",IFERROR(VLOOKUP(DATOS!$I16353,CONFIG_ASIGNATURAS!$B$2:$J$61,9,FALSE()),""))</f>
      </c>
    </row>
    <row r="16354">
      <c r="E16354">
        <f>IF(DATOS!$I16354="","",IFERROR(VLOOKUP(DATOS!$I16354,CONFIG_ASIGNATURAS!$B$2:$J$61,9,FALSE()),""))</f>
      </c>
    </row>
    <row r="16355">
      <c r="E16355">
        <f>IF(DATOS!$I16355="","",IFERROR(VLOOKUP(DATOS!$I16355,CONFIG_ASIGNATURAS!$B$2:$J$61,9,FALSE()),""))</f>
      </c>
    </row>
    <row r="16356">
      <c r="E16356">
        <f>IF(DATOS!$I16356="","",IFERROR(VLOOKUP(DATOS!$I16356,CONFIG_ASIGNATURAS!$B$2:$J$61,9,FALSE()),""))</f>
      </c>
    </row>
    <row r="16357">
      <c r="E16357">
        <f>IF(DATOS!$I16357="","",IFERROR(VLOOKUP(DATOS!$I16357,CONFIG_ASIGNATURAS!$B$2:$J$61,9,FALSE()),""))</f>
      </c>
    </row>
    <row r="16358">
      <c r="E16358">
        <f>IF(DATOS!$I16358="","",IFERROR(VLOOKUP(DATOS!$I16358,CONFIG_ASIGNATURAS!$B$2:$J$61,9,FALSE()),""))</f>
      </c>
    </row>
    <row r="16359">
      <c r="E16359">
        <f>IF(DATOS!$I16359="","",IFERROR(VLOOKUP(DATOS!$I16359,CONFIG_ASIGNATURAS!$B$2:$J$61,9,FALSE()),""))</f>
      </c>
    </row>
    <row r="16360">
      <c r="E16360">
        <f>IF(DATOS!$I16360="","",IFERROR(VLOOKUP(DATOS!$I16360,CONFIG_ASIGNATURAS!$B$2:$J$61,9,FALSE()),""))</f>
      </c>
    </row>
    <row r="16361">
      <c r="E16361">
        <f>IF(DATOS!$I16361="","",IFERROR(VLOOKUP(DATOS!$I16361,CONFIG_ASIGNATURAS!$B$2:$J$61,9,FALSE()),""))</f>
      </c>
    </row>
    <row r="16362">
      <c r="E16362">
        <f>IF(DATOS!$I16362="","",IFERROR(VLOOKUP(DATOS!$I16362,CONFIG_ASIGNATURAS!$B$2:$J$61,9,FALSE()),""))</f>
      </c>
    </row>
    <row r="16363">
      <c r="E16363">
        <f>IF(DATOS!$I16363="","",IFERROR(VLOOKUP(DATOS!$I16363,CONFIG_ASIGNATURAS!$B$2:$J$61,9,FALSE()),""))</f>
      </c>
    </row>
    <row r="16364">
      <c r="E16364">
        <f>IF(DATOS!$I16364="","",IFERROR(VLOOKUP(DATOS!$I16364,CONFIG_ASIGNATURAS!$B$2:$J$61,9,FALSE()),""))</f>
      </c>
    </row>
    <row r="16365">
      <c r="E16365">
        <f>IF(DATOS!$I16365="","",IFERROR(VLOOKUP(DATOS!$I16365,CONFIG_ASIGNATURAS!$B$2:$J$61,9,FALSE()),""))</f>
      </c>
    </row>
    <row r="16366">
      <c r="E16366">
        <f>IF(DATOS!$I16366="","",IFERROR(VLOOKUP(DATOS!$I16366,CONFIG_ASIGNATURAS!$B$2:$J$61,9,FALSE()),""))</f>
      </c>
    </row>
    <row r="16367">
      <c r="E16367">
        <f>IF(DATOS!$I16367="","",IFERROR(VLOOKUP(DATOS!$I16367,CONFIG_ASIGNATURAS!$B$2:$J$61,9,FALSE()),""))</f>
      </c>
    </row>
    <row r="16368">
      <c r="E16368">
        <f>IF(DATOS!$I16368="","",IFERROR(VLOOKUP(DATOS!$I16368,CONFIG_ASIGNATURAS!$B$2:$J$61,9,FALSE()),""))</f>
      </c>
    </row>
    <row r="16369">
      <c r="E16369">
        <f>IF(DATOS!$I16369="","",IFERROR(VLOOKUP(DATOS!$I16369,CONFIG_ASIGNATURAS!$B$2:$J$61,9,FALSE()),""))</f>
      </c>
    </row>
    <row r="16370">
      <c r="E16370">
        <f>IF(DATOS!$I16370="","",IFERROR(VLOOKUP(DATOS!$I16370,CONFIG_ASIGNATURAS!$B$2:$J$61,9,FALSE()),""))</f>
      </c>
    </row>
    <row r="16371">
      <c r="E16371">
        <f>IF(DATOS!$I16371="","",IFERROR(VLOOKUP(DATOS!$I16371,CONFIG_ASIGNATURAS!$B$2:$J$61,9,FALSE()),""))</f>
      </c>
    </row>
    <row r="16372">
      <c r="E16372">
        <f>IF(DATOS!$I16372="","",IFERROR(VLOOKUP(DATOS!$I16372,CONFIG_ASIGNATURAS!$B$2:$J$61,9,FALSE()),""))</f>
      </c>
    </row>
    <row r="16373">
      <c r="E16373">
        <f>IF(DATOS!$I16373="","",IFERROR(VLOOKUP(DATOS!$I16373,CONFIG_ASIGNATURAS!$B$2:$J$61,9,FALSE()),""))</f>
      </c>
    </row>
    <row r="16374">
      <c r="E16374">
        <f>IF(DATOS!$I16374="","",IFERROR(VLOOKUP(DATOS!$I16374,CONFIG_ASIGNATURAS!$B$2:$J$61,9,FALSE()),""))</f>
      </c>
    </row>
    <row r="16375">
      <c r="E16375">
        <f>IF(DATOS!$I16375="","",IFERROR(VLOOKUP(DATOS!$I16375,CONFIG_ASIGNATURAS!$B$2:$J$61,9,FALSE()),""))</f>
      </c>
    </row>
    <row r="16376">
      <c r="E16376">
        <f>IF(DATOS!$I16376="","",IFERROR(VLOOKUP(DATOS!$I16376,CONFIG_ASIGNATURAS!$B$2:$J$61,9,FALSE()),""))</f>
      </c>
    </row>
    <row r="16377">
      <c r="E16377">
        <f>IF(DATOS!$I16377="","",IFERROR(VLOOKUP(DATOS!$I16377,CONFIG_ASIGNATURAS!$B$2:$J$61,9,FALSE()),""))</f>
      </c>
    </row>
    <row r="16378">
      <c r="E16378">
        <f>IF(DATOS!$I16378="","",IFERROR(VLOOKUP(DATOS!$I16378,CONFIG_ASIGNATURAS!$B$2:$J$61,9,FALSE()),""))</f>
      </c>
    </row>
    <row r="16379">
      <c r="E16379">
        <f>IF(DATOS!$I16379="","",IFERROR(VLOOKUP(DATOS!$I16379,CONFIG_ASIGNATURAS!$B$2:$J$61,9,FALSE()),""))</f>
      </c>
    </row>
    <row r="16380">
      <c r="E16380">
        <f>IF(DATOS!$I16380="","",IFERROR(VLOOKUP(DATOS!$I16380,CONFIG_ASIGNATURAS!$B$2:$J$61,9,FALSE()),""))</f>
      </c>
    </row>
    <row r="16381">
      <c r="E16381">
        <f>IF(DATOS!$I16381="","",IFERROR(VLOOKUP(DATOS!$I16381,CONFIG_ASIGNATURAS!$B$2:$J$61,9,FALSE()),""))</f>
      </c>
    </row>
    <row r="16382">
      <c r="E16382">
        <f>IF(DATOS!$I16382="","",IFERROR(VLOOKUP(DATOS!$I16382,CONFIG_ASIGNATURAS!$B$2:$J$61,9,FALSE()),""))</f>
      </c>
    </row>
    <row r="16383">
      <c r="E16383">
        <f>IF(DATOS!$I16383="","",IFERROR(VLOOKUP(DATOS!$I16383,CONFIG_ASIGNATURAS!$B$2:$J$61,9,FALSE()),""))</f>
      </c>
    </row>
    <row r="16384">
      <c r="E16384">
        <f>IF(DATOS!$I16384="","",IFERROR(VLOOKUP(DATOS!$I16384,CONFIG_ASIGNATURAS!$B$2:$J$61,9,FALSE()),""))</f>
      </c>
    </row>
    <row r="16385">
      <c r="E16385">
        <f>IF(DATOS!$I16385="","",IFERROR(VLOOKUP(DATOS!$I16385,CONFIG_ASIGNATURAS!$B$2:$J$61,9,FALSE()),""))</f>
      </c>
    </row>
    <row r="16386">
      <c r="E16386">
        <f>IF(DATOS!$I16386="","",IFERROR(VLOOKUP(DATOS!$I16386,CONFIG_ASIGNATURAS!$B$2:$J$61,9,FALSE()),""))</f>
      </c>
    </row>
    <row r="16387">
      <c r="E16387">
        <f>IF(DATOS!$I16387="","",IFERROR(VLOOKUP(DATOS!$I16387,CONFIG_ASIGNATURAS!$B$2:$J$61,9,FALSE()),""))</f>
      </c>
    </row>
    <row r="16388">
      <c r="E16388">
        <f>IF(DATOS!$I16388="","",IFERROR(VLOOKUP(DATOS!$I16388,CONFIG_ASIGNATURAS!$B$2:$J$61,9,FALSE()),""))</f>
      </c>
    </row>
    <row r="16389">
      <c r="E16389">
        <f>IF(DATOS!$I16389="","",IFERROR(VLOOKUP(DATOS!$I16389,CONFIG_ASIGNATURAS!$B$2:$J$61,9,FALSE()),""))</f>
      </c>
    </row>
    <row r="16390">
      <c r="E16390">
        <f>IF(DATOS!$I16390="","",IFERROR(VLOOKUP(DATOS!$I16390,CONFIG_ASIGNATURAS!$B$2:$J$61,9,FALSE()),""))</f>
      </c>
    </row>
    <row r="16391">
      <c r="E16391">
        <f>IF(DATOS!$I16391="","",IFERROR(VLOOKUP(DATOS!$I16391,CONFIG_ASIGNATURAS!$B$2:$J$61,9,FALSE()),""))</f>
      </c>
    </row>
    <row r="16392">
      <c r="E16392">
        <f>IF(DATOS!$I16392="","",IFERROR(VLOOKUP(DATOS!$I16392,CONFIG_ASIGNATURAS!$B$2:$J$61,9,FALSE()),""))</f>
      </c>
    </row>
    <row r="16393">
      <c r="E16393">
        <f>IF(DATOS!$I16393="","",IFERROR(VLOOKUP(DATOS!$I16393,CONFIG_ASIGNATURAS!$B$2:$J$61,9,FALSE()),""))</f>
      </c>
    </row>
    <row r="16394">
      <c r="E16394">
        <f>IF(DATOS!$I16394="","",IFERROR(VLOOKUP(DATOS!$I16394,CONFIG_ASIGNATURAS!$B$2:$J$61,9,FALSE()),""))</f>
      </c>
    </row>
    <row r="16395">
      <c r="E16395">
        <f>IF(DATOS!$I16395="","",IFERROR(VLOOKUP(DATOS!$I16395,CONFIG_ASIGNATURAS!$B$2:$J$61,9,FALSE()),""))</f>
      </c>
    </row>
    <row r="16396">
      <c r="E16396">
        <f>IF(DATOS!$I16396="","",IFERROR(VLOOKUP(DATOS!$I16396,CONFIG_ASIGNATURAS!$B$2:$J$61,9,FALSE()),""))</f>
      </c>
    </row>
    <row r="16397">
      <c r="E16397">
        <f>IF(DATOS!$I16397="","",IFERROR(VLOOKUP(DATOS!$I16397,CONFIG_ASIGNATURAS!$B$2:$J$61,9,FALSE()),""))</f>
      </c>
    </row>
    <row r="16398">
      <c r="E16398">
        <f>IF(DATOS!$I16398="","",IFERROR(VLOOKUP(DATOS!$I16398,CONFIG_ASIGNATURAS!$B$2:$J$61,9,FALSE()),""))</f>
      </c>
    </row>
    <row r="16399">
      <c r="E16399">
        <f>IF(DATOS!$I16399="","",IFERROR(VLOOKUP(DATOS!$I16399,CONFIG_ASIGNATURAS!$B$2:$J$61,9,FALSE()),""))</f>
      </c>
    </row>
    <row r="16400">
      <c r="E16400">
        <f>IF(DATOS!$I16400="","",IFERROR(VLOOKUP(DATOS!$I16400,CONFIG_ASIGNATURAS!$B$2:$J$61,9,FALSE()),""))</f>
      </c>
    </row>
    <row r="16401">
      <c r="E16401">
        <f>IF(DATOS!$I16401="","",IFERROR(VLOOKUP(DATOS!$I16401,CONFIG_ASIGNATURAS!$B$2:$J$61,9,FALSE()),""))</f>
      </c>
    </row>
    <row r="16402">
      <c r="E16402">
        <f>IF(DATOS!$I16402="","",IFERROR(VLOOKUP(DATOS!$I16402,CONFIG_ASIGNATURAS!$B$2:$J$61,9,FALSE()),""))</f>
      </c>
    </row>
    <row r="16403">
      <c r="E16403">
        <f>IF(DATOS!$I16403="","",IFERROR(VLOOKUP(DATOS!$I16403,CONFIG_ASIGNATURAS!$B$2:$J$61,9,FALSE()),""))</f>
      </c>
    </row>
    <row r="16404">
      <c r="E16404">
        <f>IF(DATOS!$I16404="","",IFERROR(VLOOKUP(DATOS!$I16404,CONFIG_ASIGNATURAS!$B$2:$J$61,9,FALSE()),""))</f>
      </c>
    </row>
    <row r="16405">
      <c r="E16405">
        <f>IF(DATOS!$I16405="","",IFERROR(VLOOKUP(DATOS!$I16405,CONFIG_ASIGNATURAS!$B$2:$J$61,9,FALSE()),""))</f>
      </c>
    </row>
    <row r="16406">
      <c r="E16406">
        <f>IF(DATOS!$I16406="","",IFERROR(VLOOKUP(DATOS!$I16406,CONFIG_ASIGNATURAS!$B$2:$J$61,9,FALSE()),""))</f>
      </c>
    </row>
    <row r="16407">
      <c r="E16407">
        <f>IF(DATOS!$I16407="","",IFERROR(VLOOKUP(DATOS!$I16407,CONFIG_ASIGNATURAS!$B$2:$J$61,9,FALSE()),""))</f>
      </c>
    </row>
    <row r="16408">
      <c r="E16408">
        <f>IF(DATOS!$I16408="","",IFERROR(VLOOKUP(DATOS!$I16408,CONFIG_ASIGNATURAS!$B$2:$J$61,9,FALSE()),""))</f>
      </c>
    </row>
    <row r="16409">
      <c r="E16409">
        <f>IF(DATOS!$I16409="","",IFERROR(VLOOKUP(DATOS!$I16409,CONFIG_ASIGNATURAS!$B$2:$J$61,9,FALSE()),""))</f>
      </c>
    </row>
    <row r="16410">
      <c r="E16410">
        <f>IF(DATOS!$I16410="","",IFERROR(VLOOKUP(DATOS!$I16410,CONFIG_ASIGNATURAS!$B$2:$J$61,9,FALSE()),""))</f>
      </c>
    </row>
    <row r="16411">
      <c r="E16411">
        <f>IF(DATOS!$I16411="","",IFERROR(VLOOKUP(DATOS!$I16411,CONFIG_ASIGNATURAS!$B$2:$J$61,9,FALSE()),""))</f>
      </c>
    </row>
    <row r="16412">
      <c r="E16412">
        <f>IF(DATOS!$I16412="","",IFERROR(VLOOKUP(DATOS!$I16412,CONFIG_ASIGNATURAS!$B$2:$J$61,9,FALSE()),""))</f>
      </c>
    </row>
    <row r="16413">
      <c r="E16413">
        <f>IF(DATOS!$I16413="","",IFERROR(VLOOKUP(DATOS!$I16413,CONFIG_ASIGNATURAS!$B$2:$J$61,9,FALSE()),""))</f>
      </c>
    </row>
    <row r="16414">
      <c r="E16414">
        <f>IF(DATOS!$I16414="","",IFERROR(VLOOKUP(DATOS!$I16414,CONFIG_ASIGNATURAS!$B$2:$J$61,9,FALSE()),""))</f>
      </c>
    </row>
    <row r="16415">
      <c r="E16415">
        <f>IF(DATOS!$I16415="","",IFERROR(VLOOKUP(DATOS!$I16415,CONFIG_ASIGNATURAS!$B$2:$J$61,9,FALSE()),""))</f>
      </c>
    </row>
    <row r="16416">
      <c r="E16416">
        <f>IF(DATOS!$I16416="","",IFERROR(VLOOKUP(DATOS!$I16416,CONFIG_ASIGNATURAS!$B$2:$J$61,9,FALSE()),""))</f>
      </c>
    </row>
    <row r="16417">
      <c r="E16417">
        <f>IF(DATOS!$I16417="","",IFERROR(VLOOKUP(DATOS!$I16417,CONFIG_ASIGNATURAS!$B$2:$J$61,9,FALSE()),""))</f>
      </c>
    </row>
    <row r="16418">
      <c r="E16418">
        <f>IF(DATOS!$I16418="","",IFERROR(VLOOKUP(DATOS!$I16418,CONFIG_ASIGNATURAS!$B$2:$J$61,9,FALSE()),""))</f>
      </c>
    </row>
    <row r="16419">
      <c r="E16419">
        <f>IF(DATOS!$I16419="","",IFERROR(VLOOKUP(DATOS!$I16419,CONFIG_ASIGNATURAS!$B$2:$J$61,9,FALSE()),""))</f>
      </c>
    </row>
    <row r="16420">
      <c r="E16420">
        <f>IF(DATOS!$I16420="","",IFERROR(VLOOKUP(DATOS!$I16420,CONFIG_ASIGNATURAS!$B$2:$J$61,9,FALSE()),""))</f>
      </c>
    </row>
    <row r="16421">
      <c r="E16421">
        <f>IF(DATOS!$I16421="","",IFERROR(VLOOKUP(DATOS!$I16421,CONFIG_ASIGNATURAS!$B$2:$J$61,9,FALSE()),""))</f>
      </c>
    </row>
    <row r="16422">
      <c r="E16422">
        <f>IF(DATOS!$I16422="","",IFERROR(VLOOKUP(DATOS!$I16422,CONFIG_ASIGNATURAS!$B$2:$J$61,9,FALSE()),""))</f>
      </c>
    </row>
    <row r="16423">
      <c r="E16423">
        <f>IF(DATOS!$I16423="","",IFERROR(VLOOKUP(DATOS!$I16423,CONFIG_ASIGNATURAS!$B$2:$J$61,9,FALSE()),""))</f>
      </c>
    </row>
    <row r="16424">
      <c r="E16424">
        <f>IF(DATOS!$I16424="","",IFERROR(VLOOKUP(DATOS!$I16424,CONFIG_ASIGNATURAS!$B$2:$J$61,9,FALSE()),""))</f>
      </c>
    </row>
    <row r="16425">
      <c r="E16425">
        <f>IF(DATOS!$I16425="","",IFERROR(VLOOKUP(DATOS!$I16425,CONFIG_ASIGNATURAS!$B$2:$J$61,9,FALSE()),""))</f>
      </c>
    </row>
    <row r="16426">
      <c r="E16426">
        <f>IF(DATOS!$I16426="","",IFERROR(VLOOKUP(DATOS!$I16426,CONFIG_ASIGNATURAS!$B$2:$J$61,9,FALSE()),""))</f>
      </c>
    </row>
    <row r="16427">
      <c r="E16427">
        <f>IF(DATOS!$I16427="","",IFERROR(VLOOKUP(DATOS!$I16427,CONFIG_ASIGNATURAS!$B$2:$J$61,9,FALSE()),""))</f>
      </c>
    </row>
    <row r="16428">
      <c r="E16428">
        <f>IF(DATOS!$I16428="","",IFERROR(VLOOKUP(DATOS!$I16428,CONFIG_ASIGNATURAS!$B$2:$J$61,9,FALSE()),""))</f>
      </c>
    </row>
    <row r="16429">
      <c r="E16429">
        <f>IF(DATOS!$I16429="","",IFERROR(VLOOKUP(DATOS!$I16429,CONFIG_ASIGNATURAS!$B$2:$J$61,9,FALSE()),""))</f>
      </c>
    </row>
    <row r="16430">
      <c r="E16430">
        <f>IF(DATOS!$I16430="","",IFERROR(VLOOKUP(DATOS!$I16430,CONFIG_ASIGNATURAS!$B$2:$J$61,9,FALSE()),""))</f>
      </c>
    </row>
    <row r="16431">
      <c r="E16431">
        <f>IF(DATOS!$I16431="","",IFERROR(VLOOKUP(DATOS!$I16431,CONFIG_ASIGNATURAS!$B$2:$J$61,9,FALSE()),""))</f>
      </c>
    </row>
    <row r="16432">
      <c r="E16432">
        <f>IF(DATOS!$I16432="","",IFERROR(VLOOKUP(DATOS!$I16432,CONFIG_ASIGNATURAS!$B$2:$J$61,9,FALSE()),""))</f>
      </c>
    </row>
    <row r="16433">
      <c r="E16433">
        <f>IF(DATOS!$I16433="","",IFERROR(VLOOKUP(DATOS!$I16433,CONFIG_ASIGNATURAS!$B$2:$J$61,9,FALSE()),""))</f>
      </c>
    </row>
    <row r="16434">
      <c r="E16434">
        <f>IF(DATOS!$I16434="","",IFERROR(VLOOKUP(DATOS!$I16434,CONFIG_ASIGNATURAS!$B$2:$J$61,9,FALSE()),""))</f>
      </c>
    </row>
    <row r="16435">
      <c r="E16435">
        <f>IF(DATOS!$I16435="","",IFERROR(VLOOKUP(DATOS!$I16435,CONFIG_ASIGNATURAS!$B$2:$J$61,9,FALSE()),""))</f>
      </c>
    </row>
    <row r="16436">
      <c r="E16436">
        <f>IF(DATOS!$I16436="","",IFERROR(VLOOKUP(DATOS!$I16436,CONFIG_ASIGNATURAS!$B$2:$J$61,9,FALSE()),""))</f>
      </c>
    </row>
    <row r="16437">
      <c r="E16437">
        <f>IF(DATOS!$I16437="","",IFERROR(VLOOKUP(DATOS!$I16437,CONFIG_ASIGNATURAS!$B$2:$J$61,9,FALSE()),""))</f>
      </c>
    </row>
    <row r="16438">
      <c r="E16438">
        <f>IF(DATOS!$I16438="","",IFERROR(VLOOKUP(DATOS!$I16438,CONFIG_ASIGNATURAS!$B$2:$J$61,9,FALSE()),""))</f>
      </c>
    </row>
    <row r="16439">
      <c r="E16439">
        <f>IF(DATOS!$I16439="","",IFERROR(VLOOKUP(DATOS!$I16439,CONFIG_ASIGNATURAS!$B$2:$J$61,9,FALSE()),""))</f>
      </c>
    </row>
    <row r="16440">
      <c r="E16440">
        <f>IF(DATOS!$I16440="","",IFERROR(VLOOKUP(DATOS!$I16440,CONFIG_ASIGNATURAS!$B$2:$J$61,9,FALSE()),""))</f>
      </c>
    </row>
    <row r="16441">
      <c r="E16441">
        <f>IF(DATOS!$I16441="","",IFERROR(VLOOKUP(DATOS!$I16441,CONFIG_ASIGNATURAS!$B$2:$J$61,9,FALSE()),""))</f>
      </c>
    </row>
    <row r="16442">
      <c r="E16442">
        <f>IF(DATOS!$I16442="","",IFERROR(VLOOKUP(DATOS!$I16442,CONFIG_ASIGNATURAS!$B$2:$J$61,9,FALSE()),""))</f>
      </c>
    </row>
    <row r="16443">
      <c r="E16443">
        <f>IF(DATOS!$I16443="","",IFERROR(VLOOKUP(DATOS!$I16443,CONFIG_ASIGNATURAS!$B$2:$J$61,9,FALSE()),""))</f>
      </c>
    </row>
    <row r="16444">
      <c r="E16444">
        <f>IF(DATOS!$I16444="","",IFERROR(VLOOKUP(DATOS!$I16444,CONFIG_ASIGNATURAS!$B$2:$J$61,9,FALSE()),""))</f>
      </c>
    </row>
    <row r="16445">
      <c r="E16445">
        <f>IF(DATOS!$I16445="","",IFERROR(VLOOKUP(DATOS!$I16445,CONFIG_ASIGNATURAS!$B$2:$J$61,9,FALSE()),""))</f>
      </c>
    </row>
    <row r="16446">
      <c r="E16446">
        <f>IF(DATOS!$I16446="","",IFERROR(VLOOKUP(DATOS!$I16446,CONFIG_ASIGNATURAS!$B$2:$J$61,9,FALSE()),""))</f>
      </c>
    </row>
    <row r="16447">
      <c r="E16447">
        <f>IF(DATOS!$I16447="","",IFERROR(VLOOKUP(DATOS!$I16447,CONFIG_ASIGNATURAS!$B$2:$J$61,9,FALSE()),""))</f>
      </c>
    </row>
    <row r="16448">
      <c r="E16448">
        <f>IF(DATOS!$I16448="","",IFERROR(VLOOKUP(DATOS!$I16448,CONFIG_ASIGNATURAS!$B$2:$J$61,9,FALSE()),""))</f>
      </c>
    </row>
    <row r="16449">
      <c r="E16449">
        <f>IF(DATOS!$I16449="","",IFERROR(VLOOKUP(DATOS!$I16449,CONFIG_ASIGNATURAS!$B$2:$J$61,9,FALSE()),""))</f>
      </c>
    </row>
    <row r="16450">
      <c r="E16450">
        <f>IF(DATOS!$I16450="","",IFERROR(VLOOKUP(DATOS!$I16450,CONFIG_ASIGNATURAS!$B$2:$J$61,9,FALSE()),""))</f>
      </c>
    </row>
    <row r="16451">
      <c r="E16451">
        <f>IF(DATOS!$I16451="","",IFERROR(VLOOKUP(DATOS!$I16451,CONFIG_ASIGNATURAS!$B$2:$J$61,9,FALSE()),""))</f>
      </c>
    </row>
    <row r="16452">
      <c r="E16452">
        <f>IF(DATOS!$I16452="","",IFERROR(VLOOKUP(DATOS!$I16452,CONFIG_ASIGNATURAS!$B$2:$J$61,9,FALSE()),""))</f>
      </c>
    </row>
    <row r="16453">
      <c r="E16453">
        <f>IF(DATOS!$I16453="","",IFERROR(VLOOKUP(DATOS!$I16453,CONFIG_ASIGNATURAS!$B$2:$J$61,9,FALSE()),""))</f>
      </c>
    </row>
    <row r="16454">
      <c r="E16454">
        <f>IF(DATOS!$I16454="","",IFERROR(VLOOKUP(DATOS!$I16454,CONFIG_ASIGNATURAS!$B$2:$J$61,9,FALSE()),""))</f>
      </c>
    </row>
    <row r="16455">
      <c r="E16455">
        <f>IF(DATOS!$I16455="","",IFERROR(VLOOKUP(DATOS!$I16455,CONFIG_ASIGNATURAS!$B$2:$J$61,9,FALSE()),""))</f>
      </c>
    </row>
    <row r="16456">
      <c r="E16456">
        <f>IF(DATOS!$I16456="","",IFERROR(VLOOKUP(DATOS!$I16456,CONFIG_ASIGNATURAS!$B$2:$J$61,9,FALSE()),""))</f>
      </c>
    </row>
    <row r="16457">
      <c r="E16457">
        <f>IF(DATOS!$I16457="","",IFERROR(VLOOKUP(DATOS!$I16457,CONFIG_ASIGNATURAS!$B$2:$J$61,9,FALSE()),""))</f>
      </c>
    </row>
    <row r="16458">
      <c r="E16458">
        <f>IF(DATOS!$I16458="","",IFERROR(VLOOKUP(DATOS!$I16458,CONFIG_ASIGNATURAS!$B$2:$J$61,9,FALSE()),""))</f>
      </c>
    </row>
    <row r="16459">
      <c r="E16459">
        <f>IF(DATOS!$I16459="","",IFERROR(VLOOKUP(DATOS!$I16459,CONFIG_ASIGNATURAS!$B$2:$J$61,9,FALSE()),""))</f>
      </c>
    </row>
    <row r="16460">
      <c r="E16460">
        <f>IF(DATOS!$I16460="","",IFERROR(VLOOKUP(DATOS!$I16460,CONFIG_ASIGNATURAS!$B$2:$J$61,9,FALSE()),""))</f>
      </c>
    </row>
    <row r="16461">
      <c r="E16461">
        <f>IF(DATOS!$I16461="","",IFERROR(VLOOKUP(DATOS!$I16461,CONFIG_ASIGNATURAS!$B$2:$J$61,9,FALSE()),""))</f>
      </c>
    </row>
    <row r="16462">
      <c r="E16462">
        <f>IF(DATOS!$I16462="","",IFERROR(VLOOKUP(DATOS!$I16462,CONFIG_ASIGNATURAS!$B$2:$J$61,9,FALSE()),""))</f>
      </c>
    </row>
    <row r="16463">
      <c r="E16463">
        <f>IF(DATOS!$I16463="","",IFERROR(VLOOKUP(DATOS!$I16463,CONFIG_ASIGNATURAS!$B$2:$J$61,9,FALSE()),""))</f>
      </c>
    </row>
    <row r="16464">
      <c r="E16464">
        <f>IF(DATOS!$I16464="","",IFERROR(VLOOKUP(DATOS!$I16464,CONFIG_ASIGNATURAS!$B$2:$J$61,9,FALSE()),""))</f>
      </c>
    </row>
    <row r="16465">
      <c r="E16465">
        <f>IF(DATOS!$I16465="","",IFERROR(VLOOKUP(DATOS!$I16465,CONFIG_ASIGNATURAS!$B$2:$J$61,9,FALSE()),""))</f>
      </c>
    </row>
    <row r="16466">
      <c r="E16466">
        <f>IF(DATOS!$I16466="","",IFERROR(VLOOKUP(DATOS!$I16466,CONFIG_ASIGNATURAS!$B$2:$J$61,9,FALSE()),""))</f>
      </c>
    </row>
    <row r="16467">
      <c r="E16467">
        <f>IF(DATOS!$I16467="","",IFERROR(VLOOKUP(DATOS!$I16467,CONFIG_ASIGNATURAS!$B$2:$J$61,9,FALSE()),""))</f>
      </c>
    </row>
    <row r="16468">
      <c r="E16468">
        <f>IF(DATOS!$I16468="","",IFERROR(VLOOKUP(DATOS!$I16468,CONFIG_ASIGNATURAS!$B$2:$J$61,9,FALSE()),""))</f>
      </c>
    </row>
    <row r="16469">
      <c r="E16469">
        <f>IF(DATOS!$I16469="","",IFERROR(VLOOKUP(DATOS!$I16469,CONFIG_ASIGNATURAS!$B$2:$J$61,9,FALSE()),""))</f>
      </c>
    </row>
    <row r="16470">
      <c r="E16470">
        <f>IF(DATOS!$I16470="","",IFERROR(VLOOKUP(DATOS!$I16470,CONFIG_ASIGNATURAS!$B$2:$J$61,9,FALSE()),""))</f>
      </c>
    </row>
    <row r="16471">
      <c r="E16471">
        <f>IF(DATOS!$I16471="","",IFERROR(VLOOKUP(DATOS!$I16471,CONFIG_ASIGNATURAS!$B$2:$J$61,9,FALSE()),""))</f>
      </c>
    </row>
    <row r="16472">
      <c r="E16472">
        <f>IF(DATOS!$I16472="","",IFERROR(VLOOKUP(DATOS!$I16472,CONFIG_ASIGNATURAS!$B$2:$J$61,9,FALSE()),""))</f>
      </c>
    </row>
    <row r="16473">
      <c r="E16473">
        <f>IF(DATOS!$I16473="","",IFERROR(VLOOKUP(DATOS!$I16473,CONFIG_ASIGNATURAS!$B$2:$J$61,9,FALSE()),""))</f>
      </c>
    </row>
    <row r="16474">
      <c r="E16474">
        <f>IF(DATOS!$I16474="","",IFERROR(VLOOKUP(DATOS!$I16474,CONFIG_ASIGNATURAS!$B$2:$J$61,9,FALSE()),""))</f>
      </c>
    </row>
    <row r="16475">
      <c r="E16475">
        <f>IF(DATOS!$I16475="","",IFERROR(VLOOKUP(DATOS!$I16475,CONFIG_ASIGNATURAS!$B$2:$J$61,9,FALSE()),""))</f>
      </c>
    </row>
    <row r="16476">
      <c r="E16476">
        <f>IF(DATOS!$I16476="","",IFERROR(VLOOKUP(DATOS!$I16476,CONFIG_ASIGNATURAS!$B$2:$J$61,9,FALSE()),""))</f>
      </c>
    </row>
    <row r="16477">
      <c r="E16477">
        <f>IF(DATOS!$I16477="","",IFERROR(VLOOKUP(DATOS!$I16477,CONFIG_ASIGNATURAS!$B$2:$J$61,9,FALSE()),""))</f>
      </c>
    </row>
    <row r="16478">
      <c r="E16478">
        <f>IF(DATOS!$I16478="","",IFERROR(VLOOKUP(DATOS!$I16478,CONFIG_ASIGNATURAS!$B$2:$J$61,9,FALSE()),""))</f>
      </c>
    </row>
    <row r="16479">
      <c r="E16479">
        <f>IF(DATOS!$I16479="","",IFERROR(VLOOKUP(DATOS!$I16479,CONFIG_ASIGNATURAS!$B$2:$J$61,9,FALSE()),""))</f>
      </c>
    </row>
    <row r="16480">
      <c r="E16480">
        <f>IF(DATOS!$I16480="","",IFERROR(VLOOKUP(DATOS!$I16480,CONFIG_ASIGNATURAS!$B$2:$J$61,9,FALSE()),""))</f>
      </c>
    </row>
    <row r="16481">
      <c r="E16481">
        <f>IF(DATOS!$I16481="","",IFERROR(VLOOKUP(DATOS!$I16481,CONFIG_ASIGNATURAS!$B$2:$J$61,9,FALSE()),""))</f>
      </c>
    </row>
    <row r="16482">
      <c r="E16482">
        <f>IF(DATOS!$I16482="","",IFERROR(VLOOKUP(DATOS!$I16482,CONFIG_ASIGNATURAS!$B$2:$J$61,9,FALSE()),""))</f>
      </c>
    </row>
    <row r="16483">
      <c r="E16483">
        <f>IF(DATOS!$I16483="","",IFERROR(VLOOKUP(DATOS!$I16483,CONFIG_ASIGNATURAS!$B$2:$J$61,9,FALSE()),""))</f>
      </c>
    </row>
    <row r="16484">
      <c r="E16484">
        <f>IF(DATOS!$I16484="","",IFERROR(VLOOKUP(DATOS!$I16484,CONFIG_ASIGNATURAS!$B$2:$J$61,9,FALSE()),""))</f>
      </c>
    </row>
    <row r="16485">
      <c r="E16485">
        <f>IF(DATOS!$I16485="","",IFERROR(VLOOKUP(DATOS!$I16485,CONFIG_ASIGNATURAS!$B$2:$J$61,9,FALSE()),""))</f>
      </c>
    </row>
    <row r="16486">
      <c r="E16486">
        <f>IF(DATOS!$I16486="","",IFERROR(VLOOKUP(DATOS!$I16486,CONFIG_ASIGNATURAS!$B$2:$J$61,9,FALSE()),""))</f>
      </c>
    </row>
    <row r="16487">
      <c r="E16487">
        <f>IF(DATOS!$I16487="","",IFERROR(VLOOKUP(DATOS!$I16487,CONFIG_ASIGNATURAS!$B$2:$J$61,9,FALSE()),""))</f>
      </c>
    </row>
    <row r="16488">
      <c r="E16488">
        <f>IF(DATOS!$I16488="","",IFERROR(VLOOKUP(DATOS!$I16488,CONFIG_ASIGNATURAS!$B$2:$J$61,9,FALSE()),""))</f>
      </c>
    </row>
    <row r="16489">
      <c r="E16489">
        <f>IF(DATOS!$I16489="","",IFERROR(VLOOKUP(DATOS!$I16489,CONFIG_ASIGNATURAS!$B$2:$J$61,9,FALSE()),""))</f>
      </c>
    </row>
    <row r="16490">
      <c r="E16490">
        <f>IF(DATOS!$I16490="","",IFERROR(VLOOKUP(DATOS!$I16490,CONFIG_ASIGNATURAS!$B$2:$J$61,9,FALSE()),""))</f>
      </c>
    </row>
    <row r="16491">
      <c r="E16491">
        <f>IF(DATOS!$I16491="","",IFERROR(VLOOKUP(DATOS!$I16491,CONFIG_ASIGNATURAS!$B$2:$J$61,9,FALSE()),""))</f>
      </c>
    </row>
    <row r="16492">
      <c r="E16492">
        <f>IF(DATOS!$I16492="","",IFERROR(VLOOKUP(DATOS!$I16492,CONFIG_ASIGNATURAS!$B$2:$J$61,9,FALSE()),""))</f>
      </c>
    </row>
    <row r="16493">
      <c r="E16493">
        <f>IF(DATOS!$I16493="","",IFERROR(VLOOKUP(DATOS!$I16493,CONFIG_ASIGNATURAS!$B$2:$J$61,9,FALSE()),""))</f>
      </c>
    </row>
    <row r="16494">
      <c r="E16494">
        <f>IF(DATOS!$I16494="","",IFERROR(VLOOKUP(DATOS!$I16494,CONFIG_ASIGNATURAS!$B$2:$J$61,9,FALSE()),""))</f>
      </c>
    </row>
    <row r="16495">
      <c r="E16495">
        <f>IF(DATOS!$I16495="","",IFERROR(VLOOKUP(DATOS!$I16495,CONFIG_ASIGNATURAS!$B$2:$J$61,9,FALSE()),""))</f>
      </c>
    </row>
    <row r="16496">
      <c r="E16496">
        <f>IF(DATOS!$I16496="","",IFERROR(VLOOKUP(DATOS!$I16496,CONFIG_ASIGNATURAS!$B$2:$J$61,9,FALSE()),""))</f>
      </c>
    </row>
    <row r="16497">
      <c r="E16497">
        <f>IF(DATOS!$I16497="","",IFERROR(VLOOKUP(DATOS!$I16497,CONFIG_ASIGNATURAS!$B$2:$J$61,9,FALSE()),""))</f>
      </c>
    </row>
    <row r="16498">
      <c r="E16498">
        <f>IF(DATOS!$I16498="","",IFERROR(VLOOKUP(DATOS!$I16498,CONFIG_ASIGNATURAS!$B$2:$J$61,9,FALSE()),""))</f>
      </c>
    </row>
    <row r="16499">
      <c r="E16499">
        <f>IF(DATOS!$I16499="","",IFERROR(VLOOKUP(DATOS!$I16499,CONFIG_ASIGNATURAS!$B$2:$J$61,9,FALSE()),""))</f>
      </c>
    </row>
    <row r="16500">
      <c r="E16500">
        <f>IF(DATOS!$I16500="","",IFERROR(VLOOKUP(DATOS!$I16500,CONFIG_ASIGNATURAS!$B$2:$J$61,9,FALSE()),""))</f>
      </c>
    </row>
    <row r="16501">
      <c r="E16501">
        <f>IF(DATOS!$I16501="","",IFERROR(VLOOKUP(DATOS!$I16501,CONFIG_ASIGNATURAS!$B$2:$J$61,9,FALSE()),""))</f>
      </c>
    </row>
    <row r="16502">
      <c r="E16502">
        <f>IF(DATOS!$I16502="","",IFERROR(VLOOKUP(DATOS!$I16502,CONFIG_ASIGNATURAS!$B$2:$J$61,9,FALSE()),""))</f>
      </c>
    </row>
    <row r="16503">
      <c r="E16503">
        <f>IF(DATOS!$I16503="","",IFERROR(VLOOKUP(DATOS!$I16503,CONFIG_ASIGNATURAS!$B$2:$J$61,9,FALSE()),""))</f>
      </c>
    </row>
    <row r="16504">
      <c r="E16504">
        <f>IF(DATOS!$I16504="","",IFERROR(VLOOKUP(DATOS!$I16504,CONFIG_ASIGNATURAS!$B$2:$J$61,9,FALSE()),""))</f>
      </c>
    </row>
    <row r="16505">
      <c r="E16505">
        <f>IF(DATOS!$I16505="","",IFERROR(VLOOKUP(DATOS!$I16505,CONFIG_ASIGNATURAS!$B$2:$J$61,9,FALSE()),""))</f>
      </c>
    </row>
    <row r="16506">
      <c r="E16506">
        <f>IF(DATOS!$I16506="","",IFERROR(VLOOKUP(DATOS!$I16506,CONFIG_ASIGNATURAS!$B$2:$J$61,9,FALSE()),""))</f>
      </c>
    </row>
    <row r="16507">
      <c r="E16507">
        <f>IF(DATOS!$I16507="","",IFERROR(VLOOKUP(DATOS!$I16507,CONFIG_ASIGNATURAS!$B$2:$J$61,9,FALSE()),""))</f>
      </c>
    </row>
    <row r="16508">
      <c r="E16508">
        <f>IF(DATOS!$I16508="","",IFERROR(VLOOKUP(DATOS!$I16508,CONFIG_ASIGNATURAS!$B$2:$J$61,9,FALSE()),""))</f>
      </c>
    </row>
    <row r="16509">
      <c r="E16509">
        <f>IF(DATOS!$I16509="","",IFERROR(VLOOKUP(DATOS!$I16509,CONFIG_ASIGNATURAS!$B$2:$J$61,9,FALSE()),""))</f>
      </c>
    </row>
    <row r="16510">
      <c r="E16510">
        <f>IF(DATOS!$I16510="","",IFERROR(VLOOKUP(DATOS!$I16510,CONFIG_ASIGNATURAS!$B$2:$J$61,9,FALSE()),""))</f>
      </c>
    </row>
    <row r="16511">
      <c r="E16511">
        <f>IF(DATOS!$I16511="","",IFERROR(VLOOKUP(DATOS!$I16511,CONFIG_ASIGNATURAS!$B$2:$J$61,9,FALSE()),""))</f>
      </c>
    </row>
    <row r="16512">
      <c r="E16512">
        <f>IF(DATOS!$I16512="","",IFERROR(VLOOKUP(DATOS!$I16512,CONFIG_ASIGNATURAS!$B$2:$J$61,9,FALSE()),""))</f>
      </c>
    </row>
    <row r="16513">
      <c r="E16513">
        <f>IF(DATOS!$I16513="","",IFERROR(VLOOKUP(DATOS!$I16513,CONFIG_ASIGNATURAS!$B$2:$J$61,9,FALSE()),""))</f>
      </c>
    </row>
    <row r="16514">
      <c r="E16514">
        <f>IF(DATOS!$I16514="","",IFERROR(VLOOKUP(DATOS!$I16514,CONFIG_ASIGNATURAS!$B$2:$J$61,9,FALSE()),""))</f>
      </c>
    </row>
    <row r="16515">
      <c r="E16515">
        <f>IF(DATOS!$I16515="","",IFERROR(VLOOKUP(DATOS!$I16515,CONFIG_ASIGNATURAS!$B$2:$J$61,9,FALSE()),""))</f>
      </c>
    </row>
    <row r="16516">
      <c r="E16516">
        <f>IF(DATOS!$I16516="","",IFERROR(VLOOKUP(DATOS!$I16516,CONFIG_ASIGNATURAS!$B$2:$J$61,9,FALSE()),""))</f>
      </c>
    </row>
    <row r="16517">
      <c r="E16517">
        <f>IF(DATOS!$I16517="","",IFERROR(VLOOKUP(DATOS!$I16517,CONFIG_ASIGNATURAS!$B$2:$J$61,9,FALSE()),""))</f>
      </c>
    </row>
    <row r="16518">
      <c r="E16518">
        <f>IF(DATOS!$I16518="","",IFERROR(VLOOKUP(DATOS!$I16518,CONFIG_ASIGNATURAS!$B$2:$J$61,9,FALSE()),""))</f>
      </c>
    </row>
    <row r="16519">
      <c r="E16519">
        <f>IF(DATOS!$I16519="","",IFERROR(VLOOKUP(DATOS!$I16519,CONFIG_ASIGNATURAS!$B$2:$J$61,9,FALSE()),""))</f>
      </c>
    </row>
    <row r="16520">
      <c r="E16520">
        <f>IF(DATOS!$I16520="","",IFERROR(VLOOKUP(DATOS!$I16520,CONFIG_ASIGNATURAS!$B$2:$J$61,9,FALSE()),""))</f>
      </c>
    </row>
    <row r="16521">
      <c r="E16521">
        <f>IF(DATOS!$I16521="","",IFERROR(VLOOKUP(DATOS!$I16521,CONFIG_ASIGNATURAS!$B$2:$J$61,9,FALSE()),""))</f>
      </c>
    </row>
    <row r="16522">
      <c r="E16522">
        <f>IF(DATOS!$I16522="","",IFERROR(VLOOKUP(DATOS!$I16522,CONFIG_ASIGNATURAS!$B$2:$J$61,9,FALSE()),""))</f>
      </c>
    </row>
    <row r="16523">
      <c r="E16523">
        <f>IF(DATOS!$I16523="","",IFERROR(VLOOKUP(DATOS!$I16523,CONFIG_ASIGNATURAS!$B$2:$J$61,9,FALSE()),""))</f>
      </c>
    </row>
    <row r="16524">
      <c r="E16524">
        <f>IF(DATOS!$I16524="","",IFERROR(VLOOKUP(DATOS!$I16524,CONFIG_ASIGNATURAS!$B$2:$J$61,9,FALSE()),""))</f>
      </c>
    </row>
    <row r="16525">
      <c r="E16525">
        <f>IF(DATOS!$I16525="","",IFERROR(VLOOKUP(DATOS!$I16525,CONFIG_ASIGNATURAS!$B$2:$J$61,9,FALSE()),""))</f>
      </c>
    </row>
    <row r="16526">
      <c r="E16526">
        <f>IF(DATOS!$I16526="","",IFERROR(VLOOKUP(DATOS!$I16526,CONFIG_ASIGNATURAS!$B$2:$J$61,9,FALSE()),""))</f>
      </c>
    </row>
    <row r="16527">
      <c r="E16527">
        <f>IF(DATOS!$I16527="","",IFERROR(VLOOKUP(DATOS!$I16527,CONFIG_ASIGNATURAS!$B$2:$J$61,9,FALSE()),""))</f>
      </c>
    </row>
    <row r="16528">
      <c r="E16528">
        <f>IF(DATOS!$I16528="","",IFERROR(VLOOKUP(DATOS!$I16528,CONFIG_ASIGNATURAS!$B$2:$J$61,9,FALSE()),""))</f>
      </c>
    </row>
    <row r="16529">
      <c r="E16529">
        <f>IF(DATOS!$I16529="","",IFERROR(VLOOKUP(DATOS!$I16529,CONFIG_ASIGNATURAS!$B$2:$J$61,9,FALSE()),""))</f>
      </c>
    </row>
    <row r="16530">
      <c r="E16530">
        <f>IF(DATOS!$I16530="","",IFERROR(VLOOKUP(DATOS!$I16530,CONFIG_ASIGNATURAS!$B$2:$J$61,9,FALSE()),""))</f>
      </c>
    </row>
    <row r="16531">
      <c r="E16531">
        <f>IF(DATOS!$I16531="","",IFERROR(VLOOKUP(DATOS!$I16531,CONFIG_ASIGNATURAS!$B$2:$J$61,9,FALSE()),""))</f>
      </c>
    </row>
    <row r="16532">
      <c r="E16532">
        <f>IF(DATOS!$I16532="","",IFERROR(VLOOKUP(DATOS!$I16532,CONFIG_ASIGNATURAS!$B$2:$J$61,9,FALSE()),""))</f>
      </c>
    </row>
    <row r="16533">
      <c r="E16533">
        <f>IF(DATOS!$I16533="","",IFERROR(VLOOKUP(DATOS!$I16533,CONFIG_ASIGNATURAS!$B$2:$J$61,9,FALSE()),""))</f>
      </c>
    </row>
    <row r="16534">
      <c r="E16534">
        <f>IF(DATOS!$I16534="","",IFERROR(VLOOKUP(DATOS!$I16534,CONFIG_ASIGNATURAS!$B$2:$J$61,9,FALSE()),""))</f>
      </c>
    </row>
    <row r="16535">
      <c r="E16535">
        <f>IF(DATOS!$I16535="","",IFERROR(VLOOKUP(DATOS!$I16535,CONFIG_ASIGNATURAS!$B$2:$J$61,9,FALSE()),""))</f>
      </c>
    </row>
    <row r="16536">
      <c r="E16536">
        <f>IF(DATOS!$I16536="","",IFERROR(VLOOKUP(DATOS!$I16536,CONFIG_ASIGNATURAS!$B$2:$J$61,9,FALSE()),""))</f>
      </c>
    </row>
    <row r="16537">
      <c r="E16537">
        <f>IF(DATOS!$I16537="","",IFERROR(VLOOKUP(DATOS!$I16537,CONFIG_ASIGNATURAS!$B$2:$J$61,9,FALSE()),""))</f>
      </c>
    </row>
    <row r="16538">
      <c r="E16538">
        <f>IF(DATOS!$I16538="","",IFERROR(VLOOKUP(DATOS!$I16538,CONFIG_ASIGNATURAS!$B$2:$J$61,9,FALSE()),""))</f>
      </c>
    </row>
    <row r="16539">
      <c r="E16539">
        <f>IF(DATOS!$I16539="","",IFERROR(VLOOKUP(DATOS!$I16539,CONFIG_ASIGNATURAS!$B$2:$J$61,9,FALSE()),""))</f>
      </c>
    </row>
    <row r="16540">
      <c r="E16540">
        <f>IF(DATOS!$I16540="","",IFERROR(VLOOKUP(DATOS!$I16540,CONFIG_ASIGNATURAS!$B$2:$J$61,9,FALSE()),""))</f>
      </c>
    </row>
    <row r="16541">
      <c r="E16541">
        <f>IF(DATOS!$I16541="","",IFERROR(VLOOKUP(DATOS!$I16541,CONFIG_ASIGNATURAS!$B$2:$J$61,9,FALSE()),""))</f>
      </c>
    </row>
    <row r="16542">
      <c r="E16542">
        <f>IF(DATOS!$I16542="","",IFERROR(VLOOKUP(DATOS!$I16542,CONFIG_ASIGNATURAS!$B$2:$J$61,9,FALSE()),""))</f>
      </c>
    </row>
    <row r="16543">
      <c r="E16543">
        <f>IF(DATOS!$I16543="","",IFERROR(VLOOKUP(DATOS!$I16543,CONFIG_ASIGNATURAS!$B$2:$J$61,9,FALSE()),""))</f>
      </c>
    </row>
    <row r="16544">
      <c r="E16544">
        <f>IF(DATOS!$I16544="","",IFERROR(VLOOKUP(DATOS!$I16544,CONFIG_ASIGNATURAS!$B$2:$J$61,9,FALSE()),""))</f>
      </c>
    </row>
    <row r="16545">
      <c r="E16545">
        <f>IF(DATOS!$I16545="","",IFERROR(VLOOKUP(DATOS!$I16545,CONFIG_ASIGNATURAS!$B$2:$J$61,9,FALSE()),""))</f>
      </c>
    </row>
    <row r="16546">
      <c r="E16546">
        <f>IF(DATOS!$I16546="","",IFERROR(VLOOKUP(DATOS!$I16546,CONFIG_ASIGNATURAS!$B$2:$J$61,9,FALSE()),""))</f>
      </c>
    </row>
    <row r="16547">
      <c r="E16547">
        <f>IF(DATOS!$I16547="","",IFERROR(VLOOKUP(DATOS!$I16547,CONFIG_ASIGNATURAS!$B$2:$J$61,9,FALSE()),""))</f>
      </c>
    </row>
    <row r="16548">
      <c r="E16548">
        <f>IF(DATOS!$I16548="","",IFERROR(VLOOKUP(DATOS!$I16548,CONFIG_ASIGNATURAS!$B$2:$J$61,9,FALSE()),""))</f>
      </c>
    </row>
    <row r="16549">
      <c r="E16549">
        <f>IF(DATOS!$I16549="","",IFERROR(VLOOKUP(DATOS!$I16549,CONFIG_ASIGNATURAS!$B$2:$J$61,9,FALSE()),""))</f>
      </c>
    </row>
    <row r="16550">
      <c r="E16550">
        <f>IF(DATOS!$I16550="","",IFERROR(VLOOKUP(DATOS!$I16550,CONFIG_ASIGNATURAS!$B$2:$J$61,9,FALSE()),""))</f>
      </c>
    </row>
    <row r="16551">
      <c r="E16551">
        <f>IF(DATOS!$I16551="","",IFERROR(VLOOKUP(DATOS!$I16551,CONFIG_ASIGNATURAS!$B$2:$J$61,9,FALSE()),""))</f>
      </c>
    </row>
    <row r="16552">
      <c r="E16552">
        <f>IF(DATOS!$I16552="","",IFERROR(VLOOKUP(DATOS!$I16552,CONFIG_ASIGNATURAS!$B$2:$J$61,9,FALSE()),""))</f>
      </c>
    </row>
    <row r="16553">
      <c r="E16553">
        <f>IF(DATOS!$I16553="","",IFERROR(VLOOKUP(DATOS!$I16553,CONFIG_ASIGNATURAS!$B$2:$J$61,9,FALSE()),""))</f>
      </c>
    </row>
    <row r="16554">
      <c r="E16554">
        <f>IF(DATOS!$I16554="","",IFERROR(VLOOKUP(DATOS!$I16554,CONFIG_ASIGNATURAS!$B$2:$J$61,9,FALSE()),""))</f>
      </c>
    </row>
    <row r="16555">
      <c r="E16555">
        <f>IF(DATOS!$I16555="","",IFERROR(VLOOKUP(DATOS!$I16555,CONFIG_ASIGNATURAS!$B$2:$J$61,9,FALSE()),""))</f>
      </c>
    </row>
    <row r="16556">
      <c r="E16556">
        <f>IF(DATOS!$I16556="","",IFERROR(VLOOKUP(DATOS!$I16556,CONFIG_ASIGNATURAS!$B$2:$J$61,9,FALSE()),""))</f>
      </c>
    </row>
    <row r="16557">
      <c r="E16557">
        <f>IF(DATOS!$I16557="","",IFERROR(VLOOKUP(DATOS!$I16557,CONFIG_ASIGNATURAS!$B$2:$J$61,9,FALSE()),""))</f>
      </c>
    </row>
    <row r="16558">
      <c r="E16558">
        <f>IF(DATOS!$I16558="","",IFERROR(VLOOKUP(DATOS!$I16558,CONFIG_ASIGNATURAS!$B$2:$J$61,9,FALSE()),""))</f>
      </c>
    </row>
    <row r="16559">
      <c r="E16559">
        <f>IF(DATOS!$I16559="","",IFERROR(VLOOKUP(DATOS!$I16559,CONFIG_ASIGNATURAS!$B$2:$J$61,9,FALSE()),""))</f>
      </c>
    </row>
    <row r="16560">
      <c r="E16560">
        <f>IF(DATOS!$I16560="","",IFERROR(VLOOKUP(DATOS!$I16560,CONFIG_ASIGNATURAS!$B$2:$J$61,9,FALSE()),""))</f>
      </c>
    </row>
    <row r="16561">
      <c r="E16561">
        <f>IF(DATOS!$I16561="","",IFERROR(VLOOKUP(DATOS!$I16561,CONFIG_ASIGNATURAS!$B$2:$J$61,9,FALSE()),""))</f>
      </c>
    </row>
    <row r="16562">
      <c r="E16562">
        <f>IF(DATOS!$I16562="","",IFERROR(VLOOKUP(DATOS!$I16562,CONFIG_ASIGNATURAS!$B$2:$J$61,9,FALSE()),""))</f>
      </c>
    </row>
    <row r="16563">
      <c r="E16563">
        <f>IF(DATOS!$I16563="","",IFERROR(VLOOKUP(DATOS!$I16563,CONFIG_ASIGNATURAS!$B$2:$J$61,9,FALSE()),""))</f>
      </c>
    </row>
    <row r="16564">
      <c r="E16564">
        <f>IF(DATOS!$I16564="","",IFERROR(VLOOKUP(DATOS!$I16564,CONFIG_ASIGNATURAS!$B$2:$J$61,9,FALSE()),""))</f>
      </c>
    </row>
    <row r="16565">
      <c r="E16565">
        <f>IF(DATOS!$I16565="","",IFERROR(VLOOKUP(DATOS!$I16565,CONFIG_ASIGNATURAS!$B$2:$J$61,9,FALSE()),""))</f>
      </c>
    </row>
    <row r="16566">
      <c r="E16566">
        <f>IF(DATOS!$I16566="","",IFERROR(VLOOKUP(DATOS!$I16566,CONFIG_ASIGNATURAS!$B$2:$J$61,9,FALSE()),""))</f>
      </c>
    </row>
    <row r="16567">
      <c r="E16567">
        <f>IF(DATOS!$I16567="","",IFERROR(VLOOKUP(DATOS!$I16567,CONFIG_ASIGNATURAS!$B$2:$J$61,9,FALSE()),""))</f>
      </c>
    </row>
    <row r="16568">
      <c r="E16568">
        <f>IF(DATOS!$I16568="","",IFERROR(VLOOKUP(DATOS!$I16568,CONFIG_ASIGNATURAS!$B$2:$J$61,9,FALSE()),""))</f>
      </c>
    </row>
    <row r="16569">
      <c r="E16569">
        <f>IF(DATOS!$I16569="","",IFERROR(VLOOKUP(DATOS!$I16569,CONFIG_ASIGNATURAS!$B$2:$J$61,9,FALSE()),""))</f>
      </c>
    </row>
    <row r="16570">
      <c r="E16570">
        <f>IF(DATOS!$I16570="","",IFERROR(VLOOKUP(DATOS!$I16570,CONFIG_ASIGNATURAS!$B$2:$J$61,9,FALSE()),""))</f>
      </c>
    </row>
    <row r="16571">
      <c r="E16571">
        <f>IF(DATOS!$I16571="","",IFERROR(VLOOKUP(DATOS!$I16571,CONFIG_ASIGNATURAS!$B$2:$J$61,9,FALSE()),""))</f>
      </c>
    </row>
    <row r="16572">
      <c r="E16572">
        <f>IF(DATOS!$I16572="","",IFERROR(VLOOKUP(DATOS!$I16572,CONFIG_ASIGNATURAS!$B$2:$J$61,9,FALSE()),""))</f>
      </c>
    </row>
    <row r="16573">
      <c r="E16573">
        <f>IF(DATOS!$I16573="","",IFERROR(VLOOKUP(DATOS!$I16573,CONFIG_ASIGNATURAS!$B$2:$J$61,9,FALSE()),""))</f>
      </c>
    </row>
    <row r="16574">
      <c r="E16574">
        <f>IF(DATOS!$I16574="","",IFERROR(VLOOKUP(DATOS!$I16574,CONFIG_ASIGNATURAS!$B$2:$J$61,9,FALSE()),""))</f>
      </c>
    </row>
    <row r="16575">
      <c r="E16575">
        <f>IF(DATOS!$I16575="","",IFERROR(VLOOKUP(DATOS!$I16575,CONFIG_ASIGNATURAS!$B$2:$J$61,9,FALSE()),""))</f>
      </c>
    </row>
    <row r="16576">
      <c r="E16576">
        <f>IF(DATOS!$I16576="","",IFERROR(VLOOKUP(DATOS!$I16576,CONFIG_ASIGNATURAS!$B$2:$J$61,9,FALSE()),""))</f>
      </c>
    </row>
    <row r="16577">
      <c r="E16577">
        <f>IF(DATOS!$I16577="","",IFERROR(VLOOKUP(DATOS!$I16577,CONFIG_ASIGNATURAS!$B$2:$J$61,9,FALSE()),""))</f>
      </c>
    </row>
    <row r="16578">
      <c r="E16578">
        <f>IF(DATOS!$I16578="","",IFERROR(VLOOKUP(DATOS!$I16578,CONFIG_ASIGNATURAS!$B$2:$J$61,9,FALSE()),""))</f>
      </c>
    </row>
    <row r="16579">
      <c r="E16579">
        <f>IF(DATOS!$I16579="","",IFERROR(VLOOKUP(DATOS!$I16579,CONFIG_ASIGNATURAS!$B$2:$J$61,9,FALSE()),""))</f>
      </c>
    </row>
    <row r="16580">
      <c r="E16580">
        <f>IF(DATOS!$I16580="","",IFERROR(VLOOKUP(DATOS!$I16580,CONFIG_ASIGNATURAS!$B$2:$J$61,9,FALSE()),""))</f>
      </c>
    </row>
    <row r="16581">
      <c r="E16581">
        <f>IF(DATOS!$I16581="","",IFERROR(VLOOKUP(DATOS!$I16581,CONFIG_ASIGNATURAS!$B$2:$J$61,9,FALSE()),""))</f>
      </c>
    </row>
    <row r="16582">
      <c r="E16582">
        <f>IF(DATOS!$I16582="","",IFERROR(VLOOKUP(DATOS!$I16582,CONFIG_ASIGNATURAS!$B$2:$J$61,9,FALSE()),""))</f>
      </c>
    </row>
    <row r="16583">
      <c r="E16583">
        <f>IF(DATOS!$I16583="","",IFERROR(VLOOKUP(DATOS!$I16583,CONFIG_ASIGNATURAS!$B$2:$J$61,9,FALSE()),""))</f>
      </c>
    </row>
    <row r="16584">
      <c r="E16584">
        <f>IF(DATOS!$I16584="","",IFERROR(VLOOKUP(DATOS!$I16584,CONFIG_ASIGNATURAS!$B$2:$J$61,9,FALSE()),""))</f>
      </c>
    </row>
    <row r="16585">
      <c r="E16585">
        <f>IF(DATOS!$I16585="","",IFERROR(VLOOKUP(DATOS!$I16585,CONFIG_ASIGNATURAS!$B$2:$J$61,9,FALSE()),""))</f>
      </c>
    </row>
    <row r="16586">
      <c r="E16586">
        <f>IF(DATOS!$I16586="","",IFERROR(VLOOKUP(DATOS!$I16586,CONFIG_ASIGNATURAS!$B$2:$J$61,9,FALSE()),""))</f>
      </c>
    </row>
    <row r="16587">
      <c r="E16587">
        <f>IF(DATOS!$I16587="","",IFERROR(VLOOKUP(DATOS!$I16587,CONFIG_ASIGNATURAS!$B$2:$J$61,9,FALSE()),""))</f>
      </c>
    </row>
    <row r="16588">
      <c r="E16588">
        <f>IF(DATOS!$I16588="","",IFERROR(VLOOKUP(DATOS!$I16588,CONFIG_ASIGNATURAS!$B$2:$J$61,9,FALSE()),""))</f>
      </c>
    </row>
    <row r="16589">
      <c r="E16589">
        <f>IF(DATOS!$I16589="","",IFERROR(VLOOKUP(DATOS!$I16589,CONFIG_ASIGNATURAS!$B$2:$J$61,9,FALSE()),""))</f>
      </c>
    </row>
    <row r="16590">
      <c r="E16590">
        <f>IF(DATOS!$I16590="","",IFERROR(VLOOKUP(DATOS!$I16590,CONFIG_ASIGNATURAS!$B$2:$J$61,9,FALSE()),""))</f>
      </c>
    </row>
    <row r="16591">
      <c r="E16591">
        <f>IF(DATOS!$I16591="","",IFERROR(VLOOKUP(DATOS!$I16591,CONFIG_ASIGNATURAS!$B$2:$J$61,9,FALSE()),""))</f>
      </c>
    </row>
    <row r="16592">
      <c r="E16592">
        <f>IF(DATOS!$I16592="","",IFERROR(VLOOKUP(DATOS!$I16592,CONFIG_ASIGNATURAS!$B$2:$J$61,9,FALSE()),""))</f>
      </c>
    </row>
    <row r="16593">
      <c r="E16593">
        <f>IF(DATOS!$I16593="","",IFERROR(VLOOKUP(DATOS!$I16593,CONFIG_ASIGNATURAS!$B$2:$J$61,9,FALSE()),""))</f>
      </c>
    </row>
    <row r="16594">
      <c r="E16594">
        <f>IF(DATOS!$I16594="","",IFERROR(VLOOKUP(DATOS!$I16594,CONFIG_ASIGNATURAS!$B$2:$J$61,9,FALSE()),""))</f>
      </c>
    </row>
    <row r="16595">
      <c r="E16595">
        <f>IF(DATOS!$I16595="","",IFERROR(VLOOKUP(DATOS!$I16595,CONFIG_ASIGNATURAS!$B$2:$J$61,9,FALSE()),""))</f>
      </c>
    </row>
    <row r="16596">
      <c r="E16596">
        <f>IF(DATOS!$I16596="","",IFERROR(VLOOKUP(DATOS!$I16596,CONFIG_ASIGNATURAS!$B$2:$J$61,9,FALSE()),""))</f>
      </c>
    </row>
    <row r="16597">
      <c r="E16597">
        <f>IF(DATOS!$I16597="","",IFERROR(VLOOKUP(DATOS!$I16597,CONFIG_ASIGNATURAS!$B$2:$J$61,9,FALSE()),""))</f>
      </c>
    </row>
    <row r="16598">
      <c r="E16598">
        <f>IF(DATOS!$I16598="","",IFERROR(VLOOKUP(DATOS!$I16598,CONFIG_ASIGNATURAS!$B$2:$J$61,9,FALSE()),""))</f>
      </c>
    </row>
    <row r="16599">
      <c r="E16599">
        <f>IF(DATOS!$I16599="","",IFERROR(VLOOKUP(DATOS!$I16599,CONFIG_ASIGNATURAS!$B$2:$J$61,9,FALSE()),""))</f>
      </c>
    </row>
    <row r="16600">
      <c r="E16600">
        <f>IF(DATOS!$I16600="","",IFERROR(VLOOKUP(DATOS!$I16600,CONFIG_ASIGNATURAS!$B$2:$J$61,9,FALSE()),""))</f>
      </c>
    </row>
    <row r="16601">
      <c r="E16601">
        <f>IF(DATOS!$I16601="","",IFERROR(VLOOKUP(DATOS!$I16601,CONFIG_ASIGNATURAS!$B$2:$J$61,9,FALSE()),""))</f>
      </c>
    </row>
    <row r="16602">
      <c r="E16602">
        <f>IF(DATOS!$I16602="","",IFERROR(VLOOKUP(DATOS!$I16602,CONFIG_ASIGNATURAS!$B$2:$J$61,9,FALSE()),""))</f>
      </c>
    </row>
    <row r="16603">
      <c r="E16603">
        <f>IF(DATOS!$I16603="","",IFERROR(VLOOKUP(DATOS!$I16603,CONFIG_ASIGNATURAS!$B$2:$J$61,9,FALSE()),""))</f>
      </c>
    </row>
    <row r="16604">
      <c r="E16604">
        <f>IF(DATOS!$I16604="","",IFERROR(VLOOKUP(DATOS!$I16604,CONFIG_ASIGNATURAS!$B$2:$J$61,9,FALSE()),""))</f>
      </c>
    </row>
    <row r="16605">
      <c r="E16605">
        <f>IF(DATOS!$I16605="","",IFERROR(VLOOKUP(DATOS!$I16605,CONFIG_ASIGNATURAS!$B$2:$J$61,9,FALSE()),""))</f>
      </c>
    </row>
    <row r="16606">
      <c r="E16606">
        <f>IF(DATOS!$I16606="","",IFERROR(VLOOKUP(DATOS!$I16606,CONFIG_ASIGNATURAS!$B$2:$J$61,9,FALSE()),""))</f>
      </c>
    </row>
    <row r="16607">
      <c r="E16607">
        <f>IF(DATOS!$I16607="","",IFERROR(VLOOKUP(DATOS!$I16607,CONFIG_ASIGNATURAS!$B$2:$J$61,9,FALSE()),""))</f>
      </c>
    </row>
    <row r="16608">
      <c r="E16608">
        <f>IF(DATOS!$I16608="","",IFERROR(VLOOKUP(DATOS!$I16608,CONFIG_ASIGNATURAS!$B$2:$J$61,9,FALSE()),""))</f>
      </c>
    </row>
    <row r="16609">
      <c r="E16609">
        <f>IF(DATOS!$I16609="","",IFERROR(VLOOKUP(DATOS!$I16609,CONFIG_ASIGNATURAS!$B$2:$J$61,9,FALSE()),""))</f>
      </c>
    </row>
    <row r="16610">
      <c r="E16610">
        <f>IF(DATOS!$I16610="","",IFERROR(VLOOKUP(DATOS!$I16610,CONFIG_ASIGNATURAS!$B$2:$J$61,9,FALSE()),""))</f>
      </c>
    </row>
    <row r="16611">
      <c r="E16611">
        <f>IF(DATOS!$I16611="","",IFERROR(VLOOKUP(DATOS!$I16611,CONFIG_ASIGNATURAS!$B$2:$J$61,9,FALSE()),""))</f>
      </c>
    </row>
    <row r="16612">
      <c r="E16612">
        <f>IF(DATOS!$I16612="","",IFERROR(VLOOKUP(DATOS!$I16612,CONFIG_ASIGNATURAS!$B$2:$J$61,9,FALSE()),""))</f>
      </c>
    </row>
    <row r="16613">
      <c r="E16613">
        <f>IF(DATOS!$I16613="","",IFERROR(VLOOKUP(DATOS!$I16613,CONFIG_ASIGNATURAS!$B$2:$J$61,9,FALSE()),""))</f>
      </c>
    </row>
    <row r="16614">
      <c r="E16614">
        <f>IF(DATOS!$I16614="","",IFERROR(VLOOKUP(DATOS!$I16614,CONFIG_ASIGNATURAS!$B$2:$J$61,9,FALSE()),""))</f>
      </c>
    </row>
    <row r="16615">
      <c r="E16615">
        <f>IF(DATOS!$I16615="","",IFERROR(VLOOKUP(DATOS!$I16615,CONFIG_ASIGNATURAS!$B$2:$J$61,9,FALSE()),""))</f>
      </c>
    </row>
    <row r="16616">
      <c r="E16616">
        <f>IF(DATOS!$I16616="","",IFERROR(VLOOKUP(DATOS!$I16616,CONFIG_ASIGNATURAS!$B$2:$J$61,9,FALSE()),""))</f>
      </c>
    </row>
    <row r="16617">
      <c r="E16617">
        <f>IF(DATOS!$I16617="","",IFERROR(VLOOKUP(DATOS!$I16617,CONFIG_ASIGNATURAS!$B$2:$J$61,9,FALSE()),""))</f>
      </c>
    </row>
    <row r="16618">
      <c r="E16618">
        <f>IF(DATOS!$I16618="","",IFERROR(VLOOKUP(DATOS!$I16618,CONFIG_ASIGNATURAS!$B$2:$J$61,9,FALSE()),""))</f>
      </c>
    </row>
    <row r="16619">
      <c r="E16619">
        <f>IF(DATOS!$I16619="","",IFERROR(VLOOKUP(DATOS!$I16619,CONFIG_ASIGNATURAS!$B$2:$J$61,9,FALSE()),""))</f>
      </c>
    </row>
    <row r="16620">
      <c r="E16620">
        <f>IF(DATOS!$I16620="","",IFERROR(VLOOKUP(DATOS!$I16620,CONFIG_ASIGNATURAS!$B$2:$J$61,9,FALSE()),""))</f>
      </c>
    </row>
    <row r="16621">
      <c r="E16621">
        <f>IF(DATOS!$I16621="","",IFERROR(VLOOKUP(DATOS!$I16621,CONFIG_ASIGNATURAS!$B$2:$J$61,9,FALSE()),""))</f>
      </c>
    </row>
    <row r="16622">
      <c r="E16622">
        <f>IF(DATOS!$I16622="","",IFERROR(VLOOKUP(DATOS!$I16622,CONFIG_ASIGNATURAS!$B$2:$J$61,9,FALSE()),""))</f>
      </c>
    </row>
    <row r="16623">
      <c r="E16623">
        <f>IF(DATOS!$I16623="","",IFERROR(VLOOKUP(DATOS!$I16623,CONFIG_ASIGNATURAS!$B$2:$J$61,9,FALSE()),""))</f>
      </c>
    </row>
    <row r="16624">
      <c r="E16624">
        <f>IF(DATOS!$I16624="","",IFERROR(VLOOKUP(DATOS!$I16624,CONFIG_ASIGNATURAS!$B$2:$J$61,9,FALSE()),""))</f>
      </c>
    </row>
    <row r="16625">
      <c r="E16625">
        <f>IF(DATOS!$I16625="","",IFERROR(VLOOKUP(DATOS!$I16625,CONFIG_ASIGNATURAS!$B$2:$J$61,9,FALSE()),""))</f>
      </c>
    </row>
    <row r="16626">
      <c r="E16626">
        <f>IF(DATOS!$I16626="","",IFERROR(VLOOKUP(DATOS!$I16626,CONFIG_ASIGNATURAS!$B$2:$J$61,9,FALSE()),""))</f>
      </c>
    </row>
    <row r="16627">
      <c r="E16627">
        <f>IF(DATOS!$I16627="","",IFERROR(VLOOKUP(DATOS!$I16627,CONFIG_ASIGNATURAS!$B$2:$J$61,9,FALSE()),""))</f>
      </c>
    </row>
    <row r="16628">
      <c r="E16628">
        <f>IF(DATOS!$I16628="","",IFERROR(VLOOKUP(DATOS!$I16628,CONFIG_ASIGNATURAS!$B$2:$J$61,9,FALSE()),""))</f>
      </c>
    </row>
    <row r="16629">
      <c r="E16629">
        <f>IF(DATOS!$I16629="","",IFERROR(VLOOKUP(DATOS!$I16629,CONFIG_ASIGNATURAS!$B$2:$J$61,9,FALSE()),""))</f>
      </c>
    </row>
    <row r="16630">
      <c r="E16630">
        <f>IF(DATOS!$I16630="","",IFERROR(VLOOKUP(DATOS!$I16630,CONFIG_ASIGNATURAS!$B$2:$J$61,9,FALSE()),""))</f>
      </c>
    </row>
    <row r="16631">
      <c r="E16631">
        <f>IF(DATOS!$I16631="","",IFERROR(VLOOKUP(DATOS!$I16631,CONFIG_ASIGNATURAS!$B$2:$J$61,9,FALSE()),""))</f>
      </c>
    </row>
    <row r="16632">
      <c r="E16632">
        <f>IF(DATOS!$I16632="","",IFERROR(VLOOKUP(DATOS!$I16632,CONFIG_ASIGNATURAS!$B$2:$J$61,9,FALSE()),""))</f>
      </c>
    </row>
    <row r="16633">
      <c r="E16633">
        <f>IF(DATOS!$I16633="","",IFERROR(VLOOKUP(DATOS!$I16633,CONFIG_ASIGNATURAS!$B$2:$J$61,9,FALSE()),""))</f>
      </c>
    </row>
    <row r="16634">
      <c r="E16634">
        <f>IF(DATOS!$I16634="","",IFERROR(VLOOKUP(DATOS!$I16634,CONFIG_ASIGNATURAS!$B$2:$J$61,9,FALSE()),""))</f>
      </c>
    </row>
    <row r="16635">
      <c r="E16635">
        <f>IF(DATOS!$I16635="","",IFERROR(VLOOKUP(DATOS!$I16635,CONFIG_ASIGNATURAS!$B$2:$J$61,9,FALSE()),""))</f>
      </c>
    </row>
    <row r="16636">
      <c r="E16636">
        <f>IF(DATOS!$I16636="","",IFERROR(VLOOKUP(DATOS!$I16636,CONFIG_ASIGNATURAS!$B$2:$J$61,9,FALSE()),""))</f>
      </c>
    </row>
    <row r="16637">
      <c r="E16637">
        <f>IF(DATOS!$I16637="","",IFERROR(VLOOKUP(DATOS!$I16637,CONFIG_ASIGNATURAS!$B$2:$J$61,9,FALSE()),""))</f>
      </c>
    </row>
    <row r="16638">
      <c r="E16638">
        <f>IF(DATOS!$I16638="","",IFERROR(VLOOKUP(DATOS!$I16638,CONFIG_ASIGNATURAS!$B$2:$J$61,9,FALSE()),""))</f>
      </c>
    </row>
    <row r="16639">
      <c r="E16639">
        <f>IF(DATOS!$I16639="","",IFERROR(VLOOKUP(DATOS!$I16639,CONFIG_ASIGNATURAS!$B$2:$J$61,9,FALSE()),""))</f>
      </c>
    </row>
    <row r="16640">
      <c r="E16640">
        <f>IF(DATOS!$I16640="","",IFERROR(VLOOKUP(DATOS!$I16640,CONFIG_ASIGNATURAS!$B$2:$J$61,9,FALSE()),""))</f>
      </c>
    </row>
    <row r="16641">
      <c r="E16641">
        <f>IF(DATOS!$I16641="","",IFERROR(VLOOKUP(DATOS!$I16641,CONFIG_ASIGNATURAS!$B$2:$J$61,9,FALSE()),""))</f>
      </c>
    </row>
    <row r="16642">
      <c r="E16642">
        <f>IF(DATOS!$I16642="","",IFERROR(VLOOKUP(DATOS!$I16642,CONFIG_ASIGNATURAS!$B$2:$J$61,9,FALSE()),""))</f>
      </c>
    </row>
    <row r="16643">
      <c r="E16643">
        <f>IF(DATOS!$I16643="","",IFERROR(VLOOKUP(DATOS!$I16643,CONFIG_ASIGNATURAS!$B$2:$J$61,9,FALSE()),""))</f>
      </c>
    </row>
    <row r="16644">
      <c r="E16644">
        <f>IF(DATOS!$I16644="","",IFERROR(VLOOKUP(DATOS!$I16644,CONFIG_ASIGNATURAS!$B$2:$J$61,9,FALSE()),""))</f>
      </c>
    </row>
    <row r="16645">
      <c r="E16645">
        <f>IF(DATOS!$I16645="","",IFERROR(VLOOKUP(DATOS!$I16645,CONFIG_ASIGNATURAS!$B$2:$J$61,9,FALSE()),""))</f>
      </c>
    </row>
    <row r="16646">
      <c r="E16646">
        <f>IF(DATOS!$I16646="","",IFERROR(VLOOKUP(DATOS!$I16646,CONFIG_ASIGNATURAS!$B$2:$J$61,9,FALSE()),""))</f>
      </c>
    </row>
    <row r="16647">
      <c r="E16647">
        <f>IF(DATOS!$I16647="","",IFERROR(VLOOKUP(DATOS!$I16647,CONFIG_ASIGNATURAS!$B$2:$J$61,9,FALSE()),""))</f>
      </c>
    </row>
    <row r="16648">
      <c r="E16648">
        <f>IF(DATOS!$I16648="","",IFERROR(VLOOKUP(DATOS!$I16648,CONFIG_ASIGNATURAS!$B$2:$J$61,9,FALSE()),""))</f>
      </c>
    </row>
    <row r="16649">
      <c r="E16649">
        <f>IF(DATOS!$I16649="","",IFERROR(VLOOKUP(DATOS!$I16649,CONFIG_ASIGNATURAS!$B$2:$J$61,9,FALSE()),""))</f>
      </c>
    </row>
    <row r="16650">
      <c r="E16650">
        <f>IF(DATOS!$I16650="","",IFERROR(VLOOKUP(DATOS!$I16650,CONFIG_ASIGNATURAS!$B$2:$J$61,9,FALSE()),""))</f>
      </c>
    </row>
    <row r="16651">
      <c r="E16651">
        <f>IF(DATOS!$I16651="","",IFERROR(VLOOKUP(DATOS!$I16651,CONFIG_ASIGNATURAS!$B$2:$J$61,9,FALSE()),""))</f>
      </c>
    </row>
    <row r="16652">
      <c r="E16652">
        <f>IF(DATOS!$I16652="","",IFERROR(VLOOKUP(DATOS!$I16652,CONFIG_ASIGNATURAS!$B$2:$J$61,9,FALSE()),""))</f>
      </c>
    </row>
    <row r="16653">
      <c r="E16653">
        <f>IF(DATOS!$I16653="","",IFERROR(VLOOKUP(DATOS!$I16653,CONFIG_ASIGNATURAS!$B$2:$J$61,9,FALSE()),""))</f>
      </c>
    </row>
    <row r="16654">
      <c r="E16654">
        <f>IF(DATOS!$I16654="","",IFERROR(VLOOKUP(DATOS!$I16654,CONFIG_ASIGNATURAS!$B$2:$J$61,9,FALSE()),""))</f>
      </c>
    </row>
    <row r="16655">
      <c r="E16655">
        <f>IF(DATOS!$I16655="","",IFERROR(VLOOKUP(DATOS!$I16655,CONFIG_ASIGNATURAS!$B$2:$J$61,9,FALSE()),""))</f>
      </c>
    </row>
    <row r="16656">
      <c r="E16656">
        <f>IF(DATOS!$I16656="","",IFERROR(VLOOKUP(DATOS!$I16656,CONFIG_ASIGNATURAS!$B$2:$J$61,9,FALSE()),""))</f>
      </c>
    </row>
    <row r="16657">
      <c r="E16657">
        <f>IF(DATOS!$I16657="","",IFERROR(VLOOKUP(DATOS!$I16657,CONFIG_ASIGNATURAS!$B$2:$J$61,9,FALSE()),""))</f>
      </c>
    </row>
    <row r="16658">
      <c r="E16658">
        <f>IF(DATOS!$I16658="","",IFERROR(VLOOKUP(DATOS!$I16658,CONFIG_ASIGNATURAS!$B$2:$J$61,9,FALSE()),""))</f>
      </c>
    </row>
    <row r="16659">
      <c r="E16659">
        <f>IF(DATOS!$I16659="","",IFERROR(VLOOKUP(DATOS!$I16659,CONFIG_ASIGNATURAS!$B$2:$J$61,9,FALSE()),""))</f>
      </c>
    </row>
    <row r="16660">
      <c r="E16660">
        <f>IF(DATOS!$I16660="","",IFERROR(VLOOKUP(DATOS!$I16660,CONFIG_ASIGNATURAS!$B$2:$J$61,9,FALSE()),""))</f>
      </c>
    </row>
    <row r="16661">
      <c r="E16661">
        <f>IF(DATOS!$I16661="","",IFERROR(VLOOKUP(DATOS!$I16661,CONFIG_ASIGNATURAS!$B$2:$J$61,9,FALSE()),""))</f>
      </c>
    </row>
    <row r="16662">
      <c r="E16662">
        <f>IF(DATOS!$I16662="","",IFERROR(VLOOKUP(DATOS!$I16662,CONFIG_ASIGNATURAS!$B$2:$J$61,9,FALSE()),""))</f>
      </c>
    </row>
    <row r="16663">
      <c r="E16663">
        <f>IF(DATOS!$I16663="","",IFERROR(VLOOKUP(DATOS!$I16663,CONFIG_ASIGNATURAS!$B$2:$J$61,9,FALSE()),""))</f>
      </c>
    </row>
    <row r="16664">
      <c r="E16664">
        <f>IF(DATOS!$I16664="","",IFERROR(VLOOKUP(DATOS!$I16664,CONFIG_ASIGNATURAS!$B$2:$J$61,9,FALSE()),""))</f>
      </c>
    </row>
    <row r="16665">
      <c r="E16665">
        <f>IF(DATOS!$I16665="","",IFERROR(VLOOKUP(DATOS!$I16665,CONFIG_ASIGNATURAS!$B$2:$J$61,9,FALSE()),""))</f>
      </c>
    </row>
    <row r="16666">
      <c r="E16666">
        <f>IF(DATOS!$I16666="","",IFERROR(VLOOKUP(DATOS!$I16666,CONFIG_ASIGNATURAS!$B$2:$J$61,9,FALSE()),""))</f>
      </c>
    </row>
    <row r="16667">
      <c r="E16667">
        <f>IF(DATOS!$I16667="","",IFERROR(VLOOKUP(DATOS!$I16667,CONFIG_ASIGNATURAS!$B$2:$J$61,9,FALSE()),""))</f>
      </c>
    </row>
    <row r="16668">
      <c r="E16668">
        <f>IF(DATOS!$I16668="","",IFERROR(VLOOKUP(DATOS!$I16668,CONFIG_ASIGNATURAS!$B$2:$J$61,9,FALSE()),""))</f>
      </c>
    </row>
    <row r="16669">
      <c r="E16669">
        <f>IF(DATOS!$I16669="","",IFERROR(VLOOKUP(DATOS!$I16669,CONFIG_ASIGNATURAS!$B$2:$J$61,9,FALSE()),""))</f>
      </c>
    </row>
    <row r="16670">
      <c r="E16670">
        <f>IF(DATOS!$I16670="","",IFERROR(VLOOKUP(DATOS!$I16670,CONFIG_ASIGNATURAS!$B$2:$J$61,9,FALSE()),""))</f>
      </c>
    </row>
    <row r="16671">
      <c r="E16671">
        <f>IF(DATOS!$I16671="","",IFERROR(VLOOKUP(DATOS!$I16671,CONFIG_ASIGNATURAS!$B$2:$J$61,9,FALSE()),""))</f>
      </c>
    </row>
    <row r="16672">
      <c r="E16672">
        <f>IF(DATOS!$I16672="","",IFERROR(VLOOKUP(DATOS!$I16672,CONFIG_ASIGNATURAS!$B$2:$J$61,9,FALSE()),""))</f>
      </c>
    </row>
    <row r="16673">
      <c r="E16673">
        <f>IF(DATOS!$I16673="","",IFERROR(VLOOKUP(DATOS!$I16673,CONFIG_ASIGNATURAS!$B$2:$J$61,9,FALSE()),""))</f>
      </c>
    </row>
    <row r="16674">
      <c r="E16674">
        <f>IF(DATOS!$I16674="","",IFERROR(VLOOKUP(DATOS!$I16674,CONFIG_ASIGNATURAS!$B$2:$J$61,9,FALSE()),""))</f>
      </c>
    </row>
    <row r="16675">
      <c r="E16675">
        <f>IF(DATOS!$I16675="","",IFERROR(VLOOKUP(DATOS!$I16675,CONFIG_ASIGNATURAS!$B$2:$J$61,9,FALSE()),""))</f>
      </c>
    </row>
    <row r="16676">
      <c r="E16676">
        <f>IF(DATOS!$I16676="","",IFERROR(VLOOKUP(DATOS!$I16676,CONFIG_ASIGNATURAS!$B$2:$J$61,9,FALSE()),""))</f>
      </c>
    </row>
    <row r="16677">
      <c r="E16677">
        <f>IF(DATOS!$I16677="","",IFERROR(VLOOKUP(DATOS!$I16677,CONFIG_ASIGNATURAS!$B$2:$J$61,9,FALSE()),""))</f>
      </c>
    </row>
    <row r="16678">
      <c r="E16678">
        <f>IF(DATOS!$I16678="","",IFERROR(VLOOKUP(DATOS!$I16678,CONFIG_ASIGNATURAS!$B$2:$J$61,9,FALSE()),""))</f>
      </c>
    </row>
    <row r="16679">
      <c r="E16679">
        <f>IF(DATOS!$I16679="","",IFERROR(VLOOKUP(DATOS!$I16679,CONFIG_ASIGNATURAS!$B$2:$J$61,9,FALSE()),""))</f>
      </c>
    </row>
    <row r="16680">
      <c r="E16680">
        <f>IF(DATOS!$I16680="","",IFERROR(VLOOKUP(DATOS!$I16680,CONFIG_ASIGNATURAS!$B$2:$J$61,9,FALSE()),""))</f>
      </c>
    </row>
    <row r="16681">
      <c r="E16681">
        <f>IF(DATOS!$I16681="","",IFERROR(VLOOKUP(DATOS!$I16681,CONFIG_ASIGNATURAS!$B$2:$J$61,9,FALSE()),""))</f>
      </c>
    </row>
    <row r="16682">
      <c r="E16682">
        <f>IF(DATOS!$I16682="","",IFERROR(VLOOKUP(DATOS!$I16682,CONFIG_ASIGNATURAS!$B$2:$J$61,9,FALSE()),""))</f>
      </c>
    </row>
    <row r="16683">
      <c r="E16683">
        <f>IF(DATOS!$I16683="","",IFERROR(VLOOKUP(DATOS!$I16683,CONFIG_ASIGNATURAS!$B$2:$J$61,9,FALSE()),""))</f>
      </c>
    </row>
    <row r="16684">
      <c r="E16684">
        <f>IF(DATOS!$I16684="","",IFERROR(VLOOKUP(DATOS!$I16684,CONFIG_ASIGNATURAS!$B$2:$J$61,9,FALSE()),""))</f>
      </c>
    </row>
    <row r="16685">
      <c r="E16685">
        <f>IF(DATOS!$I16685="","",IFERROR(VLOOKUP(DATOS!$I16685,CONFIG_ASIGNATURAS!$B$2:$J$61,9,FALSE()),""))</f>
      </c>
    </row>
    <row r="16686">
      <c r="E16686">
        <f>IF(DATOS!$I16686="","",IFERROR(VLOOKUP(DATOS!$I16686,CONFIG_ASIGNATURAS!$B$2:$J$61,9,FALSE()),""))</f>
      </c>
    </row>
    <row r="16687">
      <c r="E16687">
        <f>IF(DATOS!$I16687="","",IFERROR(VLOOKUP(DATOS!$I16687,CONFIG_ASIGNATURAS!$B$2:$J$61,9,FALSE()),""))</f>
      </c>
    </row>
    <row r="16688">
      <c r="E16688">
        <f>IF(DATOS!$I16688="","",IFERROR(VLOOKUP(DATOS!$I16688,CONFIG_ASIGNATURAS!$B$2:$J$61,9,FALSE()),""))</f>
      </c>
    </row>
    <row r="16689">
      <c r="E16689">
        <f>IF(DATOS!$I16689="","",IFERROR(VLOOKUP(DATOS!$I16689,CONFIG_ASIGNATURAS!$B$2:$J$61,9,FALSE()),""))</f>
      </c>
    </row>
    <row r="16690">
      <c r="E16690">
        <f>IF(DATOS!$I16690="","",IFERROR(VLOOKUP(DATOS!$I16690,CONFIG_ASIGNATURAS!$B$2:$J$61,9,FALSE()),""))</f>
      </c>
    </row>
    <row r="16691">
      <c r="E16691">
        <f>IF(DATOS!$I16691="","",IFERROR(VLOOKUP(DATOS!$I16691,CONFIG_ASIGNATURAS!$B$2:$J$61,9,FALSE()),""))</f>
      </c>
    </row>
    <row r="16692">
      <c r="E16692">
        <f>IF(DATOS!$I16692="","",IFERROR(VLOOKUP(DATOS!$I16692,CONFIG_ASIGNATURAS!$B$2:$J$61,9,FALSE()),""))</f>
      </c>
    </row>
    <row r="16693">
      <c r="E16693">
        <f>IF(DATOS!$I16693="","",IFERROR(VLOOKUP(DATOS!$I16693,CONFIG_ASIGNATURAS!$B$2:$J$61,9,FALSE()),""))</f>
      </c>
    </row>
    <row r="16694">
      <c r="E16694">
        <f>IF(DATOS!$I16694="","",IFERROR(VLOOKUP(DATOS!$I16694,CONFIG_ASIGNATURAS!$B$2:$J$61,9,FALSE()),""))</f>
      </c>
    </row>
    <row r="16695">
      <c r="E16695">
        <f>IF(DATOS!$I16695="","",IFERROR(VLOOKUP(DATOS!$I16695,CONFIG_ASIGNATURAS!$B$2:$J$61,9,FALSE()),""))</f>
      </c>
    </row>
    <row r="16696">
      <c r="E16696">
        <f>IF(DATOS!$I16696="","",IFERROR(VLOOKUP(DATOS!$I16696,CONFIG_ASIGNATURAS!$B$2:$J$61,9,FALSE()),""))</f>
      </c>
    </row>
    <row r="16697">
      <c r="E16697">
        <f>IF(DATOS!$I16697="","",IFERROR(VLOOKUP(DATOS!$I16697,CONFIG_ASIGNATURAS!$B$2:$J$61,9,FALSE()),""))</f>
      </c>
    </row>
    <row r="16698">
      <c r="E16698">
        <f>IF(DATOS!$I16698="","",IFERROR(VLOOKUP(DATOS!$I16698,CONFIG_ASIGNATURAS!$B$2:$J$61,9,FALSE()),""))</f>
      </c>
    </row>
    <row r="16699">
      <c r="E16699">
        <f>IF(DATOS!$I16699="","",IFERROR(VLOOKUP(DATOS!$I16699,CONFIG_ASIGNATURAS!$B$2:$J$61,9,FALSE()),""))</f>
      </c>
    </row>
    <row r="16700">
      <c r="E16700">
        <f>IF(DATOS!$I16700="","",IFERROR(VLOOKUP(DATOS!$I16700,CONFIG_ASIGNATURAS!$B$2:$J$61,9,FALSE()),""))</f>
      </c>
    </row>
    <row r="16701">
      <c r="E16701">
        <f>IF(DATOS!$I16701="","",IFERROR(VLOOKUP(DATOS!$I16701,CONFIG_ASIGNATURAS!$B$2:$J$61,9,FALSE()),""))</f>
      </c>
    </row>
    <row r="16702">
      <c r="E16702">
        <f>IF(DATOS!$I16702="","",IFERROR(VLOOKUP(DATOS!$I16702,CONFIG_ASIGNATURAS!$B$2:$J$61,9,FALSE()),""))</f>
      </c>
    </row>
    <row r="16703">
      <c r="E16703">
        <f>IF(DATOS!$I16703="","",IFERROR(VLOOKUP(DATOS!$I16703,CONFIG_ASIGNATURAS!$B$2:$J$61,9,FALSE()),""))</f>
      </c>
    </row>
    <row r="16704">
      <c r="E16704">
        <f>IF(DATOS!$I16704="","",IFERROR(VLOOKUP(DATOS!$I16704,CONFIG_ASIGNATURAS!$B$2:$J$61,9,FALSE()),""))</f>
      </c>
    </row>
    <row r="16705">
      <c r="E16705">
        <f>IF(DATOS!$I16705="","",IFERROR(VLOOKUP(DATOS!$I16705,CONFIG_ASIGNATURAS!$B$2:$J$61,9,FALSE()),""))</f>
      </c>
    </row>
    <row r="16706">
      <c r="E16706">
        <f>IF(DATOS!$I16706="","",IFERROR(VLOOKUP(DATOS!$I16706,CONFIG_ASIGNATURAS!$B$2:$J$61,9,FALSE()),""))</f>
      </c>
    </row>
    <row r="16707">
      <c r="E16707">
        <f>IF(DATOS!$I16707="","",IFERROR(VLOOKUP(DATOS!$I16707,CONFIG_ASIGNATURAS!$B$2:$J$61,9,FALSE()),""))</f>
      </c>
    </row>
    <row r="16708">
      <c r="E16708">
        <f>IF(DATOS!$I16708="","",IFERROR(VLOOKUP(DATOS!$I16708,CONFIG_ASIGNATURAS!$B$2:$J$61,9,FALSE()),""))</f>
      </c>
    </row>
    <row r="16709">
      <c r="E16709">
        <f>IF(DATOS!$I16709="","",IFERROR(VLOOKUP(DATOS!$I16709,CONFIG_ASIGNATURAS!$B$2:$J$61,9,FALSE()),""))</f>
      </c>
    </row>
    <row r="16710">
      <c r="E16710">
        <f>IF(DATOS!$I16710="","",IFERROR(VLOOKUP(DATOS!$I16710,CONFIG_ASIGNATURAS!$B$2:$J$61,9,FALSE()),""))</f>
      </c>
    </row>
    <row r="16711">
      <c r="E16711">
        <f>IF(DATOS!$I16711="","",IFERROR(VLOOKUP(DATOS!$I16711,CONFIG_ASIGNATURAS!$B$2:$J$61,9,FALSE()),""))</f>
      </c>
    </row>
    <row r="16712">
      <c r="E16712">
        <f>IF(DATOS!$I16712="","",IFERROR(VLOOKUP(DATOS!$I16712,CONFIG_ASIGNATURAS!$B$2:$J$61,9,FALSE()),""))</f>
      </c>
    </row>
    <row r="16713">
      <c r="E16713">
        <f>IF(DATOS!$I16713="","",IFERROR(VLOOKUP(DATOS!$I16713,CONFIG_ASIGNATURAS!$B$2:$J$61,9,FALSE()),""))</f>
      </c>
    </row>
    <row r="16714">
      <c r="E16714">
        <f>IF(DATOS!$I16714="","",IFERROR(VLOOKUP(DATOS!$I16714,CONFIG_ASIGNATURAS!$B$2:$J$61,9,FALSE()),""))</f>
      </c>
    </row>
    <row r="16715">
      <c r="E16715">
        <f>IF(DATOS!$I16715="","",IFERROR(VLOOKUP(DATOS!$I16715,CONFIG_ASIGNATURAS!$B$2:$J$61,9,FALSE()),""))</f>
      </c>
    </row>
    <row r="16716">
      <c r="E16716">
        <f>IF(DATOS!$I16716="","",IFERROR(VLOOKUP(DATOS!$I16716,CONFIG_ASIGNATURAS!$B$2:$J$61,9,FALSE()),""))</f>
      </c>
    </row>
    <row r="16717">
      <c r="E16717">
        <f>IF(DATOS!$I16717="","",IFERROR(VLOOKUP(DATOS!$I16717,CONFIG_ASIGNATURAS!$B$2:$J$61,9,FALSE()),""))</f>
      </c>
    </row>
    <row r="16718">
      <c r="E16718">
        <f>IF(DATOS!$I16718="","",IFERROR(VLOOKUP(DATOS!$I16718,CONFIG_ASIGNATURAS!$B$2:$J$61,9,FALSE()),""))</f>
      </c>
    </row>
    <row r="16719">
      <c r="E16719">
        <f>IF(DATOS!$I16719="","",IFERROR(VLOOKUP(DATOS!$I16719,CONFIG_ASIGNATURAS!$B$2:$J$61,9,FALSE()),""))</f>
      </c>
    </row>
    <row r="16720">
      <c r="E16720">
        <f>IF(DATOS!$I16720="","",IFERROR(VLOOKUP(DATOS!$I16720,CONFIG_ASIGNATURAS!$B$2:$J$61,9,FALSE()),""))</f>
      </c>
    </row>
    <row r="16721">
      <c r="E16721">
        <f>IF(DATOS!$I16721="","",IFERROR(VLOOKUP(DATOS!$I16721,CONFIG_ASIGNATURAS!$B$2:$J$61,9,FALSE()),""))</f>
      </c>
    </row>
    <row r="16722">
      <c r="E16722">
        <f>IF(DATOS!$I16722="","",IFERROR(VLOOKUP(DATOS!$I16722,CONFIG_ASIGNATURAS!$B$2:$J$61,9,FALSE()),""))</f>
      </c>
    </row>
    <row r="16723">
      <c r="E16723">
        <f>IF(DATOS!$I16723="","",IFERROR(VLOOKUP(DATOS!$I16723,CONFIG_ASIGNATURAS!$B$2:$J$61,9,FALSE()),""))</f>
      </c>
    </row>
    <row r="16724">
      <c r="E16724">
        <f>IF(DATOS!$I16724="","",IFERROR(VLOOKUP(DATOS!$I16724,CONFIG_ASIGNATURAS!$B$2:$J$61,9,FALSE()),""))</f>
      </c>
    </row>
    <row r="16725">
      <c r="E16725">
        <f>IF(DATOS!$I16725="","",IFERROR(VLOOKUP(DATOS!$I16725,CONFIG_ASIGNATURAS!$B$2:$J$61,9,FALSE()),""))</f>
      </c>
    </row>
    <row r="16726">
      <c r="E16726">
        <f>IF(DATOS!$I16726="","",IFERROR(VLOOKUP(DATOS!$I16726,CONFIG_ASIGNATURAS!$B$2:$J$61,9,FALSE()),""))</f>
      </c>
    </row>
    <row r="16727">
      <c r="E16727">
        <f>IF(DATOS!$I16727="","",IFERROR(VLOOKUP(DATOS!$I16727,CONFIG_ASIGNATURAS!$B$2:$J$61,9,FALSE()),""))</f>
      </c>
    </row>
    <row r="16728">
      <c r="E16728">
        <f>IF(DATOS!$I16728="","",IFERROR(VLOOKUP(DATOS!$I16728,CONFIG_ASIGNATURAS!$B$2:$J$61,9,FALSE()),""))</f>
      </c>
    </row>
    <row r="16729">
      <c r="E16729">
        <f>IF(DATOS!$I16729="","",IFERROR(VLOOKUP(DATOS!$I16729,CONFIG_ASIGNATURAS!$B$2:$J$61,9,FALSE()),""))</f>
      </c>
    </row>
    <row r="16730">
      <c r="E16730">
        <f>IF(DATOS!$I16730="","",IFERROR(VLOOKUP(DATOS!$I16730,CONFIG_ASIGNATURAS!$B$2:$J$61,9,FALSE()),""))</f>
      </c>
    </row>
    <row r="16731">
      <c r="E16731">
        <f>IF(DATOS!$I16731="","",IFERROR(VLOOKUP(DATOS!$I16731,CONFIG_ASIGNATURAS!$B$2:$J$61,9,FALSE()),""))</f>
      </c>
    </row>
    <row r="16732">
      <c r="E16732">
        <f>IF(DATOS!$I16732="","",IFERROR(VLOOKUP(DATOS!$I16732,CONFIG_ASIGNATURAS!$B$2:$J$61,9,FALSE()),""))</f>
      </c>
    </row>
    <row r="16733">
      <c r="E16733">
        <f>IF(DATOS!$I16733="","",IFERROR(VLOOKUP(DATOS!$I16733,CONFIG_ASIGNATURAS!$B$2:$J$61,9,FALSE()),""))</f>
      </c>
    </row>
    <row r="16734">
      <c r="E16734">
        <f>IF(DATOS!$I16734="","",IFERROR(VLOOKUP(DATOS!$I16734,CONFIG_ASIGNATURAS!$B$2:$J$61,9,FALSE()),""))</f>
      </c>
    </row>
    <row r="16735">
      <c r="E16735">
        <f>IF(DATOS!$I16735="","",IFERROR(VLOOKUP(DATOS!$I16735,CONFIG_ASIGNATURAS!$B$2:$J$61,9,FALSE()),""))</f>
      </c>
    </row>
    <row r="16736">
      <c r="E16736">
        <f>IF(DATOS!$I16736="","",IFERROR(VLOOKUP(DATOS!$I16736,CONFIG_ASIGNATURAS!$B$2:$J$61,9,FALSE()),""))</f>
      </c>
    </row>
    <row r="16737">
      <c r="E16737">
        <f>IF(DATOS!$I16737="","",IFERROR(VLOOKUP(DATOS!$I16737,CONFIG_ASIGNATURAS!$B$2:$J$61,9,FALSE()),""))</f>
      </c>
    </row>
    <row r="16738">
      <c r="E16738">
        <f>IF(DATOS!$I16738="","",IFERROR(VLOOKUP(DATOS!$I16738,CONFIG_ASIGNATURAS!$B$2:$J$61,9,FALSE()),""))</f>
      </c>
    </row>
    <row r="16739">
      <c r="E16739">
        <f>IF(DATOS!$I16739="","",IFERROR(VLOOKUP(DATOS!$I16739,CONFIG_ASIGNATURAS!$B$2:$J$61,9,FALSE()),""))</f>
      </c>
    </row>
    <row r="16740">
      <c r="E16740">
        <f>IF(DATOS!$I16740="","",IFERROR(VLOOKUP(DATOS!$I16740,CONFIG_ASIGNATURAS!$B$2:$J$61,9,FALSE()),""))</f>
      </c>
    </row>
    <row r="16741">
      <c r="E16741">
        <f>IF(DATOS!$I16741="","",IFERROR(VLOOKUP(DATOS!$I16741,CONFIG_ASIGNATURAS!$B$2:$J$61,9,FALSE()),""))</f>
      </c>
    </row>
    <row r="16742">
      <c r="E16742">
        <f>IF(DATOS!$I16742="","",IFERROR(VLOOKUP(DATOS!$I16742,CONFIG_ASIGNATURAS!$B$2:$J$61,9,FALSE()),""))</f>
      </c>
    </row>
    <row r="16743">
      <c r="E16743">
        <f>IF(DATOS!$I16743="","",IFERROR(VLOOKUP(DATOS!$I16743,CONFIG_ASIGNATURAS!$B$2:$J$61,9,FALSE()),""))</f>
      </c>
    </row>
    <row r="16744">
      <c r="E16744">
        <f>IF(DATOS!$I16744="","",IFERROR(VLOOKUP(DATOS!$I16744,CONFIG_ASIGNATURAS!$B$2:$J$61,9,FALSE()),""))</f>
      </c>
    </row>
    <row r="16745">
      <c r="E16745">
        <f>IF(DATOS!$I16745="","",IFERROR(VLOOKUP(DATOS!$I16745,CONFIG_ASIGNATURAS!$B$2:$J$61,9,FALSE()),""))</f>
      </c>
    </row>
    <row r="16746">
      <c r="E16746">
        <f>IF(DATOS!$I16746="","",IFERROR(VLOOKUP(DATOS!$I16746,CONFIG_ASIGNATURAS!$B$2:$J$61,9,FALSE()),""))</f>
      </c>
    </row>
    <row r="16747">
      <c r="E16747">
        <f>IF(DATOS!$I16747="","",IFERROR(VLOOKUP(DATOS!$I16747,CONFIG_ASIGNATURAS!$B$2:$J$61,9,FALSE()),""))</f>
      </c>
    </row>
    <row r="16748">
      <c r="E16748">
        <f>IF(DATOS!$I16748="","",IFERROR(VLOOKUP(DATOS!$I16748,CONFIG_ASIGNATURAS!$B$2:$J$61,9,FALSE()),""))</f>
      </c>
    </row>
    <row r="16749">
      <c r="E16749">
        <f>IF(DATOS!$I16749="","",IFERROR(VLOOKUP(DATOS!$I16749,CONFIG_ASIGNATURAS!$B$2:$J$61,9,FALSE()),""))</f>
      </c>
    </row>
    <row r="16750">
      <c r="E16750">
        <f>IF(DATOS!$I16750="","",IFERROR(VLOOKUP(DATOS!$I16750,CONFIG_ASIGNATURAS!$B$2:$J$61,9,FALSE()),""))</f>
      </c>
    </row>
    <row r="16751">
      <c r="E16751">
        <f>IF(DATOS!$I16751="","",IFERROR(VLOOKUP(DATOS!$I16751,CONFIG_ASIGNATURAS!$B$2:$J$61,9,FALSE()),""))</f>
      </c>
    </row>
    <row r="16752">
      <c r="E16752">
        <f>IF(DATOS!$I16752="","",IFERROR(VLOOKUP(DATOS!$I16752,CONFIG_ASIGNATURAS!$B$2:$J$61,9,FALSE()),""))</f>
      </c>
    </row>
    <row r="16753">
      <c r="E16753">
        <f>IF(DATOS!$I16753="","",IFERROR(VLOOKUP(DATOS!$I16753,CONFIG_ASIGNATURAS!$B$2:$J$61,9,FALSE()),""))</f>
      </c>
    </row>
    <row r="16754">
      <c r="E16754">
        <f>IF(DATOS!$I16754="","",IFERROR(VLOOKUP(DATOS!$I16754,CONFIG_ASIGNATURAS!$B$2:$J$61,9,FALSE()),""))</f>
      </c>
    </row>
    <row r="16755">
      <c r="E16755">
        <f>IF(DATOS!$I16755="","",IFERROR(VLOOKUP(DATOS!$I16755,CONFIG_ASIGNATURAS!$B$2:$J$61,9,FALSE()),""))</f>
      </c>
    </row>
    <row r="16756">
      <c r="E16756">
        <f>IF(DATOS!$I16756="","",IFERROR(VLOOKUP(DATOS!$I16756,CONFIG_ASIGNATURAS!$B$2:$J$61,9,FALSE()),""))</f>
      </c>
    </row>
    <row r="16757">
      <c r="E16757">
        <f>IF(DATOS!$I16757="","",IFERROR(VLOOKUP(DATOS!$I16757,CONFIG_ASIGNATURAS!$B$2:$J$61,9,FALSE()),""))</f>
      </c>
    </row>
    <row r="16758">
      <c r="E16758">
        <f>IF(DATOS!$I16758="","",IFERROR(VLOOKUP(DATOS!$I16758,CONFIG_ASIGNATURAS!$B$2:$J$61,9,FALSE()),""))</f>
      </c>
    </row>
    <row r="16759">
      <c r="E16759">
        <f>IF(DATOS!$I16759="","",IFERROR(VLOOKUP(DATOS!$I16759,CONFIG_ASIGNATURAS!$B$2:$J$61,9,FALSE()),""))</f>
      </c>
    </row>
    <row r="16760">
      <c r="E16760">
        <f>IF(DATOS!$I16760="","",IFERROR(VLOOKUP(DATOS!$I16760,CONFIG_ASIGNATURAS!$B$2:$J$61,9,FALSE()),""))</f>
      </c>
    </row>
    <row r="16761">
      <c r="E16761">
        <f>IF(DATOS!$I16761="","",IFERROR(VLOOKUP(DATOS!$I16761,CONFIG_ASIGNATURAS!$B$2:$J$61,9,FALSE()),""))</f>
      </c>
    </row>
    <row r="16762">
      <c r="E16762">
        <f>IF(DATOS!$I16762="","",IFERROR(VLOOKUP(DATOS!$I16762,CONFIG_ASIGNATURAS!$B$2:$J$61,9,FALSE()),""))</f>
      </c>
    </row>
    <row r="16763">
      <c r="E16763">
        <f>IF(DATOS!$I16763="","",IFERROR(VLOOKUP(DATOS!$I16763,CONFIG_ASIGNATURAS!$B$2:$J$61,9,FALSE()),""))</f>
      </c>
    </row>
    <row r="16764">
      <c r="E16764">
        <f>IF(DATOS!$I16764="","",IFERROR(VLOOKUP(DATOS!$I16764,CONFIG_ASIGNATURAS!$B$2:$J$61,9,FALSE()),""))</f>
      </c>
    </row>
    <row r="16765">
      <c r="E16765">
        <f>IF(DATOS!$I16765="","",IFERROR(VLOOKUP(DATOS!$I16765,CONFIG_ASIGNATURAS!$B$2:$J$61,9,FALSE()),""))</f>
      </c>
    </row>
    <row r="16766">
      <c r="E16766">
        <f>IF(DATOS!$I16766="","",IFERROR(VLOOKUP(DATOS!$I16766,CONFIG_ASIGNATURAS!$B$2:$J$61,9,FALSE()),""))</f>
      </c>
    </row>
    <row r="16767">
      <c r="E16767">
        <f>IF(DATOS!$I16767="","",IFERROR(VLOOKUP(DATOS!$I16767,CONFIG_ASIGNATURAS!$B$2:$J$61,9,FALSE()),""))</f>
      </c>
    </row>
    <row r="16768">
      <c r="E16768">
        <f>IF(DATOS!$I16768="","",IFERROR(VLOOKUP(DATOS!$I16768,CONFIG_ASIGNATURAS!$B$2:$J$61,9,FALSE()),""))</f>
      </c>
    </row>
    <row r="16769">
      <c r="E16769">
        <f>IF(DATOS!$I16769="","",IFERROR(VLOOKUP(DATOS!$I16769,CONFIG_ASIGNATURAS!$B$2:$J$61,9,FALSE()),""))</f>
      </c>
    </row>
    <row r="16770">
      <c r="E16770">
        <f>IF(DATOS!$I16770="","",IFERROR(VLOOKUP(DATOS!$I16770,CONFIG_ASIGNATURAS!$B$2:$J$61,9,FALSE()),""))</f>
      </c>
    </row>
    <row r="16771">
      <c r="E16771">
        <f>IF(DATOS!$I16771="","",IFERROR(VLOOKUP(DATOS!$I16771,CONFIG_ASIGNATURAS!$B$2:$J$61,9,FALSE()),""))</f>
      </c>
    </row>
    <row r="16772">
      <c r="E16772">
        <f>IF(DATOS!$I16772="","",IFERROR(VLOOKUP(DATOS!$I16772,CONFIG_ASIGNATURAS!$B$2:$J$61,9,FALSE()),""))</f>
      </c>
    </row>
    <row r="16773">
      <c r="E16773">
        <f>IF(DATOS!$I16773="","",IFERROR(VLOOKUP(DATOS!$I16773,CONFIG_ASIGNATURAS!$B$2:$J$61,9,FALSE()),""))</f>
      </c>
    </row>
    <row r="16774">
      <c r="E16774">
        <f>IF(DATOS!$I16774="","",IFERROR(VLOOKUP(DATOS!$I16774,CONFIG_ASIGNATURAS!$B$2:$J$61,9,FALSE()),""))</f>
      </c>
    </row>
    <row r="16775">
      <c r="E16775">
        <f>IF(DATOS!$I16775="","",IFERROR(VLOOKUP(DATOS!$I16775,CONFIG_ASIGNATURAS!$B$2:$J$61,9,FALSE()),""))</f>
      </c>
    </row>
    <row r="16776">
      <c r="E16776">
        <f>IF(DATOS!$I16776="","",IFERROR(VLOOKUP(DATOS!$I16776,CONFIG_ASIGNATURAS!$B$2:$J$61,9,FALSE()),""))</f>
      </c>
    </row>
    <row r="16777">
      <c r="E16777">
        <f>IF(DATOS!$I16777="","",IFERROR(VLOOKUP(DATOS!$I16777,CONFIG_ASIGNATURAS!$B$2:$J$61,9,FALSE()),""))</f>
      </c>
    </row>
    <row r="16778">
      <c r="E16778">
        <f>IF(DATOS!$I16778="","",IFERROR(VLOOKUP(DATOS!$I16778,CONFIG_ASIGNATURAS!$B$2:$J$61,9,FALSE()),""))</f>
      </c>
    </row>
    <row r="16779">
      <c r="E16779">
        <f>IF(DATOS!$I16779="","",IFERROR(VLOOKUP(DATOS!$I16779,CONFIG_ASIGNATURAS!$B$2:$J$61,9,FALSE()),""))</f>
      </c>
    </row>
    <row r="16780">
      <c r="E16780">
        <f>IF(DATOS!$I16780="","",IFERROR(VLOOKUP(DATOS!$I16780,CONFIG_ASIGNATURAS!$B$2:$J$61,9,FALSE()),""))</f>
      </c>
    </row>
    <row r="16781">
      <c r="E16781">
        <f>IF(DATOS!$I16781="","",IFERROR(VLOOKUP(DATOS!$I16781,CONFIG_ASIGNATURAS!$B$2:$J$61,9,FALSE()),""))</f>
      </c>
    </row>
    <row r="16782">
      <c r="E16782">
        <f>IF(DATOS!$I16782="","",IFERROR(VLOOKUP(DATOS!$I16782,CONFIG_ASIGNATURAS!$B$2:$J$61,9,FALSE()),""))</f>
      </c>
    </row>
    <row r="16783">
      <c r="E16783">
        <f>IF(DATOS!$I16783="","",IFERROR(VLOOKUP(DATOS!$I16783,CONFIG_ASIGNATURAS!$B$2:$J$61,9,FALSE()),""))</f>
      </c>
    </row>
    <row r="16784">
      <c r="E16784">
        <f>IF(DATOS!$I16784="","",IFERROR(VLOOKUP(DATOS!$I16784,CONFIG_ASIGNATURAS!$B$2:$J$61,9,FALSE()),""))</f>
      </c>
    </row>
    <row r="16785">
      <c r="E16785">
        <f>IF(DATOS!$I16785="","",IFERROR(VLOOKUP(DATOS!$I16785,CONFIG_ASIGNATURAS!$B$2:$J$61,9,FALSE()),""))</f>
      </c>
    </row>
    <row r="16786">
      <c r="E16786">
        <f>IF(DATOS!$I16786="","",IFERROR(VLOOKUP(DATOS!$I16786,CONFIG_ASIGNATURAS!$B$2:$J$61,9,FALSE()),""))</f>
      </c>
    </row>
    <row r="16787">
      <c r="E16787">
        <f>IF(DATOS!$I16787="","",IFERROR(VLOOKUP(DATOS!$I16787,CONFIG_ASIGNATURAS!$B$2:$J$61,9,FALSE()),""))</f>
      </c>
    </row>
    <row r="16788">
      <c r="E16788">
        <f>IF(DATOS!$I16788="","",IFERROR(VLOOKUP(DATOS!$I16788,CONFIG_ASIGNATURAS!$B$2:$J$61,9,FALSE()),""))</f>
      </c>
    </row>
    <row r="16789">
      <c r="E16789">
        <f>IF(DATOS!$I16789="","",IFERROR(VLOOKUP(DATOS!$I16789,CONFIG_ASIGNATURAS!$B$2:$J$61,9,FALSE()),""))</f>
      </c>
    </row>
    <row r="16790">
      <c r="E16790">
        <f>IF(DATOS!$I16790="","",IFERROR(VLOOKUP(DATOS!$I16790,CONFIG_ASIGNATURAS!$B$2:$J$61,9,FALSE()),""))</f>
      </c>
    </row>
    <row r="16791">
      <c r="E16791">
        <f>IF(DATOS!$I16791="","",IFERROR(VLOOKUP(DATOS!$I16791,CONFIG_ASIGNATURAS!$B$2:$J$61,9,FALSE()),""))</f>
      </c>
    </row>
    <row r="16792">
      <c r="E16792">
        <f>IF(DATOS!$I16792="","",IFERROR(VLOOKUP(DATOS!$I16792,CONFIG_ASIGNATURAS!$B$2:$J$61,9,FALSE()),""))</f>
      </c>
    </row>
    <row r="16793">
      <c r="E16793">
        <f>IF(DATOS!$I16793="","",IFERROR(VLOOKUP(DATOS!$I16793,CONFIG_ASIGNATURAS!$B$2:$J$61,9,FALSE()),""))</f>
      </c>
    </row>
    <row r="16794">
      <c r="E16794">
        <f>IF(DATOS!$I16794="","",IFERROR(VLOOKUP(DATOS!$I16794,CONFIG_ASIGNATURAS!$B$2:$J$61,9,FALSE()),""))</f>
      </c>
    </row>
    <row r="16795">
      <c r="E16795">
        <f>IF(DATOS!$I16795="","",IFERROR(VLOOKUP(DATOS!$I16795,CONFIG_ASIGNATURAS!$B$2:$J$61,9,FALSE()),""))</f>
      </c>
    </row>
    <row r="16796">
      <c r="E16796">
        <f>IF(DATOS!$I16796="","",IFERROR(VLOOKUP(DATOS!$I16796,CONFIG_ASIGNATURAS!$B$2:$J$61,9,FALSE()),""))</f>
      </c>
    </row>
    <row r="16797">
      <c r="E16797">
        <f>IF(DATOS!$I16797="","",IFERROR(VLOOKUP(DATOS!$I16797,CONFIG_ASIGNATURAS!$B$2:$J$61,9,FALSE()),""))</f>
      </c>
    </row>
    <row r="16798">
      <c r="E16798">
        <f>IF(DATOS!$I16798="","",IFERROR(VLOOKUP(DATOS!$I16798,CONFIG_ASIGNATURAS!$B$2:$J$61,9,FALSE()),""))</f>
      </c>
    </row>
    <row r="16799">
      <c r="E16799">
        <f>IF(DATOS!$I16799="","",IFERROR(VLOOKUP(DATOS!$I16799,CONFIG_ASIGNATURAS!$B$2:$J$61,9,FALSE()),""))</f>
      </c>
    </row>
    <row r="16800">
      <c r="E16800">
        <f>IF(DATOS!$I16800="","",IFERROR(VLOOKUP(DATOS!$I16800,CONFIG_ASIGNATURAS!$B$2:$J$61,9,FALSE()),""))</f>
      </c>
    </row>
    <row r="16801">
      <c r="E16801">
        <f>IF(DATOS!$I16801="","",IFERROR(VLOOKUP(DATOS!$I16801,CONFIG_ASIGNATURAS!$B$2:$J$61,9,FALSE()),""))</f>
      </c>
    </row>
    <row r="16802">
      <c r="E16802">
        <f>IF(DATOS!$I16802="","",IFERROR(VLOOKUP(DATOS!$I16802,CONFIG_ASIGNATURAS!$B$2:$J$61,9,FALSE()),""))</f>
      </c>
    </row>
    <row r="16803">
      <c r="E16803">
        <f>IF(DATOS!$I16803="","",IFERROR(VLOOKUP(DATOS!$I16803,CONFIG_ASIGNATURAS!$B$2:$J$61,9,FALSE()),""))</f>
      </c>
    </row>
    <row r="16804">
      <c r="E16804">
        <f>IF(DATOS!$I16804="","",IFERROR(VLOOKUP(DATOS!$I16804,CONFIG_ASIGNATURAS!$B$2:$J$61,9,FALSE()),""))</f>
      </c>
    </row>
    <row r="16805">
      <c r="E16805">
        <f>IF(DATOS!$I16805="","",IFERROR(VLOOKUP(DATOS!$I16805,CONFIG_ASIGNATURAS!$B$2:$J$61,9,FALSE()),""))</f>
      </c>
    </row>
    <row r="16806">
      <c r="E16806">
        <f>IF(DATOS!$I16806="","",IFERROR(VLOOKUP(DATOS!$I16806,CONFIG_ASIGNATURAS!$B$2:$J$61,9,FALSE()),""))</f>
      </c>
    </row>
    <row r="16807">
      <c r="E16807">
        <f>IF(DATOS!$I16807="","",IFERROR(VLOOKUP(DATOS!$I16807,CONFIG_ASIGNATURAS!$B$2:$J$61,9,FALSE()),""))</f>
      </c>
    </row>
    <row r="16808">
      <c r="E16808">
        <f>IF(DATOS!$I16808="","",IFERROR(VLOOKUP(DATOS!$I16808,CONFIG_ASIGNATURAS!$B$2:$J$61,9,FALSE()),""))</f>
      </c>
    </row>
    <row r="16809">
      <c r="E16809">
        <f>IF(DATOS!$I16809="","",IFERROR(VLOOKUP(DATOS!$I16809,CONFIG_ASIGNATURAS!$B$2:$J$61,9,FALSE()),""))</f>
      </c>
    </row>
    <row r="16810">
      <c r="E16810">
        <f>IF(DATOS!$I16810="","",IFERROR(VLOOKUP(DATOS!$I16810,CONFIG_ASIGNATURAS!$B$2:$J$61,9,FALSE()),""))</f>
      </c>
    </row>
    <row r="16811">
      <c r="E16811">
        <f>IF(DATOS!$I16811="","",IFERROR(VLOOKUP(DATOS!$I16811,CONFIG_ASIGNATURAS!$B$2:$J$61,9,FALSE()),""))</f>
      </c>
    </row>
    <row r="16812">
      <c r="E16812">
        <f>IF(DATOS!$I16812="","",IFERROR(VLOOKUP(DATOS!$I16812,CONFIG_ASIGNATURAS!$B$2:$J$61,9,FALSE()),""))</f>
      </c>
    </row>
    <row r="16813">
      <c r="E16813">
        <f>IF(DATOS!$I16813="","",IFERROR(VLOOKUP(DATOS!$I16813,CONFIG_ASIGNATURAS!$B$2:$J$61,9,FALSE()),""))</f>
      </c>
    </row>
    <row r="16814">
      <c r="E16814">
        <f>IF(DATOS!$I16814="","",IFERROR(VLOOKUP(DATOS!$I16814,CONFIG_ASIGNATURAS!$B$2:$J$61,9,FALSE()),""))</f>
      </c>
    </row>
    <row r="16815">
      <c r="E16815">
        <f>IF(DATOS!$I16815="","",IFERROR(VLOOKUP(DATOS!$I16815,CONFIG_ASIGNATURAS!$B$2:$J$61,9,FALSE()),""))</f>
      </c>
    </row>
    <row r="16816">
      <c r="E16816">
        <f>IF(DATOS!$I16816="","",IFERROR(VLOOKUP(DATOS!$I16816,CONFIG_ASIGNATURAS!$B$2:$J$61,9,FALSE()),""))</f>
      </c>
    </row>
    <row r="16817">
      <c r="E16817">
        <f>IF(DATOS!$I16817="","",IFERROR(VLOOKUP(DATOS!$I16817,CONFIG_ASIGNATURAS!$B$2:$J$61,9,FALSE()),""))</f>
      </c>
    </row>
    <row r="16818">
      <c r="E16818">
        <f>IF(DATOS!$I16818="","",IFERROR(VLOOKUP(DATOS!$I16818,CONFIG_ASIGNATURAS!$B$2:$J$61,9,FALSE()),""))</f>
      </c>
    </row>
    <row r="16819">
      <c r="E16819">
        <f>IF(DATOS!$I16819="","",IFERROR(VLOOKUP(DATOS!$I16819,CONFIG_ASIGNATURAS!$B$2:$J$61,9,FALSE()),""))</f>
      </c>
    </row>
    <row r="16820">
      <c r="E16820">
        <f>IF(DATOS!$I16820="","",IFERROR(VLOOKUP(DATOS!$I16820,CONFIG_ASIGNATURAS!$B$2:$J$61,9,FALSE()),""))</f>
      </c>
    </row>
    <row r="16821">
      <c r="E16821">
        <f>IF(DATOS!$I16821="","",IFERROR(VLOOKUP(DATOS!$I16821,CONFIG_ASIGNATURAS!$B$2:$J$61,9,FALSE()),""))</f>
      </c>
    </row>
    <row r="16822">
      <c r="E16822">
        <f>IF(DATOS!$I16822="","",IFERROR(VLOOKUP(DATOS!$I16822,CONFIG_ASIGNATURAS!$B$2:$J$61,9,FALSE()),""))</f>
      </c>
    </row>
    <row r="16823">
      <c r="E16823">
        <f>IF(DATOS!$I16823="","",IFERROR(VLOOKUP(DATOS!$I16823,CONFIG_ASIGNATURAS!$B$2:$J$61,9,FALSE()),""))</f>
      </c>
    </row>
    <row r="16824">
      <c r="E16824">
        <f>IF(DATOS!$I16824="","",IFERROR(VLOOKUP(DATOS!$I16824,CONFIG_ASIGNATURAS!$B$2:$J$61,9,FALSE()),""))</f>
      </c>
    </row>
    <row r="16825">
      <c r="E16825">
        <f>IF(DATOS!$I16825="","",IFERROR(VLOOKUP(DATOS!$I16825,CONFIG_ASIGNATURAS!$B$2:$J$61,9,FALSE()),""))</f>
      </c>
    </row>
    <row r="16826">
      <c r="E16826">
        <f>IF(DATOS!$I16826="","",IFERROR(VLOOKUP(DATOS!$I16826,CONFIG_ASIGNATURAS!$B$2:$J$61,9,FALSE()),""))</f>
      </c>
    </row>
    <row r="16827">
      <c r="E16827">
        <f>IF(DATOS!$I16827="","",IFERROR(VLOOKUP(DATOS!$I16827,CONFIG_ASIGNATURAS!$B$2:$J$61,9,FALSE()),""))</f>
      </c>
    </row>
    <row r="16828">
      <c r="E16828">
        <f>IF(DATOS!$I16828="","",IFERROR(VLOOKUP(DATOS!$I16828,CONFIG_ASIGNATURAS!$B$2:$J$61,9,FALSE()),""))</f>
      </c>
    </row>
    <row r="16829">
      <c r="E16829">
        <f>IF(DATOS!$I16829="","",IFERROR(VLOOKUP(DATOS!$I16829,CONFIG_ASIGNATURAS!$B$2:$J$61,9,FALSE()),""))</f>
      </c>
    </row>
    <row r="16830">
      <c r="E16830">
        <f>IF(DATOS!$I16830="","",IFERROR(VLOOKUP(DATOS!$I16830,CONFIG_ASIGNATURAS!$B$2:$J$61,9,FALSE()),""))</f>
      </c>
    </row>
    <row r="16831">
      <c r="E16831">
        <f>IF(DATOS!$I16831="","",IFERROR(VLOOKUP(DATOS!$I16831,CONFIG_ASIGNATURAS!$B$2:$J$61,9,FALSE()),""))</f>
      </c>
    </row>
    <row r="16832">
      <c r="E16832">
        <f>IF(DATOS!$I16832="","",IFERROR(VLOOKUP(DATOS!$I16832,CONFIG_ASIGNATURAS!$B$2:$J$61,9,FALSE()),""))</f>
      </c>
    </row>
    <row r="16833">
      <c r="E16833">
        <f>IF(DATOS!$I16833="","",IFERROR(VLOOKUP(DATOS!$I16833,CONFIG_ASIGNATURAS!$B$2:$J$61,9,FALSE()),""))</f>
      </c>
    </row>
    <row r="16834">
      <c r="E16834">
        <f>IF(DATOS!$I16834="","",IFERROR(VLOOKUP(DATOS!$I16834,CONFIG_ASIGNATURAS!$B$2:$J$61,9,FALSE()),""))</f>
      </c>
    </row>
    <row r="16835">
      <c r="E16835">
        <f>IF(DATOS!$I16835="","",IFERROR(VLOOKUP(DATOS!$I16835,CONFIG_ASIGNATURAS!$B$2:$J$61,9,FALSE()),""))</f>
      </c>
    </row>
    <row r="16836">
      <c r="E16836">
        <f>IF(DATOS!$I16836="","",IFERROR(VLOOKUP(DATOS!$I16836,CONFIG_ASIGNATURAS!$B$2:$J$61,9,FALSE()),""))</f>
      </c>
    </row>
    <row r="16837">
      <c r="E16837">
        <f>IF(DATOS!$I16837="","",IFERROR(VLOOKUP(DATOS!$I16837,CONFIG_ASIGNATURAS!$B$2:$J$61,9,FALSE()),""))</f>
      </c>
    </row>
    <row r="16838">
      <c r="E16838">
        <f>IF(DATOS!$I16838="","",IFERROR(VLOOKUP(DATOS!$I16838,CONFIG_ASIGNATURAS!$B$2:$J$61,9,FALSE()),""))</f>
      </c>
    </row>
    <row r="16839">
      <c r="E16839">
        <f>IF(DATOS!$I16839="","",IFERROR(VLOOKUP(DATOS!$I16839,CONFIG_ASIGNATURAS!$B$2:$J$61,9,FALSE()),""))</f>
      </c>
    </row>
    <row r="16840">
      <c r="E16840">
        <f>IF(DATOS!$I16840="","",IFERROR(VLOOKUP(DATOS!$I16840,CONFIG_ASIGNATURAS!$B$2:$J$61,9,FALSE()),""))</f>
      </c>
    </row>
    <row r="16841">
      <c r="E16841">
        <f>IF(DATOS!$I16841="","",IFERROR(VLOOKUP(DATOS!$I16841,CONFIG_ASIGNATURAS!$B$2:$J$61,9,FALSE()),""))</f>
      </c>
    </row>
    <row r="16842">
      <c r="E16842">
        <f>IF(DATOS!$I16842="","",IFERROR(VLOOKUP(DATOS!$I16842,CONFIG_ASIGNATURAS!$B$2:$J$61,9,FALSE()),""))</f>
      </c>
    </row>
    <row r="16843">
      <c r="E16843">
        <f>IF(DATOS!$I16843="","",IFERROR(VLOOKUP(DATOS!$I16843,CONFIG_ASIGNATURAS!$B$2:$J$61,9,FALSE()),""))</f>
      </c>
    </row>
    <row r="16844">
      <c r="E16844">
        <f>IF(DATOS!$I16844="","",IFERROR(VLOOKUP(DATOS!$I16844,CONFIG_ASIGNATURAS!$B$2:$J$61,9,FALSE()),""))</f>
      </c>
    </row>
    <row r="16845">
      <c r="E16845">
        <f>IF(DATOS!$I16845="","",IFERROR(VLOOKUP(DATOS!$I16845,CONFIG_ASIGNATURAS!$B$2:$J$61,9,FALSE()),""))</f>
      </c>
    </row>
    <row r="16846">
      <c r="E16846">
        <f>IF(DATOS!$I16846="","",IFERROR(VLOOKUP(DATOS!$I16846,CONFIG_ASIGNATURAS!$B$2:$J$61,9,FALSE()),""))</f>
      </c>
    </row>
    <row r="16847">
      <c r="E16847">
        <f>IF(DATOS!$I16847="","",IFERROR(VLOOKUP(DATOS!$I16847,CONFIG_ASIGNATURAS!$B$2:$J$61,9,FALSE()),""))</f>
      </c>
    </row>
    <row r="16848">
      <c r="E16848">
        <f>IF(DATOS!$I16848="","",IFERROR(VLOOKUP(DATOS!$I16848,CONFIG_ASIGNATURAS!$B$2:$J$61,9,FALSE()),""))</f>
      </c>
    </row>
    <row r="16849">
      <c r="E16849">
        <f>IF(DATOS!$I16849="","",IFERROR(VLOOKUP(DATOS!$I16849,CONFIG_ASIGNATURAS!$B$2:$J$61,9,FALSE()),""))</f>
      </c>
    </row>
    <row r="16850">
      <c r="E16850">
        <f>IF(DATOS!$I16850="","",IFERROR(VLOOKUP(DATOS!$I16850,CONFIG_ASIGNATURAS!$B$2:$J$61,9,FALSE()),""))</f>
      </c>
    </row>
    <row r="16851">
      <c r="E16851">
        <f>IF(DATOS!$I16851="","",IFERROR(VLOOKUP(DATOS!$I16851,CONFIG_ASIGNATURAS!$B$2:$J$61,9,FALSE()),""))</f>
      </c>
    </row>
    <row r="16852">
      <c r="E16852">
        <f>IF(DATOS!$I16852="","",IFERROR(VLOOKUP(DATOS!$I16852,CONFIG_ASIGNATURAS!$B$2:$J$61,9,FALSE()),""))</f>
      </c>
    </row>
    <row r="16853">
      <c r="E16853">
        <f>IF(DATOS!$I16853="","",IFERROR(VLOOKUP(DATOS!$I16853,CONFIG_ASIGNATURAS!$B$2:$J$61,9,FALSE()),""))</f>
      </c>
    </row>
    <row r="16854">
      <c r="E16854">
        <f>IF(DATOS!$I16854="","",IFERROR(VLOOKUP(DATOS!$I16854,CONFIG_ASIGNATURAS!$B$2:$J$61,9,FALSE()),""))</f>
      </c>
    </row>
    <row r="16855">
      <c r="E16855">
        <f>IF(DATOS!$I16855="","",IFERROR(VLOOKUP(DATOS!$I16855,CONFIG_ASIGNATURAS!$B$2:$J$61,9,FALSE()),""))</f>
      </c>
    </row>
    <row r="16856">
      <c r="E16856">
        <f>IF(DATOS!$I16856="","",IFERROR(VLOOKUP(DATOS!$I16856,CONFIG_ASIGNATURAS!$B$2:$J$61,9,FALSE()),""))</f>
      </c>
    </row>
    <row r="16857">
      <c r="E16857">
        <f>IF(DATOS!$I16857="","",IFERROR(VLOOKUP(DATOS!$I16857,CONFIG_ASIGNATURAS!$B$2:$J$61,9,FALSE()),""))</f>
      </c>
    </row>
    <row r="16858">
      <c r="E16858">
        <f>IF(DATOS!$I16858="","",IFERROR(VLOOKUP(DATOS!$I16858,CONFIG_ASIGNATURAS!$B$2:$J$61,9,FALSE()),""))</f>
      </c>
    </row>
    <row r="16859">
      <c r="E16859">
        <f>IF(DATOS!$I16859="","",IFERROR(VLOOKUP(DATOS!$I16859,CONFIG_ASIGNATURAS!$B$2:$J$61,9,FALSE()),""))</f>
      </c>
    </row>
    <row r="16860">
      <c r="E16860">
        <f>IF(DATOS!$I16860="","",IFERROR(VLOOKUP(DATOS!$I16860,CONFIG_ASIGNATURAS!$B$2:$J$61,9,FALSE()),""))</f>
      </c>
    </row>
    <row r="16861">
      <c r="E16861">
        <f>IF(DATOS!$I16861="","",IFERROR(VLOOKUP(DATOS!$I16861,CONFIG_ASIGNATURAS!$B$2:$J$61,9,FALSE()),""))</f>
      </c>
    </row>
    <row r="16862">
      <c r="E16862">
        <f>IF(DATOS!$I16862="","",IFERROR(VLOOKUP(DATOS!$I16862,CONFIG_ASIGNATURAS!$B$2:$J$61,9,FALSE()),""))</f>
      </c>
    </row>
    <row r="16863">
      <c r="E16863">
        <f>IF(DATOS!$I16863="","",IFERROR(VLOOKUP(DATOS!$I16863,CONFIG_ASIGNATURAS!$B$2:$J$61,9,FALSE()),""))</f>
      </c>
    </row>
    <row r="16864">
      <c r="E16864">
        <f>IF(DATOS!$I16864="","",IFERROR(VLOOKUP(DATOS!$I16864,CONFIG_ASIGNATURAS!$B$2:$J$61,9,FALSE()),""))</f>
      </c>
    </row>
    <row r="16865">
      <c r="E16865">
        <f>IF(DATOS!$I16865="","",IFERROR(VLOOKUP(DATOS!$I16865,CONFIG_ASIGNATURAS!$B$2:$J$61,9,FALSE()),""))</f>
      </c>
    </row>
    <row r="16866">
      <c r="E16866">
        <f>IF(DATOS!$I16866="","",IFERROR(VLOOKUP(DATOS!$I16866,CONFIG_ASIGNATURAS!$B$2:$J$61,9,FALSE()),""))</f>
      </c>
    </row>
    <row r="16867">
      <c r="E16867">
        <f>IF(DATOS!$I16867="","",IFERROR(VLOOKUP(DATOS!$I16867,CONFIG_ASIGNATURAS!$B$2:$J$61,9,FALSE()),""))</f>
      </c>
    </row>
    <row r="16868">
      <c r="E16868">
        <f>IF(DATOS!$I16868="","",IFERROR(VLOOKUP(DATOS!$I16868,CONFIG_ASIGNATURAS!$B$2:$J$61,9,FALSE()),""))</f>
      </c>
    </row>
    <row r="16869">
      <c r="E16869">
        <f>IF(DATOS!$I16869="","",IFERROR(VLOOKUP(DATOS!$I16869,CONFIG_ASIGNATURAS!$B$2:$J$61,9,FALSE()),""))</f>
      </c>
    </row>
    <row r="16870">
      <c r="E16870">
        <f>IF(DATOS!$I16870="","",IFERROR(VLOOKUP(DATOS!$I16870,CONFIG_ASIGNATURAS!$B$2:$J$61,9,FALSE()),""))</f>
      </c>
    </row>
    <row r="16871">
      <c r="E16871">
        <f>IF(DATOS!$I16871="","",IFERROR(VLOOKUP(DATOS!$I16871,CONFIG_ASIGNATURAS!$B$2:$J$61,9,FALSE()),""))</f>
      </c>
    </row>
    <row r="16872">
      <c r="E16872">
        <f>IF(DATOS!$I16872="","",IFERROR(VLOOKUP(DATOS!$I16872,CONFIG_ASIGNATURAS!$B$2:$J$61,9,FALSE()),""))</f>
      </c>
    </row>
    <row r="16873">
      <c r="E16873">
        <f>IF(DATOS!$I16873="","",IFERROR(VLOOKUP(DATOS!$I16873,CONFIG_ASIGNATURAS!$B$2:$J$61,9,FALSE()),""))</f>
      </c>
    </row>
    <row r="16874">
      <c r="E16874">
        <f>IF(DATOS!$I16874="","",IFERROR(VLOOKUP(DATOS!$I16874,CONFIG_ASIGNATURAS!$B$2:$J$61,9,FALSE()),""))</f>
      </c>
    </row>
    <row r="16875">
      <c r="E16875">
        <f>IF(DATOS!$I16875="","",IFERROR(VLOOKUP(DATOS!$I16875,CONFIG_ASIGNATURAS!$B$2:$J$61,9,FALSE()),""))</f>
      </c>
    </row>
    <row r="16876">
      <c r="E16876">
        <f>IF(DATOS!$I16876="","",IFERROR(VLOOKUP(DATOS!$I16876,CONFIG_ASIGNATURAS!$B$2:$J$61,9,FALSE()),""))</f>
      </c>
    </row>
    <row r="16877">
      <c r="E16877">
        <f>IF(DATOS!$I16877="","",IFERROR(VLOOKUP(DATOS!$I16877,CONFIG_ASIGNATURAS!$B$2:$J$61,9,FALSE()),""))</f>
      </c>
    </row>
    <row r="16878">
      <c r="E16878">
        <f>IF(DATOS!$I16878="","",IFERROR(VLOOKUP(DATOS!$I16878,CONFIG_ASIGNATURAS!$B$2:$J$61,9,FALSE()),""))</f>
      </c>
    </row>
    <row r="16879">
      <c r="E16879">
        <f>IF(DATOS!$I16879="","",IFERROR(VLOOKUP(DATOS!$I16879,CONFIG_ASIGNATURAS!$B$2:$J$61,9,FALSE()),""))</f>
      </c>
    </row>
    <row r="16880">
      <c r="E16880">
        <f>IF(DATOS!$I16880="","",IFERROR(VLOOKUP(DATOS!$I16880,CONFIG_ASIGNATURAS!$B$2:$J$61,9,FALSE()),""))</f>
      </c>
    </row>
    <row r="16881">
      <c r="E16881">
        <f>IF(DATOS!$I16881="","",IFERROR(VLOOKUP(DATOS!$I16881,CONFIG_ASIGNATURAS!$B$2:$J$61,9,FALSE()),""))</f>
      </c>
    </row>
    <row r="16882">
      <c r="E16882">
        <f>IF(DATOS!$I16882="","",IFERROR(VLOOKUP(DATOS!$I16882,CONFIG_ASIGNATURAS!$B$2:$J$61,9,FALSE()),""))</f>
      </c>
    </row>
    <row r="16883">
      <c r="E16883">
        <f>IF(DATOS!$I16883="","",IFERROR(VLOOKUP(DATOS!$I16883,CONFIG_ASIGNATURAS!$B$2:$J$61,9,FALSE()),""))</f>
      </c>
    </row>
    <row r="16884">
      <c r="E16884">
        <f>IF(DATOS!$I16884="","",IFERROR(VLOOKUP(DATOS!$I16884,CONFIG_ASIGNATURAS!$B$2:$J$61,9,FALSE()),""))</f>
      </c>
    </row>
    <row r="16885">
      <c r="E16885">
        <f>IF(DATOS!$I16885="","",IFERROR(VLOOKUP(DATOS!$I16885,CONFIG_ASIGNATURAS!$B$2:$J$61,9,FALSE()),""))</f>
      </c>
    </row>
    <row r="16886">
      <c r="E16886">
        <f>IF(DATOS!$I16886="","",IFERROR(VLOOKUP(DATOS!$I16886,CONFIG_ASIGNATURAS!$B$2:$J$61,9,FALSE()),""))</f>
      </c>
    </row>
    <row r="16887">
      <c r="E16887">
        <f>IF(DATOS!$I16887="","",IFERROR(VLOOKUP(DATOS!$I16887,CONFIG_ASIGNATURAS!$B$2:$J$61,9,FALSE()),""))</f>
      </c>
    </row>
    <row r="16888">
      <c r="E16888">
        <f>IF(DATOS!$I16888="","",IFERROR(VLOOKUP(DATOS!$I16888,CONFIG_ASIGNATURAS!$B$2:$J$61,9,FALSE()),""))</f>
      </c>
    </row>
    <row r="16889">
      <c r="E16889">
        <f>IF(DATOS!$I16889="","",IFERROR(VLOOKUP(DATOS!$I16889,CONFIG_ASIGNATURAS!$B$2:$J$61,9,FALSE()),""))</f>
      </c>
    </row>
    <row r="16890">
      <c r="E16890">
        <f>IF(DATOS!$I16890="","",IFERROR(VLOOKUP(DATOS!$I16890,CONFIG_ASIGNATURAS!$B$2:$J$61,9,FALSE()),""))</f>
      </c>
    </row>
    <row r="16891">
      <c r="E16891">
        <f>IF(DATOS!$I16891="","",IFERROR(VLOOKUP(DATOS!$I16891,CONFIG_ASIGNATURAS!$B$2:$J$61,9,FALSE()),""))</f>
      </c>
    </row>
    <row r="16892">
      <c r="E16892">
        <f>IF(DATOS!$I16892="","",IFERROR(VLOOKUP(DATOS!$I16892,CONFIG_ASIGNATURAS!$B$2:$J$61,9,FALSE()),""))</f>
      </c>
    </row>
    <row r="16893">
      <c r="E16893">
        <f>IF(DATOS!$I16893="","",IFERROR(VLOOKUP(DATOS!$I16893,CONFIG_ASIGNATURAS!$B$2:$J$61,9,FALSE()),""))</f>
      </c>
    </row>
    <row r="16894">
      <c r="E16894">
        <f>IF(DATOS!$I16894="","",IFERROR(VLOOKUP(DATOS!$I16894,CONFIG_ASIGNATURAS!$B$2:$J$61,9,FALSE()),""))</f>
      </c>
    </row>
    <row r="16895">
      <c r="E16895">
        <f>IF(DATOS!$I16895="","",IFERROR(VLOOKUP(DATOS!$I16895,CONFIG_ASIGNATURAS!$B$2:$J$61,9,FALSE()),""))</f>
      </c>
    </row>
    <row r="16896">
      <c r="E16896">
        <f>IF(DATOS!$I16896="","",IFERROR(VLOOKUP(DATOS!$I16896,CONFIG_ASIGNATURAS!$B$2:$J$61,9,FALSE()),""))</f>
      </c>
    </row>
    <row r="16897">
      <c r="E16897">
        <f>IF(DATOS!$I16897="","",IFERROR(VLOOKUP(DATOS!$I16897,CONFIG_ASIGNATURAS!$B$2:$J$61,9,FALSE()),""))</f>
      </c>
    </row>
    <row r="16898">
      <c r="E16898">
        <f>IF(DATOS!$I16898="","",IFERROR(VLOOKUP(DATOS!$I16898,CONFIG_ASIGNATURAS!$B$2:$J$61,9,FALSE()),""))</f>
      </c>
    </row>
    <row r="16899">
      <c r="E16899">
        <f>IF(DATOS!$I16899="","",IFERROR(VLOOKUP(DATOS!$I16899,CONFIG_ASIGNATURAS!$B$2:$J$61,9,FALSE()),""))</f>
      </c>
    </row>
    <row r="16900">
      <c r="E16900">
        <f>IF(DATOS!$I16900="","",IFERROR(VLOOKUP(DATOS!$I16900,CONFIG_ASIGNATURAS!$B$2:$J$61,9,FALSE()),""))</f>
      </c>
    </row>
    <row r="16901">
      <c r="E16901">
        <f>IF(DATOS!$I16901="","",IFERROR(VLOOKUP(DATOS!$I16901,CONFIG_ASIGNATURAS!$B$2:$J$61,9,FALSE()),""))</f>
      </c>
    </row>
    <row r="16902">
      <c r="E16902">
        <f>IF(DATOS!$I16902="","",IFERROR(VLOOKUP(DATOS!$I16902,CONFIG_ASIGNATURAS!$B$2:$J$61,9,FALSE()),""))</f>
      </c>
    </row>
    <row r="16903">
      <c r="E16903">
        <f>IF(DATOS!$I16903="","",IFERROR(VLOOKUP(DATOS!$I16903,CONFIG_ASIGNATURAS!$B$2:$J$61,9,FALSE()),""))</f>
      </c>
    </row>
    <row r="16904">
      <c r="E16904">
        <f>IF(DATOS!$I16904="","",IFERROR(VLOOKUP(DATOS!$I16904,CONFIG_ASIGNATURAS!$B$2:$J$61,9,FALSE()),""))</f>
      </c>
    </row>
    <row r="16905">
      <c r="E16905">
        <f>IF(DATOS!$I16905="","",IFERROR(VLOOKUP(DATOS!$I16905,CONFIG_ASIGNATURAS!$B$2:$J$61,9,FALSE()),""))</f>
      </c>
    </row>
    <row r="16906">
      <c r="E16906">
        <f>IF(DATOS!$I16906="","",IFERROR(VLOOKUP(DATOS!$I16906,CONFIG_ASIGNATURAS!$B$2:$J$61,9,FALSE()),""))</f>
      </c>
    </row>
    <row r="16907">
      <c r="E16907">
        <f>IF(DATOS!$I16907="","",IFERROR(VLOOKUP(DATOS!$I16907,CONFIG_ASIGNATURAS!$B$2:$J$61,9,FALSE()),""))</f>
      </c>
    </row>
    <row r="16908">
      <c r="E16908">
        <f>IF(DATOS!$I16908="","",IFERROR(VLOOKUP(DATOS!$I16908,CONFIG_ASIGNATURAS!$B$2:$J$61,9,FALSE()),""))</f>
      </c>
    </row>
    <row r="16909">
      <c r="E16909">
        <f>IF(DATOS!$I16909="","",IFERROR(VLOOKUP(DATOS!$I16909,CONFIG_ASIGNATURAS!$B$2:$J$61,9,FALSE()),""))</f>
      </c>
    </row>
    <row r="16910">
      <c r="E16910">
        <f>IF(DATOS!$I16910="","",IFERROR(VLOOKUP(DATOS!$I16910,CONFIG_ASIGNATURAS!$B$2:$J$61,9,FALSE()),""))</f>
      </c>
    </row>
    <row r="16911">
      <c r="E16911">
        <f>IF(DATOS!$I16911="","",IFERROR(VLOOKUP(DATOS!$I16911,CONFIG_ASIGNATURAS!$B$2:$J$61,9,FALSE()),""))</f>
      </c>
    </row>
    <row r="16912">
      <c r="E16912">
        <f>IF(DATOS!$I16912="","",IFERROR(VLOOKUP(DATOS!$I16912,CONFIG_ASIGNATURAS!$B$2:$J$61,9,FALSE()),""))</f>
      </c>
    </row>
    <row r="16913">
      <c r="E16913">
        <f>IF(DATOS!$I16913="","",IFERROR(VLOOKUP(DATOS!$I16913,CONFIG_ASIGNATURAS!$B$2:$J$61,9,FALSE()),""))</f>
      </c>
    </row>
    <row r="16914">
      <c r="E16914">
        <f>IF(DATOS!$I16914="","",IFERROR(VLOOKUP(DATOS!$I16914,CONFIG_ASIGNATURAS!$B$2:$J$61,9,FALSE()),""))</f>
      </c>
    </row>
    <row r="16915">
      <c r="E16915">
        <f>IF(DATOS!$I16915="","",IFERROR(VLOOKUP(DATOS!$I16915,CONFIG_ASIGNATURAS!$B$2:$J$61,9,FALSE()),""))</f>
      </c>
    </row>
    <row r="16916">
      <c r="E16916">
        <f>IF(DATOS!$I16916="","",IFERROR(VLOOKUP(DATOS!$I16916,CONFIG_ASIGNATURAS!$B$2:$J$61,9,FALSE()),""))</f>
      </c>
    </row>
    <row r="16917">
      <c r="E16917">
        <f>IF(DATOS!$I16917="","",IFERROR(VLOOKUP(DATOS!$I16917,CONFIG_ASIGNATURAS!$B$2:$J$61,9,FALSE()),""))</f>
      </c>
    </row>
    <row r="16918">
      <c r="E16918">
        <f>IF(DATOS!$I16918="","",IFERROR(VLOOKUP(DATOS!$I16918,CONFIG_ASIGNATURAS!$B$2:$J$61,9,FALSE()),""))</f>
      </c>
    </row>
    <row r="16919">
      <c r="E16919">
        <f>IF(DATOS!$I16919="","",IFERROR(VLOOKUP(DATOS!$I16919,CONFIG_ASIGNATURAS!$B$2:$J$61,9,FALSE()),""))</f>
      </c>
    </row>
    <row r="16920">
      <c r="E16920">
        <f>IF(DATOS!$I16920="","",IFERROR(VLOOKUP(DATOS!$I16920,CONFIG_ASIGNATURAS!$B$2:$J$61,9,FALSE()),""))</f>
      </c>
    </row>
    <row r="16921">
      <c r="E16921">
        <f>IF(DATOS!$I16921="","",IFERROR(VLOOKUP(DATOS!$I16921,CONFIG_ASIGNATURAS!$B$2:$J$61,9,FALSE()),""))</f>
      </c>
    </row>
    <row r="16922">
      <c r="E16922">
        <f>IF(DATOS!$I16922="","",IFERROR(VLOOKUP(DATOS!$I16922,CONFIG_ASIGNATURAS!$B$2:$J$61,9,FALSE()),""))</f>
      </c>
    </row>
    <row r="16923">
      <c r="E16923">
        <f>IF(DATOS!$I16923="","",IFERROR(VLOOKUP(DATOS!$I16923,CONFIG_ASIGNATURAS!$B$2:$J$61,9,FALSE()),""))</f>
      </c>
    </row>
    <row r="16924">
      <c r="E16924">
        <f>IF(DATOS!$I16924="","",IFERROR(VLOOKUP(DATOS!$I16924,CONFIG_ASIGNATURAS!$B$2:$J$61,9,FALSE()),""))</f>
      </c>
    </row>
    <row r="16925">
      <c r="E16925">
        <f>IF(DATOS!$I16925="","",IFERROR(VLOOKUP(DATOS!$I16925,CONFIG_ASIGNATURAS!$B$2:$J$61,9,FALSE()),""))</f>
      </c>
    </row>
    <row r="16926">
      <c r="E16926">
        <f>IF(DATOS!$I16926="","",IFERROR(VLOOKUP(DATOS!$I16926,CONFIG_ASIGNATURAS!$B$2:$J$61,9,FALSE()),""))</f>
      </c>
    </row>
    <row r="16927">
      <c r="E16927">
        <f>IF(DATOS!$I16927="","",IFERROR(VLOOKUP(DATOS!$I16927,CONFIG_ASIGNATURAS!$B$2:$J$61,9,FALSE()),""))</f>
      </c>
    </row>
    <row r="16928">
      <c r="E16928">
        <f>IF(DATOS!$I16928="","",IFERROR(VLOOKUP(DATOS!$I16928,CONFIG_ASIGNATURAS!$B$2:$J$61,9,FALSE()),""))</f>
      </c>
    </row>
    <row r="16929">
      <c r="E16929">
        <f>IF(DATOS!$I16929="","",IFERROR(VLOOKUP(DATOS!$I16929,CONFIG_ASIGNATURAS!$B$2:$J$61,9,FALSE()),""))</f>
      </c>
    </row>
    <row r="16930">
      <c r="E16930">
        <f>IF(DATOS!$I16930="","",IFERROR(VLOOKUP(DATOS!$I16930,CONFIG_ASIGNATURAS!$B$2:$J$61,9,FALSE()),""))</f>
      </c>
    </row>
    <row r="16931">
      <c r="E16931">
        <f>IF(DATOS!$I16931="","",IFERROR(VLOOKUP(DATOS!$I16931,CONFIG_ASIGNATURAS!$B$2:$J$61,9,FALSE()),""))</f>
      </c>
    </row>
    <row r="16932">
      <c r="E16932">
        <f>IF(DATOS!$I16932="","",IFERROR(VLOOKUP(DATOS!$I16932,CONFIG_ASIGNATURAS!$B$2:$J$61,9,FALSE()),""))</f>
      </c>
    </row>
    <row r="16933">
      <c r="E16933">
        <f>IF(DATOS!$I16933="","",IFERROR(VLOOKUP(DATOS!$I16933,CONFIG_ASIGNATURAS!$B$2:$J$61,9,FALSE()),""))</f>
      </c>
    </row>
    <row r="16934">
      <c r="E16934">
        <f>IF(DATOS!$I16934="","",IFERROR(VLOOKUP(DATOS!$I16934,CONFIG_ASIGNATURAS!$B$2:$J$61,9,FALSE()),""))</f>
      </c>
    </row>
    <row r="16935">
      <c r="E16935">
        <f>IF(DATOS!$I16935="","",IFERROR(VLOOKUP(DATOS!$I16935,CONFIG_ASIGNATURAS!$B$2:$J$61,9,FALSE()),""))</f>
      </c>
    </row>
    <row r="16936">
      <c r="E16936">
        <f>IF(DATOS!$I16936="","",IFERROR(VLOOKUP(DATOS!$I16936,CONFIG_ASIGNATURAS!$B$2:$J$61,9,FALSE()),""))</f>
      </c>
    </row>
    <row r="16937">
      <c r="E16937">
        <f>IF(DATOS!$I16937="","",IFERROR(VLOOKUP(DATOS!$I16937,CONFIG_ASIGNATURAS!$B$2:$J$61,9,FALSE()),""))</f>
      </c>
    </row>
    <row r="16938">
      <c r="E16938">
        <f>IF(DATOS!$I16938="","",IFERROR(VLOOKUP(DATOS!$I16938,CONFIG_ASIGNATURAS!$B$2:$J$61,9,FALSE()),""))</f>
      </c>
    </row>
    <row r="16939">
      <c r="E16939">
        <f>IF(DATOS!$I16939="","",IFERROR(VLOOKUP(DATOS!$I16939,CONFIG_ASIGNATURAS!$B$2:$J$61,9,FALSE()),""))</f>
      </c>
    </row>
    <row r="16940">
      <c r="E16940">
        <f>IF(DATOS!$I16940="","",IFERROR(VLOOKUP(DATOS!$I16940,CONFIG_ASIGNATURAS!$B$2:$J$61,9,FALSE()),""))</f>
      </c>
    </row>
    <row r="16941">
      <c r="E16941">
        <f>IF(DATOS!$I16941="","",IFERROR(VLOOKUP(DATOS!$I16941,CONFIG_ASIGNATURAS!$B$2:$J$61,9,FALSE()),""))</f>
      </c>
    </row>
    <row r="16942">
      <c r="E16942">
        <f>IF(DATOS!$I16942="","",IFERROR(VLOOKUP(DATOS!$I16942,CONFIG_ASIGNATURAS!$B$2:$J$61,9,FALSE()),""))</f>
      </c>
    </row>
    <row r="16943">
      <c r="E16943">
        <f>IF(DATOS!$I16943="","",IFERROR(VLOOKUP(DATOS!$I16943,CONFIG_ASIGNATURAS!$B$2:$J$61,9,FALSE()),""))</f>
      </c>
    </row>
    <row r="16944">
      <c r="E16944">
        <f>IF(DATOS!$I16944="","",IFERROR(VLOOKUP(DATOS!$I16944,CONFIG_ASIGNATURAS!$B$2:$J$61,9,FALSE()),""))</f>
      </c>
    </row>
    <row r="16945">
      <c r="E16945">
        <f>IF(DATOS!$I16945="","",IFERROR(VLOOKUP(DATOS!$I16945,CONFIG_ASIGNATURAS!$B$2:$J$61,9,FALSE()),""))</f>
      </c>
    </row>
    <row r="16946">
      <c r="E16946">
        <f>IF(DATOS!$I16946="","",IFERROR(VLOOKUP(DATOS!$I16946,CONFIG_ASIGNATURAS!$B$2:$J$61,9,FALSE()),""))</f>
      </c>
    </row>
    <row r="16947">
      <c r="E16947">
        <f>IF(DATOS!$I16947="","",IFERROR(VLOOKUP(DATOS!$I16947,CONFIG_ASIGNATURAS!$B$2:$J$61,9,FALSE()),""))</f>
      </c>
    </row>
    <row r="16948">
      <c r="E16948">
        <f>IF(DATOS!$I16948="","",IFERROR(VLOOKUP(DATOS!$I16948,CONFIG_ASIGNATURAS!$B$2:$J$61,9,FALSE()),""))</f>
      </c>
    </row>
    <row r="16949">
      <c r="E16949">
        <f>IF(DATOS!$I16949="","",IFERROR(VLOOKUP(DATOS!$I16949,CONFIG_ASIGNATURAS!$B$2:$J$61,9,FALSE()),""))</f>
      </c>
    </row>
    <row r="16950">
      <c r="E16950">
        <f>IF(DATOS!$I16950="","",IFERROR(VLOOKUP(DATOS!$I16950,CONFIG_ASIGNATURAS!$B$2:$J$61,9,FALSE()),""))</f>
      </c>
    </row>
    <row r="16951">
      <c r="E16951">
        <f>IF(DATOS!$I16951="","",IFERROR(VLOOKUP(DATOS!$I16951,CONFIG_ASIGNATURAS!$B$2:$J$61,9,FALSE()),""))</f>
      </c>
    </row>
    <row r="16952">
      <c r="E16952">
        <f>IF(DATOS!$I16952="","",IFERROR(VLOOKUP(DATOS!$I16952,CONFIG_ASIGNATURAS!$B$2:$J$61,9,FALSE()),""))</f>
      </c>
    </row>
    <row r="16953">
      <c r="E16953">
        <f>IF(DATOS!$I16953="","",IFERROR(VLOOKUP(DATOS!$I16953,CONFIG_ASIGNATURAS!$B$2:$J$61,9,FALSE()),""))</f>
      </c>
    </row>
    <row r="16954">
      <c r="E16954">
        <f>IF(DATOS!$I16954="","",IFERROR(VLOOKUP(DATOS!$I16954,CONFIG_ASIGNATURAS!$B$2:$J$61,9,FALSE()),""))</f>
      </c>
    </row>
    <row r="16955">
      <c r="E16955">
        <f>IF(DATOS!$I16955="","",IFERROR(VLOOKUP(DATOS!$I16955,CONFIG_ASIGNATURAS!$B$2:$J$61,9,FALSE()),""))</f>
      </c>
    </row>
    <row r="16956">
      <c r="E16956">
        <f>IF(DATOS!$I16956="","",IFERROR(VLOOKUP(DATOS!$I16956,CONFIG_ASIGNATURAS!$B$2:$J$61,9,FALSE()),""))</f>
      </c>
    </row>
    <row r="16957">
      <c r="E16957">
        <f>IF(DATOS!$I16957="","",IFERROR(VLOOKUP(DATOS!$I16957,CONFIG_ASIGNATURAS!$B$2:$J$61,9,FALSE()),""))</f>
      </c>
    </row>
    <row r="16958">
      <c r="E16958">
        <f>IF(DATOS!$I16958="","",IFERROR(VLOOKUP(DATOS!$I16958,CONFIG_ASIGNATURAS!$B$2:$J$61,9,FALSE()),""))</f>
      </c>
    </row>
    <row r="16959">
      <c r="E16959">
        <f>IF(DATOS!$I16959="","",IFERROR(VLOOKUP(DATOS!$I16959,CONFIG_ASIGNATURAS!$B$2:$J$61,9,FALSE()),""))</f>
      </c>
    </row>
    <row r="16960">
      <c r="E16960">
        <f>IF(DATOS!$I16960="","",IFERROR(VLOOKUP(DATOS!$I16960,CONFIG_ASIGNATURAS!$B$2:$J$61,9,FALSE()),""))</f>
      </c>
    </row>
    <row r="16961">
      <c r="E16961">
        <f>IF(DATOS!$I16961="","",IFERROR(VLOOKUP(DATOS!$I16961,CONFIG_ASIGNATURAS!$B$2:$J$61,9,FALSE()),""))</f>
      </c>
    </row>
    <row r="16962">
      <c r="E16962">
        <f>IF(DATOS!$I16962="","",IFERROR(VLOOKUP(DATOS!$I16962,CONFIG_ASIGNATURAS!$B$2:$J$61,9,FALSE()),""))</f>
      </c>
    </row>
    <row r="16963">
      <c r="E16963">
        <f>IF(DATOS!$I16963="","",IFERROR(VLOOKUP(DATOS!$I16963,CONFIG_ASIGNATURAS!$B$2:$J$61,9,FALSE()),""))</f>
      </c>
    </row>
    <row r="16964">
      <c r="E16964">
        <f>IF(DATOS!$I16964="","",IFERROR(VLOOKUP(DATOS!$I16964,CONFIG_ASIGNATURAS!$B$2:$J$61,9,FALSE()),""))</f>
      </c>
    </row>
    <row r="16965">
      <c r="E16965">
        <f>IF(DATOS!$I16965="","",IFERROR(VLOOKUP(DATOS!$I16965,CONFIG_ASIGNATURAS!$B$2:$J$61,9,FALSE()),""))</f>
      </c>
    </row>
    <row r="16966">
      <c r="E16966">
        <f>IF(DATOS!$I16966="","",IFERROR(VLOOKUP(DATOS!$I16966,CONFIG_ASIGNATURAS!$B$2:$J$61,9,FALSE()),""))</f>
      </c>
    </row>
    <row r="16967">
      <c r="E16967">
        <f>IF(DATOS!$I16967="","",IFERROR(VLOOKUP(DATOS!$I16967,CONFIG_ASIGNATURAS!$B$2:$J$61,9,FALSE()),""))</f>
      </c>
    </row>
    <row r="16968">
      <c r="E16968">
        <f>IF(DATOS!$I16968="","",IFERROR(VLOOKUP(DATOS!$I16968,CONFIG_ASIGNATURAS!$B$2:$J$61,9,FALSE()),""))</f>
      </c>
    </row>
    <row r="16969">
      <c r="E16969">
        <f>IF(DATOS!$I16969="","",IFERROR(VLOOKUP(DATOS!$I16969,CONFIG_ASIGNATURAS!$B$2:$J$61,9,FALSE()),""))</f>
      </c>
    </row>
    <row r="16970">
      <c r="E16970">
        <f>IF(DATOS!$I16970="","",IFERROR(VLOOKUP(DATOS!$I16970,CONFIG_ASIGNATURAS!$B$2:$J$61,9,FALSE()),""))</f>
      </c>
    </row>
    <row r="16971">
      <c r="E16971">
        <f>IF(DATOS!$I16971="","",IFERROR(VLOOKUP(DATOS!$I16971,CONFIG_ASIGNATURAS!$B$2:$J$61,9,FALSE()),""))</f>
      </c>
    </row>
    <row r="16972">
      <c r="E16972">
        <f>IF(DATOS!$I16972="","",IFERROR(VLOOKUP(DATOS!$I16972,CONFIG_ASIGNATURAS!$B$2:$J$61,9,FALSE()),""))</f>
      </c>
    </row>
    <row r="16973">
      <c r="E16973">
        <f>IF(DATOS!$I16973="","",IFERROR(VLOOKUP(DATOS!$I16973,CONFIG_ASIGNATURAS!$B$2:$J$61,9,FALSE()),""))</f>
      </c>
    </row>
    <row r="16974">
      <c r="E16974">
        <f>IF(DATOS!$I16974="","",IFERROR(VLOOKUP(DATOS!$I16974,CONFIG_ASIGNATURAS!$B$2:$J$61,9,FALSE()),""))</f>
      </c>
    </row>
    <row r="16975">
      <c r="E16975">
        <f>IF(DATOS!$I16975="","",IFERROR(VLOOKUP(DATOS!$I16975,CONFIG_ASIGNATURAS!$B$2:$J$61,9,FALSE()),""))</f>
      </c>
    </row>
    <row r="16976">
      <c r="E16976">
        <f>IF(DATOS!$I16976="","",IFERROR(VLOOKUP(DATOS!$I16976,CONFIG_ASIGNATURAS!$B$2:$J$61,9,FALSE()),""))</f>
      </c>
    </row>
    <row r="16977">
      <c r="E16977">
        <f>IF(DATOS!$I16977="","",IFERROR(VLOOKUP(DATOS!$I16977,CONFIG_ASIGNATURAS!$B$2:$J$61,9,FALSE()),""))</f>
      </c>
    </row>
    <row r="16978">
      <c r="E16978">
        <f>IF(DATOS!$I16978="","",IFERROR(VLOOKUP(DATOS!$I16978,CONFIG_ASIGNATURAS!$B$2:$J$61,9,FALSE()),""))</f>
      </c>
    </row>
    <row r="16979">
      <c r="E16979">
        <f>IF(DATOS!$I16979="","",IFERROR(VLOOKUP(DATOS!$I16979,CONFIG_ASIGNATURAS!$B$2:$J$61,9,FALSE()),""))</f>
      </c>
    </row>
    <row r="16980">
      <c r="E16980">
        <f>IF(DATOS!$I16980="","",IFERROR(VLOOKUP(DATOS!$I16980,CONFIG_ASIGNATURAS!$B$2:$J$61,9,FALSE()),""))</f>
      </c>
    </row>
    <row r="16981">
      <c r="E16981">
        <f>IF(DATOS!$I16981="","",IFERROR(VLOOKUP(DATOS!$I16981,CONFIG_ASIGNATURAS!$B$2:$J$61,9,FALSE()),""))</f>
      </c>
    </row>
    <row r="16982">
      <c r="E16982">
        <f>IF(DATOS!$I16982="","",IFERROR(VLOOKUP(DATOS!$I16982,CONFIG_ASIGNATURAS!$B$2:$J$61,9,FALSE()),""))</f>
      </c>
    </row>
    <row r="16983">
      <c r="E16983">
        <f>IF(DATOS!$I16983="","",IFERROR(VLOOKUP(DATOS!$I16983,CONFIG_ASIGNATURAS!$B$2:$J$61,9,FALSE()),""))</f>
      </c>
    </row>
    <row r="16984">
      <c r="E16984">
        <f>IF(DATOS!$I16984="","",IFERROR(VLOOKUP(DATOS!$I16984,CONFIG_ASIGNATURAS!$B$2:$J$61,9,FALSE()),""))</f>
      </c>
    </row>
    <row r="16985">
      <c r="E16985">
        <f>IF(DATOS!$I16985="","",IFERROR(VLOOKUP(DATOS!$I16985,CONFIG_ASIGNATURAS!$B$2:$J$61,9,FALSE()),""))</f>
      </c>
    </row>
    <row r="16986">
      <c r="E16986">
        <f>IF(DATOS!$I16986="","",IFERROR(VLOOKUP(DATOS!$I16986,CONFIG_ASIGNATURAS!$B$2:$J$61,9,FALSE()),""))</f>
      </c>
    </row>
    <row r="16987">
      <c r="E16987">
        <f>IF(DATOS!$I16987="","",IFERROR(VLOOKUP(DATOS!$I16987,CONFIG_ASIGNATURAS!$B$2:$J$61,9,FALSE()),""))</f>
      </c>
    </row>
    <row r="16988">
      <c r="E16988">
        <f>IF(DATOS!$I16988="","",IFERROR(VLOOKUP(DATOS!$I16988,CONFIG_ASIGNATURAS!$B$2:$J$61,9,FALSE()),""))</f>
      </c>
    </row>
    <row r="16989">
      <c r="E16989">
        <f>IF(DATOS!$I16989="","",IFERROR(VLOOKUP(DATOS!$I16989,CONFIG_ASIGNATURAS!$B$2:$J$61,9,FALSE()),""))</f>
      </c>
    </row>
    <row r="16990">
      <c r="E16990">
        <f>IF(DATOS!$I16990="","",IFERROR(VLOOKUP(DATOS!$I16990,CONFIG_ASIGNATURAS!$B$2:$J$61,9,FALSE()),""))</f>
      </c>
    </row>
    <row r="16991">
      <c r="E16991">
        <f>IF(DATOS!$I16991="","",IFERROR(VLOOKUP(DATOS!$I16991,CONFIG_ASIGNATURAS!$B$2:$J$61,9,FALSE()),""))</f>
      </c>
    </row>
    <row r="16992">
      <c r="E16992">
        <f>IF(DATOS!$I16992="","",IFERROR(VLOOKUP(DATOS!$I16992,CONFIG_ASIGNATURAS!$B$2:$J$61,9,FALSE()),""))</f>
      </c>
    </row>
    <row r="16993">
      <c r="E16993">
        <f>IF(DATOS!$I16993="","",IFERROR(VLOOKUP(DATOS!$I16993,CONFIG_ASIGNATURAS!$B$2:$J$61,9,FALSE()),""))</f>
      </c>
    </row>
    <row r="16994">
      <c r="E16994">
        <f>IF(DATOS!$I16994="","",IFERROR(VLOOKUP(DATOS!$I16994,CONFIG_ASIGNATURAS!$B$2:$J$61,9,FALSE()),""))</f>
      </c>
    </row>
    <row r="16995">
      <c r="E16995">
        <f>IF(DATOS!$I16995="","",IFERROR(VLOOKUP(DATOS!$I16995,CONFIG_ASIGNATURAS!$B$2:$J$61,9,FALSE()),""))</f>
      </c>
    </row>
    <row r="16996">
      <c r="E16996">
        <f>IF(DATOS!$I16996="","",IFERROR(VLOOKUP(DATOS!$I16996,CONFIG_ASIGNATURAS!$B$2:$J$61,9,FALSE()),""))</f>
      </c>
    </row>
    <row r="16997">
      <c r="E16997">
        <f>IF(DATOS!$I16997="","",IFERROR(VLOOKUP(DATOS!$I16997,CONFIG_ASIGNATURAS!$B$2:$J$61,9,FALSE()),""))</f>
      </c>
    </row>
    <row r="16998">
      <c r="E16998">
        <f>IF(DATOS!$I16998="","",IFERROR(VLOOKUP(DATOS!$I16998,CONFIG_ASIGNATURAS!$B$2:$J$61,9,FALSE()),""))</f>
      </c>
    </row>
    <row r="16999">
      <c r="E16999">
        <f>IF(DATOS!$I16999="","",IFERROR(VLOOKUP(DATOS!$I16999,CONFIG_ASIGNATURAS!$B$2:$J$61,9,FALSE()),""))</f>
      </c>
    </row>
    <row r="17000">
      <c r="E17000">
        <f>IF(DATOS!$I17000="","",IFERROR(VLOOKUP(DATOS!$I17000,CONFIG_ASIGNATURAS!$B$2:$J$61,9,FALSE()),""))</f>
      </c>
    </row>
    <row r="17001">
      <c r="E17001">
        <f>IF(DATOS!$I17001="","",IFERROR(VLOOKUP(DATOS!$I17001,CONFIG_ASIGNATURAS!$B$2:$J$61,9,FALSE()),""))</f>
      </c>
    </row>
    <row r="17002">
      <c r="E17002">
        <f>IF(DATOS!$I17002="","",IFERROR(VLOOKUP(DATOS!$I17002,CONFIG_ASIGNATURAS!$B$2:$J$61,9,FALSE()),""))</f>
      </c>
    </row>
    <row r="17003">
      <c r="E17003">
        <f>IF(DATOS!$I17003="","",IFERROR(VLOOKUP(DATOS!$I17003,CONFIG_ASIGNATURAS!$B$2:$J$61,9,FALSE()),""))</f>
      </c>
    </row>
    <row r="17004">
      <c r="E17004">
        <f>IF(DATOS!$I17004="","",IFERROR(VLOOKUP(DATOS!$I17004,CONFIG_ASIGNATURAS!$B$2:$J$61,9,FALSE()),""))</f>
      </c>
    </row>
    <row r="17005">
      <c r="E17005">
        <f>IF(DATOS!$I17005="","",IFERROR(VLOOKUP(DATOS!$I17005,CONFIG_ASIGNATURAS!$B$2:$J$61,9,FALSE()),""))</f>
      </c>
    </row>
    <row r="17006">
      <c r="E17006">
        <f>IF(DATOS!$I17006="","",IFERROR(VLOOKUP(DATOS!$I17006,CONFIG_ASIGNATURAS!$B$2:$J$61,9,FALSE()),""))</f>
      </c>
    </row>
    <row r="17007">
      <c r="E17007">
        <f>IF(DATOS!$I17007="","",IFERROR(VLOOKUP(DATOS!$I17007,CONFIG_ASIGNATURAS!$B$2:$J$61,9,FALSE()),""))</f>
      </c>
    </row>
    <row r="17008">
      <c r="E17008">
        <f>IF(DATOS!$I17008="","",IFERROR(VLOOKUP(DATOS!$I17008,CONFIG_ASIGNATURAS!$B$2:$J$61,9,FALSE()),""))</f>
      </c>
    </row>
    <row r="17009">
      <c r="E17009">
        <f>IF(DATOS!$I17009="","",IFERROR(VLOOKUP(DATOS!$I17009,CONFIG_ASIGNATURAS!$B$2:$J$61,9,FALSE()),""))</f>
      </c>
    </row>
    <row r="17010">
      <c r="E17010">
        <f>IF(DATOS!$I17010="","",IFERROR(VLOOKUP(DATOS!$I17010,CONFIG_ASIGNATURAS!$B$2:$J$61,9,FALSE()),""))</f>
      </c>
    </row>
    <row r="17011">
      <c r="E17011">
        <f>IF(DATOS!$I17011="","",IFERROR(VLOOKUP(DATOS!$I17011,CONFIG_ASIGNATURAS!$B$2:$J$61,9,FALSE()),""))</f>
      </c>
    </row>
    <row r="17012">
      <c r="E17012">
        <f>IF(DATOS!$I17012="","",IFERROR(VLOOKUP(DATOS!$I17012,CONFIG_ASIGNATURAS!$B$2:$J$61,9,FALSE()),""))</f>
      </c>
    </row>
    <row r="17013">
      <c r="E17013">
        <f>IF(DATOS!$I17013="","",IFERROR(VLOOKUP(DATOS!$I17013,CONFIG_ASIGNATURAS!$B$2:$J$61,9,FALSE()),""))</f>
      </c>
    </row>
    <row r="17014">
      <c r="E17014">
        <f>IF(DATOS!$I17014="","",IFERROR(VLOOKUP(DATOS!$I17014,CONFIG_ASIGNATURAS!$B$2:$J$61,9,FALSE()),""))</f>
      </c>
    </row>
    <row r="17015">
      <c r="E17015">
        <f>IF(DATOS!$I17015="","",IFERROR(VLOOKUP(DATOS!$I17015,CONFIG_ASIGNATURAS!$B$2:$J$61,9,FALSE()),""))</f>
      </c>
    </row>
    <row r="17016">
      <c r="E17016">
        <f>IF(DATOS!$I17016="","",IFERROR(VLOOKUP(DATOS!$I17016,CONFIG_ASIGNATURAS!$B$2:$J$61,9,FALSE()),""))</f>
      </c>
    </row>
    <row r="17017">
      <c r="E17017">
        <f>IF(DATOS!$I17017="","",IFERROR(VLOOKUP(DATOS!$I17017,CONFIG_ASIGNATURAS!$B$2:$J$61,9,FALSE()),""))</f>
      </c>
    </row>
    <row r="17018">
      <c r="E17018">
        <f>IF(DATOS!$I17018="","",IFERROR(VLOOKUP(DATOS!$I17018,CONFIG_ASIGNATURAS!$B$2:$J$61,9,FALSE()),""))</f>
      </c>
    </row>
    <row r="17019">
      <c r="E17019">
        <f>IF(DATOS!$I17019="","",IFERROR(VLOOKUP(DATOS!$I17019,CONFIG_ASIGNATURAS!$B$2:$J$61,9,FALSE()),""))</f>
      </c>
    </row>
    <row r="17020">
      <c r="E17020">
        <f>IF(DATOS!$I17020="","",IFERROR(VLOOKUP(DATOS!$I17020,CONFIG_ASIGNATURAS!$B$2:$J$61,9,FALSE()),""))</f>
      </c>
    </row>
    <row r="17021">
      <c r="E17021">
        <f>IF(DATOS!$I17021="","",IFERROR(VLOOKUP(DATOS!$I17021,CONFIG_ASIGNATURAS!$B$2:$J$61,9,FALSE()),""))</f>
      </c>
    </row>
    <row r="17022">
      <c r="E17022">
        <f>IF(DATOS!$I17022="","",IFERROR(VLOOKUP(DATOS!$I17022,CONFIG_ASIGNATURAS!$B$2:$J$61,9,FALSE()),""))</f>
      </c>
    </row>
    <row r="17023">
      <c r="E17023">
        <f>IF(DATOS!$I17023="","",IFERROR(VLOOKUP(DATOS!$I17023,CONFIG_ASIGNATURAS!$B$2:$J$61,9,FALSE()),""))</f>
      </c>
    </row>
    <row r="17024">
      <c r="E17024">
        <f>IF(DATOS!$I17024="","",IFERROR(VLOOKUP(DATOS!$I17024,CONFIG_ASIGNATURAS!$B$2:$J$61,9,FALSE()),""))</f>
      </c>
    </row>
    <row r="17025">
      <c r="E17025">
        <f>IF(DATOS!$I17025="","",IFERROR(VLOOKUP(DATOS!$I17025,CONFIG_ASIGNATURAS!$B$2:$J$61,9,FALSE()),""))</f>
      </c>
    </row>
    <row r="17026">
      <c r="E17026">
        <f>IF(DATOS!$I17026="","",IFERROR(VLOOKUP(DATOS!$I17026,CONFIG_ASIGNATURAS!$B$2:$J$61,9,FALSE()),""))</f>
      </c>
    </row>
    <row r="17027">
      <c r="E17027">
        <f>IF(DATOS!$I17027="","",IFERROR(VLOOKUP(DATOS!$I17027,CONFIG_ASIGNATURAS!$B$2:$J$61,9,FALSE()),""))</f>
      </c>
    </row>
    <row r="17028">
      <c r="E17028">
        <f>IF(DATOS!$I17028="","",IFERROR(VLOOKUP(DATOS!$I17028,CONFIG_ASIGNATURAS!$B$2:$J$61,9,FALSE()),""))</f>
      </c>
    </row>
    <row r="17029">
      <c r="E17029">
        <f>IF(DATOS!$I17029="","",IFERROR(VLOOKUP(DATOS!$I17029,CONFIG_ASIGNATURAS!$B$2:$J$61,9,FALSE()),""))</f>
      </c>
    </row>
    <row r="17030">
      <c r="E17030">
        <f>IF(DATOS!$I17030="","",IFERROR(VLOOKUP(DATOS!$I17030,CONFIG_ASIGNATURAS!$B$2:$J$61,9,FALSE()),""))</f>
      </c>
    </row>
    <row r="17031">
      <c r="E17031">
        <f>IF(DATOS!$I17031="","",IFERROR(VLOOKUP(DATOS!$I17031,CONFIG_ASIGNATURAS!$B$2:$J$61,9,FALSE()),""))</f>
      </c>
    </row>
    <row r="17032">
      <c r="E17032">
        <f>IF(DATOS!$I17032="","",IFERROR(VLOOKUP(DATOS!$I17032,CONFIG_ASIGNATURAS!$B$2:$J$61,9,FALSE()),""))</f>
      </c>
    </row>
    <row r="17033">
      <c r="E17033">
        <f>IF(DATOS!$I17033="","",IFERROR(VLOOKUP(DATOS!$I17033,CONFIG_ASIGNATURAS!$B$2:$J$61,9,FALSE()),""))</f>
      </c>
    </row>
    <row r="17034">
      <c r="E17034">
        <f>IF(DATOS!$I17034="","",IFERROR(VLOOKUP(DATOS!$I17034,CONFIG_ASIGNATURAS!$B$2:$J$61,9,FALSE()),""))</f>
      </c>
    </row>
    <row r="17035">
      <c r="E17035">
        <f>IF(DATOS!$I17035="","",IFERROR(VLOOKUP(DATOS!$I17035,CONFIG_ASIGNATURAS!$B$2:$J$61,9,FALSE()),""))</f>
      </c>
    </row>
    <row r="17036">
      <c r="E17036">
        <f>IF(DATOS!$I17036="","",IFERROR(VLOOKUP(DATOS!$I17036,CONFIG_ASIGNATURAS!$B$2:$J$61,9,FALSE()),""))</f>
      </c>
    </row>
    <row r="17037">
      <c r="E17037">
        <f>IF(DATOS!$I17037="","",IFERROR(VLOOKUP(DATOS!$I17037,CONFIG_ASIGNATURAS!$B$2:$J$61,9,FALSE()),""))</f>
      </c>
    </row>
    <row r="17038">
      <c r="E17038">
        <f>IF(DATOS!$I17038="","",IFERROR(VLOOKUP(DATOS!$I17038,CONFIG_ASIGNATURAS!$B$2:$J$61,9,FALSE()),""))</f>
      </c>
    </row>
    <row r="17039">
      <c r="E17039">
        <f>IF(DATOS!$I17039="","",IFERROR(VLOOKUP(DATOS!$I17039,CONFIG_ASIGNATURAS!$B$2:$J$61,9,FALSE()),""))</f>
      </c>
    </row>
    <row r="17040">
      <c r="E17040">
        <f>IF(DATOS!$I17040="","",IFERROR(VLOOKUP(DATOS!$I17040,CONFIG_ASIGNATURAS!$B$2:$J$61,9,FALSE()),""))</f>
      </c>
    </row>
    <row r="17041">
      <c r="E17041">
        <f>IF(DATOS!$I17041="","",IFERROR(VLOOKUP(DATOS!$I17041,CONFIG_ASIGNATURAS!$B$2:$J$61,9,FALSE()),""))</f>
      </c>
    </row>
    <row r="17042">
      <c r="E17042">
        <f>IF(DATOS!$I17042="","",IFERROR(VLOOKUP(DATOS!$I17042,CONFIG_ASIGNATURAS!$B$2:$J$61,9,FALSE()),""))</f>
      </c>
    </row>
    <row r="17043">
      <c r="E17043">
        <f>IF(DATOS!$I17043="","",IFERROR(VLOOKUP(DATOS!$I17043,CONFIG_ASIGNATURAS!$B$2:$J$61,9,FALSE()),""))</f>
      </c>
    </row>
    <row r="17044">
      <c r="E17044">
        <f>IF(DATOS!$I17044="","",IFERROR(VLOOKUP(DATOS!$I17044,CONFIG_ASIGNATURAS!$B$2:$J$61,9,FALSE()),""))</f>
      </c>
    </row>
    <row r="17045">
      <c r="E17045">
        <f>IF(DATOS!$I17045="","",IFERROR(VLOOKUP(DATOS!$I17045,CONFIG_ASIGNATURAS!$B$2:$J$61,9,FALSE()),""))</f>
      </c>
    </row>
    <row r="17046">
      <c r="E17046">
        <f>IF(DATOS!$I17046="","",IFERROR(VLOOKUP(DATOS!$I17046,CONFIG_ASIGNATURAS!$B$2:$J$61,9,FALSE()),""))</f>
      </c>
    </row>
    <row r="17047">
      <c r="E17047">
        <f>IF(DATOS!$I17047="","",IFERROR(VLOOKUP(DATOS!$I17047,CONFIG_ASIGNATURAS!$B$2:$J$61,9,FALSE()),""))</f>
      </c>
    </row>
    <row r="17048">
      <c r="E17048">
        <f>IF(DATOS!$I17048="","",IFERROR(VLOOKUP(DATOS!$I17048,CONFIG_ASIGNATURAS!$B$2:$J$61,9,FALSE()),""))</f>
      </c>
    </row>
    <row r="17049">
      <c r="E17049">
        <f>IF(DATOS!$I17049="","",IFERROR(VLOOKUP(DATOS!$I17049,CONFIG_ASIGNATURAS!$B$2:$J$61,9,FALSE()),""))</f>
      </c>
    </row>
    <row r="17050">
      <c r="E17050">
        <f>IF(DATOS!$I17050="","",IFERROR(VLOOKUP(DATOS!$I17050,CONFIG_ASIGNATURAS!$B$2:$J$61,9,FALSE()),""))</f>
      </c>
    </row>
    <row r="17051">
      <c r="E17051">
        <f>IF(DATOS!$I17051="","",IFERROR(VLOOKUP(DATOS!$I17051,CONFIG_ASIGNATURAS!$B$2:$J$61,9,FALSE()),""))</f>
      </c>
    </row>
    <row r="17052">
      <c r="E17052">
        <f>IF(DATOS!$I17052="","",IFERROR(VLOOKUP(DATOS!$I17052,CONFIG_ASIGNATURAS!$B$2:$J$61,9,FALSE()),""))</f>
      </c>
    </row>
    <row r="17053">
      <c r="E17053">
        <f>IF(DATOS!$I17053="","",IFERROR(VLOOKUP(DATOS!$I17053,CONFIG_ASIGNATURAS!$B$2:$J$61,9,FALSE()),""))</f>
      </c>
    </row>
    <row r="17054">
      <c r="E17054">
        <f>IF(DATOS!$I17054="","",IFERROR(VLOOKUP(DATOS!$I17054,CONFIG_ASIGNATURAS!$B$2:$J$61,9,FALSE()),""))</f>
      </c>
    </row>
    <row r="17055">
      <c r="E17055">
        <f>IF(DATOS!$I17055="","",IFERROR(VLOOKUP(DATOS!$I17055,CONFIG_ASIGNATURAS!$B$2:$J$61,9,FALSE()),""))</f>
      </c>
    </row>
    <row r="17056">
      <c r="E17056">
        <f>IF(DATOS!$I17056="","",IFERROR(VLOOKUP(DATOS!$I17056,CONFIG_ASIGNATURAS!$B$2:$J$61,9,FALSE()),""))</f>
      </c>
    </row>
    <row r="17057">
      <c r="E17057">
        <f>IF(DATOS!$I17057="","",IFERROR(VLOOKUP(DATOS!$I17057,CONFIG_ASIGNATURAS!$B$2:$J$61,9,FALSE()),""))</f>
      </c>
    </row>
    <row r="17058">
      <c r="E17058">
        <f>IF(DATOS!$I17058="","",IFERROR(VLOOKUP(DATOS!$I17058,CONFIG_ASIGNATURAS!$B$2:$J$61,9,FALSE()),""))</f>
      </c>
    </row>
    <row r="17059">
      <c r="E17059">
        <f>IF(DATOS!$I17059="","",IFERROR(VLOOKUP(DATOS!$I17059,CONFIG_ASIGNATURAS!$B$2:$J$61,9,FALSE()),""))</f>
      </c>
    </row>
    <row r="17060">
      <c r="E17060">
        <f>IF(DATOS!$I17060="","",IFERROR(VLOOKUP(DATOS!$I17060,CONFIG_ASIGNATURAS!$B$2:$J$61,9,FALSE()),""))</f>
      </c>
    </row>
    <row r="17061">
      <c r="E17061">
        <f>IF(DATOS!$I17061="","",IFERROR(VLOOKUP(DATOS!$I17061,CONFIG_ASIGNATURAS!$B$2:$J$61,9,FALSE()),""))</f>
      </c>
    </row>
    <row r="17062">
      <c r="E17062">
        <f>IF(DATOS!$I17062="","",IFERROR(VLOOKUP(DATOS!$I17062,CONFIG_ASIGNATURAS!$B$2:$J$61,9,FALSE()),""))</f>
      </c>
    </row>
    <row r="17063">
      <c r="E17063">
        <f>IF(DATOS!$I17063="","",IFERROR(VLOOKUP(DATOS!$I17063,CONFIG_ASIGNATURAS!$B$2:$J$61,9,FALSE()),""))</f>
      </c>
    </row>
    <row r="17064">
      <c r="E17064">
        <f>IF(DATOS!$I17064="","",IFERROR(VLOOKUP(DATOS!$I17064,CONFIG_ASIGNATURAS!$B$2:$J$61,9,FALSE()),""))</f>
      </c>
    </row>
    <row r="17065">
      <c r="E17065">
        <f>IF(DATOS!$I17065="","",IFERROR(VLOOKUP(DATOS!$I17065,CONFIG_ASIGNATURAS!$B$2:$J$61,9,FALSE()),""))</f>
      </c>
    </row>
    <row r="17066">
      <c r="E17066">
        <f>IF(DATOS!$I17066="","",IFERROR(VLOOKUP(DATOS!$I17066,CONFIG_ASIGNATURAS!$B$2:$J$61,9,FALSE()),""))</f>
      </c>
    </row>
    <row r="17067">
      <c r="E17067">
        <f>IF(DATOS!$I17067="","",IFERROR(VLOOKUP(DATOS!$I17067,CONFIG_ASIGNATURAS!$B$2:$J$61,9,FALSE()),""))</f>
      </c>
    </row>
    <row r="17068">
      <c r="E17068">
        <f>IF(DATOS!$I17068="","",IFERROR(VLOOKUP(DATOS!$I17068,CONFIG_ASIGNATURAS!$B$2:$J$61,9,FALSE()),""))</f>
      </c>
    </row>
    <row r="17069">
      <c r="E17069">
        <f>IF(DATOS!$I17069="","",IFERROR(VLOOKUP(DATOS!$I17069,CONFIG_ASIGNATURAS!$B$2:$J$61,9,FALSE()),""))</f>
      </c>
    </row>
    <row r="17070">
      <c r="E17070">
        <f>IF(DATOS!$I17070="","",IFERROR(VLOOKUP(DATOS!$I17070,CONFIG_ASIGNATURAS!$B$2:$J$61,9,FALSE()),""))</f>
      </c>
    </row>
    <row r="17071">
      <c r="E17071">
        <f>IF(DATOS!$I17071="","",IFERROR(VLOOKUP(DATOS!$I17071,CONFIG_ASIGNATURAS!$B$2:$J$61,9,FALSE()),""))</f>
      </c>
    </row>
    <row r="17072">
      <c r="E17072">
        <f>IF(DATOS!$I17072="","",IFERROR(VLOOKUP(DATOS!$I17072,CONFIG_ASIGNATURAS!$B$2:$J$61,9,FALSE()),""))</f>
      </c>
    </row>
    <row r="17073">
      <c r="E17073">
        <f>IF(DATOS!$I17073="","",IFERROR(VLOOKUP(DATOS!$I17073,CONFIG_ASIGNATURAS!$B$2:$J$61,9,FALSE()),""))</f>
      </c>
    </row>
    <row r="17074">
      <c r="E17074">
        <f>IF(DATOS!$I17074="","",IFERROR(VLOOKUP(DATOS!$I17074,CONFIG_ASIGNATURAS!$B$2:$J$61,9,FALSE()),""))</f>
      </c>
    </row>
    <row r="17075">
      <c r="E17075">
        <f>IF(DATOS!$I17075="","",IFERROR(VLOOKUP(DATOS!$I17075,CONFIG_ASIGNATURAS!$B$2:$J$61,9,FALSE()),""))</f>
      </c>
    </row>
    <row r="17076">
      <c r="E17076">
        <f>IF(DATOS!$I17076="","",IFERROR(VLOOKUP(DATOS!$I17076,CONFIG_ASIGNATURAS!$B$2:$J$61,9,FALSE()),""))</f>
      </c>
    </row>
    <row r="17077">
      <c r="E17077">
        <f>IF(DATOS!$I17077="","",IFERROR(VLOOKUP(DATOS!$I17077,CONFIG_ASIGNATURAS!$B$2:$J$61,9,FALSE()),""))</f>
      </c>
    </row>
    <row r="17078">
      <c r="E17078">
        <f>IF(DATOS!$I17078="","",IFERROR(VLOOKUP(DATOS!$I17078,CONFIG_ASIGNATURAS!$B$2:$J$61,9,FALSE()),""))</f>
      </c>
    </row>
    <row r="17079">
      <c r="E17079">
        <f>IF(DATOS!$I17079="","",IFERROR(VLOOKUP(DATOS!$I17079,CONFIG_ASIGNATURAS!$B$2:$J$61,9,FALSE()),""))</f>
      </c>
    </row>
    <row r="17080">
      <c r="E17080">
        <f>IF(DATOS!$I17080="","",IFERROR(VLOOKUP(DATOS!$I17080,CONFIG_ASIGNATURAS!$B$2:$J$61,9,FALSE()),""))</f>
      </c>
    </row>
    <row r="17081">
      <c r="E17081">
        <f>IF(DATOS!$I17081="","",IFERROR(VLOOKUP(DATOS!$I17081,CONFIG_ASIGNATURAS!$B$2:$J$61,9,FALSE()),""))</f>
      </c>
    </row>
    <row r="17082">
      <c r="E17082">
        <f>IF(DATOS!$I17082="","",IFERROR(VLOOKUP(DATOS!$I17082,CONFIG_ASIGNATURAS!$B$2:$J$61,9,FALSE()),""))</f>
      </c>
    </row>
    <row r="17083">
      <c r="E17083">
        <f>IF(DATOS!$I17083="","",IFERROR(VLOOKUP(DATOS!$I17083,CONFIG_ASIGNATURAS!$B$2:$J$61,9,FALSE()),""))</f>
      </c>
    </row>
    <row r="17084">
      <c r="E17084">
        <f>IF(DATOS!$I17084="","",IFERROR(VLOOKUP(DATOS!$I17084,CONFIG_ASIGNATURAS!$B$2:$J$61,9,FALSE()),""))</f>
      </c>
    </row>
    <row r="17085">
      <c r="E17085">
        <f>IF(DATOS!$I17085="","",IFERROR(VLOOKUP(DATOS!$I17085,CONFIG_ASIGNATURAS!$B$2:$J$61,9,FALSE()),""))</f>
      </c>
    </row>
    <row r="17086">
      <c r="E17086">
        <f>IF(DATOS!$I17086="","",IFERROR(VLOOKUP(DATOS!$I17086,CONFIG_ASIGNATURAS!$B$2:$J$61,9,FALSE()),""))</f>
      </c>
    </row>
    <row r="17087">
      <c r="E17087">
        <f>IF(DATOS!$I17087="","",IFERROR(VLOOKUP(DATOS!$I17087,CONFIG_ASIGNATURAS!$B$2:$J$61,9,FALSE()),""))</f>
      </c>
    </row>
    <row r="17088">
      <c r="E17088">
        <f>IF(DATOS!$I17088="","",IFERROR(VLOOKUP(DATOS!$I17088,CONFIG_ASIGNATURAS!$B$2:$J$61,9,FALSE()),""))</f>
      </c>
    </row>
    <row r="17089">
      <c r="E17089">
        <f>IF(DATOS!$I17089="","",IFERROR(VLOOKUP(DATOS!$I17089,CONFIG_ASIGNATURAS!$B$2:$J$61,9,FALSE()),""))</f>
      </c>
    </row>
    <row r="17090">
      <c r="E17090">
        <f>IF(DATOS!$I17090="","",IFERROR(VLOOKUP(DATOS!$I17090,CONFIG_ASIGNATURAS!$B$2:$J$61,9,FALSE()),""))</f>
      </c>
    </row>
    <row r="17091">
      <c r="E17091">
        <f>IF(DATOS!$I17091="","",IFERROR(VLOOKUP(DATOS!$I17091,CONFIG_ASIGNATURAS!$B$2:$J$61,9,FALSE()),""))</f>
      </c>
    </row>
    <row r="17092">
      <c r="E17092">
        <f>IF(DATOS!$I17092="","",IFERROR(VLOOKUP(DATOS!$I17092,CONFIG_ASIGNATURAS!$B$2:$J$61,9,FALSE()),""))</f>
      </c>
    </row>
    <row r="17093">
      <c r="E17093">
        <f>IF(DATOS!$I17093="","",IFERROR(VLOOKUP(DATOS!$I17093,CONFIG_ASIGNATURAS!$B$2:$J$61,9,FALSE()),""))</f>
      </c>
    </row>
    <row r="17094">
      <c r="E17094">
        <f>IF(DATOS!$I17094="","",IFERROR(VLOOKUP(DATOS!$I17094,CONFIG_ASIGNATURAS!$B$2:$J$61,9,FALSE()),""))</f>
      </c>
    </row>
    <row r="17095">
      <c r="E17095">
        <f>IF(DATOS!$I17095="","",IFERROR(VLOOKUP(DATOS!$I17095,CONFIG_ASIGNATURAS!$B$2:$J$61,9,FALSE()),""))</f>
      </c>
    </row>
    <row r="17096">
      <c r="E17096">
        <f>IF(DATOS!$I17096="","",IFERROR(VLOOKUP(DATOS!$I17096,CONFIG_ASIGNATURAS!$B$2:$J$61,9,FALSE()),""))</f>
      </c>
    </row>
    <row r="17097">
      <c r="E17097">
        <f>IF(DATOS!$I17097="","",IFERROR(VLOOKUP(DATOS!$I17097,CONFIG_ASIGNATURAS!$B$2:$J$61,9,FALSE()),""))</f>
      </c>
    </row>
    <row r="17098">
      <c r="E17098">
        <f>IF(DATOS!$I17098="","",IFERROR(VLOOKUP(DATOS!$I17098,CONFIG_ASIGNATURAS!$B$2:$J$61,9,FALSE()),""))</f>
      </c>
    </row>
    <row r="17099">
      <c r="E17099">
        <f>IF(DATOS!$I17099="","",IFERROR(VLOOKUP(DATOS!$I17099,CONFIG_ASIGNATURAS!$B$2:$J$61,9,FALSE()),""))</f>
      </c>
    </row>
    <row r="17100">
      <c r="E17100">
        <f>IF(DATOS!$I17100="","",IFERROR(VLOOKUP(DATOS!$I17100,CONFIG_ASIGNATURAS!$B$2:$J$61,9,FALSE()),""))</f>
      </c>
    </row>
    <row r="17101">
      <c r="E17101">
        <f>IF(DATOS!$I17101="","",IFERROR(VLOOKUP(DATOS!$I17101,CONFIG_ASIGNATURAS!$B$2:$J$61,9,FALSE()),""))</f>
      </c>
    </row>
    <row r="17102">
      <c r="E17102">
        <f>IF(DATOS!$I17102="","",IFERROR(VLOOKUP(DATOS!$I17102,CONFIG_ASIGNATURAS!$B$2:$J$61,9,FALSE()),""))</f>
      </c>
    </row>
    <row r="17103">
      <c r="E17103">
        <f>IF(DATOS!$I17103="","",IFERROR(VLOOKUP(DATOS!$I17103,CONFIG_ASIGNATURAS!$B$2:$J$61,9,FALSE()),""))</f>
      </c>
    </row>
    <row r="17104">
      <c r="E17104">
        <f>IF(DATOS!$I17104="","",IFERROR(VLOOKUP(DATOS!$I17104,CONFIG_ASIGNATURAS!$B$2:$J$61,9,FALSE()),""))</f>
      </c>
    </row>
    <row r="17105">
      <c r="E17105">
        <f>IF(DATOS!$I17105="","",IFERROR(VLOOKUP(DATOS!$I17105,CONFIG_ASIGNATURAS!$B$2:$J$61,9,FALSE()),""))</f>
      </c>
    </row>
    <row r="17106">
      <c r="E17106">
        <f>IF(DATOS!$I17106="","",IFERROR(VLOOKUP(DATOS!$I17106,CONFIG_ASIGNATURAS!$B$2:$J$61,9,FALSE()),""))</f>
      </c>
    </row>
    <row r="17107">
      <c r="E17107">
        <f>IF(DATOS!$I17107="","",IFERROR(VLOOKUP(DATOS!$I17107,CONFIG_ASIGNATURAS!$B$2:$J$61,9,FALSE()),""))</f>
      </c>
    </row>
    <row r="17108">
      <c r="E17108">
        <f>IF(DATOS!$I17108="","",IFERROR(VLOOKUP(DATOS!$I17108,CONFIG_ASIGNATURAS!$B$2:$J$61,9,FALSE()),""))</f>
      </c>
    </row>
    <row r="17109">
      <c r="E17109">
        <f>IF(DATOS!$I17109="","",IFERROR(VLOOKUP(DATOS!$I17109,CONFIG_ASIGNATURAS!$B$2:$J$61,9,FALSE()),""))</f>
      </c>
    </row>
    <row r="17110">
      <c r="E17110">
        <f>IF(DATOS!$I17110="","",IFERROR(VLOOKUP(DATOS!$I17110,CONFIG_ASIGNATURAS!$B$2:$J$61,9,FALSE()),""))</f>
      </c>
    </row>
    <row r="17111">
      <c r="E17111">
        <f>IF(DATOS!$I17111="","",IFERROR(VLOOKUP(DATOS!$I17111,CONFIG_ASIGNATURAS!$B$2:$J$61,9,FALSE()),""))</f>
      </c>
    </row>
    <row r="17112">
      <c r="E17112">
        <f>IF(DATOS!$I17112="","",IFERROR(VLOOKUP(DATOS!$I17112,CONFIG_ASIGNATURAS!$B$2:$J$61,9,FALSE()),""))</f>
      </c>
    </row>
    <row r="17113">
      <c r="E17113">
        <f>IF(DATOS!$I17113="","",IFERROR(VLOOKUP(DATOS!$I17113,CONFIG_ASIGNATURAS!$B$2:$J$61,9,FALSE()),""))</f>
      </c>
    </row>
    <row r="17114">
      <c r="E17114">
        <f>IF(DATOS!$I17114="","",IFERROR(VLOOKUP(DATOS!$I17114,CONFIG_ASIGNATURAS!$B$2:$J$61,9,FALSE()),""))</f>
      </c>
    </row>
    <row r="17115">
      <c r="E17115">
        <f>IF(DATOS!$I17115="","",IFERROR(VLOOKUP(DATOS!$I17115,CONFIG_ASIGNATURAS!$B$2:$J$61,9,FALSE()),""))</f>
      </c>
    </row>
    <row r="17116">
      <c r="E17116">
        <f>IF(DATOS!$I17116="","",IFERROR(VLOOKUP(DATOS!$I17116,CONFIG_ASIGNATURAS!$B$2:$J$61,9,FALSE()),""))</f>
      </c>
    </row>
    <row r="17117">
      <c r="E17117">
        <f>IF(DATOS!$I17117="","",IFERROR(VLOOKUP(DATOS!$I17117,CONFIG_ASIGNATURAS!$B$2:$J$61,9,FALSE()),""))</f>
      </c>
    </row>
    <row r="17118">
      <c r="E17118">
        <f>IF(DATOS!$I17118="","",IFERROR(VLOOKUP(DATOS!$I17118,CONFIG_ASIGNATURAS!$B$2:$J$61,9,FALSE()),""))</f>
      </c>
    </row>
    <row r="17119">
      <c r="E17119">
        <f>IF(DATOS!$I17119="","",IFERROR(VLOOKUP(DATOS!$I17119,CONFIG_ASIGNATURAS!$B$2:$J$61,9,FALSE()),""))</f>
      </c>
    </row>
    <row r="17120">
      <c r="E17120">
        <f>IF(DATOS!$I17120="","",IFERROR(VLOOKUP(DATOS!$I17120,CONFIG_ASIGNATURAS!$B$2:$J$61,9,FALSE()),""))</f>
      </c>
    </row>
    <row r="17121">
      <c r="E17121">
        <f>IF(DATOS!$I17121="","",IFERROR(VLOOKUP(DATOS!$I17121,CONFIG_ASIGNATURAS!$B$2:$J$61,9,FALSE()),""))</f>
      </c>
    </row>
    <row r="17122">
      <c r="E17122">
        <f>IF(DATOS!$I17122="","",IFERROR(VLOOKUP(DATOS!$I17122,CONFIG_ASIGNATURAS!$B$2:$J$61,9,FALSE()),""))</f>
      </c>
    </row>
    <row r="17123">
      <c r="E17123">
        <f>IF(DATOS!$I17123="","",IFERROR(VLOOKUP(DATOS!$I17123,CONFIG_ASIGNATURAS!$B$2:$J$61,9,FALSE()),""))</f>
      </c>
    </row>
    <row r="17124">
      <c r="E17124">
        <f>IF(DATOS!$I17124="","",IFERROR(VLOOKUP(DATOS!$I17124,CONFIG_ASIGNATURAS!$B$2:$J$61,9,FALSE()),""))</f>
      </c>
    </row>
    <row r="17125">
      <c r="E17125">
        <f>IF(DATOS!$I17125="","",IFERROR(VLOOKUP(DATOS!$I17125,CONFIG_ASIGNATURAS!$B$2:$J$61,9,FALSE()),""))</f>
      </c>
    </row>
    <row r="17126">
      <c r="E17126">
        <f>IF(DATOS!$I17126="","",IFERROR(VLOOKUP(DATOS!$I17126,CONFIG_ASIGNATURAS!$B$2:$J$61,9,FALSE()),""))</f>
      </c>
    </row>
    <row r="17127">
      <c r="E17127">
        <f>IF(DATOS!$I17127="","",IFERROR(VLOOKUP(DATOS!$I17127,CONFIG_ASIGNATURAS!$B$2:$J$61,9,FALSE()),""))</f>
      </c>
    </row>
    <row r="17128">
      <c r="E17128">
        <f>IF(DATOS!$I17128="","",IFERROR(VLOOKUP(DATOS!$I17128,CONFIG_ASIGNATURAS!$B$2:$J$61,9,FALSE()),""))</f>
      </c>
    </row>
    <row r="17129">
      <c r="E17129">
        <f>IF(DATOS!$I17129="","",IFERROR(VLOOKUP(DATOS!$I17129,CONFIG_ASIGNATURAS!$B$2:$J$61,9,FALSE()),""))</f>
      </c>
    </row>
    <row r="17130">
      <c r="E17130">
        <f>IF(DATOS!$I17130="","",IFERROR(VLOOKUP(DATOS!$I17130,CONFIG_ASIGNATURAS!$B$2:$J$61,9,FALSE()),""))</f>
      </c>
    </row>
    <row r="17131">
      <c r="E17131">
        <f>IF(DATOS!$I17131="","",IFERROR(VLOOKUP(DATOS!$I17131,CONFIG_ASIGNATURAS!$B$2:$J$61,9,FALSE()),""))</f>
      </c>
    </row>
    <row r="17132">
      <c r="E17132">
        <f>IF(DATOS!$I17132="","",IFERROR(VLOOKUP(DATOS!$I17132,CONFIG_ASIGNATURAS!$B$2:$J$61,9,FALSE()),""))</f>
      </c>
    </row>
    <row r="17133">
      <c r="E17133">
        <f>IF(DATOS!$I17133="","",IFERROR(VLOOKUP(DATOS!$I17133,CONFIG_ASIGNATURAS!$B$2:$J$61,9,FALSE()),""))</f>
      </c>
    </row>
    <row r="17134">
      <c r="E17134">
        <f>IF(DATOS!$I17134="","",IFERROR(VLOOKUP(DATOS!$I17134,CONFIG_ASIGNATURAS!$B$2:$J$61,9,FALSE()),""))</f>
      </c>
    </row>
    <row r="17135">
      <c r="E17135">
        <f>IF(DATOS!$I17135="","",IFERROR(VLOOKUP(DATOS!$I17135,CONFIG_ASIGNATURAS!$B$2:$J$61,9,FALSE()),""))</f>
      </c>
    </row>
    <row r="17136">
      <c r="E17136">
        <f>IF(DATOS!$I17136="","",IFERROR(VLOOKUP(DATOS!$I17136,CONFIG_ASIGNATURAS!$B$2:$J$61,9,FALSE()),""))</f>
      </c>
    </row>
    <row r="17137">
      <c r="E17137">
        <f>IF(DATOS!$I17137="","",IFERROR(VLOOKUP(DATOS!$I17137,CONFIG_ASIGNATURAS!$B$2:$J$61,9,FALSE()),""))</f>
      </c>
    </row>
    <row r="17138">
      <c r="E17138">
        <f>IF(DATOS!$I17138="","",IFERROR(VLOOKUP(DATOS!$I17138,CONFIG_ASIGNATURAS!$B$2:$J$61,9,FALSE()),""))</f>
      </c>
    </row>
    <row r="17139">
      <c r="E17139">
        <f>IF(DATOS!$I17139="","",IFERROR(VLOOKUP(DATOS!$I17139,CONFIG_ASIGNATURAS!$B$2:$J$61,9,FALSE()),""))</f>
      </c>
    </row>
    <row r="17140">
      <c r="E17140">
        <f>IF(DATOS!$I17140="","",IFERROR(VLOOKUP(DATOS!$I17140,CONFIG_ASIGNATURAS!$B$2:$J$61,9,FALSE()),""))</f>
      </c>
    </row>
    <row r="17141">
      <c r="E17141">
        <f>IF(DATOS!$I17141="","",IFERROR(VLOOKUP(DATOS!$I17141,CONFIG_ASIGNATURAS!$B$2:$J$61,9,FALSE()),""))</f>
      </c>
    </row>
    <row r="17142">
      <c r="E17142">
        <f>IF(DATOS!$I17142="","",IFERROR(VLOOKUP(DATOS!$I17142,CONFIG_ASIGNATURAS!$B$2:$J$61,9,FALSE()),""))</f>
      </c>
    </row>
    <row r="17143">
      <c r="E17143">
        <f>IF(DATOS!$I17143="","",IFERROR(VLOOKUP(DATOS!$I17143,CONFIG_ASIGNATURAS!$B$2:$J$61,9,FALSE()),""))</f>
      </c>
    </row>
    <row r="17144">
      <c r="E17144">
        <f>IF(DATOS!$I17144="","",IFERROR(VLOOKUP(DATOS!$I17144,CONFIG_ASIGNATURAS!$B$2:$J$61,9,FALSE()),""))</f>
      </c>
    </row>
    <row r="17145">
      <c r="E17145">
        <f>IF(DATOS!$I17145="","",IFERROR(VLOOKUP(DATOS!$I17145,CONFIG_ASIGNATURAS!$B$2:$J$61,9,FALSE()),""))</f>
      </c>
    </row>
    <row r="17146">
      <c r="E17146">
        <f>IF(DATOS!$I17146="","",IFERROR(VLOOKUP(DATOS!$I17146,CONFIG_ASIGNATURAS!$B$2:$J$61,9,FALSE()),""))</f>
      </c>
    </row>
    <row r="17147">
      <c r="E17147">
        <f>IF(DATOS!$I17147="","",IFERROR(VLOOKUP(DATOS!$I17147,CONFIG_ASIGNATURAS!$B$2:$J$61,9,FALSE()),""))</f>
      </c>
    </row>
    <row r="17148">
      <c r="E17148">
        <f>IF(DATOS!$I17148="","",IFERROR(VLOOKUP(DATOS!$I17148,CONFIG_ASIGNATURAS!$B$2:$J$61,9,FALSE()),""))</f>
      </c>
    </row>
    <row r="17149">
      <c r="E17149">
        <f>IF(DATOS!$I17149="","",IFERROR(VLOOKUP(DATOS!$I17149,CONFIG_ASIGNATURAS!$B$2:$J$61,9,FALSE()),""))</f>
      </c>
    </row>
    <row r="17150">
      <c r="E17150">
        <f>IF(DATOS!$I17150="","",IFERROR(VLOOKUP(DATOS!$I17150,CONFIG_ASIGNATURAS!$B$2:$J$61,9,FALSE()),""))</f>
      </c>
    </row>
    <row r="17151">
      <c r="E17151">
        <f>IF(DATOS!$I17151="","",IFERROR(VLOOKUP(DATOS!$I17151,CONFIG_ASIGNATURAS!$B$2:$J$61,9,FALSE()),""))</f>
      </c>
    </row>
    <row r="17152">
      <c r="E17152">
        <f>IF(DATOS!$I17152="","",IFERROR(VLOOKUP(DATOS!$I17152,CONFIG_ASIGNATURAS!$B$2:$J$61,9,FALSE()),""))</f>
      </c>
    </row>
    <row r="17153">
      <c r="E17153">
        <f>IF(DATOS!$I17153="","",IFERROR(VLOOKUP(DATOS!$I17153,CONFIG_ASIGNATURAS!$B$2:$J$61,9,FALSE()),""))</f>
      </c>
    </row>
    <row r="17154">
      <c r="E17154">
        <f>IF(DATOS!$I17154="","",IFERROR(VLOOKUP(DATOS!$I17154,CONFIG_ASIGNATURAS!$B$2:$J$61,9,FALSE()),""))</f>
      </c>
    </row>
    <row r="17155">
      <c r="E17155">
        <f>IF(DATOS!$I17155="","",IFERROR(VLOOKUP(DATOS!$I17155,CONFIG_ASIGNATURAS!$B$2:$J$61,9,FALSE()),""))</f>
      </c>
    </row>
    <row r="17156">
      <c r="E17156">
        <f>IF(DATOS!$I17156="","",IFERROR(VLOOKUP(DATOS!$I17156,CONFIG_ASIGNATURAS!$B$2:$J$61,9,FALSE()),""))</f>
      </c>
    </row>
    <row r="17157">
      <c r="E17157">
        <f>IF(DATOS!$I17157="","",IFERROR(VLOOKUP(DATOS!$I17157,CONFIG_ASIGNATURAS!$B$2:$J$61,9,FALSE()),""))</f>
      </c>
    </row>
    <row r="17158">
      <c r="E17158">
        <f>IF(DATOS!$I17158="","",IFERROR(VLOOKUP(DATOS!$I17158,CONFIG_ASIGNATURAS!$B$2:$J$61,9,FALSE()),""))</f>
      </c>
    </row>
    <row r="17159">
      <c r="E17159">
        <f>IF(DATOS!$I17159="","",IFERROR(VLOOKUP(DATOS!$I17159,CONFIG_ASIGNATURAS!$B$2:$J$61,9,FALSE()),""))</f>
      </c>
    </row>
    <row r="17160">
      <c r="E17160">
        <f>IF(DATOS!$I17160="","",IFERROR(VLOOKUP(DATOS!$I17160,CONFIG_ASIGNATURAS!$B$2:$J$61,9,FALSE()),""))</f>
      </c>
    </row>
    <row r="17161">
      <c r="E17161">
        <f>IF(DATOS!$I17161="","",IFERROR(VLOOKUP(DATOS!$I17161,CONFIG_ASIGNATURAS!$B$2:$J$61,9,FALSE()),""))</f>
      </c>
    </row>
    <row r="17162">
      <c r="E17162">
        <f>IF(DATOS!$I17162="","",IFERROR(VLOOKUP(DATOS!$I17162,CONFIG_ASIGNATURAS!$B$2:$J$61,9,FALSE()),""))</f>
      </c>
    </row>
    <row r="17163">
      <c r="E17163">
        <f>IF(DATOS!$I17163="","",IFERROR(VLOOKUP(DATOS!$I17163,CONFIG_ASIGNATURAS!$B$2:$J$61,9,FALSE()),""))</f>
      </c>
    </row>
    <row r="17164">
      <c r="E17164">
        <f>IF(DATOS!$I17164="","",IFERROR(VLOOKUP(DATOS!$I17164,CONFIG_ASIGNATURAS!$B$2:$J$61,9,FALSE()),""))</f>
      </c>
    </row>
    <row r="17165">
      <c r="E17165">
        <f>IF(DATOS!$I17165="","",IFERROR(VLOOKUP(DATOS!$I17165,CONFIG_ASIGNATURAS!$B$2:$J$61,9,FALSE()),""))</f>
      </c>
    </row>
    <row r="17166">
      <c r="E17166">
        <f>IF(DATOS!$I17166="","",IFERROR(VLOOKUP(DATOS!$I17166,CONFIG_ASIGNATURAS!$B$2:$J$61,9,FALSE()),""))</f>
      </c>
    </row>
    <row r="17167">
      <c r="E17167">
        <f>IF(DATOS!$I17167="","",IFERROR(VLOOKUP(DATOS!$I17167,CONFIG_ASIGNATURAS!$B$2:$J$61,9,FALSE()),""))</f>
      </c>
    </row>
    <row r="17168">
      <c r="E17168">
        <f>IF(DATOS!$I17168="","",IFERROR(VLOOKUP(DATOS!$I17168,CONFIG_ASIGNATURAS!$B$2:$J$61,9,FALSE()),""))</f>
      </c>
    </row>
    <row r="17169">
      <c r="E17169">
        <f>IF(DATOS!$I17169="","",IFERROR(VLOOKUP(DATOS!$I17169,CONFIG_ASIGNATURAS!$B$2:$J$61,9,FALSE()),""))</f>
      </c>
    </row>
    <row r="17170">
      <c r="E17170">
        <f>IF(DATOS!$I17170="","",IFERROR(VLOOKUP(DATOS!$I17170,CONFIG_ASIGNATURAS!$B$2:$J$61,9,FALSE()),""))</f>
      </c>
    </row>
    <row r="17171">
      <c r="E17171">
        <f>IF(DATOS!$I17171="","",IFERROR(VLOOKUP(DATOS!$I17171,CONFIG_ASIGNATURAS!$B$2:$J$61,9,FALSE()),""))</f>
      </c>
    </row>
    <row r="17172">
      <c r="E17172">
        <f>IF(DATOS!$I17172="","",IFERROR(VLOOKUP(DATOS!$I17172,CONFIG_ASIGNATURAS!$B$2:$J$61,9,FALSE()),""))</f>
      </c>
    </row>
    <row r="17173">
      <c r="E17173">
        <f>IF(DATOS!$I17173="","",IFERROR(VLOOKUP(DATOS!$I17173,CONFIG_ASIGNATURAS!$B$2:$J$61,9,FALSE()),""))</f>
      </c>
    </row>
    <row r="17174">
      <c r="E17174">
        <f>IF(DATOS!$I17174="","",IFERROR(VLOOKUP(DATOS!$I17174,CONFIG_ASIGNATURAS!$B$2:$J$61,9,FALSE()),""))</f>
      </c>
    </row>
    <row r="17175">
      <c r="E17175">
        <f>IF(DATOS!$I17175="","",IFERROR(VLOOKUP(DATOS!$I17175,CONFIG_ASIGNATURAS!$B$2:$J$61,9,FALSE()),""))</f>
      </c>
    </row>
    <row r="17176">
      <c r="E17176">
        <f>IF(DATOS!$I17176="","",IFERROR(VLOOKUP(DATOS!$I17176,CONFIG_ASIGNATURAS!$B$2:$J$61,9,FALSE()),""))</f>
      </c>
    </row>
    <row r="17177">
      <c r="E17177">
        <f>IF(DATOS!$I17177="","",IFERROR(VLOOKUP(DATOS!$I17177,CONFIG_ASIGNATURAS!$B$2:$J$61,9,FALSE()),""))</f>
      </c>
    </row>
    <row r="17178">
      <c r="E17178">
        <f>IF(DATOS!$I17178="","",IFERROR(VLOOKUP(DATOS!$I17178,CONFIG_ASIGNATURAS!$B$2:$J$61,9,FALSE()),""))</f>
      </c>
    </row>
    <row r="17179">
      <c r="E17179">
        <f>IF(DATOS!$I17179="","",IFERROR(VLOOKUP(DATOS!$I17179,CONFIG_ASIGNATURAS!$B$2:$J$61,9,FALSE()),""))</f>
      </c>
    </row>
    <row r="17180">
      <c r="E17180">
        <f>IF(DATOS!$I17180="","",IFERROR(VLOOKUP(DATOS!$I17180,CONFIG_ASIGNATURAS!$B$2:$J$61,9,FALSE()),""))</f>
      </c>
    </row>
    <row r="17181">
      <c r="E17181">
        <f>IF(DATOS!$I17181="","",IFERROR(VLOOKUP(DATOS!$I17181,CONFIG_ASIGNATURAS!$B$2:$J$61,9,FALSE()),""))</f>
      </c>
    </row>
    <row r="17182">
      <c r="E17182">
        <f>IF(DATOS!$I17182="","",IFERROR(VLOOKUP(DATOS!$I17182,CONFIG_ASIGNATURAS!$B$2:$J$61,9,FALSE()),""))</f>
      </c>
    </row>
    <row r="17183">
      <c r="E17183">
        <f>IF(DATOS!$I17183="","",IFERROR(VLOOKUP(DATOS!$I17183,CONFIG_ASIGNATURAS!$B$2:$J$61,9,FALSE()),""))</f>
      </c>
    </row>
    <row r="17184">
      <c r="E17184">
        <f>IF(DATOS!$I17184="","",IFERROR(VLOOKUP(DATOS!$I17184,CONFIG_ASIGNATURAS!$B$2:$J$61,9,FALSE()),""))</f>
      </c>
    </row>
    <row r="17185">
      <c r="E17185">
        <f>IF(DATOS!$I17185="","",IFERROR(VLOOKUP(DATOS!$I17185,CONFIG_ASIGNATURAS!$B$2:$J$61,9,FALSE()),""))</f>
      </c>
    </row>
    <row r="17186">
      <c r="E17186">
        <f>IF(DATOS!$I17186="","",IFERROR(VLOOKUP(DATOS!$I17186,CONFIG_ASIGNATURAS!$B$2:$J$61,9,FALSE()),""))</f>
      </c>
    </row>
    <row r="17187">
      <c r="E17187">
        <f>IF(DATOS!$I17187="","",IFERROR(VLOOKUP(DATOS!$I17187,CONFIG_ASIGNATURAS!$B$2:$J$61,9,FALSE()),""))</f>
      </c>
    </row>
    <row r="17188">
      <c r="E17188">
        <f>IF(DATOS!$I17188="","",IFERROR(VLOOKUP(DATOS!$I17188,CONFIG_ASIGNATURAS!$B$2:$J$61,9,FALSE()),""))</f>
      </c>
    </row>
    <row r="17189">
      <c r="E17189">
        <f>IF(DATOS!$I17189="","",IFERROR(VLOOKUP(DATOS!$I17189,CONFIG_ASIGNATURAS!$B$2:$J$61,9,FALSE()),""))</f>
      </c>
    </row>
    <row r="17190">
      <c r="E17190">
        <f>IF(DATOS!$I17190="","",IFERROR(VLOOKUP(DATOS!$I17190,CONFIG_ASIGNATURAS!$B$2:$J$61,9,FALSE()),""))</f>
      </c>
    </row>
    <row r="17191">
      <c r="E17191">
        <f>IF(DATOS!$I17191="","",IFERROR(VLOOKUP(DATOS!$I17191,CONFIG_ASIGNATURAS!$B$2:$J$61,9,FALSE()),""))</f>
      </c>
    </row>
    <row r="17192">
      <c r="E17192">
        <f>IF(DATOS!$I17192="","",IFERROR(VLOOKUP(DATOS!$I17192,CONFIG_ASIGNATURAS!$B$2:$J$61,9,FALSE()),""))</f>
      </c>
    </row>
    <row r="17193">
      <c r="E17193">
        <f>IF(DATOS!$I17193="","",IFERROR(VLOOKUP(DATOS!$I17193,CONFIG_ASIGNATURAS!$B$2:$J$61,9,FALSE()),""))</f>
      </c>
    </row>
    <row r="17194">
      <c r="E17194">
        <f>IF(DATOS!$I17194="","",IFERROR(VLOOKUP(DATOS!$I17194,CONFIG_ASIGNATURAS!$B$2:$J$61,9,FALSE()),""))</f>
      </c>
    </row>
    <row r="17195">
      <c r="E17195">
        <f>IF(DATOS!$I17195="","",IFERROR(VLOOKUP(DATOS!$I17195,CONFIG_ASIGNATURAS!$B$2:$J$61,9,FALSE()),""))</f>
      </c>
    </row>
    <row r="17196">
      <c r="E17196">
        <f>IF(DATOS!$I17196="","",IFERROR(VLOOKUP(DATOS!$I17196,CONFIG_ASIGNATURAS!$B$2:$J$61,9,FALSE()),""))</f>
      </c>
    </row>
    <row r="17197">
      <c r="E17197">
        <f>IF(DATOS!$I17197="","",IFERROR(VLOOKUP(DATOS!$I17197,CONFIG_ASIGNATURAS!$B$2:$J$61,9,FALSE()),""))</f>
      </c>
    </row>
    <row r="17198">
      <c r="E17198">
        <f>IF(DATOS!$I17198="","",IFERROR(VLOOKUP(DATOS!$I17198,CONFIG_ASIGNATURAS!$B$2:$J$61,9,FALSE()),""))</f>
      </c>
    </row>
    <row r="17199">
      <c r="E17199">
        <f>IF(DATOS!$I17199="","",IFERROR(VLOOKUP(DATOS!$I17199,CONFIG_ASIGNATURAS!$B$2:$J$61,9,FALSE()),""))</f>
      </c>
    </row>
    <row r="17200">
      <c r="E17200">
        <f>IF(DATOS!$I17200="","",IFERROR(VLOOKUP(DATOS!$I17200,CONFIG_ASIGNATURAS!$B$2:$J$61,9,FALSE()),""))</f>
      </c>
    </row>
    <row r="17201">
      <c r="E17201">
        <f>IF(DATOS!$I17201="","",IFERROR(VLOOKUP(DATOS!$I17201,CONFIG_ASIGNATURAS!$B$2:$J$61,9,FALSE()),""))</f>
      </c>
    </row>
    <row r="17202">
      <c r="E17202">
        <f>IF(DATOS!$I17202="","",IFERROR(VLOOKUP(DATOS!$I17202,CONFIG_ASIGNATURAS!$B$2:$J$61,9,FALSE()),""))</f>
      </c>
    </row>
    <row r="17203">
      <c r="E17203">
        <f>IF(DATOS!$I17203="","",IFERROR(VLOOKUP(DATOS!$I17203,CONFIG_ASIGNATURAS!$B$2:$J$61,9,FALSE()),""))</f>
      </c>
    </row>
    <row r="17204">
      <c r="E17204">
        <f>IF(DATOS!$I17204="","",IFERROR(VLOOKUP(DATOS!$I17204,CONFIG_ASIGNATURAS!$B$2:$J$61,9,FALSE()),""))</f>
      </c>
    </row>
    <row r="17205">
      <c r="E17205">
        <f>IF(DATOS!$I17205="","",IFERROR(VLOOKUP(DATOS!$I17205,CONFIG_ASIGNATURAS!$B$2:$J$61,9,FALSE()),""))</f>
      </c>
    </row>
    <row r="17206">
      <c r="E17206">
        <f>IF(DATOS!$I17206="","",IFERROR(VLOOKUP(DATOS!$I17206,CONFIG_ASIGNATURAS!$B$2:$J$61,9,FALSE()),""))</f>
      </c>
    </row>
    <row r="17207">
      <c r="E17207">
        <f>IF(DATOS!$I17207="","",IFERROR(VLOOKUP(DATOS!$I17207,CONFIG_ASIGNATURAS!$B$2:$J$61,9,FALSE()),""))</f>
      </c>
    </row>
    <row r="17208">
      <c r="E17208">
        <f>IF(DATOS!$I17208="","",IFERROR(VLOOKUP(DATOS!$I17208,CONFIG_ASIGNATURAS!$B$2:$J$61,9,FALSE()),""))</f>
      </c>
    </row>
    <row r="17209">
      <c r="E17209">
        <f>IF(DATOS!$I17209="","",IFERROR(VLOOKUP(DATOS!$I17209,CONFIG_ASIGNATURAS!$B$2:$J$61,9,FALSE()),""))</f>
      </c>
    </row>
    <row r="17210">
      <c r="E17210">
        <f>IF(DATOS!$I17210="","",IFERROR(VLOOKUP(DATOS!$I17210,CONFIG_ASIGNATURAS!$B$2:$J$61,9,FALSE()),""))</f>
      </c>
    </row>
    <row r="17211">
      <c r="E17211">
        <f>IF(DATOS!$I17211="","",IFERROR(VLOOKUP(DATOS!$I17211,CONFIG_ASIGNATURAS!$B$2:$J$61,9,FALSE()),""))</f>
      </c>
    </row>
    <row r="17212">
      <c r="E17212">
        <f>IF(DATOS!$I17212="","",IFERROR(VLOOKUP(DATOS!$I17212,CONFIG_ASIGNATURAS!$B$2:$J$61,9,FALSE()),""))</f>
      </c>
    </row>
    <row r="17213">
      <c r="E17213">
        <f>IF(DATOS!$I17213="","",IFERROR(VLOOKUP(DATOS!$I17213,CONFIG_ASIGNATURAS!$B$2:$J$61,9,FALSE()),""))</f>
      </c>
    </row>
    <row r="17214">
      <c r="E17214">
        <f>IF(DATOS!$I17214="","",IFERROR(VLOOKUP(DATOS!$I17214,CONFIG_ASIGNATURAS!$B$2:$J$61,9,FALSE()),""))</f>
      </c>
    </row>
    <row r="17215">
      <c r="E17215">
        <f>IF(DATOS!$I17215="","",IFERROR(VLOOKUP(DATOS!$I17215,CONFIG_ASIGNATURAS!$B$2:$J$61,9,FALSE()),""))</f>
      </c>
    </row>
    <row r="17216">
      <c r="E17216">
        <f>IF(DATOS!$I17216="","",IFERROR(VLOOKUP(DATOS!$I17216,CONFIG_ASIGNATURAS!$B$2:$J$61,9,FALSE()),""))</f>
      </c>
    </row>
    <row r="17217">
      <c r="E17217">
        <f>IF(DATOS!$I17217="","",IFERROR(VLOOKUP(DATOS!$I17217,CONFIG_ASIGNATURAS!$B$2:$J$61,9,FALSE()),""))</f>
      </c>
    </row>
    <row r="17218">
      <c r="E17218">
        <f>IF(DATOS!$I17218="","",IFERROR(VLOOKUP(DATOS!$I17218,CONFIG_ASIGNATURAS!$B$2:$J$61,9,FALSE()),""))</f>
      </c>
    </row>
    <row r="17219">
      <c r="E17219">
        <f>IF(DATOS!$I17219="","",IFERROR(VLOOKUP(DATOS!$I17219,CONFIG_ASIGNATURAS!$B$2:$J$61,9,FALSE()),""))</f>
      </c>
    </row>
    <row r="17220">
      <c r="E17220">
        <f>IF(DATOS!$I17220="","",IFERROR(VLOOKUP(DATOS!$I17220,CONFIG_ASIGNATURAS!$B$2:$J$61,9,FALSE()),""))</f>
      </c>
    </row>
    <row r="17221">
      <c r="E17221">
        <f>IF(DATOS!$I17221="","",IFERROR(VLOOKUP(DATOS!$I17221,CONFIG_ASIGNATURAS!$B$2:$J$61,9,FALSE()),""))</f>
      </c>
    </row>
    <row r="17222">
      <c r="E17222">
        <f>IF(DATOS!$I17222="","",IFERROR(VLOOKUP(DATOS!$I17222,CONFIG_ASIGNATURAS!$B$2:$J$61,9,FALSE()),""))</f>
      </c>
    </row>
    <row r="17223">
      <c r="E17223">
        <f>IF(DATOS!$I17223="","",IFERROR(VLOOKUP(DATOS!$I17223,CONFIG_ASIGNATURAS!$B$2:$J$61,9,FALSE()),""))</f>
      </c>
    </row>
    <row r="17224">
      <c r="E17224">
        <f>IF(DATOS!$I17224="","",IFERROR(VLOOKUP(DATOS!$I17224,CONFIG_ASIGNATURAS!$B$2:$J$61,9,FALSE()),""))</f>
      </c>
    </row>
    <row r="17225">
      <c r="E17225">
        <f>IF(DATOS!$I17225="","",IFERROR(VLOOKUP(DATOS!$I17225,CONFIG_ASIGNATURAS!$B$2:$J$61,9,FALSE()),""))</f>
      </c>
    </row>
    <row r="17226">
      <c r="E17226">
        <f>IF(DATOS!$I17226="","",IFERROR(VLOOKUP(DATOS!$I17226,CONFIG_ASIGNATURAS!$B$2:$J$61,9,FALSE()),""))</f>
      </c>
    </row>
    <row r="17227">
      <c r="E17227">
        <f>IF(DATOS!$I17227="","",IFERROR(VLOOKUP(DATOS!$I17227,CONFIG_ASIGNATURAS!$B$2:$J$61,9,FALSE()),""))</f>
      </c>
    </row>
    <row r="17228">
      <c r="E17228">
        <f>IF(DATOS!$I17228="","",IFERROR(VLOOKUP(DATOS!$I17228,CONFIG_ASIGNATURAS!$B$2:$J$61,9,FALSE()),""))</f>
      </c>
    </row>
    <row r="17229">
      <c r="E17229">
        <f>IF(DATOS!$I17229="","",IFERROR(VLOOKUP(DATOS!$I17229,CONFIG_ASIGNATURAS!$B$2:$J$61,9,FALSE()),""))</f>
      </c>
    </row>
    <row r="17230">
      <c r="E17230">
        <f>IF(DATOS!$I17230="","",IFERROR(VLOOKUP(DATOS!$I17230,CONFIG_ASIGNATURAS!$B$2:$J$61,9,FALSE()),""))</f>
      </c>
    </row>
    <row r="17231">
      <c r="E17231">
        <f>IF(DATOS!$I17231="","",IFERROR(VLOOKUP(DATOS!$I17231,CONFIG_ASIGNATURAS!$B$2:$J$61,9,FALSE()),""))</f>
      </c>
    </row>
    <row r="17232">
      <c r="E17232">
        <f>IF(DATOS!$I17232="","",IFERROR(VLOOKUP(DATOS!$I17232,CONFIG_ASIGNATURAS!$B$2:$J$61,9,FALSE()),""))</f>
      </c>
    </row>
    <row r="17233">
      <c r="E17233">
        <f>IF(DATOS!$I17233="","",IFERROR(VLOOKUP(DATOS!$I17233,CONFIG_ASIGNATURAS!$B$2:$J$61,9,FALSE()),""))</f>
      </c>
    </row>
    <row r="17234">
      <c r="E17234">
        <f>IF(DATOS!$I17234="","",IFERROR(VLOOKUP(DATOS!$I17234,CONFIG_ASIGNATURAS!$B$2:$J$61,9,FALSE()),""))</f>
      </c>
    </row>
    <row r="17235">
      <c r="E17235">
        <f>IF(DATOS!$I17235="","",IFERROR(VLOOKUP(DATOS!$I17235,CONFIG_ASIGNATURAS!$B$2:$J$61,9,FALSE()),""))</f>
      </c>
    </row>
    <row r="17236">
      <c r="E17236">
        <f>IF(DATOS!$I17236="","",IFERROR(VLOOKUP(DATOS!$I17236,CONFIG_ASIGNATURAS!$B$2:$J$61,9,FALSE()),""))</f>
      </c>
    </row>
    <row r="17237">
      <c r="E17237">
        <f>IF(DATOS!$I17237="","",IFERROR(VLOOKUP(DATOS!$I17237,CONFIG_ASIGNATURAS!$B$2:$J$61,9,FALSE()),""))</f>
      </c>
    </row>
    <row r="17238">
      <c r="E17238">
        <f>IF(DATOS!$I17238="","",IFERROR(VLOOKUP(DATOS!$I17238,CONFIG_ASIGNATURAS!$B$2:$J$61,9,FALSE()),""))</f>
      </c>
    </row>
    <row r="17239">
      <c r="E17239">
        <f>IF(DATOS!$I17239="","",IFERROR(VLOOKUP(DATOS!$I17239,CONFIG_ASIGNATURAS!$B$2:$J$61,9,FALSE()),""))</f>
      </c>
    </row>
    <row r="17240">
      <c r="E17240">
        <f>IF(DATOS!$I17240="","",IFERROR(VLOOKUP(DATOS!$I17240,CONFIG_ASIGNATURAS!$B$2:$J$61,9,FALSE()),""))</f>
      </c>
    </row>
    <row r="17241">
      <c r="E17241">
        <f>IF(DATOS!$I17241="","",IFERROR(VLOOKUP(DATOS!$I17241,CONFIG_ASIGNATURAS!$B$2:$J$61,9,FALSE()),""))</f>
      </c>
    </row>
    <row r="17242">
      <c r="E17242">
        <f>IF(DATOS!$I17242="","",IFERROR(VLOOKUP(DATOS!$I17242,CONFIG_ASIGNATURAS!$B$2:$J$61,9,FALSE()),""))</f>
      </c>
    </row>
    <row r="17243">
      <c r="E17243">
        <f>IF(DATOS!$I17243="","",IFERROR(VLOOKUP(DATOS!$I17243,CONFIG_ASIGNATURAS!$B$2:$J$61,9,FALSE()),""))</f>
      </c>
    </row>
    <row r="17244">
      <c r="E17244">
        <f>IF(DATOS!$I17244="","",IFERROR(VLOOKUP(DATOS!$I17244,CONFIG_ASIGNATURAS!$B$2:$J$61,9,FALSE()),""))</f>
      </c>
    </row>
    <row r="17245">
      <c r="E17245">
        <f>IF(DATOS!$I17245="","",IFERROR(VLOOKUP(DATOS!$I17245,CONFIG_ASIGNATURAS!$B$2:$J$61,9,FALSE()),""))</f>
      </c>
    </row>
    <row r="17246">
      <c r="E17246">
        <f>IF(DATOS!$I17246="","",IFERROR(VLOOKUP(DATOS!$I17246,CONFIG_ASIGNATURAS!$B$2:$J$61,9,FALSE()),""))</f>
      </c>
    </row>
    <row r="17247">
      <c r="E17247">
        <f>IF(DATOS!$I17247="","",IFERROR(VLOOKUP(DATOS!$I17247,CONFIG_ASIGNATURAS!$B$2:$J$61,9,FALSE()),""))</f>
      </c>
    </row>
    <row r="17248">
      <c r="E17248">
        <f>IF(DATOS!$I17248="","",IFERROR(VLOOKUP(DATOS!$I17248,CONFIG_ASIGNATURAS!$B$2:$J$61,9,FALSE()),""))</f>
      </c>
    </row>
    <row r="17249">
      <c r="E17249">
        <f>IF(DATOS!$I17249="","",IFERROR(VLOOKUP(DATOS!$I17249,CONFIG_ASIGNATURAS!$B$2:$J$61,9,FALSE()),""))</f>
      </c>
    </row>
    <row r="17250">
      <c r="E17250">
        <f>IF(DATOS!$I17250="","",IFERROR(VLOOKUP(DATOS!$I17250,CONFIG_ASIGNATURAS!$B$2:$J$61,9,FALSE()),""))</f>
      </c>
    </row>
    <row r="17251">
      <c r="E17251">
        <f>IF(DATOS!$I17251="","",IFERROR(VLOOKUP(DATOS!$I17251,CONFIG_ASIGNATURAS!$B$2:$J$61,9,FALSE()),""))</f>
      </c>
    </row>
    <row r="17252">
      <c r="E17252">
        <f>IF(DATOS!$I17252="","",IFERROR(VLOOKUP(DATOS!$I17252,CONFIG_ASIGNATURAS!$B$2:$J$61,9,FALSE()),""))</f>
      </c>
    </row>
    <row r="17253">
      <c r="E17253">
        <f>IF(DATOS!$I17253="","",IFERROR(VLOOKUP(DATOS!$I17253,CONFIG_ASIGNATURAS!$B$2:$J$61,9,FALSE()),""))</f>
      </c>
    </row>
    <row r="17254">
      <c r="E17254">
        <f>IF(DATOS!$I17254="","",IFERROR(VLOOKUP(DATOS!$I17254,CONFIG_ASIGNATURAS!$B$2:$J$61,9,FALSE()),""))</f>
      </c>
    </row>
    <row r="17255">
      <c r="E17255">
        <f>IF(DATOS!$I17255="","",IFERROR(VLOOKUP(DATOS!$I17255,CONFIG_ASIGNATURAS!$B$2:$J$61,9,FALSE()),""))</f>
      </c>
    </row>
    <row r="17256">
      <c r="E17256">
        <f>IF(DATOS!$I17256="","",IFERROR(VLOOKUP(DATOS!$I17256,CONFIG_ASIGNATURAS!$B$2:$J$61,9,FALSE()),""))</f>
      </c>
    </row>
    <row r="17257">
      <c r="E17257">
        <f>IF(DATOS!$I17257="","",IFERROR(VLOOKUP(DATOS!$I17257,CONFIG_ASIGNATURAS!$B$2:$J$61,9,FALSE()),""))</f>
      </c>
    </row>
    <row r="17258">
      <c r="E17258">
        <f>IF(DATOS!$I17258="","",IFERROR(VLOOKUP(DATOS!$I17258,CONFIG_ASIGNATURAS!$B$2:$J$61,9,FALSE()),""))</f>
      </c>
    </row>
    <row r="17259">
      <c r="E17259">
        <f>IF(DATOS!$I17259="","",IFERROR(VLOOKUP(DATOS!$I17259,CONFIG_ASIGNATURAS!$B$2:$J$61,9,FALSE()),""))</f>
      </c>
    </row>
    <row r="17260">
      <c r="E17260">
        <f>IF(DATOS!$I17260="","",IFERROR(VLOOKUP(DATOS!$I17260,CONFIG_ASIGNATURAS!$B$2:$J$61,9,FALSE()),""))</f>
      </c>
    </row>
    <row r="17261">
      <c r="E17261">
        <f>IF(DATOS!$I17261="","",IFERROR(VLOOKUP(DATOS!$I17261,CONFIG_ASIGNATURAS!$B$2:$J$61,9,FALSE()),""))</f>
      </c>
    </row>
    <row r="17262">
      <c r="E17262">
        <f>IF(DATOS!$I17262="","",IFERROR(VLOOKUP(DATOS!$I17262,CONFIG_ASIGNATURAS!$B$2:$J$61,9,FALSE()),""))</f>
      </c>
    </row>
    <row r="17263">
      <c r="E17263">
        <f>IF(DATOS!$I17263="","",IFERROR(VLOOKUP(DATOS!$I17263,CONFIG_ASIGNATURAS!$B$2:$J$61,9,FALSE()),""))</f>
      </c>
    </row>
    <row r="17264">
      <c r="E17264">
        <f>IF(DATOS!$I17264="","",IFERROR(VLOOKUP(DATOS!$I17264,CONFIG_ASIGNATURAS!$B$2:$J$61,9,FALSE()),""))</f>
      </c>
    </row>
    <row r="17265">
      <c r="E17265">
        <f>IF(DATOS!$I17265="","",IFERROR(VLOOKUP(DATOS!$I17265,CONFIG_ASIGNATURAS!$B$2:$J$61,9,FALSE()),""))</f>
      </c>
    </row>
    <row r="17266">
      <c r="E17266">
        <f>IF(DATOS!$I17266="","",IFERROR(VLOOKUP(DATOS!$I17266,CONFIG_ASIGNATURAS!$B$2:$J$61,9,FALSE()),""))</f>
      </c>
    </row>
    <row r="17267">
      <c r="E17267">
        <f>IF(DATOS!$I17267="","",IFERROR(VLOOKUP(DATOS!$I17267,CONFIG_ASIGNATURAS!$B$2:$J$61,9,FALSE()),""))</f>
      </c>
    </row>
    <row r="17268">
      <c r="E17268">
        <f>IF(DATOS!$I17268="","",IFERROR(VLOOKUP(DATOS!$I17268,CONFIG_ASIGNATURAS!$B$2:$J$61,9,FALSE()),""))</f>
      </c>
    </row>
    <row r="17269">
      <c r="E17269">
        <f>IF(DATOS!$I17269="","",IFERROR(VLOOKUP(DATOS!$I17269,CONFIG_ASIGNATURAS!$B$2:$J$61,9,FALSE()),""))</f>
      </c>
    </row>
    <row r="17270">
      <c r="E17270">
        <f>IF(DATOS!$I17270="","",IFERROR(VLOOKUP(DATOS!$I17270,CONFIG_ASIGNATURAS!$B$2:$J$61,9,FALSE()),""))</f>
      </c>
    </row>
    <row r="17271">
      <c r="E17271">
        <f>IF(DATOS!$I17271="","",IFERROR(VLOOKUP(DATOS!$I17271,CONFIG_ASIGNATURAS!$B$2:$J$61,9,FALSE()),""))</f>
      </c>
    </row>
    <row r="17272">
      <c r="E17272">
        <f>IF(DATOS!$I17272="","",IFERROR(VLOOKUP(DATOS!$I17272,CONFIG_ASIGNATURAS!$B$2:$J$61,9,FALSE()),""))</f>
      </c>
    </row>
    <row r="17273">
      <c r="E17273">
        <f>IF(DATOS!$I17273="","",IFERROR(VLOOKUP(DATOS!$I17273,CONFIG_ASIGNATURAS!$B$2:$J$61,9,FALSE()),""))</f>
      </c>
    </row>
    <row r="17274">
      <c r="E17274">
        <f>IF(DATOS!$I17274="","",IFERROR(VLOOKUP(DATOS!$I17274,CONFIG_ASIGNATURAS!$B$2:$J$61,9,FALSE()),""))</f>
      </c>
    </row>
    <row r="17275">
      <c r="E17275">
        <f>IF(DATOS!$I17275="","",IFERROR(VLOOKUP(DATOS!$I17275,CONFIG_ASIGNATURAS!$B$2:$J$61,9,FALSE()),""))</f>
      </c>
    </row>
    <row r="17276">
      <c r="E17276">
        <f>IF(DATOS!$I17276="","",IFERROR(VLOOKUP(DATOS!$I17276,CONFIG_ASIGNATURAS!$B$2:$J$61,9,FALSE()),""))</f>
      </c>
    </row>
    <row r="17277">
      <c r="E17277">
        <f>IF(DATOS!$I17277="","",IFERROR(VLOOKUP(DATOS!$I17277,CONFIG_ASIGNATURAS!$B$2:$J$61,9,FALSE()),""))</f>
      </c>
    </row>
    <row r="17278">
      <c r="E17278">
        <f>IF(DATOS!$I17278="","",IFERROR(VLOOKUP(DATOS!$I17278,CONFIG_ASIGNATURAS!$B$2:$J$61,9,FALSE()),""))</f>
      </c>
    </row>
    <row r="17279">
      <c r="E17279">
        <f>IF(DATOS!$I17279="","",IFERROR(VLOOKUP(DATOS!$I17279,CONFIG_ASIGNATURAS!$B$2:$J$61,9,FALSE()),""))</f>
      </c>
    </row>
    <row r="17280">
      <c r="E17280">
        <f>IF(DATOS!$I17280="","",IFERROR(VLOOKUP(DATOS!$I17280,CONFIG_ASIGNATURAS!$B$2:$J$61,9,FALSE()),""))</f>
      </c>
    </row>
    <row r="17281">
      <c r="E17281">
        <f>IF(DATOS!$I17281="","",IFERROR(VLOOKUP(DATOS!$I17281,CONFIG_ASIGNATURAS!$B$2:$J$61,9,FALSE()),""))</f>
      </c>
    </row>
    <row r="17282">
      <c r="E17282">
        <f>IF(DATOS!$I17282="","",IFERROR(VLOOKUP(DATOS!$I17282,CONFIG_ASIGNATURAS!$B$2:$J$61,9,FALSE()),""))</f>
      </c>
    </row>
    <row r="17283">
      <c r="E17283">
        <f>IF(DATOS!$I17283="","",IFERROR(VLOOKUP(DATOS!$I17283,CONFIG_ASIGNATURAS!$B$2:$J$61,9,FALSE()),""))</f>
      </c>
    </row>
    <row r="17284">
      <c r="E17284">
        <f>IF(DATOS!$I17284="","",IFERROR(VLOOKUP(DATOS!$I17284,CONFIG_ASIGNATURAS!$B$2:$J$61,9,FALSE()),""))</f>
      </c>
    </row>
    <row r="17285">
      <c r="E17285">
        <f>IF(DATOS!$I17285="","",IFERROR(VLOOKUP(DATOS!$I17285,CONFIG_ASIGNATURAS!$B$2:$J$61,9,FALSE()),""))</f>
      </c>
    </row>
    <row r="17286">
      <c r="E17286">
        <f>IF(DATOS!$I17286="","",IFERROR(VLOOKUP(DATOS!$I17286,CONFIG_ASIGNATURAS!$B$2:$J$61,9,FALSE()),""))</f>
      </c>
    </row>
    <row r="17287">
      <c r="E17287">
        <f>IF(DATOS!$I17287="","",IFERROR(VLOOKUP(DATOS!$I17287,CONFIG_ASIGNATURAS!$B$2:$J$61,9,FALSE()),""))</f>
      </c>
    </row>
    <row r="17288">
      <c r="E17288">
        <f>IF(DATOS!$I17288="","",IFERROR(VLOOKUP(DATOS!$I17288,CONFIG_ASIGNATURAS!$B$2:$J$61,9,FALSE()),""))</f>
      </c>
    </row>
    <row r="17289">
      <c r="E17289">
        <f>IF(DATOS!$I17289="","",IFERROR(VLOOKUP(DATOS!$I17289,CONFIG_ASIGNATURAS!$B$2:$J$61,9,FALSE()),""))</f>
      </c>
    </row>
    <row r="17290">
      <c r="E17290">
        <f>IF(DATOS!$I17290="","",IFERROR(VLOOKUP(DATOS!$I17290,CONFIG_ASIGNATURAS!$B$2:$J$61,9,FALSE()),""))</f>
      </c>
    </row>
    <row r="17291">
      <c r="E17291">
        <f>IF(DATOS!$I17291="","",IFERROR(VLOOKUP(DATOS!$I17291,CONFIG_ASIGNATURAS!$B$2:$J$61,9,FALSE()),""))</f>
      </c>
    </row>
    <row r="17292">
      <c r="E17292">
        <f>IF(DATOS!$I17292="","",IFERROR(VLOOKUP(DATOS!$I17292,CONFIG_ASIGNATURAS!$B$2:$J$61,9,FALSE()),""))</f>
      </c>
    </row>
    <row r="17293">
      <c r="E17293">
        <f>IF(DATOS!$I17293="","",IFERROR(VLOOKUP(DATOS!$I17293,CONFIG_ASIGNATURAS!$B$2:$J$61,9,FALSE()),""))</f>
      </c>
    </row>
    <row r="17294">
      <c r="E17294">
        <f>IF(DATOS!$I17294="","",IFERROR(VLOOKUP(DATOS!$I17294,CONFIG_ASIGNATURAS!$B$2:$J$61,9,FALSE()),""))</f>
      </c>
    </row>
    <row r="17295">
      <c r="E17295">
        <f>IF(DATOS!$I17295="","",IFERROR(VLOOKUP(DATOS!$I17295,CONFIG_ASIGNATURAS!$B$2:$J$61,9,FALSE()),""))</f>
      </c>
    </row>
    <row r="17296">
      <c r="E17296">
        <f>IF(DATOS!$I17296="","",IFERROR(VLOOKUP(DATOS!$I17296,CONFIG_ASIGNATURAS!$B$2:$J$61,9,FALSE()),""))</f>
      </c>
    </row>
    <row r="17297">
      <c r="E17297">
        <f>IF(DATOS!$I17297="","",IFERROR(VLOOKUP(DATOS!$I17297,CONFIG_ASIGNATURAS!$B$2:$J$61,9,FALSE()),""))</f>
      </c>
    </row>
    <row r="17298">
      <c r="E17298">
        <f>IF(DATOS!$I17298="","",IFERROR(VLOOKUP(DATOS!$I17298,CONFIG_ASIGNATURAS!$B$2:$J$61,9,FALSE()),""))</f>
      </c>
    </row>
    <row r="17299">
      <c r="E17299">
        <f>IF(DATOS!$I17299="","",IFERROR(VLOOKUP(DATOS!$I17299,CONFIG_ASIGNATURAS!$B$2:$J$61,9,FALSE()),""))</f>
      </c>
    </row>
    <row r="17300">
      <c r="E17300">
        <f>IF(DATOS!$I17300="","",IFERROR(VLOOKUP(DATOS!$I17300,CONFIG_ASIGNATURAS!$B$2:$J$61,9,FALSE()),""))</f>
      </c>
    </row>
    <row r="17301">
      <c r="E17301">
        <f>IF(DATOS!$I17301="","",IFERROR(VLOOKUP(DATOS!$I17301,CONFIG_ASIGNATURAS!$B$2:$J$61,9,FALSE()),""))</f>
      </c>
    </row>
    <row r="17302">
      <c r="E17302">
        <f>IF(DATOS!$I17302="","",IFERROR(VLOOKUP(DATOS!$I17302,CONFIG_ASIGNATURAS!$B$2:$J$61,9,FALSE()),""))</f>
      </c>
    </row>
    <row r="17303">
      <c r="E17303">
        <f>IF(DATOS!$I17303="","",IFERROR(VLOOKUP(DATOS!$I17303,CONFIG_ASIGNATURAS!$B$2:$J$61,9,FALSE()),""))</f>
      </c>
    </row>
    <row r="17304">
      <c r="E17304">
        <f>IF(DATOS!$I17304="","",IFERROR(VLOOKUP(DATOS!$I17304,CONFIG_ASIGNATURAS!$B$2:$J$61,9,FALSE()),""))</f>
      </c>
    </row>
    <row r="17305">
      <c r="E17305">
        <f>IF(DATOS!$I17305="","",IFERROR(VLOOKUP(DATOS!$I17305,CONFIG_ASIGNATURAS!$B$2:$J$61,9,FALSE()),""))</f>
      </c>
    </row>
    <row r="17306">
      <c r="E17306">
        <f>IF(DATOS!$I17306="","",IFERROR(VLOOKUP(DATOS!$I17306,CONFIG_ASIGNATURAS!$B$2:$J$61,9,FALSE()),""))</f>
      </c>
    </row>
    <row r="17307">
      <c r="E17307">
        <f>IF(DATOS!$I17307="","",IFERROR(VLOOKUP(DATOS!$I17307,CONFIG_ASIGNATURAS!$B$2:$J$61,9,FALSE()),""))</f>
      </c>
    </row>
    <row r="17308">
      <c r="E17308">
        <f>IF(DATOS!$I17308="","",IFERROR(VLOOKUP(DATOS!$I17308,CONFIG_ASIGNATURAS!$B$2:$J$61,9,FALSE()),""))</f>
      </c>
    </row>
    <row r="17309">
      <c r="E17309">
        <f>IF(DATOS!$I17309="","",IFERROR(VLOOKUP(DATOS!$I17309,CONFIG_ASIGNATURAS!$B$2:$J$61,9,FALSE()),""))</f>
      </c>
    </row>
    <row r="17310">
      <c r="E17310">
        <f>IF(DATOS!$I17310="","",IFERROR(VLOOKUP(DATOS!$I17310,CONFIG_ASIGNATURAS!$B$2:$J$61,9,FALSE()),""))</f>
      </c>
    </row>
    <row r="17311">
      <c r="E17311">
        <f>IF(DATOS!$I17311="","",IFERROR(VLOOKUP(DATOS!$I17311,CONFIG_ASIGNATURAS!$B$2:$J$61,9,FALSE()),""))</f>
      </c>
    </row>
    <row r="17312">
      <c r="E17312">
        <f>IF(DATOS!$I17312="","",IFERROR(VLOOKUP(DATOS!$I17312,CONFIG_ASIGNATURAS!$B$2:$J$61,9,FALSE()),""))</f>
      </c>
    </row>
    <row r="17313">
      <c r="E17313">
        <f>IF(DATOS!$I17313="","",IFERROR(VLOOKUP(DATOS!$I17313,CONFIG_ASIGNATURAS!$B$2:$J$61,9,FALSE()),""))</f>
      </c>
    </row>
    <row r="17314">
      <c r="E17314">
        <f>IF(DATOS!$I17314="","",IFERROR(VLOOKUP(DATOS!$I17314,CONFIG_ASIGNATURAS!$B$2:$J$61,9,FALSE()),""))</f>
      </c>
    </row>
    <row r="17315">
      <c r="E17315">
        <f>IF(DATOS!$I17315="","",IFERROR(VLOOKUP(DATOS!$I17315,CONFIG_ASIGNATURAS!$B$2:$J$61,9,FALSE()),""))</f>
      </c>
    </row>
    <row r="17316">
      <c r="E17316">
        <f>IF(DATOS!$I17316="","",IFERROR(VLOOKUP(DATOS!$I17316,CONFIG_ASIGNATURAS!$B$2:$J$61,9,FALSE()),""))</f>
      </c>
    </row>
    <row r="17317">
      <c r="E17317">
        <f>IF(DATOS!$I17317="","",IFERROR(VLOOKUP(DATOS!$I17317,CONFIG_ASIGNATURAS!$B$2:$J$61,9,FALSE()),""))</f>
      </c>
    </row>
    <row r="17318">
      <c r="E17318">
        <f>IF(DATOS!$I17318="","",IFERROR(VLOOKUP(DATOS!$I17318,CONFIG_ASIGNATURAS!$B$2:$J$61,9,FALSE()),""))</f>
      </c>
    </row>
    <row r="17319">
      <c r="E17319">
        <f>IF(DATOS!$I17319="","",IFERROR(VLOOKUP(DATOS!$I17319,CONFIG_ASIGNATURAS!$B$2:$J$61,9,FALSE()),""))</f>
      </c>
    </row>
    <row r="17320">
      <c r="E17320">
        <f>IF(DATOS!$I17320="","",IFERROR(VLOOKUP(DATOS!$I17320,CONFIG_ASIGNATURAS!$B$2:$J$61,9,FALSE()),""))</f>
      </c>
    </row>
    <row r="17321">
      <c r="E17321">
        <f>IF(DATOS!$I17321="","",IFERROR(VLOOKUP(DATOS!$I17321,CONFIG_ASIGNATURAS!$B$2:$J$61,9,FALSE()),""))</f>
      </c>
    </row>
    <row r="17322">
      <c r="E17322">
        <f>IF(DATOS!$I17322="","",IFERROR(VLOOKUP(DATOS!$I17322,CONFIG_ASIGNATURAS!$B$2:$J$61,9,FALSE()),""))</f>
      </c>
    </row>
    <row r="17323">
      <c r="E17323">
        <f>IF(DATOS!$I17323="","",IFERROR(VLOOKUP(DATOS!$I17323,CONFIG_ASIGNATURAS!$B$2:$J$61,9,FALSE()),""))</f>
      </c>
    </row>
    <row r="17324">
      <c r="E17324">
        <f>IF(DATOS!$I17324="","",IFERROR(VLOOKUP(DATOS!$I17324,CONFIG_ASIGNATURAS!$B$2:$J$61,9,FALSE()),""))</f>
      </c>
    </row>
    <row r="17325">
      <c r="E17325">
        <f>IF(DATOS!$I17325="","",IFERROR(VLOOKUP(DATOS!$I17325,CONFIG_ASIGNATURAS!$B$2:$J$61,9,FALSE()),""))</f>
      </c>
    </row>
    <row r="17326">
      <c r="E17326">
        <f>IF(DATOS!$I17326="","",IFERROR(VLOOKUP(DATOS!$I17326,CONFIG_ASIGNATURAS!$B$2:$J$61,9,FALSE()),""))</f>
      </c>
    </row>
    <row r="17327">
      <c r="E17327">
        <f>IF(DATOS!$I17327="","",IFERROR(VLOOKUP(DATOS!$I17327,CONFIG_ASIGNATURAS!$B$2:$J$61,9,FALSE()),""))</f>
      </c>
    </row>
    <row r="17328">
      <c r="E17328">
        <f>IF(DATOS!$I17328="","",IFERROR(VLOOKUP(DATOS!$I17328,CONFIG_ASIGNATURAS!$B$2:$J$61,9,FALSE()),""))</f>
      </c>
    </row>
    <row r="17329">
      <c r="E17329">
        <f>IF(DATOS!$I17329="","",IFERROR(VLOOKUP(DATOS!$I17329,CONFIG_ASIGNATURAS!$B$2:$J$61,9,FALSE()),""))</f>
      </c>
    </row>
    <row r="17330">
      <c r="E17330">
        <f>IF(DATOS!$I17330="","",IFERROR(VLOOKUP(DATOS!$I17330,CONFIG_ASIGNATURAS!$B$2:$J$61,9,FALSE()),""))</f>
      </c>
    </row>
    <row r="17331">
      <c r="E17331">
        <f>IF(DATOS!$I17331="","",IFERROR(VLOOKUP(DATOS!$I17331,CONFIG_ASIGNATURAS!$B$2:$J$61,9,FALSE()),""))</f>
      </c>
    </row>
    <row r="17332">
      <c r="E17332">
        <f>IF(DATOS!$I17332="","",IFERROR(VLOOKUP(DATOS!$I17332,CONFIG_ASIGNATURAS!$B$2:$J$61,9,FALSE()),""))</f>
      </c>
    </row>
    <row r="17333">
      <c r="E17333">
        <f>IF(DATOS!$I17333="","",IFERROR(VLOOKUP(DATOS!$I17333,CONFIG_ASIGNATURAS!$B$2:$J$61,9,FALSE()),""))</f>
      </c>
    </row>
    <row r="17334">
      <c r="E17334">
        <f>IF(DATOS!$I17334="","",IFERROR(VLOOKUP(DATOS!$I17334,CONFIG_ASIGNATURAS!$B$2:$J$61,9,FALSE()),""))</f>
      </c>
    </row>
    <row r="17335">
      <c r="E17335">
        <f>IF(DATOS!$I17335="","",IFERROR(VLOOKUP(DATOS!$I17335,CONFIG_ASIGNATURAS!$B$2:$J$61,9,FALSE()),""))</f>
      </c>
    </row>
    <row r="17336">
      <c r="E17336">
        <f>IF(DATOS!$I17336="","",IFERROR(VLOOKUP(DATOS!$I17336,CONFIG_ASIGNATURAS!$B$2:$J$61,9,FALSE()),""))</f>
      </c>
    </row>
    <row r="17337">
      <c r="E17337">
        <f>IF(DATOS!$I17337="","",IFERROR(VLOOKUP(DATOS!$I17337,CONFIG_ASIGNATURAS!$B$2:$J$61,9,FALSE()),""))</f>
      </c>
    </row>
    <row r="17338">
      <c r="E17338">
        <f>IF(DATOS!$I17338="","",IFERROR(VLOOKUP(DATOS!$I17338,CONFIG_ASIGNATURAS!$B$2:$J$61,9,FALSE()),""))</f>
      </c>
    </row>
    <row r="17339">
      <c r="E17339">
        <f>IF(DATOS!$I17339="","",IFERROR(VLOOKUP(DATOS!$I17339,CONFIG_ASIGNATURAS!$B$2:$J$61,9,FALSE()),""))</f>
      </c>
    </row>
    <row r="17340">
      <c r="E17340">
        <f>IF(DATOS!$I17340="","",IFERROR(VLOOKUP(DATOS!$I17340,CONFIG_ASIGNATURAS!$B$2:$J$61,9,FALSE()),""))</f>
      </c>
    </row>
    <row r="17341">
      <c r="E17341">
        <f>IF(DATOS!$I17341="","",IFERROR(VLOOKUP(DATOS!$I17341,CONFIG_ASIGNATURAS!$B$2:$J$61,9,FALSE()),""))</f>
      </c>
    </row>
    <row r="17342">
      <c r="E17342">
        <f>IF(DATOS!$I17342="","",IFERROR(VLOOKUP(DATOS!$I17342,CONFIG_ASIGNATURAS!$B$2:$J$61,9,FALSE()),""))</f>
      </c>
    </row>
    <row r="17343">
      <c r="E17343">
        <f>IF(DATOS!$I17343="","",IFERROR(VLOOKUP(DATOS!$I17343,CONFIG_ASIGNATURAS!$B$2:$J$61,9,FALSE()),""))</f>
      </c>
    </row>
    <row r="17344">
      <c r="E17344">
        <f>IF(DATOS!$I17344="","",IFERROR(VLOOKUP(DATOS!$I17344,CONFIG_ASIGNATURAS!$B$2:$J$61,9,FALSE()),""))</f>
      </c>
    </row>
    <row r="17345">
      <c r="E17345">
        <f>IF(DATOS!$I17345="","",IFERROR(VLOOKUP(DATOS!$I17345,CONFIG_ASIGNATURAS!$B$2:$J$61,9,FALSE()),""))</f>
      </c>
    </row>
    <row r="17346">
      <c r="E17346">
        <f>IF(DATOS!$I17346="","",IFERROR(VLOOKUP(DATOS!$I17346,CONFIG_ASIGNATURAS!$B$2:$J$61,9,FALSE()),""))</f>
      </c>
    </row>
    <row r="17347">
      <c r="E17347">
        <f>IF(DATOS!$I17347="","",IFERROR(VLOOKUP(DATOS!$I17347,CONFIG_ASIGNATURAS!$B$2:$J$61,9,FALSE()),""))</f>
      </c>
    </row>
    <row r="17348">
      <c r="E17348">
        <f>IF(DATOS!$I17348="","",IFERROR(VLOOKUP(DATOS!$I17348,CONFIG_ASIGNATURAS!$B$2:$J$61,9,FALSE()),""))</f>
      </c>
    </row>
    <row r="17349">
      <c r="E17349">
        <f>IF(DATOS!$I17349="","",IFERROR(VLOOKUP(DATOS!$I17349,CONFIG_ASIGNATURAS!$B$2:$J$61,9,FALSE()),""))</f>
      </c>
    </row>
    <row r="17350">
      <c r="E17350">
        <f>IF(DATOS!$I17350="","",IFERROR(VLOOKUP(DATOS!$I17350,CONFIG_ASIGNATURAS!$B$2:$J$61,9,FALSE()),""))</f>
      </c>
    </row>
    <row r="17351">
      <c r="E17351">
        <f>IF(DATOS!$I17351="","",IFERROR(VLOOKUP(DATOS!$I17351,CONFIG_ASIGNATURAS!$B$2:$J$61,9,FALSE()),""))</f>
      </c>
    </row>
    <row r="17352">
      <c r="E17352">
        <f>IF(DATOS!$I17352="","",IFERROR(VLOOKUP(DATOS!$I17352,CONFIG_ASIGNATURAS!$B$2:$J$61,9,FALSE()),""))</f>
      </c>
    </row>
    <row r="17353">
      <c r="E17353">
        <f>IF(DATOS!$I17353="","",IFERROR(VLOOKUP(DATOS!$I17353,CONFIG_ASIGNATURAS!$B$2:$J$61,9,FALSE()),""))</f>
      </c>
    </row>
    <row r="17354">
      <c r="E17354">
        <f>IF(DATOS!$I17354="","",IFERROR(VLOOKUP(DATOS!$I17354,CONFIG_ASIGNATURAS!$B$2:$J$61,9,FALSE()),""))</f>
      </c>
    </row>
    <row r="17355">
      <c r="E17355">
        <f>IF(DATOS!$I17355="","",IFERROR(VLOOKUP(DATOS!$I17355,CONFIG_ASIGNATURAS!$B$2:$J$61,9,FALSE()),""))</f>
      </c>
    </row>
    <row r="17356">
      <c r="E17356">
        <f>IF(DATOS!$I17356="","",IFERROR(VLOOKUP(DATOS!$I17356,CONFIG_ASIGNATURAS!$B$2:$J$61,9,FALSE()),""))</f>
      </c>
    </row>
    <row r="17357">
      <c r="E17357">
        <f>IF(DATOS!$I17357="","",IFERROR(VLOOKUP(DATOS!$I17357,CONFIG_ASIGNATURAS!$B$2:$J$61,9,FALSE()),""))</f>
      </c>
    </row>
    <row r="17358">
      <c r="E17358">
        <f>IF(DATOS!$I17358="","",IFERROR(VLOOKUP(DATOS!$I17358,CONFIG_ASIGNATURAS!$B$2:$J$61,9,FALSE()),""))</f>
      </c>
    </row>
    <row r="17359">
      <c r="E17359">
        <f>IF(DATOS!$I17359="","",IFERROR(VLOOKUP(DATOS!$I17359,CONFIG_ASIGNATURAS!$B$2:$J$61,9,FALSE()),""))</f>
      </c>
    </row>
    <row r="17360">
      <c r="E17360">
        <f>IF(DATOS!$I17360="","",IFERROR(VLOOKUP(DATOS!$I17360,CONFIG_ASIGNATURAS!$B$2:$J$61,9,FALSE()),""))</f>
      </c>
    </row>
    <row r="17361">
      <c r="E17361">
        <f>IF(DATOS!$I17361="","",IFERROR(VLOOKUP(DATOS!$I17361,CONFIG_ASIGNATURAS!$B$2:$J$61,9,FALSE()),""))</f>
      </c>
    </row>
    <row r="17362">
      <c r="E17362">
        <f>IF(DATOS!$I17362="","",IFERROR(VLOOKUP(DATOS!$I17362,CONFIG_ASIGNATURAS!$B$2:$J$61,9,FALSE()),""))</f>
      </c>
    </row>
    <row r="17363">
      <c r="E17363">
        <f>IF(DATOS!$I17363="","",IFERROR(VLOOKUP(DATOS!$I17363,CONFIG_ASIGNATURAS!$B$2:$J$61,9,FALSE()),""))</f>
      </c>
    </row>
    <row r="17364">
      <c r="E17364">
        <f>IF(DATOS!$I17364="","",IFERROR(VLOOKUP(DATOS!$I17364,CONFIG_ASIGNATURAS!$B$2:$J$61,9,FALSE()),""))</f>
      </c>
    </row>
    <row r="17365">
      <c r="E17365">
        <f>IF(DATOS!$I17365="","",IFERROR(VLOOKUP(DATOS!$I17365,CONFIG_ASIGNATURAS!$B$2:$J$61,9,FALSE()),""))</f>
      </c>
    </row>
    <row r="17366">
      <c r="E17366">
        <f>IF(DATOS!$I17366="","",IFERROR(VLOOKUP(DATOS!$I17366,CONFIG_ASIGNATURAS!$B$2:$J$61,9,FALSE()),""))</f>
      </c>
    </row>
    <row r="17367">
      <c r="E17367">
        <f>IF(DATOS!$I17367="","",IFERROR(VLOOKUP(DATOS!$I17367,CONFIG_ASIGNATURAS!$B$2:$J$61,9,FALSE()),""))</f>
      </c>
    </row>
    <row r="17368">
      <c r="E17368">
        <f>IF(DATOS!$I17368="","",IFERROR(VLOOKUP(DATOS!$I17368,CONFIG_ASIGNATURAS!$B$2:$J$61,9,FALSE()),""))</f>
      </c>
    </row>
    <row r="17369">
      <c r="E17369">
        <f>IF(DATOS!$I17369="","",IFERROR(VLOOKUP(DATOS!$I17369,CONFIG_ASIGNATURAS!$B$2:$J$61,9,FALSE()),""))</f>
      </c>
    </row>
    <row r="17370">
      <c r="E17370">
        <f>IF(DATOS!$I17370="","",IFERROR(VLOOKUP(DATOS!$I17370,CONFIG_ASIGNATURAS!$B$2:$J$61,9,FALSE()),""))</f>
      </c>
    </row>
    <row r="17371">
      <c r="E17371">
        <f>IF(DATOS!$I17371="","",IFERROR(VLOOKUP(DATOS!$I17371,CONFIG_ASIGNATURAS!$B$2:$J$61,9,FALSE()),""))</f>
      </c>
    </row>
    <row r="17372">
      <c r="E17372">
        <f>IF(DATOS!$I17372="","",IFERROR(VLOOKUP(DATOS!$I17372,CONFIG_ASIGNATURAS!$B$2:$J$61,9,FALSE()),""))</f>
      </c>
    </row>
    <row r="17373">
      <c r="E17373">
        <f>IF(DATOS!$I17373="","",IFERROR(VLOOKUP(DATOS!$I17373,CONFIG_ASIGNATURAS!$B$2:$J$61,9,FALSE()),""))</f>
      </c>
    </row>
    <row r="17374">
      <c r="E17374">
        <f>IF(DATOS!$I17374="","",IFERROR(VLOOKUP(DATOS!$I17374,CONFIG_ASIGNATURAS!$B$2:$J$61,9,FALSE()),""))</f>
      </c>
    </row>
    <row r="17375">
      <c r="E17375">
        <f>IF(DATOS!$I17375="","",IFERROR(VLOOKUP(DATOS!$I17375,CONFIG_ASIGNATURAS!$B$2:$J$61,9,FALSE()),""))</f>
      </c>
    </row>
    <row r="17376">
      <c r="E17376">
        <f>IF(DATOS!$I17376="","",IFERROR(VLOOKUP(DATOS!$I17376,CONFIG_ASIGNATURAS!$B$2:$J$61,9,FALSE()),""))</f>
      </c>
    </row>
    <row r="17377">
      <c r="E17377">
        <f>IF(DATOS!$I17377="","",IFERROR(VLOOKUP(DATOS!$I17377,CONFIG_ASIGNATURAS!$B$2:$J$61,9,FALSE()),""))</f>
      </c>
    </row>
    <row r="17378">
      <c r="E17378">
        <f>IF(DATOS!$I17378="","",IFERROR(VLOOKUP(DATOS!$I17378,CONFIG_ASIGNATURAS!$B$2:$J$61,9,FALSE()),""))</f>
      </c>
    </row>
    <row r="17379">
      <c r="E17379">
        <f>IF(DATOS!$I17379="","",IFERROR(VLOOKUP(DATOS!$I17379,CONFIG_ASIGNATURAS!$B$2:$J$61,9,FALSE()),""))</f>
      </c>
    </row>
    <row r="17380">
      <c r="E17380">
        <f>IF(DATOS!$I17380="","",IFERROR(VLOOKUP(DATOS!$I17380,CONFIG_ASIGNATURAS!$B$2:$J$61,9,FALSE()),""))</f>
      </c>
    </row>
    <row r="17381">
      <c r="E17381">
        <f>IF(DATOS!$I17381="","",IFERROR(VLOOKUP(DATOS!$I17381,CONFIG_ASIGNATURAS!$B$2:$J$61,9,FALSE()),""))</f>
      </c>
    </row>
    <row r="17382">
      <c r="E17382">
        <f>IF(DATOS!$I17382="","",IFERROR(VLOOKUP(DATOS!$I17382,CONFIG_ASIGNATURAS!$B$2:$J$61,9,FALSE()),""))</f>
      </c>
    </row>
    <row r="17383">
      <c r="E17383">
        <f>IF(DATOS!$I17383="","",IFERROR(VLOOKUP(DATOS!$I17383,CONFIG_ASIGNATURAS!$B$2:$J$61,9,FALSE()),""))</f>
      </c>
    </row>
    <row r="17384">
      <c r="E17384">
        <f>IF(DATOS!$I17384="","",IFERROR(VLOOKUP(DATOS!$I17384,CONFIG_ASIGNATURAS!$B$2:$J$61,9,FALSE()),""))</f>
      </c>
    </row>
    <row r="17385">
      <c r="E17385">
        <f>IF(DATOS!$I17385="","",IFERROR(VLOOKUP(DATOS!$I17385,CONFIG_ASIGNATURAS!$B$2:$J$61,9,FALSE()),""))</f>
      </c>
    </row>
    <row r="17386">
      <c r="E17386">
        <f>IF(DATOS!$I17386="","",IFERROR(VLOOKUP(DATOS!$I17386,CONFIG_ASIGNATURAS!$B$2:$J$61,9,FALSE()),""))</f>
      </c>
    </row>
    <row r="17387">
      <c r="E17387">
        <f>IF(DATOS!$I17387="","",IFERROR(VLOOKUP(DATOS!$I17387,CONFIG_ASIGNATURAS!$B$2:$J$61,9,FALSE()),""))</f>
      </c>
    </row>
    <row r="17388">
      <c r="E17388">
        <f>IF(DATOS!$I17388="","",IFERROR(VLOOKUP(DATOS!$I17388,CONFIG_ASIGNATURAS!$B$2:$J$61,9,FALSE()),""))</f>
      </c>
    </row>
    <row r="17389">
      <c r="E17389">
        <f>IF(DATOS!$I17389="","",IFERROR(VLOOKUP(DATOS!$I17389,CONFIG_ASIGNATURAS!$B$2:$J$61,9,FALSE()),""))</f>
      </c>
    </row>
    <row r="17390">
      <c r="E17390">
        <f>IF(DATOS!$I17390="","",IFERROR(VLOOKUP(DATOS!$I17390,CONFIG_ASIGNATURAS!$B$2:$J$61,9,FALSE()),""))</f>
      </c>
    </row>
    <row r="17391">
      <c r="E17391">
        <f>IF(DATOS!$I17391="","",IFERROR(VLOOKUP(DATOS!$I17391,CONFIG_ASIGNATURAS!$B$2:$J$61,9,FALSE()),""))</f>
      </c>
    </row>
    <row r="17392">
      <c r="E17392">
        <f>IF(DATOS!$I17392="","",IFERROR(VLOOKUP(DATOS!$I17392,CONFIG_ASIGNATURAS!$B$2:$J$61,9,FALSE()),""))</f>
      </c>
    </row>
    <row r="17393">
      <c r="E17393">
        <f>IF(DATOS!$I17393="","",IFERROR(VLOOKUP(DATOS!$I17393,CONFIG_ASIGNATURAS!$B$2:$J$61,9,FALSE()),""))</f>
      </c>
    </row>
    <row r="17394">
      <c r="E17394">
        <f>IF(DATOS!$I17394="","",IFERROR(VLOOKUP(DATOS!$I17394,CONFIG_ASIGNATURAS!$B$2:$J$61,9,FALSE()),""))</f>
      </c>
    </row>
    <row r="17395">
      <c r="E17395">
        <f>IF(DATOS!$I17395="","",IFERROR(VLOOKUP(DATOS!$I17395,CONFIG_ASIGNATURAS!$B$2:$J$61,9,FALSE()),""))</f>
      </c>
    </row>
    <row r="17396">
      <c r="E17396">
        <f>IF(DATOS!$I17396="","",IFERROR(VLOOKUP(DATOS!$I17396,CONFIG_ASIGNATURAS!$B$2:$J$61,9,FALSE()),""))</f>
      </c>
    </row>
    <row r="17397">
      <c r="E17397">
        <f>IF(DATOS!$I17397="","",IFERROR(VLOOKUP(DATOS!$I17397,CONFIG_ASIGNATURAS!$B$2:$J$61,9,FALSE()),""))</f>
      </c>
    </row>
    <row r="17398">
      <c r="E17398">
        <f>IF(DATOS!$I17398="","",IFERROR(VLOOKUP(DATOS!$I17398,CONFIG_ASIGNATURAS!$B$2:$J$61,9,FALSE()),""))</f>
      </c>
    </row>
    <row r="17399">
      <c r="E17399">
        <f>IF(DATOS!$I17399="","",IFERROR(VLOOKUP(DATOS!$I17399,CONFIG_ASIGNATURAS!$B$2:$J$61,9,FALSE()),""))</f>
      </c>
    </row>
    <row r="17400">
      <c r="E17400">
        <f>IF(DATOS!$I17400="","",IFERROR(VLOOKUP(DATOS!$I17400,CONFIG_ASIGNATURAS!$B$2:$J$61,9,FALSE()),""))</f>
      </c>
    </row>
    <row r="17401">
      <c r="E17401">
        <f>IF(DATOS!$I17401="","",IFERROR(VLOOKUP(DATOS!$I17401,CONFIG_ASIGNATURAS!$B$2:$J$61,9,FALSE()),""))</f>
      </c>
    </row>
    <row r="17402">
      <c r="E17402">
        <f>IF(DATOS!$I17402="","",IFERROR(VLOOKUP(DATOS!$I17402,CONFIG_ASIGNATURAS!$B$2:$J$61,9,FALSE()),""))</f>
      </c>
    </row>
    <row r="17403">
      <c r="E17403">
        <f>IF(DATOS!$I17403="","",IFERROR(VLOOKUP(DATOS!$I17403,CONFIG_ASIGNATURAS!$B$2:$J$61,9,FALSE()),""))</f>
      </c>
    </row>
    <row r="17404">
      <c r="E17404">
        <f>IF(DATOS!$I17404="","",IFERROR(VLOOKUP(DATOS!$I17404,CONFIG_ASIGNATURAS!$B$2:$J$61,9,FALSE()),""))</f>
      </c>
    </row>
    <row r="17405">
      <c r="E17405">
        <f>IF(DATOS!$I17405="","",IFERROR(VLOOKUP(DATOS!$I17405,CONFIG_ASIGNATURAS!$B$2:$J$61,9,FALSE()),""))</f>
      </c>
    </row>
    <row r="17406">
      <c r="E17406">
        <f>IF(DATOS!$I17406="","",IFERROR(VLOOKUP(DATOS!$I17406,CONFIG_ASIGNATURAS!$B$2:$J$61,9,FALSE()),""))</f>
      </c>
    </row>
    <row r="17407">
      <c r="E17407">
        <f>IF(DATOS!$I17407="","",IFERROR(VLOOKUP(DATOS!$I17407,CONFIG_ASIGNATURAS!$B$2:$J$61,9,FALSE()),""))</f>
      </c>
    </row>
    <row r="17408">
      <c r="E17408">
        <f>IF(DATOS!$I17408="","",IFERROR(VLOOKUP(DATOS!$I17408,CONFIG_ASIGNATURAS!$B$2:$J$61,9,FALSE()),""))</f>
      </c>
    </row>
    <row r="17409">
      <c r="E17409">
        <f>IF(DATOS!$I17409="","",IFERROR(VLOOKUP(DATOS!$I17409,CONFIG_ASIGNATURAS!$B$2:$J$61,9,FALSE()),""))</f>
      </c>
    </row>
    <row r="17410">
      <c r="E17410">
        <f>IF(DATOS!$I17410="","",IFERROR(VLOOKUP(DATOS!$I17410,CONFIG_ASIGNATURAS!$B$2:$J$61,9,FALSE()),""))</f>
      </c>
    </row>
    <row r="17411">
      <c r="E17411">
        <f>IF(DATOS!$I17411="","",IFERROR(VLOOKUP(DATOS!$I17411,CONFIG_ASIGNATURAS!$B$2:$J$61,9,FALSE()),""))</f>
      </c>
    </row>
    <row r="17412">
      <c r="E17412">
        <f>IF(DATOS!$I17412="","",IFERROR(VLOOKUP(DATOS!$I17412,CONFIG_ASIGNATURAS!$B$2:$J$61,9,FALSE()),""))</f>
      </c>
    </row>
    <row r="17413">
      <c r="E17413">
        <f>IF(DATOS!$I17413="","",IFERROR(VLOOKUP(DATOS!$I17413,CONFIG_ASIGNATURAS!$B$2:$J$61,9,FALSE()),""))</f>
      </c>
    </row>
    <row r="17414">
      <c r="E17414">
        <f>IF(DATOS!$I17414="","",IFERROR(VLOOKUP(DATOS!$I17414,CONFIG_ASIGNATURAS!$B$2:$J$61,9,FALSE()),""))</f>
      </c>
    </row>
    <row r="17415">
      <c r="E17415">
        <f>IF(DATOS!$I17415="","",IFERROR(VLOOKUP(DATOS!$I17415,CONFIG_ASIGNATURAS!$B$2:$J$61,9,FALSE()),""))</f>
      </c>
    </row>
    <row r="17416">
      <c r="E17416">
        <f>IF(DATOS!$I17416="","",IFERROR(VLOOKUP(DATOS!$I17416,CONFIG_ASIGNATURAS!$B$2:$J$61,9,FALSE()),""))</f>
      </c>
    </row>
    <row r="17417">
      <c r="E17417">
        <f>IF(DATOS!$I17417="","",IFERROR(VLOOKUP(DATOS!$I17417,CONFIG_ASIGNATURAS!$B$2:$J$61,9,FALSE()),""))</f>
      </c>
    </row>
    <row r="17418">
      <c r="E17418">
        <f>IF(DATOS!$I17418="","",IFERROR(VLOOKUP(DATOS!$I17418,CONFIG_ASIGNATURAS!$B$2:$J$61,9,FALSE()),""))</f>
      </c>
    </row>
    <row r="17419">
      <c r="E17419">
        <f>IF(DATOS!$I17419="","",IFERROR(VLOOKUP(DATOS!$I17419,CONFIG_ASIGNATURAS!$B$2:$J$61,9,FALSE()),""))</f>
      </c>
    </row>
    <row r="17420">
      <c r="E17420">
        <f>IF(DATOS!$I17420="","",IFERROR(VLOOKUP(DATOS!$I17420,CONFIG_ASIGNATURAS!$B$2:$J$61,9,FALSE()),""))</f>
      </c>
    </row>
    <row r="17421">
      <c r="E17421">
        <f>IF(DATOS!$I17421="","",IFERROR(VLOOKUP(DATOS!$I17421,CONFIG_ASIGNATURAS!$B$2:$J$61,9,FALSE()),""))</f>
      </c>
    </row>
    <row r="17422">
      <c r="E17422">
        <f>IF(DATOS!$I17422="","",IFERROR(VLOOKUP(DATOS!$I17422,CONFIG_ASIGNATURAS!$B$2:$J$61,9,FALSE()),""))</f>
      </c>
    </row>
    <row r="17423">
      <c r="E17423">
        <f>IF(DATOS!$I17423="","",IFERROR(VLOOKUP(DATOS!$I17423,CONFIG_ASIGNATURAS!$B$2:$J$61,9,FALSE()),""))</f>
      </c>
    </row>
    <row r="17424">
      <c r="E17424">
        <f>IF(DATOS!$I17424="","",IFERROR(VLOOKUP(DATOS!$I17424,CONFIG_ASIGNATURAS!$B$2:$J$61,9,FALSE()),""))</f>
      </c>
    </row>
    <row r="17425">
      <c r="E17425">
        <f>IF(DATOS!$I17425="","",IFERROR(VLOOKUP(DATOS!$I17425,CONFIG_ASIGNATURAS!$B$2:$J$61,9,FALSE()),""))</f>
      </c>
    </row>
    <row r="17426">
      <c r="E17426">
        <f>IF(DATOS!$I17426="","",IFERROR(VLOOKUP(DATOS!$I17426,CONFIG_ASIGNATURAS!$B$2:$J$61,9,FALSE()),""))</f>
      </c>
    </row>
    <row r="17427">
      <c r="E17427">
        <f>IF(DATOS!$I17427="","",IFERROR(VLOOKUP(DATOS!$I17427,CONFIG_ASIGNATURAS!$B$2:$J$61,9,FALSE()),""))</f>
      </c>
    </row>
    <row r="17428">
      <c r="E17428">
        <f>IF(DATOS!$I17428="","",IFERROR(VLOOKUP(DATOS!$I17428,CONFIG_ASIGNATURAS!$B$2:$J$61,9,FALSE()),""))</f>
      </c>
    </row>
    <row r="17429">
      <c r="E17429">
        <f>IF(DATOS!$I17429="","",IFERROR(VLOOKUP(DATOS!$I17429,CONFIG_ASIGNATURAS!$B$2:$J$61,9,FALSE()),""))</f>
      </c>
    </row>
    <row r="17430">
      <c r="E17430">
        <f>IF(DATOS!$I17430="","",IFERROR(VLOOKUP(DATOS!$I17430,CONFIG_ASIGNATURAS!$B$2:$J$61,9,FALSE()),""))</f>
      </c>
    </row>
    <row r="17431">
      <c r="E17431">
        <f>IF(DATOS!$I17431="","",IFERROR(VLOOKUP(DATOS!$I17431,CONFIG_ASIGNATURAS!$B$2:$J$61,9,FALSE()),""))</f>
      </c>
    </row>
    <row r="17432">
      <c r="E17432">
        <f>IF(DATOS!$I17432="","",IFERROR(VLOOKUP(DATOS!$I17432,CONFIG_ASIGNATURAS!$B$2:$J$61,9,FALSE()),""))</f>
      </c>
    </row>
    <row r="17433">
      <c r="E17433">
        <f>IF(DATOS!$I17433="","",IFERROR(VLOOKUP(DATOS!$I17433,CONFIG_ASIGNATURAS!$B$2:$J$61,9,FALSE()),""))</f>
      </c>
    </row>
    <row r="17434">
      <c r="E17434">
        <f>IF(DATOS!$I17434="","",IFERROR(VLOOKUP(DATOS!$I17434,CONFIG_ASIGNATURAS!$B$2:$J$61,9,FALSE()),""))</f>
      </c>
    </row>
    <row r="17435">
      <c r="E17435">
        <f>IF(DATOS!$I17435="","",IFERROR(VLOOKUP(DATOS!$I17435,CONFIG_ASIGNATURAS!$B$2:$J$61,9,FALSE()),""))</f>
      </c>
    </row>
    <row r="17436">
      <c r="E17436">
        <f>IF(DATOS!$I17436="","",IFERROR(VLOOKUP(DATOS!$I17436,CONFIG_ASIGNATURAS!$B$2:$J$61,9,FALSE()),""))</f>
      </c>
    </row>
    <row r="17437">
      <c r="E17437">
        <f>IF(DATOS!$I17437="","",IFERROR(VLOOKUP(DATOS!$I17437,CONFIG_ASIGNATURAS!$B$2:$J$61,9,FALSE()),""))</f>
      </c>
    </row>
    <row r="17438">
      <c r="E17438">
        <f>IF(DATOS!$I17438="","",IFERROR(VLOOKUP(DATOS!$I17438,CONFIG_ASIGNATURAS!$B$2:$J$61,9,FALSE()),""))</f>
      </c>
    </row>
    <row r="17439">
      <c r="E17439">
        <f>IF(DATOS!$I17439="","",IFERROR(VLOOKUP(DATOS!$I17439,CONFIG_ASIGNATURAS!$B$2:$J$61,9,FALSE()),""))</f>
      </c>
    </row>
    <row r="17440">
      <c r="E17440">
        <f>IF(DATOS!$I17440="","",IFERROR(VLOOKUP(DATOS!$I17440,CONFIG_ASIGNATURAS!$B$2:$J$61,9,FALSE()),""))</f>
      </c>
    </row>
    <row r="17441">
      <c r="E17441">
        <f>IF(DATOS!$I17441="","",IFERROR(VLOOKUP(DATOS!$I17441,CONFIG_ASIGNATURAS!$B$2:$J$61,9,FALSE()),""))</f>
      </c>
    </row>
    <row r="17442">
      <c r="E17442">
        <f>IF(DATOS!$I17442="","",IFERROR(VLOOKUP(DATOS!$I17442,CONFIG_ASIGNATURAS!$B$2:$J$61,9,FALSE()),""))</f>
      </c>
    </row>
    <row r="17443">
      <c r="E17443">
        <f>IF(DATOS!$I17443="","",IFERROR(VLOOKUP(DATOS!$I17443,CONFIG_ASIGNATURAS!$B$2:$J$61,9,FALSE()),""))</f>
      </c>
    </row>
    <row r="17444">
      <c r="E17444">
        <f>IF(DATOS!$I17444="","",IFERROR(VLOOKUP(DATOS!$I17444,CONFIG_ASIGNATURAS!$B$2:$J$61,9,FALSE()),""))</f>
      </c>
    </row>
    <row r="17445">
      <c r="E17445">
        <f>IF(DATOS!$I17445="","",IFERROR(VLOOKUP(DATOS!$I17445,CONFIG_ASIGNATURAS!$B$2:$J$61,9,FALSE()),""))</f>
      </c>
    </row>
    <row r="17446">
      <c r="E17446">
        <f>IF(DATOS!$I17446="","",IFERROR(VLOOKUP(DATOS!$I17446,CONFIG_ASIGNATURAS!$B$2:$J$61,9,FALSE()),""))</f>
      </c>
    </row>
    <row r="17447">
      <c r="E17447">
        <f>IF(DATOS!$I17447="","",IFERROR(VLOOKUP(DATOS!$I17447,CONFIG_ASIGNATURAS!$B$2:$J$61,9,FALSE()),""))</f>
      </c>
    </row>
    <row r="17448">
      <c r="E17448">
        <f>IF(DATOS!$I17448="","",IFERROR(VLOOKUP(DATOS!$I17448,CONFIG_ASIGNATURAS!$B$2:$J$61,9,FALSE()),""))</f>
      </c>
    </row>
    <row r="17449">
      <c r="E17449">
        <f>IF(DATOS!$I17449="","",IFERROR(VLOOKUP(DATOS!$I17449,CONFIG_ASIGNATURAS!$B$2:$J$61,9,FALSE()),""))</f>
      </c>
    </row>
    <row r="17450">
      <c r="E17450">
        <f>IF(DATOS!$I17450="","",IFERROR(VLOOKUP(DATOS!$I17450,CONFIG_ASIGNATURAS!$B$2:$J$61,9,FALSE()),""))</f>
      </c>
    </row>
    <row r="17451">
      <c r="E17451">
        <f>IF(DATOS!$I17451="","",IFERROR(VLOOKUP(DATOS!$I17451,CONFIG_ASIGNATURAS!$B$2:$J$61,9,FALSE()),""))</f>
      </c>
    </row>
    <row r="17452">
      <c r="E17452">
        <f>IF(DATOS!$I17452="","",IFERROR(VLOOKUP(DATOS!$I17452,CONFIG_ASIGNATURAS!$B$2:$J$61,9,FALSE()),""))</f>
      </c>
    </row>
    <row r="17453">
      <c r="E17453">
        <f>IF(DATOS!$I17453="","",IFERROR(VLOOKUP(DATOS!$I17453,CONFIG_ASIGNATURAS!$B$2:$J$61,9,FALSE()),""))</f>
      </c>
    </row>
    <row r="17454">
      <c r="E17454">
        <f>IF(DATOS!$I17454="","",IFERROR(VLOOKUP(DATOS!$I17454,CONFIG_ASIGNATURAS!$B$2:$J$61,9,FALSE()),""))</f>
      </c>
    </row>
    <row r="17455">
      <c r="E17455">
        <f>IF(DATOS!$I17455="","",IFERROR(VLOOKUP(DATOS!$I17455,CONFIG_ASIGNATURAS!$B$2:$J$61,9,FALSE()),""))</f>
      </c>
    </row>
    <row r="17456">
      <c r="E17456">
        <f>IF(DATOS!$I17456="","",IFERROR(VLOOKUP(DATOS!$I17456,CONFIG_ASIGNATURAS!$B$2:$J$61,9,FALSE()),""))</f>
      </c>
    </row>
    <row r="17457">
      <c r="E17457">
        <f>IF(DATOS!$I17457="","",IFERROR(VLOOKUP(DATOS!$I17457,CONFIG_ASIGNATURAS!$B$2:$J$61,9,FALSE()),""))</f>
      </c>
    </row>
    <row r="17458">
      <c r="E17458">
        <f>IF(DATOS!$I17458="","",IFERROR(VLOOKUP(DATOS!$I17458,CONFIG_ASIGNATURAS!$B$2:$J$61,9,FALSE()),""))</f>
      </c>
    </row>
    <row r="17459">
      <c r="E17459">
        <f>IF(DATOS!$I17459="","",IFERROR(VLOOKUP(DATOS!$I17459,CONFIG_ASIGNATURAS!$B$2:$J$61,9,FALSE()),""))</f>
      </c>
    </row>
    <row r="17460">
      <c r="E17460">
        <f>IF(DATOS!$I17460="","",IFERROR(VLOOKUP(DATOS!$I17460,CONFIG_ASIGNATURAS!$B$2:$J$61,9,FALSE()),""))</f>
      </c>
    </row>
    <row r="17461">
      <c r="E17461">
        <f>IF(DATOS!$I17461="","",IFERROR(VLOOKUP(DATOS!$I17461,CONFIG_ASIGNATURAS!$B$2:$J$61,9,FALSE()),""))</f>
      </c>
    </row>
    <row r="17462">
      <c r="E17462">
        <f>IF(DATOS!$I17462="","",IFERROR(VLOOKUP(DATOS!$I17462,CONFIG_ASIGNATURAS!$B$2:$J$61,9,FALSE()),""))</f>
      </c>
    </row>
    <row r="17463">
      <c r="E17463">
        <f>IF(DATOS!$I17463="","",IFERROR(VLOOKUP(DATOS!$I17463,CONFIG_ASIGNATURAS!$B$2:$J$61,9,FALSE()),""))</f>
      </c>
    </row>
    <row r="17464">
      <c r="E17464">
        <f>IF(DATOS!$I17464="","",IFERROR(VLOOKUP(DATOS!$I17464,CONFIG_ASIGNATURAS!$B$2:$J$61,9,FALSE()),""))</f>
      </c>
    </row>
    <row r="17465">
      <c r="E17465">
        <f>IF(DATOS!$I17465="","",IFERROR(VLOOKUP(DATOS!$I17465,CONFIG_ASIGNATURAS!$B$2:$J$61,9,FALSE()),""))</f>
      </c>
    </row>
    <row r="17466">
      <c r="E17466">
        <f>IF(DATOS!$I17466="","",IFERROR(VLOOKUP(DATOS!$I17466,CONFIG_ASIGNATURAS!$B$2:$J$61,9,FALSE()),""))</f>
      </c>
    </row>
    <row r="17467">
      <c r="E17467">
        <f>IF(DATOS!$I17467="","",IFERROR(VLOOKUP(DATOS!$I17467,CONFIG_ASIGNATURAS!$B$2:$J$61,9,FALSE()),""))</f>
      </c>
    </row>
    <row r="17468">
      <c r="E17468">
        <f>IF(DATOS!$I17468="","",IFERROR(VLOOKUP(DATOS!$I17468,CONFIG_ASIGNATURAS!$B$2:$J$61,9,FALSE()),""))</f>
      </c>
    </row>
    <row r="17469">
      <c r="E17469">
        <f>IF(DATOS!$I17469="","",IFERROR(VLOOKUP(DATOS!$I17469,CONFIG_ASIGNATURAS!$B$2:$J$61,9,FALSE()),""))</f>
      </c>
    </row>
    <row r="17470">
      <c r="E17470">
        <f>IF(DATOS!$I17470="","",IFERROR(VLOOKUP(DATOS!$I17470,CONFIG_ASIGNATURAS!$B$2:$J$61,9,FALSE()),""))</f>
      </c>
    </row>
    <row r="17471">
      <c r="E17471">
        <f>IF(DATOS!$I17471="","",IFERROR(VLOOKUP(DATOS!$I17471,CONFIG_ASIGNATURAS!$B$2:$J$61,9,FALSE()),""))</f>
      </c>
    </row>
    <row r="17472">
      <c r="E17472">
        <f>IF(DATOS!$I17472="","",IFERROR(VLOOKUP(DATOS!$I17472,CONFIG_ASIGNATURAS!$B$2:$J$61,9,FALSE()),""))</f>
      </c>
    </row>
    <row r="17473">
      <c r="E17473">
        <f>IF(DATOS!$I17473="","",IFERROR(VLOOKUP(DATOS!$I17473,CONFIG_ASIGNATURAS!$B$2:$J$61,9,FALSE()),""))</f>
      </c>
    </row>
    <row r="17474">
      <c r="E17474">
        <f>IF(DATOS!$I17474="","",IFERROR(VLOOKUP(DATOS!$I17474,CONFIG_ASIGNATURAS!$B$2:$J$61,9,FALSE()),""))</f>
      </c>
    </row>
    <row r="17475">
      <c r="E17475">
        <f>IF(DATOS!$I17475="","",IFERROR(VLOOKUP(DATOS!$I17475,CONFIG_ASIGNATURAS!$B$2:$J$61,9,FALSE()),""))</f>
      </c>
    </row>
    <row r="17476">
      <c r="E17476">
        <f>IF(DATOS!$I17476="","",IFERROR(VLOOKUP(DATOS!$I17476,CONFIG_ASIGNATURAS!$B$2:$J$61,9,FALSE()),""))</f>
      </c>
    </row>
    <row r="17477">
      <c r="E17477">
        <f>IF(DATOS!$I17477="","",IFERROR(VLOOKUP(DATOS!$I17477,CONFIG_ASIGNATURAS!$B$2:$J$61,9,FALSE()),""))</f>
      </c>
    </row>
    <row r="17478">
      <c r="E17478">
        <f>IF(DATOS!$I17478="","",IFERROR(VLOOKUP(DATOS!$I17478,CONFIG_ASIGNATURAS!$B$2:$J$61,9,FALSE()),""))</f>
      </c>
    </row>
    <row r="17479">
      <c r="E17479">
        <f>IF(DATOS!$I17479="","",IFERROR(VLOOKUP(DATOS!$I17479,CONFIG_ASIGNATURAS!$B$2:$J$61,9,FALSE()),""))</f>
      </c>
    </row>
    <row r="17480">
      <c r="E17480">
        <f>IF(DATOS!$I17480="","",IFERROR(VLOOKUP(DATOS!$I17480,CONFIG_ASIGNATURAS!$B$2:$J$61,9,FALSE()),""))</f>
      </c>
    </row>
    <row r="17481">
      <c r="E17481">
        <f>IF(DATOS!$I17481="","",IFERROR(VLOOKUP(DATOS!$I17481,CONFIG_ASIGNATURAS!$B$2:$J$61,9,FALSE()),""))</f>
      </c>
    </row>
    <row r="17482">
      <c r="E17482">
        <f>IF(DATOS!$I17482="","",IFERROR(VLOOKUP(DATOS!$I17482,CONFIG_ASIGNATURAS!$B$2:$J$61,9,FALSE()),""))</f>
      </c>
    </row>
    <row r="17483">
      <c r="E17483">
        <f>IF(DATOS!$I17483="","",IFERROR(VLOOKUP(DATOS!$I17483,CONFIG_ASIGNATURAS!$B$2:$J$61,9,FALSE()),""))</f>
      </c>
    </row>
    <row r="17484">
      <c r="E17484">
        <f>IF(DATOS!$I17484="","",IFERROR(VLOOKUP(DATOS!$I17484,CONFIG_ASIGNATURAS!$B$2:$J$61,9,FALSE()),""))</f>
      </c>
    </row>
    <row r="17485">
      <c r="E17485">
        <f>IF(DATOS!$I17485="","",IFERROR(VLOOKUP(DATOS!$I17485,CONFIG_ASIGNATURAS!$B$2:$J$61,9,FALSE()),""))</f>
      </c>
    </row>
    <row r="17486">
      <c r="E17486">
        <f>IF(DATOS!$I17486="","",IFERROR(VLOOKUP(DATOS!$I17486,CONFIG_ASIGNATURAS!$B$2:$J$61,9,FALSE()),""))</f>
      </c>
    </row>
    <row r="17487">
      <c r="E17487">
        <f>IF(DATOS!$I17487="","",IFERROR(VLOOKUP(DATOS!$I17487,CONFIG_ASIGNATURAS!$B$2:$J$61,9,FALSE()),""))</f>
      </c>
    </row>
    <row r="17488">
      <c r="E17488">
        <f>IF(DATOS!$I17488="","",IFERROR(VLOOKUP(DATOS!$I17488,CONFIG_ASIGNATURAS!$B$2:$J$61,9,FALSE()),""))</f>
      </c>
    </row>
    <row r="17489">
      <c r="E17489">
        <f>IF(DATOS!$I17489="","",IFERROR(VLOOKUP(DATOS!$I17489,CONFIG_ASIGNATURAS!$B$2:$J$61,9,FALSE()),""))</f>
      </c>
    </row>
    <row r="17490">
      <c r="E17490">
        <f>IF(DATOS!$I17490="","",IFERROR(VLOOKUP(DATOS!$I17490,CONFIG_ASIGNATURAS!$B$2:$J$61,9,FALSE()),""))</f>
      </c>
    </row>
    <row r="17491">
      <c r="E17491">
        <f>IF(DATOS!$I17491="","",IFERROR(VLOOKUP(DATOS!$I17491,CONFIG_ASIGNATURAS!$B$2:$J$61,9,FALSE()),""))</f>
      </c>
    </row>
    <row r="17492">
      <c r="E17492">
        <f>IF(DATOS!$I17492="","",IFERROR(VLOOKUP(DATOS!$I17492,CONFIG_ASIGNATURAS!$B$2:$J$61,9,FALSE()),""))</f>
      </c>
    </row>
    <row r="17493">
      <c r="E17493">
        <f>IF(DATOS!$I17493="","",IFERROR(VLOOKUP(DATOS!$I17493,CONFIG_ASIGNATURAS!$B$2:$J$61,9,FALSE()),""))</f>
      </c>
    </row>
    <row r="17494">
      <c r="E17494">
        <f>IF(DATOS!$I17494="","",IFERROR(VLOOKUP(DATOS!$I17494,CONFIG_ASIGNATURAS!$B$2:$J$61,9,FALSE()),""))</f>
      </c>
    </row>
    <row r="17495">
      <c r="E17495">
        <f>IF(DATOS!$I17495="","",IFERROR(VLOOKUP(DATOS!$I17495,CONFIG_ASIGNATURAS!$B$2:$J$61,9,FALSE()),""))</f>
      </c>
    </row>
    <row r="17496">
      <c r="E17496">
        <f>IF(DATOS!$I17496="","",IFERROR(VLOOKUP(DATOS!$I17496,CONFIG_ASIGNATURAS!$B$2:$J$61,9,FALSE()),""))</f>
      </c>
    </row>
    <row r="17497">
      <c r="E17497">
        <f>IF(DATOS!$I17497="","",IFERROR(VLOOKUP(DATOS!$I17497,CONFIG_ASIGNATURAS!$B$2:$J$61,9,FALSE()),""))</f>
      </c>
    </row>
    <row r="17498">
      <c r="E17498">
        <f>IF(DATOS!$I17498="","",IFERROR(VLOOKUP(DATOS!$I17498,CONFIG_ASIGNATURAS!$B$2:$J$61,9,FALSE()),""))</f>
      </c>
    </row>
    <row r="17499">
      <c r="E17499">
        <f>IF(DATOS!$I17499="","",IFERROR(VLOOKUP(DATOS!$I17499,CONFIG_ASIGNATURAS!$B$2:$J$61,9,FALSE()),""))</f>
      </c>
    </row>
    <row r="17500">
      <c r="E17500">
        <f>IF(DATOS!$I17500="","",IFERROR(VLOOKUP(DATOS!$I17500,CONFIG_ASIGNATURAS!$B$2:$J$61,9,FALSE()),""))</f>
      </c>
    </row>
    <row r="17501">
      <c r="E17501">
        <f>IF(DATOS!$I17501="","",IFERROR(VLOOKUP(DATOS!$I17501,CONFIG_ASIGNATURAS!$B$2:$J$61,9,FALSE()),""))</f>
      </c>
    </row>
    <row r="17502">
      <c r="E17502">
        <f>IF(DATOS!$I17502="","",IFERROR(VLOOKUP(DATOS!$I17502,CONFIG_ASIGNATURAS!$B$2:$J$61,9,FALSE()),""))</f>
      </c>
    </row>
    <row r="17503">
      <c r="E17503">
        <f>IF(DATOS!$I17503="","",IFERROR(VLOOKUP(DATOS!$I17503,CONFIG_ASIGNATURAS!$B$2:$J$61,9,FALSE()),""))</f>
      </c>
    </row>
    <row r="17504">
      <c r="E17504">
        <f>IF(DATOS!$I17504="","",IFERROR(VLOOKUP(DATOS!$I17504,CONFIG_ASIGNATURAS!$B$2:$J$61,9,FALSE()),""))</f>
      </c>
    </row>
    <row r="17505">
      <c r="E17505">
        <f>IF(DATOS!$I17505="","",IFERROR(VLOOKUP(DATOS!$I17505,CONFIG_ASIGNATURAS!$B$2:$J$61,9,FALSE()),""))</f>
      </c>
    </row>
    <row r="17506">
      <c r="E17506">
        <f>IF(DATOS!$I17506="","",IFERROR(VLOOKUP(DATOS!$I17506,CONFIG_ASIGNATURAS!$B$2:$J$61,9,FALSE()),""))</f>
      </c>
    </row>
    <row r="17507">
      <c r="E17507">
        <f>IF(DATOS!$I17507="","",IFERROR(VLOOKUP(DATOS!$I17507,CONFIG_ASIGNATURAS!$B$2:$J$61,9,FALSE()),""))</f>
      </c>
    </row>
    <row r="17508">
      <c r="E17508">
        <f>IF(DATOS!$I17508="","",IFERROR(VLOOKUP(DATOS!$I17508,CONFIG_ASIGNATURAS!$B$2:$J$61,9,FALSE()),""))</f>
      </c>
    </row>
    <row r="17509">
      <c r="E17509">
        <f>IF(DATOS!$I17509="","",IFERROR(VLOOKUP(DATOS!$I17509,CONFIG_ASIGNATURAS!$B$2:$J$61,9,FALSE()),""))</f>
      </c>
    </row>
    <row r="17510">
      <c r="E17510">
        <f>IF(DATOS!$I17510="","",IFERROR(VLOOKUP(DATOS!$I17510,CONFIG_ASIGNATURAS!$B$2:$J$61,9,FALSE()),""))</f>
      </c>
    </row>
    <row r="17511">
      <c r="E17511">
        <f>IF(DATOS!$I17511="","",IFERROR(VLOOKUP(DATOS!$I17511,CONFIG_ASIGNATURAS!$B$2:$J$61,9,FALSE()),""))</f>
      </c>
    </row>
    <row r="17512">
      <c r="E17512">
        <f>IF(DATOS!$I17512="","",IFERROR(VLOOKUP(DATOS!$I17512,CONFIG_ASIGNATURAS!$B$2:$J$61,9,FALSE()),""))</f>
      </c>
    </row>
    <row r="17513">
      <c r="E17513">
        <f>IF(DATOS!$I17513="","",IFERROR(VLOOKUP(DATOS!$I17513,CONFIG_ASIGNATURAS!$B$2:$J$61,9,FALSE()),""))</f>
      </c>
    </row>
    <row r="17514">
      <c r="E17514">
        <f>IF(DATOS!$I17514="","",IFERROR(VLOOKUP(DATOS!$I17514,CONFIG_ASIGNATURAS!$B$2:$J$61,9,FALSE()),""))</f>
      </c>
    </row>
    <row r="17515">
      <c r="E17515">
        <f>IF(DATOS!$I17515="","",IFERROR(VLOOKUP(DATOS!$I17515,CONFIG_ASIGNATURAS!$B$2:$J$61,9,FALSE()),""))</f>
      </c>
    </row>
    <row r="17516">
      <c r="E17516">
        <f>IF(DATOS!$I17516="","",IFERROR(VLOOKUP(DATOS!$I17516,CONFIG_ASIGNATURAS!$B$2:$J$61,9,FALSE()),""))</f>
      </c>
    </row>
    <row r="17517">
      <c r="E17517">
        <f>IF(DATOS!$I17517="","",IFERROR(VLOOKUP(DATOS!$I17517,CONFIG_ASIGNATURAS!$B$2:$J$61,9,FALSE()),""))</f>
      </c>
    </row>
    <row r="17518">
      <c r="E17518">
        <f>IF(DATOS!$I17518="","",IFERROR(VLOOKUP(DATOS!$I17518,CONFIG_ASIGNATURAS!$B$2:$J$61,9,FALSE()),""))</f>
      </c>
    </row>
    <row r="17519">
      <c r="E17519">
        <f>IF(DATOS!$I17519="","",IFERROR(VLOOKUP(DATOS!$I17519,CONFIG_ASIGNATURAS!$B$2:$J$61,9,FALSE()),""))</f>
      </c>
    </row>
    <row r="17520">
      <c r="E17520">
        <f>IF(DATOS!$I17520="","",IFERROR(VLOOKUP(DATOS!$I17520,CONFIG_ASIGNATURAS!$B$2:$J$61,9,FALSE()),""))</f>
      </c>
    </row>
    <row r="17521">
      <c r="E17521">
        <f>IF(DATOS!$I17521="","",IFERROR(VLOOKUP(DATOS!$I17521,CONFIG_ASIGNATURAS!$B$2:$J$61,9,FALSE()),""))</f>
      </c>
    </row>
    <row r="17522">
      <c r="E17522">
        <f>IF(DATOS!$I17522="","",IFERROR(VLOOKUP(DATOS!$I17522,CONFIG_ASIGNATURAS!$B$2:$J$61,9,FALSE()),""))</f>
      </c>
    </row>
    <row r="17523">
      <c r="E17523">
        <f>IF(DATOS!$I17523="","",IFERROR(VLOOKUP(DATOS!$I17523,CONFIG_ASIGNATURAS!$B$2:$J$61,9,FALSE()),""))</f>
      </c>
    </row>
    <row r="17524">
      <c r="E17524">
        <f>IF(DATOS!$I17524="","",IFERROR(VLOOKUP(DATOS!$I17524,CONFIG_ASIGNATURAS!$B$2:$J$61,9,FALSE()),""))</f>
      </c>
    </row>
    <row r="17525">
      <c r="E17525">
        <f>IF(DATOS!$I17525="","",IFERROR(VLOOKUP(DATOS!$I17525,CONFIG_ASIGNATURAS!$B$2:$J$61,9,FALSE()),""))</f>
      </c>
    </row>
    <row r="17526">
      <c r="E17526">
        <f>IF(DATOS!$I17526="","",IFERROR(VLOOKUP(DATOS!$I17526,CONFIG_ASIGNATURAS!$B$2:$J$61,9,FALSE()),""))</f>
      </c>
    </row>
    <row r="17527">
      <c r="E17527">
        <f>IF(DATOS!$I17527="","",IFERROR(VLOOKUP(DATOS!$I17527,CONFIG_ASIGNATURAS!$B$2:$J$61,9,FALSE()),""))</f>
      </c>
    </row>
    <row r="17528">
      <c r="E17528">
        <f>IF(DATOS!$I17528="","",IFERROR(VLOOKUP(DATOS!$I17528,CONFIG_ASIGNATURAS!$B$2:$J$61,9,FALSE()),""))</f>
      </c>
    </row>
    <row r="17529">
      <c r="E17529">
        <f>IF(DATOS!$I17529="","",IFERROR(VLOOKUP(DATOS!$I17529,CONFIG_ASIGNATURAS!$B$2:$J$61,9,FALSE()),""))</f>
      </c>
    </row>
    <row r="17530">
      <c r="E17530">
        <f>IF(DATOS!$I17530="","",IFERROR(VLOOKUP(DATOS!$I17530,CONFIG_ASIGNATURAS!$B$2:$J$61,9,FALSE()),""))</f>
      </c>
    </row>
    <row r="17531">
      <c r="E17531">
        <f>IF(DATOS!$I17531="","",IFERROR(VLOOKUP(DATOS!$I17531,CONFIG_ASIGNATURAS!$B$2:$J$61,9,FALSE()),""))</f>
      </c>
    </row>
    <row r="17532">
      <c r="E17532">
        <f>IF(DATOS!$I17532="","",IFERROR(VLOOKUP(DATOS!$I17532,CONFIG_ASIGNATURAS!$B$2:$J$61,9,FALSE()),""))</f>
      </c>
    </row>
    <row r="17533">
      <c r="E17533">
        <f>IF(DATOS!$I17533="","",IFERROR(VLOOKUP(DATOS!$I17533,CONFIG_ASIGNATURAS!$B$2:$J$61,9,FALSE()),""))</f>
      </c>
    </row>
    <row r="17534">
      <c r="E17534">
        <f>IF(DATOS!$I17534="","",IFERROR(VLOOKUP(DATOS!$I17534,CONFIG_ASIGNATURAS!$B$2:$J$61,9,FALSE()),""))</f>
      </c>
    </row>
    <row r="17535">
      <c r="E17535">
        <f>IF(DATOS!$I17535="","",IFERROR(VLOOKUP(DATOS!$I17535,CONFIG_ASIGNATURAS!$B$2:$J$61,9,FALSE()),""))</f>
      </c>
    </row>
    <row r="17536">
      <c r="E17536">
        <f>IF(DATOS!$I17536="","",IFERROR(VLOOKUP(DATOS!$I17536,CONFIG_ASIGNATURAS!$B$2:$J$61,9,FALSE()),""))</f>
      </c>
    </row>
    <row r="17537">
      <c r="E17537">
        <f>IF(DATOS!$I17537="","",IFERROR(VLOOKUP(DATOS!$I17537,CONFIG_ASIGNATURAS!$B$2:$J$61,9,FALSE()),""))</f>
      </c>
    </row>
    <row r="17538">
      <c r="E17538">
        <f>IF(DATOS!$I17538="","",IFERROR(VLOOKUP(DATOS!$I17538,CONFIG_ASIGNATURAS!$B$2:$J$61,9,FALSE()),""))</f>
      </c>
    </row>
    <row r="17539">
      <c r="E17539">
        <f>IF(DATOS!$I17539="","",IFERROR(VLOOKUP(DATOS!$I17539,CONFIG_ASIGNATURAS!$B$2:$J$61,9,FALSE()),""))</f>
      </c>
    </row>
    <row r="17540">
      <c r="E17540">
        <f>IF(DATOS!$I17540="","",IFERROR(VLOOKUP(DATOS!$I17540,CONFIG_ASIGNATURAS!$B$2:$J$61,9,FALSE()),""))</f>
      </c>
    </row>
    <row r="17541">
      <c r="E17541">
        <f>IF(DATOS!$I17541="","",IFERROR(VLOOKUP(DATOS!$I17541,CONFIG_ASIGNATURAS!$B$2:$J$61,9,FALSE()),""))</f>
      </c>
    </row>
    <row r="17542">
      <c r="E17542">
        <f>IF(DATOS!$I17542="","",IFERROR(VLOOKUP(DATOS!$I17542,CONFIG_ASIGNATURAS!$B$2:$J$61,9,FALSE()),""))</f>
      </c>
    </row>
    <row r="17543">
      <c r="E17543">
        <f>IF(DATOS!$I17543="","",IFERROR(VLOOKUP(DATOS!$I17543,CONFIG_ASIGNATURAS!$B$2:$J$61,9,FALSE()),""))</f>
      </c>
    </row>
    <row r="17544">
      <c r="E17544">
        <f>IF(DATOS!$I17544="","",IFERROR(VLOOKUP(DATOS!$I17544,CONFIG_ASIGNATURAS!$B$2:$J$61,9,FALSE()),""))</f>
      </c>
    </row>
    <row r="17545">
      <c r="E17545">
        <f>IF(DATOS!$I17545="","",IFERROR(VLOOKUP(DATOS!$I17545,CONFIG_ASIGNATURAS!$B$2:$J$61,9,FALSE()),""))</f>
      </c>
    </row>
    <row r="17546">
      <c r="E17546">
        <f>IF(DATOS!$I17546="","",IFERROR(VLOOKUP(DATOS!$I17546,CONFIG_ASIGNATURAS!$B$2:$J$61,9,FALSE()),""))</f>
      </c>
    </row>
    <row r="17547">
      <c r="E17547">
        <f>IF(DATOS!$I17547="","",IFERROR(VLOOKUP(DATOS!$I17547,CONFIG_ASIGNATURAS!$B$2:$J$61,9,FALSE()),""))</f>
      </c>
    </row>
    <row r="17548">
      <c r="E17548">
        <f>IF(DATOS!$I17548="","",IFERROR(VLOOKUP(DATOS!$I17548,CONFIG_ASIGNATURAS!$B$2:$J$61,9,FALSE()),""))</f>
      </c>
    </row>
    <row r="17549">
      <c r="E17549">
        <f>IF(DATOS!$I17549="","",IFERROR(VLOOKUP(DATOS!$I17549,CONFIG_ASIGNATURAS!$B$2:$J$61,9,FALSE()),""))</f>
      </c>
    </row>
    <row r="17550">
      <c r="E17550">
        <f>IF(DATOS!$I17550="","",IFERROR(VLOOKUP(DATOS!$I17550,CONFIG_ASIGNATURAS!$B$2:$J$61,9,FALSE()),""))</f>
      </c>
    </row>
    <row r="17551">
      <c r="E17551">
        <f>IF(DATOS!$I17551="","",IFERROR(VLOOKUP(DATOS!$I17551,CONFIG_ASIGNATURAS!$B$2:$J$61,9,FALSE()),""))</f>
      </c>
    </row>
    <row r="17552">
      <c r="E17552">
        <f>IF(DATOS!$I17552="","",IFERROR(VLOOKUP(DATOS!$I17552,CONFIG_ASIGNATURAS!$B$2:$J$61,9,FALSE()),""))</f>
      </c>
    </row>
    <row r="17553">
      <c r="E17553">
        <f>IF(DATOS!$I17553="","",IFERROR(VLOOKUP(DATOS!$I17553,CONFIG_ASIGNATURAS!$B$2:$J$61,9,FALSE()),""))</f>
      </c>
    </row>
    <row r="17554">
      <c r="E17554">
        <f>IF(DATOS!$I17554="","",IFERROR(VLOOKUP(DATOS!$I17554,CONFIG_ASIGNATURAS!$B$2:$J$61,9,FALSE()),""))</f>
      </c>
    </row>
    <row r="17555">
      <c r="E17555">
        <f>IF(DATOS!$I17555="","",IFERROR(VLOOKUP(DATOS!$I17555,CONFIG_ASIGNATURAS!$B$2:$J$61,9,FALSE()),""))</f>
      </c>
    </row>
    <row r="17556">
      <c r="E17556">
        <f>IF(DATOS!$I17556="","",IFERROR(VLOOKUP(DATOS!$I17556,CONFIG_ASIGNATURAS!$B$2:$J$61,9,FALSE()),""))</f>
      </c>
    </row>
    <row r="17557">
      <c r="E17557">
        <f>IF(DATOS!$I17557="","",IFERROR(VLOOKUP(DATOS!$I17557,CONFIG_ASIGNATURAS!$B$2:$J$61,9,FALSE()),""))</f>
      </c>
    </row>
    <row r="17558">
      <c r="E17558">
        <f>IF(DATOS!$I17558="","",IFERROR(VLOOKUP(DATOS!$I17558,CONFIG_ASIGNATURAS!$B$2:$J$61,9,FALSE()),""))</f>
      </c>
    </row>
    <row r="17559">
      <c r="E17559">
        <f>IF(DATOS!$I17559="","",IFERROR(VLOOKUP(DATOS!$I17559,CONFIG_ASIGNATURAS!$B$2:$J$61,9,FALSE()),""))</f>
      </c>
    </row>
    <row r="17560">
      <c r="E17560">
        <f>IF(DATOS!$I17560="","",IFERROR(VLOOKUP(DATOS!$I17560,CONFIG_ASIGNATURAS!$B$2:$J$61,9,FALSE()),""))</f>
      </c>
    </row>
    <row r="17561">
      <c r="E17561">
        <f>IF(DATOS!$I17561="","",IFERROR(VLOOKUP(DATOS!$I17561,CONFIG_ASIGNATURAS!$B$2:$J$61,9,FALSE()),""))</f>
      </c>
    </row>
    <row r="17562">
      <c r="E17562">
        <f>IF(DATOS!$I17562="","",IFERROR(VLOOKUP(DATOS!$I17562,CONFIG_ASIGNATURAS!$B$2:$J$61,9,FALSE()),""))</f>
      </c>
    </row>
    <row r="17563">
      <c r="E17563">
        <f>IF(DATOS!$I17563="","",IFERROR(VLOOKUP(DATOS!$I17563,CONFIG_ASIGNATURAS!$B$2:$J$61,9,FALSE()),""))</f>
      </c>
    </row>
    <row r="17564">
      <c r="E17564">
        <f>IF(DATOS!$I17564="","",IFERROR(VLOOKUP(DATOS!$I17564,CONFIG_ASIGNATURAS!$B$2:$J$61,9,FALSE()),""))</f>
      </c>
    </row>
    <row r="17565">
      <c r="E17565">
        <f>IF(DATOS!$I17565="","",IFERROR(VLOOKUP(DATOS!$I17565,CONFIG_ASIGNATURAS!$B$2:$J$61,9,FALSE()),""))</f>
      </c>
    </row>
    <row r="17566">
      <c r="E17566">
        <f>IF(DATOS!$I17566="","",IFERROR(VLOOKUP(DATOS!$I17566,CONFIG_ASIGNATURAS!$B$2:$J$61,9,FALSE()),""))</f>
      </c>
    </row>
    <row r="17567">
      <c r="E17567">
        <f>IF(DATOS!$I17567="","",IFERROR(VLOOKUP(DATOS!$I17567,CONFIG_ASIGNATURAS!$B$2:$J$61,9,FALSE()),""))</f>
      </c>
    </row>
    <row r="17568">
      <c r="E17568">
        <f>IF(DATOS!$I17568="","",IFERROR(VLOOKUP(DATOS!$I17568,CONFIG_ASIGNATURAS!$B$2:$J$61,9,FALSE()),""))</f>
      </c>
    </row>
    <row r="17569">
      <c r="E17569">
        <f>IF(DATOS!$I17569="","",IFERROR(VLOOKUP(DATOS!$I17569,CONFIG_ASIGNATURAS!$B$2:$J$61,9,FALSE()),""))</f>
      </c>
    </row>
    <row r="17570">
      <c r="E17570">
        <f>IF(DATOS!$I17570="","",IFERROR(VLOOKUP(DATOS!$I17570,CONFIG_ASIGNATURAS!$B$2:$J$61,9,FALSE()),""))</f>
      </c>
    </row>
    <row r="17571">
      <c r="E17571">
        <f>IF(DATOS!$I17571="","",IFERROR(VLOOKUP(DATOS!$I17571,CONFIG_ASIGNATURAS!$B$2:$J$61,9,FALSE()),""))</f>
      </c>
    </row>
    <row r="17572">
      <c r="E17572">
        <f>IF(DATOS!$I17572="","",IFERROR(VLOOKUP(DATOS!$I17572,CONFIG_ASIGNATURAS!$B$2:$J$61,9,FALSE()),""))</f>
      </c>
    </row>
    <row r="17573">
      <c r="E17573">
        <f>IF(DATOS!$I17573="","",IFERROR(VLOOKUP(DATOS!$I17573,CONFIG_ASIGNATURAS!$B$2:$J$61,9,FALSE()),""))</f>
      </c>
    </row>
    <row r="17574">
      <c r="E17574">
        <f>IF(DATOS!$I17574="","",IFERROR(VLOOKUP(DATOS!$I17574,CONFIG_ASIGNATURAS!$B$2:$J$61,9,FALSE()),""))</f>
      </c>
    </row>
    <row r="17575">
      <c r="E17575">
        <f>IF(DATOS!$I17575="","",IFERROR(VLOOKUP(DATOS!$I17575,CONFIG_ASIGNATURAS!$B$2:$J$61,9,FALSE()),""))</f>
      </c>
    </row>
    <row r="17576">
      <c r="E17576">
        <f>IF(DATOS!$I17576="","",IFERROR(VLOOKUP(DATOS!$I17576,CONFIG_ASIGNATURAS!$B$2:$J$61,9,FALSE()),""))</f>
      </c>
    </row>
    <row r="17577">
      <c r="E17577">
        <f>IF(DATOS!$I17577="","",IFERROR(VLOOKUP(DATOS!$I17577,CONFIG_ASIGNATURAS!$B$2:$J$61,9,FALSE()),""))</f>
      </c>
    </row>
    <row r="17578">
      <c r="E17578">
        <f>IF(DATOS!$I17578="","",IFERROR(VLOOKUP(DATOS!$I17578,CONFIG_ASIGNATURAS!$B$2:$J$61,9,FALSE()),""))</f>
      </c>
    </row>
    <row r="17579">
      <c r="E17579">
        <f>IF(DATOS!$I17579="","",IFERROR(VLOOKUP(DATOS!$I17579,CONFIG_ASIGNATURAS!$B$2:$J$61,9,FALSE()),""))</f>
      </c>
    </row>
    <row r="17580">
      <c r="E17580">
        <f>IF(DATOS!$I17580="","",IFERROR(VLOOKUP(DATOS!$I17580,CONFIG_ASIGNATURAS!$B$2:$J$61,9,FALSE()),""))</f>
      </c>
    </row>
    <row r="17581">
      <c r="E17581">
        <f>IF(DATOS!$I17581="","",IFERROR(VLOOKUP(DATOS!$I17581,CONFIG_ASIGNATURAS!$B$2:$J$61,9,FALSE()),""))</f>
      </c>
    </row>
    <row r="17582">
      <c r="E17582">
        <f>IF(DATOS!$I17582="","",IFERROR(VLOOKUP(DATOS!$I17582,CONFIG_ASIGNATURAS!$B$2:$J$61,9,FALSE()),""))</f>
      </c>
    </row>
    <row r="17583">
      <c r="E17583">
        <f>IF(DATOS!$I17583="","",IFERROR(VLOOKUP(DATOS!$I17583,CONFIG_ASIGNATURAS!$B$2:$J$61,9,FALSE()),""))</f>
      </c>
    </row>
    <row r="17584">
      <c r="E17584">
        <f>IF(DATOS!$I17584="","",IFERROR(VLOOKUP(DATOS!$I17584,CONFIG_ASIGNATURAS!$B$2:$J$61,9,FALSE()),""))</f>
      </c>
    </row>
    <row r="17585">
      <c r="E17585">
        <f>IF(DATOS!$I17585="","",IFERROR(VLOOKUP(DATOS!$I17585,CONFIG_ASIGNATURAS!$B$2:$J$61,9,FALSE()),""))</f>
      </c>
    </row>
    <row r="17586">
      <c r="E17586">
        <f>IF(DATOS!$I17586="","",IFERROR(VLOOKUP(DATOS!$I17586,CONFIG_ASIGNATURAS!$B$2:$J$61,9,FALSE()),""))</f>
      </c>
    </row>
    <row r="17587">
      <c r="E17587">
        <f>IF(DATOS!$I17587="","",IFERROR(VLOOKUP(DATOS!$I17587,CONFIG_ASIGNATURAS!$B$2:$J$61,9,FALSE()),""))</f>
      </c>
    </row>
    <row r="17588">
      <c r="E17588">
        <f>IF(DATOS!$I17588="","",IFERROR(VLOOKUP(DATOS!$I17588,CONFIG_ASIGNATURAS!$B$2:$J$61,9,FALSE()),""))</f>
      </c>
    </row>
    <row r="17589">
      <c r="E17589">
        <f>IF(DATOS!$I17589="","",IFERROR(VLOOKUP(DATOS!$I17589,CONFIG_ASIGNATURAS!$B$2:$J$61,9,FALSE()),""))</f>
      </c>
    </row>
    <row r="17590">
      <c r="E17590">
        <f>IF(DATOS!$I17590="","",IFERROR(VLOOKUP(DATOS!$I17590,CONFIG_ASIGNATURAS!$B$2:$J$61,9,FALSE()),""))</f>
      </c>
    </row>
    <row r="17591">
      <c r="E17591">
        <f>IF(DATOS!$I17591="","",IFERROR(VLOOKUP(DATOS!$I17591,CONFIG_ASIGNATURAS!$B$2:$J$61,9,FALSE()),""))</f>
      </c>
    </row>
    <row r="17592">
      <c r="E17592">
        <f>IF(DATOS!$I17592="","",IFERROR(VLOOKUP(DATOS!$I17592,CONFIG_ASIGNATURAS!$B$2:$J$61,9,FALSE()),""))</f>
      </c>
    </row>
    <row r="17593">
      <c r="E17593">
        <f>IF(DATOS!$I17593="","",IFERROR(VLOOKUP(DATOS!$I17593,CONFIG_ASIGNATURAS!$B$2:$J$61,9,FALSE()),""))</f>
      </c>
    </row>
    <row r="17594">
      <c r="E17594">
        <f>IF(DATOS!$I17594="","",IFERROR(VLOOKUP(DATOS!$I17594,CONFIG_ASIGNATURAS!$B$2:$J$61,9,FALSE()),""))</f>
      </c>
    </row>
    <row r="17595">
      <c r="E17595">
        <f>IF(DATOS!$I17595="","",IFERROR(VLOOKUP(DATOS!$I17595,CONFIG_ASIGNATURAS!$B$2:$J$61,9,FALSE()),""))</f>
      </c>
    </row>
    <row r="17596">
      <c r="E17596">
        <f>IF(DATOS!$I17596="","",IFERROR(VLOOKUP(DATOS!$I17596,CONFIG_ASIGNATURAS!$B$2:$J$61,9,FALSE()),""))</f>
      </c>
    </row>
    <row r="17597">
      <c r="E17597">
        <f>IF(DATOS!$I17597="","",IFERROR(VLOOKUP(DATOS!$I17597,CONFIG_ASIGNATURAS!$B$2:$J$61,9,FALSE()),""))</f>
      </c>
    </row>
    <row r="17598">
      <c r="E17598">
        <f>IF(DATOS!$I17598="","",IFERROR(VLOOKUP(DATOS!$I17598,CONFIG_ASIGNATURAS!$B$2:$J$61,9,FALSE()),""))</f>
      </c>
    </row>
    <row r="17599">
      <c r="E17599">
        <f>IF(DATOS!$I17599="","",IFERROR(VLOOKUP(DATOS!$I17599,CONFIG_ASIGNATURAS!$B$2:$J$61,9,FALSE()),""))</f>
      </c>
    </row>
    <row r="17600">
      <c r="E17600">
        <f>IF(DATOS!$I17600="","",IFERROR(VLOOKUP(DATOS!$I17600,CONFIG_ASIGNATURAS!$B$2:$J$61,9,FALSE()),""))</f>
      </c>
    </row>
    <row r="17601">
      <c r="E17601">
        <f>IF(DATOS!$I17601="","",IFERROR(VLOOKUP(DATOS!$I17601,CONFIG_ASIGNATURAS!$B$2:$J$61,9,FALSE()),""))</f>
      </c>
    </row>
    <row r="17602">
      <c r="E17602">
        <f>IF(DATOS!$I17602="","",IFERROR(VLOOKUP(DATOS!$I17602,CONFIG_ASIGNATURAS!$B$2:$J$61,9,FALSE()),""))</f>
      </c>
    </row>
    <row r="17603">
      <c r="E17603">
        <f>IF(DATOS!$I17603="","",IFERROR(VLOOKUP(DATOS!$I17603,CONFIG_ASIGNATURAS!$B$2:$J$61,9,FALSE()),""))</f>
      </c>
    </row>
    <row r="17604">
      <c r="E17604">
        <f>IF(DATOS!$I17604="","",IFERROR(VLOOKUP(DATOS!$I17604,CONFIG_ASIGNATURAS!$B$2:$J$61,9,FALSE()),""))</f>
      </c>
    </row>
    <row r="17605">
      <c r="E17605">
        <f>IF(DATOS!$I17605="","",IFERROR(VLOOKUP(DATOS!$I17605,CONFIG_ASIGNATURAS!$B$2:$J$61,9,FALSE()),""))</f>
      </c>
    </row>
    <row r="17606">
      <c r="E17606">
        <f>IF(DATOS!$I17606="","",IFERROR(VLOOKUP(DATOS!$I17606,CONFIG_ASIGNATURAS!$B$2:$J$61,9,FALSE()),""))</f>
      </c>
    </row>
    <row r="17607">
      <c r="E17607">
        <f>IF(DATOS!$I17607="","",IFERROR(VLOOKUP(DATOS!$I17607,CONFIG_ASIGNATURAS!$B$2:$J$61,9,FALSE()),""))</f>
      </c>
    </row>
    <row r="17608">
      <c r="E17608">
        <f>IF(DATOS!$I17608="","",IFERROR(VLOOKUP(DATOS!$I17608,CONFIG_ASIGNATURAS!$B$2:$J$61,9,FALSE()),""))</f>
      </c>
    </row>
    <row r="17609">
      <c r="E17609">
        <f>IF(DATOS!$I17609="","",IFERROR(VLOOKUP(DATOS!$I17609,CONFIG_ASIGNATURAS!$B$2:$J$61,9,FALSE()),""))</f>
      </c>
    </row>
    <row r="17610">
      <c r="E17610">
        <f>IF(DATOS!$I17610="","",IFERROR(VLOOKUP(DATOS!$I17610,CONFIG_ASIGNATURAS!$B$2:$J$61,9,FALSE()),""))</f>
      </c>
    </row>
    <row r="17611">
      <c r="E17611">
        <f>IF(DATOS!$I17611="","",IFERROR(VLOOKUP(DATOS!$I17611,CONFIG_ASIGNATURAS!$B$2:$J$61,9,FALSE()),""))</f>
      </c>
    </row>
    <row r="17612">
      <c r="E17612">
        <f>IF(DATOS!$I17612="","",IFERROR(VLOOKUP(DATOS!$I17612,CONFIG_ASIGNATURAS!$B$2:$J$61,9,FALSE()),""))</f>
      </c>
    </row>
    <row r="17613">
      <c r="E17613">
        <f>IF(DATOS!$I17613="","",IFERROR(VLOOKUP(DATOS!$I17613,CONFIG_ASIGNATURAS!$B$2:$J$61,9,FALSE()),""))</f>
      </c>
    </row>
    <row r="17614">
      <c r="E17614">
        <f>IF(DATOS!$I17614="","",IFERROR(VLOOKUP(DATOS!$I17614,CONFIG_ASIGNATURAS!$B$2:$J$61,9,FALSE()),""))</f>
      </c>
    </row>
    <row r="17615">
      <c r="E17615">
        <f>IF(DATOS!$I17615="","",IFERROR(VLOOKUP(DATOS!$I17615,CONFIG_ASIGNATURAS!$B$2:$J$61,9,FALSE()),""))</f>
      </c>
    </row>
    <row r="17616">
      <c r="E17616">
        <f>IF(DATOS!$I17616="","",IFERROR(VLOOKUP(DATOS!$I17616,CONFIG_ASIGNATURAS!$B$2:$J$61,9,FALSE()),""))</f>
      </c>
    </row>
    <row r="17617">
      <c r="E17617">
        <f>IF(DATOS!$I17617="","",IFERROR(VLOOKUP(DATOS!$I17617,CONFIG_ASIGNATURAS!$B$2:$J$61,9,FALSE()),""))</f>
      </c>
    </row>
    <row r="17618">
      <c r="E17618">
        <f>IF(DATOS!$I17618="","",IFERROR(VLOOKUP(DATOS!$I17618,CONFIG_ASIGNATURAS!$B$2:$J$61,9,FALSE()),""))</f>
      </c>
    </row>
    <row r="17619">
      <c r="E17619">
        <f>IF(DATOS!$I17619="","",IFERROR(VLOOKUP(DATOS!$I17619,CONFIG_ASIGNATURAS!$B$2:$J$61,9,FALSE()),""))</f>
      </c>
    </row>
    <row r="17620">
      <c r="E17620">
        <f>IF(DATOS!$I17620="","",IFERROR(VLOOKUP(DATOS!$I17620,CONFIG_ASIGNATURAS!$B$2:$J$61,9,FALSE()),""))</f>
      </c>
    </row>
    <row r="17621">
      <c r="E17621">
        <f>IF(DATOS!$I17621="","",IFERROR(VLOOKUP(DATOS!$I17621,CONFIG_ASIGNATURAS!$B$2:$J$61,9,FALSE()),""))</f>
      </c>
    </row>
    <row r="17622">
      <c r="E17622">
        <f>IF(DATOS!$I17622="","",IFERROR(VLOOKUP(DATOS!$I17622,CONFIG_ASIGNATURAS!$B$2:$J$61,9,FALSE()),""))</f>
      </c>
    </row>
    <row r="17623">
      <c r="E17623">
        <f>IF(DATOS!$I17623="","",IFERROR(VLOOKUP(DATOS!$I17623,CONFIG_ASIGNATURAS!$B$2:$J$61,9,FALSE()),""))</f>
      </c>
    </row>
    <row r="17624">
      <c r="E17624">
        <f>IF(DATOS!$I17624="","",IFERROR(VLOOKUP(DATOS!$I17624,CONFIG_ASIGNATURAS!$B$2:$J$61,9,FALSE()),""))</f>
      </c>
    </row>
    <row r="17625">
      <c r="E17625">
        <f>IF(DATOS!$I17625="","",IFERROR(VLOOKUP(DATOS!$I17625,CONFIG_ASIGNATURAS!$B$2:$J$61,9,FALSE()),""))</f>
      </c>
    </row>
    <row r="17626">
      <c r="E17626">
        <f>IF(DATOS!$I17626="","",IFERROR(VLOOKUP(DATOS!$I17626,CONFIG_ASIGNATURAS!$B$2:$J$61,9,FALSE()),""))</f>
      </c>
    </row>
    <row r="17627">
      <c r="E17627">
        <f>IF(DATOS!$I17627="","",IFERROR(VLOOKUP(DATOS!$I17627,CONFIG_ASIGNATURAS!$B$2:$J$61,9,FALSE()),""))</f>
      </c>
    </row>
    <row r="17628">
      <c r="E17628">
        <f>IF(DATOS!$I17628="","",IFERROR(VLOOKUP(DATOS!$I17628,CONFIG_ASIGNATURAS!$B$2:$J$61,9,FALSE()),""))</f>
      </c>
    </row>
    <row r="17629">
      <c r="E17629">
        <f>IF(DATOS!$I17629="","",IFERROR(VLOOKUP(DATOS!$I17629,CONFIG_ASIGNATURAS!$B$2:$J$61,9,FALSE()),""))</f>
      </c>
    </row>
    <row r="17630">
      <c r="E17630">
        <f>IF(DATOS!$I17630="","",IFERROR(VLOOKUP(DATOS!$I17630,CONFIG_ASIGNATURAS!$B$2:$J$61,9,FALSE()),""))</f>
      </c>
    </row>
    <row r="17631">
      <c r="E17631">
        <f>IF(DATOS!$I17631="","",IFERROR(VLOOKUP(DATOS!$I17631,CONFIG_ASIGNATURAS!$B$2:$J$61,9,FALSE()),""))</f>
      </c>
    </row>
    <row r="17632">
      <c r="E17632">
        <f>IF(DATOS!$I17632="","",IFERROR(VLOOKUP(DATOS!$I17632,CONFIG_ASIGNATURAS!$B$2:$J$61,9,FALSE()),""))</f>
      </c>
    </row>
    <row r="17633">
      <c r="E17633">
        <f>IF(DATOS!$I17633="","",IFERROR(VLOOKUP(DATOS!$I17633,CONFIG_ASIGNATURAS!$B$2:$J$61,9,FALSE()),""))</f>
      </c>
    </row>
    <row r="17634">
      <c r="E17634">
        <f>IF(DATOS!$I17634="","",IFERROR(VLOOKUP(DATOS!$I17634,CONFIG_ASIGNATURAS!$B$2:$J$61,9,FALSE()),""))</f>
      </c>
    </row>
    <row r="17635">
      <c r="E17635">
        <f>IF(DATOS!$I17635="","",IFERROR(VLOOKUP(DATOS!$I17635,CONFIG_ASIGNATURAS!$B$2:$J$61,9,FALSE()),""))</f>
      </c>
    </row>
    <row r="17636">
      <c r="E17636">
        <f>IF(DATOS!$I17636="","",IFERROR(VLOOKUP(DATOS!$I17636,CONFIG_ASIGNATURAS!$B$2:$J$61,9,FALSE()),""))</f>
      </c>
    </row>
    <row r="17637">
      <c r="E17637">
        <f>IF(DATOS!$I17637="","",IFERROR(VLOOKUP(DATOS!$I17637,CONFIG_ASIGNATURAS!$B$2:$J$61,9,FALSE()),""))</f>
      </c>
    </row>
    <row r="17638">
      <c r="E17638">
        <f>IF(DATOS!$I17638="","",IFERROR(VLOOKUP(DATOS!$I17638,CONFIG_ASIGNATURAS!$B$2:$J$61,9,FALSE()),""))</f>
      </c>
    </row>
    <row r="17639">
      <c r="E17639">
        <f>IF(DATOS!$I17639="","",IFERROR(VLOOKUP(DATOS!$I17639,CONFIG_ASIGNATURAS!$B$2:$J$61,9,FALSE()),""))</f>
      </c>
    </row>
    <row r="17640">
      <c r="E17640">
        <f>IF(DATOS!$I17640="","",IFERROR(VLOOKUP(DATOS!$I17640,CONFIG_ASIGNATURAS!$B$2:$J$61,9,FALSE()),""))</f>
      </c>
    </row>
    <row r="17641">
      <c r="E17641">
        <f>IF(DATOS!$I17641="","",IFERROR(VLOOKUP(DATOS!$I17641,CONFIG_ASIGNATURAS!$B$2:$J$61,9,FALSE()),""))</f>
      </c>
    </row>
    <row r="17642">
      <c r="E17642">
        <f>IF(DATOS!$I17642="","",IFERROR(VLOOKUP(DATOS!$I17642,CONFIG_ASIGNATURAS!$B$2:$J$61,9,FALSE()),""))</f>
      </c>
    </row>
    <row r="17643">
      <c r="E17643">
        <f>IF(DATOS!$I17643="","",IFERROR(VLOOKUP(DATOS!$I17643,CONFIG_ASIGNATURAS!$B$2:$J$61,9,FALSE()),""))</f>
      </c>
    </row>
    <row r="17644">
      <c r="E17644">
        <f>IF(DATOS!$I17644="","",IFERROR(VLOOKUP(DATOS!$I17644,CONFIG_ASIGNATURAS!$B$2:$J$61,9,FALSE()),""))</f>
      </c>
    </row>
    <row r="17645">
      <c r="E17645">
        <f>IF(DATOS!$I17645="","",IFERROR(VLOOKUP(DATOS!$I17645,CONFIG_ASIGNATURAS!$B$2:$J$61,9,FALSE()),""))</f>
      </c>
    </row>
    <row r="17646">
      <c r="E17646">
        <f>IF(DATOS!$I17646="","",IFERROR(VLOOKUP(DATOS!$I17646,CONFIG_ASIGNATURAS!$B$2:$J$61,9,FALSE()),""))</f>
      </c>
    </row>
    <row r="17647">
      <c r="E17647">
        <f>IF(DATOS!$I17647="","",IFERROR(VLOOKUP(DATOS!$I17647,CONFIG_ASIGNATURAS!$B$2:$J$61,9,FALSE()),""))</f>
      </c>
    </row>
    <row r="17648">
      <c r="E17648">
        <f>IF(DATOS!$I17648="","",IFERROR(VLOOKUP(DATOS!$I17648,CONFIG_ASIGNATURAS!$B$2:$J$61,9,FALSE()),""))</f>
      </c>
    </row>
    <row r="17649">
      <c r="E17649">
        <f>IF(DATOS!$I17649="","",IFERROR(VLOOKUP(DATOS!$I17649,CONFIG_ASIGNATURAS!$B$2:$J$61,9,FALSE()),""))</f>
      </c>
    </row>
    <row r="17650">
      <c r="E17650">
        <f>IF(DATOS!$I17650="","",IFERROR(VLOOKUP(DATOS!$I17650,CONFIG_ASIGNATURAS!$B$2:$J$61,9,FALSE()),""))</f>
      </c>
    </row>
    <row r="17651">
      <c r="E17651">
        <f>IF(DATOS!$I17651="","",IFERROR(VLOOKUP(DATOS!$I17651,CONFIG_ASIGNATURAS!$B$2:$J$61,9,FALSE()),""))</f>
      </c>
    </row>
    <row r="17652">
      <c r="E17652">
        <f>IF(DATOS!$I17652="","",IFERROR(VLOOKUP(DATOS!$I17652,CONFIG_ASIGNATURAS!$B$2:$J$61,9,FALSE()),""))</f>
      </c>
    </row>
    <row r="17653">
      <c r="E17653">
        <f>IF(DATOS!$I17653="","",IFERROR(VLOOKUP(DATOS!$I17653,CONFIG_ASIGNATURAS!$B$2:$J$61,9,FALSE()),""))</f>
      </c>
    </row>
    <row r="17654">
      <c r="E17654">
        <f>IF(DATOS!$I17654="","",IFERROR(VLOOKUP(DATOS!$I17654,CONFIG_ASIGNATURAS!$B$2:$J$61,9,FALSE()),""))</f>
      </c>
    </row>
    <row r="17655">
      <c r="E17655">
        <f>IF(DATOS!$I17655="","",IFERROR(VLOOKUP(DATOS!$I17655,CONFIG_ASIGNATURAS!$B$2:$J$61,9,FALSE()),""))</f>
      </c>
    </row>
    <row r="17656">
      <c r="E17656">
        <f>IF(DATOS!$I17656="","",IFERROR(VLOOKUP(DATOS!$I17656,CONFIG_ASIGNATURAS!$B$2:$J$61,9,FALSE()),""))</f>
      </c>
    </row>
    <row r="17657">
      <c r="E17657">
        <f>IF(DATOS!$I17657="","",IFERROR(VLOOKUP(DATOS!$I17657,CONFIG_ASIGNATURAS!$B$2:$J$61,9,FALSE()),""))</f>
      </c>
    </row>
    <row r="17658">
      <c r="E17658">
        <f>IF(DATOS!$I17658="","",IFERROR(VLOOKUP(DATOS!$I17658,CONFIG_ASIGNATURAS!$B$2:$J$61,9,FALSE()),""))</f>
      </c>
    </row>
    <row r="17659">
      <c r="E17659">
        <f>IF(DATOS!$I17659="","",IFERROR(VLOOKUP(DATOS!$I17659,CONFIG_ASIGNATURAS!$B$2:$J$61,9,FALSE()),""))</f>
      </c>
    </row>
    <row r="17660">
      <c r="E17660">
        <f>IF(DATOS!$I17660="","",IFERROR(VLOOKUP(DATOS!$I17660,CONFIG_ASIGNATURAS!$B$2:$J$61,9,FALSE()),""))</f>
      </c>
    </row>
    <row r="17661">
      <c r="E17661">
        <f>IF(DATOS!$I17661="","",IFERROR(VLOOKUP(DATOS!$I17661,CONFIG_ASIGNATURAS!$B$2:$J$61,9,FALSE()),""))</f>
      </c>
    </row>
    <row r="17662">
      <c r="E17662">
        <f>IF(DATOS!$I17662="","",IFERROR(VLOOKUP(DATOS!$I17662,CONFIG_ASIGNATURAS!$B$2:$J$61,9,FALSE()),""))</f>
      </c>
    </row>
    <row r="17663">
      <c r="E17663">
        <f>IF(DATOS!$I17663="","",IFERROR(VLOOKUP(DATOS!$I17663,CONFIG_ASIGNATURAS!$B$2:$J$61,9,FALSE()),""))</f>
      </c>
    </row>
    <row r="17664">
      <c r="E17664">
        <f>IF(DATOS!$I17664="","",IFERROR(VLOOKUP(DATOS!$I17664,CONFIG_ASIGNATURAS!$B$2:$J$61,9,FALSE()),""))</f>
      </c>
    </row>
    <row r="17665">
      <c r="E17665">
        <f>IF(DATOS!$I17665="","",IFERROR(VLOOKUP(DATOS!$I17665,CONFIG_ASIGNATURAS!$B$2:$J$61,9,FALSE()),""))</f>
      </c>
    </row>
    <row r="17666">
      <c r="E17666">
        <f>IF(DATOS!$I17666="","",IFERROR(VLOOKUP(DATOS!$I17666,CONFIG_ASIGNATURAS!$B$2:$J$61,9,FALSE()),""))</f>
      </c>
    </row>
    <row r="17667">
      <c r="E17667">
        <f>IF(DATOS!$I17667="","",IFERROR(VLOOKUP(DATOS!$I17667,CONFIG_ASIGNATURAS!$B$2:$J$61,9,FALSE()),""))</f>
      </c>
    </row>
    <row r="17668">
      <c r="E17668">
        <f>IF(DATOS!$I17668="","",IFERROR(VLOOKUP(DATOS!$I17668,CONFIG_ASIGNATURAS!$B$2:$J$61,9,FALSE()),""))</f>
      </c>
    </row>
    <row r="17669">
      <c r="E17669">
        <f>IF(DATOS!$I17669="","",IFERROR(VLOOKUP(DATOS!$I17669,CONFIG_ASIGNATURAS!$B$2:$J$61,9,FALSE()),""))</f>
      </c>
    </row>
    <row r="17670">
      <c r="E17670">
        <f>IF(DATOS!$I17670="","",IFERROR(VLOOKUP(DATOS!$I17670,CONFIG_ASIGNATURAS!$B$2:$J$61,9,FALSE()),""))</f>
      </c>
    </row>
    <row r="17671">
      <c r="E17671">
        <f>IF(DATOS!$I17671="","",IFERROR(VLOOKUP(DATOS!$I17671,CONFIG_ASIGNATURAS!$B$2:$J$61,9,FALSE()),""))</f>
      </c>
    </row>
    <row r="17672">
      <c r="E17672">
        <f>IF(DATOS!$I17672="","",IFERROR(VLOOKUP(DATOS!$I17672,CONFIG_ASIGNATURAS!$B$2:$J$61,9,FALSE()),""))</f>
      </c>
    </row>
    <row r="17673">
      <c r="E17673">
        <f>IF(DATOS!$I17673="","",IFERROR(VLOOKUP(DATOS!$I17673,CONFIG_ASIGNATURAS!$B$2:$J$61,9,FALSE()),""))</f>
      </c>
    </row>
    <row r="17674">
      <c r="E17674">
        <f>IF(DATOS!$I17674="","",IFERROR(VLOOKUP(DATOS!$I17674,CONFIG_ASIGNATURAS!$B$2:$J$61,9,FALSE()),""))</f>
      </c>
    </row>
    <row r="17675">
      <c r="E17675">
        <f>IF(DATOS!$I17675="","",IFERROR(VLOOKUP(DATOS!$I17675,CONFIG_ASIGNATURAS!$B$2:$J$61,9,FALSE()),""))</f>
      </c>
    </row>
    <row r="17676">
      <c r="E17676">
        <f>IF(DATOS!$I17676="","",IFERROR(VLOOKUP(DATOS!$I17676,CONFIG_ASIGNATURAS!$B$2:$J$61,9,FALSE()),""))</f>
      </c>
    </row>
    <row r="17677">
      <c r="E17677">
        <f>IF(DATOS!$I17677="","",IFERROR(VLOOKUP(DATOS!$I17677,CONFIG_ASIGNATURAS!$B$2:$J$61,9,FALSE()),""))</f>
      </c>
    </row>
    <row r="17678">
      <c r="E17678">
        <f>IF(DATOS!$I17678="","",IFERROR(VLOOKUP(DATOS!$I17678,CONFIG_ASIGNATURAS!$B$2:$J$61,9,FALSE()),""))</f>
      </c>
    </row>
    <row r="17679">
      <c r="E17679">
        <f>IF(DATOS!$I17679="","",IFERROR(VLOOKUP(DATOS!$I17679,CONFIG_ASIGNATURAS!$B$2:$J$61,9,FALSE()),""))</f>
      </c>
    </row>
    <row r="17680">
      <c r="E17680">
        <f>IF(DATOS!$I17680="","",IFERROR(VLOOKUP(DATOS!$I17680,CONFIG_ASIGNATURAS!$B$2:$J$61,9,FALSE()),""))</f>
      </c>
    </row>
    <row r="17681">
      <c r="E17681">
        <f>IF(DATOS!$I17681="","",IFERROR(VLOOKUP(DATOS!$I17681,CONFIG_ASIGNATURAS!$B$2:$J$61,9,FALSE()),""))</f>
      </c>
    </row>
    <row r="17682">
      <c r="E17682">
        <f>IF(DATOS!$I17682="","",IFERROR(VLOOKUP(DATOS!$I17682,CONFIG_ASIGNATURAS!$B$2:$J$61,9,FALSE()),""))</f>
      </c>
    </row>
    <row r="17683">
      <c r="E17683">
        <f>IF(DATOS!$I17683="","",IFERROR(VLOOKUP(DATOS!$I17683,CONFIG_ASIGNATURAS!$B$2:$J$61,9,FALSE()),""))</f>
      </c>
    </row>
    <row r="17684">
      <c r="E17684">
        <f>IF(DATOS!$I17684="","",IFERROR(VLOOKUP(DATOS!$I17684,CONFIG_ASIGNATURAS!$B$2:$J$61,9,FALSE()),""))</f>
      </c>
    </row>
    <row r="17685">
      <c r="E17685">
        <f>IF(DATOS!$I17685="","",IFERROR(VLOOKUP(DATOS!$I17685,CONFIG_ASIGNATURAS!$B$2:$J$61,9,FALSE()),""))</f>
      </c>
    </row>
    <row r="17686">
      <c r="E17686">
        <f>IF(DATOS!$I17686="","",IFERROR(VLOOKUP(DATOS!$I17686,CONFIG_ASIGNATURAS!$B$2:$J$61,9,FALSE()),""))</f>
      </c>
    </row>
    <row r="17687">
      <c r="E17687">
        <f>IF(DATOS!$I17687="","",IFERROR(VLOOKUP(DATOS!$I17687,CONFIG_ASIGNATURAS!$B$2:$J$61,9,FALSE()),""))</f>
      </c>
    </row>
    <row r="17688">
      <c r="E17688">
        <f>IF(DATOS!$I17688="","",IFERROR(VLOOKUP(DATOS!$I17688,CONFIG_ASIGNATURAS!$B$2:$J$61,9,FALSE()),""))</f>
      </c>
    </row>
    <row r="17689">
      <c r="E17689">
        <f>IF(DATOS!$I17689="","",IFERROR(VLOOKUP(DATOS!$I17689,CONFIG_ASIGNATURAS!$B$2:$J$61,9,FALSE()),""))</f>
      </c>
    </row>
    <row r="17690">
      <c r="E17690">
        <f>IF(DATOS!$I17690="","",IFERROR(VLOOKUP(DATOS!$I17690,CONFIG_ASIGNATURAS!$B$2:$J$61,9,FALSE()),""))</f>
      </c>
    </row>
    <row r="17691">
      <c r="E17691">
        <f>IF(DATOS!$I17691="","",IFERROR(VLOOKUP(DATOS!$I17691,CONFIG_ASIGNATURAS!$B$2:$J$61,9,FALSE()),""))</f>
      </c>
    </row>
    <row r="17692">
      <c r="E17692">
        <f>IF(DATOS!$I17692="","",IFERROR(VLOOKUP(DATOS!$I17692,CONFIG_ASIGNATURAS!$B$2:$J$61,9,FALSE()),""))</f>
      </c>
    </row>
    <row r="17693">
      <c r="E17693">
        <f>IF(DATOS!$I17693="","",IFERROR(VLOOKUP(DATOS!$I17693,CONFIG_ASIGNATURAS!$B$2:$J$61,9,FALSE()),""))</f>
      </c>
    </row>
    <row r="17694">
      <c r="E17694">
        <f>IF(DATOS!$I17694="","",IFERROR(VLOOKUP(DATOS!$I17694,CONFIG_ASIGNATURAS!$B$2:$J$61,9,FALSE()),""))</f>
      </c>
    </row>
    <row r="17695">
      <c r="E17695">
        <f>IF(DATOS!$I17695="","",IFERROR(VLOOKUP(DATOS!$I17695,CONFIG_ASIGNATURAS!$B$2:$J$61,9,FALSE()),""))</f>
      </c>
    </row>
    <row r="17696">
      <c r="E17696">
        <f>IF(DATOS!$I17696="","",IFERROR(VLOOKUP(DATOS!$I17696,CONFIG_ASIGNATURAS!$B$2:$J$61,9,FALSE()),""))</f>
      </c>
    </row>
    <row r="17697">
      <c r="E17697">
        <f>IF(DATOS!$I17697="","",IFERROR(VLOOKUP(DATOS!$I17697,CONFIG_ASIGNATURAS!$B$2:$J$61,9,FALSE()),""))</f>
      </c>
    </row>
    <row r="17698">
      <c r="E17698">
        <f>IF(DATOS!$I17698="","",IFERROR(VLOOKUP(DATOS!$I17698,CONFIG_ASIGNATURAS!$B$2:$J$61,9,FALSE()),""))</f>
      </c>
    </row>
    <row r="17699">
      <c r="E17699">
        <f>IF(DATOS!$I17699="","",IFERROR(VLOOKUP(DATOS!$I17699,CONFIG_ASIGNATURAS!$B$2:$J$61,9,FALSE()),""))</f>
      </c>
    </row>
    <row r="17700">
      <c r="E17700">
        <f>IF(DATOS!$I17700="","",IFERROR(VLOOKUP(DATOS!$I17700,CONFIG_ASIGNATURAS!$B$2:$J$61,9,FALSE()),""))</f>
      </c>
    </row>
    <row r="17701">
      <c r="E17701">
        <f>IF(DATOS!$I17701="","",IFERROR(VLOOKUP(DATOS!$I17701,CONFIG_ASIGNATURAS!$B$2:$J$61,9,FALSE()),""))</f>
      </c>
    </row>
    <row r="17702">
      <c r="E17702">
        <f>IF(DATOS!$I17702="","",IFERROR(VLOOKUP(DATOS!$I17702,CONFIG_ASIGNATURAS!$B$2:$J$61,9,FALSE()),""))</f>
      </c>
    </row>
    <row r="17703">
      <c r="E17703">
        <f>IF(DATOS!$I17703="","",IFERROR(VLOOKUP(DATOS!$I17703,CONFIG_ASIGNATURAS!$B$2:$J$61,9,FALSE()),""))</f>
      </c>
    </row>
    <row r="17704">
      <c r="E17704">
        <f>IF(DATOS!$I17704="","",IFERROR(VLOOKUP(DATOS!$I17704,CONFIG_ASIGNATURAS!$B$2:$J$61,9,FALSE()),""))</f>
      </c>
    </row>
    <row r="17705">
      <c r="E17705">
        <f>IF(DATOS!$I17705="","",IFERROR(VLOOKUP(DATOS!$I17705,CONFIG_ASIGNATURAS!$B$2:$J$61,9,FALSE()),""))</f>
      </c>
    </row>
    <row r="17706">
      <c r="E17706">
        <f>IF(DATOS!$I17706="","",IFERROR(VLOOKUP(DATOS!$I17706,CONFIG_ASIGNATURAS!$B$2:$J$61,9,FALSE()),""))</f>
      </c>
    </row>
    <row r="17707">
      <c r="E17707">
        <f>IF(DATOS!$I17707="","",IFERROR(VLOOKUP(DATOS!$I17707,CONFIG_ASIGNATURAS!$B$2:$J$61,9,FALSE()),""))</f>
      </c>
    </row>
    <row r="17708">
      <c r="E17708">
        <f>IF(DATOS!$I17708="","",IFERROR(VLOOKUP(DATOS!$I17708,CONFIG_ASIGNATURAS!$B$2:$J$61,9,FALSE()),""))</f>
      </c>
    </row>
    <row r="17709">
      <c r="E17709">
        <f>IF(DATOS!$I17709="","",IFERROR(VLOOKUP(DATOS!$I17709,CONFIG_ASIGNATURAS!$B$2:$J$61,9,FALSE()),""))</f>
      </c>
    </row>
    <row r="17710">
      <c r="E17710">
        <f>IF(DATOS!$I17710="","",IFERROR(VLOOKUP(DATOS!$I17710,CONFIG_ASIGNATURAS!$B$2:$J$61,9,FALSE()),""))</f>
      </c>
    </row>
    <row r="17711">
      <c r="E17711">
        <f>IF(DATOS!$I17711="","",IFERROR(VLOOKUP(DATOS!$I17711,CONFIG_ASIGNATURAS!$B$2:$J$61,9,FALSE()),""))</f>
      </c>
    </row>
    <row r="17712">
      <c r="E17712">
        <f>IF(DATOS!$I17712="","",IFERROR(VLOOKUP(DATOS!$I17712,CONFIG_ASIGNATURAS!$B$2:$J$61,9,FALSE()),""))</f>
      </c>
    </row>
    <row r="17713">
      <c r="E17713">
        <f>IF(DATOS!$I17713="","",IFERROR(VLOOKUP(DATOS!$I17713,CONFIG_ASIGNATURAS!$B$2:$J$61,9,FALSE()),""))</f>
      </c>
    </row>
    <row r="17714">
      <c r="E17714">
        <f>IF(DATOS!$I17714="","",IFERROR(VLOOKUP(DATOS!$I17714,CONFIG_ASIGNATURAS!$B$2:$J$61,9,FALSE()),""))</f>
      </c>
    </row>
    <row r="17715">
      <c r="E17715">
        <f>IF(DATOS!$I17715="","",IFERROR(VLOOKUP(DATOS!$I17715,CONFIG_ASIGNATURAS!$B$2:$J$61,9,FALSE()),""))</f>
      </c>
    </row>
    <row r="17716">
      <c r="E17716">
        <f>IF(DATOS!$I17716="","",IFERROR(VLOOKUP(DATOS!$I17716,CONFIG_ASIGNATURAS!$B$2:$J$61,9,FALSE()),""))</f>
      </c>
    </row>
    <row r="17717">
      <c r="E17717">
        <f>IF(DATOS!$I17717="","",IFERROR(VLOOKUP(DATOS!$I17717,CONFIG_ASIGNATURAS!$B$2:$J$61,9,FALSE()),""))</f>
      </c>
    </row>
    <row r="17718">
      <c r="E17718">
        <f>IF(DATOS!$I17718="","",IFERROR(VLOOKUP(DATOS!$I17718,CONFIG_ASIGNATURAS!$B$2:$J$61,9,FALSE()),""))</f>
      </c>
    </row>
    <row r="17719">
      <c r="E17719">
        <f>IF(DATOS!$I17719="","",IFERROR(VLOOKUP(DATOS!$I17719,CONFIG_ASIGNATURAS!$B$2:$J$61,9,FALSE()),""))</f>
      </c>
    </row>
    <row r="17720">
      <c r="E17720">
        <f>IF(DATOS!$I17720="","",IFERROR(VLOOKUP(DATOS!$I17720,CONFIG_ASIGNATURAS!$B$2:$J$61,9,FALSE()),""))</f>
      </c>
    </row>
    <row r="17721">
      <c r="E17721">
        <f>IF(DATOS!$I17721="","",IFERROR(VLOOKUP(DATOS!$I17721,CONFIG_ASIGNATURAS!$B$2:$J$61,9,FALSE()),""))</f>
      </c>
    </row>
    <row r="17722">
      <c r="E17722">
        <f>IF(DATOS!$I17722="","",IFERROR(VLOOKUP(DATOS!$I17722,CONFIG_ASIGNATURAS!$B$2:$J$61,9,FALSE()),""))</f>
      </c>
    </row>
    <row r="17723">
      <c r="E17723">
        <f>IF(DATOS!$I17723="","",IFERROR(VLOOKUP(DATOS!$I17723,CONFIG_ASIGNATURAS!$B$2:$J$61,9,FALSE()),""))</f>
      </c>
    </row>
    <row r="17724">
      <c r="E17724">
        <f>IF(DATOS!$I17724="","",IFERROR(VLOOKUP(DATOS!$I17724,CONFIG_ASIGNATURAS!$B$2:$J$61,9,FALSE()),""))</f>
      </c>
    </row>
    <row r="17725">
      <c r="E17725">
        <f>IF(DATOS!$I17725="","",IFERROR(VLOOKUP(DATOS!$I17725,CONFIG_ASIGNATURAS!$B$2:$J$61,9,FALSE()),""))</f>
      </c>
    </row>
    <row r="17726">
      <c r="E17726">
        <f>IF(DATOS!$I17726="","",IFERROR(VLOOKUP(DATOS!$I17726,CONFIG_ASIGNATURAS!$B$2:$J$61,9,FALSE()),""))</f>
      </c>
    </row>
    <row r="17727">
      <c r="E17727">
        <f>IF(DATOS!$I17727="","",IFERROR(VLOOKUP(DATOS!$I17727,CONFIG_ASIGNATURAS!$B$2:$J$61,9,FALSE()),""))</f>
      </c>
    </row>
    <row r="17728">
      <c r="E17728">
        <f>IF(DATOS!$I17728="","",IFERROR(VLOOKUP(DATOS!$I17728,CONFIG_ASIGNATURAS!$B$2:$J$61,9,FALSE()),""))</f>
      </c>
    </row>
    <row r="17729">
      <c r="E17729">
        <f>IF(DATOS!$I17729="","",IFERROR(VLOOKUP(DATOS!$I17729,CONFIG_ASIGNATURAS!$B$2:$J$61,9,FALSE()),""))</f>
      </c>
    </row>
    <row r="17730">
      <c r="E17730">
        <f>IF(DATOS!$I17730="","",IFERROR(VLOOKUP(DATOS!$I17730,CONFIG_ASIGNATURAS!$B$2:$J$61,9,FALSE()),""))</f>
      </c>
    </row>
    <row r="17731">
      <c r="E17731">
        <f>IF(DATOS!$I17731="","",IFERROR(VLOOKUP(DATOS!$I17731,CONFIG_ASIGNATURAS!$B$2:$J$61,9,FALSE()),""))</f>
      </c>
    </row>
    <row r="17732">
      <c r="E17732">
        <f>IF(DATOS!$I17732="","",IFERROR(VLOOKUP(DATOS!$I17732,CONFIG_ASIGNATURAS!$B$2:$J$61,9,FALSE()),""))</f>
      </c>
    </row>
    <row r="17733">
      <c r="E17733">
        <f>IF(DATOS!$I17733="","",IFERROR(VLOOKUP(DATOS!$I17733,CONFIG_ASIGNATURAS!$B$2:$J$61,9,FALSE()),""))</f>
      </c>
    </row>
    <row r="17734">
      <c r="E17734">
        <f>IF(DATOS!$I17734="","",IFERROR(VLOOKUP(DATOS!$I17734,CONFIG_ASIGNATURAS!$B$2:$J$61,9,FALSE()),""))</f>
      </c>
    </row>
    <row r="17735">
      <c r="E17735">
        <f>IF(DATOS!$I17735="","",IFERROR(VLOOKUP(DATOS!$I17735,CONFIG_ASIGNATURAS!$B$2:$J$61,9,FALSE()),""))</f>
      </c>
    </row>
    <row r="17736">
      <c r="E17736">
        <f>IF(DATOS!$I17736="","",IFERROR(VLOOKUP(DATOS!$I17736,CONFIG_ASIGNATURAS!$B$2:$J$61,9,FALSE()),""))</f>
      </c>
    </row>
    <row r="17737">
      <c r="E17737">
        <f>IF(DATOS!$I17737="","",IFERROR(VLOOKUP(DATOS!$I17737,CONFIG_ASIGNATURAS!$B$2:$J$61,9,FALSE()),""))</f>
      </c>
    </row>
    <row r="17738">
      <c r="E17738">
        <f>IF(DATOS!$I17738="","",IFERROR(VLOOKUP(DATOS!$I17738,CONFIG_ASIGNATURAS!$B$2:$J$61,9,FALSE()),""))</f>
      </c>
    </row>
    <row r="17739">
      <c r="E17739">
        <f>IF(DATOS!$I17739="","",IFERROR(VLOOKUP(DATOS!$I17739,CONFIG_ASIGNATURAS!$B$2:$J$61,9,FALSE()),""))</f>
      </c>
    </row>
    <row r="17740">
      <c r="E17740">
        <f>IF(DATOS!$I17740="","",IFERROR(VLOOKUP(DATOS!$I17740,CONFIG_ASIGNATURAS!$B$2:$J$61,9,FALSE()),""))</f>
      </c>
    </row>
    <row r="17741">
      <c r="E17741">
        <f>IF(DATOS!$I17741="","",IFERROR(VLOOKUP(DATOS!$I17741,CONFIG_ASIGNATURAS!$B$2:$J$61,9,FALSE()),""))</f>
      </c>
    </row>
    <row r="17742">
      <c r="E17742">
        <f>IF(DATOS!$I17742="","",IFERROR(VLOOKUP(DATOS!$I17742,CONFIG_ASIGNATURAS!$B$2:$J$61,9,FALSE()),""))</f>
      </c>
    </row>
    <row r="17743">
      <c r="E17743">
        <f>IF(DATOS!$I17743="","",IFERROR(VLOOKUP(DATOS!$I17743,CONFIG_ASIGNATURAS!$B$2:$J$61,9,FALSE()),""))</f>
      </c>
    </row>
    <row r="17744">
      <c r="E17744">
        <f>IF(DATOS!$I17744="","",IFERROR(VLOOKUP(DATOS!$I17744,CONFIG_ASIGNATURAS!$B$2:$J$61,9,FALSE()),""))</f>
      </c>
    </row>
    <row r="17745">
      <c r="E17745">
        <f>IF(DATOS!$I17745="","",IFERROR(VLOOKUP(DATOS!$I17745,CONFIG_ASIGNATURAS!$B$2:$J$61,9,FALSE()),""))</f>
      </c>
    </row>
    <row r="17746">
      <c r="E17746">
        <f>IF(DATOS!$I17746="","",IFERROR(VLOOKUP(DATOS!$I17746,CONFIG_ASIGNATURAS!$B$2:$J$61,9,FALSE()),""))</f>
      </c>
    </row>
    <row r="17747">
      <c r="E17747">
        <f>IF(DATOS!$I17747="","",IFERROR(VLOOKUP(DATOS!$I17747,CONFIG_ASIGNATURAS!$B$2:$J$61,9,FALSE()),""))</f>
      </c>
    </row>
    <row r="17748">
      <c r="E17748">
        <f>IF(DATOS!$I17748="","",IFERROR(VLOOKUP(DATOS!$I17748,CONFIG_ASIGNATURAS!$B$2:$J$61,9,FALSE()),""))</f>
      </c>
    </row>
    <row r="17749">
      <c r="E17749">
        <f>IF(DATOS!$I17749="","",IFERROR(VLOOKUP(DATOS!$I17749,CONFIG_ASIGNATURAS!$B$2:$J$61,9,FALSE()),""))</f>
      </c>
    </row>
    <row r="17750">
      <c r="E17750">
        <f>IF(DATOS!$I17750="","",IFERROR(VLOOKUP(DATOS!$I17750,CONFIG_ASIGNATURAS!$B$2:$J$61,9,FALSE()),""))</f>
      </c>
    </row>
    <row r="17751">
      <c r="E17751">
        <f>IF(DATOS!$I17751="","",IFERROR(VLOOKUP(DATOS!$I17751,CONFIG_ASIGNATURAS!$B$2:$J$61,9,FALSE()),""))</f>
      </c>
    </row>
    <row r="17752">
      <c r="E17752">
        <f>IF(DATOS!$I17752="","",IFERROR(VLOOKUP(DATOS!$I17752,CONFIG_ASIGNATURAS!$B$2:$J$61,9,FALSE()),""))</f>
      </c>
    </row>
    <row r="17753">
      <c r="E17753">
        <f>IF(DATOS!$I17753="","",IFERROR(VLOOKUP(DATOS!$I17753,CONFIG_ASIGNATURAS!$B$2:$J$61,9,FALSE()),""))</f>
      </c>
    </row>
    <row r="17754">
      <c r="E17754">
        <f>IF(DATOS!$I17754="","",IFERROR(VLOOKUP(DATOS!$I17754,CONFIG_ASIGNATURAS!$B$2:$J$61,9,FALSE()),""))</f>
      </c>
    </row>
    <row r="17755">
      <c r="E17755">
        <f>IF(DATOS!$I17755="","",IFERROR(VLOOKUP(DATOS!$I17755,CONFIG_ASIGNATURAS!$B$2:$J$61,9,FALSE()),""))</f>
      </c>
    </row>
    <row r="17756">
      <c r="E17756">
        <f>IF(DATOS!$I17756="","",IFERROR(VLOOKUP(DATOS!$I17756,CONFIG_ASIGNATURAS!$B$2:$J$61,9,FALSE()),""))</f>
      </c>
    </row>
    <row r="17757">
      <c r="E17757">
        <f>IF(DATOS!$I17757="","",IFERROR(VLOOKUP(DATOS!$I17757,CONFIG_ASIGNATURAS!$B$2:$J$61,9,FALSE()),""))</f>
      </c>
    </row>
    <row r="17758">
      <c r="E17758">
        <f>IF(DATOS!$I17758="","",IFERROR(VLOOKUP(DATOS!$I17758,CONFIG_ASIGNATURAS!$B$2:$J$61,9,FALSE()),""))</f>
      </c>
    </row>
    <row r="17759">
      <c r="E17759">
        <f>IF(DATOS!$I17759="","",IFERROR(VLOOKUP(DATOS!$I17759,CONFIG_ASIGNATURAS!$B$2:$J$61,9,FALSE()),""))</f>
      </c>
    </row>
    <row r="17760">
      <c r="E17760">
        <f>IF(DATOS!$I17760="","",IFERROR(VLOOKUP(DATOS!$I17760,CONFIG_ASIGNATURAS!$B$2:$J$61,9,FALSE()),""))</f>
      </c>
    </row>
    <row r="17761">
      <c r="E17761">
        <f>IF(DATOS!$I17761="","",IFERROR(VLOOKUP(DATOS!$I17761,CONFIG_ASIGNATURAS!$B$2:$J$61,9,FALSE()),""))</f>
      </c>
    </row>
    <row r="17762">
      <c r="E17762">
        <f>IF(DATOS!$I17762="","",IFERROR(VLOOKUP(DATOS!$I17762,CONFIG_ASIGNATURAS!$B$2:$J$61,9,FALSE()),""))</f>
      </c>
    </row>
    <row r="17763">
      <c r="E17763">
        <f>IF(DATOS!$I17763="","",IFERROR(VLOOKUP(DATOS!$I17763,CONFIG_ASIGNATURAS!$B$2:$J$61,9,FALSE()),""))</f>
      </c>
    </row>
    <row r="17764">
      <c r="E17764">
        <f>IF(DATOS!$I17764="","",IFERROR(VLOOKUP(DATOS!$I17764,CONFIG_ASIGNATURAS!$B$2:$J$61,9,FALSE()),""))</f>
      </c>
    </row>
    <row r="17765">
      <c r="E17765">
        <f>IF(DATOS!$I17765="","",IFERROR(VLOOKUP(DATOS!$I17765,CONFIG_ASIGNATURAS!$B$2:$J$61,9,FALSE()),""))</f>
      </c>
    </row>
    <row r="17766">
      <c r="E17766">
        <f>IF(DATOS!$I17766="","",IFERROR(VLOOKUP(DATOS!$I17766,CONFIG_ASIGNATURAS!$B$2:$J$61,9,FALSE()),""))</f>
      </c>
    </row>
    <row r="17767">
      <c r="E17767">
        <f>IF(DATOS!$I17767="","",IFERROR(VLOOKUP(DATOS!$I17767,CONFIG_ASIGNATURAS!$B$2:$J$61,9,FALSE()),""))</f>
      </c>
    </row>
    <row r="17768">
      <c r="E17768">
        <f>IF(DATOS!$I17768="","",IFERROR(VLOOKUP(DATOS!$I17768,CONFIG_ASIGNATURAS!$B$2:$J$61,9,FALSE()),""))</f>
      </c>
    </row>
    <row r="17769">
      <c r="E17769">
        <f>IF(DATOS!$I17769="","",IFERROR(VLOOKUP(DATOS!$I17769,CONFIG_ASIGNATURAS!$B$2:$J$61,9,FALSE()),""))</f>
      </c>
    </row>
    <row r="17770">
      <c r="E17770">
        <f>IF(DATOS!$I17770="","",IFERROR(VLOOKUP(DATOS!$I17770,CONFIG_ASIGNATURAS!$B$2:$J$61,9,FALSE()),""))</f>
      </c>
    </row>
    <row r="17771">
      <c r="E17771">
        <f>IF(DATOS!$I17771="","",IFERROR(VLOOKUP(DATOS!$I17771,CONFIG_ASIGNATURAS!$B$2:$J$61,9,FALSE()),""))</f>
      </c>
    </row>
    <row r="17772">
      <c r="E17772">
        <f>IF(DATOS!$I17772="","",IFERROR(VLOOKUP(DATOS!$I17772,CONFIG_ASIGNATURAS!$B$2:$J$61,9,FALSE()),""))</f>
      </c>
    </row>
    <row r="17773">
      <c r="E17773">
        <f>IF(DATOS!$I17773="","",IFERROR(VLOOKUP(DATOS!$I17773,CONFIG_ASIGNATURAS!$B$2:$J$61,9,FALSE()),""))</f>
      </c>
    </row>
    <row r="17774">
      <c r="E17774">
        <f>IF(DATOS!$I17774="","",IFERROR(VLOOKUP(DATOS!$I17774,CONFIG_ASIGNATURAS!$B$2:$J$61,9,FALSE()),""))</f>
      </c>
    </row>
    <row r="17775">
      <c r="E17775">
        <f>IF(DATOS!$I17775="","",IFERROR(VLOOKUP(DATOS!$I17775,CONFIG_ASIGNATURAS!$B$2:$J$61,9,FALSE()),""))</f>
      </c>
    </row>
    <row r="17776">
      <c r="E17776">
        <f>IF(DATOS!$I17776="","",IFERROR(VLOOKUP(DATOS!$I17776,CONFIG_ASIGNATURAS!$B$2:$J$61,9,FALSE()),""))</f>
      </c>
    </row>
    <row r="17777">
      <c r="E17777">
        <f>IF(DATOS!$I17777="","",IFERROR(VLOOKUP(DATOS!$I17777,CONFIG_ASIGNATURAS!$B$2:$J$61,9,FALSE()),""))</f>
      </c>
    </row>
    <row r="17778">
      <c r="E17778">
        <f>IF(DATOS!$I17778="","",IFERROR(VLOOKUP(DATOS!$I17778,CONFIG_ASIGNATURAS!$B$2:$J$61,9,FALSE()),""))</f>
      </c>
    </row>
    <row r="17779">
      <c r="E17779">
        <f>IF(DATOS!$I17779="","",IFERROR(VLOOKUP(DATOS!$I17779,CONFIG_ASIGNATURAS!$B$2:$J$61,9,FALSE()),""))</f>
      </c>
    </row>
    <row r="17780">
      <c r="E17780">
        <f>IF(DATOS!$I17780="","",IFERROR(VLOOKUP(DATOS!$I17780,CONFIG_ASIGNATURAS!$B$2:$J$61,9,FALSE()),""))</f>
      </c>
    </row>
    <row r="17781">
      <c r="E17781">
        <f>IF(DATOS!$I17781="","",IFERROR(VLOOKUP(DATOS!$I17781,CONFIG_ASIGNATURAS!$B$2:$J$61,9,FALSE()),""))</f>
      </c>
    </row>
    <row r="17782">
      <c r="E17782">
        <f>IF(DATOS!$I17782="","",IFERROR(VLOOKUP(DATOS!$I17782,CONFIG_ASIGNATURAS!$B$2:$J$61,9,FALSE()),""))</f>
      </c>
    </row>
    <row r="17783">
      <c r="E17783">
        <f>IF(DATOS!$I17783="","",IFERROR(VLOOKUP(DATOS!$I17783,CONFIG_ASIGNATURAS!$B$2:$J$61,9,FALSE()),""))</f>
      </c>
    </row>
    <row r="17784">
      <c r="E17784">
        <f>IF(DATOS!$I17784="","",IFERROR(VLOOKUP(DATOS!$I17784,CONFIG_ASIGNATURAS!$B$2:$J$61,9,FALSE()),""))</f>
      </c>
    </row>
    <row r="17785">
      <c r="E17785">
        <f>IF(DATOS!$I17785="","",IFERROR(VLOOKUP(DATOS!$I17785,CONFIG_ASIGNATURAS!$B$2:$J$61,9,FALSE()),""))</f>
      </c>
    </row>
    <row r="17786">
      <c r="E17786">
        <f>IF(DATOS!$I17786="","",IFERROR(VLOOKUP(DATOS!$I17786,CONFIG_ASIGNATURAS!$B$2:$J$61,9,FALSE()),""))</f>
      </c>
    </row>
    <row r="17787">
      <c r="E17787">
        <f>IF(DATOS!$I17787="","",IFERROR(VLOOKUP(DATOS!$I17787,CONFIG_ASIGNATURAS!$B$2:$J$61,9,FALSE()),""))</f>
      </c>
    </row>
    <row r="17788">
      <c r="E17788">
        <f>IF(DATOS!$I17788="","",IFERROR(VLOOKUP(DATOS!$I17788,CONFIG_ASIGNATURAS!$B$2:$J$61,9,FALSE()),""))</f>
      </c>
    </row>
    <row r="17789">
      <c r="E17789">
        <f>IF(DATOS!$I17789="","",IFERROR(VLOOKUP(DATOS!$I17789,CONFIG_ASIGNATURAS!$B$2:$J$61,9,FALSE()),""))</f>
      </c>
    </row>
    <row r="17790">
      <c r="E17790">
        <f>IF(DATOS!$I17790="","",IFERROR(VLOOKUP(DATOS!$I17790,CONFIG_ASIGNATURAS!$B$2:$J$61,9,FALSE()),""))</f>
      </c>
    </row>
    <row r="17791">
      <c r="E17791">
        <f>IF(DATOS!$I17791="","",IFERROR(VLOOKUP(DATOS!$I17791,CONFIG_ASIGNATURAS!$B$2:$J$61,9,FALSE()),""))</f>
      </c>
    </row>
    <row r="17792">
      <c r="E17792">
        <f>IF(DATOS!$I17792="","",IFERROR(VLOOKUP(DATOS!$I17792,CONFIG_ASIGNATURAS!$B$2:$J$61,9,FALSE()),""))</f>
      </c>
    </row>
    <row r="17793">
      <c r="E17793">
        <f>IF(DATOS!$I17793="","",IFERROR(VLOOKUP(DATOS!$I17793,CONFIG_ASIGNATURAS!$B$2:$J$61,9,FALSE()),""))</f>
      </c>
    </row>
    <row r="17794">
      <c r="E17794">
        <f>IF(DATOS!$I17794="","",IFERROR(VLOOKUP(DATOS!$I17794,CONFIG_ASIGNATURAS!$B$2:$J$61,9,FALSE()),""))</f>
      </c>
    </row>
    <row r="17795">
      <c r="E17795">
        <f>IF(DATOS!$I17795="","",IFERROR(VLOOKUP(DATOS!$I17795,CONFIG_ASIGNATURAS!$B$2:$J$61,9,FALSE()),""))</f>
      </c>
    </row>
    <row r="17796">
      <c r="E17796">
        <f>IF(DATOS!$I17796="","",IFERROR(VLOOKUP(DATOS!$I17796,CONFIG_ASIGNATURAS!$B$2:$J$61,9,FALSE()),""))</f>
      </c>
    </row>
    <row r="17797">
      <c r="E17797">
        <f>IF(DATOS!$I17797="","",IFERROR(VLOOKUP(DATOS!$I17797,CONFIG_ASIGNATURAS!$B$2:$J$61,9,FALSE()),""))</f>
      </c>
    </row>
    <row r="17798">
      <c r="E17798">
        <f>IF(DATOS!$I17798="","",IFERROR(VLOOKUP(DATOS!$I17798,CONFIG_ASIGNATURAS!$B$2:$J$61,9,FALSE()),""))</f>
      </c>
    </row>
    <row r="17799">
      <c r="E17799">
        <f>IF(DATOS!$I17799="","",IFERROR(VLOOKUP(DATOS!$I17799,CONFIG_ASIGNATURAS!$B$2:$J$61,9,FALSE()),""))</f>
      </c>
    </row>
    <row r="17800">
      <c r="E17800">
        <f>IF(DATOS!$I17800="","",IFERROR(VLOOKUP(DATOS!$I17800,CONFIG_ASIGNATURAS!$B$2:$J$61,9,FALSE()),""))</f>
      </c>
    </row>
    <row r="17801">
      <c r="E17801">
        <f>IF(DATOS!$I17801="","",IFERROR(VLOOKUP(DATOS!$I17801,CONFIG_ASIGNATURAS!$B$2:$J$61,9,FALSE()),""))</f>
      </c>
    </row>
    <row r="17802">
      <c r="E17802">
        <f>IF(DATOS!$I17802="","",IFERROR(VLOOKUP(DATOS!$I17802,CONFIG_ASIGNATURAS!$B$2:$J$61,9,FALSE()),""))</f>
      </c>
    </row>
    <row r="17803">
      <c r="E17803">
        <f>IF(DATOS!$I17803="","",IFERROR(VLOOKUP(DATOS!$I17803,CONFIG_ASIGNATURAS!$B$2:$J$61,9,FALSE()),""))</f>
      </c>
    </row>
    <row r="17804">
      <c r="E17804">
        <f>IF(DATOS!$I17804="","",IFERROR(VLOOKUP(DATOS!$I17804,CONFIG_ASIGNATURAS!$B$2:$J$61,9,FALSE()),""))</f>
      </c>
    </row>
    <row r="17805">
      <c r="E17805">
        <f>IF(DATOS!$I17805="","",IFERROR(VLOOKUP(DATOS!$I17805,CONFIG_ASIGNATURAS!$B$2:$J$61,9,FALSE()),""))</f>
      </c>
    </row>
    <row r="17806">
      <c r="E17806">
        <f>IF(DATOS!$I17806="","",IFERROR(VLOOKUP(DATOS!$I17806,CONFIG_ASIGNATURAS!$B$2:$J$61,9,FALSE()),""))</f>
      </c>
    </row>
    <row r="17807">
      <c r="E17807">
        <f>IF(DATOS!$I17807="","",IFERROR(VLOOKUP(DATOS!$I17807,CONFIG_ASIGNATURAS!$B$2:$J$61,9,FALSE()),""))</f>
      </c>
    </row>
    <row r="17808">
      <c r="E17808">
        <f>IF(DATOS!$I17808="","",IFERROR(VLOOKUP(DATOS!$I17808,CONFIG_ASIGNATURAS!$B$2:$J$61,9,FALSE()),""))</f>
      </c>
    </row>
    <row r="17809">
      <c r="E17809">
        <f>IF(DATOS!$I17809="","",IFERROR(VLOOKUP(DATOS!$I17809,CONFIG_ASIGNATURAS!$B$2:$J$61,9,FALSE()),""))</f>
      </c>
    </row>
    <row r="17810">
      <c r="E17810">
        <f>IF(DATOS!$I17810="","",IFERROR(VLOOKUP(DATOS!$I17810,CONFIG_ASIGNATURAS!$B$2:$J$61,9,FALSE()),""))</f>
      </c>
    </row>
    <row r="17811">
      <c r="E17811">
        <f>IF(DATOS!$I17811="","",IFERROR(VLOOKUP(DATOS!$I17811,CONFIG_ASIGNATURAS!$B$2:$J$61,9,FALSE()),""))</f>
      </c>
    </row>
    <row r="17812">
      <c r="E17812">
        <f>IF(DATOS!$I17812="","",IFERROR(VLOOKUP(DATOS!$I17812,CONFIG_ASIGNATURAS!$B$2:$J$61,9,FALSE()),""))</f>
      </c>
    </row>
    <row r="17813">
      <c r="E17813">
        <f>IF(DATOS!$I17813="","",IFERROR(VLOOKUP(DATOS!$I17813,CONFIG_ASIGNATURAS!$B$2:$J$61,9,FALSE()),""))</f>
      </c>
    </row>
    <row r="17814">
      <c r="E17814">
        <f>IF(DATOS!$I17814="","",IFERROR(VLOOKUP(DATOS!$I17814,CONFIG_ASIGNATURAS!$B$2:$J$61,9,FALSE()),""))</f>
      </c>
    </row>
    <row r="17815">
      <c r="E17815">
        <f>IF(DATOS!$I17815="","",IFERROR(VLOOKUP(DATOS!$I17815,CONFIG_ASIGNATURAS!$B$2:$J$61,9,FALSE()),""))</f>
      </c>
    </row>
    <row r="17816">
      <c r="E17816">
        <f>IF(DATOS!$I17816="","",IFERROR(VLOOKUP(DATOS!$I17816,CONFIG_ASIGNATURAS!$B$2:$J$61,9,FALSE()),""))</f>
      </c>
    </row>
    <row r="17817">
      <c r="E17817">
        <f>IF(DATOS!$I17817="","",IFERROR(VLOOKUP(DATOS!$I17817,CONFIG_ASIGNATURAS!$B$2:$J$61,9,FALSE()),""))</f>
      </c>
    </row>
    <row r="17818">
      <c r="E17818">
        <f>IF(DATOS!$I17818="","",IFERROR(VLOOKUP(DATOS!$I17818,CONFIG_ASIGNATURAS!$B$2:$J$61,9,FALSE()),""))</f>
      </c>
    </row>
    <row r="17819">
      <c r="E17819">
        <f>IF(DATOS!$I17819="","",IFERROR(VLOOKUP(DATOS!$I17819,CONFIG_ASIGNATURAS!$B$2:$J$61,9,FALSE()),""))</f>
      </c>
    </row>
    <row r="17820">
      <c r="E17820">
        <f>IF(DATOS!$I17820="","",IFERROR(VLOOKUP(DATOS!$I17820,CONFIG_ASIGNATURAS!$B$2:$J$61,9,FALSE()),""))</f>
      </c>
    </row>
    <row r="17821">
      <c r="E17821">
        <f>IF(DATOS!$I17821="","",IFERROR(VLOOKUP(DATOS!$I17821,CONFIG_ASIGNATURAS!$B$2:$J$61,9,FALSE()),""))</f>
      </c>
    </row>
    <row r="17822">
      <c r="E17822">
        <f>IF(DATOS!$I17822="","",IFERROR(VLOOKUP(DATOS!$I17822,CONFIG_ASIGNATURAS!$B$2:$J$61,9,FALSE()),""))</f>
      </c>
    </row>
    <row r="17823">
      <c r="E17823">
        <f>IF(DATOS!$I17823="","",IFERROR(VLOOKUP(DATOS!$I17823,CONFIG_ASIGNATURAS!$B$2:$J$61,9,FALSE()),""))</f>
      </c>
    </row>
    <row r="17824">
      <c r="E17824">
        <f>IF(DATOS!$I17824="","",IFERROR(VLOOKUP(DATOS!$I17824,CONFIG_ASIGNATURAS!$B$2:$J$61,9,FALSE()),""))</f>
      </c>
    </row>
    <row r="17825">
      <c r="E17825">
        <f>IF(DATOS!$I17825="","",IFERROR(VLOOKUP(DATOS!$I17825,CONFIG_ASIGNATURAS!$B$2:$J$61,9,FALSE()),""))</f>
      </c>
    </row>
    <row r="17826">
      <c r="E17826">
        <f>IF(DATOS!$I17826="","",IFERROR(VLOOKUP(DATOS!$I17826,CONFIG_ASIGNATURAS!$B$2:$J$61,9,FALSE()),""))</f>
      </c>
    </row>
    <row r="17827">
      <c r="E17827">
        <f>IF(DATOS!$I17827="","",IFERROR(VLOOKUP(DATOS!$I17827,CONFIG_ASIGNATURAS!$B$2:$J$61,9,FALSE()),""))</f>
      </c>
    </row>
    <row r="17828">
      <c r="E17828">
        <f>IF(DATOS!$I17828="","",IFERROR(VLOOKUP(DATOS!$I17828,CONFIG_ASIGNATURAS!$B$2:$J$61,9,FALSE()),""))</f>
      </c>
    </row>
    <row r="17829">
      <c r="E17829">
        <f>IF(DATOS!$I17829="","",IFERROR(VLOOKUP(DATOS!$I17829,CONFIG_ASIGNATURAS!$B$2:$J$61,9,FALSE()),""))</f>
      </c>
    </row>
    <row r="17830">
      <c r="E17830">
        <f>IF(DATOS!$I17830="","",IFERROR(VLOOKUP(DATOS!$I17830,CONFIG_ASIGNATURAS!$B$2:$J$61,9,FALSE()),""))</f>
      </c>
    </row>
    <row r="17831">
      <c r="E17831">
        <f>IF(DATOS!$I17831="","",IFERROR(VLOOKUP(DATOS!$I17831,CONFIG_ASIGNATURAS!$B$2:$J$61,9,FALSE()),""))</f>
      </c>
    </row>
    <row r="17832">
      <c r="E17832">
        <f>IF(DATOS!$I17832="","",IFERROR(VLOOKUP(DATOS!$I17832,CONFIG_ASIGNATURAS!$B$2:$J$61,9,FALSE()),""))</f>
      </c>
    </row>
    <row r="17833">
      <c r="E17833">
        <f>IF(DATOS!$I17833="","",IFERROR(VLOOKUP(DATOS!$I17833,CONFIG_ASIGNATURAS!$B$2:$J$61,9,FALSE()),""))</f>
      </c>
    </row>
    <row r="17834">
      <c r="E17834">
        <f>IF(DATOS!$I17834="","",IFERROR(VLOOKUP(DATOS!$I17834,CONFIG_ASIGNATURAS!$B$2:$J$61,9,FALSE()),""))</f>
      </c>
    </row>
    <row r="17835">
      <c r="E17835">
        <f>IF(DATOS!$I17835="","",IFERROR(VLOOKUP(DATOS!$I17835,CONFIG_ASIGNATURAS!$B$2:$J$61,9,FALSE()),""))</f>
      </c>
    </row>
    <row r="17836">
      <c r="E17836">
        <f>IF(DATOS!$I17836="","",IFERROR(VLOOKUP(DATOS!$I17836,CONFIG_ASIGNATURAS!$B$2:$J$61,9,FALSE()),""))</f>
      </c>
    </row>
    <row r="17837">
      <c r="E17837">
        <f>IF(DATOS!$I17837="","",IFERROR(VLOOKUP(DATOS!$I17837,CONFIG_ASIGNATURAS!$B$2:$J$61,9,FALSE()),""))</f>
      </c>
    </row>
    <row r="17838">
      <c r="E17838">
        <f>IF(DATOS!$I17838="","",IFERROR(VLOOKUP(DATOS!$I17838,CONFIG_ASIGNATURAS!$B$2:$J$61,9,FALSE()),""))</f>
      </c>
    </row>
    <row r="17839">
      <c r="E17839">
        <f>IF(DATOS!$I17839="","",IFERROR(VLOOKUP(DATOS!$I17839,CONFIG_ASIGNATURAS!$B$2:$J$61,9,FALSE()),""))</f>
      </c>
    </row>
    <row r="17840">
      <c r="E17840">
        <f>IF(DATOS!$I17840="","",IFERROR(VLOOKUP(DATOS!$I17840,CONFIG_ASIGNATURAS!$B$2:$J$61,9,FALSE()),""))</f>
      </c>
    </row>
    <row r="17841">
      <c r="E17841">
        <f>IF(DATOS!$I17841="","",IFERROR(VLOOKUP(DATOS!$I17841,CONFIG_ASIGNATURAS!$B$2:$J$61,9,FALSE()),""))</f>
      </c>
    </row>
    <row r="17842">
      <c r="E17842">
        <f>IF(DATOS!$I17842="","",IFERROR(VLOOKUP(DATOS!$I17842,CONFIG_ASIGNATURAS!$B$2:$J$61,9,FALSE()),""))</f>
      </c>
    </row>
    <row r="17843">
      <c r="E17843">
        <f>IF(DATOS!$I17843="","",IFERROR(VLOOKUP(DATOS!$I17843,CONFIG_ASIGNATURAS!$B$2:$J$61,9,FALSE()),""))</f>
      </c>
    </row>
    <row r="17844">
      <c r="E17844">
        <f>IF(DATOS!$I17844="","",IFERROR(VLOOKUP(DATOS!$I17844,CONFIG_ASIGNATURAS!$B$2:$J$61,9,FALSE()),""))</f>
      </c>
    </row>
    <row r="17845">
      <c r="E17845">
        <f>IF(DATOS!$I17845="","",IFERROR(VLOOKUP(DATOS!$I17845,CONFIG_ASIGNATURAS!$B$2:$J$61,9,FALSE()),""))</f>
      </c>
    </row>
    <row r="17846">
      <c r="E17846">
        <f>IF(DATOS!$I17846="","",IFERROR(VLOOKUP(DATOS!$I17846,CONFIG_ASIGNATURAS!$B$2:$J$61,9,FALSE()),""))</f>
      </c>
    </row>
    <row r="17847">
      <c r="E17847">
        <f>IF(DATOS!$I17847="","",IFERROR(VLOOKUP(DATOS!$I17847,CONFIG_ASIGNATURAS!$B$2:$J$61,9,FALSE()),""))</f>
      </c>
    </row>
    <row r="17848">
      <c r="E17848">
        <f>IF(DATOS!$I17848="","",IFERROR(VLOOKUP(DATOS!$I17848,CONFIG_ASIGNATURAS!$B$2:$J$61,9,FALSE()),""))</f>
      </c>
    </row>
    <row r="17849">
      <c r="E17849">
        <f>IF(DATOS!$I17849="","",IFERROR(VLOOKUP(DATOS!$I17849,CONFIG_ASIGNATURAS!$B$2:$J$61,9,FALSE()),""))</f>
      </c>
    </row>
    <row r="17850">
      <c r="E17850">
        <f>IF(DATOS!$I17850="","",IFERROR(VLOOKUP(DATOS!$I17850,CONFIG_ASIGNATURAS!$B$2:$J$61,9,FALSE()),""))</f>
      </c>
    </row>
    <row r="17851">
      <c r="E17851">
        <f>IF(DATOS!$I17851="","",IFERROR(VLOOKUP(DATOS!$I17851,CONFIG_ASIGNATURAS!$B$2:$J$61,9,FALSE()),""))</f>
      </c>
    </row>
    <row r="17852">
      <c r="E17852">
        <f>IF(DATOS!$I17852="","",IFERROR(VLOOKUP(DATOS!$I17852,CONFIG_ASIGNATURAS!$B$2:$J$61,9,FALSE()),""))</f>
      </c>
    </row>
    <row r="17853">
      <c r="E17853">
        <f>IF(DATOS!$I17853="","",IFERROR(VLOOKUP(DATOS!$I17853,CONFIG_ASIGNATURAS!$B$2:$J$61,9,FALSE()),""))</f>
      </c>
    </row>
    <row r="17854">
      <c r="E17854">
        <f>IF(DATOS!$I17854="","",IFERROR(VLOOKUP(DATOS!$I17854,CONFIG_ASIGNATURAS!$B$2:$J$61,9,FALSE()),""))</f>
      </c>
    </row>
    <row r="17855">
      <c r="E17855">
        <f>IF(DATOS!$I17855="","",IFERROR(VLOOKUP(DATOS!$I17855,CONFIG_ASIGNATURAS!$B$2:$J$61,9,FALSE()),""))</f>
      </c>
    </row>
    <row r="17856">
      <c r="E17856">
        <f>IF(DATOS!$I17856="","",IFERROR(VLOOKUP(DATOS!$I17856,CONFIG_ASIGNATURAS!$B$2:$J$61,9,FALSE()),""))</f>
      </c>
    </row>
    <row r="17857">
      <c r="E17857">
        <f>IF(DATOS!$I17857="","",IFERROR(VLOOKUP(DATOS!$I17857,CONFIG_ASIGNATURAS!$B$2:$J$61,9,FALSE()),""))</f>
      </c>
    </row>
    <row r="17858">
      <c r="E17858">
        <f>IF(DATOS!$I17858="","",IFERROR(VLOOKUP(DATOS!$I17858,CONFIG_ASIGNATURAS!$B$2:$J$61,9,FALSE()),""))</f>
      </c>
    </row>
    <row r="17859">
      <c r="E17859">
        <f>IF(DATOS!$I17859="","",IFERROR(VLOOKUP(DATOS!$I17859,CONFIG_ASIGNATURAS!$B$2:$J$61,9,FALSE()),""))</f>
      </c>
    </row>
    <row r="17860">
      <c r="E17860">
        <f>IF(DATOS!$I17860="","",IFERROR(VLOOKUP(DATOS!$I17860,CONFIG_ASIGNATURAS!$B$2:$J$61,9,FALSE()),""))</f>
      </c>
    </row>
    <row r="17861">
      <c r="E17861">
        <f>IF(DATOS!$I17861="","",IFERROR(VLOOKUP(DATOS!$I17861,CONFIG_ASIGNATURAS!$B$2:$J$61,9,FALSE()),""))</f>
      </c>
    </row>
    <row r="17862">
      <c r="E17862">
        <f>IF(DATOS!$I17862="","",IFERROR(VLOOKUP(DATOS!$I17862,CONFIG_ASIGNATURAS!$B$2:$J$61,9,FALSE()),""))</f>
      </c>
    </row>
    <row r="17863">
      <c r="E17863">
        <f>IF(DATOS!$I17863="","",IFERROR(VLOOKUP(DATOS!$I17863,CONFIG_ASIGNATURAS!$B$2:$J$61,9,FALSE()),""))</f>
      </c>
    </row>
    <row r="17864">
      <c r="E17864">
        <f>IF(DATOS!$I17864="","",IFERROR(VLOOKUP(DATOS!$I17864,CONFIG_ASIGNATURAS!$B$2:$J$61,9,FALSE()),""))</f>
      </c>
    </row>
    <row r="17865">
      <c r="E17865">
        <f>IF(DATOS!$I17865="","",IFERROR(VLOOKUP(DATOS!$I17865,CONFIG_ASIGNATURAS!$B$2:$J$61,9,FALSE()),""))</f>
      </c>
    </row>
    <row r="17866">
      <c r="E17866">
        <f>IF(DATOS!$I17866="","",IFERROR(VLOOKUP(DATOS!$I17866,CONFIG_ASIGNATURAS!$B$2:$J$61,9,FALSE()),""))</f>
      </c>
    </row>
    <row r="17867">
      <c r="E17867">
        <f>IF(DATOS!$I17867="","",IFERROR(VLOOKUP(DATOS!$I17867,CONFIG_ASIGNATURAS!$B$2:$J$61,9,FALSE()),""))</f>
      </c>
    </row>
    <row r="17868">
      <c r="E17868">
        <f>IF(DATOS!$I17868="","",IFERROR(VLOOKUP(DATOS!$I17868,CONFIG_ASIGNATURAS!$B$2:$J$61,9,FALSE()),""))</f>
      </c>
    </row>
    <row r="17869">
      <c r="E17869">
        <f>IF(DATOS!$I17869="","",IFERROR(VLOOKUP(DATOS!$I17869,CONFIG_ASIGNATURAS!$B$2:$J$61,9,FALSE()),""))</f>
      </c>
    </row>
    <row r="17870">
      <c r="E17870">
        <f>IF(DATOS!$I17870="","",IFERROR(VLOOKUP(DATOS!$I17870,CONFIG_ASIGNATURAS!$B$2:$J$61,9,FALSE()),""))</f>
      </c>
    </row>
    <row r="17871">
      <c r="E17871">
        <f>IF(DATOS!$I17871="","",IFERROR(VLOOKUP(DATOS!$I17871,CONFIG_ASIGNATURAS!$B$2:$J$61,9,FALSE()),""))</f>
      </c>
    </row>
    <row r="17872">
      <c r="E17872">
        <f>IF(DATOS!$I17872="","",IFERROR(VLOOKUP(DATOS!$I17872,CONFIG_ASIGNATURAS!$B$2:$J$61,9,FALSE()),""))</f>
      </c>
    </row>
    <row r="17873">
      <c r="E17873">
        <f>IF(DATOS!$I17873="","",IFERROR(VLOOKUP(DATOS!$I17873,CONFIG_ASIGNATURAS!$B$2:$J$61,9,FALSE()),""))</f>
      </c>
    </row>
    <row r="17874">
      <c r="E17874">
        <f>IF(DATOS!$I17874="","",IFERROR(VLOOKUP(DATOS!$I17874,CONFIG_ASIGNATURAS!$B$2:$J$61,9,FALSE()),""))</f>
      </c>
    </row>
    <row r="17875">
      <c r="E17875">
        <f>IF(DATOS!$I17875="","",IFERROR(VLOOKUP(DATOS!$I17875,CONFIG_ASIGNATURAS!$B$2:$J$61,9,FALSE()),""))</f>
      </c>
    </row>
    <row r="17876">
      <c r="E17876">
        <f>IF(DATOS!$I17876="","",IFERROR(VLOOKUP(DATOS!$I17876,CONFIG_ASIGNATURAS!$B$2:$J$61,9,FALSE()),""))</f>
      </c>
    </row>
    <row r="17877">
      <c r="E17877">
        <f>IF(DATOS!$I17877="","",IFERROR(VLOOKUP(DATOS!$I17877,CONFIG_ASIGNATURAS!$B$2:$J$61,9,FALSE()),""))</f>
      </c>
    </row>
    <row r="17878">
      <c r="E17878">
        <f>IF(DATOS!$I17878="","",IFERROR(VLOOKUP(DATOS!$I17878,CONFIG_ASIGNATURAS!$B$2:$J$61,9,FALSE()),""))</f>
      </c>
    </row>
    <row r="17879">
      <c r="E17879">
        <f>IF(DATOS!$I17879="","",IFERROR(VLOOKUP(DATOS!$I17879,CONFIG_ASIGNATURAS!$B$2:$J$61,9,FALSE()),""))</f>
      </c>
    </row>
    <row r="17880">
      <c r="E17880">
        <f>IF(DATOS!$I17880="","",IFERROR(VLOOKUP(DATOS!$I17880,CONFIG_ASIGNATURAS!$B$2:$J$61,9,FALSE()),""))</f>
      </c>
    </row>
    <row r="17881">
      <c r="E17881">
        <f>IF(DATOS!$I17881="","",IFERROR(VLOOKUP(DATOS!$I17881,CONFIG_ASIGNATURAS!$B$2:$J$61,9,FALSE()),""))</f>
      </c>
    </row>
    <row r="17882">
      <c r="E17882">
        <f>IF(DATOS!$I17882="","",IFERROR(VLOOKUP(DATOS!$I17882,CONFIG_ASIGNATURAS!$B$2:$J$61,9,FALSE()),""))</f>
      </c>
    </row>
    <row r="17883">
      <c r="E17883">
        <f>IF(DATOS!$I17883="","",IFERROR(VLOOKUP(DATOS!$I17883,CONFIG_ASIGNATURAS!$B$2:$J$61,9,FALSE()),""))</f>
      </c>
    </row>
    <row r="17884">
      <c r="E17884">
        <f>IF(DATOS!$I17884="","",IFERROR(VLOOKUP(DATOS!$I17884,CONFIG_ASIGNATURAS!$B$2:$J$61,9,FALSE()),""))</f>
      </c>
    </row>
    <row r="17885">
      <c r="E17885">
        <f>IF(DATOS!$I17885="","",IFERROR(VLOOKUP(DATOS!$I17885,CONFIG_ASIGNATURAS!$B$2:$J$61,9,FALSE()),""))</f>
      </c>
    </row>
    <row r="17886">
      <c r="E17886">
        <f>IF(DATOS!$I17886="","",IFERROR(VLOOKUP(DATOS!$I17886,CONFIG_ASIGNATURAS!$B$2:$J$61,9,FALSE()),""))</f>
      </c>
    </row>
    <row r="17887">
      <c r="E17887">
        <f>IF(DATOS!$I17887="","",IFERROR(VLOOKUP(DATOS!$I17887,CONFIG_ASIGNATURAS!$B$2:$J$61,9,FALSE()),""))</f>
      </c>
    </row>
    <row r="17888">
      <c r="E17888">
        <f>IF(DATOS!$I17888="","",IFERROR(VLOOKUP(DATOS!$I17888,CONFIG_ASIGNATURAS!$B$2:$J$61,9,FALSE()),""))</f>
      </c>
    </row>
    <row r="17889">
      <c r="E17889">
        <f>IF(DATOS!$I17889="","",IFERROR(VLOOKUP(DATOS!$I17889,CONFIG_ASIGNATURAS!$B$2:$J$61,9,FALSE()),""))</f>
      </c>
    </row>
    <row r="17890">
      <c r="E17890">
        <f>IF(DATOS!$I17890="","",IFERROR(VLOOKUP(DATOS!$I17890,CONFIG_ASIGNATURAS!$B$2:$J$61,9,FALSE()),""))</f>
      </c>
    </row>
    <row r="17891">
      <c r="E17891">
        <f>IF(DATOS!$I17891="","",IFERROR(VLOOKUP(DATOS!$I17891,CONFIG_ASIGNATURAS!$B$2:$J$61,9,FALSE()),""))</f>
      </c>
    </row>
    <row r="17892">
      <c r="E17892">
        <f>IF(DATOS!$I17892="","",IFERROR(VLOOKUP(DATOS!$I17892,CONFIG_ASIGNATURAS!$B$2:$J$61,9,FALSE()),""))</f>
      </c>
    </row>
    <row r="17893">
      <c r="E17893">
        <f>IF(DATOS!$I17893="","",IFERROR(VLOOKUP(DATOS!$I17893,CONFIG_ASIGNATURAS!$B$2:$J$61,9,FALSE()),""))</f>
      </c>
    </row>
    <row r="17894">
      <c r="E17894">
        <f>IF(DATOS!$I17894="","",IFERROR(VLOOKUP(DATOS!$I17894,CONFIG_ASIGNATURAS!$B$2:$J$61,9,FALSE()),""))</f>
      </c>
    </row>
    <row r="17895">
      <c r="E17895">
        <f>IF(DATOS!$I17895="","",IFERROR(VLOOKUP(DATOS!$I17895,CONFIG_ASIGNATURAS!$B$2:$J$61,9,FALSE()),""))</f>
      </c>
    </row>
    <row r="17896">
      <c r="E17896">
        <f>IF(DATOS!$I17896="","",IFERROR(VLOOKUP(DATOS!$I17896,CONFIG_ASIGNATURAS!$B$2:$J$61,9,FALSE()),""))</f>
      </c>
    </row>
    <row r="17897">
      <c r="E17897">
        <f>IF(DATOS!$I17897="","",IFERROR(VLOOKUP(DATOS!$I17897,CONFIG_ASIGNATURAS!$B$2:$J$61,9,FALSE()),""))</f>
      </c>
    </row>
    <row r="17898">
      <c r="E17898">
        <f>IF(DATOS!$I17898="","",IFERROR(VLOOKUP(DATOS!$I17898,CONFIG_ASIGNATURAS!$B$2:$J$61,9,FALSE()),""))</f>
      </c>
    </row>
    <row r="17899">
      <c r="E17899">
        <f>IF(DATOS!$I17899="","",IFERROR(VLOOKUP(DATOS!$I17899,CONFIG_ASIGNATURAS!$B$2:$J$61,9,FALSE()),""))</f>
      </c>
    </row>
    <row r="17900">
      <c r="E17900">
        <f>IF(DATOS!$I17900="","",IFERROR(VLOOKUP(DATOS!$I17900,CONFIG_ASIGNATURAS!$B$2:$J$61,9,FALSE()),""))</f>
      </c>
    </row>
    <row r="17901">
      <c r="E17901">
        <f>IF(DATOS!$I17901="","",IFERROR(VLOOKUP(DATOS!$I17901,CONFIG_ASIGNATURAS!$B$2:$J$61,9,FALSE()),""))</f>
      </c>
    </row>
    <row r="17902">
      <c r="E17902">
        <f>IF(DATOS!$I17902="","",IFERROR(VLOOKUP(DATOS!$I17902,CONFIG_ASIGNATURAS!$B$2:$J$61,9,FALSE()),""))</f>
      </c>
    </row>
    <row r="17903">
      <c r="E17903">
        <f>IF(DATOS!$I17903="","",IFERROR(VLOOKUP(DATOS!$I17903,CONFIG_ASIGNATURAS!$B$2:$J$61,9,FALSE()),""))</f>
      </c>
    </row>
    <row r="17904">
      <c r="E17904">
        <f>IF(DATOS!$I17904="","",IFERROR(VLOOKUP(DATOS!$I17904,CONFIG_ASIGNATURAS!$B$2:$J$61,9,FALSE()),""))</f>
      </c>
    </row>
    <row r="17905">
      <c r="E17905">
        <f>IF(DATOS!$I17905="","",IFERROR(VLOOKUP(DATOS!$I17905,CONFIG_ASIGNATURAS!$B$2:$J$61,9,FALSE()),""))</f>
      </c>
    </row>
    <row r="17906">
      <c r="E17906">
        <f>IF(DATOS!$I17906="","",IFERROR(VLOOKUP(DATOS!$I17906,CONFIG_ASIGNATURAS!$B$2:$J$61,9,FALSE()),""))</f>
      </c>
    </row>
    <row r="17907">
      <c r="E17907">
        <f>IF(DATOS!$I17907="","",IFERROR(VLOOKUP(DATOS!$I17907,CONFIG_ASIGNATURAS!$B$2:$J$61,9,FALSE()),""))</f>
      </c>
    </row>
    <row r="17908">
      <c r="E17908">
        <f>IF(DATOS!$I17908="","",IFERROR(VLOOKUP(DATOS!$I17908,CONFIG_ASIGNATURAS!$B$2:$J$61,9,FALSE()),""))</f>
      </c>
    </row>
    <row r="17909">
      <c r="E17909">
        <f>IF(DATOS!$I17909="","",IFERROR(VLOOKUP(DATOS!$I17909,CONFIG_ASIGNATURAS!$B$2:$J$61,9,FALSE()),""))</f>
      </c>
    </row>
    <row r="17910">
      <c r="E17910">
        <f>IF(DATOS!$I17910="","",IFERROR(VLOOKUP(DATOS!$I17910,CONFIG_ASIGNATURAS!$B$2:$J$61,9,FALSE()),""))</f>
      </c>
    </row>
    <row r="17911">
      <c r="E17911">
        <f>IF(DATOS!$I17911="","",IFERROR(VLOOKUP(DATOS!$I17911,CONFIG_ASIGNATURAS!$B$2:$J$61,9,FALSE()),""))</f>
      </c>
    </row>
    <row r="17912">
      <c r="E17912">
        <f>IF(DATOS!$I17912="","",IFERROR(VLOOKUP(DATOS!$I17912,CONFIG_ASIGNATURAS!$B$2:$J$61,9,FALSE()),""))</f>
      </c>
    </row>
    <row r="17913">
      <c r="E17913">
        <f>IF(DATOS!$I17913="","",IFERROR(VLOOKUP(DATOS!$I17913,CONFIG_ASIGNATURAS!$B$2:$J$61,9,FALSE()),""))</f>
      </c>
    </row>
    <row r="17914">
      <c r="E17914">
        <f>IF(DATOS!$I17914="","",IFERROR(VLOOKUP(DATOS!$I17914,CONFIG_ASIGNATURAS!$B$2:$J$61,9,FALSE()),""))</f>
      </c>
    </row>
    <row r="17915">
      <c r="E17915">
        <f>IF(DATOS!$I17915="","",IFERROR(VLOOKUP(DATOS!$I17915,CONFIG_ASIGNATURAS!$B$2:$J$61,9,FALSE()),""))</f>
      </c>
    </row>
    <row r="17916">
      <c r="E17916">
        <f>IF(DATOS!$I17916="","",IFERROR(VLOOKUP(DATOS!$I17916,CONFIG_ASIGNATURAS!$B$2:$J$61,9,FALSE()),""))</f>
      </c>
    </row>
    <row r="17917">
      <c r="E17917">
        <f>IF(DATOS!$I17917="","",IFERROR(VLOOKUP(DATOS!$I17917,CONFIG_ASIGNATURAS!$B$2:$J$61,9,FALSE()),""))</f>
      </c>
    </row>
    <row r="17918">
      <c r="E17918">
        <f>IF(DATOS!$I17918="","",IFERROR(VLOOKUP(DATOS!$I17918,CONFIG_ASIGNATURAS!$B$2:$J$61,9,FALSE()),""))</f>
      </c>
    </row>
    <row r="17919">
      <c r="E17919">
        <f>IF(DATOS!$I17919="","",IFERROR(VLOOKUP(DATOS!$I17919,CONFIG_ASIGNATURAS!$B$2:$J$61,9,FALSE()),""))</f>
      </c>
    </row>
    <row r="17920">
      <c r="E17920">
        <f>IF(DATOS!$I17920="","",IFERROR(VLOOKUP(DATOS!$I17920,CONFIG_ASIGNATURAS!$B$2:$J$61,9,FALSE()),""))</f>
      </c>
    </row>
    <row r="17921">
      <c r="E17921">
        <f>IF(DATOS!$I17921="","",IFERROR(VLOOKUP(DATOS!$I17921,CONFIG_ASIGNATURAS!$B$2:$J$61,9,FALSE()),""))</f>
      </c>
    </row>
    <row r="17922">
      <c r="E17922">
        <f>IF(DATOS!$I17922="","",IFERROR(VLOOKUP(DATOS!$I17922,CONFIG_ASIGNATURAS!$B$2:$J$61,9,FALSE()),""))</f>
      </c>
    </row>
    <row r="17923">
      <c r="E17923">
        <f>IF(DATOS!$I17923="","",IFERROR(VLOOKUP(DATOS!$I17923,CONFIG_ASIGNATURAS!$B$2:$J$61,9,FALSE()),""))</f>
      </c>
    </row>
    <row r="17924">
      <c r="E17924">
        <f>IF(DATOS!$I17924="","",IFERROR(VLOOKUP(DATOS!$I17924,CONFIG_ASIGNATURAS!$B$2:$J$61,9,FALSE()),""))</f>
      </c>
    </row>
    <row r="17925">
      <c r="E17925">
        <f>IF(DATOS!$I17925="","",IFERROR(VLOOKUP(DATOS!$I17925,CONFIG_ASIGNATURAS!$B$2:$J$61,9,FALSE()),""))</f>
      </c>
    </row>
    <row r="17926">
      <c r="E17926">
        <f>IF(DATOS!$I17926="","",IFERROR(VLOOKUP(DATOS!$I17926,CONFIG_ASIGNATURAS!$B$2:$J$61,9,FALSE()),""))</f>
      </c>
    </row>
    <row r="17927">
      <c r="E17927">
        <f>IF(DATOS!$I17927="","",IFERROR(VLOOKUP(DATOS!$I17927,CONFIG_ASIGNATURAS!$B$2:$J$61,9,FALSE()),""))</f>
      </c>
    </row>
    <row r="17928">
      <c r="E17928">
        <f>IF(DATOS!$I17928="","",IFERROR(VLOOKUP(DATOS!$I17928,CONFIG_ASIGNATURAS!$B$2:$J$61,9,FALSE()),""))</f>
      </c>
    </row>
    <row r="17929">
      <c r="E17929">
        <f>IF(DATOS!$I17929="","",IFERROR(VLOOKUP(DATOS!$I17929,CONFIG_ASIGNATURAS!$B$2:$J$61,9,FALSE()),""))</f>
      </c>
    </row>
    <row r="17930">
      <c r="E17930">
        <f>IF(DATOS!$I17930="","",IFERROR(VLOOKUP(DATOS!$I17930,CONFIG_ASIGNATURAS!$B$2:$J$61,9,FALSE()),""))</f>
      </c>
    </row>
    <row r="17931">
      <c r="E17931">
        <f>IF(DATOS!$I17931="","",IFERROR(VLOOKUP(DATOS!$I17931,CONFIG_ASIGNATURAS!$B$2:$J$61,9,FALSE()),""))</f>
      </c>
    </row>
    <row r="17932">
      <c r="E17932">
        <f>IF(DATOS!$I17932="","",IFERROR(VLOOKUP(DATOS!$I17932,CONFIG_ASIGNATURAS!$B$2:$J$61,9,FALSE()),""))</f>
      </c>
    </row>
    <row r="17933">
      <c r="E17933">
        <f>IF(DATOS!$I17933="","",IFERROR(VLOOKUP(DATOS!$I17933,CONFIG_ASIGNATURAS!$B$2:$J$61,9,FALSE()),""))</f>
      </c>
    </row>
    <row r="17934">
      <c r="E17934">
        <f>IF(DATOS!$I17934="","",IFERROR(VLOOKUP(DATOS!$I17934,CONFIG_ASIGNATURAS!$B$2:$J$61,9,FALSE()),""))</f>
      </c>
    </row>
    <row r="17935">
      <c r="E17935">
        <f>IF(DATOS!$I17935="","",IFERROR(VLOOKUP(DATOS!$I17935,CONFIG_ASIGNATURAS!$B$2:$J$61,9,FALSE()),""))</f>
      </c>
    </row>
    <row r="17936">
      <c r="E17936">
        <f>IF(DATOS!$I17936="","",IFERROR(VLOOKUP(DATOS!$I17936,CONFIG_ASIGNATURAS!$B$2:$J$61,9,FALSE()),""))</f>
      </c>
    </row>
    <row r="17937">
      <c r="E17937">
        <f>IF(DATOS!$I17937="","",IFERROR(VLOOKUP(DATOS!$I17937,CONFIG_ASIGNATURAS!$B$2:$J$61,9,FALSE()),""))</f>
      </c>
    </row>
    <row r="17938">
      <c r="E17938">
        <f>IF(DATOS!$I17938="","",IFERROR(VLOOKUP(DATOS!$I17938,CONFIG_ASIGNATURAS!$B$2:$J$61,9,FALSE()),""))</f>
      </c>
    </row>
    <row r="17939">
      <c r="E17939">
        <f>IF(DATOS!$I17939="","",IFERROR(VLOOKUP(DATOS!$I17939,CONFIG_ASIGNATURAS!$B$2:$J$61,9,FALSE()),""))</f>
      </c>
    </row>
    <row r="17940">
      <c r="E17940">
        <f>IF(DATOS!$I17940="","",IFERROR(VLOOKUP(DATOS!$I17940,CONFIG_ASIGNATURAS!$B$2:$J$61,9,FALSE()),""))</f>
      </c>
    </row>
    <row r="17941">
      <c r="E17941">
        <f>IF(DATOS!$I17941="","",IFERROR(VLOOKUP(DATOS!$I17941,CONFIG_ASIGNATURAS!$B$2:$J$61,9,FALSE()),""))</f>
      </c>
    </row>
    <row r="17942">
      <c r="E17942">
        <f>IF(DATOS!$I17942="","",IFERROR(VLOOKUP(DATOS!$I17942,CONFIG_ASIGNATURAS!$B$2:$J$61,9,FALSE()),""))</f>
      </c>
    </row>
    <row r="17943">
      <c r="E17943">
        <f>IF(DATOS!$I17943="","",IFERROR(VLOOKUP(DATOS!$I17943,CONFIG_ASIGNATURAS!$B$2:$J$61,9,FALSE()),""))</f>
      </c>
    </row>
    <row r="17944">
      <c r="E17944">
        <f>IF(DATOS!$I17944="","",IFERROR(VLOOKUP(DATOS!$I17944,CONFIG_ASIGNATURAS!$B$2:$J$61,9,FALSE()),""))</f>
      </c>
    </row>
    <row r="17945">
      <c r="E17945">
        <f>IF(DATOS!$I17945="","",IFERROR(VLOOKUP(DATOS!$I17945,CONFIG_ASIGNATURAS!$B$2:$J$61,9,FALSE()),""))</f>
      </c>
    </row>
    <row r="17946">
      <c r="E17946">
        <f>IF(DATOS!$I17946="","",IFERROR(VLOOKUP(DATOS!$I17946,CONFIG_ASIGNATURAS!$B$2:$J$61,9,FALSE()),""))</f>
      </c>
    </row>
    <row r="17947">
      <c r="E17947">
        <f>IF(DATOS!$I17947="","",IFERROR(VLOOKUP(DATOS!$I17947,CONFIG_ASIGNATURAS!$B$2:$J$61,9,FALSE()),""))</f>
      </c>
    </row>
    <row r="17948">
      <c r="E17948">
        <f>IF(DATOS!$I17948="","",IFERROR(VLOOKUP(DATOS!$I17948,CONFIG_ASIGNATURAS!$B$2:$J$61,9,FALSE()),""))</f>
      </c>
    </row>
    <row r="17949">
      <c r="E17949">
        <f>IF(DATOS!$I17949="","",IFERROR(VLOOKUP(DATOS!$I17949,CONFIG_ASIGNATURAS!$B$2:$J$61,9,FALSE()),""))</f>
      </c>
    </row>
    <row r="17950">
      <c r="E17950">
        <f>IF(DATOS!$I17950="","",IFERROR(VLOOKUP(DATOS!$I17950,CONFIG_ASIGNATURAS!$B$2:$J$61,9,FALSE()),""))</f>
      </c>
    </row>
    <row r="17951">
      <c r="E17951">
        <f>IF(DATOS!$I17951="","",IFERROR(VLOOKUP(DATOS!$I17951,CONFIG_ASIGNATURAS!$B$2:$J$61,9,FALSE()),""))</f>
      </c>
    </row>
    <row r="17952">
      <c r="E17952">
        <f>IF(DATOS!$I17952="","",IFERROR(VLOOKUP(DATOS!$I17952,CONFIG_ASIGNATURAS!$B$2:$J$61,9,FALSE()),""))</f>
      </c>
    </row>
    <row r="17953">
      <c r="E17953">
        <f>IF(DATOS!$I17953="","",IFERROR(VLOOKUP(DATOS!$I17953,CONFIG_ASIGNATURAS!$B$2:$J$61,9,FALSE()),""))</f>
      </c>
    </row>
    <row r="17954">
      <c r="E17954">
        <f>IF(DATOS!$I17954="","",IFERROR(VLOOKUP(DATOS!$I17954,CONFIG_ASIGNATURAS!$B$2:$J$61,9,FALSE()),""))</f>
      </c>
    </row>
    <row r="17955">
      <c r="E17955">
        <f>IF(DATOS!$I17955="","",IFERROR(VLOOKUP(DATOS!$I17955,CONFIG_ASIGNATURAS!$B$2:$J$61,9,FALSE()),""))</f>
      </c>
    </row>
    <row r="17956">
      <c r="E17956">
        <f>IF(DATOS!$I17956="","",IFERROR(VLOOKUP(DATOS!$I17956,CONFIG_ASIGNATURAS!$B$2:$J$61,9,FALSE()),""))</f>
      </c>
    </row>
    <row r="17957">
      <c r="E17957">
        <f>IF(DATOS!$I17957="","",IFERROR(VLOOKUP(DATOS!$I17957,CONFIG_ASIGNATURAS!$B$2:$J$61,9,FALSE()),""))</f>
      </c>
    </row>
    <row r="17958">
      <c r="E17958">
        <f>IF(DATOS!$I17958="","",IFERROR(VLOOKUP(DATOS!$I17958,CONFIG_ASIGNATURAS!$B$2:$J$61,9,FALSE()),""))</f>
      </c>
    </row>
    <row r="17959">
      <c r="E17959">
        <f>IF(DATOS!$I17959="","",IFERROR(VLOOKUP(DATOS!$I17959,CONFIG_ASIGNATURAS!$B$2:$J$61,9,FALSE()),""))</f>
      </c>
    </row>
    <row r="17960">
      <c r="E17960">
        <f>IF(DATOS!$I17960="","",IFERROR(VLOOKUP(DATOS!$I17960,CONFIG_ASIGNATURAS!$B$2:$J$61,9,FALSE()),""))</f>
      </c>
    </row>
    <row r="17961">
      <c r="E17961">
        <f>IF(DATOS!$I17961="","",IFERROR(VLOOKUP(DATOS!$I17961,CONFIG_ASIGNATURAS!$B$2:$J$61,9,FALSE()),""))</f>
      </c>
    </row>
    <row r="17962">
      <c r="E17962">
        <f>IF(DATOS!$I17962="","",IFERROR(VLOOKUP(DATOS!$I17962,CONFIG_ASIGNATURAS!$B$2:$J$61,9,FALSE()),""))</f>
      </c>
    </row>
    <row r="17963">
      <c r="E17963">
        <f>IF(DATOS!$I17963="","",IFERROR(VLOOKUP(DATOS!$I17963,CONFIG_ASIGNATURAS!$B$2:$J$61,9,FALSE()),""))</f>
      </c>
    </row>
    <row r="17964">
      <c r="E17964">
        <f>IF(DATOS!$I17964="","",IFERROR(VLOOKUP(DATOS!$I17964,CONFIG_ASIGNATURAS!$B$2:$J$61,9,FALSE()),""))</f>
      </c>
    </row>
    <row r="17965">
      <c r="E17965">
        <f>IF(DATOS!$I17965="","",IFERROR(VLOOKUP(DATOS!$I17965,CONFIG_ASIGNATURAS!$B$2:$J$61,9,FALSE()),""))</f>
      </c>
    </row>
    <row r="17966">
      <c r="E17966">
        <f>IF(DATOS!$I17966="","",IFERROR(VLOOKUP(DATOS!$I17966,CONFIG_ASIGNATURAS!$B$2:$J$61,9,FALSE()),""))</f>
      </c>
    </row>
    <row r="17967">
      <c r="E17967">
        <f>IF(DATOS!$I17967="","",IFERROR(VLOOKUP(DATOS!$I17967,CONFIG_ASIGNATURAS!$B$2:$J$61,9,FALSE()),""))</f>
      </c>
    </row>
    <row r="17968">
      <c r="E17968">
        <f>IF(DATOS!$I17968="","",IFERROR(VLOOKUP(DATOS!$I17968,CONFIG_ASIGNATURAS!$B$2:$J$61,9,FALSE()),""))</f>
      </c>
    </row>
    <row r="17969">
      <c r="E17969">
        <f>IF(DATOS!$I17969="","",IFERROR(VLOOKUP(DATOS!$I17969,CONFIG_ASIGNATURAS!$B$2:$J$61,9,FALSE()),""))</f>
      </c>
    </row>
    <row r="17970">
      <c r="E17970">
        <f>IF(DATOS!$I17970="","",IFERROR(VLOOKUP(DATOS!$I17970,CONFIG_ASIGNATURAS!$B$2:$J$61,9,FALSE()),""))</f>
      </c>
    </row>
    <row r="17971">
      <c r="E17971">
        <f>IF(DATOS!$I17971="","",IFERROR(VLOOKUP(DATOS!$I17971,CONFIG_ASIGNATURAS!$B$2:$J$61,9,FALSE()),""))</f>
      </c>
    </row>
    <row r="17972">
      <c r="E17972">
        <f>IF(DATOS!$I17972="","",IFERROR(VLOOKUP(DATOS!$I17972,CONFIG_ASIGNATURAS!$B$2:$J$61,9,FALSE()),""))</f>
      </c>
    </row>
    <row r="17973">
      <c r="E17973">
        <f>IF(DATOS!$I17973="","",IFERROR(VLOOKUP(DATOS!$I17973,CONFIG_ASIGNATURAS!$B$2:$J$61,9,FALSE()),""))</f>
      </c>
    </row>
    <row r="17974">
      <c r="E17974">
        <f>IF(DATOS!$I17974="","",IFERROR(VLOOKUP(DATOS!$I17974,CONFIG_ASIGNATURAS!$B$2:$J$61,9,FALSE()),""))</f>
      </c>
    </row>
    <row r="17975">
      <c r="E17975">
        <f>IF(DATOS!$I17975="","",IFERROR(VLOOKUP(DATOS!$I17975,CONFIG_ASIGNATURAS!$B$2:$J$61,9,FALSE()),""))</f>
      </c>
    </row>
    <row r="17976">
      <c r="E17976">
        <f>IF(DATOS!$I17976="","",IFERROR(VLOOKUP(DATOS!$I17976,CONFIG_ASIGNATURAS!$B$2:$J$61,9,FALSE()),""))</f>
      </c>
    </row>
    <row r="17977">
      <c r="E17977">
        <f>IF(DATOS!$I17977="","",IFERROR(VLOOKUP(DATOS!$I17977,CONFIG_ASIGNATURAS!$B$2:$J$61,9,FALSE()),""))</f>
      </c>
    </row>
    <row r="17978">
      <c r="E17978">
        <f>IF(DATOS!$I17978="","",IFERROR(VLOOKUP(DATOS!$I17978,CONFIG_ASIGNATURAS!$B$2:$J$61,9,FALSE()),""))</f>
      </c>
    </row>
    <row r="17979">
      <c r="E17979">
        <f>IF(DATOS!$I17979="","",IFERROR(VLOOKUP(DATOS!$I17979,CONFIG_ASIGNATURAS!$B$2:$J$61,9,FALSE()),""))</f>
      </c>
    </row>
    <row r="17980">
      <c r="E17980">
        <f>IF(DATOS!$I17980="","",IFERROR(VLOOKUP(DATOS!$I17980,CONFIG_ASIGNATURAS!$B$2:$J$61,9,FALSE()),""))</f>
      </c>
    </row>
    <row r="17981">
      <c r="E17981">
        <f>IF(DATOS!$I17981="","",IFERROR(VLOOKUP(DATOS!$I17981,CONFIG_ASIGNATURAS!$B$2:$J$61,9,FALSE()),""))</f>
      </c>
    </row>
    <row r="17982">
      <c r="E17982">
        <f>IF(DATOS!$I17982="","",IFERROR(VLOOKUP(DATOS!$I17982,CONFIG_ASIGNATURAS!$B$2:$J$61,9,FALSE()),""))</f>
      </c>
    </row>
    <row r="17983">
      <c r="E17983">
        <f>IF(DATOS!$I17983="","",IFERROR(VLOOKUP(DATOS!$I17983,CONFIG_ASIGNATURAS!$B$2:$J$61,9,FALSE()),""))</f>
      </c>
    </row>
    <row r="17984">
      <c r="E17984">
        <f>IF(DATOS!$I17984="","",IFERROR(VLOOKUP(DATOS!$I17984,CONFIG_ASIGNATURAS!$B$2:$J$61,9,FALSE()),""))</f>
      </c>
    </row>
    <row r="17985">
      <c r="E17985">
        <f>IF(DATOS!$I17985="","",IFERROR(VLOOKUP(DATOS!$I17985,CONFIG_ASIGNATURAS!$B$2:$J$61,9,FALSE()),""))</f>
      </c>
    </row>
    <row r="17986">
      <c r="E17986">
        <f>IF(DATOS!$I17986="","",IFERROR(VLOOKUP(DATOS!$I17986,CONFIG_ASIGNATURAS!$B$2:$J$61,9,FALSE()),""))</f>
      </c>
    </row>
    <row r="17987">
      <c r="E17987">
        <f>IF(DATOS!$I17987="","",IFERROR(VLOOKUP(DATOS!$I17987,CONFIG_ASIGNATURAS!$B$2:$J$61,9,FALSE()),""))</f>
      </c>
    </row>
    <row r="17988">
      <c r="E17988">
        <f>IF(DATOS!$I17988="","",IFERROR(VLOOKUP(DATOS!$I17988,CONFIG_ASIGNATURAS!$B$2:$J$61,9,FALSE()),""))</f>
      </c>
    </row>
    <row r="17989">
      <c r="E17989">
        <f>IF(DATOS!$I17989="","",IFERROR(VLOOKUP(DATOS!$I17989,CONFIG_ASIGNATURAS!$B$2:$J$61,9,FALSE()),""))</f>
      </c>
    </row>
    <row r="17990">
      <c r="E17990">
        <f>IF(DATOS!$I17990="","",IFERROR(VLOOKUP(DATOS!$I17990,CONFIG_ASIGNATURAS!$B$2:$J$61,9,FALSE()),""))</f>
      </c>
    </row>
    <row r="17991">
      <c r="E17991">
        <f>IF(DATOS!$I17991="","",IFERROR(VLOOKUP(DATOS!$I17991,CONFIG_ASIGNATURAS!$B$2:$J$61,9,FALSE()),""))</f>
      </c>
    </row>
    <row r="17992">
      <c r="E17992">
        <f>IF(DATOS!$I17992="","",IFERROR(VLOOKUP(DATOS!$I17992,CONFIG_ASIGNATURAS!$B$2:$J$61,9,FALSE()),""))</f>
      </c>
    </row>
    <row r="17993">
      <c r="E17993">
        <f>IF(DATOS!$I17993="","",IFERROR(VLOOKUP(DATOS!$I17993,CONFIG_ASIGNATURAS!$B$2:$J$61,9,FALSE()),""))</f>
      </c>
    </row>
    <row r="17994">
      <c r="E17994">
        <f>IF(DATOS!$I17994="","",IFERROR(VLOOKUP(DATOS!$I17994,CONFIG_ASIGNATURAS!$B$2:$J$61,9,FALSE()),""))</f>
      </c>
    </row>
    <row r="17995">
      <c r="E17995">
        <f>IF(DATOS!$I17995="","",IFERROR(VLOOKUP(DATOS!$I17995,CONFIG_ASIGNATURAS!$B$2:$J$61,9,FALSE()),""))</f>
      </c>
    </row>
    <row r="17996">
      <c r="E17996">
        <f>IF(DATOS!$I17996="","",IFERROR(VLOOKUP(DATOS!$I17996,CONFIG_ASIGNATURAS!$B$2:$J$61,9,FALSE()),""))</f>
      </c>
    </row>
    <row r="17997">
      <c r="E17997">
        <f>IF(DATOS!$I17997="","",IFERROR(VLOOKUP(DATOS!$I17997,CONFIG_ASIGNATURAS!$B$2:$J$61,9,FALSE()),""))</f>
      </c>
    </row>
    <row r="17998">
      <c r="E17998">
        <f>IF(DATOS!$I17998="","",IFERROR(VLOOKUP(DATOS!$I17998,CONFIG_ASIGNATURAS!$B$2:$J$61,9,FALSE()),""))</f>
      </c>
    </row>
    <row r="17999">
      <c r="E17999">
        <f>IF(DATOS!$I17999="","",IFERROR(VLOOKUP(DATOS!$I17999,CONFIG_ASIGNATURAS!$B$2:$J$61,9,FALSE()),""))</f>
      </c>
    </row>
    <row r="18000">
      <c r="E18000">
        <f>IF(DATOS!$I18000="","",IFERROR(VLOOKUP(DATOS!$I18000,CONFIG_ASIGNATURAS!$B$2:$J$61,9,FALSE()),""))</f>
      </c>
    </row>
    <row r="18001">
      <c r="E18001">
        <f>IF(DATOS!$I18001="","",IFERROR(VLOOKUP(DATOS!$I18001,CONFIG_ASIGNATURAS!$B$2:$J$61,9,FALSE()),""))</f>
      </c>
    </row>
    <row r="18002">
      <c r="E18002">
        <f>IF(DATOS!$I18002="","",IFERROR(VLOOKUP(DATOS!$I18002,CONFIG_ASIGNATURAS!$B$2:$J$61,9,FALSE()),""))</f>
      </c>
    </row>
    <row r="18003">
      <c r="E18003">
        <f>IF(DATOS!$I18003="","",IFERROR(VLOOKUP(DATOS!$I18003,CONFIG_ASIGNATURAS!$B$2:$J$61,9,FALSE()),""))</f>
      </c>
    </row>
    <row r="18004">
      <c r="E18004">
        <f>IF(DATOS!$I18004="","",IFERROR(VLOOKUP(DATOS!$I18004,CONFIG_ASIGNATURAS!$B$2:$J$61,9,FALSE()),""))</f>
      </c>
    </row>
    <row r="18005">
      <c r="E18005">
        <f>IF(DATOS!$I18005="","",IFERROR(VLOOKUP(DATOS!$I18005,CONFIG_ASIGNATURAS!$B$2:$J$61,9,FALSE()),""))</f>
      </c>
    </row>
    <row r="18006">
      <c r="E18006">
        <f>IF(DATOS!$I18006="","",IFERROR(VLOOKUP(DATOS!$I18006,CONFIG_ASIGNATURAS!$B$2:$J$61,9,FALSE()),""))</f>
      </c>
    </row>
    <row r="18007">
      <c r="E18007">
        <f>IF(DATOS!$I18007="","",IFERROR(VLOOKUP(DATOS!$I18007,CONFIG_ASIGNATURAS!$B$2:$J$61,9,FALSE()),""))</f>
      </c>
    </row>
    <row r="18008">
      <c r="E18008">
        <f>IF(DATOS!$I18008="","",IFERROR(VLOOKUP(DATOS!$I18008,CONFIG_ASIGNATURAS!$B$2:$J$61,9,FALSE()),""))</f>
      </c>
    </row>
    <row r="18009">
      <c r="E18009">
        <f>IF(DATOS!$I18009="","",IFERROR(VLOOKUP(DATOS!$I18009,CONFIG_ASIGNATURAS!$B$2:$J$61,9,FALSE()),""))</f>
      </c>
    </row>
    <row r="18010">
      <c r="E18010">
        <f>IF(DATOS!$I18010="","",IFERROR(VLOOKUP(DATOS!$I18010,CONFIG_ASIGNATURAS!$B$2:$J$61,9,FALSE()),""))</f>
      </c>
    </row>
    <row r="18011">
      <c r="E18011">
        <f>IF(DATOS!$I18011="","",IFERROR(VLOOKUP(DATOS!$I18011,CONFIG_ASIGNATURAS!$B$2:$J$61,9,FALSE()),""))</f>
      </c>
    </row>
    <row r="18012">
      <c r="E18012">
        <f>IF(DATOS!$I18012="","",IFERROR(VLOOKUP(DATOS!$I18012,CONFIG_ASIGNATURAS!$B$2:$J$61,9,FALSE()),""))</f>
      </c>
    </row>
    <row r="18013">
      <c r="E18013">
        <f>IF(DATOS!$I18013="","",IFERROR(VLOOKUP(DATOS!$I18013,CONFIG_ASIGNATURAS!$B$2:$J$61,9,FALSE()),""))</f>
      </c>
    </row>
    <row r="18014">
      <c r="E18014">
        <f>IF(DATOS!$I18014="","",IFERROR(VLOOKUP(DATOS!$I18014,CONFIG_ASIGNATURAS!$B$2:$J$61,9,FALSE()),""))</f>
      </c>
    </row>
    <row r="18015">
      <c r="E18015">
        <f>IF(DATOS!$I18015="","",IFERROR(VLOOKUP(DATOS!$I18015,CONFIG_ASIGNATURAS!$B$2:$J$61,9,FALSE()),""))</f>
      </c>
    </row>
    <row r="18016">
      <c r="E18016">
        <f>IF(DATOS!$I18016="","",IFERROR(VLOOKUP(DATOS!$I18016,CONFIG_ASIGNATURAS!$B$2:$J$61,9,FALSE()),""))</f>
      </c>
    </row>
    <row r="18017">
      <c r="E18017">
        <f>IF(DATOS!$I18017="","",IFERROR(VLOOKUP(DATOS!$I18017,CONFIG_ASIGNATURAS!$B$2:$J$61,9,FALSE()),""))</f>
      </c>
    </row>
    <row r="18018">
      <c r="E18018">
        <f>IF(DATOS!$I18018="","",IFERROR(VLOOKUP(DATOS!$I18018,CONFIG_ASIGNATURAS!$B$2:$J$61,9,FALSE()),""))</f>
      </c>
    </row>
    <row r="18019">
      <c r="E18019">
        <f>IF(DATOS!$I18019="","",IFERROR(VLOOKUP(DATOS!$I18019,CONFIG_ASIGNATURAS!$B$2:$J$61,9,FALSE()),""))</f>
      </c>
    </row>
    <row r="18020">
      <c r="E18020">
        <f>IF(DATOS!$I18020="","",IFERROR(VLOOKUP(DATOS!$I18020,CONFIG_ASIGNATURAS!$B$2:$J$61,9,FALSE()),""))</f>
      </c>
    </row>
    <row r="18021">
      <c r="E18021">
        <f>IF(DATOS!$I18021="","",IFERROR(VLOOKUP(DATOS!$I18021,CONFIG_ASIGNATURAS!$B$2:$J$61,9,FALSE()),""))</f>
      </c>
    </row>
    <row r="18022">
      <c r="E18022">
        <f>IF(DATOS!$I18022="","",IFERROR(VLOOKUP(DATOS!$I18022,CONFIG_ASIGNATURAS!$B$2:$J$61,9,FALSE()),""))</f>
      </c>
    </row>
    <row r="18023">
      <c r="E18023">
        <f>IF(DATOS!$I18023="","",IFERROR(VLOOKUP(DATOS!$I18023,CONFIG_ASIGNATURAS!$B$2:$J$61,9,FALSE()),""))</f>
      </c>
    </row>
    <row r="18024">
      <c r="E18024">
        <f>IF(DATOS!$I18024="","",IFERROR(VLOOKUP(DATOS!$I18024,CONFIG_ASIGNATURAS!$B$2:$J$61,9,FALSE()),""))</f>
      </c>
    </row>
    <row r="18025">
      <c r="E18025">
        <f>IF(DATOS!$I18025="","",IFERROR(VLOOKUP(DATOS!$I18025,CONFIG_ASIGNATURAS!$B$2:$J$61,9,FALSE()),""))</f>
      </c>
    </row>
    <row r="18026">
      <c r="E18026">
        <f>IF(DATOS!$I18026="","",IFERROR(VLOOKUP(DATOS!$I18026,CONFIG_ASIGNATURAS!$B$2:$J$61,9,FALSE()),""))</f>
      </c>
    </row>
    <row r="18027">
      <c r="E18027">
        <f>IF(DATOS!$I18027="","",IFERROR(VLOOKUP(DATOS!$I18027,CONFIG_ASIGNATURAS!$B$2:$J$61,9,FALSE()),""))</f>
      </c>
    </row>
    <row r="18028">
      <c r="E18028">
        <f>IF(DATOS!$I18028="","",IFERROR(VLOOKUP(DATOS!$I18028,CONFIG_ASIGNATURAS!$B$2:$J$61,9,FALSE()),""))</f>
      </c>
    </row>
    <row r="18029">
      <c r="E18029">
        <f>IF(DATOS!$I18029="","",IFERROR(VLOOKUP(DATOS!$I18029,CONFIG_ASIGNATURAS!$B$2:$J$61,9,FALSE()),""))</f>
      </c>
    </row>
    <row r="18030">
      <c r="E18030">
        <f>IF(DATOS!$I18030="","",IFERROR(VLOOKUP(DATOS!$I18030,CONFIG_ASIGNATURAS!$B$2:$J$61,9,FALSE()),""))</f>
      </c>
    </row>
    <row r="18031">
      <c r="E18031">
        <f>IF(DATOS!$I18031="","",IFERROR(VLOOKUP(DATOS!$I18031,CONFIG_ASIGNATURAS!$B$2:$J$61,9,FALSE()),""))</f>
      </c>
    </row>
    <row r="18032">
      <c r="E18032">
        <f>IF(DATOS!$I18032="","",IFERROR(VLOOKUP(DATOS!$I18032,CONFIG_ASIGNATURAS!$B$2:$J$61,9,FALSE()),""))</f>
      </c>
    </row>
    <row r="18033">
      <c r="E18033">
        <f>IF(DATOS!$I18033="","",IFERROR(VLOOKUP(DATOS!$I18033,CONFIG_ASIGNATURAS!$B$2:$J$61,9,FALSE()),""))</f>
      </c>
    </row>
    <row r="18034">
      <c r="E18034">
        <f>IF(DATOS!$I18034="","",IFERROR(VLOOKUP(DATOS!$I18034,CONFIG_ASIGNATURAS!$B$2:$J$61,9,FALSE()),""))</f>
      </c>
    </row>
    <row r="18035">
      <c r="E18035">
        <f>IF(DATOS!$I18035="","",IFERROR(VLOOKUP(DATOS!$I18035,CONFIG_ASIGNATURAS!$B$2:$J$61,9,FALSE()),""))</f>
      </c>
    </row>
    <row r="18036">
      <c r="E18036">
        <f>IF(DATOS!$I18036="","",IFERROR(VLOOKUP(DATOS!$I18036,CONFIG_ASIGNATURAS!$B$2:$J$61,9,FALSE()),""))</f>
      </c>
    </row>
    <row r="18037">
      <c r="E18037">
        <f>IF(DATOS!$I18037="","",IFERROR(VLOOKUP(DATOS!$I18037,CONFIG_ASIGNATURAS!$B$2:$J$61,9,FALSE()),""))</f>
      </c>
    </row>
    <row r="18038">
      <c r="E18038">
        <f>IF(DATOS!$I18038="","",IFERROR(VLOOKUP(DATOS!$I18038,CONFIG_ASIGNATURAS!$B$2:$J$61,9,FALSE()),""))</f>
      </c>
    </row>
    <row r="18039">
      <c r="E18039">
        <f>IF(DATOS!$I18039="","",IFERROR(VLOOKUP(DATOS!$I18039,CONFIG_ASIGNATURAS!$B$2:$J$61,9,FALSE()),""))</f>
      </c>
    </row>
    <row r="18040">
      <c r="E18040">
        <f>IF(DATOS!$I18040="","",IFERROR(VLOOKUP(DATOS!$I18040,CONFIG_ASIGNATURAS!$B$2:$J$61,9,FALSE()),""))</f>
      </c>
    </row>
    <row r="18041">
      <c r="E18041">
        <f>IF(DATOS!$I18041="","",IFERROR(VLOOKUP(DATOS!$I18041,CONFIG_ASIGNATURAS!$B$2:$J$61,9,FALSE()),""))</f>
      </c>
    </row>
    <row r="18042">
      <c r="E18042">
        <f>IF(DATOS!$I18042="","",IFERROR(VLOOKUP(DATOS!$I18042,CONFIG_ASIGNATURAS!$B$2:$J$61,9,FALSE()),""))</f>
      </c>
    </row>
    <row r="18043">
      <c r="E18043">
        <f>IF(DATOS!$I18043="","",IFERROR(VLOOKUP(DATOS!$I18043,CONFIG_ASIGNATURAS!$B$2:$J$61,9,FALSE()),""))</f>
      </c>
    </row>
    <row r="18044">
      <c r="E18044">
        <f>IF(DATOS!$I18044="","",IFERROR(VLOOKUP(DATOS!$I18044,CONFIG_ASIGNATURAS!$B$2:$J$61,9,FALSE()),""))</f>
      </c>
    </row>
    <row r="18045">
      <c r="E18045">
        <f>IF(DATOS!$I18045="","",IFERROR(VLOOKUP(DATOS!$I18045,CONFIG_ASIGNATURAS!$B$2:$J$61,9,FALSE()),""))</f>
      </c>
    </row>
    <row r="18046">
      <c r="E18046">
        <f>IF(DATOS!$I18046="","",IFERROR(VLOOKUP(DATOS!$I18046,CONFIG_ASIGNATURAS!$B$2:$J$61,9,FALSE()),""))</f>
      </c>
    </row>
    <row r="18047">
      <c r="E18047">
        <f>IF(DATOS!$I18047="","",IFERROR(VLOOKUP(DATOS!$I18047,CONFIG_ASIGNATURAS!$B$2:$J$61,9,FALSE()),""))</f>
      </c>
    </row>
    <row r="18048">
      <c r="E18048">
        <f>IF(DATOS!$I18048="","",IFERROR(VLOOKUP(DATOS!$I18048,CONFIG_ASIGNATURAS!$B$2:$J$61,9,FALSE()),""))</f>
      </c>
    </row>
    <row r="18049">
      <c r="E18049">
        <f>IF(DATOS!$I18049="","",IFERROR(VLOOKUP(DATOS!$I18049,CONFIG_ASIGNATURAS!$B$2:$J$61,9,FALSE()),""))</f>
      </c>
    </row>
    <row r="18050">
      <c r="E18050">
        <f>IF(DATOS!$I18050="","",IFERROR(VLOOKUP(DATOS!$I18050,CONFIG_ASIGNATURAS!$B$2:$J$61,9,FALSE()),""))</f>
      </c>
    </row>
    <row r="18051">
      <c r="E18051">
        <f>IF(DATOS!$I18051="","",IFERROR(VLOOKUP(DATOS!$I18051,CONFIG_ASIGNATURAS!$B$2:$J$61,9,FALSE()),""))</f>
      </c>
    </row>
    <row r="18052">
      <c r="E18052">
        <f>IF(DATOS!$I18052="","",IFERROR(VLOOKUP(DATOS!$I18052,CONFIG_ASIGNATURAS!$B$2:$J$61,9,FALSE()),""))</f>
      </c>
    </row>
    <row r="18053">
      <c r="E18053">
        <f>IF(DATOS!$I18053="","",IFERROR(VLOOKUP(DATOS!$I18053,CONFIG_ASIGNATURAS!$B$2:$J$61,9,FALSE()),""))</f>
      </c>
    </row>
    <row r="18054">
      <c r="E18054">
        <f>IF(DATOS!$I18054="","",IFERROR(VLOOKUP(DATOS!$I18054,CONFIG_ASIGNATURAS!$B$2:$J$61,9,FALSE()),""))</f>
      </c>
    </row>
    <row r="18055">
      <c r="E18055">
        <f>IF(DATOS!$I18055="","",IFERROR(VLOOKUP(DATOS!$I18055,CONFIG_ASIGNATURAS!$B$2:$J$61,9,FALSE()),""))</f>
      </c>
    </row>
    <row r="18056">
      <c r="E18056">
        <f>IF(DATOS!$I18056="","",IFERROR(VLOOKUP(DATOS!$I18056,CONFIG_ASIGNATURAS!$B$2:$J$61,9,FALSE()),""))</f>
      </c>
    </row>
    <row r="18057">
      <c r="E18057">
        <f>IF(DATOS!$I18057="","",IFERROR(VLOOKUP(DATOS!$I18057,CONFIG_ASIGNATURAS!$B$2:$J$61,9,FALSE()),""))</f>
      </c>
    </row>
    <row r="18058">
      <c r="E18058">
        <f>IF(DATOS!$I18058="","",IFERROR(VLOOKUP(DATOS!$I18058,CONFIG_ASIGNATURAS!$B$2:$J$61,9,FALSE()),""))</f>
      </c>
    </row>
    <row r="18059">
      <c r="E18059">
        <f>IF(DATOS!$I18059="","",IFERROR(VLOOKUP(DATOS!$I18059,CONFIG_ASIGNATURAS!$B$2:$J$61,9,FALSE()),""))</f>
      </c>
    </row>
    <row r="18060">
      <c r="E18060">
        <f>IF(DATOS!$I18060="","",IFERROR(VLOOKUP(DATOS!$I18060,CONFIG_ASIGNATURAS!$B$2:$J$61,9,FALSE()),""))</f>
      </c>
    </row>
    <row r="18061">
      <c r="E18061">
        <f>IF(DATOS!$I18061="","",IFERROR(VLOOKUP(DATOS!$I18061,CONFIG_ASIGNATURAS!$B$2:$J$61,9,FALSE()),""))</f>
      </c>
    </row>
    <row r="18062">
      <c r="E18062">
        <f>IF(DATOS!$I18062="","",IFERROR(VLOOKUP(DATOS!$I18062,CONFIG_ASIGNATURAS!$B$2:$J$61,9,FALSE()),""))</f>
      </c>
    </row>
    <row r="18063">
      <c r="E18063">
        <f>IF(DATOS!$I18063="","",IFERROR(VLOOKUP(DATOS!$I18063,CONFIG_ASIGNATURAS!$B$2:$J$61,9,FALSE()),""))</f>
      </c>
    </row>
    <row r="18064">
      <c r="E18064">
        <f>IF(DATOS!$I18064="","",IFERROR(VLOOKUP(DATOS!$I18064,CONFIG_ASIGNATURAS!$B$2:$J$61,9,FALSE()),""))</f>
      </c>
    </row>
    <row r="18065">
      <c r="E18065">
        <f>IF(DATOS!$I18065="","",IFERROR(VLOOKUP(DATOS!$I18065,CONFIG_ASIGNATURAS!$B$2:$J$61,9,FALSE()),""))</f>
      </c>
    </row>
    <row r="18066">
      <c r="E18066">
        <f>IF(DATOS!$I18066="","",IFERROR(VLOOKUP(DATOS!$I18066,CONFIG_ASIGNATURAS!$B$2:$J$61,9,FALSE()),""))</f>
      </c>
    </row>
    <row r="18067">
      <c r="E18067">
        <f>IF(DATOS!$I18067="","",IFERROR(VLOOKUP(DATOS!$I18067,CONFIG_ASIGNATURAS!$B$2:$J$61,9,FALSE()),""))</f>
      </c>
    </row>
    <row r="18068">
      <c r="E18068">
        <f>IF(DATOS!$I18068="","",IFERROR(VLOOKUP(DATOS!$I18068,CONFIG_ASIGNATURAS!$B$2:$J$61,9,FALSE()),""))</f>
      </c>
    </row>
    <row r="18069">
      <c r="E18069">
        <f>IF(DATOS!$I18069="","",IFERROR(VLOOKUP(DATOS!$I18069,CONFIG_ASIGNATURAS!$B$2:$J$61,9,FALSE()),""))</f>
      </c>
    </row>
    <row r="18070">
      <c r="E18070">
        <f>IF(DATOS!$I18070="","",IFERROR(VLOOKUP(DATOS!$I18070,CONFIG_ASIGNATURAS!$B$2:$J$61,9,FALSE()),""))</f>
      </c>
    </row>
    <row r="18071">
      <c r="E18071">
        <f>IF(DATOS!$I18071="","",IFERROR(VLOOKUP(DATOS!$I18071,CONFIG_ASIGNATURAS!$B$2:$J$61,9,FALSE()),""))</f>
      </c>
    </row>
    <row r="18072">
      <c r="E18072">
        <f>IF(DATOS!$I18072="","",IFERROR(VLOOKUP(DATOS!$I18072,CONFIG_ASIGNATURAS!$B$2:$J$61,9,FALSE()),""))</f>
      </c>
    </row>
    <row r="18073">
      <c r="E18073">
        <f>IF(DATOS!$I18073="","",IFERROR(VLOOKUP(DATOS!$I18073,CONFIG_ASIGNATURAS!$B$2:$J$61,9,FALSE()),""))</f>
      </c>
    </row>
    <row r="18074">
      <c r="E18074">
        <f>IF(DATOS!$I18074="","",IFERROR(VLOOKUP(DATOS!$I18074,CONFIG_ASIGNATURAS!$B$2:$J$61,9,FALSE()),""))</f>
      </c>
    </row>
    <row r="18075">
      <c r="E18075">
        <f>IF(DATOS!$I18075="","",IFERROR(VLOOKUP(DATOS!$I18075,CONFIG_ASIGNATURAS!$B$2:$J$61,9,FALSE()),""))</f>
      </c>
    </row>
    <row r="18076">
      <c r="E18076">
        <f>IF(DATOS!$I18076="","",IFERROR(VLOOKUP(DATOS!$I18076,CONFIG_ASIGNATURAS!$B$2:$J$61,9,FALSE()),""))</f>
      </c>
    </row>
    <row r="18077">
      <c r="E18077">
        <f>IF(DATOS!$I18077="","",IFERROR(VLOOKUP(DATOS!$I18077,CONFIG_ASIGNATURAS!$B$2:$J$61,9,FALSE()),""))</f>
      </c>
    </row>
    <row r="18078">
      <c r="E18078">
        <f>IF(DATOS!$I18078="","",IFERROR(VLOOKUP(DATOS!$I18078,CONFIG_ASIGNATURAS!$B$2:$J$61,9,FALSE()),""))</f>
      </c>
    </row>
    <row r="18079">
      <c r="E18079">
        <f>IF(DATOS!$I18079="","",IFERROR(VLOOKUP(DATOS!$I18079,CONFIG_ASIGNATURAS!$B$2:$J$61,9,FALSE()),""))</f>
      </c>
    </row>
    <row r="18080">
      <c r="E18080">
        <f>IF(DATOS!$I18080="","",IFERROR(VLOOKUP(DATOS!$I18080,CONFIG_ASIGNATURAS!$B$2:$J$61,9,FALSE()),""))</f>
      </c>
    </row>
    <row r="18081">
      <c r="E18081">
        <f>IF(DATOS!$I18081="","",IFERROR(VLOOKUP(DATOS!$I18081,CONFIG_ASIGNATURAS!$B$2:$J$61,9,FALSE()),""))</f>
      </c>
    </row>
    <row r="18082">
      <c r="E18082">
        <f>IF(DATOS!$I18082="","",IFERROR(VLOOKUP(DATOS!$I18082,CONFIG_ASIGNATURAS!$B$2:$J$61,9,FALSE()),""))</f>
      </c>
    </row>
    <row r="18083">
      <c r="E18083">
        <f>IF(DATOS!$I18083="","",IFERROR(VLOOKUP(DATOS!$I18083,CONFIG_ASIGNATURAS!$B$2:$J$61,9,FALSE()),""))</f>
      </c>
    </row>
    <row r="18084">
      <c r="E18084">
        <f>IF(DATOS!$I18084="","",IFERROR(VLOOKUP(DATOS!$I18084,CONFIG_ASIGNATURAS!$B$2:$J$61,9,FALSE()),""))</f>
      </c>
    </row>
    <row r="18085">
      <c r="E18085">
        <f>IF(DATOS!$I18085="","",IFERROR(VLOOKUP(DATOS!$I18085,CONFIG_ASIGNATURAS!$B$2:$J$61,9,FALSE()),""))</f>
      </c>
    </row>
    <row r="18086">
      <c r="E18086">
        <f>IF(DATOS!$I18086="","",IFERROR(VLOOKUP(DATOS!$I18086,CONFIG_ASIGNATURAS!$B$2:$J$61,9,FALSE()),""))</f>
      </c>
    </row>
    <row r="18087">
      <c r="E18087">
        <f>IF(DATOS!$I18087="","",IFERROR(VLOOKUP(DATOS!$I18087,CONFIG_ASIGNATURAS!$B$2:$J$61,9,FALSE()),""))</f>
      </c>
    </row>
    <row r="18088">
      <c r="E18088">
        <f>IF(DATOS!$I18088="","",IFERROR(VLOOKUP(DATOS!$I18088,CONFIG_ASIGNATURAS!$B$2:$J$61,9,FALSE()),""))</f>
      </c>
    </row>
    <row r="18089">
      <c r="E18089">
        <f>IF(DATOS!$I18089="","",IFERROR(VLOOKUP(DATOS!$I18089,CONFIG_ASIGNATURAS!$B$2:$J$61,9,FALSE()),""))</f>
      </c>
    </row>
    <row r="18090">
      <c r="E18090">
        <f>IF(DATOS!$I18090="","",IFERROR(VLOOKUP(DATOS!$I18090,CONFIG_ASIGNATURAS!$B$2:$J$61,9,FALSE()),""))</f>
      </c>
    </row>
    <row r="18091">
      <c r="E18091">
        <f>IF(DATOS!$I18091="","",IFERROR(VLOOKUP(DATOS!$I18091,CONFIG_ASIGNATURAS!$B$2:$J$61,9,FALSE()),""))</f>
      </c>
    </row>
    <row r="18092">
      <c r="E18092">
        <f>IF(DATOS!$I18092="","",IFERROR(VLOOKUP(DATOS!$I18092,CONFIG_ASIGNATURAS!$B$2:$J$61,9,FALSE()),""))</f>
      </c>
    </row>
    <row r="18093">
      <c r="E18093">
        <f>IF(DATOS!$I18093="","",IFERROR(VLOOKUP(DATOS!$I18093,CONFIG_ASIGNATURAS!$B$2:$J$61,9,FALSE()),""))</f>
      </c>
    </row>
    <row r="18094">
      <c r="E18094">
        <f>IF(DATOS!$I18094="","",IFERROR(VLOOKUP(DATOS!$I18094,CONFIG_ASIGNATURAS!$B$2:$J$61,9,FALSE()),""))</f>
      </c>
    </row>
    <row r="18095">
      <c r="E18095">
        <f>IF(DATOS!$I18095="","",IFERROR(VLOOKUP(DATOS!$I18095,CONFIG_ASIGNATURAS!$B$2:$J$61,9,FALSE()),""))</f>
      </c>
    </row>
    <row r="18096">
      <c r="E18096">
        <f>IF(DATOS!$I18096="","",IFERROR(VLOOKUP(DATOS!$I18096,CONFIG_ASIGNATURAS!$B$2:$J$61,9,FALSE()),""))</f>
      </c>
    </row>
    <row r="18097">
      <c r="E18097">
        <f>IF(DATOS!$I18097="","",IFERROR(VLOOKUP(DATOS!$I18097,CONFIG_ASIGNATURAS!$B$2:$J$61,9,FALSE()),""))</f>
      </c>
    </row>
    <row r="18098">
      <c r="E18098">
        <f>IF(DATOS!$I18098="","",IFERROR(VLOOKUP(DATOS!$I18098,CONFIG_ASIGNATURAS!$B$2:$J$61,9,FALSE()),""))</f>
      </c>
    </row>
    <row r="18099">
      <c r="E18099">
        <f>IF(DATOS!$I18099="","",IFERROR(VLOOKUP(DATOS!$I18099,CONFIG_ASIGNATURAS!$B$2:$J$61,9,FALSE()),""))</f>
      </c>
    </row>
    <row r="18100">
      <c r="E18100">
        <f>IF(DATOS!$I18100="","",IFERROR(VLOOKUP(DATOS!$I18100,CONFIG_ASIGNATURAS!$B$2:$J$61,9,FALSE()),""))</f>
      </c>
    </row>
    <row r="18101">
      <c r="E18101">
        <f>IF(DATOS!$I18101="","",IFERROR(VLOOKUP(DATOS!$I18101,CONFIG_ASIGNATURAS!$B$2:$J$61,9,FALSE()),""))</f>
      </c>
    </row>
    <row r="18102">
      <c r="E18102">
        <f>IF(DATOS!$I18102="","",IFERROR(VLOOKUP(DATOS!$I18102,CONFIG_ASIGNATURAS!$B$2:$J$61,9,FALSE()),""))</f>
      </c>
    </row>
    <row r="18103">
      <c r="E18103">
        <f>IF(DATOS!$I18103="","",IFERROR(VLOOKUP(DATOS!$I18103,CONFIG_ASIGNATURAS!$B$2:$J$61,9,FALSE()),""))</f>
      </c>
    </row>
    <row r="18104">
      <c r="E18104">
        <f>IF(DATOS!$I18104="","",IFERROR(VLOOKUP(DATOS!$I18104,CONFIG_ASIGNATURAS!$B$2:$J$61,9,FALSE()),""))</f>
      </c>
    </row>
    <row r="18105">
      <c r="E18105">
        <f>IF(DATOS!$I18105="","",IFERROR(VLOOKUP(DATOS!$I18105,CONFIG_ASIGNATURAS!$B$2:$J$61,9,FALSE()),""))</f>
      </c>
    </row>
    <row r="18106">
      <c r="E18106">
        <f>IF(DATOS!$I18106="","",IFERROR(VLOOKUP(DATOS!$I18106,CONFIG_ASIGNATURAS!$B$2:$J$61,9,FALSE()),""))</f>
      </c>
    </row>
    <row r="18107">
      <c r="E18107">
        <f>IF(DATOS!$I18107="","",IFERROR(VLOOKUP(DATOS!$I18107,CONFIG_ASIGNATURAS!$B$2:$J$61,9,FALSE()),""))</f>
      </c>
    </row>
    <row r="18108">
      <c r="E18108">
        <f>IF(DATOS!$I18108="","",IFERROR(VLOOKUP(DATOS!$I18108,CONFIG_ASIGNATURAS!$B$2:$J$61,9,FALSE()),""))</f>
      </c>
    </row>
    <row r="18109">
      <c r="E18109">
        <f>IF(DATOS!$I18109="","",IFERROR(VLOOKUP(DATOS!$I18109,CONFIG_ASIGNATURAS!$B$2:$J$61,9,FALSE()),""))</f>
      </c>
    </row>
    <row r="18110">
      <c r="E18110">
        <f>IF(DATOS!$I18110="","",IFERROR(VLOOKUP(DATOS!$I18110,CONFIG_ASIGNATURAS!$B$2:$J$61,9,FALSE()),""))</f>
      </c>
    </row>
    <row r="18111">
      <c r="E18111">
        <f>IF(DATOS!$I18111="","",IFERROR(VLOOKUP(DATOS!$I18111,CONFIG_ASIGNATURAS!$B$2:$J$61,9,FALSE()),""))</f>
      </c>
    </row>
    <row r="18112">
      <c r="E18112">
        <f>IF(DATOS!$I18112="","",IFERROR(VLOOKUP(DATOS!$I18112,CONFIG_ASIGNATURAS!$B$2:$J$61,9,FALSE()),""))</f>
      </c>
    </row>
    <row r="18113">
      <c r="E18113">
        <f>IF(DATOS!$I18113="","",IFERROR(VLOOKUP(DATOS!$I18113,CONFIG_ASIGNATURAS!$B$2:$J$61,9,FALSE()),""))</f>
      </c>
    </row>
    <row r="18114">
      <c r="E18114">
        <f>IF(DATOS!$I18114="","",IFERROR(VLOOKUP(DATOS!$I18114,CONFIG_ASIGNATURAS!$B$2:$J$61,9,FALSE()),""))</f>
      </c>
    </row>
    <row r="18115">
      <c r="E18115">
        <f>IF(DATOS!$I18115="","",IFERROR(VLOOKUP(DATOS!$I18115,CONFIG_ASIGNATURAS!$B$2:$J$61,9,FALSE()),""))</f>
      </c>
    </row>
    <row r="18116">
      <c r="E18116">
        <f>IF(DATOS!$I18116="","",IFERROR(VLOOKUP(DATOS!$I18116,CONFIG_ASIGNATURAS!$B$2:$J$61,9,FALSE()),""))</f>
      </c>
    </row>
    <row r="18117">
      <c r="E18117">
        <f>IF(DATOS!$I18117="","",IFERROR(VLOOKUP(DATOS!$I18117,CONFIG_ASIGNATURAS!$B$2:$J$61,9,FALSE()),""))</f>
      </c>
    </row>
    <row r="18118">
      <c r="E18118">
        <f>IF(DATOS!$I18118="","",IFERROR(VLOOKUP(DATOS!$I18118,CONFIG_ASIGNATURAS!$B$2:$J$61,9,FALSE()),""))</f>
      </c>
    </row>
    <row r="18119">
      <c r="E18119">
        <f>IF(DATOS!$I18119="","",IFERROR(VLOOKUP(DATOS!$I18119,CONFIG_ASIGNATURAS!$B$2:$J$61,9,FALSE()),""))</f>
      </c>
    </row>
    <row r="18120">
      <c r="E18120">
        <f>IF(DATOS!$I18120="","",IFERROR(VLOOKUP(DATOS!$I18120,CONFIG_ASIGNATURAS!$B$2:$J$61,9,FALSE()),""))</f>
      </c>
    </row>
    <row r="18121">
      <c r="E18121">
        <f>IF(DATOS!$I18121="","",IFERROR(VLOOKUP(DATOS!$I18121,CONFIG_ASIGNATURAS!$B$2:$J$61,9,FALSE()),""))</f>
      </c>
    </row>
    <row r="18122">
      <c r="E18122">
        <f>IF(DATOS!$I18122="","",IFERROR(VLOOKUP(DATOS!$I18122,CONFIG_ASIGNATURAS!$B$2:$J$61,9,FALSE()),""))</f>
      </c>
    </row>
    <row r="18123">
      <c r="E18123">
        <f>IF(DATOS!$I18123="","",IFERROR(VLOOKUP(DATOS!$I18123,CONFIG_ASIGNATURAS!$B$2:$J$61,9,FALSE()),""))</f>
      </c>
    </row>
    <row r="18124">
      <c r="E18124">
        <f>IF(DATOS!$I18124="","",IFERROR(VLOOKUP(DATOS!$I18124,CONFIG_ASIGNATURAS!$B$2:$J$61,9,FALSE()),""))</f>
      </c>
    </row>
    <row r="18125">
      <c r="E18125">
        <f>IF(DATOS!$I18125="","",IFERROR(VLOOKUP(DATOS!$I18125,CONFIG_ASIGNATURAS!$B$2:$J$61,9,FALSE()),""))</f>
      </c>
    </row>
    <row r="18126">
      <c r="E18126">
        <f>IF(DATOS!$I18126="","",IFERROR(VLOOKUP(DATOS!$I18126,CONFIG_ASIGNATURAS!$B$2:$J$61,9,FALSE()),""))</f>
      </c>
    </row>
    <row r="18127">
      <c r="E18127">
        <f>IF(DATOS!$I18127="","",IFERROR(VLOOKUP(DATOS!$I18127,CONFIG_ASIGNATURAS!$B$2:$J$61,9,FALSE()),""))</f>
      </c>
    </row>
    <row r="18128">
      <c r="E18128">
        <f>IF(DATOS!$I18128="","",IFERROR(VLOOKUP(DATOS!$I18128,CONFIG_ASIGNATURAS!$B$2:$J$61,9,FALSE()),""))</f>
      </c>
    </row>
    <row r="18129">
      <c r="E18129">
        <f>IF(DATOS!$I18129="","",IFERROR(VLOOKUP(DATOS!$I18129,CONFIG_ASIGNATURAS!$B$2:$J$61,9,FALSE()),""))</f>
      </c>
    </row>
    <row r="18130">
      <c r="E18130">
        <f>IF(DATOS!$I18130="","",IFERROR(VLOOKUP(DATOS!$I18130,CONFIG_ASIGNATURAS!$B$2:$J$61,9,FALSE()),""))</f>
      </c>
    </row>
    <row r="18131">
      <c r="E18131">
        <f>IF(DATOS!$I18131="","",IFERROR(VLOOKUP(DATOS!$I18131,CONFIG_ASIGNATURAS!$B$2:$J$61,9,FALSE()),""))</f>
      </c>
    </row>
    <row r="18132">
      <c r="E18132">
        <f>IF(DATOS!$I18132="","",IFERROR(VLOOKUP(DATOS!$I18132,CONFIG_ASIGNATURAS!$B$2:$J$61,9,FALSE()),""))</f>
      </c>
    </row>
    <row r="18133">
      <c r="E18133">
        <f>IF(DATOS!$I18133="","",IFERROR(VLOOKUP(DATOS!$I18133,CONFIG_ASIGNATURAS!$B$2:$J$61,9,FALSE()),""))</f>
      </c>
    </row>
    <row r="18134">
      <c r="E18134">
        <f>IF(DATOS!$I18134="","",IFERROR(VLOOKUP(DATOS!$I18134,CONFIG_ASIGNATURAS!$B$2:$J$61,9,FALSE()),""))</f>
      </c>
    </row>
    <row r="18135">
      <c r="E18135">
        <f>IF(DATOS!$I18135="","",IFERROR(VLOOKUP(DATOS!$I18135,CONFIG_ASIGNATURAS!$B$2:$J$61,9,FALSE()),""))</f>
      </c>
    </row>
    <row r="18136">
      <c r="E18136">
        <f>IF(DATOS!$I18136="","",IFERROR(VLOOKUP(DATOS!$I18136,CONFIG_ASIGNATURAS!$B$2:$J$61,9,FALSE()),""))</f>
      </c>
    </row>
    <row r="18137">
      <c r="E18137">
        <f>IF(DATOS!$I18137="","",IFERROR(VLOOKUP(DATOS!$I18137,CONFIG_ASIGNATURAS!$B$2:$J$61,9,FALSE()),""))</f>
      </c>
    </row>
    <row r="18138">
      <c r="E18138">
        <f>IF(DATOS!$I18138="","",IFERROR(VLOOKUP(DATOS!$I18138,CONFIG_ASIGNATURAS!$B$2:$J$61,9,FALSE()),""))</f>
      </c>
    </row>
    <row r="18139">
      <c r="E18139">
        <f>IF(DATOS!$I18139="","",IFERROR(VLOOKUP(DATOS!$I18139,CONFIG_ASIGNATURAS!$B$2:$J$61,9,FALSE()),""))</f>
      </c>
    </row>
    <row r="18140">
      <c r="E18140">
        <f>IF(DATOS!$I18140="","",IFERROR(VLOOKUP(DATOS!$I18140,CONFIG_ASIGNATURAS!$B$2:$J$61,9,FALSE()),""))</f>
      </c>
    </row>
    <row r="18141">
      <c r="E18141">
        <f>IF(DATOS!$I18141="","",IFERROR(VLOOKUP(DATOS!$I18141,CONFIG_ASIGNATURAS!$B$2:$J$61,9,FALSE()),""))</f>
      </c>
    </row>
    <row r="18142">
      <c r="E18142">
        <f>IF(DATOS!$I18142="","",IFERROR(VLOOKUP(DATOS!$I18142,CONFIG_ASIGNATURAS!$B$2:$J$61,9,FALSE()),""))</f>
      </c>
    </row>
    <row r="18143">
      <c r="E18143">
        <f>IF(DATOS!$I18143="","",IFERROR(VLOOKUP(DATOS!$I18143,CONFIG_ASIGNATURAS!$B$2:$J$61,9,FALSE()),""))</f>
      </c>
    </row>
    <row r="18144">
      <c r="E18144">
        <f>IF(DATOS!$I18144="","",IFERROR(VLOOKUP(DATOS!$I18144,CONFIG_ASIGNATURAS!$B$2:$J$61,9,FALSE()),""))</f>
      </c>
    </row>
    <row r="18145">
      <c r="E18145">
        <f>IF(DATOS!$I18145="","",IFERROR(VLOOKUP(DATOS!$I18145,CONFIG_ASIGNATURAS!$B$2:$J$61,9,FALSE()),""))</f>
      </c>
    </row>
    <row r="18146">
      <c r="E18146">
        <f>IF(DATOS!$I18146="","",IFERROR(VLOOKUP(DATOS!$I18146,CONFIG_ASIGNATURAS!$B$2:$J$61,9,FALSE()),""))</f>
      </c>
    </row>
    <row r="18147">
      <c r="E18147">
        <f>IF(DATOS!$I18147="","",IFERROR(VLOOKUP(DATOS!$I18147,CONFIG_ASIGNATURAS!$B$2:$J$61,9,FALSE()),""))</f>
      </c>
    </row>
    <row r="18148">
      <c r="E18148">
        <f>IF(DATOS!$I18148="","",IFERROR(VLOOKUP(DATOS!$I18148,CONFIG_ASIGNATURAS!$B$2:$J$61,9,FALSE()),""))</f>
      </c>
    </row>
    <row r="18149">
      <c r="E18149">
        <f>IF(DATOS!$I18149="","",IFERROR(VLOOKUP(DATOS!$I18149,CONFIG_ASIGNATURAS!$B$2:$J$61,9,FALSE()),""))</f>
      </c>
    </row>
    <row r="18150">
      <c r="E18150">
        <f>IF(DATOS!$I18150="","",IFERROR(VLOOKUP(DATOS!$I18150,CONFIG_ASIGNATURAS!$B$2:$J$61,9,FALSE()),""))</f>
      </c>
    </row>
    <row r="18151">
      <c r="E18151">
        <f>IF(DATOS!$I18151="","",IFERROR(VLOOKUP(DATOS!$I18151,CONFIG_ASIGNATURAS!$B$2:$J$61,9,FALSE()),""))</f>
      </c>
    </row>
    <row r="18152">
      <c r="E18152">
        <f>IF(DATOS!$I18152="","",IFERROR(VLOOKUP(DATOS!$I18152,CONFIG_ASIGNATURAS!$B$2:$J$61,9,FALSE()),""))</f>
      </c>
    </row>
    <row r="18153">
      <c r="E18153">
        <f>IF(DATOS!$I18153="","",IFERROR(VLOOKUP(DATOS!$I18153,CONFIG_ASIGNATURAS!$B$2:$J$61,9,FALSE()),""))</f>
      </c>
    </row>
    <row r="18154">
      <c r="E18154">
        <f>IF(DATOS!$I18154="","",IFERROR(VLOOKUP(DATOS!$I18154,CONFIG_ASIGNATURAS!$B$2:$J$61,9,FALSE()),""))</f>
      </c>
    </row>
    <row r="18155">
      <c r="E18155">
        <f>IF(DATOS!$I18155="","",IFERROR(VLOOKUP(DATOS!$I18155,CONFIG_ASIGNATURAS!$B$2:$J$61,9,FALSE()),""))</f>
      </c>
    </row>
    <row r="18156">
      <c r="E18156">
        <f>IF(DATOS!$I18156="","",IFERROR(VLOOKUP(DATOS!$I18156,CONFIG_ASIGNATURAS!$B$2:$J$61,9,FALSE()),""))</f>
      </c>
    </row>
    <row r="18157">
      <c r="E18157">
        <f>IF(DATOS!$I18157="","",IFERROR(VLOOKUP(DATOS!$I18157,CONFIG_ASIGNATURAS!$B$2:$J$61,9,FALSE()),""))</f>
      </c>
    </row>
    <row r="18158">
      <c r="E18158">
        <f>IF(DATOS!$I18158="","",IFERROR(VLOOKUP(DATOS!$I18158,CONFIG_ASIGNATURAS!$B$2:$J$61,9,FALSE()),""))</f>
      </c>
    </row>
    <row r="18159">
      <c r="E18159">
        <f>IF(DATOS!$I18159="","",IFERROR(VLOOKUP(DATOS!$I18159,CONFIG_ASIGNATURAS!$B$2:$J$61,9,FALSE()),""))</f>
      </c>
    </row>
    <row r="18160">
      <c r="E18160">
        <f>IF(DATOS!$I18160="","",IFERROR(VLOOKUP(DATOS!$I18160,CONFIG_ASIGNATURAS!$B$2:$J$61,9,FALSE()),""))</f>
      </c>
    </row>
    <row r="18161">
      <c r="E18161">
        <f>IF(DATOS!$I18161="","",IFERROR(VLOOKUP(DATOS!$I18161,CONFIG_ASIGNATURAS!$B$2:$J$61,9,FALSE()),""))</f>
      </c>
    </row>
    <row r="18162">
      <c r="E18162">
        <f>IF(DATOS!$I18162="","",IFERROR(VLOOKUP(DATOS!$I18162,CONFIG_ASIGNATURAS!$B$2:$J$61,9,FALSE()),""))</f>
      </c>
    </row>
    <row r="18163">
      <c r="E18163">
        <f>IF(DATOS!$I18163="","",IFERROR(VLOOKUP(DATOS!$I18163,CONFIG_ASIGNATURAS!$B$2:$J$61,9,FALSE()),""))</f>
      </c>
    </row>
    <row r="18164">
      <c r="E18164">
        <f>IF(DATOS!$I18164="","",IFERROR(VLOOKUP(DATOS!$I18164,CONFIG_ASIGNATURAS!$B$2:$J$61,9,FALSE()),""))</f>
      </c>
    </row>
    <row r="18165">
      <c r="E18165">
        <f>IF(DATOS!$I18165="","",IFERROR(VLOOKUP(DATOS!$I18165,CONFIG_ASIGNATURAS!$B$2:$J$61,9,FALSE()),""))</f>
      </c>
    </row>
    <row r="18166">
      <c r="E18166">
        <f>IF(DATOS!$I18166="","",IFERROR(VLOOKUP(DATOS!$I18166,CONFIG_ASIGNATURAS!$B$2:$J$61,9,FALSE()),""))</f>
      </c>
    </row>
    <row r="18167">
      <c r="E18167">
        <f>IF(DATOS!$I18167="","",IFERROR(VLOOKUP(DATOS!$I18167,CONFIG_ASIGNATURAS!$B$2:$J$61,9,FALSE()),""))</f>
      </c>
    </row>
    <row r="18168">
      <c r="E18168">
        <f>IF(DATOS!$I18168="","",IFERROR(VLOOKUP(DATOS!$I18168,CONFIG_ASIGNATURAS!$B$2:$J$61,9,FALSE()),""))</f>
      </c>
    </row>
    <row r="18169">
      <c r="E18169">
        <f>IF(DATOS!$I18169="","",IFERROR(VLOOKUP(DATOS!$I18169,CONFIG_ASIGNATURAS!$B$2:$J$61,9,FALSE()),""))</f>
      </c>
    </row>
    <row r="18170">
      <c r="E18170">
        <f>IF(DATOS!$I18170="","",IFERROR(VLOOKUP(DATOS!$I18170,CONFIG_ASIGNATURAS!$B$2:$J$61,9,FALSE()),""))</f>
      </c>
    </row>
    <row r="18171">
      <c r="E18171">
        <f>IF(DATOS!$I18171="","",IFERROR(VLOOKUP(DATOS!$I18171,CONFIG_ASIGNATURAS!$B$2:$J$61,9,FALSE()),""))</f>
      </c>
    </row>
    <row r="18172">
      <c r="E18172">
        <f>IF(DATOS!$I18172="","",IFERROR(VLOOKUP(DATOS!$I18172,CONFIG_ASIGNATURAS!$B$2:$J$61,9,FALSE()),""))</f>
      </c>
    </row>
    <row r="18173">
      <c r="E18173">
        <f>IF(DATOS!$I18173="","",IFERROR(VLOOKUP(DATOS!$I18173,CONFIG_ASIGNATURAS!$B$2:$J$61,9,FALSE()),""))</f>
      </c>
    </row>
    <row r="18174">
      <c r="E18174">
        <f>IF(DATOS!$I18174="","",IFERROR(VLOOKUP(DATOS!$I18174,CONFIG_ASIGNATURAS!$B$2:$J$61,9,FALSE()),""))</f>
      </c>
    </row>
    <row r="18175">
      <c r="E18175">
        <f>IF(DATOS!$I18175="","",IFERROR(VLOOKUP(DATOS!$I18175,CONFIG_ASIGNATURAS!$B$2:$J$61,9,FALSE()),""))</f>
      </c>
    </row>
    <row r="18176">
      <c r="E18176">
        <f>IF(DATOS!$I18176="","",IFERROR(VLOOKUP(DATOS!$I18176,CONFIG_ASIGNATURAS!$B$2:$J$61,9,FALSE()),""))</f>
      </c>
    </row>
    <row r="18177">
      <c r="E18177">
        <f>IF(DATOS!$I18177="","",IFERROR(VLOOKUP(DATOS!$I18177,CONFIG_ASIGNATURAS!$B$2:$J$61,9,FALSE()),""))</f>
      </c>
    </row>
    <row r="18178">
      <c r="E18178">
        <f>IF(DATOS!$I18178="","",IFERROR(VLOOKUP(DATOS!$I18178,CONFIG_ASIGNATURAS!$B$2:$J$61,9,FALSE()),""))</f>
      </c>
    </row>
    <row r="18179">
      <c r="E18179">
        <f>IF(DATOS!$I18179="","",IFERROR(VLOOKUP(DATOS!$I18179,CONFIG_ASIGNATURAS!$B$2:$J$61,9,FALSE()),""))</f>
      </c>
    </row>
    <row r="18180">
      <c r="E18180">
        <f>IF(DATOS!$I18180="","",IFERROR(VLOOKUP(DATOS!$I18180,CONFIG_ASIGNATURAS!$B$2:$J$61,9,FALSE()),""))</f>
      </c>
    </row>
    <row r="18181">
      <c r="E18181">
        <f>IF(DATOS!$I18181="","",IFERROR(VLOOKUP(DATOS!$I18181,CONFIG_ASIGNATURAS!$B$2:$J$61,9,FALSE()),""))</f>
      </c>
    </row>
    <row r="18182">
      <c r="E18182">
        <f>IF(DATOS!$I18182="","",IFERROR(VLOOKUP(DATOS!$I18182,CONFIG_ASIGNATURAS!$B$2:$J$61,9,FALSE()),""))</f>
      </c>
    </row>
    <row r="18183">
      <c r="E18183">
        <f>IF(DATOS!$I18183="","",IFERROR(VLOOKUP(DATOS!$I18183,CONFIG_ASIGNATURAS!$B$2:$J$61,9,FALSE()),""))</f>
      </c>
    </row>
    <row r="18184">
      <c r="E18184">
        <f>IF(DATOS!$I18184="","",IFERROR(VLOOKUP(DATOS!$I18184,CONFIG_ASIGNATURAS!$B$2:$J$61,9,FALSE()),""))</f>
      </c>
    </row>
    <row r="18185">
      <c r="E18185">
        <f>IF(DATOS!$I18185="","",IFERROR(VLOOKUP(DATOS!$I18185,CONFIG_ASIGNATURAS!$B$2:$J$61,9,FALSE()),""))</f>
      </c>
    </row>
    <row r="18186">
      <c r="E18186">
        <f>IF(DATOS!$I18186="","",IFERROR(VLOOKUP(DATOS!$I18186,CONFIG_ASIGNATURAS!$B$2:$J$61,9,FALSE()),""))</f>
      </c>
    </row>
    <row r="18187">
      <c r="E18187">
        <f>IF(DATOS!$I18187="","",IFERROR(VLOOKUP(DATOS!$I18187,CONFIG_ASIGNATURAS!$B$2:$J$61,9,FALSE()),""))</f>
      </c>
    </row>
    <row r="18188">
      <c r="E18188">
        <f>IF(DATOS!$I18188="","",IFERROR(VLOOKUP(DATOS!$I18188,CONFIG_ASIGNATURAS!$B$2:$J$61,9,FALSE()),""))</f>
      </c>
    </row>
    <row r="18189">
      <c r="E18189">
        <f>IF(DATOS!$I18189="","",IFERROR(VLOOKUP(DATOS!$I18189,CONFIG_ASIGNATURAS!$B$2:$J$61,9,FALSE()),""))</f>
      </c>
    </row>
    <row r="18190">
      <c r="E18190">
        <f>IF(DATOS!$I18190="","",IFERROR(VLOOKUP(DATOS!$I18190,CONFIG_ASIGNATURAS!$B$2:$J$61,9,FALSE()),""))</f>
      </c>
    </row>
    <row r="18191">
      <c r="E18191">
        <f>IF(DATOS!$I18191="","",IFERROR(VLOOKUP(DATOS!$I18191,CONFIG_ASIGNATURAS!$B$2:$J$61,9,FALSE()),""))</f>
      </c>
    </row>
    <row r="18192">
      <c r="E18192">
        <f>IF(DATOS!$I18192="","",IFERROR(VLOOKUP(DATOS!$I18192,CONFIG_ASIGNATURAS!$B$2:$J$61,9,FALSE()),""))</f>
      </c>
    </row>
    <row r="18193">
      <c r="E18193">
        <f>IF(DATOS!$I18193="","",IFERROR(VLOOKUP(DATOS!$I18193,CONFIG_ASIGNATURAS!$B$2:$J$61,9,FALSE()),""))</f>
      </c>
    </row>
    <row r="18194">
      <c r="E18194">
        <f>IF(DATOS!$I18194="","",IFERROR(VLOOKUP(DATOS!$I18194,CONFIG_ASIGNATURAS!$B$2:$J$61,9,FALSE()),""))</f>
      </c>
    </row>
    <row r="18195">
      <c r="E18195">
        <f>IF(DATOS!$I18195="","",IFERROR(VLOOKUP(DATOS!$I18195,CONFIG_ASIGNATURAS!$B$2:$J$61,9,FALSE()),""))</f>
      </c>
    </row>
    <row r="18196">
      <c r="E18196">
        <f>IF(DATOS!$I18196="","",IFERROR(VLOOKUP(DATOS!$I18196,CONFIG_ASIGNATURAS!$B$2:$J$61,9,FALSE()),""))</f>
      </c>
    </row>
    <row r="18197">
      <c r="E18197">
        <f>IF(DATOS!$I18197="","",IFERROR(VLOOKUP(DATOS!$I18197,CONFIG_ASIGNATURAS!$B$2:$J$61,9,FALSE()),""))</f>
      </c>
    </row>
    <row r="18198">
      <c r="E18198">
        <f>IF(DATOS!$I18198="","",IFERROR(VLOOKUP(DATOS!$I18198,CONFIG_ASIGNATURAS!$B$2:$J$61,9,FALSE()),""))</f>
      </c>
    </row>
    <row r="18199">
      <c r="E18199">
        <f>IF(DATOS!$I18199="","",IFERROR(VLOOKUP(DATOS!$I18199,CONFIG_ASIGNATURAS!$B$2:$J$61,9,FALSE()),""))</f>
      </c>
    </row>
    <row r="18200">
      <c r="E18200">
        <f>IF(DATOS!$I18200="","",IFERROR(VLOOKUP(DATOS!$I18200,CONFIG_ASIGNATURAS!$B$2:$J$61,9,FALSE()),""))</f>
      </c>
    </row>
    <row r="18201">
      <c r="E18201">
        <f>IF(DATOS!$I18201="","",IFERROR(VLOOKUP(DATOS!$I18201,CONFIG_ASIGNATURAS!$B$2:$J$61,9,FALSE()),""))</f>
      </c>
    </row>
    <row r="18202">
      <c r="E18202">
        <f>IF(DATOS!$I18202="","",IFERROR(VLOOKUP(DATOS!$I18202,CONFIG_ASIGNATURAS!$B$2:$J$61,9,FALSE()),""))</f>
      </c>
    </row>
    <row r="18203">
      <c r="E18203">
        <f>IF(DATOS!$I18203="","",IFERROR(VLOOKUP(DATOS!$I18203,CONFIG_ASIGNATURAS!$B$2:$J$61,9,FALSE()),""))</f>
      </c>
    </row>
    <row r="18204">
      <c r="E18204">
        <f>IF(DATOS!$I18204="","",IFERROR(VLOOKUP(DATOS!$I18204,CONFIG_ASIGNATURAS!$B$2:$J$61,9,FALSE()),""))</f>
      </c>
    </row>
    <row r="18205">
      <c r="E18205">
        <f>IF(DATOS!$I18205="","",IFERROR(VLOOKUP(DATOS!$I18205,CONFIG_ASIGNATURAS!$B$2:$J$61,9,FALSE()),""))</f>
      </c>
    </row>
    <row r="18206">
      <c r="E18206">
        <f>IF(DATOS!$I18206="","",IFERROR(VLOOKUP(DATOS!$I18206,CONFIG_ASIGNATURAS!$B$2:$J$61,9,FALSE()),""))</f>
      </c>
    </row>
    <row r="18207">
      <c r="E18207">
        <f>IF(DATOS!$I18207="","",IFERROR(VLOOKUP(DATOS!$I18207,CONFIG_ASIGNATURAS!$B$2:$J$61,9,FALSE()),""))</f>
      </c>
    </row>
    <row r="18208">
      <c r="E18208">
        <f>IF(DATOS!$I18208="","",IFERROR(VLOOKUP(DATOS!$I18208,CONFIG_ASIGNATURAS!$B$2:$J$61,9,FALSE()),""))</f>
      </c>
    </row>
    <row r="18209">
      <c r="E18209">
        <f>IF(DATOS!$I18209="","",IFERROR(VLOOKUP(DATOS!$I18209,CONFIG_ASIGNATURAS!$B$2:$J$61,9,FALSE()),""))</f>
      </c>
    </row>
    <row r="18210">
      <c r="E18210">
        <f>IF(DATOS!$I18210="","",IFERROR(VLOOKUP(DATOS!$I18210,CONFIG_ASIGNATURAS!$B$2:$J$61,9,FALSE()),""))</f>
      </c>
    </row>
    <row r="18211">
      <c r="E18211">
        <f>IF(DATOS!$I18211="","",IFERROR(VLOOKUP(DATOS!$I18211,CONFIG_ASIGNATURAS!$B$2:$J$61,9,FALSE()),""))</f>
      </c>
    </row>
    <row r="18212">
      <c r="E18212">
        <f>IF(DATOS!$I18212="","",IFERROR(VLOOKUP(DATOS!$I18212,CONFIG_ASIGNATURAS!$B$2:$J$61,9,FALSE()),""))</f>
      </c>
    </row>
    <row r="18213">
      <c r="E18213">
        <f>IF(DATOS!$I18213="","",IFERROR(VLOOKUP(DATOS!$I18213,CONFIG_ASIGNATURAS!$B$2:$J$61,9,FALSE()),""))</f>
      </c>
    </row>
    <row r="18214">
      <c r="E18214">
        <f>IF(DATOS!$I18214="","",IFERROR(VLOOKUP(DATOS!$I18214,CONFIG_ASIGNATURAS!$B$2:$J$61,9,FALSE()),""))</f>
      </c>
    </row>
    <row r="18215">
      <c r="E18215">
        <f>IF(DATOS!$I18215="","",IFERROR(VLOOKUP(DATOS!$I18215,CONFIG_ASIGNATURAS!$B$2:$J$61,9,FALSE()),""))</f>
      </c>
    </row>
    <row r="18216">
      <c r="E18216">
        <f>IF(DATOS!$I18216="","",IFERROR(VLOOKUP(DATOS!$I18216,CONFIG_ASIGNATURAS!$B$2:$J$61,9,FALSE()),""))</f>
      </c>
    </row>
    <row r="18217">
      <c r="E18217">
        <f>IF(DATOS!$I18217="","",IFERROR(VLOOKUP(DATOS!$I18217,CONFIG_ASIGNATURAS!$B$2:$J$61,9,FALSE()),""))</f>
      </c>
    </row>
    <row r="18218">
      <c r="E18218">
        <f>IF(DATOS!$I18218="","",IFERROR(VLOOKUP(DATOS!$I18218,CONFIG_ASIGNATURAS!$B$2:$J$61,9,FALSE()),""))</f>
      </c>
    </row>
    <row r="18219">
      <c r="E18219">
        <f>IF(DATOS!$I18219="","",IFERROR(VLOOKUP(DATOS!$I18219,CONFIG_ASIGNATURAS!$B$2:$J$61,9,FALSE()),""))</f>
      </c>
    </row>
    <row r="18220">
      <c r="E18220">
        <f>IF(DATOS!$I18220="","",IFERROR(VLOOKUP(DATOS!$I18220,CONFIG_ASIGNATURAS!$B$2:$J$61,9,FALSE()),""))</f>
      </c>
    </row>
    <row r="18221">
      <c r="E18221">
        <f>IF(DATOS!$I18221="","",IFERROR(VLOOKUP(DATOS!$I18221,CONFIG_ASIGNATURAS!$B$2:$J$61,9,FALSE()),""))</f>
      </c>
    </row>
    <row r="18222">
      <c r="E18222">
        <f>IF(DATOS!$I18222="","",IFERROR(VLOOKUP(DATOS!$I18222,CONFIG_ASIGNATURAS!$B$2:$J$61,9,FALSE()),""))</f>
      </c>
    </row>
    <row r="18223">
      <c r="E18223">
        <f>IF(DATOS!$I18223="","",IFERROR(VLOOKUP(DATOS!$I18223,CONFIG_ASIGNATURAS!$B$2:$J$61,9,FALSE()),""))</f>
      </c>
    </row>
    <row r="18224">
      <c r="E18224">
        <f>IF(DATOS!$I18224="","",IFERROR(VLOOKUP(DATOS!$I18224,CONFIG_ASIGNATURAS!$B$2:$J$61,9,FALSE()),""))</f>
      </c>
    </row>
    <row r="18225">
      <c r="E18225">
        <f>IF(DATOS!$I18225="","",IFERROR(VLOOKUP(DATOS!$I18225,CONFIG_ASIGNATURAS!$B$2:$J$61,9,FALSE()),""))</f>
      </c>
    </row>
    <row r="18226">
      <c r="E18226">
        <f>IF(DATOS!$I18226="","",IFERROR(VLOOKUP(DATOS!$I18226,CONFIG_ASIGNATURAS!$B$2:$J$61,9,FALSE()),""))</f>
      </c>
    </row>
    <row r="18227">
      <c r="E18227">
        <f>IF(DATOS!$I18227="","",IFERROR(VLOOKUP(DATOS!$I18227,CONFIG_ASIGNATURAS!$B$2:$J$61,9,FALSE()),""))</f>
      </c>
    </row>
    <row r="18228">
      <c r="E18228">
        <f>IF(DATOS!$I18228="","",IFERROR(VLOOKUP(DATOS!$I18228,CONFIG_ASIGNATURAS!$B$2:$J$61,9,FALSE()),""))</f>
      </c>
    </row>
    <row r="18229">
      <c r="E18229">
        <f>IF(DATOS!$I18229="","",IFERROR(VLOOKUP(DATOS!$I18229,CONFIG_ASIGNATURAS!$B$2:$J$61,9,FALSE()),""))</f>
      </c>
    </row>
    <row r="18230">
      <c r="E18230">
        <f>IF(DATOS!$I18230="","",IFERROR(VLOOKUP(DATOS!$I18230,CONFIG_ASIGNATURAS!$B$2:$J$61,9,FALSE()),""))</f>
      </c>
    </row>
    <row r="18231">
      <c r="E18231">
        <f>IF(DATOS!$I18231="","",IFERROR(VLOOKUP(DATOS!$I18231,CONFIG_ASIGNATURAS!$B$2:$J$61,9,FALSE()),""))</f>
      </c>
    </row>
    <row r="18232">
      <c r="E18232">
        <f>IF(DATOS!$I18232="","",IFERROR(VLOOKUP(DATOS!$I18232,CONFIG_ASIGNATURAS!$B$2:$J$61,9,FALSE()),""))</f>
      </c>
    </row>
    <row r="18233">
      <c r="E18233">
        <f>IF(DATOS!$I18233="","",IFERROR(VLOOKUP(DATOS!$I18233,CONFIG_ASIGNATURAS!$B$2:$J$61,9,FALSE()),""))</f>
      </c>
    </row>
    <row r="18234">
      <c r="E18234">
        <f>IF(DATOS!$I18234="","",IFERROR(VLOOKUP(DATOS!$I18234,CONFIG_ASIGNATURAS!$B$2:$J$61,9,FALSE()),""))</f>
      </c>
    </row>
    <row r="18235">
      <c r="E18235">
        <f>IF(DATOS!$I18235="","",IFERROR(VLOOKUP(DATOS!$I18235,CONFIG_ASIGNATURAS!$B$2:$J$61,9,FALSE()),""))</f>
      </c>
    </row>
    <row r="18236">
      <c r="E18236">
        <f>IF(DATOS!$I18236="","",IFERROR(VLOOKUP(DATOS!$I18236,CONFIG_ASIGNATURAS!$B$2:$J$61,9,FALSE()),""))</f>
      </c>
    </row>
    <row r="18237">
      <c r="E18237">
        <f>IF(DATOS!$I18237="","",IFERROR(VLOOKUP(DATOS!$I18237,CONFIG_ASIGNATURAS!$B$2:$J$61,9,FALSE()),""))</f>
      </c>
    </row>
    <row r="18238">
      <c r="E18238">
        <f>IF(DATOS!$I18238="","",IFERROR(VLOOKUP(DATOS!$I18238,CONFIG_ASIGNATURAS!$B$2:$J$61,9,FALSE()),""))</f>
      </c>
    </row>
    <row r="18239">
      <c r="E18239">
        <f>IF(DATOS!$I18239="","",IFERROR(VLOOKUP(DATOS!$I18239,CONFIG_ASIGNATURAS!$B$2:$J$61,9,FALSE()),""))</f>
      </c>
    </row>
    <row r="18240">
      <c r="E18240">
        <f>IF(DATOS!$I18240="","",IFERROR(VLOOKUP(DATOS!$I18240,CONFIG_ASIGNATURAS!$B$2:$J$61,9,FALSE()),""))</f>
      </c>
    </row>
    <row r="18241">
      <c r="E18241">
        <f>IF(DATOS!$I18241="","",IFERROR(VLOOKUP(DATOS!$I18241,CONFIG_ASIGNATURAS!$B$2:$J$61,9,FALSE()),""))</f>
      </c>
    </row>
    <row r="18242">
      <c r="E18242">
        <f>IF(DATOS!$I18242="","",IFERROR(VLOOKUP(DATOS!$I18242,CONFIG_ASIGNATURAS!$B$2:$J$61,9,FALSE()),""))</f>
      </c>
    </row>
    <row r="18243">
      <c r="E18243">
        <f>IF(DATOS!$I18243="","",IFERROR(VLOOKUP(DATOS!$I18243,CONFIG_ASIGNATURAS!$B$2:$J$61,9,FALSE()),""))</f>
      </c>
    </row>
    <row r="18244">
      <c r="E18244">
        <f>IF(DATOS!$I18244="","",IFERROR(VLOOKUP(DATOS!$I18244,CONFIG_ASIGNATURAS!$B$2:$J$61,9,FALSE()),""))</f>
      </c>
    </row>
    <row r="18245">
      <c r="E18245">
        <f>IF(DATOS!$I18245="","",IFERROR(VLOOKUP(DATOS!$I18245,CONFIG_ASIGNATURAS!$B$2:$J$61,9,FALSE()),""))</f>
      </c>
    </row>
    <row r="18246">
      <c r="E18246">
        <f>IF(DATOS!$I18246="","",IFERROR(VLOOKUP(DATOS!$I18246,CONFIG_ASIGNATURAS!$B$2:$J$61,9,FALSE()),""))</f>
      </c>
    </row>
    <row r="18247">
      <c r="E18247">
        <f>IF(DATOS!$I18247="","",IFERROR(VLOOKUP(DATOS!$I18247,CONFIG_ASIGNATURAS!$B$2:$J$61,9,FALSE()),""))</f>
      </c>
    </row>
    <row r="18248">
      <c r="E18248">
        <f>IF(DATOS!$I18248="","",IFERROR(VLOOKUP(DATOS!$I18248,CONFIG_ASIGNATURAS!$B$2:$J$61,9,FALSE()),""))</f>
      </c>
    </row>
    <row r="18249">
      <c r="E18249">
        <f>IF(DATOS!$I18249="","",IFERROR(VLOOKUP(DATOS!$I18249,CONFIG_ASIGNATURAS!$B$2:$J$61,9,FALSE()),""))</f>
      </c>
    </row>
    <row r="18250">
      <c r="E18250">
        <f>IF(DATOS!$I18250="","",IFERROR(VLOOKUP(DATOS!$I18250,CONFIG_ASIGNATURAS!$B$2:$J$61,9,FALSE()),""))</f>
      </c>
    </row>
    <row r="18251">
      <c r="E18251">
        <f>IF(DATOS!$I18251="","",IFERROR(VLOOKUP(DATOS!$I18251,CONFIG_ASIGNATURAS!$B$2:$J$61,9,FALSE()),""))</f>
      </c>
    </row>
    <row r="18252">
      <c r="E18252">
        <f>IF(DATOS!$I18252="","",IFERROR(VLOOKUP(DATOS!$I18252,CONFIG_ASIGNATURAS!$B$2:$J$61,9,FALSE()),""))</f>
      </c>
    </row>
    <row r="18253">
      <c r="E18253">
        <f>IF(DATOS!$I18253="","",IFERROR(VLOOKUP(DATOS!$I18253,CONFIG_ASIGNATURAS!$B$2:$J$61,9,FALSE()),""))</f>
      </c>
    </row>
    <row r="18254">
      <c r="E18254">
        <f>IF(DATOS!$I18254="","",IFERROR(VLOOKUP(DATOS!$I18254,CONFIG_ASIGNATURAS!$B$2:$J$61,9,FALSE()),""))</f>
      </c>
    </row>
    <row r="18255">
      <c r="E18255">
        <f>IF(DATOS!$I18255="","",IFERROR(VLOOKUP(DATOS!$I18255,CONFIG_ASIGNATURAS!$B$2:$J$61,9,FALSE()),""))</f>
      </c>
    </row>
    <row r="18256">
      <c r="E18256">
        <f>IF(DATOS!$I18256="","",IFERROR(VLOOKUP(DATOS!$I18256,CONFIG_ASIGNATURAS!$B$2:$J$61,9,FALSE()),""))</f>
      </c>
    </row>
    <row r="18257">
      <c r="E18257">
        <f>IF(DATOS!$I18257="","",IFERROR(VLOOKUP(DATOS!$I18257,CONFIG_ASIGNATURAS!$B$2:$J$61,9,FALSE()),""))</f>
      </c>
    </row>
    <row r="18258">
      <c r="E18258">
        <f>IF(DATOS!$I18258="","",IFERROR(VLOOKUP(DATOS!$I18258,CONFIG_ASIGNATURAS!$B$2:$J$61,9,FALSE()),""))</f>
      </c>
    </row>
    <row r="18259">
      <c r="E18259">
        <f>IF(DATOS!$I18259="","",IFERROR(VLOOKUP(DATOS!$I18259,CONFIG_ASIGNATURAS!$B$2:$J$61,9,FALSE()),""))</f>
      </c>
    </row>
    <row r="18260">
      <c r="E18260">
        <f>IF(DATOS!$I18260="","",IFERROR(VLOOKUP(DATOS!$I18260,CONFIG_ASIGNATURAS!$B$2:$J$61,9,FALSE()),""))</f>
      </c>
    </row>
    <row r="18261">
      <c r="E18261">
        <f>IF(DATOS!$I18261="","",IFERROR(VLOOKUP(DATOS!$I18261,CONFIG_ASIGNATURAS!$B$2:$J$61,9,FALSE()),""))</f>
      </c>
    </row>
    <row r="18262">
      <c r="E18262">
        <f>IF(DATOS!$I18262="","",IFERROR(VLOOKUP(DATOS!$I18262,CONFIG_ASIGNATURAS!$B$2:$J$61,9,FALSE()),""))</f>
      </c>
    </row>
    <row r="18263">
      <c r="E18263">
        <f>IF(DATOS!$I18263="","",IFERROR(VLOOKUP(DATOS!$I18263,CONFIG_ASIGNATURAS!$B$2:$J$61,9,FALSE()),""))</f>
      </c>
    </row>
    <row r="18264">
      <c r="E18264">
        <f>IF(DATOS!$I18264="","",IFERROR(VLOOKUP(DATOS!$I18264,CONFIG_ASIGNATURAS!$B$2:$J$61,9,FALSE()),""))</f>
      </c>
    </row>
    <row r="18265">
      <c r="E18265">
        <f>IF(DATOS!$I18265="","",IFERROR(VLOOKUP(DATOS!$I18265,CONFIG_ASIGNATURAS!$B$2:$J$61,9,FALSE()),""))</f>
      </c>
    </row>
    <row r="18266">
      <c r="E18266">
        <f>IF(DATOS!$I18266="","",IFERROR(VLOOKUP(DATOS!$I18266,CONFIG_ASIGNATURAS!$B$2:$J$61,9,FALSE()),""))</f>
      </c>
    </row>
    <row r="18267">
      <c r="E18267">
        <f>IF(DATOS!$I18267="","",IFERROR(VLOOKUP(DATOS!$I18267,CONFIG_ASIGNATURAS!$B$2:$J$61,9,FALSE()),""))</f>
      </c>
    </row>
    <row r="18268">
      <c r="E18268">
        <f>IF(DATOS!$I18268="","",IFERROR(VLOOKUP(DATOS!$I18268,CONFIG_ASIGNATURAS!$B$2:$J$61,9,FALSE()),""))</f>
      </c>
    </row>
    <row r="18269">
      <c r="E18269">
        <f>IF(DATOS!$I18269="","",IFERROR(VLOOKUP(DATOS!$I18269,CONFIG_ASIGNATURAS!$B$2:$J$61,9,FALSE()),""))</f>
      </c>
    </row>
    <row r="18270">
      <c r="E18270">
        <f>IF(DATOS!$I18270="","",IFERROR(VLOOKUP(DATOS!$I18270,CONFIG_ASIGNATURAS!$B$2:$J$61,9,FALSE()),""))</f>
      </c>
    </row>
    <row r="18271">
      <c r="E18271">
        <f>IF(DATOS!$I18271="","",IFERROR(VLOOKUP(DATOS!$I18271,CONFIG_ASIGNATURAS!$B$2:$J$61,9,FALSE()),""))</f>
      </c>
    </row>
    <row r="18272">
      <c r="E18272">
        <f>IF(DATOS!$I18272="","",IFERROR(VLOOKUP(DATOS!$I18272,CONFIG_ASIGNATURAS!$B$2:$J$61,9,FALSE()),""))</f>
      </c>
    </row>
    <row r="18273">
      <c r="E18273">
        <f>IF(DATOS!$I18273="","",IFERROR(VLOOKUP(DATOS!$I18273,CONFIG_ASIGNATURAS!$B$2:$J$61,9,FALSE()),""))</f>
      </c>
    </row>
    <row r="18274">
      <c r="E18274">
        <f>IF(DATOS!$I18274="","",IFERROR(VLOOKUP(DATOS!$I18274,CONFIG_ASIGNATURAS!$B$2:$J$61,9,FALSE()),""))</f>
      </c>
    </row>
    <row r="18275">
      <c r="E18275">
        <f>IF(DATOS!$I18275="","",IFERROR(VLOOKUP(DATOS!$I18275,CONFIG_ASIGNATURAS!$B$2:$J$61,9,FALSE()),""))</f>
      </c>
    </row>
    <row r="18276">
      <c r="E18276">
        <f>IF(DATOS!$I18276="","",IFERROR(VLOOKUP(DATOS!$I18276,CONFIG_ASIGNATURAS!$B$2:$J$61,9,FALSE()),""))</f>
      </c>
    </row>
    <row r="18277">
      <c r="E18277">
        <f>IF(DATOS!$I18277="","",IFERROR(VLOOKUP(DATOS!$I18277,CONFIG_ASIGNATURAS!$B$2:$J$61,9,FALSE()),""))</f>
      </c>
    </row>
    <row r="18278">
      <c r="E18278">
        <f>IF(DATOS!$I18278="","",IFERROR(VLOOKUP(DATOS!$I18278,CONFIG_ASIGNATURAS!$B$2:$J$61,9,FALSE()),""))</f>
      </c>
    </row>
    <row r="18279">
      <c r="E18279">
        <f>IF(DATOS!$I18279="","",IFERROR(VLOOKUP(DATOS!$I18279,CONFIG_ASIGNATURAS!$B$2:$J$61,9,FALSE()),""))</f>
      </c>
    </row>
    <row r="18280">
      <c r="E18280">
        <f>IF(DATOS!$I18280="","",IFERROR(VLOOKUP(DATOS!$I18280,CONFIG_ASIGNATURAS!$B$2:$J$61,9,FALSE()),""))</f>
      </c>
    </row>
    <row r="18281">
      <c r="E18281">
        <f>IF(DATOS!$I18281="","",IFERROR(VLOOKUP(DATOS!$I18281,CONFIG_ASIGNATURAS!$B$2:$J$61,9,FALSE()),""))</f>
      </c>
    </row>
    <row r="18282">
      <c r="E18282">
        <f>IF(DATOS!$I18282="","",IFERROR(VLOOKUP(DATOS!$I18282,CONFIG_ASIGNATURAS!$B$2:$J$61,9,FALSE()),""))</f>
      </c>
    </row>
    <row r="18283">
      <c r="E18283">
        <f>IF(DATOS!$I18283="","",IFERROR(VLOOKUP(DATOS!$I18283,CONFIG_ASIGNATURAS!$B$2:$J$61,9,FALSE()),""))</f>
      </c>
    </row>
    <row r="18284">
      <c r="E18284">
        <f>IF(DATOS!$I18284="","",IFERROR(VLOOKUP(DATOS!$I18284,CONFIG_ASIGNATURAS!$B$2:$J$61,9,FALSE()),""))</f>
      </c>
    </row>
    <row r="18285">
      <c r="E18285">
        <f>IF(DATOS!$I18285="","",IFERROR(VLOOKUP(DATOS!$I18285,CONFIG_ASIGNATURAS!$B$2:$J$61,9,FALSE()),""))</f>
      </c>
    </row>
    <row r="18286">
      <c r="E18286">
        <f>IF(DATOS!$I18286="","",IFERROR(VLOOKUP(DATOS!$I18286,CONFIG_ASIGNATURAS!$B$2:$J$61,9,FALSE()),""))</f>
      </c>
    </row>
    <row r="18287">
      <c r="E18287">
        <f>IF(DATOS!$I18287="","",IFERROR(VLOOKUP(DATOS!$I18287,CONFIG_ASIGNATURAS!$B$2:$J$61,9,FALSE()),""))</f>
      </c>
    </row>
    <row r="18288">
      <c r="E18288">
        <f>IF(DATOS!$I18288="","",IFERROR(VLOOKUP(DATOS!$I18288,CONFIG_ASIGNATURAS!$B$2:$J$61,9,FALSE()),""))</f>
      </c>
    </row>
    <row r="18289">
      <c r="E18289">
        <f>IF(DATOS!$I18289="","",IFERROR(VLOOKUP(DATOS!$I18289,CONFIG_ASIGNATURAS!$B$2:$J$61,9,FALSE()),""))</f>
      </c>
    </row>
    <row r="18290">
      <c r="E18290">
        <f>IF(DATOS!$I18290="","",IFERROR(VLOOKUP(DATOS!$I18290,CONFIG_ASIGNATURAS!$B$2:$J$61,9,FALSE()),""))</f>
      </c>
    </row>
    <row r="18291">
      <c r="E18291">
        <f>IF(DATOS!$I18291="","",IFERROR(VLOOKUP(DATOS!$I18291,CONFIG_ASIGNATURAS!$B$2:$J$61,9,FALSE()),""))</f>
      </c>
    </row>
    <row r="18292">
      <c r="E18292">
        <f>IF(DATOS!$I18292="","",IFERROR(VLOOKUP(DATOS!$I18292,CONFIG_ASIGNATURAS!$B$2:$J$61,9,FALSE()),""))</f>
      </c>
    </row>
    <row r="18293">
      <c r="E18293">
        <f>IF(DATOS!$I18293="","",IFERROR(VLOOKUP(DATOS!$I18293,CONFIG_ASIGNATURAS!$B$2:$J$61,9,FALSE()),""))</f>
      </c>
    </row>
    <row r="18294">
      <c r="E18294">
        <f>IF(DATOS!$I18294="","",IFERROR(VLOOKUP(DATOS!$I18294,CONFIG_ASIGNATURAS!$B$2:$J$61,9,FALSE()),""))</f>
      </c>
    </row>
    <row r="18295">
      <c r="E18295">
        <f>IF(DATOS!$I18295="","",IFERROR(VLOOKUP(DATOS!$I18295,CONFIG_ASIGNATURAS!$B$2:$J$61,9,FALSE()),""))</f>
      </c>
    </row>
    <row r="18296">
      <c r="E18296">
        <f>IF(DATOS!$I18296="","",IFERROR(VLOOKUP(DATOS!$I18296,CONFIG_ASIGNATURAS!$B$2:$J$61,9,FALSE()),""))</f>
      </c>
    </row>
    <row r="18297">
      <c r="E18297">
        <f>IF(DATOS!$I18297="","",IFERROR(VLOOKUP(DATOS!$I18297,CONFIG_ASIGNATURAS!$B$2:$J$61,9,FALSE()),""))</f>
      </c>
    </row>
    <row r="18298">
      <c r="E18298">
        <f>IF(DATOS!$I18298="","",IFERROR(VLOOKUP(DATOS!$I18298,CONFIG_ASIGNATURAS!$B$2:$J$61,9,FALSE()),""))</f>
      </c>
    </row>
    <row r="18299">
      <c r="E18299">
        <f>IF(DATOS!$I18299="","",IFERROR(VLOOKUP(DATOS!$I18299,CONFIG_ASIGNATURAS!$B$2:$J$61,9,FALSE()),""))</f>
      </c>
    </row>
    <row r="18300">
      <c r="E18300">
        <f>IF(DATOS!$I18300="","",IFERROR(VLOOKUP(DATOS!$I18300,CONFIG_ASIGNATURAS!$B$2:$J$61,9,FALSE()),""))</f>
      </c>
    </row>
    <row r="18301">
      <c r="E18301">
        <f>IF(DATOS!$I18301="","",IFERROR(VLOOKUP(DATOS!$I18301,CONFIG_ASIGNATURAS!$B$2:$J$61,9,FALSE()),""))</f>
      </c>
    </row>
    <row r="18302">
      <c r="E18302">
        <f>IF(DATOS!$I18302="","",IFERROR(VLOOKUP(DATOS!$I18302,CONFIG_ASIGNATURAS!$B$2:$J$61,9,FALSE()),""))</f>
      </c>
    </row>
    <row r="18303">
      <c r="E18303">
        <f>IF(DATOS!$I18303="","",IFERROR(VLOOKUP(DATOS!$I18303,CONFIG_ASIGNATURAS!$B$2:$J$61,9,FALSE()),""))</f>
      </c>
    </row>
    <row r="18304">
      <c r="E18304">
        <f>IF(DATOS!$I18304="","",IFERROR(VLOOKUP(DATOS!$I18304,CONFIG_ASIGNATURAS!$B$2:$J$61,9,FALSE()),""))</f>
      </c>
    </row>
    <row r="18305">
      <c r="E18305">
        <f>IF(DATOS!$I18305="","",IFERROR(VLOOKUP(DATOS!$I18305,CONFIG_ASIGNATURAS!$B$2:$J$61,9,FALSE()),""))</f>
      </c>
    </row>
    <row r="18306">
      <c r="E18306">
        <f>IF(DATOS!$I18306="","",IFERROR(VLOOKUP(DATOS!$I18306,CONFIG_ASIGNATURAS!$B$2:$J$61,9,FALSE()),""))</f>
      </c>
    </row>
    <row r="18307">
      <c r="E18307">
        <f>IF(DATOS!$I18307="","",IFERROR(VLOOKUP(DATOS!$I18307,CONFIG_ASIGNATURAS!$B$2:$J$61,9,FALSE()),""))</f>
      </c>
    </row>
    <row r="18308">
      <c r="E18308">
        <f>IF(DATOS!$I18308="","",IFERROR(VLOOKUP(DATOS!$I18308,CONFIG_ASIGNATURAS!$B$2:$J$61,9,FALSE()),""))</f>
      </c>
    </row>
    <row r="18309">
      <c r="E18309">
        <f>IF(DATOS!$I18309="","",IFERROR(VLOOKUP(DATOS!$I18309,CONFIG_ASIGNATURAS!$B$2:$J$61,9,FALSE()),""))</f>
      </c>
    </row>
    <row r="18310">
      <c r="E18310">
        <f>IF(DATOS!$I18310="","",IFERROR(VLOOKUP(DATOS!$I18310,CONFIG_ASIGNATURAS!$B$2:$J$61,9,FALSE()),""))</f>
      </c>
    </row>
    <row r="18311">
      <c r="E18311">
        <f>IF(DATOS!$I18311="","",IFERROR(VLOOKUP(DATOS!$I18311,CONFIG_ASIGNATURAS!$B$2:$J$61,9,FALSE()),""))</f>
      </c>
    </row>
    <row r="18312">
      <c r="E18312">
        <f>IF(DATOS!$I18312="","",IFERROR(VLOOKUP(DATOS!$I18312,CONFIG_ASIGNATURAS!$B$2:$J$61,9,FALSE()),""))</f>
      </c>
    </row>
    <row r="18313">
      <c r="E18313">
        <f>IF(DATOS!$I18313="","",IFERROR(VLOOKUP(DATOS!$I18313,CONFIG_ASIGNATURAS!$B$2:$J$61,9,FALSE()),""))</f>
      </c>
    </row>
    <row r="18314">
      <c r="E18314">
        <f>IF(DATOS!$I18314="","",IFERROR(VLOOKUP(DATOS!$I18314,CONFIG_ASIGNATURAS!$B$2:$J$61,9,FALSE()),""))</f>
      </c>
    </row>
    <row r="18315">
      <c r="E18315">
        <f>IF(DATOS!$I18315="","",IFERROR(VLOOKUP(DATOS!$I18315,CONFIG_ASIGNATURAS!$B$2:$J$61,9,FALSE()),""))</f>
      </c>
    </row>
    <row r="18316">
      <c r="E18316">
        <f>IF(DATOS!$I18316="","",IFERROR(VLOOKUP(DATOS!$I18316,CONFIG_ASIGNATURAS!$B$2:$J$61,9,FALSE()),""))</f>
      </c>
    </row>
    <row r="18317">
      <c r="E18317">
        <f>IF(DATOS!$I18317="","",IFERROR(VLOOKUP(DATOS!$I18317,CONFIG_ASIGNATURAS!$B$2:$J$61,9,FALSE()),""))</f>
      </c>
    </row>
    <row r="18318">
      <c r="E18318">
        <f>IF(DATOS!$I18318="","",IFERROR(VLOOKUP(DATOS!$I18318,CONFIG_ASIGNATURAS!$B$2:$J$61,9,FALSE()),""))</f>
      </c>
    </row>
    <row r="18319">
      <c r="E18319">
        <f>IF(DATOS!$I18319="","",IFERROR(VLOOKUP(DATOS!$I18319,CONFIG_ASIGNATURAS!$B$2:$J$61,9,FALSE()),""))</f>
      </c>
    </row>
    <row r="18320">
      <c r="E18320">
        <f>IF(DATOS!$I18320="","",IFERROR(VLOOKUP(DATOS!$I18320,CONFIG_ASIGNATURAS!$B$2:$J$61,9,FALSE()),""))</f>
      </c>
    </row>
    <row r="18321">
      <c r="E18321">
        <f>IF(DATOS!$I18321="","",IFERROR(VLOOKUP(DATOS!$I18321,CONFIG_ASIGNATURAS!$B$2:$J$61,9,FALSE()),""))</f>
      </c>
    </row>
    <row r="18322">
      <c r="E18322">
        <f>IF(DATOS!$I18322="","",IFERROR(VLOOKUP(DATOS!$I18322,CONFIG_ASIGNATURAS!$B$2:$J$61,9,FALSE()),""))</f>
      </c>
    </row>
    <row r="18323">
      <c r="E18323">
        <f>IF(DATOS!$I18323="","",IFERROR(VLOOKUP(DATOS!$I18323,CONFIG_ASIGNATURAS!$B$2:$J$61,9,FALSE()),""))</f>
      </c>
    </row>
    <row r="18324">
      <c r="E18324">
        <f>IF(DATOS!$I18324="","",IFERROR(VLOOKUP(DATOS!$I18324,CONFIG_ASIGNATURAS!$B$2:$J$61,9,FALSE()),""))</f>
      </c>
    </row>
    <row r="18325">
      <c r="E18325">
        <f>IF(DATOS!$I18325="","",IFERROR(VLOOKUP(DATOS!$I18325,CONFIG_ASIGNATURAS!$B$2:$J$61,9,FALSE()),""))</f>
      </c>
    </row>
    <row r="18326">
      <c r="E18326">
        <f>IF(DATOS!$I18326="","",IFERROR(VLOOKUP(DATOS!$I18326,CONFIG_ASIGNATURAS!$B$2:$J$61,9,FALSE()),""))</f>
      </c>
    </row>
    <row r="18327">
      <c r="E18327">
        <f>IF(DATOS!$I18327="","",IFERROR(VLOOKUP(DATOS!$I18327,CONFIG_ASIGNATURAS!$B$2:$J$61,9,FALSE()),""))</f>
      </c>
    </row>
    <row r="18328">
      <c r="E18328">
        <f>IF(DATOS!$I18328="","",IFERROR(VLOOKUP(DATOS!$I18328,CONFIG_ASIGNATURAS!$B$2:$J$61,9,FALSE()),""))</f>
      </c>
    </row>
    <row r="18329">
      <c r="E18329">
        <f>IF(DATOS!$I18329="","",IFERROR(VLOOKUP(DATOS!$I18329,CONFIG_ASIGNATURAS!$B$2:$J$61,9,FALSE()),""))</f>
      </c>
    </row>
    <row r="18330">
      <c r="E18330">
        <f>IF(DATOS!$I18330="","",IFERROR(VLOOKUP(DATOS!$I18330,CONFIG_ASIGNATURAS!$B$2:$J$61,9,FALSE()),""))</f>
      </c>
    </row>
    <row r="18331">
      <c r="E18331">
        <f>IF(DATOS!$I18331="","",IFERROR(VLOOKUP(DATOS!$I18331,CONFIG_ASIGNATURAS!$B$2:$J$61,9,FALSE()),""))</f>
      </c>
    </row>
    <row r="18332">
      <c r="E18332">
        <f>IF(DATOS!$I18332="","",IFERROR(VLOOKUP(DATOS!$I18332,CONFIG_ASIGNATURAS!$B$2:$J$61,9,FALSE()),""))</f>
      </c>
    </row>
    <row r="18333">
      <c r="E18333">
        <f>IF(DATOS!$I18333="","",IFERROR(VLOOKUP(DATOS!$I18333,CONFIG_ASIGNATURAS!$B$2:$J$61,9,FALSE()),""))</f>
      </c>
    </row>
    <row r="18334">
      <c r="E18334">
        <f>IF(DATOS!$I18334="","",IFERROR(VLOOKUP(DATOS!$I18334,CONFIG_ASIGNATURAS!$B$2:$J$61,9,FALSE()),""))</f>
      </c>
    </row>
    <row r="18335">
      <c r="E18335">
        <f>IF(DATOS!$I18335="","",IFERROR(VLOOKUP(DATOS!$I18335,CONFIG_ASIGNATURAS!$B$2:$J$61,9,FALSE()),""))</f>
      </c>
    </row>
    <row r="18336">
      <c r="E18336">
        <f>IF(DATOS!$I18336="","",IFERROR(VLOOKUP(DATOS!$I18336,CONFIG_ASIGNATURAS!$B$2:$J$61,9,FALSE()),""))</f>
      </c>
    </row>
    <row r="18337">
      <c r="E18337">
        <f>IF(DATOS!$I18337="","",IFERROR(VLOOKUP(DATOS!$I18337,CONFIG_ASIGNATURAS!$B$2:$J$61,9,FALSE()),""))</f>
      </c>
    </row>
    <row r="18338">
      <c r="E18338">
        <f>IF(DATOS!$I18338="","",IFERROR(VLOOKUP(DATOS!$I18338,CONFIG_ASIGNATURAS!$B$2:$J$61,9,FALSE()),""))</f>
      </c>
    </row>
    <row r="18339">
      <c r="E18339">
        <f>IF(DATOS!$I18339="","",IFERROR(VLOOKUP(DATOS!$I18339,CONFIG_ASIGNATURAS!$B$2:$J$61,9,FALSE()),""))</f>
      </c>
    </row>
    <row r="18340">
      <c r="E18340">
        <f>IF(DATOS!$I18340="","",IFERROR(VLOOKUP(DATOS!$I18340,CONFIG_ASIGNATURAS!$B$2:$J$61,9,FALSE()),""))</f>
      </c>
    </row>
    <row r="18341">
      <c r="E18341">
        <f>IF(DATOS!$I18341="","",IFERROR(VLOOKUP(DATOS!$I18341,CONFIG_ASIGNATURAS!$B$2:$J$61,9,FALSE()),""))</f>
      </c>
    </row>
    <row r="18342">
      <c r="E18342">
        <f>IF(DATOS!$I18342="","",IFERROR(VLOOKUP(DATOS!$I18342,CONFIG_ASIGNATURAS!$B$2:$J$61,9,FALSE()),""))</f>
      </c>
    </row>
    <row r="18343">
      <c r="E18343">
        <f>IF(DATOS!$I18343="","",IFERROR(VLOOKUP(DATOS!$I18343,CONFIG_ASIGNATURAS!$B$2:$J$61,9,FALSE()),""))</f>
      </c>
    </row>
    <row r="18344">
      <c r="E18344">
        <f>IF(DATOS!$I18344="","",IFERROR(VLOOKUP(DATOS!$I18344,CONFIG_ASIGNATURAS!$B$2:$J$61,9,FALSE()),""))</f>
      </c>
    </row>
    <row r="18345">
      <c r="E18345">
        <f>IF(DATOS!$I18345="","",IFERROR(VLOOKUP(DATOS!$I18345,CONFIG_ASIGNATURAS!$B$2:$J$61,9,FALSE()),""))</f>
      </c>
    </row>
    <row r="18346">
      <c r="E18346">
        <f>IF(DATOS!$I18346="","",IFERROR(VLOOKUP(DATOS!$I18346,CONFIG_ASIGNATURAS!$B$2:$J$61,9,FALSE()),""))</f>
      </c>
    </row>
    <row r="18347">
      <c r="E18347">
        <f>IF(DATOS!$I18347="","",IFERROR(VLOOKUP(DATOS!$I18347,CONFIG_ASIGNATURAS!$B$2:$J$61,9,FALSE()),""))</f>
      </c>
    </row>
    <row r="18348">
      <c r="E18348">
        <f>IF(DATOS!$I18348="","",IFERROR(VLOOKUP(DATOS!$I18348,CONFIG_ASIGNATURAS!$B$2:$J$61,9,FALSE()),""))</f>
      </c>
    </row>
    <row r="18349">
      <c r="E18349">
        <f>IF(DATOS!$I18349="","",IFERROR(VLOOKUP(DATOS!$I18349,CONFIG_ASIGNATURAS!$B$2:$J$61,9,FALSE()),""))</f>
      </c>
    </row>
    <row r="18350">
      <c r="E18350">
        <f>IF(DATOS!$I18350="","",IFERROR(VLOOKUP(DATOS!$I18350,CONFIG_ASIGNATURAS!$B$2:$J$61,9,FALSE()),""))</f>
      </c>
    </row>
    <row r="18351">
      <c r="E18351">
        <f>IF(DATOS!$I18351="","",IFERROR(VLOOKUP(DATOS!$I18351,CONFIG_ASIGNATURAS!$B$2:$J$61,9,FALSE()),""))</f>
      </c>
    </row>
    <row r="18352">
      <c r="E18352">
        <f>IF(DATOS!$I18352="","",IFERROR(VLOOKUP(DATOS!$I18352,CONFIG_ASIGNATURAS!$B$2:$J$61,9,FALSE()),""))</f>
      </c>
    </row>
    <row r="18353">
      <c r="E18353">
        <f>IF(DATOS!$I18353="","",IFERROR(VLOOKUP(DATOS!$I18353,CONFIG_ASIGNATURAS!$B$2:$J$61,9,FALSE()),""))</f>
      </c>
    </row>
    <row r="18354">
      <c r="E18354">
        <f>IF(DATOS!$I18354="","",IFERROR(VLOOKUP(DATOS!$I18354,CONFIG_ASIGNATURAS!$B$2:$J$61,9,FALSE()),""))</f>
      </c>
    </row>
    <row r="18355">
      <c r="E18355">
        <f>IF(DATOS!$I18355="","",IFERROR(VLOOKUP(DATOS!$I18355,CONFIG_ASIGNATURAS!$B$2:$J$61,9,FALSE()),""))</f>
      </c>
    </row>
    <row r="18356">
      <c r="E18356">
        <f>IF(DATOS!$I18356="","",IFERROR(VLOOKUP(DATOS!$I18356,CONFIG_ASIGNATURAS!$B$2:$J$61,9,FALSE()),""))</f>
      </c>
    </row>
    <row r="18357">
      <c r="E18357">
        <f>IF(DATOS!$I18357="","",IFERROR(VLOOKUP(DATOS!$I18357,CONFIG_ASIGNATURAS!$B$2:$J$61,9,FALSE()),""))</f>
      </c>
    </row>
    <row r="18358">
      <c r="E18358">
        <f>IF(DATOS!$I18358="","",IFERROR(VLOOKUP(DATOS!$I18358,CONFIG_ASIGNATURAS!$B$2:$J$61,9,FALSE()),""))</f>
      </c>
    </row>
    <row r="18359">
      <c r="E18359">
        <f>IF(DATOS!$I18359="","",IFERROR(VLOOKUP(DATOS!$I18359,CONFIG_ASIGNATURAS!$B$2:$J$61,9,FALSE()),""))</f>
      </c>
    </row>
    <row r="18360">
      <c r="E18360">
        <f>IF(DATOS!$I18360="","",IFERROR(VLOOKUP(DATOS!$I18360,CONFIG_ASIGNATURAS!$B$2:$J$61,9,FALSE()),""))</f>
      </c>
    </row>
    <row r="18361">
      <c r="E18361">
        <f>IF(DATOS!$I18361="","",IFERROR(VLOOKUP(DATOS!$I18361,CONFIG_ASIGNATURAS!$B$2:$J$61,9,FALSE()),""))</f>
      </c>
    </row>
    <row r="18362">
      <c r="E18362">
        <f>IF(DATOS!$I18362="","",IFERROR(VLOOKUP(DATOS!$I18362,CONFIG_ASIGNATURAS!$B$2:$J$61,9,FALSE()),""))</f>
      </c>
    </row>
    <row r="18363">
      <c r="E18363">
        <f>IF(DATOS!$I18363="","",IFERROR(VLOOKUP(DATOS!$I18363,CONFIG_ASIGNATURAS!$B$2:$J$61,9,FALSE()),""))</f>
      </c>
    </row>
    <row r="18364">
      <c r="E18364">
        <f>IF(DATOS!$I18364="","",IFERROR(VLOOKUP(DATOS!$I18364,CONFIG_ASIGNATURAS!$B$2:$J$61,9,FALSE()),""))</f>
      </c>
    </row>
    <row r="18365">
      <c r="E18365">
        <f>IF(DATOS!$I18365="","",IFERROR(VLOOKUP(DATOS!$I18365,CONFIG_ASIGNATURAS!$B$2:$J$61,9,FALSE()),""))</f>
      </c>
    </row>
    <row r="18366">
      <c r="E18366">
        <f>IF(DATOS!$I18366="","",IFERROR(VLOOKUP(DATOS!$I18366,CONFIG_ASIGNATURAS!$B$2:$J$61,9,FALSE()),""))</f>
      </c>
    </row>
    <row r="18367">
      <c r="E18367">
        <f>IF(DATOS!$I18367="","",IFERROR(VLOOKUP(DATOS!$I18367,CONFIG_ASIGNATURAS!$B$2:$J$61,9,FALSE()),""))</f>
      </c>
    </row>
    <row r="18368">
      <c r="E18368">
        <f>IF(DATOS!$I18368="","",IFERROR(VLOOKUP(DATOS!$I18368,CONFIG_ASIGNATURAS!$B$2:$J$61,9,FALSE()),""))</f>
      </c>
    </row>
    <row r="18369">
      <c r="E18369">
        <f>IF(DATOS!$I18369="","",IFERROR(VLOOKUP(DATOS!$I18369,CONFIG_ASIGNATURAS!$B$2:$J$61,9,FALSE()),""))</f>
      </c>
    </row>
    <row r="18370">
      <c r="E18370">
        <f>IF(DATOS!$I18370="","",IFERROR(VLOOKUP(DATOS!$I18370,CONFIG_ASIGNATURAS!$B$2:$J$61,9,FALSE()),""))</f>
      </c>
    </row>
    <row r="18371">
      <c r="E18371">
        <f>IF(DATOS!$I18371="","",IFERROR(VLOOKUP(DATOS!$I18371,CONFIG_ASIGNATURAS!$B$2:$J$61,9,FALSE()),""))</f>
      </c>
    </row>
    <row r="18372">
      <c r="E18372">
        <f>IF(DATOS!$I18372="","",IFERROR(VLOOKUP(DATOS!$I18372,CONFIG_ASIGNATURAS!$B$2:$J$61,9,FALSE()),""))</f>
      </c>
    </row>
    <row r="18373">
      <c r="E18373">
        <f>IF(DATOS!$I18373="","",IFERROR(VLOOKUP(DATOS!$I18373,CONFIG_ASIGNATURAS!$B$2:$J$61,9,FALSE()),""))</f>
      </c>
    </row>
    <row r="18374">
      <c r="E18374">
        <f>IF(DATOS!$I18374="","",IFERROR(VLOOKUP(DATOS!$I18374,CONFIG_ASIGNATURAS!$B$2:$J$61,9,FALSE()),""))</f>
      </c>
    </row>
    <row r="18375">
      <c r="E18375">
        <f>IF(DATOS!$I18375="","",IFERROR(VLOOKUP(DATOS!$I18375,CONFIG_ASIGNATURAS!$B$2:$J$61,9,FALSE()),""))</f>
      </c>
    </row>
    <row r="18376">
      <c r="E18376">
        <f>IF(DATOS!$I18376="","",IFERROR(VLOOKUP(DATOS!$I18376,CONFIG_ASIGNATURAS!$B$2:$J$61,9,FALSE()),""))</f>
      </c>
    </row>
    <row r="18377">
      <c r="E18377">
        <f>IF(DATOS!$I18377="","",IFERROR(VLOOKUP(DATOS!$I18377,CONFIG_ASIGNATURAS!$B$2:$J$61,9,FALSE()),""))</f>
      </c>
    </row>
    <row r="18378">
      <c r="E18378">
        <f>IF(DATOS!$I18378="","",IFERROR(VLOOKUP(DATOS!$I18378,CONFIG_ASIGNATURAS!$B$2:$J$61,9,FALSE()),""))</f>
      </c>
    </row>
    <row r="18379">
      <c r="E18379">
        <f>IF(DATOS!$I18379="","",IFERROR(VLOOKUP(DATOS!$I18379,CONFIG_ASIGNATURAS!$B$2:$J$61,9,FALSE()),""))</f>
      </c>
    </row>
    <row r="18380">
      <c r="E18380">
        <f>IF(DATOS!$I18380="","",IFERROR(VLOOKUP(DATOS!$I18380,CONFIG_ASIGNATURAS!$B$2:$J$61,9,FALSE()),""))</f>
      </c>
    </row>
    <row r="18381">
      <c r="E18381">
        <f>IF(DATOS!$I18381="","",IFERROR(VLOOKUP(DATOS!$I18381,CONFIG_ASIGNATURAS!$B$2:$J$61,9,FALSE()),""))</f>
      </c>
    </row>
    <row r="18382">
      <c r="E18382">
        <f>IF(DATOS!$I18382="","",IFERROR(VLOOKUP(DATOS!$I18382,CONFIG_ASIGNATURAS!$B$2:$J$61,9,FALSE()),""))</f>
      </c>
    </row>
    <row r="18383">
      <c r="E18383">
        <f>IF(DATOS!$I18383="","",IFERROR(VLOOKUP(DATOS!$I18383,CONFIG_ASIGNATURAS!$B$2:$J$61,9,FALSE()),""))</f>
      </c>
    </row>
    <row r="18384">
      <c r="E18384">
        <f>IF(DATOS!$I18384="","",IFERROR(VLOOKUP(DATOS!$I18384,CONFIG_ASIGNATURAS!$B$2:$J$61,9,FALSE()),""))</f>
      </c>
    </row>
    <row r="18385">
      <c r="E18385">
        <f>IF(DATOS!$I18385="","",IFERROR(VLOOKUP(DATOS!$I18385,CONFIG_ASIGNATURAS!$B$2:$J$61,9,FALSE()),""))</f>
      </c>
    </row>
    <row r="18386">
      <c r="E18386">
        <f>IF(DATOS!$I18386="","",IFERROR(VLOOKUP(DATOS!$I18386,CONFIG_ASIGNATURAS!$B$2:$J$61,9,FALSE()),""))</f>
      </c>
    </row>
    <row r="18387">
      <c r="E18387">
        <f>IF(DATOS!$I18387="","",IFERROR(VLOOKUP(DATOS!$I18387,CONFIG_ASIGNATURAS!$B$2:$J$61,9,FALSE()),""))</f>
      </c>
    </row>
    <row r="18388">
      <c r="E18388">
        <f>IF(DATOS!$I18388="","",IFERROR(VLOOKUP(DATOS!$I18388,CONFIG_ASIGNATURAS!$B$2:$J$61,9,FALSE()),""))</f>
      </c>
    </row>
    <row r="18389">
      <c r="E18389">
        <f>IF(DATOS!$I18389="","",IFERROR(VLOOKUP(DATOS!$I18389,CONFIG_ASIGNATURAS!$B$2:$J$61,9,FALSE()),""))</f>
      </c>
    </row>
    <row r="18390">
      <c r="E18390">
        <f>IF(DATOS!$I18390="","",IFERROR(VLOOKUP(DATOS!$I18390,CONFIG_ASIGNATURAS!$B$2:$J$61,9,FALSE()),""))</f>
      </c>
    </row>
    <row r="18391">
      <c r="E18391">
        <f>IF(DATOS!$I18391="","",IFERROR(VLOOKUP(DATOS!$I18391,CONFIG_ASIGNATURAS!$B$2:$J$61,9,FALSE()),""))</f>
      </c>
    </row>
    <row r="18392">
      <c r="E18392">
        <f>IF(DATOS!$I18392="","",IFERROR(VLOOKUP(DATOS!$I18392,CONFIG_ASIGNATURAS!$B$2:$J$61,9,FALSE()),""))</f>
      </c>
    </row>
    <row r="18393">
      <c r="E18393">
        <f>IF(DATOS!$I18393="","",IFERROR(VLOOKUP(DATOS!$I18393,CONFIG_ASIGNATURAS!$B$2:$J$61,9,FALSE()),""))</f>
      </c>
    </row>
    <row r="18394">
      <c r="E18394">
        <f>IF(DATOS!$I18394="","",IFERROR(VLOOKUP(DATOS!$I18394,CONFIG_ASIGNATURAS!$B$2:$J$61,9,FALSE()),""))</f>
      </c>
    </row>
    <row r="18395">
      <c r="E18395">
        <f>IF(DATOS!$I18395="","",IFERROR(VLOOKUP(DATOS!$I18395,CONFIG_ASIGNATURAS!$B$2:$J$61,9,FALSE()),""))</f>
      </c>
    </row>
    <row r="18396">
      <c r="E18396">
        <f>IF(DATOS!$I18396="","",IFERROR(VLOOKUP(DATOS!$I18396,CONFIG_ASIGNATURAS!$B$2:$J$61,9,FALSE()),""))</f>
      </c>
    </row>
    <row r="18397">
      <c r="E18397">
        <f>IF(DATOS!$I18397="","",IFERROR(VLOOKUP(DATOS!$I18397,CONFIG_ASIGNATURAS!$B$2:$J$61,9,FALSE()),""))</f>
      </c>
    </row>
    <row r="18398">
      <c r="E18398">
        <f>IF(DATOS!$I18398="","",IFERROR(VLOOKUP(DATOS!$I18398,CONFIG_ASIGNATURAS!$B$2:$J$61,9,FALSE()),""))</f>
      </c>
    </row>
    <row r="18399">
      <c r="E18399">
        <f>IF(DATOS!$I18399="","",IFERROR(VLOOKUP(DATOS!$I18399,CONFIG_ASIGNATURAS!$B$2:$J$61,9,FALSE()),""))</f>
      </c>
    </row>
    <row r="18400">
      <c r="E18400">
        <f>IF(DATOS!$I18400="","",IFERROR(VLOOKUP(DATOS!$I18400,CONFIG_ASIGNATURAS!$B$2:$J$61,9,FALSE()),""))</f>
      </c>
    </row>
    <row r="18401">
      <c r="E18401">
        <f>IF(DATOS!$I18401="","",IFERROR(VLOOKUP(DATOS!$I18401,CONFIG_ASIGNATURAS!$B$2:$J$61,9,FALSE()),""))</f>
      </c>
    </row>
    <row r="18402">
      <c r="E18402">
        <f>IF(DATOS!$I18402="","",IFERROR(VLOOKUP(DATOS!$I18402,CONFIG_ASIGNATURAS!$B$2:$J$61,9,FALSE()),""))</f>
      </c>
    </row>
    <row r="18403">
      <c r="E18403">
        <f>IF(DATOS!$I18403="","",IFERROR(VLOOKUP(DATOS!$I18403,CONFIG_ASIGNATURAS!$B$2:$J$61,9,FALSE()),""))</f>
      </c>
    </row>
    <row r="18404">
      <c r="E18404">
        <f>IF(DATOS!$I18404="","",IFERROR(VLOOKUP(DATOS!$I18404,CONFIG_ASIGNATURAS!$B$2:$J$61,9,FALSE()),""))</f>
      </c>
    </row>
    <row r="18405">
      <c r="E18405">
        <f>IF(DATOS!$I18405="","",IFERROR(VLOOKUP(DATOS!$I18405,CONFIG_ASIGNATURAS!$B$2:$J$61,9,FALSE()),""))</f>
      </c>
    </row>
    <row r="18406">
      <c r="E18406">
        <f>IF(DATOS!$I18406="","",IFERROR(VLOOKUP(DATOS!$I18406,CONFIG_ASIGNATURAS!$B$2:$J$61,9,FALSE()),""))</f>
      </c>
    </row>
    <row r="18407">
      <c r="E18407">
        <f>IF(DATOS!$I18407="","",IFERROR(VLOOKUP(DATOS!$I18407,CONFIG_ASIGNATURAS!$B$2:$J$61,9,FALSE()),""))</f>
      </c>
    </row>
    <row r="18408">
      <c r="E18408">
        <f>IF(DATOS!$I18408="","",IFERROR(VLOOKUP(DATOS!$I18408,CONFIG_ASIGNATURAS!$B$2:$J$61,9,FALSE()),""))</f>
      </c>
    </row>
    <row r="18409">
      <c r="E18409">
        <f>IF(DATOS!$I18409="","",IFERROR(VLOOKUP(DATOS!$I18409,CONFIG_ASIGNATURAS!$B$2:$J$61,9,FALSE()),""))</f>
      </c>
    </row>
    <row r="18410">
      <c r="E18410">
        <f>IF(DATOS!$I18410="","",IFERROR(VLOOKUP(DATOS!$I18410,CONFIG_ASIGNATURAS!$B$2:$J$61,9,FALSE()),""))</f>
      </c>
    </row>
    <row r="18411">
      <c r="E18411">
        <f>IF(DATOS!$I18411="","",IFERROR(VLOOKUP(DATOS!$I18411,CONFIG_ASIGNATURAS!$B$2:$J$61,9,FALSE()),""))</f>
      </c>
    </row>
    <row r="18412">
      <c r="E18412">
        <f>IF(DATOS!$I18412="","",IFERROR(VLOOKUP(DATOS!$I18412,CONFIG_ASIGNATURAS!$B$2:$J$61,9,FALSE()),""))</f>
      </c>
    </row>
    <row r="18413">
      <c r="E18413">
        <f>IF(DATOS!$I18413="","",IFERROR(VLOOKUP(DATOS!$I18413,CONFIG_ASIGNATURAS!$B$2:$J$61,9,FALSE()),""))</f>
      </c>
    </row>
    <row r="18414">
      <c r="E18414">
        <f>IF(DATOS!$I18414="","",IFERROR(VLOOKUP(DATOS!$I18414,CONFIG_ASIGNATURAS!$B$2:$J$61,9,FALSE()),""))</f>
      </c>
    </row>
    <row r="18415">
      <c r="E18415">
        <f>IF(DATOS!$I18415="","",IFERROR(VLOOKUP(DATOS!$I18415,CONFIG_ASIGNATURAS!$B$2:$J$61,9,FALSE()),""))</f>
      </c>
    </row>
    <row r="18416">
      <c r="E18416">
        <f>IF(DATOS!$I18416="","",IFERROR(VLOOKUP(DATOS!$I18416,CONFIG_ASIGNATURAS!$B$2:$J$61,9,FALSE()),""))</f>
      </c>
    </row>
    <row r="18417">
      <c r="E18417">
        <f>IF(DATOS!$I18417="","",IFERROR(VLOOKUP(DATOS!$I18417,CONFIG_ASIGNATURAS!$B$2:$J$61,9,FALSE()),""))</f>
      </c>
    </row>
    <row r="18418">
      <c r="E18418">
        <f>IF(DATOS!$I18418="","",IFERROR(VLOOKUP(DATOS!$I18418,CONFIG_ASIGNATURAS!$B$2:$J$61,9,FALSE()),""))</f>
      </c>
    </row>
    <row r="18419">
      <c r="E18419">
        <f>IF(DATOS!$I18419="","",IFERROR(VLOOKUP(DATOS!$I18419,CONFIG_ASIGNATURAS!$B$2:$J$61,9,FALSE()),""))</f>
      </c>
    </row>
    <row r="18420">
      <c r="E18420">
        <f>IF(DATOS!$I18420="","",IFERROR(VLOOKUP(DATOS!$I18420,CONFIG_ASIGNATURAS!$B$2:$J$61,9,FALSE()),""))</f>
      </c>
    </row>
    <row r="18421">
      <c r="E18421">
        <f>IF(DATOS!$I18421="","",IFERROR(VLOOKUP(DATOS!$I18421,CONFIG_ASIGNATURAS!$B$2:$J$61,9,FALSE()),""))</f>
      </c>
    </row>
    <row r="18422">
      <c r="E18422">
        <f>IF(DATOS!$I18422="","",IFERROR(VLOOKUP(DATOS!$I18422,CONFIG_ASIGNATURAS!$B$2:$J$61,9,FALSE()),""))</f>
      </c>
    </row>
    <row r="18423">
      <c r="E18423">
        <f>IF(DATOS!$I18423="","",IFERROR(VLOOKUP(DATOS!$I18423,CONFIG_ASIGNATURAS!$B$2:$J$61,9,FALSE()),""))</f>
      </c>
    </row>
    <row r="18424">
      <c r="E18424">
        <f>IF(DATOS!$I18424="","",IFERROR(VLOOKUP(DATOS!$I18424,CONFIG_ASIGNATURAS!$B$2:$J$61,9,FALSE()),""))</f>
      </c>
    </row>
    <row r="18425">
      <c r="E18425">
        <f>IF(DATOS!$I18425="","",IFERROR(VLOOKUP(DATOS!$I18425,CONFIG_ASIGNATURAS!$B$2:$J$61,9,FALSE()),""))</f>
      </c>
    </row>
    <row r="18426">
      <c r="E18426">
        <f>IF(DATOS!$I18426="","",IFERROR(VLOOKUP(DATOS!$I18426,CONFIG_ASIGNATURAS!$B$2:$J$61,9,FALSE()),""))</f>
      </c>
    </row>
    <row r="18427">
      <c r="E18427">
        <f>IF(DATOS!$I18427="","",IFERROR(VLOOKUP(DATOS!$I18427,CONFIG_ASIGNATURAS!$B$2:$J$61,9,FALSE()),""))</f>
      </c>
    </row>
    <row r="18428">
      <c r="E18428">
        <f>IF(DATOS!$I18428="","",IFERROR(VLOOKUP(DATOS!$I18428,CONFIG_ASIGNATURAS!$B$2:$J$61,9,FALSE()),""))</f>
      </c>
    </row>
    <row r="18429">
      <c r="E18429">
        <f>IF(DATOS!$I18429="","",IFERROR(VLOOKUP(DATOS!$I18429,CONFIG_ASIGNATURAS!$B$2:$J$61,9,FALSE()),""))</f>
      </c>
    </row>
    <row r="18430">
      <c r="E18430">
        <f>IF(DATOS!$I18430="","",IFERROR(VLOOKUP(DATOS!$I18430,CONFIG_ASIGNATURAS!$B$2:$J$61,9,FALSE()),""))</f>
      </c>
    </row>
    <row r="18431">
      <c r="E18431">
        <f>IF(DATOS!$I18431="","",IFERROR(VLOOKUP(DATOS!$I18431,CONFIG_ASIGNATURAS!$B$2:$J$61,9,FALSE()),""))</f>
      </c>
    </row>
    <row r="18432">
      <c r="E18432">
        <f>IF(DATOS!$I18432="","",IFERROR(VLOOKUP(DATOS!$I18432,CONFIG_ASIGNATURAS!$B$2:$J$61,9,FALSE()),""))</f>
      </c>
    </row>
    <row r="18433">
      <c r="E18433">
        <f>IF(DATOS!$I18433="","",IFERROR(VLOOKUP(DATOS!$I18433,CONFIG_ASIGNATURAS!$B$2:$J$61,9,FALSE()),""))</f>
      </c>
    </row>
    <row r="18434">
      <c r="E18434">
        <f>IF(DATOS!$I18434="","",IFERROR(VLOOKUP(DATOS!$I18434,CONFIG_ASIGNATURAS!$B$2:$J$61,9,FALSE()),""))</f>
      </c>
    </row>
    <row r="18435">
      <c r="E18435">
        <f>IF(DATOS!$I18435="","",IFERROR(VLOOKUP(DATOS!$I18435,CONFIG_ASIGNATURAS!$B$2:$J$61,9,FALSE()),""))</f>
      </c>
    </row>
    <row r="18436">
      <c r="E18436">
        <f>IF(DATOS!$I18436="","",IFERROR(VLOOKUP(DATOS!$I18436,CONFIG_ASIGNATURAS!$B$2:$J$61,9,FALSE()),""))</f>
      </c>
    </row>
    <row r="18437">
      <c r="E18437">
        <f>IF(DATOS!$I18437="","",IFERROR(VLOOKUP(DATOS!$I18437,CONFIG_ASIGNATURAS!$B$2:$J$61,9,FALSE()),""))</f>
      </c>
    </row>
    <row r="18438">
      <c r="E18438">
        <f>IF(DATOS!$I18438="","",IFERROR(VLOOKUP(DATOS!$I18438,CONFIG_ASIGNATURAS!$B$2:$J$61,9,FALSE()),""))</f>
      </c>
    </row>
    <row r="18439">
      <c r="E18439">
        <f>IF(DATOS!$I18439="","",IFERROR(VLOOKUP(DATOS!$I18439,CONFIG_ASIGNATURAS!$B$2:$J$61,9,FALSE()),""))</f>
      </c>
    </row>
    <row r="18440">
      <c r="E18440">
        <f>IF(DATOS!$I18440="","",IFERROR(VLOOKUP(DATOS!$I18440,CONFIG_ASIGNATURAS!$B$2:$J$61,9,FALSE()),""))</f>
      </c>
    </row>
    <row r="18441">
      <c r="E18441">
        <f>IF(DATOS!$I18441="","",IFERROR(VLOOKUP(DATOS!$I18441,CONFIG_ASIGNATURAS!$B$2:$J$61,9,FALSE()),""))</f>
      </c>
    </row>
    <row r="18442">
      <c r="E18442">
        <f>IF(DATOS!$I18442="","",IFERROR(VLOOKUP(DATOS!$I18442,CONFIG_ASIGNATURAS!$B$2:$J$61,9,FALSE()),""))</f>
      </c>
    </row>
    <row r="18443">
      <c r="E18443">
        <f>IF(DATOS!$I18443="","",IFERROR(VLOOKUP(DATOS!$I18443,CONFIG_ASIGNATURAS!$B$2:$J$61,9,FALSE()),""))</f>
      </c>
    </row>
    <row r="18444">
      <c r="E18444">
        <f>IF(DATOS!$I18444="","",IFERROR(VLOOKUP(DATOS!$I18444,CONFIG_ASIGNATURAS!$B$2:$J$61,9,FALSE()),""))</f>
      </c>
    </row>
    <row r="18445">
      <c r="E18445">
        <f>IF(DATOS!$I18445="","",IFERROR(VLOOKUP(DATOS!$I18445,CONFIG_ASIGNATURAS!$B$2:$J$61,9,FALSE()),""))</f>
      </c>
    </row>
    <row r="18446">
      <c r="E18446">
        <f>IF(DATOS!$I18446="","",IFERROR(VLOOKUP(DATOS!$I18446,CONFIG_ASIGNATURAS!$B$2:$J$61,9,FALSE()),""))</f>
      </c>
    </row>
    <row r="18447">
      <c r="E18447">
        <f>IF(DATOS!$I18447="","",IFERROR(VLOOKUP(DATOS!$I18447,CONFIG_ASIGNATURAS!$B$2:$J$61,9,FALSE()),""))</f>
      </c>
    </row>
    <row r="18448">
      <c r="E18448">
        <f>IF(DATOS!$I18448="","",IFERROR(VLOOKUP(DATOS!$I18448,CONFIG_ASIGNATURAS!$B$2:$J$61,9,FALSE()),""))</f>
      </c>
    </row>
    <row r="18449">
      <c r="E18449">
        <f>IF(DATOS!$I18449="","",IFERROR(VLOOKUP(DATOS!$I18449,CONFIG_ASIGNATURAS!$B$2:$J$61,9,FALSE()),""))</f>
      </c>
    </row>
    <row r="18450">
      <c r="E18450">
        <f>IF(DATOS!$I18450="","",IFERROR(VLOOKUP(DATOS!$I18450,CONFIG_ASIGNATURAS!$B$2:$J$61,9,FALSE()),""))</f>
      </c>
    </row>
    <row r="18451">
      <c r="E18451">
        <f>IF(DATOS!$I18451="","",IFERROR(VLOOKUP(DATOS!$I18451,CONFIG_ASIGNATURAS!$B$2:$J$61,9,FALSE()),""))</f>
      </c>
    </row>
    <row r="18452">
      <c r="E18452">
        <f>IF(DATOS!$I18452="","",IFERROR(VLOOKUP(DATOS!$I18452,CONFIG_ASIGNATURAS!$B$2:$J$61,9,FALSE()),""))</f>
      </c>
    </row>
    <row r="18453">
      <c r="E18453">
        <f>IF(DATOS!$I18453="","",IFERROR(VLOOKUP(DATOS!$I18453,CONFIG_ASIGNATURAS!$B$2:$J$61,9,FALSE()),""))</f>
      </c>
    </row>
    <row r="18454">
      <c r="E18454">
        <f>IF(DATOS!$I18454="","",IFERROR(VLOOKUP(DATOS!$I18454,CONFIG_ASIGNATURAS!$B$2:$J$61,9,FALSE()),""))</f>
      </c>
    </row>
    <row r="18455">
      <c r="E18455">
        <f>IF(DATOS!$I18455="","",IFERROR(VLOOKUP(DATOS!$I18455,CONFIG_ASIGNATURAS!$B$2:$J$61,9,FALSE()),""))</f>
      </c>
    </row>
    <row r="18456">
      <c r="E18456">
        <f>IF(DATOS!$I18456="","",IFERROR(VLOOKUP(DATOS!$I18456,CONFIG_ASIGNATURAS!$B$2:$J$61,9,FALSE()),""))</f>
      </c>
    </row>
    <row r="18457">
      <c r="E18457">
        <f>IF(DATOS!$I18457="","",IFERROR(VLOOKUP(DATOS!$I18457,CONFIG_ASIGNATURAS!$B$2:$J$61,9,FALSE()),""))</f>
      </c>
    </row>
    <row r="18458">
      <c r="E18458">
        <f>IF(DATOS!$I18458="","",IFERROR(VLOOKUP(DATOS!$I18458,CONFIG_ASIGNATURAS!$B$2:$J$61,9,FALSE()),""))</f>
      </c>
    </row>
    <row r="18459">
      <c r="E18459">
        <f>IF(DATOS!$I18459="","",IFERROR(VLOOKUP(DATOS!$I18459,CONFIG_ASIGNATURAS!$B$2:$J$61,9,FALSE()),""))</f>
      </c>
    </row>
    <row r="18460">
      <c r="E18460">
        <f>IF(DATOS!$I18460="","",IFERROR(VLOOKUP(DATOS!$I18460,CONFIG_ASIGNATURAS!$B$2:$J$61,9,FALSE()),""))</f>
      </c>
    </row>
    <row r="18461">
      <c r="E18461">
        <f>IF(DATOS!$I18461="","",IFERROR(VLOOKUP(DATOS!$I18461,CONFIG_ASIGNATURAS!$B$2:$J$61,9,FALSE()),""))</f>
      </c>
    </row>
    <row r="18462">
      <c r="E18462">
        <f>IF(DATOS!$I18462="","",IFERROR(VLOOKUP(DATOS!$I18462,CONFIG_ASIGNATURAS!$B$2:$J$61,9,FALSE()),""))</f>
      </c>
    </row>
    <row r="18463">
      <c r="E18463">
        <f>IF(DATOS!$I18463="","",IFERROR(VLOOKUP(DATOS!$I18463,CONFIG_ASIGNATURAS!$B$2:$J$61,9,FALSE()),""))</f>
      </c>
    </row>
    <row r="18464">
      <c r="E18464">
        <f>IF(DATOS!$I18464="","",IFERROR(VLOOKUP(DATOS!$I18464,CONFIG_ASIGNATURAS!$B$2:$J$61,9,FALSE()),""))</f>
      </c>
    </row>
    <row r="18465">
      <c r="E18465">
        <f>IF(DATOS!$I18465="","",IFERROR(VLOOKUP(DATOS!$I18465,CONFIG_ASIGNATURAS!$B$2:$J$61,9,FALSE()),""))</f>
      </c>
    </row>
    <row r="18466">
      <c r="E18466">
        <f>IF(DATOS!$I18466="","",IFERROR(VLOOKUP(DATOS!$I18466,CONFIG_ASIGNATURAS!$B$2:$J$61,9,FALSE()),""))</f>
      </c>
    </row>
    <row r="18467">
      <c r="E18467">
        <f>IF(DATOS!$I18467="","",IFERROR(VLOOKUP(DATOS!$I18467,CONFIG_ASIGNATURAS!$B$2:$J$61,9,FALSE()),""))</f>
      </c>
    </row>
    <row r="18468">
      <c r="E18468">
        <f>IF(DATOS!$I18468="","",IFERROR(VLOOKUP(DATOS!$I18468,CONFIG_ASIGNATURAS!$B$2:$J$61,9,FALSE()),""))</f>
      </c>
    </row>
    <row r="18469">
      <c r="E18469">
        <f>IF(DATOS!$I18469="","",IFERROR(VLOOKUP(DATOS!$I18469,CONFIG_ASIGNATURAS!$B$2:$J$61,9,FALSE()),""))</f>
      </c>
    </row>
    <row r="18470">
      <c r="E18470">
        <f>IF(DATOS!$I18470="","",IFERROR(VLOOKUP(DATOS!$I18470,CONFIG_ASIGNATURAS!$B$2:$J$61,9,FALSE()),""))</f>
      </c>
    </row>
    <row r="18471">
      <c r="E18471">
        <f>IF(DATOS!$I18471="","",IFERROR(VLOOKUP(DATOS!$I18471,CONFIG_ASIGNATURAS!$B$2:$J$61,9,FALSE()),""))</f>
      </c>
    </row>
    <row r="18472">
      <c r="E18472">
        <f>IF(DATOS!$I18472="","",IFERROR(VLOOKUP(DATOS!$I18472,CONFIG_ASIGNATURAS!$B$2:$J$61,9,FALSE()),""))</f>
      </c>
    </row>
    <row r="18473">
      <c r="E18473">
        <f>IF(DATOS!$I18473="","",IFERROR(VLOOKUP(DATOS!$I18473,CONFIG_ASIGNATURAS!$B$2:$J$61,9,FALSE()),""))</f>
      </c>
    </row>
    <row r="18474">
      <c r="E18474">
        <f>IF(DATOS!$I18474="","",IFERROR(VLOOKUP(DATOS!$I18474,CONFIG_ASIGNATURAS!$B$2:$J$61,9,FALSE()),""))</f>
      </c>
    </row>
    <row r="18475">
      <c r="E18475">
        <f>IF(DATOS!$I18475="","",IFERROR(VLOOKUP(DATOS!$I18475,CONFIG_ASIGNATURAS!$B$2:$J$61,9,FALSE()),""))</f>
      </c>
    </row>
    <row r="18476">
      <c r="E18476">
        <f>IF(DATOS!$I18476="","",IFERROR(VLOOKUP(DATOS!$I18476,CONFIG_ASIGNATURAS!$B$2:$J$61,9,FALSE()),""))</f>
      </c>
    </row>
    <row r="18477">
      <c r="E18477">
        <f>IF(DATOS!$I18477="","",IFERROR(VLOOKUP(DATOS!$I18477,CONFIG_ASIGNATURAS!$B$2:$J$61,9,FALSE()),""))</f>
      </c>
    </row>
    <row r="18478">
      <c r="E18478">
        <f>IF(DATOS!$I18478="","",IFERROR(VLOOKUP(DATOS!$I18478,CONFIG_ASIGNATURAS!$B$2:$J$61,9,FALSE()),""))</f>
      </c>
    </row>
    <row r="18479">
      <c r="E18479">
        <f>IF(DATOS!$I18479="","",IFERROR(VLOOKUP(DATOS!$I18479,CONFIG_ASIGNATURAS!$B$2:$J$61,9,FALSE()),""))</f>
      </c>
    </row>
    <row r="18480">
      <c r="E18480">
        <f>IF(DATOS!$I18480="","",IFERROR(VLOOKUP(DATOS!$I18480,CONFIG_ASIGNATURAS!$B$2:$J$61,9,FALSE()),""))</f>
      </c>
    </row>
    <row r="18481">
      <c r="E18481">
        <f>IF(DATOS!$I18481="","",IFERROR(VLOOKUP(DATOS!$I18481,CONFIG_ASIGNATURAS!$B$2:$J$61,9,FALSE()),""))</f>
      </c>
    </row>
    <row r="18482">
      <c r="E18482">
        <f>IF(DATOS!$I18482="","",IFERROR(VLOOKUP(DATOS!$I18482,CONFIG_ASIGNATURAS!$B$2:$J$61,9,FALSE()),""))</f>
      </c>
    </row>
    <row r="18483">
      <c r="E18483">
        <f>IF(DATOS!$I18483="","",IFERROR(VLOOKUP(DATOS!$I18483,CONFIG_ASIGNATURAS!$B$2:$J$61,9,FALSE()),""))</f>
      </c>
    </row>
    <row r="18484">
      <c r="E18484">
        <f>IF(DATOS!$I18484="","",IFERROR(VLOOKUP(DATOS!$I18484,CONFIG_ASIGNATURAS!$B$2:$J$61,9,FALSE()),""))</f>
      </c>
    </row>
    <row r="18485">
      <c r="E18485">
        <f>IF(DATOS!$I18485="","",IFERROR(VLOOKUP(DATOS!$I18485,CONFIG_ASIGNATURAS!$B$2:$J$61,9,FALSE()),""))</f>
      </c>
    </row>
    <row r="18486">
      <c r="E18486">
        <f>IF(DATOS!$I18486="","",IFERROR(VLOOKUP(DATOS!$I18486,CONFIG_ASIGNATURAS!$B$2:$J$61,9,FALSE()),""))</f>
      </c>
    </row>
    <row r="18487">
      <c r="E18487">
        <f>IF(DATOS!$I18487="","",IFERROR(VLOOKUP(DATOS!$I18487,CONFIG_ASIGNATURAS!$B$2:$J$61,9,FALSE()),""))</f>
      </c>
    </row>
    <row r="18488">
      <c r="E18488">
        <f>IF(DATOS!$I18488="","",IFERROR(VLOOKUP(DATOS!$I18488,CONFIG_ASIGNATURAS!$B$2:$J$61,9,FALSE()),""))</f>
      </c>
    </row>
    <row r="18489">
      <c r="E18489">
        <f>IF(DATOS!$I18489="","",IFERROR(VLOOKUP(DATOS!$I18489,CONFIG_ASIGNATURAS!$B$2:$J$61,9,FALSE()),""))</f>
      </c>
    </row>
    <row r="18490">
      <c r="E18490">
        <f>IF(DATOS!$I18490="","",IFERROR(VLOOKUP(DATOS!$I18490,CONFIG_ASIGNATURAS!$B$2:$J$61,9,FALSE()),""))</f>
      </c>
    </row>
    <row r="18491">
      <c r="E18491">
        <f>IF(DATOS!$I18491="","",IFERROR(VLOOKUP(DATOS!$I18491,CONFIG_ASIGNATURAS!$B$2:$J$61,9,FALSE()),""))</f>
      </c>
    </row>
    <row r="18492">
      <c r="E18492">
        <f>IF(DATOS!$I18492="","",IFERROR(VLOOKUP(DATOS!$I18492,CONFIG_ASIGNATURAS!$B$2:$J$61,9,FALSE()),""))</f>
      </c>
    </row>
    <row r="18493">
      <c r="E18493">
        <f>IF(DATOS!$I18493="","",IFERROR(VLOOKUP(DATOS!$I18493,CONFIG_ASIGNATURAS!$B$2:$J$61,9,FALSE()),""))</f>
      </c>
    </row>
    <row r="18494">
      <c r="E18494">
        <f>IF(DATOS!$I18494="","",IFERROR(VLOOKUP(DATOS!$I18494,CONFIG_ASIGNATURAS!$B$2:$J$61,9,FALSE()),""))</f>
      </c>
    </row>
    <row r="18495">
      <c r="E18495">
        <f>IF(DATOS!$I18495="","",IFERROR(VLOOKUP(DATOS!$I18495,CONFIG_ASIGNATURAS!$B$2:$J$61,9,FALSE()),""))</f>
      </c>
    </row>
    <row r="18496">
      <c r="E18496">
        <f>IF(DATOS!$I18496="","",IFERROR(VLOOKUP(DATOS!$I18496,CONFIG_ASIGNATURAS!$B$2:$J$61,9,FALSE()),""))</f>
      </c>
    </row>
    <row r="18497">
      <c r="E18497">
        <f>IF(DATOS!$I18497="","",IFERROR(VLOOKUP(DATOS!$I18497,CONFIG_ASIGNATURAS!$B$2:$J$61,9,FALSE()),""))</f>
      </c>
    </row>
    <row r="18498">
      <c r="E18498">
        <f>IF(DATOS!$I18498="","",IFERROR(VLOOKUP(DATOS!$I18498,CONFIG_ASIGNATURAS!$B$2:$J$61,9,FALSE()),""))</f>
      </c>
    </row>
    <row r="18499">
      <c r="E18499">
        <f>IF(DATOS!$I18499="","",IFERROR(VLOOKUP(DATOS!$I18499,CONFIG_ASIGNATURAS!$B$2:$J$61,9,FALSE()),""))</f>
      </c>
    </row>
    <row r="18500">
      <c r="E18500">
        <f>IF(DATOS!$I18500="","",IFERROR(VLOOKUP(DATOS!$I18500,CONFIG_ASIGNATURAS!$B$2:$J$61,9,FALSE()),""))</f>
      </c>
    </row>
    <row r="18501">
      <c r="E18501">
        <f>IF(DATOS!$I18501="","",IFERROR(VLOOKUP(DATOS!$I18501,CONFIG_ASIGNATURAS!$B$2:$J$61,9,FALSE()),""))</f>
      </c>
    </row>
    <row r="18502">
      <c r="E18502">
        <f>IF(DATOS!$I18502="","",IFERROR(VLOOKUP(DATOS!$I18502,CONFIG_ASIGNATURAS!$B$2:$J$61,9,FALSE()),""))</f>
      </c>
    </row>
    <row r="18503">
      <c r="E18503">
        <f>IF(DATOS!$I18503="","",IFERROR(VLOOKUP(DATOS!$I18503,CONFIG_ASIGNATURAS!$B$2:$J$61,9,FALSE()),""))</f>
      </c>
    </row>
    <row r="18504">
      <c r="E18504">
        <f>IF(DATOS!$I18504="","",IFERROR(VLOOKUP(DATOS!$I18504,CONFIG_ASIGNATURAS!$B$2:$J$61,9,FALSE()),""))</f>
      </c>
    </row>
    <row r="18505">
      <c r="E18505">
        <f>IF(DATOS!$I18505="","",IFERROR(VLOOKUP(DATOS!$I18505,CONFIG_ASIGNATURAS!$B$2:$J$61,9,FALSE()),""))</f>
      </c>
    </row>
    <row r="18506">
      <c r="E18506">
        <f>IF(DATOS!$I18506="","",IFERROR(VLOOKUP(DATOS!$I18506,CONFIG_ASIGNATURAS!$B$2:$J$61,9,FALSE()),""))</f>
      </c>
    </row>
    <row r="18507">
      <c r="E18507">
        <f>IF(DATOS!$I18507="","",IFERROR(VLOOKUP(DATOS!$I18507,CONFIG_ASIGNATURAS!$B$2:$J$61,9,FALSE()),""))</f>
      </c>
    </row>
    <row r="18508">
      <c r="E18508">
        <f>IF(DATOS!$I18508="","",IFERROR(VLOOKUP(DATOS!$I18508,CONFIG_ASIGNATURAS!$B$2:$J$61,9,FALSE()),""))</f>
      </c>
    </row>
    <row r="18509">
      <c r="E18509">
        <f>IF(DATOS!$I18509="","",IFERROR(VLOOKUP(DATOS!$I18509,CONFIG_ASIGNATURAS!$B$2:$J$61,9,FALSE()),""))</f>
      </c>
    </row>
    <row r="18510">
      <c r="E18510">
        <f>IF(DATOS!$I18510="","",IFERROR(VLOOKUP(DATOS!$I18510,CONFIG_ASIGNATURAS!$B$2:$J$61,9,FALSE()),""))</f>
      </c>
    </row>
    <row r="18511">
      <c r="E18511">
        <f>IF(DATOS!$I18511="","",IFERROR(VLOOKUP(DATOS!$I18511,CONFIG_ASIGNATURAS!$B$2:$J$61,9,FALSE()),""))</f>
      </c>
    </row>
    <row r="18512">
      <c r="E18512">
        <f>IF(DATOS!$I18512="","",IFERROR(VLOOKUP(DATOS!$I18512,CONFIG_ASIGNATURAS!$B$2:$J$61,9,FALSE()),""))</f>
      </c>
    </row>
    <row r="18513">
      <c r="E18513">
        <f>IF(DATOS!$I18513="","",IFERROR(VLOOKUP(DATOS!$I18513,CONFIG_ASIGNATURAS!$B$2:$J$61,9,FALSE()),""))</f>
      </c>
    </row>
    <row r="18514">
      <c r="E18514">
        <f>IF(DATOS!$I18514="","",IFERROR(VLOOKUP(DATOS!$I18514,CONFIG_ASIGNATURAS!$B$2:$J$61,9,FALSE()),""))</f>
      </c>
    </row>
    <row r="18515">
      <c r="E18515">
        <f>IF(DATOS!$I18515="","",IFERROR(VLOOKUP(DATOS!$I18515,CONFIG_ASIGNATURAS!$B$2:$J$61,9,FALSE()),""))</f>
      </c>
    </row>
    <row r="18516">
      <c r="E18516">
        <f>IF(DATOS!$I18516="","",IFERROR(VLOOKUP(DATOS!$I18516,CONFIG_ASIGNATURAS!$B$2:$J$61,9,FALSE()),""))</f>
      </c>
    </row>
    <row r="18517">
      <c r="E18517">
        <f>IF(DATOS!$I18517="","",IFERROR(VLOOKUP(DATOS!$I18517,CONFIG_ASIGNATURAS!$B$2:$J$61,9,FALSE()),""))</f>
      </c>
    </row>
    <row r="18518">
      <c r="E18518">
        <f>IF(DATOS!$I18518="","",IFERROR(VLOOKUP(DATOS!$I18518,CONFIG_ASIGNATURAS!$B$2:$J$61,9,FALSE()),""))</f>
      </c>
    </row>
    <row r="18519">
      <c r="E18519">
        <f>IF(DATOS!$I18519="","",IFERROR(VLOOKUP(DATOS!$I18519,CONFIG_ASIGNATURAS!$B$2:$J$61,9,FALSE()),""))</f>
      </c>
    </row>
    <row r="18520">
      <c r="E18520">
        <f>IF(DATOS!$I18520="","",IFERROR(VLOOKUP(DATOS!$I18520,CONFIG_ASIGNATURAS!$B$2:$J$61,9,FALSE()),""))</f>
      </c>
    </row>
    <row r="18521">
      <c r="E18521">
        <f>IF(DATOS!$I18521="","",IFERROR(VLOOKUP(DATOS!$I18521,CONFIG_ASIGNATURAS!$B$2:$J$61,9,FALSE()),""))</f>
      </c>
    </row>
    <row r="18522">
      <c r="E18522">
        <f>IF(DATOS!$I18522="","",IFERROR(VLOOKUP(DATOS!$I18522,CONFIG_ASIGNATURAS!$B$2:$J$61,9,FALSE()),""))</f>
      </c>
    </row>
    <row r="18523">
      <c r="E18523">
        <f>IF(DATOS!$I18523="","",IFERROR(VLOOKUP(DATOS!$I18523,CONFIG_ASIGNATURAS!$B$2:$J$61,9,FALSE()),""))</f>
      </c>
    </row>
    <row r="18524">
      <c r="E18524">
        <f>IF(DATOS!$I18524="","",IFERROR(VLOOKUP(DATOS!$I18524,CONFIG_ASIGNATURAS!$B$2:$J$61,9,FALSE()),""))</f>
      </c>
    </row>
    <row r="18525">
      <c r="E18525">
        <f>IF(DATOS!$I18525="","",IFERROR(VLOOKUP(DATOS!$I18525,CONFIG_ASIGNATURAS!$B$2:$J$61,9,FALSE()),""))</f>
      </c>
    </row>
    <row r="18526">
      <c r="E18526">
        <f>IF(DATOS!$I18526="","",IFERROR(VLOOKUP(DATOS!$I18526,CONFIG_ASIGNATURAS!$B$2:$J$61,9,FALSE()),""))</f>
      </c>
    </row>
    <row r="18527">
      <c r="E18527">
        <f>IF(DATOS!$I18527="","",IFERROR(VLOOKUP(DATOS!$I18527,CONFIG_ASIGNATURAS!$B$2:$J$61,9,FALSE()),""))</f>
      </c>
    </row>
    <row r="18528">
      <c r="E18528">
        <f>IF(DATOS!$I18528="","",IFERROR(VLOOKUP(DATOS!$I18528,CONFIG_ASIGNATURAS!$B$2:$J$61,9,FALSE()),""))</f>
      </c>
    </row>
    <row r="18529">
      <c r="E18529">
        <f>IF(DATOS!$I18529="","",IFERROR(VLOOKUP(DATOS!$I18529,CONFIG_ASIGNATURAS!$B$2:$J$61,9,FALSE()),""))</f>
      </c>
    </row>
    <row r="18530">
      <c r="E18530">
        <f>IF(DATOS!$I18530="","",IFERROR(VLOOKUP(DATOS!$I18530,CONFIG_ASIGNATURAS!$B$2:$J$61,9,FALSE()),""))</f>
      </c>
    </row>
    <row r="18531">
      <c r="E18531">
        <f>IF(DATOS!$I18531="","",IFERROR(VLOOKUP(DATOS!$I18531,CONFIG_ASIGNATURAS!$B$2:$J$61,9,FALSE()),""))</f>
      </c>
    </row>
    <row r="18532">
      <c r="E18532">
        <f>IF(DATOS!$I18532="","",IFERROR(VLOOKUP(DATOS!$I18532,CONFIG_ASIGNATURAS!$B$2:$J$61,9,FALSE()),""))</f>
      </c>
    </row>
    <row r="18533">
      <c r="E18533">
        <f>IF(DATOS!$I18533="","",IFERROR(VLOOKUP(DATOS!$I18533,CONFIG_ASIGNATURAS!$B$2:$J$61,9,FALSE()),""))</f>
      </c>
    </row>
    <row r="18534">
      <c r="E18534">
        <f>IF(DATOS!$I18534="","",IFERROR(VLOOKUP(DATOS!$I18534,CONFIG_ASIGNATURAS!$B$2:$J$61,9,FALSE()),""))</f>
      </c>
    </row>
    <row r="18535">
      <c r="E18535">
        <f>IF(DATOS!$I18535="","",IFERROR(VLOOKUP(DATOS!$I18535,CONFIG_ASIGNATURAS!$B$2:$J$61,9,FALSE()),""))</f>
      </c>
    </row>
    <row r="18536">
      <c r="E18536">
        <f>IF(DATOS!$I18536="","",IFERROR(VLOOKUP(DATOS!$I18536,CONFIG_ASIGNATURAS!$B$2:$J$61,9,FALSE()),""))</f>
      </c>
    </row>
    <row r="18537">
      <c r="E18537">
        <f>IF(DATOS!$I18537="","",IFERROR(VLOOKUP(DATOS!$I18537,CONFIG_ASIGNATURAS!$B$2:$J$61,9,FALSE()),""))</f>
      </c>
    </row>
    <row r="18538">
      <c r="E18538">
        <f>IF(DATOS!$I18538="","",IFERROR(VLOOKUP(DATOS!$I18538,CONFIG_ASIGNATURAS!$B$2:$J$61,9,FALSE()),""))</f>
      </c>
    </row>
    <row r="18539">
      <c r="E18539">
        <f>IF(DATOS!$I18539="","",IFERROR(VLOOKUP(DATOS!$I18539,CONFIG_ASIGNATURAS!$B$2:$J$61,9,FALSE()),""))</f>
      </c>
    </row>
    <row r="18540">
      <c r="E18540">
        <f>IF(DATOS!$I18540="","",IFERROR(VLOOKUP(DATOS!$I18540,CONFIG_ASIGNATURAS!$B$2:$J$61,9,FALSE()),""))</f>
      </c>
    </row>
    <row r="18541">
      <c r="E18541">
        <f>IF(DATOS!$I18541="","",IFERROR(VLOOKUP(DATOS!$I18541,CONFIG_ASIGNATURAS!$B$2:$J$61,9,FALSE()),""))</f>
      </c>
    </row>
    <row r="18542">
      <c r="E18542">
        <f>IF(DATOS!$I18542="","",IFERROR(VLOOKUP(DATOS!$I18542,CONFIG_ASIGNATURAS!$B$2:$J$61,9,FALSE()),""))</f>
      </c>
    </row>
    <row r="18543">
      <c r="E18543">
        <f>IF(DATOS!$I18543="","",IFERROR(VLOOKUP(DATOS!$I18543,CONFIG_ASIGNATURAS!$B$2:$J$61,9,FALSE()),""))</f>
      </c>
    </row>
    <row r="18544">
      <c r="E18544">
        <f>IF(DATOS!$I18544="","",IFERROR(VLOOKUP(DATOS!$I18544,CONFIG_ASIGNATURAS!$B$2:$J$61,9,FALSE()),""))</f>
      </c>
    </row>
    <row r="18545">
      <c r="E18545">
        <f>IF(DATOS!$I18545="","",IFERROR(VLOOKUP(DATOS!$I18545,CONFIG_ASIGNATURAS!$B$2:$J$61,9,FALSE()),""))</f>
      </c>
    </row>
    <row r="18546">
      <c r="E18546">
        <f>IF(DATOS!$I18546="","",IFERROR(VLOOKUP(DATOS!$I18546,CONFIG_ASIGNATURAS!$B$2:$J$61,9,FALSE()),""))</f>
      </c>
    </row>
    <row r="18547">
      <c r="E18547">
        <f>IF(DATOS!$I18547="","",IFERROR(VLOOKUP(DATOS!$I18547,CONFIG_ASIGNATURAS!$B$2:$J$61,9,FALSE()),""))</f>
      </c>
    </row>
    <row r="18548">
      <c r="E18548">
        <f>IF(DATOS!$I18548="","",IFERROR(VLOOKUP(DATOS!$I18548,CONFIG_ASIGNATURAS!$B$2:$J$61,9,FALSE()),""))</f>
      </c>
    </row>
    <row r="18549">
      <c r="E18549">
        <f>IF(DATOS!$I18549="","",IFERROR(VLOOKUP(DATOS!$I18549,CONFIG_ASIGNATURAS!$B$2:$J$61,9,FALSE()),""))</f>
      </c>
    </row>
    <row r="18550">
      <c r="E18550">
        <f>IF(DATOS!$I18550="","",IFERROR(VLOOKUP(DATOS!$I18550,CONFIG_ASIGNATURAS!$B$2:$J$61,9,FALSE()),""))</f>
      </c>
    </row>
    <row r="18551">
      <c r="E18551">
        <f>IF(DATOS!$I18551="","",IFERROR(VLOOKUP(DATOS!$I18551,CONFIG_ASIGNATURAS!$B$2:$J$61,9,FALSE()),""))</f>
      </c>
    </row>
    <row r="18552">
      <c r="E18552">
        <f>IF(DATOS!$I18552="","",IFERROR(VLOOKUP(DATOS!$I18552,CONFIG_ASIGNATURAS!$B$2:$J$61,9,FALSE()),""))</f>
      </c>
    </row>
    <row r="18553">
      <c r="E18553">
        <f>IF(DATOS!$I18553="","",IFERROR(VLOOKUP(DATOS!$I18553,CONFIG_ASIGNATURAS!$B$2:$J$61,9,FALSE()),""))</f>
      </c>
    </row>
    <row r="18554">
      <c r="E18554">
        <f>IF(DATOS!$I18554="","",IFERROR(VLOOKUP(DATOS!$I18554,CONFIG_ASIGNATURAS!$B$2:$J$61,9,FALSE()),""))</f>
      </c>
    </row>
    <row r="18555">
      <c r="E18555">
        <f>IF(DATOS!$I18555="","",IFERROR(VLOOKUP(DATOS!$I18555,CONFIG_ASIGNATURAS!$B$2:$J$61,9,FALSE()),""))</f>
      </c>
    </row>
    <row r="18556">
      <c r="E18556">
        <f>IF(DATOS!$I18556="","",IFERROR(VLOOKUP(DATOS!$I18556,CONFIG_ASIGNATURAS!$B$2:$J$61,9,FALSE()),""))</f>
      </c>
    </row>
    <row r="18557">
      <c r="E18557">
        <f>IF(DATOS!$I18557="","",IFERROR(VLOOKUP(DATOS!$I18557,CONFIG_ASIGNATURAS!$B$2:$J$61,9,FALSE()),""))</f>
      </c>
    </row>
    <row r="18558">
      <c r="E18558">
        <f>IF(DATOS!$I18558="","",IFERROR(VLOOKUP(DATOS!$I18558,CONFIG_ASIGNATURAS!$B$2:$J$61,9,FALSE()),""))</f>
      </c>
    </row>
    <row r="18559">
      <c r="E18559">
        <f>IF(DATOS!$I18559="","",IFERROR(VLOOKUP(DATOS!$I18559,CONFIG_ASIGNATURAS!$B$2:$J$61,9,FALSE()),""))</f>
      </c>
    </row>
    <row r="18560">
      <c r="E18560">
        <f>IF(DATOS!$I18560="","",IFERROR(VLOOKUP(DATOS!$I18560,CONFIG_ASIGNATURAS!$B$2:$J$61,9,FALSE()),""))</f>
      </c>
    </row>
    <row r="18561">
      <c r="E18561">
        <f>IF(DATOS!$I18561="","",IFERROR(VLOOKUP(DATOS!$I18561,CONFIG_ASIGNATURAS!$B$2:$J$61,9,FALSE()),""))</f>
      </c>
    </row>
    <row r="18562">
      <c r="E18562">
        <f>IF(DATOS!$I18562="","",IFERROR(VLOOKUP(DATOS!$I18562,CONFIG_ASIGNATURAS!$B$2:$J$61,9,FALSE()),""))</f>
      </c>
    </row>
    <row r="18563">
      <c r="E18563">
        <f>IF(DATOS!$I18563="","",IFERROR(VLOOKUP(DATOS!$I18563,CONFIG_ASIGNATURAS!$B$2:$J$61,9,FALSE()),""))</f>
      </c>
    </row>
    <row r="18564">
      <c r="E18564">
        <f>IF(DATOS!$I18564="","",IFERROR(VLOOKUP(DATOS!$I18564,CONFIG_ASIGNATURAS!$B$2:$J$61,9,FALSE()),""))</f>
      </c>
    </row>
    <row r="18565">
      <c r="E18565">
        <f>IF(DATOS!$I18565="","",IFERROR(VLOOKUP(DATOS!$I18565,CONFIG_ASIGNATURAS!$B$2:$J$61,9,FALSE()),""))</f>
      </c>
    </row>
    <row r="18566">
      <c r="E18566">
        <f>IF(DATOS!$I18566="","",IFERROR(VLOOKUP(DATOS!$I18566,CONFIG_ASIGNATURAS!$B$2:$J$61,9,FALSE()),""))</f>
      </c>
    </row>
    <row r="18567">
      <c r="E18567">
        <f>IF(DATOS!$I18567="","",IFERROR(VLOOKUP(DATOS!$I18567,CONFIG_ASIGNATURAS!$B$2:$J$61,9,FALSE()),""))</f>
      </c>
    </row>
    <row r="18568">
      <c r="E18568">
        <f>IF(DATOS!$I18568="","",IFERROR(VLOOKUP(DATOS!$I18568,CONFIG_ASIGNATURAS!$B$2:$J$61,9,FALSE()),""))</f>
      </c>
    </row>
    <row r="18569">
      <c r="E18569">
        <f>IF(DATOS!$I18569="","",IFERROR(VLOOKUP(DATOS!$I18569,CONFIG_ASIGNATURAS!$B$2:$J$61,9,FALSE()),""))</f>
      </c>
    </row>
    <row r="18570">
      <c r="E18570">
        <f>IF(DATOS!$I18570="","",IFERROR(VLOOKUP(DATOS!$I18570,CONFIG_ASIGNATURAS!$B$2:$J$61,9,FALSE()),""))</f>
      </c>
    </row>
    <row r="18571">
      <c r="E18571">
        <f>IF(DATOS!$I18571="","",IFERROR(VLOOKUP(DATOS!$I18571,CONFIG_ASIGNATURAS!$B$2:$J$61,9,FALSE()),""))</f>
      </c>
    </row>
    <row r="18572">
      <c r="E18572">
        <f>IF(DATOS!$I18572="","",IFERROR(VLOOKUP(DATOS!$I18572,CONFIG_ASIGNATURAS!$B$2:$J$61,9,FALSE()),""))</f>
      </c>
    </row>
    <row r="18573">
      <c r="E18573">
        <f>IF(DATOS!$I18573="","",IFERROR(VLOOKUP(DATOS!$I18573,CONFIG_ASIGNATURAS!$B$2:$J$61,9,FALSE()),""))</f>
      </c>
    </row>
    <row r="18574">
      <c r="E18574">
        <f>IF(DATOS!$I18574="","",IFERROR(VLOOKUP(DATOS!$I18574,CONFIG_ASIGNATURAS!$B$2:$J$61,9,FALSE()),""))</f>
      </c>
    </row>
    <row r="18575">
      <c r="E18575">
        <f>IF(DATOS!$I18575="","",IFERROR(VLOOKUP(DATOS!$I18575,CONFIG_ASIGNATURAS!$B$2:$J$61,9,FALSE()),""))</f>
      </c>
    </row>
    <row r="18576">
      <c r="E18576">
        <f>IF(DATOS!$I18576="","",IFERROR(VLOOKUP(DATOS!$I18576,CONFIG_ASIGNATURAS!$B$2:$J$61,9,FALSE()),""))</f>
      </c>
    </row>
    <row r="18577">
      <c r="E18577">
        <f>IF(DATOS!$I18577="","",IFERROR(VLOOKUP(DATOS!$I18577,CONFIG_ASIGNATURAS!$B$2:$J$61,9,FALSE()),""))</f>
      </c>
    </row>
    <row r="18578">
      <c r="E18578">
        <f>IF(DATOS!$I18578="","",IFERROR(VLOOKUP(DATOS!$I18578,CONFIG_ASIGNATURAS!$B$2:$J$61,9,FALSE()),""))</f>
      </c>
    </row>
    <row r="18579">
      <c r="E18579">
        <f>IF(DATOS!$I18579="","",IFERROR(VLOOKUP(DATOS!$I18579,CONFIG_ASIGNATURAS!$B$2:$J$61,9,FALSE()),""))</f>
      </c>
    </row>
    <row r="18580">
      <c r="E18580">
        <f>IF(DATOS!$I18580="","",IFERROR(VLOOKUP(DATOS!$I18580,CONFIG_ASIGNATURAS!$B$2:$J$61,9,FALSE()),""))</f>
      </c>
    </row>
    <row r="18581">
      <c r="E18581">
        <f>IF(DATOS!$I18581="","",IFERROR(VLOOKUP(DATOS!$I18581,CONFIG_ASIGNATURAS!$B$2:$J$61,9,FALSE()),""))</f>
      </c>
    </row>
    <row r="18582">
      <c r="E18582">
        <f>IF(DATOS!$I18582="","",IFERROR(VLOOKUP(DATOS!$I18582,CONFIG_ASIGNATURAS!$B$2:$J$61,9,FALSE()),""))</f>
      </c>
    </row>
    <row r="18583">
      <c r="E18583">
        <f>IF(DATOS!$I18583="","",IFERROR(VLOOKUP(DATOS!$I18583,CONFIG_ASIGNATURAS!$B$2:$J$61,9,FALSE()),""))</f>
      </c>
    </row>
    <row r="18584">
      <c r="E18584">
        <f>IF(DATOS!$I18584="","",IFERROR(VLOOKUP(DATOS!$I18584,CONFIG_ASIGNATURAS!$B$2:$J$61,9,FALSE()),""))</f>
      </c>
    </row>
    <row r="18585">
      <c r="E18585">
        <f>IF(DATOS!$I18585="","",IFERROR(VLOOKUP(DATOS!$I18585,CONFIG_ASIGNATURAS!$B$2:$J$61,9,FALSE()),""))</f>
      </c>
    </row>
    <row r="18586">
      <c r="E18586">
        <f>IF(DATOS!$I18586="","",IFERROR(VLOOKUP(DATOS!$I18586,CONFIG_ASIGNATURAS!$B$2:$J$61,9,FALSE()),""))</f>
      </c>
    </row>
    <row r="18587">
      <c r="E18587">
        <f>IF(DATOS!$I18587="","",IFERROR(VLOOKUP(DATOS!$I18587,CONFIG_ASIGNATURAS!$B$2:$J$61,9,FALSE()),""))</f>
      </c>
    </row>
    <row r="18588">
      <c r="E18588">
        <f>IF(DATOS!$I18588="","",IFERROR(VLOOKUP(DATOS!$I18588,CONFIG_ASIGNATURAS!$B$2:$J$61,9,FALSE()),""))</f>
      </c>
    </row>
    <row r="18589">
      <c r="E18589">
        <f>IF(DATOS!$I18589="","",IFERROR(VLOOKUP(DATOS!$I18589,CONFIG_ASIGNATURAS!$B$2:$J$61,9,FALSE()),""))</f>
      </c>
    </row>
    <row r="18590">
      <c r="E18590">
        <f>IF(DATOS!$I18590="","",IFERROR(VLOOKUP(DATOS!$I18590,CONFIG_ASIGNATURAS!$B$2:$J$61,9,FALSE()),""))</f>
      </c>
    </row>
    <row r="18591">
      <c r="E18591">
        <f>IF(DATOS!$I18591="","",IFERROR(VLOOKUP(DATOS!$I18591,CONFIG_ASIGNATURAS!$B$2:$J$61,9,FALSE()),""))</f>
      </c>
    </row>
    <row r="18592">
      <c r="E18592">
        <f>IF(DATOS!$I18592="","",IFERROR(VLOOKUP(DATOS!$I18592,CONFIG_ASIGNATURAS!$B$2:$J$61,9,FALSE()),""))</f>
      </c>
    </row>
    <row r="18593">
      <c r="E18593">
        <f>IF(DATOS!$I18593="","",IFERROR(VLOOKUP(DATOS!$I18593,CONFIG_ASIGNATURAS!$B$2:$J$61,9,FALSE()),""))</f>
      </c>
    </row>
    <row r="18594">
      <c r="E18594">
        <f>IF(DATOS!$I18594="","",IFERROR(VLOOKUP(DATOS!$I18594,CONFIG_ASIGNATURAS!$B$2:$J$61,9,FALSE()),""))</f>
      </c>
    </row>
    <row r="18595">
      <c r="E18595">
        <f>IF(DATOS!$I18595="","",IFERROR(VLOOKUP(DATOS!$I18595,CONFIG_ASIGNATURAS!$B$2:$J$61,9,FALSE()),""))</f>
      </c>
    </row>
    <row r="18596">
      <c r="E18596">
        <f>IF(DATOS!$I18596="","",IFERROR(VLOOKUP(DATOS!$I18596,CONFIG_ASIGNATURAS!$B$2:$J$61,9,FALSE()),""))</f>
      </c>
    </row>
    <row r="18597">
      <c r="E18597">
        <f>IF(DATOS!$I18597="","",IFERROR(VLOOKUP(DATOS!$I18597,CONFIG_ASIGNATURAS!$B$2:$J$61,9,FALSE()),""))</f>
      </c>
    </row>
    <row r="18598">
      <c r="E18598">
        <f>IF(DATOS!$I18598="","",IFERROR(VLOOKUP(DATOS!$I18598,CONFIG_ASIGNATURAS!$B$2:$J$61,9,FALSE()),""))</f>
      </c>
    </row>
    <row r="18599">
      <c r="E18599">
        <f>IF(DATOS!$I18599="","",IFERROR(VLOOKUP(DATOS!$I18599,CONFIG_ASIGNATURAS!$B$2:$J$61,9,FALSE()),""))</f>
      </c>
    </row>
    <row r="18600">
      <c r="E18600">
        <f>IF(DATOS!$I18600="","",IFERROR(VLOOKUP(DATOS!$I18600,CONFIG_ASIGNATURAS!$B$2:$J$61,9,FALSE()),""))</f>
      </c>
    </row>
    <row r="18601">
      <c r="E18601">
        <f>IF(DATOS!$I18601="","",IFERROR(VLOOKUP(DATOS!$I18601,CONFIG_ASIGNATURAS!$B$2:$J$61,9,FALSE()),""))</f>
      </c>
    </row>
    <row r="18602">
      <c r="E18602">
        <f>IF(DATOS!$I18602="","",IFERROR(VLOOKUP(DATOS!$I18602,CONFIG_ASIGNATURAS!$B$2:$J$61,9,FALSE()),""))</f>
      </c>
    </row>
    <row r="18603">
      <c r="E18603">
        <f>IF(DATOS!$I18603="","",IFERROR(VLOOKUP(DATOS!$I18603,CONFIG_ASIGNATURAS!$B$2:$J$61,9,FALSE()),""))</f>
      </c>
    </row>
    <row r="18604">
      <c r="E18604">
        <f>IF(DATOS!$I18604="","",IFERROR(VLOOKUP(DATOS!$I18604,CONFIG_ASIGNATURAS!$B$2:$J$61,9,FALSE()),""))</f>
      </c>
    </row>
    <row r="18605">
      <c r="E18605">
        <f>IF(DATOS!$I18605="","",IFERROR(VLOOKUP(DATOS!$I18605,CONFIG_ASIGNATURAS!$B$2:$J$61,9,FALSE()),""))</f>
      </c>
    </row>
    <row r="18606">
      <c r="E18606">
        <f>IF(DATOS!$I18606="","",IFERROR(VLOOKUP(DATOS!$I18606,CONFIG_ASIGNATURAS!$B$2:$J$61,9,FALSE()),""))</f>
      </c>
    </row>
    <row r="18607">
      <c r="E18607">
        <f>IF(DATOS!$I18607="","",IFERROR(VLOOKUP(DATOS!$I18607,CONFIG_ASIGNATURAS!$B$2:$J$61,9,FALSE()),""))</f>
      </c>
    </row>
    <row r="18608">
      <c r="E18608">
        <f>IF(DATOS!$I18608="","",IFERROR(VLOOKUP(DATOS!$I18608,CONFIG_ASIGNATURAS!$B$2:$J$61,9,FALSE()),""))</f>
      </c>
    </row>
    <row r="18609">
      <c r="E18609">
        <f>IF(DATOS!$I18609="","",IFERROR(VLOOKUP(DATOS!$I18609,CONFIG_ASIGNATURAS!$B$2:$J$61,9,FALSE()),""))</f>
      </c>
    </row>
    <row r="18610">
      <c r="E18610">
        <f>IF(DATOS!$I18610="","",IFERROR(VLOOKUP(DATOS!$I18610,CONFIG_ASIGNATURAS!$B$2:$J$61,9,FALSE()),""))</f>
      </c>
    </row>
    <row r="18611">
      <c r="E18611">
        <f>IF(DATOS!$I18611="","",IFERROR(VLOOKUP(DATOS!$I18611,CONFIG_ASIGNATURAS!$B$2:$J$61,9,FALSE()),""))</f>
      </c>
    </row>
    <row r="18612">
      <c r="E18612">
        <f>IF(DATOS!$I18612="","",IFERROR(VLOOKUP(DATOS!$I18612,CONFIG_ASIGNATURAS!$B$2:$J$61,9,FALSE()),""))</f>
      </c>
    </row>
    <row r="18613">
      <c r="E18613">
        <f>IF(DATOS!$I18613="","",IFERROR(VLOOKUP(DATOS!$I18613,CONFIG_ASIGNATURAS!$B$2:$J$61,9,FALSE()),""))</f>
      </c>
    </row>
    <row r="18614">
      <c r="E18614">
        <f>IF(DATOS!$I18614="","",IFERROR(VLOOKUP(DATOS!$I18614,CONFIG_ASIGNATURAS!$B$2:$J$61,9,FALSE()),""))</f>
      </c>
    </row>
    <row r="18615">
      <c r="E18615">
        <f>IF(DATOS!$I18615="","",IFERROR(VLOOKUP(DATOS!$I18615,CONFIG_ASIGNATURAS!$B$2:$J$61,9,FALSE()),""))</f>
      </c>
    </row>
    <row r="18616">
      <c r="E18616">
        <f>IF(DATOS!$I18616="","",IFERROR(VLOOKUP(DATOS!$I18616,CONFIG_ASIGNATURAS!$B$2:$J$61,9,FALSE()),""))</f>
      </c>
    </row>
    <row r="18617">
      <c r="E18617">
        <f>IF(DATOS!$I18617="","",IFERROR(VLOOKUP(DATOS!$I18617,CONFIG_ASIGNATURAS!$B$2:$J$61,9,FALSE()),""))</f>
      </c>
    </row>
    <row r="18618">
      <c r="E18618">
        <f>IF(DATOS!$I18618="","",IFERROR(VLOOKUP(DATOS!$I18618,CONFIG_ASIGNATURAS!$B$2:$J$61,9,FALSE()),""))</f>
      </c>
    </row>
    <row r="18619">
      <c r="E18619">
        <f>IF(DATOS!$I18619="","",IFERROR(VLOOKUP(DATOS!$I18619,CONFIG_ASIGNATURAS!$B$2:$J$61,9,FALSE()),""))</f>
      </c>
    </row>
    <row r="18620">
      <c r="E18620">
        <f>IF(DATOS!$I18620="","",IFERROR(VLOOKUP(DATOS!$I18620,CONFIG_ASIGNATURAS!$B$2:$J$61,9,FALSE()),""))</f>
      </c>
    </row>
    <row r="18621">
      <c r="E18621">
        <f>IF(DATOS!$I18621="","",IFERROR(VLOOKUP(DATOS!$I18621,CONFIG_ASIGNATURAS!$B$2:$J$61,9,FALSE()),""))</f>
      </c>
    </row>
    <row r="18622">
      <c r="E18622">
        <f>IF(DATOS!$I18622="","",IFERROR(VLOOKUP(DATOS!$I18622,CONFIG_ASIGNATURAS!$B$2:$J$61,9,FALSE()),""))</f>
      </c>
    </row>
    <row r="18623">
      <c r="E18623">
        <f>IF(DATOS!$I18623="","",IFERROR(VLOOKUP(DATOS!$I18623,CONFIG_ASIGNATURAS!$B$2:$J$61,9,FALSE()),""))</f>
      </c>
    </row>
    <row r="18624">
      <c r="E18624">
        <f>IF(DATOS!$I18624="","",IFERROR(VLOOKUP(DATOS!$I18624,CONFIG_ASIGNATURAS!$B$2:$J$61,9,FALSE()),""))</f>
      </c>
    </row>
    <row r="18625">
      <c r="E18625">
        <f>IF(DATOS!$I18625="","",IFERROR(VLOOKUP(DATOS!$I18625,CONFIG_ASIGNATURAS!$B$2:$J$61,9,FALSE()),""))</f>
      </c>
    </row>
    <row r="18626">
      <c r="E18626">
        <f>IF(DATOS!$I18626="","",IFERROR(VLOOKUP(DATOS!$I18626,CONFIG_ASIGNATURAS!$B$2:$J$61,9,FALSE()),""))</f>
      </c>
    </row>
    <row r="18627">
      <c r="E18627">
        <f>IF(DATOS!$I18627="","",IFERROR(VLOOKUP(DATOS!$I18627,CONFIG_ASIGNATURAS!$B$2:$J$61,9,FALSE()),""))</f>
      </c>
    </row>
    <row r="18628">
      <c r="E18628">
        <f>IF(DATOS!$I18628="","",IFERROR(VLOOKUP(DATOS!$I18628,CONFIG_ASIGNATURAS!$B$2:$J$61,9,FALSE()),""))</f>
      </c>
    </row>
    <row r="18629">
      <c r="E18629">
        <f>IF(DATOS!$I18629="","",IFERROR(VLOOKUP(DATOS!$I18629,CONFIG_ASIGNATURAS!$B$2:$J$61,9,FALSE()),""))</f>
      </c>
    </row>
    <row r="18630">
      <c r="E18630">
        <f>IF(DATOS!$I18630="","",IFERROR(VLOOKUP(DATOS!$I18630,CONFIG_ASIGNATURAS!$B$2:$J$61,9,FALSE()),""))</f>
      </c>
    </row>
    <row r="18631">
      <c r="E18631">
        <f>IF(DATOS!$I18631="","",IFERROR(VLOOKUP(DATOS!$I18631,CONFIG_ASIGNATURAS!$B$2:$J$61,9,FALSE()),""))</f>
      </c>
    </row>
    <row r="18632">
      <c r="E18632">
        <f>IF(DATOS!$I18632="","",IFERROR(VLOOKUP(DATOS!$I18632,CONFIG_ASIGNATURAS!$B$2:$J$61,9,FALSE()),""))</f>
      </c>
    </row>
    <row r="18633">
      <c r="E18633">
        <f>IF(DATOS!$I18633="","",IFERROR(VLOOKUP(DATOS!$I18633,CONFIG_ASIGNATURAS!$B$2:$J$61,9,FALSE()),""))</f>
      </c>
    </row>
    <row r="18634">
      <c r="E18634">
        <f>IF(DATOS!$I18634="","",IFERROR(VLOOKUP(DATOS!$I18634,CONFIG_ASIGNATURAS!$B$2:$J$61,9,FALSE()),""))</f>
      </c>
    </row>
    <row r="18635">
      <c r="E18635">
        <f>IF(DATOS!$I18635="","",IFERROR(VLOOKUP(DATOS!$I18635,CONFIG_ASIGNATURAS!$B$2:$J$61,9,FALSE()),""))</f>
      </c>
    </row>
    <row r="18636">
      <c r="E18636">
        <f>IF(DATOS!$I18636="","",IFERROR(VLOOKUP(DATOS!$I18636,CONFIG_ASIGNATURAS!$B$2:$J$61,9,FALSE()),""))</f>
      </c>
    </row>
    <row r="18637">
      <c r="E18637">
        <f>IF(DATOS!$I18637="","",IFERROR(VLOOKUP(DATOS!$I18637,CONFIG_ASIGNATURAS!$B$2:$J$61,9,FALSE()),""))</f>
      </c>
    </row>
    <row r="18638">
      <c r="E18638">
        <f>IF(DATOS!$I18638="","",IFERROR(VLOOKUP(DATOS!$I18638,CONFIG_ASIGNATURAS!$B$2:$J$61,9,FALSE()),""))</f>
      </c>
    </row>
    <row r="18639">
      <c r="E18639">
        <f>IF(DATOS!$I18639="","",IFERROR(VLOOKUP(DATOS!$I18639,CONFIG_ASIGNATURAS!$B$2:$J$61,9,FALSE()),""))</f>
      </c>
    </row>
    <row r="18640">
      <c r="E18640">
        <f>IF(DATOS!$I18640="","",IFERROR(VLOOKUP(DATOS!$I18640,CONFIG_ASIGNATURAS!$B$2:$J$61,9,FALSE()),""))</f>
      </c>
    </row>
    <row r="18641">
      <c r="E18641">
        <f>IF(DATOS!$I18641="","",IFERROR(VLOOKUP(DATOS!$I18641,CONFIG_ASIGNATURAS!$B$2:$J$61,9,FALSE()),""))</f>
      </c>
    </row>
    <row r="18642">
      <c r="E18642">
        <f>IF(DATOS!$I18642="","",IFERROR(VLOOKUP(DATOS!$I18642,CONFIG_ASIGNATURAS!$B$2:$J$61,9,FALSE()),""))</f>
      </c>
    </row>
    <row r="18643">
      <c r="E18643">
        <f>IF(DATOS!$I18643="","",IFERROR(VLOOKUP(DATOS!$I18643,CONFIG_ASIGNATURAS!$B$2:$J$61,9,FALSE()),""))</f>
      </c>
    </row>
    <row r="18644">
      <c r="E18644">
        <f>IF(DATOS!$I18644="","",IFERROR(VLOOKUP(DATOS!$I18644,CONFIG_ASIGNATURAS!$B$2:$J$61,9,FALSE()),""))</f>
      </c>
    </row>
    <row r="18645">
      <c r="E18645">
        <f>IF(DATOS!$I18645="","",IFERROR(VLOOKUP(DATOS!$I18645,CONFIG_ASIGNATURAS!$B$2:$J$61,9,FALSE()),""))</f>
      </c>
    </row>
    <row r="18646">
      <c r="E18646">
        <f>IF(DATOS!$I18646="","",IFERROR(VLOOKUP(DATOS!$I18646,CONFIG_ASIGNATURAS!$B$2:$J$61,9,FALSE()),""))</f>
      </c>
    </row>
    <row r="18647">
      <c r="E18647">
        <f>IF(DATOS!$I18647="","",IFERROR(VLOOKUP(DATOS!$I18647,CONFIG_ASIGNATURAS!$B$2:$J$61,9,FALSE()),""))</f>
      </c>
    </row>
    <row r="18648">
      <c r="E18648">
        <f>IF(DATOS!$I18648="","",IFERROR(VLOOKUP(DATOS!$I18648,CONFIG_ASIGNATURAS!$B$2:$J$61,9,FALSE()),""))</f>
      </c>
    </row>
    <row r="18649">
      <c r="E18649">
        <f>IF(DATOS!$I18649="","",IFERROR(VLOOKUP(DATOS!$I18649,CONFIG_ASIGNATURAS!$B$2:$J$61,9,FALSE()),""))</f>
      </c>
    </row>
    <row r="18650">
      <c r="E18650">
        <f>IF(DATOS!$I18650="","",IFERROR(VLOOKUP(DATOS!$I18650,CONFIG_ASIGNATURAS!$B$2:$J$61,9,FALSE()),""))</f>
      </c>
    </row>
    <row r="18651">
      <c r="E18651">
        <f>IF(DATOS!$I18651="","",IFERROR(VLOOKUP(DATOS!$I18651,CONFIG_ASIGNATURAS!$B$2:$J$61,9,FALSE()),""))</f>
      </c>
    </row>
    <row r="18652">
      <c r="E18652">
        <f>IF(DATOS!$I18652="","",IFERROR(VLOOKUP(DATOS!$I18652,CONFIG_ASIGNATURAS!$B$2:$J$61,9,FALSE()),""))</f>
      </c>
    </row>
    <row r="18653">
      <c r="E18653">
        <f>IF(DATOS!$I18653="","",IFERROR(VLOOKUP(DATOS!$I18653,CONFIG_ASIGNATURAS!$B$2:$J$61,9,FALSE()),""))</f>
      </c>
    </row>
    <row r="18654">
      <c r="E18654">
        <f>IF(DATOS!$I18654="","",IFERROR(VLOOKUP(DATOS!$I18654,CONFIG_ASIGNATURAS!$B$2:$J$61,9,FALSE()),""))</f>
      </c>
    </row>
    <row r="18655">
      <c r="E18655">
        <f>IF(DATOS!$I18655="","",IFERROR(VLOOKUP(DATOS!$I18655,CONFIG_ASIGNATURAS!$B$2:$J$61,9,FALSE()),""))</f>
      </c>
    </row>
    <row r="18656">
      <c r="E18656">
        <f>IF(DATOS!$I18656="","",IFERROR(VLOOKUP(DATOS!$I18656,CONFIG_ASIGNATURAS!$B$2:$J$61,9,FALSE()),""))</f>
      </c>
    </row>
    <row r="18657">
      <c r="E18657">
        <f>IF(DATOS!$I18657="","",IFERROR(VLOOKUP(DATOS!$I18657,CONFIG_ASIGNATURAS!$B$2:$J$61,9,FALSE()),""))</f>
      </c>
    </row>
    <row r="18658">
      <c r="E18658">
        <f>IF(DATOS!$I18658="","",IFERROR(VLOOKUP(DATOS!$I18658,CONFIG_ASIGNATURAS!$B$2:$J$61,9,FALSE()),""))</f>
      </c>
    </row>
    <row r="18659">
      <c r="E18659">
        <f>IF(DATOS!$I18659="","",IFERROR(VLOOKUP(DATOS!$I18659,CONFIG_ASIGNATURAS!$B$2:$J$61,9,FALSE()),""))</f>
      </c>
    </row>
    <row r="18660">
      <c r="E18660">
        <f>IF(DATOS!$I18660="","",IFERROR(VLOOKUP(DATOS!$I18660,CONFIG_ASIGNATURAS!$B$2:$J$61,9,FALSE()),""))</f>
      </c>
    </row>
    <row r="18661">
      <c r="E18661">
        <f>IF(DATOS!$I18661="","",IFERROR(VLOOKUP(DATOS!$I18661,CONFIG_ASIGNATURAS!$B$2:$J$61,9,FALSE()),""))</f>
      </c>
    </row>
    <row r="18662">
      <c r="E18662">
        <f>IF(DATOS!$I18662="","",IFERROR(VLOOKUP(DATOS!$I18662,CONFIG_ASIGNATURAS!$B$2:$J$61,9,FALSE()),""))</f>
      </c>
    </row>
    <row r="18663">
      <c r="E18663">
        <f>IF(DATOS!$I18663="","",IFERROR(VLOOKUP(DATOS!$I18663,CONFIG_ASIGNATURAS!$B$2:$J$61,9,FALSE()),""))</f>
      </c>
    </row>
    <row r="18664">
      <c r="E18664">
        <f>IF(DATOS!$I18664="","",IFERROR(VLOOKUP(DATOS!$I18664,CONFIG_ASIGNATURAS!$B$2:$J$61,9,FALSE()),""))</f>
      </c>
    </row>
    <row r="18665">
      <c r="E18665">
        <f>IF(DATOS!$I18665="","",IFERROR(VLOOKUP(DATOS!$I18665,CONFIG_ASIGNATURAS!$B$2:$J$61,9,FALSE()),""))</f>
      </c>
    </row>
    <row r="18666">
      <c r="E18666">
        <f>IF(DATOS!$I18666="","",IFERROR(VLOOKUP(DATOS!$I18666,CONFIG_ASIGNATURAS!$B$2:$J$61,9,FALSE()),""))</f>
      </c>
    </row>
    <row r="18667">
      <c r="E18667">
        <f>IF(DATOS!$I18667="","",IFERROR(VLOOKUP(DATOS!$I18667,CONFIG_ASIGNATURAS!$B$2:$J$61,9,FALSE()),""))</f>
      </c>
    </row>
    <row r="18668">
      <c r="E18668">
        <f>IF(DATOS!$I18668="","",IFERROR(VLOOKUP(DATOS!$I18668,CONFIG_ASIGNATURAS!$B$2:$J$61,9,FALSE()),""))</f>
      </c>
    </row>
    <row r="18669">
      <c r="E18669">
        <f>IF(DATOS!$I18669="","",IFERROR(VLOOKUP(DATOS!$I18669,CONFIG_ASIGNATURAS!$B$2:$J$61,9,FALSE()),""))</f>
      </c>
    </row>
    <row r="18670">
      <c r="E18670">
        <f>IF(DATOS!$I18670="","",IFERROR(VLOOKUP(DATOS!$I18670,CONFIG_ASIGNATURAS!$B$2:$J$61,9,FALSE()),""))</f>
      </c>
    </row>
    <row r="18671">
      <c r="E18671">
        <f>IF(DATOS!$I18671="","",IFERROR(VLOOKUP(DATOS!$I18671,CONFIG_ASIGNATURAS!$B$2:$J$61,9,FALSE()),""))</f>
      </c>
    </row>
    <row r="18672">
      <c r="E18672">
        <f>IF(DATOS!$I18672="","",IFERROR(VLOOKUP(DATOS!$I18672,CONFIG_ASIGNATURAS!$B$2:$J$61,9,FALSE()),""))</f>
      </c>
    </row>
    <row r="18673">
      <c r="E18673">
        <f>IF(DATOS!$I18673="","",IFERROR(VLOOKUP(DATOS!$I18673,CONFIG_ASIGNATURAS!$B$2:$J$61,9,FALSE()),""))</f>
      </c>
    </row>
    <row r="18674">
      <c r="E18674">
        <f>IF(DATOS!$I18674="","",IFERROR(VLOOKUP(DATOS!$I18674,CONFIG_ASIGNATURAS!$B$2:$J$61,9,FALSE()),""))</f>
      </c>
    </row>
    <row r="18675">
      <c r="E18675">
        <f>IF(DATOS!$I18675="","",IFERROR(VLOOKUP(DATOS!$I18675,CONFIG_ASIGNATURAS!$B$2:$J$61,9,FALSE()),""))</f>
      </c>
    </row>
    <row r="18676">
      <c r="E18676">
        <f>IF(DATOS!$I18676="","",IFERROR(VLOOKUP(DATOS!$I18676,CONFIG_ASIGNATURAS!$B$2:$J$61,9,FALSE()),""))</f>
      </c>
    </row>
    <row r="18677">
      <c r="E18677">
        <f>IF(DATOS!$I18677="","",IFERROR(VLOOKUP(DATOS!$I18677,CONFIG_ASIGNATURAS!$B$2:$J$61,9,FALSE()),""))</f>
      </c>
    </row>
    <row r="18678">
      <c r="E18678">
        <f>IF(DATOS!$I18678="","",IFERROR(VLOOKUP(DATOS!$I18678,CONFIG_ASIGNATURAS!$B$2:$J$61,9,FALSE()),""))</f>
      </c>
    </row>
    <row r="18679">
      <c r="E18679">
        <f>IF(DATOS!$I18679="","",IFERROR(VLOOKUP(DATOS!$I18679,CONFIG_ASIGNATURAS!$B$2:$J$61,9,FALSE()),""))</f>
      </c>
    </row>
    <row r="18680">
      <c r="E18680">
        <f>IF(DATOS!$I18680="","",IFERROR(VLOOKUP(DATOS!$I18680,CONFIG_ASIGNATURAS!$B$2:$J$61,9,FALSE()),""))</f>
      </c>
    </row>
    <row r="18681">
      <c r="E18681">
        <f>IF(DATOS!$I18681="","",IFERROR(VLOOKUP(DATOS!$I18681,CONFIG_ASIGNATURAS!$B$2:$J$61,9,FALSE()),""))</f>
      </c>
    </row>
    <row r="18682">
      <c r="E18682">
        <f>IF(DATOS!$I18682="","",IFERROR(VLOOKUP(DATOS!$I18682,CONFIG_ASIGNATURAS!$B$2:$J$61,9,FALSE()),""))</f>
      </c>
    </row>
    <row r="18683">
      <c r="E18683">
        <f>IF(DATOS!$I18683="","",IFERROR(VLOOKUP(DATOS!$I18683,CONFIG_ASIGNATURAS!$B$2:$J$61,9,FALSE()),""))</f>
      </c>
    </row>
    <row r="18684">
      <c r="E18684">
        <f>IF(DATOS!$I18684="","",IFERROR(VLOOKUP(DATOS!$I18684,CONFIG_ASIGNATURAS!$B$2:$J$61,9,FALSE()),""))</f>
      </c>
    </row>
    <row r="18685">
      <c r="E18685">
        <f>IF(DATOS!$I18685="","",IFERROR(VLOOKUP(DATOS!$I18685,CONFIG_ASIGNATURAS!$B$2:$J$61,9,FALSE()),""))</f>
      </c>
    </row>
    <row r="18686">
      <c r="E18686">
        <f>IF(DATOS!$I18686="","",IFERROR(VLOOKUP(DATOS!$I18686,CONFIG_ASIGNATURAS!$B$2:$J$61,9,FALSE()),""))</f>
      </c>
    </row>
    <row r="18687">
      <c r="E18687">
        <f>IF(DATOS!$I18687="","",IFERROR(VLOOKUP(DATOS!$I18687,CONFIG_ASIGNATURAS!$B$2:$J$61,9,FALSE()),""))</f>
      </c>
    </row>
    <row r="18688">
      <c r="E18688">
        <f>IF(DATOS!$I18688="","",IFERROR(VLOOKUP(DATOS!$I18688,CONFIG_ASIGNATURAS!$B$2:$J$61,9,FALSE()),""))</f>
      </c>
    </row>
    <row r="18689">
      <c r="E18689">
        <f>IF(DATOS!$I18689="","",IFERROR(VLOOKUP(DATOS!$I18689,CONFIG_ASIGNATURAS!$B$2:$J$61,9,FALSE()),""))</f>
      </c>
    </row>
    <row r="18690">
      <c r="E18690">
        <f>IF(DATOS!$I18690="","",IFERROR(VLOOKUP(DATOS!$I18690,CONFIG_ASIGNATURAS!$B$2:$J$61,9,FALSE()),""))</f>
      </c>
    </row>
    <row r="18691">
      <c r="E18691">
        <f>IF(DATOS!$I18691="","",IFERROR(VLOOKUP(DATOS!$I18691,CONFIG_ASIGNATURAS!$B$2:$J$61,9,FALSE()),""))</f>
      </c>
    </row>
    <row r="18692">
      <c r="E18692">
        <f>IF(DATOS!$I18692="","",IFERROR(VLOOKUP(DATOS!$I18692,CONFIG_ASIGNATURAS!$B$2:$J$61,9,FALSE()),""))</f>
      </c>
    </row>
    <row r="18693">
      <c r="E18693">
        <f>IF(DATOS!$I18693="","",IFERROR(VLOOKUP(DATOS!$I18693,CONFIG_ASIGNATURAS!$B$2:$J$61,9,FALSE()),""))</f>
      </c>
    </row>
    <row r="18694">
      <c r="E18694">
        <f>IF(DATOS!$I18694="","",IFERROR(VLOOKUP(DATOS!$I18694,CONFIG_ASIGNATURAS!$B$2:$J$61,9,FALSE()),""))</f>
      </c>
    </row>
    <row r="18695">
      <c r="E18695">
        <f>IF(DATOS!$I18695="","",IFERROR(VLOOKUP(DATOS!$I18695,CONFIG_ASIGNATURAS!$B$2:$J$61,9,FALSE()),""))</f>
      </c>
    </row>
    <row r="18696">
      <c r="E18696">
        <f>IF(DATOS!$I18696="","",IFERROR(VLOOKUP(DATOS!$I18696,CONFIG_ASIGNATURAS!$B$2:$J$61,9,FALSE()),""))</f>
      </c>
    </row>
    <row r="18697">
      <c r="E18697">
        <f>IF(DATOS!$I18697="","",IFERROR(VLOOKUP(DATOS!$I18697,CONFIG_ASIGNATURAS!$B$2:$J$61,9,FALSE()),""))</f>
      </c>
    </row>
    <row r="18698">
      <c r="E18698">
        <f>IF(DATOS!$I18698="","",IFERROR(VLOOKUP(DATOS!$I18698,CONFIG_ASIGNATURAS!$B$2:$J$61,9,FALSE()),""))</f>
      </c>
    </row>
    <row r="18699">
      <c r="E18699">
        <f>IF(DATOS!$I18699="","",IFERROR(VLOOKUP(DATOS!$I18699,CONFIG_ASIGNATURAS!$B$2:$J$61,9,FALSE()),""))</f>
      </c>
    </row>
    <row r="18700">
      <c r="E18700">
        <f>IF(DATOS!$I18700="","",IFERROR(VLOOKUP(DATOS!$I18700,CONFIG_ASIGNATURAS!$B$2:$J$61,9,FALSE()),""))</f>
      </c>
    </row>
    <row r="18701">
      <c r="E18701">
        <f>IF(DATOS!$I18701="","",IFERROR(VLOOKUP(DATOS!$I18701,CONFIG_ASIGNATURAS!$B$2:$J$61,9,FALSE()),""))</f>
      </c>
    </row>
    <row r="18702">
      <c r="E18702">
        <f>IF(DATOS!$I18702="","",IFERROR(VLOOKUP(DATOS!$I18702,CONFIG_ASIGNATURAS!$B$2:$J$61,9,FALSE()),""))</f>
      </c>
    </row>
    <row r="18703">
      <c r="E18703">
        <f>IF(DATOS!$I18703="","",IFERROR(VLOOKUP(DATOS!$I18703,CONFIG_ASIGNATURAS!$B$2:$J$61,9,FALSE()),""))</f>
      </c>
    </row>
    <row r="18704">
      <c r="E18704">
        <f>IF(DATOS!$I18704="","",IFERROR(VLOOKUP(DATOS!$I18704,CONFIG_ASIGNATURAS!$B$2:$J$61,9,FALSE()),""))</f>
      </c>
    </row>
    <row r="18705">
      <c r="E18705">
        <f>IF(DATOS!$I18705="","",IFERROR(VLOOKUP(DATOS!$I18705,CONFIG_ASIGNATURAS!$B$2:$J$61,9,FALSE()),""))</f>
      </c>
    </row>
    <row r="18706">
      <c r="E18706">
        <f>IF(DATOS!$I18706="","",IFERROR(VLOOKUP(DATOS!$I18706,CONFIG_ASIGNATURAS!$B$2:$J$61,9,FALSE()),""))</f>
      </c>
    </row>
    <row r="18707">
      <c r="E18707">
        <f>IF(DATOS!$I18707="","",IFERROR(VLOOKUP(DATOS!$I18707,CONFIG_ASIGNATURAS!$B$2:$J$61,9,FALSE()),""))</f>
      </c>
    </row>
    <row r="18708">
      <c r="E18708">
        <f>IF(DATOS!$I18708="","",IFERROR(VLOOKUP(DATOS!$I18708,CONFIG_ASIGNATURAS!$B$2:$J$61,9,FALSE()),""))</f>
      </c>
    </row>
    <row r="18709">
      <c r="E18709">
        <f>IF(DATOS!$I18709="","",IFERROR(VLOOKUP(DATOS!$I18709,CONFIG_ASIGNATURAS!$B$2:$J$61,9,FALSE()),""))</f>
      </c>
    </row>
    <row r="18710">
      <c r="E18710">
        <f>IF(DATOS!$I18710="","",IFERROR(VLOOKUP(DATOS!$I18710,CONFIG_ASIGNATURAS!$B$2:$J$61,9,FALSE()),""))</f>
      </c>
    </row>
    <row r="18711">
      <c r="E18711">
        <f>IF(DATOS!$I18711="","",IFERROR(VLOOKUP(DATOS!$I18711,CONFIG_ASIGNATURAS!$B$2:$J$61,9,FALSE()),""))</f>
      </c>
    </row>
    <row r="18712">
      <c r="E18712">
        <f>IF(DATOS!$I18712="","",IFERROR(VLOOKUP(DATOS!$I18712,CONFIG_ASIGNATURAS!$B$2:$J$61,9,FALSE()),""))</f>
      </c>
    </row>
    <row r="18713">
      <c r="E18713">
        <f>IF(DATOS!$I18713="","",IFERROR(VLOOKUP(DATOS!$I18713,CONFIG_ASIGNATURAS!$B$2:$J$61,9,FALSE()),""))</f>
      </c>
    </row>
    <row r="18714">
      <c r="E18714">
        <f>IF(DATOS!$I18714="","",IFERROR(VLOOKUP(DATOS!$I18714,CONFIG_ASIGNATURAS!$B$2:$J$61,9,FALSE()),""))</f>
      </c>
    </row>
    <row r="18715">
      <c r="E18715">
        <f>IF(DATOS!$I18715="","",IFERROR(VLOOKUP(DATOS!$I18715,CONFIG_ASIGNATURAS!$B$2:$J$61,9,FALSE()),""))</f>
      </c>
    </row>
    <row r="18716">
      <c r="E18716">
        <f>IF(DATOS!$I18716="","",IFERROR(VLOOKUP(DATOS!$I18716,CONFIG_ASIGNATURAS!$B$2:$J$61,9,FALSE()),""))</f>
      </c>
    </row>
    <row r="18717">
      <c r="E18717">
        <f>IF(DATOS!$I18717="","",IFERROR(VLOOKUP(DATOS!$I18717,CONFIG_ASIGNATURAS!$B$2:$J$61,9,FALSE()),""))</f>
      </c>
    </row>
    <row r="18718">
      <c r="E18718">
        <f>IF(DATOS!$I18718="","",IFERROR(VLOOKUP(DATOS!$I18718,CONFIG_ASIGNATURAS!$B$2:$J$61,9,FALSE()),""))</f>
      </c>
    </row>
    <row r="18719">
      <c r="E18719">
        <f>IF(DATOS!$I18719="","",IFERROR(VLOOKUP(DATOS!$I18719,CONFIG_ASIGNATURAS!$B$2:$J$61,9,FALSE()),""))</f>
      </c>
    </row>
    <row r="18720">
      <c r="E18720">
        <f>IF(DATOS!$I18720="","",IFERROR(VLOOKUP(DATOS!$I18720,CONFIG_ASIGNATURAS!$B$2:$J$61,9,FALSE()),""))</f>
      </c>
    </row>
    <row r="18721">
      <c r="E18721">
        <f>IF(DATOS!$I18721="","",IFERROR(VLOOKUP(DATOS!$I18721,CONFIG_ASIGNATURAS!$B$2:$J$61,9,FALSE()),""))</f>
      </c>
    </row>
    <row r="18722">
      <c r="E18722">
        <f>IF(DATOS!$I18722="","",IFERROR(VLOOKUP(DATOS!$I18722,CONFIG_ASIGNATURAS!$B$2:$J$61,9,FALSE()),""))</f>
      </c>
    </row>
    <row r="18723">
      <c r="E18723">
        <f>IF(DATOS!$I18723="","",IFERROR(VLOOKUP(DATOS!$I18723,CONFIG_ASIGNATURAS!$B$2:$J$61,9,FALSE()),""))</f>
      </c>
    </row>
    <row r="18724">
      <c r="E18724">
        <f>IF(DATOS!$I18724="","",IFERROR(VLOOKUP(DATOS!$I18724,CONFIG_ASIGNATURAS!$B$2:$J$61,9,FALSE()),""))</f>
      </c>
    </row>
    <row r="18725">
      <c r="E18725">
        <f>IF(DATOS!$I18725="","",IFERROR(VLOOKUP(DATOS!$I18725,CONFIG_ASIGNATURAS!$B$2:$J$61,9,FALSE()),""))</f>
      </c>
    </row>
    <row r="18726">
      <c r="E18726">
        <f>IF(DATOS!$I18726="","",IFERROR(VLOOKUP(DATOS!$I18726,CONFIG_ASIGNATURAS!$B$2:$J$61,9,FALSE()),""))</f>
      </c>
    </row>
    <row r="18727">
      <c r="E18727">
        <f>IF(DATOS!$I18727="","",IFERROR(VLOOKUP(DATOS!$I18727,CONFIG_ASIGNATURAS!$B$2:$J$61,9,FALSE()),""))</f>
      </c>
    </row>
    <row r="18728">
      <c r="E18728">
        <f>IF(DATOS!$I18728="","",IFERROR(VLOOKUP(DATOS!$I18728,CONFIG_ASIGNATURAS!$B$2:$J$61,9,FALSE()),""))</f>
      </c>
    </row>
    <row r="18729">
      <c r="E18729">
        <f>IF(DATOS!$I18729="","",IFERROR(VLOOKUP(DATOS!$I18729,CONFIG_ASIGNATURAS!$B$2:$J$61,9,FALSE()),""))</f>
      </c>
    </row>
    <row r="18730">
      <c r="E18730">
        <f>IF(DATOS!$I18730="","",IFERROR(VLOOKUP(DATOS!$I18730,CONFIG_ASIGNATURAS!$B$2:$J$61,9,FALSE()),""))</f>
      </c>
    </row>
    <row r="18731">
      <c r="E18731">
        <f>IF(DATOS!$I18731="","",IFERROR(VLOOKUP(DATOS!$I18731,CONFIG_ASIGNATURAS!$B$2:$J$61,9,FALSE()),""))</f>
      </c>
    </row>
    <row r="18732">
      <c r="E18732">
        <f>IF(DATOS!$I18732="","",IFERROR(VLOOKUP(DATOS!$I18732,CONFIG_ASIGNATURAS!$B$2:$J$61,9,FALSE()),""))</f>
      </c>
    </row>
    <row r="18733">
      <c r="E18733">
        <f>IF(DATOS!$I18733="","",IFERROR(VLOOKUP(DATOS!$I18733,CONFIG_ASIGNATURAS!$B$2:$J$61,9,FALSE()),""))</f>
      </c>
    </row>
    <row r="18734">
      <c r="E18734">
        <f>IF(DATOS!$I18734="","",IFERROR(VLOOKUP(DATOS!$I18734,CONFIG_ASIGNATURAS!$B$2:$J$61,9,FALSE()),""))</f>
      </c>
    </row>
    <row r="18735">
      <c r="E18735">
        <f>IF(DATOS!$I18735="","",IFERROR(VLOOKUP(DATOS!$I18735,CONFIG_ASIGNATURAS!$B$2:$J$61,9,FALSE()),""))</f>
      </c>
    </row>
    <row r="18736">
      <c r="E18736">
        <f>IF(DATOS!$I18736="","",IFERROR(VLOOKUP(DATOS!$I18736,CONFIG_ASIGNATURAS!$B$2:$J$61,9,FALSE()),""))</f>
      </c>
    </row>
    <row r="18737">
      <c r="E18737">
        <f>IF(DATOS!$I18737="","",IFERROR(VLOOKUP(DATOS!$I18737,CONFIG_ASIGNATURAS!$B$2:$J$61,9,FALSE()),""))</f>
      </c>
    </row>
    <row r="18738">
      <c r="E18738">
        <f>IF(DATOS!$I18738="","",IFERROR(VLOOKUP(DATOS!$I18738,CONFIG_ASIGNATURAS!$B$2:$J$61,9,FALSE()),""))</f>
      </c>
    </row>
    <row r="18739">
      <c r="E18739">
        <f>IF(DATOS!$I18739="","",IFERROR(VLOOKUP(DATOS!$I18739,CONFIG_ASIGNATURAS!$B$2:$J$61,9,FALSE()),""))</f>
      </c>
    </row>
    <row r="18740">
      <c r="E18740">
        <f>IF(DATOS!$I18740="","",IFERROR(VLOOKUP(DATOS!$I18740,CONFIG_ASIGNATURAS!$B$2:$J$61,9,FALSE()),""))</f>
      </c>
    </row>
    <row r="18741">
      <c r="E18741">
        <f>IF(DATOS!$I18741="","",IFERROR(VLOOKUP(DATOS!$I18741,CONFIG_ASIGNATURAS!$B$2:$J$61,9,FALSE()),""))</f>
      </c>
    </row>
    <row r="18742">
      <c r="E18742">
        <f>IF(DATOS!$I18742="","",IFERROR(VLOOKUP(DATOS!$I18742,CONFIG_ASIGNATURAS!$B$2:$J$61,9,FALSE()),""))</f>
      </c>
    </row>
    <row r="18743">
      <c r="E18743">
        <f>IF(DATOS!$I18743="","",IFERROR(VLOOKUP(DATOS!$I18743,CONFIG_ASIGNATURAS!$B$2:$J$61,9,FALSE()),""))</f>
      </c>
    </row>
    <row r="18744">
      <c r="E18744">
        <f>IF(DATOS!$I18744="","",IFERROR(VLOOKUP(DATOS!$I18744,CONFIG_ASIGNATURAS!$B$2:$J$61,9,FALSE()),""))</f>
      </c>
    </row>
    <row r="18745">
      <c r="E18745">
        <f>IF(DATOS!$I18745="","",IFERROR(VLOOKUP(DATOS!$I18745,CONFIG_ASIGNATURAS!$B$2:$J$61,9,FALSE()),""))</f>
      </c>
    </row>
    <row r="18746">
      <c r="E18746">
        <f>IF(DATOS!$I18746="","",IFERROR(VLOOKUP(DATOS!$I18746,CONFIG_ASIGNATURAS!$B$2:$J$61,9,FALSE()),""))</f>
      </c>
    </row>
    <row r="18747">
      <c r="E18747">
        <f>IF(DATOS!$I18747="","",IFERROR(VLOOKUP(DATOS!$I18747,CONFIG_ASIGNATURAS!$B$2:$J$61,9,FALSE()),""))</f>
      </c>
    </row>
    <row r="18748">
      <c r="E18748">
        <f>IF(DATOS!$I18748="","",IFERROR(VLOOKUP(DATOS!$I18748,CONFIG_ASIGNATURAS!$B$2:$J$61,9,FALSE()),""))</f>
      </c>
    </row>
    <row r="18749">
      <c r="E18749">
        <f>IF(DATOS!$I18749="","",IFERROR(VLOOKUP(DATOS!$I18749,CONFIG_ASIGNATURAS!$B$2:$J$61,9,FALSE()),""))</f>
      </c>
    </row>
    <row r="18750">
      <c r="E18750">
        <f>IF(DATOS!$I18750="","",IFERROR(VLOOKUP(DATOS!$I18750,CONFIG_ASIGNATURAS!$B$2:$J$61,9,FALSE()),""))</f>
      </c>
    </row>
    <row r="18751">
      <c r="E18751">
        <f>IF(DATOS!$I18751="","",IFERROR(VLOOKUP(DATOS!$I18751,CONFIG_ASIGNATURAS!$B$2:$J$61,9,FALSE()),""))</f>
      </c>
    </row>
    <row r="18752">
      <c r="E18752">
        <f>IF(DATOS!$I18752="","",IFERROR(VLOOKUP(DATOS!$I18752,CONFIG_ASIGNATURAS!$B$2:$J$61,9,FALSE()),""))</f>
      </c>
    </row>
    <row r="18753">
      <c r="E18753">
        <f>IF(DATOS!$I18753="","",IFERROR(VLOOKUP(DATOS!$I18753,CONFIG_ASIGNATURAS!$B$2:$J$61,9,FALSE()),""))</f>
      </c>
    </row>
    <row r="18754">
      <c r="E18754">
        <f>IF(DATOS!$I18754="","",IFERROR(VLOOKUP(DATOS!$I18754,CONFIG_ASIGNATURAS!$B$2:$J$61,9,FALSE()),""))</f>
      </c>
    </row>
    <row r="18755">
      <c r="E18755">
        <f>IF(DATOS!$I18755="","",IFERROR(VLOOKUP(DATOS!$I18755,CONFIG_ASIGNATURAS!$B$2:$J$61,9,FALSE()),""))</f>
      </c>
    </row>
    <row r="18756">
      <c r="E18756">
        <f>IF(DATOS!$I18756="","",IFERROR(VLOOKUP(DATOS!$I18756,CONFIG_ASIGNATURAS!$B$2:$J$61,9,FALSE()),""))</f>
      </c>
    </row>
    <row r="18757">
      <c r="E18757">
        <f>IF(DATOS!$I18757="","",IFERROR(VLOOKUP(DATOS!$I18757,CONFIG_ASIGNATURAS!$B$2:$J$61,9,FALSE()),""))</f>
      </c>
    </row>
    <row r="18758">
      <c r="E18758">
        <f>IF(DATOS!$I18758="","",IFERROR(VLOOKUP(DATOS!$I18758,CONFIG_ASIGNATURAS!$B$2:$J$61,9,FALSE()),""))</f>
      </c>
    </row>
    <row r="18759">
      <c r="E18759">
        <f>IF(DATOS!$I18759="","",IFERROR(VLOOKUP(DATOS!$I18759,CONFIG_ASIGNATURAS!$B$2:$J$61,9,FALSE()),""))</f>
      </c>
    </row>
    <row r="18760">
      <c r="E18760">
        <f>IF(DATOS!$I18760="","",IFERROR(VLOOKUP(DATOS!$I18760,CONFIG_ASIGNATURAS!$B$2:$J$61,9,FALSE()),""))</f>
      </c>
    </row>
    <row r="18761">
      <c r="E18761">
        <f>IF(DATOS!$I18761="","",IFERROR(VLOOKUP(DATOS!$I18761,CONFIG_ASIGNATURAS!$B$2:$J$61,9,FALSE()),""))</f>
      </c>
    </row>
    <row r="18762">
      <c r="E18762">
        <f>IF(DATOS!$I18762="","",IFERROR(VLOOKUP(DATOS!$I18762,CONFIG_ASIGNATURAS!$B$2:$J$61,9,FALSE()),""))</f>
      </c>
    </row>
    <row r="18763">
      <c r="E18763">
        <f>IF(DATOS!$I18763="","",IFERROR(VLOOKUP(DATOS!$I18763,CONFIG_ASIGNATURAS!$B$2:$J$61,9,FALSE()),""))</f>
      </c>
    </row>
    <row r="18764">
      <c r="E18764">
        <f>IF(DATOS!$I18764="","",IFERROR(VLOOKUP(DATOS!$I18764,CONFIG_ASIGNATURAS!$B$2:$J$61,9,FALSE()),""))</f>
      </c>
    </row>
    <row r="18765">
      <c r="E18765">
        <f>IF(DATOS!$I18765="","",IFERROR(VLOOKUP(DATOS!$I18765,CONFIG_ASIGNATURAS!$B$2:$J$61,9,FALSE()),""))</f>
      </c>
    </row>
    <row r="18766">
      <c r="E18766">
        <f>IF(DATOS!$I18766="","",IFERROR(VLOOKUP(DATOS!$I18766,CONFIG_ASIGNATURAS!$B$2:$J$61,9,FALSE()),""))</f>
      </c>
    </row>
    <row r="18767">
      <c r="E18767">
        <f>IF(DATOS!$I18767="","",IFERROR(VLOOKUP(DATOS!$I18767,CONFIG_ASIGNATURAS!$B$2:$J$61,9,FALSE()),""))</f>
      </c>
    </row>
    <row r="18768">
      <c r="E18768">
        <f>IF(DATOS!$I18768="","",IFERROR(VLOOKUP(DATOS!$I18768,CONFIG_ASIGNATURAS!$B$2:$J$61,9,FALSE()),""))</f>
      </c>
    </row>
    <row r="18769">
      <c r="E18769">
        <f>IF(DATOS!$I18769="","",IFERROR(VLOOKUP(DATOS!$I18769,CONFIG_ASIGNATURAS!$B$2:$J$61,9,FALSE()),""))</f>
      </c>
    </row>
    <row r="18770">
      <c r="E18770">
        <f>IF(DATOS!$I18770="","",IFERROR(VLOOKUP(DATOS!$I18770,CONFIG_ASIGNATURAS!$B$2:$J$61,9,FALSE()),""))</f>
      </c>
    </row>
    <row r="18771">
      <c r="E18771">
        <f>IF(DATOS!$I18771="","",IFERROR(VLOOKUP(DATOS!$I18771,CONFIG_ASIGNATURAS!$B$2:$J$61,9,FALSE()),""))</f>
      </c>
    </row>
    <row r="18772">
      <c r="E18772">
        <f>IF(DATOS!$I18772="","",IFERROR(VLOOKUP(DATOS!$I18772,CONFIG_ASIGNATURAS!$B$2:$J$61,9,FALSE()),""))</f>
      </c>
    </row>
    <row r="18773">
      <c r="E18773">
        <f>IF(DATOS!$I18773="","",IFERROR(VLOOKUP(DATOS!$I18773,CONFIG_ASIGNATURAS!$B$2:$J$61,9,FALSE()),""))</f>
      </c>
    </row>
    <row r="18774">
      <c r="E18774">
        <f>IF(DATOS!$I18774="","",IFERROR(VLOOKUP(DATOS!$I18774,CONFIG_ASIGNATURAS!$B$2:$J$61,9,FALSE()),""))</f>
      </c>
    </row>
    <row r="18775">
      <c r="E18775">
        <f>IF(DATOS!$I18775="","",IFERROR(VLOOKUP(DATOS!$I18775,CONFIG_ASIGNATURAS!$B$2:$J$61,9,FALSE()),""))</f>
      </c>
    </row>
    <row r="18776">
      <c r="E18776">
        <f>IF(DATOS!$I18776="","",IFERROR(VLOOKUP(DATOS!$I18776,CONFIG_ASIGNATURAS!$B$2:$J$61,9,FALSE()),""))</f>
      </c>
    </row>
    <row r="18777">
      <c r="E18777">
        <f>IF(DATOS!$I18777="","",IFERROR(VLOOKUP(DATOS!$I18777,CONFIG_ASIGNATURAS!$B$2:$J$61,9,FALSE()),""))</f>
      </c>
    </row>
    <row r="18778">
      <c r="E18778">
        <f>IF(DATOS!$I18778="","",IFERROR(VLOOKUP(DATOS!$I18778,CONFIG_ASIGNATURAS!$B$2:$J$61,9,FALSE()),""))</f>
      </c>
    </row>
    <row r="18779">
      <c r="E18779">
        <f>IF(DATOS!$I18779="","",IFERROR(VLOOKUP(DATOS!$I18779,CONFIG_ASIGNATURAS!$B$2:$J$61,9,FALSE()),""))</f>
      </c>
    </row>
    <row r="18780">
      <c r="E18780">
        <f>IF(DATOS!$I18780="","",IFERROR(VLOOKUP(DATOS!$I18780,CONFIG_ASIGNATURAS!$B$2:$J$61,9,FALSE()),""))</f>
      </c>
    </row>
    <row r="18781">
      <c r="E18781">
        <f>IF(DATOS!$I18781="","",IFERROR(VLOOKUP(DATOS!$I18781,CONFIG_ASIGNATURAS!$B$2:$J$61,9,FALSE()),""))</f>
      </c>
    </row>
    <row r="18782">
      <c r="E18782">
        <f>IF(DATOS!$I18782="","",IFERROR(VLOOKUP(DATOS!$I18782,CONFIG_ASIGNATURAS!$B$2:$J$61,9,FALSE()),""))</f>
      </c>
    </row>
    <row r="18783">
      <c r="E18783">
        <f>IF(DATOS!$I18783="","",IFERROR(VLOOKUP(DATOS!$I18783,CONFIG_ASIGNATURAS!$B$2:$J$61,9,FALSE()),""))</f>
      </c>
    </row>
    <row r="18784">
      <c r="E18784">
        <f>IF(DATOS!$I18784="","",IFERROR(VLOOKUP(DATOS!$I18784,CONFIG_ASIGNATURAS!$B$2:$J$61,9,FALSE()),""))</f>
      </c>
    </row>
    <row r="18785">
      <c r="E18785">
        <f>IF(DATOS!$I18785="","",IFERROR(VLOOKUP(DATOS!$I18785,CONFIG_ASIGNATURAS!$B$2:$J$61,9,FALSE()),""))</f>
      </c>
    </row>
    <row r="18786">
      <c r="E18786">
        <f>IF(DATOS!$I18786="","",IFERROR(VLOOKUP(DATOS!$I18786,CONFIG_ASIGNATURAS!$B$2:$J$61,9,FALSE()),""))</f>
      </c>
    </row>
    <row r="18787">
      <c r="E18787">
        <f>IF(DATOS!$I18787="","",IFERROR(VLOOKUP(DATOS!$I18787,CONFIG_ASIGNATURAS!$B$2:$J$61,9,FALSE()),""))</f>
      </c>
    </row>
    <row r="18788">
      <c r="E18788">
        <f>IF(DATOS!$I18788="","",IFERROR(VLOOKUP(DATOS!$I18788,CONFIG_ASIGNATURAS!$B$2:$J$61,9,FALSE()),""))</f>
      </c>
    </row>
    <row r="18789">
      <c r="E18789">
        <f>IF(DATOS!$I18789="","",IFERROR(VLOOKUP(DATOS!$I18789,CONFIG_ASIGNATURAS!$B$2:$J$61,9,FALSE()),""))</f>
      </c>
    </row>
    <row r="18790">
      <c r="E18790">
        <f>IF(DATOS!$I18790="","",IFERROR(VLOOKUP(DATOS!$I18790,CONFIG_ASIGNATURAS!$B$2:$J$61,9,FALSE()),""))</f>
      </c>
    </row>
    <row r="18791">
      <c r="E18791">
        <f>IF(DATOS!$I18791="","",IFERROR(VLOOKUP(DATOS!$I18791,CONFIG_ASIGNATURAS!$B$2:$J$61,9,FALSE()),""))</f>
      </c>
    </row>
    <row r="18792">
      <c r="E18792">
        <f>IF(DATOS!$I18792="","",IFERROR(VLOOKUP(DATOS!$I18792,CONFIG_ASIGNATURAS!$B$2:$J$61,9,FALSE()),""))</f>
      </c>
    </row>
    <row r="18793">
      <c r="E18793">
        <f>IF(DATOS!$I18793="","",IFERROR(VLOOKUP(DATOS!$I18793,CONFIG_ASIGNATURAS!$B$2:$J$61,9,FALSE()),""))</f>
      </c>
    </row>
    <row r="18794">
      <c r="E18794">
        <f>IF(DATOS!$I18794="","",IFERROR(VLOOKUP(DATOS!$I18794,CONFIG_ASIGNATURAS!$B$2:$J$61,9,FALSE()),""))</f>
      </c>
    </row>
    <row r="18795">
      <c r="E18795">
        <f>IF(DATOS!$I18795="","",IFERROR(VLOOKUP(DATOS!$I18795,CONFIG_ASIGNATURAS!$B$2:$J$61,9,FALSE()),""))</f>
      </c>
    </row>
    <row r="18796">
      <c r="E18796">
        <f>IF(DATOS!$I18796="","",IFERROR(VLOOKUP(DATOS!$I18796,CONFIG_ASIGNATURAS!$B$2:$J$61,9,FALSE()),""))</f>
      </c>
    </row>
    <row r="18797">
      <c r="E18797">
        <f>IF(DATOS!$I18797="","",IFERROR(VLOOKUP(DATOS!$I18797,CONFIG_ASIGNATURAS!$B$2:$J$61,9,FALSE()),""))</f>
      </c>
    </row>
    <row r="18798">
      <c r="E18798">
        <f>IF(DATOS!$I18798="","",IFERROR(VLOOKUP(DATOS!$I18798,CONFIG_ASIGNATURAS!$B$2:$J$61,9,FALSE()),""))</f>
      </c>
    </row>
    <row r="18799">
      <c r="E18799">
        <f>IF(DATOS!$I18799="","",IFERROR(VLOOKUP(DATOS!$I18799,CONFIG_ASIGNATURAS!$B$2:$J$61,9,FALSE()),""))</f>
      </c>
    </row>
    <row r="18800">
      <c r="E18800">
        <f>IF(DATOS!$I18800="","",IFERROR(VLOOKUP(DATOS!$I18800,CONFIG_ASIGNATURAS!$B$2:$J$61,9,FALSE()),""))</f>
      </c>
    </row>
    <row r="18801">
      <c r="E18801">
        <f>IF(DATOS!$I18801="","",IFERROR(VLOOKUP(DATOS!$I18801,CONFIG_ASIGNATURAS!$B$2:$J$61,9,FALSE()),""))</f>
      </c>
    </row>
    <row r="18802">
      <c r="E18802">
        <f>IF(DATOS!$I18802="","",IFERROR(VLOOKUP(DATOS!$I18802,CONFIG_ASIGNATURAS!$B$2:$J$61,9,FALSE()),""))</f>
      </c>
    </row>
    <row r="18803">
      <c r="E18803">
        <f>IF(DATOS!$I18803="","",IFERROR(VLOOKUP(DATOS!$I18803,CONFIG_ASIGNATURAS!$B$2:$J$61,9,FALSE()),""))</f>
      </c>
    </row>
    <row r="18804">
      <c r="E18804">
        <f>IF(DATOS!$I18804="","",IFERROR(VLOOKUP(DATOS!$I18804,CONFIG_ASIGNATURAS!$B$2:$J$61,9,FALSE()),""))</f>
      </c>
    </row>
    <row r="18805">
      <c r="E18805">
        <f>IF(DATOS!$I18805="","",IFERROR(VLOOKUP(DATOS!$I18805,CONFIG_ASIGNATURAS!$B$2:$J$61,9,FALSE()),""))</f>
      </c>
    </row>
    <row r="18806">
      <c r="E18806">
        <f>IF(DATOS!$I18806="","",IFERROR(VLOOKUP(DATOS!$I18806,CONFIG_ASIGNATURAS!$B$2:$J$61,9,FALSE()),""))</f>
      </c>
    </row>
    <row r="18807">
      <c r="E18807">
        <f>IF(DATOS!$I18807="","",IFERROR(VLOOKUP(DATOS!$I18807,CONFIG_ASIGNATURAS!$B$2:$J$61,9,FALSE()),""))</f>
      </c>
    </row>
    <row r="18808">
      <c r="E18808">
        <f>IF(DATOS!$I18808="","",IFERROR(VLOOKUP(DATOS!$I18808,CONFIG_ASIGNATURAS!$B$2:$J$61,9,FALSE()),""))</f>
      </c>
    </row>
    <row r="18809">
      <c r="E18809">
        <f>IF(DATOS!$I18809="","",IFERROR(VLOOKUP(DATOS!$I18809,CONFIG_ASIGNATURAS!$B$2:$J$61,9,FALSE()),""))</f>
      </c>
    </row>
    <row r="18810">
      <c r="E18810">
        <f>IF(DATOS!$I18810="","",IFERROR(VLOOKUP(DATOS!$I18810,CONFIG_ASIGNATURAS!$B$2:$J$61,9,FALSE()),""))</f>
      </c>
    </row>
    <row r="18811">
      <c r="E18811">
        <f>IF(DATOS!$I18811="","",IFERROR(VLOOKUP(DATOS!$I18811,CONFIG_ASIGNATURAS!$B$2:$J$61,9,FALSE()),""))</f>
      </c>
    </row>
    <row r="18812">
      <c r="E18812">
        <f>IF(DATOS!$I18812="","",IFERROR(VLOOKUP(DATOS!$I18812,CONFIG_ASIGNATURAS!$B$2:$J$61,9,FALSE()),""))</f>
      </c>
    </row>
    <row r="18813">
      <c r="E18813">
        <f>IF(DATOS!$I18813="","",IFERROR(VLOOKUP(DATOS!$I18813,CONFIG_ASIGNATURAS!$B$2:$J$61,9,FALSE()),""))</f>
      </c>
    </row>
    <row r="18814">
      <c r="E18814">
        <f>IF(DATOS!$I18814="","",IFERROR(VLOOKUP(DATOS!$I18814,CONFIG_ASIGNATURAS!$B$2:$J$61,9,FALSE()),""))</f>
      </c>
    </row>
    <row r="18815">
      <c r="E18815">
        <f>IF(DATOS!$I18815="","",IFERROR(VLOOKUP(DATOS!$I18815,CONFIG_ASIGNATURAS!$B$2:$J$61,9,FALSE()),""))</f>
      </c>
    </row>
    <row r="18816">
      <c r="E18816">
        <f>IF(DATOS!$I18816="","",IFERROR(VLOOKUP(DATOS!$I18816,CONFIG_ASIGNATURAS!$B$2:$J$61,9,FALSE()),""))</f>
      </c>
    </row>
    <row r="18817">
      <c r="E18817">
        <f>IF(DATOS!$I18817="","",IFERROR(VLOOKUP(DATOS!$I18817,CONFIG_ASIGNATURAS!$B$2:$J$61,9,FALSE()),""))</f>
      </c>
    </row>
    <row r="18818">
      <c r="E18818">
        <f>IF(DATOS!$I18818="","",IFERROR(VLOOKUP(DATOS!$I18818,CONFIG_ASIGNATURAS!$B$2:$J$61,9,FALSE()),""))</f>
      </c>
    </row>
    <row r="18819">
      <c r="E18819">
        <f>IF(DATOS!$I18819="","",IFERROR(VLOOKUP(DATOS!$I18819,CONFIG_ASIGNATURAS!$B$2:$J$61,9,FALSE()),""))</f>
      </c>
    </row>
    <row r="18820">
      <c r="E18820">
        <f>IF(DATOS!$I18820="","",IFERROR(VLOOKUP(DATOS!$I18820,CONFIG_ASIGNATURAS!$B$2:$J$61,9,FALSE()),""))</f>
      </c>
    </row>
    <row r="18821">
      <c r="E18821">
        <f>IF(DATOS!$I18821="","",IFERROR(VLOOKUP(DATOS!$I18821,CONFIG_ASIGNATURAS!$B$2:$J$61,9,FALSE()),""))</f>
      </c>
    </row>
    <row r="18822">
      <c r="E18822">
        <f>IF(DATOS!$I18822="","",IFERROR(VLOOKUP(DATOS!$I18822,CONFIG_ASIGNATURAS!$B$2:$J$61,9,FALSE()),""))</f>
      </c>
    </row>
    <row r="18823">
      <c r="E18823">
        <f>IF(DATOS!$I18823="","",IFERROR(VLOOKUP(DATOS!$I18823,CONFIG_ASIGNATURAS!$B$2:$J$61,9,FALSE()),""))</f>
      </c>
    </row>
    <row r="18824">
      <c r="E18824">
        <f>IF(DATOS!$I18824="","",IFERROR(VLOOKUP(DATOS!$I18824,CONFIG_ASIGNATURAS!$B$2:$J$61,9,FALSE()),""))</f>
      </c>
    </row>
    <row r="18825">
      <c r="E18825">
        <f>IF(DATOS!$I18825="","",IFERROR(VLOOKUP(DATOS!$I18825,CONFIG_ASIGNATURAS!$B$2:$J$61,9,FALSE()),""))</f>
      </c>
    </row>
    <row r="18826">
      <c r="E18826">
        <f>IF(DATOS!$I18826="","",IFERROR(VLOOKUP(DATOS!$I18826,CONFIG_ASIGNATURAS!$B$2:$J$61,9,FALSE()),""))</f>
      </c>
    </row>
    <row r="18827">
      <c r="E18827">
        <f>IF(DATOS!$I18827="","",IFERROR(VLOOKUP(DATOS!$I18827,CONFIG_ASIGNATURAS!$B$2:$J$61,9,FALSE()),""))</f>
      </c>
    </row>
    <row r="18828">
      <c r="E18828">
        <f>IF(DATOS!$I18828="","",IFERROR(VLOOKUP(DATOS!$I18828,CONFIG_ASIGNATURAS!$B$2:$J$61,9,FALSE()),""))</f>
      </c>
    </row>
    <row r="18829">
      <c r="E18829">
        <f>IF(DATOS!$I18829="","",IFERROR(VLOOKUP(DATOS!$I18829,CONFIG_ASIGNATURAS!$B$2:$J$61,9,FALSE()),""))</f>
      </c>
    </row>
    <row r="18830">
      <c r="E18830">
        <f>IF(DATOS!$I18830="","",IFERROR(VLOOKUP(DATOS!$I18830,CONFIG_ASIGNATURAS!$B$2:$J$61,9,FALSE()),""))</f>
      </c>
    </row>
    <row r="18831">
      <c r="E18831">
        <f>IF(DATOS!$I18831="","",IFERROR(VLOOKUP(DATOS!$I18831,CONFIG_ASIGNATURAS!$B$2:$J$61,9,FALSE()),""))</f>
      </c>
    </row>
    <row r="18832">
      <c r="E18832">
        <f>IF(DATOS!$I18832="","",IFERROR(VLOOKUP(DATOS!$I18832,CONFIG_ASIGNATURAS!$B$2:$J$61,9,FALSE()),""))</f>
      </c>
    </row>
    <row r="18833">
      <c r="E18833">
        <f>IF(DATOS!$I18833="","",IFERROR(VLOOKUP(DATOS!$I18833,CONFIG_ASIGNATURAS!$B$2:$J$61,9,FALSE()),""))</f>
      </c>
    </row>
    <row r="18834">
      <c r="E18834">
        <f>IF(DATOS!$I18834="","",IFERROR(VLOOKUP(DATOS!$I18834,CONFIG_ASIGNATURAS!$B$2:$J$61,9,FALSE()),""))</f>
      </c>
    </row>
    <row r="18835">
      <c r="E18835">
        <f>IF(DATOS!$I18835="","",IFERROR(VLOOKUP(DATOS!$I18835,CONFIG_ASIGNATURAS!$B$2:$J$61,9,FALSE()),""))</f>
      </c>
    </row>
    <row r="18836">
      <c r="E18836">
        <f>IF(DATOS!$I18836="","",IFERROR(VLOOKUP(DATOS!$I18836,CONFIG_ASIGNATURAS!$B$2:$J$61,9,FALSE()),""))</f>
      </c>
    </row>
    <row r="18837">
      <c r="E18837">
        <f>IF(DATOS!$I18837="","",IFERROR(VLOOKUP(DATOS!$I18837,CONFIG_ASIGNATURAS!$B$2:$J$61,9,FALSE()),""))</f>
      </c>
    </row>
    <row r="18838">
      <c r="E18838">
        <f>IF(DATOS!$I18838="","",IFERROR(VLOOKUP(DATOS!$I18838,CONFIG_ASIGNATURAS!$B$2:$J$61,9,FALSE()),""))</f>
      </c>
    </row>
    <row r="18839">
      <c r="E18839">
        <f>IF(DATOS!$I18839="","",IFERROR(VLOOKUP(DATOS!$I18839,CONFIG_ASIGNATURAS!$B$2:$J$61,9,FALSE()),""))</f>
      </c>
    </row>
    <row r="18840">
      <c r="E18840">
        <f>IF(DATOS!$I18840="","",IFERROR(VLOOKUP(DATOS!$I18840,CONFIG_ASIGNATURAS!$B$2:$J$61,9,FALSE()),""))</f>
      </c>
    </row>
    <row r="18841">
      <c r="E18841">
        <f>IF(DATOS!$I18841="","",IFERROR(VLOOKUP(DATOS!$I18841,CONFIG_ASIGNATURAS!$B$2:$J$61,9,FALSE()),""))</f>
      </c>
    </row>
    <row r="18842">
      <c r="E18842">
        <f>IF(DATOS!$I18842="","",IFERROR(VLOOKUP(DATOS!$I18842,CONFIG_ASIGNATURAS!$B$2:$J$61,9,FALSE()),""))</f>
      </c>
    </row>
    <row r="18843">
      <c r="E18843">
        <f>IF(DATOS!$I18843="","",IFERROR(VLOOKUP(DATOS!$I18843,CONFIG_ASIGNATURAS!$B$2:$J$61,9,FALSE()),""))</f>
      </c>
    </row>
    <row r="18844">
      <c r="E18844">
        <f>IF(DATOS!$I18844="","",IFERROR(VLOOKUP(DATOS!$I18844,CONFIG_ASIGNATURAS!$B$2:$J$61,9,FALSE()),""))</f>
      </c>
    </row>
    <row r="18845">
      <c r="E18845">
        <f>IF(DATOS!$I18845="","",IFERROR(VLOOKUP(DATOS!$I18845,CONFIG_ASIGNATURAS!$B$2:$J$61,9,FALSE()),""))</f>
      </c>
    </row>
    <row r="18846">
      <c r="E18846">
        <f>IF(DATOS!$I18846="","",IFERROR(VLOOKUP(DATOS!$I18846,CONFIG_ASIGNATURAS!$B$2:$J$61,9,FALSE()),""))</f>
      </c>
    </row>
    <row r="18847">
      <c r="E18847">
        <f>IF(DATOS!$I18847="","",IFERROR(VLOOKUP(DATOS!$I18847,CONFIG_ASIGNATURAS!$B$2:$J$61,9,FALSE()),""))</f>
      </c>
    </row>
    <row r="18848">
      <c r="E18848">
        <f>IF(DATOS!$I18848="","",IFERROR(VLOOKUP(DATOS!$I18848,CONFIG_ASIGNATURAS!$B$2:$J$61,9,FALSE()),""))</f>
      </c>
    </row>
    <row r="18849">
      <c r="E18849">
        <f>IF(DATOS!$I18849="","",IFERROR(VLOOKUP(DATOS!$I18849,CONFIG_ASIGNATURAS!$B$2:$J$61,9,FALSE()),""))</f>
      </c>
    </row>
    <row r="18850">
      <c r="E18850">
        <f>IF(DATOS!$I18850="","",IFERROR(VLOOKUP(DATOS!$I18850,CONFIG_ASIGNATURAS!$B$2:$J$61,9,FALSE()),""))</f>
      </c>
    </row>
    <row r="18851">
      <c r="E18851">
        <f>IF(DATOS!$I18851="","",IFERROR(VLOOKUP(DATOS!$I18851,CONFIG_ASIGNATURAS!$B$2:$J$61,9,FALSE()),""))</f>
      </c>
    </row>
    <row r="18852">
      <c r="E18852">
        <f>IF(DATOS!$I18852="","",IFERROR(VLOOKUP(DATOS!$I18852,CONFIG_ASIGNATURAS!$B$2:$J$61,9,FALSE()),""))</f>
      </c>
    </row>
    <row r="18853">
      <c r="E18853">
        <f>IF(DATOS!$I18853="","",IFERROR(VLOOKUP(DATOS!$I18853,CONFIG_ASIGNATURAS!$B$2:$J$61,9,FALSE()),""))</f>
      </c>
    </row>
    <row r="18854">
      <c r="E18854">
        <f>IF(DATOS!$I18854="","",IFERROR(VLOOKUP(DATOS!$I18854,CONFIG_ASIGNATURAS!$B$2:$J$61,9,FALSE()),""))</f>
      </c>
    </row>
    <row r="18855">
      <c r="E18855">
        <f>IF(DATOS!$I18855="","",IFERROR(VLOOKUP(DATOS!$I18855,CONFIG_ASIGNATURAS!$B$2:$J$61,9,FALSE()),""))</f>
      </c>
    </row>
    <row r="18856">
      <c r="E18856">
        <f>IF(DATOS!$I18856="","",IFERROR(VLOOKUP(DATOS!$I18856,CONFIG_ASIGNATURAS!$B$2:$J$61,9,FALSE()),""))</f>
      </c>
    </row>
    <row r="18857">
      <c r="E18857">
        <f>IF(DATOS!$I18857="","",IFERROR(VLOOKUP(DATOS!$I18857,CONFIG_ASIGNATURAS!$B$2:$J$61,9,FALSE()),""))</f>
      </c>
    </row>
    <row r="18858">
      <c r="E18858">
        <f>IF(DATOS!$I18858="","",IFERROR(VLOOKUP(DATOS!$I18858,CONFIG_ASIGNATURAS!$B$2:$J$61,9,FALSE()),""))</f>
      </c>
    </row>
    <row r="18859">
      <c r="E18859">
        <f>IF(DATOS!$I18859="","",IFERROR(VLOOKUP(DATOS!$I18859,CONFIG_ASIGNATURAS!$B$2:$J$61,9,FALSE()),""))</f>
      </c>
    </row>
    <row r="18860">
      <c r="E18860">
        <f>IF(DATOS!$I18860="","",IFERROR(VLOOKUP(DATOS!$I18860,CONFIG_ASIGNATURAS!$B$2:$J$61,9,FALSE()),""))</f>
      </c>
    </row>
    <row r="18861">
      <c r="E18861">
        <f>IF(DATOS!$I18861="","",IFERROR(VLOOKUP(DATOS!$I18861,CONFIG_ASIGNATURAS!$B$2:$J$61,9,FALSE()),""))</f>
      </c>
    </row>
    <row r="18862">
      <c r="E18862">
        <f>IF(DATOS!$I18862="","",IFERROR(VLOOKUP(DATOS!$I18862,CONFIG_ASIGNATURAS!$B$2:$J$61,9,FALSE()),""))</f>
      </c>
    </row>
    <row r="18863">
      <c r="E18863">
        <f>IF(DATOS!$I18863="","",IFERROR(VLOOKUP(DATOS!$I18863,CONFIG_ASIGNATURAS!$B$2:$J$61,9,FALSE()),""))</f>
      </c>
    </row>
    <row r="18864">
      <c r="E18864">
        <f>IF(DATOS!$I18864="","",IFERROR(VLOOKUP(DATOS!$I18864,CONFIG_ASIGNATURAS!$B$2:$J$61,9,FALSE()),""))</f>
      </c>
    </row>
    <row r="18865">
      <c r="E18865">
        <f>IF(DATOS!$I18865="","",IFERROR(VLOOKUP(DATOS!$I18865,CONFIG_ASIGNATURAS!$B$2:$J$61,9,FALSE()),""))</f>
      </c>
    </row>
    <row r="18866">
      <c r="E18866">
        <f>IF(DATOS!$I18866="","",IFERROR(VLOOKUP(DATOS!$I18866,CONFIG_ASIGNATURAS!$B$2:$J$61,9,FALSE()),""))</f>
      </c>
    </row>
    <row r="18867">
      <c r="E18867">
        <f>IF(DATOS!$I18867="","",IFERROR(VLOOKUP(DATOS!$I18867,CONFIG_ASIGNATURAS!$B$2:$J$61,9,FALSE()),""))</f>
      </c>
    </row>
    <row r="18868">
      <c r="E18868">
        <f>IF(DATOS!$I18868="","",IFERROR(VLOOKUP(DATOS!$I18868,CONFIG_ASIGNATURAS!$B$2:$J$61,9,FALSE()),""))</f>
      </c>
    </row>
    <row r="18869">
      <c r="E18869">
        <f>IF(DATOS!$I18869="","",IFERROR(VLOOKUP(DATOS!$I18869,CONFIG_ASIGNATURAS!$B$2:$J$61,9,FALSE()),""))</f>
      </c>
    </row>
    <row r="18870">
      <c r="E18870">
        <f>IF(DATOS!$I18870="","",IFERROR(VLOOKUP(DATOS!$I18870,CONFIG_ASIGNATURAS!$B$2:$J$61,9,FALSE()),""))</f>
      </c>
    </row>
    <row r="18871">
      <c r="E18871">
        <f>IF(DATOS!$I18871="","",IFERROR(VLOOKUP(DATOS!$I18871,CONFIG_ASIGNATURAS!$B$2:$J$61,9,FALSE()),""))</f>
      </c>
    </row>
    <row r="18872">
      <c r="E18872">
        <f>IF(DATOS!$I18872="","",IFERROR(VLOOKUP(DATOS!$I18872,CONFIG_ASIGNATURAS!$B$2:$J$61,9,FALSE()),""))</f>
      </c>
    </row>
    <row r="18873">
      <c r="E18873">
        <f>IF(DATOS!$I18873="","",IFERROR(VLOOKUP(DATOS!$I18873,CONFIG_ASIGNATURAS!$B$2:$J$61,9,FALSE()),""))</f>
      </c>
    </row>
    <row r="18874">
      <c r="E18874">
        <f>IF(DATOS!$I18874="","",IFERROR(VLOOKUP(DATOS!$I18874,CONFIG_ASIGNATURAS!$B$2:$J$61,9,FALSE()),""))</f>
      </c>
    </row>
    <row r="18875">
      <c r="E18875">
        <f>IF(DATOS!$I18875="","",IFERROR(VLOOKUP(DATOS!$I18875,CONFIG_ASIGNATURAS!$B$2:$J$61,9,FALSE()),""))</f>
      </c>
    </row>
    <row r="18876">
      <c r="E18876">
        <f>IF(DATOS!$I18876="","",IFERROR(VLOOKUP(DATOS!$I18876,CONFIG_ASIGNATURAS!$B$2:$J$61,9,FALSE()),""))</f>
      </c>
    </row>
    <row r="18877">
      <c r="E18877">
        <f>IF(DATOS!$I18877="","",IFERROR(VLOOKUP(DATOS!$I18877,CONFIG_ASIGNATURAS!$B$2:$J$61,9,FALSE()),""))</f>
      </c>
    </row>
    <row r="18878">
      <c r="E18878">
        <f>IF(DATOS!$I18878="","",IFERROR(VLOOKUP(DATOS!$I18878,CONFIG_ASIGNATURAS!$B$2:$J$61,9,FALSE()),""))</f>
      </c>
    </row>
    <row r="18879">
      <c r="E18879">
        <f>IF(DATOS!$I18879="","",IFERROR(VLOOKUP(DATOS!$I18879,CONFIG_ASIGNATURAS!$B$2:$J$61,9,FALSE()),""))</f>
      </c>
    </row>
    <row r="18880">
      <c r="E18880">
        <f>IF(DATOS!$I18880="","",IFERROR(VLOOKUP(DATOS!$I18880,CONFIG_ASIGNATURAS!$B$2:$J$61,9,FALSE()),""))</f>
      </c>
    </row>
    <row r="18881">
      <c r="E18881">
        <f>IF(DATOS!$I18881="","",IFERROR(VLOOKUP(DATOS!$I18881,CONFIG_ASIGNATURAS!$B$2:$J$61,9,FALSE()),""))</f>
      </c>
    </row>
    <row r="18882">
      <c r="E18882">
        <f>IF(DATOS!$I18882="","",IFERROR(VLOOKUP(DATOS!$I18882,CONFIG_ASIGNATURAS!$B$2:$J$61,9,FALSE()),""))</f>
      </c>
    </row>
    <row r="18883">
      <c r="E18883">
        <f>IF(DATOS!$I18883="","",IFERROR(VLOOKUP(DATOS!$I18883,CONFIG_ASIGNATURAS!$B$2:$J$61,9,FALSE()),""))</f>
      </c>
    </row>
    <row r="18884">
      <c r="E18884">
        <f>IF(DATOS!$I18884="","",IFERROR(VLOOKUP(DATOS!$I18884,CONFIG_ASIGNATURAS!$B$2:$J$61,9,FALSE()),""))</f>
      </c>
    </row>
    <row r="18885">
      <c r="E18885">
        <f>IF(DATOS!$I18885="","",IFERROR(VLOOKUP(DATOS!$I18885,CONFIG_ASIGNATURAS!$B$2:$J$61,9,FALSE()),""))</f>
      </c>
    </row>
    <row r="18886">
      <c r="E18886">
        <f>IF(DATOS!$I18886="","",IFERROR(VLOOKUP(DATOS!$I18886,CONFIG_ASIGNATURAS!$B$2:$J$61,9,FALSE()),""))</f>
      </c>
    </row>
    <row r="18887">
      <c r="E18887">
        <f>IF(DATOS!$I18887="","",IFERROR(VLOOKUP(DATOS!$I18887,CONFIG_ASIGNATURAS!$B$2:$J$61,9,FALSE()),""))</f>
      </c>
    </row>
    <row r="18888">
      <c r="E18888">
        <f>IF(DATOS!$I18888="","",IFERROR(VLOOKUP(DATOS!$I18888,CONFIG_ASIGNATURAS!$B$2:$J$61,9,FALSE()),""))</f>
      </c>
    </row>
    <row r="18889">
      <c r="E18889">
        <f>IF(DATOS!$I18889="","",IFERROR(VLOOKUP(DATOS!$I18889,CONFIG_ASIGNATURAS!$B$2:$J$61,9,FALSE()),""))</f>
      </c>
    </row>
    <row r="18890">
      <c r="E18890">
        <f>IF(DATOS!$I18890="","",IFERROR(VLOOKUP(DATOS!$I18890,CONFIG_ASIGNATURAS!$B$2:$J$61,9,FALSE()),""))</f>
      </c>
    </row>
    <row r="18891">
      <c r="E18891">
        <f>IF(DATOS!$I18891="","",IFERROR(VLOOKUP(DATOS!$I18891,CONFIG_ASIGNATURAS!$B$2:$J$61,9,FALSE()),""))</f>
      </c>
    </row>
    <row r="18892">
      <c r="E18892">
        <f>IF(DATOS!$I18892="","",IFERROR(VLOOKUP(DATOS!$I18892,CONFIG_ASIGNATURAS!$B$2:$J$61,9,FALSE()),""))</f>
      </c>
    </row>
    <row r="18893">
      <c r="E18893">
        <f>IF(DATOS!$I18893="","",IFERROR(VLOOKUP(DATOS!$I18893,CONFIG_ASIGNATURAS!$B$2:$J$61,9,FALSE()),""))</f>
      </c>
    </row>
    <row r="18894">
      <c r="E18894">
        <f>IF(DATOS!$I18894="","",IFERROR(VLOOKUP(DATOS!$I18894,CONFIG_ASIGNATURAS!$B$2:$J$61,9,FALSE()),""))</f>
      </c>
    </row>
    <row r="18895">
      <c r="E18895">
        <f>IF(DATOS!$I18895="","",IFERROR(VLOOKUP(DATOS!$I18895,CONFIG_ASIGNATURAS!$B$2:$J$61,9,FALSE()),""))</f>
      </c>
    </row>
    <row r="18896">
      <c r="E18896">
        <f>IF(DATOS!$I18896="","",IFERROR(VLOOKUP(DATOS!$I18896,CONFIG_ASIGNATURAS!$B$2:$J$61,9,FALSE()),""))</f>
      </c>
    </row>
    <row r="18897">
      <c r="E18897">
        <f>IF(DATOS!$I18897="","",IFERROR(VLOOKUP(DATOS!$I18897,CONFIG_ASIGNATURAS!$B$2:$J$61,9,FALSE()),""))</f>
      </c>
    </row>
    <row r="18898">
      <c r="E18898">
        <f>IF(DATOS!$I18898="","",IFERROR(VLOOKUP(DATOS!$I18898,CONFIG_ASIGNATURAS!$B$2:$J$61,9,FALSE()),""))</f>
      </c>
    </row>
    <row r="18899">
      <c r="E18899">
        <f>IF(DATOS!$I18899="","",IFERROR(VLOOKUP(DATOS!$I18899,CONFIG_ASIGNATURAS!$B$2:$J$61,9,FALSE()),""))</f>
      </c>
    </row>
    <row r="18900">
      <c r="E18900">
        <f>IF(DATOS!$I18900="","",IFERROR(VLOOKUP(DATOS!$I18900,CONFIG_ASIGNATURAS!$B$2:$J$61,9,FALSE()),""))</f>
      </c>
    </row>
    <row r="18901">
      <c r="E18901">
        <f>IF(DATOS!$I18901="","",IFERROR(VLOOKUP(DATOS!$I18901,CONFIG_ASIGNATURAS!$B$2:$J$61,9,FALSE()),""))</f>
      </c>
    </row>
    <row r="18902">
      <c r="E18902">
        <f>IF(DATOS!$I18902="","",IFERROR(VLOOKUP(DATOS!$I18902,CONFIG_ASIGNATURAS!$B$2:$J$61,9,FALSE()),""))</f>
      </c>
    </row>
    <row r="18903">
      <c r="E18903">
        <f>IF(DATOS!$I18903="","",IFERROR(VLOOKUP(DATOS!$I18903,CONFIG_ASIGNATURAS!$B$2:$J$61,9,FALSE()),""))</f>
      </c>
    </row>
    <row r="18904">
      <c r="E18904">
        <f>IF(DATOS!$I18904="","",IFERROR(VLOOKUP(DATOS!$I18904,CONFIG_ASIGNATURAS!$B$2:$J$61,9,FALSE()),""))</f>
      </c>
    </row>
    <row r="18905">
      <c r="E18905">
        <f>IF(DATOS!$I18905="","",IFERROR(VLOOKUP(DATOS!$I18905,CONFIG_ASIGNATURAS!$B$2:$J$61,9,FALSE()),""))</f>
      </c>
    </row>
    <row r="18906">
      <c r="E18906">
        <f>IF(DATOS!$I18906="","",IFERROR(VLOOKUP(DATOS!$I18906,CONFIG_ASIGNATURAS!$B$2:$J$61,9,FALSE()),""))</f>
      </c>
    </row>
    <row r="18907">
      <c r="E18907">
        <f>IF(DATOS!$I18907="","",IFERROR(VLOOKUP(DATOS!$I18907,CONFIG_ASIGNATURAS!$B$2:$J$61,9,FALSE()),""))</f>
      </c>
    </row>
    <row r="18908">
      <c r="E18908">
        <f>IF(DATOS!$I18908="","",IFERROR(VLOOKUP(DATOS!$I18908,CONFIG_ASIGNATURAS!$B$2:$J$61,9,FALSE()),""))</f>
      </c>
    </row>
    <row r="18909">
      <c r="E18909">
        <f>IF(DATOS!$I18909="","",IFERROR(VLOOKUP(DATOS!$I18909,CONFIG_ASIGNATURAS!$B$2:$J$61,9,FALSE()),""))</f>
      </c>
    </row>
    <row r="18910">
      <c r="E18910">
        <f>IF(DATOS!$I18910="","",IFERROR(VLOOKUP(DATOS!$I18910,CONFIG_ASIGNATURAS!$B$2:$J$61,9,FALSE()),""))</f>
      </c>
    </row>
    <row r="18911">
      <c r="E18911">
        <f>IF(DATOS!$I18911="","",IFERROR(VLOOKUP(DATOS!$I18911,CONFIG_ASIGNATURAS!$B$2:$J$61,9,FALSE()),""))</f>
      </c>
    </row>
    <row r="18912">
      <c r="E18912">
        <f>IF(DATOS!$I18912="","",IFERROR(VLOOKUP(DATOS!$I18912,CONFIG_ASIGNATURAS!$B$2:$J$61,9,FALSE()),""))</f>
      </c>
    </row>
    <row r="18913">
      <c r="E18913">
        <f>IF(DATOS!$I18913="","",IFERROR(VLOOKUP(DATOS!$I18913,CONFIG_ASIGNATURAS!$B$2:$J$61,9,FALSE()),""))</f>
      </c>
    </row>
    <row r="18914">
      <c r="E18914">
        <f>IF(DATOS!$I18914="","",IFERROR(VLOOKUP(DATOS!$I18914,CONFIG_ASIGNATURAS!$B$2:$J$61,9,FALSE()),""))</f>
      </c>
    </row>
    <row r="18915">
      <c r="E18915">
        <f>IF(DATOS!$I18915="","",IFERROR(VLOOKUP(DATOS!$I18915,CONFIG_ASIGNATURAS!$B$2:$J$61,9,FALSE()),""))</f>
      </c>
    </row>
    <row r="18916">
      <c r="E18916">
        <f>IF(DATOS!$I18916="","",IFERROR(VLOOKUP(DATOS!$I18916,CONFIG_ASIGNATURAS!$B$2:$J$61,9,FALSE()),""))</f>
      </c>
    </row>
    <row r="18917">
      <c r="E18917">
        <f>IF(DATOS!$I18917="","",IFERROR(VLOOKUP(DATOS!$I18917,CONFIG_ASIGNATURAS!$B$2:$J$61,9,FALSE()),""))</f>
      </c>
    </row>
    <row r="18918">
      <c r="E18918">
        <f>IF(DATOS!$I18918="","",IFERROR(VLOOKUP(DATOS!$I18918,CONFIG_ASIGNATURAS!$B$2:$J$61,9,FALSE()),""))</f>
      </c>
    </row>
    <row r="18919">
      <c r="E18919">
        <f>IF(DATOS!$I18919="","",IFERROR(VLOOKUP(DATOS!$I18919,CONFIG_ASIGNATURAS!$B$2:$J$61,9,FALSE()),""))</f>
      </c>
    </row>
    <row r="18920">
      <c r="E18920">
        <f>IF(DATOS!$I18920="","",IFERROR(VLOOKUP(DATOS!$I18920,CONFIG_ASIGNATURAS!$B$2:$J$61,9,FALSE()),""))</f>
      </c>
    </row>
    <row r="18921">
      <c r="E18921">
        <f>IF(DATOS!$I18921="","",IFERROR(VLOOKUP(DATOS!$I18921,CONFIG_ASIGNATURAS!$B$2:$J$61,9,FALSE()),""))</f>
      </c>
    </row>
    <row r="18922">
      <c r="E18922">
        <f>IF(DATOS!$I18922="","",IFERROR(VLOOKUP(DATOS!$I18922,CONFIG_ASIGNATURAS!$B$2:$J$61,9,FALSE()),""))</f>
      </c>
    </row>
    <row r="18923">
      <c r="E18923">
        <f>IF(DATOS!$I18923="","",IFERROR(VLOOKUP(DATOS!$I18923,CONFIG_ASIGNATURAS!$B$2:$J$61,9,FALSE()),""))</f>
      </c>
    </row>
    <row r="18924">
      <c r="E18924">
        <f>IF(DATOS!$I18924="","",IFERROR(VLOOKUP(DATOS!$I18924,CONFIG_ASIGNATURAS!$B$2:$J$61,9,FALSE()),""))</f>
      </c>
    </row>
    <row r="18925">
      <c r="E18925">
        <f>IF(DATOS!$I18925="","",IFERROR(VLOOKUP(DATOS!$I18925,CONFIG_ASIGNATURAS!$B$2:$J$61,9,FALSE()),""))</f>
      </c>
    </row>
    <row r="18926">
      <c r="E18926">
        <f>IF(DATOS!$I18926="","",IFERROR(VLOOKUP(DATOS!$I18926,CONFIG_ASIGNATURAS!$B$2:$J$61,9,FALSE()),""))</f>
      </c>
    </row>
    <row r="18927">
      <c r="E18927">
        <f>IF(DATOS!$I18927="","",IFERROR(VLOOKUP(DATOS!$I18927,CONFIG_ASIGNATURAS!$B$2:$J$61,9,FALSE()),""))</f>
      </c>
    </row>
    <row r="18928">
      <c r="E18928">
        <f>IF(DATOS!$I18928="","",IFERROR(VLOOKUP(DATOS!$I18928,CONFIG_ASIGNATURAS!$B$2:$J$61,9,FALSE()),""))</f>
      </c>
    </row>
    <row r="18929">
      <c r="E18929">
        <f>IF(DATOS!$I18929="","",IFERROR(VLOOKUP(DATOS!$I18929,CONFIG_ASIGNATURAS!$B$2:$J$61,9,FALSE()),""))</f>
      </c>
    </row>
    <row r="18930">
      <c r="E18930">
        <f>IF(DATOS!$I18930="","",IFERROR(VLOOKUP(DATOS!$I18930,CONFIG_ASIGNATURAS!$B$2:$J$61,9,FALSE()),""))</f>
      </c>
    </row>
    <row r="18931">
      <c r="E18931">
        <f>IF(DATOS!$I18931="","",IFERROR(VLOOKUP(DATOS!$I18931,CONFIG_ASIGNATURAS!$B$2:$J$61,9,FALSE()),""))</f>
      </c>
    </row>
    <row r="18932">
      <c r="E18932">
        <f>IF(DATOS!$I18932="","",IFERROR(VLOOKUP(DATOS!$I18932,CONFIG_ASIGNATURAS!$B$2:$J$61,9,FALSE()),""))</f>
      </c>
    </row>
    <row r="18933">
      <c r="E18933">
        <f>IF(DATOS!$I18933="","",IFERROR(VLOOKUP(DATOS!$I18933,CONFIG_ASIGNATURAS!$B$2:$J$61,9,FALSE()),""))</f>
      </c>
    </row>
    <row r="18934">
      <c r="E18934">
        <f>IF(DATOS!$I18934="","",IFERROR(VLOOKUP(DATOS!$I18934,CONFIG_ASIGNATURAS!$B$2:$J$61,9,FALSE()),""))</f>
      </c>
    </row>
    <row r="18935">
      <c r="E18935">
        <f>IF(DATOS!$I18935="","",IFERROR(VLOOKUP(DATOS!$I18935,CONFIG_ASIGNATURAS!$B$2:$J$61,9,FALSE()),""))</f>
      </c>
    </row>
    <row r="18936">
      <c r="E18936">
        <f>IF(DATOS!$I18936="","",IFERROR(VLOOKUP(DATOS!$I18936,CONFIG_ASIGNATURAS!$B$2:$J$61,9,FALSE()),""))</f>
      </c>
    </row>
    <row r="18937">
      <c r="E18937">
        <f>IF(DATOS!$I18937="","",IFERROR(VLOOKUP(DATOS!$I18937,CONFIG_ASIGNATURAS!$B$2:$J$61,9,FALSE()),""))</f>
      </c>
    </row>
    <row r="18938">
      <c r="E18938">
        <f>IF(DATOS!$I18938="","",IFERROR(VLOOKUP(DATOS!$I18938,CONFIG_ASIGNATURAS!$B$2:$J$61,9,FALSE()),""))</f>
      </c>
    </row>
    <row r="18939">
      <c r="E18939">
        <f>IF(DATOS!$I18939="","",IFERROR(VLOOKUP(DATOS!$I18939,CONFIG_ASIGNATURAS!$B$2:$J$61,9,FALSE()),""))</f>
      </c>
    </row>
    <row r="18940">
      <c r="E18940">
        <f>IF(DATOS!$I18940="","",IFERROR(VLOOKUP(DATOS!$I18940,CONFIG_ASIGNATURAS!$B$2:$J$61,9,FALSE()),""))</f>
      </c>
    </row>
    <row r="18941">
      <c r="E18941">
        <f>IF(DATOS!$I18941="","",IFERROR(VLOOKUP(DATOS!$I18941,CONFIG_ASIGNATURAS!$B$2:$J$61,9,FALSE()),""))</f>
      </c>
    </row>
    <row r="18942">
      <c r="E18942">
        <f>IF(DATOS!$I18942="","",IFERROR(VLOOKUP(DATOS!$I18942,CONFIG_ASIGNATURAS!$B$2:$J$61,9,FALSE()),""))</f>
      </c>
    </row>
    <row r="18943">
      <c r="E18943">
        <f>IF(DATOS!$I18943="","",IFERROR(VLOOKUP(DATOS!$I18943,CONFIG_ASIGNATURAS!$B$2:$J$61,9,FALSE()),""))</f>
      </c>
    </row>
    <row r="18944">
      <c r="E18944">
        <f>IF(DATOS!$I18944="","",IFERROR(VLOOKUP(DATOS!$I18944,CONFIG_ASIGNATURAS!$B$2:$J$61,9,FALSE()),""))</f>
      </c>
    </row>
    <row r="18945">
      <c r="E18945">
        <f>IF(DATOS!$I18945="","",IFERROR(VLOOKUP(DATOS!$I18945,CONFIG_ASIGNATURAS!$B$2:$J$61,9,FALSE()),""))</f>
      </c>
    </row>
    <row r="18946">
      <c r="E18946">
        <f>IF(DATOS!$I18946="","",IFERROR(VLOOKUP(DATOS!$I18946,CONFIG_ASIGNATURAS!$B$2:$J$61,9,FALSE()),""))</f>
      </c>
    </row>
    <row r="18947">
      <c r="E18947">
        <f>IF(DATOS!$I18947="","",IFERROR(VLOOKUP(DATOS!$I18947,CONFIG_ASIGNATURAS!$B$2:$J$61,9,FALSE()),""))</f>
      </c>
    </row>
    <row r="18948">
      <c r="E18948">
        <f>IF(DATOS!$I18948="","",IFERROR(VLOOKUP(DATOS!$I18948,CONFIG_ASIGNATURAS!$B$2:$J$61,9,FALSE()),""))</f>
      </c>
    </row>
    <row r="18949">
      <c r="E18949">
        <f>IF(DATOS!$I18949="","",IFERROR(VLOOKUP(DATOS!$I18949,CONFIG_ASIGNATURAS!$B$2:$J$61,9,FALSE()),""))</f>
      </c>
    </row>
    <row r="18950">
      <c r="E18950">
        <f>IF(DATOS!$I18950="","",IFERROR(VLOOKUP(DATOS!$I18950,CONFIG_ASIGNATURAS!$B$2:$J$61,9,FALSE()),""))</f>
      </c>
    </row>
    <row r="18951">
      <c r="E18951">
        <f>IF(DATOS!$I18951="","",IFERROR(VLOOKUP(DATOS!$I18951,CONFIG_ASIGNATURAS!$B$2:$J$61,9,FALSE()),""))</f>
      </c>
    </row>
    <row r="18952">
      <c r="E18952">
        <f>IF(DATOS!$I18952="","",IFERROR(VLOOKUP(DATOS!$I18952,CONFIG_ASIGNATURAS!$B$2:$J$61,9,FALSE()),""))</f>
      </c>
    </row>
    <row r="18953">
      <c r="E18953">
        <f>IF(DATOS!$I18953="","",IFERROR(VLOOKUP(DATOS!$I18953,CONFIG_ASIGNATURAS!$B$2:$J$61,9,FALSE()),""))</f>
      </c>
    </row>
    <row r="18954">
      <c r="E18954">
        <f>IF(DATOS!$I18954="","",IFERROR(VLOOKUP(DATOS!$I18954,CONFIG_ASIGNATURAS!$B$2:$J$61,9,FALSE()),""))</f>
      </c>
    </row>
    <row r="18955">
      <c r="E18955">
        <f>IF(DATOS!$I18955="","",IFERROR(VLOOKUP(DATOS!$I18955,CONFIG_ASIGNATURAS!$B$2:$J$61,9,FALSE()),""))</f>
      </c>
    </row>
    <row r="18956">
      <c r="E18956">
        <f>IF(DATOS!$I18956="","",IFERROR(VLOOKUP(DATOS!$I18956,CONFIG_ASIGNATURAS!$B$2:$J$61,9,FALSE()),""))</f>
      </c>
    </row>
    <row r="18957">
      <c r="E18957">
        <f>IF(DATOS!$I18957="","",IFERROR(VLOOKUP(DATOS!$I18957,CONFIG_ASIGNATURAS!$B$2:$J$61,9,FALSE()),""))</f>
      </c>
    </row>
    <row r="18958">
      <c r="E18958">
        <f>IF(DATOS!$I18958="","",IFERROR(VLOOKUP(DATOS!$I18958,CONFIG_ASIGNATURAS!$B$2:$J$61,9,FALSE()),""))</f>
      </c>
    </row>
    <row r="18959">
      <c r="E18959">
        <f>IF(DATOS!$I18959="","",IFERROR(VLOOKUP(DATOS!$I18959,CONFIG_ASIGNATURAS!$B$2:$J$61,9,FALSE()),""))</f>
      </c>
    </row>
    <row r="18960">
      <c r="E18960">
        <f>IF(DATOS!$I18960="","",IFERROR(VLOOKUP(DATOS!$I18960,CONFIG_ASIGNATURAS!$B$2:$J$61,9,FALSE()),""))</f>
      </c>
    </row>
    <row r="18961">
      <c r="E18961">
        <f>IF(DATOS!$I18961="","",IFERROR(VLOOKUP(DATOS!$I18961,CONFIG_ASIGNATURAS!$B$2:$J$61,9,FALSE()),""))</f>
      </c>
    </row>
    <row r="18962">
      <c r="E18962">
        <f>IF(DATOS!$I18962="","",IFERROR(VLOOKUP(DATOS!$I18962,CONFIG_ASIGNATURAS!$B$2:$J$61,9,FALSE()),""))</f>
      </c>
    </row>
    <row r="18963">
      <c r="E18963">
        <f>IF(DATOS!$I18963="","",IFERROR(VLOOKUP(DATOS!$I18963,CONFIG_ASIGNATURAS!$B$2:$J$61,9,FALSE()),""))</f>
      </c>
    </row>
    <row r="18964">
      <c r="E18964">
        <f>IF(DATOS!$I18964="","",IFERROR(VLOOKUP(DATOS!$I18964,CONFIG_ASIGNATURAS!$B$2:$J$61,9,FALSE()),""))</f>
      </c>
    </row>
    <row r="18965">
      <c r="E18965">
        <f>IF(DATOS!$I18965="","",IFERROR(VLOOKUP(DATOS!$I18965,CONFIG_ASIGNATURAS!$B$2:$J$61,9,FALSE()),""))</f>
      </c>
    </row>
    <row r="18966">
      <c r="E18966">
        <f>IF(DATOS!$I18966="","",IFERROR(VLOOKUP(DATOS!$I18966,CONFIG_ASIGNATURAS!$B$2:$J$61,9,FALSE()),""))</f>
      </c>
    </row>
    <row r="18967">
      <c r="E18967">
        <f>IF(DATOS!$I18967="","",IFERROR(VLOOKUP(DATOS!$I18967,CONFIG_ASIGNATURAS!$B$2:$J$61,9,FALSE()),""))</f>
      </c>
    </row>
    <row r="18968">
      <c r="E18968">
        <f>IF(DATOS!$I18968="","",IFERROR(VLOOKUP(DATOS!$I18968,CONFIG_ASIGNATURAS!$B$2:$J$61,9,FALSE()),""))</f>
      </c>
    </row>
    <row r="18969">
      <c r="E18969">
        <f>IF(DATOS!$I18969="","",IFERROR(VLOOKUP(DATOS!$I18969,CONFIG_ASIGNATURAS!$B$2:$J$61,9,FALSE()),""))</f>
      </c>
    </row>
    <row r="18970">
      <c r="E18970">
        <f>IF(DATOS!$I18970="","",IFERROR(VLOOKUP(DATOS!$I18970,CONFIG_ASIGNATURAS!$B$2:$J$61,9,FALSE()),""))</f>
      </c>
    </row>
    <row r="18971">
      <c r="E18971">
        <f>IF(DATOS!$I18971="","",IFERROR(VLOOKUP(DATOS!$I18971,CONFIG_ASIGNATURAS!$B$2:$J$61,9,FALSE()),""))</f>
      </c>
    </row>
    <row r="18972">
      <c r="E18972">
        <f>IF(DATOS!$I18972="","",IFERROR(VLOOKUP(DATOS!$I18972,CONFIG_ASIGNATURAS!$B$2:$J$61,9,FALSE()),""))</f>
      </c>
    </row>
    <row r="18973">
      <c r="E18973">
        <f>IF(DATOS!$I18973="","",IFERROR(VLOOKUP(DATOS!$I18973,CONFIG_ASIGNATURAS!$B$2:$J$61,9,FALSE()),""))</f>
      </c>
    </row>
    <row r="18974">
      <c r="E18974">
        <f>IF(DATOS!$I18974="","",IFERROR(VLOOKUP(DATOS!$I18974,CONFIG_ASIGNATURAS!$B$2:$J$61,9,FALSE()),""))</f>
      </c>
    </row>
    <row r="18975">
      <c r="E18975">
        <f>IF(DATOS!$I18975="","",IFERROR(VLOOKUP(DATOS!$I18975,CONFIG_ASIGNATURAS!$B$2:$J$61,9,FALSE()),""))</f>
      </c>
    </row>
    <row r="18976">
      <c r="E18976">
        <f>IF(DATOS!$I18976="","",IFERROR(VLOOKUP(DATOS!$I18976,CONFIG_ASIGNATURAS!$B$2:$J$61,9,FALSE()),""))</f>
      </c>
    </row>
    <row r="18977">
      <c r="E18977">
        <f>IF(DATOS!$I18977="","",IFERROR(VLOOKUP(DATOS!$I18977,CONFIG_ASIGNATURAS!$B$2:$J$61,9,FALSE()),""))</f>
      </c>
    </row>
    <row r="18978">
      <c r="E18978">
        <f>IF(DATOS!$I18978="","",IFERROR(VLOOKUP(DATOS!$I18978,CONFIG_ASIGNATURAS!$B$2:$J$61,9,FALSE()),""))</f>
      </c>
    </row>
    <row r="18979">
      <c r="E18979">
        <f>IF(DATOS!$I18979="","",IFERROR(VLOOKUP(DATOS!$I18979,CONFIG_ASIGNATURAS!$B$2:$J$61,9,FALSE()),""))</f>
      </c>
    </row>
    <row r="18980">
      <c r="E18980">
        <f>IF(DATOS!$I18980="","",IFERROR(VLOOKUP(DATOS!$I18980,CONFIG_ASIGNATURAS!$B$2:$J$61,9,FALSE()),""))</f>
      </c>
    </row>
    <row r="18981">
      <c r="E18981">
        <f>IF(DATOS!$I18981="","",IFERROR(VLOOKUP(DATOS!$I18981,CONFIG_ASIGNATURAS!$B$2:$J$61,9,FALSE()),""))</f>
      </c>
    </row>
    <row r="18982">
      <c r="E18982">
        <f>IF(DATOS!$I18982="","",IFERROR(VLOOKUP(DATOS!$I18982,CONFIG_ASIGNATURAS!$B$2:$J$61,9,FALSE()),""))</f>
      </c>
    </row>
    <row r="18983">
      <c r="E18983">
        <f>IF(DATOS!$I18983="","",IFERROR(VLOOKUP(DATOS!$I18983,CONFIG_ASIGNATURAS!$B$2:$J$61,9,FALSE()),""))</f>
      </c>
    </row>
    <row r="18984">
      <c r="E18984">
        <f>IF(DATOS!$I18984="","",IFERROR(VLOOKUP(DATOS!$I18984,CONFIG_ASIGNATURAS!$B$2:$J$61,9,FALSE()),""))</f>
      </c>
    </row>
    <row r="18985">
      <c r="E18985">
        <f>IF(DATOS!$I18985="","",IFERROR(VLOOKUP(DATOS!$I18985,CONFIG_ASIGNATURAS!$B$2:$J$61,9,FALSE()),""))</f>
      </c>
    </row>
    <row r="18986">
      <c r="E18986">
        <f>IF(DATOS!$I18986="","",IFERROR(VLOOKUP(DATOS!$I18986,CONFIG_ASIGNATURAS!$B$2:$J$61,9,FALSE()),""))</f>
      </c>
    </row>
    <row r="18987">
      <c r="E18987">
        <f>IF(DATOS!$I18987="","",IFERROR(VLOOKUP(DATOS!$I18987,CONFIG_ASIGNATURAS!$B$2:$J$61,9,FALSE()),""))</f>
      </c>
    </row>
    <row r="18988">
      <c r="E18988">
        <f>IF(DATOS!$I18988="","",IFERROR(VLOOKUP(DATOS!$I18988,CONFIG_ASIGNATURAS!$B$2:$J$61,9,FALSE()),""))</f>
      </c>
    </row>
    <row r="18989">
      <c r="E18989">
        <f>IF(DATOS!$I18989="","",IFERROR(VLOOKUP(DATOS!$I18989,CONFIG_ASIGNATURAS!$B$2:$J$61,9,FALSE()),""))</f>
      </c>
    </row>
    <row r="18990">
      <c r="E18990">
        <f>IF(DATOS!$I18990="","",IFERROR(VLOOKUP(DATOS!$I18990,CONFIG_ASIGNATURAS!$B$2:$J$61,9,FALSE()),""))</f>
      </c>
    </row>
    <row r="18991">
      <c r="E18991">
        <f>IF(DATOS!$I18991="","",IFERROR(VLOOKUP(DATOS!$I18991,CONFIG_ASIGNATURAS!$B$2:$J$61,9,FALSE()),""))</f>
      </c>
    </row>
    <row r="18992">
      <c r="E18992">
        <f>IF(DATOS!$I18992="","",IFERROR(VLOOKUP(DATOS!$I18992,CONFIG_ASIGNATURAS!$B$2:$J$61,9,FALSE()),""))</f>
      </c>
    </row>
    <row r="18993">
      <c r="E18993">
        <f>IF(DATOS!$I18993="","",IFERROR(VLOOKUP(DATOS!$I18993,CONFIG_ASIGNATURAS!$B$2:$J$61,9,FALSE()),""))</f>
      </c>
    </row>
    <row r="18994">
      <c r="E18994">
        <f>IF(DATOS!$I18994="","",IFERROR(VLOOKUP(DATOS!$I18994,CONFIG_ASIGNATURAS!$B$2:$J$61,9,FALSE()),""))</f>
      </c>
    </row>
    <row r="18995">
      <c r="E18995">
        <f>IF(DATOS!$I18995="","",IFERROR(VLOOKUP(DATOS!$I18995,CONFIG_ASIGNATURAS!$B$2:$J$61,9,FALSE()),""))</f>
      </c>
    </row>
    <row r="18996">
      <c r="E18996">
        <f>IF(DATOS!$I18996="","",IFERROR(VLOOKUP(DATOS!$I18996,CONFIG_ASIGNATURAS!$B$2:$J$61,9,FALSE()),""))</f>
      </c>
    </row>
    <row r="18997">
      <c r="E18997">
        <f>IF(DATOS!$I18997="","",IFERROR(VLOOKUP(DATOS!$I18997,CONFIG_ASIGNATURAS!$B$2:$J$61,9,FALSE()),""))</f>
      </c>
    </row>
    <row r="18998">
      <c r="E18998">
        <f>IF(DATOS!$I18998="","",IFERROR(VLOOKUP(DATOS!$I18998,CONFIG_ASIGNATURAS!$B$2:$J$61,9,FALSE()),""))</f>
      </c>
    </row>
    <row r="18999">
      <c r="E18999">
        <f>IF(DATOS!$I18999="","",IFERROR(VLOOKUP(DATOS!$I18999,CONFIG_ASIGNATURAS!$B$2:$J$61,9,FALSE()),""))</f>
      </c>
    </row>
    <row r="19000">
      <c r="E19000">
        <f>IF(DATOS!$I19000="","",IFERROR(VLOOKUP(DATOS!$I19000,CONFIG_ASIGNATURAS!$B$2:$J$61,9,FALSE()),""))</f>
      </c>
    </row>
    <row r="19001">
      <c r="E19001">
        <f>IF(DATOS!$I19001="","",IFERROR(VLOOKUP(DATOS!$I19001,CONFIG_ASIGNATURAS!$B$2:$J$61,9,FALSE()),""))</f>
      </c>
    </row>
    <row r="19002">
      <c r="E19002">
        <f>IF(DATOS!$I19002="","",IFERROR(VLOOKUP(DATOS!$I19002,CONFIG_ASIGNATURAS!$B$2:$J$61,9,FALSE()),""))</f>
      </c>
    </row>
    <row r="19003">
      <c r="E19003">
        <f>IF(DATOS!$I19003="","",IFERROR(VLOOKUP(DATOS!$I19003,CONFIG_ASIGNATURAS!$B$2:$J$61,9,FALSE()),""))</f>
      </c>
    </row>
    <row r="19004">
      <c r="E19004">
        <f>IF(DATOS!$I19004="","",IFERROR(VLOOKUP(DATOS!$I19004,CONFIG_ASIGNATURAS!$B$2:$J$61,9,FALSE()),""))</f>
      </c>
    </row>
    <row r="19005">
      <c r="E19005">
        <f>IF(DATOS!$I19005="","",IFERROR(VLOOKUP(DATOS!$I19005,CONFIG_ASIGNATURAS!$B$2:$J$61,9,FALSE()),""))</f>
      </c>
    </row>
    <row r="19006">
      <c r="E19006">
        <f>IF(DATOS!$I19006="","",IFERROR(VLOOKUP(DATOS!$I19006,CONFIG_ASIGNATURAS!$B$2:$J$61,9,FALSE()),""))</f>
      </c>
    </row>
    <row r="19007">
      <c r="E19007">
        <f>IF(DATOS!$I19007="","",IFERROR(VLOOKUP(DATOS!$I19007,CONFIG_ASIGNATURAS!$B$2:$J$61,9,FALSE()),""))</f>
      </c>
    </row>
    <row r="19008">
      <c r="E19008">
        <f>IF(DATOS!$I19008="","",IFERROR(VLOOKUP(DATOS!$I19008,CONFIG_ASIGNATURAS!$B$2:$J$61,9,FALSE()),""))</f>
      </c>
    </row>
    <row r="19009">
      <c r="E19009">
        <f>IF(DATOS!$I19009="","",IFERROR(VLOOKUP(DATOS!$I19009,CONFIG_ASIGNATURAS!$B$2:$J$61,9,FALSE()),""))</f>
      </c>
    </row>
    <row r="19010">
      <c r="E19010">
        <f>IF(DATOS!$I19010="","",IFERROR(VLOOKUP(DATOS!$I19010,CONFIG_ASIGNATURAS!$B$2:$J$61,9,FALSE()),""))</f>
      </c>
    </row>
    <row r="19011">
      <c r="E19011">
        <f>IF(DATOS!$I19011="","",IFERROR(VLOOKUP(DATOS!$I19011,CONFIG_ASIGNATURAS!$B$2:$J$61,9,FALSE()),""))</f>
      </c>
    </row>
    <row r="19012">
      <c r="E19012">
        <f>IF(DATOS!$I19012="","",IFERROR(VLOOKUP(DATOS!$I19012,CONFIG_ASIGNATURAS!$B$2:$J$61,9,FALSE()),""))</f>
      </c>
    </row>
    <row r="19013">
      <c r="E19013">
        <f>IF(DATOS!$I19013="","",IFERROR(VLOOKUP(DATOS!$I19013,CONFIG_ASIGNATURAS!$B$2:$J$61,9,FALSE()),""))</f>
      </c>
    </row>
    <row r="19014">
      <c r="E19014">
        <f>IF(DATOS!$I19014="","",IFERROR(VLOOKUP(DATOS!$I19014,CONFIG_ASIGNATURAS!$B$2:$J$61,9,FALSE()),""))</f>
      </c>
    </row>
    <row r="19015">
      <c r="E19015">
        <f>IF(DATOS!$I19015="","",IFERROR(VLOOKUP(DATOS!$I19015,CONFIG_ASIGNATURAS!$B$2:$J$61,9,FALSE()),""))</f>
      </c>
    </row>
    <row r="19016">
      <c r="E19016">
        <f>IF(DATOS!$I19016="","",IFERROR(VLOOKUP(DATOS!$I19016,CONFIG_ASIGNATURAS!$B$2:$J$61,9,FALSE()),""))</f>
      </c>
    </row>
    <row r="19017">
      <c r="E19017">
        <f>IF(DATOS!$I19017="","",IFERROR(VLOOKUP(DATOS!$I19017,CONFIG_ASIGNATURAS!$B$2:$J$61,9,FALSE()),""))</f>
      </c>
    </row>
    <row r="19018">
      <c r="E19018">
        <f>IF(DATOS!$I19018="","",IFERROR(VLOOKUP(DATOS!$I19018,CONFIG_ASIGNATURAS!$B$2:$J$61,9,FALSE()),""))</f>
      </c>
    </row>
    <row r="19019">
      <c r="E19019">
        <f>IF(DATOS!$I19019="","",IFERROR(VLOOKUP(DATOS!$I19019,CONFIG_ASIGNATURAS!$B$2:$J$61,9,FALSE()),""))</f>
      </c>
    </row>
    <row r="19020">
      <c r="E19020">
        <f>IF(DATOS!$I19020="","",IFERROR(VLOOKUP(DATOS!$I19020,CONFIG_ASIGNATURAS!$B$2:$J$61,9,FALSE()),""))</f>
      </c>
    </row>
    <row r="19021">
      <c r="E19021">
        <f>IF(DATOS!$I19021="","",IFERROR(VLOOKUP(DATOS!$I19021,CONFIG_ASIGNATURAS!$B$2:$J$61,9,FALSE()),""))</f>
      </c>
    </row>
    <row r="19022">
      <c r="E19022">
        <f>IF(DATOS!$I19022="","",IFERROR(VLOOKUP(DATOS!$I19022,CONFIG_ASIGNATURAS!$B$2:$J$61,9,FALSE()),""))</f>
      </c>
    </row>
    <row r="19023">
      <c r="E19023">
        <f>IF(DATOS!$I19023="","",IFERROR(VLOOKUP(DATOS!$I19023,CONFIG_ASIGNATURAS!$B$2:$J$61,9,FALSE()),""))</f>
      </c>
    </row>
    <row r="19024">
      <c r="E19024">
        <f>IF(DATOS!$I19024="","",IFERROR(VLOOKUP(DATOS!$I19024,CONFIG_ASIGNATURAS!$B$2:$J$61,9,FALSE()),""))</f>
      </c>
    </row>
    <row r="19025">
      <c r="E19025">
        <f>IF(DATOS!$I19025="","",IFERROR(VLOOKUP(DATOS!$I19025,CONFIG_ASIGNATURAS!$B$2:$J$61,9,FALSE()),""))</f>
      </c>
    </row>
    <row r="19026">
      <c r="E19026">
        <f>IF(DATOS!$I19026="","",IFERROR(VLOOKUP(DATOS!$I19026,CONFIG_ASIGNATURAS!$B$2:$J$61,9,FALSE()),""))</f>
      </c>
    </row>
    <row r="19027">
      <c r="E19027">
        <f>IF(DATOS!$I19027="","",IFERROR(VLOOKUP(DATOS!$I19027,CONFIG_ASIGNATURAS!$B$2:$J$61,9,FALSE()),""))</f>
      </c>
    </row>
    <row r="19028">
      <c r="E19028">
        <f>IF(DATOS!$I19028="","",IFERROR(VLOOKUP(DATOS!$I19028,CONFIG_ASIGNATURAS!$B$2:$J$61,9,FALSE()),""))</f>
      </c>
    </row>
    <row r="19029">
      <c r="E19029">
        <f>IF(DATOS!$I19029="","",IFERROR(VLOOKUP(DATOS!$I19029,CONFIG_ASIGNATURAS!$B$2:$J$61,9,FALSE()),""))</f>
      </c>
    </row>
    <row r="19030">
      <c r="E19030">
        <f>IF(DATOS!$I19030="","",IFERROR(VLOOKUP(DATOS!$I19030,CONFIG_ASIGNATURAS!$B$2:$J$61,9,FALSE()),""))</f>
      </c>
    </row>
    <row r="19031">
      <c r="E19031">
        <f>IF(DATOS!$I19031="","",IFERROR(VLOOKUP(DATOS!$I19031,CONFIG_ASIGNATURAS!$B$2:$J$61,9,FALSE()),""))</f>
      </c>
    </row>
    <row r="19032">
      <c r="E19032">
        <f>IF(DATOS!$I19032="","",IFERROR(VLOOKUP(DATOS!$I19032,CONFIG_ASIGNATURAS!$B$2:$J$61,9,FALSE()),""))</f>
      </c>
    </row>
    <row r="19033">
      <c r="E19033">
        <f>IF(DATOS!$I19033="","",IFERROR(VLOOKUP(DATOS!$I19033,CONFIG_ASIGNATURAS!$B$2:$J$61,9,FALSE()),""))</f>
      </c>
    </row>
    <row r="19034">
      <c r="E19034">
        <f>IF(DATOS!$I19034="","",IFERROR(VLOOKUP(DATOS!$I19034,CONFIG_ASIGNATURAS!$B$2:$J$61,9,FALSE()),""))</f>
      </c>
    </row>
    <row r="19035">
      <c r="E19035">
        <f>IF(DATOS!$I19035="","",IFERROR(VLOOKUP(DATOS!$I19035,CONFIG_ASIGNATURAS!$B$2:$J$61,9,FALSE()),""))</f>
      </c>
    </row>
    <row r="19036">
      <c r="E19036">
        <f>IF(DATOS!$I19036="","",IFERROR(VLOOKUP(DATOS!$I19036,CONFIG_ASIGNATURAS!$B$2:$J$61,9,FALSE()),""))</f>
      </c>
    </row>
    <row r="19037">
      <c r="E19037">
        <f>IF(DATOS!$I19037="","",IFERROR(VLOOKUP(DATOS!$I19037,CONFIG_ASIGNATURAS!$B$2:$J$61,9,FALSE()),""))</f>
      </c>
    </row>
    <row r="19038">
      <c r="E19038">
        <f>IF(DATOS!$I19038="","",IFERROR(VLOOKUP(DATOS!$I19038,CONFIG_ASIGNATURAS!$B$2:$J$61,9,FALSE()),""))</f>
      </c>
    </row>
    <row r="19039">
      <c r="E19039">
        <f>IF(DATOS!$I19039="","",IFERROR(VLOOKUP(DATOS!$I19039,CONFIG_ASIGNATURAS!$B$2:$J$61,9,FALSE()),""))</f>
      </c>
    </row>
    <row r="19040">
      <c r="E19040">
        <f>IF(DATOS!$I19040="","",IFERROR(VLOOKUP(DATOS!$I19040,CONFIG_ASIGNATURAS!$B$2:$J$61,9,FALSE()),""))</f>
      </c>
    </row>
    <row r="19041">
      <c r="E19041">
        <f>IF(DATOS!$I19041="","",IFERROR(VLOOKUP(DATOS!$I19041,CONFIG_ASIGNATURAS!$B$2:$J$61,9,FALSE()),""))</f>
      </c>
    </row>
    <row r="19042">
      <c r="E19042">
        <f>IF(DATOS!$I19042="","",IFERROR(VLOOKUP(DATOS!$I19042,CONFIG_ASIGNATURAS!$B$2:$J$61,9,FALSE()),""))</f>
      </c>
    </row>
    <row r="19043">
      <c r="E19043">
        <f>IF(DATOS!$I19043="","",IFERROR(VLOOKUP(DATOS!$I19043,CONFIG_ASIGNATURAS!$B$2:$J$61,9,FALSE()),""))</f>
      </c>
    </row>
    <row r="19044">
      <c r="E19044">
        <f>IF(DATOS!$I19044="","",IFERROR(VLOOKUP(DATOS!$I19044,CONFIG_ASIGNATURAS!$B$2:$J$61,9,FALSE()),""))</f>
      </c>
    </row>
    <row r="19045">
      <c r="E19045">
        <f>IF(DATOS!$I19045="","",IFERROR(VLOOKUP(DATOS!$I19045,CONFIG_ASIGNATURAS!$B$2:$J$61,9,FALSE()),""))</f>
      </c>
    </row>
    <row r="19046">
      <c r="E19046">
        <f>IF(DATOS!$I19046="","",IFERROR(VLOOKUP(DATOS!$I19046,CONFIG_ASIGNATURAS!$B$2:$J$61,9,FALSE()),""))</f>
      </c>
    </row>
    <row r="19047">
      <c r="E19047">
        <f>IF(DATOS!$I19047="","",IFERROR(VLOOKUP(DATOS!$I19047,CONFIG_ASIGNATURAS!$B$2:$J$61,9,FALSE()),""))</f>
      </c>
    </row>
    <row r="19048">
      <c r="E19048">
        <f>IF(DATOS!$I19048="","",IFERROR(VLOOKUP(DATOS!$I19048,CONFIG_ASIGNATURAS!$B$2:$J$61,9,FALSE()),""))</f>
      </c>
    </row>
    <row r="19049">
      <c r="E19049">
        <f>IF(DATOS!$I19049="","",IFERROR(VLOOKUP(DATOS!$I19049,CONFIG_ASIGNATURAS!$B$2:$J$61,9,FALSE()),""))</f>
      </c>
    </row>
    <row r="19050">
      <c r="E19050">
        <f>IF(DATOS!$I19050="","",IFERROR(VLOOKUP(DATOS!$I19050,CONFIG_ASIGNATURAS!$B$2:$J$61,9,FALSE()),""))</f>
      </c>
    </row>
    <row r="19051">
      <c r="E19051">
        <f>IF(DATOS!$I19051="","",IFERROR(VLOOKUP(DATOS!$I19051,CONFIG_ASIGNATURAS!$B$2:$J$61,9,FALSE()),""))</f>
      </c>
    </row>
    <row r="19052">
      <c r="E19052">
        <f>IF(DATOS!$I19052="","",IFERROR(VLOOKUP(DATOS!$I19052,CONFIG_ASIGNATURAS!$B$2:$J$61,9,FALSE()),""))</f>
      </c>
    </row>
    <row r="19053">
      <c r="E19053">
        <f>IF(DATOS!$I19053="","",IFERROR(VLOOKUP(DATOS!$I19053,CONFIG_ASIGNATURAS!$B$2:$J$61,9,FALSE()),""))</f>
      </c>
    </row>
    <row r="19054">
      <c r="E19054">
        <f>IF(DATOS!$I19054="","",IFERROR(VLOOKUP(DATOS!$I19054,CONFIG_ASIGNATURAS!$B$2:$J$61,9,FALSE()),""))</f>
      </c>
    </row>
    <row r="19055">
      <c r="E19055">
        <f>IF(DATOS!$I19055="","",IFERROR(VLOOKUP(DATOS!$I19055,CONFIG_ASIGNATURAS!$B$2:$J$61,9,FALSE()),""))</f>
      </c>
    </row>
    <row r="19056">
      <c r="E19056">
        <f>IF(DATOS!$I19056="","",IFERROR(VLOOKUP(DATOS!$I19056,CONFIG_ASIGNATURAS!$B$2:$J$61,9,FALSE()),""))</f>
      </c>
    </row>
    <row r="19057">
      <c r="E19057">
        <f>IF(DATOS!$I19057="","",IFERROR(VLOOKUP(DATOS!$I19057,CONFIG_ASIGNATURAS!$B$2:$J$61,9,FALSE()),""))</f>
      </c>
    </row>
    <row r="19058">
      <c r="E19058">
        <f>IF(DATOS!$I19058="","",IFERROR(VLOOKUP(DATOS!$I19058,CONFIG_ASIGNATURAS!$B$2:$J$61,9,FALSE()),""))</f>
      </c>
    </row>
    <row r="19059">
      <c r="E19059">
        <f>IF(DATOS!$I19059="","",IFERROR(VLOOKUP(DATOS!$I19059,CONFIG_ASIGNATURAS!$B$2:$J$61,9,FALSE()),""))</f>
      </c>
    </row>
    <row r="19060">
      <c r="E19060">
        <f>IF(DATOS!$I19060="","",IFERROR(VLOOKUP(DATOS!$I19060,CONFIG_ASIGNATURAS!$B$2:$J$61,9,FALSE()),""))</f>
      </c>
    </row>
    <row r="19061">
      <c r="E19061">
        <f>IF(DATOS!$I19061="","",IFERROR(VLOOKUP(DATOS!$I19061,CONFIG_ASIGNATURAS!$B$2:$J$61,9,FALSE()),""))</f>
      </c>
    </row>
    <row r="19062">
      <c r="E19062">
        <f>IF(DATOS!$I19062="","",IFERROR(VLOOKUP(DATOS!$I19062,CONFIG_ASIGNATURAS!$B$2:$J$61,9,FALSE()),""))</f>
      </c>
    </row>
    <row r="19063">
      <c r="E19063">
        <f>IF(DATOS!$I19063="","",IFERROR(VLOOKUP(DATOS!$I19063,CONFIG_ASIGNATURAS!$B$2:$J$61,9,FALSE()),""))</f>
      </c>
    </row>
    <row r="19064">
      <c r="E19064">
        <f>IF(DATOS!$I19064="","",IFERROR(VLOOKUP(DATOS!$I19064,CONFIG_ASIGNATURAS!$B$2:$J$61,9,FALSE()),""))</f>
      </c>
    </row>
    <row r="19065">
      <c r="E19065">
        <f>IF(DATOS!$I19065="","",IFERROR(VLOOKUP(DATOS!$I19065,CONFIG_ASIGNATURAS!$B$2:$J$61,9,FALSE()),""))</f>
      </c>
    </row>
    <row r="19066">
      <c r="E19066">
        <f>IF(DATOS!$I19066="","",IFERROR(VLOOKUP(DATOS!$I19066,CONFIG_ASIGNATURAS!$B$2:$J$61,9,FALSE()),""))</f>
      </c>
    </row>
    <row r="19067">
      <c r="E19067">
        <f>IF(DATOS!$I19067="","",IFERROR(VLOOKUP(DATOS!$I19067,CONFIG_ASIGNATURAS!$B$2:$J$61,9,FALSE()),""))</f>
      </c>
    </row>
    <row r="19068">
      <c r="E19068">
        <f>IF(DATOS!$I19068="","",IFERROR(VLOOKUP(DATOS!$I19068,CONFIG_ASIGNATURAS!$B$2:$J$61,9,FALSE()),""))</f>
      </c>
    </row>
    <row r="19069">
      <c r="E19069">
        <f>IF(DATOS!$I19069="","",IFERROR(VLOOKUP(DATOS!$I19069,CONFIG_ASIGNATURAS!$B$2:$J$61,9,FALSE()),""))</f>
      </c>
    </row>
    <row r="19070">
      <c r="E19070">
        <f>IF(DATOS!$I19070="","",IFERROR(VLOOKUP(DATOS!$I19070,CONFIG_ASIGNATURAS!$B$2:$J$61,9,FALSE()),""))</f>
      </c>
    </row>
    <row r="19071">
      <c r="E19071">
        <f>IF(DATOS!$I19071="","",IFERROR(VLOOKUP(DATOS!$I19071,CONFIG_ASIGNATURAS!$B$2:$J$61,9,FALSE()),""))</f>
      </c>
    </row>
    <row r="19072">
      <c r="E19072">
        <f>IF(DATOS!$I19072="","",IFERROR(VLOOKUP(DATOS!$I19072,CONFIG_ASIGNATURAS!$B$2:$J$61,9,FALSE()),""))</f>
      </c>
    </row>
    <row r="19073">
      <c r="E19073">
        <f>IF(DATOS!$I19073="","",IFERROR(VLOOKUP(DATOS!$I19073,CONFIG_ASIGNATURAS!$B$2:$J$61,9,FALSE()),""))</f>
      </c>
    </row>
    <row r="19074">
      <c r="E19074">
        <f>IF(DATOS!$I19074="","",IFERROR(VLOOKUP(DATOS!$I19074,CONFIG_ASIGNATURAS!$B$2:$J$61,9,FALSE()),""))</f>
      </c>
    </row>
    <row r="19075">
      <c r="E19075">
        <f>IF(DATOS!$I19075="","",IFERROR(VLOOKUP(DATOS!$I19075,CONFIG_ASIGNATURAS!$B$2:$J$61,9,FALSE()),""))</f>
      </c>
    </row>
    <row r="19076">
      <c r="E19076">
        <f>IF(DATOS!$I19076="","",IFERROR(VLOOKUP(DATOS!$I19076,CONFIG_ASIGNATURAS!$B$2:$J$61,9,FALSE()),""))</f>
      </c>
    </row>
    <row r="19077">
      <c r="E19077">
        <f>IF(DATOS!$I19077="","",IFERROR(VLOOKUP(DATOS!$I19077,CONFIG_ASIGNATURAS!$B$2:$J$61,9,FALSE()),""))</f>
      </c>
    </row>
    <row r="19078">
      <c r="E19078">
        <f>IF(DATOS!$I19078="","",IFERROR(VLOOKUP(DATOS!$I19078,CONFIG_ASIGNATURAS!$B$2:$J$61,9,FALSE()),""))</f>
      </c>
    </row>
    <row r="19079">
      <c r="E19079">
        <f>IF(DATOS!$I19079="","",IFERROR(VLOOKUP(DATOS!$I19079,CONFIG_ASIGNATURAS!$B$2:$J$61,9,FALSE()),""))</f>
      </c>
    </row>
    <row r="19080">
      <c r="E19080">
        <f>IF(DATOS!$I19080="","",IFERROR(VLOOKUP(DATOS!$I19080,CONFIG_ASIGNATURAS!$B$2:$J$61,9,FALSE()),""))</f>
      </c>
    </row>
    <row r="19081">
      <c r="E19081">
        <f>IF(DATOS!$I19081="","",IFERROR(VLOOKUP(DATOS!$I19081,CONFIG_ASIGNATURAS!$B$2:$J$61,9,FALSE()),""))</f>
      </c>
    </row>
    <row r="19082">
      <c r="E19082">
        <f>IF(DATOS!$I19082="","",IFERROR(VLOOKUP(DATOS!$I19082,CONFIG_ASIGNATURAS!$B$2:$J$61,9,FALSE()),""))</f>
      </c>
    </row>
    <row r="19083">
      <c r="E19083">
        <f>IF(DATOS!$I19083="","",IFERROR(VLOOKUP(DATOS!$I19083,CONFIG_ASIGNATURAS!$B$2:$J$61,9,FALSE()),""))</f>
      </c>
    </row>
    <row r="19084">
      <c r="E19084">
        <f>IF(DATOS!$I19084="","",IFERROR(VLOOKUP(DATOS!$I19084,CONFIG_ASIGNATURAS!$B$2:$J$61,9,FALSE()),""))</f>
      </c>
    </row>
    <row r="19085">
      <c r="E19085">
        <f>IF(DATOS!$I19085="","",IFERROR(VLOOKUP(DATOS!$I19085,CONFIG_ASIGNATURAS!$B$2:$J$61,9,FALSE()),""))</f>
      </c>
    </row>
    <row r="19086">
      <c r="E19086">
        <f>IF(DATOS!$I19086="","",IFERROR(VLOOKUP(DATOS!$I19086,CONFIG_ASIGNATURAS!$B$2:$J$61,9,FALSE()),""))</f>
      </c>
    </row>
    <row r="19087">
      <c r="E19087">
        <f>IF(DATOS!$I19087="","",IFERROR(VLOOKUP(DATOS!$I19087,CONFIG_ASIGNATURAS!$B$2:$J$61,9,FALSE()),""))</f>
      </c>
    </row>
    <row r="19088">
      <c r="E19088">
        <f>IF(DATOS!$I19088="","",IFERROR(VLOOKUP(DATOS!$I19088,CONFIG_ASIGNATURAS!$B$2:$J$61,9,FALSE()),""))</f>
      </c>
    </row>
    <row r="19089">
      <c r="E19089">
        <f>IF(DATOS!$I19089="","",IFERROR(VLOOKUP(DATOS!$I19089,CONFIG_ASIGNATURAS!$B$2:$J$61,9,FALSE()),""))</f>
      </c>
    </row>
    <row r="19090">
      <c r="E19090">
        <f>IF(DATOS!$I19090="","",IFERROR(VLOOKUP(DATOS!$I19090,CONFIG_ASIGNATURAS!$B$2:$J$61,9,FALSE()),""))</f>
      </c>
    </row>
    <row r="19091">
      <c r="E19091">
        <f>IF(DATOS!$I19091="","",IFERROR(VLOOKUP(DATOS!$I19091,CONFIG_ASIGNATURAS!$B$2:$J$61,9,FALSE()),""))</f>
      </c>
    </row>
    <row r="19092">
      <c r="E19092">
        <f>IF(DATOS!$I19092="","",IFERROR(VLOOKUP(DATOS!$I19092,CONFIG_ASIGNATURAS!$B$2:$J$61,9,FALSE()),""))</f>
      </c>
    </row>
    <row r="19093">
      <c r="E19093">
        <f>IF(DATOS!$I19093="","",IFERROR(VLOOKUP(DATOS!$I19093,CONFIG_ASIGNATURAS!$B$2:$J$61,9,FALSE()),""))</f>
      </c>
    </row>
    <row r="19094">
      <c r="E19094">
        <f>IF(DATOS!$I19094="","",IFERROR(VLOOKUP(DATOS!$I19094,CONFIG_ASIGNATURAS!$B$2:$J$61,9,FALSE()),""))</f>
      </c>
    </row>
    <row r="19095">
      <c r="E19095">
        <f>IF(DATOS!$I19095="","",IFERROR(VLOOKUP(DATOS!$I19095,CONFIG_ASIGNATURAS!$B$2:$J$61,9,FALSE()),""))</f>
      </c>
    </row>
    <row r="19096">
      <c r="E19096">
        <f>IF(DATOS!$I19096="","",IFERROR(VLOOKUP(DATOS!$I19096,CONFIG_ASIGNATURAS!$B$2:$J$61,9,FALSE()),""))</f>
      </c>
    </row>
    <row r="19097">
      <c r="E19097">
        <f>IF(DATOS!$I19097="","",IFERROR(VLOOKUP(DATOS!$I19097,CONFIG_ASIGNATURAS!$B$2:$J$61,9,FALSE()),""))</f>
      </c>
    </row>
    <row r="19098">
      <c r="E19098">
        <f>IF(DATOS!$I19098="","",IFERROR(VLOOKUP(DATOS!$I19098,CONFIG_ASIGNATURAS!$B$2:$J$61,9,FALSE()),""))</f>
      </c>
    </row>
    <row r="19099">
      <c r="E19099">
        <f>IF(DATOS!$I19099="","",IFERROR(VLOOKUP(DATOS!$I19099,CONFIG_ASIGNATURAS!$B$2:$J$61,9,FALSE()),""))</f>
      </c>
    </row>
    <row r="19100">
      <c r="E19100">
        <f>IF(DATOS!$I19100="","",IFERROR(VLOOKUP(DATOS!$I19100,CONFIG_ASIGNATURAS!$B$2:$J$61,9,FALSE()),""))</f>
      </c>
    </row>
    <row r="19101">
      <c r="E19101">
        <f>IF(DATOS!$I19101="","",IFERROR(VLOOKUP(DATOS!$I19101,CONFIG_ASIGNATURAS!$B$2:$J$61,9,FALSE()),""))</f>
      </c>
    </row>
    <row r="19102">
      <c r="E19102">
        <f>IF(DATOS!$I19102="","",IFERROR(VLOOKUP(DATOS!$I19102,CONFIG_ASIGNATURAS!$B$2:$J$61,9,FALSE()),""))</f>
      </c>
    </row>
    <row r="19103">
      <c r="E19103">
        <f>IF(DATOS!$I19103="","",IFERROR(VLOOKUP(DATOS!$I19103,CONFIG_ASIGNATURAS!$B$2:$J$61,9,FALSE()),""))</f>
      </c>
    </row>
    <row r="19104">
      <c r="E19104">
        <f>IF(DATOS!$I19104="","",IFERROR(VLOOKUP(DATOS!$I19104,CONFIG_ASIGNATURAS!$B$2:$J$61,9,FALSE()),""))</f>
      </c>
    </row>
    <row r="19105">
      <c r="E19105">
        <f>IF(DATOS!$I19105="","",IFERROR(VLOOKUP(DATOS!$I19105,CONFIG_ASIGNATURAS!$B$2:$J$61,9,FALSE()),""))</f>
      </c>
    </row>
    <row r="19106">
      <c r="E19106">
        <f>IF(DATOS!$I19106="","",IFERROR(VLOOKUP(DATOS!$I19106,CONFIG_ASIGNATURAS!$B$2:$J$61,9,FALSE()),""))</f>
      </c>
    </row>
    <row r="19107">
      <c r="E19107">
        <f>IF(DATOS!$I19107="","",IFERROR(VLOOKUP(DATOS!$I19107,CONFIG_ASIGNATURAS!$B$2:$J$61,9,FALSE()),""))</f>
      </c>
    </row>
    <row r="19108">
      <c r="E19108">
        <f>IF(DATOS!$I19108="","",IFERROR(VLOOKUP(DATOS!$I19108,CONFIG_ASIGNATURAS!$B$2:$J$61,9,FALSE()),""))</f>
      </c>
    </row>
    <row r="19109">
      <c r="E19109">
        <f>IF(DATOS!$I19109="","",IFERROR(VLOOKUP(DATOS!$I19109,CONFIG_ASIGNATURAS!$B$2:$J$61,9,FALSE()),""))</f>
      </c>
    </row>
    <row r="19110">
      <c r="E19110">
        <f>IF(DATOS!$I19110="","",IFERROR(VLOOKUP(DATOS!$I19110,CONFIG_ASIGNATURAS!$B$2:$J$61,9,FALSE()),""))</f>
      </c>
    </row>
    <row r="19111">
      <c r="E19111">
        <f>IF(DATOS!$I19111="","",IFERROR(VLOOKUP(DATOS!$I19111,CONFIG_ASIGNATURAS!$B$2:$J$61,9,FALSE()),""))</f>
      </c>
    </row>
    <row r="19112">
      <c r="E19112">
        <f>IF(DATOS!$I19112="","",IFERROR(VLOOKUP(DATOS!$I19112,CONFIG_ASIGNATURAS!$B$2:$J$61,9,FALSE()),""))</f>
      </c>
    </row>
    <row r="19113">
      <c r="E19113">
        <f>IF(DATOS!$I19113="","",IFERROR(VLOOKUP(DATOS!$I19113,CONFIG_ASIGNATURAS!$B$2:$J$61,9,FALSE()),""))</f>
      </c>
    </row>
    <row r="19114">
      <c r="E19114">
        <f>IF(DATOS!$I19114="","",IFERROR(VLOOKUP(DATOS!$I19114,CONFIG_ASIGNATURAS!$B$2:$J$61,9,FALSE()),""))</f>
      </c>
    </row>
    <row r="19115">
      <c r="E19115">
        <f>IF(DATOS!$I19115="","",IFERROR(VLOOKUP(DATOS!$I19115,CONFIG_ASIGNATURAS!$B$2:$J$61,9,FALSE()),""))</f>
      </c>
    </row>
    <row r="19116">
      <c r="E19116">
        <f>IF(DATOS!$I19116="","",IFERROR(VLOOKUP(DATOS!$I19116,CONFIG_ASIGNATURAS!$B$2:$J$61,9,FALSE()),""))</f>
      </c>
    </row>
    <row r="19117">
      <c r="E19117">
        <f>IF(DATOS!$I19117="","",IFERROR(VLOOKUP(DATOS!$I19117,CONFIG_ASIGNATURAS!$B$2:$J$61,9,FALSE()),""))</f>
      </c>
    </row>
    <row r="19118">
      <c r="E19118">
        <f>IF(DATOS!$I19118="","",IFERROR(VLOOKUP(DATOS!$I19118,CONFIG_ASIGNATURAS!$B$2:$J$61,9,FALSE()),""))</f>
      </c>
    </row>
    <row r="19119">
      <c r="E19119">
        <f>IF(DATOS!$I19119="","",IFERROR(VLOOKUP(DATOS!$I19119,CONFIG_ASIGNATURAS!$B$2:$J$61,9,FALSE()),""))</f>
      </c>
    </row>
    <row r="19120">
      <c r="E19120">
        <f>IF(DATOS!$I19120="","",IFERROR(VLOOKUP(DATOS!$I19120,CONFIG_ASIGNATURAS!$B$2:$J$61,9,FALSE()),""))</f>
      </c>
    </row>
    <row r="19121">
      <c r="E19121">
        <f>IF(DATOS!$I19121="","",IFERROR(VLOOKUP(DATOS!$I19121,CONFIG_ASIGNATURAS!$B$2:$J$61,9,FALSE()),""))</f>
      </c>
    </row>
    <row r="19122">
      <c r="E19122">
        <f>IF(DATOS!$I19122="","",IFERROR(VLOOKUP(DATOS!$I19122,CONFIG_ASIGNATURAS!$B$2:$J$61,9,FALSE()),""))</f>
      </c>
    </row>
    <row r="19123">
      <c r="E19123">
        <f>IF(DATOS!$I19123="","",IFERROR(VLOOKUP(DATOS!$I19123,CONFIG_ASIGNATURAS!$B$2:$J$61,9,FALSE()),""))</f>
      </c>
    </row>
    <row r="19124">
      <c r="E19124">
        <f>IF(DATOS!$I19124="","",IFERROR(VLOOKUP(DATOS!$I19124,CONFIG_ASIGNATURAS!$B$2:$J$61,9,FALSE()),""))</f>
      </c>
    </row>
    <row r="19125">
      <c r="E19125">
        <f>IF(DATOS!$I19125="","",IFERROR(VLOOKUP(DATOS!$I19125,CONFIG_ASIGNATURAS!$B$2:$J$61,9,FALSE()),""))</f>
      </c>
    </row>
    <row r="19126">
      <c r="E19126">
        <f>IF(DATOS!$I19126="","",IFERROR(VLOOKUP(DATOS!$I19126,CONFIG_ASIGNATURAS!$B$2:$J$61,9,FALSE()),""))</f>
      </c>
    </row>
    <row r="19127">
      <c r="E19127">
        <f>IF(DATOS!$I19127="","",IFERROR(VLOOKUP(DATOS!$I19127,CONFIG_ASIGNATURAS!$B$2:$J$61,9,FALSE()),""))</f>
      </c>
    </row>
    <row r="19128">
      <c r="E19128">
        <f>IF(DATOS!$I19128="","",IFERROR(VLOOKUP(DATOS!$I19128,CONFIG_ASIGNATURAS!$B$2:$J$61,9,FALSE()),""))</f>
      </c>
    </row>
    <row r="19129">
      <c r="E19129">
        <f>IF(DATOS!$I19129="","",IFERROR(VLOOKUP(DATOS!$I19129,CONFIG_ASIGNATURAS!$B$2:$J$61,9,FALSE()),""))</f>
      </c>
    </row>
    <row r="19130">
      <c r="E19130">
        <f>IF(DATOS!$I19130="","",IFERROR(VLOOKUP(DATOS!$I19130,CONFIG_ASIGNATURAS!$B$2:$J$61,9,FALSE()),""))</f>
      </c>
    </row>
    <row r="19131">
      <c r="E19131">
        <f>IF(DATOS!$I19131="","",IFERROR(VLOOKUP(DATOS!$I19131,CONFIG_ASIGNATURAS!$B$2:$J$61,9,FALSE()),""))</f>
      </c>
    </row>
    <row r="19132">
      <c r="E19132">
        <f>IF(DATOS!$I19132="","",IFERROR(VLOOKUP(DATOS!$I19132,CONFIG_ASIGNATURAS!$B$2:$J$61,9,FALSE()),""))</f>
      </c>
    </row>
    <row r="19133">
      <c r="E19133">
        <f>IF(DATOS!$I19133="","",IFERROR(VLOOKUP(DATOS!$I19133,CONFIG_ASIGNATURAS!$B$2:$J$61,9,FALSE()),""))</f>
      </c>
    </row>
    <row r="19134">
      <c r="E19134">
        <f>IF(DATOS!$I19134="","",IFERROR(VLOOKUP(DATOS!$I19134,CONFIG_ASIGNATURAS!$B$2:$J$61,9,FALSE()),""))</f>
      </c>
    </row>
    <row r="19135">
      <c r="E19135">
        <f>IF(DATOS!$I19135="","",IFERROR(VLOOKUP(DATOS!$I19135,CONFIG_ASIGNATURAS!$B$2:$J$61,9,FALSE()),""))</f>
      </c>
    </row>
    <row r="19136">
      <c r="E19136">
        <f>IF(DATOS!$I19136="","",IFERROR(VLOOKUP(DATOS!$I19136,CONFIG_ASIGNATURAS!$B$2:$J$61,9,FALSE()),""))</f>
      </c>
    </row>
    <row r="19137">
      <c r="E19137">
        <f>IF(DATOS!$I19137="","",IFERROR(VLOOKUP(DATOS!$I19137,CONFIG_ASIGNATURAS!$B$2:$J$61,9,FALSE()),""))</f>
      </c>
    </row>
    <row r="19138">
      <c r="E19138">
        <f>IF(DATOS!$I19138="","",IFERROR(VLOOKUP(DATOS!$I19138,CONFIG_ASIGNATURAS!$B$2:$J$61,9,FALSE()),""))</f>
      </c>
    </row>
    <row r="19139">
      <c r="E19139">
        <f>IF(DATOS!$I19139="","",IFERROR(VLOOKUP(DATOS!$I19139,CONFIG_ASIGNATURAS!$B$2:$J$61,9,FALSE()),""))</f>
      </c>
    </row>
    <row r="19140">
      <c r="E19140">
        <f>IF(DATOS!$I19140="","",IFERROR(VLOOKUP(DATOS!$I19140,CONFIG_ASIGNATURAS!$B$2:$J$61,9,FALSE()),""))</f>
      </c>
    </row>
    <row r="19141">
      <c r="E19141">
        <f>IF(DATOS!$I19141="","",IFERROR(VLOOKUP(DATOS!$I19141,CONFIG_ASIGNATURAS!$B$2:$J$61,9,FALSE()),""))</f>
      </c>
    </row>
    <row r="19142">
      <c r="E19142">
        <f>IF(DATOS!$I19142="","",IFERROR(VLOOKUP(DATOS!$I19142,CONFIG_ASIGNATURAS!$B$2:$J$61,9,FALSE()),""))</f>
      </c>
    </row>
    <row r="19143">
      <c r="E19143">
        <f>IF(DATOS!$I19143="","",IFERROR(VLOOKUP(DATOS!$I19143,CONFIG_ASIGNATURAS!$B$2:$J$61,9,FALSE()),""))</f>
      </c>
    </row>
    <row r="19144">
      <c r="E19144">
        <f>IF(DATOS!$I19144="","",IFERROR(VLOOKUP(DATOS!$I19144,CONFIG_ASIGNATURAS!$B$2:$J$61,9,FALSE()),""))</f>
      </c>
    </row>
    <row r="19145">
      <c r="E19145">
        <f>IF(DATOS!$I19145="","",IFERROR(VLOOKUP(DATOS!$I19145,CONFIG_ASIGNATURAS!$B$2:$J$61,9,FALSE()),""))</f>
      </c>
    </row>
    <row r="19146">
      <c r="E19146">
        <f>IF(DATOS!$I19146="","",IFERROR(VLOOKUP(DATOS!$I19146,CONFIG_ASIGNATURAS!$B$2:$J$61,9,FALSE()),""))</f>
      </c>
    </row>
    <row r="19147">
      <c r="E19147">
        <f>IF(DATOS!$I19147="","",IFERROR(VLOOKUP(DATOS!$I19147,CONFIG_ASIGNATURAS!$B$2:$J$61,9,FALSE()),""))</f>
      </c>
    </row>
    <row r="19148">
      <c r="E19148">
        <f>IF(DATOS!$I19148="","",IFERROR(VLOOKUP(DATOS!$I19148,CONFIG_ASIGNATURAS!$B$2:$J$61,9,FALSE()),""))</f>
      </c>
    </row>
    <row r="19149">
      <c r="E19149">
        <f>IF(DATOS!$I19149="","",IFERROR(VLOOKUP(DATOS!$I19149,CONFIG_ASIGNATURAS!$B$2:$J$61,9,FALSE()),""))</f>
      </c>
    </row>
    <row r="19150">
      <c r="E19150">
        <f>IF(DATOS!$I19150="","",IFERROR(VLOOKUP(DATOS!$I19150,CONFIG_ASIGNATURAS!$B$2:$J$61,9,FALSE()),""))</f>
      </c>
    </row>
    <row r="19151">
      <c r="E19151">
        <f>IF(DATOS!$I19151="","",IFERROR(VLOOKUP(DATOS!$I19151,CONFIG_ASIGNATURAS!$B$2:$J$61,9,FALSE()),""))</f>
      </c>
    </row>
    <row r="19152">
      <c r="E19152">
        <f>IF(DATOS!$I19152="","",IFERROR(VLOOKUP(DATOS!$I19152,CONFIG_ASIGNATURAS!$B$2:$J$61,9,FALSE()),""))</f>
      </c>
    </row>
    <row r="19153">
      <c r="E19153">
        <f>IF(DATOS!$I19153="","",IFERROR(VLOOKUP(DATOS!$I19153,CONFIG_ASIGNATURAS!$B$2:$J$61,9,FALSE()),""))</f>
      </c>
    </row>
    <row r="19154">
      <c r="E19154">
        <f>IF(DATOS!$I19154="","",IFERROR(VLOOKUP(DATOS!$I19154,CONFIG_ASIGNATURAS!$B$2:$J$61,9,FALSE()),""))</f>
      </c>
    </row>
    <row r="19155">
      <c r="E19155">
        <f>IF(DATOS!$I19155="","",IFERROR(VLOOKUP(DATOS!$I19155,CONFIG_ASIGNATURAS!$B$2:$J$61,9,FALSE()),""))</f>
      </c>
    </row>
    <row r="19156">
      <c r="E19156">
        <f>IF(DATOS!$I19156="","",IFERROR(VLOOKUP(DATOS!$I19156,CONFIG_ASIGNATURAS!$B$2:$J$61,9,FALSE()),""))</f>
      </c>
    </row>
    <row r="19157">
      <c r="E19157">
        <f>IF(DATOS!$I19157="","",IFERROR(VLOOKUP(DATOS!$I19157,CONFIG_ASIGNATURAS!$B$2:$J$61,9,FALSE()),""))</f>
      </c>
    </row>
    <row r="19158">
      <c r="E19158">
        <f>IF(DATOS!$I19158="","",IFERROR(VLOOKUP(DATOS!$I19158,CONFIG_ASIGNATURAS!$B$2:$J$61,9,FALSE()),""))</f>
      </c>
    </row>
    <row r="19159">
      <c r="E19159">
        <f>IF(DATOS!$I19159="","",IFERROR(VLOOKUP(DATOS!$I19159,CONFIG_ASIGNATURAS!$B$2:$J$61,9,FALSE()),""))</f>
      </c>
    </row>
    <row r="19160">
      <c r="E19160">
        <f>IF(DATOS!$I19160="","",IFERROR(VLOOKUP(DATOS!$I19160,CONFIG_ASIGNATURAS!$B$2:$J$61,9,FALSE()),""))</f>
      </c>
    </row>
    <row r="19161">
      <c r="E19161">
        <f>IF(DATOS!$I19161="","",IFERROR(VLOOKUP(DATOS!$I19161,CONFIG_ASIGNATURAS!$B$2:$J$61,9,FALSE()),""))</f>
      </c>
    </row>
    <row r="19162">
      <c r="E19162">
        <f>IF(DATOS!$I19162="","",IFERROR(VLOOKUP(DATOS!$I19162,CONFIG_ASIGNATURAS!$B$2:$J$61,9,FALSE()),""))</f>
      </c>
    </row>
    <row r="19163">
      <c r="E19163">
        <f>IF(DATOS!$I19163="","",IFERROR(VLOOKUP(DATOS!$I19163,CONFIG_ASIGNATURAS!$B$2:$J$61,9,FALSE()),""))</f>
      </c>
    </row>
    <row r="19164">
      <c r="E19164">
        <f>IF(DATOS!$I19164="","",IFERROR(VLOOKUP(DATOS!$I19164,CONFIG_ASIGNATURAS!$B$2:$J$61,9,FALSE()),""))</f>
      </c>
    </row>
    <row r="19165">
      <c r="E19165">
        <f>IF(DATOS!$I19165="","",IFERROR(VLOOKUP(DATOS!$I19165,CONFIG_ASIGNATURAS!$B$2:$J$61,9,FALSE()),""))</f>
      </c>
    </row>
    <row r="19166">
      <c r="E19166">
        <f>IF(DATOS!$I19166="","",IFERROR(VLOOKUP(DATOS!$I19166,CONFIG_ASIGNATURAS!$B$2:$J$61,9,FALSE()),""))</f>
      </c>
    </row>
    <row r="19167">
      <c r="E19167">
        <f>IF(DATOS!$I19167="","",IFERROR(VLOOKUP(DATOS!$I19167,CONFIG_ASIGNATURAS!$B$2:$J$61,9,FALSE()),""))</f>
      </c>
    </row>
    <row r="19168">
      <c r="E19168">
        <f>IF(DATOS!$I19168="","",IFERROR(VLOOKUP(DATOS!$I19168,CONFIG_ASIGNATURAS!$B$2:$J$61,9,FALSE()),""))</f>
      </c>
    </row>
    <row r="19169">
      <c r="E19169">
        <f>IF(DATOS!$I19169="","",IFERROR(VLOOKUP(DATOS!$I19169,CONFIG_ASIGNATURAS!$B$2:$J$61,9,FALSE()),""))</f>
      </c>
    </row>
    <row r="19170">
      <c r="E19170">
        <f>IF(DATOS!$I19170="","",IFERROR(VLOOKUP(DATOS!$I19170,CONFIG_ASIGNATURAS!$B$2:$J$61,9,FALSE()),""))</f>
      </c>
    </row>
    <row r="19171">
      <c r="E19171">
        <f>IF(DATOS!$I19171="","",IFERROR(VLOOKUP(DATOS!$I19171,CONFIG_ASIGNATURAS!$B$2:$J$61,9,FALSE()),""))</f>
      </c>
    </row>
    <row r="19172">
      <c r="E19172">
        <f>IF(DATOS!$I19172="","",IFERROR(VLOOKUP(DATOS!$I19172,CONFIG_ASIGNATURAS!$B$2:$J$61,9,FALSE()),""))</f>
      </c>
    </row>
    <row r="19173">
      <c r="E19173">
        <f>IF(DATOS!$I19173="","",IFERROR(VLOOKUP(DATOS!$I19173,CONFIG_ASIGNATURAS!$B$2:$J$61,9,FALSE()),""))</f>
      </c>
    </row>
    <row r="19174">
      <c r="E19174">
        <f>IF(DATOS!$I19174="","",IFERROR(VLOOKUP(DATOS!$I19174,CONFIG_ASIGNATURAS!$B$2:$J$61,9,FALSE()),""))</f>
      </c>
    </row>
    <row r="19175">
      <c r="E19175">
        <f>IF(DATOS!$I19175="","",IFERROR(VLOOKUP(DATOS!$I19175,CONFIG_ASIGNATURAS!$B$2:$J$61,9,FALSE()),""))</f>
      </c>
    </row>
    <row r="19176">
      <c r="E19176">
        <f>IF(DATOS!$I19176="","",IFERROR(VLOOKUP(DATOS!$I19176,CONFIG_ASIGNATURAS!$B$2:$J$61,9,FALSE()),""))</f>
      </c>
    </row>
    <row r="19177">
      <c r="E19177">
        <f>IF(DATOS!$I19177="","",IFERROR(VLOOKUP(DATOS!$I19177,CONFIG_ASIGNATURAS!$B$2:$J$61,9,FALSE()),""))</f>
      </c>
    </row>
    <row r="19178">
      <c r="E19178">
        <f>IF(DATOS!$I19178="","",IFERROR(VLOOKUP(DATOS!$I19178,CONFIG_ASIGNATURAS!$B$2:$J$61,9,FALSE()),""))</f>
      </c>
    </row>
    <row r="19179">
      <c r="E19179">
        <f>IF(DATOS!$I19179="","",IFERROR(VLOOKUP(DATOS!$I19179,CONFIG_ASIGNATURAS!$B$2:$J$61,9,FALSE()),""))</f>
      </c>
    </row>
    <row r="19180">
      <c r="E19180">
        <f>IF(DATOS!$I19180="","",IFERROR(VLOOKUP(DATOS!$I19180,CONFIG_ASIGNATURAS!$B$2:$J$61,9,FALSE()),""))</f>
      </c>
    </row>
    <row r="19181">
      <c r="E19181">
        <f>IF(DATOS!$I19181="","",IFERROR(VLOOKUP(DATOS!$I19181,CONFIG_ASIGNATURAS!$B$2:$J$61,9,FALSE()),""))</f>
      </c>
    </row>
    <row r="19182">
      <c r="E19182">
        <f>IF(DATOS!$I19182="","",IFERROR(VLOOKUP(DATOS!$I19182,CONFIG_ASIGNATURAS!$B$2:$J$61,9,FALSE()),""))</f>
      </c>
    </row>
    <row r="19183">
      <c r="E19183">
        <f>IF(DATOS!$I19183="","",IFERROR(VLOOKUP(DATOS!$I19183,CONFIG_ASIGNATURAS!$B$2:$J$61,9,FALSE()),""))</f>
      </c>
    </row>
    <row r="19184">
      <c r="E19184">
        <f>IF(DATOS!$I19184="","",IFERROR(VLOOKUP(DATOS!$I19184,CONFIG_ASIGNATURAS!$B$2:$J$61,9,FALSE()),""))</f>
      </c>
    </row>
    <row r="19185">
      <c r="E19185">
        <f>IF(DATOS!$I19185="","",IFERROR(VLOOKUP(DATOS!$I19185,CONFIG_ASIGNATURAS!$B$2:$J$61,9,FALSE()),""))</f>
      </c>
    </row>
    <row r="19186">
      <c r="E19186">
        <f>IF(DATOS!$I19186="","",IFERROR(VLOOKUP(DATOS!$I19186,CONFIG_ASIGNATURAS!$B$2:$J$61,9,FALSE()),""))</f>
      </c>
    </row>
    <row r="19187">
      <c r="E19187">
        <f>IF(DATOS!$I19187="","",IFERROR(VLOOKUP(DATOS!$I19187,CONFIG_ASIGNATURAS!$B$2:$J$61,9,FALSE()),""))</f>
      </c>
    </row>
    <row r="19188">
      <c r="E19188">
        <f>IF(DATOS!$I19188="","",IFERROR(VLOOKUP(DATOS!$I19188,CONFIG_ASIGNATURAS!$B$2:$J$61,9,FALSE()),""))</f>
      </c>
    </row>
    <row r="19189">
      <c r="E19189">
        <f>IF(DATOS!$I19189="","",IFERROR(VLOOKUP(DATOS!$I19189,CONFIG_ASIGNATURAS!$B$2:$J$61,9,FALSE()),""))</f>
      </c>
    </row>
    <row r="19190">
      <c r="E19190">
        <f>IF(DATOS!$I19190="","",IFERROR(VLOOKUP(DATOS!$I19190,CONFIG_ASIGNATURAS!$B$2:$J$61,9,FALSE()),""))</f>
      </c>
    </row>
    <row r="19191">
      <c r="E19191">
        <f>IF(DATOS!$I19191="","",IFERROR(VLOOKUP(DATOS!$I19191,CONFIG_ASIGNATURAS!$B$2:$J$61,9,FALSE()),""))</f>
      </c>
    </row>
    <row r="19192">
      <c r="E19192">
        <f>IF(DATOS!$I19192="","",IFERROR(VLOOKUP(DATOS!$I19192,CONFIG_ASIGNATURAS!$B$2:$J$61,9,FALSE()),""))</f>
      </c>
    </row>
    <row r="19193">
      <c r="E19193">
        <f>IF(DATOS!$I19193="","",IFERROR(VLOOKUP(DATOS!$I19193,CONFIG_ASIGNATURAS!$B$2:$J$61,9,FALSE()),""))</f>
      </c>
    </row>
    <row r="19194">
      <c r="E19194">
        <f>IF(DATOS!$I19194="","",IFERROR(VLOOKUP(DATOS!$I19194,CONFIG_ASIGNATURAS!$B$2:$J$61,9,FALSE()),""))</f>
      </c>
    </row>
    <row r="19195">
      <c r="E19195">
        <f>IF(DATOS!$I19195="","",IFERROR(VLOOKUP(DATOS!$I19195,CONFIG_ASIGNATURAS!$B$2:$J$61,9,FALSE()),""))</f>
      </c>
    </row>
    <row r="19196">
      <c r="E19196">
        <f>IF(DATOS!$I19196="","",IFERROR(VLOOKUP(DATOS!$I19196,CONFIG_ASIGNATURAS!$B$2:$J$61,9,FALSE()),""))</f>
      </c>
    </row>
    <row r="19197">
      <c r="E19197">
        <f>IF(DATOS!$I19197="","",IFERROR(VLOOKUP(DATOS!$I19197,CONFIG_ASIGNATURAS!$B$2:$J$61,9,FALSE()),""))</f>
      </c>
    </row>
    <row r="19198">
      <c r="E19198">
        <f>IF(DATOS!$I19198="","",IFERROR(VLOOKUP(DATOS!$I19198,CONFIG_ASIGNATURAS!$B$2:$J$61,9,FALSE()),""))</f>
      </c>
    </row>
    <row r="19199">
      <c r="E19199">
        <f>IF(DATOS!$I19199="","",IFERROR(VLOOKUP(DATOS!$I19199,CONFIG_ASIGNATURAS!$B$2:$J$61,9,FALSE()),""))</f>
      </c>
    </row>
    <row r="19200">
      <c r="E19200">
        <f>IF(DATOS!$I19200="","",IFERROR(VLOOKUP(DATOS!$I19200,CONFIG_ASIGNATURAS!$B$2:$J$61,9,FALSE()),""))</f>
      </c>
    </row>
    <row r="19201">
      <c r="E19201">
        <f>IF(DATOS!$I19201="","",IFERROR(VLOOKUP(DATOS!$I19201,CONFIG_ASIGNATURAS!$B$2:$J$61,9,FALSE()),""))</f>
      </c>
    </row>
    <row r="19202">
      <c r="E19202">
        <f>IF(DATOS!$I19202="","",IFERROR(VLOOKUP(DATOS!$I19202,CONFIG_ASIGNATURAS!$B$2:$J$61,9,FALSE()),""))</f>
      </c>
    </row>
    <row r="19203">
      <c r="E19203">
        <f>IF(DATOS!$I19203="","",IFERROR(VLOOKUP(DATOS!$I19203,CONFIG_ASIGNATURAS!$B$2:$J$61,9,FALSE()),""))</f>
      </c>
    </row>
    <row r="19204">
      <c r="E19204">
        <f>IF(DATOS!$I19204="","",IFERROR(VLOOKUP(DATOS!$I19204,CONFIG_ASIGNATURAS!$B$2:$J$61,9,FALSE()),""))</f>
      </c>
    </row>
    <row r="19205">
      <c r="E19205">
        <f>IF(DATOS!$I19205="","",IFERROR(VLOOKUP(DATOS!$I19205,CONFIG_ASIGNATURAS!$B$2:$J$61,9,FALSE()),""))</f>
      </c>
    </row>
    <row r="19206">
      <c r="E19206">
        <f>IF(DATOS!$I19206="","",IFERROR(VLOOKUP(DATOS!$I19206,CONFIG_ASIGNATURAS!$B$2:$J$61,9,FALSE()),""))</f>
      </c>
    </row>
    <row r="19207">
      <c r="E19207">
        <f>IF(DATOS!$I19207="","",IFERROR(VLOOKUP(DATOS!$I19207,CONFIG_ASIGNATURAS!$B$2:$J$61,9,FALSE()),""))</f>
      </c>
    </row>
    <row r="19208">
      <c r="E19208">
        <f>IF(DATOS!$I19208="","",IFERROR(VLOOKUP(DATOS!$I19208,CONFIG_ASIGNATURAS!$B$2:$J$61,9,FALSE()),""))</f>
      </c>
    </row>
    <row r="19209">
      <c r="E19209">
        <f>IF(DATOS!$I19209="","",IFERROR(VLOOKUP(DATOS!$I19209,CONFIG_ASIGNATURAS!$B$2:$J$61,9,FALSE()),""))</f>
      </c>
    </row>
    <row r="19210">
      <c r="E19210">
        <f>IF(DATOS!$I19210="","",IFERROR(VLOOKUP(DATOS!$I19210,CONFIG_ASIGNATURAS!$B$2:$J$61,9,FALSE()),""))</f>
      </c>
    </row>
    <row r="19211">
      <c r="E19211">
        <f>IF(DATOS!$I19211="","",IFERROR(VLOOKUP(DATOS!$I19211,CONFIG_ASIGNATURAS!$B$2:$J$61,9,FALSE()),""))</f>
      </c>
    </row>
    <row r="19212">
      <c r="E19212">
        <f>IF(DATOS!$I19212="","",IFERROR(VLOOKUP(DATOS!$I19212,CONFIG_ASIGNATURAS!$B$2:$J$61,9,FALSE()),""))</f>
      </c>
    </row>
    <row r="19213">
      <c r="E19213">
        <f>IF(DATOS!$I19213="","",IFERROR(VLOOKUP(DATOS!$I19213,CONFIG_ASIGNATURAS!$B$2:$J$61,9,FALSE()),""))</f>
      </c>
    </row>
    <row r="19214">
      <c r="E19214">
        <f>IF(DATOS!$I19214="","",IFERROR(VLOOKUP(DATOS!$I19214,CONFIG_ASIGNATURAS!$B$2:$J$61,9,FALSE()),""))</f>
      </c>
    </row>
    <row r="19215">
      <c r="E19215">
        <f>IF(DATOS!$I19215="","",IFERROR(VLOOKUP(DATOS!$I19215,CONFIG_ASIGNATURAS!$B$2:$J$61,9,FALSE()),""))</f>
      </c>
    </row>
    <row r="19216">
      <c r="E19216">
        <f>IF(DATOS!$I19216="","",IFERROR(VLOOKUP(DATOS!$I19216,CONFIG_ASIGNATURAS!$B$2:$J$61,9,FALSE()),""))</f>
      </c>
    </row>
    <row r="19217">
      <c r="E19217">
        <f>IF(DATOS!$I19217="","",IFERROR(VLOOKUP(DATOS!$I19217,CONFIG_ASIGNATURAS!$B$2:$J$61,9,FALSE()),""))</f>
      </c>
    </row>
    <row r="19218">
      <c r="E19218">
        <f>IF(DATOS!$I19218="","",IFERROR(VLOOKUP(DATOS!$I19218,CONFIG_ASIGNATURAS!$B$2:$J$61,9,FALSE()),""))</f>
      </c>
    </row>
    <row r="19219">
      <c r="E19219">
        <f>IF(DATOS!$I19219="","",IFERROR(VLOOKUP(DATOS!$I19219,CONFIG_ASIGNATURAS!$B$2:$J$61,9,FALSE()),""))</f>
      </c>
    </row>
    <row r="19220">
      <c r="E19220">
        <f>IF(DATOS!$I19220="","",IFERROR(VLOOKUP(DATOS!$I19220,CONFIG_ASIGNATURAS!$B$2:$J$61,9,FALSE()),""))</f>
      </c>
    </row>
    <row r="19221">
      <c r="E19221">
        <f>IF(DATOS!$I19221="","",IFERROR(VLOOKUP(DATOS!$I19221,CONFIG_ASIGNATURAS!$B$2:$J$61,9,FALSE()),""))</f>
      </c>
    </row>
    <row r="19222">
      <c r="E19222">
        <f>IF(DATOS!$I19222="","",IFERROR(VLOOKUP(DATOS!$I19222,CONFIG_ASIGNATURAS!$B$2:$J$61,9,FALSE()),""))</f>
      </c>
    </row>
    <row r="19223">
      <c r="E19223">
        <f>IF(DATOS!$I19223="","",IFERROR(VLOOKUP(DATOS!$I19223,CONFIG_ASIGNATURAS!$B$2:$J$61,9,FALSE()),""))</f>
      </c>
    </row>
    <row r="19224">
      <c r="E19224">
        <f>IF(DATOS!$I19224="","",IFERROR(VLOOKUP(DATOS!$I19224,CONFIG_ASIGNATURAS!$B$2:$J$61,9,FALSE()),""))</f>
      </c>
    </row>
    <row r="19225">
      <c r="E19225">
        <f>IF(DATOS!$I19225="","",IFERROR(VLOOKUP(DATOS!$I19225,CONFIG_ASIGNATURAS!$B$2:$J$61,9,FALSE()),""))</f>
      </c>
    </row>
    <row r="19226">
      <c r="E19226">
        <f>IF(DATOS!$I19226="","",IFERROR(VLOOKUP(DATOS!$I19226,CONFIG_ASIGNATURAS!$B$2:$J$61,9,FALSE()),""))</f>
      </c>
    </row>
    <row r="19227">
      <c r="E19227">
        <f>IF(DATOS!$I19227="","",IFERROR(VLOOKUP(DATOS!$I19227,CONFIG_ASIGNATURAS!$B$2:$J$61,9,FALSE()),""))</f>
      </c>
    </row>
    <row r="19228">
      <c r="E19228">
        <f>IF(DATOS!$I19228="","",IFERROR(VLOOKUP(DATOS!$I19228,CONFIG_ASIGNATURAS!$B$2:$J$61,9,FALSE()),""))</f>
      </c>
    </row>
    <row r="19229">
      <c r="E19229">
        <f>IF(DATOS!$I19229="","",IFERROR(VLOOKUP(DATOS!$I19229,CONFIG_ASIGNATURAS!$B$2:$J$61,9,FALSE()),""))</f>
      </c>
    </row>
    <row r="19230">
      <c r="E19230">
        <f>IF(DATOS!$I19230="","",IFERROR(VLOOKUP(DATOS!$I19230,CONFIG_ASIGNATURAS!$B$2:$J$61,9,FALSE()),""))</f>
      </c>
    </row>
    <row r="19231">
      <c r="E19231">
        <f>IF(DATOS!$I19231="","",IFERROR(VLOOKUP(DATOS!$I19231,CONFIG_ASIGNATURAS!$B$2:$J$61,9,FALSE()),""))</f>
      </c>
    </row>
    <row r="19232">
      <c r="E19232">
        <f>IF(DATOS!$I19232="","",IFERROR(VLOOKUP(DATOS!$I19232,CONFIG_ASIGNATURAS!$B$2:$J$61,9,FALSE()),""))</f>
      </c>
    </row>
    <row r="19233">
      <c r="E19233">
        <f>IF(DATOS!$I19233="","",IFERROR(VLOOKUP(DATOS!$I19233,CONFIG_ASIGNATURAS!$B$2:$J$61,9,FALSE()),""))</f>
      </c>
    </row>
    <row r="19234">
      <c r="E19234">
        <f>IF(DATOS!$I19234="","",IFERROR(VLOOKUP(DATOS!$I19234,CONFIG_ASIGNATURAS!$B$2:$J$61,9,FALSE()),""))</f>
      </c>
    </row>
    <row r="19235">
      <c r="E19235">
        <f>IF(DATOS!$I19235="","",IFERROR(VLOOKUP(DATOS!$I19235,CONFIG_ASIGNATURAS!$B$2:$J$61,9,FALSE()),""))</f>
      </c>
    </row>
    <row r="19236">
      <c r="E19236">
        <f>IF(DATOS!$I19236="","",IFERROR(VLOOKUP(DATOS!$I19236,CONFIG_ASIGNATURAS!$B$2:$J$61,9,FALSE()),""))</f>
      </c>
    </row>
    <row r="19237">
      <c r="E19237">
        <f>IF(DATOS!$I19237="","",IFERROR(VLOOKUP(DATOS!$I19237,CONFIG_ASIGNATURAS!$B$2:$J$61,9,FALSE()),""))</f>
      </c>
    </row>
    <row r="19238">
      <c r="E19238">
        <f>IF(DATOS!$I19238="","",IFERROR(VLOOKUP(DATOS!$I19238,CONFIG_ASIGNATURAS!$B$2:$J$61,9,FALSE()),""))</f>
      </c>
    </row>
    <row r="19239">
      <c r="E19239">
        <f>IF(DATOS!$I19239="","",IFERROR(VLOOKUP(DATOS!$I19239,CONFIG_ASIGNATURAS!$B$2:$J$61,9,FALSE()),""))</f>
      </c>
    </row>
    <row r="19240">
      <c r="E19240">
        <f>IF(DATOS!$I19240="","",IFERROR(VLOOKUP(DATOS!$I19240,CONFIG_ASIGNATURAS!$B$2:$J$61,9,FALSE()),""))</f>
      </c>
    </row>
    <row r="19241">
      <c r="E19241">
        <f>IF(DATOS!$I19241="","",IFERROR(VLOOKUP(DATOS!$I19241,CONFIG_ASIGNATURAS!$B$2:$J$61,9,FALSE()),""))</f>
      </c>
    </row>
    <row r="19242">
      <c r="E19242">
        <f>IF(DATOS!$I19242="","",IFERROR(VLOOKUP(DATOS!$I19242,CONFIG_ASIGNATURAS!$B$2:$J$61,9,FALSE()),""))</f>
      </c>
    </row>
    <row r="19243">
      <c r="E19243">
        <f>IF(DATOS!$I19243="","",IFERROR(VLOOKUP(DATOS!$I19243,CONFIG_ASIGNATURAS!$B$2:$J$61,9,FALSE()),""))</f>
      </c>
    </row>
    <row r="19244">
      <c r="E19244">
        <f>IF(DATOS!$I19244="","",IFERROR(VLOOKUP(DATOS!$I19244,CONFIG_ASIGNATURAS!$B$2:$J$61,9,FALSE()),""))</f>
      </c>
    </row>
    <row r="19245">
      <c r="E19245">
        <f>IF(DATOS!$I19245="","",IFERROR(VLOOKUP(DATOS!$I19245,CONFIG_ASIGNATURAS!$B$2:$J$61,9,FALSE()),""))</f>
      </c>
    </row>
    <row r="19246">
      <c r="E19246">
        <f>IF(DATOS!$I19246="","",IFERROR(VLOOKUP(DATOS!$I19246,CONFIG_ASIGNATURAS!$B$2:$J$61,9,FALSE()),""))</f>
      </c>
    </row>
    <row r="19247">
      <c r="E19247">
        <f>IF(DATOS!$I19247="","",IFERROR(VLOOKUP(DATOS!$I19247,CONFIG_ASIGNATURAS!$B$2:$J$61,9,FALSE()),""))</f>
      </c>
    </row>
    <row r="19248">
      <c r="E19248">
        <f>IF(DATOS!$I19248="","",IFERROR(VLOOKUP(DATOS!$I19248,CONFIG_ASIGNATURAS!$B$2:$J$61,9,FALSE()),""))</f>
      </c>
    </row>
    <row r="19249">
      <c r="E19249">
        <f>IF(DATOS!$I19249="","",IFERROR(VLOOKUP(DATOS!$I19249,CONFIG_ASIGNATURAS!$B$2:$J$61,9,FALSE()),""))</f>
      </c>
    </row>
    <row r="19250">
      <c r="E19250">
        <f>IF(DATOS!$I19250="","",IFERROR(VLOOKUP(DATOS!$I19250,CONFIG_ASIGNATURAS!$B$2:$J$61,9,FALSE()),""))</f>
      </c>
    </row>
    <row r="19251">
      <c r="E19251">
        <f>IF(DATOS!$I19251="","",IFERROR(VLOOKUP(DATOS!$I19251,CONFIG_ASIGNATURAS!$B$2:$J$61,9,FALSE()),""))</f>
      </c>
    </row>
    <row r="19252">
      <c r="E19252">
        <f>IF(DATOS!$I19252="","",IFERROR(VLOOKUP(DATOS!$I19252,CONFIG_ASIGNATURAS!$B$2:$J$61,9,FALSE()),""))</f>
      </c>
    </row>
    <row r="19253">
      <c r="E19253">
        <f>IF(DATOS!$I19253="","",IFERROR(VLOOKUP(DATOS!$I19253,CONFIG_ASIGNATURAS!$B$2:$J$61,9,FALSE()),""))</f>
      </c>
    </row>
    <row r="19254">
      <c r="E19254">
        <f>IF(DATOS!$I19254="","",IFERROR(VLOOKUP(DATOS!$I19254,CONFIG_ASIGNATURAS!$B$2:$J$61,9,FALSE()),""))</f>
      </c>
    </row>
    <row r="19255">
      <c r="E19255">
        <f>IF(DATOS!$I19255="","",IFERROR(VLOOKUP(DATOS!$I19255,CONFIG_ASIGNATURAS!$B$2:$J$61,9,FALSE()),""))</f>
      </c>
    </row>
    <row r="19256">
      <c r="E19256">
        <f>IF(DATOS!$I19256="","",IFERROR(VLOOKUP(DATOS!$I19256,CONFIG_ASIGNATURAS!$B$2:$J$61,9,FALSE()),""))</f>
      </c>
    </row>
    <row r="19257">
      <c r="E19257">
        <f>IF(DATOS!$I19257="","",IFERROR(VLOOKUP(DATOS!$I19257,CONFIG_ASIGNATURAS!$B$2:$J$61,9,FALSE()),""))</f>
      </c>
    </row>
    <row r="19258">
      <c r="E19258">
        <f>IF(DATOS!$I19258="","",IFERROR(VLOOKUP(DATOS!$I19258,CONFIG_ASIGNATURAS!$B$2:$J$61,9,FALSE()),""))</f>
      </c>
    </row>
    <row r="19259">
      <c r="E19259">
        <f>IF(DATOS!$I19259="","",IFERROR(VLOOKUP(DATOS!$I19259,CONFIG_ASIGNATURAS!$B$2:$J$61,9,FALSE()),""))</f>
      </c>
    </row>
    <row r="19260">
      <c r="E19260">
        <f>IF(DATOS!$I19260="","",IFERROR(VLOOKUP(DATOS!$I19260,CONFIG_ASIGNATURAS!$B$2:$J$61,9,FALSE()),""))</f>
      </c>
    </row>
    <row r="19261">
      <c r="E19261">
        <f>IF(DATOS!$I19261="","",IFERROR(VLOOKUP(DATOS!$I19261,CONFIG_ASIGNATURAS!$B$2:$J$61,9,FALSE()),""))</f>
      </c>
    </row>
    <row r="19262">
      <c r="E19262">
        <f>IF(DATOS!$I19262="","",IFERROR(VLOOKUP(DATOS!$I19262,CONFIG_ASIGNATURAS!$B$2:$J$61,9,FALSE()),""))</f>
      </c>
    </row>
    <row r="19263">
      <c r="E19263">
        <f>IF(DATOS!$I19263="","",IFERROR(VLOOKUP(DATOS!$I19263,CONFIG_ASIGNATURAS!$B$2:$J$61,9,FALSE()),""))</f>
      </c>
    </row>
    <row r="19264">
      <c r="E19264">
        <f>IF(DATOS!$I19264="","",IFERROR(VLOOKUP(DATOS!$I19264,CONFIG_ASIGNATURAS!$B$2:$J$61,9,FALSE()),""))</f>
      </c>
    </row>
    <row r="19265">
      <c r="E19265">
        <f>IF(DATOS!$I19265="","",IFERROR(VLOOKUP(DATOS!$I19265,CONFIG_ASIGNATURAS!$B$2:$J$61,9,FALSE()),""))</f>
      </c>
    </row>
    <row r="19266">
      <c r="E19266">
        <f>IF(DATOS!$I19266="","",IFERROR(VLOOKUP(DATOS!$I19266,CONFIG_ASIGNATURAS!$B$2:$J$61,9,FALSE()),""))</f>
      </c>
    </row>
    <row r="19267">
      <c r="E19267">
        <f>IF(DATOS!$I19267="","",IFERROR(VLOOKUP(DATOS!$I19267,CONFIG_ASIGNATURAS!$B$2:$J$61,9,FALSE()),""))</f>
      </c>
    </row>
    <row r="19268">
      <c r="E19268">
        <f>IF(DATOS!$I19268="","",IFERROR(VLOOKUP(DATOS!$I19268,CONFIG_ASIGNATURAS!$B$2:$J$61,9,FALSE()),""))</f>
      </c>
    </row>
    <row r="19269">
      <c r="E19269">
        <f>IF(DATOS!$I19269="","",IFERROR(VLOOKUP(DATOS!$I19269,CONFIG_ASIGNATURAS!$B$2:$J$61,9,FALSE()),""))</f>
      </c>
    </row>
    <row r="19270">
      <c r="E19270">
        <f>IF(DATOS!$I19270="","",IFERROR(VLOOKUP(DATOS!$I19270,CONFIG_ASIGNATURAS!$B$2:$J$61,9,FALSE()),""))</f>
      </c>
    </row>
    <row r="19271">
      <c r="E19271">
        <f>IF(DATOS!$I19271="","",IFERROR(VLOOKUP(DATOS!$I19271,CONFIG_ASIGNATURAS!$B$2:$J$61,9,FALSE()),""))</f>
      </c>
    </row>
    <row r="19272">
      <c r="E19272">
        <f>IF(DATOS!$I19272="","",IFERROR(VLOOKUP(DATOS!$I19272,CONFIG_ASIGNATURAS!$B$2:$J$61,9,FALSE()),""))</f>
      </c>
    </row>
    <row r="19273">
      <c r="E19273">
        <f>IF(DATOS!$I19273="","",IFERROR(VLOOKUP(DATOS!$I19273,CONFIG_ASIGNATURAS!$B$2:$J$61,9,FALSE()),""))</f>
      </c>
    </row>
    <row r="19274">
      <c r="E19274">
        <f>IF(DATOS!$I19274="","",IFERROR(VLOOKUP(DATOS!$I19274,CONFIG_ASIGNATURAS!$B$2:$J$61,9,FALSE()),""))</f>
      </c>
    </row>
    <row r="19275">
      <c r="E19275">
        <f>IF(DATOS!$I19275="","",IFERROR(VLOOKUP(DATOS!$I19275,CONFIG_ASIGNATURAS!$B$2:$J$61,9,FALSE()),""))</f>
      </c>
    </row>
    <row r="19276">
      <c r="E19276">
        <f>IF(DATOS!$I19276="","",IFERROR(VLOOKUP(DATOS!$I19276,CONFIG_ASIGNATURAS!$B$2:$J$61,9,FALSE()),""))</f>
      </c>
    </row>
    <row r="19277">
      <c r="E19277">
        <f>IF(DATOS!$I19277="","",IFERROR(VLOOKUP(DATOS!$I19277,CONFIG_ASIGNATURAS!$B$2:$J$61,9,FALSE()),""))</f>
      </c>
    </row>
    <row r="19278">
      <c r="E19278">
        <f>IF(DATOS!$I19278="","",IFERROR(VLOOKUP(DATOS!$I19278,CONFIG_ASIGNATURAS!$B$2:$J$61,9,FALSE()),""))</f>
      </c>
    </row>
    <row r="19279">
      <c r="E19279">
        <f>IF(DATOS!$I19279="","",IFERROR(VLOOKUP(DATOS!$I19279,CONFIG_ASIGNATURAS!$B$2:$J$61,9,FALSE()),""))</f>
      </c>
    </row>
    <row r="19280">
      <c r="E19280">
        <f>IF(DATOS!$I19280="","",IFERROR(VLOOKUP(DATOS!$I19280,CONFIG_ASIGNATURAS!$B$2:$J$61,9,FALSE()),""))</f>
      </c>
    </row>
    <row r="19281">
      <c r="E19281">
        <f>IF(DATOS!$I19281="","",IFERROR(VLOOKUP(DATOS!$I19281,CONFIG_ASIGNATURAS!$B$2:$J$61,9,FALSE()),""))</f>
      </c>
    </row>
    <row r="19282">
      <c r="E19282">
        <f>IF(DATOS!$I19282="","",IFERROR(VLOOKUP(DATOS!$I19282,CONFIG_ASIGNATURAS!$B$2:$J$61,9,FALSE()),""))</f>
      </c>
    </row>
    <row r="19283">
      <c r="E19283">
        <f>IF(DATOS!$I19283="","",IFERROR(VLOOKUP(DATOS!$I19283,CONFIG_ASIGNATURAS!$B$2:$J$61,9,FALSE()),""))</f>
      </c>
    </row>
    <row r="19284">
      <c r="E19284">
        <f>IF(DATOS!$I19284="","",IFERROR(VLOOKUP(DATOS!$I19284,CONFIG_ASIGNATURAS!$B$2:$J$61,9,FALSE()),""))</f>
      </c>
    </row>
    <row r="19285">
      <c r="E19285">
        <f>IF(DATOS!$I19285="","",IFERROR(VLOOKUP(DATOS!$I19285,CONFIG_ASIGNATURAS!$B$2:$J$61,9,FALSE()),""))</f>
      </c>
    </row>
    <row r="19286">
      <c r="E19286">
        <f>IF(DATOS!$I19286="","",IFERROR(VLOOKUP(DATOS!$I19286,CONFIG_ASIGNATURAS!$B$2:$J$61,9,FALSE()),""))</f>
      </c>
    </row>
    <row r="19287">
      <c r="E19287">
        <f>IF(DATOS!$I19287="","",IFERROR(VLOOKUP(DATOS!$I19287,CONFIG_ASIGNATURAS!$B$2:$J$61,9,FALSE()),""))</f>
      </c>
    </row>
    <row r="19288">
      <c r="E19288">
        <f>IF(DATOS!$I19288="","",IFERROR(VLOOKUP(DATOS!$I19288,CONFIG_ASIGNATURAS!$B$2:$J$61,9,FALSE()),""))</f>
      </c>
    </row>
    <row r="19289">
      <c r="E19289">
        <f>IF(DATOS!$I19289="","",IFERROR(VLOOKUP(DATOS!$I19289,CONFIG_ASIGNATURAS!$B$2:$J$61,9,FALSE()),""))</f>
      </c>
    </row>
    <row r="19290">
      <c r="E19290">
        <f>IF(DATOS!$I19290="","",IFERROR(VLOOKUP(DATOS!$I19290,CONFIG_ASIGNATURAS!$B$2:$J$61,9,FALSE()),""))</f>
      </c>
    </row>
    <row r="19291">
      <c r="E19291">
        <f>IF(DATOS!$I19291="","",IFERROR(VLOOKUP(DATOS!$I19291,CONFIG_ASIGNATURAS!$B$2:$J$61,9,FALSE()),""))</f>
      </c>
    </row>
    <row r="19292">
      <c r="E19292">
        <f>IF(DATOS!$I19292="","",IFERROR(VLOOKUP(DATOS!$I19292,CONFIG_ASIGNATURAS!$B$2:$J$61,9,FALSE()),""))</f>
      </c>
    </row>
    <row r="19293">
      <c r="E19293">
        <f>IF(DATOS!$I19293="","",IFERROR(VLOOKUP(DATOS!$I19293,CONFIG_ASIGNATURAS!$B$2:$J$61,9,FALSE()),""))</f>
      </c>
    </row>
    <row r="19294">
      <c r="E19294">
        <f>IF(DATOS!$I19294="","",IFERROR(VLOOKUP(DATOS!$I19294,CONFIG_ASIGNATURAS!$B$2:$J$61,9,FALSE()),""))</f>
      </c>
    </row>
    <row r="19295">
      <c r="E19295">
        <f>IF(DATOS!$I19295="","",IFERROR(VLOOKUP(DATOS!$I19295,CONFIG_ASIGNATURAS!$B$2:$J$61,9,FALSE()),""))</f>
      </c>
    </row>
    <row r="19296">
      <c r="E19296">
        <f>IF(DATOS!$I19296="","",IFERROR(VLOOKUP(DATOS!$I19296,CONFIG_ASIGNATURAS!$B$2:$J$61,9,FALSE()),""))</f>
      </c>
    </row>
    <row r="19297">
      <c r="E19297">
        <f>IF(DATOS!$I19297="","",IFERROR(VLOOKUP(DATOS!$I19297,CONFIG_ASIGNATURAS!$B$2:$J$61,9,FALSE()),""))</f>
      </c>
    </row>
    <row r="19298">
      <c r="E19298">
        <f>IF(DATOS!$I19298="","",IFERROR(VLOOKUP(DATOS!$I19298,CONFIG_ASIGNATURAS!$B$2:$J$61,9,FALSE()),""))</f>
      </c>
    </row>
    <row r="19299">
      <c r="E19299">
        <f>IF(DATOS!$I19299="","",IFERROR(VLOOKUP(DATOS!$I19299,CONFIG_ASIGNATURAS!$B$2:$J$61,9,FALSE()),""))</f>
      </c>
    </row>
    <row r="19300">
      <c r="E19300">
        <f>IF(DATOS!$I19300="","",IFERROR(VLOOKUP(DATOS!$I19300,CONFIG_ASIGNATURAS!$B$2:$J$61,9,FALSE()),""))</f>
      </c>
    </row>
    <row r="19301">
      <c r="E19301">
        <f>IF(DATOS!$I19301="","",IFERROR(VLOOKUP(DATOS!$I19301,CONFIG_ASIGNATURAS!$B$2:$J$61,9,FALSE()),""))</f>
      </c>
    </row>
    <row r="19302">
      <c r="E19302">
        <f>IF(DATOS!$I19302="","",IFERROR(VLOOKUP(DATOS!$I19302,CONFIG_ASIGNATURAS!$B$2:$J$61,9,FALSE()),""))</f>
      </c>
    </row>
    <row r="19303">
      <c r="E19303">
        <f>IF(DATOS!$I19303="","",IFERROR(VLOOKUP(DATOS!$I19303,CONFIG_ASIGNATURAS!$B$2:$J$61,9,FALSE()),""))</f>
      </c>
    </row>
    <row r="19304">
      <c r="E19304">
        <f>IF(DATOS!$I19304="","",IFERROR(VLOOKUP(DATOS!$I19304,CONFIG_ASIGNATURAS!$B$2:$J$61,9,FALSE()),""))</f>
      </c>
    </row>
    <row r="19305">
      <c r="E19305">
        <f>IF(DATOS!$I19305="","",IFERROR(VLOOKUP(DATOS!$I19305,CONFIG_ASIGNATURAS!$B$2:$J$61,9,FALSE()),""))</f>
      </c>
    </row>
    <row r="19306">
      <c r="E19306">
        <f>IF(DATOS!$I19306="","",IFERROR(VLOOKUP(DATOS!$I19306,CONFIG_ASIGNATURAS!$B$2:$J$61,9,FALSE()),""))</f>
      </c>
    </row>
    <row r="19307">
      <c r="E19307">
        <f>IF(DATOS!$I19307="","",IFERROR(VLOOKUP(DATOS!$I19307,CONFIG_ASIGNATURAS!$B$2:$J$61,9,FALSE()),""))</f>
      </c>
    </row>
    <row r="19308">
      <c r="E19308">
        <f>IF(DATOS!$I19308="","",IFERROR(VLOOKUP(DATOS!$I19308,CONFIG_ASIGNATURAS!$B$2:$J$61,9,FALSE()),""))</f>
      </c>
    </row>
    <row r="19309">
      <c r="E19309">
        <f>IF(DATOS!$I19309="","",IFERROR(VLOOKUP(DATOS!$I19309,CONFIG_ASIGNATURAS!$B$2:$J$61,9,FALSE()),""))</f>
      </c>
    </row>
    <row r="19310">
      <c r="E19310">
        <f>IF(DATOS!$I19310="","",IFERROR(VLOOKUP(DATOS!$I19310,CONFIG_ASIGNATURAS!$B$2:$J$61,9,FALSE()),""))</f>
      </c>
    </row>
    <row r="19311">
      <c r="E19311">
        <f>IF(DATOS!$I19311="","",IFERROR(VLOOKUP(DATOS!$I19311,CONFIG_ASIGNATURAS!$B$2:$J$61,9,FALSE()),""))</f>
      </c>
    </row>
    <row r="19312">
      <c r="E19312">
        <f>IF(DATOS!$I19312="","",IFERROR(VLOOKUP(DATOS!$I19312,CONFIG_ASIGNATURAS!$B$2:$J$61,9,FALSE()),""))</f>
      </c>
    </row>
    <row r="19313">
      <c r="E19313">
        <f>IF(DATOS!$I19313="","",IFERROR(VLOOKUP(DATOS!$I19313,CONFIG_ASIGNATURAS!$B$2:$J$61,9,FALSE()),""))</f>
      </c>
    </row>
    <row r="19314">
      <c r="E19314">
        <f>IF(DATOS!$I19314="","",IFERROR(VLOOKUP(DATOS!$I19314,CONFIG_ASIGNATURAS!$B$2:$J$61,9,FALSE()),""))</f>
      </c>
    </row>
    <row r="19315">
      <c r="E19315">
        <f>IF(DATOS!$I19315="","",IFERROR(VLOOKUP(DATOS!$I19315,CONFIG_ASIGNATURAS!$B$2:$J$61,9,FALSE()),""))</f>
      </c>
    </row>
    <row r="19316">
      <c r="E19316">
        <f>IF(DATOS!$I19316="","",IFERROR(VLOOKUP(DATOS!$I19316,CONFIG_ASIGNATURAS!$B$2:$J$61,9,FALSE()),""))</f>
      </c>
    </row>
    <row r="19317">
      <c r="E19317">
        <f>IF(DATOS!$I19317="","",IFERROR(VLOOKUP(DATOS!$I19317,CONFIG_ASIGNATURAS!$B$2:$J$61,9,FALSE()),""))</f>
      </c>
    </row>
    <row r="19318">
      <c r="E19318">
        <f>IF(DATOS!$I19318="","",IFERROR(VLOOKUP(DATOS!$I19318,CONFIG_ASIGNATURAS!$B$2:$J$61,9,FALSE()),""))</f>
      </c>
    </row>
    <row r="19319">
      <c r="E19319">
        <f>IF(DATOS!$I19319="","",IFERROR(VLOOKUP(DATOS!$I19319,CONFIG_ASIGNATURAS!$B$2:$J$61,9,FALSE()),""))</f>
      </c>
    </row>
    <row r="19320">
      <c r="E19320">
        <f>IF(DATOS!$I19320="","",IFERROR(VLOOKUP(DATOS!$I19320,CONFIG_ASIGNATURAS!$B$2:$J$61,9,FALSE()),""))</f>
      </c>
    </row>
    <row r="19321">
      <c r="E19321">
        <f>IF(DATOS!$I19321="","",IFERROR(VLOOKUP(DATOS!$I19321,CONFIG_ASIGNATURAS!$B$2:$J$61,9,FALSE()),""))</f>
      </c>
    </row>
    <row r="19322">
      <c r="E19322">
        <f>IF(DATOS!$I19322="","",IFERROR(VLOOKUP(DATOS!$I19322,CONFIG_ASIGNATURAS!$B$2:$J$61,9,FALSE()),""))</f>
      </c>
    </row>
    <row r="19323">
      <c r="E19323">
        <f>IF(DATOS!$I19323="","",IFERROR(VLOOKUP(DATOS!$I19323,CONFIG_ASIGNATURAS!$B$2:$J$61,9,FALSE()),""))</f>
      </c>
    </row>
    <row r="19324">
      <c r="E19324">
        <f>IF(DATOS!$I19324="","",IFERROR(VLOOKUP(DATOS!$I19324,CONFIG_ASIGNATURAS!$B$2:$J$61,9,FALSE()),""))</f>
      </c>
    </row>
    <row r="19325">
      <c r="E19325">
        <f>IF(DATOS!$I19325="","",IFERROR(VLOOKUP(DATOS!$I19325,CONFIG_ASIGNATURAS!$B$2:$J$61,9,FALSE()),""))</f>
      </c>
    </row>
    <row r="19326">
      <c r="E19326">
        <f>IF(DATOS!$I19326="","",IFERROR(VLOOKUP(DATOS!$I19326,CONFIG_ASIGNATURAS!$B$2:$J$61,9,FALSE()),""))</f>
      </c>
    </row>
    <row r="19327">
      <c r="E19327">
        <f>IF(DATOS!$I19327="","",IFERROR(VLOOKUP(DATOS!$I19327,CONFIG_ASIGNATURAS!$B$2:$J$61,9,FALSE()),""))</f>
      </c>
    </row>
    <row r="19328">
      <c r="E19328">
        <f>IF(DATOS!$I19328="","",IFERROR(VLOOKUP(DATOS!$I19328,CONFIG_ASIGNATURAS!$B$2:$J$61,9,FALSE()),""))</f>
      </c>
    </row>
    <row r="19329">
      <c r="E19329">
        <f>IF(DATOS!$I19329="","",IFERROR(VLOOKUP(DATOS!$I19329,CONFIG_ASIGNATURAS!$B$2:$J$61,9,FALSE()),""))</f>
      </c>
    </row>
    <row r="19330">
      <c r="E19330">
        <f>IF(DATOS!$I19330="","",IFERROR(VLOOKUP(DATOS!$I19330,CONFIG_ASIGNATURAS!$B$2:$J$61,9,FALSE()),""))</f>
      </c>
    </row>
    <row r="19331">
      <c r="E19331">
        <f>IF(DATOS!$I19331="","",IFERROR(VLOOKUP(DATOS!$I19331,CONFIG_ASIGNATURAS!$B$2:$J$61,9,FALSE()),""))</f>
      </c>
    </row>
    <row r="19332">
      <c r="E19332">
        <f>IF(DATOS!$I19332="","",IFERROR(VLOOKUP(DATOS!$I19332,CONFIG_ASIGNATURAS!$B$2:$J$61,9,FALSE()),""))</f>
      </c>
    </row>
    <row r="19333">
      <c r="E19333">
        <f>IF(DATOS!$I19333="","",IFERROR(VLOOKUP(DATOS!$I19333,CONFIG_ASIGNATURAS!$B$2:$J$61,9,FALSE()),""))</f>
      </c>
    </row>
    <row r="19334">
      <c r="E19334">
        <f>IF(DATOS!$I19334="","",IFERROR(VLOOKUP(DATOS!$I19334,CONFIG_ASIGNATURAS!$B$2:$J$61,9,FALSE()),""))</f>
      </c>
    </row>
    <row r="19335">
      <c r="E19335">
        <f>IF(DATOS!$I19335="","",IFERROR(VLOOKUP(DATOS!$I19335,CONFIG_ASIGNATURAS!$B$2:$J$61,9,FALSE()),""))</f>
      </c>
    </row>
    <row r="19336">
      <c r="E19336">
        <f>IF(DATOS!$I19336="","",IFERROR(VLOOKUP(DATOS!$I19336,CONFIG_ASIGNATURAS!$B$2:$J$61,9,FALSE()),""))</f>
      </c>
    </row>
    <row r="19337">
      <c r="E19337">
        <f>IF(DATOS!$I19337="","",IFERROR(VLOOKUP(DATOS!$I19337,CONFIG_ASIGNATURAS!$B$2:$J$61,9,FALSE()),""))</f>
      </c>
    </row>
    <row r="19338">
      <c r="E19338">
        <f>IF(DATOS!$I19338="","",IFERROR(VLOOKUP(DATOS!$I19338,CONFIG_ASIGNATURAS!$B$2:$J$61,9,FALSE()),""))</f>
      </c>
    </row>
    <row r="19339">
      <c r="E19339">
        <f>IF(DATOS!$I19339="","",IFERROR(VLOOKUP(DATOS!$I19339,CONFIG_ASIGNATURAS!$B$2:$J$61,9,FALSE()),""))</f>
      </c>
    </row>
    <row r="19340">
      <c r="E19340">
        <f>IF(DATOS!$I19340="","",IFERROR(VLOOKUP(DATOS!$I19340,CONFIG_ASIGNATURAS!$B$2:$J$61,9,FALSE()),""))</f>
      </c>
    </row>
    <row r="19341">
      <c r="E19341">
        <f>IF(DATOS!$I19341="","",IFERROR(VLOOKUP(DATOS!$I19341,CONFIG_ASIGNATURAS!$B$2:$J$61,9,FALSE()),""))</f>
      </c>
    </row>
    <row r="19342">
      <c r="E19342">
        <f>IF(DATOS!$I19342="","",IFERROR(VLOOKUP(DATOS!$I19342,CONFIG_ASIGNATURAS!$B$2:$J$61,9,FALSE()),""))</f>
      </c>
    </row>
    <row r="19343">
      <c r="E19343">
        <f>IF(DATOS!$I19343="","",IFERROR(VLOOKUP(DATOS!$I19343,CONFIG_ASIGNATURAS!$B$2:$J$61,9,FALSE()),""))</f>
      </c>
    </row>
    <row r="19344">
      <c r="E19344">
        <f>IF(DATOS!$I19344="","",IFERROR(VLOOKUP(DATOS!$I19344,CONFIG_ASIGNATURAS!$B$2:$J$61,9,FALSE()),""))</f>
      </c>
    </row>
    <row r="19345">
      <c r="E19345">
        <f>IF(DATOS!$I19345="","",IFERROR(VLOOKUP(DATOS!$I19345,CONFIG_ASIGNATURAS!$B$2:$J$61,9,FALSE()),""))</f>
      </c>
    </row>
    <row r="19346">
      <c r="E19346">
        <f>IF(DATOS!$I19346="","",IFERROR(VLOOKUP(DATOS!$I19346,CONFIG_ASIGNATURAS!$B$2:$J$61,9,FALSE()),""))</f>
      </c>
    </row>
    <row r="19347">
      <c r="E19347">
        <f>IF(DATOS!$I19347="","",IFERROR(VLOOKUP(DATOS!$I19347,CONFIG_ASIGNATURAS!$B$2:$J$61,9,FALSE()),""))</f>
      </c>
    </row>
    <row r="19348">
      <c r="E19348">
        <f>IF(DATOS!$I19348="","",IFERROR(VLOOKUP(DATOS!$I19348,CONFIG_ASIGNATURAS!$B$2:$J$61,9,FALSE()),""))</f>
      </c>
    </row>
    <row r="19349">
      <c r="E19349">
        <f>IF(DATOS!$I19349="","",IFERROR(VLOOKUP(DATOS!$I19349,CONFIG_ASIGNATURAS!$B$2:$J$61,9,FALSE()),""))</f>
      </c>
    </row>
    <row r="19350">
      <c r="E19350">
        <f>IF(DATOS!$I19350="","",IFERROR(VLOOKUP(DATOS!$I19350,CONFIG_ASIGNATURAS!$B$2:$J$61,9,FALSE()),""))</f>
      </c>
    </row>
    <row r="19351">
      <c r="E19351">
        <f>IF(DATOS!$I19351="","",IFERROR(VLOOKUP(DATOS!$I19351,CONFIG_ASIGNATURAS!$B$2:$J$61,9,FALSE()),""))</f>
      </c>
    </row>
    <row r="19352">
      <c r="E19352">
        <f>IF(DATOS!$I19352="","",IFERROR(VLOOKUP(DATOS!$I19352,CONFIG_ASIGNATURAS!$B$2:$J$61,9,FALSE()),""))</f>
      </c>
    </row>
    <row r="19353">
      <c r="E19353">
        <f>IF(DATOS!$I19353="","",IFERROR(VLOOKUP(DATOS!$I19353,CONFIG_ASIGNATURAS!$B$2:$J$61,9,FALSE()),""))</f>
      </c>
    </row>
    <row r="19354">
      <c r="E19354">
        <f>IF(DATOS!$I19354="","",IFERROR(VLOOKUP(DATOS!$I19354,CONFIG_ASIGNATURAS!$B$2:$J$61,9,FALSE()),""))</f>
      </c>
    </row>
    <row r="19355">
      <c r="E19355">
        <f>IF(DATOS!$I19355="","",IFERROR(VLOOKUP(DATOS!$I19355,CONFIG_ASIGNATURAS!$B$2:$J$61,9,FALSE()),""))</f>
      </c>
    </row>
    <row r="19356">
      <c r="E19356">
        <f>IF(DATOS!$I19356="","",IFERROR(VLOOKUP(DATOS!$I19356,CONFIG_ASIGNATURAS!$B$2:$J$61,9,FALSE()),""))</f>
      </c>
    </row>
    <row r="19357">
      <c r="E19357">
        <f>IF(DATOS!$I19357="","",IFERROR(VLOOKUP(DATOS!$I19357,CONFIG_ASIGNATURAS!$B$2:$J$61,9,FALSE()),""))</f>
      </c>
    </row>
    <row r="19358">
      <c r="E19358">
        <f>IF(DATOS!$I19358="","",IFERROR(VLOOKUP(DATOS!$I19358,CONFIG_ASIGNATURAS!$B$2:$J$61,9,FALSE()),""))</f>
      </c>
    </row>
    <row r="19359">
      <c r="E19359">
        <f>IF(DATOS!$I19359="","",IFERROR(VLOOKUP(DATOS!$I19359,CONFIG_ASIGNATURAS!$B$2:$J$61,9,FALSE()),""))</f>
      </c>
    </row>
    <row r="19360">
      <c r="E19360">
        <f>IF(DATOS!$I19360="","",IFERROR(VLOOKUP(DATOS!$I19360,CONFIG_ASIGNATURAS!$B$2:$J$61,9,FALSE()),""))</f>
      </c>
    </row>
    <row r="19361">
      <c r="E19361">
        <f>IF(DATOS!$I19361="","",IFERROR(VLOOKUP(DATOS!$I19361,CONFIG_ASIGNATURAS!$B$2:$J$61,9,FALSE()),""))</f>
      </c>
    </row>
    <row r="19362">
      <c r="E19362">
        <f>IF(DATOS!$I19362="","",IFERROR(VLOOKUP(DATOS!$I19362,CONFIG_ASIGNATURAS!$B$2:$J$61,9,FALSE()),""))</f>
      </c>
    </row>
    <row r="19363">
      <c r="E19363">
        <f>IF(DATOS!$I19363="","",IFERROR(VLOOKUP(DATOS!$I19363,CONFIG_ASIGNATURAS!$B$2:$J$61,9,FALSE()),""))</f>
      </c>
    </row>
    <row r="19364">
      <c r="E19364">
        <f>IF(DATOS!$I19364="","",IFERROR(VLOOKUP(DATOS!$I19364,CONFIG_ASIGNATURAS!$B$2:$J$61,9,FALSE()),""))</f>
      </c>
    </row>
    <row r="19365">
      <c r="E19365">
        <f>IF(DATOS!$I19365="","",IFERROR(VLOOKUP(DATOS!$I19365,CONFIG_ASIGNATURAS!$B$2:$J$61,9,FALSE()),""))</f>
      </c>
    </row>
    <row r="19366">
      <c r="E19366">
        <f>IF(DATOS!$I19366="","",IFERROR(VLOOKUP(DATOS!$I19366,CONFIG_ASIGNATURAS!$B$2:$J$61,9,FALSE()),""))</f>
      </c>
    </row>
    <row r="19367">
      <c r="E19367">
        <f>IF(DATOS!$I19367="","",IFERROR(VLOOKUP(DATOS!$I19367,CONFIG_ASIGNATURAS!$B$2:$J$61,9,FALSE()),""))</f>
      </c>
    </row>
    <row r="19368">
      <c r="E19368">
        <f>IF(DATOS!$I19368="","",IFERROR(VLOOKUP(DATOS!$I19368,CONFIG_ASIGNATURAS!$B$2:$J$61,9,FALSE()),""))</f>
      </c>
    </row>
    <row r="19369">
      <c r="E19369">
        <f>IF(DATOS!$I19369="","",IFERROR(VLOOKUP(DATOS!$I19369,CONFIG_ASIGNATURAS!$B$2:$J$61,9,FALSE()),""))</f>
      </c>
    </row>
    <row r="19370">
      <c r="E19370">
        <f>IF(DATOS!$I19370="","",IFERROR(VLOOKUP(DATOS!$I19370,CONFIG_ASIGNATURAS!$B$2:$J$61,9,FALSE()),""))</f>
      </c>
    </row>
    <row r="19371">
      <c r="E19371">
        <f>IF(DATOS!$I19371="","",IFERROR(VLOOKUP(DATOS!$I19371,CONFIG_ASIGNATURAS!$B$2:$J$61,9,FALSE()),""))</f>
      </c>
    </row>
    <row r="19372">
      <c r="E19372">
        <f>IF(DATOS!$I19372="","",IFERROR(VLOOKUP(DATOS!$I19372,CONFIG_ASIGNATURAS!$B$2:$J$61,9,FALSE()),""))</f>
      </c>
    </row>
    <row r="19373">
      <c r="E19373">
        <f>IF(DATOS!$I19373="","",IFERROR(VLOOKUP(DATOS!$I19373,CONFIG_ASIGNATURAS!$B$2:$J$61,9,FALSE()),""))</f>
      </c>
    </row>
    <row r="19374">
      <c r="E19374">
        <f>IF(DATOS!$I19374="","",IFERROR(VLOOKUP(DATOS!$I19374,CONFIG_ASIGNATURAS!$B$2:$J$61,9,FALSE()),""))</f>
      </c>
    </row>
    <row r="19375">
      <c r="E19375">
        <f>IF(DATOS!$I19375="","",IFERROR(VLOOKUP(DATOS!$I19375,CONFIG_ASIGNATURAS!$B$2:$J$61,9,FALSE()),""))</f>
      </c>
    </row>
    <row r="19376">
      <c r="E19376">
        <f>IF(DATOS!$I19376="","",IFERROR(VLOOKUP(DATOS!$I19376,CONFIG_ASIGNATURAS!$B$2:$J$61,9,FALSE()),""))</f>
      </c>
    </row>
    <row r="19377">
      <c r="E19377">
        <f>IF(DATOS!$I19377="","",IFERROR(VLOOKUP(DATOS!$I19377,CONFIG_ASIGNATURAS!$B$2:$J$61,9,FALSE()),""))</f>
      </c>
    </row>
    <row r="19378">
      <c r="E19378">
        <f>IF(DATOS!$I19378="","",IFERROR(VLOOKUP(DATOS!$I19378,CONFIG_ASIGNATURAS!$B$2:$J$61,9,FALSE()),""))</f>
      </c>
    </row>
    <row r="19379">
      <c r="E19379">
        <f>IF(DATOS!$I19379="","",IFERROR(VLOOKUP(DATOS!$I19379,CONFIG_ASIGNATURAS!$B$2:$J$61,9,FALSE()),""))</f>
      </c>
    </row>
    <row r="19380">
      <c r="E19380">
        <f>IF(DATOS!$I19380="","",IFERROR(VLOOKUP(DATOS!$I19380,CONFIG_ASIGNATURAS!$B$2:$J$61,9,FALSE()),""))</f>
      </c>
    </row>
    <row r="19381">
      <c r="E19381">
        <f>IF(DATOS!$I19381="","",IFERROR(VLOOKUP(DATOS!$I19381,CONFIG_ASIGNATURAS!$B$2:$J$61,9,FALSE()),""))</f>
      </c>
    </row>
    <row r="19382">
      <c r="E19382">
        <f>IF(DATOS!$I19382="","",IFERROR(VLOOKUP(DATOS!$I19382,CONFIG_ASIGNATURAS!$B$2:$J$61,9,FALSE()),""))</f>
      </c>
    </row>
    <row r="19383">
      <c r="E19383">
        <f>IF(DATOS!$I19383="","",IFERROR(VLOOKUP(DATOS!$I19383,CONFIG_ASIGNATURAS!$B$2:$J$61,9,FALSE()),""))</f>
      </c>
    </row>
    <row r="19384">
      <c r="E19384">
        <f>IF(DATOS!$I19384="","",IFERROR(VLOOKUP(DATOS!$I19384,CONFIG_ASIGNATURAS!$B$2:$J$61,9,FALSE()),""))</f>
      </c>
    </row>
    <row r="19385">
      <c r="E19385">
        <f>IF(DATOS!$I19385="","",IFERROR(VLOOKUP(DATOS!$I19385,CONFIG_ASIGNATURAS!$B$2:$J$61,9,FALSE()),""))</f>
      </c>
    </row>
    <row r="19386">
      <c r="E19386">
        <f>IF(DATOS!$I19386="","",IFERROR(VLOOKUP(DATOS!$I19386,CONFIG_ASIGNATURAS!$B$2:$J$61,9,FALSE()),""))</f>
      </c>
    </row>
    <row r="19387">
      <c r="E19387">
        <f>IF(DATOS!$I19387="","",IFERROR(VLOOKUP(DATOS!$I19387,CONFIG_ASIGNATURAS!$B$2:$J$61,9,FALSE()),""))</f>
      </c>
    </row>
    <row r="19388">
      <c r="E19388">
        <f>IF(DATOS!$I19388="","",IFERROR(VLOOKUP(DATOS!$I19388,CONFIG_ASIGNATURAS!$B$2:$J$61,9,FALSE()),""))</f>
      </c>
    </row>
    <row r="19389">
      <c r="E19389">
        <f>IF(DATOS!$I19389="","",IFERROR(VLOOKUP(DATOS!$I19389,CONFIG_ASIGNATURAS!$B$2:$J$61,9,FALSE()),""))</f>
      </c>
    </row>
    <row r="19390">
      <c r="E19390">
        <f>IF(DATOS!$I19390="","",IFERROR(VLOOKUP(DATOS!$I19390,CONFIG_ASIGNATURAS!$B$2:$J$61,9,FALSE()),""))</f>
      </c>
    </row>
    <row r="19391">
      <c r="E19391">
        <f>IF(DATOS!$I19391="","",IFERROR(VLOOKUP(DATOS!$I19391,CONFIG_ASIGNATURAS!$B$2:$J$61,9,FALSE()),""))</f>
      </c>
    </row>
    <row r="19392">
      <c r="E19392">
        <f>IF(DATOS!$I19392="","",IFERROR(VLOOKUP(DATOS!$I19392,CONFIG_ASIGNATURAS!$B$2:$J$61,9,FALSE()),""))</f>
      </c>
    </row>
    <row r="19393">
      <c r="E19393">
        <f>IF(DATOS!$I19393="","",IFERROR(VLOOKUP(DATOS!$I19393,CONFIG_ASIGNATURAS!$B$2:$J$61,9,FALSE()),""))</f>
      </c>
    </row>
    <row r="19394">
      <c r="E19394">
        <f>IF(DATOS!$I19394="","",IFERROR(VLOOKUP(DATOS!$I19394,CONFIG_ASIGNATURAS!$B$2:$J$61,9,FALSE()),""))</f>
      </c>
    </row>
    <row r="19395">
      <c r="E19395">
        <f>IF(DATOS!$I19395="","",IFERROR(VLOOKUP(DATOS!$I19395,CONFIG_ASIGNATURAS!$B$2:$J$61,9,FALSE()),""))</f>
      </c>
    </row>
    <row r="19396">
      <c r="E19396">
        <f>IF(DATOS!$I19396="","",IFERROR(VLOOKUP(DATOS!$I19396,CONFIG_ASIGNATURAS!$B$2:$J$61,9,FALSE()),""))</f>
      </c>
    </row>
    <row r="19397">
      <c r="E19397">
        <f>IF(DATOS!$I19397="","",IFERROR(VLOOKUP(DATOS!$I19397,CONFIG_ASIGNATURAS!$B$2:$J$61,9,FALSE()),""))</f>
      </c>
    </row>
    <row r="19398">
      <c r="E19398">
        <f>IF(DATOS!$I19398="","",IFERROR(VLOOKUP(DATOS!$I19398,CONFIG_ASIGNATURAS!$B$2:$J$61,9,FALSE()),""))</f>
      </c>
    </row>
    <row r="19399">
      <c r="E19399">
        <f>IF(DATOS!$I19399="","",IFERROR(VLOOKUP(DATOS!$I19399,CONFIG_ASIGNATURAS!$B$2:$J$61,9,FALSE()),""))</f>
      </c>
    </row>
    <row r="19400">
      <c r="E19400">
        <f>IF(DATOS!$I19400="","",IFERROR(VLOOKUP(DATOS!$I19400,CONFIG_ASIGNATURAS!$B$2:$J$61,9,FALSE()),""))</f>
      </c>
    </row>
    <row r="19401">
      <c r="E19401">
        <f>IF(DATOS!$I19401="","",IFERROR(VLOOKUP(DATOS!$I19401,CONFIG_ASIGNATURAS!$B$2:$J$61,9,FALSE()),""))</f>
      </c>
    </row>
    <row r="19402">
      <c r="E19402">
        <f>IF(DATOS!$I19402="","",IFERROR(VLOOKUP(DATOS!$I19402,CONFIG_ASIGNATURAS!$B$2:$J$61,9,FALSE()),""))</f>
      </c>
    </row>
    <row r="19403">
      <c r="E19403">
        <f>IF(DATOS!$I19403="","",IFERROR(VLOOKUP(DATOS!$I19403,CONFIG_ASIGNATURAS!$B$2:$J$61,9,FALSE()),""))</f>
      </c>
    </row>
    <row r="19404">
      <c r="E19404">
        <f>IF(DATOS!$I19404="","",IFERROR(VLOOKUP(DATOS!$I19404,CONFIG_ASIGNATURAS!$B$2:$J$61,9,FALSE()),""))</f>
      </c>
    </row>
    <row r="19405">
      <c r="E19405">
        <f>IF(DATOS!$I19405="","",IFERROR(VLOOKUP(DATOS!$I19405,CONFIG_ASIGNATURAS!$B$2:$J$61,9,FALSE()),""))</f>
      </c>
    </row>
    <row r="19406">
      <c r="E19406">
        <f>IF(DATOS!$I19406="","",IFERROR(VLOOKUP(DATOS!$I19406,CONFIG_ASIGNATURAS!$B$2:$J$61,9,FALSE()),""))</f>
      </c>
    </row>
    <row r="19407">
      <c r="E19407">
        <f>IF(DATOS!$I19407="","",IFERROR(VLOOKUP(DATOS!$I19407,CONFIG_ASIGNATURAS!$B$2:$J$61,9,FALSE()),""))</f>
      </c>
    </row>
    <row r="19408">
      <c r="E19408">
        <f>IF(DATOS!$I19408="","",IFERROR(VLOOKUP(DATOS!$I19408,CONFIG_ASIGNATURAS!$B$2:$J$61,9,FALSE()),""))</f>
      </c>
    </row>
    <row r="19409">
      <c r="E19409">
        <f>IF(DATOS!$I19409="","",IFERROR(VLOOKUP(DATOS!$I19409,CONFIG_ASIGNATURAS!$B$2:$J$61,9,FALSE()),""))</f>
      </c>
    </row>
    <row r="19410">
      <c r="E19410">
        <f>IF(DATOS!$I19410="","",IFERROR(VLOOKUP(DATOS!$I19410,CONFIG_ASIGNATURAS!$B$2:$J$61,9,FALSE()),""))</f>
      </c>
    </row>
    <row r="19411">
      <c r="E19411">
        <f>IF(DATOS!$I19411="","",IFERROR(VLOOKUP(DATOS!$I19411,CONFIG_ASIGNATURAS!$B$2:$J$61,9,FALSE()),""))</f>
      </c>
    </row>
    <row r="19412">
      <c r="E19412">
        <f>IF(DATOS!$I19412="","",IFERROR(VLOOKUP(DATOS!$I19412,CONFIG_ASIGNATURAS!$B$2:$J$61,9,FALSE()),""))</f>
      </c>
    </row>
    <row r="19413">
      <c r="E19413">
        <f>IF(DATOS!$I19413="","",IFERROR(VLOOKUP(DATOS!$I19413,CONFIG_ASIGNATURAS!$B$2:$J$61,9,FALSE()),""))</f>
      </c>
    </row>
    <row r="19414">
      <c r="E19414">
        <f>IF(DATOS!$I19414="","",IFERROR(VLOOKUP(DATOS!$I19414,CONFIG_ASIGNATURAS!$B$2:$J$61,9,FALSE()),""))</f>
      </c>
    </row>
    <row r="19415">
      <c r="E19415">
        <f>IF(DATOS!$I19415="","",IFERROR(VLOOKUP(DATOS!$I19415,CONFIG_ASIGNATURAS!$B$2:$J$61,9,FALSE()),""))</f>
      </c>
    </row>
    <row r="19416">
      <c r="E19416">
        <f>IF(DATOS!$I19416="","",IFERROR(VLOOKUP(DATOS!$I19416,CONFIG_ASIGNATURAS!$B$2:$J$61,9,FALSE()),""))</f>
      </c>
    </row>
    <row r="19417">
      <c r="E19417">
        <f>IF(DATOS!$I19417="","",IFERROR(VLOOKUP(DATOS!$I19417,CONFIG_ASIGNATURAS!$B$2:$J$61,9,FALSE()),""))</f>
      </c>
    </row>
    <row r="19418">
      <c r="E19418">
        <f>IF(DATOS!$I19418="","",IFERROR(VLOOKUP(DATOS!$I19418,CONFIG_ASIGNATURAS!$B$2:$J$61,9,FALSE()),""))</f>
      </c>
    </row>
    <row r="19419">
      <c r="E19419">
        <f>IF(DATOS!$I19419="","",IFERROR(VLOOKUP(DATOS!$I19419,CONFIG_ASIGNATURAS!$B$2:$J$61,9,FALSE()),""))</f>
      </c>
    </row>
    <row r="19420">
      <c r="E19420">
        <f>IF(DATOS!$I19420="","",IFERROR(VLOOKUP(DATOS!$I19420,CONFIG_ASIGNATURAS!$B$2:$J$61,9,FALSE()),""))</f>
      </c>
    </row>
    <row r="19421">
      <c r="E19421">
        <f>IF(DATOS!$I19421="","",IFERROR(VLOOKUP(DATOS!$I19421,CONFIG_ASIGNATURAS!$B$2:$J$61,9,FALSE()),""))</f>
      </c>
    </row>
    <row r="19422">
      <c r="E19422">
        <f>IF(DATOS!$I19422="","",IFERROR(VLOOKUP(DATOS!$I19422,CONFIG_ASIGNATURAS!$B$2:$J$61,9,FALSE()),""))</f>
      </c>
    </row>
    <row r="19423">
      <c r="E19423">
        <f>IF(DATOS!$I19423="","",IFERROR(VLOOKUP(DATOS!$I19423,CONFIG_ASIGNATURAS!$B$2:$J$61,9,FALSE()),""))</f>
      </c>
    </row>
    <row r="19424">
      <c r="E19424">
        <f>IF(DATOS!$I19424="","",IFERROR(VLOOKUP(DATOS!$I19424,CONFIG_ASIGNATURAS!$B$2:$J$61,9,FALSE()),""))</f>
      </c>
    </row>
    <row r="19425">
      <c r="E19425">
        <f>IF(DATOS!$I19425="","",IFERROR(VLOOKUP(DATOS!$I19425,CONFIG_ASIGNATURAS!$B$2:$J$61,9,FALSE()),""))</f>
      </c>
    </row>
    <row r="19426">
      <c r="E19426">
        <f>IF(DATOS!$I19426="","",IFERROR(VLOOKUP(DATOS!$I19426,CONFIG_ASIGNATURAS!$B$2:$J$61,9,FALSE()),""))</f>
      </c>
    </row>
    <row r="19427">
      <c r="E19427">
        <f>IF(DATOS!$I19427="","",IFERROR(VLOOKUP(DATOS!$I19427,CONFIG_ASIGNATURAS!$B$2:$J$61,9,FALSE()),""))</f>
      </c>
    </row>
    <row r="19428">
      <c r="E19428">
        <f>IF(DATOS!$I19428="","",IFERROR(VLOOKUP(DATOS!$I19428,CONFIG_ASIGNATURAS!$B$2:$J$61,9,FALSE()),""))</f>
      </c>
    </row>
    <row r="19429">
      <c r="E19429">
        <f>IF(DATOS!$I19429="","",IFERROR(VLOOKUP(DATOS!$I19429,CONFIG_ASIGNATURAS!$B$2:$J$61,9,FALSE()),""))</f>
      </c>
    </row>
    <row r="19430">
      <c r="E19430">
        <f>IF(DATOS!$I19430="","",IFERROR(VLOOKUP(DATOS!$I19430,CONFIG_ASIGNATURAS!$B$2:$J$61,9,FALSE()),""))</f>
      </c>
    </row>
    <row r="19431">
      <c r="E19431">
        <f>IF(DATOS!$I19431="","",IFERROR(VLOOKUP(DATOS!$I19431,CONFIG_ASIGNATURAS!$B$2:$J$61,9,FALSE()),""))</f>
      </c>
    </row>
    <row r="19432">
      <c r="E19432">
        <f>IF(DATOS!$I19432="","",IFERROR(VLOOKUP(DATOS!$I19432,CONFIG_ASIGNATURAS!$B$2:$J$61,9,FALSE()),""))</f>
      </c>
    </row>
    <row r="19433">
      <c r="E19433">
        <f>IF(DATOS!$I19433="","",IFERROR(VLOOKUP(DATOS!$I19433,CONFIG_ASIGNATURAS!$B$2:$J$61,9,FALSE()),""))</f>
      </c>
    </row>
    <row r="19434">
      <c r="E19434">
        <f>IF(DATOS!$I19434="","",IFERROR(VLOOKUP(DATOS!$I19434,CONFIG_ASIGNATURAS!$B$2:$J$61,9,FALSE()),""))</f>
      </c>
    </row>
    <row r="19435">
      <c r="E19435">
        <f>IF(DATOS!$I19435="","",IFERROR(VLOOKUP(DATOS!$I19435,CONFIG_ASIGNATURAS!$B$2:$J$61,9,FALSE()),""))</f>
      </c>
    </row>
    <row r="19436">
      <c r="E19436">
        <f>IF(DATOS!$I19436="","",IFERROR(VLOOKUP(DATOS!$I19436,CONFIG_ASIGNATURAS!$B$2:$J$61,9,FALSE()),""))</f>
      </c>
    </row>
    <row r="19437">
      <c r="E19437">
        <f>IF(DATOS!$I19437="","",IFERROR(VLOOKUP(DATOS!$I19437,CONFIG_ASIGNATURAS!$B$2:$J$61,9,FALSE()),""))</f>
      </c>
    </row>
    <row r="19438">
      <c r="E19438">
        <f>IF(DATOS!$I19438="","",IFERROR(VLOOKUP(DATOS!$I19438,CONFIG_ASIGNATURAS!$B$2:$J$61,9,FALSE()),""))</f>
      </c>
    </row>
    <row r="19439">
      <c r="E19439">
        <f>IF(DATOS!$I19439="","",IFERROR(VLOOKUP(DATOS!$I19439,CONFIG_ASIGNATURAS!$B$2:$J$61,9,FALSE()),""))</f>
      </c>
    </row>
    <row r="19440">
      <c r="E19440">
        <f>IF(DATOS!$I19440="","",IFERROR(VLOOKUP(DATOS!$I19440,CONFIG_ASIGNATURAS!$B$2:$J$61,9,FALSE()),""))</f>
      </c>
    </row>
    <row r="19441">
      <c r="E19441">
        <f>IF(DATOS!$I19441="","",IFERROR(VLOOKUP(DATOS!$I19441,CONFIG_ASIGNATURAS!$B$2:$J$61,9,FALSE()),""))</f>
      </c>
    </row>
    <row r="19442">
      <c r="E19442">
        <f>IF(DATOS!$I19442="","",IFERROR(VLOOKUP(DATOS!$I19442,CONFIG_ASIGNATURAS!$B$2:$J$61,9,FALSE()),""))</f>
      </c>
    </row>
    <row r="19443">
      <c r="E19443">
        <f>IF(DATOS!$I19443="","",IFERROR(VLOOKUP(DATOS!$I19443,CONFIG_ASIGNATURAS!$B$2:$J$61,9,FALSE()),""))</f>
      </c>
    </row>
    <row r="19444">
      <c r="E19444">
        <f>IF(DATOS!$I19444="","",IFERROR(VLOOKUP(DATOS!$I19444,CONFIG_ASIGNATURAS!$B$2:$J$61,9,FALSE()),""))</f>
      </c>
    </row>
    <row r="19445">
      <c r="E19445">
        <f>IF(DATOS!$I19445="","",IFERROR(VLOOKUP(DATOS!$I19445,CONFIG_ASIGNATURAS!$B$2:$J$61,9,FALSE()),""))</f>
      </c>
    </row>
    <row r="19446">
      <c r="E19446">
        <f>IF(DATOS!$I19446="","",IFERROR(VLOOKUP(DATOS!$I19446,CONFIG_ASIGNATURAS!$B$2:$J$61,9,FALSE()),""))</f>
      </c>
    </row>
    <row r="19447">
      <c r="E19447">
        <f>IF(DATOS!$I19447="","",IFERROR(VLOOKUP(DATOS!$I19447,CONFIG_ASIGNATURAS!$B$2:$J$61,9,FALSE()),""))</f>
      </c>
    </row>
    <row r="19448">
      <c r="E19448">
        <f>IF(DATOS!$I19448="","",IFERROR(VLOOKUP(DATOS!$I19448,CONFIG_ASIGNATURAS!$B$2:$J$61,9,FALSE()),""))</f>
      </c>
    </row>
    <row r="19449">
      <c r="E19449">
        <f>IF(DATOS!$I19449="","",IFERROR(VLOOKUP(DATOS!$I19449,CONFIG_ASIGNATURAS!$B$2:$J$61,9,FALSE()),""))</f>
      </c>
    </row>
    <row r="19450">
      <c r="E19450">
        <f>IF(DATOS!$I19450="","",IFERROR(VLOOKUP(DATOS!$I19450,CONFIG_ASIGNATURAS!$B$2:$J$61,9,FALSE()),""))</f>
      </c>
    </row>
    <row r="19451">
      <c r="E19451">
        <f>IF(DATOS!$I19451="","",IFERROR(VLOOKUP(DATOS!$I19451,CONFIG_ASIGNATURAS!$B$2:$J$61,9,FALSE()),""))</f>
      </c>
    </row>
    <row r="19452">
      <c r="E19452">
        <f>IF(DATOS!$I19452="","",IFERROR(VLOOKUP(DATOS!$I19452,CONFIG_ASIGNATURAS!$B$2:$J$61,9,FALSE()),""))</f>
      </c>
    </row>
    <row r="19453">
      <c r="E19453">
        <f>IF(DATOS!$I19453="","",IFERROR(VLOOKUP(DATOS!$I19453,CONFIG_ASIGNATURAS!$B$2:$J$61,9,FALSE()),""))</f>
      </c>
    </row>
    <row r="19454">
      <c r="E19454">
        <f>IF(DATOS!$I19454="","",IFERROR(VLOOKUP(DATOS!$I19454,CONFIG_ASIGNATURAS!$B$2:$J$61,9,FALSE()),""))</f>
      </c>
    </row>
    <row r="19455">
      <c r="E19455">
        <f>IF(DATOS!$I19455="","",IFERROR(VLOOKUP(DATOS!$I19455,CONFIG_ASIGNATURAS!$B$2:$J$61,9,FALSE()),""))</f>
      </c>
    </row>
    <row r="19456">
      <c r="E19456">
        <f>IF(DATOS!$I19456="","",IFERROR(VLOOKUP(DATOS!$I19456,CONFIG_ASIGNATURAS!$B$2:$J$61,9,FALSE()),""))</f>
      </c>
    </row>
    <row r="19457">
      <c r="E19457">
        <f>IF(DATOS!$I19457="","",IFERROR(VLOOKUP(DATOS!$I19457,CONFIG_ASIGNATURAS!$B$2:$J$61,9,FALSE()),""))</f>
      </c>
    </row>
    <row r="19458">
      <c r="E19458">
        <f>IF(DATOS!$I19458="","",IFERROR(VLOOKUP(DATOS!$I19458,CONFIG_ASIGNATURAS!$B$2:$J$61,9,FALSE()),""))</f>
      </c>
    </row>
    <row r="19459">
      <c r="E19459">
        <f>IF(DATOS!$I19459="","",IFERROR(VLOOKUP(DATOS!$I19459,CONFIG_ASIGNATURAS!$B$2:$J$61,9,FALSE()),""))</f>
      </c>
    </row>
    <row r="19460">
      <c r="E19460">
        <f>IF(DATOS!$I19460="","",IFERROR(VLOOKUP(DATOS!$I19460,CONFIG_ASIGNATURAS!$B$2:$J$61,9,FALSE()),""))</f>
      </c>
    </row>
    <row r="19461">
      <c r="E19461">
        <f>IF(DATOS!$I19461="","",IFERROR(VLOOKUP(DATOS!$I19461,CONFIG_ASIGNATURAS!$B$2:$J$61,9,FALSE()),""))</f>
      </c>
    </row>
    <row r="19462">
      <c r="E19462">
        <f>IF(DATOS!$I19462="","",IFERROR(VLOOKUP(DATOS!$I19462,CONFIG_ASIGNATURAS!$B$2:$J$61,9,FALSE()),""))</f>
      </c>
    </row>
    <row r="19463">
      <c r="E19463">
        <f>IF(DATOS!$I19463="","",IFERROR(VLOOKUP(DATOS!$I19463,CONFIG_ASIGNATURAS!$B$2:$J$61,9,FALSE()),""))</f>
      </c>
    </row>
    <row r="19464">
      <c r="E19464">
        <f>IF(DATOS!$I19464="","",IFERROR(VLOOKUP(DATOS!$I19464,CONFIG_ASIGNATURAS!$B$2:$J$61,9,FALSE()),""))</f>
      </c>
    </row>
    <row r="19465">
      <c r="E19465">
        <f>IF(DATOS!$I19465="","",IFERROR(VLOOKUP(DATOS!$I19465,CONFIG_ASIGNATURAS!$B$2:$J$61,9,FALSE()),""))</f>
      </c>
    </row>
    <row r="19466">
      <c r="E19466">
        <f>IF(DATOS!$I19466="","",IFERROR(VLOOKUP(DATOS!$I19466,CONFIG_ASIGNATURAS!$B$2:$J$61,9,FALSE()),""))</f>
      </c>
    </row>
    <row r="19467">
      <c r="E19467">
        <f>IF(DATOS!$I19467="","",IFERROR(VLOOKUP(DATOS!$I19467,CONFIG_ASIGNATURAS!$B$2:$J$61,9,FALSE()),""))</f>
      </c>
    </row>
    <row r="19468">
      <c r="E19468">
        <f>IF(DATOS!$I19468="","",IFERROR(VLOOKUP(DATOS!$I19468,CONFIG_ASIGNATURAS!$B$2:$J$61,9,FALSE()),""))</f>
      </c>
    </row>
    <row r="19469">
      <c r="E19469">
        <f>IF(DATOS!$I19469="","",IFERROR(VLOOKUP(DATOS!$I19469,CONFIG_ASIGNATURAS!$B$2:$J$61,9,FALSE()),""))</f>
      </c>
    </row>
    <row r="19470">
      <c r="E19470">
        <f>IF(DATOS!$I19470="","",IFERROR(VLOOKUP(DATOS!$I19470,CONFIG_ASIGNATURAS!$B$2:$J$61,9,FALSE()),""))</f>
      </c>
    </row>
    <row r="19471">
      <c r="E19471">
        <f>IF(DATOS!$I19471="","",IFERROR(VLOOKUP(DATOS!$I19471,CONFIG_ASIGNATURAS!$B$2:$J$61,9,FALSE()),""))</f>
      </c>
    </row>
    <row r="19472">
      <c r="E19472">
        <f>IF(DATOS!$I19472="","",IFERROR(VLOOKUP(DATOS!$I19472,CONFIG_ASIGNATURAS!$B$2:$J$61,9,FALSE()),""))</f>
      </c>
    </row>
    <row r="19473">
      <c r="E19473">
        <f>IF(DATOS!$I19473="","",IFERROR(VLOOKUP(DATOS!$I19473,CONFIG_ASIGNATURAS!$B$2:$J$61,9,FALSE()),""))</f>
      </c>
    </row>
    <row r="19474">
      <c r="E19474">
        <f>IF(DATOS!$I19474="","",IFERROR(VLOOKUP(DATOS!$I19474,CONFIG_ASIGNATURAS!$B$2:$J$61,9,FALSE()),""))</f>
      </c>
    </row>
    <row r="19475">
      <c r="E19475">
        <f>IF(DATOS!$I19475="","",IFERROR(VLOOKUP(DATOS!$I19475,CONFIG_ASIGNATURAS!$B$2:$J$61,9,FALSE()),""))</f>
      </c>
    </row>
    <row r="19476">
      <c r="E19476">
        <f>IF(DATOS!$I19476="","",IFERROR(VLOOKUP(DATOS!$I19476,CONFIG_ASIGNATURAS!$B$2:$J$61,9,FALSE()),""))</f>
      </c>
    </row>
    <row r="19477">
      <c r="E19477">
        <f>IF(DATOS!$I19477="","",IFERROR(VLOOKUP(DATOS!$I19477,CONFIG_ASIGNATURAS!$B$2:$J$61,9,FALSE()),""))</f>
      </c>
    </row>
    <row r="19478">
      <c r="E19478">
        <f>IF(DATOS!$I19478="","",IFERROR(VLOOKUP(DATOS!$I19478,CONFIG_ASIGNATURAS!$B$2:$J$61,9,FALSE()),""))</f>
      </c>
    </row>
    <row r="19479">
      <c r="E19479">
        <f>IF(DATOS!$I19479="","",IFERROR(VLOOKUP(DATOS!$I19479,CONFIG_ASIGNATURAS!$B$2:$J$61,9,FALSE()),""))</f>
      </c>
    </row>
    <row r="19480">
      <c r="E19480">
        <f>IF(DATOS!$I19480="","",IFERROR(VLOOKUP(DATOS!$I19480,CONFIG_ASIGNATURAS!$B$2:$J$61,9,FALSE()),""))</f>
      </c>
    </row>
    <row r="19481">
      <c r="E19481">
        <f>IF(DATOS!$I19481="","",IFERROR(VLOOKUP(DATOS!$I19481,CONFIG_ASIGNATURAS!$B$2:$J$61,9,FALSE()),""))</f>
      </c>
    </row>
    <row r="19482">
      <c r="E19482">
        <f>IF(DATOS!$I19482="","",IFERROR(VLOOKUP(DATOS!$I19482,CONFIG_ASIGNATURAS!$B$2:$J$61,9,FALSE()),""))</f>
      </c>
    </row>
    <row r="19483">
      <c r="E19483">
        <f>IF(DATOS!$I19483="","",IFERROR(VLOOKUP(DATOS!$I19483,CONFIG_ASIGNATURAS!$B$2:$J$61,9,FALSE()),""))</f>
      </c>
    </row>
    <row r="19484">
      <c r="E19484">
        <f>IF(DATOS!$I19484="","",IFERROR(VLOOKUP(DATOS!$I19484,CONFIG_ASIGNATURAS!$B$2:$J$61,9,FALSE()),""))</f>
      </c>
    </row>
    <row r="19485">
      <c r="E19485">
        <f>IF(DATOS!$I19485="","",IFERROR(VLOOKUP(DATOS!$I19485,CONFIG_ASIGNATURAS!$B$2:$J$61,9,FALSE()),""))</f>
      </c>
    </row>
    <row r="19486">
      <c r="E19486">
        <f>IF(DATOS!$I19486="","",IFERROR(VLOOKUP(DATOS!$I19486,CONFIG_ASIGNATURAS!$B$2:$J$61,9,FALSE()),""))</f>
      </c>
    </row>
    <row r="19487">
      <c r="E19487">
        <f>IF(DATOS!$I19487="","",IFERROR(VLOOKUP(DATOS!$I19487,CONFIG_ASIGNATURAS!$B$2:$J$61,9,FALSE()),""))</f>
      </c>
    </row>
    <row r="19488">
      <c r="E19488">
        <f>IF(DATOS!$I19488="","",IFERROR(VLOOKUP(DATOS!$I19488,CONFIG_ASIGNATURAS!$B$2:$J$61,9,FALSE()),""))</f>
      </c>
    </row>
    <row r="19489">
      <c r="E19489">
        <f>IF(DATOS!$I19489="","",IFERROR(VLOOKUP(DATOS!$I19489,CONFIG_ASIGNATURAS!$B$2:$J$61,9,FALSE()),""))</f>
      </c>
    </row>
    <row r="19490">
      <c r="E19490">
        <f>IF(DATOS!$I19490="","",IFERROR(VLOOKUP(DATOS!$I19490,CONFIG_ASIGNATURAS!$B$2:$J$61,9,FALSE()),""))</f>
      </c>
    </row>
    <row r="19491">
      <c r="E19491">
        <f>IF(DATOS!$I19491="","",IFERROR(VLOOKUP(DATOS!$I19491,CONFIG_ASIGNATURAS!$B$2:$J$61,9,FALSE()),""))</f>
      </c>
    </row>
    <row r="19492">
      <c r="E19492">
        <f>IF(DATOS!$I19492="","",IFERROR(VLOOKUP(DATOS!$I19492,CONFIG_ASIGNATURAS!$B$2:$J$61,9,FALSE()),""))</f>
      </c>
    </row>
    <row r="19493">
      <c r="E19493">
        <f>IF(DATOS!$I19493="","",IFERROR(VLOOKUP(DATOS!$I19493,CONFIG_ASIGNATURAS!$B$2:$J$61,9,FALSE()),""))</f>
      </c>
    </row>
    <row r="19494">
      <c r="E19494">
        <f>IF(DATOS!$I19494="","",IFERROR(VLOOKUP(DATOS!$I19494,CONFIG_ASIGNATURAS!$B$2:$J$61,9,FALSE()),""))</f>
      </c>
    </row>
    <row r="19495">
      <c r="E19495">
        <f>IF(DATOS!$I19495="","",IFERROR(VLOOKUP(DATOS!$I19495,CONFIG_ASIGNATURAS!$B$2:$J$61,9,FALSE()),""))</f>
      </c>
    </row>
    <row r="19496">
      <c r="E19496">
        <f>IF(DATOS!$I19496="","",IFERROR(VLOOKUP(DATOS!$I19496,CONFIG_ASIGNATURAS!$B$2:$J$61,9,FALSE()),""))</f>
      </c>
    </row>
    <row r="19497">
      <c r="E19497">
        <f>IF(DATOS!$I19497="","",IFERROR(VLOOKUP(DATOS!$I19497,CONFIG_ASIGNATURAS!$B$2:$J$61,9,FALSE()),""))</f>
      </c>
    </row>
    <row r="19498">
      <c r="E19498">
        <f>IF(DATOS!$I19498="","",IFERROR(VLOOKUP(DATOS!$I19498,CONFIG_ASIGNATURAS!$B$2:$J$61,9,FALSE()),""))</f>
      </c>
    </row>
    <row r="19499">
      <c r="E19499">
        <f>IF(DATOS!$I19499="","",IFERROR(VLOOKUP(DATOS!$I19499,CONFIG_ASIGNATURAS!$B$2:$J$61,9,FALSE()),""))</f>
      </c>
    </row>
    <row r="19500">
      <c r="E19500">
        <f>IF(DATOS!$I19500="","",IFERROR(VLOOKUP(DATOS!$I19500,CONFIG_ASIGNATURAS!$B$2:$J$61,9,FALSE()),""))</f>
      </c>
    </row>
    <row r="19501">
      <c r="E19501">
        <f>IF(DATOS!$I19501="","",IFERROR(VLOOKUP(DATOS!$I19501,CONFIG_ASIGNATURAS!$B$2:$J$61,9,FALSE()),""))</f>
      </c>
    </row>
    <row r="19502">
      <c r="E19502">
        <f>IF(DATOS!$I19502="","",IFERROR(VLOOKUP(DATOS!$I19502,CONFIG_ASIGNATURAS!$B$2:$J$61,9,FALSE()),""))</f>
      </c>
    </row>
    <row r="19503">
      <c r="E19503">
        <f>IF(DATOS!$I19503="","",IFERROR(VLOOKUP(DATOS!$I19503,CONFIG_ASIGNATURAS!$B$2:$J$61,9,FALSE()),""))</f>
      </c>
    </row>
    <row r="19504">
      <c r="E19504">
        <f>IF(DATOS!$I19504="","",IFERROR(VLOOKUP(DATOS!$I19504,CONFIG_ASIGNATURAS!$B$2:$J$61,9,FALSE()),""))</f>
      </c>
    </row>
    <row r="19505">
      <c r="E19505">
        <f>IF(DATOS!$I19505="","",IFERROR(VLOOKUP(DATOS!$I19505,CONFIG_ASIGNATURAS!$B$2:$J$61,9,FALSE()),""))</f>
      </c>
    </row>
    <row r="19506">
      <c r="E19506">
        <f>IF(DATOS!$I19506="","",IFERROR(VLOOKUP(DATOS!$I19506,CONFIG_ASIGNATURAS!$B$2:$J$61,9,FALSE()),""))</f>
      </c>
    </row>
    <row r="19507">
      <c r="E19507">
        <f>IF(DATOS!$I19507="","",IFERROR(VLOOKUP(DATOS!$I19507,CONFIG_ASIGNATURAS!$B$2:$J$61,9,FALSE()),""))</f>
      </c>
    </row>
    <row r="19508">
      <c r="E19508">
        <f>IF(DATOS!$I19508="","",IFERROR(VLOOKUP(DATOS!$I19508,CONFIG_ASIGNATURAS!$B$2:$J$61,9,FALSE()),""))</f>
      </c>
    </row>
    <row r="19509">
      <c r="E19509">
        <f>IF(DATOS!$I19509="","",IFERROR(VLOOKUP(DATOS!$I19509,CONFIG_ASIGNATURAS!$B$2:$J$61,9,FALSE()),""))</f>
      </c>
    </row>
    <row r="19510">
      <c r="E19510">
        <f>IF(DATOS!$I19510="","",IFERROR(VLOOKUP(DATOS!$I19510,CONFIG_ASIGNATURAS!$B$2:$J$61,9,FALSE()),""))</f>
      </c>
    </row>
    <row r="19511">
      <c r="E19511">
        <f>IF(DATOS!$I19511="","",IFERROR(VLOOKUP(DATOS!$I19511,CONFIG_ASIGNATURAS!$B$2:$J$61,9,FALSE()),""))</f>
      </c>
    </row>
    <row r="19512">
      <c r="E19512">
        <f>IF(DATOS!$I19512="","",IFERROR(VLOOKUP(DATOS!$I19512,CONFIG_ASIGNATURAS!$B$2:$J$61,9,FALSE()),""))</f>
      </c>
    </row>
    <row r="19513">
      <c r="E19513">
        <f>IF(DATOS!$I19513="","",IFERROR(VLOOKUP(DATOS!$I19513,CONFIG_ASIGNATURAS!$B$2:$J$61,9,FALSE()),""))</f>
      </c>
    </row>
    <row r="19514">
      <c r="E19514">
        <f>IF(DATOS!$I19514="","",IFERROR(VLOOKUP(DATOS!$I19514,CONFIG_ASIGNATURAS!$B$2:$J$61,9,FALSE()),""))</f>
      </c>
    </row>
    <row r="19515">
      <c r="E19515">
        <f>IF(DATOS!$I19515="","",IFERROR(VLOOKUP(DATOS!$I19515,CONFIG_ASIGNATURAS!$B$2:$J$61,9,FALSE()),""))</f>
      </c>
    </row>
    <row r="19516">
      <c r="E19516">
        <f>IF(DATOS!$I19516="","",IFERROR(VLOOKUP(DATOS!$I19516,CONFIG_ASIGNATURAS!$B$2:$J$61,9,FALSE()),""))</f>
      </c>
    </row>
    <row r="19517">
      <c r="E19517">
        <f>IF(DATOS!$I19517="","",IFERROR(VLOOKUP(DATOS!$I19517,CONFIG_ASIGNATURAS!$B$2:$J$61,9,FALSE()),""))</f>
      </c>
    </row>
    <row r="19518">
      <c r="E19518">
        <f>IF(DATOS!$I19518="","",IFERROR(VLOOKUP(DATOS!$I19518,CONFIG_ASIGNATURAS!$B$2:$J$61,9,FALSE()),""))</f>
      </c>
    </row>
    <row r="19519">
      <c r="E19519">
        <f>IF(DATOS!$I19519="","",IFERROR(VLOOKUP(DATOS!$I19519,CONFIG_ASIGNATURAS!$B$2:$J$61,9,FALSE()),""))</f>
      </c>
    </row>
    <row r="19520">
      <c r="E19520">
        <f>IF(DATOS!$I19520="","",IFERROR(VLOOKUP(DATOS!$I19520,CONFIG_ASIGNATURAS!$B$2:$J$61,9,FALSE()),""))</f>
      </c>
    </row>
    <row r="19521">
      <c r="E19521">
        <f>IF(DATOS!$I19521="","",IFERROR(VLOOKUP(DATOS!$I19521,CONFIG_ASIGNATURAS!$B$2:$J$61,9,FALSE()),""))</f>
      </c>
    </row>
    <row r="19522">
      <c r="E19522">
        <f>IF(DATOS!$I19522="","",IFERROR(VLOOKUP(DATOS!$I19522,CONFIG_ASIGNATURAS!$B$2:$J$61,9,FALSE()),""))</f>
      </c>
    </row>
    <row r="19523">
      <c r="E19523">
        <f>IF(DATOS!$I19523="","",IFERROR(VLOOKUP(DATOS!$I19523,CONFIG_ASIGNATURAS!$B$2:$J$61,9,FALSE()),""))</f>
      </c>
    </row>
    <row r="19524">
      <c r="E19524">
        <f>IF(DATOS!$I19524="","",IFERROR(VLOOKUP(DATOS!$I19524,CONFIG_ASIGNATURAS!$B$2:$J$61,9,FALSE()),""))</f>
      </c>
    </row>
    <row r="19525">
      <c r="E19525">
        <f>IF(DATOS!$I19525="","",IFERROR(VLOOKUP(DATOS!$I19525,CONFIG_ASIGNATURAS!$B$2:$J$61,9,FALSE()),""))</f>
      </c>
    </row>
    <row r="19526">
      <c r="E19526">
        <f>IF(DATOS!$I19526="","",IFERROR(VLOOKUP(DATOS!$I19526,CONFIG_ASIGNATURAS!$B$2:$J$61,9,FALSE()),""))</f>
      </c>
    </row>
    <row r="19527">
      <c r="E19527">
        <f>IF(DATOS!$I19527="","",IFERROR(VLOOKUP(DATOS!$I19527,CONFIG_ASIGNATURAS!$B$2:$J$61,9,FALSE()),""))</f>
      </c>
    </row>
    <row r="19528">
      <c r="E19528">
        <f>IF(DATOS!$I19528="","",IFERROR(VLOOKUP(DATOS!$I19528,CONFIG_ASIGNATURAS!$B$2:$J$61,9,FALSE()),""))</f>
      </c>
    </row>
    <row r="19529">
      <c r="E19529">
        <f>IF(DATOS!$I19529="","",IFERROR(VLOOKUP(DATOS!$I19529,CONFIG_ASIGNATURAS!$B$2:$J$61,9,FALSE()),""))</f>
      </c>
    </row>
    <row r="19530">
      <c r="E19530">
        <f>IF(DATOS!$I19530="","",IFERROR(VLOOKUP(DATOS!$I19530,CONFIG_ASIGNATURAS!$B$2:$J$61,9,FALSE()),""))</f>
      </c>
    </row>
    <row r="19531">
      <c r="E19531">
        <f>IF(DATOS!$I19531="","",IFERROR(VLOOKUP(DATOS!$I19531,CONFIG_ASIGNATURAS!$B$2:$J$61,9,FALSE()),""))</f>
      </c>
    </row>
    <row r="19532">
      <c r="E19532">
        <f>IF(DATOS!$I19532="","",IFERROR(VLOOKUP(DATOS!$I19532,CONFIG_ASIGNATURAS!$B$2:$J$61,9,FALSE()),""))</f>
      </c>
    </row>
    <row r="19533">
      <c r="E19533">
        <f>IF(DATOS!$I19533="","",IFERROR(VLOOKUP(DATOS!$I19533,CONFIG_ASIGNATURAS!$B$2:$J$61,9,FALSE()),""))</f>
      </c>
    </row>
    <row r="19534">
      <c r="E19534">
        <f>IF(DATOS!$I19534="","",IFERROR(VLOOKUP(DATOS!$I19534,CONFIG_ASIGNATURAS!$B$2:$J$61,9,FALSE()),""))</f>
      </c>
    </row>
    <row r="19535">
      <c r="E19535">
        <f>IF(DATOS!$I19535="","",IFERROR(VLOOKUP(DATOS!$I19535,CONFIG_ASIGNATURAS!$B$2:$J$61,9,FALSE()),""))</f>
      </c>
    </row>
    <row r="19536">
      <c r="E19536">
        <f>IF(DATOS!$I19536="","",IFERROR(VLOOKUP(DATOS!$I19536,CONFIG_ASIGNATURAS!$B$2:$J$61,9,FALSE()),""))</f>
      </c>
    </row>
    <row r="19537">
      <c r="E19537">
        <f>IF(DATOS!$I19537="","",IFERROR(VLOOKUP(DATOS!$I19537,CONFIG_ASIGNATURAS!$B$2:$J$61,9,FALSE()),""))</f>
      </c>
    </row>
    <row r="19538">
      <c r="E19538">
        <f>IF(DATOS!$I19538="","",IFERROR(VLOOKUP(DATOS!$I19538,CONFIG_ASIGNATURAS!$B$2:$J$61,9,FALSE()),""))</f>
      </c>
    </row>
    <row r="19539">
      <c r="E19539">
        <f>IF(DATOS!$I19539="","",IFERROR(VLOOKUP(DATOS!$I19539,CONFIG_ASIGNATURAS!$B$2:$J$61,9,FALSE()),""))</f>
      </c>
    </row>
    <row r="19540">
      <c r="E19540">
        <f>IF(DATOS!$I19540="","",IFERROR(VLOOKUP(DATOS!$I19540,CONFIG_ASIGNATURAS!$B$2:$J$61,9,FALSE()),""))</f>
      </c>
    </row>
    <row r="19541">
      <c r="E19541">
        <f>IF(DATOS!$I19541="","",IFERROR(VLOOKUP(DATOS!$I19541,CONFIG_ASIGNATURAS!$B$2:$J$61,9,FALSE()),""))</f>
      </c>
    </row>
    <row r="19542">
      <c r="E19542">
        <f>IF(DATOS!$I19542="","",IFERROR(VLOOKUP(DATOS!$I19542,CONFIG_ASIGNATURAS!$B$2:$J$61,9,FALSE()),""))</f>
      </c>
    </row>
    <row r="19543">
      <c r="E19543">
        <f>IF(DATOS!$I19543="","",IFERROR(VLOOKUP(DATOS!$I19543,CONFIG_ASIGNATURAS!$B$2:$J$61,9,FALSE()),""))</f>
      </c>
    </row>
    <row r="19544">
      <c r="E19544">
        <f>IF(DATOS!$I19544="","",IFERROR(VLOOKUP(DATOS!$I19544,CONFIG_ASIGNATURAS!$B$2:$J$61,9,FALSE()),""))</f>
      </c>
    </row>
    <row r="19545">
      <c r="E19545">
        <f>IF(DATOS!$I19545="","",IFERROR(VLOOKUP(DATOS!$I19545,CONFIG_ASIGNATURAS!$B$2:$J$61,9,FALSE()),""))</f>
      </c>
    </row>
    <row r="19546">
      <c r="E19546">
        <f>IF(DATOS!$I19546="","",IFERROR(VLOOKUP(DATOS!$I19546,CONFIG_ASIGNATURAS!$B$2:$J$61,9,FALSE()),""))</f>
      </c>
    </row>
    <row r="19547">
      <c r="E19547">
        <f>IF(DATOS!$I19547="","",IFERROR(VLOOKUP(DATOS!$I19547,CONFIG_ASIGNATURAS!$B$2:$J$61,9,FALSE()),""))</f>
      </c>
    </row>
    <row r="19548">
      <c r="E19548">
        <f>IF(DATOS!$I19548="","",IFERROR(VLOOKUP(DATOS!$I19548,CONFIG_ASIGNATURAS!$B$2:$J$61,9,FALSE()),""))</f>
      </c>
    </row>
    <row r="19549">
      <c r="E19549">
        <f>IF(DATOS!$I19549="","",IFERROR(VLOOKUP(DATOS!$I19549,CONFIG_ASIGNATURAS!$B$2:$J$61,9,FALSE()),""))</f>
      </c>
    </row>
    <row r="19550">
      <c r="E19550">
        <f>IF(DATOS!$I19550="","",IFERROR(VLOOKUP(DATOS!$I19550,CONFIG_ASIGNATURAS!$B$2:$J$61,9,FALSE()),""))</f>
      </c>
    </row>
    <row r="19551">
      <c r="E19551">
        <f>IF(DATOS!$I19551="","",IFERROR(VLOOKUP(DATOS!$I19551,CONFIG_ASIGNATURAS!$B$2:$J$61,9,FALSE()),""))</f>
      </c>
    </row>
    <row r="19552">
      <c r="E19552">
        <f>IF(DATOS!$I19552="","",IFERROR(VLOOKUP(DATOS!$I19552,CONFIG_ASIGNATURAS!$B$2:$J$61,9,FALSE()),""))</f>
      </c>
    </row>
    <row r="19553">
      <c r="E19553">
        <f>IF(DATOS!$I19553="","",IFERROR(VLOOKUP(DATOS!$I19553,CONFIG_ASIGNATURAS!$B$2:$J$61,9,FALSE()),""))</f>
      </c>
    </row>
    <row r="19554">
      <c r="E19554">
        <f>IF(DATOS!$I19554="","",IFERROR(VLOOKUP(DATOS!$I19554,CONFIG_ASIGNATURAS!$B$2:$J$61,9,FALSE()),""))</f>
      </c>
    </row>
    <row r="19555">
      <c r="E19555">
        <f>IF(DATOS!$I19555="","",IFERROR(VLOOKUP(DATOS!$I19555,CONFIG_ASIGNATURAS!$B$2:$J$61,9,FALSE()),""))</f>
      </c>
    </row>
    <row r="19556">
      <c r="E19556">
        <f>IF(DATOS!$I19556="","",IFERROR(VLOOKUP(DATOS!$I19556,CONFIG_ASIGNATURAS!$B$2:$J$61,9,FALSE()),""))</f>
      </c>
    </row>
    <row r="19557">
      <c r="E19557">
        <f>IF(DATOS!$I19557="","",IFERROR(VLOOKUP(DATOS!$I19557,CONFIG_ASIGNATURAS!$B$2:$J$61,9,FALSE()),""))</f>
      </c>
    </row>
    <row r="19558">
      <c r="E19558">
        <f>IF(DATOS!$I19558="","",IFERROR(VLOOKUP(DATOS!$I19558,CONFIG_ASIGNATURAS!$B$2:$J$61,9,FALSE()),""))</f>
      </c>
    </row>
    <row r="19559">
      <c r="E19559">
        <f>IF(DATOS!$I19559="","",IFERROR(VLOOKUP(DATOS!$I19559,CONFIG_ASIGNATURAS!$B$2:$J$61,9,FALSE()),""))</f>
      </c>
    </row>
    <row r="19560">
      <c r="E19560">
        <f>IF(DATOS!$I19560="","",IFERROR(VLOOKUP(DATOS!$I19560,CONFIG_ASIGNATURAS!$B$2:$J$61,9,FALSE()),""))</f>
      </c>
    </row>
    <row r="19561">
      <c r="E19561">
        <f>IF(DATOS!$I19561="","",IFERROR(VLOOKUP(DATOS!$I19561,CONFIG_ASIGNATURAS!$B$2:$J$61,9,FALSE()),""))</f>
      </c>
    </row>
    <row r="19562">
      <c r="E19562">
        <f>IF(DATOS!$I19562="","",IFERROR(VLOOKUP(DATOS!$I19562,CONFIG_ASIGNATURAS!$B$2:$J$61,9,FALSE()),""))</f>
      </c>
    </row>
    <row r="19563">
      <c r="E19563">
        <f>IF(DATOS!$I19563="","",IFERROR(VLOOKUP(DATOS!$I19563,CONFIG_ASIGNATURAS!$B$2:$J$61,9,FALSE()),""))</f>
      </c>
    </row>
    <row r="19564">
      <c r="E19564">
        <f>IF(DATOS!$I19564="","",IFERROR(VLOOKUP(DATOS!$I19564,CONFIG_ASIGNATURAS!$B$2:$J$61,9,FALSE()),""))</f>
      </c>
    </row>
    <row r="19565">
      <c r="E19565">
        <f>IF(DATOS!$I19565="","",IFERROR(VLOOKUP(DATOS!$I19565,CONFIG_ASIGNATURAS!$B$2:$J$61,9,FALSE()),""))</f>
      </c>
    </row>
    <row r="19566">
      <c r="E19566">
        <f>IF(DATOS!$I19566="","",IFERROR(VLOOKUP(DATOS!$I19566,CONFIG_ASIGNATURAS!$B$2:$J$61,9,FALSE()),""))</f>
      </c>
    </row>
    <row r="19567">
      <c r="E19567">
        <f>IF(DATOS!$I19567="","",IFERROR(VLOOKUP(DATOS!$I19567,CONFIG_ASIGNATURAS!$B$2:$J$61,9,FALSE()),""))</f>
      </c>
    </row>
    <row r="19568">
      <c r="E19568">
        <f>IF(DATOS!$I19568="","",IFERROR(VLOOKUP(DATOS!$I19568,CONFIG_ASIGNATURAS!$B$2:$J$61,9,FALSE()),""))</f>
      </c>
    </row>
    <row r="19569">
      <c r="E19569">
        <f>IF(DATOS!$I19569="","",IFERROR(VLOOKUP(DATOS!$I19569,CONFIG_ASIGNATURAS!$B$2:$J$61,9,FALSE()),""))</f>
      </c>
    </row>
    <row r="19570">
      <c r="E19570">
        <f>IF(DATOS!$I19570="","",IFERROR(VLOOKUP(DATOS!$I19570,CONFIG_ASIGNATURAS!$B$2:$J$61,9,FALSE()),""))</f>
      </c>
    </row>
    <row r="19571">
      <c r="E19571">
        <f>IF(DATOS!$I19571="","",IFERROR(VLOOKUP(DATOS!$I19571,CONFIG_ASIGNATURAS!$B$2:$J$61,9,FALSE()),""))</f>
      </c>
    </row>
    <row r="19572">
      <c r="E19572">
        <f>IF(DATOS!$I19572="","",IFERROR(VLOOKUP(DATOS!$I19572,CONFIG_ASIGNATURAS!$B$2:$J$61,9,FALSE()),""))</f>
      </c>
    </row>
    <row r="19573">
      <c r="E19573">
        <f>IF(DATOS!$I19573="","",IFERROR(VLOOKUP(DATOS!$I19573,CONFIG_ASIGNATURAS!$B$2:$J$61,9,FALSE()),""))</f>
      </c>
    </row>
    <row r="19574">
      <c r="E19574">
        <f>IF(DATOS!$I19574="","",IFERROR(VLOOKUP(DATOS!$I19574,CONFIG_ASIGNATURAS!$B$2:$J$61,9,FALSE()),""))</f>
      </c>
    </row>
    <row r="19575">
      <c r="E19575">
        <f>IF(DATOS!$I19575="","",IFERROR(VLOOKUP(DATOS!$I19575,CONFIG_ASIGNATURAS!$B$2:$J$61,9,FALSE()),""))</f>
      </c>
    </row>
    <row r="19576">
      <c r="E19576">
        <f>IF(DATOS!$I19576="","",IFERROR(VLOOKUP(DATOS!$I19576,CONFIG_ASIGNATURAS!$B$2:$J$61,9,FALSE()),""))</f>
      </c>
    </row>
    <row r="19577">
      <c r="E19577">
        <f>IF(DATOS!$I19577="","",IFERROR(VLOOKUP(DATOS!$I19577,CONFIG_ASIGNATURAS!$B$2:$J$61,9,FALSE()),""))</f>
      </c>
    </row>
    <row r="19578">
      <c r="E19578">
        <f>IF(DATOS!$I19578="","",IFERROR(VLOOKUP(DATOS!$I19578,CONFIG_ASIGNATURAS!$B$2:$J$61,9,FALSE()),""))</f>
      </c>
    </row>
    <row r="19579">
      <c r="E19579">
        <f>IF(DATOS!$I19579="","",IFERROR(VLOOKUP(DATOS!$I19579,CONFIG_ASIGNATURAS!$B$2:$J$61,9,FALSE()),""))</f>
      </c>
    </row>
    <row r="19580">
      <c r="E19580">
        <f>IF(DATOS!$I19580="","",IFERROR(VLOOKUP(DATOS!$I19580,CONFIG_ASIGNATURAS!$B$2:$J$61,9,FALSE()),""))</f>
      </c>
    </row>
    <row r="19581">
      <c r="E19581">
        <f>IF(DATOS!$I19581="","",IFERROR(VLOOKUP(DATOS!$I19581,CONFIG_ASIGNATURAS!$B$2:$J$61,9,FALSE()),""))</f>
      </c>
    </row>
    <row r="19582">
      <c r="E19582">
        <f>IF(DATOS!$I19582="","",IFERROR(VLOOKUP(DATOS!$I19582,CONFIG_ASIGNATURAS!$B$2:$J$61,9,FALSE()),""))</f>
      </c>
    </row>
    <row r="19583">
      <c r="E19583">
        <f>IF(DATOS!$I19583="","",IFERROR(VLOOKUP(DATOS!$I19583,CONFIG_ASIGNATURAS!$B$2:$J$61,9,FALSE()),""))</f>
      </c>
    </row>
    <row r="19584">
      <c r="E19584">
        <f>IF(DATOS!$I19584="","",IFERROR(VLOOKUP(DATOS!$I19584,CONFIG_ASIGNATURAS!$B$2:$J$61,9,FALSE()),""))</f>
      </c>
    </row>
    <row r="19585">
      <c r="E19585">
        <f>IF(DATOS!$I19585="","",IFERROR(VLOOKUP(DATOS!$I19585,CONFIG_ASIGNATURAS!$B$2:$J$61,9,FALSE()),""))</f>
      </c>
    </row>
    <row r="19586">
      <c r="E19586">
        <f>IF(DATOS!$I19586="","",IFERROR(VLOOKUP(DATOS!$I19586,CONFIG_ASIGNATURAS!$B$2:$J$61,9,FALSE()),""))</f>
      </c>
    </row>
    <row r="19587">
      <c r="E19587">
        <f>IF(DATOS!$I19587="","",IFERROR(VLOOKUP(DATOS!$I19587,CONFIG_ASIGNATURAS!$B$2:$J$61,9,FALSE()),""))</f>
      </c>
    </row>
    <row r="19588">
      <c r="E19588">
        <f>IF(DATOS!$I19588="","",IFERROR(VLOOKUP(DATOS!$I19588,CONFIG_ASIGNATURAS!$B$2:$J$61,9,FALSE()),""))</f>
      </c>
    </row>
    <row r="19589">
      <c r="E19589">
        <f>IF(DATOS!$I19589="","",IFERROR(VLOOKUP(DATOS!$I19589,CONFIG_ASIGNATURAS!$B$2:$J$61,9,FALSE()),""))</f>
      </c>
    </row>
    <row r="19590">
      <c r="E19590">
        <f>IF(DATOS!$I19590="","",IFERROR(VLOOKUP(DATOS!$I19590,CONFIG_ASIGNATURAS!$B$2:$J$61,9,FALSE()),""))</f>
      </c>
    </row>
    <row r="19591">
      <c r="E19591">
        <f>IF(DATOS!$I19591="","",IFERROR(VLOOKUP(DATOS!$I19591,CONFIG_ASIGNATURAS!$B$2:$J$61,9,FALSE()),""))</f>
      </c>
    </row>
    <row r="19592">
      <c r="E19592">
        <f>IF(DATOS!$I19592="","",IFERROR(VLOOKUP(DATOS!$I19592,CONFIG_ASIGNATURAS!$B$2:$J$61,9,FALSE()),""))</f>
      </c>
    </row>
    <row r="19593">
      <c r="E19593">
        <f>IF(DATOS!$I19593="","",IFERROR(VLOOKUP(DATOS!$I19593,CONFIG_ASIGNATURAS!$B$2:$J$61,9,FALSE()),""))</f>
      </c>
    </row>
    <row r="19594">
      <c r="E19594">
        <f>IF(DATOS!$I19594="","",IFERROR(VLOOKUP(DATOS!$I19594,CONFIG_ASIGNATURAS!$B$2:$J$61,9,FALSE()),""))</f>
      </c>
    </row>
    <row r="19595">
      <c r="E19595">
        <f>IF(DATOS!$I19595="","",IFERROR(VLOOKUP(DATOS!$I19595,CONFIG_ASIGNATURAS!$B$2:$J$61,9,FALSE()),""))</f>
      </c>
    </row>
    <row r="19596">
      <c r="E19596">
        <f>IF(DATOS!$I19596="","",IFERROR(VLOOKUP(DATOS!$I19596,CONFIG_ASIGNATURAS!$B$2:$J$61,9,FALSE()),""))</f>
      </c>
    </row>
    <row r="19597">
      <c r="E19597">
        <f>IF(DATOS!$I19597="","",IFERROR(VLOOKUP(DATOS!$I19597,CONFIG_ASIGNATURAS!$B$2:$J$61,9,FALSE()),""))</f>
      </c>
    </row>
    <row r="19598">
      <c r="E19598">
        <f>IF(DATOS!$I19598="","",IFERROR(VLOOKUP(DATOS!$I19598,CONFIG_ASIGNATURAS!$B$2:$J$61,9,FALSE()),""))</f>
      </c>
    </row>
    <row r="19599">
      <c r="E19599">
        <f>IF(DATOS!$I19599="","",IFERROR(VLOOKUP(DATOS!$I19599,CONFIG_ASIGNATURAS!$B$2:$J$61,9,FALSE()),""))</f>
      </c>
    </row>
    <row r="19600">
      <c r="E19600">
        <f>IF(DATOS!$I19600="","",IFERROR(VLOOKUP(DATOS!$I19600,CONFIG_ASIGNATURAS!$B$2:$J$61,9,FALSE()),""))</f>
      </c>
    </row>
    <row r="19601">
      <c r="E19601">
        <f>IF(DATOS!$I19601="","",IFERROR(VLOOKUP(DATOS!$I19601,CONFIG_ASIGNATURAS!$B$2:$J$61,9,FALSE()),""))</f>
      </c>
    </row>
    <row r="19602">
      <c r="E19602">
        <f>IF(DATOS!$I19602="","",IFERROR(VLOOKUP(DATOS!$I19602,CONFIG_ASIGNATURAS!$B$2:$J$61,9,FALSE()),""))</f>
      </c>
    </row>
    <row r="19603">
      <c r="E19603">
        <f>IF(DATOS!$I19603="","",IFERROR(VLOOKUP(DATOS!$I19603,CONFIG_ASIGNATURAS!$B$2:$J$61,9,FALSE()),""))</f>
      </c>
    </row>
    <row r="19604">
      <c r="E19604">
        <f>IF(DATOS!$I19604="","",IFERROR(VLOOKUP(DATOS!$I19604,CONFIG_ASIGNATURAS!$B$2:$J$61,9,FALSE()),""))</f>
      </c>
    </row>
    <row r="19605">
      <c r="E19605">
        <f>IF(DATOS!$I19605="","",IFERROR(VLOOKUP(DATOS!$I19605,CONFIG_ASIGNATURAS!$B$2:$J$61,9,FALSE()),""))</f>
      </c>
    </row>
    <row r="19606">
      <c r="E19606">
        <f>IF(DATOS!$I19606="","",IFERROR(VLOOKUP(DATOS!$I19606,CONFIG_ASIGNATURAS!$B$2:$J$61,9,FALSE()),""))</f>
      </c>
    </row>
    <row r="19607">
      <c r="E19607">
        <f>IF(DATOS!$I19607="","",IFERROR(VLOOKUP(DATOS!$I19607,CONFIG_ASIGNATURAS!$B$2:$J$61,9,FALSE()),""))</f>
      </c>
    </row>
    <row r="19608">
      <c r="E19608">
        <f>IF(DATOS!$I19608="","",IFERROR(VLOOKUP(DATOS!$I19608,CONFIG_ASIGNATURAS!$B$2:$J$61,9,FALSE()),""))</f>
      </c>
    </row>
    <row r="19609">
      <c r="E19609">
        <f>IF(DATOS!$I19609="","",IFERROR(VLOOKUP(DATOS!$I19609,CONFIG_ASIGNATURAS!$B$2:$J$61,9,FALSE()),""))</f>
      </c>
    </row>
    <row r="19610">
      <c r="E19610">
        <f>IF(DATOS!$I19610="","",IFERROR(VLOOKUP(DATOS!$I19610,CONFIG_ASIGNATURAS!$B$2:$J$61,9,FALSE()),""))</f>
      </c>
    </row>
    <row r="19611">
      <c r="E19611">
        <f>IF(DATOS!$I19611="","",IFERROR(VLOOKUP(DATOS!$I19611,CONFIG_ASIGNATURAS!$B$2:$J$61,9,FALSE()),""))</f>
      </c>
    </row>
    <row r="19612">
      <c r="E19612">
        <f>IF(DATOS!$I19612="","",IFERROR(VLOOKUP(DATOS!$I19612,CONFIG_ASIGNATURAS!$B$2:$J$61,9,FALSE()),""))</f>
      </c>
    </row>
    <row r="19613">
      <c r="E19613">
        <f>IF(DATOS!$I19613="","",IFERROR(VLOOKUP(DATOS!$I19613,CONFIG_ASIGNATURAS!$B$2:$J$61,9,FALSE()),""))</f>
      </c>
    </row>
    <row r="19614">
      <c r="E19614">
        <f>IF(DATOS!$I19614="","",IFERROR(VLOOKUP(DATOS!$I19614,CONFIG_ASIGNATURAS!$B$2:$J$61,9,FALSE()),""))</f>
      </c>
    </row>
    <row r="19615">
      <c r="E19615">
        <f>IF(DATOS!$I19615="","",IFERROR(VLOOKUP(DATOS!$I19615,CONFIG_ASIGNATURAS!$B$2:$J$61,9,FALSE()),""))</f>
      </c>
    </row>
    <row r="19616">
      <c r="E19616">
        <f>IF(DATOS!$I19616="","",IFERROR(VLOOKUP(DATOS!$I19616,CONFIG_ASIGNATURAS!$B$2:$J$61,9,FALSE()),""))</f>
      </c>
    </row>
    <row r="19617">
      <c r="E19617">
        <f>IF(DATOS!$I19617="","",IFERROR(VLOOKUP(DATOS!$I19617,CONFIG_ASIGNATURAS!$B$2:$J$61,9,FALSE()),""))</f>
      </c>
    </row>
    <row r="19618">
      <c r="E19618">
        <f>IF(DATOS!$I19618="","",IFERROR(VLOOKUP(DATOS!$I19618,CONFIG_ASIGNATURAS!$B$2:$J$61,9,FALSE()),""))</f>
      </c>
    </row>
    <row r="19619">
      <c r="E19619">
        <f>IF(DATOS!$I19619="","",IFERROR(VLOOKUP(DATOS!$I19619,CONFIG_ASIGNATURAS!$B$2:$J$61,9,FALSE()),""))</f>
      </c>
    </row>
    <row r="19620">
      <c r="E19620">
        <f>IF(DATOS!$I19620="","",IFERROR(VLOOKUP(DATOS!$I19620,CONFIG_ASIGNATURAS!$B$2:$J$61,9,FALSE()),""))</f>
      </c>
    </row>
    <row r="19621">
      <c r="E19621">
        <f>IF(DATOS!$I19621="","",IFERROR(VLOOKUP(DATOS!$I19621,CONFIG_ASIGNATURAS!$B$2:$J$61,9,FALSE()),""))</f>
      </c>
    </row>
    <row r="19622">
      <c r="E19622">
        <f>IF(DATOS!$I19622="","",IFERROR(VLOOKUP(DATOS!$I19622,CONFIG_ASIGNATURAS!$B$2:$J$61,9,FALSE()),""))</f>
      </c>
    </row>
    <row r="19623">
      <c r="E19623">
        <f>IF(DATOS!$I19623="","",IFERROR(VLOOKUP(DATOS!$I19623,CONFIG_ASIGNATURAS!$B$2:$J$61,9,FALSE()),""))</f>
      </c>
    </row>
    <row r="19624">
      <c r="E19624">
        <f>IF(DATOS!$I19624="","",IFERROR(VLOOKUP(DATOS!$I19624,CONFIG_ASIGNATURAS!$B$2:$J$61,9,FALSE()),""))</f>
      </c>
    </row>
    <row r="19625">
      <c r="E19625">
        <f>IF(DATOS!$I19625="","",IFERROR(VLOOKUP(DATOS!$I19625,CONFIG_ASIGNATURAS!$B$2:$J$61,9,FALSE()),""))</f>
      </c>
    </row>
    <row r="19626">
      <c r="E19626">
        <f>IF(DATOS!$I19626="","",IFERROR(VLOOKUP(DATOS!$I19626,CONFIG_ASIGNATURAS!$B$2:$J$61,9,FALSE()),""))</f>
      </c>
    </row>
    <row r="19627">
      <c r="E19627">
        <f>IF(DATOS!$I19627="","",IFERROR(VLOOKUP(DATOS!$I19627,CONFIG_ASIGNATURAS!$B$2:$J$61,9,FALSE()),""))</f>
      </c>
    </row>
    <row r="19628">
      <c r="E19628">
        <f>IF(DATOS!$I19628="","",IFERROR(VLOOKUP(DATOS!$I19628,CONFIG_ASIGNATURAS!$B$2:$J$61,9,FALSE()),""))</f>
      </c>
    </row>
    <row r="19629">
      <c r="E19629">
        <f>IF(DATOS!$I19629="","",IFERROR(VLOOKUP(DATOS!$I19629,CONFIG_ASIGNATURAS!$B$2:$J$61,9,FALSE()),""))</f>
      </c>
    </row>
    <row r="19630">
      <c r="E19630">
        <f>IF(DATOS!$I19630="","",IFERROR(VLOOKUP(DATOS!$I19630,CONFIG_ASIGNATURAS!$B$2:$J$61,9,FALSE()),""))</f>
      </c>
    </row>
    <row r="19631">
      <c r="E19631">
        <f>IF(DATOS!$I19631="","",IFERROR(VLOOKUP(DATOS!$I19631,CONFIG_ASIGNATURAS!$B$2:$J$61,9,FALSE()),""))</f>
      </c>
    </row>
    <row r="19632">
      <c r="E19632">
        <f>IF(DATOS!$I19632="","",IFERROR(VLOOKUP(DATOS!$I19632,CONFIG_ASIGNATURAS!$B$2:$J$61,9,FALSE()),""))</f>
      </c>
    </row>
    <row r="19633">
      <c r="E19633">
        <f>IF(DATOS!$I19633="","",IFERROR(VLOOKUP(DATOS!$I19633,CONFIG_ASIGNATURAS!$B$2:$J$61,9,FALSE()),""))</f>
      </c>
    </row>
    <row r="19634">
      <c r="E19634">
        <f>IF(DATOS!$I19634="","",IFERROR(VLOOKUP(DATOS!$I19634,CONFIG_ASIGNATURAS!$B$2:$J$61,9,FALSE()),""))</f>
      </c>
    </row>
    <row r="19635">
      <c r="E19635">
        <f>IF(DATOS!$I19635="","",IFERROR(VLOOKUP(DATOS!$I19635,CONFIG_ASIGNATURAS!$B$2:$J$61,9,FALSE()),""))</f>
      </c>
    </row>
    <row r="19636">
      <c r="E19636">
        <f>IF(DATOS!$I19636="","",IFERROR(VLOOKUP(DATOS!$I19636,CONFIG_ASIGNATURAS!$B$2:$J$61,9,FALSE()),""))</f>
      </c>
    </row>
    <row r="19637">
      <c r="E19637">
        <f>IF(DATOS!$I19637="","",IFERROR(VLOOKUP(DATOS!$I19637,CONFIG_ASIGNATURAS!$B$2:$J$61,9,FALSE()),""))</f>
      </c>
    </row>
    <row r="19638">
      <c r="E19638">
        <f>IF(DATOS!$I19638="","",IFERROR(VLOOKUP(DATOS!$I19638,CONFIG_ASIGNATURAS!$B$2:$J$61,9,FALSE()),""))</f>
      </c>
    </row>
    <row r="19639">
      <c r="E19639">
        <f>IF(DATOS!$I19639="","",IFERROR(VLOOKUP(DATOS!$I19639,CONFIG_ASIGNATURAS!$B$2:$J$61,9,FALSE()),""))</f>
      </c>
    </row>
    <row r="19640">
      <c r="E19640">
        <f>IF(DATOS!$I19640="","",IFERROR(VLOOKUP(DATOS!$I19640,CONFIG_ASIGNATURAS!$B$2:$J$61,9,FALSE()),""))</f>
      </c>
    </row>
    <row r="19641">
      <c r="E19641">
        <f>IF(DATOS!$I19641="","",IFERROR(VLOOKUP(DATOS!$I19641,CONFIG_ASIGNATURAS!$B$2:$J$61,9,FALSE()),""))</f>
      </c>
    </row>
    <row r="19642">
      <c r="E19642">
        <f>IF(DATOS!$I19642="","",IFERROR(VLOOKUP(DATOS!$I19642,CONFIG_ASIGNATURAS!$B$2:$J$61,9,FALSE()),""))</f>
      </c>
    </row>
    <row r="19643">
      <c r="E19643">
        <f>IF(DATOS!$I19643="","",IFERROR(VLOOKUP(DATOS!$I19643,CONFIG_ASIGNATURAS!$B$2:$J$61,9,FALSE()),""))</f>
      </c>
    </row>
    <row r="19644">
      <c r="E19644">
        <f>IF(DATOS!$I19644="","",IFERROR(VLOOKUP(DATOS!$I19644,CONFIG_ASIGNATURAS!$B$2:$J$61,9,FALSE()),""))</f>
      </c>
    </row>
    <row r="19645">
      <c r="E19645">
        <f>IF(DATOS!$I19645="","",IFERROR(VLOOKUP(DATOS!$I19645,CONFIG_ASIGNATURAS!$B$2:$J$61,9,FALSE()),""))</f>
      </c>
    </row>
    <row r="19646">
      <c r="E19646">
        <f>IF(DATOS!$I19646="","",IFERROR(VLOOKUP(DATOS!$I19646,CONFIG_ASIGNATURAS!$B$2:$J$61,9,FALSE()),""))</f>
      </c>
    </row>
    <row r="19647">
      <c r="E19647">
        <f>IF(DATOS!$I19647="","",IFERROR(VLOOKUP(DATOS!$I19647,CONFIG_ASIGNATURAS!$B$2:$J$61,9,FALSE()),""))</f>
      </c>
    </row>
    <row r="19648">
      <c r="E19648">
        <f>IF(DATOS!$I19648="","",IFERROR(VLOOKUP(DATOS!$I19648,CONFIG_ASIGNATURAS!$B$2:$J$61,9,FALSE()),""))</f>
      </c>
    </row>
    <row r="19649">
      <c r="E19649">
        <f>IF(DATOS!$I19649="","",IFERROR(VLOOKUP(DATOS!$I19649,CONFIG_ASIGNATURAS!$B$2:$J$61,9,FALSE()),""))</f>
      </c>
    </row>
    <row r="19650">
      <c r="E19650">
        <f>IF(DATOS!$I19650="","",IFERROR(VLOOKUP(DATOS!$I19650,CONFIG_ASIGNATURAS!$B$2:$J$61,9,FALSE()),""))</f>
      </c>
    </row>
    <row r="19651">
      <c r="E19651">
        <f>IF(DATOS!$I19651="","",IFERROR(VLOOKUP(DATOS!$I19651,CONFIG_ASIGNATURAS!$B$2:$J$61,9,FALSE()),""))</f>
      </c>
    </row>
    <row r="19652">
      <c r="E19652">
        <f>IF(DATOS!$I19652="","",IFERROR(VLOOKUP(DATOS!$I19652,CONFIG_ASIGNATURAS!$B$2:$J$61,9,FALSE()),""))</f>
      </c>
    </row>
    <row r="19653">
      <c r="E19653">
        <f>IF(DATOS!$I19653="","",IFERROR(VLOOKUP(DATOS!$I19653,CONFIG_ASIGNATURAS!$B$2:$J$61,9,FALSE()),""))</f>
      </c>
    </row>
    <row r="19654">
      <c r="E19654">
        <f>IF(DATOS!$I19654="","",IFERROR(VLOOKUP(DATOS!$I19654,CONFIG_ASIGNATURAS!$B$2:$J$61,9,FALSE()),""))</f>
      </c>
    </row>
    <row r="19655">
      <c r="E19655">
        <f>IF(DATOS!$I19655="","",IFERROR(VLOOKUP(DATOS!$I19655,CONFIG_ASIGNATURAS!$B$2:$J$61,9,FALSE()),""))</f>
      </c>
    </row>
    <row r="19656">
      <c r="E19656">
        <f>IF(DATOS!$I19656="","",IFERROR(VLOOKUP(DATOS!$I19656,CONFIG_ASIGNATURAS!$B$2:$J$61,9,FALSE()),""))</f>
      </c>
    </row>
    <row r="19657">
      <c r="E19657">
        <f>IF(DATOS!$I19657="","",IFERROR(VLOOKUP(DATOS!$I19657,CONFIG_ASIGNATURAS!$B$2:$J$61,9,FALSE()),""))</f>
      </c>
    </row>
    <row r="19658">
      <c r="E19658">
        <f>IF(DATOS!$I19658="","",IFERROR(VLOOKUP(DATOS!$I19658,CONFIG_ASIGNATURAS!$B$2:$J$61,9,FALSE()),""))</f>
      </c>
    </row>
    <row r="19659">
      <c r="E19659">
        <f>IF(DATOS!$I19659="","",IFERROR(VLOOKUP(DATOS!$I19659,CONFIG_ASIGNATURAS!$B$2:$J$61,9,FALSE()),""))</f>
      </c>
    </row>
    <row r="19660">
      <c r="E19660">
        <f>IF(DATOS!$I19660="","",IFERROR(VLOOKUP(DATOS!$I19660,CONFIG_ASIGNATURAS!$B$2:$J$61,9,FALSE()),""))</f>
      </c>
    </row>
    <row r="19661">
      <c r="E19661">
        <f>IF(DATOS!$I19661="","",IFERROR(VLOOKUP(DATOS!$I19661,CONFIG_ASIGNATURAS!$B$2:$J$61,9,FALSE()),""))</f>
      </c>
    </row>
    <row r="19662">
      <c r="E19662">
        <f>IF(DATOS!$I19662="","",IFERROR(VLOOKUP(DATOS!$I19662,CONFIG_ASIGNATURAS!$B$2:$J$61,9,FALSE()),""))</f>
      </c>
    </row>
    <row r="19663">
      <c r="E19663">
        <f>IF(DATOS!$I19663="","",IFERROR(VLOOKUP(DATOS!$I19663,CONFIG_ASIGNATURAS!$B$2:$J$61,9,FALSE()),""))</f>
      </c>
    </row>
    <row r="19664">
      <c r="E19664">
        <f>IF(DATOS!$I19664="","",IFERROR(VLOOKUP(DATOS!$I19664,CONFIG_ASIGNATURAS!$B$2:$J$61,9,FALSE()),""))</f>
      </c>
    </row>
    <row r="19665">
      <c r="E19665">
        <f>IF(DATOS!$I19665="","",IFERROR(VLOOKUP(DATOS!$I19665,CONFIG_ASIGNATURAS!$B$2:$J$61,9,FALSE()),""))</f>
      </c>
    </row>
    <row r="19666">
      <c r="E19666">
        <f>IF(DATOS!$I19666="","",IFERROR(VLOOKUP(DATOS!$I19666,CONFIG_ASIGNATURAS!$B$2:$J$61,9,FALSE()),""))</f>
      </c>
    </row>
    <row r="19667">
      <c r="E19667">
        <f>IF(DATOS!$I19667="","",IFERROR(VLOOKUP(DATOS!$I19667,CONFIG_ASIGNATURAS!$B$2:$J$61,9,FALSE()),""))</f>
      </c>
    </row>
    <row r="19668">
      <c r="E19668">
        <f>IF(DATOS!$I19668="","",IFERROR(VLOOKUP(DATOS!$I19668,CONFIG_ASIGNATURAS!$B$2:$J$61,9,FALSE()),""))</f>
      </c>
    </row>
    <row r="19669">
      <c r="E19669">
        <f>IF(DATOS!$I19669="","",IFERROR(VLOOKUP(DATOS!$I19669,CONFIG_ASIGNATURAS!$B$2:$J$61,9,FALSE()),""))</f>
      </c>
    </row>
    <row r="19670">
      <c r="E19670">
        <f>IF(DATOS!$I19670="","",IFERROR(VLOOKUP(DATOS!$I19670,CONFIG_ASIGNATURAS!$B$2:$J$61,9,FALSE()),""))</f>
      </c>
    </row>
    <row r="19671">
      <c r="E19671">
        <f>IF(DATOS!$I19671="","",IFERROR(VLOOKUP(DATOS!$I19671,CONFIG_ASIGNATURAS!$B$2:$J$61,9,FALSE()),""))</f>
      </c>
    </row>
    <row r="19672">
      <c r="E19672">
        <f>IF(DATOS!$I19672="","",IFERROR(VLOOKUP(DATOS!$I19672,CONFIG_ASIGNATURAS!$B$2:$J$61,9,FALSE()),""))</f>
      </c>
    </row>
    <row r="19673">
      <c r="E19673">
        <f>IF(DATOS!$I19673="","",IFERROR(VLOOKUP(DATOS!$I19673,CONFIG_ASIGNATURAS!$B$2:$J$61,9,FALSE()),""))</f>
      </c>
    </row>
    <row r="19674">
      <c r="E19674">
        <f>IF(DATOS!$I19674="","",IFERROR(VLOOKUP(DATOS!$I19674,CONFIG_ASIGNATURAS!$B$2:$J$61,9,FALSE()),""))</f>
      </c>
    </row>
    <row r="19675">
      <c r="E19675">
        <f>IF(DATOS!$I19675="","",IFERROR(VLOOKUP(DATOS!$I19675,CONFIG_ASIGNATURAS!$B$2:$J$61,9,FALSE()),""))</f>
      </c>
    </row>
    <row r="19676">
      <c r="E19676">
        <f>IF(DATOS!$I19676="","",IFERROR(VLOOKUP(DATOS!$I19676,CONFIG_ASIGNATURAS!$B$2:$J$61,9,FALSE()),""))</f>
      </c>
    </row>
    <row r="19677">
      <c r="E19677">
        <f>IF(DATOS!$I19677="","",IFERROR(VLOOKUP(DATOS!$I19677,CONFIG_ASIGNATURAS!$B$2:$J$61,9,FALSE()),""))</f>
      </c>
    </row>
    <row r="19678">
      <c r="E19678">
        <f>IF(DATOS!$I19678="","",IFERROR(VLOOKUP(DATOS!$I19678,CONFIG_ASIGNATURAS!$B$2:$J$61,9,FALSE()),""))</f>
      </c>
    </row>
    <row r="19679">
      <c r="E19679">
        <f>IF(DATOS!$I19679="","",IFERROR(VLOOKUP(DATOS!$I19679,CONFIG_ASIGNATURAS!$B$2:$J$61,9,FALSE()),""))</f>
      </c>
    </row>
    <row r="19680">
      <c r="E19680">
        <f>IF(DATOS!$I19680="","",IFERROR(VLOOKUP(DATOS!$I19680,CONFIG_ASIGNATURAS!$B$2:$J$61,9,FALSE()),""))</f>
      </c>
    </row>
    <row r="19681">
      <c r="E19681">
        <f>IF(DATOS!$I19681="","",IFERROR(VLOOKUP(DATOS!$I19681,CONFIG_ASIGNATURAS!$B$2:$J$61,9,FALSE()),""))</f>
      </c>
    </row>
    <row r="19682">
      <c r="E19682">
        <f>IF(DATOS!$I19682="","",IFERROR(VLOOKUP(DATOS!$I19682,CONFIG_ASIGNATURAS!$B$2:$J$61,9,FALSE()),""))</f>
      </c>
    </row>
    <row r="19683">
      <c r="E19683">
        <f>IF(DATOS!$I19683="","",IFERROR(VLOOKUP(DATOS!$I19683,CONFIG_ASIGNATURAS!$B$2:$J$61,9,FALSE()),""))</f>
      </c>
    </row>
    <row r="19684">
      <c r="E19684">
        <f>IF(DATOS!$I19684="","",IFERROR(VLOOKUP(DATOS!$I19684,CONFIG_ASIGNATURAS!$B$2:$J$61,9,FALSE()),""))</f>
      </c>
    </row>
    <row r="19685">
      <c r="E19685">
        <f>IF(DATOS!$I19685="","",IFERROR(VLOOKUP(DATOS!$I19685,CONFIG_ASIGNATURAS!$B$2:$J$61,9,FALSE()),""))</f>
      </c>
    </row>
    <row r="19686">
      <c r="E19686">
        <f>IF(DATOS!$I19686="","",IFERROR(VLOOKUP(DATOS!$I19686,CONFIG_ASIGNATURAS!$B$2:$J$61,9,FALSE()),""))</f>
      </c>
    </row>
    <row r="19687">
      <c r="E19687">
        <f>IF(DATOS!$I19687="","",IFERROR(VLOOKUP(DATOS!$I19687,CONFIG_ASIGNATURAS!$B$2:$J$61,9,FALSE()),""))</f>
      </c>
    </row>
    <row r="19688">
      <c r="E19688">
        <f>IF(DATOS!$I19688="","",IFERROR(VLOOKUP(DATOS!$I19688,CONFIG_ASIGNATURAS!$B$2:$J$61,9,FALSE()),""))</f>
      </c>
    </row>
    <row r="19689">
      <c r="E19689">
        <f>IF(DATOS!$I19689="","",IFERROR(VLOOKUP(DATOS!$I19689,CONFIG_ASIGNATURAS!$B$2:$J$61,9,FALSE()),""))</f>
      </c>
    </row>
    <row r="19690">
      <c r="E19690">
        <f>IF(DATOS!$I19690="","",IFERROR(VLOOKUP(DATOS!$I19690,CONFIG_ASIGNATURAS!$B$2:$J$61,9,FALSE()),""))</f>
      </c>
    </row>
    <row r="19691">
      <c r="E19691">
        <f>IF(DATOS!$I19691="","",IFERROR(VLOOKUP(DATOS!$I19691,CONFIG_ASIGNATURAS!$B$2:$J$61,9,FALSE()),""))</f>
      </c>
    </row>
    <row r="19692">
      <c r="E19692">
        <f>IF(DATOS!$I19692="","",IFERROR(VLOOKUP(DATOS!$I19692,CONFIG_ASIGNATURAS!$B$2:$J$61,9,FALSE()),""))</f>
      </c>
    </row>
    <row r="19693">
      <c r="E19693">
        <f>IF(DATOS!$I19693="","",IFERROR(VLOOKUP(DATOS!$I19693,CONFIG_ASIGNATURAS!$B$2:$J$61,9,FALSE()),""))</f>
      </c>
    </row>
    <row r="19694">
      <c r="E19694">
        <f>IF(DATOS!$I19694="","",IFERROR(VLOOKUP(DATOS!$I19694,CONFIG_ASIGNATURAS!$B$2:$J$61,9,FALSE()),""))</f>
      </c>
    </row>
    <row r="19695">
      <c r="E19695">
        <f>IF(DATOS!$I19695="","",IFERROR(VLOOKUP(DATOS!$I19695,CONFIG_ASIGNATURAS!$B$2:$J$61,9,FALSE()),""))</f>
      </c>
    </row>
    <row r="19696">
      <c r="E19696">
        <f>IF(DATOS!$I19696="","",IFERROR(VLOOKUP(DATOS!$I19696,CONFIG_ASIGNATURAS!$B$2:$J$61,9,FALSE()),""))</f>
      </c>
    </row>
    <row r="19697">
      <c r="E19697">
        <f>IF(DATOS!$I19697="","",IFERROR(VLOOKUP(DATOS!$I19697,CONFIG_ASIGNATURAS!$B$2:$J$61,9,FALSE()),""))</f>
      </c>
    </row>
    <row r="19698">
      <c r="E19698">
        <f>IF(DATOS!$I19698="","",IFERROR(VLOOKUP(DATOS!$I19698,CONFIG_ASIGNATURAS!$B$2:$J$61,9,FALSE()),""))</f>
      </c>
    </row>
    <row r="19699">
      <c r="E19699">
        <f>IF(DATOS!$I19699="","",IFERROR(VLOOKUP(DATOS!$I19699,CONFIG_ASIGNATURAS!$B$2:$J$61,9,FALSE()),""))</f>
      </c>
    </row>
    <row r="19700">
      <c r="E19700">
        <f>IF(DATOS!$I19700="","",IFERROR(VLOOKUP(DATOS!$I19700,CONFIG_ASIGNATURAS!$B$2:$J$61,9,FALSE()),""))</f>
      </c>
    </row>
    <row r="19701">
      <c r="E19701">
        <f>IF(DATOS!$I19701="","",IFERROR(VLOOKUP(DATOS!$I19701,CONFIG_ASIGNATURAS!$B$2:$J$61,9,FALSE()),""))</f>
      </c>
    </row>
    <row r="19702">
      <c r="E19702">
        <f>IF(DATOS!$I19702="","",IFERROR(VLOOKUP(DATOS!$I19702,CONFIG_ASIGNATURAS!$B$2:$J$61,9,FALSE()),""))</f>
      </c>
    </row>
    <row r="19703">
      <c r="E19703">
        <f>IF(DATOS!$I19703="","",IFERROR(VLOOKUP(DATOS!$I19703,CONFIG_ASIGNATURAS!$B$2:$J$61,9,FALSE()),""))</f>
      </c>
    </row>
    <row r="19704">
      <c r="E19704">
        <f>IF(DATOS!$I19704="","",IFERROR(VLOOKUP(DATOS!$I19704,CONFIG_ASIGNATURAS!$B$2:$J$61,9,FALSE()),""))</f>
      </c>
    </row>
    <row r="19705">
      <c r="E19705">
        <f>IF(DATOS!$I19705="","",IFERROR(VLOOKUP(DATOS!$I19705,CONFIG_ASIGNATURAS!$B$2:$J$61,9,FALSE()),""))</f>
      </c>
    </row>
    <row r="19706">
      <c r="E19706">
        <f>IF(DATOS!$I19706="","",IFERROR(VLOOKUP(DATOS!$I19706,CONFIG_ASIGNATURAS!$B$2:$J$61,9,FALSE()),""))</f>
      </c>
    </row>
    <row r="19707">
      <c r="E19707">
        <f>IF(DATOS!$I19707="","",IFERROR(VLOOKUP(DATOS!$I19707,CONFIG_ASIGNATURAS!$B$2:$J$61,9,FALSE()),""))</f>
      </c>
    </row>
    <row r="19708">
      <c r="E19708">
        <f>IF(DATOS!$I19708="","",IFERROR(VLOOKUP(DATOS!$I19708,CONFIG_ASIGNATURAS!$B$2:$J$61,9,FALSE()),""))</f>
      </c>
    </row>
    <row r="19709">
      <c r="E19709">
        <f>IF(DATOS!$I19709="","",IFERROR(VLOOKUP(DATOS!$I19709,CONFIG_ASIGNATURAS!$B$2:$J$61,9,FALSE()),""))</f>
      </c>
    </row>
    <row r="19710">
      <c r="E19710">
        <f>IF(DATOS!$I19710="","",IFERROR(VLOOKUP(DATOS!$I19710,CONFIG_ASIGNATURAS!$B$2:$J$61,9,FALSE()),""))</f>
      </c>
    </row>
    <row r="19711">
      <c r="E19711">
        <f>IF(DATOS!$I19711="","",IFERROR(VLOOKUP(DATOS!$I19711,CONFIG_ASIGNATURAS!$B$2:$J$61,9,FALSE()),""))</f>
      </c>
    </row>
    <row r="19712">
      <c r="E19712">
        <f>IF(DATOS!$I19712="","",IFERROR(VLOOKUP(DATOS!$I19712,CONFIG_ASIGNATURAS!$B$2:$J$61,9,FALSE()),""))</f>
      </c>
    </row>
    <row r="19713">
      <c r="E19713">
        <f>IF(DATOS!$I19713="","",IFERROR(VLOOKUP(DATOS!$I19713,CONFIG_ASIGNATURAS!$B$2:$J$61,9,FALSE()),""))</f>
      </c>
    </row>
    <row r="19714">
      <c r="E19714">
        <f>IF(DATOS!$I19714="","",IFERROR(VLOOKUP(DATOS!$I19714,CONFIG_ASIGNATURAS!$B$2:$J$61,9,FALSE()),""))</f>
      </c>
    </row>
    <row r="19715">
      <c r="E19715">
        <f>IF(DATOS!$I19715="","",IFERROR(VLOOKUP(DATOS!$I19715,CONFIG_ASIGNATURAS!$B$2:$J$61,9,FALSE()),""))</f>
      </c>
    </row>
    <row r="19716">
      <c r="E19716">
        <f>IF(DATOS!$I19716="","",IFERROR(VLOOKUP(DATOS!$I19716,CONFIG_ASIGNATURAS!$B$2:$J$61,9,FALSE()),""))</f>
      </c>
    </row>
    <row r="19717">
      <c r="E19717">
        <f>IF(DATOS!$I19717="","",IFERROR(VLOOKUP(DATOS!$I19717,CONFIG_ASIGNATURAS!$B$2:$J$61,9,FALSE()),""))</f>
      </c>
    </row>
    <row r="19718">
      <c r="E19718">
        <f>IF(DATOS!$I19718="","",IFERROR(VLOOKUP(DATOS!$I19718,CONFIG_ASIGNATURAS!$B$2:$J$61,9,FALSE()),""))</f>
      </c>
    </row>
    <row r="19719">
      <c r="E19719">
        <f>IF(DATOS!$I19719="","",IFERROR(VLOOKUP(DATOS!$I19719,CONFIG_ASIGNATURAS!$B$2:$J$61,9,FALSE()),""))</f>
      </c>
    </row>
    <row r="19720">
      <c r="E19720">
        <f>IF(DATOS!$I19720="","",IFERROR(VLOOKUP(DATOS!$I19720,CONFIG_ASIGNATURAS!$B$2:$J$61,9,FALSE()),""))</f>
      </c>
    </row>
    <row r="19721">
      <c r="E19721">
        <f>IF(DATOS!$I19721="","",IFERROR(VLOOKUP(DATOS!$I19721,CONFIG_ASIGNATURAS!$B$2:$J$61,9,FALSE()),""))</f>
      </c>
    </row>
    <row r="19722">
      <c r="E19722">
        <f>IF(DATOS!$I19722="","",IFERROR(VLOOKUP(DATOS!$I19722,CONFIG_ASIGNATURAS!$B$2:$J$61,9,FALSE()),""))</f>
      </c>
    </row>
    <row r="19723">
      <c r="E19723">
        <f>IF(DATOS!$I19723="","",IFERROR(VLOOKUP(DATOS!$I19723,CONFIG_ASIGNATURAS!$B$2:$J$61,9,FALSE()),""))</f>
      </c>
    </row>
    <row r="19724">
      <c r="E19724">
        <f>IF(DATOS!$I19724="","",IFERROR(VLOOKUP(DATOS!$I19724,CONFIG_ASIGNATURAS!$B$2:$J$61,9,FALSE()),""))</f>
      </c>
    </row>
    <row r="19725">
      <c r="E19725">
        <f>IF(DATOS!$I19725="","",IFERROR(VLOOKUP(DATOS!$I19725,CONFIG_ASIGNATURAS!$B$2:$J$61,9,FALSE()),""))</f>
      </c>
    </row>
    <row r="19726">
      <c r="E19726">
        <f>IF(DATOS!$I19726="","",IFERROR(VLOOKUP(DATOS!$I19726,CONFIG_ASIGNATURAS!$B$2:$J$61,9,FALSE()),""))</f>
      </c>
    </row>
    <row r="19727">
      <c r="E19727">
        <f>IF(DATOS!$I19727="","",IFERROR(VLOOKUP(DATOS!$I19727,CONFIG_ASIGNATURAS!$B$2:$J$61,9,FALSE()),""))</f>
      </c>
    </row>
    <row r="19728">
      <c r="E19728">
        <f>IF(DATOS!$I19728="","",IFERROR(VLOOKUP(DATOS!$I19728,CONFIG_ASIGNATURAS!$B$2:$J$61,9,FALSE()),""))</f>
      </c>
    </row>
    <row r="19729">
      <c r="E19729">
        <f>IF(DATOS!$I19729="","",IFERROR(VLOOKUP(DATOS!$I19729,CONFIG_ASIGNATURAS!$B$2:$J$61,9,FALSE()),""))</f>
      </c>
    </row>
    <row r="19730">
      <c r="E19730">
        <f>IF(DATOS!$I19730="","",IFERROR(VLOOKUP(DATOS!$I19730,CONFIG_ASIGNATURAS!$B$2:$J$61,9,FALSE()),""))</f>
      </c>
    </row>
    <row r="19731">
      <c r="E19731">
        <f>IF(DATOS!$I19731="","",IFERROR(VLOOKUP(DATOS!$I19731,CONFIG_ASIGNATURAS!$B$2:$J$61,9,FALSE()),""))</f>
      </c>
    </row>
    <row r="19732">
      <c r="E19732">
        <f>IF(DATOS!$I19732="","",IFERROR(VLOOKUP(DATOS!$I19732,CONFIG_ASIGNATURAS!$B$2:$J$61,9,FALSE()),""))</f>
      </c>
    </row>
    <row r="19733">
      <c r="E19733">
        <f>IF(DATOS!$I19733="","",IFERROR(VLOOKUP(DATOS!$I19733,CONFIG_ASIGNATURAS!$B$2:$J$61,9,FALSE()),""))</f>
      </c>
    </row>
    <row r="19734">
      <c r="E19734">
        <f>IF(DATOS!$I19734="","",IFERROR(VLOOKUP(DATOS!$I19734,CONFIG_ASIGNATURAS!$B$2:$J$61,9,FALSE()),""))</f>
      </c>
    </row>
    <row r="19735">
      <c r="E19735">
        <f>IF(DATOS!$I19735="","",IFERROR(VLOOKUP(DATOS!$I19735,CONFIG_ASIGNATURAS!$B$2:$J$61,9,FALSE()),""))</f>
      </c>
    </row>
    <row r="19736">
      <c r="E19736">
        <f>IF(DATOS!$I19736="","",IFERROR(VLOOKUP(DATOS!$I19736,CONFIG_ASIGNATURAS!$B$2:$J$61,9,FALSE()),""))</f>
      </c>
    </row>
    <row r="19737">
      <c r="E19737">
        <f>IF(DATOS!$I19737="","",IFERROR(VLOOKUP(DATOS!$I19737,CONFIG_ASIGNATURAS!$B$2:$J$61,9,FALSE()),""))</f>
      </c>
    </row>
    <row r="19738">
      <c r="E19738">
        <f>IF(DATOS!$I19738="","",IFERROR(VLOOKUP(DATOS!$I19738,CONFIG_ASIGNATURAS!$B$2:$J$61,9,FALSE()),""))</f>
      </c>
    </row>
    <row r="19739">
      <c r="E19739">
        <f>IF(DATOS!$I19739="","",IFERROR(VLOOKUP(DATOS!$I19739,CONFIG_ASIGNATURAS!$B$2:$J$61,9,FALSE()),""))</f>
      </c>
    </row>
    <row r="19740">
      <c r="E19740">
        <f>IF(DATOS!$I19740="","",IFERROR(VLOOKUP(DATOS!$I19740,CONFIG_ASIGNATURAS!$B$2:$J$61,9,FALSE()),""))</f>
      </c>
    </row>
    <row r="19741">
      <c r="E19741">
        <f>IF(DATOS!$I19741="","",IFERROR(VLOOKUP(DATOS!$I19741,CONFIG_ASIGNATURAS!$B$2:$J$61,9,FALSE()),""))</f>
      </c>
    </row>
    <row r="19742">
      <c r="E19742">
        <f>IF(DATOS!$I19742="","",IFERROR(VLOOKUP(DATOS!$I19742,CONFIG_ASIGNATURAS!$B$2:$J$61,9,FALSE()),""))</f>
      </c>
    </row>
    <row r="19743">
      <c r="E19743">
        <f>IF(DATOS!$I19743="","",IFERROR(VLOOKUP(DATOS!$I19743,CONFIG_ASIGNATURAS!$B$2:$J$61,9,FALSE()),""))</f>
      </c>
    </row>
    <row r="19744">
      <c r="E19744">
        <f>IF(DATOS!$I19744="","",IFERROR(VLOOKUP(DATOS!$I19744,CONFIG_ASIGNATURAS!$B$2:$J$61,9,FALSE()),""))</f>
      </c>
    </row>
    <row r="19745">
      <c r="E19745">
        <f>IF(DATOS!$I19745="","",IFERROR(VLOOKUP(DATOS!$I19745,CONFIG_ASIGNATURAS!$B$2:$J$61,9,FALSE()),""))</f>
      </c>
    </row>
    <row r="19746">
      <c r="E19746">
        <f>IF(DATOS!$I19746="","",IFERROR(VLOOKUP(DATOS!$I19746,CONFIG_ASIGNATURAS!$B$2:$J$61,9,FALSE()),""))</f>
      </c>
    </row>
    <row r="19747">
      <c r="E19747">
        <f>IF(DATOS!$I19747="","",IFERROR(VLOOKUP(DATOS!$I19747,CONFIG_ASIGNATURAS!$B$2:$J$61,9,FALSE()),""))</f>
      </c>
    </row>
    <row r="19748">
      <c r="E19748">
        <f>IF(DATOS!$I19748="","",IFERROR(VLOOKUP(DATOS!$I19748,CONFIG_ASIGNATURAS!$B$2:$J$61,9,FALSE()),""))</f>
      </c>
    </row>
    <row r="19749">
      <c r="E19749">
        <f>IF(DATOS!$I19749="","",IFERROR(VLOOKUP(DATOS!$I19749,CONFIG_ASIGNATURAS!$B$2:$J$61,9,FALSE()),""))</f>
      </c>
    </row>
    <row r="19750">
      <c r="E19750">
        <f>IF(DATOS!$I19750="","",IFERROR(VLOOKUP(DATOS!$I19750,CONFIG_ASIGNATURAS!$B$2:$J$61,9,FALSE()),""))</f>
      </c>
    </row>
    <row r="19751">
      <c r="E19751">
        <f>IF(DATOS!$I19751="","",IFERROR(VLOOKUP(DATOS!$I19751,CONFIG_ASIGNATURAS!$B$2:$J$61,9,FALSE()),""))</f>
      </c>
    </row>
    <row r="19752">
      <c r="E19752">
        <f>IF(DATOS!$I19752="","",IFERROR(VLOOKUP(DATOS!$I19752,CONFIG_ASIGNATURAS!$B$2:$J$61,9,FALSE()),""))</f>
      </c>
    </row>
    <row r="19753">
      <c r="E19753">
        <f>IF(DATOS!$I19753="","",IFERROR(VLOOKUP(DATOS!$I19753,CONFIG_ASIGNATURAS!$B$2:$J$61,9,FALSE()),""))</f>
      </c>
    </row>
    <row r="19754">
      <c r="E19754">
        <f>IF(DATOS!$I19754="","",IFERROR(VLOOKUP(DATOS!$I19754,CONFIG_ASIGNATURAS!$B$2:$J$61,9,FALSE()),""))</f>
      </c>
    </row>
    <row r="19755">
      <c r="E19755">
        <f>IF(DATOS!$I19755="","",IFERROR(VLOOKUP(DATOS!$I19755,CONFIG_ASIGNATURAS!$B$2:$J$61,9,FALSE()),""))</f>
      </c>
    </row>
    <row r="19756">
      <c r="E19756">
        <f>IF(DATOS!$I19756="","",IFERROR(VLOOKUP(DATOS!$I19756,CONFIG_ASIGNATURAS!$B$2:$J$61,9,FALSE()),""))</f>
      </c>
    </row>
    <row r="19757">
      <c r="E19757">
        <f>IF(DATOS!$I19757="","",IFERROR(VLOOKUP(DATOS!$I19757,CONFIG_ASIGNATURAS!$B$2:$J$61,9,FALSE()),""))</f>
      </c>
    </row>
    <row r="19758">
      <c r="E19758">
        <f>IF(DATOS!$I19758="","",IFERROR(VLOOKUP(DATOS!$I19758,CONFIG_ASIGNATURAS!$B$2:$J$61,9,FALSE()),""))</f>
      </c>
    </row>
    <row r="19759">
      <c r="E19759">
        <f>IF(DATOS!$I19759="","",IFERROR(VLOOKUP(DATOS!$I19759,CONFIG_ASIGNATURAS!$B$2:$J$61,9,FALSE()),""))</f>
      </c>
    </row>
    <row r="19760">
      <c r="E19760">
        <f>IF(DATOS!$I19760="","",IFERROR(VLOOKUP(DATOS!$I19760,CONFIG_ASIGNATURAS!$B$2:$J$61,9,FALSE()),""))</f>
      </c>
    </row>
    <row r="19761">
      <c r="E19761">
        <f>IF(DATOS!$I19761="","",IFERROR(VLOOKUP(DATOS!$I19761,CONFIG_ASIGNATURAS!$B$2:$J$61,9,FALSE()),""))</f>
      </c>
    </row>
    <row r="19762">
      <c r="E19762">
        <f>IF(DATOS!$I19762="","",IFERROR(VLOOKUP(DATOS!$I19762,CONFIG_ASIGNATURAS!$B$2:$J$61,9,FALSE()),""))</f>
      </c>
    </row>
    <row r="19763">
      <c r="E19763">
        <f>IF(DATOS!$I19763="","",IFERROR(VLOOKUP(DATOS!$I19763,CONFIG_ASIGNATURAS!$B$2:$J$61,9,FALSE()),""))</f>
      </c>
    </row>
    <row r="19764">
      <c r="E19764">
        <f>IF(DATOS!$I19764="","",IFERROR(VLOOKUP(DATOS!$I19764,CONFIG_ASIGNATURAS!$B$2:$J$61,9,FALSE()),""))</f>
      </c>
    </row>
    <row r="19765">
      <c r="E19765">
        <f>IF(DATOS!$I19765="","",IFERROR(VLOOKUP(DATOS!$I19765,CONFIG_ASIGNATURAS!$B$2:$J$61,9,FALSE()),""))</f>
      </c>
    </row>
    <row r="19766">
      <c r="E19766">
        <f>IF(DATOS!$I19766="","",IFERROR(VLOOKUP(DATOS!$I19766,CONFIG_ASIGNATURAS!$B$2:$J$61,9,FALSE()),""))</f>
      </c>
    </row>
    <row r="19767">
      <c r="E19767">
        <f>IF(DATOS!$I19767="","",IFERROR(VLOOKUP(DATOS!$I19767,CONFIG_ASIGNATURAS!$B$2:$J$61,9,FALSE()),""))</f>
      </c>
    </row>
    <row r="19768">
      <c r="E19768">
        <f>IF(DATOS!$I19768="","",IFERROR(VLOOKUP(DATOS!$I19768,CONFIG_ASIGNATURAS!$B$2:$J$61,9,FALSE()),""))</f>
      </c>
    </row>
    <row r="19769">
      <c r="E19769">
        <f>IF(DATOS!$I19769="","",IFERROR(VLOOKUP(DATOS!$I19769,CONFIG_ASIGNATURAS!$B$2:$J$61,9,FALSE()),""))</f>
      </c>
    </row>
    <row r="19770">
      <c r="E19770">
        <f>IF(DATOS!$I19770="","",IFERROR(VLOOKUP(DATOS!$I19770,CONFIG_ASIGNATURAS!$B$2:$J$61,9,FALSE()),""))</f>
      </c>
    </row>
    <row r="19771">
      <c r="E19771">
        <f>IF(DATOS!$I19771="","",IFERROR(VLOOKUP(DATOS!$I19771,CONFIG_ASIGNATURAS!$B$2:$J$61,9,FALSE()),""))</f>
      </c>
    </row>
    <row r="19772">
      <c r="E19772">
        <f>IF(DATOS!$I19772="","",IFERROR(VLOOKUP(DATOS!$I19772,CONFIG_ASIGNATURAS!$B$2:$J$61,9,FALSE()),""))</f>
      </c>
    </row>
    <row r="19773">
      <c r="E19773">
        <f>IF(DATOS!$I19773="","",IFERROR(VLOOKUP(DATOS!$I19773,CONFIG_ASIGNATURAS!$B$2:$J$61,9,FALSE()),""))</f>
      </c>
    </row>
    <row r="19774">
      <c r="E19774">
        <f>IF(DATOS!$I19774="","",IFERROR(VLOOKUP(DATOS!$I19774,CONFIG_ASIGNATURAS!$B$2:$J$61,9,FALSE()),""))</f>
      </c>
    </row>
    <row r="19775">
      <c r="E19775">
        <f>IF(DATOS!$I19775="","",IFERROR(VLOOKUP(DATOS!$I19775,CONFIG_ASIGNATURAS!$B$2:$J$61,9,FALSE()),""))</f>
      </c>
    </row>
    <row r="19776">
      <c r="E19776">
        <f>IF(DATOS!$I19776="","",IFERROR(VLOOKUP(DATOS!$I19776,CONFIG_ASIGNATURAS!$B$2:$J$61,9,FALSE()),""))</f>
      </c>
    </row>
    <row r="19777">
      <c r="E19777">
        <f>IF(DATOS!$I19777="","",IFERROR(VLOOKUP(DATOS!$I19777,CONFIG_ASIGNATURAS!$B$2:$J$61,9,FALSE()),""))</f>
      </c>
    </row>
    <row r="19778">
      <c r="E19778">
        <f>IF(DATOS!$I19778="","",IFERROR(VLOOKUP(DATOS!$I19778,CONFIG_ASIGNATURAS!$B$2:$J$61,9,FALSE()),""))</f>
      </c>
    </row>
    <row r="19779">
      <c r="E19779">
        <f>IF(DATOS!$I19779="","",IFERROR(VLOOKUP(DATOS!$I19779,CONFIG_ASIGNATURAS!$B$2:$J$61,9,FALSE()),""))</f>
      </c>
    </row>
    <row r="19780">
      <c r="E19780">
        <f>IF(DATOS!$I19780="","",IFERROR(VLOOKUP(DATOS!$I19780,CONFIG_ASIGNATURAS!$B$2:$J$61,9,FALSE()),""))</f>
      </c>
    </row>
    <row r="19781">
      <c r="E19781">
        <f>IF(DATOS!$I19781="","",IFERROR(VLOOKUP(DATOS!$I19781,CONFIG_ASIGNATURAS!$B$2:$J$61,9,FALSE()),""))</f>
      </c>
    </row>
    <row r="19782">
      <c r="E19782">
        <f>IF(DATOS!$I19782="","",IFERROR(VLOOKUP(DATOS!$I19782,CONFIG_ASIGNATURAS!$B$2:$J$61,9,FALSE()),""))</f>
      </c>
    </row>
    <row r="19783">
      <c r="E19783">
        <f>IF(DATOS!$I19783="","",IFERROR(VLOOKUP(DATOS!$I19783,CONFIG_ASIGNATURAS!$B$2:$J$61,9,FALSE()),""))</f>
      </c>
    </row>
    <row r="19784">
      <c r="E19784">
        <f>IF(DATOS!$I19784="","",IFERROR(VLOOKUP(DATOS!$I19784,CONFIG_ASIGNATURAS!$B$2:$J$61,9,FALSE()),""))</f>
      </c>
    </row>
    <row r="19785">
      <c r="E19785">
        <f>IF(DATOS!$I19785="","",IFERROR(VLOOKUP(DATOS!$I19785,CONFIG_ASIGNATURAS!$B$2:$J$61,9,FALSE()),""))</f>
      </c>
    </row>
    <row r="19786">
      <c r="E19786">
        <f>IF(DATOS!$I19786="","",IFERROR(VLOOKUP(DATOS!$I19786,CONFIG_ASIGNATURAS!$B$2:$J$61,9,FALSE()),""))</f>
      </c>
    </row>
    <row r="19787">
      <c r="E19787">
        <f>IF(DATOS!$I19787="","",IFERROR(VLOOKUP(DATOS!$I19787,CONFIG_ASIGNATURAS!$B$2:$J$61,9,FALSE()),""))</f>
      </c>
    </row>
    <row r="19788">
      <c r="E19788">
        <f>IF(DATOS!$I19788="","",IFERROR(VLOOKUP(DATOS!$I19788,CONFIG_ASIGNATURAS!$B$2:$J$61,9,FALSE()),""))</f>
      </c>
    </row>
    <row r="19789">
      <c r="E19789">
        <f>IF(DATOS!$I19789="","",IFERROR(VLOOKUP(DATOS!$I19789,CONFIG_ASIGNATURAS!$B$2:$J$61,9,FALSE()),""))</f>
      </c>
    </row>
    <row r="19790">
      <c r="E19790">
        <f>IF(DATOS!$I19790="","",IFERROR(VLOOKUP(DATOS!$I19790,CONFIG_ASIGNATURAS!$B$2:$J$61,9,FALSE()),""))</f>
      </c>
    </row>
    <row r="19791">
      <c r="E19791">
        <f>IF(DATOS!$I19791="","",IFERROR(VLOOKUP(DATOS!$I19791,CONFIG_ASIGNATURAS!$B$2:$J$61,9,FALSE()),""))</f>
      </c>
    </row>
    <row r="19792">
      <c r="E19792">
        <f>IF(DATOS!$I19792="","",IFERROR(VLOOKUP(DATOS!$I19792,CONFIG_ASIGNATURAS!$B$2:$J$61,9,FALSE()),""))</f>
      </c>
    </row>
    <row r="19793">
      <c r="E19793">
        <f>IF(DATOS!$I19793="","",IFERROR(VLOOKUP(DATOS!$I19793,CONFIG_ASIGNATURAS!$B$2:$J$61,9,FALSE()),""))</f>
      </c>
    </row>
    <row r="19794">
      <c r="E19794">
        <f>IF(DATOS!$I19794="","",IFERROR(VLOOKUP(DATOS!$I19794,CONFIG_ASIGNATURAS!$B$2:$J$61,9,FALSE()),""))</f>
      </c>
    </row>
    <row r="19795">
      <c r="E19795">
        <f>IF(DATOS!$I19795="","",IFERROR(VLOOKUP(DATOS!$I19795,CONFIG_ASIGNATURAS!$B$2:$J$61,9,FALSE()),""))</f>
      </c>
    </row>
    <row r="19796">
      <c r="E19796">
        <f>IF(DATOS!$I19796="","",IFERROR(VLOOKUP(DATOS!$I19796,CONFIG_ASIGNATURAS!$B$2:$J$61,9,FALSE()),""))</f>
      </c>
    </row>
    <row r="19797">
      <c r="E19797">
        <f>IF(DATOS!$I19797="","",IFERROR(VLOOKUP(DATOS!$I19797,CONFIG_ASIGNATURAS!$B$2:$J$61,9,FALSE()),""))</f>
      </c>
    </row>
    <row r="19798">
      <c r="E19798">
        <f>IF(DATOS!$I19798="","",IFERROR(VLOOKUP(DATOS!$I19798,CONFIG_ASIGNATURAS!$B$2:$J$61,9,FALSE()),""))</f>
      </c>
    </row>
    <row r="19799">
      <c r="E19799">
        <f>IF(DATOS!$I19799="","",IFERROR(VLOOKUP(DATOS!$I19799,CONFIG_ASIGNATURAS!$B$2:$J$61,9,FALSE()),""))</f>
      </c>
    </row>
    <row r="19800">
      <c r="E19800">
        <f>IF(DATOS!$I19800="","",IFERROR(VLOOKUP(DATOS!$I19800,CONFIG_ASIGNATURAS!$B$2:$J$61,9,FALSE()),""))</f>
      </c>
    </row>
    <row r="19801">
      <c r="E19801">
        <f>IF(DATOS!$I19801="","",IFERROR(VLOOKUP(DATOS!$I19801,CONFIG_ASIGNATURAS!$B$2:$J$61,9,FALSE()),""))</f>
      </c>
    </row>
    <row r="19802">
      <c r="E19802">
        <f>IF(DATOS!$I19802="","",IFERROR(VLOOKUP(DATOS!$I19802,CONFIG_ASIGNATURAS!$B$2:$J$61,9,FALSE()),""))</f>
      </c>
    </row>
    <row r="19803">
      <c r="E19803">
        <f>IF(DATOS!$I19803="","",IFERROR(VLOOKUP(DATOS!$I19803,CONFIG_ASIGNATURAS!$B$2:$J$61,9,FALSE()),""))</f>
      </c>
    </row>
    <row r="19804">
      <c r="E19804">
        <f>IF(DATOS!$I19804="","",IFERROR(VLOOKUP(DATOS!$I19804,CONFIG_ASIGNATURAS!$B$2:$J$61,9,FALSE()),""))</f>
      </c>
    </row>
    <row r="19805">
      <c r="E19805">
        <f>IF(DATOS!$I19805="","",IFERROR(VLOOKUP(DATOS!$I19805,CONFIG_ASIGNATURAS!$B$2:$J$61,9,FALSE()),""))</f>
      </c>
    </row>
    <row r="19806">
      <c r="E19806">
        <f>IF(DATOS!$I19806="","",IFERROR(VLOOKUP(DATOS!$I19806,CONFIG_ASIGNATURAS!$B$2:$J$61,9,FALSE()),""))</f>
      </c>
    </row>
    <row r="19807">
      <c r="E19807">
        <f>IF(DATOS!$I19807="","",IFERROR(VLOOKUP(DATOS!$I19807,CONFIG_ASIGNATURAS!$B$2:$J$61,9,FALSE()),""))</f>
      </c>
    </row>
    <row r="19808">
      <c r="E19808">
        <f>IF(DATOS!$I19808="","",IFERROR(VLOOKUP(DATOS!$I19808,CONFIG_ASIGNATURAS!$B$2:$J$61,9,FALSE()),""))</f>
      </c>
    </row>
    <row r="19809">
      <c r="E19809">
        <f>IF(DATOS!$I19809="","",IFERROR(VLOOKUP(DATOS!$I19809,CONFIG_ASIGNATURAS!$B$2:$J$61,9,FALSE()),""))</f>
      </c>
    </row>
    <row r="19810">
      <c r="E19810">
        <f>IF(DATOS!$I19810="","",IFERROR(VLOOKUP(DATOS!$I19810,CONFIG_ASIGNATURAS!$B$2:$J$61,9,FALSE()),""))</f>
      </c>
    </row>
    <row r="19811">
      <c r="E19811">
        <f>IF(DATOS!$I19811="","",IFERROR(VLOOKUP(DATOS!$I19811,CONFIG_ASIGNATURAS!$B$2:$J$61,9,FALSE()),""))</f>
      </c>
    </row>
    <row r="19812">
      <c r="E19812">
        <f>IF(DATOS!$I19812="","",IFERROR(VLOOKUP(DATOS!$I19812,CONFIG_ASIGNATURAS!$B$2:$J$61,9,FALSE()),""))</f>
      </c>
    </row>
    <row r="19813">
      <c r="E19813">
        <f>IF(DATOS!$I19813="","",IFERROR(VLOOKUP(DATOS!$I19813,CONFIG_ASIGNATURAS!$B$2:$J$61,9,FALSE()),""))</f>
      </c>
    </row>
    <row r="19814">
      <c r="E19814">
        <f>IF(DATOS!$I19814="","",IFERROR(VLOOKUP(DATOS!$I19814,CONFIG_ASIGNATURAS!$B$2:$J$61,9,FALSE()),""))</f>
      </c>
    </row>
    <row r="19815">
      <c r="E19815">
        <f>IF(DATOS!$I19815="","",IFERROR(VLOOKUP(DATOS!$I19815,CONFIG_ASIGNATURAS!$B$2:$J$61,9,FALSE()),""))</f>
      </c>
    </row>
    <row r="19816">
      <c r="E19816">
        <f>IF(DATOS!$I19816="","",IFERROR(VLOOKUP(DATOS!$I19816,CONFIG_ASIGNATURAS!$B$2:$J$61,9,FALSE()),""))</f>
      </c>
    </row>
    <row r="19817">
      <c r="E19817">
        <f>IF(DATOS!$I19817="","",IFERROR(VLOOKUP(DATOS!$I19817,CONFIG_ASIGNATURAS!$B$2:$J$61,9,FALSE()),""))</f>
      </c>
    </row>
    <row r="19818">
      <c r="E19818">
        <f>IF(DATOS!$I19818="","",IFERROR(VLOOKUP(DATOS!$I19818,CONFIG_ASIGNATURAS!$B$2:$J$61,9,FALSE()),""))</f>
      </c>
    </row>
    <row r="19819">
      <c r="E19819">
        <f>IF(DATOS!$I19819="","",IFERROR(VLOOKUP(DATOS!$I19819,CONFIG_ASIGNATURAS!$B$2:$J$61,9,FALSE()),""))</f>
      </c>
    </row>
    <row r="19820">
      <c r="E19820">
        <f>IF(DATOS!$I19820="","",IFERROR(VLOOKUP(DATOS!$I19820,CONFIG_ASIGNATURAS!$B$2:$J$61,9,FALSE()),""))</f>
      </c>
    </row>
    <row r="19821">
      <c r="E19821">
        <f>IF(DATOS!$I19821="","",IFERROR(VLOOKUP(DATOS!$I19821,CONFIG_ASIGNATURAS!$B$2:$J$61,9,FALSE()),""))</f>
      </c>
    </row>
    <row r="19822">
      <c r="E19822">
        <f>IF(DATOS!$I19822="","",IFERROR(VLOOKUP(DATOS!$I19822,CONFIG_ASIGNATURAS!$B$2:$J$61,9,FALSE()),""))</f>
      </c>
    </row>
    <row r="19823">
      <c r="E19823">
        <f>IF(DATOS!$I19823="","",IFERROR(VLOOKUP(DATOS!$I19823,CONFIG_ASIGNATURAS!$B$2:$J$61,9,FALSE()),""))</f>
      </c>
    </row>
    <row r="19824">
      <c r="E19824">
        <f>IF(DATOS!$I19824="","",IFERROR(VLOOKUP(DATOS!$I19824,CONFIG_ASIGNATURAS!$B$2:$J$61,9,FALSE()),""))</f>
      </c>
    </row>
    <row r="19825">
      <c r="E19825">
        <f>IF(DATOS!$I19825="","",IFERROR(VLOOKUP(DATOS!$I19825,CONFIG_ASIGNATURAS!$B$2:$J$61,9,FALSE()),""))</f>
      </c>
    </row>
    <row r="19826">
      <c r="E19826">
        <f>IF(DATOS!$I19826="","",IFERROR(VLOOKUP(DATOS!$I19826,CONFIG_ASIGNATURAS!$B$2:$J$61,9,FALSE()),""))</f>
      </c>
    </row>
    <row r="19827">
      <c r="E19827">
        <f>IF(DATOS!$I19827="","",IFERROR(VLOOKUP(DATOS!$I19827,CONFIG_ASIGNATURAS!$B$2:$J$61,9,FALSE()),""))</f>
      </c>
    </row>
    <row r="19828">
      <c r="E19828">
        <f>IF(DATOS!$I19828="","",IFERROR(VLOOKUP(DATOS!$I19828,CONFIG_ASIGNATURAS!$B$2:$J$61,9,FALSE()),""))</f>
      </c>
    </row>
    <row r="19829">
      <c r="E19829">
        <f>IF(DATOS!$I19829="","",IFERROR(VLOOKUP(DATOS!$I19829,CONFIG_ASIGNATURAS!$B$2:$J$61,9,FALSE()),""))</f>
      </c>
    </row>
    <row r="19830">
      <c r="E19830">
        <f>IF(DATOS!$I19830="","",IFERROR(VLOOKUP(DATOS!$I19830,CONFIG_ASIGNATURAS!$B$2:$J$61,9,FALSE()),""))</f>
      </c>
    </row>
    <row r="19831">
      <c r="E19831">
        <f>IF(DATOS!$I19831="","",IFERROR(VLOOKUP(DATOS!$I19831,CONFIG_ASIGNATURAS!$B$2:$J$61,9,FALSE()),""))</f>
      </c>
    </row>
    <row r="19832">
      <c r="E19832">
        <f>IF(DATOS!$I19832="","",IFERROR(VLOOKUP(DATOS!$I19832,CONFIG_ASIGNATURAS!$B$2:$J$61,9,FALSE()),""))</f>
      </c>
    </row>
    <row r="19833">
      <c r="E19833">
        <f>IF(DATOS!$I19833="","",IFERROR(VLOOKUP(DATOS!$I19833,CONFIG_ASIGNATURAS!$B$2:$J$61,9,FALSE()),""))</f>
      </c>
    </row>
    <row r="19834">
      <c r="E19834">
        <f>IF(DATOS!$I19834="","",IFERROR(VLOOKUP(DATOS!$I19834,CONFIG_ASIGNATURAS!$B$2:$J$61,9,FALSE()),""))</f>
      </c>
    </row>
    <row r="19835">
      <c r="E19835">
        <f>IF(DATOS!$I19835="","",IFERROR(VLOOKUP(DATOS!$I19835,CONFIG_ASIGNATURAS!$B$2:$J$61,9,FALSE()),""))</f>
      </c>
    </row>
    <row r="19836">
      <c r="E19836">
        <f>IF(DATOS!$I19836="","",IFERROR(VLOOKUP(DATOS!$I19836,CONFIG_ASIGNATURAS!$B$2:$J$61,9,FALSE()),""))</f>
      </c>
    </row>
    <row r="19837">
      <c r="E19837">
        <f>IF(DATOS!$I19837="","",IFERROR(VLOOKUP(DATOS!$I19837,CONFIG_ASIGNATURAS!$B$2:$J$61,9,FALSE()),""))</f>
      </c>
    </row>
    <row r="19838">
      <c r="E19838">
        <f>IF(DATOS!$I19838="","",IFERROR(VLOOKUP(DATOS!$I19838,CONFIG_ASIGNATURAS!$B$2:$J$61,9,FALSE()),""))</f>
      </c>
    </row>
    <row r="19839">
      <c r="E19839">
        <f>IF(DATOS!$I19839="","",IFERROR(VLOOKUP(DATOS!$I19839,CONFIG_ASIGNATURAS!$B$2:$J$61,9,FALSE()),""))</f>
      </c>
    </row>
    <row r="19840">
      <c r="E19840">
        <f>IF(DATOS!$I19840="","",IFERROR(VLOOKUP(DATOS!$I19840,CONFIG_ASIGNATURAS!$B$2:$J$61,9,FALSE()),""))</f>
      </c>
    </row>
    <row r="19841">
      <c r="E19841">
        <f>IF(DATOS!$I19841="","",IFERROR(VLOOKUP(DATOS!$I19841,CONFIG_ASIGNATURAS!$B$2:$J$61,9,FALSE()),""))</f>
      </c>
    </row>
    <row r="19842">
      <c r="E19842">
        <f>IF(DATOS!$I19842="","",IFERROR(VLOOKUP(DATOS!$I19842,CONFIG_ASIGNATURAS!$B$2:$J$61,9,FALSE()),""))</f>
      </c>
    </row>
    <row r="19843">
      <c r="E19843">
        <f>IF(DATOS!$I19843="","",IFERROR(VLOOKUP(DATOS!$I19843,CONFIG_ASIGNATURAS!$B$2:$J$61,9,FALSE()),""))</f>
      </c>
    </row>
    <row r="19844">
      <c r="E19844">
        <f>IF(DATOS!$I19844="","",IFERROR(VLOOKUP(DATOS!$I19844,CONFIG_ASIGNATURAS!$B$2:$J$61,9,FALSE()),""))</f>
      </c>
    </row>
    <row r="19845">
      <c r="E19845">
        <f>IF(DATOS!$I19845="","",IFERROR(VLOOKUP(DATOS!$I19845,CONFIG_ASIGNATURAS!$B$2:$J$61,9,FALSE()),""))</f>
      </c>
    </row>
    <row r="19846">
      <c r="E19846">
        <f>IF(DATOS!$I19846="","",IFERROR(VLOOKUP(DATOS!$I19846,CONFIG_ASIGNATURAS!$B$2:$J$61,9,FALSE()),""))</f>
      </c>
    </row>
    <row r="19847">
      <c r="E19847">
        <f>IF(DATOS!$I19847="","",IFERROR(VLOOKUP(DATOS!$I19847,CONFIG_ASIGNATURAS!$B$2:$J$61,9,FALSE()),""))</f>
      </c>
    </row>
    <row r="19848">
      <c r="E19848">
        <f>IF(DATOS!$I19848="","",IFERROR(VLOOKUP(DATOS!$I19848,CONFIG_ASIGNATURAS!$B$2:$J$61,9,FALSE()),""))</f>
      </c>
    </row>
    <row r="19849">
      <c r="E19849">
        <f>IF(DATOS!$I19849="","",IFERROR(VLOOKUP(DATOS!$I19849,CONFIG_ASIGNATURAS!$B$2:$J$61,9,FALSE()),""))</f>
      </c>
    </row>
    <row r="19850">
      <c r="E19850">
        <f>IF(DATOS!$I19850="","",IFERROR(VLOOKUP(DATOS!$I19850,CONFIG_ASIGNATURAS!$B$2:$J$61,9,FALSE()),""))</f>
      </c>
    </row>
    <row r="19851">
      <c r="E19851">
        <f>IF(DATOS!$I19851="","",IFERROR(VLOOKUP(DATOS!$I19851,CONFIG_ASIGNATURAS!$B$2:$J$61,9,FALSE()),""))</f>
      </c>
    </row>
    <row r="19852">
      <c r="E19852">
        <f>IF(DATOS!$I19852="","",IFERROR(VLOOKUP(DATOS!$I19852,CONFIG_ASIGNATURAS!$B$2:$J$61,9,FALSE()),""))</f>
      </c>
    </row>
    <row r="19853">
      <c r="E19853">
        <f>IF(DATOS!$I19853="","",IFERROR(VLOOKUP(DATOS!$I19853,CONFIG_ASIGNATURAS!$B$2:$J$61,9,FALSE()),""))</f>
      </c>
    </row>
    <row r="19854">
      <c r="E19854">
        <f>IF(DATOS!$I19854="","",IFERROR(VLOOKUP(DATOS!$I19854,CONFIG_ASIGNATURAS!$B$2:$J$61,9,FALSE()),""))</f>
      </c>
    </row>
    <row r="19855">
      <c r="E19855">
        <f>IF(DATOS!$I19855="","",IFERROR(VLOOKUP(DATOS!$I19855,CONFIG_ASIGNATURAS!$B$2:$J$61,9,FALSE()),""))</f>
      </c>
    </row>
    <row r="19856">
      <c r="E19856">
        <f>IF(DATOS!$I19856="","",IFERROR(VLOOKUP(DATOS!$I19856,CONFIG_ASIGNATURAS!$B$2:$J$61,9,FALSE()),""))</f>
      </c>
    </row>
    <row r="19857">
      <c r="E19857">
        <f>IF(DATOS!$I19857="","",IFERROR(VLOOKUP(DATOS!$I19857,CONFIG_ASIGNATURAS!$B$2:$J$61,9,FALSE()),""))</f>
      </c>
    </row>
    <row r="19858">
      <c r="E19858">
        <f>IF(DATOS!$I19858="","",IFERROR(VLOOKUP(DATOS!$I19858,CONFIG_ASIGNATURAS!$B$2:$J$61,9,FALSE()),""))</f>
      </c>
    </row>
    <row r="19859">
      <c r="E19859">
        <f>IF(DATOS!$I19859="","",IFERROR(VLOOKUP(DATOS!$I19859,CONFIG_ASIGNATURAS!$B$2:$J$61,9,FALSE()),""))</f>
      </c>
    </row>
    <row r="19860">
      <c r="E19860">
        <f>IF(DATOS!$I19860="","",IFERROR(VLOOKUP(DATOS!$I19860,CONFIG_ASIGNATURAS!$B$2:$J$61,9,FALSE()),""))</f>
      </c>
    </row>
    <row r="19861">
      <c r="E19861">
        <f>IF(DATOS!$I19861="","",IFERROR(VLOOKUP(DATOS!$I19861,CONFIG_ASIGNATURAS!$B$2:$J$61,9,FALSE()),""))</f>
      </c>
    </row>
    <row r="19862">
      <c r="E19862">
        <f>IF(DATOS!$I19862="","",IFERROR(VLOOKUP(DATOS!$I19862,CONFIG_ASIGNATURAS!$B$2:$J$61,9,FALSE()),""))</f>
      </c>
    </row>
    <row r="19863">
      <c r="E19863">
        <f>IF(DATOS!$I19863="","",IFERROR(VLOOKUP(DATOS!$I19863,CONFIG_ASIGNATURAS!$B$2:$J$61,9,FALSE()),""))</f>
      </c>
    </row>
    <row r="19864">
      <c r="E19864">
        <f>IF(DATOS!$I19864="","",IFERROR(VLOOKUP(DATOS!$I19864,CONFIG_ASIGNATURAS!$B$2:$J$61,9,FALSE()),""))</f>
      </c>
    </row>
    <row r="19865">
      <c r="E19865">
        <f>IF(DATOS!$I19865="","",IFERROR(VLOOKUP(DATOS!$I19865,CONFIG_ASIGNATURAS!$B$2:$J$61,9,FALSE()),""))</f>
      </c>
    </row>
    <row r="19866">
      <c r="E19866">
        <f>IF(DATOS!$I19866="","",IFERROR(VLOOKUP(DATOS!$I19866,CONFIG_ASIGNATURAS!$B$2:$J$61,9,FALSE()),""))</f>
      </c>
    </row>
    <row r="19867">
      <c r="E19867">
        <f>IF(DATOS!$I19867="","",IFERROR(VLOOKUP(DATOS!$I19867,CONFIG_ASIGNATURAS!$B$2:$J$61,9,FALSE()),""))</f>
      </c>
    </row>
    <row r="19868">
      <c r="E19868">
        <f>IF(DATOS!$I19868="","",IFERROR(VLOOKUP(DATOS!$I19868,CONFIG_ASIGNATURAS!$B$2:$J$61,9,FALSE()),""))</f>
      </c>
    </row>
    <row r="19869">
      <c r="E19869">
        <f>IF(DATOS!$I19869="","",IFERROR(VLOOKUP(DATOS!$I19869,CONFIG_ASIGNATURAS!$B$2:$J$61,9,FALSE()),""))</f>
      </c>
    </row>
    <row r="19870">
      <c r="E19870">
        <f>IF(DATOS!$I19870="","",IFERROR(VLOOKUP(DATOS!$I19870,CONFIG_ASIGNATURAS!$B$2:$J$61,9,FALSE()),""))</f>
      </c>
    </row>
    <row r="19871">
      <c r="E19871">
        <f>IF(DATOS!$I19871="","",IFERROR(VLOOKUP(DATOS!$I19871,CONFIG_ASIGNATURAS!$B$2:$J$61,9,FALSE()),""))</f>
      </c>
    </row>
    <row r="19872">
      <c r="E19872">
        <f>IF(DATOS!$I19872="","",IFERROR(VLOOKUP(DATOS!$I19872,CONFIG_ASIGNATURAS!$B$2:$J$61,9,FALSE()),""))</f>
      </c>
    </row>
    <row r="19873">
      <c r="E19873">
        <f>IF(DATOS!$I19873="","",IFERROR(VLOOKUP(DATOS!$I19873,CONFIG_ASIGNATURAS!$B$2:$J$61,9,FALSE()),""))</f>
      </c>
    </row>
    <row r="19874">
      <c r="E19874">
        <f>IF(DATOS!$I19874="","",IFERROR(VLOOKUP(DATOS!$I19874,CONFIG_ASIGNATURAS!$B$2:$J$61,9,FALSE()),""))</f>
      </c>
    </row>
    <row r="19875">
      <c r="E19875">
        <f>IF(DATOS!$I19875="","",IFERROR(VLOOKUP(DATOS!$I19875,CONFIG_ASIGNATURAS!$B$2:$J$61,9,FALSE()),""))</f>
      </c>
    </row>
    <row r="19876">
      <c r="E19876">
        <f>IF(DATOS!$I19876="","",IFERROR(VLOOKUP(DATOS!$I19876,CONFIG_ASIGNATURAS!$B$2:$J$61,9,FALSE()),""))</f>
      </c>
    </row>
    <row r="19877">
      <c r="E19877">
        <f>IF(DATOS!$I19877="","",IFERROR(VLOOKUP(DATOS!$I19877,CONFIG_ASIGNATURAS!$B$2:$J$61,9,FALSE()),""))</f>
      </c>
    </row>
    <row r="19878">
      <c r="E19878">
        <f>IF(DATOS!$I19878="","",IFERROR(VLOOKUP(DATOS!$I19878,CONFIG_ASIGNATURAS!$B$2:$J$61,9,FALSE()),""))</f>
      </c>
    </row>
    <row r="19879">
      <c r="E19879">
        <f>IF(DATOS!$I19879="","",IFERROR(VLOOKUP(DATOS!$I19879,CONFIG_ASIGNATURAS!$B$2:$J$61,9,FALSE()),""))</f>
      </c>
    </row>
    <row r="19880">
      <c r="E19880">
        <f>IF(DATOS!$I19880="","",IFERROR(VLOOKUP(DATOS!$I19880,CONFIG_ASIGNATURAS!$B$2:$J$61,9,FALSE()),""))</f>
      </c>
    </row>
    <row r="19881">
      <c r="E19881">
        <f>IF(DATOS!$I19881="","",IFERROR(VLOOKUP(DATOS!$I19881,CONFIG_ASIGNATURAS!$B$2:$J$61,9,FALSE()),""))</f>
      </c>
    </row>
    <row r="19882">
      <c r="E19882">
        <f>IF(DATOS!$I19882="","",IFERROR(VLOOKUP(DATOS!$I19882,CONFIG_ASIGNATURAS!$B$2:$J$61,9,FALSE()),""))</f>
      </c>
    </row>
    <row r="19883">
      <c r="E19883">
        <f>IF(DATOS!$I19883="","",IFERROR(VLOOKUP(DATOS!$I19883,CONFIG_ASIGNATURAS!$B$2:$J$61,9,FALSE()),""))</f>
      </c>
    </row>
    <row r="19884">
      <c r="E19884">
        <f>IF(DATOS!$I19884="","",IFERROR(VLOOKUP(DATOS!$I19884,CONFIG_ASIGNATURAS!$B$2:$J$61,9,FALSE()),""))</f>
      </c>
    </row>
    <row r="19885">
      <c r="E19885">
        <f>IF(DATOS!$I19885="","",IFERROR(VLOOKUP(DATOS!$I19885,CONFIG_ASIGNATURAS!$B$2:$J$61,9,FALSE()),""))</f>
      </c>
    </row>
    <row r="19886">
      <c r="E19886">
        <f>IF(DATOS!$I19886="","",IFERROR(VLOOKUP(DATOS!$I19886,CONFIG_ASIGNATURAS!$B$2:$J$61,9,FALSE()),""))</f>
      </c>
    </row>
    <row r="19887">
      <c r="E19887">
        <f>IF(DATOS!$I19887="","",IFERROR(VLOOKUP(DATOS!$I19887,CONFIG_ASIGNATURAS!$B$2:$J$61,9,FALSE()),""))</f>
      </c>
    </row>
    <row r="19888">
      <c r="E19888">
        <f>IF(DATOS!$I19888="","",IFERROR(VLOOKUP(DATOS!$I19888,CONFIG_ASIGNATURAS!$B$2:$J$61,9,FALSE()),""))</f>
      </c>
    </row>
    <row r="19889">
      <c r="E19889">
        <f>IF(DATOS!$I19889="","",IFERROR(VLOOKUP(DATOS!$I19889,CONFIG_ASIGNATURAS!$B$2:$J$61,9,FALSE()),""))</f>
      </c>
    </row>
    <row r="19890">
      <c r="E19890">
        <f>IF(DATOS!$I19890="","",IFERROR(VLOOKUP(DATOS!$I19890,CONFIG_ASIGNATURAS!$B$2:$J$61,9,FALSE()),""))</f>
      </c>
    </row>
    <row r="19891">
      <c r="E19891">
        <f>IF(DATOS!$I19891="","",IFERROR(VLOOKUP(DATOS!$I19891,CONFIG_ASIGNATURAS!$B$2:$J$61,9,FALSE()),""))</f>
      </c>
    </row>
    <row r="19892">
      <c r="E19892">
        <f>IF(DATOS!$I19892="","",IFERROR(VLOOKUP(DATOS!$I19892,CONFIG_ASIGNATURAS!$B$2:$J$61,9,FALSE()),""))</f>
      </c>
    </row>
    <row r="19893">
      <c r="E19893">
        <f>IF(DATOS!$I19893="","",IFERROR(VLOOKUP(DATOS!$I19893,CONFIG_ASIGNATURAS!$B$2:$J$61,9,FALSE()),""))</f>
      </c>
    </row>
    <row r="19894">
      <c r="E19894">
        <f>IF(DATOS!$I19894="","",IFERROR(VLOOKUP(DATOS!$I19894,CONFIG_ASIGNATURAS!$B$2:$J$61,9,FALSE()),""))</f>
      </c>
    </row>
    <row r="19895">
      <c r="E19895">
        <f>IF(DATOS!$I19895="","",IFERROR(VLOOKUP(DATOS!$I19895,CONFIG_ASIGNATURAS!$B$2:$J$61,9,FALSE()),""))</f>
      </c>
    </row>
    <row r="19896">
      <c r="E19896">
        <f>IF(DATOS!$I19896="","",IFERROR(VLOOKUP(DATOS!$I19896,CONFIG_ASIGNATURAS!$B$2:$J$61,9,FALSE()),""))</f>
      </c>
    </row>
    <row r="19897">
      <c r="E19897">
        <f>IF(DATOS!$I19897="","",IFERROR(VLOOKUP(DATOS!$I19897,CONFIG_ASIGNATURAS!$B$2:$J$61,9,FALSE()),""))</f>
      </c>
    </row>
    <row r="19898">
      <c r="E19898">
        <f>IF(DATOS!$I19898="","",IFERROR(VLOOKUP(DATOS!$I19898,CONFIG_ASIGNATURAS!$B$2:$J$61,9,FALSE()),""))</f>
      </c>
    </row>
    <row r="19899">
      <c r="E19899">
        <f>IF(DATOS!$I19899="","",IFERROR(VLOOKUP(DATOS!$I19899,CONFIG_ASIGNATURAS!$B$2:$J$61,9,FALSE()),""))</f>
      </c>
    </row>
    <row r="19900">
      <c r="E19900">
        <f>IF(DATOS!$I19900="","",IFERROR(VLOOKUP(DATOS!$I19900,CONFIG_ASIGNATURAS!$B$2:$J$61,9,FALSE()),""))</f>
      </c>
    </row>
    <row r="19901">
      <c r="E19901">
        <f>IF(DATOS!$I19901="","",IFERROR(VLOOKUP(DATOS!$I19901,CONFIG_ASIGNATURAS!$B$2:$J$61,9,FALSE()),""))</f>
      </c>
    </row>
    <row r="19902">
      <c r="E19902">
        <f>IF(DATOS!$I19902="","",IFERROR(VLOOKUP(DATOS!$I19902,CONFIG_ASIGNATURAS!$B$2:$J$61,9,FALSE()),""))</f>
      </c>
    </row>
    <row r="19903">
      <c r="E19903">
        <f>IF(DATOS!$I19903="","",IFERROR(VLOOKUP(DATOS!$I19903,CONFIG_ASIGNATURAS!$B$2:$J$61,9,FALSE()),""))</f>
      </c>
    </row>
    <row r="19904">
      <c r="E19904">
        <f>IF(DATOS!$I19904="","",IFERROR(VLOOKUP(DATOS!$I19904,CONFIG_ASIGNATURAS!$B$2:$J$61,9,FALSE()),""))</f>
      </c>
    </row>
    <row r="19905">
      <c r="E19905">
        <f>IF(DATOS!$I19905="","",IFERROR(VLOOKUP(DATOS!$I19905,CONFIG_ASIGNATURAS!$B$2:$J$61,9,FALSE()),""))</f>
      </c>
    </row>
    <row r="19906">
      <c r="E19906">
        <f>IF(DATOS!$I19906="","",IFERROR(VLOOKUP(DATOS!$I19906,CONFIG_ASIGNATURAS!$B$2:$J$61,9,FALSE()),""))</f>
      </c>
    </row>
    <row r="19907">
      <c r="E19907">
        <f>IF(DATOS!$I19907="","",IFERROR(VLOOKUP(DATOS!$I19907,CONFIG_ASIGNATURAS!$B$2:$J$61,9,FALSE()),""))</f>
      </c>
    </row>
    <row r="19908">
      <c r="E19908">
        <f>IF(DATOS!$I19908="","",IFERROR(VLOOKUP(DATOS!$I19908,CONFIG_ASIGNATURAS!$B$2:$J$61,9,FALSE()),""))</f>
      </c>
    </row>
    <row r="19909">
      <c r="E19909">
        <f>IF(DATOS!$I19909="","",IFERROR(VLOOKUP(DATOS!$I19909,CONFIG_ASIGNATURAS!$B$2:$J$61,9,FALSE()),""))</f>
      </c>
    </row>
    <row r="19910">
      <c r="E19910">
        <f>IF(DATOS!$I19910="","",IFERROR(VLOOKUP(DATOS!$I19910,CONFIG_ASIGNATURAS!$B$2:$J$61,9,FALSE()),""))</f>
      </c>
    </row>
    <row r="19911">
      <c r="E19911">
        <f>IF(DATOS!$I19911="","",IFERROR(VLOOKUP(DATOS!$I19911,CONFIG_ASIGNATURAS!$B$2:$J$61,9,FALSE()),""))</f>
      </c>
    </row>
    <row r="19912">
      <c r="E19912">
        <f>IF(DATOS!$I19912="","",IFERROR(VLOOKUP(DATOS!$I19912,CONFIG_ASIGNATURAS!$B$2:$J$61,9,FALSE()),""))</f>
      </c>
    </row>
    <row r="19913">
      <c r="E19913">
        <f>IF(DATOS!$I19913="","",IFERROR(VLOOKUP(DATOS!$I19913,CONFIG_ASIGNATURAS!$B$2:$J$61,9,FALSE()),""))</f>
      </c>
    </row>
    <row r="19914">
      <c r="E19914">
        <f>IF(DATOS!$I19914="","",IFERROR(VLOOKUP(DATOS!$I19914,CONFIG_ASIGNATURAS!$B$2:$J$61,9,FALSE()),""))</f>
      </c>
    </row>
    <row r="19915">
      <c r="E19915">
        <f>IF(DATOS!$I19915="","",IFERROR(VLOOKUP(DATOS!$I19915,CONFIG_ASIGNATURAS!$B$2:$J$61,9,FALSE()),""))</f>
      </c>
    </row>
    <row r="19916">
      <c r="E19916">
        <f>IF(DATOS!$I19916="","",IFERROR(VLOOKUP(DATOS!$I19916,CONFIG_ASIGNATURAS!$B$2:$J$61,9,FALSE()),""))</f>
      </c>
    </row>
    <row r="19917">
      <c r="E19917">
        <f>IF(DATOS!$I19917="","",IFERROR(VLOOKUP(DATOS!$I19917,CONFIG_ASIGNATURAS!$B$2:$J$61,9,FALSE()),""))</f>
      </c>
    </row>
    <row r="19918">
      <c r="E19918">
        <f>IF(DATOS!$I19918="","",IFERROR(VLOOKUP(DATOS!$I19918,CONFIG_ASIGNATURAS!$B$2:$J$61,9,FALSE()),""))</f>
      </c>
    </row>
    <row r="19919">
      <c r="E19919">
        <f>IF(DATOS!$I19919="","",IFERROR(VLOOKUP(DATOS!$I19919,CONFIG_ASIGNATURAS!$B$2:$J$61,9,FALSE()),""))</f>
      </c>
    </row>
    <row r="19920">
      <c r="E19920">
        <f>IF(DATOS!$I19920="","",IFERROR(VLOOKUP(DATOS!$I19920,CONFIG_ASIGNATURAS!$B$2:$J$61,9,FALSE()),""))</f>
      </c>
    </row>
    <row r="19921">
      <c r="E19921">
        <f>IF(DATOS!$I19921="","",IFERROR(VLOOKUP(DATOS!$I19921,CONFIG_ASIGNATURAS!$B$2:$J$61,9,FALSE()),""))</f>
      </c>
    </row>
    <row r="19922">
      <c r="E19922">
        <f>IF(DATOS!$I19922="","",IFERROR(VLOOKUP(DATOS!$I19922,CONFIG_ASIGNATURAS!$B$2:$J$61,9,FALSE()),""))</f>
      </c>
    </row>
    <row r="19923">
      <c r="E19923">
        <f>IF(DATOS!$I19923="","",IFERROR(VLOOKUP(DATOS!$I19923,CONFIG_ASIGNATURAS!$B$2:$J$61,9,FALSE()),""))</f>
      </c>
    </row>
    <row r="19924">
      <c r="E19924">
        <f>IF(DATOS!$I19924="","",IFERROR(VLOOKUP(DATOS!$I19924,CONFIG_ASIGNATURAS!$B$2:$J$61,9,FALSE()),""))</f>
      </c>
    </row>
    <row r="19925">
      <c r="E19925">
        <f>IF(DATOS!$I19925="","",IFERROR(VLOOKUP(DATOS!$I19925,CONFIG_ASIGNATURAS!$B$2:$J$61,9,FALSE()),""))</f>
      </c>
    </row>
    <row r="19926">
      <c r="E19926">
        <f>IF(DATOS!$I19926="","",IFERROR(VLOOKUP(DATOS!$I19926,CONFIG_ASIGNATURAS!$B$2:$J$61,9,FALSE()),""))</f>
      </c>
    </row>
    <row r="19927">
      <c r="E19927">
        <f>IF(DATOS!$I19927="","",IFERROR(VLOOKUP(DATOS!$I19927,CONFIG_ASIGNATURAS!$B$2:$J$61,9,FALSE()),""))</f>
      </c>
    </row>
    <row r="19928">
      <c r="E19928">
        <f>IF(DATOS!$I19928="","",IFERROR(VLOOKUP(DATOS!$I19928,CONFIG_ASIGNATURAS!$B$2:$J$61,9,FALSE()),""))</f>
      </c>
    </row>
    <row r="19929">
      <c r="E19929">
        <f>IF(DATOS!$I19929="","",IFERROR(VLOOKUP(DATOS!$I19929,CONFIG_ASIGNATURAS!$B$2:$J$61,9,FALSE()),""))</f>
      </c>
    </row>
    <row r="19930">
      <c r="E19930">
        <f>IF(DATOS!$I19930="","",IFERROR(VLOOKUP(DATOS!$I19930,CONFIG_ASIGNATURAS!$B$2:$J$61,9,FALSE()),""))</f>
      </c>
    </row>
    <row r="19931">
      <c r="E19931">
        <f>IF(DATOS!$I19931="","",IFERROR(VLOOKUP(DATOS!$I19931,CONFIG_ASIGNATURAS!$B$2:$J$61,9,FALSE()),""))</f>
      </c>
    </row>
    <row r="19932">
      <c r="E19932">
        <f>IF(DATOS!$I19932="","",IFERROR(VLOOKUP(DATOS!$I19932,CONFIG_ASIGNATURAS!$B$2:$J$61,9,FALSE()),""))</f>
      </c>
    </row>
    <row r="19933">
      <c r="E19933">
        <f>IF(DATOS!$I19933="","",IFERROR(VLOOKUP(DATOS!$I19933,CONFIG_ASIGNATURAS!$B$2:$J$61,9,FALSE()),""))</f>
      </c>
    </row>
    <row r="19934">
      <c r="E19934">
        <f>IF(DATOS!$I19934="","",IFERROR(VLOOKUP(DATOS!$I19934,CONFIG_ASIGNATURAS!$B$2:$J$61,9,FALSE()),""))</f>
      </c>
    </row>
    <row r="19935">
      <c r="E19935">
        <f>IF(DATOS!$I19935="","",IFERROR(VLOOKUP(DATOS!$I19935,CONFIG_ASIGNATURAS!$B$2:$J$61,9,FALSE()),""))</f>
      </c>
    </row>
    <row r="19936">
      <c r="E19936">
        <f>IF(DATOS!$I19936="","",IFERROR(VLOOKUP(DATOS!$I19936,CONFIG_ASIGNATURAS!$B$2:$J$61,9,FALSE()),""))</f>
      </c>
    </row>
    <row r="19937">
      <c r="E19937">
        <f>IF(DATOS!$I19937="","",IFERROR(VLOOKUP(DATOS!$I19937,CONFIG_ASIGNATURAS!$B$2:$J$61,9,FALSE()),""))</f>
      </c>
    </row>
    <row r="19938">
      <c r="E19938">
        <f>IF(DATOS!$I19938="","",IFERROR(VLOOKUP(DATOS!$I19938,CONFIG_ASIGNATURAS!$B$2:$J$61,9,FALSE()),""))</f>
      </c>
    </row>
    <row r="19939">
      <c r="E19939">
        <f>IF(DATOS!$I19939="","",IFERROR(VLOOKUP(DATOS!$I19939,CONFIG_ASIGNATURAS!$B$2:$J$61,9,FALSE()),""))</f>
      </c>
    </row>
    <row r="19940">
      <c r="E19940">
        <f>IF(DATOS!$I19940="","",IFERROR(VLOOKUP(DATOS!$I19940,CONFIG_ASIGNATURAS!$B$2:$J$61,9,FALSE()),""))</f>
      </c>
    </row>
    <row r="19941">
      <c r="E19941">
        <f>IF(DATOS!$I19941="","",IFERROR(VLOOKUP(DATOS!$I19941,CONFIG_ASIGNATURAS!$B$2:$J$61,9,FALSE()),""))</f>
      </c>
    </row>
    <row r="19942">
      <c r="E19942">
        <f>IF(DATOS!$I19942="","",IFERROR(VLOOKUP(DATOS!$I19942,CONFIG_ASIGNATURAS!$B$2:$J$61,9,FALSE()),""))</f>
      </c>
    </row>
    <row r="19943">
      <c r="E19943">
        <f>IF(DATOS!$I19943="","",IFERROR(VLOOKUP(DATOS!$I19943,CONFIG_ASIGNATURAS!$B$2:$J$61,9,FALSE()),""))</f>
      </c>
    </row>
    <row r="19944">
      <c r="E19944">
        <f>IF(DATOS!$I19944="","",IFERROR(VLOOKUP(DATOS!$I19944,CONFIG_ASIGNATURAS!$B$2:$J$61,9,FALSE()),""))</f>
      </c>
    </row>
    <row r="19945">
      <c r="E19945">
        <f>IF(DATOS!$I19945="","",IFERROR(VLOOKUP(DATOS!$I19945,CONFIG_ASIGNATURAS!$B$2:$J$61,9,FALSE()),""))</f>
      </c>
    </row>
    <row r="19946">
      <c r="E19946">
        <f>IF(DATOS!$I19946="","",IFERROR(VLOOKUP(DATOS!$I19946,CONFIG_ASIGNATURAS!$B$2:$J$61,9,FALSE()),""))</f>
      </c>
    </row>
    <row r="19947">
      <c r="E19947">
        <f>IF(DATOS!$I19947="","",IFERROR(VLOOKUP(DATOS!$I19947,CONFIG_ASIGNATURAS!$B$2:$J$61,9,FALSE()),""))</f>
      </c>
    </row>
    <row r="19948">
      <c r="E19948">
        <f>IF(DATOS!$I19948="","",IFERROR(VLOOKUP(DATOS!$I19948,CONFIG_ASIGNATURAS!$B$2:$J$61,9,FALSE()),""))</f>
      </c>
    </row>
    <row r="19949">
      <c r="E19949">
        <f>IF(DATOS!$I19949="","",IFERROR(VLOOKUP(DATOS!$I19949,CONFIG_ASIGNATURAS!$B$2:$J$61,9,FALSE()),""))</f>
      </c>
    </row>
    <row r="19950">
      <c r="E19950">
        <f>IF(DATOS!$I19950="","",IFERROR(VLOOKUP(DATOS!$I19950,CONFIG_ASIGNATURAS!$B$2:$J$61,9,FALSE()),""))</f>
      </c>
    </row>
    <row r="19951">
      <c r="E19951">
        <f>IF(DATOS!$I19951="","",IFERROR(VLOOKUP(DATOS!$I19951,CONFIG_ASIGNATURAS!$B$2:$J$61,9,FALSE()),""))</f>
      </c>
    </row>
    <row r="19952">
      <c r="E19952">
        <f>IF(DATOS!$I19952="","",IFERROR(VLOOKUP(DATOS!$I19952,CONFIG_ASIGNATURAS!$B$2:$J$61,9,FALSE()),""))</f>
      </c>
    </row>
    <row r="19953">
      <c r="E19953">
        <f>IF(DATOS!$I19953="","",IFERROR(VLOOKUP(DATOS!$I19953,CONFIG_ASIGNATURAS!$B$2:$J$61,9,FALSE()),""))</f>
      </c>
    </row>
    <row r="19954">
      <c r="E19954">
        <f>IF(DATOS!$I19954="","",IFERROR(VLOOKUP(DATOS!$I19954,CONFIG_ASIGNATURAS!$B$2:$J$61,9,FALSE()),""))</f>
      </c>
    </row>
    <row r="19955">
      <c r="E19955">
        <f>IF(DATOS!$I19955="","",IFERROR(VLOOKUP(DATOS!$I19955,CONFIG_ASIGNATURAS!$B$2:$J$61,9,FALSE()),""))</f>
      </c>
    </row>
    <row r="19956">
      <c r="E19956">
        <f>IF(DATOS!$I19956="","",IFERROR(VLOOKUP(DATOS!$I19956,CONFIG_ASIGNATURAS!$B$2:$J$61,9,FALSE()),""))</f>
      </c>
    </row>
    <row r="19957">
      <c r="E19957">
        <f>IF(DATOS!$I19957="","",IFERROR(VLOOKUP(DATOS!$I19957,CONFIG_ASIGNATURAS!$B$2:$J$61,9,FALSE()),""))</f>
      </c>
    </row>
    <row r="19958">
      <c r="E19958">
        <f>IF(DATOS!$I19958="","",IFERROR(VLOOKUP(DATOS!$I19958,CONFIG_ASIGNATURAS!$B$2:$J$61,9,FALSE()),""))</f>
      </c>
    </row>
    <row r="19959">
      <c r="E19959">
        <f>IF(DATOS!$I19959="","",IFERROR(VLOOKUP(DATOS!$I19959,CONFIG_ASIGNATURAS!$B$2:$J$61,9,FALSE()),""))</f>
      </c>
    </row>
    <row r="19960">
      <c r="E19960">
        <f>IF(DATOS!$I19960="","",IFERROR(VLOOKUP(DATOS!$I19960,CONFIG_ASIGNATURAS!$B$2:$J$61,9,FALSE()),""))</f>
      </c>
    </row>
    <row r="19961">
      <c r="E19961">
        <f>IF(DATOS!$I19961="","",IFERROR(VLOOKUP(DATOS!$I19961,CONFIG_ASIGNATURAS!$B$2:$J$61,9,FALSE()),""))</f>
      </c>
    </row>
    <row r="19962">
      <c r="E19962">
        <f>IF(DATOS!$I19962="","",IFERROR(VLOOKUP(DATOS!$I19962,CONFIG_ASIGNATURAS!$B$2:$J$61,9,FALSE()),""))</f>
      </c>
    </row>
    <row r="19963">
      <c r="E19963">
        <f>IF(DATOS!$I19963="","",IFERROR(VLOOKUP(DATOS!$I19963,CONFIG_ASIGNATURAS!$B$2:$J$61,9,FALSE()),""))</f>
      </c>
    </row>
    <row r="19964">
      <c r="E19964">
        <f>IF(DATOS!$I19964="","",IFERROR(VLOOKUP(DATOS!$I19964,CONFIG_ASIGNATURAS!$B$2:$J$61,9,FALSE()),""))</f>
      </c>
    </row>
    <row r="19965">
      <c r="E19965">
        <f>IF(DATOS!$I19965="","",IFERROR(VLOOKUP(DATOS!$I19965,CONFIG_ASIGNATURAS!$B$2:$J$61,9,FALSE()),""))</f>
      </c>
    </row>
    <row r="19966">
      <c r="E19966">
        <f>IF(DATOS!$I19966="","",IFERROR(VLOOKUP(DATOS!$I19966,CONFIG_ASIGNATURAS!$B$2:$J$61,9,FALSE()),""))</f>
      </c>
    </row>
    <row r="19967">
      <c r="E19967">
        <f>IF(DATOS!$I19967="","",IFERROR(VLOOKUP(DATOS!$I19967,CONFIG_ASIGNATURAS!$B$2:$J$61,9,FALSE()),""))</f>
      </c>
    </row>
    <row r="19968">
      <c r="E19968">
        <f>IF(DATOS!$I19968="","",IFERROR(VLOOKUP(DATOS!$I19968,CONFIG_ASIGNATURAS!$B$2:$J$61,9,FALSE()),""))</f>
      </c>
    </row>
    <row r="19969">
      <c r="E19969">
        <f>IF(DATOS!$I19969="","",IFERROR(VLOOKUP(DATOS!$I19969,CONFIG_ASIGNATURAS!$B$2:$J$61,9,FALSE()),""))</f>
      </c>
    </row>
    <row r="19970">
      <c r="E19970">
        <f>IF(DATOS!$I19970="","",IFERROR(VLOOKUP(DATOS!$I19970,CONFIG_ASIGNATURAS!$B$2:$J$61,9,FALSE()),""))</f>
      </c>
    </row>
    <row r="19971">
      <c r="E19971">
        <f>IF(DATOS!$I19971="","",IFERROR(VLOOKUP(DATOS!$I19971,CONFIG_ASIGNATURAS!$B$2:$J$61,9,FALSE()),""))</f>
      </c>
    </row>
    <row r="19972">
      <c r="E19972">
        <f>IF(DATOS!$I19972="","",IFERROR(VLOOKUP(DATOS!$I19972,CONFIG_ASIGNATURAS!$B$2:$J$61,9,FALSE()),""))</f>
      </c>
    </row>
    <row r="19973">
      <c r="E19973">
        <f>IF(DATOS!$I19973="","",IFERROR(VLOOKUP(DATOS!$I19973,CONFIG_ASIGNATURAS!$B$2:$J$61,9,FALSE()),""))</f>
      </c>
    </row>
    <row r="19974">
      <c r="E19974">
        <f>IF(DATOS!$I19974="","",IFERROR(VLOOKUP(DATOS!$I19974,CONFIG_ASIGNATURAS!$B$2:$J$61,9,FALSE()),""))</f>
      </c>
    </row>
    <row r="19975">
      <c r="E19975">
        <f>IF(DATOS!$I19975="","",IFERROR(VLOOKUP(DATOS!$I19975,CONFIG_ASIGNATURAS!$B$2:$J$61,9,FALSE()),""))</f>
      </c>
    </row>
    <row r="19976">
      <c r="E19976">
        <f>IF(DATOS!$I19976="","",IFERROR(VLOOKUP(DATOS!$I19976,CONFIG_ASIGNATURAS!$B$2:$J$61,9,FALSE()),""))</f>
      </c>
    </row>
    <row r="19977">
      <c r="E19977">
        <f>IF(DATOS!$I19977="","",IFERROR(VLOOKUP(DATOS!$I19977,CONFIG_ASIGNATURAS!$B$2:$J$61,9,FALSE()),""))</f>
      </c>
    </row>
    <row r="19978">
      <c r="E19978">
        <f>IF(DATOS!$I19978="","",IFERROR(VLOOKUP(DATOS!$I19978,CONFIG_ASIGNATURAS!$B$2:$J$61,9,FALSE()),""))</f>
      </c>
    </row>
    <row r="19979">
      <c r="E19979">
        <f>IF(DATOS!$I19979="","",IFERROR(VLOOKUP(DATOS!$I19979,CONFIG_ASIGNATURAS!$B$2:$J$61,9,FALSE()),""))</f>
      </c>
    </row>
    <row r="19980">
      <c r="E19980">
        <f>IF(DATOS!$I19980="","",IFERROR(VLOOKUP(DATOS!$I19980,CONFIG_ASIGNATURAS!$B$2:$J$61,9,FALSE()),""))</f>
      </c>
    </row>
    <row r="19981">
      <c r="E19981">
        <f>IF(DATOS!$I19981="","",IFERROR(VLOOKUP(DATOS!$I19981,CONFIG_ASIGNATURAS!$B$2:$J$61,9,FALSE()),""))</f>
      </c>
    </row>
    <row r="19982">
      <c r="E19982">
        <f>IF(DATOS!$I19982="","",IFERROR(VLOOKUP(DATOS!$I19982,CONFIG_ASIGNATURAS!$B$2:$J$61,9,FALSE()),""))</f>
      </c>
    </row>
    <row r="19983">
      <c r="E19983">
        <f>IF(DATOS!$I19983="","",IFERROR(VLOOKUP(DATOS!$I19983,CONFIG_ASIGNATURAS!$B$2:$J$61,9,FALSE()),""))</f>
      </c>
    </row>
    <row r="19984">
      <c r="E19984">
        <f>IF(DATOS!$I19984="","",IFERROR(VLOOKUP(DATOS!$I19984,CONFIG_ASIGNATURAS!$B$2:$J$61,9,FALSE()),""))</f>
      </c>
    </row>
    <row r="19985">
      <c r="E19985">
        <f>IF(DATOS!$I19985="","",IFERROR(VLOOKUP(DATOS!$I19985,CONFIG_ASIGNATURAS!$B$2:$J$61,9,FALSE()),""))</f>
      </c>
    </row>
    <row r="19986">
      <c r="E19986">
        <f>IF(DATOS!$I19986="","",IFERROR(VLOOKUP(DATOS!$I19986,CONFIG_ASIGNATURAS!$B$2:$J$61,9,FALSE()),""))</f>
      </c>
    </row>
    <row r="19987">
      <c r="E19987">
        <f>IF(DATOS!$I19987="","",IFERROR(VLOOKUP(DATOS!$I19987,CONFIG_ASIGNATURAS!$B$2:$J$61,9,FALSE()),""))</f>
      </c>
    </row>
    <row r="19988">
      <c r="E19988">
        <f>IF(DATOS!$I19988="","",IFERROR(VLOOKUP(DATOS!$I19988,CONFIG_ASIGNATURAS!$B$2:$J$61,9,FALSE()),""))</f>
      </c>
    </row>
    <row r="19989">
      <c r="E19989">
        <f>IF(DATOS!$I19989="","",IFERROR(VLOOKUP(DATOS!$I19989,CONFIG_ASIGNATURAS!$B$2:$J$61,9,FALSE()),""))</f>
      </c>
    </row>
    <row r="19990">
      <c r="E19990">
        <f>IF(DATOS!$I19990="","",IFERROR(VLOOKUP(DATOS!$I19990,CONFIG_ASIGNATURAS!$B$2:$J$61,9,FALSE()),""))</f>
      </c>
    </row>
    <row r="19991">
      <c r="E19991">
        <f>IF(DATOS!$I19991="","",IFERROR(VLOOKUP(DATOS!$I19991,CONFIG_ASIGNATURAS!$B$2:$J$61,9,FALSE()),""))</f>
      </c>
    </row>
    <row r="19992">
      <c r="E19992">
        <f>IF(DATOS!$I19992="","",IFERROR(VLOOKUP(DATOS!$I19992,CONFIG_ASIGNATURAS!$B$2:$J$61,9,FALSE()),""))</f>
      </c>
    </row>
    <row r="19993">
      <c r="E19993">
        <f>IF(DATOS!$I19993="","",IFERROR(VLOOKUP(DATOS!$I19993,CONFIG_ASIGNATURAS!$B$2:$J$61,9,FALSE()),""))</f>
      </c>
    </row>
    <row r="19994">
      <c r="E19994">
        <f>IF(DATOS!$I19994="","",IFERROR(VLOOKUP(DATOS!$I19994,CONFIG_ASIGNATURAS!$B$2:$J$61,9,FALSE()),""))</f>
      </c>
    </row>
    <row r="19995">
      <c r="E19995">
        <f>IF(DATOS!$I19995="","",IFERROR(VLOOKUP(DATOS!$I19995,CONFIG_ASIGNATURAS!$B$2:$J$61,9,FALSE()),""))</f>
      </c>
    </row>
    <row r="19996">
      <c r="E19996">
        <f>IF(DATOS!$I19996="","",IFERROR(VLOOKUP(DATOS!$I19996,CONFIG_ASIGNATURAS!$B$2:$J$61,9,FALSE()),""))</f>
      </c>
    </row>
    <row r="19997">
      <c r="E19997">
        <f>IF(DATOS!$I19997="","",IFERROR(VLOOKUP(DATOS!$I19997,CONFIG_ASIGNATURAS!$B$2:$J$61,9,FALSE()),""))</f>
      </c>
    </row>
    <row r="19998">
      <c r="E19998">
        <f>IF(DATOS!$I19998="","",IFERROR(VLOOKUP(DATOS!$I19998,CONFIG_ASIGNATURAS!$B$2:$J$61,9,FALSE()),""))</f>
      </c>
    </row>
    <row r="19999">
      <c r="E19999">
        <f>IF(DATOS!$I19999="","",IFERROR(VLOOKUP(DATOS!$I19999,CONFIG_ASIGNATURAS!$B$2:$J$61,9,FALSE()),""))</f>
      </c>
    </row>
    <row r="20000">
      <c r="E20000">
        <f>IF(DATOS!$I20000="","",IFERROR(VLOOKUP(DATOS!$I20000,CONFIG_ASIGNATURAS!$B$2:$J$61,9,FALSE()),""))</f>
      </c>
    </row>
  </sheetData>
  <dataValidations count="2">
    <dataValidation type="custom" allowBlank="0" showInputMessage="1" showErrorMessage="1" errorTitle="CursoNoValido" error="Escríbelo como 25/26: dos cifras, barra, dos cifras." promptTitle="Curso académico" prompt="Formato 25/26." sqref="B3">
      <formula1>AND(LEN(B3)=5,MID(B3,3,1)="/",ISNUMBER(VALUE(LEFT(B3,2))),ISNUMBER(VALUE(RIGHT(B3,2))))</formula1>
    </dataValidation>
    <dataValidation type="list" allowBlank="0" showInputMessage="1" showErrorMessage="1" errorTitle="Evaluación no válida" error="Usa uno de estos códigos, tal como vienen en la columna Evaluación de DATOS: 1EV,2EV,3EV,FI." promptTitle="Evaluación" prompt="El código tiene que coincidir EXACTAMENTE con lo que pone la columna Evaluación de la hoja DATOS." sqref="B4">
      <formula1>"1EV,2EV,3EV,FI"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zoomScaleNormal="100" workbookViewId="0"/>
  </sheetViews>
  <sheetFormatPr baseColWidth="10" defaultColWidth="8.6640625" defaultRowHeight="15" x14ac:dyDescent="0.2"/>
  <cols>
    <col min="1" max="1" width="5" customWidth="1"/>
    <col min="2" max="2" width="10" customWidth="1"/>
    <col min="3" max="4" width="20" customWidth="1"/>
    <col min="5" max="5" width="8" customWidth="1"/>
  </cols>
  <sheetData>
    <row r="1" spans="1:7" ht="15" customHeight="1" x14ac:dyDescent="0.2">
      <c r="A1" s="5" t="s">
        <v>1</v>
      </c>
      <c r="B1" s="5" t="s">
        <v>57</v>
      </c>
      <c r="C1" s="5" t="s">
        <v>58</v>
      </c>
      <c r="D1" s="5" t="s">
        <v>59</v>
      </c>
      <c r="E1" s="5" t="s">
        <v>7</v>
      </c>
      <c r="G1" s="6" t="s">
        <v>60</v>
      </c>
    </row>
    <row r="2" spans="1:7" ht="15" customHeight="1" x14ac:dyDescent="0.2">
      <c r="A2" s="3">
        <v>1</v>
      </c>
      <c r="B2" s="3" t="s">
        <v>15</v>
      </c>
      <c r="C2" s="3" t="s">
        <v>10</v>
      </c>
      <c r="D2" s="3" t="s">
        <v>16</v>
      </c>
      <c r="E2" s="3" t="s">
        <v>14</v>
      </c>
      <c r="G2" t="s">
        <v>61</v>
      </c>
    </row>
    <row r="3" spans="1:7" ht="15" customHeight="1" x14ac:dyDescent="0.2">
      <c r="A3" s="3">
        <v>2</v>
      </c>
      <c r="B3" s="3" t="s">
        <v>15</v>
      </c>
      <c r="C3" s="3" t="s">
        <v>10</v>
      </c>
      <c r="D3" s="3" t="s">
        <v>20</v>
      </c>
      <c r="E3" s="3" t="s">
        <v>14</v>
      </c>
      <c r="G3" t="s">
        <v>62</v>
      </c>
    </row>
    <row r="4" spans="1:7" ht="15" customHeight="1" x14ac:dyDescent="0.2">
      <c r="A4" s="3">
        <v>3</v>
      </c>
      <c r="B4" s="3" t="s">
        <v>15</v>
      </c>
      <c r="C4" s="3" t="s">
        <v>16</v>
      </c>
      <c r="D4" s="3" t="s">
        <v>20</v>
      </c>
      <c r="E4" s="3" t="s">
        <v>14</v>
      </c>
    </row>
    <row r="5" spans="1:7" ht="15" customHeight="1" x14ac:dyDescent="0.2">
      <c r="A5" s="3">
        <v>4</v>
      </c>
      <c r="B5" s="3" t="s">
        <v>19</v>
      </c>
      <c r="C5" s="3" t="s">
        <v>10</v>
      </c>
      <c r="D5" s="3" t="s">
        <v>16</v>
      </c>
      <c r="E5" s="3" t="s">
        <v>14</v>
      </c>
    </row>
    <row r="6" spans="1:7" ht="15" customHeight="1" x14ac:dyDescent="0.2">
      <c r="A6" s="3">
        <v>5</v>
      </c>
      <c r="B6" s="3" t="s">
        <v>19</v>
      </c>
      <c r="C6" s="3" t="s">
        <v>10</v>
      </c>
      <c r="D6" s="3" t="s">
        <v>20</v>
      </c>
      <c r="E6" s="3" t="s">
        <v>14</v>
      </c>
    </row>
    <row r="7" spans="1:7" ht="15" customHeight="1" x14ac:dyDescent="0.2">
      <c r="A7" s="3">
        <v>6</v>
      </c>
      <c r="B7" s="3" t="s">
        <v>19</v>
      </c>
      <c r="C7" s="3" t="s">
        <v>16</v>
      </c>
      <c r="D7" s="3" t="s">
        <v>20</v>
      </c>
      <c r="E7" s="3" t="s">
        <v>14</v>
      </c>
    </row>
    <row r="8" spans="1:7" ht="15" customHeight="1" x14ac:dyDescent="0.2">
      <c r="A8" s="3">
        <v>7</v>
      </c>
      <c r="B8" s="3" t="s">
        <v>23</v>
      </c>
      <c r="C8" s="3" t="s">
        <v>10</v>
      </c>
      <c r="D8" s="3" t="s">
        <v>16</v>
      </c>
      <c r="E8" s="3" t="s">
        <v>14</v>
      </c>
    </row>
    <row r="9" spans="1:7" ht="15" customHeight="1" x14ac:dyDescent="0.2">
      <c r="A9" s="3">
        <v>8</v>
      </c>
      <c r="B9" s="3" t="s">
        <v>23</v>
      </c>
      <c r="C9" s="3" t="s">
        <v>10</v>
      </c>
      <c r="D9" s="3" t="s">
        <v>21</v>
      </c>
      <c r="E9" s="3" t="s">
        <v>14</v>
      </c>
    </row>
    <row r="10" spans="1:7" ht="15" customHeight="1" x14ac:dyDescent="0.2">
      <c r="A10" s="3">
        <v>9</v>
      </c>
      <c r="B10" s="3" t="s">
        <v>23</v>
      </c>
      <c r="C10" s="3" t="s">
        <v>10</v>
      </c>
      <c r="D10" s="3" t="s">
        <v>20</v>
      </c>
      <c r="E10" s="3" t="s">
        <v>14</v>
      </c>
    </row>
    <row r="11" spans="1:7" ht="15" customHeight="1" x14ac:dyDescent="0.2">
      <c r="A11" s="3">
        <v>10</v>
      </c>
      <c r="B11" s="3" t="s">
        <v>23</v>
      </c>
      <c r="C11" s="3" t="s">
        <v>16</v>
      </c>
      <c r="D11" s="3" t="s">
        <v>21</v>
      </c>
      <c r="E11" s="3" t="s">
        <v>14</v>
      </c>
    </row>
    <row r="12" spans="1:7" ht="15" customHeight="1" x14ac:dyDescent="0.2">
      <c r="A12" s="3">
        <v>11</v>
      </c>
      <c r="B12" s="3" t="s">
        <v>23</v>
      </c>
      <c r="C12" s="3" t="s">
        <v>16</v>
      </c>
      <c r="D12" s="3" t="s">
        <v>20</v>
      </c>
      <c r="E12" s="3" t="s">
        <v>14</v>
      </c>
    </row>
    <row r="13" spans="1:7" ht="15" customHeight="1" x14ac:dyDescent="0.2">
      <c r="A13" s="3">
        <v>12</v>
      </c>
      <c r="B13" s="3" t="s">
        <v>23</v>
      </c>
      <c r="C13" s="3" t="s">
        <v>21</v>
      </c>
      <c r="D13" s="3" t="s">
        <v>20</v>
      </c>
      <c r="E13" s="3" t="s">
        <v>14</v>
      </c>
    </row>
    <row r="14" spans="1:7" ht="15" customHeight="1" x14ac:dyDescent="0.2">
      <c r="A14" s="3">
        <v>13</v>
      </c>
      <c r="B14" s="3" t="s">
        <v>26</v>
      </c>
      <c r="C14" s="3" t="s">
        <v>10</v>
      </c>
      <c r="D14" s="3" t="s">
        <v>16</v>
      </c>
      <c r="E14" s="3" t="s">
        <v>14</v>
      </c>
    </row>
    <row r="15" spans="1:7" ht="15" customHeight="1" x14ac:dyDescent="0.2">
      <c r="A15" s="3">
        <v>14</v>
      </c>
      <c r="B15" s="3" t="s">
        <v>26</v>
      </c>
      <c r="C15" s="3" t="s">
        <v>10</v>
      </c>
      <c r="D15" s="3" t="s">
        <v>21</v>
      </c>
      <c r="E15" s="3" t="s">
        <v>14</v>
      </c>
    </row>
    <row r="16" spans="1:7" ht="15" customHeight="1" x14ac:dyDescent="0.2">
      <c r="A16" s="3">
        <v>15</v>
      </c>
      <c r="B16" s="3" t="s">
        <v>26</v>
      </c>
      <c r="C16" s="3" t="s">
        <v>10</v>
      </c>
      <c r="D16" s="3" t="s">
        <v>20</v>
      </c>
      <c r="E16" s="3" t="s">
        <v>14</v>
      </c>
    </row>
    <row r="17" spans="1:5" ht="15" customHeight="1" x14ac:dyDescent="0.2">
      <c r="A17" s="3">
        <v>16</v>
      </c>
      <c r="B17" s="3" t="s">
        <v>26</v>
      </c>
      <c r="C17" s="3" t="s">
        <v>16</v>
      </c>
      <c r="D17" s="3" t="s">
        <v>21</v>
      </c>
      <c r="E17" s="3" t="s">
        <v>14</v>
      </c>
    </row>
    <row r="18" spans="1:5" ht="15" customHeight="1" x14ac:dyDescent="0.2">
      <c r="A18" s="3">
        <v>17</v>
      </c>
      <c r="B18" s="3" t="s">
        <v>26</v>
      </c>
      <c r="C18" s="3" t="s">
        <v>16</v>
      </c>
      <c r="D18" s="3" t="s">
        <v>20</v>
      </c>
      <c r="E18" s="3" t="s">
        <v>14</v>
      </c>
    </row>
    <row r="19" spans="1:5" ht="15" customHeight="1" x14ac:dyDescent="0.2">
      <c r="A19" s="3">
        <v>18</v>
      </c>
      <c r="B19" s="3" t="s">
        <v>26</v>
      </c>
      <c r="C19" s="3" t="s">
        <v>21</v>
      </c>
      <c r="D19" s="3" t="s">
        <v>20</v>
      </c>
      <c r="E19" s="3" t="s">
        <v>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6"/>
  <sheetViews>
    <sheetView zoomScaleNormal="100" workbookViewId="0">
      <selection activeCell="O13" sqref="O13"/>
    </sheetView>
  </sheetViews>
  <sheetFormatPr baseColWidth="10" defaultColWidth="8.6640625" defaultRowHeight="15" x14ac:dyDescent="0.2"/>
  <cols>
    <col min="1" max="1" width="15.83203125" customWidth="1"/>
    <col min="2" max="2" width="15" customWidth="1"/>
    <col min="3" max="3" width="12" customWidth="1"/>
    <col min="4" max="4" width="8" customWidth="1"/>
    <col min="5" max="5" width="18" customWidth="1"/>
    <col min="6" max="6" width="8" customWidth="1"/>
    <col min="7" max="7" width="10" customWidth="1"/>
    <col min="8" max="8" width="12" customWidth="1"/>
    <col min="9" max="9" width="18" customWidth="1"/>
    <col min="10" max="10" width="6" customWidth="1"/>
    <col min="11" max="11" width="12" customWidth="1"/>
    <col min="12" max="12" width="6" customWidth="1"/>
    <col min="13" max="13" width="15" customWidth="1"/>
    <col min="14" max="14" width="10" customWidth="1"/>
  </cols>
  <sheetData>
    <row r="1" spans="1:14" ht="15" customHeight="1" x14ac:dyDescent="0.2">
      <c r="A1" s="2" t="s">
        <v>63</v>
      </c>
      <c r="B1" s="2" t="s">
        <v>64</v>
      </c>
      <c r="C1" s="2" t="s">
        <v>65</v>
      </c>
      <c r="D1" s="2" t="s">
        <v>57</v>
      </c>
      <c r="E1" s="2" t="s">
        <v>20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</row>
    <row r="2" spans="1:14" ht="15" customHeight="1" x14ac:dyDescent="0.2"/>
    <row r="3" spans="1:14" ht="15" customHeight="1" x14ac:dyDescent="0.2"/>
    <row r="4" spans="1:14" ht="15" customHeight="1" x14ac:dyDescent="0.2"/>
    <row r="5" spans="1:14" ht="15" customHeight="1" x14ac:dyDescent="0.2"/>
    <row r="6" spans="1:14" ht="15" customHeight="1" x14ac:dyDescent="0.2"/>
    <row r="7" spans="1:14" ht="15" customHeight="1" x14ac:dyDescent="0.2"/>
    <row r="8" spans="1:14" ht="15" customHeight="1" x14ac:dyDescent="0.2"/>
    <row r="9" spans="1:14" ht="15" customHeight="1" x14ac:dyDescent="0.2"/>
    <row r="10" spans="1:14" ht="15" customHeight="1" x14ac:dyDescent="0.2"/>
    <row r="11" spans="1:14" ht="15" customHeight="1" x14ac:dyDescent="0.2"/>
    <row r="12" spans="1:14" ht="15" customHeight="1" x14ac:dyDescent="0.2"/>
    <row r="13" spans="1:14" ht="15" customHeight="1" x14ac:dyDescent="0.2"/>
    <row r="14" spans="1:14" ht="15" customHeight="1" x14ac:dyDescent="0.2"/>
    <row r="15" spans="1:14" ht="15" customHeight="1" x14ac:dyDescent="0.2"/>
    <row r="16" spans="1:14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5" customHeight="1" x14ac:dyDescent="0.2"/>
    <row r="39" ht="15" customHeight="1" x14ac:dyDescent="0.2"/>
    <row r="40" ht="15" customHeight="1" x14ac:dyDescent="0.2"/>
    <row r="41" ht="15" customHeight="1" x14ac:dyDescent="0.2"/>
    <row r="42" ht="15" customHeight="1" x14ac:dyDescent="0.2"/>
    <row r="43" ht="15" customHeight="1" x14ac:dyDescent="0.2"/>
    <row r="44" ht="15" customHeight="1" x14ac:dyDescent="0.2"/>
    <row r="45" ht="15" customHeight="1" x14ac:dyDescent="0.2"/>
    <row r="46" ht="15" customHeight="1" x14ac:dyDescent="0.2"/>
    <row r="47" ht="15" customHeight="1" x14ac:dyDescent="0.2"/>
    <row r="48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16"/>
  <sheetViews>
    <sheetView topLeftCell="A59" zoomScaleNormal="100" workbookViewId="0">
      <selection activeCell="F92" sqref="F92"/>
    </sheetView>
  </sheetViews>
  <sheetFormatPr baseColWidth="10" defaultColWidth="8.6640625" defaultRowHeight="15" x14ac:dyDescent="0.2"/>
  <cols>
    <col min="1" max="3" width="18" customWidth="1"/>
    <col min="4" max="4" width="12" customWidth="1"/>
    <col min="5" max="5" width="12" style="14" customWidth="1"/>
    <col min="6" max="9" width="12" customWidth="1"/>
    <col min="10" max="10" width="16" customWidth="1"/>
    <col min="11" max="11" width="17.33203125" customWidth="1"/>
    <col min="12" max="22" width="12" customWidth="1"/>
  </cols>
  <sheetData>
    <row r="1" spans="1:22" ht="15" customHeight="1" x14ac:dyDescent="0.2">
      <c r="A1" s="1" t="s">
        <v>75</v>
      </c>
      <c r="B1" s="1" t="s">
        <v>2</v>
      </c>
      <c r="C1" s="1" t="s">
        <v>76</v>
      </c>
      <c r="D1" s="1" t="s">
        <v>77</v>
      </c>
      <c r="E1" s="13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  <c r="V1" s="1" t="s">
        <v>95</v>
      </c>
    </row>
    <row r="2" spans="1:22">
      <c r="A2" s="3" t="inlineStr">
        <is>
          <t xml:space="preserve">GLOBAL</t>
        </is>
      </c>
      <c r="B2" s="3" t="inlineStr">
        <is>
          <t xml:space="preserve">Total</t>
        </is>
      </c>
      <c r="C2" s="3" t="inlineStr">
        <is>
          <t xml:space="preserve">Total</t>
        </is>
      </c>
      <c r="D2">
        <f>COUNTIF(DATOS!G:G,CONFIG_METADATA!$B$4)</f>
        <v>0</v>
      </c>
      <c r="E2" s="14" t="str">
        <f>IFERROR(AVERAGEIF(DATOS!G:G,CONFIG_METADATA!$B$4,DATOS!K:K),"—")</f>
        <v>—</v>
      </c>
      <c r="F2" s="14" t="str" cm="1">
        <f t="array" ref="F2">IFERROR(_xlfn.STDEV.P(IF(nEVAL=CONFIG_METADATA!$B$4,nNOTA)),"—")</f>
        <v>—</v>
      </c>
      <c r="G2" t="str" cm="1">
        <f t="array" ref="G2">IFERROR(_xlfn.MODE.SNGL(IF(nEVAL=CONFIG_METADATA!$B$4,nNOTA)),"—")</f>
        <v>—</v>
      </c>
      <c r="H2" s="15" t="str">
        <f>IFERROR(COUNTIFS(DATOS!G:G,CONFIG_METADATA!$B$4,DATOS!L:L,"S")/COUNTIF(DATOS!G:G,CONFIG_METADATA!$B$4),"—")</f>
        <v>—</v>
      </c>
      <c r="I2" s="15" t="str">
        <f>IFERROR(COUNTIFS(DATOS!G:G,CONFIG_METADATA!$B$4,DATOS!L:L,"N")/COUNTIF(DATOS!G:G,CONFIG_METADATA!$B$4),"—")</f>
        <v>—</v>
      </c>
      <c r="J2" t="str" cm="1">
        <f t="array" ref="J2">IFERROR(_xlfn.MODE.SNGL(IF((nEVAL=CONFIG_METADATA!$B$4)*(nAPTO="S"),nNOTA)),"—")</f>
        <v>—</v>
      </c>
      <c r="K2" t="str" cm="1">
        <f t="array" ref="K2">IFERROR(_xlfn.MODE.SNGL(IF((nEVAL=CONFIG_METADATA!$B$4)*(nAPTO="N"),nNOTA)),"—")</f>
        <v>—</v>
      </c>
      <c r="L2" cm="1">
        <f t="array" ref="L2">SUMPRODUCT((nEVAL=CONFIG_METADATA!$B$4)*(nNOTA=1))</f>
        <v>0</v>
      </c>
      <c r="M2" cm="1">
        <f t="array" ref="M2">SUMPRODUCT((nEVAL=CONFIG_METADATA!$B$4)*(nNOTA=2))</f>
        <v>0</v>
      </c>
      <c r="N2" cm="1">
        <f t="array" ref="N2">SUMPRODUCT((nEVAL=CONFIG_METADATA!$B$4)*(nNOTA=3))</f>
        <v>0</v>
      </c>
      <c r="O2" cm="1">
        <f t="array" ref="O2">SUMPRODUCT((nEVAL=CONFIG_METADATA!$B$4)*(nNOTA=4))</f>
        <v>0</v>
      </c>
      <c r="P2" cm="1">
        <f t="array" ref="P2">SUMPRODUCT((nEVAL=CONFIG_METADATA!$B$4)*(nNOTA=5))</f>
        <v>0</v>
      </c>
      <c r="Q2" cm="1">
        <f t="array" ref="Q2">SUMPRODUCT((nEVAL=CONFIG_METADATA!$B$4)*(nNOTA=6))</f>
        <v>0</v>
      </c>
      <c r="R2" cm="1">
        <f t="array" ref="R2">SUMPRODUCT((nEVAL=CONFIG_METADATA!$B$4)*(nNOTA=7))</f>
        <v>0</v>
      </c>
      <c r="S2" cm="1">
        <f t="array" ref="S2">SUMPRODUCT((nEVAL=CONFIG_METADATA!$B$4)*(nNOTA=8))</f>
        <v>0</v>
      </c>
      <c r="T2" cm="1">
        <f t="array" ref="T2">SUMPRODUCT((nEVAL=CONFIG_METADATA!$B$4)*(nNOTA=9))</f>
        <v>0</v>
      </c>
      <c r="U2" cm="1">
        <f t="array" ref="U2">SUMPRODUCT((nEVAL=CONFIG_METADATA!$B$4)*(nNOTA=10))</f>
        <v>0</v>
      </c>
    </row>
    <row r="3" spans="1:22">
      <c r="A3" s="3" t="inlineStr">
        <is>
          <t xml:space="preserve">GLOBAL</t>
        </is>
      </c>
      <c r="B3" s="3" t="inlineStr">
        <is>
          <t xml:space="preserve">Total Especialidad</t>
        </is>
      </c>
      <c r="C3" s="3" t="inlineStr">
        <is>
          <t xml:space="preserve">TotalEsp</t>
        </is>
      </c>
      <c r="D3">
        <f>SUMPRODUCT((nEVAL=CONFIG_METADATA!$B$4)*(nCLASE_E="E")*1)</f>
      </c>
      <c r="E3" s="14" cm="1">
        <f t="array" ref="E3">IFERROR(AVERAGE(IF((nEVAL=CONFIG_METADATA!$B$4)*(nCLASE_E="E"),nNOTA)),"—")</f>
      </c>
      <c r="F3" s="14" cm="1">
        <f t="array" ref="F3">IFERROR(_xlfn.STDEV.P(IF((nEVAL=CONFIG_METADATA!$B$4)*(nCLASE_E="E"),nNOTA)),"—")</f>
      </c>
      <c r="G3" cm="1">
        <f t="array" ref="G3">IFERROR(_xlfn.MODE.SNGL(IF((nEVAL=CONFIG_METADATA!$B$4)*(nCLASE_E="E"),nNOTA)),"—")</f>
      </c>
      <c r="H3" s="15">
        <f>IFERROR(SUMPRODUCT((nEVAL=CONFIG_METADATA!$B$4)*(nCLASE_E="E")*(nAPTO="S"))/SUMPRODUCT((nEVAL=CONFIG_METADATA!$B$4)*(nCLASE_E="E")*1),"—")</f>
      </c>
      <c r="I3" s="15">
        <f>IFERROR(SUMPRODUCT((nEVAL=CONFIG_METADATA!$B$4)*(nCLASE_E="E")*(nAPTO="N"))/SUMPRODUCT((nEVAL=CONFIG_METADATA!$B$4)*(nCLASE_E="E")*1),"—")</f>
      </c>
      <c r="J3" cm="1">
        <f t="array" ref="J3">IFERROR(_xlfn.MODE.SNGL(IF((nEVAL=CONFIG_METADATA!$B$4)*(nCLASE_E="E")*(nAPTO="S"),nNOTA)),"—")</f>
      </c>
      <c r="K3" cm="1">
        <f t="array" ref="K3">IFERROR(_xlfn.MODE.SNGL(IF((nEVAL=CONFIG_METADATA!$B$4)*(nCLASE_E="E")*(nAPTO="N"),nNOTA)),"—")</f>
      </c>
      <c r="L3">
        <f>SUMPRODUCT((nEVAL=CONFIG_METADATA!$B$4)*(nCLASE_E="E")*(nNOTA=1))</f>
      </c>
      <c r="M3">
        <f>SUMPRODUCT((nEVAL=CONFIG_METADATA!$B$4)*(nCLASE_E="E")*(nNOTA=2))</f>
      </c>
      <c r="N3">
        <f>SUMPRODUCT((nEVAL=CONFIG_METADATA!$B$4)*(nCLASE_E="E")*(nNOTA=3))</f>
      </c>
      <c r="O3">
        <f>SUMPRODUCT((nEVAL=CONFIG_METADATA!$B$4)*(nCLASE_E="E")*(nNOTA=4))</f>
      </c>
      <c r="P3">
        <f>SUMPRODUCT((nEVAL=CONFIG_METADATA!$B$4)*(nCLASE_E="E")*(nNOTA=5))</f>
      </c>
      <c r="Q3">
        <f>SUMPRODUCT((nEVAL=CONFIG_METADATA!$B$4)*(nCLASE_E="E")*(nNOTA=6))</f>
      </c>
      <c r="R3">
        <f>SUMPRODUCT((nEVAL=CONFIG_METADATA!$B$4)*(nCLASE_E="E")*(nNOTA=7))</f>
      </c>
      <c r="S3">
        <f>SUMPRODUCT((nEVAL=CONFIG_METADATA!$B$4)*(nCLASE_E="E")*(nNOTA=8))</f>
      </c>
      <c r="T3">
        <f>SUMPRODUCT((nEVAL=CONFIG_METADATA!$B$4)*(nCLASE_E="E")*(nNOTA=9))</f>
      </c>
      <c r="U3">
        <f>SUMPRODUCT((nEVAL=CONFIG_METADATA!$B$4)*(nCLASE_E="E")*(nNOTA=10))</f>
      </c>
    </row>
    <row r="4" spans="1:22">
      <c r="A4" s="3" t="inlineStr">
        <is>
          <t xml:space="preserve">GLOBAL</t>
        </is>
      </c>
      <c r="B4" s="3" t="inlineStr">
        <is>
          <t xml:space="preserve">Total no Especialidad</t>
        </is>
      </c>
      <c r="C4" s="3" t="inlineStr">
        <is>
          <t xml:space="preserve">TotalNoEsp</t>
        </is>
      </c>
      <c r="D4">
        <f>SUMPRODUCT((nEVAL=CONFIG_METADATA!$B$4)*((nCLASE_E&lt;&gt;"")*(nCLASE_E&lt;&gt;"E"))*1)</f>
      </c>
      <c r="E4" s="14" cm="1">
        <f t="array" ref="E4">IFERROR(AVERAGE(IF((nEVAL=CONFIG_METADATA!$B$4)*((nCLASE_E&lt;&gt;"")*(nCLASE_E&lt;&gt;"E")),nNOTA)),"—")</f>
      </c>
      <c r="F4" s="14" cm="1">
        <f t="array" ref="F4">IFERROR(_xlfn.STDEV.P(IF((nEVAL=CONFIG_METADATA!$B$4)*((nCLASE_E&lt;&gt;"")*(nCLASE_E&lt;&gt;"E")),nNOTA)),"—")</f>
      </c>
      <c r="G4" cm="1">
        <f t="array" ref="G4">IFERROR(_xlfn.MODE.SNGL(IF((nEVAL=CONFIG_METADATA!$B$4)*((nCLASE_E&lt;&gt;"")*(nCLASE_E&lt;&gt;"E")),nNOTA)),"—")</f>
      </c>
      <c r="H4" s="15">
        <f>IFERROR(SUMPRODUCT((nEVAL=CONFIG_METADATA!$B$4)*((nCLASE_E&lt;&gt;"")*(nCLASE_E&lt;&gt;"E"))*(nAPTO="S"))/SUMPRODUCT((nEVAL=CONFIG_METADATA!$B$4)*((nCLASE_E&lt;&gt;"")*(nCLASE_E&lt;&gt;"E"))*1),"—")</f>
      </c>
      <c r="I4" s="15">
        <f>IFERROR(SUMPRODUCT((nEVAL=CONFIG_METADATA!$B$4)*((nCLASE_E&lt;&gt;"")*(nCLASE_E&lt;&gt;"E"))*(nAPTO="N"))/SUMPRODUCT((nEVAL=CONFIG_METADATA!$B$4)*((nCLASE_E&lt;&gt;"")*(nCLASE_E&lt;&gt;"E"))*1),"—")</f>
      </c>
      <c r="J4" cm="1">
        <f t="array" ref="J4">IFERROR(_xlfn.MODE.SNGL(IF((nEVAL=CONFIG_METADATA!$B$4)*((nCLASE_E&lt;&gt;"")*(nCLASE_E&lt;&gt;"E"))*(nAPTO="S"),nNOTA)),"—")</f>
      </c>
      <c r="K4" cm="1">
        <f t="array" ref="K4">IFERROR(_xlfn.MODE.SNGL(IF((nEVAL=CONFIG_METADATA!$B$4)*((nCLASE_E&lt;&gt;"")*(nCLASE_E&lt;&gt;"E"))*(nAPTO="N"),nNOTA)),"—")</f>
      </c>
      <c r="L4">
        <f>SUMPRODUCT((nEVAL=CONFIG_METADATA!$B$4)*((nCLASE_E&lt;&gt;"")*(nCLASE_E&lt;&gt;"E"))*(nNOTA=1))</f>
      </c>
      <c r="M4">
        <f>SUMPRODUCT((nEVAL=CONFIG_METADATA!$B$4)*((nCLASE_E&lt;&gt;"")*(nCLASE_E&lt;&gt;"E"))*(nNOTA=2))</f>
      </c>
      <c r="N4">
        <f>SUMPRODUCT((nEVAL=CONFIG_METADATA!$B$4)*((nCLASE_E&lt;&gt;"")*(nCLASE_E&lt;&gt;"E"))*(nNOTA=3))</f>
      </c>
      <c r="O4">
        <f>SUMPRODUCT((nEVAL=CONFIG_METADATA!$B$4)*((nCLASE_E&lt;&gt;"")*(nCLASE_E&lt;&gt;"E"))*(nNOTA=4))</f>
      </c>
      <c r="P4">
        <f>SUMPRODUCT((nEVAL=CONFIG_METADATA!$B$4)*((nCLASE_E&lt;&gt;"")*(nCLASE_E&lt;&gt;"E"))*(nNOTA=5))</f>
      </c>
      <c r="Q4">
        <f>SUMPRODUCT((nEVAL=CONFIG_METADATA!$B$4)*((nCLASE_E&lt;&gt;"")*(nCLASE_E&lt;&gt;"E"))*(nNOTA=6))</f>
      </c>
      <c r="R4">
        <f>SUMPRODUCT((nEVAL=CONFIG_METADATA!$B$4)*((nCLASE_E&lt;&gt;"")*(nCLASE_E&lt;&gt;"E"))*(nNOTA=7))</f>
      </c>
      <c r="S4">
        <f>SUMPRODUCT((nEVAL=CONFIG_METADATA!$B$4)*((nCLASE_E&lt;&gt;"")*(nCLASE_E&lt;&gt;"E"))*(nNOTA=8))</f>
      </c>
      <c r="T4">
        <f>SUMPRODUCT((nEVAL=CONFIG_METADATA!$B$4)*((nCLASE_E&lt;&gt;"")*(nCLASE_E&lt;&gt;"E"))*(nNOTA=9))</f>
      </c>
      <c r="U4">
        <f>SUMPRODUCT((nEVAL=CONFIG_METADATA!$B$4)*((nCLASE_E&lt;&gt;"")*(nCLASE_E&lt;&gt;"E"))*(nNOTA=10))</f>
      </c>
    </row>
    <row r="5" spans="1:22">
      <c r="A5" s="3" t="inlineStr">
        <is>
          <t xml:space="preserve">GLOBAL</t>
        </is>
      </c>
      <c r="B5" s="3" cm="1">
        <f t="array" ref="B5">IFERROR(INDEX(_xlfn._xlws.FILTER(CONFIG_ASIGNATURAS!$B$2:$B$61,CONFIG_ASIGNATURAS!$G$2:$G$61="Sí"),1),"")</f>
      </c>
      <c r="C5" s="3">
        <f>IF(B5="","",IFERROR(IF(VLOOKUP(B5,CONFIG_ASIGNATURAS!$B$2:$F$61,5,FALSE())="Sí","Especialidad","Asignatura"),"Asignatura"))</f>
      </c>
      <c r="D5">
        <f>COUNTIFS(DATOS!G:G,CONFIG_METADATA!$B$4,DATOS!I:I,B5)</f>
        <v>0</v>
      </c>
      <c r="E5" s="14" t="str">
        <f>IFERROR(AVERAGEIFS(DATOS!K:K,DATOS!G:G,CONFIG_METADATA!$B$4,DATOS!I:I,B5),"—")</f>
        <v>—</v>
      </c>
      <c r="F5" s="14" t="str" cm="1">
        <f t="array" ref="F5">IFERROR(_xlfn.STDEV.P(IF((nEVAL=CONFIG_METADATA!$B$4)*(nASIG=B5),nNOTA)),"—")</f>
        <v>—</v>
      </c>
      <c r="G5" t="str" cm="1">
        <f t="array" ref="G5">IFERROR(_xlfn.MODE.SNGL(IF((nEVAL=CONFIG_METADATA!$B$4)*(nASIG=B5),nNOTA)),"—")</f>
        <v>—</v>
      </c>
      <c r="H5" s="15" t="str">
        <f>IFERROR(COUNTIFS(DATOS!G:G,CONFIG_METADATA!$B$4,DATOS!I:I,B5,DATOS!L:L,"S")/COUNTIFS(DATOS!G:G,CONFIG_METADATA!$B$4,DATOS!I:I,B5),"—")</f>
        <v>—</v>
      </c>
      <c r="I5" s="15" t="str">
        <f>IFERROR(COUNTIFS(DATOS!G:G,CONFIG_METADATA!$B$4,DATOS!I:I,B5,DATOS!L:L,"N")/COUNTIFS(DATOS!G:G,CONFIG_METADATA!$B$4,DATOS!I:I,B5),"—")</f>
        <v>—</v>
      </c>
      <c r="J5" t="str" cm="1">
        <f t="array" ref="J5">IFERROR(_xlfn.MODE.SNGL(IF((nEVAL=CONFIG_METADATA!$B$4)*(nASIG=B5)*(nAPTO="S"),nNOTA)),"—")</f>
        <v>—</v>
      </c>
      <c r="K5" t="str" cm="1">
        <f t="array" ref="K5">IFERROR(_xlfn.MODE.SNGL(IF((nEVAL=CONFIG_METADATA!$B$4)*(nASIG=B5)*(nAPTO="N"),nNOTA)),"—")</f>
        <v>—</v>
      </c>
      <c r="L5">
        <f>COUNTIFS(DATOS!G:G,CONFIG_METADATA!$B$4,DATOS!I:I,B5,DATOS!K:K,1)</f>
        <v>0</v>
      </c>
      <c r="M5">
        <f>COUNTIFS(DATOS!G:G,CONFIG_METADATA!$B$4,DATOS!I:I,B5,DATOS!K:K,2)</f>
        <v>0</v>
      </c>
      <c r="N5">
        <f>COUNTIFS(DATOS!G:G,CONFIG_METADATA!$B$4,DATOS!I:I,B5,DATOS!K:K,3)</f>
        <v>0</v>
      </c>
      <c r="O5">
        <f>COUNTIFS(DATOS!G:G,CONFIG_METADATA!$B$4,DATOS!I:I,B5,DATOS!K:K,4)</f>
        <v>0</v>
      </c>
      <c r="P5">
        <f>COUNTIFS(DATOS!G:G,CONFIG_METADATA!$B$4,DATOS!I:I,B5,DATOS!K:K,5)</f>
        <v>0</v>
      </c>
      <c r="Q5">
        <f>COUNTIFS(DATOS!G:G,CONFIG_METADATA!$B$4,DATOS!I:I,B5,DATOS!K:K,6)</f>
        <v>0</v>
      </c>
      <c r="R5">
        <f>COUNTIFS(DATOS!G:G,CONFIG_METADATA!$B$4,DATOS!I:I,B5,DATOS!K:K,7)</f>
        <v>0</v>
      </c>
      <c r="S5">
        <f>COUNTIFS(DATOS!G:G,CONFIG_METADATA!$B$4,DATOS!I:I,B5,DATOS!K:K,8)</f>
        <v>0</v>
      </c>
      <c r="T5">
        <f>COUNTIFS(DATOS!G:G,CONFIG_METADATA!$B$4,DATOS!I:I,B5,DATOS!K:K,9)</f>
        <v>0</v>
      </c>
      <c r="U5">
        <f>COUNTIFS(DATOS!G:G,CONFIG_METADATA!$B$4,DATOS!I:I,B5,DATOS!K:K,10)</f>
        <v>0</v>
      </c>
    </row>
    <row r="6" spans="1:22">
      <c r="A6" s="3" t="inlineStr">
        <is>
          <t xml:space="preserve">GLOBAL</t>
        </is>
      </c>
      <c r="B6" s="3" cm="1">
        <f t="array" ref="B6">IFERROR(INDEX(_xlfn._xlws.FILTER(CONFIG_ASIGNATURAS!$B$2:$B$61,CONFIG_ASIGNATURAS!$G$2:$G$61="Sí"),2),"")</f>
      </c>
      <c r="C6" s="3">
        <f>IF(B6="","",IFERROR(IF(VLOOKUP(B6,CONFIG_ASIGNATURAS!$B$2:$F$61,5,FALSE())="Sí","Especialidad","Asignatura"),"Asignatura"))</f>
      </c>
      <c r="D6">
        <f>COUNTIFS(DATOS!G:G,CONFIG_METADATA!$B$4,DATOS!I:I,B6)</f>
        <v>0</v>
      </c>
      <c r="E6" s="14" t="str">
        <f>IFERROR(AVERAGEIFS(DATOS!K:K,DATOS!G:G,CONFIG_METADATA!$B$4,DATOS!I:I,B6),"—")</f>
        <v>—</v>
      </c>
      <c r="F6" s="14" t="str" cm="1">
        <f t="array" ref="F6">IFERROR(_xlfn.STDEV.P(IF((nEVAL=CONFIG_METADATA!$B$4)*(nASIG=B6),nNOTA)),"—")</f>
        <v>—</v>
      </c>
      <c r="G6" t="str" cm="1">
        <f t="array" ref="G6">IFERROR(_xlfn.MODE.SNGL(IF((nEVAL=CONFIG_METADATA!$B$4)*(nASIG=B6),nNOTA)),"—")</f>
        <v>—</v>
      </c>
      <c r="H6" s="15" t="str">
        <f>IFERROR(COUNTIFS(DATOS!G:G,CONFIG_METADATA!$B$4,DATOS!I:I,B6,DATOS!L:L,"S")/COUNTIFS(DATOS!G:G,CONFIG_METADATA!$B$4,DATOS!I:I,B6),"—")</f>
        <v>—</v>
      </c>
      <c r="I6" s="15" t="str">
        <f>IFERROR(COUNTIFS(DATOS!G:G,CONFIG_METADATA!$B$4,DATOS!I:I,B6,DATOS!L:L,"N")/COUNTIFS(DATOS!G:G,CONFIG_METADATA!$B$4,DATOS!I:I,B6),"—")</f>
        <v>—</v>
      </c>
      <c r="J6" t="str" cm="1">
        <f t="array" ref="J6">IFERROR(_xlfn.MODE.SNGL(IF((nEVAL=CONFIG_METADATA!$B$4)*(nASIG=B6)*(nAPTO="S"),nNOTA)),"—")</f>
        <v>—</v>
      </c>
      <c r="K6" t="str" cm="1">
        <f t="array" ref="K6">IFERROR(_xlfn.MODE.SNGL(IF((nEVAL=CONFIG_METADATA!$B$4)*(nASIG=B6)*(nAPTO="N"),nNOTA)),"—")</f>
        <v>—</v>
      </c>
      <c r="L6">
        <f>COUNTIFS(DATOS!G:G,CONFIG_METADATA!$B$4,DATOS!I:I,B6,DATOS!K:K,1)</f>
        <v>0</v>
      </c>
      <c r="M6">
        <f>COUNTIFS(DATOS!G:G,CONFIG_METADATA!$B$4,DATOS!I:I,B6,DATOS!K:K,2)</f>
        <v>0</v>
      </c>
      <c r="N6">
        <f>COUNTIFS(DATOS!G:G,CONFIG_METADATA!$B$4,DATOS!I:I,B6,DATOS!K:K,3)</f>
        <v>0</v>
      </c>
      <c r="O6">
        <f>COUNTIFS(DATOS!G:G,CONFIG_METADATA!$B$4,DATOS!I:I,B6,DATOS!K:K,4)</f>
        <v>0</v>
      </c>
      <c r="P6">
        <f>COUNTIFS(DATOS!G:G,CONFIG_METADATA!$B$4,DATOS!I:I,B6,DATOS!K:K,5)</f>
        <v>0</v>
      </c>
      <c r="Q6">
        <f>COUNTIFS(DATOS!G:G,CONFIG_METADATA!$B$4,DATOS!I:I,B6,DATOS!K:K,6)</f>
        <v>0</v>
      </c>
      <c r="R6">
        <f>COUNTIFS(DATOS!G:G,CONFIG_METADATA!$B$4,DATOS!I:I,B6,DATOS!K:K,7)</f>
        <v>0</v>
      </c>
      <c r="S6">
        <f>COUNTIFS(DATOS!G:G,CONFIG_METADATA!$B$4,DATOS!I:I,B6,DATOS!K:K,8)</f>
        <v>0</v>
      </c>
      <c r="T6">
        <f>COUNTIFS(DATOS!G:G,CONFIG_METADATA!$B$4,DATOS!I:I,B6,DATOS!K:K,9)</f>
        <v>0</v>
      </c>
      <c r="U6">
        <f>COUNTIFS(DATOS!G:G,CONFIG_METADATA!$B$4,DATOS!I:I,B6,DATOS!K:K,10)</f>
        <v>0</v>
      </c>
    </row>
    <row r="7" spans="1:22">
      <c r="A7" s="3" t="inlineStr">
        <is>
          <t xml:space="preserve">GLOBAL</t>
        </is>
      </c>
      <c r="B7" s="3" cm="1">
        <f t="array" ref="B7">IFERROR(INDEX(_xlfn._xlws.FILTER(CONFIG_ASIGNATURAS!$B$2:$B$61,CONFIG_ASIGNATURAS!$G$2:$G$61="Sí"),3),"")</f>
      </c>
      <c r="C7" s="3">
        <f>IF(B7="","",IFERROR(IF(VLOOKUP(B7,CONFIG_ASIGNATURAS!$B$2:$F$61,5,FALSE())="Sí","Especialidad","Asignatura"),"Asignatura"))</f>
      </c>
      <c r="D7">
        <f>COUNTIFS(DATOS!G:G,CONFIG_METADATA!$B$4,DATOS!I:I,B7)</f>
        <v>0</v>
      </c>
      <c r="E7" s="14" t="str">
        <f>IFERROR(AVERAGEIFS(DATOS!K:K,DATOS!G:G,CONFIG_METADATA!$B$4,DATOS!I:I,B7),"—")</f>
        <v>—</v>
      </c>
      <c r="F7" s="14" t="str" cm="1">
        <f t="array" ref="F7">IFERROR(_xlfn.STDEV.P(IF((nEVAL=CONFIG_METADATA!$B$4)*(nASIG=B7),nNOTA)),"—")</f>
        <v>—</v>
      </c>
      <c r="G7" t="str" cm="1">
        <f t="array" ref="G7">IFERROR(_xlfn.MODE.SNGL(IF((nEVAL=CONFIG_METADATA!$B$4)*(nASIG=B7),nNOTA)),"—")</f>
        <v>—</v>
      </c>
      <c r="H7" s="15" t="str">
        <f>IFERROR(COUNTIFS(DATOS!G:G,CONFIG_METADATA!$B$4,DATOS!I:I,B7,DATOS!L:L,"S")/COUNTIFS(DATOS!G:G,CONFIG_METADATA!$B$4,DATOS!I:I,B7),"—")</f>
        <v>—</v>
      </c>
      <c r="I7" s="15" t="str">
        <f>IFERROR(COUNTIFS(DATOS!G:G,CONFIG_METADATA!$B$4,DATOS!I:I,B7,DATOS!L:L,"N")/COUNTIFS(DATOS!G:G,CONFIG_METADATA!$B$4,DATOS!I:I,B7),"—")</f>
        <v>—</v>
      </c>
      <c r="J7" t="str" cm="1">
        <f t="array" ref="J7">IFERROR(_xlfn.MODE.SNGL(IF((nEVAL=CONFIG_METADATA!$B$4)*(nASIG=B7)*(nAPTO="S"),nNOTA)),"—")</f>
        <v>—</v>
      </c>
      <c r="K7" t="str" cm="1">
        <f t="array" ref="K7">IFERROR(_xlfn.MODE.SNGL(IF((nEVAL=CONFIG_METADATA!$B$4)*(nASIG=B7)*(nAPTO="N"),nNOTA)),"—")</f>
        <v>—</v>
      </c>
      <c r="L7">
        <f>COUNTIFS(DATOS!G:G,CONFIG_METADATA!$B$4,DATOS!I:I,B7,DATOS!K:K,1)</f>
        <v>0</v>
      </c>
      <c r="M7">
        <f>COUNTIFS(DATOS!G:G,CONFIG_METADATA!$B$4,DATOS!I:I,B7,DATOS!K:K,2)</f>
        <v>0</v>
      </c>
      <c r="N7">
        <f>COUNTIFS(DATOS!G:G,CONFIG_METADATA!$B$4,DATOS!I:I,B7,DATOS!K:K,3)</f>
        <v>0</v>
      </c>
      <c r="O7">
        <f>COUNTIFS(DATOS!G:G,CONFIG_METADATA!$B$4,DATOS!I:I,B7,DATOS!K:K,4)</f>
        <v>0</v>
      </c>
      <c r="P7">
        <f>COUNTIFS(DATOS!G:G,CONFIG_METADATA!$B$4,DATOS!I:I,B7,DATOS!K:K,5)</f>
        <v>0</v>
      </c>
      <c r="Q7">
        <f>COUNTIFS(DATOS!G:G,CONFIG_METADATA!$B$4,DATOS!I:I,B7,DATOS!K:K,6)</f>
        <v>0</v>
      </c>
      <c r="R7">
        <f>COUNTIFS(DATOS!G:G,CONFIG_METADATA!$B$4,DATOS!I:I,B7,DATOS!K:K,7)</f>
        <v>0</v>
      </c>
      <c r="S7">
        <f>COUNTIFS(DATOS!G:G,CONFIG_METADATA!$B$4,DATOS!I:I,B7,DATOS!K:K,8)</f>
        <v>0</v>
      </c>
      <c r="T7">
        <f>COUNTIFS(DATOS!G:G,CONFIG_METADATA!$B$4,DATOS!I:I,B7,DATOS!K:K,9)</f>
        <v>0</v>
      </c>
      <c r="U7">
        <f>COUNTIFS(DATOS!G:G,CONFIG_METADATA!$B$4,DATOS!I:I,B7,DATOS!K:K,10)</f>
        <v>0</v>
      </c>
    </row>
    <row r="8" spans="1:22">
      <c r="A8" s="3" t="inlineStr">
        <is>
          <t xml:space="preserve">GLOBAL</t>
        </is>
      </c>
      <c r="B8" s="3" cm="1">
        <f t="array" ref="B8">IFERROR(INDEX(_xlfn._xlws.FILTER(CONFIG_ASIGNATURAS!$B$2:$B$61,CONFIG_ASIGNATURAS!$G$2:$G$61="Sí"),4),"")</f>
      </c>
      <c r="C8" s="3">
        <f>IF(B8="","",IFERROR(IF(VLOOKUP(B8,CONFIG_ASIGNATURAS!$B$2:$F$61,5,FALSE())="Sí","Especialidad","Asignatura"),"Asignatura"))</f>
      </c>
      <c r="D8">
        <f>COUNTIFS(DATOS!G:G,CONFIG_METADATA!$B$4,DATOS!I:I,B8)</f>
        <v>0</v>
      </c>
      <c r="E8" s="14" t="str">
        <f>IFERROR(AVERAGEIFS(DATOS!K:K,DATOS!G:G,CONFIG_METADATA!$B$4,DATOS!I:I,B8),"—")</f>
        <v>—</v>
      </c>
      <c r="F8" s="14" t="str" cm="1">
        <f t="array" ref="F8">IFERROR(_xlfn.STDEV.P(IF((nEVAL=CONFIG_METADATA!$B$4)*(nASIG=B8),nNOTA)),"—")</f>
        <v>—</v>
      </c>
      <c r="G8" t="str" cm="1">
        <f t="array" ref="G8">IFERROR(_xlfn.MODE.SNGL(IF((nEVAL=CONFIG_METADATA!$B$4)*(nASIG=B8),nNOTA)),"—")</f>
        <v>—</v>
      </c>
      <c r="H8" s="15" t="str">
        <f>IFERROR(COUNTIFS(DATOS!G:G,CONFIG_METADATA!$B$4,DATOS!I:I,B8,DATOS!L:L,"S")/COUNTIFS(DATOS!G:G,CONFIG_METADATA!$B$4,DATOS!I:I,B8),"—")</f>
        <v>—</v>
      </c>
      <c r="I8" s="15" t="str">
        <f>IFERROR(COUNTIFS(DATOS!G:G,CONFIG_METADATA!$B$4,DATOS!I:I,B8,DATOS!L:L,"N")/COUNTIFS(DATOS!G:G,CONFIG_METADATA!$B$4,DATOS!I:I,B8),"—")</f>
        <v>—</v>
      </c>
      <c r="J8" t="str" cm="1">
        <f t="array" ref="J8">IFERROR(_xlfn.MODE.SNGL(IF((nEVAL=CONFIG_METADATA!$B$4)*(nASIG=B8)*(nAPTO="S"),nNOTA)),"—")</f>
        <v>—</v>
      </c>
      <c r="K8" t="str" cm="1">
        <f t="array" ref="K8">IFERROR(_xlfn.MODE.SNGL(IF((nEVAL=CONFIG_METADATA!$B$4)*(nASIG=B8)*(nAPTO="N"),nNOTA)),"—")</f>
        <v>—</v>
      </c>
      <c r="L8">
        <f>COUNTIFS(DATOS!G:G,CONFIG_METADATA!$B$4,DATOS!I:I,B8,DATOS!K:K,1)</f>
        <v>0</v>
      </c>
      <c r="M8">
        <f>COUNTIFS(DATOS!G:G,CONFIG_METADATA!$B$4,DATOS!I:I,B8,DATOS!K:K,2)</f>
        <v>0</v>
      </c>
      <c r="N8">
        <f>COUNTIFS(DATOS!G:G,CONFIG_METADATA!$B$4,DATOS!I:I,B8,DATOS!K:K,3)</f>
        <v>0</v>
      </c>
      <c r="O8">
        <f>COUNTIFS(DATOS!G:G,CONFIG_METADATA!$B$4,DATOS!I:I,B8,DATOS!K:K,4)</f>
        <v>0</v>
      </c>
      <c r="P8">
        <f>COUNTIFS(DATOS!G:G,CONFIG_METADATA!$B$4,DATOS!I:I,B8,DATOS!K:K,5)</f>
        <v>0</v>
      </c>
      <c r="Q8">
        <f>COUNTIFS(DATOS!G:G,CONFIG_METADATA!$B$4,DATOS!I:I,B8,DATOS!K:K,6)</f>
        <v>0</v>
      </c>
      <c r="R8">
        <f>COUNTIFS(DATOS!G:G,CONFIG_METADATA!$B$4,DATOS!I:I,B8,DATOS!K:K,7)</f>
        <v>0</v>
      </c>
      <c r="S8">
        <f>COUNTIFS(DATOS!G:G,CONFIG_METADATA!$B$4,DATOS!I:I,B8,DATOS!K:K,8)</f>
        <v>0</v>
      </c>
      <c r="T8">
        <f>COUNTIFS(DATOS!G:G,CONFIG_METADATA!$B$4,DATOS!I:I,B8,DATOS!K:K,9)</f>
        <v>0</v>
      </c>
      <c r="U8">
        <f>COUNTIFS(DATOS!G:G,CONFIG_METADATA!$B$4,DATOS!I:I,B8,DATOS!K:K,10)</f>
        <v>0</v>
      </c>
    </row>
    <row r="9" spans="1:22">
      <c r="A9" s="3" t="inlineStr">
        <is>
          <t xml:space="preserve">GLOBAL</t>
        </is>
      </c>
      <c r="B9" s="3" cm="1">
        <f t="array" ref="B9">IFERROR(INDEX(_xlfn._xlws.FILTER(CONFIG_ASIGNATURAS!$B$2:$B$61,CONFIG_ASIGNATURAS!$G$2:$G$61="Sí"),5),"")</f>
      </c>
      <c r="C9" s="3">
        <f>IF(B9="","",IFERROR(IF(VLOOKUP(B9,CONFIG_ASIGNATURAS!$B$2:$F$61,5,FALSE())="Sí","Especialidad","Asignatura"),"Asignatura"))</f>
      </c>
      <c r="D9">
        <f>COUNTIFS(DATOS!G:G,CONFIG_METADATA!$B$4,DATOS!I:I,B9)</f>
        <v>0</v>
      </c>
      <c r="E9" s="14" t="str">
        <f>IFERROR(AVERAGEIFS(DATOS!K:K,DATOS!G:G,CONFIG_METADATA!$B$4,DATOS!I:I,B9),"—")</f>
        <v>—</v>
      </c>
      <c r="F9" s="14" t="str" cm="1">
        <f t="array" ref="F9">IFERROR(_xlfn.STDEV.P(IF((nEVAL=CONFIG_METADATA!$B$4)*(nASIG=B9),nNOTA)),"—")</f>
        <v>—</v>
      </c>
      <c r="G9" t="str" cm="1">
        <f t="array" ref="G9">IFERROR(_xlfn.MODE.SNGL(IF((nEVAL=CONFIG_METADATA!$B$4)*(nASIG=B9),nNOTA)),"—")</f>
        <v>—</v>
      </c>
      <c r="H9" s="15" t="str">
        <f>IFERROR(COUNTIFS(DATOS!G:G,CONFIG_METADATA!$B$4,DATOS!I:I,B9,DATOS!L:L,"S")/COUNTIFS(DATOS!G:G,CONFIG_METADATA!$B$4,DATOS!I:I,B9),"—")</f>
        <v>—</v>
      </c>
      <c r="I9" s="15" t="str">
        <f>IFERROR(COUNTIFS(DATOS!G:G,CONFIG_METADATA!$B$4,DATOS!I:I,B9,DATOS!L:L,"N")/COUNTIFS(DATOS!G:G,CONFIG_METADATA!$B$4,DATOS!I:I,B9),"—")</f>
        <v>—</v>
      </c>
      <c r="J9" t="str" cm="1">
        <f t="array" ref="J9">IFERROR(_xlfn.MODE.SNGL(IF((nEVAL=CONFIG_METADATA!$B$4)*(nASIG=B9)*(nAPTO="S"),nNOTA)),"—")</f>
        <v>—</v>
      </c>
      <c r="K9" t="str" cm="1">
        <f t="array" ref="K9">IFERROR(_xlfn.MODE.SNGL(IF((nEVAL=CONFIG_METADATA!$B$4)*(nASIG=B9)*(nAPTO="N"),nNOTA)),"—")</f>
        <v>—</v>
      </c>
      <c r="L9">
        <f>COUNTIFS(DATOS!G:G,CONFIG_METADATA!$B$4,DATOS!I:I,B9,DATOS!K:K,1)</f>
        <v>0</v>
      </c>
      <c r="M9">
        <f>COUNTIFS(DATOS!G:G,CONFIG_METADATA!$B$4,DATOS!I:I,B9,DATOS!K:K,2)</f>
        <v>0</v>
      </c>
      <c r="N9">
        <f>COUNTIFS(DATOS!G:G,CONFIG_METADATA!$B$4,DATOS!I:I,B9,DATOS!K:K,3)</f>
        <v>0</v>
      </c>
      <c r="O9">
        <f>COUNTIFS(DATOS!G:G,CONFIG_METADATA!$B$4,DATOS!I:I,B9,DATOS!K:K,4)</f>
        <v>0</v>
      </c>
      <c r="P9">
        <f>COUNTIFS(DATOS!G:G,CONFIG_METADATA!$B$4,DATOS!I:I,B9,DATOS!K:K,5)</f>
        <v>0</v>
      </c>
      <c r="Q9">
        <f>COUNTIFS(DATOS!G:G,CONFIG_METADATA!$B$4,DATOS!I:I,B9,DATOS!K:K,6)</f>
        <v>0</v>
      </c>
      <c r="R9">
        <f>COUNTIFS(DATOS!G:G,CONFIG_METADATA!$B$4,DATOS!I:I,B9,DATOS!K:K,7)</f>
        <v>0</v>
      </c>
      <c r="S9">
        <f>COUNTIFS(DATOS!G:G,CONFIG_METADATA!$B$4,DATOS!I:I,B9,DATOS!K:K,8)</f>
        <v>0</v>
      </c>
      <c r="T9">
        <f>COUNTIFS(DATOS!G:G,CONFIG_METADATA!$B$4,DATOS!I:I,B9,DATOS!K:K,9)</f>
        <v>0</v>
      </c>
      <c r="U9">
        <f>COUNTIFS(DATOS!G:G,CONFIG_METADATA!$B$4,DATOS!I:I,B9,DATOS!K:K,10)</f>
        <v>0</v>
      </c>
    </row>
    <row r="10" spans="1:22">
      <c r="A10" s="3" t="inlineStr">
        <is>
          <t xml:space="preserve">GLOBAL</t>
        </is>
      </c>
      <c r="B10" s="3" cm="1">
        <f t="array" ref="B10">IFERROR(INDEX(_xlfn._xlws.FILTER(CONFIG_ASIGNATURAS!$B$2:$B$61,CONFIG_ASIGNATURAS!$G$2:$G$61="Sí"),6),"")</f>
      </c>
      <c r="C10" s="3">
        <f>IF(B10="","",IFERROR(IF(VLOOKUP(B10,CONFIG_ASIGNATURAS!$B$2:$F$61,5,FALSE())="Sí","Especialidad","Asignatura"),"Asignatura"))</f>
      </c>
      <c r="D10">
        <f>COUNTIFS(DATOS!G:G,CONFIG_METADATA!$B$4,DATOS!I:I,B10)</f>
        <v>0</v>
      </c>
      <c r="E10" s="14" t="str">
        <f>IFERROR(AVERAGEIFS(DATOS!K:K,DATOS!G:G,CONFIG_METADATA!$B$4,DATOS!I:I,B10),"—")</f>
        <v>—</v>
      </c>
      <c r="F10" s="14" t="str" cm="1">
        <f t="array" ref="F10">IFERROR(_xlfn.STDEV.P(IF((nEVAL=CONFIG_METADATA!$B$4)*(nASIG=B10),nNOTA)),"—")</f>
        <v>—</v>
      </c>
      <c r="G10" t="str" cm="1">
        <f t="array" ref="G10">IFERROR(_xlfn.MODE.SNGL(IF((nEVAL=CONFIG_METADATA!$B$4)*(nASIG=B10),nNOTA)),"—")</f>
        <v>—</v>
      </c>
      <c r="H10" s="15" t="str">
        <f>IFERROR(COUNTIFS(DATOS!G:G,CONFIG_METADATA!$B$4,DATOS!I:I,B10,DATOS!L:L,"S")/COUNTIFS(DATOS!G:G,CONFIG_METADATA!$B$4,DATOS!I:I,B10),"—")</f>
        <v>—</v>
      </c>
      <c r="I10" s="15" t="str">
        <f>IFERROR(COUNTIFS(DATOS!G:G,CONFIG_METADATA!$B$4,DATOS!I:I,B10,DATOS!L:L,"N")/COUNTIFS(DATOS!G:G,CONFIG_METADATA!$B$4,DATOS!I:I,B10),"—")</f>
        <v>—</v>
      </c>
      <c r="J10" t="str" cm="1">
        <f t="array" ref="J10">IFERROR(_xlfn.MODE.SNGL(IF((nEVAL=CONFIG_METADATA!$B$4)*(nASIG=B10)*(nAPTO="S"),nNOTA)),"—")</f>
        <v>—</v>
      </c>
      <c r="K10" t="str" cm="1">
        <f t="array" ref="K10">IFERROR(_xlfn.MODE.SNGL(IF((nEVAL=CONFIG_METADATA!$B$4)*(nASIG=B10)*(nAPTO="N"),nNOTA)),"—")</f>
        <v>—</v>
      </c>
      <c r="L10">
        <f>COUNTIFS(DATOS!G:G,CONFIG_METADATA!$B$4,DATOS!I:I,B10,DATOS!K:K,1)</f>
        <v>0</v>
      </c>
      <c r="M10">
        <f>COUNTIFS(DATOS!G:G,CONFIG_METADATA!$B$4,DATOS!I:I,B10,DATOS!K:K,2)</f>
        <v>0</v>
      </c>
      <c r="N10">
        <f>COUNTIFS(DATOS!G:G,CONFIG_METADATA!$B$4,DATOS!I:I,B10,DATOS!K:K,3)</f>
        <v>0</v>
      </c>
      <c r="O10">
        <f>COUNTIFS(DATOS!G:G,CONFIG_METADATA!$B$4,DATOS!I:I,B10,DATOS!K:K,4)</f>
        <v>0</v>
      </c>
      <c r="P10">
        <f>COUNTIFS(DATOS!G:G,CONFIG_METADATA!$B$4,DATOS!I:I,B10,DATOS!K:K,5)</f>
        <v>0</v>
      </c>
      <c r="Q10">
        <f>COUNTIFS(DATOS!G:G,CONFIG_METADATA!$B$4,DATOS!I:I,B10,DATOS!K:K,6)</f>
        <v>0</v>
      </c>
      <c r="R10">
        <f>COUNTIFS(DATOS!G:G,CONFIG_METADATA!$B$4,DATOS!I:I,B10,DATOS!K:K,7)</f>
        <v>0</v>
      </c>
      <c r="S10">
        <f>COUNTIFS(DATOS!G:G,CONFIG_METADATA!$B$4,DATOS!I:I,B10,DATOS!K:K,8)</f>
        <v>0</v>
      </c>
      <c r="T10">
        <f>COUNTIFS(DATOS!G:G,CONFIG_METADATA!$B$4,DATOS!I:I,B10,DATOS!K:K,9)</f>
        <v>0</v>
      </c>
      <c r="U10">
        <f>COUNTIFS(DATOS!G:G,CONFIG_METADATA!$B$4,DATOS!I:I,B10,DATOS!K:K,10)</f>
        <v>0</v>
      </c>
    </row>
    <row r="11" spans="1:22">
      <c r="A11" s="3" t="inlineStr">
        <is>
          <t xml:space="preserve">GLOBAL</t>
        </is>
      </c>
      <c r="B11" s="3" cm="1">
        <f t="array" ref="B11">IFERROR(INDEX(_xlfn._xlws.FILTER(CONFIG_ASIGNATURAS!$B$2:$B$61,CONFIG_ASIGNATURAS!$G$2:$G$61="Sí"),7),"")</f>
      </c>
      <c r="C11" s="3">
        <f>IF(B11="","",IFERROR(IF(VLOOKUP(B11,CONFIG_ASIGNATURAS!$B$2:$F$61,5,FALSE())="Sí","Especialidad","Asignatura"),"Asignatura"))</f>
      </c>
      <c r="D11">
        <f>COUNTIFS(DATOS!G:G,CONFIG_METADATA!$B$4,DATOS!I:I,B11)</f>
        <v>0</v>
      </c>
      <c r="E11" s="14" t="str">
        <f>IFERROR(AVERAGEIFS(DATOS!K:K,DATOS!G:G,CONFIG_METADATA!$B$4,DATOS!I:I,B11),"—")</f>
        <v>—</v>
      </c>
      <c r="F11" s="14" t="str" cm="1">
        <f t="array" ref="F11">IFERROR(_xlfn.STDEV.P(IF((nEVAL=CONFIG_METADATA!$B$4)*(nASIG=B11),nNOTA)),"—")</f>
        <v>—</v>
      </c>
      <c r="G11" t="str" cm="1">
        <f t="array" ref="G11">IFERROR(_xlfn.MODE.SNGL(IF((nEVAL=CONFIG_METADATA!$B$4)*(nASIG=B11),nNOTA)),"—")</f>
        <v>—</v>
      </c>
      <c r="H11" s="15" t="str">
        <f>IFERROR(COUNTIFS(DATOS!G:G,CONFIG_METADATA!$B$4,DATOS!I:I,B11,DATOS!L:L,"S")/COUNTIFS(DATOS!G:G,CONFIG_METADATA!$B$4,DATOS!I:I,B11),"—")</f>
        <v>—</v>
      </c>
      <c r="I11" s="15" t="str">
        <f>IFERROR(COUNTIFS(DATOS!G:G,CONFIG_METADATA!$B$4,DATOS!I:I,B11,DATOS!L:L,"N")/COUNTIFS(DATOS!G:G,CONFIG_METADATA!$B$4,DATOS!I:I,B11),"—")</f>
        <v>—</v>
      </c>
      <c r="J11" t="str" cm="1">
        <f t="array" ref="J11">IFERROR(_xlfn.MODE.SNGL(IF((nEVAL=CONFIG_METADATA!$B$4)*(nASIG=B11)*(nAPTO="S"),nNOTA)),"—")</f>
        <v>—</v>
      </c>
      <c r="K11" t="str" cm="1">
        <f t="array" ref="K11">IFERROR(_xlfn.MODE.SNGL(IF((nEVAL=CONFIG_METADATA!$B$4)*(nASIG=B11)*(nAPTO="N"),nNOTA)),"—")</f>
        <v>—</v>
      </c>
      <c r="L11">
        <f>COUNTIFS(DATOS!G:G,CONFIG_METADATA!$B$4,DATOS!I:I,B11,DATOS!K:K,1)</f>
        <v>0</v>
      </c>
      <c r="M11">
        <f>COUNTIFS(DATOS!G:G,CONFIG_METADATA!$B$4,DATOS!I:I,B11,DATOS!K:K,2)</f>
        <v>0</v>
      </c>
      <c r="N11">
        <f>COUNTIFS(DATOS!G:G,CONFIG_METADATA!$B$4,DATOS!I:I,B11,DATOS!K:K,3)</f>
        <v>0</v>
      </c>
      <c r="O11">
        <f>COUNTIFS(DATOS!G:G,CONFIG_METADATA!$B$4,DATOS!I:I,B11,DATOS!K:K,4)</f>
        <v>0</v>
      </c>
      <c r="P11">
        <f>COUNTIFS(DATOS!G:G,CONFIG_METADATA!$B$4,DATOS!I:I,B11,DATOS!K:K,5)</f>
        <v>0</v>
      </c>
      <c r="Q11">
        <f>COUNTIFS(DATOS!G:G,CONFIG_METADATA!$B$4,DATOS!I:I,B11,DATOS!K:K,6)</f>
        <v>0</v>
      </c>
      <c r="R11">
        <f>COUNTIFS(DATOS!G:G,CONFIG_METADATA!$B$4,DATOS!I:I,B11,DATOS!K:K,7)</f>
        <v>0</v>
      </c>
      <c r="S11">
        <f>COUNTIFS(DATOS!G:G,CONFIG_METADATA!$B$4,DATOS!I:I,B11,DATOS!K:K,8)</f>
        <v>0</v>
      </c>
      <c r="T11">
        <f>COUNTIFS(DATOS!G:G,CONFIG_METADATA!$B$4,DATOS!I:I,B11,DATOS!K:K,9)</f>
        <v>0</v>
      </c>
      <c r="U11">
        <f>COUNTIFS(DATOS!G:G,CONFIG_METADATA!$B$4,DATOS!I:I,B11,DATOS!K:K,10)</f>
        <v>0</v>
      </c>
    </row>
    <row r="12" spans="1:22">
      <c r="A12" s="3" t="inlineStr">
        <is>
          <t xml:space="preserve">GLOBAL</t>
        </is>
      </c>
      <c r="B12" s="3" cm="1">
        <f t="array" ref="B12">IFERROR(INDEX(_xlfn._xlws.FILTER(CONFIG_ASIGNATURAS!$B$2:$B$61,CONFIG_ASIGNATURAS!$G$2:$G$61="Sí"),8),"")</f>
      </c>
      <c r="C12" s="3">
        <f>IF(B12="","",IFERROR(IF(VLOOKUP(B12,CONFIG_ASIGNATURAS!$B$2:$F$61,5,FALSE())="Sí","Especialidad","Asignatura"),"Asignatura"))</f>
      </c>
      <c r="D12">
        <f>COUNTIFS(DATOS!G:G,CONFIG_METADATA!$B$4,DATOS!I:I,B12)</f>
        <v>0</v>
      </c>
      <c r="E12" s="14" t="str">
        <f>IFERROR(AVERAGEIFS(DATOS!K:K,DATOS!G:G,CONFIG_METADATA!$B$4,DATOS!I:I,B12),"—")</f>
        <v>—</v>
      </c>
      <c r="F12" s="14" t="str" cm="1">
        <f t="array" ref="F12">IFERROR(_xlfn.STDEV.P(IF((nEVAL=CONFIG_METADATA!$B$4)*(nASIG=B12),nNOTA)),"—")</f>
        <v>—</v>
      </c>
      <c r="G12" t="str" cm="1">
        <f t="array" ref="G12">IFERROR(_xlfn.MODE.SNGL(IF((nEVAL=CONFIG_METADATA!$B$4)*(nASIG=B12),nNOTA)),"—")</f>
        <v>—</v>
      </c>
      <c r="H12" s="15" t="str">
        <f>IFERROR(COUNTIFS(DATOS!G:G,CONFIG_METADATA!$B$4,DATOS!I:I,B12,DATOS!L:L,"S")/COUNTIFS(DATOS!G:G,CONFIG_METADATA!$B$4,DATOS!I:I,B12),"—")</f>
        <v>—</v>
      </c>
      <c r="I12" s="15" t="str">
        <f>IFERROR(COUNTIFS(DATOS!G:G,CONFIG_METADATA!$B$4,DATOS!I:I,B12,DATOS!L:L,"N")/COUNTIFS(DATOS!G:G,CONFIG_METADATA!$B$4,DATOS!I:I,B12),"—")</f>
        <v>—</v>
      </c>
      <c r="J12" t="str" cm="1">
        <f t="array" ref="J12">IFERROR(_xlfn.MODE.SNGL(IF((nEVAL=CONFIG_METADATA!$B$4)*(nASIG=B12)*(nAPTO="S"),nNOTA)),"—")</f>
        <v>—</v>
      </c>
      <c r="K12" t="str" cm="1">
        <f t="array" ref="K12">IFERROR(_xlfn.MODE.SNGL(IF((nEVAL=CONFIG_METADATA!$B$4)*(nASIG=B12)*(nAPTO="N"),nNOTA)),"—")</f>
        <v>—</v>
      </c>
      <c r="L12">
        <f>COUNTIFS(DATOS!G:G,CONFIG_METADATA!$B$4,DATOS!I:I,B12,DATOS!K:K,1)</f>
        <v>0</v>
      </c>
      <c r="M12">
        <f>COUNTIFS(DATOS!G:G,CONFIG_METADATA!$B$4,DATOS!I:I,B12,DATOS!K:K,2)</f>
        <v>0</v>
      </c>
      <c r="N12">
        <f>COUNTIFS(DATOS!G:G,CONFIG_METADATA!$B$4,DATOS!I:I,B12,DATOS!K:K,3)</f>
        <v>0</v>
      </c>
      <c r="O12">
        <f>COUNTIFS(DATOS!G:G,CONFIG_METADATA!$B$4,DATOS!I:I,B12,DATOS!K:K,4)</f>
        <v>0</v>
      </c>
      <c r="P12">
        <f>COUNTIFS(DATOS!G:G,CONFIG_METADATA!$B$4,DATOS!I:I,B12,DATOS!K:K,5)</f>
        <v>0</v>
      </c>
      <c r="Q12">
        <f>COUNTIFS(DATOS!G:G,CONFIG_METADATA!$B$4,DATOS!I:I,B12,DATOS!K:K,6)</f>
        <v>0</v>
      </c>
      <c r="R12">
        <f>COUNTIFS(DATOS!G:G,CONFIG_METADATA!$B$4,DATOS!I:I,B12,DATOS!K:K,7)</f>
        <v>0</v>
      </c>
      <c r="S12">
        <f>COUNTIFS(DATOS!G:G,CONFIG_METADATA!$B$4,DATOS!I:I,B12,DATOS!K:K,8)</f>
        <v>0</v>
      </c>
      <c r="T12">
        <f>COUNTIFS(DATOS!G:G,CONFIG_METADATA!$B$4,DATOS!I:I,B12,DATOS!K:K,9)</f>
        <v>0</v>
      </c>
      <c r="U12">
        <f>COUNTIFS(DATOS!G:G,CONFIG_METADATA!$B$4,DATOS!I:I,B12,DATOS!K:K,10)</f>
        <v>0</v>
      </c>
    </row>
    <row r="13" spans="1:22">
      <c r="A13" s="3" t="inlineStr">
        <is>
          <t xml:space="preserve">GLOBAL</t>
        </is>
      </c>
      <c r="B13" s="3" cm="1">
        <f t="array" ref="B13">IFERROR(INDEX(_xlfn._xlws.FILTER(CONFIG_ASIGNATURAS!$B$2:$B$61,CONFIG_ASIGNATURAS!$G$2:$G$61="Sí"),9),"")</f>
      </c>
      <c r="C13" s="3">
        <f>IF(B13="","",IFERROR(IF(VLOOKUP(B13,CONFIG_ASIGNATURAS!$B$2:$F$61,5,FALSE())="Sí","Especialidad","Asignatura"),"Asignatura"))</f>
      </c>
      <c r="D13">
        <f>COUNTIFS(DATOS!G:G,CONFIG_METADATA!$B$4,DATOS!I:I,B13)</f>
        <v>0</v>
      </c>
      <c r="E13" s="14" t="str">
        <f>IFERROR(AVERAGEIFS(DATOS!K:K,DATOS!G:G,CONFIG_METADATA!$B$4,DATOS!I:I,B13),"—")</f>
        <v>—</v>
      </c>
      <c r="F13" s="14" t="str" cm="1">
        <f t="array" ref="F13">IFERROR(_xlfn.STDEV.P(IF((nEVAL=CONFIG_METADATA!$B$4)*(nASIG=B13),nNOTA)),"—")</f>
        <v>—</v>
      </c>
      <c r="G13" t="str" cm="1">
        <f t="array" ref="G13">IFERROR(_xlfn.MODE.SNGL(IF((nEVAL=CONFIG_METADATA!$B$4)*(nASIG=B13),nNOTA)),"—")</f>
        <v>—</v>
      </c>
      <c r="H13" s="15" t="str">
        <f>IFERROR(COUNTIFS(DATOS!G:G,CONFIG_METADATA!$B$4,DATOS!I:I,B13,DATOS!L:L,"S")/COUNTIFS(DATOS!G:G,CONFIG_METADATA!$B$4,DATOS!I:I,B13),"—")</f>
        <v>—</v>
      </c>
      <c r="I13" s="15" t="str">
        <f>IFERROR(COUNTIFS(DATOS!G:G,CONFIG_METADATA!$B$4,DATOS!I:I,B13,DATOS!L:L,"N")/COUNTIFS(DATOS!G:G,CONFIG_METADATA!$B$4,DATOS!I:I,B13),"—")</f>
        <v>—</v>
      </c>
      <c r="J13" t="str" cm="1">
        <f t="array" ref="J13">IFERROR(_xlfn.MODE.SNGL(IF((nEVAL=CONFIG_METADATA!$B$4)*(nASIG=B13)*(nAPTO="S"),nNOTA)),"—")</f>
        <v>—</v>
      </c>
      <c r="K13" t="str" cm="1">
        <f t="array" ref="K13">IFERROR(_xlfn.MODE.SNGL(IF((nEVAL=CONFIG_METADATA!$B$4)*(nASIG=B13)*(nAPTO="N"),nNOTA)),"—")</f>
        <v>—</v>
      </c>
      <c r="L13">
        <f>COUNTIFS(DATOS!G:G,CONFIG_METADATA!$B$4,DATOS!I:I,B13,DATOS!K:K,1)</f>
        <v>0</v>
      </c>
      <c r="M13">
        <f>COUNTIFS(DATOS!G:G,CONFIG_METADATA!$B$4,DATOS!I:I,B13,DATOS!K:K,2)</f>
        <v>0</v>
      </c>
      <c r="N13">
        <f>COUNTIFS(DATOS!G:G,CONFIG_METADATA!$B$4,DATOS!I:I,B13,DATOS!K:K,3)</f>
        <v>0</v>
      </c>
      <c r="O13">
        <f>COUNTIFS(DATOS!G:G,CONFIG_METADATA!$B$4,DATOS!I:I,B13,DATOS!K:K,4)</f>
        <v>0</v>
      </c>
      <c r="P13">
        <f>COUNTIFS(DATOS!G:G,CONFIG_METADATA!$B$4,DATOS!I:I,B13,DATOS!K:K,5)</f>
        <v>0</v>
      </c>
      <c r="Q13">
        <f>COUNTIFS(DATOS!G:G,CONFIG_METADATA!$B$4,DATOS!I:I,B13,DATOS!K:K,6)</f>
        <v>0</v>
      </c>
      <c r="R13">
        <f>COUNTIFS(DATOS!G:G,CONFIG_METADATA!$B$4,DATOS!I:I,B13,DATOS!K:K,7)</f>
        <v>0</v>
      </c>
      <c r="S13">
        <f>COUNTIFS(DATOS!G:G,CONFIG_METADATA!$B$4,DATOS!I:I,B13,DATOS!K:K,8)</f>
        <v>0</v>
      </c>
      <c r="T13">
        <f>COUNTIFS(DATOS!G:G,CONFIG_METADATA!$B$4,DATOS!I:I,B13,DATOS!K:K,9)</f>
        <v>0</v>
      </c>
      <c r="U13">
        <f>COUNTIFS(DATOS!G:G,CONFIG_METADATA!$B$4,DATOS!I:I,B13,DATOS!K:K,10)</f>
        <v>0</v>
      </c>
    </row>
    <row r="14" spans="1:22">
      <c r="A14" s="3" t="inlineStr">
        <is>
          <t xml:space="preserve">GLOBAL</t>
        </is>
      </c>
      <c r="B14" s="3" cm="1">
        <f t="array" ref="B14">IFERROR(INDEX(_xlfn._xlws.FILTER(CONFIG_ASIGNATURAS!$B$2:$B$61,CONFIG_ASIGNATURAS!$G$2:$G$61="Sí"),10),"")</f>
      </c>
      <c r="C14" s="3">
        <f>IF(B14="","",IFERROR(IF(VLOOKUP(B14,CONFIG_ASIGNATURAS!$B$2:$F$61,5,FALSE())="Sí","Especialidad","Asignatura"),"Asignatura"))</f>
      </c>
      <c r="D14">
        <f>COUNTIFS(DATOS!G:G,CONFIG_METADATA!$B$4,DATOS!I:I,B14)</f>
        <v>0</v>
      </c>
      <c r="E14" s="14" t="str">
        <f>IFERROR(AVERAGEIFS(DATOS!K:K,DATOS!G:G,CONFIG_METADATA!$B$4,DATOS!I:I,B14),"—")</f>
        <v>—</v>
      </c>
      <c r="F14" s="14" t="str" cm="1">
        <f t="array" ref="F14">IFERROR(_xlfn.STDEV.P(IF((nEVAL=CONFIG_METADATA!$B$4)*(nASIG=B14),nNOTA)),"—")</f>
        <v>—</v>
      </c>
      <c r="G14" t="str" cm="1">
        <f t="array" ref="G14">IFERROR(_xlfn.MODE.SNGL(IF((nEVAL=CONFIG_METADATA!$B$4)*(nASIG=B14),nNOTA)),"—")</f>
        <v>—</v>
      </c>
      <c r="H14" s="15" t="str">
        <f>IFERROR(COUNTIFS(DATOS!G:G,CONFIG_METADATA!$B$4,DATOS!I:I,B14,DATOS!L:L,"S")/COUNTIFS(DATOS!G:G,CONFIG_METADATA!$B$4,DATOS!I:I,B14),"—")</f>
        <v>—</v>
      </c>
      <c r="I14" s="15" t="str">
        <f>IFERROR(COUNTIFS(DATOS!G:G,CONFIG_METADATA!$B$4,DATOS!I:I,B14,DATOS!L:L,"N")/COUNTIFS(DATOS!G:G,CONFIG_METADATA!$B$4,DATOS!I:I,B14),"—")</f>
        <v>—</v>
      </c>
      <c r="J14" t="str" cm="1">
        <f t="array" ref="J14">IFERROR(_xlfn.MODE.SNGL(IF((nEVAL=CONFIG_METADATA!$B$4)*(nASIG=B14)*(nAPTO="S"),nNOTA)),"—")</f>
        <v>—</v>
      </c>
      <c r="K14" t="str" cm="1">
        <f t="array" ref="K14">IFERROR(_xlfn.MODE.SNGL(IF((nEVAL=CONFIG_METADATA!$B$4)*(nASIG=B14)*(nAPTO="N"),nNOTA)),"—")</f>
        <v>—</v>
      </c>
      <c r="L14">
        <f>COUNTIFS(DATOS!G:G,CONFIG_METADATA!$B$4,DATOS!I:I,B14,DATOS!K:K,1)</f>
        <v>0</v>
      </c>
      <c r="M14">
        <f>COUNTIFS(DATOS!G:G,CONFIG_METADATA!$B$4,DATOS!I:I,B14,DATOS!K:K,2)</f>
        <v>0</v>
      </c>
      <c r="N14">
        <f>COUNTIFS(DATOS!G:G,CONFIG_METADATA!$B$4,DATOS!I:I,B14,DATOS!K:K,3)</f>
        <v>0</v>
      </c>
      <c r="O14">
        <f>COUNTIFS(DATOS!G:G,CONFIG_METADATA!$B$4,DATOS!I:I,B14,DATOS!K:K,4)</f>
        <v>0</v>
      </c>
      <c r="P14">
        <f>COUNTIFS(DATOS!G:G,CONFIG_METADATA!$B$4,DATOS!I:I,B14,DATOS!K:K,5)</f>
        <v>0</v>
      </c>
      <c r="Q14">
        <f>COUNTIFS(DATOS!G:G,CONFIG_METADATA!$B$4,DATOS!I:I,B14,DATOS!K:K,6)</f>
        <v>0</v>
      </c>
      <c r="R14">
        <f>COUNTIFS(DATOS!G:G,CONFIG_METADATA!$B$4,DATOS!I:I,B14,DATOS!K:K,7)</f>
        <v>0</v>
      </c>
      <c r="S14">
        <f>COUNTIFS(DATOS!G:G,CONFIG_METADATA!$B$4,DATOS!I:I,B14,DATOS!K:K,8)</f>
        <v>0</v>
      </c>
      <c r="T14">
        <f>COUNTIFS(DATOS!G:G,CONFIG_METADATA!$B$4,DATOS!I:I,B14,DATOS!K:K,9)</f>
        <v>0</v>
      </c>
      <c r="U14">
        <f>COUNTIFS(DATOS!G:G,CONFIG_METADATA!$B$4,DATOS!I:I,B14,DATOS!K:K,10)</f>
        <v>0</v>
      </c>
    </row>
    <row r="15" spans="1:22">
      <c r="A15" s="3" t="inlineStr">
        <is>
          <t xml:space="preserve">GLOBAL</t>
        </is>
      </c>
      <c r="B15" s="3" cm="1">
        <f t="array" ref="B15">IFERROR(INDEX(_xlfn._xlws.FILTER(CONFIG_ASIGNATURAS!$B$2:$B$61,CONFIG_ASIGNATURAS!$G$2:$G$61="Sí"),11),"")</f>
      </c>
      <c r="C15" s="3">
        <f>IF(B15="","",IFERROR(IF(VLOOKUP(B15,CONFIG_ASIGNATURAS!$B$2:$F$61,5,FALSE())="Sí","Especialidad","Asignatura"),"Asignatura"))</f>
      </c>
      <c r="D15">
        <f>COUNTIFS(DATOS!G:G,CONFIG_METADATA!$B$4,DATOS!I:I,B15)</f>
        <v>0</v>
      </c>
      <c r="E15" s="14" t="str">
        <f>IFERROR(AVERAGEIFS(DATOS!K:K,DATOS!G:G,CONFIG_METADATA!$B$4,DATOS!I:I,B15),"—")</f>
        <v>—</v>
      </c>
      <c r="F15" s="14" t="str" cm="1">
        <f t="array" ref="F15">IFERROR(_xlfn.STDEV.P(IF((nEVAL=CONFIG_METADATA!$B$4)*(nASIG=B15),nNOTA)),"—")</f>
        <v>—</v>
      </c>
      <c r="G15" t="str" cm="1">
        <f t="array" ref="G15">IFERROR(_xlfn.MODE.SNGL(IF((nEVAL=CONFIG_METADATA!$B$4)*(nASIG=B15),nNOTA)),"—")</f>
        <v>—</v>
      </c>
      <c r="H15" s="15" t="str">
        <f>IFERROR(COUNTIFS(DATOS!G:G,CONFIG_METADATA!$B$4,DATOS!I:I,B15,DATOS!L:L,"S")/COUNTIFS(DATOS!G:G,CONFIG_METADATA!$B$4,DATOS!I:I,B15),"—")</f>
        <v>—</v>
      </c>
      <c r="I15" s="15" t="str">
        <f>IFERROR(COUNTIFS(DATOS!G:G,CONFIG_METADATA!$B$4,DATOS!I:I,B15,DATOS!L:L,"N")/COUNTIFS(DATOS!G:G,CONFIG_METADATA!$B$4,DATOS!I:I,B15),"—")</f>
        <v>—</v>
      </c>
      <c r="J15" t="str" cm="1">
        <f t="array" ref="J15">IFERROR(_xlfn.MODE.SNGL(IF((nEVAL=CONFIG_METADATA!$B$4)*(nASIG=B15)*(nAPTO="S"),nNOTA)),"—")</f>
        <v>—</v>
      </c>
      <c r="K15" t="str" cm="1">
        <f t="array" ref="K15">IFERROR(_xlfn.MODE.SNGL(IF((nEVAL=CONFIG_METADATA!$B$4)*(nASIG=B15)*(nAPTO="N"),nNOTA)),"—")</f>
        <v>—</v>
      </c>
      <c r="L15">
        <f>COUNTIFS(DATOS!G:G,CONFIG_METADATA!$B$4,DATOS!I:I,B15,DATOS!K:K,1)</f>
        <v>0</v>
      </c>
      <c r="M15">
        <f>COUNTIFS(DATOS!G:G,CONFIG_METADATA!$B$4,DATOS!I:I,B15,DATOS!K:K,2)</f>
        <v>0</v>
      </c>
      <c r="N15">
        <f>COUNTIFS(DATOS!G:G,CONFIG_METADATA!$B$4,DATOS!I:I,B15,DATOS!K:K,3)</f>
        <v>0</v>
      </c>
      <c r="O15">
        <f>COUNTIFS(DATOS!G:G,CONFIG_METADATA!$B$4,DATOS!I:I,B15,DATOS!K:K,4)</f>
        <v>0</v>
      </c>
      <c r="P15">
        <f>COUNTIFS(DATOS!G:G,CONFIG_METADATA!$B$4,DATOS!I:I,B15,DATOS!K:K,5)</f>
        <v>0</v>
      </c>
      <c r="Q15">
        <f>COUNTIFS(DATOS!G:G,CONFIG_METADATA!$B$4,DATOS!I:I,B15,DATOS!K:K,6)</f>
        <v>0</v>
      </c>
      <c r="R15">
        <f>COUNTIFS(DATOS!G:G,CONFIG_METADATA!$B$4,DATOS!I:I,B15,DATOS!K:K,7)</f>
        <v>0</v>
      </c>
      <c r="S15">
        <f>COUNTIFS(DATOS!G:G,CONFIG_METADATA!$B$4,DATOS!I:I,B15,DATOS!K:K,8)</f>
        <v>0</v>
      </c>
      <c r="T15">
        <f>COUNTIFS(DATOS!G:G,CONFIG_METADATA!$B$4,DATOS!I:I,B15,DATOS!K:K,9)</f>
        <v>0</v>
      </c>
      <c r="U15">
        <f>COUNTIFS(DATOS!G:G,CONFIG_METADATA!$B$4,DATOS!I:I,B15,DATOS!K:K,10)</f>
        <v>0</v>
      </c>
    </row>
    <row r="16" spans="1:22">
      <c r="A16" s="3" t="inlineStr">
        <is>
          <t xml:space="preserve">GLOBAL</t>
        </is>
      </c>
      <c r="B16" s="3" cm="1">
        <f t="array" ref="B16">IFERROR(INDEX(_xlfn._xlws.FILTER(CONFIG_ASIGNATURAS!$B$2:$B$61,CONFIG_ASIGNATURAS!$G$2:$G$61="Sí"),12),"")</f>
      </c>
      <c r="C16" s="3">
        <f>IF(B16="","",IFERROR(IF(VLOOKUP(B16,CONFIG_ASIGNATURAS!$B$2:$F$61,5,FALSE())="Sí","Especialidad","Asignatura"),"Asignatura"))</f>
      </c>
      <c r="D16">
        <f>COUNTIFS(DATOS!G:G,CONFIG_METADATA!$B$4,DATOS!I:I,B16)</f>
        <v>0</v>
      </c>
      <c r="E16" s="14" t="str">
        <f>IFERROR(AVERAGEIFS(DATOS!K:K,DATOS!G:G,CONFIG_METADATA!$B$4,DATOS!I:I,B16),"—")</f>
        <v>—</v>
      </c>
      <c r="F16" s="14" t="str" cm="1">
        <f t="array" ref="F16">IFERROR(_xlfn.STDEV.P(IF((nEVAL=CONFIG_METADATA!$B$4)*(nASIG=B16),nNOTA)),"—")</f>
        <v>—</v>
      </c>
      <c r="G16" t="str" cm="1">
        <f t="array" ref="G16">IFERROR(_xlfn.MODE.SNGL(IF((nEVAL=CONFIG_METADATA!$B$4)*(nASIG=B16),nNOTA)),"—")</f>
        <v>—</v>
      </c>
      <c r="H16" s="15" t="str">
        <f>IFERROR(COUNTIFS(DATOS!G:G,CONFIG_METADATA!$B$4,DATOS!I:I,B16,DATOS!L:L,"S")/COUNTIFS(DATOS!G:G,CONFIG_METADATA!$B$4,DATOS!I:I,B16),"—")</f>
        <v>—</v>
      </c>
      <c r="I16" s="15" t="str">
        <f>IFERROR(COUNTIFS(DATOS!G:G,CONFIG_METADATA!$B$4,DATOS!I:I,B16,DATOS!L:L,"N")/COUNTIFS(DATOS!G:G,CONFIG_METADATA!$B$4,DATOS!I:I,B16),"—")</f>
        <v>—</v>
      </c>
      <c r="J16" t="str" cm="1">
        <f t="array" ref="J16">IFERROR(_xlfn.MODE.SNGL(IF((nEVAL=CONFIG_METADATA!$B$4)*(nASIG=B16)*(nAPTO="S"),nNOTA)),"—")</f>
        <v>—</v>
      </c>
      <c r="K16" t="str" cm="1">
        <f t="array" ref="K16">IFERROR(_xlfn.MODE.SNGL(IF((nEVAL=CONFIG_METADATA!$B$4)*(nASIG=B16)*(nAPTO="N"),nNOTA)),"—")</f>
        <v>—</v>
      </c>
      <c r="L16">
        <f>COUNTIFS(DATOS!G:G,CONFIG_METADATA!$B$4,DATOS!I:I,B16,DATOS!K:K,1)</f>
        <v>0</v>
      </c>
      <c r="M16">
        <f>COUNTIFS(DATOS!G:G,CONFIG_METADATA!$B$4,DATOS!I:I,B16,DATOS!K:K,2)</f>
        <v>0</v>
      </c>
      <c r="N16">
        <f>COUNTIFS(DATOS!G:G,CONFIG_METADATA!$B$4,DATOS!I:I,B16,DATOS!K:K,3)</f>
        <v>0</v>
      </c>
      <c r="O16">
        <f>COUNTIFS(DATOS!G:G,CONFIG_METADATA!$B$4,DATOS!I:I,B16,DATOS!K:K,4)</f>
        <v>0</v>
      </c>
      <c r="P16">
        <f>COUNTIFS(DATOS!G:G,CONFIG_METADATA!$B$4,DATOS!I:I,B16,DATOS!K:K,5)</f>
        <v>0</v>
      </c>
      <c r="Q16">
        <f>COUNTIFS(DATOS!G:G,CONFIG_METADATA!$B$4,DATOS!I:I,B16,DATOS!K:K,6)</f>
        <v>0</v>
      </c>
      <c r="R16">
        <f>COUNTIFS(DATOS!G:G,CONFIG_METADATA!$B$4,DATOS!I:I,B16,DATOS!K:K,7)</f>
        <v>0</v>
      </c>
      <c r="S16">
        <f>COUNTIFS(DATOS!G:G,CONFIG_METADATA!$B$4,DATOS!I:I,B16,DATOS!K:K,8)</f>
        <v>0</v>
      </c>
      <c r="T16">
        <f>COUNTIFS(DATOS!G:G,CONFIG_METADATA!$B$4,DATOS!I:I,B16,DATOS!K:K,9)</f>
        <v>0</v>
      </c>
      <c r="U16">
        <f>COUNTIFS(DATOS!G:G,CONFIG_METADATA!$B$4,DATOS!I:I,B16,DATOS!K:K,10)</f>
        <v>0</v>
      </c>
    </row>
    <row r="17" spans="1:22">
      <c r="A17" s="3" t="inlineStr">
        <is>
          <t xml:space="preserve">GLOBAL</t>
        </is>
      </c>
      <c r="B17" s="3" cm="1">
        <f t="array" ref="B17">IFERROR(INDEX(_xlfn._xlws.FILTER(CONFIG_ASIGNATURAS!$B$2:$B$61,CONFIG_ASIGNATURAS!$G$2:$G$61="Sí"),13),"")</f>
      </c>
      <c r="C17" s="3">
        <f>IF(B17="","",IFERROR(IF(VLOOKUP(B17,CONFIG_ASIGNATURAS!$B$2:$F$61,5,FALSE())="Sí","Especialidad","Asignatura"),"Asignatura"))</f>
      </c>
      <c r="D17">
        <f>COUNTIFS(DATOS!G:G,CONFIG_METADATA!$B$4,DATOS!I:I,B17)</f>
        <v>0</v>
      </c>
      <c r="E17" s="14" t="str">
        <f>IFERROR(AVERAGEIFS(DATOS!K:K,DATOS!G:G,CONFIG_METADATA!$B$4,DATOS!I:I,B17),"—")</f>
        <v>—</v>
      </c>
      <c r="F17" s="14" t="str" cm="1">
        <f t="array" ref="F17">IFERROR(_xlfn.STDEV.P(IF((nEVAL=CONFIG_METADATA!$B$4)*(nASIG=B17),nNOTA)),"—")</f>
        <v>—</v>
      </c>
      <c r="G17" t="str" cm="1">
        <f t="array" ref="G17">IFERROR(_xlfn.MODE.SNGL(IF((nEVAL=CONFIG_METADATA!$B$4)*(nASIG=B17),nNOTA)),"—")</f>
        <v>—</v>
      </c>
      <c r="H17" s="15" t="str">
        <f>IFERROR(COUNTIFS(DATOS!G:G,CONFIG_METADATA!$B$4,DATOS!I:I,B17,DATOS!L:L,"S")/COUNTIFS(DATOS!G:G,CONFIG_METADATA!$B$4,DATOS!I:I,B17),"—")</f>
        <v>—</v>
      </c>
      <c r="I17" s="15" t="str">
        <f>IFERROR(COUNTIFS(DATOS!G:G,CONFIG_METADATA!$B$4,DATOS!I:I,B17,DATOS!L:L,"N")/COUNTIFS(DATOS!G:G,CONFIG_METADATA!$B$4,DATOS!I:I,B17),"—")</f>
        <v>—</v>
      </c>
      <c r="J17" t="str" cm="1">
        <f t="array" ref="J17">IFERROR(_xlfn.MODE.SNGL(IF((nEVAL=CONFIG_METADATA!$B$4)*(nASIG=B17)*(nAPTO="S"),nNOTA)),"—")</f>
        <v>—</v>
      </c>
      <c r="K17" t="str" cm="1">
        <f t="array" ref="K17">IFERROR(_xlfn.MODE.SNGL(IF((nEVAL=CONFIG_METADATA!$B$4)*(nASIG=B17)*(nAPTO="N"),nNOTA)),"—")</f>
        <v>—</v>
      </c>
      <c r="L17">
        <f>COUNTIFS(DATOS!G:G,CONFIG_METADATA!$B$4,DATOS!I:I,B17,DATOS!K:K,1)</f>
        <v>0</v>
      </c>
      <c r="M17">
        <f>COUNTIFS(DATOS!G:G,CONFIG_METADATA!$B$4,DATOS!I:I,B17,DATOS!K:K,2)</f>
        <v>0</v>
      </c>
      <c r="N17">
        <f>COUNTIFS(DATOS!G:G,CONFIG_METADATA!$B$4,DATOS!I:I,B17,DATOS!K:K,3)</f>
        <v>0</v>
      </c>
      <c r="O17">
        <f>COUNTIFS(DATOS!G:G,CONFIG_METADATA!$B$4,DATOS!I:I,B17,DATOS!K:K,4)</f>
        <v>0</v>
      </c>
      <c r="P17">
        <f>COUNTIFS(DATOS!G:G,CONFIG_METADATA!$B$4,DATOS!I:I,B17,DATOS!K:K,5)</f>
        <v>0</v>
      </c>
      <c r="Q17">
        <f>COUNTIFS(DATOS!G:G,CONFIG_METADATA!$B$4,DATOS!I:I,B17,DATOS!K:K,6)</f>
        <v>0</v>
      </c>
      <c r="R17">
        <f>COUNTIFS(DATOS!G:G,CONFIG_METADATA!$B$4,DATOS!I:I,B17,DATOS!K:K,7)</f>
        <v>0</v>
      </c>
      <c r="S17">
        <f>COUNTIFS(DATOS!G:G,CONFIG_METADATA!$B$4,DATOS!I:I,B17,DATOS!K:K,8)</f>
        <v>0</v>
      </c>
      <c r="T17">
        <f>COUNTIFS(DATOS!G:G,CONFIG_METADATA!$B$4,DATOS!I:I,B17,DATOS!K:K,9)</f>
        <v>0</v>
      </c>
      <c r="U17">
        <f>COUNTIFS(DATOS!G:G,CONFIG_METADATA!$B$4,DATOS!I:I,B17,DATOS!K:K,10)</f>
        <v>0</v>
      </c>
    </row>
    <row r="18" spans="1:22">
      <c r="A18" s="3" t="inlineStr">
        <is>
          <t xml:space="preserve">GLOBAL</t>
        </is>
      </c>
      <c r="B18" s="3" cm="1">
        <f t="array" ref="B18">IFERROR(INDEX(_xlfn._xlws.FILTER(CONFIG_ASIGNATURAS!$B$2:$B$61,CONFIG_ASIGNATURAS!$G$2:$G$61="Sí"),14),"")</f>
      </c>
      <c r="C18" s="3">
        <f>IF(B18="","",IFERROR(IF(VLOOKUP(B18,CONFIG_ASIGNATURAS!$B$2:$F$61,5,FALSE())="Sí","Especialidad","Asignatura"),"Asignatura"))</f>
      </c>
      <c r="D18">
        <f>COUNTIFS(DATOS!G:G,CONFIG_METADATA!$B$4,DATOS!I:I,B18)</f>
        <v>0</v>
      </c>
      <c r="E18" s="14" t="str">
        <f>IFERROR(AVERAGEIFS(DATOS!K:K,DATOS!G:G,CONFIG_METADATA!$B$4,DATOS!I:I,B18),"—")</f>
        <v>—</v>
      </c>
      <c r="F18" s="14" t="str" cm="1">
        <f t="array" ref="F18">IFERROR(_xlfn.STDEV.P(IF((nEVAL=CONFIG_METADATA!$B$4)*(nASIG=B18),nNOTA)),"—")</f>
        <v>—</v>
      </c>
      <c r="G18" t="str" cm="1">
        <f t="array" ref="G18">IFERROR(_xlfn.MODE.SNGL(IF((nEVAL=CONFIG_METADATA!$B$4)*(nASIG=B18),nNOTA)),"—")</f>
        <v>—</v>
      </c>
      <c r="H18" s="15" t="str">
        <f>IFERROR(COUNTIFS(DATOS!G:G,CONFIG_METADATA!$B$4,DATOS!I:I,B18,DATOS!L:L,"S")/COUNTIFS(DATOS!G:G,CONFIG_METADATA!$B$4,DATOS!I:I,B18),"—")</f>
        <v>—</v>
      </c>
      <c r="I18" s="15" t="str">
        <f>IFERROR(COUNTIFS(DATOS!G:G,CONFIG_METADATA!$B$4,DATOS!I:I,B18,DATOS!L:L,"N")/COUNTIFS(DATOS!G:G,CONFIG_METADATA!$B$4,DATOS!I:I,B18),"—")</f>
        <v>—</v>
      </c>
      <c r="J18" t="str" cm="1">
        <f t="array" ref="J18">IFERROR(_xlfn.MODE.SNGL(IF((nEVAL=CONFIG_METADATA!$B$4)*(nASIG=B18)*(nAPTO="S"),nNOTA)),"—")</f>
        <v>—</v>
      </c>
      <c r="K18" t="str" cm="1">
        <f t="array" ref="K18">IFERROR(_xlfn.MODE.SNGL(IF((nEVAL=CONFIG_METADATA!$B$4)*(nASIG=B18)*(nAPTO="N"),nNOTA)),"—")</f>
        <v>—</v>
      </c>
      <c r="L18">
        <f>COUNTIFS(DATOS!G:G,CONFIG_METADATA!$B$4,DATOS!I:I,B18,DATOS!K:K,1)</f>
        <v>0</v>
      </c>
      <c r="M18">
        <f>COUNTIFS(DATOS!G:G,CONFIG_METADATA!$B$4,DATOS!I:I,B18,DATOS!K:K,2)</f>
        <v>0</v>
      </c>
      <c r="N18">
        <f>COUNTIFS(DATOS!G:G,CONFIG_METADATA!$B$4,DATOS!I:I,B18,DATOS!K:K,3)</f>
        <v>0</v>
      </c>
      <c r="O18">
        <f>COUNTIFS(DATOS!G:G,CONFIG_METADATA!$B$4,DATOS!I:I,B18,DATOS!K:K,4)</f>
        <v>0</v>
      </c>
      <c r="P18">
        <f>COUNTIFS(DATOS!G:G,CONFIG_METADATA!$B$4,DATOS!I:I,B18,DATOS!K:K,5)</f>
        <v>0</v>
      </c>
      <c r="Q18">
        <f>COUNTIFS(DATOS!G:G,CONFIG_METADATA!$B$4,DATOS!I:I,B18,DATOS!K:K,6)</f>
        <v>0</v>
      </c>
      <c r="R18">
        <f>COUNTIFS(DATOS!G:G,CONFIG_METADATA!$B$4,DATOS!I:I,B18,DATOS!K:K,7)</f>
        <v>0</v>
      </c>
      <c r="S18">
        <f>COUNTIFS(DATOS!G:G,CONFIG_METADATA!$B$4,DATOS!I:I,B18,DATOS!K:K,8)</f>
        <v>0</v>
      </c>
      <c r="T18">
        <f>COUNTIFS(DATOS!G:G,CONFIG_METADATA!$B$4,DATOS!I:I,B18,DATOS!K:K,9)</f>
        <v>0</v>
      </c>
      <c r="U18">
        <f>COUNTIFS(DATOS!G:G,CONFIG_METADATA!$B$4,DATOS!I:I,B18,DATOS!K:K,10)</f>
        <v>0</v>
      </c>
    </row>
    <row r="19" spans="1:22">
      <c r="A19" s="3" t="inlineStr">
        <is>
          <t xml:space="preserve">GLOBAL</t>
        </is>
      </c>
      <c r="B19" s="3" cm="1">
        <f t="array" ref="B19">IFERROR(INDEX(_xlfn._xlws.FILTER(CONFIG_ASIGNATURAS!$B$2:$B$61,CONFIG_ASIGNATURAS!$G$2:$G$61="Sí"),15),"")</f>
      </c>
      <c r="C19" s="3">
        <f>IF(B19="","",IFERROR(IF(VLOOKUP(B19,CONFIG_ASIGNATURAS!$B$2:$F$61,5,FALSE())="Sí","Especialidad","Asignatura"),"Asignatura"))</f>
      </c>
      <c r="D19">
        <f>COUNTIFS(DATOS!G:G,CONFIG_METADATA!$B$4,DATOS!I:I,B19)</f>
        <v>0</v>
      </c>
      <c r="E19" s="14" t="str">
        <f>IFERROR(AVERAGEIFS(DATOS!K:K,DATOS!G:G,CONFIG_METADATA!$B$4,DATOS!I:I,B19),"—")</f>
        <v>—</v>
      </c>
      <c r="F19" s="14" t="str" cm="1">
        <f t="array" ref="F19">IFERROR(_xlfn.STDEV.P(IF((nEVAL=CONFIG_METADATA!$B$4)*(nASIG=B19),nNOTA)),"—")</f>
        <v>—</v>
      </c>
      <c r="G19" t="str" cm="1">
        <f t="array" ref="G19">IFERROR(_xlfn.MODE.SNGL(IF((nEVAL=CONFIG_METADATA!$B$4)*(nASIG=B19),nNOTA)),"—")</f>
        <v>—</v>
      </c>
      <c r="H19" s="15" t="str">
        <f>IFERROR(COUNTIFS(DATOS!G:G,CONFIG_METADATA!$B$4,DATOS!I:I,B19,DATOS!L:L,"S")/COUNTIFS(DATOS!G:G,CONFIG_METADATA!$B$4,DATOS!I:I,B19),"—")</f>
        <v>—</v>
      </c>
      <c r="I19" s="15" t="str">
        <f>IFERROR(COUNTIFS(DATOS!G:G,CONFIG_METADATA!$B$4,DATOS!I:I,B19,DATOS!L:L,"N")/COUNTIFS(DATOS!G:G,CONFIG_METADATA!$B$4,DATOS!I:I,B19),"—")</f>
        <v>—</v>
      </c>
      <c r="J19" t="str" cm="1">
        <f t="array" ref="J19">IFERROR(_xlfn.MODE.SNGL(IF((nEVAL=CONFIG_METADATA!$B$4)*(nASIG=B19)*(nAPTO="S"),nNOTA)),"—")</f>
        <v>—</v>
      </c>
      <c r="K19" t="str" cm="1">
        <f t="array" ref="K19">IFERROR(_xlfn.MODE.SNGL(IF((nEVAL=CONFIG_METADATA!$B$4)*(nASIG=B19)*(nAPTO="N"),nNOTA)),"—")</f>
        <v>—</v>
      </c>
      <c r="L19">
        <f>COUNTIFS(DATOS!G:G,CONFIG_METADATA!$B$4,DATOS!I:I,B19,DATOS!K:K,1)</f>
        <v>0</v>
      </c>
      <c r="M19">
        <f>COUNTIFS(DATOS!G:G,CONFIG_METADATA!$B$4,DATOS!I:I,B19,DATOS!K:K,2)</f>
        <v>0</v>
      </c>
      <c r="N19">
        <f>COUNTIFS(DATOS!G:G,CONFIG_METADATA!$B$4,DATOS!I:I,B19,DATOS!K:K,3)</f>
        <v>0</v>
      </c>
      <c r="O19">
        <f>COUNTIFS(DATOS!G:G,CONFIG_METADATA!$B$4,DATOS!I:I,B19,DATOS!K:K,4)</f>
        <v>0</v>
      </c>
      <c r="P19">
        <f>COUNTIFS(DATOS!G:G,CONFIG_METADATA!$B$4,DATOS!I:I,B19,DATOS!K:K,5)</f>
        <v>0</v>
      </c>
      <c r="Q19">
        <f>COUNTIFS(DATOS!G:G,CONFIG_METADATA!$B$4,DATOS!I:I,B19,DATOS!K:K,6)</f>
        <v>0</v>
      </c>
      <c r="R19">
        <f>COUNTIFS(DATOS!G:G,CONFIG_METADATA!$B$4,DATOS!I:I,B19,DATOS!K:K,7)</f>
        <v>0</v>
      </c>
      <c r="S19">
        <f>COUNTIFS(DATOS!G:G,CONFIG_METADATA!$B$4,DATOS!I:I,B19,DATOS!K:K,8)</f>
        <v>0</v>
      </c>
      <c r="T19">
        <f>COUNTIFS(DATOS!G:G,CONFIG_METADATA!$B$4,DATOS!I:I,B19,DATOS!K:K,9)</f>
        <v>0</v>
      </c>
      <c r="U19">
        <f>COUNTIFS(DATOS!G:G,CONFIG_METADATA!$B$4,DATOS!I:I,B19,DATOS!K:K,10)</f>
        <v>0</v>
      </c>
    </row>
    <row r="20" spans="1:22">
      <c r="A20" s="3" t="inlineStr">
        <is>
          <t xml:space="preserve">GLOBAL</t>
        </is>
      </c>
      <c r="B20" s="3" cm="1">
        <f t="array" ref="B20">IFERROR(INDEX(_xlfn._xlws.FILTER(CONFIG_ASIGNATURAS!$B$2:$B$61,CONFIG_ASIGNATURAS!$G$2:$G$61="Sí"),16),"")</f>
      </c>
      <c r="C20" s="3">
        <f>IF(B20="","",IFERROR(IF(VLOOKUP(B20,CONFIG_ASIGNATURAS!$B$2:$F$61,5,FALSE())="Sí","Especialidad","Asignatura"),"Asignatura"))</f>
      </c>
      <c r="D20">
        <f>COUNTIFS(DATOS!G:G,CONFIG_METADATA!$B$4,DATOS!I:I,B20)</f>
        <v>0</v>
      </c>
      <c r="E20" s="14" t="str">
        <f>IFERROR(AVERAGEIFS(DATOS!K:K,DATOS!G:G,CONFIG_METADATA!$B$4,DATOS!I:I,B20),"—")</f>
        <v>—</v>
      </c>
      <c r="F20" s="14" t="str" cm="1">
        <f t="array" ref="F20">IFERROR(_xlfn.STDEV.P(IF((nEVAL=CONFIG_METADATA!$B$4)*(nASIG=B20),nNOTA)),"—")</f>
        <v>—</v>
      </c>
      <c r="G20" t="str" cm="1">
        <f t="array" ref="G20">IFERROR(_xlfn.MODE.SNGL(IF((nEVAL=CONFIG_METADATA!$B$4)*(nASIG=B20),nNOTA)),"—")</f>
        <v>—</v>
      </c>
      <c r="H20" s="15" t="str">
        <f>IFERROR(COUNTIFS(DATOS!G:G,CONFIG_METADATA!$B$4,DATOS!I:I,B20,DATOS!L:L,"S")/COUNTIFS(DATOS!G:G,CONFIG_METADATA!$B$4,DATOS!I:I,B20),"—")</f>
        <v>—</v>
      </c>
      <c r="I20" s="15" t="str">
        <f>IFERROR(COUNTIFS(DATOS!G:G,CONFIG_METADATA!$B$4,DATOS!I:I,B20,DATOS!L:L,"N")/COUNTIFS(DATOS!G:G,CONFIG_METADATA!$B$4,DATOS!I:I,B20),"—")</f>
        <v>—</v>
      </c>
      <c r="J20" t="str" cm="1">
        <f t="array" ref="J20">IFERROR(_xlfn.MODE.SNGL(IF((nEVAL=CONFIG_METADATA!$B$4)*(nASIG=B20)*(nAPTO="S"),nNOTA)),"—")</f>
        <v>—</v>
      </c>
      <c r="K20" t="str" cm="1">
        <f t="array" ref="K20">IFERROR(_xlfn.MODE.SNGL(IF((nEVAL=CONFIG_METADATA!$B$4)*(nASIG=B20)*(nAPTO="N"),nNOTA)),"—")</f>
        <v>—</v>
      </c>
      <c r="L20">
        <f>COUNTIFS(DATOS!G:G,CONFIG_METADATA!$B$4,DATOS!I:I,B20,DATOS!K:K,1)</f>
        <v>0</v>
      </c>
      <c r="M20">
        <f>COUNTIFS(DATOS!G:G,CONFIG_METADATA!$B$4,DATOS!I:I,B20,DATOS!K:K,2)</f>
        <v>0</v>
      </c>
      <c r="N20">
        <f>COUNTIFS(DATOS!G:G,CONFIG_METADATA!$B$4,DATOS!I:I,B20,DATOS!K:K,3)</f>
        <v>0</v>
      </c>
      <c r="O20">
        <f>COUNTIFS(DATOS!G:G,CONFIG_METADATA!$B$4,DATOS!I:I,B20,DATOS!K:K,4)</f>
        <v>0</v>
      </c>
      <c r="P20">
        <f>COUNTIFS(DATOS!G:G,CONFIG_METADATA!$B$4,DATOS!I:I,B20,DATOS!K:K,5)</f>
        <v>0</v>
      </c>
      <c r="Q20">
        <f>COUNTIFS(DATOS!G:G,CONFIG_METADATA!$B$4,DATOS!I:I,B20,DATOS!K:K,6)</f>
        <v>0</v>
      </c>
      <c r="R20">
        <f>COUNTIFS(DATOS!G:G,CONFIG_METADATA!$B$4,DATOS!I:I,B20,DATOS!K:K,7)</f>
        <v>0</v>
      </c>
      <c r="S20">
        <f>COUNTIFS(DATOS!G:G,CONFIG_METADATA!$B$4,DATOS!I:I,B20,DATOS!K:K,8)</f>
        <v>0</v>
      </c>
      <c r="T20">
        <f>COUNTIFS(DATOS!G:G,CONFIG_METADATA!$B$4,DATOS!I:I,B20,DATOS!K:K,9)</f>
        <v>0</v>
      </c>
      <c r="U20">
        <f>COUNTIFS(DATOS!G:G,CONFIG_METADATA!$B$4,DATOS!I:I,B20,DATOS!K:K,10)</f>
        <v>0</v>
      </c>
    </row>
    <row r="21" spans="1:22">
      <c r="A21" s="3" t="inlineStr">
        <is>
          <t xml:space="preserve">GLOBAL</t>
        </is>
      </c>
      <c r="B21" s="3" cm="1">
        <f t="array" ref="B21">IFERROR(INDEX(_xlfn._xlws.FILTER(CONFIG_ASIGNATURAS!$B$2:$B$61,CONFIG_ASIGNATURAS!$G$2:$G$61="Sí"),17),"")</f>
      </c>
      <c r="C21" s="3">
        <f>IF(B21="","",IFERROR(IF(VLOOKUP(B21,CONFIG_ASIGNATURAS!$B$2:$F$61,5,FALSE())="Sí","Especialidad","Asignatura"),"Asignatura"))</f>
      </c>
      <c r="D21">
        <f>COUNTIFS(DATOS!G:G,CONFIG_METADATA!$B$4,DATOS!I:I,B21)</f>
        <v>0</v>
      </c>
      <c r="E21" s="14" t="str">
        <f>IFERROR(AVERAGEIFS(DATOS!K:K,DATOS!G:G,CONFIG_METADATA!$B$4,DATOS!I:I,B21),"—")</f>
        <v>—</v>
      </c>
      <c r="F21" s="14" t="str" cm="1">
        <f t="array" ref="F21">IFERROR(_xlfn.STDEV.P(IF((nEVAL=CONFIG_METADATA!$B$4)*(nASIG=B21),nNOTA)),"—")</f>
        <v>—</v>
      </c>
      <c r="G21" t="str" cm="1">
        <f t="array" ref="G21">IFERROR(_xlfn.MODE.SNGL(IF((nEVAL=CONFIG_METADATA!$B$4)*(nASIG=B21),nNOTA)),"—")</f>
        <v>—</v>
      </c>
      <c r="H21" s="15" t="str">
        <f>IFERROR(COUNTIFS(DATOS!G:G,CONFIG_METADATA!$B$4,DATOS!I:I,B21,DATOS!L:L,"S")/COUNTIFS(DATOS!G:G,CONFIG_METADATA!$B$4,DATOS!I:I,B21),"—")</f>
        <v>—</v>
      </c>
      <c r="I21" s="15" t="str">
        <f>IFERROR(COUNTIFS(DATOS!G:G,CONFIG_METADATA!$B$4,DATOS!I:I,B21,DATOS!L:L,"N")/COUNTIFS(DATOS!G:G,CONFIG_METADATA!$B$4,DATOS!I:I,B21),"—")</f>
        <v>—</v>
      </c>
      <c r="J21" t="str" cm="1">
        <f t="array" ref="J21">IFERROR(_xlfn.MODE.SNGL(IF((nEVAL=CONFIG_METADATA!$B$4)*(nASIG=B21)*(nAPTO="S"),nNOTA)),"—")</f>
        <v>—</v>
      </c>
      <c r="K21" t="str" cm="1">
        <f t="array" ref="K21">IFERROR(_xlfn.MODE.SNGL(IF((nEVAL=CONFIG_METADATA!$B$4)*(nASIG=B21)*(nAPTO="N"),nNOTA)),"—")</f>
        <v>—</v>
      </c>
      <c r="L21">
        <f>COUNTIFS(DATOS!G:G,CONFIG_METADATA!$B$4,DATOS!I:I,B21,DATOS!K:K,1)</f>
        <v>0</v>
      </c>
      <c r="M21">
        <f>COUNTIFS(DATOS!G:G,CONFIG_METADATA!$B$4,DATOS!I:I,B21,DATOS!K:K,2)</f>
        <v>0</v>
      </c>
      <c r="N21">
        <f>COUNTIFS(DATOS!G:G,CONFIG_METADATA!$B$4,DATOS!I:I,B21,DATOS!K:K,3)</f>
        <v>0</v>
      </c>
      <c r="O21">
        <f>COUNTIFS(DATOS!G:G,CONFIG_METADATA!$B$4,DATOS!I:I,B21,DATOS!K:K,4)</f>
        <v>0</v>
      </c>
      <c r="P21">
        <f>COUNTIFS(DATOS!G:G,CONFIG_METADATA!$B$4,DATOS!I:I,B21,DATOS!K:K,5)</f>
        <v>0</v>
      </c>
      <c r="Q21">
        <f>COUNTIFS(DATOS!G:G,CONFIG_METADATA!$B$4,DATOS!I:I,B21,DATOS!K:K,6)</f>
        <v>0</v>
      </c>
      <c r="R21">
        <f>COUNTIFS(DATOS!G:G,CONFIG_METADATA!$B$4,DATOS!I:I,B21,DATOS!K:K,7)</f>
        <v>0</v>
      </c>
      <c r="S21">
        <f>COUNTIFS(DATOS!G:G,CONFIG_METADATA!$B$4,DATOS!I:I,B21,DATOS!K:K,8)</f>
        <v>0</v>
      </c>
      <c r="T21">
        <f>COUNTIFS(DATOS!G:G,CONFIG_METADATA!$B$4,DATOS!I:I,B21,DATOS!K:K,9)</f>
        <v>0</v>
      </c>
      <c r="U21">
        <f>COUNTIFS(DATOS!G:G,CONFIG_METADATA!$B$4,DATOS!I:I,B21,DATOS!K:K,10)</f>
        <v>0</v>
      </c>
    </row>
    <row r="22" spans="1:22">
      <c r="A22" s="3" t="inlineStr">
        <is>
          <t xml:space="preserve">GLOBAL</t>
        </is>
      </c>
      <c r="B22" s="3" cm="1">
        <f t="array" ref="B22">IFERROR(INDEX(_xlfn._xlws.FILTER(CONFIG_ASIGNATURAS!$B$2:$B$61,CONFIG_ASIGNATURAS!$G$2:$G$61="Sí"),18),"")</f>
      </c>
      <c r="C22" s="3">
        <f>IF(B22="","",IFERROR(IF(VLOOKUP(B22,CONFIG_ASIGNATURAS!$B$2:$F$61,5,FALSE())="Sí","Especialidad","Asignatura"),"Asignatura"))</f>
      </c>
      <c r="D22">
        <f>COUNTIFS(DATOS!G:G,CONFIG_METADATA!$B$4,DATOS!I:I,B22)</f>
        <v>0</v>
      </c>
      <c r="E22" s="14" t="str">
        <f>IFERROR(AVERAGEIFS(DATOS!K:K,DATOS!G:G,CONFIG_METADATA!$B$4,DATOS!I:I,B22),"—")</f>
        <v>—</v>
      </c>
      <c r="F22" s="14" t="str" cm="1">
        <f t="array" ref="F22">IFERROR(_xlfn.STDEV.P(IF((nEVAL=CONFIG_METADATA!$B$4)*(nASIG=B22),nNOTA)),"—")</f>
        <v>—</v>
      </c>
      <c r="G22" t="str" cm="1">
        <f t="array" ref="G22">IFERROR(_xlfn.MODE.SNGL(IF((nEVAL=CONFIG_METADATA!$B$4)*(nASIG=B22),nNOTA)),"—")</f>
        <v>—</v>
      </c>
      <c r="H22" s="15" t="str">
        <f>IFERROR(COUNTIFS(DATOS!G:G,CONFIG_METADATA!$B$4,DATOS!I:I,B22,DATOS!L:L,"S")/COUNTIFS(DATOS!G:G,CONFIG_METADATA!$B$4,DATOS!I:I,B22),"—")</f>
        <v>—</v>
      </c>
      <c r="I22" s="15" t="str">
        <f>IFERROR(COUNTIFS(DATOS!G:G,CONFIG_METADATA!$B$4,DATOS!I:I,B22,DATOS!L:L,"N")/COUNTIFS(DATOS!G:G,CONFIG_METADATA!$B$4,DATOS!I:I,B22),"—")</f>
        <v>—</v>
      </c>
      <c r="J22" t="str" cm="1">
        <f t="array" ref="J22">IFERROR(_xlfn.MODE.SNGL(IF((nEVAL=CONFIG_METADATA!$B$4)*(nASIG=B22)*(nAPTO="S"),nNOTA)),"—")</f>
        <v>—</v>
      </c>
      <c r="K22" t="str" cm="1">
        <f t="array" ref="K22">IFERROR(_xlfn.MODE.SNGL(IF((nEVAL=CONFIG_METADATA!$B$4)*(nASIG=B22)*(nAPTO="N"),nNOTA)),"—")</f>
        <v>—</v>
      </c>
      <c r="L22">
        <f>COUNTIFS(DATOS!G:G,CONFIG_METADATA!$B$4,DATOS!I:I,B22,DATOS!K:K,1)</f>
        <v>0</v>
      </c>
      <c r="M22">
        <f>COUNTIFS(DATOS!G:G,CONFIG_METADATA!$B$4,DATOS!I:I,B22,DATOS!K:K,2)</f>
        <v>0</v>
      </c>
      <c r="N22">
        <f>COUNTIFS(DATOS!G:G,CONFIG_METADATA!$B$4,DATOS!I:I,B22,DATOS!K:K,3)</f>
        <v>0</v>
      </c>
      <c r="O22">
        <f>COUNTIFS(DATOS!G:G,CONFIG_METADATA!$B$4,DATOS!I:I,B22,DATOS!K:K,4)</f>
        <v>0</v>
      </c>
      <c r="P22">
        <f>COUNTIFS(DATOS!G:G,CONFIG_METADATA!$B$4,DATOS!I:I,B22,DATOS!K:K,5)</f>
        <v>0</v>
      </c>
      <c r="Q22">
        <f>COUNTIFS(DATOS!G:G,CONFIG_METADATA!$B$4,DATOS!I:I,B22,DATOS!K:K,6)</f>
        <v>0</v>
      </c>
      <c r="R22">
        <f>COUNTIFS(DATOS!G:G,CONFIG_METADATA!$B$4,DATOS!I:I,B22,DATOS!K:K,7)</f>
        <v>0</v>
      </c>
      <c r="S22">
        <f>COUNTIFS(DATOS!G:G,CONFIG_METADATA!$B$4,DATOS!I:I,B22,DATOS!K:K,8)</f>
        <v>0</v>
      </c>
      <c r="T22">
        <f>COUNTIFS(DATOS!G:G,CONFIG_METADATA!$B$4,DATOS!I:I,B22,DATOS!K:K,9)</f>
        <v>0</v>
      </c>
      <c r="U22">
        <f>COUNTIFS(DATOS!G:G,CONFIG_METADATA!$B$4,DATOS!I:I,B22,DATOS!K:K,10)</f>
        <v>0</v>
      </c>
    </row>
    <row r="23" spans="1:22">
      <c r="A23" s="3" t="inlineStr">
        <is>
          <t xml:space="preserve">GLOBAL</t>
        </is>
      </c>
      <c r="B23" s="3" cm="1">
        <f t="array" ref="B23">IFERROR(INDEX(_xlfn._xlws.FILTER(CONFIG_ASIGNATURAS!$B$2:$B$61,CONFIG_ASIGNATURAS!$G$2:$G$61="Sí"),19),"")</f>
      </c>
      <c r="C23" s="3">
        <f>IF(B23="","",IFERROR(IF(VLOOKUP(B23,CONFIG_ASIGNATURAS!$B$2:$F$61,5,FALSE())="Sí","Especialidad","Asignatura"),"Asignatura"))</f>
      </c>
      <c r="D23">
        <f>COUNTIFS(DATOS!G:G,CONFIG_METADATA!$B$4,DATOS!I:I,B23)</f>
        <v>0</v>
      </c>
      <c r="E23" s="14" t="str">
        <f>IFERROR(AVERAGEIFS(DATOS!K:K,DATOS!G:G,CONFIG_METADATA!$B$4,DATOS!I:I,B23),"—")</f>
        <v>—</v>
      </c>
      <c r="F23" s="14" t="str" cm="1">
        <f t="array" ref="F23">IFERROR(_xlfn.STDEV.P(IF((nEVAL=CONFIG_METADATA!$B$4)*(nASIG=B23),nNOTA)),"—")</f>
        <v>—</v>
      </c>
      <c r="G23" t="str" cm="1">
        <f t="array" ref="G23">IFERROR(_xlfn.MODE.SNGL(IF((nEVAL=CONFIG_METADATA!$B$4)*(nASIG=B23),nNOTA)),"—")</f>
        <v>—</v>
      </c>
      <c r="H23" s="15" t="str">
        <f>IFERROR(COUNTIFS(DATOS!G:G,CONFIG_METADATA!$B$4,DATOS!I:I,B23,DATOS!L:L,"S")/COUNTIFS(DATOS!G:G,CONFIG_METADATA!$B$4,DATOS!I:I,B23),"—")</f>
        <v>—</v>
      </c>
      <c r="I23" s="15" t="str">
        <f>IFERROR(COUNTIFS(DATOS!G:G,CONFIG_METADATA!$B$4,DATOS!I:I,B23,DATOS!L:L,"N")/COUNTIFS(DATOS!G:G,CONFIG_METADATA!$B$4,DATOS!I:I,B23),"—")</f>
        <v>—</v>
      </c>
      <c r="J23" t="str" cm="1">
        <f t="array" ref="J23">IFERROR(_xlfn.MODE.SNGL(IF((nEVAL=CONFIG_METADATA!$B$4)*(nASIG=B23)*(nAPTO="S"),nNOTA)),"—")</f>
        <v>—</v>
      </c>
      <c r="K23" t="str" cm="1">
        <f t="array" ref="K23">IFERROR(_xlfn.MODE.SNGL(IF((nEVAL=CONFIG_METADATA!$B$4)*(nASIG=B23)*(nAPTO="N"),nNOTA)),"—")</f>
        <v>—</v>
      </c>
      <c r="L23">
        <f>COUNTIFS(DATOS!G:G,CONFIG_METADATA!$B$4,DATOS!I:I,B23,DATOS!K:K,1)</f>
        <v>0</v>
      </c>
      <c r="M23">
        <f>COUNTIFS(DATOS!G:G,CONFIG_METADATA!$B$4,DATOS!I:I,B23,DATOS!K:K,2)</f>
        <v>0</v>
      </c>
      <c r="N23">
        <f>COUNTIFS(DATOS!G:G,CONFIG_METADATA!$B$4,DATOS!I:I,B23,DATOS!K:K,3)</f>
        <v>0</v>
      </c>
      <c r="O23">
        <f>COUNTIFS(DATOS!G:G,CONFIG_METADATA!$B$4,DATOS!I:I,B23,DATOS!K:K,4)</f>
        <v>0</v>
      </c>
      <c r="P23">
        <f>COUNTIFS(DATOS!G:G,CONFIG_METADATA!$B$4,DATOS!I:I,B23,DATOS!K:K,5)</f>
        <v>0</v>
      </c>
      <c r="Q23">
        <f>COUNTIFS(DATOS!G:G,CONFIG_METADATA!$B$4,DATOS!I:I,B23,DATOS!K:K,6)</f>
        <v>0</v>
      </c>
      <c r="R23">
        <f>COUNTIFS(DATOS!G:G,CONFIG_METADATA!$B$4,DATOS!I:I,B23,DATOS!K:K,7)</f>
        <v>0</v>
      </c>
      <c r="S23">
        <f>COUNTIFS(DATOS!G:G,CONFIG_METADATA!$B$4,DATOS!I:I,B23,DATOS!K:K,8)</f>
        <v>0</v>
      </c>
      <c r="T23">
        <f>COUNTIFS(DATOS!G:G,CONFIG_METADATA!$B$4,DATOS!I:I,B23,DATOS!K:K,9)</f>
        <v>0</v>
      </c>
      <c r="U23">
        <f>COUNTIFS(DATOS!G:G,CONFIG_METADATA!$B$4,DATOS!I:I,B23,DATOS!K:K,10)</f>
        <v>0</v>
      </c>
    </row>
    <row r="24" spans="1:22">
      <c r="A24" s="3" t="inlineStr">
        <is>
          <t xml:space="preserve">GLOBAL</t>
        </is>
      </c>
      <c r="B24" s="3" cm="1">
        <f t="array" ref="B24">IFERROR(INDEX(_xlfn._xlws.FILTER(CONFIG_ASIGNATURAS!$B$2:$B$61,CONFIG_ASIGNATURAS!$G$2:$G$61="Sí"),20),"")</f>
      </c>
      <c r="C24" s="3">
        <f>IF(B24="","",IFERROR(IF(VLOOKUP(B24,CONFIG_ASIGNATURAS!$B$2:$F$61,5,FALSE())="Sí","Especialidad","Asignatura"),"Asignatura"))</f>
      </c>
      <c r="D24">
        <f>COUNTIFS(DATOS!G:G,CONFIG_METADATA!$B$4,DATOS!I:I,B24)</f>
        <v>0</v>
      </c>
      <c r="E24" s="14" t="str">
        <f>IFERROR(AVERAGEIFS(DATOS!K:K,DATOS!G:G,CONFIG_METADATA!$B$4,DATOS!I:I,B24),"—")</f>
        <v>—</v>
      </c>
      <c r="F24" s="14" t="str" cm="1">
        <f t="array" ref="F24">IFERROR(_xlfn.STDEV.P(IF((nEVAL=CONFIG_METADATA!$B$4)*(nASIG=B24),nNOTA)),"—")</f>
        <v>—</v>
      </c>
      <c r="G24" t="str" cm="1">
        <f t="array" ref="G24">IFERROR(_xlfn.MODE.SNGL(IF((nEVAL=CONFIG_METADATA!$B$4)*(nASIG=B24),nNOTA)),"—")</f>
        <v>—</v>
      </c>
      <c r="H24" s="15" t="str">
        <f>IFERROR(COUNTIFS(DATOS!G:G,CONFIG_METADATA!$B$4,DATOS!I:I,B24,DATOS!L:L,"S")/COUNTIFS(DATOS!G:G,CONFIG_METADATA!$B$4,DATOS!I:I,B24),"—")</f>
        <v>—</v>
      </c>
      <c r="I24" s="15" t="str">
        <f>IFERROR(COUNTIFS(DATOS!G:G,CONFIG_METADATA!$B$4,DATOS!I:I,B24,DATOS!L:L,"N")/COUNTIFS(DATOS!G:G,CONFIG_METADATA!$B$4,DATOS!I:I,B24),"—")</f>
        <v>—</v>
      </c>
      <c r="J24" t="str" cm="1">
        <f t="array" ref="J24">IFERROR(_xlfn.MODE.SNGL(IF((nEVAL=CONFIG_METADATA!$B$4)*(nASIG=B24)*(nAPTO="S"),nNOTA)),"—")</f>
        <v>—</v>
      </c>
      <c r="K24" t="str" cm="1">
        <f t="array" ref="K24">IFERROR(_xlfn.MODE.SNGL(IF((nEVAL=CONFIG_METADATA!$B$4)*(nASIG=B24)*(nAPTO="N"),nNOTA)),"—")</f>
        <v>—</v>
      </c>
      <c r="L24">
        <f>COUNTIFS(DATOS!G:G,CONFIG_METADATA!$B$4,DATOS!I:I,B24,DATOS!K:K,1)</f>
        <v>0</v>
      </c>
      <c r="M24">
        <f>COUNTIFS(DATOS!G:G,CONFIG_METADATA!$B$4,DATOS!I:I,B24,DATOS!K:K,2)</f>
        <v>0</v>
      </c>
      <c r="N24">
        <f>COUNTIFS(DATOS!G:G,CONFIG_METADATA!$B$4,DATOS!I:I,B24,DATOS!K:K,3)</f>
        <v>0</v>
      </c>
      <c r="O24">
        <f>COUNTIFS(DATOS!G:G,CONFIG_METADATA!$B$4,DATOS!I:I,B24,DATOS!K:K,4)</f>
        <v>0</v>
      </c>
      <c r="P24">
        <f>COUNTIFS(DATOS!G:G,CONFIG_METADATA!$B$4,DATOS!I:I,B24,DATOS!K:K,5)</f>
        <v>0</v>
      </c>
      <c r="Q24">
        <f>COUNTIFS(DATOS!G:G,CONFIG_METADATA!$B$4,DATOS!I:I,B24,DATOS!K:K,6)</f>
        <v>0</v>
      </c>
      <c r="R24">
        <f>COUNTIFS(DATOS!G:G,CONFIG_METADATA!$B$4,DATOS!I:I,B24,DATOS!K:K,7)</f>
        <v>0</v>
      </c>
      <c r="S24">
        <f>COUNTIFS(DATOS!G:G,CONFIG_METADATA!$B$4,DATOS!I:I,B24,DATOS!K:K,8)</f>
        <v>0</v>
      </c>
      <c r="T24">
        <f>COUNTIFS(DATOS!G:G,CONFIG_METADATA!$B$4,DATOS!I:I,B24,DATOS!K:K,9)</f>
        <v>0</v>
      </c>
      <c r="U24">
        <f>COUNTIFS(DATOS!G:G,CONFIG_METADATA!$B$4,DATOS!I:I,B24,DATOS!K:K,10)</f>
        <v>0</v>
      </c>
    </row>
    <row r="25" spans="1:22">
      <c r="A25" s="3" t="inlineStr">
        <is>
          <t xml:space="preserve">GLOBAL</t>
        </is>
      </c>
      <c r="B25" s="3" cm="1">
        <f t="array" ref="B25">IFERROR(INDEX(_xlfn._xlws.FILTER(CONFIG_ASIGNATURAS!$B$2:$B$61,CONFIG_ASIGNATURAS!$G$2:$G$61="Sí"),21),"")</f>
      </c>
      <c r="C25" s="3">
        <f>IF(B25="","",IFERROR(IF(VLOOKUP(B25,CONFIG_ASIGNATURAS!$B$2:$F$61,5,FALSE())="Sí","Especialidad","Asignatura"),"Asignatura"))</f>
      </c>
      <c r="D25">
        <f>COUNTIFS(DATOS!G:G,CONFIG_METADATA!$B$4,DATOS!I:I,B25)</f>
        <v>0</v>
      </c>
      <c r="E25" s="14" t="str">
        <f>IFERROR(AVERAGEIFS(DATOS!K:K,DATOS!G:G,CONFIG_METADATA!$B$4,DATOS!I:I,B25),"—")</f>
        <v>—</v>
      </c>
      <c r="F25" s="14" t="str" cm="1">
        <f t="array" ref="F25">IFERROR(_xlfn.STDEV.P(IF((nEVAL=CONFIG_METADATA!$B$4)*(nASIG=B25),nNOTA)),"—")</f>
        <v>—</v>
      </c>
      <c r="G25" t="str" cm="1">
        <f t="array" ref="G25">IFERROR(_xlfn.MODE.SNGL(IF((nEVAL=CONFIG_METADATA!$B$4)*(nASIG=B25),nNOTA)),"—")</f>
        <v>—</v>
      </c>
      <c r="H25" s="15" t="str">
        <f>IFERROR(COUNTIFS(DATOS!G:G,CONFIG_METADATA!$B$4,DATOS!I:I,B25,DATOS!L:L,"S")/COUNTIFS(DATOS!G:G,CONFIG_METADATA!$B$4,DATOS!I:I,B25),"—")</f>
        <v>—</v>
      </c>
      <c r="I25" s="15" t="str">
        <f>IFERROR(COUNTIFS(DATOS!G:G,CONFIG_METADATA!$B$4,DATOS!I:I,B25,DATOS!L:L,"N")/COUNTIFS(DATOS!G:G,CONFIG_METADATA!$B$4,DATOS!I:I,B25),"—")</f>
        <v>—</v>
      </c>
      <c r="J25" t="str" cm="1">
        <f t="array" ref="J25">IFERROR(_xlfn.MODE.SNGL(IF((nEVAL=CONFIG_METADATA!$B$4)*(nASIG=B25)*(nAPTO="S"),nNOTA)),"—")</f>
        <v>—</v>
      </c>
      <c r="K25" t="str" cm="1">
        <f t="array" ref="K25">IFERROR(_xlfn.MODE.SNGL(IF((nEVAL=CONFIG_METADATA!$B$4)*(nASIG=B25)*(nAPTO="N"),nNOTA)),"—")</f>
        <v>—</v>
      </c>
      <c r="L25">
        <f>COUNTIFS(DATOS!G:G,CONFIG_METADATA!$B$4,DATOS!I:I,B25,DATOS!K:K,1)</f>
        <v>0</v>
      </c>
      <c r="M25">
        <f>COUNTIFS(DATOS!G:G,CONFIG_METADATA!$B$4,DATOS!I:I,B25,DATOS!K:K,2)</f>
        <v>0</v>
      </c>
      <c r="N25">
        <f>COUNTIFS(DATOS!G:G,CONFIG_METADATA!$B$4,DATOS!I:I,B25,DATOS!K:K,3)</f>
        <v>0</v>
      </c>
      <c r="O25">
        <f>COUNTIFS(DATOS!G:G,CONFIG_METADATA!$B$4,DATOS!I:I,B25,DATOS!K:K,4)</f>
        <v>0</v>
      </c>
      <c r="P25">
        <f>COUNTIFS(DATOS!G:G,CONFIG_METADATA!$B$4,DATOS!I:I,B25,DATOS!K:K,5)</f>
        <v>0</v>
      </c>
      <c r="Q25">
        <f>COUNTIFS(DATOS!G:G,CONFIG_METADATA!$B$4,DATOS!I:I,B25,DATOS!K:K,6)</f>
        <v>0</v>
      </c>
      <c r="R25">
        <f>COUNTIFS(DATOS!G:G,CONFIG_METADATA!$B$4,DATOS!I:I,B25,DATOS!K:K,7)</f>
        <v>0</v>
      </c>
      <c r="S25">
        <f>COUNTIFS(DATOS!G:G,CONFIG_METADATA!$B$4,DATOS!I:I,B25,DATOS!K:K,8)</f>
        <v>0</v>
      </c>
      <c r="T25">
        <f>COUNTIFS(DATOS!G:G,CONFIG_METADATA!$B$4,DATOS!I:I,B25,DATOS!K:K,9)</f>
        <v>0</v>
      </c>
      <c r="U25">
        <f>COUNTIFS(DATOS!G:G,CONFIG_METADATA!$B$4,DATOS!I:I,B25,DATOS!K:K,10)</f>
        <v>0</v>
      </c>
    </row>
    <row r="26" spans="1:22">
      <c r="A26" s="3" t="inlineStr">
        <is>
          <t xml:space="preserve">GLOBAL</t>
        </is>
      </c>
      <c r="B26" s="3" cm="1">
        <f t="array" ref="B26">IFERROR(INDEX(_xlfn._xlws.FILTER(CONFIG_ASIGNATURAS!$B$2:$B$61,CONFIG_ASIGNATURAS!$G$2:$G$61="Sí"),22),"")</f>
      </c>
      <c r="C26" s="3">
        <f>IF(B26="","",IFERROR(IF(VLOOKUP(B26,CONFIG_ASIGNATURAS!$B$2:$F$61,5,FALSE())="Sí","Especialidad","Asignatura"),"Asignatura"))</f>
      </c>
      <c r="D26">
        <f>COUNTIFS(DATOS!G:G,CONFIG_METADATA!$B$4,DATOS!I:I,B26)</f>
        <v>0</v>
      </c>
      <c r="E26" s="14" t="str">
        <f>IFERROR(AVERAGEIFS(DATOS!K:K,DATOS!G:G,CONFIG_METADATA!$B$4,DATOS!I:I,B26),"—")</f>
        <v>—</v>
      </c>
      <c r="F26" s="14" t="str" cm="1">
        <f t="array" ref="F26">IFERROR(_xlfn.STDEV.P(IF((nEVAL=CONFIG_METADATA!$B$4)*(nASIG=B26),nNOTA)),"—")</f>
        <v>—</v>
      </c>
      <c r="G26" t="str" cm="1">
        <f t="array" ref="G26">IFERROR(_xlfn.MODE.SNGL(IF((nEVAL=CONFIG_METADATA!$B$4)*(nASIG=B26),nNOTA)),"—")</f>
        <v>—</v>
      </c>
      <c r="H26" s="15" t="str">
        <f>IFERROR(COUNTIFS(DATOS!G:G,CONFIG_METADATA!$B$4,DATOS!I:I,B26,DATOS!L:L,"S")/COUNTIFS(DATOS!G:G,CONFIG_METADATA!$B$4,DATOS!I:I,B26),"—")</f>
        <v>—</v>
      </c>
      <c r="I26" s="15" t="str">
        <f>IFERROR(COUNTIFS(DATOS!G:G,CONFIG_METADATA!$B$4,DATOS!I:I,B26,DATOS!L:L,"N")/COUNTIFS(DATOS!G:G,CONFIG_METADATA!$B$4,DATOS!I:I,B26),"—")</f>
        <v>—</v>
      </c>
      <c r="J26" t="str" cm="1">
        <f t="array" ref="J26">IFERROR(_xlfn.MODE.SNGL(IF((nEVAL=CONFIG_METADATA!$B$4)*(nASIG=B26)*(nAPTO="S"),nNOTA)),"—")</f>
        <v>—</v>
      </c>
      <c r="K26" t="str" cm="1">
        <f t="array" ref="K26">IFERROR(_xlfn.MODE.SNGL(IF((nEVAL=CONFIG_METADATA!$B$4)*(nASIG=B26)*(nAPTO="N"),nNOTA)),"—")</f>
        <v>—</v>
      </c>
      <c r="L26">
        <f>COUNTIFS(DATOS!G:G,CONFIG_METADATA!$B$4,DATOS!I:I,B26,DATOS!K:K,1)</f>
        <v>0</v>
      </c>
      <c r="M26">
        <f>COUNTIFS(DATOS!G:G,CONFIG_METADATA!$B$4,DATOS!I:I,B26,DATOS!K:K,2)</f>
        <v>0</v>
      </c>
      <c r="N26">
        <f>COUNTIFS(DATOS!G:G,CONFIG_METADATA!$B$4,DATOS!I:I,B26,DATOS!K:K,3)</f>
        <v>0</v>
      </c>
      <c r="O26">
        <f>COUNTIFS(DATOS!G:G,CONFIG_METADATA!$B$4,DATOS!I:I,B26,DATOS!K:K,4)</f>
        <v>0</v>
      </c>
      <c r="P26">
        <f>COUNTIFS(DATOS!G:G,CONFIG_METADATA!$B$4,DATOS!I:I,B26,DATOS!K:K,5)</f>
        <v>0</v>
      </c>
      <c r="Q26">
        <f>COUNTIFS(DATOS!G:G,CONFIG_METADATA!$B$4,DATOS!I:I,B26,DATOS!K:K,6)</f>
        <v>0</v>
      </c>
      <c r="R26">
        <f>COUNTIFS(DATOS!G:G,CONFIG_METADATA!$B$4,DATOS!I:I,B26,DATOS!K:K,7)</f>
        <v>0</v>
      </c>
      <c r="S26">
        <f>COUNTIFS(DATOS!G:G,CONFIG_METADATA!$B$4,DATOS!I:I,B26,DATOS!K:K,8)</f>
        <v>0</v>
      </c>
      <c r="T26">
        <f>COUNTIFS(DATOS!G:G,CONFIG_METADATA!$B$4,DATOS!I:I,B26,DATOS!K:K,9)</f>
        <v>0</v>
      </c>
      <c r="U26">
        <f>COUNTIFS(DATOS!G:G,CONFIG_METADATA!$B$4,DATOS!I:I,B26,DATOS!K:K,10)</f>
        <v>0</v>
      </c>
    </row>
    <row r="27" spans="1:22">
      <c r="A27" s="3" t="inlineStr">
        <is>
          <t xml:space="preserve">GLOBAL</t>
        </is>
      </c>
      <c r="B27" s="3" cm="1">
        <f t="array" ref="B27">IFERROR(INDEX(_xlfn._xlws.FILTER(CONFIG_ASIGNATURAS!$B$2:$B$61,CONFIG_ASIGNATURAS!$G$2:$G$61="Sí"),23),"")</f>
      </c>
      <c r="C27" s="3">
        <f>IF(B27="","",IFERROR(IF(VLOOKUP(B27,CONFIG_ASIGNATURAS!$B$2:$F$61,5,FALSE())="Sí","Especialidad","Asignatura"),"Asignatura"))</f>
      </c>
      <c r="D27">
        <f>COUNTIFS(DATOS!G:G,CONFIG_METADATA!$B$4,DATOS!I:I,B27)</f>
        <v>0</v>
      </c>
      <c r="E27" s="14" t="str">
        <f>IFERROR(AVERAGEIFS(DATOS!K:K,DATOS!G:G,CONFIG_METADATA!$B$4,DATOS!I:I,B27),"—")</f>
        <v>—</v>
      </c>
      <c r="F27" s="14" t="str" cm="1">
        <f t="array" ref="F27">IFERROR(_xlfn.STDEV.P(IF((nEVAL=CONFIG_METADATA!$B$4)*(nASIG=B27),nNOTA)),"—")</f>
        <v>—</v>
      </c>
      <c r="G27" t="str" cm="1">
        <f t="array" ref="G27">IFERROR(_xlfn.MODE.SNGL(IF((nEVAL=CONFIG_METADATA!$B$4)*(nASIG=B27),nNOTA)),"—")</f>
        <v>—</v>
      </c>
      <c r="H27" s="15" t="str">
        <f>IFERROR(COUNTIFS(DATOS!G:G,CONFIG_METADATA!$B$4,DATOS!I:I,B27,DATOS!L:L,"S")/COUNTIFS(DATOS!G:G,CONFIG_METADATA!$B$4,DATOS!I:I,B27),"—")</f>
        <v>—</v>
      </c>
      <c r="I27" s="15" t="str">
        <f>IFERROR(COUNTIFS(DATOS!G:G,CONFIG_METADATA!$B$4,DATOS!I:I,B27,DATOS!L:L,"N")/COUNTIFS(DATOS!G:G,CONFIG_METADATA!$B$4,DATOS!I:I,B27),"—")</f>
        <v>—</v>
      </c>
      <c r="J27" t="str" cm="1">
        <f t="array" ref="J27">IFERROR(_xlfn.MODE.SNGL(IF((nEVAL=CONFIG_METADATA!$B$4)*(nASIG=B27)*(nAPTO="S"),nNOTA)),"—")</f>
        <v>—</v>
      </c>
      <c r="K27" t="str" cm="1">
        <f t="array" ref="K27">IFERROR(_xlfn.MODE.SNGL(IF((nEVAL=CONFIG_METADATA!$B$4)*(nASIG=B27)*(nAPTO="N"),nNOTA)),"—")</f>
        <v>—</v>
      </c>
      <c r="L27">
        <f>COUNTIFS(DATOS!G:G,CONFIG_METADATA!$B$4,DATOS!I:I,B27,DATOS!K:K,1)</f>
        <v>0</v>
      </c>
      <c r="M27">
        <f>COUNTIFS(DATOS!G:G,CONFIG_METADATA!$B$4,DATOS!I:I,B27,DATOS!K:K,2)</f>
        <v>0</v>
      </c>
      <c r="N27">
        <f>COUNTIFS(DATOS!G:G,CONFIG_METADATA!$B$4,DATOS!I:I,B27,DATOS!K:K,3)</f>
        <v>0</v>
      </c>
      <c r="O27">
        <f>COUNTIFS(DATOS!G:G,CONFIG_METADATA!$B$4,DATOS!I:I,B27,DATOS!K:K,4)</f>
        <v>0</v>
      </c>
      <c r="P27">
        <f>COUNTIFS(DATOS!G:G,CONFIG_METADATA!$B$4,DATOS!I:I,B27,DATOS!K:K,5)</f>
        <v>0</v>
      </c>
      <c r="Q27">
        <f>COUNTIFS(DATOS!G:G,CONFIG_METADATA!$B$4,DATOS!I:I,B27,DATOS!K:K,6)</f>
        <v>0</v>
      </c>
      <c r="R27">
        <f>COUNTIFS(DATOS!G:G,CONFIG_METADATA!$B$4,DATOS!I:I,B27,DATOS!K:K,7)</f>
        <v>0</v>
      </c>
      <c r="S27">
        <f>COUNTIFS(DATOS!G:G,CONFIG_METADATA!$B$4,DATOS!I:I,B27,DATOS!K:K,8)</f>
        <v>0</v>
      </c>
      <c r="T27">
        <f>COUNTIFS(DATOS!G:G,CONFIG_METADATA!$B$4,DATOS!I:I,B27,DATOS!K:K,9)</f>
        <v>0</v>
      </c>
      <c r="U27">
        <f>COUNTIFS(DATOS!G:G,CONFIG_METADATA!$B$4,DATOS!I:I,B27,DATOS!K:K,10)</f>
        <v>0</v>
      </c>
    </row>
    <row r="28" spans="1:22">
      <c r="A28" s="3" t="inlineStr">
        <is>
          <t xml:space="preserve">GLOBAL</t>
        </is>
      </c>
      <c r="B28" s="3" cm="1">
        <f t="array" ref="B28">IFERROR(INDEX(_xlfn._xlws.FILTER(CONFIG_ASIGNATURAS!$B$2:$B$61,CONFIG_ASIGNATURAS!$G$2:$G$61="Sí"),24),"")</f>
      </c>
      <c r="C28" s="3">
        <f>IF(B28="","",IFERROR(IF(VLOOKUP(B28,CONFIG_ASIGNATURAS!$B$2:$F$61,5,FALSE())="Sí","Especialidad","Asignatura"),"Asignatura"))</f>
      </c>
      <c r="D28">
        <f>COUNTIFS(DATOS!G:G,CONFIG_METADATA!$B$4,DATOS!I:I,B28)</f>
        <v>0</v>
      </c>
      <c r="E28" s="14" t="str">
        <f>IFERROR(AVERAGEIFS(DATOS!K:K,DATOS!G:G,CONFIG_METADATA!$B$4,DATOS!I:I,B28),"—")</f>
        <v>—</v>
      </c>
      <c r="F28" s="14" t="str" cm="1">
        <f t="array" ref="F28">IFERROR(_xlfn.STDEV.P(IF((nEVAL=CONFIG_METADATA!$B$4)*(nASIG=B28),nNOTA)),"—")</f>
        <v>—</v>
      </c>
      <c r="G28" t="str" cm="1">
        <f t="array" ref="G28">IFERROR(_xlfn.MODE.SNGL(IF((nEVAL=CONFIG_METADATA!$B$4)*(nASIG=B28),nNOTA)),"—")</f>
        <v>—</v>
      </c>
      <c r="H28" s="15" t="str">
        <f>IFERROR(COUNTIFS(DATOS!G:G,CONFIG_METADATA!$B$4,DATOS!I:I,B28,DATOS!L:L,"S")/COUNTIFS(DATOS!G:G,CONFIG_METADATA!$B$4,DATOS!I:I,B28),"—")</f>
        <v>—</v>
      </c>
      <c r="I28" s="15" t="str">
        <f>IFERROR(COUNTIFS(DATOS!G:G,CONFIG_METADATA!$B$4,DATOS!I:I,B28,DATOS!L:L,"N")/COUNTIFS(DATOS!G:G,CONFIG_METADATA!$B$4,DATOS!I:I,B28),"—")</f>
        <v>—</v>
      </c>
      <c r="J28" t="str" cm="1">
        <f t="array" ref="J28">IFERROR(_xlfn.MODE.SNGL(IF((nEVAL=CONFIG_METADATA!$B$4)*(nASIG=B28)*(nAPTO="S"),nNOTA)),"—")</f>
        <v>—</v>
      </c>
      <c r="K28" t="str" cm="1">
        <f t="array" ref="K28">IFERROR(_xlfn.MODE.SNGL(IF((nEVAL=CONFIG_METADATA!$B$4)*(nASIG=B28)*(nAPTO="N"),nNOTA)),"—")</f>
        <v>—</v>
      </c>
      <c r="L28">
        <f>COUNTIFS(DATOS!G:G,CONFIG_METADATA!$B$4,DATOS!I:I,B28,DATOS!K:K,1)</f>
        <v>0</v>
      </c>
      <c r="M28">
        <f>COUNTIFS(DATOS!G:G,CONFIG_METADATA!$B$4,DATOS!I:I,B28,DATOS!K:K,2)</f>
        <v>0</v>
      </c>
      <c r="N28">
        <f>COUNTIFS(DATOS!G:G,CONFIG_METADATA!$B$4,DATOS!I:I,B28,DATOS!K:K,3)</f>
        <v>0</v>
      </c>
      <c r="O28">
        <f>COUNTIFS(DATOS!G:G,CONFIG_METADATA!$B$4,DATOS!I:I,B28,DATOS!K:K,4)</f>
        <v>0</v>
      </c>
      <c r="P28">
        <f>COUNTIFS(DATOS!G:G,CONFIG_METADATA!$B$4,DATOS!I:I,B28,DATOS!K:K,5)</f>
        <v>0</v>
      </c>
      <c r="Q28">
        <f>COUNTIFS(DATOS!G:G,CONFIG_METADATA!$B$4,DATOS!I:I,B28,DATOS!K:K,6)</f>
        <v>0</v>
      </c>
      <c r="R28">
        <f>COUNTIFS(DATOS!G:G,CONFIG_METADATA!$B$4,DATOS!I:I,B28,DATOS!K:K,7)</f>
        <v>0</v>
      </c>
      <c r="S28">
        <f>COUNTIFS(DATOS!G:G,CONFIG_METADATA!$B$4,DATOS!I:I,B28,DATOS!K:K,8)</f>
        <v>0</v>
      </c>
      <c r="T28">
        <f>COUNTIFS(DATOS!G:G,CONFIG_METADATA!$B$4,DATOS!I:I,B28,DATOS!K:K,9)</f>
        <v>0</v>
      </c>
      <c r="U28">
        <f>COUNTIFS(DATOS!G:G,CONFIG_METADATA!$B$4,DATOS!I:I,B28,DATOS!K:K,10)</f>
        <v>0</v>
      </c>
    </row>
    <row r="29" spans="1:22">
      <c r="A29" s="3" t="inlineStr">
        <is>
          <t xml:space="preserve">GLOBAL</t>
        </is>
      </c>
      <c r="B29" s="3" cm="1">
        <f t="array" ref="B29">IFERROR(INDEX(_xlfn._xlws.FILTER(CONFIG_ASIGNATURAS!$B$2:$B$61,CONFIG_ASIGNATURAS!$G$2:$G$61="Sí"),25),"")</f>
      </c>
      <c r="C29" s="3">
        <f>IF(B29="","",IFERROR(IF(VLOOKUP(B29,CONFIG_ASIGNATURAS!$B$2:$F$61,5,FALSE())="Sí","Especialidad","Asignatura"),"Asignatura"))</f>
      </c>
      <c r="D29">
        <f>COUNTIFS(DATOS!G:G,CONFIG_METADATA!$B$4,DATOS!I:I,B29)</f>
        <v>0</v>
      </c>
      <c r="E29" s="14" t="str">
        <f>IFERROR(AVERAGEIFS(DATOS!K:K,DATOS!G:G,CONFIG_METADATA!$B$4,DATOS!I:I,B29),"—")</f>
        <v>—</v>
      </c>
      <c r="F29" s="14" t="str" cm="1">
        <f t="array" ref="F29">IFERROR(_xlfn.STDEV.P(IF((nEVAL=CONFIG_METADATA!$B$4)*(nASIG=B29),nNOTA)),"—")</f>
        <v>—</v>
      </c>
      <c r="G29" t="str" cm="1">
        <f t="array" ref="G29">IFERROR(_xlfn.MODE.SNGL(IF((nEVAL=CONFIG_METADATA!$B$4)*(nASIG=B29),nNOTA)),"—")</f>
        <v>—</v>
      </c>
      <c r="H29" s="15" t="str">
        <f>IFERROR(COUNTIFS(DATOS!G:G,CONFIG_METADATA!$B$4,DATOS!I:I,B29,DATOS!L:L,"S")/COUNTIFS(DATOS!G:G,CONFIG_METADATA!$B$4,DATOS!I:I,B29),"—")</f>
        <v>—</v>
      </c>
      <c r="I29" s="15" t="str">
        <f>IFERROR(COUNTIFS(DATOS!G:G,CONFIG_METADATA!$B$4,DATOS!I:I,B29,DATOS!L:L,"N")/COUNTIFS(DATOS!G:G,CONFIG_METADATA!$B$4,DATOS!I:I,B29),"—")</f>
        <v>—</v>
      </c>
      <c r="J29" t="str" cm="1">
        <f t="array" ref="J29">IFERROR(_xlfn.MODE.SNGL(IF((nEVAL=CONFIG_METADATA!$B$4)*(nASIG=B29)*(nAPTO="S"),nNOTA)),"—")</f>
        <v>—</v>
      </c>
      <c r="K29" t="str" cm="1">
        <f t="array" ref="K29">IFERROR(_xlfn.MODE.SNGL(IF((nEVAL=CONFIG_METADATA!$B$4)*(nASIG=B29)*(nAPTO="N"),nNOTA)),"—")</f>
        <v>—</v>
      </c>
      <c r="L29">
        <f>COUNTIFS(DATOS!G:G,CONFIG_METADATA!$B$4,DATOS!I:I,B29,DATOS!K:K,1)</f>
        <v>0</v>
      </c>
      <c r="M29">
        <f>COUNTIFS(DATOS!G:G,CONFIG_METADATA!$B$4,DATOS!I:I,B29,DATOS!K:K,2)</f>
        <v>0</v>
      </c>
      <c r="N29">
        <f>COUNTIFS(DATOS!G:G,CONFIG_METADATA!$B$4,DATOS!I:I,B29,DATOS!K:K,3)</f>
        <v>0</v>
      </c>
      <c r="O29">
        <f>COUNTIFS(DATOS!G:G,CONFIG_METADATA!$B$4,DATOS!I:I,B29,DATOS!K:K,4)</f>
        <v>0</v>
      </c>
      <c r="P29">
        <f>COUNTIFS(DATOS!G:G,CONFIG_METADATA!$B$4,DATOS!I:I,B29,DATOS!K:K,5)</f>
        <v>0</v>
      </c>
      <c r="Q29">
        <f>COUNTIFS(DATOS!G:G,CONFIG_METADATA!$B$4,DATOS!I:I,B29,DATOS!K:K,6)</f>
        <v>0</v>
      </c>
      <c r="R29">
        <f>COUNTIFS(DATOS!G:G,CONFIG_METADATA!$B$4,DATOS!I:I,B29,DATOS!K:K,7)</f>
        <v>0</v>
      </c>
      <c r="S29">
        <f>COUNTIFS(DATOS!G:G,CONFIG_METADATA!$B$4,DATOS!I:I,B29,DATOS!K:K,8)</f>
        <v>0</v>
      </c>
      <c r="T29">
        <f>COUNTIFS(DATOS!G:G,CONFIG_METADATA!$B$4,DATOS!I:I,B29,DATOS!K:K,9)</f>
        <v>0</v>
      </c>
      <c r="U29">
        <f>COUNTIFS(DATOS!G:G,CONFIG_METADATA!$B$4,DATOS!I:I,B29,DATOS!K:K,10)</f>
        <v>0</v>
      </c>
    </row>
    <row r="30" spans="1:22">
      <c r="A30" s="3" t="inlineStr">
        <is>
          <t xml:space="preserve">GLOBAL</t>
        </is>
      </c>
      <c r="B30" s="3" cm="1">
        <f t="array" ref="B30">IFERROR(INDEX(_xlfn._xlws.FILTER(CONFIG_ASIGNATURAS!$B$2:$B$61,CONFIG_ASIGNATURAS!$G$2:$G$61="Sí"),26),"")</f>
      </c>
      <c r="C30" s="3">
        <f>IF(B30="","",IFERROR(IF(VLOOKUP(B30,CONFIG_ASIGNATURAS!$B$2:$F$61,5,FALSE())="Sí","Especialidad","Asignatura"),"Asignatura"))</f>
      </c>
      <c r="D30">
        <f>COUNTIFS(DATOS!G:G,CONFIG_METADATA!$B$4,DATOS!I:I,B30)</f>
        <v>0</v>
      </c>
      <c r="E30" s="14" t="str">
        <f>IFERROR(AVERAGEIFS(DATOS!K:K,DATOS!G:G,CONFIG_METADATA!$B$4,DATOS!I:I,B30),"—")</f>
        <v>—</v>
      </c>
      <c r="F30" s="14" t="str" cm="1">
        <f t="array" ref="F30">IFERROR(_xlfn.STDEV.P(IF((nEVAL=CONFIG_METADATA!$B$4)*(nASIG=B30),nNOTA)),"—")</f>
        <v>—</v>
      </c>
      <c r="G30" t="str" cm="1">
        <f t="array" ref="G30">IFERROR(_xlfn.MODE.SNGL(IF((nEVAL=CONFIG_METADATA!$B$4)*(nASIG=B30),nNOTA)),"—")</f>
        <v>—</v>
      </c>
      <c r="H30" s="15" t="str">
        <f>IFERROR(COUNTIFS(DATOS!G:G,CONFIG_METADATA!$B$4,DATOS!I:I,B30,DATOS!L:L,"S")/COUNTIFS(DATOS!G:G,CONFIG_METADATA!$B$4,DATOS!I:I,B30),"—")</f>
        <v>—</v>
      </c>
      <c r="I30" s="15" t="str">
        <f>IFERROR(COUNTIFS(DATOS!G:G,CONFIG_METADATA!$B$4,DATOS!I:I,B30,DATOS!L:L,"N")/COUNTIFS(DATOS!G:G,CONFIG_METADATA!$B$4,DATOS!I:I,B30),"—")</f>
        <v>—</v>
      </c>
      <c r="J30" t="str" cm="1">
        <f t="array" ref="J30">IFERROR(_xlfn.MODE.SNGL(IF((nEVAL=CONFIG_METADATA!$B$4)*(nASIG=B30)*(nAPTO="S"),nNOTA)),"—")</f>
        <v>—</v>
      </c>
      <c r="K30" t="str" cm="1">
        <f t="array" ref="K30">IFERROR(_xlfn.MODE.SNGL(IF((nEVAL=CONFIG_METADATA!$B$4)*(nASIG=B30)*(nAPTO="N"),nNOTA)),"—")</f>
        <v>—</v>
      </c>
      <c r="L30">
        <f>COUNTIFS(DATOS!G:G,CONFIG_METADATA!$B$4,DATOS!I:I,B30,DATOS!K:K,1)</f>
        <v>0</v>
      </c>
      <c r="M30">
        <f>COUNTIFS(DATOS!G:G,CONFIG_METADATA!$B$4,DATOS!I:I,B30,DATOS!K:K,2)</f>
        <v>0</v>
      </c>
      <c r="N30">
        <f>COUNTIFS(DATOS!G:G,CONFIG_METADATA!$B$4,DATOS!I:I,B30,DATOS!K:K,3)</f>
        <v>0</v>
      </c>
      <c r="O30">
        <f>COUNTIFS(DATOS!G:G,CONFIG_METADATA!$B$4,DATOS!I:I,B30,DATOS!K:K,4)</f>
        <v>0</v>
      </c>
      <c r="P30">
        <f>COUNTIFS(DATOS!G:G,CONFIG_METADATA!$B$4,DATOS!I:I,B30,DATOS!K:K,5)</f>
        <v>0</v>
      </c>
      <c r="Q30">
        <f>COUNTIFS(DATOS!G:G,CONFIG_METADATA!$B$4,DATOS!I:I,B30,DATOS!K:K,6)</f>
        <v>0</v>
      </c>
      <c r="R30">
        <f>COUNTIFS(DATOS!G:G,CONFIG_METADATA!$B$4,DATOS!I:I,B30,DATOS!K:K,7)</f>
        <v>0</v>
      </c>
      <c r="S30">
        <f>COUNTIFS(DATOS!G:G,CONFIG_METADATA!$B$4,DATOS!I:I,B30,DATOS!K:K,8)</f>
        <v>0</v>
      </c>
      <c r="T30">
        <f>COUNTIFS(DATOS!G:G,CONFIG_METADATA!$B$4,DATOS!I:I,B30,DATOS!K:K,9)</f>
        <v>0</v>
      </c>
      <c r="U30">
        <f>COUNTIFS(DATOS!G:G,CONFIG_METADATA!$B$4,DATOS!I:I,B30,DATOS!K:K,10)</f>
        <v>0</v>
      </c>
    </row>
    <row r="31" spans="1:22">
      <c r="A31" s="3" t="inlineStr">
        <is>
          <t xml:space="preserve">GLOBAL</t>
        </is>
      </c>
      <c r="B31" s="3" cm="1">
        <f t="array" ref="B31">IFERROR(INDEX(_xlfn._xlws.FILTER(CONFIG_ASIGNATURAS!$B$2:$B$61,CONFIG_ASIGNATURAS!$G$2:$G$61="Sí"),27),"")</f>
      </c>
      <c r="C31" s="3">
        <f>IF(B31="","",IFERROR(IF(VLOOKUP(B31,CONFIG_ASIGNATURAS!$B$2:$F$61,5,FALSE())="Sí","Especialidad","Asignatura"),"Asignatura"))</f>
      </c>
      <c r="D31">
        <f>COUNTIFS(DATOS!G:G,CONFIG_METADATA!$B$4,DATOS!I:I,B31)</f>
        <v>0</v>
      </c>
      <c r="E31" s="14" t="str">
        <f>IFERROR(AVERAGEIFS(DATOS!K:K,DATOS!G:G,CONFIG_METADATA!$B$4,DATOS!I:I,B31),"—")</f>
        <v>—</v>
      </c>
      <c r="F31" s="14" t="str" cm="1">
        <f t="array" ref="F31">IFERROR(_xlfn.STDEV.P(IF((nEVAL=CONFIG_METADATA!$B$4)*(nASIG=B31),nNOTA)),"—")</f>
        <v>—</v>
      </c>
      <c r="G31" t="str" cm="1">
        <f t="array" ref="G31">IFERROR(_xlfn.MODE.SNGL(IF((nEVAL=CONFIG_METADATA!$B$4)*(nASIG=B31),nNOTA)),"—")</f>
        <v>—</v>
      </c>
      <c r="H31" s="15" t="str">
        <f>IFERROR(COUNTIFS(DATOS!G:G,CONFIG_METADATA!$B$4,DATOS!I:I,B31,DATOS!L:L,"S")/COUNTIFS(DATOS!G:G,CONFIG_METADATA!$B$4,DATOS!I:I,B31),"—")</f>
        <v>—</v>
      </c>
      <c r="I31" s="15" t="str">
        <f>IFERROR(COUNTIFS(DATOS!G:G,CONFIG_METADATA!$B$4,DATOS!I:I,B31,DATOS!L:L,"N")/COUNTIFS(DATOS!G:G,CONFIG_METADATA!$B$4,DATOS!I:I,B31),"—")</f>
        <v>—</v>
      </c>
      <c r="J31" t="str" cm="1">
        <f t="array" ref="J31">IFERROR(_xlfn.MODE.SNGL(IF((nEVAL=CONFIG_METADATA!$B$4)*(nASIG=B31)*(nAPTO="S"),nNOTA)),"—")</f>
        <v>—</v>
      </c>
      <c r="K31" t="str" cm="1">
        <f t="array" ref="K31">IFERROR(_xlfn.MODE.SNGL(IF((nEVAL=CONFIG_METADATA!$B$4)*(nASIG=B31)*(nAPTO="N"),nNOTA)),"—")</f>
        <v>—</v>
      </c>
      <c r="L31">
        <f>COUNTIFS(DATOS!G:G,CONFIG_METADATA!$B$4,DATOS!I:I,B31,DATOS!K:K,1)</f>
        <v>0</v>
      </c>
      <c r="M31">
        <f>COUNTIFS(DATOS!G:G,CONFIG_METADATA!$B$4,DATOS!I:I,B31,DATOS!K:K,2)</f>
        <v>0</v>
      </c>
      <c r="N31">
        <f>COUNTIFS(DATOS!G:G,CONFIG_METADATA!$B$4,DATOS!I:I,B31,DATOS!K:K,3)</f>
        <v>0</v>
      </c>
      <c r="O31">
        <f>COUNTIFS(DATOS!G:G,CONFIG_METADATA!$B$4,DATOS!I:I,B31,DATOS!K:K,4)</f>
        <v>0</v>
      </c>
      <c r="P31">
        <f>COUNTIFS(DATOS!G:G,CONFIG_METADATA!$B$4,DATOS!I:I,B31,DATOS!K:K,5)</f>
        <v>0</v>
      </c>
      <c r="Q31">
        <f>COUNTIFS(DATOS!G:G,CONFIG_METADATA!$B$4,DATOS!I:I,B31,DATOS!K:K,6)</f>
        <v>0</v>
      </c>
      <c r="R31">
        <f>COUNTIFS(DATOS!G:G,CONFIG_METADATA!$B$4,DATOS!I:I,B31,DATOS!K:K,7)</f>
        <v>0</v>
      </c>
      <c r="S31">
        <f>COUNTIFS(DATOS!G:G,CONFIG_METADATA!$B$4,DATOS!I:I,B31,DATOS!K:K,8)</f>
        <v>0</v>
      </c>
      <c r="T31">
        <f>COUNTIFS(DATOS!G:G,CONFIG_METADATA!$B$4,DATOS!I:I,B31,DATOS!K:K,9)</f>
        <v>0</v>
      </c>
      <c r="U31">
        <f>COUNTIFS(DATOS!G:G,CONFIG_METADATA!$B$4,DATOS!I:I,B31,DATOS!K:K,10)</f>
        <v>0</v>
      </c>
    </row>
    <row r="32" spans="1:22">
      <c r="A32" s="3" t="inlineStr">
        <is>
          <t xml:space="preserve">GLOBAL</t>
        </is>
      </c>
      <c r="B32" s="3" cm="1">
        <f t="array" ref="B32">IFERROR(INDEX(_xlfn._xlws.FILTER(CONFIG_ASIGNATURAS!$B$2:$B$61,CONFIG_ASIGNATURAS!$G$2:$G$61="Sí"),28),"")</f>
      </c>
      <c r="C32" s="3">
        <f>IF(B32="","",IFERROR(IF(VLOOKUP(B32,CONFIG_ASIGNATURAS!$B$2:$F$61,5,FALSE())="Sí","Especialidad","Asignatura"),"Asignatura"))</f>
      </c>
      <c r="D32">
        <f>COUNTIFS(DATOS!G:G,CONFIG_METADATA!$B$4,DATOS!I:I,B32)</f>
        <v>0</v>
      </c>
      <c r="E32" s="14" t="str">
        <f>IFERROR(AVERAGEIFS(DATOS!K:K,DATOS!G:G,CONFIG_METADATA!$B$4,DATOS!I:I,B32),"—")</f>
        <v>—</v>
      </c>
      <c r="F32" s="14" t="str" cm="1">
        <f t="array" ref="F32">IFERROR(_xlfn.STDEV.P(IF((nEVAL=CONFIG_METADATA!$B$4)*(nASIG=B32),nNOTA)),"—")</f>
        <v>—</v>
      </c>
      <c r="G32" t="str" cm="1">
        <f t="array" ref="G32">IFERROR(_xlfn.MODE.SNGL(IF((nEVAL=CONFIG_METADATA!$B$4)*(nASIG=B32),nNOTA)),"—")</f>
        <v>—</v>
      </c>
      <c r="H32" s="15" t="str">
        <f>IFERROR(COUNTIFS(DATOS!G:G,CONFIG_METADATA!$B$4,DATOS!I:I,B32,DATOS!L:L,"S")/COUNTIFS(DATOS!G:G,CONFIG_METADATA!$B$4,DATOS!I:I,B32),"—")</f>
        <v>—</v>
      </c>
      <c r="I32" s="15" t="str">
        <f>IFERROR(COUNTIFS(DATOS!G:G,CONFIG_METADATA!$B$4,DATOS!I:I,B32,DATOS!L:L,"N")/COUNTIFS(DATOS!G:G,CONFIG_METADATA!$B$4,DATOS!I:I,B32),"—")</f>
        <v>—</v>
      </c>
      <c r="J32" t="str" cm="1">
        <f t="array" ref="J32">IFERROR(_xlfn.MODE.SNGL(IF((nEVAL=CONFIG_METADATA!$B$4)*(nASIG=B32)*(nAPTO="S"),nNOTA)),"—")</f>
        <v>—</v>
      </c>
      <c r="K32" t="str" cm="1">
        <f t="array" ref="K32">IFERROR(_xlfn.MODE.SNGL(IF((nEVAL=CONFIG_METADATA!$B$4)*(nASIG=B32)*(nAPTO="N"),nNOTA)),"—")</f>
        <v>—</v>
      </c>
      <c r="L32">
        <f>COUNTIFS(DATOS!G:G,CONFIG_METADATA!$B$4,DATOS!I:I,B32,DATOS!K:K,1)</f>
        <v>0</v>
      </c>
      <c r="M32">
        <f>COUNTIFS(DATOS!G:G,CONFIG_METADATA!$B$4,DATOS!I:I,B32,DATOS!K:K,2)</f>
        <v>0</v>
      </c>
      <c r="N32">
        <f>COUNTIFS(DATOS!G:G,CONFIG_METADATA!$B$4,DATOS!I:I,B32,DATOS!K:K,3)</f>
        <v>0</v>
      </c>
      <c r="O32">
        <f>COUNTIFS(DATOS!G:G,CONFIG_METADATA!$B$4,DATOS!I:I,B32,DATOS!K:K,4)</f>
        <v>0</v>
      </c>
      <c r="P32">
        <f>COUNTIFS(DATOS!G:G,CONFIG_METADATA!$B$4,DATOS!I:I,B32,DATOS!K:K,5)</f>
        <v>0</v>
      </c>
      <c r="Q32">
        <f>COUNTIFS(DATOS!G:G,CONFIG_METADATA!$B$4,DATOS!I:I,B32,DATOS!K:K,6)</f>
        <v>0</v>
      </c>
      <c r="R32">
        <f>COUNTIFS(DATOS!G:G,CONFIG_METADATA!$B$4,DATOS!I:I,B32,DATOS!K:K,7)</f>
        <v>0</v>
      </c>
      <c r="S32">
        <f>COUNTIFS(DATOS!G:G,CONFIG_METADATA!$B$4,DATOS!I:I,B32,DATOS!K:K,8)</f>
        <v>0</v>
      </c>
      <c r="T32">
        <f>COUNTIFS(DATOS!G:G,CONFIG_METADATA!$B$4,DATOS!I:I,B32,DATOS!K:K,9)</f>
        <v>0</v>
      </c>
      <c r="U32">
        <f>COUNTIFS(DATOS!G:G,CONFIG_METADATA!$B$4,DATOS!I:I,B32,DATOS!K:K,10)</f>
        <v>0</v>
      </c>
    </row>
    <row r="33" spans="1:22">
      <c r="A33" s="3" t="inlineStr">
        <is>
          <t xml:space="preserve">GLOBAL</t>
        </is>
      </c>
      <c r="B33" s="3" cm="1">
        <f t="array" ref="B33">IFERROR(INDEX(_xlfn._xlws.FILTER(CONFIG_ASIGNATURAS!$B$2:$B$61,CONFIG_ASIGNATURAS!$G$2:$G$61="Sí"),29),"")</f>
      </c>
      <c r="C33" s="3">
        <f>IF(B33="","",IFERROR(IF(VLOOKUP(B33,CONFIG_ASIGNATURAS!$B$2:$F$61,5,FALSE())="Sí","Especialidad","Asignatura"),"Asignatura"))</f>
      </c>
      <c r="D33">
        <f>COUNTIFS(DATOS!G:G,CONFIG_METADATA!$B$4,DATOS!I:I,B33)</f>
        <v>0</v>
      </c>
      <c r="E33" s="14" t="str">
        <f>IFERROR(AVERAGEIFS(DATOS!K:K,DATOS!G:G,CONFIG_METADATA!$B$4,DATOS!I:I,B33),"—")</f>
        <v>—</v>
      </c>
      <c r="F33" s="14" t="str" cm="1">
        <f t="array" ref="F33">IFERROR(_xlfn.STDEV.P(IF((nEVAL=CONFIG_METADATA!$B$4)*(nASIG=B33),nNOTA)),"—")</f>
        <v>—</v>
      </c>
      <c r="G33" t="str" cm="1">
        <f t="array" ref="G33">IFERROR(_xlfn.MODE.SNGL(IF((nEVAL=CONFIG_METADATA!$B$4)*(nASIG=B33),nNOTA)),"—")</f>
        <v>—</v>
      </c>
      <c r="H33" s="15" t="str">
        <f>IFERROR(COUNTIFS(DATOS!G:G,CONFIG_METADATA!$B$4,DATOS!I:I,B33,DATOS!L:L,"S")/COUNTIFS(DATOS!G:G,CONFIG_METADATA!$B$4,DATOS!I:I,B33),"—")</f>
        <v>—</v>
      </c>
      <c r="I33" s="15" t="str">
        <f>IFERROR(COUNTIFS(DATOS!G:G,CONFIG_METADATA!$B$4,DATOS!I:I,B33,DATOS!L:L,"N")/COUNTIFS(DATOS!G:G,CONFIG_METADATA!$B$4,DATOS!I:I,B33),"—")</f>
        <v>—</v>
      </c>
      <c r="J33" t="str" cm="1">
        <f t="array" ref="J33">IFERROR(_xlfn.MODE.SNGL(IF((nEVAL=CONFIG_METADATA!$B$4)*(nASIG=B33)*(nAPTO="S"),nNOTA)),"—")</f>
        <v>—</v>
      </c>
      <c r="K33" t="str" cm="1">
        <f t="array" ref="K33">IFERROR(_xlfn.MODE.SNGL(IF((nEVAL=CONFIG_METADATA!$B$4)*(nASIG=B33)*(nAPTO="N"),nNOTA)),"—")</f>
        <v>—</v>
      </c>
      <c r="L33">
        <f>COUNTIFS(DATOS!G:G,CONFIG_METADATA!$B$4,DATOS!I:I,B33,DATOS!K:K,1)</f>
        <v>0</v>
      </c>
      <c r="M33">
        <f>COUNTIFS(DATOS!G:G,CONFIG_METADATA!$B$4,DATOS!I:I,B33,DATOS!K:K,2)</f>
        <v>0</v>
      </c>
      <c r="N33">
        <f>COUNTIFS(DATOS!G:G,CONFIG_METADATA!$B$4,DATOS!I:I,B33,DATOS!K:K,3)</f>
        <v>0</v>
      </c>
      <c r="O33">
        <f>COUNTIFS(DATOS!G:G,CONFIG_METADATA!$B$4,DATOS!I:I,B33,DATOS!K:K,4)</f>
        <v>0</v>
      </c>
      <c r="P33">
        <f>COUNTIFS(DATOS!G:G,CONFIG_METADATA!$B$4,DATOS!I:I,B33,DATOS!K:K,5)</f>
        <v>0</v>
      </c>
      <c r="Q33">
        <f>COUNTIFS(DATOS!G:G,CONFIG_METADATA!$B$4,DATOS!I:I,B33,DATOS!K:K,6)</f>
        <v>0</v>
      </c>
      <c r="R33">
        <f>COUNTIFS(DATOS!G:G,CONFIG_METADATA!$B$4,DATOS!I:I,B33,DATOS!K:K,7)</f>
        <v>0</v>
      </c>
      <c r="S33">
        <f>COUNTIFS(DATOS!G:G,CONFIG_METADATA!$B$4,DATOS!I:I,B33,DATOS!K:K,8)</f>
        <v>0</v>
      </c>
      <c r="T33">
        <f>COUNTIFS(DATOS!G:G,CONFIG_METADATA!$B$4,DATOS!I:I,B33,DATOS!K:K,9)</f>
        <v>0</v>
      </c>
      <c r="U33">
        <f>COUNTIFS(DATOS!G:G,CONFIG_METADATA!$B$4,DATOS!I:I,B33,DATOS!K:K,10)</f>
        <v>0</v>
      </c>
    </row>
    <row r="34" spans="1:22">
      <c r="A34" s="3" t="inlineStr">
        <is>
          <t xml:space="preserve">GLOBAL</t>
        </is>
      </c>
      <c r="B34" s="3" cm="1">
        <f t="array" ref="B34">IFERROR(INDEX(_xlfn._xlws.FILTER(CONFIG_ASIGNATURAS!$B$2:$B$61,CONFIG_ASIGNATURAS!$G$2:$G$61="Sí"),30),"")</f>
      </c>
      <c r="C34" s="3">
        <f>IF(B34="","",IFERROR(IF(VLOOKUP(B34,CONFIG_ASIGNATURAS!$B$2:$F$61,5,FALSE())="Sí","Especialidad","Asignatura"),"Asignatura"))</f>
      </c>
      <c r="D34">
        <f>COUNTIFS(DATOS!G:G,CONFIG_METADATA!$B$4,DATOS!I:I,B34)</f>
        <v>0</v>
      </c>
      <c r="E34" s="14" t="str">
        <f>IFERROR(AVERAGEIFS(DATOS!K:K,DATOS!G:G,CONFIG_METADATA!$B$4,DATOS!I:I,B34),"—")</f>
        <v>—</v>
      </c>
      <c r="F34" s="14" t="str" cm="1">
        <f t="array" ref="F34">IFERROR(_xlfn.STDEV.P(IF((nEVAL=CONFIG_METADATA!$B$4)*(nASIG=B34),nNOTA)),"—")</f>
        <v>—</v>
      </c>
      <c r="G34" t="str" cm="1">
        <f t="array" ref="G34">IFERROR(_xlfn.MODE.SNGL(IF((nEVAL=CONFIG_METADATA!$B$4)*(nASIG=B34),nNOTA)),"—")</f>
        <v>—</v>
      </c>
      <c r="H34" s="15" t="str">
        <f>IFERROR(COUNTIFS(DATOS!G:G,CONFIG_METADATA!$B$4,DATOS!I:I,B34,DATOS!L:L,"S")/COUNTIFS(DATOS!G:G,CONFIG_METADATA!$B$4,DATOS!I:I,B34),"—")</f>
        <v>—</v>
      </c>
      <c r="I34" s="15" t="str">
        <f>IFERROR(COUNTIFS(DATOS!G:G,CONFIG_METADATA!$B$4,DATOS!I:I,B34,DATOS!L:L,"N")/COUNTIFS(DATOS!G:G,CONFIG_METADATA!$B$4,DATOS!I:I,B34),"—")</f>
        <v>—</v>
      </c>
      <c r="J34" t="str" cm="1">
        <f t="array" ref="J34">IFERROR(_xlfn.MODE.SNGL(IF((nEVAL=CONFIG_METADATA!$B$4)*(nASIG=B34)*(nAPTO="S"),nNOTA)),"—")</f>
        <v>—</v>
      </c>
      <c r="K34" t="str" cm="1">
        <f t="array" ref="K34">IFERROR(_xlfn.MODE.SNGL(IF((nEVAL=CONFIG_METADATA!$B$4)*(nASIG=B34)*(nAPTO="N"),nNOTA)),"—")</f>
        <v>—</v>
      </c>
      <c r="L34">
        <f>COUNTIFS(DATOS!G:G,CONFIG_METADATA!$B$4,DATOS!I:I,B34,DATOS!K:K,1)</f>
        <v>0</v>
      </c>
      <c r="M34">
        <f>COUNTIFS(DATOS!G:G,CONFIG_METADATA!$B$4,DATOS!I:I,B34,DATOS!K:K,2)</f>
        <v>0</v>
      </c>
      <c r="N34">
        <f>COUNTIFS(DATOS!G:G,CONFIG_METADATA!$B$4,DATOS!I:I,B34,DATOS!K:K,3)</f>
        <v>0</v>
      </c>
      <c r="O34">
        <f>COUNTIFS(DATOS!G:G,CONFIG_METADATA!$B$4,DATOS!I:I,B34,DATOS!K:K,4)</f>
        <v>0</v>
      </c>
      <c r="P34">
        <f>COUNTIFS(DATOS!G:G,CONFIG_METADATA!$B$4,DATOS!I:I,B34,DATOS!K:K,5)</f>
        <v>0</v>
      </c>
      <c r="Q34">
        <f>COUNTIFS(DATOS!G:G,CONFIG_METADATA!$B$4,DATOS!I:I,B34,DATOS!K:K,6)</f>
        <v>0</v>
      </c>
      <c r="R34">
        <f>COUNTIFS(DATOS!G:G,CONFIG_METADATA!$B$4,DATOS!I:I,B34,DATOS!K:K,7)</f>
        <v>0</v>
      </c>
      <c r="S34">
        <f>COUNTIFS(DATOS!G:G,CONFIG_METADATA!$B$4,DATOS!I:I,B34,DATOS!K:K,8)</f>
        <v>0</v>
      </c>
      <c r="T34">
        <f>COUNTIFS(DATOS!G:G,CONFIG_METADATA!$B$4,DATOS!I:I,B34,DATOS!K:K,9)</f>
        <v>0</v>
      </c>
      <c r="U34">
        <f>COUNTIFS(DATOS!G:G,CONFIG_METADATA!$B$4,DATOS!I:I,B34,DATOS!K:K,10)</f>
        <v>0</v>
      </c>
    </row>
    <row r="35" spans="1:22">
      <c r="A35" s="3" t="inlineStr">
        <is>
          <t xml:space="preserve">GLOBAL</t>
        </is>
      </c>
      <c r="B35" s="3" cm="1">
        <f t="array" ref="B35">IFERROR(INDEX(_xlfn._xlws.FILTER(CONFIG_ASIGNATURAS!$B$2:$B$61,CONFIG_ASIGNATURAS!$G$2:$G$61="Sí"),31),"")</f>
      </c>
      <c r="C35" s="3">
        <f>IF(B35="","",IFERROR(IF(VLOOKUP(B35,CONFIG_ASIGNATURAS!$B$2:$F$61,5,FALSE())="Sí","Especialidad","Asignatura"),"Asignatura"))</f>
      </c>
      <c r="D35">
        <f>COUNTIFS(DATOS!G:G,CONFIG_METADATA!$B$4,DATOS!I:I,B35)</f>
        <v>0</v>
      </c>
      <c r="E35" s="14" t="str">
        <f>IFERROR(AVERAGEIFS(DATOS!K:K,DATOS!G:G,CONFIG_METADATA!$B$4,DATOS!I:I,B35),"—")</f>
        <v>—</v>
      </c>
      <c r="F35" s="14" t="str" cm="1">
        <f t="array" ref="F35">IFERROR(_xlfn.STDEV.P(IF((nEVAL=CONFIG_METADATA!$B$4)*(nASIG=B35),nNOTA)),"—")</f>
        <v>—</v>
      </c>
      <c r="G35" t="str" cm="1">
        <f t="array" ref="G35">IFERROR(_xlfn.MODE.SNGL(IF((nEVAL=CONFIG_METADATA!$B$4)*(nASIG=B35),nNOTA)),"—")</f>
        <v>—</v>
      </c>
      <c r="H35" s="15" t="str">
        <f>IFERROR(COUNTIFS(DATOS!G:G,CONFIG_METADATA!$B$4,DATOS!I:I,B35,DATOS!L:L,"S")/COUNTIFS(DATOS!G:G,CONFIG_METADATA!$B$4,DATOS!I:I,B35),"—")</f>
        <v>—</v>
      </c>
      <c r="I35" s="15" t="str">
        <f>IFERROR(COUNTIFS(DATOS!G:G,CONFIG_METADATA!$B$4,DATOS!I:I,B35,DATOS!L:L,"N")/COUNTIFS(DATOS!G:G,CONFIG_METADATA!$B$4,DATOS!I:I,B35),"—")</f>
        <v>—</v>
      </c>
      <c r="J35" t="str" cm="1">
        <f t="array" ref="J35">IFERROR(_xlfn.MODE.SNGL(IF((nEVAL=CONFIG_METADATA!$B$4)*(nASIG=B35)*(nAPTO="S"),nNOTA)),"—")</f>
        <v>—</v>
      </c>
      <c r="K35" t="str" cm="1">
        <f t="array" ref="K35">IFERROR(_xlfn.MODE.SNGL(IF((nEVAL=CONFIG_METADATA!$B$4)*(nASIG=B35)*(nAPTO="N"),nNOTA)),"—")</f>
        <v>—</v>
      </c>
      <c r="L35">
        <f>COUNTIFS(DATOS!G:G,CONFIG_METADATA!$B$4,DATOS!I:I,B35,DATOS!K:K,1)</f>
        <v>0</v>
      </c>
      <c r="M35">
        <f>COUNTIFS(DATOS!G:G,CONFIG_METADATA!$B$4,DATOS!I:I,B35,DATOS!K:K,2)</f>
        <v>0</v>
      </c>
      <c r="N35">
        <f>COUNTIFS(DATOS!G:G,CONFIG_METADATA!$B$4,DATOS!I:I,B35,DATOS!K:K,3)</f>
        <v>0</v>
      </c>
      <c r="O35">
        <f>COUNTIFS(DATOS!G:G,CONFIG_METADATA!$B$4,DATOS!I:I,B35,DATOS!K:K,4)</f>
        <v>0</v>
      </c>
      <c r="P35">
        <f>COUNTIFS(DATOS!G:G,CONFIG_METADATA!$B$4,DATOS!I:I,B35,DATOS!K:K,5)</f>
        <v>0</v>
      </c>
      <c r="Q35">
        <f>COUNTIFS(DATOS!G:G,CONFIG_METADATA!$B$4,DATOS!I:I,B35,DATOS!K:K,6)</f>
        <v>0</v>
      </c>
      <c r="R35">
        <f>COUNTIFS(DATOS!G:G,CONFIG_METADATA!$B$4,DATOS!I:I,B35,DATOS!K:K,7)</f>
        <v>0</v>
      </c>
      <c r="S35">
        <f>COUNTIFS(DATOS!G:G,CONFIG_METADATA!$B$4,DATOS!I:I,B35,DATOS!K:K,8)</f>
        <v>0</v>
      </c>
      <c r="T35">
        <f>COUNTIFS(DATOS!G:G,CONFIG_METADATA!$B$4,DATOS!I:I,B35,DATOS!K:K,9)</f>
        <v>0</v>
      </c>
      <c r="U35">
        <f>COUNTIFS(DATOS!G:G,CONFIG_METADATA!$B$4,DATOS!I:I,B35,DATOS!K:K,10)</f>
        <v>0</v>
      </c>
    </row>
    <row r="36" spans="1:22">
      <c r="A36" s="3" t="inlineStr">
        <is>
          <t xml:space="preserve">GLOBAL</t>
        </is>
      </c>
      <c r="B36" s="3" cm="1">
        <f t="array" ref="B36">IFERROR(INDEX(_xlfn._xlws.FILTER(CONFIG_ASIGNATURAS!$B$2:$B$61,CONFIG_ASIGNATURAS!$G$2:$G$61="Sí"),32),"")</f>
      </c>
      <c r="C36" s="3">
        <f>IF(B36="","",IFERROR(IF(VLOOKUP(B36,CONFIG_ASIGNATURAS!$B$2:$F$61,5,FALSE())="Sí","Especialidad","Asignatura"),"Asignatura"))</f>
      </c>
      <c r="D36">
        <f>COUNTIFS(DATOS!G:G,CONFIG_METADATA!$B$4,DATOS!I:I,B36)</f>
        <v>0</v>
      </c>
      <c r="E36" s="14" t="str">
        <f>IFERROR(AVERAGEIFS(DATOS!K:K,DATOS!G:G,CONFIG_METADATA!$B$4,DATOS!I:I,B36),"—")</f>
        <v>—</v>
      </c>
      <c r="F36" s="14" t="str" cm="1">
        <f t="array" ref="F36">IFERROR(_xlfn.STDEV.P(IF((nEVAL=CONFIG_METADATA!$B$4)*(nASIG=B36),nNOTA)),"—")</f>
        <v>—</v>
      </c>
      <c r="G36" t="str" cm="1">
        <f t="array" ref="G36">IFERROR(_xlfn.MODE.SNGL(IF((nEVAL=CONFIG_METADATA!$B$4)*(nASIG=B36),nNOTA)),"—")</f>
        <v>—</v>
      </c>
      <c r="H36" s="15" t="str">
        <f>IFERROR(COUNTIFS(DATOS!G:G,CONFIG_METADATA!$B$4,DATOS!I:I,B36,DATOS!L:L,"S")/COUNTIFS(DATOS!G:G,CONFIG_METADATA!$B$4,DATOS!I:I,B36),"—")</f>
        <v>—</v>
      </c>
      <c r="I36" s="15" t="str">
        <f>IFERROR(COUNTIFS(DATOS!G:G,CONFIG_METADATA!$B$4,DATOS!I:I,B36,DATOS!L:L,"N")/COUNTIFS(DATOS!G:G,CONFIG_METADATA!$B$4,DATOS!I:I,B36),"—")</f>
        <v>—</v>
      </c>
      <c r="J36" t="str" cm="1">
        <f t="array" ref="J36">IFERROR(_xlfn.MODE.SNGL(IF((nEVAL=CONFIG_METADATA!$B$4)*(nASIG=B36)*(nAPTO="S"),nNOTA)),"—")</f>
        <v>—</v>
      </c>
      <c r="K36" t="str" cm="1">
        <f t="array" ref="K36">IFERROR(_xlfn.MODE.SNGL(IF((nEVAL=CONFIG_METADATA!$B$4)*(nASIG=B36)*(nAPTO="N"),nNOTA)),"—")</f>
        <v>—</v>
      </c>
      <c r="L36">
        <f>COUNTIFS(DATOS!G:G,CONFIG_METADATA!$B$4,DATOS!I:I,B36,DATOS!K:K,1)</f>
        <v>0</v>
      </c>
      <c r="M36">
        <f>COUNTIFS(DATOS!G:G,CONFIG_METADATA!$B$4,DATOS!I:I,B36,DATOS!K:K,2)</f>
        <v>0</v>
      </c>
      <c r="N36">
        <f>COUNTIFS(DATOS!G:G,CONFIG_METADATA!$B$4,DATOS!I:I,B36,DATOS!K:K,3)</f>
        <v>0</v>
      </c>
      <c r="O36">
        <f>COUNTIFS(DATOS!G:G,CONFIG_METADATA!$B$4,DATOS!I:I,B36,DATOS!K:K,4)</f>
        <v>0</v>
      </c>
      <c r="P36">
        <f>COUNTIFS(DATOS!G:G,CONFIG_METADATA!$B$4,DATOS!I:I,B36,DATOS!K:K,5)</f>
        <v>0</v>
      </c>
      <c r="Q36">
        <f>COUNTIFS(DATOS!G:G,CONFIG_METADATA!$B$4,DATOS!I:I,B36,DATOS!K:K,6)</f>
        <v>0</v>
      </c>
      <c r="R36">
        <f>COUNTIFS(DATOS!G:G,CONFIG_METADATA!$B$4,DATOS!I:I,B36,DATOS!K:K,7)</f>
        <v>0</v>
      </c>
      <c r="S36">
        <f>COUNTIFS(DATOS!G:G,CONFIG_METADATA!$B$4,DATOS!I:I,B36,DATOS!K:K,8)</f>
        <v>0</v>
      </c>
      <c r="T36">
        <f>COUNTIFS(DATOS!G:G,CONFIG_METADATA!$B$4,DATOS!I:I,B36,DATOS!K:K,9)</f>
        <v>0</v>
      </c>
      <c r="U36">
        <f>COUNTIFS(DATOS!G:G,CONFIG_METADATA!$B$4,DATOS!I:I,B36,DATOS!K:K,10)</f>
        <v>0</v>
      </c>
    </row>
    <row r="37" spans="1:22">
      <c r="A37" s="3" t="inlineStr">
        <is>
          <t xml:space="preserve">GLOBAL</t>
        </is>
      </c>
      <c r="B37" s="3" cm="1">
        <f t="array" ref="B37">IFERROR(INDEX(_xlfn._xlws.FILTER(CONFIG_ASIGNATURAS!$B$2:$B$61,CONFIG_ASIGNATURAS!$G$2:$G$61="Sí"),33),"")</f>
      </c>
      <c r="C37" s="3">
        <f>IF(B37="","",IFERROR(IF(VLOOKUP(B37,CONFIG_ASIGNATURAS!$B$2:$F$61,5,FALSE())="Sí","Especialidad","Asignatura"),"Asignatura"))</f>
      </c>
      <c r="D37">
        <f>COUNTIFS(DATOS!G:G,CONFIG_METADATA!$B$4,DATOS!I:I,B37)</f>
        <v>0</v>
      </c>
      <c r="E37" s="14" t="str">
        <f>IFERROR(AVERAGEIFS(DATOS!K:K,DATOS!G:G,CONFIG_METADATA!$B$4,DATOS!I:I,B37),"—")</f>
        <v>—</v>
      </c>
      <c r="F37" s="14" t="str" cm="1">
        <f t="array" ref="F37">IFERROR(_xlfn.STDEV.P(IF((nEVAL=CONFIG_METADATA!$B$4)*(nASIG=B37),nNOTA)),"—")</f>
        <v>—</v>
      </c>
      <c r="G37" t="str" cm="1">
        <f t="array" ref="G37">IFERROR(_xlfn.MODE.SNGL(IF((nEVAL=CONFIG_METADATA!$B$4)*(nASIG=B37),nNOTA)),"—")</f>
        <v>—</v>
      </c>
      <c r="H37" s="15" t="str">
        <f>IFERROR(COUNTIFS(DATOS!G:G,CONFIG_METADATA!$B$4,DATOS!I:I,B37,DATOS!L:L,"S")/COUNTIFS(DATOS!G:G,CONFIG_METADATA!$B$4,DATOS!I:I,B37),"—")</f>
        <v>—</v>
      </c>
      <c r="I37" s="15" t="str">
        <f>IFERROR(COUNTIFS(DATOS!G:G,CONFIG_METADATA!$B$4,DATOS!I:I,B37,DATOS!L:L,"N")/COUNTIFS(DATOS!G:G,CONFIG_METADATA!$B$4,DATOS!I:I,B37),"—")</f>
        <v>—</v>
      </c>
      <c r="J37" t="str" cm="1">
        <f t="array" ref="J37">IFERROR(_xlfn.MODE.SNGL(IF((nEVAL=CONFIG_METADATA!$B$4)*(nASIG=B37)*(nAPTO="S"),nNOTA)),"—")</f>
        <v>—</v>
      </c>
      <c r="K37" t="str" cm="1">
        <f t="array" ref="K37">IFERROR(_xlfn.MODE.SNGL(IF((nEVAL=CONFIG_METADATA!$B$4)*(nASIG=B37)*(nAPTO="N"),nNOTA)),"—")</f>
        <v>—</v>
      </c>
      <c r="L37">
        <f>COUNTIFS(DATOS!G:G,CONFIG_METADATA!$B$4,DATOS!I:I,B37,DATOS!K:K,1)</f>
        <v>0</v>
      </c>
      <c r="M37">
        <f>COUNTIFS(DATOS!G:G,CONFIG_METADATA!$B$4,DATOS!I:I,B37,DATOS!K:K,2)</f>
        <v>0</v>
      </c>
      <c r="N37">
        <f>COUNTIFS(DATOS!G:G,CONFIG_METADATA!$B$4,DATOS!I:I,B37,DATOS!K:K,3)</f>
        <v>0</v>
      </c>
      <c r="O37">
        <f>COUNTIFS(DATOS!G:G,CONFIG_METADATA!$B$4,DATOS!I:I,B37,DATOS!K:K,4)</f>
        <v>0</v>
      </c>
      <c r="P37">
        <f>COUNTIFS(DATOS!G:G,CONFIG_METADATA!$B$4,DATOS!I:I,B37,DATOS!K:K,5)</f>
        <v>0</v>
      </c>
      <c r="Q37">
        <f>COUNTIFS(DATOS!G:G,CONFIG_METADATA!$B$4,DATOS!I:I,B37,DATOS!K:K,6)</f>
        <v>0</v>
      </c>
      <c r="R37">
        <f>COUNTIFS(DATOS!G:G,CONFIG_METADATA!$B$4,DATOS!I:I,B37,DATOS!K:K,7)</f>
        <v>0</v>
      </c>
      <c r="S37">
        <f>COUNTIFS(DATOS!G:G,CONFIG_METADATA!$B$4,DATOS!I:I,B37,DATOS!K:K,8)</f>
        <v>0</v>
      </c>
      <c r="T37">
        <f>COUNTIFS(DATOS!G:G,CONFIG_METADATA!$B$4,DATOS!I:I,B37,DATOS!K:K,9)</f>
        <v>0</v>
      </c>
      <c r="U37">
        <f>COUNTIFS(DATOS!G:G,CONFIG_METADATA!$B$4,DATOS!I:I,B37,DATOS!K:K,10)</f>
        <v>0</v>
      </c>
    </row>
    <row r="38" spans="1:22">
      <c r="A38" s="3" t="inlineStr">
        <is>
          <t xml:space="preserve">GLOBAL</t>
        </is>
      </c>
      <c r="B38" s="3" cm="1">
        <f t="array" ref="B38">IFERROR(INDEX(_xlfn._xlws.FILTER(CONFIG_ASIGNATURAS!$B$2:$B$61,CONFIG_ASIGNATURAS!$G$2:$G$61="Sí"),34),"")</f>
      </c>
      <c r="C38" s="3">
        <f>IF(B38="","",IFERROR(IF(VLOOKUP(B38,CONFIG_ASIGNATURAS!$B$2:$F$61,5,FALSE())="Sí","Especialidad","Asignatura"),"Asignatura"))</f>
      </c>
      <c r="D38">
        <f>COUNTIFS(DATOS!G:G,CONFIG_METADATA!$B$4,DATOS!I:I,B38)</f>
        <v>0</v>
      </c>
      <c r="E38" s="14" t="str">
        <f>IFERROR(AVERAGEIFS(DATOS!K:K,DATOS!G:G,CONFIG_METADATA!$B$4,DATOS!I:I,B38),"—")</f>
        <v>—</v>
      </c>
      <c r="F38" s="14" t="str" cm="1">
        <f t="array" ref="F38">IFERROR(_xlfn.STDEV.P(IF((nEVAL=CONFIG_METADATA!$B$4)*(nASIG=B38),nNOTA)),"—")</f>
        <v>—</v>
      </c>
      <c r="G38" t="str" cm="1">
        <f t="array" ref="G38">IFERROR(_xlfn.MODE.SNGL(IF((nEVAL=CONFIG_METADATA!$B$4)*(nASIG=B38),nNOTA)),"—")</f>
        <v>—</v>
      </c>
      <c r="H38" s="15" t="str">
        <f>IFERROR(COUNTIFS(DATOS!G:G,CONFIG_METADATA!$B$4,DATOS!I:I,B38,DATOS!L:L,"S")/COUNTIFS(DATOS!G:G,CONFIG_METADATA!$B$4,DATOS!I:I,B38),"—")</f>
        <v>—</v>
      </c>
      <c r="I38" s="15" t="str">
        <f>IFERROR(COUNTIFS(DATOS!G:G,CONFIG_METADATA!$B$4,DATOS!I:I,B38,DATOS!L:L,"N")/COUNTIFS(DATOS!G:G,CONFIG_METADATA!$B$4,DATOS!I:I,B38),"—")</f>
        <v>—</v>
      </c>
      <c r="J38" t="str" cm="1">
        <f t="array" ref="J38">IFERROR(_xlfn.MODE.SNGL(IF((nEVAL=CONFIG_METADATA!$B$4)*(nASIG=B38)*(nAPTO="S"),nNOTA)),"—")</f>
        <v>—</v>
      </c>
      <c r="K38" t="str" cm="1">
        <f t="array" ref="K38">IFERROR(_xlfn.MODE.SNGL(IF((nEVAL=CONFIG_METADATA!$B$4)*(nASIG=B38)*(nAPTO="N"),nNOTA)),"—")</f>
        <v>—</v>
      </c>
      <c r="L38">
        <f>COUNTIFS(DATOS!G:G,CONFIG_METADATA!$B$4,DATOS!I:I,B38,DATOS!K:K,1)</f>
        <v>0</v>
      </c>
      <c r="M38">
        <f>COUNTIFS(DATOS!G:G,CONFIG_METADATA!$B$4,DATOS!I:I,B38,DATOS!K:K,2)</f>
        <v>0</v>
      </c>
      <c r="N38">
        <f>COUNTIFS(DATOS!G:G,CONFIG_METADATA!$B$4,DATOS!I:I,B38,DATOS!K:K,3)</f>
        <v>0</v>
      </c>
      <c r="O38">
        <f>COUNTIFS(DATOS!G:G,CONFIG_METADATA!$B$4,DATOS!I:I,B38,DATOS!K:K,4)</f>
        <v>0</v>
      </c>
      <c r="P38">
        <f>COUNTIFS(DATOS!G:G,CONFIG_METADATA!$B$4,DATOS!I:I,B38,DATOS!K:K,5)</f>
        <v>0</v>
      </c>
      <c r="Q38">
        <f>COUNTIFS(DATOS!G:G,CONFIG_METADATA!$B$4,DATOS!I:I,B38,DATOS!K:K,6)</f>
        <v>0</v>
      </c>
      <c r="R38">
        <f>COUNTIFS(DATOS!G:G,CONFIG_METADATA!$B$4,DATOS!I:I,B38,DATOS!K:K,7)</f>
        <v>0</v>
      </c>
      <c r="S38">
        <f>COUNTIFS(DATOS!G:G,CONFIG_METADATA!$B$4,DATOS!I:I,B38,DATOS!K:K,8)</f>
        <v>0</v>
      </c>
      <c r="T38">
        <f>COUNTIFS(DATOS!G:G,CONFIG_METADATA!$B$4,DATOS!I:I,B38,DATOS!K:K,9)</f>
        <v>0</v>
      </c>
      <c r="U38">
        <f>COUNTIFS(DATOS!G:G,CONFIG_METADATA!$B$4,DATOS!I:I,B38,DATOS!K:K,10)</f>
        <v>0</v>
      </c>
    </row>
    <row r="39" spans="1:22">
      <c r="A39" s="3" t="inlineStr">
        <is>
          <t xml:space="preserve">GLOBAL</t>
        </is>
      </c>
      <c r="B39" s="3" cm="1">
        <f t="array" ref="B39">IFERROR(INDEX(_xlfn._xlws.FILTER(CONFIG_ASIGNATURAS!$B$2:$B$61,CONFIG_ASIGNATURAS!$G$2:$G$61="Sí"),35),"")</f>
      </c>
      <c r="C39" s="3">
        <f>IF(B39="","",IFERROR(IF(VLOOKUP(B39,CONFIG_ASIGNATURAS!$B$2:$F$61,5,FALSE())="Sí","Especialidad","Asignatura"),"Asignatura"))</f>
      </c>
      <c r="D39">
        <f>COUNTIFS(DATOS!G:G,CONFIG_METADATA!$B$4,DATOS!I:I,B39)</f>
        <v>0</v>
      </c>
      <c r="E39" s="14" t="str">
        <f>IFERROR(AVERAGEIFS(DATOS!K:K,DATOS!G:G,CONFIG_METADATA!$B$4,DATOS!I:I,B39),"—")</f>
        <v>—</v>
      </c>
      <c r="F39" s="14" t="str" cm="1">
        <f t="array" ref="F39">IFERROR(_xlfn.STDEV.P(IF((nEVAL=CONFIG_METADATA!$B$4)*(nASIG=B39),nNOTA)),"—")</f>
        <v>—</v>
      </c>
      <c r="G39" t="str" cm="1">
        <f t="array" ref="G39">IFERROR(_xlfn.MODE.SNGL(IF((nEVAL=CONFIG_METADATA!$B$4)*(nASIG=B39),nNOTA)),"—")</f>
        <v>—</v>
      </c>
      <c r="H39" s="15" t="str">
        <f>IFERROR(COUNTIFS(DATOS!G:G,CONFIG_METADATA!$B$4,DATOS!I:I,B39,DATOS!L:L,"S")/COUNTIFS(DATOS!G:G,CONFIG_METADATA!$B$4,DATOS!I:I,B39),"—")</f>
        <v>—</v>
      </c>
      <c r="I39" s="15" t="str">
        <f>IFERROR(COUNTIFS(DATOS!G:G,CONFIG_METADATA!$B$4,DATOS!I:I,B39,DATOS!L:L,"N")/COUNTIFS(DATOS!G:G,CONFIG_METADATA!$B$4,DATOS!I:I,B39),"—")</f>
        <v>—</v>
      </c>
      <c r="J39" t="str" cm="1">
        <f t="array" ref="J39">IFERROR(_xlfn.MODE.SNGL(IF((nEVAL=CONFIG_METADATA!$B$4)*(nASIG=B39)*(nAPTO="S"),nNOTA)),"—")</f>
        <v>—</v>
      </c>
      <c r="K39" t="str" cm="1">
        <f t="array" ref="K39">IFERROR(_xlfn.MODE.SNGL(IF((nEVAL=CONFIG_METADATA!$B$4)*(nASIG=B39)*(nAPTO="N"),nNOTA)),"—")</f>
        <v>—</v>
      </c>
      <c r="L39">
        <f>COUNTIFS(DATOS!G:G,CONFIG_METADATA!$B$4,DATOS!I:I,B39,DATOS!K:K,1)</f>
        <v>0</v>
      </c>
      <c r="M39">
        <f>COUNTIFS(DATOS!G:G,CONFIG_METADATA!$B$4,DATOS!I:I,B39,DATOS!K:K,2)</f>
        <v>0</v>
      </c>
      <c r="N39">
        <f>COUNTIFS(DATOS!G:G,CONFIG_METADATA!$B$4,DATOS!I:I,B39,DATOS!K:K,3)</f>
        <v>0</v>
      </c>
      <c r="O39">
        <f>COUNTIFS(DATOS!G:G,CONFIG_METADATA!$B$4,DATOS!I:I,B39,DATOS!K:K,4)</f>
        <v>0</v>
      </c>
      <c r="P39">
        <f>COUNTIFS(DATOS!G:G,CONFIG_METADATA!$B$4,DATOS!I:I,B39,DATOS!K:K,5)</f>
        <v>0</v>
      </c>
      <c r="Q39">
        <f>COUNTIFS(DATOS!G:G,CONFIG_METADATA!$B$4,DATOS!I:I,B39,DATOS!K:K,6)</f>
        <v>0</v>
      </c>
      <c r="R39">
        <f>COUNTIFS(DATOS!G:G,CONFIG_METADATA!$B$4,DATOS!I:I,B39,DATOS!K:K,7)</f>
        <v>0</v>
      </c>
      <c r="S39">
        <f>COUNTIFS(DATOS!G:G,CONFIG_METADATA!$B$4,DATOS!I:I,B39,DATOS!K:K,8)</f>
        <v>0</v>
      </c>
      <c r="T39">
        <f>COUNTIFS(DATOS!G:G,CONFIG_METADATA!$B$4,DATOS!I:I,B39,DATOS!K:K,9)</f>
        <v>0</v>
      </c>
      <c r="U39">
        <f>COUNTIFS(DATOS!G:G,CONFIG_METADATA!$B$4,DATOS!I:I,B39,DATOS!K:K,10)</f>
        <v>0</v>
      </c>
    </row>
    <row r="40" spans="1:22">
      <c r="A40" s="3" t="inlineStr">
        <is>
          <t xml:space="preserve">GLOBAL</t>
        </is>
      </c>
      <c r="B40" s="3" cm="1">
        <f t="array" ref="B40">IFERROR(INDEX(_xlfn._xlws.FILTER(CONFIG_ASIGNATURAS!$B$2:$B$61,CONFIG_ASIGNATURAS!$G$2:$G$61="Sí"),36),"")</f>
      </c>
      <c r="C40" s="3">
        <f>IF(B40="","",IFERROR(IF(VLOOKUP(B40,CONFIG_ASIGNATURAS!$B$2:$F$61,5,FALSE())="Sí","Especialidad","Asignatura"),"Asignatura"))</f>
      </c>
      <c r="D40">
        <f>COUNTIFS(DATOS!G:G,CONFIG_METADATA!$B$4,DATOS!I:I,B40)</f>
        <v>0</v>
      </c>
      <c r="E40" s="14" t="str">
        <f>IFERROR(AVERAGEIFS(DATOS!K:K,DATOS!G:G,CONFIG_METADATA!$B$4,DATOS!I:I,B40),"—")</f>
        <v>—</v>
      </c>
      <c r="F40" s="14" t="str" cm="1">
        <f t="array" ref="F40">IFERROR(_xlfn.STDEV.P(IF((nEVAL=CONFIG_METADATA!$B$4)*(nASIG=B40),nNOTA)),"—")</f>
        <v>—</v>
      </c>
      <c r="G40" t="str" cm="1">
        <f t="array" ref="G40">IFERROR(_xlfn.MODE.SNGL(IF((nEVAL=CONFIG_METADATA!$B$4)*(nASIG=B40),nNOTA)),"—")</f>
        <v>—</v>
      </c>
      <c r="H40" s="15" t="str">
        <f>IFERROR(COUNTIFS(DATOS!G:G,CONFIG_METADATA!$B$4,DATOS!I:I,B40,DATOS!L:L,"S")/COUNTIFS(DATOS!G:G,CONFIG_METADATA!$B$4,DATOS!I:I,B40),"—")</f>
        <v>—</v>
      </c>
      <c r="I40" s="15" t="str">
        <f>IFERROR(COUNTIFS(DATOS!G:G,CONFIG_METADATA!$B$4,DATOS!I:I,B40,DATOS!L:L,"N")/COUNTIFS(DATOS!G:G,CONFIG_METADATA!$B$4,DATOS!I:I,B40),"—")</f>
        <v>—</v>
      </c>
      <c r="J40" t="str" cm="1">
        <f t="array" ref="J40">IFERROR(_xlfn.MODE.SNGL(IF((nEVAL=CONFIG_METADATA!$B$4)*(nASIG=B40)*(nAPTO="S"),nNOTA)),"—")</f>
        <v>—</v>
      </c>
      <c r="K40" t="str" cm="1">
        <f t="array" ref="K40">IFERROR(_xlfn.MODE.SNGL(IF((nEVAL=CONFIG_METADATA!$B$4)*(nASIG=B40)*(nAPTO="N"),nNOTA)),"—")</f>
        <v>—</v>
      </c>
      <c r="L40">
        <f>COUNTIFS(DATOS!G:G,CONFIG_METADATA!$B$4,DATOS!I:I,B40,DATOS!K:K,1)</f>
        <v>0</v>
      </c>
      <c r="M40">
        <f>COUNTIFS(DATOS!G:G,CONFIG_METADATA!$B$4,DATOS!I:I,B40,DATOS!K:K,2)</f>
        <v>0</v>
      </c>
      <c r="N40">
        <f>COUNTIFS(DATOS!G:G,CONFIG_METADATA!$B$4,DATOS!I:I,B40,DATOS!K:K,3)</f>
        <v>0</v>
      </c>
      <c r="O40">
        <f>COUNTIFS(DATOS!G:G,CONFIG_METADATA!$B$4,DATOS!I:I,B40,DATOS!K:K,4)</f>
        <v>0</v>
      </c>
      <c r="P40">
        <f>COUNTIFS(DATOS!G:G,CONFIG_METADATA!$B$4,DATOS!I:I,B40,DATOS!K:K,5)</f>
        <v>0</v>
      </c>
      <c r="Q40">
        <f>COUNTIFS(DATOS!G:G,CONFIG_METADATA!$B$4,DATOS!I:I,B40,DATOS!K:K,6)</f>
        <v>0</v>
      </c>
      <c r="R40">
        <f>COUNTIFS(DATOS!G:G,CONFIG_METADATA!$B$4,DATOS!I:I,B40,DATOS!K:K,7)</f>
        <v>0</v>
      </c>
      <c r="S40">
        <f>COUNTIFS(DATOS!G:G,CONFIG_METADATA!$B$4,DATOS!I:I,B40,DATOS!K:K,8)</f>
        <v>0</v>
      </c>
      <c r="T40">
        <f>COUNTIFS(DATOS!G:G,CONFIG_METADATA!$B$4,DATOS!I:I,B40,DATOS!K:K,9)</f>
        <v>0</v>
      </c>
      <c r="U40">
        <f>COUNTIFS(DATOS!G:G,CONFIG_METADATA!$B$4,DATOS!I:I,B40,DATOS!K:K,10)</f>
        <v>0</v>
      </c>
    </row>
    <row r="41" spans="1:22">
      <c r="A41" s="3" t="inlineStr">
        <is>
          <t xml:space="preserve">GLOBAL</t>
        </is>
      </c>
      <c r="B41" s="3" cm="1">
        <f t="array" ref="B41">IFERROR(INDEX(_xlfn._xlws.FILTER(CONFIG_ASIGNATURAS!$B$2:$B$61,CONFIG_ASIGNATURAS!$G$2:$G$61="Sí"),37),"")</f>
      </c>
      <c r="C41" s="3">
        <f>IF(B41="","",IFERROR(IF(VLOOKUP(B41,CONFIG_ASIGNATURAS!$B$2:$F$61,5,FALSE())="Sí","Especialidad","Asignatura"),"Asignatura"))</f>
      </c>
      <c r="D41">
        <f>COUNTIFS(DATOS!G:G,CONFIG_METADATA!$B$4,DATOS!I:I,B41)</f>
        <v>0</v>
      </c>
      <c r="E41" s="14" t="str">
        <f>IFERROR(AVERAGEIFS(DATOS!K:K,DATOS!G:G,CONFIG_METADATA!$B$4,DATOS!I:I,B41),"—")</f>
        <v>—</v>
      </c>
      <c r="F41" s="14" t="str" cm="1">
        <f t="array" ref="F41">IFERROR(_xlfn.STDEV.P(IF((nEVAL=CONFIG_METADATA!$B$4)*(nASIG=B41),nNOTA)),"—")</f>
        <v>—</v>
      </c>
      <c r="G41" t="str" cm="1">
        <f t="array" ref="G41">IFERROR(_xlfn.MODE.SNGL(IF((nEVAL=CONFIG_METADATA!$B$4)*(nASIG=B41),nNOTA)),"—")</f>
        <v>—</v>
      </c>
      <c r="H41" s="15" t="str">
        <f>IFERROR(COUNTIFS(DATOS!G:G,CONFIG_METADATA!$B$4,DATOS!I:I,B41,DATOS!L:L,"S")/COUNTIFS(DATOS!G:G,CONFIG_METADATA!$B$4,DATOS!I:I,B41),"—")</f>
        <v>—</v>
      </c>
      <c r="I41" s="15" t="str">
        <f>IFERROR(COUNTIFS(DATOS!G:G,CONFIG_METADATA!$B$4,DATOS!I:I,B41,DATOS!L:L,"N")/COUNTIFS(DATOS!G:G,CONFIG_METADATA!$B$4,DATOS!I:I,B41),"—")</f>
        <v>—</v>
      </c>
      <c r="J41" t="str" cm="1">
        <f t="array" ref="J41">IFERROR(_xlfn.MODE.SNGL(IF((nEVAL=CONFIG_METADATA!$B$4)*(nASIG=B41)*(nAPTO="S"),nNOTA)),"—")</f>
        <v>—</v>
      </c>
      <c r="K41" t="str" cm="1">
        <f t="array" ref="K41">IFERROR(_xlfn.MODE.SNGL(IF((nEVAL=CONFIG_METADATA!$B$4)*(nASIG=B41)*(nAPTO="N"),nNOTA)),"—")</f>
        <v>—</v>
      </c>
      <c r="L41">
        <f>COUNTIFS(DATOS!G:G,CONFIG_METADATA!$B$4,DATOS!I:I,B41,DATOS!K:K,1)</f>
        <v>0</v>
      </c>
      <c r="M41">
        <f>COUNTIFS(DATOS!G:G,CONFIG_METADATA!$B$4,DATOS!I:I,B41,DATOS!K:K,2)</f>
        <v>0</v>
      </c>
      <c r="N41">
        <f>COUNTIFS(DATOS!G:G,CONFIG_METADATA!$B$4,DATOS!I:I,B41,DATOS!K:K,3)</f>
        <v>0</v>
      </c>
      <c r="O41">
        <f>COUNTIFS(DATOS!G:G,CONFIG_METADATA!$B$4,DATOS!I:I,B41,DATOS!K:K,4)</f>
        <v>0</v>
      </c>
      <c r="P41">
        <f>COUNTIFS(DATOS!G:G,CONFIG_METADATA!$B$4,DATOS!I:I,B41,DATOS!K:K,5)</f>
        <v>0</v>
      </c>
      <c r="Q41">
        <f>COUNTIFS(DATOS!G:G,CONFIG_METADATA!$B$4,DATOS!I:I,B41,DATOS!K:K,6)</f>
        <v>0</v>
      </c>
      <c r="R41">
        <f>COUNTIFS(DATOS!G:G,CONFIG_METADATA!$B$4,DATOS!I:I,B41,DATOS!K:K,7)</f>
        <v>0</v>
      </c>
      <c r="S41">
        <f>COUNTIFS(DATOS!G:G,CONFIG_METADATA!$B$4,DATOS!I:I,B41,DATOS!K:K,8)</f>
        <v>0</v>
      </c>
      <c r="T41">
        <f>COUNTIFS(DATOS!G:G,CONFIG_METADATA!$B$4,DATOS!I:I,B41,DATOS!K:K,9)</f>
        <v>0</v>
      </c>
      <c r="U41">
        <f>COUNTIFS(DATOS!G:G,CONFIG_METADATA!$B$4,DATOS!I:I,B41,DATOS!K:K,10)</f>
        <v>0</v>
      </c>
    </row>
    <row r="42" spans="1:22">
      <c r="A42" s="3" t="inlineStr">
        <is>
          <t xml:space="preserve">GLOBAL</t>
        </is>
      </c>
      <c r="B42" s="3" cm="1">
        <f t="array" ref="B42">IFERROR(INDEX(_xlfn._xlws.FILTER(CONFIG_ASIGNATURAS!$B$2:$B$61,CONFIG_ASIGNATURAS!$G$2:$G$61="Sí"),38),"")</f>
      </c>
      <c r="C42" s="3">
        <f>IF(B42="","",IFERROR(IF(VLOOKUP(B42,CONFIG_ASIGNATURAS!$B$2:$F$61,5,FALSE())="Sí","Especialidad","Asignatura"),"Asignatura"))</f>
      </c>
      <c r="D42">
        <f>COUNTIFS(DATOS!G:G,CONFIG_METADATA!$B$4,DATOS!I:I,B42)</f>
        <v>0</v>
      </c>
      <c r="E42" s="14" t="str">
        <f>IFERROR(AVERAGEIFS(DATOS!K:K,DATOS!G:G,CONFIG_METADATA!$B$4,DATOS!I:I,B42),"—")</f>
        <v>—</v>
      </c>
      <c r="F42" s="14" t="str" cm="1">
        <f t="array" ref="F42">IFERROR(_xlfn.STDEV.P(IF((nEVAL=CONFIG_METADATA!$B$4)*(nASIG=B42),nNOTA)),"—")</f>
        <v>—</v>
      </c>
      <c r="G42" t="str" cm="1">
        <f t="array" ref="G42">IFERROR(_xlfn.MODE.SNGL(IF((nEVAL=CONFIG_METADATA!$B$4)*(nASIG=B42),nNOTA)),"—")</f>
        <v>—</v>
      </c>
      <c r="H42" s="15" t="str">
        <f>IFERROR(COUNTIFS(DATOS!G:G,CONFIG_METADATA!$B$4,DATOS!I:I,B42,DATOS!L:L,"S")/COUNTIFS(DATOS!G:G,CONFIG_METADATA!$B$4,DATOS!I:I,B42),"—")</f>
        <v>—</v>
      </c>
      <c r="I42" s="15" t="str">
        <f>IFERROR(COUNTIFS(DATOS!G:G,CONFIG_METADATA!$B$4,DATOS!I:I,B42,DATOS!L:L,"N")/COUNTIFS(DATOS!G:G,CONFIG_METADATA!$B$4,DATOS!I:I,B42),"—")</f>
        <v>—</v>
      </c>
      <c r="J42" t="str" cm="1">
        <f t="array" ref="J42">IFERROR(_xlfn.MODE.SNGL(IF((nEVAL=CONFIG_METADATA!$B$4)*(nASIG=B42)*(nAPTO="S"),nNOTA)),"—")</f>
        <v>—</v>
      </c>
      <c r="K42" t="str" cm="1">
        <f t="array" ref="K42">IFERROR(_xlfn.MODE.SNGL(IF((nEVAL=CONFIG_METADATA!$B$4)*(nASIG=B42)*(nAPTO="N"),nNOTA)),"—")</f>
        <v>—</v>
      </c>
      <c r="L42">
        <f>COUNTIFS(DATOS!G:G,CONFIG_METADATA!$B$4,DATOS!I:I,B42,DATOS!K:K,1)</f>
        <v>0</v>
      </c>
      <c r="M42">
        <f>COUNTIFS(DATOS!G:G,CONFIG_METADATA!$B$4,DATOS!I:I,B42,DATOS!K:K,2)</f>
        <v>0</v>
      </c>
      <c r="N42">
        <f>COUNTIFS(DATOS!G:G,CONFIG_METADATA!$B$4,DATOS!I:I,B42,DATOS!K:K,3)</f>
        <v>0</v>
      </c>
      <c r="O42">
        <f>COUNTIFS(DATOS!G:G,CONFIG_METADATA!$B$4,DATOS!I:I,B42,DATOS!K:K,4)</f>
        <v>0</v>
      </c>
      <c r="P42">
        <f>COUNTIFS(DATOS!G:G,CONFIG_METADATA!$B$4,DATOS!I:I,B42,DATOS!K:K,5)</f>
        <v>0</v>
      </c>
      <c r="Q42">
        <f>COUNTIFS(DATOS!G:G,CONFIG_METADATA!$B$4,DATOS!I:I,B42,DATOS!K:K,6)</f>
        <v>0</v>
      </c>
      <c r="R42">
        <f>COUNTIFS(DATOS!G:G,CONFIG_METADATA!$B$4,DATOS!I:I,B42,DATOS!K:K,7)</f>
        <v>0</v>
      </c>
      <c r="S42">
        <f>COUNTIFS(DATOS!G:G,CONFIG_METADATA!$B$4,DATOS!I:I,B42,DATOS!K:K,8)</f>
        <v>0</v>
      </c>
      <c r="T42">
        <f>COUNTIFS(DATOS!G:G,CONFIG_METADATA!$B$4,DATOS!I:I,B42,DATOS!K:K,9)</f>
        <v>0</v>
      </c>
      <c r="U42">
        <f>COUNTIFS(DATOS!G:G,CONFIG_METADATA!$B$4,DATOS!I:I,B42,DATOS!K:K,10)</f>
        <v>0</v>
      </c>
    </row>
    <row r="43" spans="1:22">
      <c r="A43" s="3" t="inlineStr">
        <is>
          <t xml:space="preserve">GLOBAL</t>
        </is>
      </c>
      <c r="B43" s="3" cm="1">
        <f t="array" ref="B43">IFERROR(INDEX(_xlfn._xlws.FILTER(CONFIG_ASIGNATURAS!$B$2:$B$61,CONFIG_ASIGNATURAS!$G$2:$G$61="Sí"),39),"")</f>
      </c>
      <c r="C43" s="3">
        <f>IF(B43="","",IFERROR(IF(VLOOKUP(B43,CONFIG_ASIGNATURAS!$B$2:$F$61,5,FALSE())="Sí","Especialidad","Asignatura"),"Asignatura"))</f>
      </c>
      <c r="D43">
        <f>COUNTIFS(DATOS!G:G,CONFIG_METADATA!$B$4,DATOS!I:I,B43)</f>
        <v>0</v>
      </c>
      <c r="E43" s="14" t="str">
        <f>IFERROR(AVERAGEIFS(DATOS!K:K,DATOS!G:G,CONFIG_METADATA!$B$4,DATOS!I:I,B43),"—")</f>
        <v>—</v>
      </c>
      <c r="F43" s="14" t="str" cm="1">
        <f t="array" ref="F43">IFERROR(_xlfn.STDEV.P(IF((nEVAL=CONFIG_METADATA!$B$4)*(nASIG=B43),nNOTA)),"—")</f>
        <v>—</v>
      </c>
      <c r="G43" t="str" cm="1">
        <f t="array" ref="G43">IFERROR(_xlfn.MODE.SNGL(IF((nEVAL=CONFIG_METADATA!$B$4)*(nASIG=B43),nNOTA)),"—")</f>
        <v>—</v>
      </c>
      <c r="H43" s="15" t="str">
        <f>IFERROR(COUNTIFS(DATOS!G:G,CONFIG_METADATA!$B$4,DATOS!I:I,B43,DATOS!L:L,"S")/COUNTIFS(DATOS!G:G,CONFIG_METADATA!$B$4,DATOS!I:I,B43),"—")</f>
        <v>—</v>
      </c>
      <c r="I43" s="15" t="str">
        <f>IFERROR(COUNTIFS(DATOS!G:G,CONFIG_METADATA!$B$4,DATOS!I:I,B43,DATOS!L:L,"N")/COUNTIFS(DATOS!G:G,CONFIG_METADATA!$B$4,DATOS!I:I,B43),"—")</f>
        <v>—</v>
      </c>
      <c r="J43" t="str" cm="1">
        <f t="array" ref="J43">IFERROR(_xlfn.MODE.SNGL(IF((nEVAL=CONFIG_METADATA!$B$4)*(nASIG=B43)*(nAPTO="S"),nNOTA)),"—")</f>
        <v>—</v>
      </c>
      <c r="K43" t="str" cm="1">
        <f t="array" ref="K43">IFERROR(_xlfn.MODE.SNGL(IF((nEVAL=CONFIG_METADATA!$B$4)*(nASIG=B43)*(nAPTO="N"),nNOTA)),"—")</f>
        <v>—</v>
      </c>
      <c r="L43">
        <f>COUNTIFS(DATOS!G:G,CONFIG_METADATA!$B$4,DATOS!I:I,B43,DATOS!K:K,1)</f>
        <v>0</v>
      </c>
      <c r="M43">
        <f>COUNTIFS(DATOS!G:G,CONFIG_METADATA!$B$4,DATOS!I:I,B43,DATOS!K:K,2)</f>
        <v>0</v>
      </c>
      <c r="N43">
        <f>COUNTIFS(DATOS!G:G,CONFIG_METADATA!$B$4,DATOS!I:I,B43,DATOS!K:K,3)</f>
        <v>0</v>
      </c>
      <c r="O43">
        <f>COUNTIFS(DATOS!G:G,CONFIG_METADATA!$B$4,DATOS!I:I,B43,DATOS!K:K,4)</f>
        <v>0</v>
      </c>
      <c r="P43">
        <f>COUNTIFS(DATOS!G:G,CONFIG_METADATA!$B$4,DATOS!I:I,B43,DATOS!K:K,5)</f>
        <v>0</v>
      </c>
      <c r="Q43">
        <f>COUNTIFS(DATOS!G:G,CONFIG_METADATA!$B$4,DATOS!I:I,B43,DATOS!K:K,6)</f>
        <v>0</v>
      </c>
      <c r="R43">
        <f>COUNTIFS(DATOS!G:G,CONFIG_METADATA!$B$4,DATOS!I:I,B43,DATOS!K:K,7)</f>
        <v>0</v>
      </c>
      <c r="S43">
        <f>COUNTIFS(DATOS!G:G,CONFIG_METADATA!$B$4,DATOS!I:I,B43,DATOS!K:K,8)</f>
        <v>0</v>
      </c>
      <c r="T43">
        <f>COUNTIFS(DATOS!G:G,CONFIG_METADATA!$B$4,DATOS!I:I,B43,DATOS!K:K,9)</f>
        <v>0</v>
      </c>
      <c r="U43">
        <f>COUNTIFS(DATOS!G:G,CONFIG_METADATA!$B$4,DATOS!I:I,B43,DATOS!K:K,10)</f>
        <v>0</v>
      </c>
    </row>
    <row r="44" spans="1:22">
      <c r="A44" s="3" t="inlineStr">
        <is>
          <t xml:space="preserve">GLOBAL</t>
        </is>
      </c>
      <c r="B44" s="3" cm="1">
        <f t="array" ref="B44">IFERROR(INDEX(_xlfn._xlws.FILTER(CONFIG_ASIGNATURAS!$B$2:$B$61,CONFIG_ASIGNATURAS!$G$2:$G$61="Sí"),40),"")</f>
      </c>
      <c r="C44" s="3">
        <f>IF(B44="","",IFERROR(IF(VLOOKUP(B44,CONFIG_ASIGNATURAS!$B$2:$F$61,5,FALSE())="Sí","Especialidad","Asignatura"),"Asignatura"))</f>
      </c>
      <c r="D44">
        <f>COUNTIFS(DATOS!G:G,CONFIG_METADATA!$B$4,DATOS!I:I,B44)</f>
        <v>0</v>
      </c>
      <c r="E44" s="14" t="str">
        <f>IFERROR(AVERAGEIFS(DATOS!K:K,DATOS!G:G,CONFIG_METADATA!$B$4,DATOS!I:I,B44),"—")</f>
        <v>—</v>
      </c>
      <c r="F44" s="14" t="str" cm="1">
        <f t="array" ref="F44">IFERROR(_xlfn.STDEV.P(IF((nEVAL=CONFIG_METADATA!$B$4)*(nASIG=B44),nNOTA)),"—")</f>
        <v>—</v>
      </c>
      <c r="G44" t="str" cm="1">
        <f t="array" ref="G44">IFERROR(_xlfn.MODE.SNGL(IF((nEVAL=CONFIG_METADATA!$B$4)*(nASIG=B44),nNOTA)),"—")</f>
        <v>—</v>
      </c>
      <c r="H44" s="15" t="str">
        <f>IFERROR(COUNTIFS(DATOS!G:G,CONFIG_METADATA!$B$4,DATOS!I:I,B44,DATOS!L:L,"S")/COUNTIFS(DATOS!G:G,CONFIG_METADATA!$B$4,DATOS!I:I,B44),"—")</f>
        <v>—</v>
      </c>
      <c r="I44" s="15" t="str">
        <f>IFERROR(COUNTIFS(DATOS!G:G,CONFIG_METADATA!$B$4,DATOS!I:I,B44,DATOS!L:L,"N")/COUNTIFS(DATOS!G:G,CONFIG_METADATA!$B$4,DATOS!I:I,B44),"—")</f>
        <v>—</v>
      </c>
      <c r="J44" t="str" cm="1">
        <f t="array" ref="J44">IFERROR(_xlfn.MODE.SNGL(IF((nEVAL=CONFIG_METADATA!$B$4)*(nASIG=B44)*(nAPTO="S"),nNOTA)),"—")</f>
        <v>—</v>
      </c>
      <c r="K44" t="str" cm="1">
        <f t="array" ref="K44">IFERROR(_xlfn.MODE.SNGL(IF((nEVAL=CONFIG_METADATA!$B$4)*(nASIG=B44)*(nAPTO="N"),nNOTA)),"—")</f>
        <v>—</v>
      </c>
      <c r="L44">
        <f>COUNTIFS(DATOS!G:G,CONFIG_METADATA!$B$4,DATOS!I:I,B44,DATOS!K:K,1)</f>
        <v>0</v>
      </c>
      <c r="M44">
        <f>COUNTIFS(DATOS!G:G,CONFIG_METADATA!$B$4,DATOS!I:I,B44,DATOS!K:K,2)</f>
        <v>0</v>
      </c>
      <c r="N44">
        <f>COUNTIFS(DATOS!G:G,CONFIG_METADATA!$B$4,DATOS!I:I,B44,DATOS!K:K,3)</f>
        <v>0</v>
      </c>
      <c r="O44">
        <f>COUNTIFS(DATOS!G:G,CONFIG_METADATA!$B$4,DATOS!I:I,B44,DATOS!K:K,4)</f>
        <v>0</v>
      </c>
      <c r="P44">
        <f>COUNTIFS(DATOS!G:G,CONFIG_METADATA!$B$4,DATOS!I:I,B44,DATOS!K:K,5)</f>
        <v>0</v>
      </c>
      <c r="Q44">
        <f>COUNTIFS(DATOS!G:G,CONFIG_METADATA!$B$4,DATOS!I:I,B44,DATOS!K:K,6)</f>
        <v>0</v>
      </c>
      <c r="R44">
        <f>COUNTIFS(DATOS!G:G,CONFIG_METADATA!$B$4,DATOS!I:I,B44,DATOS!K:K,7)</f>
        <v>0</v>
      </c>
      <c r="S44">
        <f>COUNTIFS(DATOS!G:G,CONFIG_METADATA!$B$4,DATOS!I:I,B44,DATOS!K:K,8)</f>
        <v>0</v>
      </c>
      <c r="T44">
        <f>COUNTIFS(DATOS!G:G,CONFIG_METADATA!$B$4,DATOS!I:I,B44,DATOS!K:K,9)</f>
        <v>0</v>
      </c>
      <c r="U44">
        <f>COUNTIFS(DATOS!G:G,CONFIG_METADATA!$B$4,DATOS!I:I,B44,DATOS!K:K,10)</f>
        <v>0</v>
      </c>
    </row>
    <row r="45" spans="1:22">
      <c r="A45" s="3" t="inlineStr">
        <is>
          <t xml:space="preserve">GLOBAL</t>
        </is>
      </c>
      <c r="B45" s="3" cm="1">
        <f t="array" ref="B45">IFERROR(INDEX(_xlfn._xlws.FILTER(CONFIG_ASIGNATURAS!$B$2:$B$61,CONFIG_ASIGNATURAS!$G$2:$G$61="Sí"),41),"")</f>
      </c>
      <c r="C45" s="3">
        <f>IF(B45="","",IFERROR(IF(VLOOKUP(B45,CONFIG_ASIGNATURAS!$B$2:$F$61,5,FALSE())="Sí","Especialidad","Asignatura"),"Asignatura"))</f>
      </c>
      <c r="D45">
        <f>COUNTIFS(DATOS!G:G,CONFIG_METADATA!$B$4,DATOS!I:I,B45)</f>
        <v>0</v>
      </c>
      <c r="E45" s="14" t="str">
        <f>IFERROR(AVERAGEIFS(DATOS!K:K,DATOS!G:G,CONFIG_METADATA!$B$4,DATOS!I:I,B45),"—")</f>
        <v>—</v>
      </c>
      <c r="F45" s="14" t="str" cm="1">
        <f t="array" ref="F45">IFERROR(_xlfn.STDEV.P(IF((nEVAL=CONFIG_METADATA!$B$4)*(nASIG=B45),nNOTA)),"—")</f>
        <v>—</v>
      </c>
      <c r="G45" t="str" cm="1">
        <f t="array" ref="G45">IFERROR(_xlfn.MODE.SNGL(IF((nEVAL=CONFIG_METADATA!$B$4)*(nASIG=B45),nNOTA)),"—")</f>
        <v>—</v>
      </c>
      <c r="H45" s="15" t="str">
        <f>IFERROR(COUNTIFS(DATOS!G:G,CONFIG_METADATA!$B$4,DATOS!I:I,B45,DATOS!L:L,"S")/COUNTIFS(DATOS!G:G,CONFIG_METADATA!$B$4,DATOS!I:I,B45),"—")</f>
        <v>—</v>
      </c>
      <c r="I45" s="15" t="str">
        <f>IFERROR(COUNTIFS(DATOS!G:G,CONFIG_METADATA!$B$4,DATOS!I:I,B45,DATOS!L:L,"N")/COUNTIFS(DATOS!G:G,CONFIG_METADATA!$B$4,DATOS!I:I,B45),"—")</f>
        <v>—</v>
      </c>
      <c r="J45" t="str" cm="1">
        <f t="array" ref="J45">IFERROR(_xlfn.MODE.SNGL(IF((nEVAL=CONFIG_METADATA!$B$4)*(nASIG=B45)*(nAPTO="S"),nNOTA)),"—")</f>
        <v>—</v>
      </c>
      <c r="K45" t="str" cm="1">
        <f t="array" ref="K45">IFERROR(_xlfn.MODE.SNGL(IF((nEVAL=CONFIG_METADATA!$B$4)*(nASIG=B45)*(nAPTO="N"),nNOTA)),"—")</f>
        <v>—</v>
      </c>
      <c r="L45">
        <f>COUNTIFS(DATOS!G:G,CONFIG_METADATA!$B$4,DATOS!I:I,B45,DATOS!K:K,1)</f>
        <v>0</v>
      </c>
      <c r="M45">
        <f>COUNTIFS(DATOS!G:G,CONFIG_METADATA!$B$4,DATOS!I:I,B45,DATOS!K:K,2)</f>
        <v>0</v>
      </c>
      <c r="N45">
        <f>COUNTIFS(DATOS!G:G,CONFIG_METADATA!$B$4,DATOS!I:I,B45,DATOS!K:K,3)</f>
        <v>0</v>
      </c>
      <c r="O45">
        <f>COUNTIFS(DATOS!G:G,CONFIG_METADATA!$B$4,DATOS!I:I,B45,DATOS!K:K,4)</f>
        <v>0</v>
      </c>
      <c r="P45">
        <f>COUNTIFS(DATOS!G:G,CONFIG_METADATA!$B$4,DATOS!I:I,B45,DATOS!K:K,5)</f>
        <v>0</v>
      </c>
      <c r="Q45">
        <f>COUNTIFS(DATOS!G:G,CONFIG_METADATA!$B$4,DATOS!I:I,B45,DATOS!K:K,6)</f>
        <v>0</v>
      </c>
      <c r="R45">
        <f>COUNTIFS(DATOS!G:G,CONFIG_METADATA!$B$4,DATOS!I:I,B45,DATOS!K:K,7)</f>
        <v>0</v>
      </c>
      <c r="S45">
        <f>COUNTIFS(DATOS!G:G,CONFIG_METADATA!$B$4,DATOS!I:I,B45,DATOS!K:K,8)</f>
        <v>0</v>
      </c>
      <c r="T45">
        <f>COUNTIFS(DATOS!G:G,CONFIG_METADATA!$B$4,DATOS!I:I,B45,DATOS!K:K,9)</f>
        <v>0</v>
      </c>
      <c r="U45">
        <f>COUNTIFS(DATOS!G:G,CONFIG_METADATA!$B$4,DATOS!I:I,B45,DATOS!K:K,10)</f>
        <v>0</v>
      </c>
    </row>
    <row r="46" spans="1:22">
      <c r="A46" s="3" t="inlineStr">
        <is>
          <t xml:space="preserve">GLOBAL</t>
        </is>
      </c>
      <c r="B46" s="3" cm="1">
        <f t="array" ref="B46">IFERROR(INDEX(_xlfn._xlws.FILTER(CONFIG_ASIGNATURAS!$B$2:$B$61,CONFIG_ASIGNATURAS!$G$2:$G$61="Sí"),42),"")</f>
      </c>
      <c r="C46" s="3">
        <f>IF(B46="","",IFERROR(IF(VLOOKUP(B46,CONFIG_ASIGNATURAS!$B$2:$F$61,5,FALSE())="Sí","Especialidad","Asignatura"),"Asignatura"))</f>
      </c>
      <c r="D46">
        <f>COUNTIFS(DATOS!G:G,CONFIG_METADATA!$B$4,DATOS!I:I,B46)</f>
        <v>0</v>
      </c>
      <c r="E46" s="14" t="str">
        <f>IFERROR(AVERAGEIFS(DATOS!K:K,DATOS!G:G,CONFIG_METADATA!$B$4,DATOS!I:I,B46),"—")</f>
        <v>—</v>
      </c>
      <c r="F46" s="14" t="str" cm="1">
        <f t="array" ref="F46">IFERROR(_xlfn.STDEV.P(IF((nEVAL=CONFIG_METADATA!$B$4)*(nASIG=B46),nNOTA)),"—")</f>
        <v>—</v>
      </c>
      <c r="G46" t="str" cm="1">
        <f t="array" ref="G46">IFERROR(_xlfn.MODE.SNGL(IF((nEVAL=CONFIG_METADATA!$B$4)*(nASIG=B46),nNOTA)),"—")</f>
        <v>—</v>
      </c>
      <c r="H46" s="15" t="str">
        <f>IFERROR(COUNTIFS(DATOS!G:G,CONFIG_METADATA!$B$4,DATOS!I:I,B46,DATOS!L:L,"S")/COUNTIFS(DATOS!G:G,CONFIG_METADATA!$B$4,DATOS!I:I,B46),"—")</f>
        <v>—</v>
      </c>
      <c r="I46" s="15" t="str">
        <f>IFERROR(COUNTIFS(DATOS!G:G,CONFIG_METADATA!$B$4,DATOS!I:I,B46,DATOS!L:L,"N")/COUNTIFS(DATOS!G:G,CONFIG_METADATA!$B$4,DATOS!I:I,B46),"—")</f>
        <v>—</v>
      </c>
      <c r="J46" t="str" cm="1">
        <f t="array" ref="J46">IFERROR(_xlfn.MODE.SNGL(IF((nEVAL=CONFIG_METADATA!$B$4)*(nASIG=B46)*(nAPTO="S"),nNOTA)),"—")</f>
        <v>—</v>
      </c>
      <c r="K46" t="str" cm="1">
        <f t="array" ref="K46">IFERROR(_xlfn.MODE.SNGL(IF((nEVAL=CONFIG_METADATA!$B$4)*(nASIG=B46)*(nAPTO="N"),nNOTA)),"—")</f>
        <v>—</v>
      </c>
      <c r="L46">
        <f>COUNTIFS(DATOS!G:G,CONFIG_METADATA!$B$4,DATOS!I:I,B46,DATOS!K:K,1)</f>
        <v>0</v>
      </c>
      <c r="M46">
        <f>COUNTIFS(DATOS!G:G,CONFIG_METADATA!$B$4,DATOS!I:I,B46,DATOS!K:K,2)</f>
        <v>0</v>
      </c>
      <c r="N46">
        <f>COUNTIFS(DATOS!G:G,CONFIG_METADATA!$B$4,DATOS!I:I,B46,DATOS!K:K,3)</f>
        <v>0</v>
      </c>
      <c r="O46">
        <f>COUNTIFS(DATOS!G:G,CONFIG_METADATA!$B$4,DATOS!I:I,B46,DATOS!K:K,4)</f>
        <v>0</v>
      </c>
      <c r="P46">
        <f>COUNTIFS(DATOS!G:G,CONFIG_METADATA!$B$4,DATOS!I:I,B46,DATOS!K:K,5)</f>
        <v>0</v>
      </c>
      <c r="Q46">
        <f>COUNTIFS(DATOS!G:G,CONFIG_METADATA!$B$4,DATOS!I:I,B46,DATOS!K:K,6)</f>
        <v>0</v>
      </c>
      <c r="R46">
        <f>COUNTIFS(DATOS!G:G,CONFIG_METADATA!$B$4,DATOS!I:I,B46,DATOS!K:K,7)</f>
        <v>0</v>
      </c>
      <c r="S46">
        <f>COUNTIFS(DATOS!G:G,CONFIG_METADATA!$B$4,DATOS!I:I,B46,DATOS!K:K,8)</f>
        <v>0</v>
      </c>
      <c r="T46">
        <f>COUNTIFS(DATOS!G:G,CONFIG_METADATA!$B$4,DATOS!I:I,B46,DATOS!K:K,9)</f>
        <v>0</v>
      </c>
      <c r="U46">
        <f>COUNTIFS(DATOS!G:G,CONFIG_METADATA!$B$4,DATOS!I:I,B46,DATOS!K:K,10)</f>
        <v>0</v>
      </c>
    </row>
    <row r="47" spans="1:22">
      <c r="A47" s="3" t="inlineStr">
        <is>
          <t xml:space="preserve">GLOBAL</t>
        </is>
      </c>
      <c r="B47" s="3" cm="1">
        <f t="array" ref="B47">IFERROR(INDEX(_xlfn._xlws.FILTER(CONFIG_ASIGNATURAS!$B$2:$B$61,CONFIG_ASIGNATURAS!$G$2:$G$61="Sí"),43),"")</f>
      </c>
      <c r="C47" s="3">
        <f>IF(B47="","",IFERROR(IF(VLOOKUP(B47,CONFIG_ASIGNATURAS!$B$2:$F$61,5,FALSE())="Sí","Especialidad","Asignatura"),"Asignatura"))</f>
      </c>
      <c r="D47">
        <f>COUNTIFS(DATOS!G:G,CONFIG_METADATA!$B$4,DATOS!I:I,B47)</f>
        <v>0</v>
      </c>
      <c r="E47" s="14" t="str">
        <f>IFERROR(AVERAGEIFS(DATOS!K:K,DATOS!G:G,CONFIG_METADATA!$B$4,DATOS!I:I,B47),"—")</f>
        <v>—</v>
      </c>
      <c r="F47" s="14" t="str" cm="1">
        <f t="array" ref="F47">IFERROR(_xlfn.STDEV.P(IF((nEVAL=CONFIG_METADATA!$B$4)*(nASIG=B47),nNOTA)),"—")</f>
        <v>—</v>
      </c>
      <c r="G47" t="str" cm="1">
        <f t="array" ref="G47">IFERROR(_xlfn.MODE.SNGL(IF((nEVAL=CONFIG_METADATA!$B$4)*(nASIG=B47),nNOTA)),"—")</f>
        <v>—</v>
      </c>
      <c r="H47" s="15" t="str">
        <f>IFERROR(COUNTIFS(DATOS!G:G,CONFIG_METADATA!$B$4,DATOS!I:I,B47,DATOS!L:L,"S")/COUNTIFS(DATOS!G:G,CONFIG_METADATA!$B$4,DATOS!I:I,B47),"—")</f>
        <v>—</v>
      </c>
      <c r="I47" s="15" t="str">
        <f>IFERROR(COUNTIFS(DATOS!G:G,CONFIG_METADATA!$B$4,DATOS!I:I,B47,DATOS!L:L,"N")/COUNTIFS(DATOS!G:G,CONFIG_METADATA!$B$4,DATOS!I:I,B47),"—")</f>
        <v>—</v>
      </c>
      <c r="J47" t="str" cm="1">
        <f t="array" ref="J47">IFERROR(_xlfn.MODE.SNGL(IF((nEVAL=CONFIG_METADATA!$B$4)*(nASIG=B47)*(nAPTO="S"),nNOTA)),"—")</f>
        <v>—</v>
      </c>
      <c r="K47" t="str" cm="1">
        <f t="array" ref="K47">IFERROR(_xlfn.MODE.SNGL(IF((nEVAL=CONFIG_METADATA!$B$4)*(nASIG=B47)*(nAPTO="N"),nNOTA)),"—")</f>
        <v>—</v>
      </c>
      <c r="L47">
        <f>COUNTIFS(DATOS!G:G,CONFIG_METADATA!$B$4,DATOS!I:I,B47,DATOS!K:K,1)</f>
        <v>0</v>
      </c>
      <c r="M47">
        <f>COUNTIFS(DATOS!G:G,CONFIG_METADATA!$B$4,DATOS!I:I,B47,DATOS!K:K,2)</f>
        <v>0</v>
      </c>
      <c r="N47">
        <f>COUNTIFS(DATOS!G:G,CONFIG_METADATA!$B$4,DATOS!I:I,B47,DATOS!K:K,3)</f>
        <v>0</v>
      </c>
      <c r="O47">
        <f>COUNTIFS(DATOS!G:G,CONFIG_METADATA!$B$4,DATOS!I:I,B47,DATOS!K:K,4)</f>
        <v>0</v>
      </c>
      <c r="P47">
        <f>COUNTIFS(DATOS!G:G,CONFIG_METADATA!$B$4,DATOS!I:I,B47,DATOS!K:K,5)</f>
        <v>0</v>
      </c>
      <c r="Q47">
        <f>COUNTIFS(DATOS!G:G,CONFIG_METADATA!$B$4,DATOS!I:I,B47,DATOS!K:K,6)</f>
        <v>0</v>
      </c>
      <c r="R47">
        <f>COUNTIFS(DATOS!G:G,CONFIG_METADATA!$B$4,DATOS!I:I,B47,DATOS!K:K,7)</f>
        <v>0</v>
      </c>
      <c r="S47">
        <f>COUNTIFS(DATOS!G:G,CONFIG_METADATA!$B$4,DATOS!I:I,B47,DATOS!K:K,8)</f>
        <v>0</v>
      </c>
      <c r="T47">
        <f>COUNTIFS(DATOS!G:G,CONFIG_METADATA!$B$4,DATOS!I:I,B47,DATOS!K:K,9)</f>
        <v>0</v>
      </c>
      <c r="U47">
        <f>COUNTIFS(DATOS!G:G,CONFIG_METADATA!$B$4,DATOS!I:I,B47,DATOS!K:K,10)</f>
        <v>0</v>
      </c>
    </row>
    <row r="48" spans="1:22">
      <c r="A48" s="3" t="inlineStr">
        <is>
          <t xml:space="preserve">GLOBAL</t>
        </is>
      </c>
      <c r="B48" s="3" cm="1">
        <f t="array" ref="B48">IFERROR(INDEX(_xlfn._xlws.FILTER(CONFIG_ASIGNATURAS!$B$2:$B$61,CONFIG_ASIGNATURAS!$G$2:$G$61="Sí"),44),"")</f>
      </c>
      <c r="C48" s="3">
        <f>IF(B48="","",IFERROR(IF(VLOOKUP(B48,CONFIG_ASIGNATURAS!$B$2:$F$61,5,FALSE())="Sí","Especialidad","Asignatura"),"Asignatura"))</f>
      </c>
      <c r="D48">
        <f>COUNTIFS(DATOS!G:G,CONFIG_METADATA!$B$4,DATOS!I:I,B48)</f>
        <v>0</v>
      </c>
      <c r="E48" s="14" t="str">
        <f>IFERROR(AVERAGEIFS(DATOS!K:K,DATOS!G:G,CONFIG_METADATA!$B$4,DATOS!I:I,B48),"—")</f>
        <v>—</v>
      </c>
      <c r="F48" s="14" t="str" cm="1">
        <f t="array" ref="F48">IFERROR(_xlfn.STDEV.P(IF((nEVAL=CONFIG_METADATA!$B$4)*(nASIG=B48),nNOTA)),"—")</f>
        <v>—</v>
      </c>
      <c r="G48" t="str" cm="1">
        <f t="array" ref="G48">IFERROR(_xlfn.MODE.SNGL(IF((nEVAL=CONFIG_METADATA!$B$4)*(nASIG=B48),nNOTA)),"—")</f>
        <v>—</v>
      </c>
      <c r="H48" s="15" t="str">
        <f>IFERROR(COUNTIFS(DATOS!G:G,CONFIG_METADATA!$B$4,DATOS!I:I,B48,DATOS!L:L,"S")/COUNTIFS(DATOS!G:G,CONFIG_METADATA!$B$4,DATOS!I:I,B48),"—")</f>
        <v>—</v>
      </c>
      <c r="I48" s="15" t="str">
        <f>IFERROR(COUNTIFS(DATOS!G:G,CONFIG_METADATA!$B$4,DATOS!I:I,B48,DATOS!L:L,"N")/COUNTIFS(DATOS!G:G,CONFIG_METADATA!$B$4,DATOS!I:I,B48),"—")</f>
        <v>—</v>
      </c>
      <c r="J48" t="str" cm="1">
        <f t="array" ref="J48">IFERROR(_xlfn.MODE.SNGL(IF((nEVAL=CONFIG_METADATA!$B$4)*(nASIG=B48)*(nAPTO="S"),nNOTA)),"—")</f>
        <v>—</v>
      </c>
      <c r="K48" t="str" cm="1">
        <f t="array" ref="K48">IFERROR(_xlfn.MODE.SNGL(IF((nEVAL=CONFIG_METADATA!$B$4)*(nASIG=B48)*(nAPTO="N"),nNOTA)),"—")</f>
        <v>—</v>
      </c>
      <c r="L48">
        <f>COUNTIFS(DATOS!G:G,CONFIG_METADATA!$B$4,DATOS!I:I,B48,DATOS!K:K,1)</f>
        <v>0</v>
      </c>
      <c r="M48">
        <f>COUNTIFS(DATOS!G:G,CONFIG_METADATA!$B$4,DATOS!I:I,B48,DATOS!K:K,2)</f>
        <v>0</v>
      </c>
      <c r="N48">
        <f>COUNTIFS(DATOS!G:G,CONFIG_METADATA!$B$4,DATOS!I:I,B48,DATOS!K:K,3)</f>
        <v>0</v>
      </c>
      <c r="O48">
        <f>COUNTIFS(DATOS!G:G,CONFIG_METADATA!$B$4,DATOS!I:I,B48,DATOS!K:K,4)</f>
        <v>0</v>
      </c>
      <c r="P48">
        <f>COUNTIFS(DATOS!G:G,CONFIG_METADATA!$B$4,DATOS!I:I,B48,DATOS!K:K,5)</f>
        <v>0</v>
      </c>
      <c r="Q48">
        <f>COUNTIFS(DATOS!G:G,CONFIG_METADATA!$B$4,DATOS!I:I,B48,DATOS!K:K,6)</f>
        <v>0</v>
      </c>
      <c r="R48">
        <f>COUNTIFS(DATOS!G:G,CONFIG_METADATA!$B$4,DATOS!I:I,B48,DATOS!K:K,7)</f>
        <v>0</v>
      </c>
      <c r="S48">
        <f>COUNTIFS(DATOS!G:G,CONFIG_METADATA!$B$4,DATOS!I:I,B48,DATOS!K:K,8)</f>
        <v>0</v>
      </c>
      <c r="T48">
        <f>COUNTIFS(DATOS!G:G,CONFIG_METADATA!$B$4,DATOS!I:I,B48,DATOS!K:K,9)</f>
        <v>0</v>
      </c>
      <c r="U48">
        <f>COUNTIFS(DATOS!G:G,CONFIG_METADATA!$B$4,DATOS!I:I,B48,DATOS!K:K,10)</f>
        <v>0</v>
      </c>
    </row>
    <row r="49" spans="1:22">
      <c r="A49" s="3" t="inlineStr">
        <is>
          <t xml:space="preserve">GLOBAL</t>
        </is>
      </c>
      <c r="B49" s="3" cm="1">
        <f t="array" ref="B49">IFERROR(INDEX(_xlfn._xlws.FILTER(CONFIG_ASIGNATURAS!$B$2:$B$61,CONFIG_ASIGNATURAS!$G$2:$G$61="Sí"),45),"")</f>
      </c>
      <c r="C49" s="3">
        <f>IF(B49="","",IFERROR(IF(VLOOKUP(B49,CONFIG_ASIGNATURAS!$B$2:$F$61,5,FALSE())="Sí","Especialidad","Asignatura"),"Asignatura"))</f>
      </c>
      <c r="D49">
        <f>COUNTIFS(DATOS!G:G,CONFIG_METADATA!$B$4,DATOS!I:I,B49)</f>
        <v>0</v>
      </c>
      <c r="E49" s="14" t="str">
        <f>IFERROR(AVERAGEIFS(DATOS!K:K,DATOS!G:G,CONFIG_METADATA!$B$4,DATOS!I:I,B49),"—")</f>
        <v>—</v>
      </c>
      <c r="F49" s="14" t="str" cm="1">
        <f t="array" ref="F49">IFERROR(_xlfn.STDEV.P(IF((nEVAL=CONFIG_METADATA!$B$4)*(nASIG=B49),nNOTA)),"—")</f>
        <v>—</v>
      </c>
      <c r="G49" t="str" cm="1">
        <f t="array" ref="G49">IFERROR(_xlfn.MODE.SNGL(IF((nEVAL=CONFIG_METADATA!$B$4)*(nASIG=B49),nNOTA)),"—")</f>
        <v>—</v>
      </c>
      <c r="H49" s="15" t="str">
        <f>IFERROR(COUNTIFS(DATOS!G:G,CONFIG_METADATA!$B$4,DATOS!I:I,B49,DATOS!L:L,"S")/COUNTIFS(DATOS!G:G,CONFIG_METADATA!$B$4,DATOS!I:I,B49),"—")</f>
        <v>—</v>
      </c>
      <c r="I49" s="15" t="str">
        <f>IFERROR(COUNTIFS(DATOS!G:G,CONFIG_METADATA!$B$4,DATOS!I:I,B49,DATOS!L:L,"N")/COUNTIFS(DATOS!G:G,CONFIG_METADATA!$B$4,DATOS!I:I,B49),"—")</f>
        <v>—</v>
      </c>
      <c r="J49" t="str" cm="1">
        <f t="array" ref="J49">IFERROR(_xlfn.MODE.SNGL(IF((nEVAL=CONFIG_METADATA!$B$4)*(nASIG=B49)*(nAPTO="S"),nNOTA)),"—")</f>
        <v>—</v>
      </c>
      <c r="K49" t="str" cm="1">
        <f t="array" ref="K49">IFERROR(_xlfn.MODE.SNGL(IF((nEVAL=CONFIG_METADATA!$B$4)*(nASIG=B49)*(nAPTO="N"),nNOTA)),"—")</f>
        <v>—</v>
      </c>
      <c r="L49">
        <f>COUNTIFS(DATOS!G:G,CONFIG_METADATA!$B$4,DATOS!I:I,B49,DATOS!K:K,1)</f>
        <v>0</v>
      </c>
      <c r="M49">
        <f>COUNTIFS(DATOS!G:G,CONFIG_METADATA!$B$4,DATOS!I:I,B49,DATOS!K:K,2)</f>
        <v>0</v>
      </c>
      <c r="N49">
        <f>COUNTIFS(DATOS!G:G,CONFIG_METADATA!$B$4,DATOS!I:I,B49,DATOS!K:K,3)</f>
        <v>0</v>
      </c>
      <c r="O49">
        <f>COUNTIFS(DATOS!G:G,CONFIG_METADATA!$B$4,DATOS!I:I,B49,DATOS!K:K,4)</f>
        <v>0</v>
      </c>
      <c r="P49">
        <f>COUNTIFS(DATOS!G:G,CONFIG_METADATA!$B$4,DATOS!I:I,B49,DATOS!K:K,5)</f>
        <v>0</v>
      </c>
      <c r="Q49">
        <f>COUNTIFS(DATOS!G:G,CONFIG_METADATA!$B$4,DATOS!I:I,B49,DATOS!K:K,6)</f>
        <v>0</v>
      </c>
      <c r="R49">
        <f>COUNTIFS(DATOS!G:G,CONFIG_METADATA!$B$4,DATOS!I:I,B49,DATOS!K:K,7)</f>
        <v>0</v>
      </c>
      <c r="S49">
        <f>COUNTIFS(DATOS!G:G,CONFIG_METADATA!$B$4,DATOS!I:I,B49,DATOS!K:K,8)</f>
        <v>0</v>
      </c>
      <c r="T49">
        <f>COUNTIFS(DATOS!G:G,CONFIG_METADATA!$B$4,DATOS!I:I,B49,DATOS!K:K,9)</f>
        <v>0</v>
      </c>
      <c r="U49">
        <f>COUNTIFS(DATOS!G:G,CONFIG_METADATA!$B$4,DATOS!I:I,B49,DATOS!K:K,10)</f>
        <v>0</v>
      </c>
    </row>
    <row r="50" spans="1:22">
      <c r="A50" s="3" t="inlineStr">
        <is>
          <t xml:space="preserve">GLOBAL</t>
        </is>
      </c>
      <c r="B50" s="3" cm="1">
        <f t="array" ref="B50">IFERROR(INDEX(_xlfn._xlws.FILTER(CONFIG_ASIGNATURAS!$B$2:$B$61,CONFIG_ASIGNATURAS!$G$2:$G$61="Sí"),46),"")</f>
      </c>
      <c r="C50" s="3">
        <f>IF(B50="","",IFERROR(IF(VLOOKUP(B50,CONFIG_ASIGNATURAS!$B$2:$F$61,5,FALSE())="Sí","Especialidad","Asignatura"),"Asignatura"))</f>
      </c>
      <c r="D50">
        <f>COUNTIFS(DATOS!G:G,CONFIG_METADATA!$B$4,DATOS!I:I,B50)</f>
        <v>0</v>
      </c>
      <c r="E50" s="14" t="str">
        <f>IFERROR(AVERAGEIFS(DATOS!K:K,DATOS!G:G,CONFIG_METADATA!$B$4,DATOS!I:I,B50),"—")</f>
        <v>—</v>
      </c>
      <c r="F50" s="14" t="str" cm="1">
        <f t="array" ref="F50">IFERROR(_xlfn.STDEV.P(IF((nEVAL=CONFIG_METADATA!$B$4)*(nASIG=B50),nNOTA)),"—")</f>
        <v>—</v>
      </c>
      <c r="G50" t="str" cm="1">
        <f t="array" ref="G50">IFERROR(_xlfn.MODE.SNGL(IF((nEVAL=CONFIG_METADATA!$B$4)*(nASIG=B50),nNOTA)),"—")</f>
        <v>—</v>
      </c>
      <c r="H50" s="15" t="str">
        <f>IFERROR(COUNTIFS(DATOS!G:G,CONFIG_METADATA!$B$4,DATOS!I:I,B50,DATOS!L:L,"S")/COUNTIFS(DATOS!G:G,CONFIG_METADATA!$B$4,DATOS!I:I,B50),"—")</f>
        <v>—</v>
      </c>
      <c r="I50" s="15" t="str">
        <f>IFERROR(COUNTIFS(DATOS!G:G,CONFIG_METADATA!$B$4,DATOS!I:I,B50,DATOS!L:L,"N")/COUNTIFS(DATOS!G:G,CONFIG_METADATA!$B$4,DATOS!I:I,B50),"—")</f>
        <v>—</v>
      </c>
      <c r="J50" t="str" cm="1">
        <f t="array" ref="J50">IFERROR(_xlfn.MODE.SNGL(IF((nEVAL=CONFIG_METADATA!$B$4)*(nASIG=B50)*(nAPTO="S"),nNOTA)),"—")</f>
        <v>—</v>
      </c>
      <c r="K50" t="str" cm="1">
        <f t="array" ref="K50">IFERROR(_xlfn.MODE.SNGL(IF((nEVAL=CONFIG_METADATA!$B$4)*(nASIG=B50)*(nAPTO="N"),nNOTA)),"—")</f>
        <v>—</v>
      </c>
      <c r="L50">
        <f>COUNTIFS(DATOS!G:G,CONFIG_METADATA!$B$4,DATOS!I:I,B50,DATOS!K:K,1)</f>
        <v>0</v>
      </c>
      <c r="M50">
        <f>COUNTIFS(DATOS!G:G,CONFIG_METADATA!$B$4,DATOS!I:I,B50,DATOS!K:K,2)</f>
        <v>0</v>
      </c>
      <c r="N50">
        <f>COUNTIFS(DATOS!G:G,CONFIG_METADATA!$B$4,DATOS!I:I,B50,DATOS!K:K,3)</f>
        <v>0</v>
      </c>
      <c r="O50">
        <f>COUNTIFS(DATOS!G:G,CONFIG_METADATA!$B$4,DATOS!I:I,B50,DATOS!K:K,4)</f>
        <v>0</v>
      </c>
      <c r="P50">
        <f>COUNTIFS(DATOS!G:G,CONFIG_METADATA!$B$4,DATOS!I:I,B50,DATOS!K:K,5)</f>
        <v>0</v>
      </c>
      <c r="Q50">
        <f>COUNTIFS(DATOS!G:G,CONFIG_METADATA!$B$4,DATOS!I:I,B50,DATOS!K:K,6)</f>
        <v>0</v>
      </c>
      <c r="R50">
        <f>COUNTIFS(DATOS!G:G,CONFIG_METADATA!$B$4,DATOS!I:I,B50,DATOS!K:K,7)</f>
        <v>0</v>
      </c>
      <c r="S50">
        <f>COUNTIFS(DATOS!G:G,CONFIG_METADATA!$B$4,DATOS!I:I,B50,DATOS!K:K,8)</f>
        <v>0</v>
      </c>
      <c r="T50">
        <f>COUNTIFS(DATOS!G:G,CONFIG_METADATA!$B$4,DATOS!I:I,B50,DATOS!K:K,9)</f>
        <v>0</v>
      </c>
      <c r="U50">
        <f>COUNTIFS(DATOS!G:G,CONFIG_METADATA!$B$4,DATOS!I:I,B50,DATOS!K:K,10)</f>
        <v>0</v>
      </c>
    </row>
    <row r="51" spans="1:22">
      <c r="A51" s="3" t="inlineStr">
        <is>
          <t xml:space="preserve">GLOBAL</t>
        </is>
      </c>
      <c r="B51" s="3" cm="1">
        <f t="array" ref="B51">IFERROR(INDEX(_xlfn._xlws.FILTER(CONFIG_ASIGNATURAS!$B$2:$B$61,CONFIG_ASIGNATURAS!$G$2:$G$61="Sí"),47),"")</f>
      </c>
      <c r="C51" s="3">
        <f>IF(B51="","",IFERROR(IF(VLOOKUP(B51,CONFIG_ASIGNATURAS!$B$2:$F$61,5,FALSE())="Sí","Especialidad","Asignatura"),"Asignatura"))</f>
      </c>
      <c r="D51">
        <f>COUNTIFS(DATOS!G:G,CONFIG_METADATA!$B$4,DATOS!I:I,B51)</f>
        <v>0</v>
      </c>
      <c r="E51" s="14" t="str">
        <f>IFERROR(AVERAGEIFS(DATOS!K:K,DATOS!G:G,CONFIG_METADATA!$B$4,DATOS!I:I,B51),"—")</f>
        <v>—</v>
      </c>
      <c r="F51" s="14" t="str" cm="1">
        <f t="array" ref="F51">IFERROR(_xlfn.STDEV.P(IF((nEVAL=CONFIG_METADATA!$B$4)*(nASIG=B51),nNOTA)),"—")</f>
        <v>—</v>
      </c>
      <c r="G51" t="str" cm="1">
        <f t="array" ref="G51">IFERROR(_xlfn.MODE.SNGL(IF((nEVAL=CONFIG_METADATA!$B$4)*(nASIG=B51),nNOTA)),"—")</f>
        <v>—</v>
      </c>
      <c r="H51" s="15" t="str">
        <f>IFERROR(COUNTIFS(DATOS!G:G,CONFIG_METADATA!$B$4,DATOS!I:I,B51,DATOS!L:L,"S")/COUNTIFS(DATOS!G:G,CONFIG_METADATA!$B$4,DATOS!I:I,B51),"—")</f>
        <v>—</v>
      </c>
      <c r="I51" s="15" t="str">
        <f>IFERROR(COUNTIFS(DATOS!G:G,CONFIG_METADATA!$B$4,DATOS!I:I,B51,DATOS!L:L,"N")/COUNTIFS(DATOS!G:G,CONFIG_METADATA!$B$4,DATOS!I:I,B51),"—")</f>
        <v>—</v>
      </c>
      <c r="J51" t="str" cm="1">
        <f t="array" ref="J51">IFERROR(_xlfn.MODE.SNGL(IF((nEVAL=CONFIG_METADATA!$B$4)*(nASIG=B51)*(nAPTO="S"),nNOTA)),"—")</f>
        <v>—</v>
      </c>
      <c r="K51" t="str" cm="1">
        <f t="array" ref="K51">IFERROR(_xlfn.MODE.SNGL(IF((nEVAL=CONFIG_METADATA!$B$4)*(nASIG=B51)*(nAPTO="N"),nNOTA)),"—")</f>
        <v>—</v>
      </c>
      <c r="L51">
        <f>COUNTIFS(DATOS!G:G,CONFIG_METADATA!$B$4,DATOS!I:I,B51,DATOS!K:K,1)</f>
        <v>0</v>
      </c>
      <c r="M51">
        <f>COUNTIFS(DATOS!G:G,CONFIG_METADATA!$B$4,DATOS!I:I,B51,DATOS!K:K,2)</f>
        <v>0</v>
      </c>
      <c r="N51">
        <f>COUNTIFS(DATOS!G:G,CONFIG_METADATA!$B$4,DATOS!I:I,B51,DATOS!K:K,3)</f>
        <v>0</v>
      </c>
      <c r="O51">
        <f>COUNTIFS(DATOS!G:G,CONFIG_METADATA!$B$4,DATOS!I:I,B51,DATOS!K:K,4)</f>
        <v>0</v>
      </c>
      <c r="P51">
        <f>COUNTIFS(DATOS!G:G,CONFIG_METADATA!$B$4,DATOS!I:I,B51,DATOS!K:K,5)</f>
        <v>0</v>
      </c>
      <c r="Q51">
        <f>COUNTIFS(DATOS!G:G,CONFIG_METADATA!$B$4,DATOS!I:I,B51,DATOS!K:K,6)</f>
        <v>0</v>
      </c>
      <c r="R51">
        <f>COUNTIFS(DATOS!G:G,CONFIG_METADATA!$B$4,DATOS!I:I,B51,DATOS!K:K,7)</f>
        <v>0</v>
      </c>
      <c r="S51">
        <f>COUNTIFS(DATOS!G:G,CONFIG_METADATA!$B$4,DATOS!I:I,B51,DATOS!K:K,8)</f>
        <v>0</v>
      </c>
      <c r="T51">
        <f>COUNTIFS(DATOS!G:G,CONFIG_METADATA!$B$4,DATOS!I:I,B51,DATOS!K:K,9)</f>
        <v>0</v>
      </c>
      <c r="U51">
        <f>COUNTIFS(DATOS!G:G,CONFIG_METADATA!$B$4,DATOS!I:I,B51,DATOS!K:K,10)</f>
        <v>0</v>
      </c>
    </row>
    <row r="52" spans="1:22">
      <c r="A52" s="3" t="inlineStr">
        <is>
          <t xml:space="preserve">GLOBAL</t>
        </is>
      </c>
      <c r="B52" s="3" cm="1">
        <f t="array" ref="B52">IFERROR(INDEX(_xlfn._xlws.FILTER(CONFIG_ASIGNATURAS!$B$2:$B$61,CONFIG_ASIGNATURAS!$G$2:$G$61="Sí"),48),"")</f>
      </c>
      <c r="C52" s="3">
        <f>IF(B52="","",IFERROR(IF(VLOOKUP(B52,CONFIG_ASIGNATURAS!$B$2:$F$61,5,FALSE())="Sí","Especialidad","Asignatura"),"Asignatura"))</f>
      </c>
      <c r="D52">
        <f>COUNTIFS(DATOS!G:G,CONFIG_METADATA!$B$4,DATOS!I:I,B52)</f>
        <v>0</v>
      </c>
      <c r="E52" s="14" t="str">
        <f>IFERROR(AVERAGEIFS(DATOS!K:K,DATOS!G:G,CONFIG_METADATA!$B$4,DATOS!I:I,B52),"—")</f>
        <v>—</v>
      </c>
      <c r="F52" s="14" t="str" cm="1">
        <f t="array" ref="F52">IFERROR(_xlfn.STDEV.P(IF((nEVAL=CONFIG_METADATA!$B$4)*(nASIG=B52),nNOTA)),"—")</f>
        <v>—</v>
      </c>
      <c r="G52" t="str" cm="1">
        <f t="array" ref="G52">IFERROR(_xlfn.MODE.SNGL(IF((nEVAL=CONFIG_METADATA!$B$4)*(nASIG=B52),nNOTA)),"—")</f>
        <v>—</v>
      </c>
      <c r="H52" s="15" t="str">
        <f>IFERROR(COUNTIFS(DATOS!G:G,CONFIG_METADATA!$B$4,DATOS!I:I,B52,DATOS!L:L,"S")/COUNTIFS(DATOS!G:G,CONFIG_METADATA!$B$4,DATOS!I:I,B52),"—")</f>
        <v>—</v>
      </c>
      <c r="I52" s="15" t="str">
        <f>IFERROR(COUNTIFS(DATOS!G:G,CONFIG_METADATA!$B$4,DATOS!I:I,B52,DATOS!L:L,"N")/COUNTIFS(DATOS!G:G,CONFIG_METADATA!$B$4,DATOS!I:I,B52),"—")</f>
        <v>—</v>
      </c>
      <c r="J52" t="str" cm="1">
        <f t="array" ref="J52">IFERROR(_xlfn.MODE.SNGL(IF((nEVAL=CONFIG_METADATA!$B$4)*(nASIG=B52)*(nAPTO="S"),nNOTA)),"—")</f>
        <v>—</v>
      </c>
      <c r="K52" t="str" cm="1">
        <f t="array" ref="K52">IFERROR(_xlfn.MODE.SNGL(IF((nEVAL=CONFIG_METADATA!$B$4)*(nASIG=B52)*(nAPTO="N"),nNOTA)),"—")</f>
        <v>—</v>
      </c>
      <c r="L52">
        <f>COUNTIFS(DATOS!G:G,CONFIG_METADATA!$B$4,DATOS!I:I,B52,DATOS!K:K,1)</f>
        <v>0</v>
      </c>
      <c r="M52">
        <f>COUNTIFS(DATOS!G:G,CONFIG_METADATA!$B$4,DATOS!I:I,B52,DATOS!K:K,2)</f>
        <v>0</v>
      </c>
      <c r="N52">
        <f>COUNTIFS(DATOS!G:G,CONFIG_METADATA!$B$4,DATOS!I:I,B52,DATOS!K:K,3)</f>
        <v>0</v>
      </c>
      <c r="O52">
        <f>COUNTIFS(DATOS!G:G,CONFIG_METADATA!$B$4,DATOS!I:I,B52,DATOS!K:K,4)</f>
        <v>0</v>
      </c>
      <c r="P52">
        <f>COUNTIFS(DATOS!G:G,CONFIG_METADATA!$B$4,DATOS!I:I,B52,DATOS!K:K,5)</f>
        <v>0</v>
      </c>
      <c r="Q52">
        <f>COUNTIFS(DATOS!G:G,CONFIG_METADATA!$B$4,DATOS!I:I,B52,DATOS!K:K,6)</f>
        <v>0</v>
      </c>
      <c r="R52">
        <f>COUNTIFS(DATOS!G:G,CONFIG_METADATA!$B$4,DATOS!I:I,B52,DATOS!K:K,7)</f>
        <v>0</v>
      </c>
      <c r="S52">
        <f>COUNTIFS(DATOS!G:G,CONFIG_METADATA!$B$4,DATOS!I:I,B52,DATOS!K:K,8)</f>
        <v>0</v>
      </c>
      <c r="T52">
        <f>COUNTIFS(DATOS!G:G,CONFIG_METADATA!$B$4,DATOS!I:I,B52,DATOS!K:K,9)</f>
        <v>0</v>
      </c>
      <c r="U52">
        <f>COUNTIFS(DATOS!G:G,CONFIG_METADATA!$B$4,DATOS!I:I,B52,DATOS!K:K,10)</f>
        <v>0</v>
      </c>
    </row>
    <row r="53" spans="1:22">
      <c r="A53" s="3" t="inlineStr">
        <is>
          <t xml:space="preserve">GLOBAL</t>
        </is>
      </c>
      <c r="B53" s="3" cm="1">
        <f t="array" ref="B53">IFERROR(INDEX(_xlfn._xlws.FILTER(CONFIG_ASIGNATURAS!$B$2:$B$61,CONFIG_ASIGNATURAS!$G$2:$G$61="Sí"),49),"")</f>
      </c>
      <c r="C53" s="3">
        <f>IF(B53="","",IFERROR(IF(VLOOKUP(B53,CONFIG_ASIGNATURAS!$B$2:$F$61,5,FALSE())="Sí","Especialidad","Asignatura"),"Asignatura"))</f>
      </c>
      <c r="D53">
        <f>COUNTIFS(DATOS!G:G,CONFIG_METADATA!$B$4,DATOS!I:I,B53)</f>
        <v>0</v>
      </c>
      <c r="E53" s="14" t="str">
        <f>IFERROR(AVERAGEIFS(DATOS!K:K,DATOS!G:G,CONFIG_METADATA!$B$4,DATOS!I:I,B53),"—")</f>
        <v>—</v>
      </c>
      <c r="F53" s="14" t="str" cm="1">
        <f t="array" ref="F53">IFERROR(_xlfn.STDEV.P(IF((nEVAL=CONFIG_METADATA!$B$4)*(nASIG=B53),nNOTA)),"—")</f>
        <v>—</v>
      </c>
      <c r="G53" t="str" cm="1">
        <f t="array" ref="G53">IFERROR(_xlfn.MODE.SNGL(IF((nEVAL=CONFIG_METADATA!$B$4)*(nASIG=B53),nNOTA)),"—")</f>
        <v>—</v>
      </c>
      <c r="H53" s="15" t="str">
        <f>IFERROR(COUNTIFS(DATOS!G:G,CONFIG_METADATA!$B$4,DATOS!I:I,B53,DATOS!L:L,"S")/COUNTIFS(DATOS!G:G,CONFIG_METADATA!$B$4,DATOS!I:I,B53),"—")</f>
        <v>—</v>
      </c>
      <c r="I53" s="15" t="str">
        <f>IFERROR(COUNTIFS(DATOS!G:G,CONFIG_METADATA!$B$4,DATOS!I:I,B53,DATOS!L:L,"N")/COUNTIFS(DATOS!G:G,CONFIG_METADATA!$B$4,DATOS!I:I,B53),"—")</f>
        <v>—</v>
      </c>
      <c r="J53" t="str" cm="1">
        <f t="array" ref="J53">IFERROR(_xlfn.MODE.SNGL(IF((nEVAL=CONFIG_METADATA!$B$4)*(nASIG=B53)*(nAPTO="S"),nNOTA)),"—")</f>
        <v>—</v>
      </c>
      <c r="K53" t="str" cm="1">
        <f t="array" ref="K53">IFERROR(_xlfn.MODE.SNGL(IF((nEVAL=CONFIG_METADATA!$B$4)*(nASIG=B53)*(nAPTO="N"),nNOTA)),"—")</f>
        <v>—</v>
      </c>
      <c r="L53">
        <f>COUNTIFS(DATOS!G:G,CONFIG_METADATA!$B$4,DATOS!I:I,B53,DATOS!K:K,1)</f>
        <v>0</v>
      </c>
      <c r="M53">
        <f>COUNTIFS(DATOS!G:G,CONFIG_METADATA!$B$4,DATOS!I:I,B53,DATOS!K:K,2)</f>
        <v>0</v>
      </c>
      <c r="N53">
        <f>COUNTIFS(DATOS!G:G,CONFIG_METADATA!$B$4,DATOS!I:I,B53,DATOS!K:K,3)</f>
        <v>0</v>
      </c>
      <c r="O53">
        <f>COUNTIFS(DATOS!G:G,CONFIG_METADATA!$B$4,DATOS!I:I,B53,DATOS!K:K,4)</f>
        <v>0</v>
      </c>
      <c r="P53">
        <f>COUNTIFS(DATOS!G:G,CONFIG_METADATA!$B$4,DATOS!I:I,B53,DATOS!K:K,5)</f>
        <v>0</v>
      </c>
      <c r="Q53">
        <f>COUNTIFS(DATOS!G:G,CONFIG_METADATA!$B$4,DATOS!I:I,B53,DATOS!K:K,6)</f>
        <v>0</v>
      </c>
      <c r="R53">
        <f>COUNTIFS(DATOS!G:G,CONFIG_METADATA!$B$4,DATOS!I:I,B53,DATOS!K:K,7)</f>
        <v>0</v>
      </c>
      <c r="S53">
        <f>COUNTIFS(DATOS!G:G,CONFIG_METADATA!$B$4,DATOS!I:I,B53,DATOS!K:K,8)</f>
        <v>0</v>
      </c>
      <c r="T53">
        <f>COUNTIFS(DATOS!G:G,CONFIG_METADATA!$B$4,DATOS!I:I,B53,DATOS!K:K,9)</f>
        <v>0</v>
      </c>
      <c r="U53">
        <f>COUNTIFS(DATOS!G:G,CONFIG_METADATA!$B$4,DATOS!I:I,B53,DATOS!K:K,10)</f>
        <v>0</v>
      </c>
    </row>
    <row r="54" spans="1:22">
      <c r="A54" s="3" t="inlineStr">
        <is>
          <t xml:space="preserve">GLOBAL</t>
        </is>
      </c>
      <c r="B54" s="3" cm="1">
        <f t="array" ref="B54">IFERROR(INDEX(_xlfn._xlws.FILTER(CONFIG_ASIGNATURAS!$B$2:$B$61,CONFIG_ASIGNATURAS!$G$2:$G$61="Sí"),50),"")</f>
      </c>
      <c r="C54" s="3">
        <f>IF(B54="","",IFERROR(IF(VLOOKUP(B54,CONFIG_ASIGNATURAS!$B$2:$F$61,5,FALSE())="Sí","Especialidad","Asignatura"),"Asignatura"))</f>
      </c>
      <c r="D54">
        <f>COUNTIFS(DATOS!G:G,CONFIG_METADATA!$B$4,DATOS!I:I,B54)</f>
        <v>0</v>
      </c>
      <c r="E54" s="14" t="str">
        <f>IFERROR(AVERAGEIFS(DATOS!K:K,DATOS!G:G,CONFIG_METADATA!$B$4,DATOS!I:I,B54),"—")</f>
        <v>—</v>
      </c>
      <c r="F54" s="14" t="str" cm="1">
        <f t="array" ref="F54">IFERROR(_xlfn.STDEV.P(IF((nEVAL=CONFIG_METADATA!$B$4)*(nASIG=B54),nNOTA)),"—")</f>
        <v>—</v>
      </c>
      <c r="G54" t="str" cm="1">
        <f t="array" ref="G54">IFERROR(_xlfn.MODE.SNGL(IF((nEVAL=CONFIG_METADATA!$B$4)*(nASIG=B54),nNOTA)),"—")</f>
        <v>—</v>
      </c>
      <c r="H54" s="15" t="str">
        <f>IFERROR(COUNTIFS(DATOS!G:G,CONFIG_METADATA!$B$4,DATOS!I:I,B54,DATOS!L:L,"S")/COUNTIFS(DATOS!G:G,CONFIG_METADATA!$B$4,DATOS!I:I,B54),"—")</f>
        <v>—</v>
      </c>
      <c r="I54" s="15" t="str">
        <f>IFERROR(COUNTIFS(DATOS!G:G,CONFIG_METADATA!$B$4,DATOS!I:I,B54,DATOS!L:L,"N")/COUNTIFS(DATOS!G:G,CONFIG_METADATA!$B$4,DATOS!I:I,B54),"—")</f>
        <v>—</v>
      </c>
      <c r="J54" t="str" cm="1">
        <f t="array" ref="J54">IFERROR(_xlfn.MODE.SNGL(IF((nEVAL=CONFIG_METADATA!$B$4)*(nASIG=B54)*(nAPTO="S"),nNOTA)),"—")</f>
        <v>—</v>
      </c>
      <c r="K54" t="str" cm="1">
        <f t="array" ref="K54">IFERROR(_xlfn.MODE.SNGL(IF((nEVAL=CONFIG_METADATA!$B$4)*(nASIG=B54)*(nAPTO="N"),nNOTA)),"—")</f>
        <v>—</v>
      </c>
      <c r="L54">
        <f>COUNTIFS(DATOS!G:G,CONFIG_METADATA!$B$4,DATOS!I:I,B54,DATOS!K:K,1)</f>
        <v>0</v>
      </c>
      <c r="M54">
        <f>COUNTIFS(DATOS!G:G,CONFIG_METADATA!$B$4,DATOS!I:I,B54,DATOS!K:K,2)</f>
        <v>0</v>
      </c>
      <c r="N54">
        <f>COUNTIFS(DATOS!G:G,CONFIG_METADATA!$B$4,DATOS!I:I,B54,DATOS!K:K,3)</f>
        <v>0</v>
      </c>
      <c r="O54">
        <f>COUNTIFS(DATOS!G:G,CONFIG_METADATA!$B$4,DATOS!I:I,B54,DATOS!K:K,4)</f>
        <v>0</v>
      </c>
      <c r="P54">
        <f>COUNTIFS(DATOS!G:G,CONFIG_METADATA!$B$4,DATOS!I:I,B54,DATOS!K:K,5)</f>
        <v>0</v>
      </c>
      <c r="Q54">
        <f>COUNTIFS(DATOS!G:G,CONFIG_METADATA!$B$4,DATOS!I:I,B54,DATOS!K:K,6)</f>
        <v>0</v>
      </c>
      <c r="R54">
        <f>COUNTIFS(DATOS!G:G,CONFIG_METADATA!$B$4,DATOS!I:I,B54,DATOS!K:K,7)</f>
        <v>0</v>
      </c>
      <c r="S54">
        <f>COUNTIFS(DATOS!G:G,CONFIG_METADATA!$B$4,DATOS!I:I,B54,DATOS!K:K,8)</f>
        <v>0</v>
      </c>
      <c r="T54">
        <f>COUNTIFS(DATOS!G:G,CONFIG_METADATA!$B$4,DATOS!I:I,B54,DATOS!K:K,9)</f>
        <v>0</v>
      </c>
      <c r="U54">
        <f>COUNTIFS(DATOS!G:G,CONFIG_METADATA!$B$4,DATOS!I:I,B54,DATOS!K:K,10)</f>
        <v>0</v>
      </c>
    </row>
    <row r="55" spans="1:22">
      <c r="A55" s="3" t="inlineStr">
        <is>
          <t xml:space="preserve">GLOBAL</t>
        </is>
      </c>
      <c r="B55" s="3" cm="1">
        <f t="array" ref="B55">IFERROR(INDEX(_xlfn._xlws.FILTER(CONFIG_ASIGNATURAS!$B$2:$B$61,CONFIG_ASIGNATURAS!$G$2:$G$61="Sí"),51),"")</f>
      </c>
      <c r="C55" s="3">
        <f>IF(B55="","",IFERROR(IF(VLOOKUP(B55,CONFIG_ASIGNATURAS!$B$2:$F$61,5,FALSE())="Sí","Especialidad","Asignatura"),"Asignatura"))</f>
      </c>
      <c r="D55">
        <f>COUNTIFS(DATOS!G:G,CONFIG_METADATA!$B$4,DATOS!I:I,B55)</f>
        <v>0</v>
      </c>
      <c r="E55" s="14" t="str">
        <f>IFERROR(AVERAGEIFS(DATOS!K:K,DATOS!G:G,CONFIG_METADATA!$B$4,DATOS!I:I,B55),"—")</f>
        <v>—</v>
      </c>
      <c r="F55" s="14" t="str" cm="1">
        <f t="array" ref="F55">IFERROR(_xlfn.STDEV.P(IF((nEVAL=CONFIG_METADATA!$B$4)*(nASIG=B55),nNOTA)),"—")</f>
        <v>—</v>
      </c>
      <c r="G55" t="str" cm="1">
        <f t="array" ref="G55">IFERROR(_xlfn.MODE.SNGL(IF((nEVAL=CONFIG_METADATA!$B$4)*(nASIG=B55),nNOTA)),"—")</f>
        <v>—</v>
      </c>
      <c r="H55" s="15" t="str">
        <f>IFERROR(COUNTIFS(DATOS!G:G,CONFIG_METADATA!$B$4,DATOS!I:I,B55,DATOS!L:L,"S")/COUNTIFS(DATOS!G:G,CONFIG_METADATA!$B$4,DATOS!I:I,B55),"—")</f>
        <v>—</v>
      </c>
      <c r="I55" s="15" t="str">
        <f>IFERROR(COUNTIFS(DATOS!G:G,CONFIG_METADATA!$B$4,DATOS!I:I,B55,DATOS!L:L,"N")/COUNTIFS(DATOS!G:G,CONFIG_METADATA!$B$4,DATOS!I:I,B55),"—")</f>
        <v>—</v>
      </c>
      <c r="J55" t="str" cm="1">
        <f t="array" ref="J55">IFERROR(_xlfn.MODE.SNGL(IF((nEVAL=CONFIG_METADATA!$B$4)*(nASIG=B55)*(nAPTO="S"),nNOTA)),"—")</f>
        <v>—</v>
      </c>
      <c r="K55" t="str" cm="1">
        <f t="array" ref="K55">IFERROR(_xlfn.MODE.SNGL(IF((nEVAL=CONFIG_METADATA!$B$4)*(nASIG=B55)*(nAPTO="N"),nNOTA)),"—")</f>
        <v>—</v>
      </c>
      <c r="L55">
        <f>COUNTIFS(DATOS!G:G,CONFIG_METADATA!$B$4,DATOS!I:I,B55,DATOS!K:K,1)</f>
        <v>0</v>
      </c>
      <c r="M55">
        <f>COUNTIFS(DATOS!G:G,CONFIG_METADATA!$B$4,DATOS!I:I,B55,DATOS!K:K,2)</f>
        <v>0</v>
      </c>
      <c r="N55">
        <f>COUNTIFS(DATOS!G:G,CONFIG_METADATA!$B$4,DATOS!I:I,B55,DATOS!K:K,3)</f>
        <v>0</v>
      </c>
      <c r="O55">
        <f>COUNTIFS(DATOS!G:G,CONFIG_METADATA!$B$4,DATOS!I:I,B55,DATOS!K:K,4)</f>
        <v>0</v>
      </c>
      <c r="P55">
        <f>COUNTIFS(DATOS!G:G,CONFIG_METADATA!$B$4,DATOS!I:I,B55,DATOS!K:K,5)</f>
        <v>0</v>
      </c>
      <c r="Q55">
        <f>COUNTIFS(DATOS!G:G,CONFIG_METADATA!$B$4,DATOS!I:I,B55,DATOS!K:K,6)</f>
        <v>0</v>
      </c>
      <c r="R55">
        <f>COUNTIFS(DATOS!G:G,CONFIG_METADATA!$B$4,DATOS!I:I,B55,DATOS!K:K,7)</f>
        <v>0</v>
      </c>
      <c r="S55">
        <f>COUNTIFS(DATOS!G:G,CONFIG_METADATA!$B$4,DATOS!I:I,B55,DATOS!K:K,8)</f>
        <v>0</v>
      </c>
      <c r="T55">
        <f>COUNTIFS(DATOS!G:G,CONFIG_METADATA!$B$4,DATOS!I:I,B55,DATOS!K:K,9)</f>
        <v>0</v>
      </c>
      <c r="U55">
        <f>COUNTIFS(DATOS!G:G,CONFIG_METADATA!$B$4,DATOS!I:I,B55,DATOS!K:K,10)</f>
        <v>0</v>
      </c>
    </row>
    <row r="56" spans="1:22">
      <c r="A56" s="3" t="inlineStr">
        <is>
          <t xml:space="preserve">GLOBAL</t>
        </is>
      </c>
      <c r="B56" s="3" cm="1">
        <f t="array" ref="B56">IFERROR(INDEX(_xlfn._xlws.FILTER(CONFIG_ASIGNATURAS!$B$2:$B$61,CONFIG_ASIGNATURAS!$G$2:$G$61="Sí"),52),"")</f>
      </c>
      <c r="C56" s="3">
        <f>IF(B56="","",IFERROR(IF(VLOOKUP(B56,CONFIG_ASIGNATURAS!$B$2:$F$61,5,FALSE())="Sí","Especialidad","Asignatura"),"Asignatura"))</f>
      </c>
      <c r="D56">
        <f>COUNTIFS(DATOS!G:G,CONFIG_METADATA!$B$4,DATOS!I:I,B56)</f>
        <v>0</v>
      </c>
      <c r="E56" s="14" t="str">
        <f>IFERROR(AVERAGEIFS(DATOS!K:K,DATOS!G:G,CONFIG_METADATA!$B$4,DATOS!I:I,B56),"—")</f>
        <v>—</v>
      </c>
      <c r="F56" s="14" t="str" cm="1">
        <f t="array" ref="F56">IFERROR(_xlfn.STDEV.P(IF((nEVAL=CONFIG_METADATA!$B$4)*(nASIG=B56),nNOTA)),"—")</f>
        <v>—</v>
      </c>
      <c r="G56" t="str" cm="1">
        <f t="array" ref="G56">IFERROR(_xlfn.MODE.SNGL(IF((nEVAL=CONFIG_METADATA!$B$4)*(nASIG=B56),nNOTA)),"—")</f>
        <v>—</v>
      </c>
      <c r="H56" s="15" t="str">
        <f>IFERROR(COUNTIFS(DATOS!G:G,CONFIG_METADATA!$B$4,DATOS!I:I,B56,DATOS!L:L,"S")/COUNTIFS(DATOS!G:G,CONFIG_METADATA!$B$4,DATOS!I:I,B56),"—")</f>
        <v>—</v>
      </c>
      <c r="I56" s="15" t="str">
        <f>IFERROR(COUNTIFS(DATOS!G:G,CONFIG_METADATA!$B$4,DATOS!I:I,B56,DATOS!L:L,"N")/COUNTIFS(DATOS!G:G,CONFIG_METADATA!$B$4,DATOS!I:I,B56),"—")</f>
        <v>—</v>
      </c>
      <c r="J56" t="str" cm="1">
        <f t="array" ref="J56">IFERROR(_xlfn.MODE.SNGL(IF((nEVAL=CONFIG_METADATA!$B$4)*(nASIG=B56)*(nAPTO="S"),nNOTA)),"—")</f>
        <v>—</v>
      </c>
      <c r="K56" t="str" cm="1">
        <f t="array" ref="K56">IFERROR(_xlfn.MODE.SNGL(IF((nEVAL=CONFIG_METADATA!$B$4)*(nASIG=B56)*(nAPTO="N"),nNOTA)),"—")</f>
        <v>—</v>
      </c>
      <c r="L56">
        <f>COUNTIFS(DATOS!G:G,CONFIG_METADATA!$B$4,DATOS!I:I,B56,DATOS!K:K,1)</f>
        <v>0</v>
      </c>
      <c r="M56">
        <f>COUNTIFS(DATOS!G:G,CONFIG_METADATA!$B$4,DATOS!I:I,B56,DATOS!K:K,2)</f>
        <v>0</v>
      </c>
      <c r="N56">
        <f>COUNTIFS(DATOS!G:G,CONFIG_METADATA!$B$4,DATOS!I:I,B56,DATOS!K:K,3)</f>
        <v>0</v>
      </c>
      <c r="O56">
        <f>COUNTIFS(DATOS!G:G,CONFIG_METADATA!$B$4,DATOS!I:I,B56,DATOS!K:K,4)</f>
        <v>0</v>
      </c>
      <c r="P56">
        <f>COUNTIFS(DATOS!G:G,CONFIG_METADATA!$B$4,DATOS!I:I,B56,DATOS!K:K,5)</f>
        <v>0</v>
      </c>
      <c r="Q56">
        <f>COUNTIFS(DATOS!G:G,CONFIG_METADATA!$B$4,DATOS!I:I,B56,DATOS!K:K,6)</f>
        <v>0</v>
      </c>
      <c r="R56">
        <f>COUNTIFS(DATOS!G:G,CONFIG_METADATA!$B$4,DATOS!I:I,B56,DATOS!K:K,7)</f>
        <v>0</v>
      </c>
      <c r="S56">
        <f>COUNTIFS(DATOS!G:G,CONFIG_METADATA!$B$4,DATOS!I:I,B56,DATOS!K:K,8)</f>
        <v>0</v>
      </c>
      <c r="T56">
        <f>COUNTIFS(DATOS!G:G,CONFIG_METADATA!$B$4,DATOS!I:I,B56,DATOS!K:K,9)</f>
        <v>0</v>
      </c>
      <c r="U56">
        <f>COUNTIFS(DATOS!G:G,CONFIG_METADATA!$B$4,DATOS!I:I,B56,DATOS!K:K,10)</f>
        <v>0</v>
      </c>
    </row>
    <row r="57" spans="1:22">
      <c r="A57" s="3" t="inlineStr">
        <is>
          <t xml:space="preserve">GLOBAL</t>
        </is>
      </c>
      <c r="B57" s="3" cm="1">
        <f t="array" ref="B57">IFERROR(INDEX(_xlfn._xlws.FILTER(CONFIG_ASIGNATURAS!$B$2:$B$61,CONFIG_ASIGNATURAS!$G$2:$G$61="Sí"),53),"")</f>
      </c>
      <c r="C57" s="3">
        <f>IF(B57="","",IFERROR(IF(VLOOKUP(B57,CONFIG_ASIGNATURAS!$B$2:$F$61,5,FALSE())="Sí","Especialidad","Asignatura"),"Asignatura"))</f>
      </c>
      <c r="D57">
        <f>COUNTIFS(DATOS!G:G,CONFIG_METADATA!$B$4,DATOS!I:I,B57)</f>
        <v>0</v>
      </c>
      <c r="E57" s="14" t="str">
        <f>IFERROR(AVERAGEIFS(DATOS!K:K,DATOS!G:G,CONFIG_METADATA!$B$4,DATOS!I:I,B57),"—")</f>
        <v>—</v>
      </c>
      <c r="F57" s="14" t="str" cm="1">
        <f t="array" ref="F57">IFERROR(_xlfn.STDEV.P(IF((nEVAL=CONFIG_METADATA!$B$4)*(nASIG=B57),nNOTA)),"—")</f>
        <v>—</v>
      </c>
      <c r="G57" t="str" cm="1">
        <f t="array" ref="G57">IFERROR(_xlfn.MODE.SNGL(IF((nEVAL=CONFIG_METADATA!$B$4)*(nASIG=B57),nNOTA)),"—")</f>
        <v>—</v>
      </c>
      <c r="H57" s="15" t="str">
        <f>IFERROR(COUNTIFS(DATOS!G:G,CONFIG_METADATA!$B$4,DATOS!I:I,B57,DATOS!L:L,"S")/COUNTIFS(DATOS!G:G,CONFIG_METADATA!$B$4,DATOS!I:I,B57),"—")</f>
        <v>—</v>
      </c>
      <c r="I57" s="15" t="str">
        <f>IFERROR(COUNTIFS(DATOS!G:G,CONFIG_METADATA!$B$4,DATOS!I:I,B57,DATOS!L:L,"N")/COUNTIFS(DATOS!G:G,CONFIG_METADATA!$B$4,DATOS!I:I,B57),"—")</f>
        <v>—</v>
      </c>
      <c r="J57" t="str" cm="1">
        <f t="array" ref="J57">IFERROR(_xlfn.MODE.SNGL(IF((nEVAL=CONFIG_METADATA!$B$4)*(nASIG=B57)*(nAPTO="S"),nNOTA)),"—")</f>
        <v>—</v>
      </c>
      <c r="K57" t="str" cm="1">
        <f t="array" ref="K57">IFERROR(_xlfn.MODE.SNGL(IF((nEVAL=CONFIG_METADATA!$B$4)*(nASIG=B57)*(nAPTO="N"),nNOTA)),"—")</f>
        <v>—</v>
      </c>
      <c r="L57">
        <f>COUNTIFS(DATOS!G:G,CONFIG_METADATA!$B$4,DATOS!I:I,B57,DATOS!K:K,1)</f>
        <v>0</v>
      </c>
      <c r="M57">
        <f>COUNTIFS(DATOS!G:G,CONFIG_METADATA!$B$4,DATOS!I:I,B57,DATOS!K:K,2)</f>
        <v>0</v>
      </c>
      <c r="N57">
        <f>COUNTIFS(DATOS!G:G,CONFIG_METADATA!$B$4,DATOS!I:I,B57,DATOS!K:K,3)</f>
        <v>0</v>
      </c>
      <c r="O57">
        <f>COUNTIFS(DATOS!G:G,CONFIG_METADATA!$B$4,DATOS!I:I,B57,DATOS!K:K,4)</f>
        <v>0</v>
      </c>
      <c r="P57">
        <f>COUNTIFS(DATOS!G:G,CONFIG_METADATA!$B$4,DATOS!I:I,B57,DATOS!K:K,5)</f>
        <v>0</v>
      </c>
      <c r="Q57">
        <f>COUNTIFS(DATOS!G:G,CONFIG_METADATA!$B$4,DATOS!I:I,B57,DATOS!K:K,6)</f>
        <v>0</v>
      </c>
      <c r="R57">
        <f>COUNTIFS(DATOS!G:G,CONFIG_METADATA!$B$4,DATOS!I:I,B57,DATOS!K:K,7)</f>
        <v>0</v>
      </c>
      <c r="S57">
        <f>COUNTIFS(DATOS!G:G,CONFIG_METADATA!$B$4,DATOS!I:I,B57,DATOS!K:K,8)</f>
        <v>0</v>
      </c>
      <c r="T57">
        <f>COUNTIFS(DATOS!G:G,CONFIG_METADATA!$B$4,DATOS!I:I,B57,DATOS!K:K,9)</f>
        <v>0</v>
      </c>
      <c r="U57">
        <f>COUNTIFS(DATOS!G:G,CONFIG_METADATA!$B$4,DATOS!I:I,B57,DATOS!K:K,10)</f>
        <v>0</v>
      </c>
    </row>
    <row r="58" spans="1:22">
      <c r="A58" s="3" t="inlineStr">
        <is>
          <t xml:space="preserve">GLOBAL</t>
        </is>
      </c>
      <c r="B58" s="3" cm="1">
        <f t="array" ref="B58">IFERROR(INDEX(_xlfn._xlws.FILTER(CONFIG_ASIGNATURAS!$B$2:$B$61,CONFIG_ASIGNATURAS!$G$2:$G$61="Sí"),54),"")</f>
      </c>
      <c r="C58" s="3">
        <f>IF(B58="","",IFERROR(IF(VLOOKUP(B58,CONFIG_ASIGNATURAS!$B$2:$F$61,5,FALSE())="Sí","Especialidad","Asignatura"),"Asignatura"))</f>
      </c>
      <c r="D58">
        <f>COUNTIFS(DATOS!G:G,CONFIG_METADATA!$B$4,DATOS!I:I,B58)</f>
        <v>0</v>
      </c>
      <c r="E58" s="14" t="str">
        <f>IFERROR(AVERAGEIFS(DATOS!K:K,DATOS!G:G,CONFIG_METADATA!$B$4,DATOS!I:I,B58),"—")</f>
        <v>—</v>
      </c>
      <c r="F58" s="14" t="str" cm="1">
        <f t="array" ref="F58">IFERROR(_xlfn.STDEV.P(IF((nEVAL=CONFIG_METADATA!$B$4)*(nASIG=B58),nNOTA)),"—")</f>
        <v>—</v>
      </c>
      <c r="G58" t="str" cm="1">
        <f t="array" ref="G58">IFERROR(_xlfn.MODE.SNGL(IF((nEVAL=CONFIG_METADATA!$B$4)*(nASIG=B58),nNOTA)),"—")</f>
        <v>—</v>
      </c>
      <c r="H58" s="15" t="str">
        <f>IFERROR(COUNTIFS(DATOS!G:G,CONFIG_METADATA!$B$4,DATOS!I:I,B58,DATOS!L:L,"S")/COUNTIFS(DATOS!G:G,CONFIG_METADATA!$B$4,DATOS!I:I,B58),"—")</f>
        <v>—</v>
      </c>
      <c r="I58" s="15" t="str">
        <f>IFERROR(COUNTIFS(DATOS!G:G,CONFIG_METADATA!$B$4,DATOS!I:I,B58,DATOS!L:L,"N")/COUNTIFS(DATOS!G:G,CONFIG_METADATA!$B$4,DATOS!I:I,B58),"—")</f>
        <v>—</v>
      </c>
      <c r="J58" t="str" cm="1">
        <f t="array" ref="J58">IFERROR(_xlfn.MODE.SNGL(IF((nEVAL=CONFIG_METADATA!$B$4)*(nASIG=B58)*(nAPTO="S"),nNOTA)),"—")</f>
        <v>—</v>
      </c>
      <c r="K58" t="str" cm="1">
        <f t="array" ref="K58">IFERROR(_xlfn.MODE.SNGL(IF((nEVAL=CONFIG_METADATA!$B$4)*(nASIG=B58)*(nAPTO="N"),nNOTA)),"—")</f>
        <v>—</v>
      </c>
      <c r="L58">
        <f>COUNTIFS(DATOS!G:G,CONFIG_METADATA!$B$4,DATOS!I:I,B58,DATOS!K:K,1)</f>
        <v>0</v>
      </c>
      <c r="M58">
        <f>COUNTIFS(DATOS!G:G,CONFIG_METADATA!$B$4,DATOS!I:I,B58,DATOS!K:K,2)</f>
        <v>0</v>
      </c>
      <c r="N58">
        <f>COUNTIFS(DATOS!G:G,CONFIG_METADATA!$B$4,DATOS!I:I,B58,DATOS!K:K,3)</f>
        <v>0</v>
      </c>
      <c r="O58">
        <f>COUNTIFS(DATOS!G:G,CONFIG_METADATA!$B$4,DATOS!I:I,B58,DATOS!K:K,4)</f>
        <v>0</v>
      </c>
      <c r="P58">
        <f>COUNTIFS(DATOS!G:G,CONFIG_METADATA!$B$4,DATOS!I:I,B58,DATOS!K:K,5)</f>
        <v>0</v>
      </c>
      <c r="Q58">
        <f>COUNTIFS(DATOS!G:G,CONFIG_METADATA!$B$4,DATOS!I:I,B58,DATOS!K:K,6)</f>
        <v>0</v>
      </c>
      <c r="R58">
        <f>COUNTIFS(DATOS!G:G,CONFIG_METADATA!$B$4,DATOS!I:I,B58,DATOS!K:K,7)</f>
        <v>0</v>
      </c>
      <c r="S58">
        <f>COUNTIFS(DATOS!G:G,CONFIG_METADATA!$B$4,DATOS!I:I,B58,DATOS!K:K,8)</f>
        <v>0</v>
      </c>
      <c r="T58">
        <f>COUNTIFS(DATOS!G:G,CONFIG_METADATA!$B$4,DATOS!I:I,B58,DATOS!K:K,9)</f>
        <v>0</v>
      </c>
      <c r="U58">
        <f>COUNTIFS(DATOS!G:G,CONFIG_METADATA!$B$4,DATOS!I:I,B58,DATOS!K:K,10)</f>
        <v>0</v>
      </c>
    </row>
    <row r="59" spans="1:22">
      <c r="A59" s="3" t="inlineStr">
        <is>
          <t xml:space="preserve">GLOBAL</t>
        </is>
      </c>
      <c r="B59" s="3" cm="1">
        <f t="array" ref="B59">IFERROR(INDEX(_xlfn._xlws.FILTER(CONFIG_ASIGNATURAS!$B$2:$B$61,CONFIG_ASIGNATURAS!$G$2:$G$61="Sí"),55),"")</f>
      </c>
      <c r="C59" s="3">
        <f>IF(B59="","",IFERROR(IF(VLOOKUP(B59,CONFIG_ASIGNATURAS!$B$2:$F$61,5,FALSE())="Sí","Especialidad","Asignatura"),"Asignatura"))</f>
      </c>
      <c r="D59">
        <f>COUNTIFS(DATOS!G:G,CONFIG_METADATA!$B$4,DATOS!I:I,B59)</f>
        <v>0</v>
      </c>
      <c r="E59" s="14" t="str">
        <f>IFERROR(AVERAGEIFS(DATOS!K:K,DATOS!G:G,CONFIG_METADATA!$B$4,DATOS!I:I,B59),"—")</f>
        <v>—</v>
      </c>
      <c r="F59" s="14" t="str" cm="1">
        <f t="array" ref="F59">IFERROR(_xlfn.STDEV.P(IF((nEVAL=CONFIG_METADATA!$B$4)*(nASIG=B59),nNOTA)),"—")</f>
        <v>—</v>
      </c>
      <c r="G59" t="str" cm="1">
        <f t="array" ref="G59">IFERROR(_xlfn.MODE.SNGL(IF((nEVAL=CONFIG_METADATA!$B$4)*(nASIG=B59),nNOTA)),"—")</f>
        <v>—</v>
      </c>
      <c r="H59" s="15" t="str">
        <f>IFERROR(COUNTIFS(DATOS!G:G,CONFIG_METADATA!$B$4,DATOS!I:I,B59,DATOS!L:L,"S")/COUNTIFS(DATOS!G:G,CONFIG_METADATA!$B$4,DATOS!I:I,B59),"—")</f>
        <v>—</v>
      </c>
      <c r="I59" s="15" t="str">
        <f>IFERROR(COUNTIFS(DATOS!G:G,CONFIG_METADATA!$B$4,DATOS!I:I,B59,DATOS!L:L,"N")/COUNTIFS(DATOS!G:G,CONFIG_METADATA!$B$4,DATOS!I:I,B59),"—")</f>
        <v>—</v>
      </c>
      <c r="J59" t="str" cm="1">
        <f t="array" ref="J59">IFERROR(_xlfn.MODE.SNGL(IF((nEVAL=CONFIG_METADATA!$B$4)*(nASIG=B59)*(nAPTO="S"),nNOTA)),"—")</f>
        <v>—</v>
      </c>
      <c r="K59" t="str" cm="1">
        <f t="array" ref="K59">IFERROR(_xlfn.MODE.SNGL(IF((nEVAL=CONFIG_METADATA!$B$4)*(nASIG=B59)*(nAPTO="N"),nNOTA)),"—")</f>
        <v>—</v>
      </c>
      <c r="L59">
        <f>COUNTIFS(DATOS!G:G,CONFIG_METADATA!$B$4,DATOS!I:I,B59,DATOS!K:K,1)</f>
        <v>0</v>
      </c>
      <c r="M59">
        <f>COUNTIFS(DATOS!G:G,CONFIG_METADATA!$B$4,DATOS!I:I,B59,DATOS!K:K,2)</f>
        <v>0</v>
      </c>
      <c r="N59">
        <f>COUNTIFS(DATOS!G:G,CONFIG_METADATA!$B$4,DATOS!I:I,B59,DATOS!K:K,3)</f>
        <v>0</v>
      </c>
      <c r="O59">
        <f>COUNTIFS(DATOS!G:G,CONFIG_METADATA!$B$4,DATOS!I:I,B59,DATOS!K:K,4)</f>
        <v>0</v>
      </c>
      <c r="P59">
        <f>COUNTIFS(DATOS!G:G,CONFIG_METADATA!$B$4,DATOS!I:I,B59,DATOS!K:K,5)</f>
        <v>0</v>
      </c>
      <c r="Q59">
        <f>COUNTIFS(DATOS!G:G,CONFIG_METADATA!$B$4,DATOS!I:I,B59,DATOS!K:K,6)</f>
        <v>0</v>
      </c>
      <c r="R59">
        <f>COUNTIFS(DATOS!G:G,CONFIG_METADATA!$B$4,DATOS!I:I,B59,DATOS!K:K,7)</f>
        <v>0</v>
      </c>
      <c r="S59">
        <f>COUNTIFS(DATOS!G:G,CONFIG_METADATA!$B$4,DATOS!I:I,B59,DATOS!K:K,8)</f>
        <v>0</v>
      </c>
      <c r="T59">
        <f>COUNTIFS(DATOS!G:G,CONFIG_METADATA!$B$4,DATOS!I:I,B59,DATOS!K:K,9)</f>
        <v>0</v>
      </c>
      <c r="U59">
        <f>COUNTIFS(DATOS!G:G,CONFIG_METADATA!$B$4,DATOS!I:I,B59,DATOS!K:K,10)</f>
        <v>0</v>
      </c>
    </row>
    <row r="60" spans="1:22">
      <c r="A60" s="3" t="inlineStr">
        <is>
          <t xml:space="preserve">GLOBAL</t>
        </is>
      </c>
      <c r="B60" s="3" cm="1">
        <f t="array" ref="B60">IFERROR(INDEX(_xlfn._xlws.FILTER(CONFIG_ASIGNATURAS!$B$2:$B$61,CONFIG_ASIGNATURAS!$G$2:$G$61="Sí"),56),"")</f>
      </c>
      <c r="C60" s="3">
        <f>IF(B60="","",IFERROR(IF(VLOOKUP(B60,CONFIG_ASIGNATURAS!$B$2:$F$61,5,FALSE())="Sí","Especialidad","Asignatura"),"Asignatura"))</f>
      </c>
      <c r="D60">
        <f>COUNTIFS(DATOS!G:G,CONFIG_METADATA!$B$4,DATOS!I:I,B60)</f>
        <v>0</v>
      </c>
      <c r="E60" s="14" t="str">
        <f>IFERROR(AVERAGEIFS(DATOS!K:K,DATOS!G:G,CONFIG_METADATA!$B$4,DATOS!I:I,B60),"—")</f>
        <v>—</v>
      </c>
      <c r="F60" s="14" t="str" cm="1">
        <f t="array" ref="F60">IFERROR(_xlfn.STDEV.P(IF((nEVAL=CONFIG_METADATA!$B$4)*(nASIG=B60),nNOTA)),"—")</f>
        <v>—</v>
      </c>
      <c r="G60" t="str" cm="1">
        <f t="array" ref="G60">IFERROR(_xlfn.MODE.SNGL(IF((nEVAL=CONFIG_METADATA!$B$4)*(nASIG=B60),nNOTA)),"—")</f>
        <v>—</v>
      </c>
      <c r="H60" s="15" t="str">
        <f>IFERROR(COUNTIFS(DATOS!G:G,CONFIG_METADATA!$B$4,DATOS!I:I,B60,DATOS!L:L,"S")/COUNTIFS(DATOS!G:G,CONFIG_METADATA!$B$4,DATOS!I:I,B60),"—")</f>
        <v>—</v>
      </c>
      <c r="I60" s="15" t="str">
        <f>IFERROR(COUNTIFS(DATOS!G:G,CONFIG_METADATA!$B$4,DATOS!I:I,B60,DATOS!L:L,"N")/COUNTIFS(DATOS!G:G,CONFIG_METADATA!$B$4,DATOS!I:I,B60),"—")</f>
        <v>—</v>
      </c>
      <c r="J60" t="str" cm="1">
        <f t="array" ref="J60">IFERROR(_xlfn.MODE.SNGL(IF((nEVAL=CONFIG_METADATA!$B$4)*(nASIG=B60)*(nAPTO="S"),nNOTA)),"—")</f>
        <v>—</v>
      </c>
      <c r="K60" t="str" cm="1">
        <f t="array" ref="K60">IFERROR(_xlfn.MODE.SNGL(IF((nEVAL=CONFIG_METADATA!$B$4)*(nASIG=B60)*(nAPTO="N"),nNOTA)),"—")</f>
        <v>—</v>
      </c>
      <c r="L60">
        <f>COUNTIFS(DATOS!G:G,CONFIG_METADATA!$B$4,DATOS!I:I,B60,DATOS!K:K,1)</f>
        <v>0</v>
      </c>
      <c r="M60">
        <f>COUNTIFS(DATOS!G:G,CONFIG_METADATA!$B$4,DATOS!I:I,B60,DATOS!K:K,2)</f>
        <v>0</v>
      </c>
      <c r="N60">
        <f>COUNTIFS(DATOS!G:G,CONFIG_METADATA!$B$4,DATOS!I:I,B60,DATOS!K:K,3)</f>
        <v>0</v>
      </c>
      <c r="O60">
        <f>COUNTIFS(DATOS!G:G,CONFIG_METADATA!$B$4,DATOS!I:I,B60,DATOS!K:K,4)</f>
        <v>0</v>
      </c>
      <c r="P60">
        <f>COUNTIFS(DATOS!G:G,CONFIG_METADATA!$B$4,DATOS!I:I,B60,DATOS!K:K,5)</f>
        <v>0</v>
      </c>
      <c r="Q60">
        <f>COUNTIFS(DATOS!G:G,CONFIG_METADATA!$B$4,DATOS!I:I,B60,DATOS!K:K,6)</f>
        <v>0</v>
      </c>
      <c r="R60">
        <f>COUNTIFS(DATOS!G:G,CONFIG_METADATA!$B$4,DATOS!I:I,B60,DATOS!K:K,7)</f>
        <v>0</v>
      </c>
      <c r="S60">
        <f>COUNTIFS(DATOS!G:G,CONFIG_METADATA!$B$4,DATOS!I:I,B60,DATOS!K:K,8)</f>
        <v>0</v>
      </c>
      <c r="T60">
        <f>COUNTIFS(DATOS!G:G,CONFIG_METADATA!$B$4,DATOS!I:I,B60,DATOS!K:K,9)</f>
        <v>0</v>
      </c>
      <c r="U60">
        <f>COUNTIFS(DATOS!G:G,CONFIG_METADATA!$B$4,DATOS!I:I,B60,DATOS!K:K,10)</f>
        <v>0</v>
      </c>
    </row>
    <row r="61" spans="1:22">
      <c r="A61" s="3" t="inlineStr">
        <is>
          <t xml:space="preserve">GLOBAL</t>
        </is>
      </c>
      <c r="B61" s="3" cm="1">
        <f t="array" ref="B61">IFERROR(INDEX(_xlfn._xlws.FILTER(CONFIG_ASIGNATURAS!$B$2:$B$61,CONFIG_ASIGNATURAS!$G$2:$G$61="Sí"),57),"")</f>
      </c>
      <c r="C61" s="3">
        <f>IF(B61="","",IFERROR(IF(VLOOKUP(B61,CONFIG_ASIGNATURAS!$B$2:$F$61,5,FALSE())="Sí","Especialidad","Asignatura"),"Asignatura"))</f>
      </c>
      <c r="D61">
        <f>COUNTIFS(DATOS!G:G,CONFIG_METADATA!$B$4,DATOS!I:I,B61)</f>
        <v>0</v>
      </c>
      <c r="E61" s="14" t="str">
        <f>IFERROR(AVERAGEIFS(DATOS!K:K,DATOS!G:G,CONFIG_METADATA!$B$4,DATOS!I:I,B61),"—")</f>
        <v>—</v>
      </c>
      <c r="F61" s="14" t="str" cm="1">
        <f t="array" ref="F61">IFERROR(_xlfn.STDEV.P(IF((nEVAL=CONFIG_METADATA!$B$4)*(nASIG=B61),nNOTA)),"—")</f>
        <v>—</v>
      </c>
      <c r="G61" t="str" cm="1">
        <f t="array" ref="G61">IFERROR(_xlfn.MODE.SNGL(IF((nEVAL=CONFIG_METADATA!$B$4)*(nASIG=B61),nNOTA)),"—")</f>
        <v>—</v>
      </c>
      <c r="H61" s="15" t="str">
        <f>IFERROR(COUNTIFS(DATOS!G:G,CONFIG_METADATA!$B$4,DATOS!I:I,B61,DATOS!L:L,"S")/COUNTIFS(DATOS!G:G,CONFIG_METADATA!$B$4,DATOS!I:I,B61),"—")</f>
        <v>—</v>
      </c>
      <c r="I61" s="15" t="str">
        <f>IFERROR(COUNTIFS(DATOS!G:G,CONFIG_METADATA!$B$4,DATOS!I:I,B61,DATOS!L:L,"N")/COUNTIFS(DATOS!G:G,CONFIG_METADATA!$B$4,DATOS!I:I,B61),"—")</f>
        <v>—</v>
      </c>
      <c r="J61" t="str" cm="1">
        <f t="array" ref="J61">IFERROR(_xlfn.MODE.SNGL(IF((nEVAL=CONFIG_METADATA!$B$4)*(nASIG=B61)*(nAPTO="S"),nNOTA)),"—")</f>
        <v>—</v>
      </c>
      <c r="K61" t="str" cm="1">
        <f t="array" ref="K61">IFERROR(_xlfn.MODE.SNGL(IF((nEVAL=CONFIG_METADATA!$B$4)*(nASIG=B61)*(nAPTO="N"),nNOTA)),"—")</f>
        <v>—</v>
      </c>
      <c r="L61">
        <f>COUNTIFS(DATOS!G:G,CONFIG_METADATA!$B$4,DATOS!I:I,B61,DATOS!K:K,1)</f>
        <v>0</v>
      </c>
      <c r="M61">
        <f>COUNTIFS(DATOS!G:G,CONFIG_METADATA!$B$4,DATOS!I:I,B61,DATOS!K:K,2)</f>
        <v>0</v>
      </c>
      <c r="N61">
        <f>COUNTIFS(DATOS!G:G,CONFIG_METADATA!$B$4,DATOS!I:I,B61,DATOS!K:K,3)</f>
        <v>0</v>
      </c>
      <c r="O61">
        <f>COUNTIFS(DATOS!G:G,CONFIG_METADATA!$B$4,DATOS!I:I,B61,DATOS!K:K,4)</f>
        <v>0</v>
      </c>
      <c r="P61">
        <f>COUNTIFS(DATOS!G:G,CONFIG_METADATA!$B$4,DATOS!I:I,B61,DATOS!K:K,5)</f>
        <v>0</v>
      </c>
      <c r="Q61">
        <f>COUNTIFS(DATOS!G:G,CONFIG_METADATA!$B$4,DATOS!I:I,B61,DATOS!K:K,6)</f>
        <v>0</v>
      </c>
      <c r="R61">
        <f>COUNTIFS(DATOS!G:G,CONFIG_METADATA!$B$4,DATOS!I:I,B61,DATOS!K:K,7)</f>
        <v>0</v>
      </c>
      <c r="S61">
        <f>COUNTIFS(DATOS!G:G,CONFIG_METADATA!$B$4,DATOS!I:I,B61,DATOS!K:K,8)</f>
        <v>0</v>
      </c>
      <c r="T61">
        <f>COUNTIFS(DATOS!G:G,CONFIG_METADATA!$B$4,DATOS!I:I,B61,DATOS!K:K,9)</f>
        <v>0</v>
      </c>
      <c r="U61">
        <f>COUNTIFS(DATOS!G:G,CONFIG_METADATA!$B$4,DATOS!I:I,B61,DATOS!K:K,10)</f>
        <v>0</v>
      </c>
    </row>
    <row r="62" spans="1:22">
      <c r="A62" s="3" t="inlineStr">
        <is>
          <t xml:space="preserve">GLOBAL</t>
        </is>
      </c>
      <c r="B62" s="3" cm="1">
        <f t="array" ref="B62">IFERROR(INDEX(_xlfn._xlws.FILTER(CONFIG_ASIGNATURAS!$B$2:$B$61,CONFIG_ASIGNATURAS!$G$2:$G$61="Sí"),58),"")</f>
      </c>
      <c r="C62" s="3">
        <f>IF(B62="","",IFERROR(IF(VLOOKUP(B62,CONFIG_ASIGNATURAS!$B$2:$F$61,5,FALSE())="Sí","Especialidad","Asignatura"),"Asignatura"))</f>
      </c>
      <c r="D62">
        <f>COUNTIFS(DATOS!G:G,CONFIG_METADATA!$B$4,DATOS!I:I,B62)</f>
        <v>0</v>
      </c>
      <c r="E62" s="14" t="str">
        <f>IFERROR(AVERAGEIFS(DATOS!K:K,DATOS!G:G,CONFIG_METADATA!$B$4,DATOS!I:I,B62),"—")</f>
        <v>—</v>
      </c>
      <c r="F62" s="14" t="str" cm="1">
        <f t="array" ref="F62">IFERROR(_xlfn.STDEV.P(IF((nEVAL=CONFIG_METADATA!$B$4)*(nASIG=B62),nNOTA)),"—")</f>
        <v>—</v>
      </c>
      <c r="G62" t="str" cm="1">
        <f t="array" ref="G62">IFERROR(_xlfn.MODE.SNGL(IF((nEVAL=CONFIG_METADATA!$B$4)*(nASIG=B62),nNOTA)),"—")</f>
        <v>—</v>
      </c>
      <c r="H62" s="15" t="str">
        <f>IFERROR(COUNTIFS(DATOS!G:G,CONFIG_METADATA!$B$4,DATOS!I:I,B62,DATOS!L:L,"S")/COUNTIFS(DATOS!G:G,CONFIG_METADATA!$B$4,DATOS!I:I,B62),"—")</f>
        <v>—</v>
      </c>
      <c r="I62" s="15" t="str">
        <f>IFERROR(COUNTIFS(DATOS!G:G,CONFIG_METADATA!$B$4,DATOS!I:I,B62,DATOS!L:L,"N")/COUNTIFS(DATOS!G:G,CONFIG_METADATA!$B$4,DATOS!I:I,B62),"—")</f>
        <v>—</v>
      </c>
      <c r="J62" t="str" cm="1">
        <f t="array" ref="J62">IFERROR(_xlfn.MODE.SNGL(IF((nEVAL=CONFIG_METADATA!$B$4)*(nASIG=B62)*(nAPTO="S"),nNOTA)),"—")</f>
        <v>—</v>
      </c>
      <c r="K62" t="str" cm="1">
        <f t="array" ref="K62">IFERROR(_xlfn.MODE.SNGL(IF((nEVAL=CONFIG_METADATA!$B$4)*(nASIG=B62)*(nAPTO="N"),nNOTA)),"—")</f>
        <v>—</v>
      </c>
      <c r="L62">
        <f>COUNTIFS(DATOS!G:G,CONFIG_METADATA!$B$4,DATOS!I:I,B62,DATOS!K:K,1)</f>
        <v>0</v>
      </c>
      <c r="M62">
        <f>COUNTIFS(DATOS!G:G,CONFIG_METADATA!$B$4,DATOS!I:I,B62,DATOS!K:K,2)</f>
        <v>0</v>
      </c>
      <c r="N62">
        <f>COUNTIFS(DATOS!G:G,CONFIG_METADATA!$B$4,DATOS!I:I,B62,DATOS!K:K,3)</f>
        <v>0</v>
      </c>
      <c r="O62">
        <f>COUNTIFS(DATOS!G:G,CONFIG_METADATA!$B$4,DATOS!I:I,B62,DATOS!K:K,4)</f>
        <v>0</v>
      </c>
      <c r="P62">
        <f>COUNTIFS(DATOS!G:G,CONFIG_METADATA!$B$4,DATOS!I:I,B62,DATOS!K:K,5)</f>
        <v>0</v>
      </c>
      <c r="Q62">
        <f>COUNTIFS(DATOS!G:G,CONFIG_METADATA!$B$4,DATOS!I:I,B62,DATOS!K:K,6)</f>
        <v>0</v>
      </c>
      <c r="R62">
        <f>COUNTIFS(DATOS!G:G,CONFIG_METADATA!$B$4,DATOS!I:I,B62,DATOS!K:K,7)</f>
        <v>0</v>
      </c>
      <c r="S62">
        <f>COUNTIFS(DATOS!G:G,CONFIG_METADATA!$B$4,DATOS!I:I,B62,DATOS!K:K,8)</f>
        <v>0</v>
      </c>
      <c r="T62">
        <f>COUNTIFS(DATOS!G:G,CONFIG_METADATA!$B$4,DATOS!I:I,B62,DATOS!K:K,9)</f>
        <v>0</v>
      </c>
      <c r="U62">
        <f>COUNTIFS(DATOS!G:G,CONFIG_METADATA!$B$4,DATOS!I:I,B62,DATOS!K:K,10)</f>
        <v>0</v>
      </c>
    </row>
    <row r="63" spans="1:22">
      <c r="A63" s="3" t="inlineStr">
        <is>
          <t xml:space="preserve">GLOBAL</t>
        </is>
      </c>
      <c r="B63" s="3" cm="1">
        <f t="array" ref="B63">IFERROR(INDEX(_xlfn._xlws.FILTER(CONFIG_ASIGNATURAS!$B$2:$B$61,CONFIG_ASIGNATURAS!$G$2:$G$61="Sí"),59),"")</f>
      </c>
      <c r="C63" s="3">
        <f>IF(B63="","",IFERROR(IF(VLOOKUP(B63,CONFIG_ASIGNATURAS!$B$2:$F$61,5,FALSE())="Sí","Especialidad","Asignatura"),"Asignatura"))</f>
      </c>
      <c r="D63">
        <f>COUNTIFS(DATOS!G:G,CONFIG_METADATA!$B$4,DATOS!I:I,B63)</f>
        <v>0</v>
      </c>
      <c r="E63" s="14" t="str">
        <f>IFERROR(AVERAGEIFS(DATOS!K:K,DATOS!G:G,CONFIG_METADATA!$B$4,DATOS!I:I,B63),"—")</f>
        <v>—</v>
      </c>
      <c r="F63" s="14" t="str" cm="1">
        <f t="array" ref="F63">IFERROR(_xlfn.STDEV.P(IF((nEVAL=CONFIG_METADATA!$B$4)*(nASIG=B63),nNOTA)),"—")</f>
        <v>—</v>
      </c>
      <c r="G63" t="str" cm="1">
        <f t="array" ref="G63">IFERROR(_xlfn.MODE.SNGL(IF((nEVAL=CONFIG_METADATA!$B$4)*(nASIG=B63),nNOTA)),"—")</f>
        <v>—</v>
      </c>
      <c r="H63" s="15" t="str">
        <f>IFERROR(COUNTIFS(DATOS!G:G,CONFIG_METADATA!$B$4,DATOS!I:I,B63,DATOS!L:L,"S")/COUNTIFS(DATOS!G:G,CONFIG_METADATA!$B$4,DATOS!I:I,B63),"—")</f>
        <v>—</v>
      </c>
      <c r="I63" s="15" t="str">
        <f>IFERROR(COUNTIFS(DATOS!G:G,CONFIG_METADATA!$B$4,DATOS!I:I,B63,DATOS!L:L,"N")/COUNTIFS(DATOS!G:G,CONFIG_METADATA!$B$4,DATOS!I:I,B63),"—")</f>
        <v>—</v>
      </c>
      <c r="J63" t="str" cm="1">
        <f t="array" ref="J63">IFERROR(_xlfn.MODE.SNGL(IF((nEVAL=CONFIG_METADATA!$B$4)*(nASIG=B63)*(nAPTO="S"),nNOTA)),"—")</f>
        <v>—</v>
      </c>
      <c r="K63" t="str" cm="1">
        <f t="array" ref="K63">IFERROR(_xlfn.MODE.SNGL(IF((nEVAL=CONFIG_METADATA!$B$4)*(nASIG=B63)*(nAPTO="N"),nNOTA)),"—")</f>
        <v>—</v>
      </c>
      <c r="L63">
        <f>COUNTIFS(DATOS!G:G,CONFIG_METADATA!$B$4,DATOS!I:I,B63,DATOS!K:K,1)</f>
        <v>0</v>
      </c>
      <c r="M63">
        <f>COUNTIFS(DATOS!G:G,CONFIG_METADATA!$B$4,DATOS!I:I,B63,DATOS!K:K,2)</f>
        <v>0</v>
      </c>
      <c r="N63">
        <f>COUNTIFS(DATOS!G:G,CONFIG_METADATA!$B$4,DATOS!I:I,B63,DATOS!K:K,3)</f>
        <v>0</v>
      </c>
      <c r="O63">
        <f>COUNTIFS(DATOS!G:G,CONFIG_METADATA!$B$4,DATOS!I:I,B63,DATOS!K:K,4)</f>
        <v>0</v>
      </c>
      <c r="P63">
        <f>COUNTIFS(DATOS!G:G,CONFIG_METADATA!$B$4,DATOS!I:I,B63,DATOS!K:K,5)</f>
        <v>0</v>
      </c>
      <c r="Q63">
        <f>COUNTIFS(DATOS!G:G,CONFIG_METADATA!$B$4,DATOS!I:I,B63,DATOS!K:K,6)</f>
        <v>0</v>
      </c>
      <c r="R63">
        <f>COUNTIFS(DATOS!G:G,CONFIG_METADATA!$B$4,DATOS!I:I,B63,DATOS!K:K,7)</f>
        <v>0</v>
      </c>
      <c r="S63">
        <f>COUNTIFS(DATOS!G:G,CONFIG_METADATA!$B$4,DATOS!I:I,B63,DATOS!K:K,8)</f>
        <v>0</v>
      </c>
      <c r="T63">
        <f>COUNTIFS(DATOS!G:G,CONFIG_METADATA!$B$4,DATOS!I:I,B63,DATOS!K:K,9)</f>
        <v>0</v>
      </c>
      <c r="U63">
        <f>COUNTIFS(DATOS!G:G,CONFIG_METADATA!$B$4,DATOS!I:I,B63,DATOS!K:K,10)</f>
        <v>0</v>
      </c>
    </row>
    <row r="64" spans="1:22">
      <c r="A64" s="3" t="inlineStr">
        <is>
          <t xml:space="preserve">GLOBAL</t>
        </is>
      </c>
      <c r="B64" s="3" cm="1">
        <f t="array" ref="B64">IFERROR(INDEX(_xlfn._xlws.FILTER(CONFIG_ASIGNATURAS!$B$2:$B$61,CONFIG_ASIGNATURAS!$G$2:$G$61="Sí"),60),"")</f>
      </c>
      <c r="C64" s="3">
        <f>IF(B64="","",IFERROR(IF(VLOOKUP(B64,CONFIG_ASIGNATURAS!$B$2:$F$61,5,FALSE())="Sí","Especialidad","Asignatura"),"Asignatura"))</f>
      </c>
      <c r="D64">
        <f>COUNTIFS(DATOS!G:G,CONFIG_METADATA!$B$4,DATOS!I:I,B64)</f>
        <v>0</v>
      </c>
      <c r="E64" s="14" t="str">
        <f>IFERROR(AVERAGEIFS(DATOS!K:K,DATOS!G:G,CONFIG_METADATA!$B$4,DATOS!I:I,B64),"—")</f>
        <v>—</v>
      </c>
      <c r="F64" s="14" t="str" cm="1">
        <f t="array" ref="F64">IFERROR(_xlfn.STDEV.P(IF((nEVAL=CONFIG_METADATA!$B$4)*(nASIG=B64),nNOTA)),"—")</f>
        <v>—</v>
      </c>
      <c r="G64" t="str" cm="1">
        <f t="array" ref="G64">IFERROR(_xlfn.MODE.SNGL(IF((nEVAL=CONFIG_METADATA!$B$4)*(nASIG=B64),nNOTA)),"—")</f>
        <v>—</v>
      </c>
      <c r="H64" s="15" t="str">
        <f>IFERROR(COUNTIFS(DATOS!G:G,CONFIG_METADATA!$B$4,DATOS!I:I,B64,DATOS!L:L,"S")/COUNTIFS(DATOS!G:G,CONFIG_METADATA!$B$4,DATOS!I:I,B64),"—")</f>
        <v>—</v>
      </c>
      <c r="I64" s="15" t="str">
        <f>IFERROR(COUNTIFS(DATOS!G:G,CONFIG_METADATA!$B$4,DATOS!I:I,B64,DATOS!L:L,"N")/COUNTIFS(DATOS!G:G,CONFIG_METADATA!$B$4,DATOS!I:I,B64),"—")</f>
        <v>—</v>
      </c>
      <c r="J64" t="str" cm="1">
        <f t="array" ref="J64">IFERROR(_xlfn.MODE.SNGL(IF((nEVAL=CONFIG_METADATA!$B$4)*(nASIG=B64)*(nAPTO="S"),nNOTA)),"—")</f>
        <v>—</v>
      </c>
      <c r="K64" t="str" cm="1">
        <f t="array" ref="K64">IFERROR(_xlfn.MODE.SNGL(IF((nEVAL=CONFIG_METADATA!$B$4)*(nASIG=B64)*(nAPTO="N"),nNOTA)),"—")</f>
        <v>—</v>
      </c>
      <c r="L64">
        <f>COUNTIFS(DATOS!G:G,CONFIG_METADATA!$B$4,DATOS!I:I,B64,DATOS!K:K,1)</f>
        <v>0</v>
      </c>
      <c r="M64">
        <f>COUNTIFS(DATOS!G:G,CONFIG_METADATA!$B$4,DATOS!I:I,B64,DATOS!K:K,2)</f>
        <v>0</v>
      </c>
      <c r="N64">
        <f>COUNTIFS(DATOS!G:G,CONFIG_METADATA!$B$4,DATOS!I:I,B64,DATOS!K:K,3)</f>
        <v>0</v>
      </c>
      <c r="O64">
        <f>COUNTIFS(DATOS!G:G,CONFIG_METADATA!$B$4,DATOS!I:I,B64,DATOS!K:K,4)</f>
        <v>0</v>
      </c>
      <c r="P64">
        <f>COUNTIFS(DATOS!G:G,CONFIG_METADATA!$B$4,DATOS!I:I,B64,DATOS!K:K,5)</f>
        <v>0</v>
      </c>
      <c r="Q64">
        <f>COUNTIFS(DATOS!G:G,CONFIG_METADATA!$B$4,DATOS!I:I,B64,DATOS!K:K,6)</f>
        <v>0</v>
      </c>
      <c r="R64">
        <f>COUNTIFS(DATOS!G:G,CONFIG_METADATA!$B$4,DATOS!I:I,B64,DATOS!K:K,7)</f>
        <v>0</v>
      </c>
      <c r="S64">
        <f>COUNTIFS(DATOS!G:G,CONFIG_METADATA!$B$4,DATOS!I:I,B64,DATOS!K:K,8)</f>
        <v>0</v>
      </c>
      <c r="T64">
        <f>COUNTIFS(DATOS!G:G,CONFIG_METADATA!$B$4,DATOS!I:I,B64,DATOS!K:K,9)</f>
        <v>0</v>
      </c>
      <c r="U64">
        <f>COUNTIFS(DATOS!G:G,CONFIG_METADATA!$B$4,DATOS!I:I,B64,DATOS!K:K,10)</f>
        <v>0</v>
      </c>
    </row>
    <row r="65" spans="1:22">
      <c r="A65" s="3" t="inlineStr">
        <is>
          <t xml:space="preserve">1EEM</t>
        </is>
      </c>
      <c r="B65" s="3" t="inlineStr">
        <is>
          <t xml:space="preserve">Total</t>
        </is>
      </c>
      <c r="C65" s="3" t="inlineStr">
        <is>
          <t xml:space="preserve">Total</t>
        </is>
      </c>
      <c r="D65">
        <f>COUNTIFS(DATOS!G:G,CONFIG_METADATA!$B$4,DATOS!D:D,A65)</f>
        <v>0</v>
      </c>
      <c r="E65" s="14" t="str">
        <f>IFERROR(AVERAGEIFS(DATOS!K:K,DATOS!G:G,CONFIG_METADATA!$B$4,DATOS!D:D,A65),"—")</f>
        <v>—</v>
      </c>
      <c r="F65" s="14" t="str" cm="1">
        <f t="array" ref="F65">IFERROR(_xlfn.STDEV.P(IF((nEVAL=CONFIG_METADATA!$B$4)*(nCURSO=A65),nNOTA)),"—")</f>
        <v>—</v>
      </c>
      <c r="G65" t="str" cm="1">
        <f t="array" ref="G65">IFERROR(_xlfn.MODE.SNGL(IF((nEVAL=CONFIG_METADATA!$B$4)*(nCURSO=A65),nNOTA)),"—")</f>
        <v>—</v>
      </c>
      <c r="H65" s="15" t="str">
        <f>IFERROR(COUNTIFS(nEVAL,CONFIG_METADATA!$B$4,nCURSO,A65,nAPTO,"S")/COUNTIFS(nEVAL,CONFIG_METADATA!$B$4,nCURSO,A65),"—")</f>
        <v>—</v>
      </c>
      <c r="I65" s="15" t="str">
        <f>IFERROR(COUNTIFS(nEVAL,CONFIG_METADATA!$B$4,nCURSO,A65,nAPTO,"N")/COUNTIFS(nEVAL,CONFIG_METADATA!$B$4,nCURSO,A65),"—")</f>
        <v>—</v>
      </c>
      <c r="J65" t="str" cm="1">
        <f t="array" ref="J65">IFERROR(_xlfn.MODE.SNGL(IF((nEVAL=CONFIG_METADATA!$B$4)*(nCURSO=A65)*(nAPTO="S"),nNOTA)),"—")</f>
        <v>—</v>
      </c>
      <c r="K65" t="str" cm="1">
        <f t="array" ref="K65">IFERROR(_xlfn.MODE.SNGL(IF((nEVAL=CONFIG_METADATA!$B$4)*(nCURSO=A65)*(nAPTO="N"),nNOTA)),"—")</f>
        <v>—</v>
      </c>
      <c r="L65" cm="1">
        <f t="array" ref="L65">SUMPRODUCT((nEVAL=CONFIG_METADATA!$B$4)*(nCURSO=A65)*(nNOTA=1))</f>
        <v>0</v>
      </c>
      <c r="M65" cm="1">
        <f t="array" ref="M65">SUMPRODUCT((nEVAL=CONFIG_METADATA!$B$4)*(nCURSO=A65)*(nNOTA=2))</f>
        <v>0</v>
      </c>
      <c r="N65" cm="1">
        <f t="array" ref="N65">SUMPRODUCT((nEVAL=CONFIG_METADATA!$B$4)*(nCURSO=A65)*(nNOTA=3))</f>
        <v>0</v>
      </c>
      <c r="O65" cm="1">
        <f t="array" ref="O65">SUMPRODUCT((nEVAL=CONFIG_METADATA!$B$4)*(nCURSO=A65)*(nNOTA=4))</f>
        <v>0</v>
      </c>
      <c r="P65" cm="1">
        <f t="array" ref="P65">SUMPRODUCT((nEVAL=CONFIG_METADATA!$B$4)*(nCURSO=A65)*(nNOTA=5))</f>
        <v>0</v>
      </c>
      <c r="Q65" cm="1">
        <f t="array" ref="Q65">SUMPRODUCT((nEVAL=CONFIG_METADATA!$B$4)*(nCURSO=A65)*(nNOTA=6))</f>
        <v>0</v>
      </c>
      <c r="R65" cm="1">
        <f t="array" ref="R65">SUMPRODUCT((nEVAL=CONFIG_METADATA!$B$4)*(nCURSO=A65)*(nNOTA=7))</f>
        <v>0</v>
      </c>
      <c r="S65" cm="1">
        <f t="array" ref="S65">SUMPRODUCT((nEVAL=CONFIG_METADATA!$B$4)*(nCURSO=A65)*(nNOTA=8))</f>
        <v>0</v>
      </c>
      <c r="T65" cm="1">
        <f t="array" ref="T65">SUMPRODUCT((nEVAL=CONFIG_METADATA!$B$4)*(nCURSO=A65)*(nNOTA=9))</f>
        <v>0</v>
      </c>
      <c r="U65" cm="1">
        <f t="array" ref="U65">SUMPRODUCT((nEVAL=CONFIG_METADATA!$B$4)*(nCURSO=A65)*(nNOTA=10))</f>
        <v>0</v>
      </c>
    </row>
    <row r="66" spans="1:22">
      <c r="A66" s="3" t="inlineStr">
        <is>
          <t xml:space="preserve">1EEM</t>
        </is>
      </c>
      <c r="B66" s="3" t="inlineStr">
        <is>
          <t xml:space="preserve">Total Especialidad</t>
        </is>
      </c>
      <c r="C66" s="3" t="inlineStr">
        <is>
          <t xml:space="preserve">TotalEsp</t>
        </is>
      </c>
      <c r="D66">
        <f>SUMPRODUCT((nEVAL=CONFIG_METADATA!$B$4)*(nCURSO=A66)*(nCLASE_E="E")*1)</f>
      </c>
      <c r="E66" s="14" cm="1">
        <f t="array" ref="E66">IFERROR(AVERAGE(IF((nEVAL=CONFIG_METADATA!$B$4)*(nCURSO=A66)*(nCLASE_E="E"),nNOTA)),"—")</f>
      </c>
      <c r="F66" s="14" cm="1">
        <f t="array" ref="F66">IFERROR(_xlfn.STDEV.P(IF((nEVAL=CONFIG_METADATA!$B$4)*(nCURSO=A66)*(nCLASE_E="E"),nNOTA)),"—")</f>
      </c>
      <c r="G66" cm="1">
        <f t="array" ref="G66">IFERROR(_xlfn.MODE.SNGL(IF((nEVAL=CONFIG_METADATA!$B$4)*(nCURSO=A66)*(nCLASE_E="E"),nNOTA)),"—")</f>
      </c>
      <c r="H66" s="15">
        <f>IFERROR(SUMPRODUCT((nEVAL=CONFIG_METADATA!$B$4)*(nCURSO=A66)*(nCLASE_E="E")*(nAPTO="S"))/SUMPRODUCT((nEVAL=CONFIG_METADATA!$B$4)*(nCURSO=A66)*(nCLASE_E="E")*1),"—")</f>
      </c>
      <c r="I66" s="15">
        <f>IFERROR(SUMPRODUCT((nEVAL=CONFIG_METADATA!$B$4)*(nCURSO=A66)*(nCLASE_E="E")*(nAPTO="N"))/SUMPRODUCT((nEVAL=CONFIG_METADATA!$B$4)*(nCURSO=A66)*(nCLASE_E="E")*1),"—")</f>
      </c>
      <c r="J66" cm="1">
        <f t="array" ref="J66">IFERROR(_xlfn.MODE.SNGL(IF((nEVAL=CONFIG_METADATA!$B$4)*(nCURSO=A66)*(nCLASE_E="E")*(nAPTO="S"),nNOTA)),"—")</f>
      </c>
      <c r="K66" cm="1">
        <f t="array" ref="K66">IFERROR(_xlfn.MODE.SNGL(IF((nEVAL=CONFIG_METADATA!$B$4)*(nCURSO=A66)*(nCLASE_E="E")*(nAPTO="N"),nNOTA)),"—")</f>
      </c>
      <c r="L66">
        <f>SUMPRODUCT((nEVAL=CONFIG_METADATA!$B$4)*(nCURSO=A66)*(nCLASE_E="E")*(nNOTA=1))</f>
      </c>
      <c r="M66">
        <f>SUMPRODUCT((nEVAL=CONFIG_METADATA!$B$4)*(nCURSO=A66)*(nCLASE_E="E")*(nNOTA=2))</f>
      </c>
      <c r="N66">
        <f>SUMPRODUCT((nEVAL=CONFIG_METADATA!$B$4)*(nCURSO=A66)*(nCLASE_E="E")*(nNOTA=3))</f>
      </c>
      <c r="O66">
        <f>SUMPRODUCT((nEVAL=CONFIG_METADATA!$B$4)*(nCURSO=A66)*(nCLASE_E="E")*(nNOTA=4))</f>
      </c>
      <c r="P66">
        <f>SUMPRODUCT((nEVAL=CONFIG_METADATA!$B$4)*(nCURSO=A66)*(nCLASE_E="E")*(nNOTA=5))</f>
      </c>
      <c r="Q66">
        <f>SUMPRODUCT((nEVAL=CONFIG_METADATA!$B$4)*(nCURSO=A66)*(nCLASE_E="E")*(nNOTA=6))</f>
      </c>
      <c r="R66">
        <f>SUMPRODUCT((nEVAL=CONFIG_METADATA!$B$4)*(nCURSO=A66)*(nCLASE_E="E")*(nNOTA=7))</f>
      </c>
      <c r="S66">
        <f>SUMPRODUCT((nEVAL=CONFIG_METADATA!$B$4)*(nCURSO=A66)*(nCLASE_E="E")*(nNOTA=8))</f>
      </c>
      <c r="T66">
        <f>SUMPRODUCT((nEVAL=CONFIG_METADATA!$B$4)*(nCURSO=A66)*(nCLASE_E="E")*(nNOTA=9))</f>
      </c>
      <c r="U66">
        <f>SUMPRODUCT((nEVAL=CONFIG_METADATA!$B$4)*(nCURSO=A66)*(nCLASE_E="E")*(nNOTA=10))</f>
      </c>
    </row>
    <row r="67" spans="1:22">
      <c r="A67" s="3" t="inlineStr">
        <is>
          <t xml:space="preserve">1EEM</t>
        </is>
      </c>
      <c r="B67" s="3" t="inlineStr">
        <is>
          <t xml:space="preserve">Total no Especialidad</t>
        </is>
      </c>
      <c r="C67" s="3" t="inlineStr">
        <is>
          <t xml:space="preserve">TotalNoEsp</t>
        </is>
      </c>
      <c r="D67">
        <f>SUMPRODUCT((nEVAL=CONFIG_METADATA!$B$4)*(nCURSO=A67)*((nCLASE_E&lt;&gt;"")*(nCLASE_E&lt;&gt;"E"))*1)</f>
      </c>
      <c r="E67" s="14" cm="1">
        <f t="array" ref="E67">IFERROR(AVERAGE(IF((nEVAL=CONFIG_METADATA!$B$4)*(nCURSO=A67)*((nCLASE_E&lt;&gt;"")*(nCLASE_E&lt;&gt;"E")),nNOTA)),"—")</f>
      </c>
      <c r="F67" s="14" cm="1">
        <f t="array" ref="F67">IFERROR(_xlfn.STDEV.P(IF((nEVAL=CONFIG_METADATA!$B$4)*(nCURSO=A67)*((nCLASE_E&lt;&gt;"")*(nCLASE_E&lt;&gt;"E")),nNOTA)),"—")</f>
      </c>
      <c r="G67" cm="1">
        <f t="array" ref="G67">IFERROR(_xlfn.MODE.SNGL(IF((nEVAL=CONFIG_METADATA!$B$4)*(nCURSO=A67)*((nCLASE_E&lt;&gt;"")*(nCLASE_E&lt;&gt;"E")),nNOTA)),"—")</f>
      </c>
      <c r="H67" s="15">
        <f>IFERROR(SUMPRODUCT((nEVAL=CONFIG_METADATA!$B$4)*(nCURSO=A67)*((nCLASE_E&lt;&gt;"")*(nCLASE_E&lt;&gt;"E"))*(nAPTO="S"))/SUMPRODUCT((nEVAL=CONFIG_METADATA!$B$4)*(nCURSO=A67)*((nCLASE_E&lt;&gt;"")*(nCLASE_E&lt;&gt;"E"))*1),"—")</f>
      </c>
      <c r="I67" s="15">
        <f>IFERROR(SUMPRODUCT((nEVAL=CONFIG_METADATA!$B$4)*(nCURSO=A67)*((nCLASE_E&lt;&gt;"")*(nCLASE_E&lt;&gt;"E"))*(nAPTO="N"))/SUMPRODUCT((nEVAL=CONFIG_METADATA!$B$4)*(nCURSO=A67)*((nCLASE_E&lt;&gt;"")*(nCLASE_E&lt;&gt;"E"))*1),"—")</f>
      </c>
      <c r="J67" cm="1">
        <f t="array" ref="J67">IFERROR(_xlfn.MODE.SNGL(IF((nEVAL=CONFIG_METADATA!$B$4)*(nCURSO=A67)*((nCLASE_E&lt;&gt;"")*(nCLASE_E&lt;&gt;"E"))*(nAPTO="S"),nNOTA)),"—")</f>
      </c>
      <c r="K67" cm="1">
        <f t="array" ref="K67">IFERROR(_xlfn.MODE.SNGL(IF((nEVAL=CONFIG_METADATA!$B$4)*(nCURSO=A67)*((nCLASE_E&lt;&gt;"")*(nCLASE_E&lt;&gt;"E"))*(nAPTO="N"),nNOTA)),"—")</f>
      </c>
      <c r="L67">
        <f>SUMPRODUCT((nEVAL=CONFIG_METADATA!$B$4)*(nCURSO=A67)*((nCLASE_E&lt;&gt;"")*(nCLASE_E&lt;&gt;"E"))*(nNOTA=1))</f>
      </c>
      <c r="M67">
        <f>SUMPRODUCT((nEVAL=CONFIG_METADATA!$B$4)*(nCURSO=A67)*((nCLASE_E&lt;&gt;"")*(nCLASE_E&lt;&gt;"E"))*(nNOTA=2))</f>
      </c>
      <c r="N67">
        <f>SUMPRODUCT((nEVAL=CONFIG_METADATA!$B$4)*(nCURSO=A67)*((nCLASE_E&lt;&gt;"")*(nCLASE_E&lt;&gt;"E"))*(nNOTA=3))</f>
      </c>
      <c r="O67">
        <f>SUMPRODUCT((nEVAL=CONFIG_METADATA!$B$4)*(nCURSO=A67)*((nCLASE_E&lt;&gt;"")*(nCLASE_E&lt;&gt;"E"))*(nNOTA=4))</f>
      </c>
      <c r="P67">
        <f>SUMPRODUCT((nEVAL=CONFIG_METADATA!$B$4)*(nCURSO=A67)*((nCLASE_E&lt;&gt;"")*(nCLASE_E&lt;&gt;"E"))*(nNOTA=5))</f>
      </c>
      <c r="Q67">
        <f>SUMPRODUCT((nEVAL=CONFIG_METADATA!$B$4)*(nCURSO=A67)*((nCLASE_E&lt;&gt;"")*(nCLASE_E&lt;&gt;"E"))*(nNOTA=6))</f>
      </c>
      <c r="R67">
        <f>SUMPRODUCT((nEVAL=CONFIG_METADATA!$B$4)*(nCURSO=A67)*((nCLASE_E&lt;&gt;"")*(nCLASE_E&lt;&gt;"E"))*(nNOTA=7))</f>
      </c>
      <c r="S67">
        <f>SUMPRODUCT((nEVAL=CONFIG_METADATA!$B$4)*(nCURSO=A67)*((nCLASE_E&lt;&gt;"")*(nCLASE_E&lt;&gt;"E"))*(nNOTA=8))</f>
      </c>
      <c r="T67">
        <f>SUMPRODUCT((nEVAL=CONFIG_METADATA!$B$4)*(nCURSO=A67)*((nCLASE_E&lt;&gt;"")*(nCLASE_E&lt;&gt;"E"))*(nNOTA=9))</f>
      </c>
      <c r="U67">
        <f>SUMPRODUCT((nEVAL=CONFIG_METADATA!$B$4)*(nCURSO=A67)*((nCLASE_E&lt;&gt;"")*(nCLASE_E&lt;&gt;"E"))*(nNOTA=10))</f>
      </c>
    </row>
    <row r="68" spans="1:22">
      <c r="A68" s="3" t="inlineStr">
        <is>
          <t xml:space="preserve">1EEM</t>
        </is>
      </c>
      <c r="B68" s="3" cm="1">
        <f t="array" ref="B68">IFERROR(INDEX(_xlfn._xlws.FILTER(CONFIG_ASIGNATURAS!$B$2:$B$61,(CONFIG_ASIGNATURAS!$G$2:$G$61="Sí")*ISNUMBER(SEARCH("1EEM",CONFIG_ASIGNATURAS!$C$2:$C$61))),1),"")</f>
      </c>
      <c r="C68" s="3">
        <f>IF(B68="","",IFERROR(IF(VLOOKUP(B68,CONFIG_ASIGNATURAS!$B$2:$F$61,5,FALSE())="Sí","Especialidad","Asignatura"),"Asignatura"))</f>
      </c>
      <c r="D68">
        <f>IF(V68="Sí",COUNTIFS(DATOS!G:G,CONFIG_METADATA!$B$4,DATOS!D:D,A68,DATOS!I:I,B68),"")</f>
        <v>0</v>
      </c>
      <c r="E68" s="14" t="str">
        <f>IF(V68="Sí",IFERROR(AVERAGEIFS(DATOS!K:K,DATOS!G:G,CONFIG_METADATA!$B$4,DATOS!D:D,A68,DATOS!I:I,B68),"—"),"")</f>
        <v>—</v>
      </c>
      <c r="F68" s="14" t="str" cm="1">
        <f t="array" ref="F68">IF(V68="Sí",IFERROR(_xlfn.STDEV.P(IF((nEVAL=CONFIG_METADATA!$B$4)*(nCURSO=A68)*(nASIG=B68),nNOTA)),"—"),"")</f>
        <v>—</v>
      </c>
      <c r="G68" t="str" cm="1">
        <f t="array" ref="G68">IF(V68="Sí",IFERROR(_xlfn.MODE.SNGL(IF((nEVAL=CONFIG_METADATA!$B$4)*(nCURSO=A68)*(nASIG=B68),nNOTA)),"—"),"")</f>
        <v>—</v>
      </c>
      <c r="H68" s="15" t="str">
        <f>IF(V68="Sí",IFERROR(COUNTIFS(DATOS!G:G,CONFIG_METADATA!$B$4,DATOS!D:D,A68,DATOS!I:I,B68,DATOS!L:L,"S")/COUNTIFS(DATOS!G:G,CONFIG_METADATA!$B$4,DATOS!D:D,A68,DATOS!I:I,B68),"—"),"")</f>
        <v>—</v>
      </c>
      <c r="I68" s="15" t="str">
        <f>IF(V68="Sí",IFERROR(COUNTIFS(DATOS!G:G,CONFIG_METADATA!$B$4,DATOS!D:D,A68,DATOS!I:I,B68,DATOS!L:L,"N")/COUNTIFS(DATOS!G:G,CONFIG_METADATA!$B$4,DATOS!D:D,A68,DATOS!I:I,B68),"—"),"")</f>
        <v>—</v>
      </c>
      <c r="J68" t="str" cm="1">
        <f t="array" ref="J68">IF(V68="Sí",IFERROR(_xlfn.MODE.SNGL(IF((nEVAL=CONFIG_METADATA!$B$4)*(nCURSO=A68)*(nASIG=B68)*(nAPTO="S"),nNOTA)),"—"),"")</f>
        <v>—</v>
      </c>
      <c r="K68" t="str" cm="1">
        <f t="array" ref="K68">IF(V68="Sí",IFERROR(_xlfn.MODE.SNGL(IF((nEVAL=CONFIG_METADATA!$B$4)*(nCURSO=A68)*(nASIG=B68)*(nAPTO="N"),nNOTA)),"—"),"")</f>
        <v>—</v>
      </c>
      <c r="L68">
        <f>IF(V68="Sí",COUNTIFS(DATOS!G:G,CONFIG_METADATA!$B$4,DATOS!D:D,A68,DATOS!I:I,B68,DATOS!K:K,1),"")</f>
        <v>0</v>
      </c>
      <c r="M68">
        <f>IF(V68="Sí",COUNTIFS(DATOS!G:G,CONFIG_METADATA!$B$4,DATOS!D:D,A68,DATOS!I:I,B68,DATOS!K:K,2),"")</f>
        <v>0</v>
      </c>
      <c r="N68">
        <f>IF(V68="Sí",COUNTIFS(DATOS!G:G,CONFIG_METADATA!$B$4,DATOS!D:D,A68,DATOS!I:I,B68,DATOS!K:K,3),"")</f>
        <v>0</v>
      </c>
      <c r="O68">
        <f>IF(V68="Sí",COUNTIFS(DATOS!G:G,CONFIG_METADATA!$B$4,DATOS!D:D,A68,DATOS!I:I,B68,DATOS!K:K,4),"")</f>
        <v>0</v>
      </c>
      <c r="P68">
        <f>IF(V68="Sí",COUNTIFS(DATOS!G:G,CONFIG_METADATA!$B$4,DATOS!D:D,A68,DATOS!I:I,B68,DATOS!K:K,5),"")</f>
        <v>0</v>
      </c>
      <c r="Q68">
        <f>IF(V68="Sí",COUNTIFS(DATOS!G:G,CONFIG_METADATA!$B$4,DATOS!D:D,A68,DATOS!I:I,B68,DATOS!K:K,6),"")</f>
        <v>0</v>
      </c>
      <c r="R68">
        <f>IF(V68="Sí",COUNTIFS(DATOS!G:G,CONFIG_METADATA!$B$4,DATOS!D:D,A68,DATOS!I:I,B68,DATOS!K:K,7),"")</f>
        <v>0</v>
      </c>
      <c r="S68">
        <f>IF(V68="Sí",COUNTIFS(DATOS!G:G,CONFIG_METADATA!$B$4,DATOS!D:D,A68,DATOS!I:I,B68,DATOS!K:K,8),"")</f>
        <v>0</v>
      </c>
      <c r="T68">
        <f>IF(V68="Sí",COUNTIFS(DATOS!G:G,CONFIG_METADATA!$B$4,DATOS!D:D,A68,DATOS!I:I,B68,DATOS!K:K,9),"")</f>
        <v>0</v>
      </c>
      <c r="U68">
        <f>IF(V68="Sí",COUNTIFS(DATOS!G:G,CONFIG_METADATA!$B$4,DATOS!D:D,A68,DATOS!I:I,B68,DATOS!K:K,10),"")</f>
        <v>0</v>
      </c>
      <c r="V68" t="str">
        <f>IFERROR(IF(ISERROR(FIND(A68,VLOOKUP(B68,CONFIG_ASIGNATURAS!B:C,2,FALSE()))),"No","Sí"),"No")</f>
        <v>Sí</v>
      </c>
    </row>
    <row r="69" spans="1:22">
      <c r="A69" s="3" t="inlineStr">
        <is>
          <t xml:space="preserve">1EEM</t>
        </is>
      </c>
      <c r="B69" s="3" cm="1">
        <f t="array" ref="B69">IFERROR(INDEX(_xlfn._xlws.FILTER(CONFIG_ASIGNATURAS!$B$2:$B$61,(CONFIG_ASIGNATURAS!$G$2:$G$61="Sí")*ISNUMBER(SEARCH("1EEM",CONFIG_ASIGNATURAS!$C$2:$C$61))),2),"")</f>
      </c>
      <c r="C69" s="3">
        <f>IF(B69="","",IFERROR(IF(VLOOKUP(B69,CONFIG_ASIGNATURAS!$B$2:$F$61,5,FALSE())="Sí","Especialidad","Asignatura"),"Asignatura"))</f>
      </c>
      <c r="D69">
        <f>IF(V69="Sí",COUNTIFS(DATOS!G:G,CONFIG_METADATA!$B$4,DATOS!D:D,A69,DATOS!I:I,B69),"")</f>
        <v>0</v>
      </c>
      <c r="E69" s="14" t="str">
        <f>IF(V69="Sí",IFERROR(AVERAGEIFS(DATOS!K:K,DATOS!G:G,CONFIG_METADATA!$B$4,DATOS!D:D,A69,DATOS!I:I,B69),"—"),"")</f>
        <v>—</v>
      </c>
      <c r="F69" s="14" t="str" cm="1">
        <f t="array" ref="F69">IF(V69="Sí",IFERROR(_xlfn.STDEV.P(IF((nEVAL=CONFIG_METADATA!$B$4)*(nCURSO=A69)*(nASIG=B69),nNOTA)),"—"),"")</f>
        <v>—</v>
      </c>
      <c r="G69" t="str" cm="1">
        <f t="array" ref="G69">IF(V69="Sí",IFERROR(_xlfn.MODE.SNGL(IF((nEVAL=CONFIG_METADATA!$B$4)*(nCURSO=A69)*(nASIG=B69),nNOTA)),"—"),"")</f>
        <v>—</v>
      </c>
      <c r="H69" s="15" t="str">
        <f>IF(V69="Sí",IFERROR(COUNTIFS(DATOS!G:G,CONFIG_METADATA!$B$4,DATOS!D:D,A69,DATOS!I:I,B69,DATOS!L:L,"S")/COUNTIFS(DATOS!G:G,CONFIG_METADATA!$B$4,DATOS!D:D,A69,DATOS!I:I,B69),"—"),"")</f>
        <v>—</v>
      </c>
      <c r="I69" s="15" t="str">
        <f>IF(V69="Sí",IFERROR(COUNTIFS(DATOS!G:G,CONFIG_METADATA!$B$4,DATOS!D:D,A69,DATOS!I:I,B69,DATOS!L:L,"N")/COUNTIFS(DATOS!G:G,CONFIG_METADATA!$B$4,DATOS!D:D,A69,DATOS!I:I,B69),"—"),"")</f>
        <v>—</v>
      </c>
      <c r="J69" t="str" cm="1">
        <f t="array" ref="J69">IF(V69="Sí",IFERROR(_xlfn.MODE.SNGL(IF((nEVAL=CONFIG_METADATA!$B$4)*(nCURSO=A69)*(nASIG=B69)*(nAPTO="S"),nNOTA)),"—"),"")</f>
        <v>—</v>
      </c>
      <c r="K69" t="str" cm="1">
        <f t="array" ref="K69">IF(V69="Sí",IFERROR(_xlfn.MODE.SNGL(IF((nEVAL=CONFIG_METADATA!$B$4)*(nCURSO=A69)*(nASIG=B69)*(nAPTO="N"),nNOTA)),"—"),"")</f>
        <v>—</v>
      </c>
      <c r="L69">
        <f>IF(V69="Sí",COUNTIFS(DATOS!G:G,CONFIG_METADATA!$B$4,DATOS!D:D,A69,DATOS!I:I,B69,DATOS!K:K,1),"")</f>
        <v>0</v>
      </c>
      <c r="M69">
        <f>IF(V69="Sí",COUNTIFS(DATOS!G:G,CONFIG_METADATA!$B$4,DATOS!D:D,A69,DATOS!I:I,B69,DATOS!K:K,2),"")</f>
        <v>0</v>
      </c>
      <c r="N69">
        <f>IF(V69="Sí",COUNTIFS(DATOS!G:G,CONFIG_METADATA!$B$4,DATOS!D:D,A69,DATOS!I:I,B69,DATOS!K:K,3),"")</f>
        <v>0</v>
      </c>
      <c r="O69">
        <f>IF(V69="Sí",COUNTIFS(DATOS!G:G,CONFIG_METADATA!$B$4,DATOS!D:D,A69,DATOS!I:I,B69,DATOS!K:K,4),"")</f>
        <v>0</v>
      </c>
      <c r="P69">
        <f>IF(V69="Sí",COUNTIFS(DATOS!G:G,CONFIG_METADATA!$B$4,DATOS!D:D,A69,DATOS!I:I,B69,DATOS!K:K,5),"")</f>
        <v>0</v>
      </c>
      <c r="Q69">
        <f>IF(V69="Sí",COUNTIFS(DATOS!G:G,CONFIG_METADATA!$B$4,DATOS!D:D,A69,DATOS!I:I,B69,DATOS!K:K,6),"")</f>
        <v>0</v>
      </c>
      <c r="R69">
        <f>IF(V69="Sí",COUNTIFS(DATOS!G:G,CONFIG_METADATA!$B$4,DATOS!D:D,A69,DATOS!I:I,B69,DATOS!K:K,7),"")</f>
        <v>0</v>
      </c>
      <c r="S69">
        <f>IF(V69="Sí",COUNTIFS(DATOS!G:G,CONFIG_METADATA!$B$4,DATOS!D:D,A69,DATOS!I:I,B69,DATOS!K:K,8),"")</f>
        <v>0</v>
      </c>
      <c r="T69">
        <f>IF(V69="Sí",COUNTIFS(DATOS!G:G,CONFIG_METADATA!$B$4,DATOS!D:D,A69,DATOS!I:I,B69,DATOS!K:K,9),"")</f>
        <v>0</v>
      </c>
      <c r="U69">
        <f>IF(V69="Sí",COUNTIFS(DATOS!G:G,CONFIG_METADATA!$B$4,DATOS!D:D,A69,DATOS!I:I,B69,DATOS!K:K,10),"")</f>
        <v>0</v>
      </c>
      <c r="V69" t="str">
        <f>IFERROR(IF(ISERROR(FIND(A69,VLOOKUP(B69,CONFIG_ASIGNATURAS!B:C,2,FALSE()))),"No","Sí"),"No")</f>
        <v>Sí</v>
      </c>
    </row>
    <row r="70" spans="1:22">
      <c r="A70" s="3" t="inlineStr">
        <is>
          <t xml:space="preserve">1EEM</t>
        </is>
      </c>
      <c r="B70" s="3" cm="1">
        <f t="array" ref="B70">IFERROR(INDEX(_xlfn._xlws.FILTER(CONFIG_ASIGNATURAS!$B$2:$B$61,(CONFIG_ASIGNATURAS!$G$2:$G$61="Sí")*ISNUMBER(SEARCH("1EEM",CONFIG_ASIGNATURAS!$C$2:$C$61))),3),"")</f>
      </c>
      <c r="C70" s="3">
        <f>IF(B70="","",IFERROR(IF(VLOOKUP(B70,CONFIG_ASIGNATURAS!$B$2:$F$61,5,FALSE())="Sí","Especialidad","Asignatura"),"Asignatura"))</f>
      </c>
      <c r="D70">
        <f>IF(V70="Sí",COUNTIFS(DATOS!G:G,CONFIG_METADATA!$B$4,DATOS!D:D,A70,DATOS!I:I,B70),"")</f>
        <v>0</v>
      </c>
      <c r="E70" s="14" t="str">
        <f>IF(V70="Sí",IFERROR(AVERAGEIFS(DATOS!K:K,DATOS!G:G,CONFIG_METADATA!$B$4,DATOS!D:D,A70,DATOS!I:I,B70),"—"),"")</f>
        <v>—</v>
      </c>
      <c r="F70" s="14" t="str" cm="1">
        <f t="array" ref="F70">IF(V70="Sí",IFERROR(_xlfn.STDEV.P(IF((nEVAL=CONFIG_METADATA!$B$4)*(nCURSO=A70)*(nASIG=B70),nNOTA)),"—"),"")</f>
        <v>—</v>
      </c>
      <c r="G70" t="str" cm="1">
        <f t="array" ref="G70">IF(V70="Sí",IFERROR(_xlfn.MODE.SNGL(IF((nEVAL=CONFIG_METADATA!$B$4)*(nCURSO=A70)*(nASIG=B70),nNOTA)),"—"),"")</f>
        <v>—</v>
      </c>
      <c r="H70" s="15" t="str">
        <f>IF(V70="Sí",IFERROR(COUNTIFS(DATOS!G:G,CONFIG_METADATA!$B$4,DATOS!D:D,A70,DATOS!I:I,B70,DATOS!L:L,"S")/COUNTIFS(DATOS!G:G,CONFIG_METADATA!$B$4,DATOS!D:D,A70,DATOS!I:I,B70),"—"),"")</f>
        <v>—</v>
      </c>
      <c r="I70" s="15" t="str">
        <f>IF(V70="Sí",IFERROR(COUNTIFS(DATOS!G:G,CONFIG_METADATA!$B$4,DATOS!D:D,A70,DATOS!I:I,B70,DATOS!L:L,"N")/COUNTIFS(DATOS!G:G,CONFIG_METADATA!$B$4,DATOS!D:D,A70,DATOS!I:I,B70),"—"),"")</f>
        <v>—</v>
      </c>
      <c r="J70" t="str" cm="1">
        <f t="array" ref="J70">IF(V70="Sí",IFERROR(_xlfn.MODE.SNGL(IF((nEVAL=CONFIG_METADATA!$B$4)*(nCURSO=A70)*(nASIG=B70)*(nAPTO="S"),nNOTA)),"—"),"")</f>
        <v>—</v>
      </c>
      <c r="K70" t="str" cm="1">
        <f t="array" ref="K70">IF(V70="Sí",IFERROR(_xlfn.MODE.SNGL(IF((nEVAL=CONFIG_METADATA!$B$4)*(nCURSO=A70)*(nASIG=B70)*(nAPTO="N"),nNOTA)),"—"),"")</f>
        <v>—</v>
      </c>
      <c r="L70">
        <f>IF(V70="Sí",COUNTIFS(DATOS!G:G,CONFIG_METADATA!$B$4,DATOS!D:D,A70,DATOS!I:I,B70,DATOS!K:K,1),"")</f>
        <v>0</v>
      </c>
      <c r="M70">
        <f>IF(V70="Sí",COUNTIFS(DATOS!G:G,CONFIG_METADATA!$B$4,DATOS!D:D,A70,DATOS!I:I,B70,DATOS!K:K,2),"")</f>
        <v>0</v>
      </c>
      <c r="N70">
        <f>IF(V70="Sí",COUNTIFS(DATOS!G:G,CONFIG_METADATA!$B$4,DATOS!D:D,A70,DATOS!I:I,B70,DATOS!K:K,3),"")</f>
        <v>0</v>
      </c>
      <c r="O70">
        <f>IF(V70="Sí",COUNTIFS(DATOS!G:G,CONFIG_METADATA!$B$4,DATOS!D:D,A70,DATOS!I:I,B70,DATOS!K:K,4),"")</f>
        <v>0</v>
      </c>
      <c r="P70">
        <f>IF(V70="Sí",COUNTIFS(DATOS!G:G,CONFIG_METADATA!$B$4,DATOS!D:D,A70,DATOS!I:I,B70,DATOS!K:K,5),"")</f>
        <v>0</v>
      </c>
      <c r="Q70">
        <f>IF(V70="Sí",COUNTIFS(DATOS!G:G,CONFIG_METADATA!$B$4,DATOS!D:D,A70,DATOS!I:I,B70,DATOS!K:K,6),"")</f>
        <v>0</v>
      </c>
      <c r="R70">
        <f>IF(V70="Sí",COUNTIFS(DATOS!G:G,CONFIG_METADATA!$B$4,DATOS!D:D,A70,DATOS!I:I,B70,DATOS!K:K,7),"")</f>
        <v>0</v>
      </c>
      <c r="S70">
        <f>IF(V70="Sí",COUNTIFS(DATOS!G:G,CONFIG_METADATA!$B$4,DATOS!D:D,A70,DATOS!I:I,B70,DATOS!K:K,8),"")</f>
        <v>0</v>
      </c>
      <c r="T70">
        <f>IF(V70="Sí",COUNTIFS(DATOS!G:G,CONFIG_METADATA!$B$4,DATOS!D:D,A70,DATOS!I:I,B70,DATOS!K:K,9),"")</f>
        <v>0</v>
      </c>
      <c r="U70">
        <f>IF(V70="Sí",COUNTIFS(DATOS!G:G,CONFIG_METADATA!$B$4,DATOS!D:D,A70,DATOS!I:I,B70,DATOS!K:K,10),"")</f>
        <v>0</v>
      </c>
      <c r="V70" t="str">
        <f>IFERROR(IF(ISERROR(FIND(A70,VLOOKUP(B70,CONFIG_ASIGNATURAS!B:C,2,FALSE()))),"No","Sí"),"No")</f>
        <v>Sí</v>
      </c>
    </row>
    <row r="71" spans="1:22">
      <c r="A71" s="3" t="inlineStr">
        <is>
          <t xml:space="preserve">1EEM</t>
        </is>
      </c>
      <c r="B71" s="3" cm="1">
        <f t="array" ref="B71">IFERROR(INDEX(_xlfn._xlws.FILTER(CONFIG_ASIGNATURAS!$B$2:$B$61,(CONFIG_ASIGNATURAS!$G$2:$G$61="Sí")*ISNUMBER(SEARCH("1EEM",CONFIG_ASIGNATURAS!$C$2:$C$61))),4),"")</f>
      </c>
      <c r="C71" s="3">
        <f>IF(B71="","",IFERROR(IF(VLOOKUP(B71,CONFIG_ASIGNATURAS!$B$2:$F$61,5,FALSE())="Sí","Especialidad","Asignatura"),"Asignatura"))</f>
      </c>
      <c r="D71">
        <f>IF(V71="Sí",COUNTIFS(DATOS!G:G,CONFIG_METADATA!$B$4,DATOS!D:D,A71,DATOS!I:I,B71),"")</f>
        <v>0</v>
      </c>
      <c r="E71" s="14" t="str">
        <f>IF(V71="Sí",IFERROR(AVERAGEIFS(DATOS!K:K,DATOS!G:G,CONFIG_METADATA!$B$4,DATOS!D:D,A71,DATOS!I:I,B71),"—"),"")</f>
        <v>—</v>
      </c>
      <c r="F71" s="14" t="str" cm="1">
        <f t="array" ref="F71">IF(V71="Sí",IFERROR(_xlfn.STDEV.P(IF((nEVAL=CONFIG_METADATA!$B$4)*(nCURSO=A71)*(nASIG=B71),nNOTA)),"—"),"")</f>
        <v>—</v>
      </c>
      <c r="G71" t="str" cm="1">
        <f t="array" ref="G71">IF(V71="Sí",IFERROR(_xlfn.MODE.SNGL(IF((nEVAL=CONFIG_METADATA!$B$4)*(nCURSO=A71)*(nASIG=B71),nNOTA)),"—"),"")</f>
        <v>—</v>
      </c>
      <c r="H71" s="15" t="str">
        <f>IF(V71="Sí",IFERROR(COUNTIFS(DATOS!G:G,CONFIG_METADATA!$B$4,DATOS!D:D,A71,DATOS!I:I,B71,DATOS!L:L,"S")/COUNTIFS(DATOS!G:G,CONFIG_METADATA!$B$4,DATOS!D:D,A71,DATOS!I:I,B71),"—"),"")</f>
        <v>—</v>
      </c>
      <c r="I71" s="15" t="str">
        <f>IF(V71="Sí",IFERROR(COUNTIFS(DATOS!G:G,CONFIG_METADATA!$B$4,DATOS!D:D,A71,DATOS!I:I,B71,DATOS!L:L,"N")/COUNTIFS(DATOS!G:G,CONFIG_METADATA!$B$4,DATOS!D:D,A71,DATOS!I:I,B71),"—"),"")</f>
        <v>—</v>
      </c>
      <c r="J71" t="str" cm="1">
        <f t="array" ref="J71">IF(V71="Sí",IFERROR(_xlfn.MODE.SNGL(IF((nEVAL=CONFIG_METADATA!$B$4)*(nCURSO=A71)*(nASIG=B71)*(nAPTO="S"),nNOTA)),"—"),"")</f>
        <v>—</v>
      </c>
      <c r="K71" t="str" cm="1">
        <f t="array" ref="K71">IF(V71="Sí",IFERROR(_xlfn.MODE.SNGL(IF((nEVAL=CONFIG_METADATA!$B$4)*(nCURSO=A71)*(nASIG=B71)*(nAPTO="N"),nNOTA)),"—"),"")</f>
        <v>—</v>
      </c>
      <c r="L71">
        <f>IF(V71="Sí",COUNTIFS(DATOS!G:G,CONFIG_METADATA!$B$4,DATOS!D:D,A71,DATOS!I:I,B71,DATOS!K:K,1),"")</f>
        <v>0</v>
      </c>
      <c r="M71">
        <f>IF(V71="Sí",COUNTIFS(DATOS!G:G,CONFIG_METADATA!$B$4,DATOS!D:D,A71,DATOS!I:I,B71,DATOS!K:K,2),"")</f>
        <v>0</v>
      </c>
      <c r="N71">
        <f>IF(V71="Sí",COUNTIFS(DATOS!G:G,CONFIG_METADATA!$B$4,DATOS!D:D,A71,DATOS!I:I,B71,DATOS!K:K,3),"")</f>
        <v>0</v>
      </c>
      <c r="O71">
        <f>IF(V71="Sí",COUNTIFS(DATOS!G:G,CONFIG_METADATA!$B$4,DATOS!D:D,A71,DATOS!I:I,B71,DATOS!K:K,4),"")</f>
        <v>0</v>
      </c>
      <c r="P71">
        <f>IF(V71="Sí",COUNTIFS(DATOS!G:G,CONFIG_METADATA!$B$4,DATOS!D:D,A71,DATOS!I:I,B71,DATOS!K:K,5),"")</f>
        <v>0</v>
      </c>
      <c r="Q71">
        <f>IF(V71="Sí",COUNTIFS(DATOS!G:G,CONFIG_METADATA!$B$4,DATOS!D:D,A71,DATOS!I:I,B71,DATOS!K:K,6),"")</f>
        <v>0</v>
      </c>
      <c r="R71">
        <f>IF(V71="Sí",COUNTIFS(DATOS!G:G,CONFIG_METADATA!$B$4,DATOS!D:D,A71,DATOS!I:I,B71,DATOS!K:K,7),"")</f>
        <v>0</v>
      </c>
      <c r="S71">
        <f>IF(V71="Sí",COUNTIFS(DATOS!G:G,CONFIG_METADATA!$B$4,DATOS!D:D,A71,DATOS!I:I,B71,DATOS!K:K,8),"")</f>
        <v>0</v>
      </c>
      <c r="T71">
        <f>IF(V71="Sí",COUNTIFS(DATOS!G:G,CONFIG_METADATA!$B$4,DATOS!D:D,A71,DATOS!I:I,B71,DATOS!K:K,9),"")</f>
        <v>0</v>
      </c>
      <c r="U71">
        <f>IF(V71="Sí",COUNTIFS(DATOS!G:G,CONFIG_METADATA!$B$4,DATOS!D:D,A71,DATOS!I:I,B71,DATOS!K:K,10),"")</f>
        <v>0</v>
      </c>
      <c r="V71" t="str">
        <f>IFERROR(IF(ISERROR(FIND(A71,VLOOKUP(B71,CONFIG_ASIGNATURAS!B:C,2,FALSE()))),"No","Sí"),"No")</f>
        <v>Sí</v>
      </c>
    </row>
    <row r="72" spans="1:22">
      <c r="A72" s="3" t="inlineStr">
        <is>
          <t xml:space="preserve">1EEM</t>
        </is>
      </c>
      <c r="B72" s="3" cm="1">
        <f t="array" ref="B72">IFERROR(INDEX(_xlfn._xlws.FILTER(CONFIG_ASIGNATURAS!$B$2:$B$61,(CONFIG_ASIGNATURAS!$G$2:$G$61="Sí")*ISNUMBER(SEARCH("1EEM",CONFIG_ASIGNATURAS!$C$2:$C$61))),5),"")</f>
      </c>
      <c r="C72" s="3">
        <f>IF(B72="","",IFERROR(IF(VLOOKUP(B72,CONFIG_ASIGNATURAS!$B$2:$F$61,5,FALSE())="Sí","Especialidad","Asignatura"),"Asignatura"))</f>
      </c>
      <c r="D72">
        <f>IF(V72="Sí",COUNTIFS(DATOS!G:G,CONFIG_METADATA!$B$4,DATOS!D:D,A72,DATOS!I:I,B72),"")</f>
        <v>0</v>
      </c>
      <c r="E72" s="14" t="str">
        <f>IF(V72="Sí",IFERROR(AVERAGEIFS(DATOS!K:K,DATOS!G:G,CONFIG_METADATA!$B$4,DATOS!D:D,A72,DATOS!I:I,B72),"—"),"")</f>
        <v>—</v>
      </c>
      <c r="F72" s="14" t="str" cm="1">
        <f t="array" ref="F72">IF(V72="Sí",IFERROR(_xlfn.STDEV.P(IF((nEVAL=CONFIG_METADATA!$B$4)*(nCURSO=A72)*(nASIG=B72),nNOTA)),"—"),"")</f>
        <v>—</v>
      </c>
      <c r="G72" t="str" cm="1">
        <f t="array" ref="G72">IF(V72="Sí",IFERROR(_xlfn.MODE.SNGL(IF((nEVAL=CONFIG_METADATA!$B$4)*(nCURSO=A72)*(nASIG=B72),nNOTA)),"—"),"")</f>
        <v>—</v>
      </c>
      <c r="H72" s="15" t="str">
        <f>IF(V72="Sí",IFERROR(COUNTIFS(DATOS!G:G,CONFIG_METADATA!$B$4,DATOS!D:D,A72,DATOS!I:I,B72,DATOS!L:L,"S")/COUNTIFS(DATOS!G:G,CONFIG_METADATA!$B$4,DATOS!D:D,A72,DATOS!I:I,B72),"—"),"")</f>
        <v>—</v>
      </c>
      <c r="I72" s="15" t="str">
        <f>IF(V72="Sí",IFERROR(COUNTIFS(DATOS!G:G,CONFIG_METADATA!$B$4,DATOS!D:D,A72,DATOS!I:I,B72,DATOS!L:L,"N")/COUNTIFS(DATOS!G:G,CONFIG_METADATA!$B$4,DATOS!D:D,A72,DATOS!I:I,B72),"—"),"")</f>
        <v>—</v>
      </c>
      <c r="J72" t="str" cm="1">
        <f t="array" ref="J72">IF(V72="Sí",IFERROR(_xlfn.MODE.SNGL(IF((nEVAL=CONFIG_METADATA!$B$4)*(nCURSO=A72)*(nASIG=B72)*(nAPTO="S"),nNOTA)),"—"),"")</f>
        <v>—</v>
      </c>
      <c r="K72" t="str" cm="1">
        <f t="array" ref="K72">IF(V72="Sí",IFERROR(_xlfn.MODE.SNGL(IF((nEVAL=CONFIG_METADATA!$B$4)*(nCURSO=A72)*(nASIG=B72)*(nAPTO="N"),nNOTA)),"—"),"")</f>
        <v>—</v>
      </c>
      <c r="L72">
        <f>IF(V72="Sí",COUNTIFS(DATOS!G:G,CONFIG_METADATA!$B$4,DATOS!D:D,A72,DATOS!I:I,B72,DATOS!K:K,1),"")</f>
        <v>0</v>
      </c>
      <c r="M72">
        <f>IF(V72="Sí",COUNTIFS(DATOS!G:G,CONFIG_METADATA!$B$4,DATOS!D:D,A72,DATOS!I:I,B72,DATOS!K:K,2),"")</f>
        <v>0</v>
      </c>
      <c r="N72">
        <f>IF(V72="Sí",COUNTIFS(DATOS!G:G,CONFIG_METADATA!$B$4,DATOS!D:D,A72,DATOS!I:I,B72,DATOS!K:K,3),"")</f>
        <v>0</v>
      </c>
      <c r="O72">
        <f>IF(V72="Sí",COUNTIFS(DATOS!G:G,CONFIG_METADATA!$B$4,DATOS!D:D,A72,DATOS!I:I,B72,DATOS!K:K,4),"")</f>
        <v>0</v>
      </c>
      <c r="P72">
        <f>IF(V72="Sí",COUNTIFS(DATOS!G:G,CONFIG_METADATA!$B$4,DATOS!D:D,A72,DATOS!I:I,B72,DATOS!K:K,5),"")</f>
        <v>0</v>
      </c>
      <c r="Q72">
        <f>IF(V72="Sí",COUNTIFS(DATOS!G:G,CONFIG_METADATA!$B$4,DATOS!D:D,A72,DATOS!I:I,B72,DATOS!K:K,6),"")</f>
        <v>0</v>
      </c>
      <c r="R72">
        <f>IF(V72="Sí",COUNTIFS(DATOS!G:G,CONFIG_METADATA!$B$4,DATOS!D:D,A72,DATOS!I:I,B72,DATOS!K:K,7),"")</f>
        <v>0</v>
      </c>
      <c r="S72">
        <f>IF(V72="Sí",COUNTIFS(DATOS!G:G,CONFIG_METADATA!$B$4,DATOS!D:D,A72,DATOS!I:I,B72,DATOS!K:K,8),"")</f>
        <v>0</v>
      </c>
      <c r="T72">
        <f>IF(V72="Sí",COUNTIFS(DATOS!G:G,CONFIG_METADATA!$B$4,DATOS!D:D,A72,DATOS!I:I,B72,DATOS!K:K,9),"")</f>
        <v>0</v>
      </c>
      <c r="U72">
        <f>IF(V72="Sí",COUNTIFS(DATOS!G:G,CONFIG_METADATA!$B$4,DATOS!D:D,A72,DATOS!I:I,B72,DATOS!K:K,10),"")</f>
        <v>0</v>
      </c>
      <c r="V72" t="str">
        <f>IFERROR(IF(ISERROR(FIND(A72,VLOOKUP(B72,CONFIG_ASIGNATURAS!B:C,2,FALSE()))),"No","Sí"),"No")</f>
        <v>Sí</v>
      </c>
    </row>
    <row r="73" spans="1:22">
      <c r="A73" s="3" t="inlineStr">
        <is>
          <t xml:space="preserve">1EEM</t>
        </is>
      </c>
      <c r="B73" s="3" cm="1">
        <f t="array" ref="B73">IFERROR(INDEX(_xlfn._xlws.FILTER(CONFIG_ASIGNATURAS!$B$2:$B$61,(CONFIG_ASIGNATURAS!$G$2:$G$61="Sí")*ISNUMBER(SEARCH("1EEM",CONFIG_ASIGNATURAS!$C$2:$C$61))),6),"")</f>
      </c>
      <c r="C73" s="3">
        <f>IF(B73="","",IFERROR(IF(VLOOKUP(B73,CONFIG_ASIGNATURAS!$B$2:$F$61,5,FALSE())="Sí","Especialidad","Asignatura"),"Asignatura"))</f>
      </c>
      <c r="D73">
        <f>IF(V73="Sí",COUNTIFS(DATOS!G:G,CONFIG_METADATA!$B$4,DATOS!D:D,A73,DATOS!I:I,B73),"")</f>
        <v>0</v>
      </c>
      <c r="E73" s="14" t="str">
        <f>IF(V73="Sí",IFERROR(AVERAGEIFS(DATOS!K:K,DATOS!G:G,CONFIG_METADATA!$B$4,DATOS!D:D,A73,DATOS!I:I,B73),"—"),"")</f>
        <v>—</v>
      </c>
      <c r="F73" s="14" t="str" cm="1">
        <f t="array" ref="F73">IF(V73="Sí",IFERROR(_xlfn.STDEV.P(IF((nEVAL=CONFIG_METADATA!$B$4)*(nCURSO=A73)*(nASIG=B73),nNOTA)),"—"),"")</f>
        <v>—</v>
      </c>
      <c r="G73" t="str" cm="1">
        <f t="array" ref="G73">IF(V73="Sí",IFERROR(_xlfn.MODE.SNGL(IF((nEVAL=CONFIG_METADATA!$B$4)*(nCURSO=A73)*(nASIG=B73),nNOTA)),"—"),"")</f>
        <v>—</v>
      </c>
      <c r="H73" s="15" t="str">
        <f>IF(V73="Sí",IFERROR(COUNTIFS(DATOS!G:G,CONFIG_METADATA!$B$4,DATOS!D:D,A73,DATOS!I:I,B73,DATOS!L:L,"S")/COUNTIFS(DATOS!G:G,CONFIG_METADATA!$B$4,DATOS!D:D,A73,DATOS!I:I,B73),"—"),"")</f>
        <v>—</v>
      </c>
      <c r="I73" s="15" t="str">
        <f>IF(V73="Sí",IFERROR(COUNTIFS(DATOS!G:G,CONFIG_METADATA!$B$4,DATOS!D:D,A73,DATOS!I:I,B73,DATOS!L:L,"N")/COUNTIFS(DATOS!G:G,CONFIG_METADATA!$B$4,DATOS!D:D,A73,DATOS!I:I,B73),"—"),"")</f>
        <v>—</v>
      </c>
      <c r="J73" t="str" cm="1">
        <f t="array" ref="J73">IF(V73="Sí",IFERROR(_xlfn.MODE.SNGL(IF((nEVAL=CONFIG_METADATA!$B$4)*(nCURSO=A73)*(nASIG=B73)*(nAPTO="S"),nNOTA)),"—"),"")</f>
        <v>—</v>
      </c>
      <c r="K73" t="str" cm="1">
        <f t="array" ref="K73">IF(V73="Sí",IFERROR(_xlfn.MODE.SNGL(IF((nEVAL=CONFIG_METADATA!$B$4)*(nCURSO=A73)*(nASIG=B73)*(nAPTO="N"),nNOTA)),"—"),"")</f>
        <v>—</v>
      </c>
      <c r="L73">
        <f>IF(V73="Sí",COUNTIFS(DATOS!G:G,CONFIG_METADATA!$B$4,DATOS!D:D,A73,DATOS!I:I,B73,DATOS!K:K,1),"")</f>
        <v>0</v>
      </c>
      <c r="M73">
        <f>IF(V73="Sí",COUNTIFS(DATOS!G:G,CONFIG_METADATA!$B$4,DATOS!D:D,A73,DATOS!I:I,B73,DATOS!K:K,2),"")</f>
        <v>0</v>
      </c>
      <c r="N73">
        <f>IF(V73="Sí",COUNTIFS(DATOS!G:G,CONFIG_METADATA!$B$4,DATOS!D:D,A73,DATOS!I:I,B73,DATOS!K:K,3),"")</f>
        <v>0</v>
      </c>
      <c r="O73">
        <f>IF(V73="Sí",COUNTIFS(DATOS!G:G,CONFIG_METADATA!$B$4,DATOS!D:D,A73,DATOS!I:I,B73,DATOS!K:K,4),"")</f>
        <v>0</v>
      </c>
      <c r="P73">
        <f>IF(V73="Sí",COUNTIFS(DATOS!G:G,CONFIG_METADATA!$B$4,DATOS!D:D,A73,DATOS!I:I,B73,DATOS!K:K,5),"")</f>
        <v>0</v>
      </c>
      <c r="Q73">
        <f>IF(V73="Sí",COUNTIFS(DATOS!G:G,CONFIG_METADATA!$B$4,DATOS!D:D,A73,DATOS!I:I,B73,DATOS!K:K,6),"")</f>
        <v>0</v>
      </c>
      <c r="R73">
        <f>IF(V73="Sí",COUNTIFS(DATOS!G:G,CONFIG_METADATA!$B$4,DATOS!D:D,A73,DATOS!I:I,B73,DATOS!K:K,7),"")</f>
        <v>0</v>
      </c>
      <c r="S73">
        <f>IF(V73="Sí",COUNTIFS(DATOS!G:G,CONFIG_METADATA!$B$4,DATOS!D:D,A73,DATOS!I:I,B73,DATOS!K:K,8),"")</f>
        <v>0</v>
      </c>
      <c r="T73">
        <f>IF(V73="Sí",COUNTIFS(DATOS!G:G,CONFIG_METADATA!$B$4,DATOS!D:D,A73,DATOS!I:I,B73,DATOS!K:K,9),"")</f>
        <v>0</v>
      </c>
      <c r="U73">
        <f>IF(V73="Sí",COUNTIFS(DATOS!G:G,CONFIG_METADATA!$B$4,DATOS!D:D,A73,DATOS!I:I,B73,DATOS!K:K,10),"")</f>
        <v>0</v>
      </c>
      <c r="V73" t="str">
        <f>IFERROR(IF(ISERROR(FIND(A73,VLOOKUP(B73,CONFIG_ASIGNATURAS!B:C,2,FALSE()))),"No","Sí"),"No")</f>
        <v>Sí</v>
      </c>
    </row>
    <row r="74" spans="1:22">
      <c r="A74" s="3" t="inlineStr">
        <is>
          <t xml:space="preserve">1EEM</t>
        </is>
      </c>
      <c r="B74" s="3" cm="1">
        <f t="array" ref="B74">IFERROR(INDEX(_xlfn._xlws.FILTER(CONFIG_ASIGNATURAS!$B$2:$B$61,(CONFIG_ASIGNATURAS!$G$2:$G$61="Sí")*ISNUMBER(SEARCH("1EEM",CONFIG_ASIGNATURAS!$C$2:$C$61))),7),"")</f>
      </c>
      <c r="C74" s="3">
        <f>IF(B74="","",IFERROR(IF(VLOOKUP(B74,CONFIG_ASIGNATURAS!$B$2:$F$61,5,FALSE())="Sí","Especialidad","Asignatura"),"Asignatura"))</f>
      </c>
      <c r="D74">
        <f>IF(V74="Sí",COUNTIFS(DATOS!G:G,CONFIG_METADATA!$B$4,DATOS!D:D,A74,DATOS!I:I,B74),"")</f>
        <v>0</v>
      </c>
      <c r="E74" s="14" t="str">
        <f>IF(V74="Sí",IFERROR(AVERAGEIFS(DATOS!K:K,DATOS!G:G,CONFIG_METADATA!$B$4,DATOS!D:D,A74,DATOS!I:I,B74),"—"),"")</f>
        <v>—</v>
      </c>
      <c r="F74" s="14" t="str" cm="1">
        <f t="array" ref="F74">IF(V74="Sí",IFERROR(_xlfn.STDEV.P(IF((nEVAL=CONFIG_METADATA!$B$4)*(nCURSO=A74)*(nASIG=B74),nNOTA)),"—"),"")</f>
        <v>—</v>
      </c>
      <c r="G74" t="str" cm="1">
        <f t="array" ref="G74">IF(V74="Sí",IFERROR(_xlfn.MODE.SNGL(IF((nEVAL=CONFIG_METADATA!$B$4)*(nCURSO=A74)*(nASIG=B74),nNOTA)),"—"),"")</f>
        <v>—</v>
      </c>
      <c r="H74" s="15" t="str">
        <f>IF(V74="Sí",IFERROR(COUNTIFS(DATOS!G:G,CONFIG_METADATA!$B$4,DATOS!D:D,A74,DATOS!I:I,B74,DATOS!L:L,"S")/COUNTIFS(DATOS!G:G,CONFIG_METADATA!$B$4,DATOS!D:D,A74,DATOS!I:I,B74),"—"),"")</f>
        <v>—</v>
      </c>
      <c r="I74" s="15" t="str">
        <f>IF(V74="Sí",IFERROR(COUNTIFS(DATOS!G:G,CONFIG_METADATA!$B$4,DATOS!D:D,A74,DATOS!I:I,B74,DATOS!L:L,"N")/COUNTIFS(DATOS!G:G,CONFIG_METADATA!$B$4,DATOS!D:D,A74,DATOS!I:I,B74),"—"),"")</f>
        <v>—</v>
      </c>
      <c r="J74" t="str" cm="1">
        <f t="array" ref="J74">IF(V74="Sí",IFERROR(_xlfn.MODE.SNGL(IF((nEVAL=CONFIG_METADATA!$B$4)*(nCURSO=A74)*(nASIG=B74)*(nAPTO="S"),nNOTA)),"—"),"")</f>
        <v>—</v>
      </c>
      <c r="K74" t="str" cm="1">
        <f t="array" ref="K74">IF(V74="Sí",IFERROR(_xlfn.MODE.SNGL(IF((nEVAL=CONFIG_METADATA!$B$4)*(nCURSO=A74)*(nASIG=B74)*(nAPTO="N"),nNOTA)),"—"),"")</f>
        <v>—</v>
      </c>
      <c r="L74">
        <f>IF(V74="Sí",COUNTIFS(DATOS!G:G,CONFIG_METADATA!$B$4,DATOS!D:D,A74,DATOS!I:I,B74,DATOS!K:K,1),"")</f>
        <v>0</v>
      </c>
      <c r="M74">
        <f>IF(V74="Sí",COUNTIFS(DATOS!G:G,CONFIG_METADATA!$B$4,DATOS!D:D,A74,DATOS!I:I,B74,DATOS!K:K,2),"")</f>
        <v>0</v>
      </c>
      <c r="N74">
        <f>IF(V74="Sí",COUNTIFS(DATOS!G:G,CONFIG_METADATA!$B$4,DATOS!D:D,A74,DATOS!I:I,B74,DATOS!K:K,3),"")</f>
        <v>0</v>
      </c>
      <c r="O74">
        <f>IF(V74="Sí",COUNTIFS(DATOS!G:G,CONFIG_METADATA!$B$4,DATOS!D:D,A74,DATOS!I:I,B74,DATOS!K:K,4),"")</f>
        <v>0</v>
      </c>
      <c r="P74">
        <f>IF(V74="Sí",COUNTIFS(DATOS!G:G,CONFIG_METADATA!$B$4,DATOS!D:D,A74,DATOS!I:I,B74,DATOS!K:K,5),"")</f>
        <v>0</v>
      </c>
      <c r="Q74">
        <f>IF(V74="Sí",COUNTIFS(DATOS!G:G,CONFIG_METADATA!$B$4,DATOS!D:D,A74,DATOS!I:I,B74,DATOS!K:K,6),"")</f>
        <v>0</v>
      </c>
      <c r="R74">
        <f>IF(V74="Sí",COUNTIFS(DATOS!G:G,CONFIG_METADATA!$B$4,DATOS!D:D,A74,DATOS!I:I,B74,DATOS!K:K,7),"")</f>
        <v>0</v>
      </c>
      <c r="S74">
        <f>IF(V74="Sí",COUNTIFS(DATOS!G:G,CONFIG_METADATA!$B$4,DATOS!D:D,A74,DATOS!I:I,B74,DATOS!K:K,8),"")</f>
        <v>0</v>
      </c>
      <c r="T74">
        <f>IF(V74="Sí",COUNTIFS(DATOS!G:G,CONFIG_METADATA!$B$4,DATOS!D:D,A74,DATOS!I:I,B74,DATOS!K:K,9),"")</f>
        <v>0</v>
      </c>
      <c r="U74">
        <f>IF(V74="Sí",COUNTIFS(DATOS!G:G,CONFIG_METADATA!$B$4,DATOS!D:D,A74,DATOS!I:I,B74,DATOS!K:K,10),"")</f>
        <v>0</v>
      </c>
      <c r="V74" t="str">
        <f>IFERROR(IF(ISERROR(FIND(A74,VLOOKUP(B74,CONFIG_ASIGNATURAS!B:C,2,FALSE()))),"No","Sí"),"No")</f>
        <v>Sí</v>
      </c>
    </row>
    <row r="75" spans="1:22">
      <c r="A75" s="3" t="inlineStr">
        <is>
          <t xml:space="preserve">1EEM</t>
        </is>
      </c>
      <c r="B75" s="3" cm="1">
        <f t="array" ref="B75">IFERROR(INDEX(_xlfn._xlws.FILTER(CONFIG_ASIGNATURAS!$B$2:$B$61,(CONFIG_ASIGNATURAS!$G$2:$G$61="Sí")*ISNUMBER(SEARCH("1EEM",CONFIG_ASIGNATURAS!$C$2:$C$61))),8),"")</f>
      </c>
      <c r="C75" s="3">
        <f>IF(B75="","",IFERROR(IF(VLOOKUP(B75,CONFIG_ASIGNATURAS!$B$2:$F$61,5,FALSE())="Sí","Especialidad","Asignatura"),"Asignatura"))</f>
      </c>
      <c r="D75">
        <f>IF(V75="Sí",COUNTIFS(DATOS!G:G,CONFIG_METADATA!$B$4,DATOS!D:D,A75,DATOS!I:I,B75),"")</f>
        <v>0</v>
      </c>
      <c r="E75" s="14" t="str">
        <f>IF(V75="Sí",IFERROR(AVERAGEIFS(DATOS!K:K,DATOS!G:G,CONFIG_METADATA!$B$4,DATOS!D:D,A75,DATOS!I:I,B75),"—"),"")</f>
        <v>—</v>
      </c>
      <c r="F75" s="14" t="str" cm="1">
        <f t="array" ref="F75">IF(V75="Sí",IFERROR(_xlfn.STDEV.P(IF((nEVAL=CONFIG_METADATA!$B$4)*(nCURSO=A75)*(nASIG=B75),nNOTA)),"—"),"")</f>
        <v>—</v>
      </c>
      <c r="G75" t="str" cm="1">
        <f t="array" ref="G75">IF(V75="Sí",IFERROR(_xlfn.MODE.SNGL(IF((nEVAL=CONFIG_METADATA!$B$4)*(nCURSO=A75)*(nASIG=B75),nNOTA)),"—"),"")</f>
        <v>—</v>
      </c>
      <c r="H75" s="15" t="str">
        <f>IF(V75="Sí",IFERROR(COUNTIFS(DATOS!G:G,CONFIG_METADATA!$B$4,DATOS!D:D,A75,DATOS!I:I,B75,DATOS!L:L,"S")/COUNTIFS(DATOS!G:G,CONFIG_METADATA!$B$4,DATOS!D:D,A75,DATOS!I:I,B75),"—"),"")</f>
        <v>—</v>
      </c>
      <c r="I75" s="15" t="str">
        <f>IF(V75="Sí",IFERROR(COUNTIFS(DATOS!G:G,CONFIG_METADATA!$B$4,DATOS!D:D,A75,DATOS!I:I,B75,DATOS!L:L,"N")/COUNTIFS(DATOS!G:G,CONFIG_METADATA!$B$4,DATOS!D:D,A75,DATOS!I:I,B75),"—"),"")</f>
        <v>—</v>
      </c>
      <c r="J75" t="str" cm="1">
        <f t="array" ref="J75">IF(V75="Sí",IFERROR(_xlfn.MODE.SNGL(IF((nEVAL=CONFIG_METADATA!$B$4)*(nCURSO=A75)*(nASIG=B75)*(nAPTO="S"),nNOTA)),"—"),"")</f>
        <v>—</v>
      </c>
      <c r="K75" t="str" cm="1">
        <f t="array" ref="K75">IF(V75="Sí",IFERROR(_xlfn.MODE.SNGL(IF((nEVAL=CONFIG_METADATA!$B$4)*(nCURSO=A75)*(nASIG=B75)*(nAPTO="N"),nNOTA)),"—"),"")</f>
        <v>—</v>
      </c>
      <c r="L75">
        <f>IF(V75="Sí",COUNTIFS(DATOS!G:G,CONFIG_METADATA!$B$4,DATOS!D:D,A75,DATOS!I:I,B75,DATOS!K:K,1),"")</f>
        <v>0</v>
      </c>
      <c r="M75">
        <f>IF(V75="Sí",COUNTIFS(DATOS!G:G,CONFIG_METADATA!$B$4,DATOS!D:D,A75,DATOS!I:I,B75,DATOS!K:K,2),"")</f>
        <v>0</v>
      </c>
      <c r="N75">
        <f>IF(V75="Sí",COUNTIFS(DATOS!G:G,CONFIG_METADATA!$B$4,DATOS!D:D,A75,DATOS!I:I,B75,DATOS!K:K,3),"")</f>
        <v>0</v>
      </c>
      <c r="O75">
        <f>IF(V75="Sí",COUNTIFS(DATOS!G:G,CONFIG_METADATA!$B$4,DATOS!D:D,A75,DATOS!I:I,B75,DATOS!K:K,4),"")</f>
        <v>0</v>
      </c>
      <c r="P75">
        <f>IF(V75="Sí",COUNTIFS(DATOS!G:G,CONFIG_METADATA!$B$4,DATOS!D:D,A75,DATOS!I:I,B75,DATOS!K:K,5),"")</f>
        <v>0</v>
      </c>
      <c r="Q75">
        <f>IF(V75="Sí",COUNTIFS(DATOS!G:G,CONFIG_METADATA!$B$4,DATOS!D:D,A75,DATOS!I:I,B75,DATOS!K:K,6),"")</f>
        <v>0</v>
      </c>
      <c r="R75">
        <f>IF(V75="Sí",COUNTIFS(DATOS!G:G,CONFIG_METADATA!$B$4,DATOS!D:D,A75,DATOS!I:I,B75,DATOS!K:K,7),"")</f>
        <v>0</v>
      </c>
      <c r="S75">
        <f>IF(V75="Sí",COUNTIFS(DATOS!G:G,CONFIG_METADATA!$B$4,DATOS!D:D,A75,DATOS!I:I,B75,DATOS!K:K,8),"")</f>
        <v>0</v>
      </c>
      <c r="T75">
        <f>IF(V75="Sí",COUNTIFS(DATOS!G:G,CONFIG_METADATA!$B$4,DATOS!D:D,A75,DATOS!I:I,B75,DATOS!K:K,9),"")</f>
        <v>0</v>
      </c>
      <c r="U75">
        <f>IF(V75="Sí",COUNTIFS(DATOS!G:G,CONFIG_METADATA!$B$4,DATOS!D:D,A75,DATOS!I:I,B75,DATOS!K:K,10),"")</f>
        <v>0</v>
      </c>
      <c r="V75" t="str">
        <f>IFERROR(IF(ISERROR(FIND(A75,VLOOKUP(B75,CONFIG_ASIGNATURAS!B:C,2,FALSE()))),"No","Sí"),"No")</f>
        <v>Sí</v>
      </c>
    </row>
    <row r="76" spans="1:22">
      <c r="A76" s="3" t="inlineStr">
        <is>
          <t xml:space="preserve">1EEM</t>
        </is>
      </c>
      <c r="B76" s="3" cm="1">
        <f t="array" ref="B76">IFERROR(INDEX(_xlfn._xlws.FILTER(CONFIG_ASIGNATURAS!$B$2:$B$61,(CONFIG_ASIGNATURAS!$G$2:$G$61="Sí")*ISNUMBER(SEARCH("1EEM",CONFIG_ASIGNATURAS!$C$2:$C$61))),9),"")</f>
      </c>
      <c r="C76" s="3">
        <f>IF(B76="","",IFERROR(IF(VLOOKUP(B76,CONFIG_ASIGNATURAS!$B$2:$F$61,5,FALSE())="Sí","Especialidad","Asignatura"),"Asignatura"))</f>
      </c>
      <c r="D76">
        <f>IF(V76="Sí",COUNTIFS(DATOS!G:G,CONFIG_METADATA!$B$4,DATOS!D:D,A76,DATOS!I:I,B76),"")</f>
        <v>0</v>
      </c>
      <c r="E76" s="14" t="str">
        <f>IF(V76="Sí",IFERROR(AVERAGEIFS(DATOS!K:K,DATOS!G:G,CONFIG_METADATA!$B$4,DATOS!D:D,A76,DATOS!I:I,B76),"—"),"")</f>
        <v>—</v>
      </c>
      <c r="F76" s="14" t="str" cm="1">
        <f t="array" ref="F76">IF(V76="Sí",IFERROR(_xlfn.STDEV.P(IF((nEVAL=CONFIG_METADATA!$B$4)*(nCURSO=A76)*(nASIG=B76),nNOTA)),"—"),"")</f>
        <v>—</v>
      </c>
      <c r="G76" t="str" cm="1">
        <f t="array" ref="G76">IF(V76="Sí",IFERROR(_xlfn.MODE.SNGL(IF((nEVAL=CONFIG_METADATA!$B$4)*(nCURSO=A76)*(nASIG=B76),nNOTA)),"—"),"")</f>
        <v>—</v>
      </c>
      <c r="H76" s="15" t="str">
        <f>IF(V76="Sí",IFERROR(COUNTIFS(DATOS!G:G,CONFIG_METADATA!$B$4,DATOS!D:D,A76,DATOS!I:I,B76,DATOS!L:L,"S")/COUNTIFS(DATOS!G:G,CONFIG_METADATA!$B$4,DATOS!D:D,A76,DATOS!I:I,B76),"—"),"")</f>
        <v>—</v>
      </c>
      <c r="I76" s="15" t="str">
        <f>IF(V76="Sí",IFERROR(COUNTIFS(DATOS!G:G,CONFIG_METADATA!$B$4,DATOS!D:D,A76,DATOS!I:I,B76,DATOS!L:L,"N")/COUNTIFS(DATOS!G:G,CONFIG_METADATA!$B$4,DATOS!D:D,A76,DATOS!I:I,B76),"—"),"")</f>
        <v>—</v>
      </c>
      <c r="J76" t="str" cm="1">
        <f t="array" ref="J76">IF(V76="Sí",IFERROR(_xlfn.MODE.SNGL(IF((nEVAL=CONFIG_METADATA!$B$4)*(nCURSO=A76)*(nASIG=B76)*(nAPTO="S"),nNOTA)),"—"),"")</f>
        <v>—</v>
      </c>
      <c r="K76" t="str" cm="1">
        <f t="array" ref="K76">IF(V76="Sí",IFERROR(_xlfn.MODE.SNGL(IF((nEVAL=CONFIG_METADATA!$B$4)*(nCURSO=A76)*(nASIG=B76)*(nAPTO="N"),nNOTA)),"—"),"")</f>
        <v>—</v>
      </c>
      <c r="L76">
        <f>IF(V76="Sí",COUNTIFS(DATOS!G:G,CONFIG_METADATA!$B$4,DATOS!D:D,A76,DATOS!I:I,B76,DATOS!K:K,1),"")</f>
        <v>0</v>
      </c>
      <c r="M76">
        <f>IF(V76="Sí",COUNTIFS(DATOS!G:G,CONFIG_METADATA!$B$4,DATOS!D:D,A76,DATOS!I:I,B76,DATOS!K:K,2),"")</f>
        <v>0</v>
      </c>
      <c r="N76">
        <f>IF(V76="Sí",COUNTIFS(DATOS!G:G,CONFIG_METADATA!$B$4,DATOS!D:D,A76,DATOS!I:I,B76,DATOS!K:K,3),"")</f>
        <v>0</v>
      </c>
      <c r="O76">
        <f>IF(V76="Sí",COUNTIFS(DATOS!G:G,CONFIG_METADATA!$B$4,DATOS!D:D,A76,DATOS!I:I,B76,DATOS!K:K,4),"")</f>
        <v>0</v>
      </c>
      <c r="P76">
        <f>IF(V76="Sí",COUNTIFS(DATOS!G:G,CONFIG_METADATA!$B$4,DATOS!D:D,A76,DATOS!I:I,B76,DATOS!K:K,5),"")</f>
        <v>0</v>
      </c>
      <c r="Q76">
        <f>IF(V76="Sí",COUNTIFS(DATOS!G:G,CONFIG_METADATA!$B$4,DATOS!D:D,A76,DATOS!I:I,B76,DATOS!K:K,6),"")</f>
        <v>0</v>
      </c>
      <c r="R76">
        <f>IF(V76="Sí",COUNTIFS(DATOS!G:G,CONFIG_METADATA!$B$4,DATOS!D:D,A76,DATOS!I:I,B76,DATOS!K:K,7),"")</f>
        <v>0</v>
      </c>
      <c r="S76">
        <f>IF(V76="Sí",COUNTIFS(DATOS!G:G,CONFIG_METADATA!$B$4,DATOS!D:D,A76,DATOS!I:I,B76,DATOS!K:K,8),"")</f>
        <v>0</v>
      </c>
      <c r="T76">
        <f>IF(V76="Sí",COUNTIFS(DATOS!G:G,CONFIG_METADATA!$B$4,DATOS!D:D,A76,DATOS!I:I,B76,DATOS!K:K,9),"")</f>
        <v>0</v>
      </c>
      <c r="U76">
        <f>IF(V76="Sí",COUNTIFS(DATOS!G:G,CONFIG_METADATA!$B$4,DATOS!D:D,A76,DATOS!I:I,B76,DATOS!K:K,10),"")</f>
        <v>0</v>
      </c>
      <c r="V76" t="str">
        <f>IFERROR(IF(ISERROR(FIND(A76,VLOOKUP(B76,CONFIG_ASIGNATURAS!B:C,2,FALSE()))),"No","Sí"),"No")</f>
        <v>Sí</v>
      </c>
    </row>
    <row r="77" spans="1:22">
      <c r="A77" s="3" t="inlineStr">
        <is>
          <t xml:space="preserve">1EEM</t>
        </is>
      </c>
      <c r="B77" s="3" cm="1">
        <f t="array" ref="B77">IFERROR(INDEX(_xlfn._xlws.FILTER(CONFIG_ASIGNATURAS!$B$2:$B$61,(CONFIG_ASIGNATURAS!$G$2:$G$61="Sí")*ISNUMBER(SEARCH("1EEM",CONFIG_ASIGNATURAS!$C$2:$C$61))),10),"")</f>
      </c>
      <c r="C77" s="3">
        <f>IF(B77="","",IFERROR(IF(VLOOKUP(B77,CONFIG_ASIGNATURAS!$B$2:$F$61,5,FALSE())="Sí","Especialidad","Asignatura"),"Asignatura"))</f>
      </c>
      <c r="D77">
        <f>IF(V77="Sí",COUNTIFS(DATOS!G:G,CONFIG_METADATA!$B$4,DATOS!D:D,A77,DATOS!I:I,B77),"")</f>
        <v>0</v>
      </c>
      <c r="E77" s="14" t="str">
        <f>IF(V77="Sí",IFERROR(AVERAGEIFS(DATOS!K:K,DATOS!G:G,CONFIG_METADATA!$B$4,DATOS!D:D,A77,DATOS!I:I,B77),"—"),"")</f>
        <v>—</v>
      </c>
      <c r="F77" s="14" t="str" cm="1">
        <f t="array" ref="F77">IF(V77="Sí",IFERROR(_xlfn.STDEV.P(IF((nEVAL=CONFIG_METADATA!$B$4)*(nCURSO=A77)*(nASIG=B77),nNOTA)),"—"),"")</f>
        <v>—</v>
      </c>
      <c r="G77" t="str" cm="1">
        <f t="array" ref="G77">IF(V77="Sí",IFERROR(_xlfn.MODE.SNGL(IF((nEVAL=CONFIG_METADATA!$B$4)*(nCURSO=A77)*(nASIG=B77),nNOTA)),"—"),"")</f>
        <v>—</v>
      </c>
      <c r="H77" s="15" t="str">
        <f>IF(V77="Sí",IFERROR(COUNTIFS(DATOS!G:G,CONFIG_METADATA!$B$4,DATOS!D:D,A77,DATOS!I:I,B77,DATOS!L:L,"S")/COUNTIFS(DATOS!G:G,CONFIG_METADATA!$B$4,DATOS!D:D,A77,DATOS!I:I,B77),"—"),"")</f>
        <v>—</v>
      </c>
      <c r="I77" s="15" t="str">
        <f>IF(V77="Sí",IFERROR(COUNTIFS(DATOS!G:G,CONFIG_METADATA!$B$4,DATOS!D:D,A77,DATOS!I:I,B77,DATOS!L:L,"N")/COUNTIFS(DATOS!G:G,CONFIG_METADATA!$B$4,DATOS!D:D,A77,DATOS!I:I,B77),"—"),"")</f>
        <v>—</v>
      </c>
      <c r="J77" t="str" cm="1">
        <f t="array" ref="J77">IF(V77="Sí",IFERROR(_xlfn.MODE.SNGL(IF((nEVAL=CONFIG_METADATA!$B$4)*(nCURSO=A77)*(nASIG=B77)*(nAPTO="S"),nNOTA)),"—"),"")</f>
        <v>—</v>
      </c>
      <c r="K77" t="str" cm="1">
        <f t="array" ref="K77">IF(V77="Sí",IFERROR(_xlfn.MODE.SNGL(IF((nEVAL=CONFIG_METADATA!$B$4)*(nCURSO=A77)*(nASIG=B77)*(nAPTO="N"),nNOTA)),"—"),"")</f>
        <v>—</v>
      </c>
      <c r="L77">
        <f>IF(V77="Sí",COUNTIFS(DATOS!G:G,CONFIG_METADATA!$B$4,DATOS!D:D,A77,DATOS!I:I,B77,DATOS!K:K,1),"")</f>
        <v>0</v>
      </c>
      <c r="M77">
        <f>IF(V77="Sí",COUNTIFS(DATOS!G:G,CONFIG_METADATA!$B$4,DATOS!D:D,A77,DATOS!I:I,B77,DATOS!K:K,2),"")</f>
        <v>0</v>
      </c>
      <c r="N77">
        <f>IF(V77="Sí",COUNTIFS(DATOS!G:G,CONFIG_METADATA!$B$4,DATOS!D:D,A77,DATOS!I:I,B77,DATOS!K:K,3),"")</f>
        <v>0</v>
      </c>
      <c r="O77">
        <f>IF(V77="Sí",COUNTIFS(DATOS!G:G,CONFIG_METADATA!$B$4,DATOS!D:D,A77,DATOS!I:I,B77,DATOS!K:K,4),"")</f>
        <v>0</v>
      </c>
      <c r="P77">
        <f>IF(V77="Sí",COUNTIFS(DATOS!G:G,CONFIG_METADATA!$B$4,DATOS!D:D,A77,DATOS!I:I,B77,DATOS!K:K,5),"")</f>
        <v>0</v>
      </c>
      <c r="Q77">
        <f>IF(V77="Sí",COUNTIFS(DATOS!G:G,CONFIG_METADATA!$B$4,DATOS!D:D,A77,DATOS!I:I,B77,DATOS!K:K,6),"")</f>
        <v>0</v>
      </c>
      <c r="R77">
        <f>IF(V77="Sí",COUNTIFS(DATOS!G:G,CONFIG_METADATA!$B$4,DATOS!D:D,A77,DATOS!I:I,B77,DATOS!K:K,7),"")</f>
        <v>0</v>
      </c>
      <c r="S77">
        <f>IF(V77="Sí",COUNTIFS(DATOS!G:G,CONFIG_METADATA!$B$4,DATOS!D:D,A77,DATOS!I:I,B77,DATOS!K:K,8),"")</f>
        <v>0</v>
      </c>
      <c r="T77">
        <f>IF(V77="Sí",COUNTIFS(DATOS!G:G,CONFIG_METADATA!$B$4,DATOS!D:D,A77,DATOS!I:I,B77,DATOS!K:K,9),"")</f>
        <v>0</v>
      </c>
      <c r="U77">
        <f>IF(V77="Sí",COUNTIFS(DATOS!G:G,CONFIG_METADATA!$B$4,DATOS!D:D,A77,DATOS!I:I,B77,DATOS!K:K,10),"")</f>
        <v>0</v>
      </c>
      <c r="V77" t="str">
        <f>IFERROR(IF(ISERROR(FIND(A77,VLOOKUP(B77,CONFIG_ASIGNATURAS!B:C,2,FALSE()))),"No","Sí"),"No")</f>
        <v>Sí</v>
      </c>
    </row>
    <row r="78" spans="1:22">
      <c r="A78" s="3" t="inlineStr">
        <is>
          <t xml:space="preserve">1EEM</t>
        </is>
      </c>
      <c r="B78" s="3" cm="1">
        <f t="array" ref="B78">IFERROR(INDEX(_xlfn._xlws.FILTER(CONFIG_ASIGNATURAS!$B$2:$B$61,(CONFIG_ASIGNATURAS!$G$2:$G$61="Sí")*ISNUMBER(SEARCH("1EEM",CONFIG_ASIGNATURAS!$C$2:$C$61))),11),"")</f>
      </c>
      <c r="C78" s="3">
        <f>IF(B78="","",IFERROR(IF(VLOOKUP(B78,CONFIG_ASIGNATURAS!$B$2:$F$61,5,FALSE())="Sí","Especialidad","Asignatura"),"Asignatura"))</f>
      </c>
      <c r="D78">
        <f>IF(V78="Sí",COUNTIFS(DATOS!G:G,CONFIG_METADATA!$B$4,DATOS!D:D,A78,DATOS!I:I,B78),"")</f>
        <v>0</v>
      </c>
      <c r="E78" s="14" t="str">
        <f>IF(V78="Sí",IFERROR(AVERAGEIFS(DATOS!K:K,DATOS!G:G,CONFIG_METADATA!$B$4,DATOS!D:D,A78,DATOS!I:I,B78),"—"),"")</f>
        <v>—</v>
      </c>
      <c r="F78" s="14" t="str" cm="1">
        <f t="array" ref="F78">IF(V78="Sí",IFERROR(_xlfn.STDEV.P(IF((nEVAL=CONFIG_METADATA!$B$4)*(nCURSO=A78)*(nASIG=B78),nNOTA)),"—"),"")</f>
        <v>—</v>
      </c>
      <c r="G78" t="str" cm="1">
        <f t="array" ref="G78">IF(V78="Sí",IFERROR(_xlfn.MODE.SNGL(IF((nEVAL=CONFIG_METADATA!$B$4)*(nCURSO=A78)*(nASIG=B78),nNOTA)),"—"),"")</f>
        <v>—</v>
      </c>
      <c r="H78" s="15" t="str">
        <f>IF(V78="Sí",IFERROR(COUNTIFS(DATOS!G:G,CONFIG_METADATA!$B$4,DATOS!D:D,A78,DATOS!I:I,B78,DATOS!L:L,"S")/COUNTIFS(DATOS!G:G,CONFIG_METADATA!$B$4,DATOS!D:D,A78,DATOS!I:I,B78),"—"),"")</f>
        <v>—</v>
      </c>
      <c r="I78" s="15" t="str">
        <f>IF(V78="Sí",IFERROR(COUNTIFS(DATOS!G:G,CONFIG_METADATA!$B$4,DATOS!D:D,A78,DATOS!I:I,B78,DATOS!L:L,"N")/COUNTIFS(DATOS!G:G,CONFIG_METADATA!$B$4,DATOS!D:D,A78,DATOS!I:I,B78),"—"),"")</f>
        <v>—</v>
      </c>
      <c r="J78" t="str" cm="1">
        <f t="array" ref="J78">IF(V78="Sí",IFERROR(_xlfn.MODE.SNGL(IF((nEVAL=CONFIG_METADATA!$B$4)*(nCURSO=A78)*(nASIG=B78)*(nAPTO="S"),nNOTA)),"—"),"")</f>
        <v>—</v>
      </c>
      <c r="K78" t="str" cm="1">
        <f t="array" ref="K78">IF(V78="Sí",IFERROR(_xlfn.MODE.SNGL(IF((nEVAL=CONFIG_METADATA!$B$4)*(nCURSO=A78)*(nASIG=B78)*(nAPTO="N"),nNOTA)),"—"),"")</f>
        <v>—</v>
      </c>
      <c r="L78">
        <f>IF(V78="Sí",COUNTIFS(DATOS!G:G,CONFIG_METADATA!$B$4,DATOS!D:D,A78,DATOS!I:I,B78,DATOS!K:K,1),"")</f>
        <v>0</v>
      </c>
      <c r="M78">
        <f>IF(V78="Sí",COUNTIFS(DATOS!G:G,CONFIG_METADATA!$B$4,DATOS!D:D,A78,DATOS!I:I,B78,DATOS!K:K,2),"")</f>
        <v>0</v>
      </c>
      <c r="N78">
        <f>IF(V78="Sí",COUNTIFS(DATOS!G:G,CONFIG_METADATA!$B$4,DATOS!D:D,A78,DATOS!I:I,B78,DATOS!K:K,3),"")</f>
        <v>0</v>
      </c>
      <c r="O78">
        <f>IF(V78="Sí",COUNTIFS(DATOS!G:G,CONFIG_METADATA!$B$4,DATOS!D:D,A78,DATOS!I:I,B78,DATOS!K:K,4),"")</f>
        <v>0</v>
      </c>
      <c r="P78">
        <f>IF(V78="Sí",COUNTIFS(DATOS!G:G,CONFIG_METADATA!$B$4,DATOS!D:D,A78,DATOS!I:I,B78,DATOS!K:K,5),"")</f>
        <v>0</v>
      </c>
      <c r="Q78">
        <f>IF(V78="Sí",COUNTIFS(DATOS!G:G,CONFIG_METADATA!$B$4,DATOS!D:D,A78,DATOS!I:I,B78,DATOS!K:K,6),"")</f>
        <v>0</v>
      </c>
      <c r="R78">
        <f>IF(V78="Sí",COUNTIFS(DATOS!G:G,CONFIG_METADATA!$B$4,DATOS!D:D,A78,DATOS!I:I,B78,DATOS!K:K,7),"")</f>
        <v>0</v>
      </c>
      <c r="S78">
        <f>IF(V78="Sí",COUNTIFS(DATOS!G:G,CONFIG_METADATA!$B$4,DATOS!D:D,A78,DATOS!I:I,B78,DATOS!K:K,8),"")</f>
        <v>0</v>
      </c>
      <c r="T78">
        <f>IF(V78="Sí",COUNTIFS(DATOS!G:G,CONFIG_METADATA!$B$4,DATOS!D:D,A78,DATOS!I:I,B78,DATOS!K:K,9),"")</f>
        <v>0</v>
      </c>
      <c r="U78">
        <f>IF(V78="Sí",COUNTIFS(DATOS!G:G,CONFIG_METADATA!$B$4,DATOS!D:D,A78,DATOS!I:I,B78,DATOS!K:K,10),"")</f>
        <v>0</v>
      </c>
      <c r="V78" t="str">
        <f>IFERROR(IF(ISERROR(FIND(A78,VLOOKUP(B78,CONFIG_ASIGNATURAS!B:C,2,FALSE()))),"No","Sí"),"No")</f>
        <v>Sí</v>
      </c>
    </row>
    <row r="79" spans="1:22">
      <c r="A79" s="3" t="inlineStr">
        <is>
          <t xml:space="preserve">1EEM</t>
        </is>
      </c>
      <c r="B79" s="3" cm="1">
        <f t="array" ref="B79">IFERROR(INDEX(_xlfn._xlws.FILTER(CONFIG_ASIGNATURAS!$B$2:$B$61,(CONFIG_ASIGNATURAS!$G$2:$G$61="Sí")*ISNUMBER(SEARCH("1EEM",CONFIG_ASIGNATURAS!$C$2:$C$61))),12),"")</f>
      </c>
      <c r="C79" s="3">
        <f>IF(B79="","",IFERROR(IF(VLOOKUP(B79,CONFIG_ASIGNATURAS!$B$2:$F$61,5,FALSE())="Sí","Especialidad","Asignatura"),"Asignatura"))</f>
      </c>
      <c r="D79">
        <f>IF(V79="Sí",COUNTIFS(DATOS!G:G,CONFIG_METADATA!$B$4,DATOS!D:D,A79,DATOS!I:I,B79),"")</f>
        <v>0</v>
      </c>
      <c r="E79" s="14" t="str">
        <f>IF(V79="Sí",IFERROR(AVERAGEIFS(DATOS!K:K,DATOS!G:G,CONFIG_METADATA!$B$4,DATOS!D:D,A79,DATOS!I:I,B79),"—"),"")</f>
        <v>—</v>
      </c>
      <c r="F79" s="14" t="str" cm="1">
        <f t="array" ref="F79">IF(V79="Sí",IFERROR(_xlfn.STDEV.P(IF((nEVAL=CONFIG_METADATA!$B$4)*(nCURSO=A79)*(nASIG=B79),nNOTA)),"—"),"")</f>
        <v>—</v>
      </c>
      <c r="G79" t="str" cm="1">
        <f t="array" ref="G79">IF(V79="Sí",IFERROR(_xlfn.MODE.SNGL(IF((nEVAL=CONFIG_METADATA!$B$4)*(nCURSO=A79)*(nASIG=B79),nNOTA)),"—"),"")</f>
        <v>—</v>
      </c>
      <c r="H79" s="15" t="str">
        <f>IF(V79="Sí",IFERROR(COUNTIFS(DATOS!G:G,CONFIG_METADATA!$B$4,DATOS!D:D,A79,DATOS!I:I,B79,DATOS!L:L,"S")/COUNTIFS(DATOS!G:G,CONFIG_METADATA!$B$4,DATOS!D:D,A79,DATOS!I:I,B79),"—"),"")</f>
        <v>—</v>
      </c>
      <c r="I79" s="15" t="str">
        <f>IF(V79="Sí",IFERROR(COUNTIFS(DATOS!G:G,CONFIG_METADATA!$B$4,DATOS!D:D,A79,DATOS!I:I,B79,DATOS!L:L,"N")/COUNTIFS(DATOS!G:G,CONFIG_METADATA!$B$4,DATOS!D:D,A79,DATOS!I:I,B79),"—"),"")</f>
        <v>—</v>
      </c>
      <c r="J79" t="str" cm="1">
        <f t="array" ref="J79">IF(V79="Sí",IFERROR(_xlfn.MODE.SNGL(IF((nEVAL=CONFIG_METADATA!$B$4)*(nCURSO=A79)*(nASIG=B79)*(nAPTO="S"),nNOTA)),"—"),"")</f>
        <v>—</v>
      </c>
      <c r="K79" t="str" cm="1">
        <f t="array" ref="K79">IF(V79="Sí",IFERROR(_xlfn.MODE.SNGL(IF((nEVAL=CONFIG_METADATA!$B$4)*(nCURSO=A79)*(nASIG=B79)*(nAPTO="N"),nNOTA)),"—"),"")</f>
        <v>—</v>
      </c>
      <c r="L79">
        <f>IF(V79="Sí",COUNTIFS(DATOS!G:G,CONFIG_METADATA!$B$4,DATOS!D:D,A79,DATOS!I:I,B79,DATOS!K:K,1),"")</f>
        <v>0</v>
      </c>
      <c r="M79">
        <f>IF(V79="Sí",COUNTIFS(DATOS!G:G,CONFIG_METADATA!$B$4,DATOS!D:D,A79,DATOS!I:I,B79,DATOS!K:K,2),"")</f>
        <v>0</v>
      </c>
      <c r="N79">
        <f>IF(V79="Sí",COUNTIFS(DATOS!G:G,CONFIG_METADATA!$B$4,DATOS!D:D,A79,DATOS!I:I,B79,DATOS!K:K,3),"")</f>
        <v>0</v>
      </c>
      <c r="O79">
        <f>IF(V79="Sí",COUNTIFS(DATOS!G:G,CONFIG_METADATA!$B$4,DATOS!D:D,A79,DATOS!I:I,B79,DATOS!K:K,4),"")</f>
        <v>0</v>
      </c>
      <c r="P79">
        <f>IF(V79="Sí",COUNTIFS(DATOS!G:G,CONFIG_METADATA!$B$4,DATOS!D:D,A79,DATOS!I:I,B79,DATOS!K:K,5),"")</f>
        <v>0</v>
      </c>
      <c r="Q79">
        <f>IF(V79="Sí",COUNTIFS(DATOS!G:G,CONFIG_METADATA!$B$4,DATOS!D:D,A79,DATOS!I:I,B79,DATOS!K:K,6),"")</f>
        <v>0</v>
      </c>
      <c r="R79">
        <f>IF(V79="Sí",COUNTIFS(DATOS!G:G,CONFIG_METADATA!$B$4,DATOS!D:D,A79,DATOS!I:I,B79,DATOS!K:K,7),"")</f>
        <v>0</v>
      </c>
      <c r="S79">
        <f>IF(V79="Sí",COUNTIFS(DATOS!G:G,CONFIG_METADATA!$B$4,DATOS!D:D,A79,DATOS!I:I,B79,DATOS!K:K,8),"")</f>
        <v>0</v>
      </c>
      <c r="T79">
        <f>IF(V79="Sí",COUNTIFS(DATOS!G:G,CONFIG_METADATA!$B$4,DATOS!D:D,A79,DATOS!I:I,B79,DATOS!K:K,9),"")</f>
        <v>0</v>
      </c>
      <c r="U79">
        <f>IF(V79="Sí",COUNTIFS(DATOS!G:G,CONFIG_METADATA!$B$4,DATOS!D:D,A79,DATOS!I:I,B79,DATOS!K:K,10),"")</f>
        <v>0</v>
      </c>
      <c r="V79" t="str">
        <f>IFERROR(IF(ISERROR(FIND(A79,VLOOKUP(B79,CONFIG_ASIGNATURAS!B:C,2,FALSE()))),"No","Sí"),"No")</f>
        <v>Sí</v>
      </c>
    </row>
    <row r="80" spans="1:22">
      <c r="A80" s="3" t="inlineStr">
        <is>
          <t xml:space="preserve">1EEM</t>
        </is>
      </c>
      <c r="B80" s="3" cm="1">
        <f t="array" ref="B80">IFERROR(INDEX(_xlfn._xlws.FILTER(CONFIG_ASIGNATURAS!$B$2:$B$61,(CONFIG_ASIGNATURAS!$G$2:$G$61="Sí")*ISNUMBER(SEARCH("1EEM",CONFIG_ASIGNATURAS!$C$2:$C$61))),13),"")</f>
      </c>
      <c r="C80" s="3">
        <f>IF(B80="","",IFERROR(IF(VLOOKUP(B80,CONFIG_ASIGNATURAS!$B$2:$F$61,5,FALSE())="Sí","Especialidad","Asignatura"),"Asignatura"))</f>
      </c>
      <c r="D80">
        <f>IF(V80="Sí",COUNTIFS(DATOS!G:G,CONFIG_METADATA!$B$4,DATOS!D:D,A80,DATOS!I:I,B80),"")</f>
        <v>0</v>
      </c>
      <c r="E80" s="14" t="str">
        <f>IF(V80="Sí",IFERROR(AVERAGEIFS(DATOS!K:K,DATOS!G:G,CONFIG_METADATA!$B$4,DATOS!D:D,A80,DATOS!I:I,B80),"—"),"")</f>
        <v>—</v>
      </c>
      <c r="F80" s="14" t="str" cm="1">
        <f t="array" ref="F80">IF(V80="Sí",IFERROR(_xlfn.STDEV.P(IF((nEVAL=CONFIG_METADATA!$B$4)*(nCURSO=A80)*(nASIG=B80),nNOTA)),"—"),"")</f>
        <v>—</v>
      </c>
      <c r="G80" t="str" cm="1">
        <f t="array" ref="G80">IF(V80="Sí",IFERROR(_xlfn.MODE.SNGL(IF((nEVAL=CONFIG_METADATA!$B$4)*(nCURSO=A80)*(nASIG=B80),nNOTA)),"—"),"")</f>
        <v>—</v>
      </c>
      <c r="H80" s="15" t="str">
        <f>IF(V80="Sí",IFERROR(COUNTIFS(DATOS!G:G,CONFIG_METADATA!$B$4,DATOS!D:D,A80,DATOS!I:I,B80,DATOS!L:L,"S")/COUNTIFS(DATOS!G:G,CONFIG_METADATA!$B$4,DATOS!D:D,A80,DATOS!I:I,B80),"—"),"")</f>
        <v>—</v>
      </c>
      <c r="I80" s="15" t="str">
        <f>IF(V80="Sí",IFERROR(COUNTIFS(DATOS!G:G,CONFIG_METADATA!$B$4,DATOS!D:D,A80,DATOS!I:I,B80,DATOS!L:L,"N")/COUNTIFS(DATOS!G:G,CONFIG_METADATA!$B$4,DATOS!D:D,A80,DATOS!I:I,B80),"—"),"")</f>
        <v>—</v>
      </c>
      <c r="J80" t="str" cm="1">
        <f t="array" ref="J80">IF(V80="Sí",IFERROR(_xlfn.MODE.SNGL(IF((nEVAL=CONFIG_METADATA!$B$4)*(nCURSO=A80)*(nASIG=B80)*(nAPTO="S"),nNOTA)),"—"),"")</f>
        <v>—</v>
      </c>
      <c r="K80" t="str" cm="1">
        <f t="array" ref="K80">IF(V80="Sí",IFERROR(_xlfn.MODE.SNGL(IF((nEVAL=CONFIG_METADATA!$B$4)*(nCURSO=A80)*(nASIG=B80)*(nAPTO="N"),nNOTA)),"—"),"")</f>
        <v>—</v>
      </c>
      <c r="L80">
        <f>IF(V80="Sí",COUNTIFS(DATOS!G:G,CONFIG_METADATA!$B$4,DATOS!D:D,A80,DATOS!I:I,B80,DATOS!K:K,1),"")</f>
        <v>0</v>
      </c>
      <c r="M80">
        <f>IF(V80="Sí",COUNTIFS(DATOS!G:G,CONFIG_METADATA!$B$4,DATOS!D:D,A80,DATOS!I:I,B80,DATOS!K:K,2),"")</f>
        <v>0</v>
      </c>
      <c r="N80">
        <f>IF(V80="Sí",COUNTIFS(DATOS!G:G,CONFIG_METADATA!$B$4,DATOS!D:D,A80,DATOS!I:I,B80,DATOS!K:K,3),"")</f>
        <v>0</v>
      </c>
      <c r="O80">
        <f>IF(V80="Sí",COUNTIFS(DATOS!G:G,CONFIG_METADATA!$B$4,DATOS!D:D,A80,DATOS!I:I,B80,DATOS!K:K,4),"")</f>
        <v>0</v>
      </c>
      <c r="P80">
        <f>IF(V80="Sí",COUNTIFS(DATOS!G:G,CONFIG_METADATA!$B$4,DATOS!D:D,A80,DATOS!I:I,B80,DATOS!K:K,5),"")</f>
        <v>0</v>
      </c>
      <c r="Q80">
        <f>IF(V80="Sí",COUNTIFS(DATOS!G:G,CONFIG_METADATA!$B$4,DATOS!D:D,A80,DATOS!I:I,B80,DATOS!K:K,6),"")</f>
        <v>0</v>
      </c>
      <c r="R80">
        <f>IF(V80="Sí",COUNTIFS(DATOS!G:G,CONFIG_METADATA!$B$4,DATOS!D:D,A80,DATOS!I:I,B80,DATOS!K:K,7),"")</f>
        <v>0</v>
      </c>
      <c r="S80">
        <f>IF(V80="Sí",COUNTIFS(DATOS!G:G,CONFIG_METADATA!$B$4,DATOS!D:D,A80,DATOS!I:I,B80,DATOS!K:K,8),"")</f>
        <v>0</v>
      </c>
      <c r="T80">
        <f>IF(V80="Sí",COUNTIFS(DATOS!G:G,CONFIG_METADATA!$B$4,DATOS!D:D,A80,DATOS!I:I,B80,DATOS!K:K,9),"")</f>
        <v>0</v>
      </c>
      <c r="U80">
        <f>IF(V80="Sí",COUNTIFS(DATOS!G:G,CONFIG_METADATA!$B$4,DATOS!D:D,A80,DATOS!I:I,B80,DATOS!K:K,10),"")</f>
        <v>0</v>
      </c>
      <c r="V80" t="str">
        <f>IFERROR(IF(ISERROR(FIND(A80,VLOOKUP(B80,CONFIG_ASIGNATURAS!B:C,2,FALSE()))),"No","Sí"),"No")</f>
        <v>Sí</v>
      </c>
    </row>
    <row r="81" spans="1:22">
      <c r="A81" s="3" t="inlineStr">
        <is>
          <t xml:space="preserve">1EEM</t>
        </is>
      </c>
      <c r="B81" s="3" cm="1">
        <f t="array" ref="B81">IFERROR(INDEX(_xlfn._xlws.FILTER(CONFIG_ASIGNATURAS!$B$2:$B$61,(CONFIG_ASIGNATURAS!$G$2:$G$61="Sí")*ISNUMBER(SEARCH("1EEM",CONFIG_ASIGNATURAS!$C$2:$C$61))),14),"")</f>
      </c>
      <c r="C81" s="3">
        <f>IF(B81="","",IFERROR(IF(VLOOKUP(B81,CONFIG_ASIGNATURAS!$B$2:$F$61,5,FALSE())="Sí","Especialidad","Asignatura"),"Asignatura"))</f>
      </c>
      <c r="D81">
        <f>IF(V81="Sí",COUNTIFS(DATOS!G:G,CONFIG_METADATA!$B$4,DATOS!D:D,A81,DATOS!I:I,B81),"")</f>
        <v>0</v>
      </c>
      <c r="E81" s="14" t="str">
        <f>IF(V81="Sí",IFERROR(AVERAGEIFS(DATOS!K:K,DATOS!G:G,CONFIG_METADATA!$B$4,DATOS!D:D,A81,DATOS!I:I,B81),"—"),"")</f>
        <v>—</v>
      </c>
      <c r="F81" s="14" t="str" cm="1">
        <f t="array" ref="F81">IF(V81="Sí",IFERROR(_xlfn.STDEV.P(IF((nEVAL=CONFIG_METADATA!$B$4)*(nCURSO=A81)*(nASIG=B81),nNOTA)),"—"),"")</f>
        <v>—</v>
      </c>
      <c r="G81" t="str" cm="1">
        <f t="array" ref="G81">IF(V81="Sí",IFERROR(_xlfn.MODE.SNGL(IF((nEVAL=CONFIG_METADATA!$B$4)*(nCURSO=A81)*(nASIG=B81),nNOTA)),"—"),"")</f>
        <v>—</v>
      </c>
      <c r="H81" s="15" t="str">
        <f>IF(V81="Sí",IFERROR(COUNTIFS(DATOS!G:G,CONFIG_METADATA!$B$4,DATOS!D:D,A81,DATOS!I:I,B81,DATOS!L:L,"S")/COUNTIFS(DATOS!G:G,CONFIG_METADATA!$B$4,DATOS!D:D,A81,DATOS!I:I,B81),"—"),"")</f>
        <v>—</v>
      </c>
      <c r="I81" s="15" t="str">
        <f>IF(V81="Sí",IFERROR(COUNTIFS(DATOS!G:G,CONFIG_METADATA!$B$4,DATOS!D:D,A81,DATOS!I:I,B81,DATOS!L:L,"N")/COUNTIFS(DATOS!G:G,CONFIG_METADATA!$B$4,DATOS!D:D,A81,DATOS!I:I,B81),"—"),"")</f>
        <v>—</v>
      </c>
      <c r="J81" t="str" cm="1">
        <f t="array" ref="J81">IF(V81="Sí",IFERROR(_xlfn.MODE.SNGL(IF((nEVAL=CONFIG_METADATA!$B$4)*(nCURSO=A81)*(nASIG=B81)*(nAPTO="S"),nNOTA)),"—"),"")</f>
        <v>—</v>
      </c>
      <c r="K81" t="str" cm="1">
        <f t="array" ref="K81">IF(V81="Sí",IFERROR(_xlfn.MODE.SNGL(IF((nEVAL=CONFIG_METADATA!$B$4)*(nCURSO=A81)*(nASIG=B81)*(nAPTO="N"),nNOTA)),"—"),"")</f>
        <v>—</v>
      </c>
      <c r="L81">
        <f>IF(V81="Sí",COUNTIFS(DATOS!G:G,CONFIG_METADATA!$B$4,DATOS!D:D,A81,DATOS!I:I,B81,DATOS!K:K,1),"")</f>
        <v>0</v>
      </c>
      <c r="M81">
        <f>IF(V81="Sí",COUNTIFS(DATOS!G:G,CONFIG_METADATA!$B$4,DATOS!D:D,A81,DATOS!I:I,B81,DATOS!K:K,2),"")</f>
        <v>0</v>
      </c>
      <c r="N81">
        <f>IF(V81="Sí",COUNTIFS(DATOS!G:G,CONFIG_METADATA!$B$4,DATOS!D:D,A81,DATOS!I:I,B81,DATOS!K:K,3),"")</f>
        <v>0</v>
      </c>
      <c r="O81">
        <f>IF(V81="Sí",COUNTIFS(DATOS!G:G,CONFIG_METADATA!$B$4,DATOS!D:D,A81,DATOS!I:I,B81,DATOS!K:K,4),"")</f>
        <v>0</v>
      </c>
      <c r="P81">
        <f>IF(V81="Sí",COUNTIFS(DATOS!G:G,CONFIG_METADATA!$B$4,DATOS!D:D,A81,DATOS!I:I,B81,DATOS!K:K,5),"")</f>
        <v>0</v>
      </c>
      <c r="Q81">
        <f>IF(V81="Sí",COUNTIFS(DATOS!G:G,CONFIG_METADATA!$B$4,DATOS!D:D,A81,DATOS!I:I,B81,DATOS!K:K,6),"")</f>
        <v>0</v>
      </c>
      <c r="R81">
        <f>IF(V81="Sí",COUNTIFS(DATOS!G:G,CONFIG_METADATA!$B$4,DATOS!D:D,A81,DATOS!I:I,B81,DATOS!K:K,7),"")</f>
        <v>0</v>
      </c>
      <c r="S81">
        <f>IF(V81="Sí",COUNTIFS(DATOS!G:G,CONFIG_METADATA!$B$4,DATOS!D:D,A81,DATOS!I:I,B81,DATOS!K:K,8),"")</f>
        <v>0</v>
      </c>
      <c r="T81">
        <f>IF(V81="Sí",COUNTIFS(DATOS!G:G,CONFIG_METADATA!$B$4,DATOS!D:D,A81,DATOS!I:I,B81,DATOS!K:K,9),"")</f>
        <v>0</v>
      </c>
      <c r="U81">
        <f>IF(V81="Sí",COUNTIFS(DATOS!G:G,CONFIG_METADATA!$B$4,DATOS!D:D,A81,DATOS!I:I,B81,DATOS!K:K,10),"")</f>
        <v>0</v>
      </c>
      <c r="V81" t="str">
        <f>IFERROR(IF(ISERROR(FIND(A81,VLOOKUP(B81,CONFIG_ASIGNATURAS!B:C,2,FALSE()))),"No","Sí"),"No")</f>
        <v>Sí</v>
      </c>
    </row>
    <row r="82" spans="1:22">
      <c r="A82" s="3" t="inlineStr">
        <is>
          <t xml:space="preserve">1EEM</t>
        </is>
      </c>
      <c r="B82" s="3" cm="1">
        <f t="array" ref="B82">IFERROR(INDEX(_xlfn._xlws.FILTER(CONFIG_ASIGNATURAS!$B$2:$B$61,(CONFIG_ASIGNATURAS!$G$2:$G$61="Sí")*ISNUMBER(SEARCH("1EEM",CONFIG_ASIGNATURAS!$C$2:$C$61))),15),"")</f>
      </c>
      <c r="C82" s="3">
        <f>IF(B82="","",IFERROR(IF(VLOOKUP(B82,CONFIG_ASIGNATURAS!$B$2:$F$61,5,FALSE())="Sí","Especialidad","Asignatura"),"Asignatura"))</f>
      </c>
      <c r="D82">
        <f>IF(V82="Sí",COUNTIFS(DATOS!G:G,CONFIG_METADATA!$B$4,DATOS!D:D,A82,DATOS!I:I,B82),"")</f>
        <v>0</v>
      </c>
      <c r="E82" s="14" t="str">
        <f>IF(V82="Sí",IFERROR(AVERAGEIFS(DATOS!K:K,DATOS!G:G,CONFIG_METADATA!$B$4,DATOS!D:D,A82,DATOS!I:I,B82),"—"),"")</f>
        <v>—</v>
      </c>
      <c r="F82" s="14" t="str" cm="1">
        <f t="array" ref="F82">IF(V82="Sí",IFERROR(_xlfn.STDEV.P(IF((nEVAL=CONFIG_METADATA!$B$4)*(nCURSO=A82)*(nASIG=B82),nNOTA)),"—"),"")</f>
        <v>—</v>
      </c>
      <c r="G82" t="str" cm="1">
        <f t="array" ref="G82">IF(V82="Sí",IFERROR(_xlfn.MODE.SNGL(IF((nEVAL=CONFIG_METADATA!$B$4)*(nCURSO=A82)*(nASIG=B82),nNOTA)),"—"),"")</f>
        <v>—</v>
      </c>
      <c r="H82" s="15" t="str">
        <f>IF(V82="Sí",IFERROR(COUNTIFS(DATOS!G:G,CONFIG_METADATA!$B$4,DATOS!D:D,A82,DATOS!I:I,B82,DATOS!L:L,"S")/COUNTIFS(DATOS!G:G,CONFIG_METADATA!$B$4,DATOS!D:D,A82,DATOS!I:I,B82),"—"),"")</f>
        <v>—</v>
      </c>
      <c r="I82" s="15" t="str">
        <f>IF(V82="Sí",IFERROR(COUNTIFS(DATOS!G:G,CONFIG_METADATA!$B$4,DATOS!D:D,A82,DATOS!I:I,B82,DATOS!L:L,"N")/COUNTIFS(DATOS!G:G,CONFIG_METADATA!$B$4,DATOS!D:D,A82,DATOS!I:I,B82),"—"),"")</f>
        <v>—</v>
      </c>
      <c r="J82" t="str" cm="1">
        <f t="array" ref="J82">IF(V82="Sí",IFERROR(_xlfn.MODE.SNGL(IF((nEVAL=CONFIG_METADATA!$B$4)*(nCURSO=A82)*(nASIG=B82)*(nAPTO="S"),nNOTA)),"—"),"")</f>
        <v>—</v>
      </c>
      <c r="K82" t="str" cm="1">
        <f t="array" ref="K82">IF(V82="Sí",IFERROR(_xlfn.MODE.SNGL(IF((nEVAL=CONFIG_METADATA!$B$4)*(nCURSO=A82)*(nASIG=B82)*(nAPTO="N"),nNOTA)),"—"),"")</f>
        <v>—</v>
      </c>
      <c r="L82">
        <f>IF(V82="Sí",COUNTIFS(DATOS!G:G,CONFIG_METADATA!$B$4,DATOS!D:D,A82,DATOS!I:I,B82,DATOS!K:K,1),"")</f>
        <v>0</v>
      </c>
      <c r="M82">
        <f>IF(V82="Sí",COUNTIFS(DATOS!G:G,CONFIG_METADATA!$B$4,DATOS!D:D,A82,DATOS!I:I,B82,DATOS!K:K,2),"")</f>
        <v>0</v>
      </c>
      <c r="N82">
        <f>IF(V82="Sí",COUNTIFS(DATOS!G:G,CONFIG_METADATA!$B$4,DATOS!D:D,A82,DATOS!I:I,B82,DATOS!K:K,3),"")</f>
        <v>0</v>
      </c>
      <c r="O82">
        <f>IF(V82="Sí",COUNTIFS(DATOS!G:G,CONFIG_METADATA!$B$4,DATOS!D:D,A82,DATOS!I:I,B82,DATOS!K:K,4),"")</f>
        <v>0</v>
      </c>
      <c r="P82">
        <f>IF(V82="Sí",COUNTIFS(DATOS!G:G,CONFIG_METADATA!$B$4,DATOS!D:D,A82,DATOS!I:I,B82,DATOS!K:K,5),"")</f>
        <v>0</v>
      </c>
      <c r="Q82">
        <f>IF(V82="Sí",COUNTIFS(DATOS!G:G,CONFIG_METADATA!$B$4,DATOS!D:D,A82,DATOS!I:I,B82,DATOS!K:K,6),"")</f>
        <v>0</v>
      </c>
      <c r="R82">
        <f>IF(V82="Sí",COUNTIFS(DATOS!G:G,CONFIG_METADATA!$B$4,DATOS!D:D,A82,DATOS!I:I,B82,DATOS!K:K,7),"")</f>
        <v>0</v>
      </c>
      <c r="S82">
        <f>IF(V82="Sí",COUNTIFS(DATOS!G:G,CONFIG_METADATA!$B$4,DATOS!D:D,A82,DATOS!I:I,B82,DATOS!K:K,8),"")</f>
        <v>0</v>
      </c>
      <c r="T82">
        <f>IF(V82="Sí",COUNTIFS(DATOS!G:G,CONFIG_METADATA!$B$4,DATOS!D:D,A82,DATOS!I:I,B82,DATOS!K:K,9),"")</f>
        <v>0</v>
      </c>
      <c r="U82">
        <f>IF(V82="Sí",COUNTIFS(DATOS!G:G,CONFIG_METADATA!$B$4,DATOS!D:D,A82,DATOS!I:I,B82,DATOS!K:K,10),"")</f>
        <v>0</v>
      </c>
      <c r="V82" t="str">
        <f>IFERROR(IF(ISERROR(FIND(A82,VLOOKUP(B82,CONFIG_ASIGNATURAS!B:C,2,FALSE()))),"No","Sí"),"No")</f>
        <v>Sí</v>
      </c>
    </row>
    <row r="83" spans="1:22">
      <c r="A83" s="3" t="inlineStr">
        <is>
          <t xml:space="preserve">1EEM</t>
        </is>
      </c>
      <c r="B83" s="3" cm="1">
        <f t="array" ref="B83">IFERROR(INDEX(_xlfn._xlws.FILTER(CONFIG_ASIGNATURAS!$B$2:$B$61,(CONFIG_ASIGNATURAS!$G$2:$G$61="Sí")*ISNUMBER(SEARCH("1EEM",CONFIG_ASIGNATURAS!$C$2:$C$61))),16),"")</f>
      </c>
      <c r="C83" s="3">
        <f>IF(B83="","",IFERROR(IF(VLOOKUP(B83,CONFIG_ASIGNATURAS!$B$2:$F$61,5,FALSE())="Sí","Especialidad","Asignatura"),"Asignatura"))</f>
      </c>
      <c r="D83">
        <f>IF(V83="Sí",COUNTIFS(DATOS!G:G,CONFIG_METADATA!$B$4,DATOS!D:D,A83,DATOS!I:I,B83),"")</f>
        <v>0</v>
      </c>
      <c r="E83" s="14" t="str">
        <f>IF(V83="Sí",IFERROR(AVERAGEIFS(DATOS!K:K,DATOS!G:G,CONFIG_METADATA!$B$4,DATOS!D:D,A83,DATOS!I:I,B83),"—"),"")</f>
        <v>—</v>
      </c>
      <c r="F83" s="14" t="str" cm="1">
        <f t="array" ref="F83">IF(V83="Sí",IFERROR(_xlfn.STDEV.P(IF((nEVAL=CONFIG_METADATA!$B$4)*(nCURSO=A83)*(nASIG=B83),nNOTA)),"—"),"")</f>
        <v>—</v>
      </c>
      <c r="G83" t="str" cm="1">
        <f t="array" ref="G83">IF(V83="Sí",IFERROR(_xlfn.MODE.SNGL(IF((nEVAL=CONFIG_METADATA!$B$4)*(nCURSO=A83)*(nASIG=B83),nNOTA)),"—"),"")</f>
        <v>—</v>
      </c>
      <c r="H83" s="15" t="str">
        <f>IF(V83="Sí",IFERROR(COUNTIFS(DATOS!G:G,CONFIG_METADATA!$B$4,DATOS!D:D,A83,DATOS!I:I,B83,DATOS!L:L,"S")/COUNTIFS(DATOS!G:G,CONFIG_METADATA!$B$4,DATOS!D:D,A83,DATOS!I:I,B83),"—"),"")</f>
        <v>—</v>
      </c>
      <c r="I83" s="15" t="str">
        <f>IF(V83="Sí",IFERROR(COUNTIFS(DATOS!G:G,CONFIG_METADATA!$B$4,DATOS!D:D,A83,DATOS!I:I,B83,DATOS!L:L,"N")/COUNTIFS(DATOS!G:G,CONFIG_METADATA!$B$4,DATOS!D:D,A83,DATOS!I:I,B83),"—"),"")</f>
        <v>—</v>
      </c>
      <c r="J83" t="str" cm="1">
        <f t="array" ref="J83">IF(V83="Sí",IFERROR(_xlfn.MODE.SNGL(IF((nEVAL=CONFIG_METADATA!$B$4)*(nCURSO=A83)*(nASIG=B83)*(nAPTO="S"),nNOTA)),"—"),"")</f>
        <v>—</v>
      </c>
      <c r="K83" t="str" cm="1">
        <f t="array" ref="K83">IF(V83="Sí",IFERROR(_xlfn.MODE.SNGL(IF((nEVAL=CONFIG_METADATA!$B$4)*(nCURSO=A83)*(nASIG=B83)*(nAPTO="N"),nNOTA)),"—"),"")</f>
        <v>—</v>
      </c>
      <c r="L83">
        <f>IF(V83="Sí",COUNTIFS(DATOS!G:G,CONFIG_METADATA!$B$4,DATOS!D:D,A83,DATOS!I:I,B83,DATOS!K:K,1),"")</f>
        <v>0</v>
      </c>
      <c r="M83">
        <f>IF(V83="Sí",COUNTIFS(DATOS!G:G,CONFIG_METADATA!$B$4,DATOS!D:D,A83,DATOS!I:I,B83,DATOS!K:K,2),"")</f>
        <v>0</v>
      </c>
      <c r="N83">
        <f>IF(V83="Sí",COUNTIFS(DATOS!G:G,CONFIG_METADATA!$B$4,DATOS!D:D,A83,DATOS!I:I,B83,DATOS!K:K,3),"")</f>
        <v>0</v>
      </c>
      <c r="O83">
        <f>IF(V83="Sí",COUNTIFS(DATOS!G:G,CONFIG_METADATA!$B$4,DATOS!D:D,A83,DATOS!I:I,B83,DATOS!K:K,4),"")</f>
        <v>0</v>
      </c>
      <c r="P83">
        <f>IF(V83="Sí",COUNTIFS(DATOS!G:G,CONFIG_METADATA!$B$4,DATOS!D:D,A83,DATOS!I:I,B83,DATOS!K:K,5),"")</f>
        <v>0</v>
      </c>
      <c r="Q83">
        <f>IF(V83="Sí",COUNTIFS(DATOS!G:G,CONFIG_METADATA!$B$4,DATOS!D:D,A83,DATOS!I:I,B83,DATOS!K:K,6),"")</f>
        <v>0</v>
      </c>
      <c r="R83">
        <f>IF(V83="Sí",COUNTIFS(DATOS!G:G,CONFIG_METADATA!$B$4,DATOS!D:D,A83,DATOS!I:I,B83,DATOS!K:K,7),"")</f>
        <v>0</v>
      </c>
      <c r="S83">
        <f>IF(V83="Sí",COUNTIFS(DATOS!G:G,CONFIG_METADATA!$B$4,DATOS!D:D,A83,DATOS!I:I,B83,DATOS!K:K,8),"")</f>
        <v>0</v>
      </c>
      <c r="T83">
        <f>IF(V83="Sí",COUNTIFS(DATOS!G:G,CONFIG_METADATA!$B$4,DATOS!D:D,A83,DATOS!I:I,B83,DATOS!K:K,9),"")</f>
        <v>0</v>
      </c>
      <c r="U83">
        <f>IF(V83="Sí",COUNTIFS(DATOS!G:G,CONFIG_METADATA!$B$4,DATOS!D:D,A83,DATOS!I:I,B83,DATOS!K:K,10),"")</f>
        <v>0</v>
      </c>
      <c r="V83" t="str">
        <f>IFERROR(IF(ISERROR(FIND(A83,VLOOKUP(B83,CONFIG_ASIGNATURAS!B:C,2,FALSE()))),"No","Sí"),"No")</f>
        <v>Sí</v>
      </c>
    </row>
    <row r="84" spans="1:22">
      <c r="A84" s="3" t="inlineStr">
        <is>
          <t xml:space="preserve">1EEM</t>
        </is>
      </c>
      <c r="B84" s="3" cm="1">
        <f t="array" ref="B84">IFERROR(INDEX(_xlfn._xlws.FILTER(CONFIG_ASIGNATURAS!$B$2:$B$61,(CONFIG_ASIGNATURAS!$G$2:$G$61="Sí")*ISNUMBER(SEARCH("1EEM",CONFIG_ASIGNATURAS!$C$2:$C$61))),17),"")</f>
      </c>
      <c r="C84" s="3">
        <f>IF(B84="","",IFERROR(IF(VLOOKUP(B84,CONFIG_ASIGNATURAS!$B$2:$F$61,5,FALSE())="Sí","Especialidad","Asignatura"),"Asignatura"))</f>
      </c>
      <c r="D84">
        <f>IF(V84="Sí",COUNTIFS(DATOS!G:G,CONFIG_METADATA!$B$4,DATOS!D:D,A84,DATOS!I:I,B84),"")</f>
        <v>0</v>
      </c>
      <c r="E84" s="14" t="str">
        <f>IF(V84="Sí",IFERROR(AVERAGEIFS(DATOS!K:K,DATOS!G:G,CONFIG_METADATA!$B$4,DATOS!D:D,A84,DATOS!I:I,B84),"—"),"")</f>
        <v>—</v>
      </c>
      <c r="F84" s="14" t="str" cm="1">
        <f t="array" ref="F84">IF(V84="Sí",IFERROR(_xlfn.STDEV.P(IF((nEVAL=CONFIG_METADATA!$B$4)*(nCURSO=A84)*(nASIG=B84),nNOTA)),"—"),"")</f>
        <v>—</v>
      </c>
      <c r="G84" t="str" cm="1">
        <f t="array" ref="G84">IF(V84="Sí",IFERROR(_xlfn.MODE.SNGL(IF((nEVAL=CONFIG_METADATA!$B$4)*(nCURSO=A84)*(nASIG=B84),nNOTA)),"—"),"")</f>
        <v>—</v>
      </c>
      <c r="H84" s="15" t="str">
        <f>IF(V84="Sí",IFERROR(COUNTIFS(DATOS!G:G,CONFIG_METADATA!$B$4,DATOS!D:D,A84,DATOS!I:I,B84,DATOS!L:L,"S")/COUNTIFS(DATOS!G:G,CONFIG_METADATA!$B$4,DATOS!D:D,A84,DATOS!I:I,B84),"—"),"")</f>
        <v>—</v>
      </c>
      <c r="I84" s="15" t="str">
        <f>IF(V84="Sí",IFERROR(COUNTIFS(DATOS!G:G,CONFIG_METADATA!$B$4,DATOS!D:D,A84,DATOS!I:I,B84,DATOS!L:L,"N")/COUNTIFS(DATOS!G:G,CONFIG_METADATA!$B$4,DATOS!D:D,A84,DATOS!I:I,B84),"—"),"")</f>
        <v>—</v>
      </c>
      <c r="J84" t="str" cm="1">
        <f t="array" ref="J84">IF(V84="Sí",IFERROR(_xlfn.MODE.SNGL(IF((nEVAL=CONFIG_METADATA!$B$4)*(nCURSO=A84)*(nASIG=B84)*(nAPTO="S"),nNOTA)),"—"),"")</f>
        <v>—</v>
      </c>
      <c r="K84" t="str" cm="1">
        <f t="array" ref="K84">IF(V84="Sí",IFERROR(_xlfn.MODE.SNGL(IF((nEVAL=CONFIG_METADATA!$B$4)*(nCURSO=A84)*(nASIG=B84)*(nAPTO="N"),nNOTA)),"—"),"")</f>
        <v>—</v>
      </c>
      <c r="L84">
        <f>IF(V84="Sí",COUNTIFS(DATOS!G:G,CONFIG_METADATA!$B$4,DATOS!D:D,A84,DATOS!I:I,B84,DATOS!K:K,1),"")</f>
        <v>0</v>
      </c>
      <c r="M84">
        <f>IF(V84="Sí",COUNTIFS(DATOS!G:G,CONFIG_METADATA!$B$4,DATOS!D:D,A84,DATOS!I:I,B84,DATOS!K:K,2),"")</f>
        <v>0</v>
      </c>
      <c r="N84">
        <f>IF(V84="Sí",COUNTIFS(DATOS!G:G,CONFIG_METADATA!$B$4,DATOS!D:D,A84,DATOS!I:I,B84,DATOS!K:K,3),"")</f>
        <v>0</v>
      </c>
      <c r="O84">
        <f>IF(V84="Sí",COUNTIFS(DATOS!G:G,CONFIG_METADATA!$B$4,DATOS!D:D,A84,DATOS!I:I,B84,DATOS!K:K,4),"")</f>
        <v>0</v>
      </c>
      <c r="P84">
        <f>IF(V84="Sí",COUNTIFS(DATOS!G:G,CONFIG_METADATA!$B$4,DATOS!D:D,A84,DATOS!I:I,B84,DATOS!K:K,5),"")</f>
        <v>0</v>
      </c>
      <c r="Q84">
        <f>IF(V84="Sí",COUNTIFS(DATOS!G:G,CONFIG_METADATA!$B$4,DATOS!D:D,A84,DATOS!I:I,B84,DATOS!K:K,6),"")</f>
        <v>0</v>
      </c>
      <c r="R84">
        <f>IF(V84="Sí",COUNTIFS(DATOS!G:G,CONFIG_METADATA!$B$4,DATOS!D:D,A84,DATOS!I:I,B84,DATOS!K:K,7),"")</f>
        <v>0</v>
      </c>
      <c r="S84">
        <f>IF(V84="Sí",COUNTIFS(DATOS!G:G,CONFIG_METADATA!$B$4,DATOS!D:D,A84,DATOS!I:I,B84,DATOS!K:K,8),"")</f>
        <v>0</v>
      </c>
      <c r="T84">
        <f>IF(V84="Sí",COUNTIFS(DATOS!G:G,CONFIG_METADATA!$B$4,DATOS!D:D,A84,DATOS!I:I,B84,DATOS!K:K,9),"")</f>
        <v>0</v>
      </c>
      <c r="U84">
        <f>IF(V84="Sí",COUNTIFS(DATOS!G:G,CONFIG_METADATA!$B$4,DATOS!D:D,A84,DATOS!I:I,B84,DATOS!K:K,10),"")</f>
        <v>0</v>
      </c>
      <c r="V84" t="str">
        <f>IFERROR(IF(ISERROR(FIND(A84,VLOOKUP(B84,CONFIG_ASIGNATURAS!B:C,2,FALSE()))),"No","Sí"),"No")</f>
        <v>Sí</v>
      </c>
    </row>
    <row r="85" spans="1:22">
      <c r="A85" s="3" t="inlineStr">
        <is>
          <t xml:space="preserve">1EEM</t>
        </is>
      </c>
      <c r="B85" s="3" cm="1">
        <f t="array" ref="B85">IFERROR(INDEX(_xlfn._xlws.FILTER(CONFIG_ASIGNATURAS!$B$2:$B$61,(CONFIG_ASIGNATURAS!$G$2:$G$61="Sí")*ISNUMBER(SEARCH("1EEM",CONFIG_ASIGNATURAS!$C$2:$C$61))),18),"")</f>
      </c>
      <c r="C85" s="3">
        <f>IF(B85="","",IFERROR(IF(VLOOKUP(B85,CONFIG_ASIGNATURAS!$B$2:$F$61,5,FALSE())="Sí","Especialidad","Asignatura"),"Asignatura"))</f>
      </c>
      <c r="D85">
        <f>IF(V85="Sí",COUNTIFS(DATOS!G:G,CONFIG_METADATA!$B$4,DATOS!D:D,A85,DATOS!I:I,B85),"")</f>
        <v>0</v>
      </c>
      <c r="E85" s="14" t="str">
        <f>IF(V85="Sí",IFERROR(AVERAGEIFS(DATOS!K:K,DATOS!G:G,CONFIG_METADATA!$B$4,DATOS!D:D,A85,DATOS!I:I,B85),"—"),"")</f>
        <v>—</v>
      </c>
      <c r="F85" s="14" t="str" cm="1">
        <f t="array" ref="F85">IF(V85="Sí",IFERROR(_xlfn.STDEV.P(IF((nEVAL=CONFIG_METADATA!$B$4)*(nCURSO=A85)*(nASIG=B85),nNOTA)),"—"),"")</f>
        <v>—</v>
      </c>
      <c r="G85" t="str" cm="1">
        <f t="array" ref="G85">IF(V85="Sí",IFERROR(_xlfn.MODE.SNGL(IF((nEVAL=CONFIG_METADATA!$B$4)*(nCURSO=A85)*(nASIG=B85),nNOTA)),"—"),"")</f>
        <v>—</v>
      </c>
      <c r="H85" s="15" t="str">
        <f>IF(V85="Sí",IFERROR(COUNTIFS(DATOS!G:G,CONFIG_METADATA!$B$4,DATOS!D:D,A85,DATOS!I:I,B85,DATOS!L:L,"S")/COUNTIFS(DATOS!G:G,CONFIG_METADATA!$B$4,DATOS!D:D,A85,DATOS!I:I,B85),"—"),"")</f>
        <v>—</v>
      </c>
      <c r="I85" s="15" t="str">
        <f>IF(V85="Sí",IFERROR(COUNTIFS(DATOS!G:G,CONFIG_METADATA!$B$4,DATOS!D:D,A85,DATOS!I:I,B85,DATOS!L:L,"N")/COUNTIFS(DATOS!G:G,CONFIG_METADATA!$B$4,DATOS!D:D,A85,DATOS!I:I,B85),"—"),"")</f>
        <v>—</v>
      </c>
      <c r="J85" t="str" cm="1">
        <f t="array" ref="J85">IF(V85="Sí",IFERROR(_xlfn.MODE.SNGL(IF((nEVAL=CONFIG_METADATA!$B$4)*(nCURSO=A85)*(nASIG=B85)*(nAPTO="S"),nNOTA)),"—"),"")</f>
        <v>—</v>
      </c>
      <c r="K85" t="str" cm="1">
        <f t="array" ref="K85">IF(V85="Sí",IFERROR(_xlfn.MODE.SNGL(IF((nEVAL=CONFIG_METADATA!$B$4)*(nCURSO=A85)*(nASIG=B85)*(nAPTO="N"),nNOTA)),"—"),"")</f>
        <v>—</v>
      </c>
      <c r="L85">
        <f>IF(V85="Sí",COUNTIFS(DATOS!G:G,CONFIG_METADATA!$B$4,DATOS!D:D,A85,DATOS!I:I,B85,DATOS!K:K,1),"")</f>
        <v>0</v>
      </c>
      <c r="M85">
        <f>IF(V85="Sí",COUNTIFS(DATOS!G:G,CONFIG_METADATA!$B$4,DATOS!D:D,A85,DATOS!I:I,B85,DATOS!K:K,2),"")</f>
        <v>0</v>
      </c>
      <c r="N85">
        <f>IF(V85="Sí",COUNTIFS(DATOS!G:G,CONFIG_METADATA!$B$4,DATOS!D:D,A85,DATOS!I:I,B85,DATOS!K:K,3),"")</f>
        <v>0</v>
      </c>
      <c r="O85">
        <f>IF(V85="Sí",COUNTIFS(DATOS!G:G,CONFIG_METADATA!$B$4,DATOS!D:D,A85,DATOS!I:I,B85,DATOS!K:K,4),"")</f>
        <v>0</v>
      </c>
      <c r="P85">
        <f>IF(V85="Sí",COUNTIFS(DATOS!G:G,CONFIG_METADATA!$B$4,DATOS!D:D,A85,DATOS!I:I,B85,DATOS!K:K,5),"")</f>
        <v>0</v>
      </c>
      <c r="Q85">
        <f>IF(V85="Sí",COUNTIFS(DATOS!G:G,CONFIG_METADATA!$B$4,DATOS!D:D,A85,DATOS!I:I,B85,DATOS!K:K,6),"")</f>
        <v>0</v>
      </c>
      <c r="R85">
        <f>IF(V85="Sí",COUNTIFS(DATOS!G:G,CONFIG_METADATA!$B$4,DATOS!D:D,A85,DATOS!I:I,B85,DATOS!K:K,7),"")</f>
        <v>0</v>
      </c>
      <c r="S85">
        <f>IF(V85="Sí",COUNTIFS(DATOS!G:G,CONFIG_METADATA!$B$4,DATOS!D:D,A85,DATOS!I:I,B85,DATOS!K:K,8),"")</f>
        <v>0</v>
      </c>
      <c r="T85">
        <f>IF(V85="Sí",COUNTIFS(DATOS!G:G,CONFIG_METADATA!$B$4,DATOS!D:D,A85,DATOS!I:I,B85,DATOS!K:K,9),"")</f>
        <v>0</v>
      </c>
      <c r="U85">
        <f>IF(V85="Sí",COUNTIFS(DATOS!G:G,CONFIG_METADATA!$B$4,DATOS!D:D,A85,DATOS!I:I,B85,DATOS!K:K,10),"")</f>
        <v>0</v>
      </c>
      <c r="V85" t="str">
        <f>IFERROR(IF(ISERROR(FIND(A85,VLOOKUP(B85,CONFIG_ASIGNATURAS!B:C,2,FALSE()))),"No","Sí"),"No")</f>
        <v>Sí</v>
      </c>
    </row>
    <row r="86" spans="1:22">
      <c r="A86" s="3" t="inlineStr">
        <is>
          <t xml:space="preserve">1EEM</t>
        </is>
      </c>
      <c r="B86" s="3" cm="1">
        <f t="array" ref="B86">IFERROR(INDEX(_xlfn._xlws.FILTER(CONFIG_ASIGNATURAS!$B$2:$B$61,(CONFIG_ASIGNATURAS!$G$2:$G$61="Sí")*ISNUMBER(SEARCH("1EEM",CONFIG_ASIGNATURAS!$C$2:$C$61))),19),"")</f>
      </c>
      <c r="C86" s="3">
        <f>IF(B86="","",IFERROR(IF(VLOOKUP(B86,CONFIG_ASIGNATURAS!$B$2:$F$61,5,FALSE())="Sí","Especialidad","Asignatura"),"Asignatura"))</f>
      </c>
      <c r="D86">
        <f>IF(V86="Sí",COUNTIFS(DATOS!G:G,CONFIG_METADATA!$B$4,DATOS!D:D,A86,DATOS!I:I,B86),"")</f>
        <v>0</v>
      </c>
      <c r="E86" s="14" t="str">
        <f>IF(V86="Sí",IFERROR(AVERAGEIFS(DATOS!K:K,DATOS!G:G,CONFIG_METADATA!$B$4,DATOS!D:D,A86,DATOS!I:I,B86),"—"),"")</f>
        <v>—</v>
      </c>
      <c r="F86" s="14" t="str" cm="1">
        <f t="array" ref="F86">IF(V86="Sí",IFERROR(_xlfn.STDEV.P(IF((nEVAL=CONFIG_METADATA!$B$4)*(nCURSO=A86)*(nASIG=B86),nNOTA)),"—"),"")</f>
        <v>—</v>
      </c>
      <c r="G86" t="str" cm="1">
        <f t="array" ref="G86">IF(V86="Sí",IFERROR(_xlfn.MODE.SNGL(IF((nEVAL=CONFIG_METADATA!$B$4)*(nCURSO=A86)*(nASIG=B86),nNOTA)),"—"),"")</f>
        <v>—</v>
      </c>
      <c r="H86" s="15" t="str">
        <f>IF(V86="Sí",IFERROR(COUNTIFS(DATOS!G:G,CONFIG_METADATA!$B$4,DATOS!D:D,A86,DATOS!I:I,B86,DATOS!L:L,"S")/COUNTIFS(DATOS!G:G,CONFIG_METADATA!$B$4,DATOS!D:D,A86,DATOS!I:I,B86),"—"),"")</f>
        <v>—</v>
      </c>
      <c r="I86" s="15" t="str">
        <f>IF(V86="Sí",IFERROR(COUNTIFS(DATOS!G:G,CONFIG_METADATA!$B$4,DATOS!D:D,A86,DATOS!I:I,B86,DATOS!L:L,"N")/COUNTIFS(DATOS!G:G,CONFIG_METADATA!$B$4,DATOS!D:D,A86,DATOS!I:I,B86),"—"),"")</f>
        <v>—</v>
      </c>
      <c r="J86" t="str" cm="1">
        <f t="array" ref="J86">IF(V86="Sí",IFERROR(_xlfn.MODE.SNGL(IF((nEVAL=CONFIG_METADATA!$B$4)*(nCURSO=A86)*(nASIG=B86)*(nAPTO="S"),nNOTA)),"—"),"")</f>
        <v>—</v>
      </c>
      <c r="K86" t="str" cm="1">
        <f t="array" ref="K86">IF(V86="Sí",IFERROR(_xlfn.MODE.SNGL(IF((nEVAL=CONFIG_METADATA!$B$4)*(nCURSO=A86)*(nASIG=B86)*(nAPTO="N"),nNOTA)),"—"),"")</f>
        <v>—</v>
      </c>
      <c r="L86">
        <f>IF(V86="Sí",COUNTIFS(DATOS!G:G,CONFIG_METADATA!$B$4,DATOS!D:D,A86,DATOS!I:I,B86,DATOS!K:K,1),"")</f>
        <v>0</v>
      </c>
      <c r="M86">
        <f>IF(V86="Sí",COUNTIFS(DATOS!G:G,CONFIG_METADATA!$B$4,DATOS!D:D,A86,DATOS!I:I,B86,DATOS!K:K,2),"")</f>
        <v>0</v>
      </c>
      <c r="N86">
        <f>IF(V86="Sí",COUNTIFS(DATOS!G:G,CONFIG_METADATA!$B$4,DATOS!D:D,A86,DATOS!I:I,B86,DATOS!K:K,3),"")</f>
        <v>0</v>
      </c>
      <c r="O86">
        <f>IF(V86="Sí",COUNTIFS(DATOS!G:G,CONFIG_METADATA!$B$4,DATOS!D:D,A86,DATOS!I:I,B86,DATOS!K:K,4),"")</f>
        <v>0</v>
      </c>
      <c r="P86">
        <f>IF(V86="Sí",COUNTIFS(DATOS!G:G,CONFIG_METADATA!$B$4,DATOS!D:D,A86,DATOS!I:I,B86,DATOS!K:K,5),"")</f>
        <v>0</v>
      </c>
      <c r="Q86">
        <f>IF(V86="Sí",COUNTIFS(DATOS!G:G,CONFIG_METADATA!$B$4,DATOS!D:D,A86,DATOS!I:I,B86,DATOS!K:K,6),"")</f>
        <v>0</v>
      </c>
      <c r="R86">
        <f>IF(V86="Sí",COUNTIFS(DATOS!G:G,CONFIG_METADATA!$B$4,DATOS!D:D,A86,DATOS!I:I,B86,DATOS!K:K,7),"")</f>
        <v>0</v>
      </c>
      <c r="S86">
        <f>IF(V86="Sí",COUNTIFS(DATOS!G:G,CONFIG_METADATA!$B$4,DATOS!D:D,A86,DATOS!I:I,B86,DATOS!K:K,8),"")</f>
        <v>0</v>
      </c>
      <c r="T86">
        <f>IF(V86="Sí",COUNTIFS(DATOS!G:G,CONFIG_METADATA!$B$4,DATOS!D:D,A86,DATOS!I:I,B86,DATOS!K:K,9),"")</f>
        <v>0</v>
      </c>
      <c r="U86">
        <f>IF(V86="Sí",COUNTIFS(DATOS!G:G,CONFIG_METADATA!$B$4,DATOS!D:D,A86,DATOS!I:I,B86,DATOS!K:K,10),"")</f>
        <v>0</v>
      </c>
      <c r="V86" t="str">
        <f>IFERROR(IF(ISERROR(FIND(A86,VLOOKUP(B86,CONFIG_ASIGNATURAS!B:C,2,FALSE()))),"No","Sí"),"No")</f>
        <v>Sí</v>
      </c>
    </row>
    <row r="87" spans="1:22">
      <c r="A87" s="3" t="inlineStr">
        <is>
          <t xml:space="preserve">1EEM</t>
        </is>
      </c>
      <c r="B87" s="3" cm="1">
        <f t="array" ref="B87">IFERROR(INDEX(_xlfn._xlws.FILTER(CONFIG_ASIGNATURAS!$B$2:$B$61,(CONFIG_ASIGNATURAS!$G$2:$G$61="Sí")*ISNUMBER(SEARCH("1EEM",CONFIG_ASIGNATURAS!$C$2:$C$61))),20),"")</f>
      </c>
      <c r="C87" s="3">
        <f>IF(B87="","",IFERROR(IF(VLOOKUP(B87,CONFIG_ASIGNATURAS!$B$2:$F$61,5,FALSE())="Sí","Especialidad","Asignatura"),"Asignatura"))</f>
      </c>
      <c r="D87">
        <f>IF(V87="Sí",COUNTIFS(DATOS!G:G,CONFIG_METADATA!$B$4,DATOS!D:D,A87,DATOS!I:I,B87),"")</f>
        <v>0</v>
      </c>
      <c r="E87" s="14" t="str">
        <f>IF(V87="Sí",IFERROR(AVERAGEIFS(DATOS!K:K,DATOS!G:G,CONFIG_METADATA!$B$4,DATOS!D:D,A87,DATOS!I:I,B87),"—"),"")</f>
        <v>—</v>
      </c>
      <c r="F87" s="14" t="str" cm="1">
        <f t="array" ref="F87">IF(V87="Sí",IFERROR(_xlfn.STDEV.P(IF((nEVAL=CONFIG_METADATA!$B$4)*(nCURSO=A87)*(nASIG=B87),nNOTA)),"—"),"")</f>
        <v>—</v>
      </c>
      <c r="G87" t="str" cm="1">
        <f t="array" ref="G87">IF(V87="Sí",IFERROR(_xlfn.MODE.SNGL(IF((nEVAL=CONFIG_METADATA!$B$4)*(nCURSO=A87)*(nASIG=B87),nNOTA)),"—"),"")</f>
        <v>—</v>
      </c>
      <c r="H87" s="15" t="str">
        <f>IF(V87="Sí",IFERROR(COUNTIFS(DATOS!G:G,CONFIG_METADATA!$B$4,DATOS!D:D,A87,DATOS!I:I,B87,DATOS!L:L,"S")/COUNTIFS(DATOS!G:G,CONFIG_METADATA!$B$4,DATOS!D:D,A87,DATOS!I:I,B87),"—"),"")</f>
        <v>—</v>
      </c>
      <c r="I87" s="15" t="str">
        <f>IF(V87="Sí",IFERROR(COUNTIFS(DATOS!G:G,CONFIG_METADATA!$B$4,DATOS!D:D,A87,DATOS!I:I,B87,DATOS!L:L,"N")/COUNTIFS(DATOS!G:G,CONFIG_METADATA!$B$4,DATOS!D:D,A87,DATOS!I:I,B87),"—"),"")</f>
        <v>—</v>
      </c>
      <c r="J87" t="str" cm="1">
        <f t="array" ref="J87">IF(V87="Sí",IFERROR(_xlfn.MODE.SNGL(IF((nEVAL=CONFIG_METADATA!$B$4)*(nCURSO=A87)*(nASIG=B87)*(nAPTO="S"),nNOTA)),"—"),"")</f>
        <v>—</v>
      </c>
      <c r="K87" t="str" cm="1">
        <f t="array" ref="K87">IF(V87="Sí",IFERROR(_xlfn.MODE.SNGL(IF((nEVAL=CONFIG_METADATA!$B$4)*(nCURSO=A87)*(nASIG=B87)*(nAPTO="N"),nNOTA)),"—"),"")</f>
        <v>—</v>
      </c>
      <c r="L87">
        <f>IF(V87="Sí",COUNTIFS(DATOS!G:G,CONFIG_METADATA!$B$4,DATOS!D:D,A87,DATOS!I:I,B87,DATOS!K:K,1),"")</f>
        <v>0</v>
      </c>
      <c r="M87">
        <f>IF(V87="Sí",COUNTIFS(DATOS!G:G,CONFIG_METADATA!$B$4,DATOS!D:D,A87,DATOS!I:I,B87,DATOS!K:K,2),"")</f>
        <v>0</v>
      </c>
      <c r="N87">
        <f>IF(V87="Sí",COUNTIFS(DATOS!G:G,CONFIG_METADATA!$B$4,DATOS!D:D,A87,DATOS!I:I,B87,DATOS!K:K,3),"")</f>
        <v>0</v>
      </c>
      <c r="O87">
        <f>IF(V87="Sí",COUNTIFS(DATOS!G:G,CONFIG_METADATA!$B$4,DATOS!D:D,A87,DATOS!I:I,B87,DATOS!K:K,4),"")</f>
        <v>0</v>
      </c>
      <c r="P87">
        <f>IF(V87="Sí",COUNTIFS(DATOS!G:G,CONFIG_METADATA!$B$4,DATOS!D:D,A87,DATOS!I:I,B87,DATOS!K:K,5),"")</f>
        <v>0</v>
      </c>
      <c r="Q87">
        <f>IF(V87="Sí",COUNTIFS(DATOS!G:G,CONFIG_METADATA!$B$4,DATOS!D:D,A87,DATOS!I:I,B87,DATOS!K:K,6),"")</f>
        <v>0</v>
      </c>
      <c r="R87">
        <f>IF(V87="Sí",COUNTIFS(DATOS!G:G,CONFIG_METADATA!$B$4,DATOS!D:D,A87,DATOS!I:I,B87,DATOS!K:K,7),"")</f>
        <v>0</v>
      </c>
      <c r="S87">
        <f>IF(V87="Sí",COUNTIFS(DATOS!G:G,CONFIG_METADATA!$B$4,DATOS!D:D,A87,DATOS!I:I,B87,DATOS!K:K,8),"")</f>
        <v>0</v>
      </c>
      <c r="T87">
        <f>IF(V87="Sí",COUNTIFS(DATOS!G:G,CONFIG_METADATA!$B$4,DATOS!D:D,A87,DATOS!I:I,B87,DATOS!K:K,9),"")</f>
        <v>0</v>
      </c>
      <c r="U87">
        <f>IF(V87="Sí",COUNTIFS(DATOS!G:G,CONFIG_METADATA!$B$4,DATOS!D:D,A87,DATOS!I:I,B87,DATOS!K:K,10),"")</f>
        <v>0</v>
      </c>
      <c r="V87" t="str">
        <f>IFERROR(IF(ISERROR(FIND(A87,VLOOKUP(B87,CONFIG_ASIGNATURAS!B:C,2,FALSE()))),"No","Sí"),"No")</f>
        <v>Sí</v>
      </c>
    </row>
    <row r="88" spans="1:22">
      <c r="A88" s="3" t="inlineStr">
        <is>
          <t xml:space="preserve">1EEM</t>
        </is>
      </c>
      <c r="B88" s="3" cm="1">
        <f t="array" ref="B88">IFERROR(INDEX(_xlfn._xlws.FILTER(CONFIG_ASIGNATURAS!$B$2:$B$61,(CONFIG_ASIGNATURAS!$G$2:$G$61="Sí")*ISNUMBER(SEARCH("1EEM",CONFIG_ASIGNATURAS!$C$2:$C$61))),21),"")</f>
      </c>
      <c r="C88" s="3">
        <f>IF(B88="","",IFERROR(IF(VLOOKUP(B88,CONFIG_ASIGNATURAS!$B$2:$F$61,5,FALSE())="Sí","Especialidad","Asignatura"),"Asignatura"))</f>
      </c>
      <c r="D88">
        <f>IF(V88="Sí",COUNTIFS(DATOS!G:G,CONFIG_METADATA!$B$4,DATOS!D:D,A88,DATOS!I:I,B88),"")</f>
        <v>0</v>
      </c>
      <c r="E88" s="14" t="str">
        <f>IF(V88="Sí",IFERROR(AVERAGEIFS(DATOS!K:K,DATOS!G:G,CONFIG_METADATA!$B$4,DATOS!D:D,A88,DATOS!I:I,B88),"—"),"")</f>
        <v>—</v>
      </c>
      <c r="F88" s="14" t="str" cm="1">
        <f t="array" ref="F88">IF(V88="Sí",IFERROR(_xlfn.STDEV.P(IF((nEVAL=CONFIG_METADATA!$B$4)*(nCURSO=A88)*(nASIG=B88),nNOTA)),"—"),"")</f>
        <v>—</v>
      </c>
      <c r="G88" t="str" cm="1">
        <f t="array" ref="G88">IF(V88="Sí",IFERROR(_xlfn.MODE.SNGL(IF((nEVAL=CONFIG_METADATA!$B$4)*(nCURSO=A88)*(nASIG=B88),nNOTA)),"—"),"")</f>
        <v>—</v>
      </c>
      <c r="H88" s="15" t="str">
        <f>IF(V88="Sí",IFERROR(COUNTIFS(DATOS!G:G,CONFIG_METADATA!$B$4,DATOS!D:D,A88,DATOS!I:I,B88,DATOS!L:L,"S")/COUNTIFS(DATOS!G:G,CONFIG_METADATA!$B$4,DATOS!D:D,A88,DATOS!I:I,B88),"—"),"")</f>
        <v>—</v>
      </c>
      <c r="I88" s="15" t="str">
        <f>IF(V88="Sí",IFERROR(COUNTIFS(DATOS!G:G,CONFIG_METADATA!$B$4,DATOS!D:D,A88,DATOS!I:I,B88,DATOS!L:L,"N")/COUNTIFS(DATOS!G:G,CONFIG_METADATA!$B$4,DATOS!D:D,A88,DATOS!I:I,B88),"—"),"")</f>
        <v>—</v>
      </c>
      <c r="J88" t="str" cm="1">
        <f t="array" ref="J88">IF(V88="Sí",IFERROR(_xlfn.MODE.SNGL(IF((nEVAL=CONFIG_METADATA!$B$4)*(nCURSO=A88)*(nASIG=B88)*(nAPTO="S"),nNOTA)),"—"),"")</f>
        <v>—</v>
      </c>
      <c r="K88" t="str" cm="1">
        <f t="array" ref="K88">IF(V88="Sí",IFERROR(_xlfn.MODE.SNGL(IF((nEVAL=CONFIG_METADATA!$B$4)*(nCURSO=A88)*(nASIG=B88)*(nAPTO="N"),nNOTA)),"—"),"")</f>
        <v>—</v>
      </c>
      <c r="L88">
        <f>IF(V88="Sí",COUNTIFS(DATOS!G:G,CONFIG_METADATA!$B$4,DATOS!D:D,A88,DATOS!I:I,B88,DATOS!K:K,1),"")</f>
        <v>0</v>
      </c>
      <c r="M88">
        <f>IF(V88="Sí",COUNTIFS(DATOS!G:G,CONFIG_METADATA!$B$4,DATOS!D:D,A88,DATOS!I:I,B88,DATOS!K:K,2),"")</f>
        <v>0</v>
      </c>
      <c r="N88">
        <f>IF(V88="Sí",COUNTIFS(DATOS!G:G,CONFIG_METADATA!$B$4,DATOS!D:D,A88,DATOS!I:I,B88,DATOS!K:K,3),"")</f>
        <v>0</v>
      </c>
      <c r="O88">
        <f>IF(V88="Sí",COUNTIFS(DATOS!G:G,CONFIG_METADATA!$B$4,DATOS!D:D,A88,DATOS!I:I,B88,DATOS!K:K,4),"")</f>
        <v>0</v>
      </c>
      <c r="P88">
        <f>IF(V88="Sí",COUNTIFS(DATOS!G:G,CONFIG_METADATA!$B$4,DATOS!D:D,A88,DATOS!I:I,B88,DATOS!K:K,5),"")</f>
        <v>0</v>
      </c>
      <c r="Q88">
        <f>IF(V88="Sí",COUNTIFS(DATOS!G:G,CONFIG_METADATA!$B$4,DATOS!D:D,A88,DATOS!I:I,B88,DATOS!K:K,6),"")</f>
        <v>0</v>
      </c>
      <c r="R88">
        <f>IF(V88="Sí",COUNTIFS(DATOS!G:G,CONFIG_METADATA!$B$4,DATOS!D:D,A88,DATOS!I:I,B88,DATOS!K:K,7),"")</f>
        <v>0</v>
      </c>
      <c r="S88">
        <f>IF(V88="Sí",COUNTIFS(DATOS!G:G,CONFIG_METADATA!$B$4,DATOS!D:D,A88,DATOS!I:I,B88,DATOS!K:K,8),"")</f>
        <v>0</v>
      </c>
      <c r="T88">
        <f>IF(V88="Sí",COUNTIFS(DATOS!G:G,CONFIG_METADATA!$B$4,DATOS!D:D,A88,DATOS!I:I,B88,DATOS!K:K,9),"")</f>
        <v>0</v>
      </c>
      <c r="U88">
        <f>IF(V88="Sí",COUNTIFS(DATOS!G:G,CONFIG_METADATA!$B$4,DATOS!D:D,A88,DATOS!I:I,B88,DATOS!K:K,10),"")</f>
        <v>0</v>
      </c>
      <c r="V88" t="str">
        <f>IFERROR(IF(ISERROR(FIND(A88,VLOOKUP(B88,CONFIG_ASIGNATURAS!B:C,2,FALSE()))),"No","Sí"),"No")</f>
        <v>Sí</v>
      </c>
    </row>
    <row r="89" spans="1:22">
      <c r="A89" s="3" t="inlineStr">
        <is>
          <t xml:space="preserve">1EEM</t>
        </is>
      </c>
      <c r="B89" s="3" cm="1">
        <f t="array" ref="B89">IFERROR(INDEX(_xlfn._xlws.FILTER(CONFIG_ASIGNATURAS!$B$2:$B$61,(CONFIG_ASIGNATURAS!$G$2:$G$61="Sí")*ISNUMBER(SEARCH("1EEM",CONFIG_ASIGNATURAS!$C$2:$C$61))),22),"")</f>
      </c>
      <c r="C89" s="3">
        <f>IF(B89="","",IFERROR(IF(VLOOKUP(B89,CONFIG_ASIGNATURAS!$B$2:$F$61,5,FALSE())="Sí","Especialidad","Asignatura"),"Asignatura"))</f>
      </c>
      <c r="D89">
        <f>IF(V89="Sí",COUNTIFS(DATOS!G:G,CONFIG_METADATA!$B$4,DATOS!D:D,A89,DATOS!I:I,B89),"")</f>
        <v>0</v>
      </c>
      <c r="E89" s="14" t="str">
        <f>IF(V89="Sí",IFERROR(AVERAGEIFS(DATOS!K:K,DATOS!G:G,CONFIG_METADATA!$B$4,DATOS!D:D,A89,DATOS!I:I,B89),"—"),"")</f>
        <v>—</v>
      </c>
      <c r="F89" s="14" t="str" cm="1">
        <f t="array" ref="F89">IF(V89="Sí",IFERROR(_xlfn.STDEV.P(IF((nEVAL=CONFIG_METADATA!$B$4)*(nCURSO=A89)*(nASIG=B89),nNOTA)),"—"),"")</f>
        <v>—</v>
      </c>
      <c r="G89" t="str" cm="1">
        <f t="array" ref="G89">IF(V89="Sí",IFERROR(_xlfn.MODE.SNGL(IF((nEVAL=CONFIG_METADATA!$B$4)*(nCURSO=A89)*(nASIG=B89),nNOTA)),"—"),"")</f>
        <v>—</v>
      </c>
      <c r="H89" s="15" t="str">
        <f>IF(V89="Sí",IFERROR(COUNTIFS(DATOS!G:G,CONFIG_METADATA!$B$4,DATOS!D:D,A89,DATOS!I:I,B89,DATOS!L:L,"S")/COUNTIFS(DATOS!G:G,CONFIG_METADATA!$B$4,DATOS!D:D,A89,DATOS!I:I,B89),"—"),"")</f>
        <v>—</v>
      </c>
      <c r="I89" s="15" t="str">
        <f>IF(V89="Sí",IFERROR(COUNTIFS(DATOS!G:G,CONFIG_METADATA!$B$4,DATOS!D:D,A89,DATOS!I:I,B89,DATOS!L:L,"N")/COUNTIFS(DATOS!G:G,CONFIG_METADATA!$B$4,DATOS!D:D,A89,DATOS!I:I,B89),"—"),"")</f>
        <v>—</v>
      </c>
      <c r="J89" t="str" cm="1">
        <f t="array" ref="J89">IF(V89="Sí",IFERROR(_xlfn.MODE.SNGL(IF((nEVAL=CONFIG_METADATA!$B$4)*(nCURSO=A89)*(nASIG=B89)*(nAPTO="S"),nNOTA)),"—"),"")</f>
        <v>—</v>
      </c>
      <c r="K89" t="str" cm="1">
        <f t="array" ref="K89">IF(V89="Sí",IFERROR(_xlfn.MODE.SNGL(IF((nEVAL=CONFIG_METADATA!$B$4)*(nCURSO=A89)*(nASIG=B89)*(nAPTO="N"),nNOTA)),"—"),"")</f>
        <v>—</v>
      </c>
      <c r="L89">
        <f>IF(V89="Sí",COUNTIFS(DATOS!G:G,CONFIG_METADATA!$B$4,DATOS!D:D,A89,DATOS!I:I,B89,DATOS!K:K,1),"")</f>
        <v>0</v>
      </c>
      <c r="M89">
        <f>IF(V89="Sí",COUNTIFS(DATOS!G:G,CONFIG_METADATA!$B$4,DATOS!D:D,A89,DATOS!I:I,B89,DATOS!K:K,2),"")</f>
        <v>0</v>
      </c>
      <c r="N89">
        <f>IF(V89="Sí",COUNTIFS(DATOS!G:G,CONFIG_METADATA!$B$4,DATOS!D:D,A89,DATOS!I:I,B89,DATOS!K:K,3),"")</f>
        <v>0</v>
      </c>
      <c r="O89">
        <f>IF(V89="Sí",COUNTIFS(DATOS!G:G,CONFIG_METADATA!$B$4,DATOS!D:D,A89,DATOS!I:I,B89,DATOS!K:K,4),"")</f>
        <v>0</v>
      </c>
      <c r="P89">
        <f>IF(V89="Sí",COUNTIFS(DATOS!G:G,CONFIG_METADATA!$B$4,DATOS!D:D,A89,DATOS!I:I,B89,DATOS!K:K,5),"")</f>
        <v>0</v>
      </c>
      <c r="Q89">
        <f>IF(V89="Sí",COUNTIFS(DATOS!G:G,CONFIG_METADATA!$B$4,DATOS!D:D,A89,DATOS!I:I,B89,DATOS!K:K,6),"")</f>
        <v>0</v>
      </c>
      <c r="R89">
        <f>IF(V89="Sí",COUNTIFS(DATOS!G:G,CONFIG_METADATA!$B$4,DATOS!D:D,A89,DATOS!I:I,B89,DATOS!K:K,7),"")</f>
        <v>0</v>
      </c>
      <c r="S89">
        <f>IF(V89="Sí",COUNTIFS(DATOS!G:G,CONFIG_METADATA!$B$4,DATOS!D:D,A89,DATOS!I:I,B89,DATOS!K:K,8),"")</f>
        <v>0</v>
      </c>
      <c r="T89">
        <f>IF(V89="Sí",COUNTIFS(DATOS!G:G,CONFIG_METADATA!$B$4,DATOS!D:D,A89,DATOS!I:I,B89,DATOS!K:K,9),"")</f>
        <v>0</v>
      </c>
      <c r="U89">
        <f>IF(V89="Sí",COUNTIFS(DATOS!G:G,CONFIG_METADATA!$B$4,DATOS!D:D,A89,DATOS!I:I,B89,DATOS!K:K,10),"")</f>
        <v>0</v>
      </c>
      <c r="V89" t="str">
        <f>IFERROR(IF(ISERROR(FIND(A89,VLOOKUP(B89,CONFIG_ASIGNATURAS!B:C,2,FALSE()))),"No","Sí"),"No")</f>
        <v>Sí</v>
      </c>
    </row>
    <row r="90" spans="1:22">
      <c r="A90" s="3" t="inlineStr">
        <is>
          <t xml:space="preserve">1EEM</t>
        </is>
      </c>
      <c r="B90" s="3" cm="1">
        <f t="array" ref="B90">IFERROR(INDEX(_xlfn._xlws.FILTER(CONFIG_ASIGNATURAS!$B$2:$B$61,(CONFIG_ASIGNATURAS!$G$2:$G$61="Sí")*ISNUMBER(SEARCH("1EEM",CONFIG_ASIGNATURAS!$C$2:$C$61))),23),"")</f>
      </c>
      <c r="C90" s="3">
        <f>IF(B90="","",IFERROR(IF(VLOOKUP(B90,CONFIG_ASIGNATURAS!$B$2:$F$61,5,FALSE())="Sí","Especialidad","Asignatura"),"Asignatura"))</f>
      </c>
      <c r="D90">
        <f>IF(V90="Sí",COUNTIFS(DATOS!G:G,CONFIG_METADATA!$B$4,DATOS!D:D,A90,DATOS!I:I,B90),"")</f>
        <v>0</v>
      </c>
      <c r="E90" s="14" t="str">
        <f>IF(V90="Sí",IFERROR(AVERAGEIFS(DATOS!K:K,DATOS!G:G,CONFIG_METADATA!$B$4,DATOS!D:D,A90,DATOS!I:I,B90),"—"),"")</f>
        <v>—</v>
      </c>
      <c r="F90" s="14" t="str" cm="1">
        <f t="array" ref="F90">IF(V90="Sí",IFERROR(_xlfn.STDEV.P(IF((nEVAL=CONFIG_METADATA!$B$4)*(nCURSO=A90)*(nASIG=B90),nNOTA)),"—"),"")</f>
        <v>—</v>
      </c>
      <c r="G90" t="str" cm="1">
        <f t="array" ref="G90">IF(V90="Sí",IFERROR(_xlfn.MODE.SNGL(IF((nEVAL=CONFIG_METADATA!$B$4)*(nCURSO=A90)*(nASIG=B90),nNOTA)),"—"),"")</f>
        <v>—</v>
      </c>
      <c r="H90" s="15" t="str">
        <f>IF(V90="Sí",IFERROR(COUNTIFS(DATOS!G:G,CONFIG_METADATA!$B$4,DATOS!D:D,A90,DATOS!I:I,B90,DATOS!L:L,"S")/COUNTIFS(DATOS!G:G,CONFIG_METADATA!$B$4,DATOS!D:D,A90,DATOS!I:I,B90),"—"),"")</f>
        <v>—</v>
      </c>
      <c r="I90" s="15" t="str">
        <f>IF(V90="Sí",IFERROR(COUNTIFS(DATOS!G:G,CONFIG_METADATA!$B$4,DATOS!D:D,A90,DATOS!I:I,B90,DATOS!L:L,"N")/COUNTIFS(DATOS!G:G,CONFIG_METADATA!$B$4,DATOS!D:D,A90,DATOS!I:I,B90),"—"),"")</f>
        <v>—</v>
      </c>
      <c r="J90" t="str" cm="1">
        <f t="array" ref="J90">IF(V90="Sí",IFERROR(_xlfn.MODE.SNGL(IF((nEVAL=CONFIG_METADATA!$B$4)*(nCURSO=A90)*(nASIG=B90)*(nAPTO="S"),nNOTA)),"—"),"")</f>
        <v>—</v>
      </c>
      <c r="K90" t="str" cm="1">
        <f t="array" ref="K90">IF(V90="Sí",IFERROR(_xlfn.MODE.SNGL(IF((nEVAL=CONFIG_METADATA!$B$4)*(nCURSO=A90)*(nASIG=B90)*(nAPTO="N"),nNOTA)),"—"),"")</f>
        <v>—</v>
      </c>
      <c r="L90">
        <f>IF(V90="Sí",COUNTIFS(DATOS!G:G,CONFIG_METADATA!$B$4,DATOS!D:D,A90,DATOS!I:I,B90,DATOS!K:K,1),"")</f>
        <v>0</v>
      </c>
      <c r="M90">
        <f>IF(V90="Sí",COUNTIFS(DATOS!G:G,CONFIG_METADATA!$B$4,DATOS!D:D,A90,DATOS!I:I,B90,DATOS!K:K,2),"")</f>
        <v>0</v>
      </c>
      <c r="N90">
        <f>IF(V90="Sí",COUNTIFS(DATOS!G:G,CONFIG_METADATA!$B$4,DATOS!D:D,A90,DATOS!I:I,B90,DATOS!K:K,3),"")</f>
        <v>0</v>
      </c>
      <c r="O90">
        <f>IF(V90="Sí",COUNTIFS(DATOS!G:G,CONFIG_METADATA!$B$4,DATOS!D:D,A90,DATOS!I:I,B90,DATOS!K:K,4),"")</f>
        <v>0</v>
      </c>
      <c r="P90">
        <f>IF(V90="Sí",COUNTIFS(DATOS!G:G,CONFIG_METADATA!$B$4,DATOS!D:D,A90,DATOS!I:I,B90,DATOS!K:K,5),"")</f>
        <v>0</v>
      </c>
      <c r="Q90">
        <f>IF(V90="Sí",COUNTIFS(DATOS!G:G,CONFIG_METADATA!$B$4,DATOS!D:D,A90,DATOS!I:I,B90,DATOS!K:K,6),"")</f>
        <v>0</v>
      </c>
      <c r="R90">
        <f>IF(V90="Sí",COUNTIFS(DATOS!G:G,CONFIG_METADATA!$B$4,DATOS!D:D,A90,DATOS!I:I,B90,DATOS!K:K,7),"")</f>
        <v>0</v>
      </c>
      <c r="S90">
        <f>IF(V90="Sí",COUNTIFS(DATOS!G:G,CONFIG_METADATA!$B$4,DATOS!D:D,A90,DATOS!I:I,B90,DATOS!K:K,8),"")</f>
        <v>0</v>
      </c>
      <c r="T90">
        <f>IF(V90="Sí",COUNTIFS(DATOS!G:G,CONFIG_METADATA!$B$4,DATOS!D:D,A90,DATOS!I:I,B90,DATOS!K:K,9),"")</f>
        <v>0</v>
      </c>
      <c r="U90">
        <f>IF(V90="Sí",COUNTIFS(DATOS!G:G,CONFIG_METADATA!$B$4,DATOS!D:D,A90,DATOS!I:I,B90,DATOS!K:K,10),"")</f>
        <v>0</v>
      </c>
      <c r="V90" t="str">
        <f>IFERROR(IF(ISERROR(FIND(A90,VLOOKUP(B90,CONFIG_ASIGNATURAS!B:C,2,FALSE()))),"No","Sí"),"No")</f>
        <v>Sí</v>
      </c>
    </row>
    <row r="91" spans="1:22">
      <c r="A91" s="3" t="inlineStr">
        <is>
          <t xml:space="preserve">1EEM</t>
        </is>
      </c>
      <c r="B91" s="3" cm="1">
        <f t="array" ref="B91">IFERROR(INDEX(_xlfn._xlws.FILTER(CONFIG_ASIGNATURAS!$B$2:$B$61,(CONFIG_ASIGNATURAS!$G$2:$G$61="Sí")*ISNUMBER(SEARCH("1EEM",CONFIG_ASIGNATURAS!$C$2:$C$61))),24),"")</f>
      </c>
      <c r="C91" s="3">
        <f>IF(B91="","",IFERROR(IF(VLOOKUP(B91,CONFIG_ASIGNATURAS!$B$2:$F$61,5,FALSE())="Sí","Especialidad","Asignatura"),"Asignatura"))</f>
      </c>
      <c r="D91">
        <f>IF(V91="Sí",COUNTIFS(DATOS!G:G,CONFIG_METADATA!$B$4,DATOS!D:D,A91,DATOS!I:I,B91),"")</f>
        <v>0</v>
      </c>
      <c r="E91" s="14" t="str">
        <f>IF(V91="Sí",IFERROR(AVERAGEIFS(DATOS!K:K,DATOS!G:G,CONFIG_METADATA!$B$4,DATOS!D:D,A91,DATOS!I:I,B91),"—"),"")</f>
        <v>—</v>
      </c>
      <c r="F91" s="14" t="str" cm="1">
        <f t="array" ref="F91">IF(V91="Sí",IFERROR(_xlfn.STDEV.P(IF((nEVAL=CONFIG_METADATA!$B$4)*(nCURSO=A91)*(nASIG=B91),nNOTA)),"—"),"")</f>
        <v>—</v>
      </c>
      <c r="G91" t="str" cm="1">
        <f t="array" ref="G91">IF(V91="Sí",IFERROR(_xlfn.MODE.SNGL(IF((nEVAL=CONFIG_METADATA!$B$4)*(nCURSO=A91)*(nASIG=B91),nNOTA)),"—"),"")</f>
        <v>—</v>
      </c>
      <c r="H91" s="15" t="str">
        <f>IF(V91="Sí",IFERROR(COUNTIFS(DATOS!G:G,CONFIG_METADATA!$B$4,DATOS!D:D,A91,DATOS!I:I,B91,DATOS!L:L,"S")/COUNTIFS(DATOS!G:G,CONFIG_METADATA!$B$4,DATOS!D:D,A91,DATOS!I:I,B91),"—"),"")</f>
        <v>—</v>
      </c>
      <c r="I91" s="15" t="str">
        <f>IF(V91="Sí",IFERROR(COUNTIFS(DATOS!G:G,CONFIG_METADATA!$B$4,DATOS!D:D,A91,DATOS!I:I,B91,DATOS!L:L,"N")/COUNTIFS(DATOS!G:G,CONFIG_METADATA!$B$4,DATOS!D:D,A91,DATOS!I:I,B91),"—"),"")</f>
        <v>—</v>
      </c>
      <c r="J91" t="str" cm="1">
        <f t="array" ref="J91">IF(V91="Sí",IFERROR(_xlfn.MODE.SNGL(IF((nEVAL=CONFIG_METADATA!$B$4)*(nCURSO=A91)*(nASIG=B91)*(nAPTO="S"),nNOTA)),"—"),"")</f>
        <v>—</v>
      </c>
      <c r="K91" t="str" cm="1">
        <f t="array" ref="K91">IF(V91="Sí",IFERROR(_xlfn.MODE.SNGL(IF((nEVAL=CONFIG_METADATA!$B$4)*(nCURSO=A91)*(nASIG=B91)*(nAPTO="N"),nNOTA)),"—"),"")</f>
        <v>—</v>
      </c>
      <c r="L91">
        <f>IF(V91="Sí",COUNTIFS(DATOS!G:G,CONFIG_METADATA!$B$4,DATOS!D:D,A91,DATOS!I:I,B91,DATOS!K:K,1),"")</f>
        <v>0</v>
      </c>
      <c r="M91">
        <f>IF(V91="Sí",COUNTIFS(DATOS!G:G,CONFIG_METADATA!$B$4,DATOS!D:D,A91,DATOS!I:I,B91,DATOS!K:K,2),"")</f>
        <v>0</v>
      </c>
      <c r="N91">
        <f>IF(V91="Sí",COUNTIFS(DATOS!G:G,CONFIG_METADATA!$B$4,DATOS!D:D,A91,DATOS!I:I,B91,DATOS!K:K,3),"")</f>
        <v>0</v>
      </c>
      <c r="O91">
        <f>IF(V91="Sí",COUNTIFS(DATOS!G:G,CONFIG_METADATA!$B$4,DATOS!D:D,A91,DATOS!I:I,B91,DATOS!K:K,4),"")</f>
        <v>0</v>
      </c>
      <c r="P91">
        <f>IF(V91="Sí",COUNTIFS(DATOS!G:G,CONFIG_METADATA!$B$4,DATOS!D:D,A91,DATOS!I:I,B91,DATOS!K:K,5),"")</f>
        <v>0</v>
      </c>
      <c r="Q91">
        <f>IF(V91="Sí",COUNTIFS(DATOS!G:G,CONFIG_METADATA!$B$4,DATOS!D:D,A91,DATOS!I:I,B91,DATOS!K:K,6),"")</f>
        <v>0</v>
      </c>
      <c r="R91">
        <f>IF(V91="Sí",COUNTIFS(DATOS!G:G,CONFIG_METADATA!$B$4,DATOS!D:D,A91,DATOS!I:I,B91,DATOS!K:K,7),"")</f>
        <v>0</v>
      </c>
      <c r="S91">
        <f>IF(V91="Sí",COUNTIFS(DATOS!G:G,CONFIG_METADATA!$B$4,DATOS!D:D,A91,DATOS!I:I,B91,DATOS!K:K,8),"")</f>
        <v>0</v>
      </c>
      <c r="T91">
        <f>IF(V91="Sí",COUNTIFS(DATOS!G:G,CONFIG_METADATA!$B$4,DATOS!D:D,A91,DATOS!I:I,B91,DATOS!K:K,9),"")</f>
        <v>0</v>
      </c>
      <c r="U91">
        <f>IF(V91="Sí",COUNTIFS(DATOS!G:G,CONFIG_METADATA!$B$4,DATOS!D:D,A91,DATOS!I:I,B91,DATOS!K:K,10),"")</f>
        <v>0</v>
      </c>
      <c r="V91" t="str">
        <f>IFERROR(IF(ISERROR(FIND(A91,VLOOKUP(B91,CONFIG_ASIGNATURAS!B:C,2,FALSE()))),"No","Sí"),"No")</f>
        <v>Sí</v>
      </c>
    </row>
    <row r="92" spans="1:22">
      <c r="A92" s="3" t="inlineStr">
        <is>
          <t xml:space="preserve">1EEM</t>
        </is>
      </c>
      <c r="B92" s="3" cm="1">
        <f t="array" ref="B92">IFERROR(INDEX(_xlfn._xlws.FILTER(CONFIG_ASIGNATURAS!$B$2:$B$61,(CONFIG_ASIGNATURAS!$G$2:$G$61="Sí")*ISNUMBER(SEARCH("1EEM",CONFIG_ASIGNATURAS!$C$2:$C$61))),25),"")</f>
      </c>
      <c r="C92" s="3">
        <f>IF(B92="","",IFERROR(IF(VLOOKUP(B92,CONFIG_ASIGNATURAS!$B$2:$F$61,5,FALSE())="Sí","Especialidad","Asignatura"),"Asignatura"))</f>
      </c>
      <c r="D92">
        <f>IF(V92="Sí",COUNTIFS(DATOS!G:G,CONFIG_METADATA!$B$4,DATOS!D:D,A92,DATOS!I:I,B92),"")</f>
        <v>0</v>
      </c>
      <c r="E92" s="14" t="str">
        <f>IF(V92="Sí",IFERROR(AVERAGEIFS(DATOS!K:K,DATOS!G:G,CONFIG_METADATA!$B$4,DATOS!D:D,A92,DATOS!I:I,B92),"—"),"")</f>
        <v>—</v>
      </c>
      <c r="F92" s="14" t="str" cm="1">
        <f t="array" ref="F92">IF(V92="Sí",IFERROR(_xlfn.STDEV.P(IF((nEVAL=CONFIG_METADATA!$B$4)*(nCURSO=A92)*(nASIG=B92),nNOTA)),"—"),"")</f>
        <v>—</v>
      </c>
      <c r="G92" t="str" cm="1">
        <f t="array" ref="G92">IF(V92="Sí",IFERROR(_xlfn.MODE.SNGL(IF((nEVAL=CONFIG_METADATA!$B$4)*(nCURSO=A92)*(nASIG=B92),nNOTA)),"—"),"")</f>
        <v>—</v>
      </c>
      <c r="H92" s="15" t="str">
        <f>IF(V92="Sí",IFERROR(COUNTIFS(DATOS!G:G,CONFIG_METADATA!$B$4,DATOS!D:D,A92,DATOS!I:I,B92,DATOS!L:L,"S")/COUNTIFS(DATOS!G:G,CONFIG_METADATA!$B$4,DATOS!D:D,A92,DATOS!I:I,B92),"—"),"")</f>
        <v>—</v>
      </c>
      <c r="I92" s="15" t="str">
        <f>IF(V92="Sí",IFERROR(COUNTIFS(DATOS!G:G,CONFIG_METADATA!$B$4,DATOS!D:D,A92,DATOS!I:I,B92,DATOS!L:L,"N")/COUNTIFS(DATOS!G:G,CONFIG_METADATA!$B$4,DATOS!D:D,A92,DATOS!I:I,B92),"—"),"")</f>
        <v>—</v>
      </c>
      <c r="J92" t="str" cm="1">
        <f t="array" ref="J92">IF(V92="Sí",IFERROR(_xlfn.MODE.SNGL(IF((nEVAL=CONFIG_METADATA!$B$4)*(nCURSO=A92)*(nASIG=B92)*(nAPTO="S"),nNOTA)),"—"),"")</f>
        <v>—</v>
      </c>
      <c r="K92" t="str" cm="1">
        <f t="array" ref="K92">IF(V92="Sí",IFERROR(_xlfn.MODE.SNGL(IF((nEVAL=CONFIG_METADATA!$B$4)*(nCURSO=A92)*(nASIG=B92)*(nAPTO="N"),nNOTA)),"—"),"")</f>
        <v>—</v>
      </c>
      <c r="L92">
        <f>IF(V92="Sí",COUNTIFS(DATOS!G:G,CONFIG_METADATA!$B$4,DATOS!D:D,A92,DATOS!I:I,B92,DATOS!K:K,1),"")</f>
        <v>0</v>
      </c>
      <c r="M92">
        <f>IF(V92="Sí",COUNTIFS(DATOS!G:G,CONFIG_METADATA!$B$4,DATOS!D:D,A92,DATOS!I:I,B92,DATOS!K:K,2),"")</f>
        <v>0</v>
      </c>
      <c r="N92">
        <f>IF(V92="Sí",COUNTIFS(DATOS!G:G,CONFIG_METADATA!$B$4,DATOS!D:D,A92,DATOS!I:I,B92,DATOS!K:K,3),"")</f>
        <v>0</v>
      </c>
      <c r="O92">
        <f>IF(V92="Sí",COUNTIFS(DATOS!G:G,CONFIG_METADATA!$B$4,DATOS!D:D,A92,DATOS!I:I,B92,DATOS!K:K,4),"")</f>
        <v>0</v>
      </c>
      <c r="P92">
        <f>IF(V92="Sí",COUNTIFS(DATOS!G:G,CONFIG_METADATA!$B$4,DATOS!D:D,A92,DATOS!I:I,B92,DATOS!K:K,5),"")</f>
        <v>0</v>
      </c>
      <c r="Q92">
        <f>IF(V92="Sí",COUNTIFS(DATOS!G:G,CONFIG_METADATA!$B$4,DATOS!D:D,A92,DATOS!I:I,B92,DATOS!K:K,6),"")</f>
        <v>0</v>
      </c>
      <c r="R92">
        <f>IF(V92="Sí",COUNTIFS(DATOS!G:G,CONFIG_METADATA!$B$4,DATOS!D:D,A92,DATOS!I:I,B92,DATOS!K:K,7),"")</f>
        <v>0</v>
      </c>
      <c r="S92">
        <f>IF(V92="Sí",COUNTIFS(DATOS!G:G,CONFIG_METADATA!$B$4,DATOS!D:D,A92,DATOS!I:I,B92,DATOS!K:K,8),"")</f>
        <v>0</v>
      </c>
      <c r="T92">
        <f>IF(V92="Sí",COUNTIFS(DATOS!G:G,CONFIG_METADATA!$B$4,DATOS!D:D,A92,DATOS!I:I,B92,DATOS!K:K,9),"")</f>
        <v>0</v>
      </c>
      <c r="U92">
        <f>IF(V92="Sí",COUNTIFS(DATOS!G:G,CONFIG_METADATA!$B$4,DATOS!D:D,A92,DATOS!I:I,B92,DATOS!K:K,10),"")</f>
        <v>0</v>
      </c>
      <c r="V92" t="str">
        <f>IFERROR(IF(ISERROR(FIND(A92,VLOOKUP(B92,CONFIG_ASIGNATURAS!B:C,2,FALSE()))),"No","Sí"),"No")</f>
        <v>Sí</v>
      </c>
    </row>
    <row r="93" spans="1:22">
      <c r="A93" s="3" t="inlineStr">
        <is>
          <t xml:space="preserve">1EEM</t>
        </is>
      </c>
      <c r="B93" s="3" cm="1">
        <f t="array" ref="B93">IFERROR(INDEX(_xlfn._xlws.FILTER(CONFIG_ASIGNATURAS!$B$2:$B$61,(CONFIG_ASIGNATURAS!$G$2:$G$61="Sí")*ISNUMBER(SEARCH("1EEM",CONFIG_ASIGNATURAS!$C$2:$C$61))),26),"")</f>
      </c>
      <c r="C93" s="3">
        <f>IF(B93="","",IFERROR(IF(VLOOKUP(B93,CONFIG_ASIGNATURAS!$B$2:$F$61,5,FALSE())="Sí","Especialidad","Asignatura"),"Asignatura"))</f>
      </c>
      <c r="D93">
        <f>IF(V93="Sí",COUNTIFS(DATOS!G:G,CONFIG_METADATA!$B$4,DATOS!D:D,A93,DATOS!I:I,B93),"")</f>
        <v>0</v>
      </c>
      <c r="E93" s="14" t="str">
        <f>IF(V93="Sí",IFERROR(AVERAGEIFS(DATOS!K:K,DATOS!G:G,CONFIG_METADATA!$B$4,DATOS!D:D,A93,DATOS!I:I,B93),"—"),"")</f>
        <v>—</v>
      </c>
      <c r="F93" s="14" t="str" cm="1">
        <f t="array" ref="F93">IF(V93="Sí",IFERROR(_xlfn.STDEV.P(IF((nEVAL=CONFIG_METADATA!$B$4)*(nCURSO=A93)*(nASIG=B93),nNOTA)),"—"),"")</f>
        <v>—</v>
      </c>
      <c r="G93" t="str" cm="1">
        <f t="array" ref="G93">IF(V93="Sí",IFERROR(_xlfn.MODE.SNGL(IF((nEVAL=CONFIG_METADATA!$B$4)*(nCURSO=A93)*(nASIG=B93),nNOTA)),"—"),"")</f>
        <v>—</v>
      </c>
      <c r="H93" s="15" t="str">
        <f>IF(V93="Sí",IFERROR(COUNTIFS(DATOS!G:G,CONFIG_METADATA!$B$4,DATOS!D:D,A93,DATOS!I:I,B93,DATOS!L:L,"S")/COUNTIFS(DATOS!G:G,CONFIG_METADATA!$B$4,DATOS!D:D,A93,DATOS!I:I,B93),"—"),"")</f>
        <v>—</v>
      </c>
      <c r="I93" s="15" t="str">
        <f>IF(V93="Sí",IFERROR(COUNTIFS(DATOS!G:G,CONFIG_METADATA!$B$4,DATOS!D:D,A93,DATOS!I:I,B93,DATOS!L:L,"N")/COUNTIFS(DATOS!G:G,CONFIG_METADATA!$B$4,DATOS!D:D,A93,DATOS!I:I,B93),"—"),"")</f>
        <v>—</v>
      </c>
      <c r="J93" t="str" cm="1">
        <f t="array" ref="J93">IF(V93="Sí",IFERROR(_xlfn.MODE.SNGL(IF((nEVAL=CONFIG_METADATA!$B$4)*(nCURSO=A93)*(nASIG=B93)*(nAPTO="S"),nNOTA)),"—"),"")</f>
        <v>—</v>
      </c>
      <c r="K93" t="str" cm="1">
        <f t="array" ref="K93">IF(V93="Sí",IFERROR(_xlfn.MODE.SNGL(IF((nEVAL=CONFIG_METADATA!$B$4)*(nCURSO=A93)*(nASIG=B93)*(nAPTO="N"),nNOTA)),"—"),"")</f>
        <v>—</v>
      </c>
      <c r="L93">
        <f>IF(V93="Sí",COUNTIFS(DATOS!G:G,CONFIG_METADATA!$B$4,DATOS!D:D,A93,DATOS!I:I,B93,DATOS!K:K,1),"")</f>
        <v>0</v>
      </c>
      <c r="M93">
        <f>IF(V93="Sí",COUNTIFS(DATOS!G:G,CONFIG_METADATA!$B$4,DATOS!D:D,A93,DATOS!I:I,B93,DATOS!K:K,2),"")</f>
        <v>0</v>
      </c>
      <c r="N93">
        <f>IF(V93="Sí",COUNTIFS(DATOS!G:G,CONFIG_METADATA!$B$4,DATOS!D:D,A93,DATOS!I:I,B93,DATOS!K:K,3),"")</f>
        <v>0</v>
      </c>
      <c r="O93">
        <f>IF(V93="Sí",COUNTIFS(DATOS!G:G,CONFIG_METADATA!$B$4,DATOS!D:D,A93,DATOS!I:I,B93,DATOS!K:K,4),"")</f>
        <v>0</v>
      </c>
      <c r="P93">
        <f>IF(V93="Sí",COUNTIFS(DATOS!G:G,CONFIG_METADATA!$B$4,DATOS!D:D,A93,DATOS!I:I,B93,DATOS!K:K,5),"")</f>
        <v>0</v>
      </c>
      <c r="Q93">
        <f>IF(V93="Sí",COUNTIFS(DATOS!G:G,CONFIG_METADATA!$B$4,DATOS!D:D,A93,DATOS!I:I,B93,DATOS!K:K,6),"")</f>
        <v>0</v>
      </c>
      <c r="R93">
        <f>IF(V93="Sí",COUNTIFS(DATOS!G:G,CONFIG_METADATA!$B$4,DATOS!D:D,A93,DATOS!I:I,B93,DATOS!K:K,7),"")</f>
        <v>0</v>
      </c>
      <c r="S93">
        <f>IF(V93="Sí",COUNTIFS(DATOS!G:G,CONFIG_METADATA!$B$4,DATOS!D:D,A93,DATOS!I:I,B93,DATOS!K:K,8),"")</f>
        <v>0</v>
      </c>
      <c r="T93">
        <f>IF(V93="Sí",COUNTIFS(DATOS!G:G,CONFIG_METADATA!$B$4,DATOS!D:D,A93,DATOS!I:I,B93,DATOS!K:K,9),"")</f>
        <v>0</v>
      </c>
      <c r="U93">
        <f>IF(V93="Sí",COUNTIFS(DATOS!G:G,CONFIG_METADATA!$B$4,DATOS!D:D,A93,DATOS!I:I,B93,DATOS!K:K,10),"")</f>
        <v>0</v>
      </c>
      <c r="V93" t="str">
        <f>IFERROR(IF(ISERROR(FIND(A93,VLOOKUP(B93,CONFIG_ASIGNATURAS!B:C,2,FALSE()))),"No","Sí"),"No")</f>
        <v>Sí</v>
      </c>
    </row>
    <row r="94" spans="1:22">
      <c r="A94" s="3" t="inlineStr">
        <is>
          <t xml:space="preserve">1EEM</t>
        </is>
      </c>
      <c r="B94" s="3" cm="1">
        <f t="array" ref="B94">IFERROR(INDEX(_xlfn._xlws.FILTER(CONFIG_ASIGNATURAS!$B$2:$B$61,(CONFIG_ASIGNATURAS!$G$2:$G$61="Sí")*ISNUMBER(SEARCH("1EEM",CONFIG_ASIGNATURAS!$C$2:$C$61))),27),"")</f>
      </c>
      <c r="C94" s="3">
        <f>IF(B94="","",IFERROR(IF(VLOOKUP(B94,CONFIG_ASIGNATURAS!$B$2:$F$61,5,FALSE())="Sí","Especialidad","Asignatura"),"Asignatura"))</f>
      </c>
      <c r="D94">
        <f>IF(V94="Sí",COUNTIFS(DATOS!G:G,CONFIG_METADATA!$B$4,DATOS!D:D,A94,DATOS!I:I,B94),"")</f>
        <v>0</v>
      </c>
      <c r="E94" s="14" t="str">
        <f>IF(V94="Sí",IFERROR(AVERAGEIFS(DATOS!K:K,DATOS!G:G,CONFIG_METADATA!$B$4,DATOS!D:D,A94,DATOS!I:I,B94),"—"),"")</f>
        <v>—</v>
      </c>
      <c r="F94" s="14" t="str" cm="1">
        <f t="array" ref="F94">IF(V94="Sí",IFERROR(_xlfn.STDEV.P(IF((nEVAL=CONFIG_METADATA!$B$4)*(nCURSO=A94)*(nASIG=B94),nNOTA)),"—"),"")</f>
        <v>—</v>
      </c>
      <c r="G94" t="str" cm="1">
        <f t="array" ref="G94">IF(V94="Sí",IFERROR(_xlfn.MODE.SNGL(IF((nEVAL=CONFIG_METADATA!$B$4)*(nCURSO=A94)*(nASIG=B94),nNOTA)),"—"),"")</f>
        <v>—</v>
      </c>
      <c r="H94" s="15" t="str">
        <f>IF(V94="Sí",IFERROR(COUNTIFS(DATOS!G:G,CONFIG_METADATA!$B$4,DATOS!D:D,A94,DATOS!I:I,B94,DATOS!L:L,"S")/COUNTIFS(DATOS!G:G,CONFIG_METADATA!$B$4,DATOS!D:D,A94,DATOS!I:I,B94),"—"),"")</f>
        <v>—</v>
      </c>
      <c r="I94" s="15" t="str">
        <f>IF(V94="Sí",IFERROR(COUNTIFS(DATOS!G:G,CONFIG_METADATA!$B$4,DATOS!D:D,A94,DATOS!I:I,B94,DATOS!L:L,"N")/COUNTIFS(DATOS!G:G,CONFIG_METADATA!$B$4,DATOS!D:D,A94,DATOS!I:I,B94),"—"),"")</f>
        <v>—</v>
      </c>
      <c r="J94" t="str" cm="1">
        <f t="array" ref="J94">IF(V94="Sí",IFERROR(_xlfn.MODE.SNGL(IF((nEVAL=CONFIG_METADATA!$B$4)*(nCURSO=A94)*(nASIG=B94)*(nAPTO="S"),nNOTA)),"—"),"")</f>
        <v>—</v>
      </c>
      <c r="K94" t="str" cm="1">
        <f t="array" ref="K94">IF(V94="Sí",IFERROR(_xlfn.MODE.SNGL(IF((nEVAL=CONFIG_METADATA!$B$4)*(nCURSO=A94)*(nASIG=B94)*(nAPTO="N"),nNOTA)),"—"),"")</f>
        <v>—</v>
      </c>
      <c r="L94">
        <f>IF(V94="Sí",COUNTIFS(DATOS!G:G,CONFIG_METADATA!$B$4,DATOS!D:D,A94,DATOS!I:I,B94,DATOS!K:K,1),"")</f>
        <v>0</v>
      </c>
      <c r="M94">
        <f>IF(V94="Sí",COUNTIFS(DATOS!G:G,CONFIG_METADATA!$B$4,DATOS!D:D,A94,DATOS!I:I,B94,DATOS!K:K,2),"")</f>
        <v>0</v>
      </c>
      <c r="N94">
        <f>IF(V94="Sí",COUNTIFS(DATOS!G:G,CONFIG_METADATA!$B$4,DATOS!D:D,A94,DATOS!I:I,B94,DATOS!K:K,3),"")</f>
        <v>0</v>
      </c>
      <c r="O94">
        <f>IF(V94="Sí",COUNTIFS(DATOS!G:G,CONFIG_METADATA!$B$4,DATOS!D:D,A94,DATOS!I:I,B94,DATOS!K:K,4),"")</f>
        <v>0</v>
      </c>
      <c r="P94">
        <f>IF(V94="Sí",COUNTIFS(DATOS!G:G,CONFIG_METADATA!$B$4,DATOS!D:D,A94,DATOS!I:I,B94,DATOS!K:K,5),"")</f>
        <v>0</v>
      </c>
      <c r="Q94">
        <f>IF(V94="Sí",COUNTIFS(DATOS!G:G,CONFIG_METADATA!$B$4,DATOS!D:D,A94,DATOS!I:I,B94,DATOS!K:K,6),"")</f>
        <v>0</v>
      </c>
      <c r="R94">
        <f>IF(V94="Sí",COUNTIFS(DATOS!G:G,CONFIG_METADATA!$B$4,DATOS!D:D,A94,DATOS!I:I,B94,DATOS!K:K,7),"")</f>
        <v>0</v>
      </c>
      <c r="S94">
        <f>IF(V94="Sí",COUNTIFS(DATOS!G:G,CONFIG_METADATA!$B$4,DATOS!D:D,A94,DATOS!I:I,B94,DATOS!K:K,8),"")</f>
        <v>0</v>
      </c>
      <c r="T94">
        <f>IF(V94="Sí",COUNTIFS(DATOS!G:G,CONFIG_METADATA!$B$4,DATOS!D:D,A94,DATOS!I:I,B94,DATOS!K:K,9),"")</f>
        <v>0</v>
      </c>
      <c r="U94">
        <f>IF(V94="Sí",COUNTIFS(DATOS!G:G,CONFIG_METADATA!$B$4,DATOS!D:D,A94,DATOS!I:I,B94,DATOS!K:K,10),"")</f>
        <v>0</v>
      </c>
      <c r="V94" t="str">
        <f>IFERROR(IF(ISERROR(FIND(A94,VLOOKUP(B94,CONFIG_ASIGNATURAS!B:C,2,FALSE()))),"No","Sí"),"No")</f>
        <v>Sí</v>
      </c>
    </row>
    <row r="95" spans="1:22">
      <c r="A95" s="3" t="inlineStr">
        <is>
          <t xml:space="preserve">1EEM</t>
        </is>
      </c>
      <c r="B95" s="3" cm="1">
        <f t="array" ref="B95">IFERROR(INDEX(_xlfn._xlws.FILTER(CONFIG_ASIGNATURAS!$B$2:$B$61,(CONFIG_ASIGNATURAS!$G$2:$G$61="Sí")*ISNUMBER(SEARCH("1EEM",CONFIG_ASIGNATURAS!$C$2:$C$61))),28),"")</f>
      </c>
      <c r="C95" s="3">
        <f>IF(B95="","",IFERROR(IF(VLOOKUP(B95,CONFIG_ASIGNATURAS!$B$2:$F$61,5,FALSE())="Sí","Especialidad","Asignatura"),"Asignatura"))</f>
      </c>
      <c r="D95">
        <f>IF(V95="Sí",COUNTIFS(DATOS!G:G,CONFIG_METADATA!$B$4,DATOS!D:D,A95,DATOS!I:I,B95),"")</f>
        <v>0</v>
      </c>
      <c r="E95" s="14" t="str">
        <f>IF(V95="Sí",IFERROR(AVERAGEIFS(DATOS!K:K,DATOS!G:G,CONFIG_METADATA!$B$4,DATOS!D:D,A95,DATOS!I:I,B95),"—"),"")</f>
        <v>—</v>
      </c>
      <c r="F95" s="14" t="str" cm="1">
        <f t="array" ref="F95">IF(V95="Sí",IFERROR(_xlfn.STDEV.P(IF((nEVAL=CONFIG_METADATA!$B$4)*(nCURSO=A95)*(nASIG=B95),nNOTA)),"—"),"")</f>
        <v>—</v>
      </c>
      <c r="G95" t="str" cm="1">
        <f t="array" ref="G95">IF(V95="Sí",IFERROR(_xlfn.MODE.SNGL(IF((nEVAL=CONFIG_METADATA!$B$4)*(nCURSO=A95)*(nASIG=B95),nNOTA)),"—"),"")</f>
        <v>—</v>
      </c>
      <c r="H95" s="15" t="str">
        <f>IF(V95="Sí",IFERROR(COUNTIFS(DATOS!G:G,CONFIG_METADATA!$B$4,DATOS!D:D,A95,DATOS!I:I,B95,DATOS!L:L,"S")/COUNTIFS(DATOS!G:G,CONFIG_METADATA!$B$4,DATOS!D:D,A95,DATOS!I:I,B95),"—"),"")</f>
        <v>—</v>
      </c>
      <c r="I95" s="15" t="str">
        <f>IF(V95="Sí",IFERROR(COUNTIFS(DATOS!G:G,CONFIG_METADATA!$B$4,DATOS!D:D,A95,DATOS!I:I,B95,DATOS!L:L,"N")/COUNTIFS(DATOS!G:G,CONFIG_METADATA!$B$4,DATOS!D:D,A95,DATOS!I:I,B95),"—"),"")</f>
        <v>—</v>
      </c>
      <c r="J95" t="str" cm="1">
        <f t="array" ref="J95">IF(V95="Sí",IFERROR(_xlfn.MODE.SNGL(IF((nEVAL=CONFIG_METADATA!$B$4)*(nCURSO=A95)*(nASIG=B95)*(nAPTO="S"),nNOTA)),"—"),"")</f>
        <v>—</v>
      </c>
      <c r="K95" t="str" cm="1">
        <f t="array" ref="K95">IF(V95="Sí",IFERROR(_xlfn.MODE.SNGL(IF((nEVAL=CONFIG_METADATA!$B$4)*(nCURSO=A95)*(nASIG=B95)*(nAPTO="N"),nNOTA)),"—"),"")</f>
        <v>—</v>
      </c>
      <c r="L95">
        <f>IF(V95="Sí",COUNTIFS(DATOS!G:G,CONFIG_METADATA!$B$4,DATOS!D:D,A95,DATOS!I:I,B95,DATOS!K:K,1),"")</f>
        <v>0</v>
      </c>
      <c r="M95">
        <f>IF(V95="Sí",COUNTIFS(DATOS!G:G,CONFIG_METADATA!$B$4,DATOS!D:D,A95,DATOS!I:I,B95,DATOS!K:K,2),"")</f>
        <v>0</v>
      </c>
      <c r="N95">
        <f>IF(V95="Sí",COUNTIFS(DATOS!G:G,CONFIG_METADATA!$B$4,DATOS!D:D,A95,DATOS!I:I,B95,DATOS!K:K,3),"")</f>
        <v>0</v>
      </c>
      <c r="O95">
        <f>IF(V95="Sí",COUNTIFS(DATOS!G:G,CONFIG_METADATA!$B$4,DATOS!D:D,A95,DATOS!I:I,B95,DATOS!K:K,4),"")</f>
        <v>0</v>
      </c>
      <c r="P95">
        <f>IF(V95="Sí",COUNTIFS(DATOS!G:G,CONFIG_METADATA!$B$4,DATOS!D:D,A95,DATOS!I:I,B95,DATOS!K:K,5),"")</f>
        <v>0</v>
      </c>
      <c r="Q95">
        <f>IF(V95="Sí",COUNTIFS(DATOS!G:G,CONFIG_METADATA!$B$4,DATOS!D:D,A95,DATOS!I:I,B95,DATOS!K:K,6),"")</f>
        <v>0</v>
      </c>
      <c r="R95">
        <f>IF(V95="Sí",COUNTIFS(DATOS!G:G,CONFIG_METADATA!$B$4,DATOS!D:D,A95,DATOS!I:I,B95,DATOS!K:K,7),"")</f>
        <v>0</v>
      </c>
      <c r="S95">
        <f>IF(V95="Sí",COUNTIFS(DATOS!G:G,CONFIG_METADATA!$B$4,DATOS!D:D,A95,DATOS!I:I,B95,DATOS!K:K,8),"")</f>
        <v>0</v>
      </c>
      <c r="T95">
        <f>IF(V95="Sí",COUNTIFS(DATOS!G:G,CONFIG_METADATA!$B$4,DATOS!D:D,A95,DATOS!I:I,B95,DATOS!K:K,9),"")</f>
        <v>0</v>
      </c>
      <c r="U95">
        <f>IF(V95="Sí",COUNTIFS(DATOS!G:G,CONFIG_METADATA!$B$4,DATOS!D:D,A95,DATOS!I:I,B95,DATOS!K:K,10),"")</f>
        <v>0</v>
      </c>
      <c r="V95" t="str">
        <f>IFERROR(IF(ISERROR(FIND(A95,VLOOKUP(B95,CONFIG_ASIGNATURAS!B:C,2,FALSE()))),"No","Sí"),"No")</f>
        <v>Sí</v>
      </c>
    </row>
    <row r="96" spans="1:22">
      <c r="A96" s="3" t="inlineStr">
        <is>
          <t xml:space="preserve">1EEM</t>
        </is>
      </c>
      <c r="B96" s="3" cm="1">
        <f t="array" ref="B96">IFERROR(INDEX(_xlfn._xlws.FILTER(CONFIG_ASIGNATURAS!$B$2:$B$61,(CONFIG_ASIGNATURAS!$G$2:$G$61="Sí")*ISNUMBER(SEARCH("1EEM",CONFIG_ASIGNATURAS!$C$2:$C$61))),29),"")</f>
      </c>
      <c r="C96" s="3">
        <f>IF(B96="","",IFERROR(IF(VLOOKUP(B96,CONFIG_ASIGNATURAS!$B$2:$F$61,5,FALSE())="Sí","Especialidad","Asignatura"),"Asignatura"))</f>
      </c>
      <c r="D96">
        <f>IF(V96="Sí",COUNTIFS(DATOS!G:G,CONFIG_METADATA!$B$4,DATOS!D:D,A96,DATOS!I:I,B96),"")</f>
        <v>0</v>
      </c>
      <c r="E96" s="14" t="str">
        <f>IF(V96="Sí",IFERROR(AVERAGEIFS(DATOS!K:K,DATOS!G:G,CONFIG_METADATA!$B$4,DATOS!D:D,A96,DATOS!I:I,B96),"—"),"")</f>
        <v>—</v>
      </c>
      <c r="F96" s="14" t="str" cm="1">
        <f t="array" ref="F96">IF(V96="Sí",IFERROR(_xlfn.STDEV.P(IF((nEVAL=CONFIG_METADATA!$B$4)*(nCURSO=A96)*(nASIG=B96),nNOTA)),"—"),"")</f>
        <v>—</v>
      </c>
      <c r="G96" t="str" cm="1">
        <f t="array" ref="G96">IF(V96="Sí",IFERROR(_xlfn.MODE.SNGL(IF((nEVAL=CONFIG_METADATA!$B$4)*(nCURSO=A96)*(nASIG=B96),nNOTA)),"—"),"")</f>
        <v>—</v>
      </c>
      <c r="H96" s="15" t="str">
        <f>IF(V96="Sí",IFERROR(COUNTIFS(DATOS!G:G,CONFIG_METADATA!$B$4,DATOS!D:D,A96,DATOS!I:I,B96,DATOS!L:L,"S")/COUNTIFS(DATOS!G:G,CONFIG_METADATA!$B$4,DATOS!D:D,A96,DATOS!I:I,B96),"—"),"")</f>
        <v>—</v>
      </c>
      <c r="I96" s="15" t="str">
        <f>IF(V96="Sí",IFERROR(COUNTIFS(DATOS!G:G,CONFIG_METADATA!$B$4,DATOS!D:D,A96,DATOS!I:I,B96,DATOS!L:L,"N")/COUNTIFS(DATOS!G:G,CONFIG_METADATA!$B$4,DATOS!D:D,A96,DATOS!I:I,B96),"—"),"")</f>
        <v>—</v>
      </c>
      <c r="J96" t="str" cm="1">
        <f t="array" ref="J96">IF(V96="Sí",IFERROR(_xlfn.MODE.SNGL(IF((nEVAL=CONFIG_METADATA!$B$4)*(nCURSO=A96)*(nASIG=B96)*(nAPTO="S"),nNOTA)),"—"),"")</f>
        <v>—</v>
      </c>
      <c r="K96" t="str" cm="1">
        <f t="array" ref="K96">IF(V96="Sí",IFERROR(_xlfn.MODE.SNGL(IF((nEVAL=CONFIG_METADATA!$B$4)*(nCURSO=A96)*(nASIG=B96)*(nAPTO="N"),nNOTA)),"—"),"")</f>
        <v>—</v>
      </c>
      <c r="L96">
        <f>IF(V96="Sí",COUNTIFS(DATOS!G:G,CONFIG_METADATA!$B$4,DATOS!D:D,A96,DATOS!I:I,B96,DATOS!K:K,1),"")</f>
        <v>0</v>
      </c>
      <c r="M96">
        <f>IF(V96="Sí",COUNTIFS(DATOS!G:G,CONFIG_METADATA!$B$4,DATOS!D:D,A96,DATOS!I:I,B96,DATOS!K:K,2),"")</f>
        <v>0</v>
      </c>
      <c r="N96">
        <f>IF(V96="Sí",COUNTIFS(DATOS!G:G,CONFIG_METADATA!$B$4,DATOS!D:D,A96,DATOS!I:I,B96,DATOS!K:K,3),"")</f>
        <v>0</v>
      </c>
      <c r="O96">
        <f>IF(V96="Sí",COUNTIFS(DATOS!G:G,CONFIG_METADATA!$B$4,DATOS!D:D,A96,DATOS!I:I,B96,DATOS!K:K,4),"")</f>
        <v>0</v>
      </c>
      <c r="P96">
        <f>IF(V96="Sí",COUNTIFS(DATOS!G:G,CONFIG_METADATA!$B$4,DATOS!D:D,A96,DATOS!I:I,B96,DATOS!K:K,5),"")</f>
        <v>0</v>
      </c>
      <c r="Q96">
        <f>IF(V96="Sí",COUNTIFS(DATOS!G:G,CONFIG_METADATA!$B$4,DATOS!D:D,A96,DATOS!I:I,B96,DATOS!K:K,6),"")</f>
        <v>0</v>
      </c>
      <c r="R96">
        <f>IF(V96="Sí",COUNTIFS(DATOS!G:G,CONFIG_METADATA!$B$4,DATOS!D:D,A96,DATOS!I:I,B96,DATOS!K:K,7),"")</f>
        <v>0</v>
      </c>
      <c r="S96">
        <f>IF(V96="Sí",COUNTIFS(DATOS!G:G,CONFIG_METADATA!$B$4,DATOS!D:D,A96,DATOS!I:I,B96,DATOS!K:K,8),"")</f>
        <v>0</v>
      </c>
      <c r="T96">
        <f>IF(V96="Sí",COUNTIFS(DATOS!G:G,CONFIG_METADATA!$B$4,DATOS!D:D,A96,DATOS!I:I,B96,DATOS!K:K,9),"")</f>
        <v>0</v>
      </c>
      <c r="U96">
        <f>IF(V96="Sí",COUNTIFS(DATOS!G:G,CONFIG_METADATA!$B$4,DATOS!D:D,A96,DATOS!I:I,B96,DATOS!K:K,10),"")</f>
        <v>0</v>
      </c>
      <c r="V96" t="str">
        <f>IFERROR(IF(ISERROR(FIND(A96,VLOOKUP(B96,CONFIG_ASIGNATURAS!B:C,2,FALSE()))),"No","Sí"),"No")</f>
        <v>Sí</v>
      </c>
    </row>
    <row r="97" spans="1:22">
      <c r="A97" s="3" t="inlineStr">
        <is>
          <t xml:space="preserve">1EEM</t>
        </is>
      </c>
      <c r="B97" s="3" cm="1">
        <f t="array" ref="B97">IFERROR(INDEX(_xlfn._xlws.FILTER(CONFIG_ASIGNATURAS!$B$2:$B$61,(CONFIG_ASIGNATURAS!$G$2:$G$61="Sí")*ISNUMBER(SEARCH("1EEM",CONFIG_ASIGNATURAS!$C$2:$C$61))),30),"")</f>
      </c>
      <c r="C97" s="3">
        <f>IF(B97="","",IFERROR(IF(VLOOKUP(B97,CONFIG_ASIGNATURAS!$B$2:$F$61,5,FALSE())="Sí","Especialidad","Asignatura"),"Asignatura"))</f>
      </c>
      <c r="D97">
        <f>IF(V97="Sí",COUNTIFS(DATOS!G:G,CONFIG_METADATA!$B$4,DATOS!D:D,A97,DATOS!I:I,B97),"")</f>
        <v>0</v>
      </c>
      <c r="E97" s="14" t="str">
        <f>IF(V97="Sí",IFERROR(AVERAGEIFS(DATOS!K:K,DATOS!G:G,CONFIG_METADATA!$B$4,DATOS!D:D,A97,DATOS!I:I,B97),"—"),"")</f>
        <v>—</v>
      </c>
      <c r="F97" s="14" t="str" cm="1">
        <f t="array" ref="F97">IF(V97="Sí",IFERROR(_xlfn.STDEV.P(IF((nEVAL=CONFIG_METADATA!$B$4)*(nCURSO=A97)*(nASIG=B97),nNOTA)),"—"),"")</f>
        <v>—</v>
      </c>
      <c r="G97" t="str" cm="1">
        <f t="array" ref="G97">IF(V97="Sí",IFERROR(_xlfn.MODE.SNGL(IF((nEVAL=CONFIG_METADATA!$B$4)*(nCURSO=A97)*(nASIG=B97),nNOTA)),"—"),"")</f>
        <v>—</v>
      </c>
      <c r="H97" s="15" t="str">
        <f>IF(V97="Sí",IFERROR(COUNTIFS(DATOS!G:G,CONFIG_METADATA!$B$4,DATOS!D:D,A97,DATOS!I:I,B97,DATOS!L:L,"S")/COUNTIFS(DATOS!G:G,CONFIG_METADATA!$B$4,DATOS!D:D,A97,DATOS!I:I,B97),"—"),"")</f>
        <v>—</v>
      </c>
      <c r="I97" s="15" t="str">
        <f>IF(V97="Sí",IFERROR(COUNTIFS(DATOS!G:G,CONFIG_METADATA!$B$4,DATOS!D:D,A97,DATOS!I:I,B97,DATOS!L:L,"N")/COUNTIFS(DATOS!G:G,CONFIG_METADATA!$B$4,DATOS!D:D,A97,DATOS!I:I,B97),"—"),"")</f>
        <v>—</v>
      </c>
      <c r="J97" t="str" cm="1">
        <f t="array" ref="J97">IF(V97="Sí",IFERROR(_xlfn.MODE.SNGL(IF((nEVAL=CONFIG_METADATA!$B$4)*(nCURSO=A97)*(nASIG=B97)*(nAPTO="S"),nNOTA)),"—"),"")</f>
        <v>—</v>
      </c>
      <c r="K97" t="str" cm="1">
        <f t="array" ref="K97">IF(V97="Sí",IFERROR(_xlfn.MODE.SNGL(IF((nEVAL=CONFIG_METADATA!$B$4)*(nCURSO=A97)*(nASIG=B97)*(nAPTO="N"),nNOTA)),"—"),"")</f>
        <v>—</v>
      </c>
      <c r="L97">
        <f>IF(V97="Sí",COUNTIFS(DATOS!G:G,CONFIG_METADATA!$B$4,DATOS!D:D,A97,DATOS!I:I,B97,DATOS!K:K,1),"")</f>
        <v>0</v>
      </c>
      <c r="M97">
        <f>IF(V97="Sí",COUNTIFS(DATOS!G:G,CONFIG_METADATA!$B$4,DATOS!D:D,A97,DATOS!I:I,B97,DATOS!K:K,2),"")</f>
        <v>0</v>
      </c>
      <c r="N97">
        <f>IF(V97="Sí",COUNTIFS(DATOS!G:G,CONFIG_METADATA!$B$4,DATOS!D:D,A97,DATOS!I:I,B97,DATOS!K:K,3),"")</f>
        <v>0</v>
      </c>
      <c r="O97">
        <f>IF(V97="Sí",COUNTIFS(DATOS!G:G,CONFIG_METADATA!$B$4,DATOS!D:D,A97,DATOS!I:I,B97,DATOS!K:K,4),"")</f>
        <v>0</v>
      </c>
      <c r="P97">
        <f>IF(V97="Sí",COUNTIFS(DATOS!G:G,CONFIG_METADATA!$B$4,DATOS!D:D,A97,DATOS!I:I,B97,DATOS!K:K,5),"")</f>
        <v>0</v>
      </c>
      <c r="Q97">
        <f>IF(V97="Sí",COUNTIFS(DATOS!G:G,CONFIG_METADATA!$B$4,DATOS!D:D,A97,DATOS!I:I,B97,DATOS!K:K,6),"")</f>
        <v>0</v>
      </c>
      <c r="R97">
        <f>IF(V97="Sí",COUNTIFS(DATOS!G:G,CONFIG_METADATA!$B$4,DATOS!D:D,A97,DATOS!I:I,B97,DATOS!K:K,7),"")</f>
        <v>0</v>
      </c>
      <c r="S97">
        <f>IF(V97="Sí",COUNTIFS(DATOS!G:G,CONFIG_METADATA!$B$4,DATOS!D:D,A97,DATOS!I:I,B97,DATOS!K:K,8),"")</f>
        <v>0</v>
      </c>
      <c r="T97">
        <f>IF(V97="Sí",COUNTIFS(DATOS!G:G,CONFIG_METADATA!$B$4,DATOS!D:D,A97,DATOS!I:I,B97,DATOS!K:K,9),"")</f>
        <v>0</v>
      </c>
      <c r="U97">
        <f>IF(V97="Sí",COUNTIFS(DATOS!G:G,CONFIG_METADATA!$B$4,DATOS!D:D,A97,DATOS!I:I,B97,DATOS!K:K,10),"")</f>
        <v>0</v>
      </c>
      <c r="V97" t="str">
        <f>IFERROR(IF(ISERROR(FIND(A97,VLOOKUP(B97,CONFIG_ASIGNATURAS!B:C,2,FALSE()))),"No","Sí"),"No")</f>
        <v>Sí</v>
      </c>
    </row>
    <row r="98" spans="1:22">
      <c r="A98" s="3" t="inlineStr">
        <is>
          <t xml:space="preserve">1EEM</t>
        </is>
      </c>
      <c r="B98" s="3" cm="1">
        <f t="array" ref="B98">IFERROR(INDEX(_xlfn._xlws.FILTER(CONFIG_ASIGNATURAS!$B$2:$B$61,(CONFIG_ASIGNATURAS!$G$2:$G$61="Sí")*ISNUMBER(SEARCH("1EEM",CONFIG_ASIGNATURAS!$C$2:$C$61))),31),"")</f>
      </c>
      <c r="C98" s="3">
        <f>IF(B98="","",IFERROR(IF(VLOOKUP(B98,CONFIG_ASIGNATURAS!$B$2:$F$61,5,FALSE())="Sí","Especialidad","Asignatura"),"Asignatura"))</f>
      </c>
      <c r="D98">
        <f>IF(V98="Sí",COUNTIFS(DATOS!G:G,CONFIG_METADATA!$B$4,DATOS!D:D,A98,DATOS!I:I,B98),"")</f>
        <v>0</v>
      </c>
      <c r="E98" s="14" t="str">
        <f>IF(V98="Sí",IFERROR(AVERAGEIFS(DATOS!K:K,DATOS!G:G,CONFIG_METADATA!$B$4,DATOS!D:D,A98,DATOS!I:I,B98),"—"),"")</f>
        <v>—</v>
      </c>
      <c r="F98" s="14" t="str" cm="1">
        <f t="array" ref="F98">IF(V98="Sí",IFERROR(_xlfn.STDEV.P(IF((nEVAL=CONFIG_METADATA!$B$4)*(nCURSO=A98)*(nASIG=B98),nNOTA)),"—"),"")</f>
        <v>—</v>
      </c>
      <c r="G98" t="str" cm="1">
        <f t="array" ref="G98">IF(V98="Sí",IFERROR(_xlfn.MODE.SNGL(IF((nEVAL=CONFIG_METADATA!$B$4)*(nCURSO=A98)*(nASIG=B98),nNOTA)),"—"),"")</f>
        <v>—</v>
      </c>
      <c r="H98" s="15" t="str">
        <f>IF(V98="Sí",IFERROR(COUNTIFS(DATOS!G:G,CONFIG_METADATA!$B$4,DATOS!D:D,A98,DATOS!I:I,B98,DATOS!L:L,"S")/COUNTIFS(DATOS!G:G,CONFIG_METADATA!$B$4,DATOS!D:D,A98,DATOS!I:I,B98),"—"),"")</f>
        <v>—</v>
      </c>
      <c r="I98" s="15" t="str">
        <f>IF(V98="Sí",IFERROR(COUNTIFS(DATOS!G:G,CONFIG_METADATA!$B$4,DATOS!D:D,A98,DATOS!I:I,B98,DATOS!L:L,"N")/COUNTIFS(DATOS!G:G,CONFIG_METADATA!$B$4,DATOS!D:D,A98,DATOS!I:I,B98),"—"),"")</f>
        <v>—</v>
      </c>
      <c r="J98" t="str" cm="1">
        <f t="array" ref="J98">IF(V98="Sí",IFERROR(_xlfn.MODE.SNGL(IF((nEVAL=CONFIG_METADATA!$B$4)*(nCURSO=A98)*(nASIG=B98)*(nAPTO="S"),nNOTA)),"—"),"")</f>
        <v>—</v>
      </c>
      <c r="K98" t="str" cm="1">
        <f t="array" ref="K98">IF(V98="Sí",IFERROR(_xlfn.MODE.SNGL(IF((nEVAL=CONFIG_METADATA!$B$4)*(nCURSO=A98)*(nASIG=B98)*(nAPTO="N"),nNOTA)),"—"),"")</f>
        <v>—</v>
      </c>
      <c r="L98">
        <f>IF(V98="Sí",COUNTIFS(DATOS!G:G,CONFIG_METADATA!$B$4,DATOS!D:D,A98,DATOS!I:I,B98,DATOS!K:K,1),"")</f>
        <v>0</v>
      </c>
      <c r="M98">
        <f>IF(V98="Sí",COUNTIFS(DATOS!G:G,CONFIG_METADATA!$B$4,DATOS!D:D,A98,DATOS!I:I,B98,DATOS!K:K,2),"")</f>
        <v>0</v>
      </c>
      <c r="N98">
        <f>IF(V98="Sí",COUNTIFS(DATOS!G:G,CONFIG_METADATA!$B$4,DATOS!D:D,A98,DATOS!I:I,B98,DATOS!K:K,3),"")</f>
        <v>0</v>
      </c>
      <c r="O98">
        <f>IF(V98="Sí",COUNTIFS(DATOS!G:G,CONFIG_METADATA!$B$4,DATOS!D:D,A98,DATOS!I:I,B98,DATOS!K:K,4),"")</f>
        <v>0</v>
      </c>
      <c r="P98">
        <f>IF(V98="Sí",COUNTIFS(DATOS!G:G,CONFIG_METADATA!$B$4,DATOS!D:D,A98,DATOS!I:I,B98,DATOS!K:K,5),"")</f>
        <v>0</v>
      </c>
      <c r="Q98">
        <f>IF(V98="Sí",COUNTIFS(DATOS!G:G,CONFIG_METADATA!$B$4,DATOS!D:D,A98,DATOS!I:I,B98,DATOS!K:K,6),"")</f>
        <v>0</v>
      </c>
      <c r="R98">
        <f>IF(V98="Sí",COUNTIFS(DATOS!G:G,CONFIG_METADATA!$B$4,DATOS!D:D,A98,DATOS!I:I,B98,DATOS!K:K,7),"")</f>
        <v>0</v>
      </c>
      <c r="S98">
        <f>IF(V98="Sí",COUNTIFS(DATOS!G:G,CONFIG_METADATA!$B$4,DATOS!D:D,A98,DATOS!I:I,B98,DATOS!K:K,8),"")</f>
        <v>0</v>
      </c>
      <c r="T98">
        <f>IF(V98="Sí",COUNTIFS(DATOS!G:G,CONFIG_METADATA!$B$4,DATOS!D:D,A98,DATOS!I:I,B98,DATOS!K:K,9),"")</f>
        <v>0</v>
      </c>
      <c r="U98">
        <f>IF(V98="Sí",COUNTIFS(DATOS!G:G,CONFIG_METADATA!$B$4,DATOS!D:D,A98,DATOS!I:I,B98,DATOS!K:K,10),"")</f>
        <v>0</v>
      </c>
      <c r="V98" t="str">
        <f>IFERROR(IF(ISERROR(FIND(A98,VLOOKUP(B98,CONFIG_ASIGNATURAS!B:C,2,FALSE()))),"No","Sí"),"No")</f>
        <v>Sí</v>
      </c>
    </row>
    <row r="99" spans="1:22">
      <c r="A99" s="3" t="inlineStr">
        <is>
          <t xml:space="preserve">1EEM</t>
        </is>
      </c>
      <c r="B99" s="3" cm="1">
        <f t="array" ref="B99">IFERROR(INDEX(_xlfn._xlws.FILTER(CONFIG_ASIGNATURAS!$B$2:$B$61,(CONFIG_ASIGNATURAS!$G$2:$G$61="Sí")*ISNUMBER(SEARCH("1EEM",CONFIG_ASIGNATURAS!$C$2:$C$61))),32),"")</f>
      </c>
      <c r="C99" s="3">
        <f>IF(B99="","",IFERROR(IF(VLOOKUP(B99,CONFIG_ASIGNATURAS!$B$2:$F$61,5,FALSE())="Sí","Especialidad","Asignatura"),"Asignatura"))</f>
      </c>
      <c r="D99">
        <f>IF(V99="Sí",COUNTIFS(DATOS!G:G,CONFIG_METADATA!$B$4,DATOS!D:D,A99,DATOS!I:I,B99),"")</f>
        <v>0</v>
      </c>
      <c r="E99" s="14" t="str">
        <f>IF(V99="Sí",IFERROR(AVERAGEIFS(DATOS!K:K,DATOS!G:G,CONFIG_METADATA!$B$4,DATOS!D:D,A99,DATOS!I:I,B99),"—"),"")</f>
        <v>—</v>
      </c>
      <c r="F99" s="14" t="str" cm="1">
        <f t="array" ref="F99">IF(V99="Sí",IFERROR(_xlfn.STDEV.P(IF((nEVAL=CONFIG_METADATA!$B$4)*(nCURSO=A99)*(nASIG=B99),nNOTA)),"—"),"")</f>
        <v>—</v>
      </c>
      <c r="G99" t="str" cm="1">
        <f t="array" ref="G99">IF(V99="Sí",IFERROR(_xlfn.MODE.SNGL(IF((nEVAL=CONFIG_METADATA!$B$4)*(nCURSO=A99)*(nASIG=B99),nNOTA)),"—"),"")</f>
        <v>—</v>
      </c>
      <c r="H99" s="15" t="str">
        <f>IF(V99="Sí",IFERROR(COUNTIFS(DATOS!G:G,CONFIG_METADATA!$B$4,DATOS!D:D,A99,DATOS!I:I,B99,DATOS!L:L,"S")/COUNTIFS(DATOS!G:G,CONFIG_METADATA!$B$4,DATOS!D:D,A99,DATOS!I:I,B99),"—"),"")</f>
        <v>—</v>
      </c>
      <c r="I99" s="15" t="str">
        <f>IF(V99="Sí",IFERROR(COUNTIFS(DATOS!G:G,CONFIG_METADATA!$B$4,DATOS!D:D,A99,DATOS!I:I,B99,DATOS!L:L,"N")/COUNTIFS(DATOS!G:G,CONFIG_METADATA!$B$4,DATOS!D:D,A99,DATOS!I:I,B99),"—"),"")</f>
        <v>—</v>
      </c>
      <c r="J99" t="str" cm="1">
        <f t="array" ref="J99">IF(V99="Sí",IFERROR(_xlfn.MODE.SNGL(IF((nEVAL=CONFIG_METADATA!$B$4)*(nCURSO=A99)*(nASIG=B99)*(nAPTO="S"),nNOTA)),"—"),"")</f>
        <v>—</v>
      </c>
      <c r="K99" t="str" cm="1">
        <f t="array" ref="K99">IF(V99="Sí",IFERROR(_xlfn.MODE.SNGL(IF((nEVAL=CONFIG_METADATA!$B$4)*(nCURSO=A99)*(nASIG=B99)*(nAPTO="N"),nNOTA)),"—"),"")</f>
        <v>—</v>
      </c>
      <c r="L99">
        <f>IF(V99="Sí",COUNTIFS(DATOS!G:G,CONFIG_METADATA!$B$4,DATOS!D:D,A99,DATOS!I:I,B99,DATOS!K:K,1),"")</f>
        <v>0</v>
      </c>
      <c r="M99">
        <f>IF(V99="Sí",COUNTIFS(DATOS!G:G,CONFIG_METADATA!$B$4,DATOS!D:D,A99,DATOS!I:I,B99,DATOS!K:K,2),"")</f>
        <v>0</v>
      </c>
      <c r="N99">
        <f>IF(V99="Sí",COUNTIFS(DATOS!G:G,CONFIG_METADATA!$B$4,DATOS!D:D,A99,DATOS!I:I,B99,DATOS!K:K,3),"")</f>
        <v>0</v>
      </c>
      <c r="O99">
        <f>IF(V99="Sí",COUNTIFS(DATOS!G:G,CONFIG_METADATA!$B$4,DATOS!D:D,A99,DATOS!I:I,B99,DATOS!K:K,4),"")</f>
        <v>0</v>
      </c>
      <c r="P99">
        <f>IF(V99="Sí",COUNTIFS(DATOS!G:G,CONFIG_METADATA!$B$4,DATOS!D:D,A99,DATOS!I:I,B99,DATOS!K:K,5),"")</f>
        <v>0</v>
      </c>
      <c r="Q99">
        <f>IF(V99="Sí",COUNTIFS(DATOS!G:G,CONFIG_METADATA!$B$4,DATOS!D:D,A99,DATOS!I:I,B99,DATOS!K:K,6),"")</f>
        <v>0</v>
      </c>
      <c r="R99">
        <f>IF(V99="Sí",COUNTIFS(DATOS!G:G,CONFIG_METADATA!$B$4,DATOS!D:D,A99,DATOS!I:I,B99,DATOS!K:K,7),"")</f>
        <v>0</v>
      </c>
      <c r="S99">
        <f>IF(V99="Sí",COUNTIFS(DATOS!G:G,CONFIG_METADATA!$B$4,DATOS!D:D,A99,DATOS!I:I,B99,DATOS!K:K,8),"")</f>
        <v>0</v>
      </c>
      <c r="T99">
        <f>IF(V99="Sí",COUNTIFS(DATOS!G:G,CONFIG_METADATA!$B$4,DATOS!D:D,A99,DATOS!I:I,B99,DATOS!K:K,9),"")</f>
        <v>0</v>
      </c>
      <c r="U99">
        <f>IF(V99="Sí",COUNTIFS(DATOS!G:G,CONFIG_METADATA!$B$4,DATOS!D:D,A99,DATOS!I:I,B99,DATOS!K:K,10),"")</f>
        <v>0</v>
      </c>
      <c r="V99" t="str">
        <f>IFERROR(IF(ISERROR(FIND(A99,VLOOKUP(B99,CONFIG_ASIGNATURAS!B:C,2,FALSE()))),"No","Sí"),"No")</f>
        <v>Sí</v>
      </c>
    </row>
    <row r="100" spans="1:22">
      <c r="A100" s="3" t="inlineStr">
        <is>
          <t xml:space="preserve">1EEM</t>
        </is>
      </c>
      <c r="B100" s="3" cm="1">
        <f t="array" ref="B100">IFERROR(INDEX(_xlfn._xlws.FILTER(CONFIG_ASIGNATURAS!$B$2:$B$61,(CONFIG_ASIGNATURAS!$G$2:$G$61="Sí")*ISNUMBER(SEARCH("1EEM",CONFIG_ASIGNATURAS!$C$2:$C$61))),33),"")</f>
      </c>
      <c r="C100" s="3">
        <f>IF(B100="","",IFERROR(IF(VLOOKUP(B100,CONFIG_ASIGNATURAS!$B$2:$F$61,5,FALSE())="Sí","Especialidad","Asignatura"),"Asignatura"))</f>
      </c>
      <c r="D100">
        <f>IF(V100="Sí",COUNTIFS(DATOS!G:G,CONFIG_METADATA!$B$4,DATOS!D:D,A100,DATOS!I:I,B100),"")</f>
        <v>0</v>
      </c>
      <c r="E100" s="14" t="str">
        <f>IF(V100="Sí",IFERROR(AVERAGEIFS(DATOS!K:K,DATOS!G:G,CONFIG_METADATA!$B$4,DATOS!D:D,A100,DATOS!I:I,B100),"—"),"")</f>
        <v>—</v>
      </c>
      <c r="F100" s="14" t="str" cm="1">
        <f t="array" ref="F100">IF(V100="Sí",IFERROR(_xlfn.STDEV.P(IF((nEVAL=CONFIG_METADATA!$B$4)*(nCURSO=A100)*(nASIG=B100),nNOTA)),"—"),"")</f>
        <v>—</v>
      </c>
      <c r="G100" t="str" cm="1">
        <f t="array" ref="G100">IF(V100="Sí",IFERROR(_xlfn.MODE.SNGL(IF((nEVAL=CONFIG_METADATA!$B$4)*(nCURSO=A100)*(nASIG=B100),nNOTA)),"—"),"")</f>
        <v>—</v>
      </c>
      <c r="H100" s="15" t="str">
        <f>IF(V100="Sí",IFERROR(COUNTIFS(DATOS!G:G,CONFIG_METADATA!$B$4,DATOS!D:D,A100,DATOS!I:I,B100,DATOS!L:L,"S")/COUNTIFS(DATOS!G:G,CONFIG_METADATA!$B$4,DATOS!D:D,A100,DATOS!I:I,B100),"—"),"")</f>
        <v>—</v>
      </c>
      <c r="I100" s="15" t="str">
        <f>IF(V100="Sí",IFERROR(COUNTIFS(DATOS!G:G,CONFIG_METADATA!$B$4,DATOS!D:D,A100,DATOS!I:I,B100,DATOS!L:L,"N")/COUNTIFS(DATOS!G:G,CONFIG_METADATA!$B$4,DATOS!D:D,A100,DATOS!I:I,B100),"—"),"")</f>
        <v>—</v>
      </c>
      <c r="J100" t="str" cm="1">
        <f t="array" ref="J100">IF(V100="Sí",IFERROR(_xlfn.MODE.SNGL(IF((nEVAL=CONFIG_METADATA!$B$4)*(nCURSO=A100)*(nASIG=B100)*(nAPTO="S"),nNOTA)),"—"),"")</f>
        <v>—</v>
      </c>
      <c r="K100" t="str" cm="1">
        <f t="array" ref="K100">IF(V100="Sí",IFERROR(_xlfn.MODE.SNGL(IF((nEVAL=CONFIG_METADATA!$B$4)*(nCURSO=A100)*(nASIG=B100)*(nAPTO="N"),nNOTA)),"—"),"")</f>
        <v>—</v>
      </c>
      <c r="L100">
        <f>IF(V100="Sí",COUNTIFS(DATOS!G:G,CONFIG_METADATA!$B$4,DATOS!D:D,A100,DATOS!I:I,B100,DATOS!K:K,1),"")</f>
        <v>0</v>
      </c>
      <c r="M100">
        <f>IF(V100="Sí",COUNTIFS(DATOS!G:G,CONFIG_METADATA!$B$4,DATOS!D:D,A100,DATOS!I:I,B100,DATOS!K:K,2),"")</f>
        <v>0</v>
      </c>
      <c r="N100">
        <f>IF(V100="Sí",COUNTIFS(DATOS!G:G,CONFIG_METADATA!$B$4,DATOS!D:D,A100,DATOS!I:I,B100,DATOS!K:K,3),"")</f>
        <v>0</v>
      </c>
      <c r="O100">
        <f>IF(V100="Sí",COUNTIFS(DATOS!G:G,CONFIG_METADATA!$B$4,DATOS!D:D,A100,DATOS!I:I,B100,DATOS!K:K,4),"")</f>
        <v>0</v>
      </c>
      <c r="P100">
        <f>IF(V100="Sí",COUNTIFS(DATOS!G:G,CONFIG_METADATA!$B$4,DATOS!D:D,A100,DATOS!I:I,B100,DATOS!K:K,5),"")</f>
        <v>0</v>
      </c>
      <c r="Q100">
        <f>IF(V100="Sí",COUNTIFS(DATOS!G:G,CONFIG_METADATA!$B$4,DATOS!D:D,A100,DATOS!I:I,B100,DATOS!K:K,6),"")</f>
        <v>0</v>
      </c>
      <c r="R100">
        <f>IF(V100="Sí",COUNTIFS(DATOS!G:G,CONFIG_METADATA!$B$4,DATOS!D:D,A100,DATOS!I:I,B100,DATOS!K:K,7),"")</f>
        <v>0</v>
      </c>
      <c r="S100">
        <f>IF(V100="Sí",COUNTIFS(DATOS!G:G,CONFIG_METADATA!$B$4,DATOS!D:D,A100,DATOS!I:I,B100,DATOS!K:K,8),"")</f>
        <v>0</v>
      </c>
      <c r="T100">
        <f>IF(V100="Sí",COUNTIFS(DATOS!G:G,CONFIG_METADATA!$B$4,DATOS!D:D,A100,DATOS!I:I,B100,DATOS!K:K,9),"")</f>
        <v>0</v>
      </c>
      <c r="U100">
        <f>IF(V100="Sí",COUNTIFS(DATOS!G:G,CONFIG_METADATA!$B$4,DATOS!D:D,A100,DATOS!I:I,B100,DATOS!K:K,10),"")</f>
        <v>0</v>
      </c>
      <c r="V100" t="str">
        <f>IFERROR(IF(ISERROR(FIND(A100,VLOOKUP(B100,CONFIG_ASIGNATURAS!B:C,2,FALSE()))),"No","Sí"),"No")</f>
        <v>Sí</v>
      </c>
    </row>
    <row r="101" spans="1:22">
      <c r="A101" s="3" t="inlineStr">
        <is>
          <t xml:space="preserve">1EEM</t>
        </is>
      </c>
      <c r="B101" s="3" cm="1">
        <f t="array" ref="B101">IFERROR(INDEX(_xlfn._xlws.FILTER(CONFIG_ASIGNATURAS!$B$2:$B$61,(CONFIG_ASIGNATURAS!$G$2:$G$61="Sí")*ISNUMBER(SEARCH("1EEM",CONFIG_ASIGNATURAS!$C$2:$C$61))),34),"")</f>
      </c>
      <c r="C101" s="3">
        <f>IF(B101="","",IFERROR(IF(VLOOKUP(B101,CONFIG_ASIGNATURAS!$B$2:$F$61,5,FALSE())="Sí","Especialidad","Asignatura"),"Asignatura"))</f>
      </c>
      <c r="D101">
        <f>IF(V101="Sí",COUNTIFS(DATOS!G:G,CONFIG_METADATA!$B$4,DATOS!D:D,A101,DATOS!I:I,B101),"")</f>
        <v>0</v>
      </c>
      <c r="E101" s="14" t="str">
        <f>IF(V101="Sí",IFERROR(AVERAGEIFS(DATOS!K:K,DATOS!G:G,CONFIG_METADATA!$B$4,DATOS!D:D,A101,DATOS!I:I,B101),"—"),"")</f>
        <v>—</v>
      </c>
      <c r="F101" s="14" t="str" cm="1">
        <f t="array" ref="F101">IF(V101="Sí",IFERROR(_xlfn.STDEV.P(IF((nEVAL=CONFIG_METADATA!$B$4)*(nCURSO=A101)*(nASIG=B101),nNOTA)),"—"),"")</f>
        <v>—</v>
      </c>
      <c r="G101" t="str" cm="1">
        <f t="array" ref="G101">IF(V101="Sí",IFERROR(_xlfn.MODE.SNGL(IF((nEVAL=CONFIG_METADATA!$B$4)*(nCURSO=A101)*(nASIG=B101),nNOTA)),"—"),"")</f>
        <v>—</v>
      </c>
      <c r="H101" s="15" t="str">
        <f>IF(V101="Sí",IFERROR(COUNTIFS(DATOS!G:G,CONFIG_METADATA!$B$4,DATOS!D:D,A101,DATOS!I:I,B101,DATOS!L:L,"S")/COUNTIFS(DATOS!G:G,CONFIG_METADATA!$B$4,DATOS!D:D,A101,DATOS!I:I,B101),"—"),"")</f>
        <v>—</v>
      </c>
      <c r="I101" s="15" t="str">
        <f>IF(V101="Sí",IFERROR(COUNTIFS(DATOS!G:G,CONFIG_METADATA!$B$4,DATOS!D:D,A101,DATOS!I:I,B101,DATOS!L:L,"N")/COUNTIFS(DATOS!G:G,CONFIG_METADATA!$B$4,DATOS!D:D,A101,DATOS!I:I,B101),"—"),"")</f>
        <v>—</v>
      </c>
      <c r="J101" t="str" cm="1">
        <f t="array" ref="J101">IF(V101="Sí",IFERROR(_xlfn.MODE.SNGL(IF((nEVAL=CONFIG_METADATA!$B$4)*(nCURSO=A101)*(nASIG=B101)*(nAPTO="S"),nNOTA)),"—"),"")</f>
        <v>—</v>
      </c>
      <c r="K101" t="str" cm="1">
        <f t="array" ref="K101">IF(V101="Sí",IFERROR(_xlfn.MODE.SNGL(IF((nEVAL=CONFIG_METADATA!$B$4)*(nCURSO=A101)*(nASIG=B101)*(nAPTO="N"),nNOTA)),"—"),"")</f>
        <v>—</v>
      </c>
      <c r="L101">
        <f>IF(V101="Sí",COUNTIFS(DATOS!G:G,CONFIG_METADATA!$B$4,DATOS!D:D,A101,DATOS!I:I,B101,DATOS!K:K,1),"")</f>
        <v>0</v>
      </c>
      <c r="M101">
        <f>IF(V101="Sí",COUNTIFS(DATOS!G:G,CONFIG_METADATA!$B$4,DATOS!D:D,A101,DATOS!I:I,B101,DATOS!K:K,2),"")</f>
        <v>0</v>
      </c>
      <c r="N101">
        <f>IF(V101="Sí",COUNTIFS(DATOS!G:G,CONFIG_METADATA!$B$4,DATOS!D:D,A101,DATOS!I:I,B101,DATOS!K:K,3),"")</f>
        <v>0</v>
      </c>
      <c r="O101">
        <f>IF(V101="Sí",COUNTIFS(DATOS!G:G,CONFIG_METADATA!$B$4,DATOS!D:D,A101,DATOS!I:I,B101,DATOS!K:K,4),"")</f>
        <v>0</v>
      </c>
      <c r="P101">
        <f>IF(V101="Sí",COUNTIFS(DATOS!G:G,CONFIG_METADATA!$B$4,DATOS!D:D,A101,DATOS!I:I,B101,DATOS!K:K,5),"")</f>
        <v>0</v>
      </c>
      <c r="Q101">
        <f>IF(V101="Sí",COUNTIFS(DATOS!G:G,CONFIG_METADATA!$B$4,DATOS!D:D,A101,DATOS!I:I,B101,DATOS!K:K,6),"")</f>
        <v>0</v>
      </c>
      <c r="R101">
        <f>IF(V101="Sí",COUNTIFS(DATOS!G:G,CONFIG_METADATA!$B$4,DATOS!D:D,A101,DATOS!I:I,B101,DATOS!K:K,7),"")</f>
        <v>0</v>
      </c>
      <c r="S101">
        <f>IF(V101="Sí",COUNTIFS(DATOS!G:G,CONFIG_METADATA!$B$4,DATOS!D:D,A101,DATOS!I:I,B101,DATOS!K:K,8),"")</f>
        <v>0</v>
      </c>
      <c r="T101">
        <f>IF(V101="Sí",COUNTIFS(DATOS!G:G,CONFIG_METADATA!$B$4,DATOS!D:D,A101,DATOS!I:I,B101,DATOS!K:K,9),"")</f>
        <v>0</v>
      </c>
      <c r="U101">
        <f>IF(V101="Sí",COUNTIFS(DATOS!G:G,CONFIG_METADATA!$B$4,DATOS!D:D,A101,DATOS!I:I,B101,DATOS!K:K,10),"")</f>
        <v>0</v>
      </c>
      <c r="V101" t="str">
        <f>IFERROR(IF(ISERROR(FIND(A101,VLOOKUP(B101,CONFIG_ASIGNATURAS!B:C,2,FALSE()))),"No","Sí"),"No")</f>
        <v>Sí</v>
      </c>
    </row>
    <row r="102" spans="1:22">
      <c r="A102" s="3" t="inlineStr">
        <is>
          <t xml:space="preserve">1EEM</t>
        </is>
      </c>
      <c r="B102" s="3" cm="1">
        <f t="array" ref="B102">IFERROR(INDEX(_xlfn._xlws.FILTER(CONFIG_ASIGNATURAS!$B$2:$B$61,(CONFIG_ASIGNATURAS!$G$2:$G$61="Sí")*ISNUMBER(SEARCH("1EEM",CONFIG_ASIGNATURAS!$C$2:$C$61))),35),"")</f>
      </c>
      <c r="C102" s="3">
        <f>IF(B102="","",IFERROR(IF(VLOOKUP(B102,CONFIG_ASIGNATURAS!$B$2:$F$61,5,FALSE())="Sí","Especialidad","Asignatura"),"Asignatura"))</f>
      </c>
      <c r="D102">
        <f>IF(V102="Sí",COUNTIFS(DATOS!G:G,CONFIG_METADATA!$B$4,DATOS!D:D,A102,DATOS!I:I,B102),"")</f>
        <v>0</v>
      </c>
      <c r="E102" s="14" t="str">
        <f>IF(V102="Sí",IFERROR(AVERAGEIFS(DATOS!K:K,DATOS!G:G,CONFIG_METADATA!$B$4,DATOS!D:D,A102,DATOS!I:I,B102),"—"),"")</f>
        <v>—</v>
      </c>
      <c r="F102" s="14" t="str" cm="1">
        <f t="array" ref="F102">IF(V102="Sí",IFERROR(_xlfn.STDEV.P(IF((nEVAL=CONFIG_METADATA!$B$4)*(nCURSO=A102)*(nASIG=B102),nNOTA)),"—"),"")</f>
        <v>—</v>
      </c>
      <c r="G102" t="str" cm="1">
        <f t="array" ref="G102">IF(V102="Sí",IFERROR(_xlfn.MODE.SNGL(IF((nEVAL=CONFIG_METADATA!$B$4)*(nCURSO=A102)*(nASIG=B102),nNOTA)),"—"),"")</f>
        <v>—</v>
      </c>
      <c r="H102" s="15" t="str">
        <f>IF(V102="Sí",IFERROR(COUNTIFS(DATOS!G:G,CONFIG_METADATA!$B$4,DATOS!D:D,A102,DATOS!I:I,B102,DATOS!L:L,"S")/COUNTIFS(DATOS!G:G,CONFIG_METADATA!$B$4,DATOS!D:D,A102,DATOS!I:I,B102),"—"),"")</f>
        <v>—</v>
      </c>
      <c r="I102" s="15" t="str">
        <f>IF(V102="Sí",IFERROR(COUNTIFS(DATOS!G:G,CONFIG_METADATA!$B$4,DATOS!D:D,A102,DATOS!I:I,B102,DATOS!L:L,"N")/COUNTIFS(DATOS!G:G,CONFIG_METADATA!$B$4,DATOS!D:D,A102,DATOS!I:I,B102),"—"),"")</f>
        <v>—</v>
      </c>
      <c r="J102" t="str" cm="1">
        <f t="array" ref="J102">IF(V102="Sí",IFERROR(_xlfn.MODE.SNGL(IF((nEVAL=CONFIG_METADATA!$B$4)*(nCURSO=A102)*(nASIG=B102)*(nAPTO="S"),nNOTA)),"—"),"")</f>
        <v>—</v>
      </c>
      <c r="K102" t="str" cm="1">
        <f t="array" ref="K102">IF(V102="Sí",IFERROR(_xlfn.MODE.SNGL(IF((nEVAL=CONFIG_METADATA!$B$4)*(nCURSO=A102)*(nASIG=B102)*(nAPTO="N"),nNOTA)),"—"),"")</f>
        <v>—</v>
      </c>
      <c r="L102">
        <f>IF(V102="Sí",COUNTIFS(DATOS!G:G,CONFIG_METADATA!$B$4,DATOS!D:D,A102,DATOS!I:I,B102,DATOS!K:K,1),"")</f>
        <v>0</v>
      </c>
      <c r="M102">
        <f>IF(V102="Sí",COUNTIFS(DATOS!G:G,CONFIG_METADATA!$B$4,DATOS!D:D,A102,DATOS!I:I,B102,DATOS!K:K,2),"")</f>
        <v>0</v>
      </c>
      <c r="N102">
        <f>IF(V102="Sí",COUNTIFS(DATOS!G:G,CONFIG_METADATA!$B$4,DATOS!D:D,A102,DATOS!I:I,B102,DATOS!K:K,3),"")</f>
        <v>0</v>
      </c>
      <c r="O102">
        <f>IF(V102="Sí",COUNTIFS(DATOS!G:G,CONFIG_METADATA!$B$4,DATOS!D:D,A102,DATOS!I:I,B102,DATOS!K:K,4),"")</f>
        <v>0</v>
      </c>
      <c r="P102">
        <f>IF(V102="Sí",COUNTIFS(DATOS!G:G,CONFIG_METADATA!$B$4,DATOS!D:D,A102,DATOS!I:I,B102,DATOS!K:K,5),"")</f>
        <v>0</v>
      </c>
      <c r="Q102">
        <f>IF(V102="Sí",COUNTIFS(DATOS!G:G,CONFIG_METADATA!$B$4,DATOS!D:D,A102,DATOS!I:I,B102,DATOS!K:K,6),"")</f>
        <v>0</v>
      </c>
      <c r="R102">
        <f>IF(V102="Sí",COUNTIFS(DATOS!G:G,CONFIG_METADATA!$B$4,DATOS!D:D,A102,DATOS!I:I,B102,DATOS!K:K,7),"")</f>
        <v>0</v>
      </c>
      <c r="S102">
        <f>IF(V102="Sí",COUNTIFS(DATOS!G:G,CONFIG_METADATA!$B$4,DATOS!D:D,A102,DATOS!I:I,B102,DATOS!K:K,8),"")</f>
        <v>0</v>
      </c>
      <c r="T102">
        <f>IF(V102="Sí",COUNTIFS(DATOS!G:G,CONFIG_METADATA!$B$4,DATOS!D:D,A102,DATOS!I:I,B102,DATOS!K:K,9),"")</f>
        <v>0</v>
      </c>
      <c r="U102">
        <f>IF(V102="Sí",COUNTIFS(DATOS!G:G,CONFIG_METADATA!$B$4,DATOS!D:D,A102,DATOS!I:I,B102,DATOS!K:K,10),"")</f>
        <v>0</v>
      </c>
      <c r="V102" t="str">
        <f>IFERROR(IF(ISERROR(FIND(A102,VLOOKUP(B102,CONFIG_ASIGNATURAS!B:C,2,FALSE()))),"No","Sí"),"No")</f>
        <v>Sí</v>
      </c>
    </row>
    <row r="103" spans="1:22">
      <c r="A103" s="3" t="inlineStr">
        <is>
          <t xml:space="preserve">1EEM</t>
        </is>
      </c>
      <c r="B103" s="3" cm="1">
        <f t="array" ref="B103">IFERROR(INDEX(_xlfn._xlws.FILTER(CONFIG_ASIGNATURAS!$B$2:$B$61,(CONFIG_ASIGNATURAS!$G$2:$G$61="Sí")*ISNUMBER(SEARCH("1EEM",CONFIG_ASIGNATURAS!$C$2:$C$61))),36),"")</f>
      </c>
      <c r="C103" s="3">
        <f>IF(B103="","",IFERROR(IF(VLOOKUP(B103,CONFIG_ASIGNATURAS!$B$2:$F$61,5,FALSE())="Sí","Especialidad","Asignatura"),"Asignatura"))</f>
      </c>
      <c r="D103">
        <f>IF(V103="Sí",COUNTIFS(DATOS!G:G,CONFIG_METADATA!$B$4,DATOS!D:D,A103,DATOS!I:I,B103),"")</f>
        <v>0</v>
      </c>
      <c r="E103" s="14" t="str">
        <f>IF(V103="Sí",IFERROR(AVERAGEIFS(DATOS!K:K,DATOS!G:G,CONFIG_METADATA!$B$4,DATOS!D:D,A103,DATOS!I:I,B103),"—"),"")</f>
        <v>—</v>
      </c>
      <c r="F103" s="14" t="str" cm="1">
        <f t="array" ref="F103">IF(V103="Sí",IFERROR(_xlfn.STDEV.P(IF((nEVAL=CONFIG_METADATA!$B$4)*(nCURSO=A103)*(nASIG=B103),nNOTA)),"—"),"")</f>
        <v>—</v>
      </c>
      <c r="G103" t="str" cm="1">
        <f t="array" ref="G103">IF(V103="Sí",IFERROR(_xlfn.MODE.SNGL(IF((nEVAL=CONFIG_METADATA!$B$4)*(nCURSO=A103)*(nASIG=B103),nNOTA)),"—"),"")</f>
        <v>—</v>
      </c>
      <c r="H103" s="15" t="str">
        <f>IF(V103="Sí",IFERROR(COUNTIFS(DATOS!G:G,CONFIG_METADATA!$B$4,DATOS!D:D,A103,DATOS!I:I,B103,DATOS!L:L,"S")/COUNTIFS(DATOS!G:G,CONFIG_METADATA!$B$4,DATOS!D:D,A103,DATOS!I:I,B103),"—"),"")</f>
        <v>—</v>
      </c>
      <c r="I103" s="15" t="str">
        <f>IF(V103="Sí",IFERROR(COUNTIFS(DATOS!G:G,CONFIG_METADATA!$B$4,DATOS!D:D,A103,DATOS!I:I,B103,DATOS!L:L,"N")/COUNTIFS(DATOS!G:G,CONFIG_METADATA!$B$4,DATOS!D:D,A103,DATOS!I:I,B103),"—"),"")</f>
        <v>—</v>
      </c>
      <c r="J103" t="str" cm="1">
        <f t="array" ref="J103">IF(V103="Sí",IFERROR(_xlfn.MODE.SNGL(IF((nEVAL=CONFIG_METADATA!$B$4)*(nCURSO=A103)*(nASIG=B103)*(nAPTO="S"),nNOTA)),"—"),"")</f>
        <v>—</v>
      </c>
      <c r="K103" t="str" cm="1">
        <f t="array" ref="K103">IF(V103="Sí",IFERROR(_xlfn.MODE.SNGL(IF((nEVAL=CONFIG_METADATA!$B$4)*(nCURSO=A103)*(nASIG=B103)*(nAPTO="N"),nNOTA)),"—"),"")</f>
        <v>—</v>
      </c>
      <c r="L103">
        <f>IF(V103="Sí",COUNTIFS(DATOS!G:G,CONFIG_METADATA!$B$4,DATOS!D:D,A103,DATOS!I:I,B103,DATOS!K:K,1),"")</f>
        <v>0</v>
      </c>
      <c r="M103">
        <f>IF(V103="Sí",COUNTIFS(DATOS!G:G,CONFIG_METADATA!$B$4,DATOS!D:D,A103,DATOS!I:I,B103,DATOS!K:K,2),"")</f>
        <v>0</v>
      </c>
      <c r="N103">
        <f>IF(V103="Sí",COUNTIFS(DATOS!G:G,CONFIG_METADATA!$B$4,DATOS!D:D,A103,DATOS!I:I,B103,DATOS!K:K,3),"")</f>
        <v>0</v>
      </c>
      <c r="O103">
        <f>IF(V103="Sí",COUNTIFS(DATOS!G:G,CONFIG_METADATA!$B$4,DATOS!D:D,A103,DATOS!I:I,B103,DATOS!K:K,4),"")</f>
        <v>0</v>
      </c>
      <c r="P103">
        <f>IF(V103="Sí",COUNTIFS(DATOS!G:G,CONFIG_METADATA!$B$4,DATOS!D:D,A103,DATOS!I:I,B103,DATOS!K:K,5),"")</f>
        <v>0</v>
      </c>
      <c r="Q103">
        <f>IF(V103="Sí",COUNTIFS(DATOS!G:G,CONFIG_METADATA!$B$4,DATOS!D:D,A103,DATOS!I:I,B103,DATOS!K:K,6),"")</f>
        <v>0</v>
      </c>
      <c r="R103">
        <f>IF(V103="Sí",COUNTIFS(DATOS!G:G,CONFIG_METADATA!$B$4,DATOS!D:D,A103,DATOS!I:I,B103,DATOS!K:K,7),"")</f>
        <v>0</v>
      </c>
      <c r="S103">
        <f>IF(V103="Sí",COUNTIFS(DATOS!G:G,CONFIG_METADATA!$B$4,DATOS!D:D,A103,DATOS!I:I,B103,DATOS!K:K,8),"")</f>
        <v>0</v>
      </c>
      <c r="T103">
        <f>IF(V103="Sí",COUNTIFS(DATOS!G:G,CONFIG_METADATA!$B$4,DATOS!D:D,A103,DATOS!I:I,B103,DATOS!K:K,9),"")</f>
        <v>0</v>
      </c>
      <c r="U103">
        <f>IF(V103="Sí",COUNTIFS(DATOS!G:G,CONFIG_METADATA!$B$4,DATOS!D:D,A103,DATOS!I:I,B103,DATOS!K:K,10),"")</f>
        <v>0</v>
      </c>
      <c r="V103" t="str">
        <f>IFERROR(IF(ISERROR(FIND(A103,VLOOKUP(B103,CONFIG_ASIGNATURAS!B:C,2,FALSE()))),"No","Sí"),"No")</f>
        <v>Sí</v>
      </c>
    </row>
    <row r="104" spans="1:22">
      <c r="A104" s="3" t="inlineStr">
        <is>
          <t xml:space="preserve">1EEM</t>
        </is>
      </c>
      <c r="B104" s="3" cm="1">
        <f t="array" ref="B104">IFERROR(INDEX(_xlfn._xlws.FILTER(CONFIG_ASIGNATURAS!$B$2:$B$61,(CONFIG_ASIGNATURAS!$G$2:$G$61="Sí")*ISNUMBER(SEARCH("1EEM",CONFIG_ASIGNATURAS!$C$2:$C$61))),37),"")</f>
      </c>
      <c r="C104" s="3">
        <f>IF(B104="","",IFERROR(IF(VLOOKUP(B104,CONFIG_ASIGNATURAS!$B$2:$F$61,5,FALSE())="Sí","Especialidad","Asignatura"),"Asignatura"))</f>
      </c>
      <c r="D104">
        <f>IF(V104="Sí",COUNTIFS(DATOS!G:G,CONFIG_METADATA!$B$4,DATOS!D:D,A104,DATOS!I:I,B104),"")</f>
        <v>0</v>
      </c>
      <c r="E104" s="14" t="str">
        <f>IF(V104="Sí",IFERROR(AVERAGEIFS(DATOS!K:K,DATOS!G:G,CONFIG_METADATA!$B$4,DATOS!D:D,A104,DATOS!I:I,B104),"—"),"")</f>
        <v>—</v>
      </c>
      <c r="F104" s="14" t="str" cm="1">
        <f t="array" ref="F104">IF(V104="Sí",IFERROR(_xlfn.STDEV.P(IF((nEVAL=CONFIG_METADATA!$B$4)*(nCURSO=A104)*(nASIG=B104),nNOTA)),"—"),"")</f>
        <v>—</v>
      </c>
      <c r="G104" t="str" cm="1">
        <f t="array" ref="G104">IF(V104="Sí",IFERROR(_xlfn.MODE.SNGL(IF((nEVAL=CONFIG_METADATA!$B$4)*(nCURSO=A104)*(nASIG=B104),nNOTA)),"—"),"")</f>
        <v>—</v>
      </c>
      <c r="H104" s="15" t="str">
        <f>IF(V104="Sí",IFERROR(COUNTIFS(DATOS!G:G,CONFIG_METADATA!$B$4,DATOS!D:D,A104,DATOS!I:I,B104,DATOS!L:L,"S")/COUNTIFS(DATOS!G:G,CONFIG_METADATA!$B$4,DATOS!D:D,A104,DATOS!I:I,B104),"—"),"")</f>
        <v>—</v>
      </c>
      <c r="I104" s="15" t="str">
        <f>IF(V104="Sí",IFERROR(COUNTIFS(DATOS!G:G,CONFIG_METADATA!$B$4,DATOS!D:D,A104,DATOS!I:I,B104,DATOS!L:L,"N")/COUNTIFS(DATOS!G:G,CONFIG_METADATA!$B$4,DATOS!D:D,A104,DATOS!I:I,B104),"—"),"")</f>
        <v>—</v>
      </c>
      <c r="J104" t="str" cm="1">
        <f t="array" ref="J104">IF(V104="Sí",IFERROR(_xlfn.MODE.SNGL(IF((nEVAL=CONFIG_METADATA!$B$4)*(nCURSO=A104)*(nASIG=B104)*(nAPTO="S"),nNOTA)),"—"),"")</f>
        <v>—</v>
      </c>
      <c r="K104" t="str" cm="1">
        <f t="array" ref="K104">IF(V104="Sí",IFERROR(_xlfn.MODE.SNGL(IF((nEVAL=CONFIG_METADATA!$B$4)*(nCURSO=A104)*(nASIG=B104)*(nAPTO="N"),nNOTA)),"—"),"")</f>
        <v>—</v>
      </c>
      <c r="L104">
        <f>IF(V104="Sí",COUNTIFS(DATOS!G:G,CONFIG_METADATA!$B$4,DATOS!D:D,A104,DATOS!I:I,B104,DATOS!K:K,1),"")</f>
        <v>0</v>
      </c>
      <c r="M104">
        <f>IF(V104="Sí",COUNTIFS(DATOS!G:G,CONFIG_METADATA!$B$4,DATOS!D:D,A104,DATOS!I:I,B104,DATOS!K:K,2),"")</f>
        <v>0</v>
      </c>
      <c r="N104">
        <f>IF(V104="Sí",COUNTIFS(DATOS!G:G,CONFIG_METADATA!$B$4,DATOS!D:D,A104,DATOS!I:I,B104,DATOS!K:K,3),"")</f>
        <v>0</v>
      </c>
      <c r="O104">
        <f>IF(V104="Sí",COUNTIFS(DATOS!G:G,CONFIG_METADATA!$B$4,DATOS!D:D,A104,DATOS!I:I,B104,DATOS!K:K,4),"")</f>
        <v>0</v>
      </c>
      <c r="P104">
        <f>IF(V104="Sí",COUNTIFS(DATOS!G:G,CONFIG_METADATA!$B$4,DATOS!D:D,A104,DATOS!I:I,B104,DATOS!K:K,5),"")</f>
        <v>0</v>
      </c>
      <c r="Q104">
        <f>IF(V104="Sí",COUNTIFS(DATOS!G:G,CONFIG_METADATA!$B$4,DATOS!D:D,A104,DATOS!I:I,B104,DATOS!K:K,6),"")</f>
        <v>0</v>
      </c>
      <c r="R104">
        <f>IF(V104="Sí",COUNTIFS(DATOS!G:G,CONFIG_METADATA!$B$4,DATOS!D:D,A104,DATOS!I:I,B104,DATOS!K:K,7),"")</f>
        <v>0</v>
      </c>
      <c r="S104">
        <f>IF(V104="Sí",COUNTIFS(DATOS!G:G,CONFIG_METADATA!$B$4,DATOS!D:D,A104,DATOS!I:I,B104,DATOS!K:K,8),"")</f>
        <v>0</v>
      </c>
      <c r="T104">
        <f>IF(V104="Sí",COUNTIFS(DATOS!G:G,CONFIG_METADATA!$B$4,DATOS!D:D,A104,DATOS!I:I,B104,DATOS!K:K,9),"")</f>
        <v>0</v>
      </c>
      <c r="U104">
        <f>IF(V104="Sí",COUNTIFS(DATOS!G:G,CONFIG_METADATA!$B$4,DATOS!D:D,A104,DATOS!I:I,B104,DATOS!K:K,10),"")</f>
        <v>0</v>
      </c>
      <c r="V104" t="str">
        <f>IFERROR(IF(ISERROR(FIND(A104,VLOOKUP(B104,CONFIG_ASIGNATURAS!B:C,2,FALSE()))),"No","Sí"),"No")</f>
        <v>Sí</v>
      </c>
    </row>
    <row r="105" spans="1:22">
      <c r="A105" s="3" t="inlineStr">
        <is>
          <t xml:space="preserve">1EEM</t>
        </is>
      </c>
      <c r="B105" s="3" cm="1">
        <f t="array" ref="B105">IFERROR(INDEX(_xlfn._xlws.FILTER(CONFIG_ASIGNATURAS!$B$2:$B$61,(CONFIG_ASIGNATURAS!$G$2:$G$61="Sí")*ISNUMBER(SEARCH("1EEM",CONFIG_ASIGNATURAS!$C$2:$C$61))),38),"")</f>
      </c>
      <c r="C105" s="3">
        <f>IF(B105="","",IFERROR(IF(VLOOKUP(B105,CONFIG_ASIGNATURAS!$B$2:$F$61,5,FALSE())="Sí","Especialidad","Asignatura"),"Asignatura"))</f>
      </c>
      <c r="D105">
        <f>IF(V105="Sí",COUNTIFS(DATOS!G:G,CONFIG_METADATA!$B$4,DATOS!D:D,A105,DATOS!I:I,B105),"")</f>
        <v>0</v>
      </c>
      <c r="E105" s="14" t="str">
        <f>IF(V105="Sí",IFERROR(AVERAGEIFS(DATOS!K:K,DATOS!G:G,CONFIG_METADATA!$B$4,DATOS!D:D,A105,DATOS!I:I,B105),"—"),"")</f>
        <v>—</v>
      </c>
      <c r="F105" s="14" t="str" cm="1">
        <f t="array" ref="F105">IF(V105="Sí",IFERROR(_xlfn.STDEV.P(IF((nEVAL=CONFIG_METADATA!$B$4)*(nCURSO=A105)*(nASIG=B105),nNOTA)),"—"),"")</f>
        <v>—</v>
      </c>
      <c r="G105" t="str" cm="1">
        <f t="array" ref="G105">IF(V105="Sí",IFERROR(_xlfn.MODE.SNGL(IF((nEVAL=CONFIG_METADATA!$B$4)*(nCURSO=A105)*(nASIG=B105),nNOTA)),"—"),"")</f>
        <v>—</v>
      </c>
      <c r="H105" s="15" t="str">
        <f>IF(V105="Sí",IFERROR(COUNTIFS(DATOS!G:G,CONFIG_METADATA!$B$4,DATOS!D:D,A105,DATOS!I:I,B105,DATOS!L:L,"S")/COUNTIFS(DATOS!G:G,CONFIG_METADATA!$B$4,DATOS!D:D,A105,DATOS!I:I,B105),"—"),"")</f>
        <v>—</v>
      </c>
      <c r="I105" s="15" t="str">
        <f>IF(V105="Sí",IFERROR(COUNTIFS(DATOS!G:G,CONFIG_METADATA!$B$4,DATOS!D:D,A105,DATOS!I:I,B105,DATOS!L:L,"N")/COUNTIFS(DATOS!G:G,CONFIG_METADATA!$B$4,DATOS!D:D,A105,DATOS!I:I,B105),"—"),"")</f>
        <v>—</v>
      </c>
      <c r="J105" t="str" cm="1">
        <f t="array" ref="J105">IF(V105="Sí",IFERROR(_xlfn.MODE.SNGL(IF((nEVAL=CONFIG_METADATA!$B$4)*(nCURSO=A105)*(nASIG=B105)*(nAPTO="S"),nNOTA)),"—"),"")</f>
        <v>—</v>
      </c>
      <c r="K105" t="str" cm="1">
        <f t="array" ref="K105">IF(V105="Sí",IFERROR(_xlfn.MODE.SNGL(IF((nEVAL=CONFIG_METADATA!$B$4)*(nCURSO=A105)*(nASIG=B105)*(nAPTO="N"),nNOTA)),"—"),"")</f>
        <v>—</v>
      </c>
      <c r="L105">
        <f>IF(V105="Sí",COUNTIFS(DATOS!G:G,CONFIG_METADATA!$B$4,DATOS!D:D,A105,DATOS!I:I,B105,DATOS!K:K,1),"")</f>
        <v>0</v>
      </c>
      <c r="M105">
        <f>IF(V105="Sí",COUNTIFS(DATOS!G:G,CONFIG_METADATA!$B$4,DATOS!D:D,A105,DATOS!I:I,B105,DATOS!K:K,2),"")</f>
        <v>0</v>
      </c>
      <c r="N105">
        <f>IF(V105="Sí",COUNTIFS(DATOS!G:G,CONFIG_METADATA!$B$4,DATOS!D:D,A105,DATOS!I:I,B105,DATOS!K:K,3),"")</f>
        <v>0</v>
      </c>
      <c r="O105">
        <f>IF(V105="Sí",COUNTIFS(DATOS!G:G,CONFIG_METADATA!$B$4,DATOS!D:D,A105,DATOS!I:I,B105,DATOS!K:K,4),"")</f>
        <v>0</v>
      </c>
      <c r="P105">
        <f>IF(V105="Sí",COUNTIFS(DATOS!G:G,CONFIG_METADATA!$B$4,DATOS!D:D,A105,DATOS!I:I,B105,DATOS!K:K,5),"")</f>
        <v>0</v>
      </c>
      <c r="Q105">
        <f>IF(V105="Sí",COUNTIFS(DATOS!G:G,CONFIG_METADATA!$B$4,DATOS!D:D,A105,DATOS!I:I,B105,DATOS!K:K,6),"")</f>
        <v>0</v>
      </c>
      <c r="R105">
        <f>IF(V105="Sí",COUNTIFS(DATOS!G:G,CONFIG_METADATA!$B$4,DATOS!D:D,A105,DATOS!I:I,B105,DATOS!K:K,7),"")</f>
        <v>0</v>
      </c>
      <c r="S105">
        <f>IF(V105="Sí",COUNTIFS(DATOS!G:G,CONFIG_METADATA!$B$4,DATOS!D:D,A105,DATOS!I:I,B105,DATOS!K:K,8),"")</f>
        <v>0</v>
      </c>
      <c r="T105">
        <f>IF(V105="Sí",COUNTIFS(DATOS!G:G,CONFIG_METADATA!$B$4,DATOS!D:D,A105,DATOS!I:I,B105,DATOS!K:K,9),"")</f>
        <v>0</v>
      </c>
      <c r="U105">
        <f>IF(V105="Sí",COUNTIFS(DATOS!G:G,CONFIG_METADATA!$B$4,DATOS!D:D,A105,DATOS!I:I,B105,DATOS!K:K,10),"")</f>
        <v>0</v>
      </c>
      <c r="V105" t="str">
        <f>IFERROR(IF(ISERROR(FIND(A105,VLOOKUP(B105,CONFIG_ASIGNATURAS!B:C,2,FALSE()))),"No","Sí"),"No")</f>
        <v>Sí</v>
      </c>
    </row>
    <row r="106" spans="1:22">
      <c r="A106" s="3" t="inlineStr">
        <is>
          <t xml:space="preserve">1EEM</t>
        </is>
      </c>
      <c r="B106" s="3" cm="1">
        <f t="array" ref="B106">IFERROR(INDEX(_xlfn._xlws.FILTER(CONFIG_ASIGNATURAS!$B$2:$B$61,(CONFIG_ASIGNATURAS!$G$2:$G$61="Sí")*ISNUMBER(SEARCH("1EEM",CONFIG_ASIGNATURAS!$C$2:$C$61))),39),"")</f>
      </c>
      <c r="C106" s="3">
        <f>IF(B106="","",IFERROR(IF(VLOOKUP(B106,CONFIG_ASIGNATURAS!$B$2:$F$61,5,FALSE())="Sí","Especialidad","Asignatura"),"Asignatura"))</f>
      </c>
      <c r="D106">
        <f>IF(V106="Sí",COUNTIFS(DATOS!G:G,CONFIG_METADATA!$B$4,DATOS!D:D,A106,DATOS!I:I,B106),"")</f>
        <v>0</v>
      </c>
      <c r="E106" s="14" t="str">
        <f>IF(V106="Sí",IFERROR(AVERAGEIFS(DATOS!K:K,DATOS!G:G,CONFIG_METADATA!$B$4,DATOS!D:D,A106,DATOS!I:I,B106),"—"),"")</f>
        <v>—</v>
      </c>
      <c r="F106" s="14" t="str" cm="1">
        <f t="array" ref="F106">IF(V106="Sí",IFERROR(_xlfn.STDEV.P(IF((nEVAL=CONFIG_METADATA!$B$4)*(nCURSO=A106)*(nASIG=B106),nNOTA)),"—"),"")</f>
        <v>—</v>
      </c>
      <c r="G106" t="str" cm="1">
        <f t="array" ref="G106">IF(V106="Sí",IFERROR(_xlfn.MODE.SNGL(IF((nEVAL=CONFIG_METADATA!$B$4)*(nCURSO=A106)*(nASIG=B106),nNOTA)),"—"),"")</f>
        <v>—</v>
      </c>
      <c r="H106" s="15" t="str">
        <f>IF(V106="Sí",IFERROR(COUNTIFS(DATOS!G:G,CONFIG_METADATA!$B$4,DATOS!D:D,A106,DATOS!I:I,B106,DATOS!L:L,"S")/COUNTIFS(DATOS!G:G,CONFIG_METADATA!$B$4,DATOS!D:D,A106,DATOS!I:I,B106),"—"),"")</f>
        <v>—</v>
      </c>
      <c r="I106" s="15" t="str">
        <f>IF(V106="Sí",IFERROR(COUNTIFS(DATOS!G:G,CONFIG_METADATA!$B$4,DATOS!D:D,A106,DATOS!I:I,B106,DATOS!L:L,"N")/COUNTIFS(DATOS!G:G,CONFIG_METADATA!$B$4,DATOS!D:D,A106,DATOS!I:I,B106),"—"),"")</f>
        <v>—</v>
      </c>
      <c r="J106" t="str" cm="1">
        <f t="array" ref="J106">IF(V106="Sí",IFERROR(_xlfn.MODE.SNGL(IF((nEVAL=CONFIG_METADATA!$B$4)*(nCURSO=A106)*(nASIG=B106)*(nAPTO="S"),nNOTA)),"—"),"")</f>
        <v>—</v>
      </c>
      <c r="K106" t="str" cm="1">
        <f t="array" ref="K106">IF(V106="Sí",IFERROR(_xlfn.MODE.SNGL(IF((nEVAL=CONFIG_METADATA!$B$4)*(nCURSO=A106)*(nASIG=B106)*(nAPTO="N"),nNOTA)),"—"),"")</f>
        <v>—</v>
      </c>
      <c r="L106">
        <f>IF(V106="Sí",COUNTIFS(DATOS!G:G,CONFIG_METADATA!$B$4,DATOS!D:D,A106,DATOS!I:I,B106,DATOS!K:K,1),"")</f>
        <v>0</v>
      </c>
      <c r="M106">
        <f>IF(V106="Sí",COUNTIFS(DATOS!G:G,CONFIG_METADATA!$B$4,DATOS!D:D,A106,DATOS!I:I,B106,DATOS!K:K,2),"")</f>
        <v>0</v>
      </c>
      <c r="N106">
        <f>IF(V106="Sí",COUNTIFS(DATOS!G:G,CONFIG_METADATA!$B$4,DATOS!D:D,A106,DATOS!I:I,B106,DATOS!K:K,3),"")</f>
        <v>0</v>
      </c>
      <c r="O106">
        <f>IF(V106="Sí",COUNTIFS(DATOS!G:G,CONFIG_METADATA!$B$4,DATOS!D:D,A106,DATOS!I:I,B106,DATOS!K:K,4),"")</f>
        <v>0</v>
      </c>
      <c r="P106">
        <f>IF(V106="Sí",COUNTIFS(DATOS!G:G,CONFIG_METADATA!$B$4,DATOS!D:D,A106,DATOS!I:I,B106,DATOS!K:K,5),"")</f>
        <v>0</v>
      </c>
      <c r="Q106">
        <f>IF(V106="Sí",COUNTIFS(DATOS!G:G,CONFIG_METADATA!$B$4,DATOS!D:D,A106,DATOS!I:I,B106,DATOS!K:K,6),"")</f>
        <v>0</v>
      </c>
      <c r="R106">
        <f>IF(V106="Sí",COUNTIFS(DATOS!G:G,CONFIG_METADATA!$B$4,DATOS!D:D,A106,DATOS!I:I,B106,DATOS!K:K,7),"")</f>
        <v>0</v>
      </c>
      <c r="S106">
        <f>IF(V106="Sí",COUNTIFS(DATOS!G:G,CONFIG_METADATA!$B$4,DATOS!D:D,A106,DATOS!I:I,B106,DATOS!K:K,8),"")</f>
        <v>0</v>
      </c>
      <c r="T106">
        <f>IF(V106="Sí",COUNTIFS(DATOS!G:G,CONFIG_METADATA!$B$4,DATOS!D:D,A106,DATOS!I:I,B106,DATOS!K:K,9),"")</f>
        <v>0</v>
      </c>
      <c r="U106">
        <f>IF(V106="Sí",COUNTIFS(DATOS!G:G,CONFIG_METADATA!$B$4,DATOS!D:D,A106,DATOS!I:I,B106,DATOS!K:K,10),"")</f>
        <v>0</v>
      </c>
      <c r="V106" t="str">
        <f>IFERROR(IF(ISERROR(FIND(A106,VLOOKUP(B106,CONFIG_ASIGNATURAS!B:C,2,FALSE()))),"No","Sí"),"No")</f>
        <v>Sí</v>
      </c>
    </row>
    <row r="107" spans="1:22">
      <c r="A107" s="3" t="inlineStr">
        <is>
          <t xml:space="preserve">1EEM</t>
        </is>
      </c>
      <c r="B107" s="3" cm="1">
        <f t="array" ref="B107">IFERROR(INDEX(_xlfn._xlws.FILTER(CONFIG_ASIGNATURAS!$B$2:$B$61,(CONFIG_ASIGNATURAS!$G$2:$G$61="Sí")*ISNUMBER(SEARCH("1EEM",CONFIG_ASIGNATURAS!$C$2:$C$61))),40),"")</f>
      </c>
      <c r="C107" s="3">
        <f>IF(B107="","",IFERROR(IF(VLOOKUP(B107,CONFIG_ASIGNATURAS!$B$2:$F$61,5,FALSE())="Sí","Especialidad","Asignatura"),"Asignatura"))</f>
      </c>
      <c r="D107">
        <f>IF(V107="Sí",COUNTIFS(DATOS!G:G,CONFIG_METADATA!$B$4,DATOS!D:D,A107,DATOS!I:I,B107),"")</f>
        <v>0</v>
      </c>
      <c r="E107" s="14" t="str">
        <f>IF(V107="Sí",IFERROR(AVERAGEIFS(DATOS!K:K,DATOS!G:G,CONFIG_METADATA!$B$4,DATOS!D:D,A107,DATOS!I:I,B107),"—"),"")</f>
        <v>—</v>
      </c>
      <c r="F107" s="14" t="str" cm="1">
        <f t="array" ref="F107">IF(V107="Sí",IFERROR(_xlfn.STDEV.P(IF((nEVAL=CONFIG_METADATA!$B$4)*(nCURSO=A107)*(nASIG=B107),nNOTA)),"—"),"")</f>
        <v>—</v>
      </c>
      <c r="G107" t="str" cm="1">
        <f t="array" ref="G107">IF(V107="Sí",IFERROR(_xlfn.MODE.SNGL(IF((nEVAL=CONFIG_METADATA!$B$4)*(nCURSO=A107)*(nASIG=B107),nNOTA)),"—"),"")</f>
        <v>—</v>
      </c>
      <c r="H107" s="15" t="str">
        <f>IF(V107="Sí",IFERROR(COUNTIFS(DATOS!G:G,CONFIG_METADATA!$B$4,DATOS!D:D,A107,DATOS!I:I,B107,DATOS!L:L,"S")/COUNTIFS(DATOS!G:G,CONFIG_METADATA!$B$4,DATOS!D:D,A107,DATOS!I:I,B107),"—"),"")</f>
        <v>—</v>
      </c>
      <c r="I107" s="15" t="str">
        <f>IF(V107="Sí",IFERROR(COUNTIFS(DATOS!G:G,CONFIG_METADATA!$B$4,DATOS!D:D,A107,DATOS!I:I,B107,DATOS!L:L,"N")/COUNTIFS(DATOS!G:G,CONFIG_METADATA!$B$4,DATOS!D:D,A107,DATOS!I:I,B107),"—"),"")</f>
        <v>—</v>
      </c>
      <c r="J107" t="str" cm="1">
        <f t="array" ref="J107">IF(V107="Sí",IFERROR(_xlfn.MODE.SNGL(IF((nEVAL=CONFIG_METADATA!$B$4)*(nCURSO=A107)*(nASIG=B107)*(nAPTO="S"),nNOTA)),"—"),"")</f>
        <v>—</v>
      </c>
      <c r="K107" t="str" cm="1">
        <f t="array" ref="K107">IF(V107="Sí",IFERROR(_xlfn.MODE.SNGL(IF((nEVAL=CONFIG_METADATA!$B$4)*(nCURSO=A107)*(nASIG=B107)*(nAPTO="N"),nNOTA)),"—"),"")</f>
        <v>—</v>
      </c>
      <c r="L107">
        <f>IF(V107="Sí",COUNTIFS(DATOS!G:G,CONFIG_METADATA!$B$4,DATOS!D:D,A107,DATOS!I:I,B107,DATOS!K:K,1),"")</f>
        <v>0</v>
      </c>
      <c r="M107">
        <f>IF(V107="Sí",COUNTIFS(DATOS!G:G,CONFIG_METADATA!$B$4,DATOS!D:D,A107,DATOS!I:I,B107,DATOS!K:K,2),"")</f>
        <v>0</v>
      </c>
      <c r="N107">
        <f>IF(V107="Sí",COUNTIFS(DATOS!G:G,CONFIG_METADATA!$B$4,DATOS!D:D,A107,DATOS!I:I,B107,DATOS!K:K,3),"")</f>
        <v>0</v>
      </c>
      <c r="O107">
        <f>IF(V107="Sí",COUNTIFS(DATOS!G:G,CONFIG_METADATA!$B$4,DATOS!D:D,A107,DATOS!I:I,B107,DATOS!K:K,4),"")</f>
        <v>0</v>
      </c>
      <c r="P107">
        <f>IF(V107="Sí",COUNTIFS(DATOS!G:G,CONFIG_METADATA!$B$4,DATOS!D:D,A107,DATOS!I:I,B107,DATOS!K:K,5),"")</f>
        <v>0</v>
      </c>
      <c r="Q107">
        <f>IF(V107="Sí",COUNTIFS(DATOS!G:G,CONFIG_METADATA!$B$4,DATOS!D:D,A107,DATOS!I:I,B107,DATOS!K:K,6),"")</f>
        <v>0</v>
      </c>
      <c r="R107">
        <f>IF(V107="Sí",COUNTIFS(DATOS!G:G,CONFIG_METADATA!$B$4,DATOS!D:D,A107,DATOS!I:I,B107,DATOS!K:K,7),"")</f>
        <v>0</v>
      </c>
      <c r="S107">
        <f>IF(V107="Sí",COUNTIFS(DATOS!G:G,CONFIG_METADATA!$B$4,DATOS!D:D,A107,DATOS!I:I,B107,DATOS!K:K,8),"")</f>
        <v>0</v>
      </c>
      <c r="T107">
        <f>IF(V107="Sí",COUNTIFS(DATOS!G:G,CONFIG_METADATA!$B$4,DATOS!D:D,A107,DATOS!I:I,B107,DATOS!K:K,9),"")</f>
        <v>0</v>
      </c>
      <c r="U107">
        <f>IF(V107="Sí",COUNTIFS(DATOS!G:G,CONFIG_METADATA!$B$4,DATOS!D:D,A107,DATOS!I:I,B107,DATOS!K:K,10),"")</f>
        <v>0</v>
      </c>
      <c r="V107" t="str">
        <f>IFERROR(IF(ISERROR(FIND(A107,VLOOKUP(B107,CONFIG_ASIGNATURAS!B:C,2,FALSE()))),"No","Sí"),"No")</f>
        <v>Sí</v>
      </c>
    </row>
    <row r="108" spans="1:22">
      <c r="A108" s="3" t="inlineStr">
        <is>
          <t xml:space="preserve">1EEM</t>
        </is>
      </c>
      <c r="B108" s="3" cm="1">
        <f t="array" ref="B108">IFERROR(INDEX(_xlfn._xlws.FILTER(CONFIG_ASIGNATURAS!$B$2:$B$61,(CONFIG_ASIGNATURAS!$G$2:$G$61="Sí")*ISNUMBER(SEARCH("1EEM",CONFIG_ASIGNATURAS!$C$2:$C$61))),41),"")</f>
      </c>
      <c r="C108" s="3">
        <f>IF(B108="","",IFERROR(IF(VLOOKUP(B108,CONFIG_ASIGNATURAS!$B$2:$F$61,5,FALSE())="Sí","Especialidad","Asignatura"),"Asignatura"))</f>
      </c>
      <c r="D108">
        <f>IF(V108="Sí",COUNTIFS(DATOS!G:G,CONFIG_METADATA!$B$4,DATOS!D:D,A108,DATOS!I:I,B108),"")</f>
        <v>0</v>
      </c>
      <c r="E108" s="14" t="str">
        <f>IF(V108="Sí",IFERROR(AVERAGEIFS(DATOS!K:K,DATOS!G:G,CONFIG_METADATA!$B$4,DATOS!D:D,A108,DATOS!I:I,B108),"—"),"")</f>
        <v>—</v>
      </c>
      <c r="F108" s="14" t="str" cm="1">
        <f t="array" ref="F108">IF(V108="Sí",IFERROR(_xlfn.STDEV.P(IF((nEVAL=CONFIG_METADATA!$B$4)*(nCURSO=A108)*(nASIG=B108),nNOTA)),"—"),"")</f>
        <v>—</v>
      </c>
      <c r="G108" t="str" cm="1">
        <f t="array" ref="G108">IF(V108="Sí",IFERROR(_xlfn.MODE.SNGL(IF((nEVAL=CONFIG_METADATA!$B$4)*(nCURSO=A108)*(nASIG=B108),nNOTA)),"—"),"")</f>
        <v>—</v>
      </c>
      <c r="H108" s="15" t="str">
        <f>IF(V108="Sí",IFERROR(COUNTIFS(DATOS!G:G,CONFIG_METADATA!$B$4,DATOS!D:D,A108,DATOS!I:I,B108,DATOS!L:L,"S")/COUNTIFS(DATOS!G:G,CONFIG_METADATA!$B$4,DATOS!D:D,A108,DATOS!I:I,B108),"—"),"")</f>
        <v>—</v>
      </c>
      <c r="I108" s="15" t="str">
        <f>IF(V108="Sí",IFERROR(COUNTIFS(DATOS!G:G,CONFIG_METADATA!$B$4,DATOS!D:D,A108,DATOS!I:I,B108,DATOS!L:L,"N")/COUNTIFS(DATOS!G:G,CONFIG_METADATA!$B$4,DATOS!D:D,A108,DATOS!I:I,B108),"—"),"")</f>
        <v>—</v>
      </c>
      <c r="J108" t="str" cm="1">
        <f t="array" ref="J108">IF(V108="Sí",IFERROR(_xlfn.MODE.SNGL(IF((nEVAL=CONFIG_METADATA!$B$4)*(nCURSO=A108)*(nASIG=B108)*(nAPTO="S"),nNOTA)),"—"),"")</f>
        <v>—</v>
      </c>
      <c r="K108" t="str" cm="1">
        <f t="array" ref="K108">IF(V108="Sí",IFERROR(_xlfn.MODE.SNGL(IF((nEVAL=CONFIG_METADATA!$B$4)*(nCURSO=A108)*(nASIG=B108)*(nAPTO="N"),nNOTA)),"—"),"")</f>
        <v>—</v>
      </c>
      <c r="L108">
        <f>IF(V108="Sí",COUNTIFS(DATOS!G:G,CONFIG_METADATA!$B$4,DATOS!D:D,A108,DATOS!I:I,B108,DATOS!K:K,1),"")</f>
        <v>0</v>
      </c>
      <c r="M108">
        <f>IF(V108="Sí",COUNTIFS(DATOS!G:G,CONFIG_METADATA!$B$4,DATOS!D:D,A108,DATOS!I:I,B108,DATOS!K:K,2),"")</f>
        <v>0</v>
      </c>
      <c r="N108">
        <f>IF(V108="Sí",COUNTIFS(DATOS!G:G,CONFIG_METADATA!$B$4,DATOS!D:D,A108,DATOS!I:I,B108,DATOS!K:K,3),"")</f>
        <v>0</v>
      </c>
      <c r="O108">
        <f>IF(V108="Sí",COUNTIFS(DATOS!G:G,CONFIG_METADATA!$B$4,DATOS!D:D,A108,DATOS!I:I,B108,DATOS!K:K,4),"")</f>
        <v>0</v>
      </c>
      <c r="P108">
        <f>IF(V108="Sí",COUNTIFS(DATOS!G:G,CONFIG_METADATA!$B$4,DATOS!D:D,A108,DATOS!I:I,B108,DATOS!K:K,5),"")</f>
        <v>0</v>
      </c>
      <c r="Q108">
        <f>IF(V108="Sí",COUNTIFS(DATOS!G:G,CONFIG_METADATA!$B$4,DATOS!D:D,A108,DATOS!I:I,B108,DATOS!K:K,6),"")</f>
        <v>0</v>
      </c>
      <c r="R108">
        <f>IF(V108="Sí",COUNTIFS(DATOS!G:G,CONFIG_METADATA!$B$4,DATOS!D:D,A108,DATOS!I:I,B108,DATOS!K:K,7),"")</f>
        <v>0</v>
      </c>
      <c r="S108">
        <f>IF(V108="Sí",COUNTIFS(DATOS!G:G,CONFIG_METADATA!$B$4,DATOS!D:D,A108,DATOS!I:I,B108,DATOS!K:K,8),"")</f>
        <v>0</v>
      </c>
      <c r="T108">
        <f>IF(V108="Sí",COUNTIFS(DATOS!G:G,CONFIG_METADATA!$B$4,DATOS!D:D,A108,DATOS!I:I,B108,DATOS!K:K,9),"")</f>
        <v>0</v>
      </c>
      <c r="U108">
        <f>IF(V108="Sí",COUNTIFS(DATOS!G:G,CONFIG_METADATA!$B$4,DATOS!D:D,A108,DATOS!I:I,B108,DATOS!K:K,10),"")</f>
        <v>0</v>
      </c>
      <c r="V108" t="str">
        <f>IFERROR(IF(ISERROR(FIND(A108,VLOOKUP(B108,CONFIG_ASIGNATURAS!B:C,2,FALSE()))),"No","Sí"),"No")</f>
        <v>Sí</v>
      </c>
    </row>
    <row r="109" spans="1:22">
      <c r="A109" s="3" t="inlineStr">
        <is>
          <t xml:space="preserve">1EEM</t>
        </is>
      </c>
      <c r="B109" s="3" cm="1">
        <f t="array" ref="B109">IFERROR(INDEX(_xlfn._xlws.FILTER(CONFIG_ASIGNATURAS!$B$2:$B$61,(CONFIG_ASIGNATURAS!$G$2:$G$61="Sí")*ISNUMBER(SEARCH("1EEM",CONFIG_ASIGNATURAS!$C$2:$C$61))),42),"")</f>
      </c>
      <c r="C109" s="3">
        <f>IF(B109="","",IFERROR(IF(VLOOKUP(B109,CONFIG_ASIGNATURAS!$B$2:$F$61,5,FALSE())="Sí","Especialidad","Asignatura"),"Asignatura"))</f>
      </c>
      <c r="D109">
        <f>IF(V109="Sí",COUNTIFS(DATOS!G:G,CONFIG_METADATA!$B$4,DATOS!D:D,A109,DATOS!I:I,B109),"")</f>
        <v>0</v>
      </c>
      <c r="E109" s="14" t="str">
        <f>IF(V109="Sí",IFERROR(AVERAGEIFS(DATOS!K:K,DATOS!G:G,CONFIG_METADATA!$B$4,DATOS!D:D,A109,DATOS!I:I,B109),"—"),"")</f>
        <v>—</v>
      </c>
      <c r="F109" s="14" t="str" cm="1">
        <f t="array" ref="F109">IF(V109="Sí",IFERROR(_xlfn.STDEV.P(IF((nEVAL=CONFIG_METADATA!$B$4)*(nCURSO=A109)*(nASIG=B109),nNOTA)),"—"),"")</f>
        <v>—</v>
      </c>
      <c r="G109" t="str" cm="1">
        <f t="array" ref="G109">IF(V109="Sí",IFERROR(_xlfn.MODE.SNGL(IF((nEVAL=CONFIG_METADATA!$B$4)*(nCURSO=A109)*(nASIG=B109),nNOTA)),"—"),"")</f>
        <v>—</v>
      </c>
      <c r="H109" s="15" t="str">
        <f>IF(V109="Sí",IFERROR(COUNTIFS(DATOS!G:G,CONFIG_METADATA!$B$4,DATOS!D:D,A109,DATOS!I:I,B109,DATOS!L:L,"S")/COUNTIFS(DATOS!G:G,CONFIG_METADATA!$B$4,DATOS!D:D,A109,DATOS!I:I,B109),"—"),"")</f>
        <v>—</v>
      </c>
      <c r="I109" s="15" t="str">
        <f>IF(V109="Sí",IFERROR(COUNTIFS(DATOS!G:G,CONFIG_METADATA!$B$4,DATOS!D:D,A109,DATOS!I:I,B109,DATOS!L:L,"N")/COUNTIFS(DATOS!G:G,CONFIG_METADATA!$B$4,DATOS!D:D,A109,DATOS!I:I,B109),"—"),"")</f>
        <v>—</v>
      </c>
      <c r="J109" t="str" cm="1">
        <f t="array" ref="J109">IF(V109="Sí",IFERROR(_xlfn.MODE.SNGL(IF((nEVAL=CONFIG_METADATA!$B$4)*(nCURSO=A109)*(nASIG=B109)*(nAPTO="S"),nNOTA)),"—"),"")</f>
        <v>—</v>
      </c>
      <c r="K109" t="str" cm="1">
        <f t="array" ref="K109">IF(V109="Sí",IFERROR(_xlfn.MODE.SNGL(IF((nEVAL=CONFIG_METADATA!$B$4)*(nCURSO=A109)*(nASIG=B109)*(nAPTO="N"),nNOTA)),"—"),"")</f>
        <v>—</v>
      </c>
      <c r="L109">
        <f>IF(V109="Sí",COUNTIFS(DATOS!G:G,CONFIG_METADATA!$B$4,DATOS!D:D,A109,DATOS!I:I,B109,DATOS!K:K,1),"")</f>
        <v>0</v>
      </c>
      <c r="M109">
        <f>IF(V109="Sí",COUNTIFS(DATOS!G:G,CONFIG_METADATA!$B$4,DATOS!D:D,A109,DATOS!I:I,B109,DATOS!K:K,2),"")</f>
        <v>0</v>
      </c>
      <c r="N109">
        <f>IF(V109="Sí",COUNTIFS(DATOS!G:G,CONFIG_METADATA!$B$4,DATOS!D:D,A109,DATOS!I:I,B109,DATOS!K:K,3),"")</f>
        <v>0</v>
      </c>
      <c r="O109">
        <f>IF(V109="Sí",COUNTIFS(DATOS!G:G,CONFIG_METADATA!$B$4,DATOS!D:D,A109,DATOS!I:I,B109,DATOS!K:K,4),"")</f>
        <v>0</v>
      </c>
      <c r="P109">
        <f>IF(V109="Sí",COUNTIFS(DATOS!G:G,CONFIG_METADATA!$B$4,DATOS!D:D,A109,DATOS!I:I,B109,DATOS!K:K,5),"")</f>
        <v>0</v>
      </c>
      <c r="Q109">
        <f>IF(V109="Sí",COUNTIFS(DATOS!G:G,CONFIG_METADATA!$B$4,DATOS!D:D,A109,DATOS!I:I,B109,DATOS!K:K,6),"")</f>
        <v>0</v>
      </c>
      <c r="R109">
        <f>IF(V109="Sí",COUNTIFS(DATOS!G:G,CONFIG_METADATA!$B$4,DATOS!D:D,A109,DATOS!I:I,B109,DATOS!K:K,7),"")</f>
        <v>0</v>
      </c>
      <c r="S109">
        <f>IF(V109="Sí",COUNTIFS(DATOS!G:G,CONFIG_METADATA!$B$4,DATOS!D:D,A109,DATOS!I:I,B109,DATOS!K:K,8),"")</f>
        <v>0</v>
      </c>
      <c r="T109">
        <f>IF(V109="Sí",COUNTIFS(DATOS!G:G,CONFIG_METADATA!$B$4,DATOS!D:D,A109,DATOS!I:I,B109,DATOS!K:K,9),"")</f>
        <v>0</v>
      </c>
      <c r="U109">
        <f>IF(V109="Sí",COUNTIFS(DATOS!G:G,CONFIG_METADATA!$B$4,DATOS!D:D,A109,DATOS!I:I,B109,DATOS!K:K,10),"")</f>
        <v>0</v>
      </c>
      <c r="V109" t="str">
        <f>IFERROR(IF(ISERROR(FIND(A109,VLOOKUP(B109,CONFIG_ASIGNATURAS!B:C,2,FALSE()))),"No","Sí"),"No")</f>
        <v>Sí</v>
      </c>
    </row>
    <row r="110" spans="1:22">
      <c r="A110" s="3" t="inlineStr">
        <is>
          <t xml:space="preserve">1EEM</t>
        </is>
      </c>
      <c r="B110" s="3" cm="1">
        <f t="array" ref="B110">IFERROR(INDEX(_xlfn._xlws.FILTER(CONFIG_ASIGNATURAS!$B$2:$B$61,(CONFIG_ASIGNATURAS!$G$2:$G$61="Sí")*ISNUMBER(SEARCH("1EEM",CONFIG_ASIGNATURAS!$C$2:$C$61))),43),"")</f>
      </c>
      <c r="C110" s="3">
        <f>IF(B110="","",IFERROR(IF(VLOOKUP(B110,CONFIG_ASIGNATURAS!$B$2:$F$61,5,FALSE())="Sí","Especialidad","Asignatura"),"Asignatura"))</f>
      </c>
      <c r="D110">
        <f>IF(V110="Sí",COUNTIFS(DATOS!G:G,CONFIG_METADATA!$B$4,DATOS!D:D,A110,DATOS!I:I,B110),"")</f>
        <v>0</v>
      </c>
      <c r="E110" s="14" t="str">
        <f>IF(V110="Sí",IFERROR(AVERAGEIFS(DATOS!K:K,DATOS!G:G,CONFIG_METADATA!$B$4,DATOS!D:D,A110,DATOS!I:I,B110),"—"),"")</f>
        <v>—</v>
      </c>
      <c r="F110" s="14" t="str" cm="1">
        <f t="array" ref="F110">IF(V110="Sí",IFERROR(_xlfn.STDEV.P(IF((nEVAL=CONFIG_METADATA!$B$4)*(nCURSO=A110)*(nASIG=B110),nNOTA)),"—"),"")</f>
        <v>—</v>
      </c>
      <c r="G110" t="str" cm="1">
        <f t="array" ref="G110">IF(V110="Sí",IFERROR(_xlfn.MODE.SNGL(IF((nEVAL=CONFIG_METADATA!$B$4)*(nCURSO=A110)*(nASIG=B110),nNOTA)),"—"),"")</f>
        <v>—</v>
      </c>
      <c r="H110" s="15" t="str">
        <f>IF(V110="Sí",IFERROR(COUNTIFS(DATOS!G:G,CONFIG_METADATA!$B$4,DATOS!D:D,A110,DATOS!I:I,B110,DATOS!L:L,"S")/COUNTIFS(DATOS!G:G,CONFIG_METADATA!$B$4,DATOS!D:D,A110,DATOS!I:I,B110),"—"),"")</f>
        <v>—</v>
      </c>
      <c r="I110" s="15" t="str">
        <f>IF(V110="Sí",IFERROR(COUNTIFS(DATOS!G:G,CONFIG_METADATA!$B$4,DATOS!D:D,A110,DATOS!I:I,B110,DATOS!L:L,"N")/COUNTIFS(DATOS!G:G,CONFIG_METADATA!$B$4,DATOS!D:D,A110,DATOS!I:I,B110),"—"),"")</f>
        <v>—</v>
      </c>
      <c r="J110" t="str" cm="1">
        <f t="array" ref="J110">IF(V110="Sí",IFERROR(_xlfn.MODE.SNGL(IF((nEVAL=CONFIG_METADATA!$B$4)*(nCURSO=A110)*(nASIG=B110)*(nAPTO="S"),nNOTA)),"—"),"")</f>
        <v>—</v>
      </c>
      <c r="K110" t="str" cm="1">
        <f t="array" ref="K110">IF(V110="Sí",IFERROR(_xlfn.MODE.SNGL(IF((nEVAL=CONFIG_METADATA!$B$4)*(nCURSO=A110)*(nASIG=B110)*(nAPTO="N"),nNOTA)),"—"),"")</f>
        <v>—</v>
      </c>
      <c r="L110">
        <f>IF(V110="Sí",COUNTIFS(DATOS!G:G,CONFIG_METADATA!$B$4,DATOS!D:D,A110,DATOS!I:I,B110,DATOS!K:K,1),"")</f>
        <v>0</v>
      </c>
      <c r="M110">
        <f>IF(V110="Sí",COUNTIFS(DATOS!G:G,CONFIG_METADATA!$B$4,DATOS!D:D,A110,DATOS!I:I,B110,DATOS!K:K,2),"")</f>
        <v>0</v>
      </c>
      <c r="N110">
        <f>IF(V110="Sí",COUNTIFS(DATOS!G:G,CONFIG_METADATA!$B$4,DATOS!D:D,A110,DATOS!I:I,B110,DATOS!K:K,3),"")</f>
        <v>0</v>
      </c>
      <c r="O110">
        <f>IF(V110="Sí",COUNTIFS(DATOS!G:G,CONFIG_METADATA!$B$4,DATOS!D:D,A110,DATOS!I:I,B110,DATOS!K:K,4),"")</f>
        <v>0</v>
      </c>
      <c r="P110">
        <f>IF(V110="Sí",COUNTIFS(DATOS!G:G,CONFIG_METADATA!$B$4,DATOS!D:D,A110,DATOS!I:I,B110,DATOS!K:K,5),"")</f>
        <v>0</v>
      </c>
      <c r="Q110">
        <f>IF(V110="Sí",COUNTIFS(DATOS!G:G,CONFIG_METADATA!$B$4,DATOS!D:D,A110,DATOS!I:I,B110,DATOS!K:K,6),"")</f>
        <v>0</v>
      </c>
      <c r="R110">
        <f>IF(V110="Sí",COUNTIFS(DATOS!G:G,CONFIG_METADATA!$B$4,DATOS!D:D,A110,DATOS!I:I,B110,DATOS!K:K,7),"")</f>
        <v>0</v>
      </c>
      <c r="S110">
        <f>IF(V110="Sí",COUNTIFS(DATOS!G:G,CONFIG_METADATA!$B$4,DATOS!D:D,A110,DATOS!I:I,B110,DATOS!K:K,8),"")</f>
        <v>0</v>
      </c>
      <c r="T110">
        <f>IF(V110="Sí",COUNTIFS(DATOS!G:G,CONFIG_METADATA!$B$4,DATOS!D:D,A110,DATOS!I:I,B110,DATOS!K:K,9),"")</f>
        <v>0</v>
      </c>
      <c r="U110">
        <f>IF(V110="Sí",COUNTIFS(DATOS!G:G,CONFIG_METADATA!$B$4,DATOS!D:D,A110,DATOS!I:I,B110,DATOS!K:K,10),"")</f>
        <v>0</v>
      </c>
      <c r="V110" t="str">
        <f>IFERROR(IF(ISERROR(FIND(A110,VLOOKUP(B110,CONFIG_ASIGNATURAS!B:C,2,FALSE()))),"No","Sí"),"No")</f>
        <v>Sí</v>
      </c>
    </row>
    <row r="111" spans="1:22">
      <c r="A111" s="3" t="inlineStr">
        <is>
          <t xml:space="preserve">1EEM</t>
        </is>
      </c>
      <c r="B111" s="3" cm="1">
        <f t="array" ref="B111">IFERROR(INDEX(_xlfn._xlws.FILTER(CONFIG_ASIGNATURAS!$B$2:$B$61,(CONFIG_ASIGNATURAS!$G$2:$G$61="Sí")*ISNUMBER(SEARCH("1EEM",CONFIG_ASIGNATURAS!$C$2:$C$61))),44),"")</f>
      </c>
      <c r="C111" s="3">
        <f>IF(B111="","",IFERROR(IF(VLOOKUP(B111,CONFIG_ASIGNATURAS!$B$2:$F$61,5,FALSE())="Sí","Especialidad","Asignatura"),"Asignatura"))</f>
      </c>
      <c r="D111">
        <f>IF(V111="Sí",COUNTIFS(DATOS!G:G,CONFIG_METADATA!$B$4,DATOS!D:D,A111,DATOS!I:I,B111),"")</f>
        <v>0</v>
      </c>
      <c r="E111" s="14" t="str">
        <f>IF(V111="Sí",IFERROR(AVERAGEIFS(DATOS!K:K,DATOS!G:G,CONFIG_METADATA!$B$4,DATOS!D:D,A111,DATOS!I:I,B111),"—"),"")</f>
        <v>—</v>
      </c>
      <c r="F111" s="14" t="str" cm="1">
        <f t="array" ref="F111">IF(V111="Sí",IFERROR(_xlfn.STDEV.P(IF((nEVAL=CONFIG_METADATA!$B$4)*(nCURSO=A111)*(nASIG=B111),nNOTA)),"—"),"")</f>
        <v>—</v>
      </c>
      <c r="G111" t="str" cm="1">
        <f t="array" ref="G111">IF(V111="Sí",IFERROR(_xlfn.MODE.SNGL(IF((nEVAL=CONFIG_METADATA!$B$4)*(nCURSO=A111)*(nASIG=B111),nNOTA)),"—"),"")</f>
        <v>—</v>
      </c>
      <c r="H111" s="15" t="str">
        <f>IF(V111="Sí",IFERROR(COUNTIFS(DATOS!G:G,CONFIG_METADATA!$B$4,DATOS!D:D,A111,DATOS!I:I,B111,DATOS!L:L,"S")/COUNTIFS(DATOS!G:G,CONFIG_METADATA!$B$4,DATOS!D:D,A111,DATOS!I:I,B111),"—"),"")</f>
        <v>—</v>
      </c>
      <c r="I111" s="15" t="str">
        <f>IF(V111="Sí",IFERROR(COUNTIFS(DATOS!G:G,CONFIG_METADATA!$B$4,DATOS!D:D,A111,DATOS!I:I,B111,DATOS!L:L,"N")/COUNTIFS(DATOS!G:G,CONFIG_METADATA!$B$4,DATOS!D:D,A111,DATOS!I:I,B111),"—"),"")</f>
        <v>—</v>
      </c>
      <c r="J111" t="str" cm="1">
        <f t="array" ref="J111">IF(V111="Sí",IFERROR(_xlfn.MODE.SNGL(IF((nEVAL=CONFIG_METADATA!$B$4)*(nCURSO=A111)*(nASIG=B111)*(nAPTO="S"),nNOTA)),"—"),"")</f>
        <v>—</v>
      </c>
      <c r="K111" t="str" cm="1">
        <f t="array" ref="K111">IF(V111="Sí",IFERROR(_xlfn.MODE.SNGL(IF((nEVAL=CONFIG_METADATA!$B$4)*(nCURSO=A111)*(nASIG=B111)*(nAPTO="N"),nNOTA)),"—"),"")</f>
        <v>—</v>
      </c>
      <c r="L111">
        <f>IF(V111="Sí",COUNTIFS(DATOS!G:G,CONFIG_METADATA!$B$4,DATOS!D:D,A111,DATOS!I:I,B111,DATOS!K:K,1),"")</f>
        <v>0</v>
      </c>
      <c r="M111">
        <f>IF(V111="Sí",COUNTIFS(DATOS!G:G,CONFIG_METADATA!$B$4,DATOS!D:D,A111,DATOS!I:I,B111,DATOS!K:K,2),"")</f>
        <v>0</v>
      </c>
      <c r="N111">
        <f>IF(V111="Sí",COUNTIFS(DATOS!G:G,CONFIG_METADATA!$B$4,DATOS!D:D,A111,DATOS!I:I,B111,DATOS!K:K,3),"")</f>
        <v>0</v>
      </c>
      <c r="O111">
        <f>IF(V111="Sí",COUNTIFS(DATOS!G:G,CONFIG_METADATA!$B$4,DATOS!D:D,A111,DATOS!I:I,B111,DATOS!K:K,4),"")</f>
        <v>0</v>
      </c>
      <c r="P111">
        <f>IF(V111="Sí",COUNTIFS(DATOS!G:G,CONFIG_METADATA!$B$4,DATOS!D:D,A111,DATOS!I:I,B111,DATOS!K:K,5),"")</f>
        <v>0</v>
      </c>
      <c r="Q111">
        <f>IF(V111="Sí",COUNTIFS(DATOS!G:G,CONFIG_METADATA!$B$4,DATOS!D:D,A111,DATOS!I:I,B111,DATOS!K:K,6),"")</f>
        <v>0</v>
      </c>
      <c r="R111">
        <f>IF(V111="Sí",COUNTIFS(DATOS!G:G,CONFIG_METADATA!$B$4,DATOS!D:D,A111,DATOS!I:I,B111,DATOS!K:K,7),"")</f>
        <v>0</v>
      </c>
      <c r="S111">
        <f>IF(V111="Sí",COUNTIFS(DATOS!G:G,CONFIG_METADATA!$B$4,DATOS!D:D,A111,DATOS!I:I,B111,DATOS!K:K,8),"")</f>
        <v>0</v>
      </c>
      <c r="T111">
        <f>IF(V111="Sí",COUNTIFS(DATOS!G:G,CONFIG_METADATA!$B$4,DATOS!D:D,A111,DATOS!I:I,B111,DATOS!K:K,9),"")</f>
        <v>0</v>
      </c>
      <c r="U111">
        <f>IF(V111="Sí",COUNTIFS(DATOS!G:G,CONFIG_METADATA!$B$4,DATOS!D:D,A111,DATOS!I:I,B111,DATOS!K:K,10),"")</f>
        <v>0</v>
      </c>
      <c r="V111" t="str">
        <f>IFERROR(IF(ISERROR(FIND(A111,VLOOKUP(B111,CONFIG_ASIGNATURAS!B:C,2,FALSE()))),"No","Sí"),"No")</f>
        <v>Sí</v>
      </c>
    </row>
    <row r="112" spans="1:22">
      <c r="A112" s="3" t="inlineStr">
        <is>
          <t xml:space="preserve">1EEM</t>
        </is>
      </c>
      <c r="B112" s="3" cm="1">
        <f t="array" ref="B112">IFERROR(INDEX(_xlfn._xlws.FILTER(CONFIG_ASIGNATURAS!$B$2:$B$61,(CONFIG_ASIGNATURAS!$G$2:$G$61="Sí")*ISNUMBER(SEARCH("1EEM",CONFIG_ASIGNATURAS!$C$2:$C$61))),45),"")</f>
      </c>
      <c r="C112" s="3">
        <f>IF(B112="","",IFERROR(IF(VLOOKUP(B112,CONFIG_ASIGNATURAS!$B$2:$F$61,5,FALSE())="Sí","Especialidad","Asignatura"),"Asignatura"))</f>
      </c>
      <c r="D112">
        <f>IF(V112="Sí",COUNTIFS(DATOS!G:G,CONFIG_METADATA!$B$4,DATOS!D:D,A112,DATOS!I:I,B112),"")</f>
        <v>0</v>
      </c>
      <c r="E112" s="14" t="str">
        <f>IF(V112="Sí",IFERROR(AVERAGEIFS(DATOS!K:K,DATOS!G:G,CONFIG_METADATA!$B$4,DATOS!D:D,A112,DATOS!I:I,B112),"—"),"")</f>
        <v>—</v>
      </c>
      <c r="F112" s="14" t="str" cm="1">
        <f t="array" ref="F112">IF(V112="Sí",IFERROR(_xlfn.STDEV.P(IF((nEVAL=CONFIG_METADATA!$B$4)*(nCURSO=A112)*(nASIG=B112),nNOTA)),"—"),"")</f>
        <v>—</v>
      </c>
      <c r="G112" t="str" cm="1">
        <f t="array" ref="G112">IF(V112="Sí",IFERROR(_xlfn.MODE.SNGL(IF((nEVAL=CONFIG_METADATA!$B$4)*(nCURSO=A112)*(nASIG=B112),nNOTA)),"—"),"")</f>
        <v>—</v>
      </c>
      <c r="H112" s="15" t="str">
        <f>IF(V112="Sí",IFERROR(COUNTIFS(DATOS!G:G,CONFIG_METADATA!$B$4,DATOS!D:D,A112,DATOS!I:I,B112,DATOS!L:L,"S")/COUNTIFS(DATOS!G:G,CONFIG_METADATA!$B$4,DATOS!D:D,A112,DATOS!I:I,B112),"—"),"")</f>
        <v>—</v>
      </c>
      <c r="I112" s="15" t="str">
        <f>IF(V112="Sí",IFERROR(COUNTIFS(DATOS!G:G,CONFIG_METADATA!$B$4,DATOS!D:D,A112,DATOS!I:I,B112,DATOS!L:L,"N")/COUNTIFS(DATOS!G:G,CONFIG_METADATA!$B$4,DATOS!D:D,A112,DATOS!I:I,B112),"—"),"")</f>
        <v>—</v>
      </c>
      <c r="J112" t="str" cm="1">
        <f t="array" ref="J112">IF(V112="Sí",IFERROR(_xlfn.MODE.SNGL(IF((nEVAL=CONFIG_METADATA!$B$4)*(nCURSO=A112)*(nASIG=B112)*(nAPTO="S"),nNOTA)),"—"),"")</f>
        <v>—</v>
      </c>
      <c r="K112" t="str" cm="1">
        <f t="array" ref="K112">IF(V112="Sí",IFERROR(_xlfn.MODE.SNGL(IF((nEVAL=CONFIG_METADATA!$B$4)*(nCURSO=A112)*(nASIG=B112)*(nAPTO="N"),nNOTA)),"—"),"")</f>
        <v>—</v>
      </c>
      <c r="L112">
        <f>IF(V112="Sí",COUNTIFS(DATOS!G:G,CONFIG_METADATA!$B$4,DATOS!D:D,A112,DATOS!I:I,B112,DATOS!K:K,1),"")</f>
        <v>0</v>
      </c>
      <c r="M112">
        <f>IF(V112="Sí",COUNTIFS(DATOS!G:G,CONFIG_METADATA!$B$4,DATOS!D:D,A112,DATOS!I:I,B112,DATOS!K:K,2),"")</f>
        <v>0</v>
      </c>
      <c r="N112">
        <f>IF(V112="Sí",COUNTIFS(DATOS!G:G,CONFIG_METADATA!$B$4,DATOS!D:D,A112,DATOS!I:I,B112,DATOS!K:K,3),"")</f>
        <v>0</v>
      </c>
      <c r="O112">
        <f>IF(V112="Sí",COUNTIFS(DATOS!G:G,CONFIG_METADATA!$B$4,DATOS!D:D,A112,DATOS!I:I,B112,DATOS!K:K,4),"")</f>
        <v>0</v>
      </c>
      <c r="P112">
        <f>IF(V112="Sí",COUNTIFS(DATOS!G:G,CONFIG_METADATA!$B$4,DATOS!D:D,A112,DATOS!I:I,B112,DATOS!K:K,5),"")</f>
        <v>0</v>
      </c>
      <c r="Q112">
        <f>IF(V112="Sí",COUNTIFS(DATOS!G:G,CONFIG_METADATA!$B$4,DATOS!D:D,A112,DATOS!I:I,B112,DATOS!K:K,6),"")</f>
        <v>0</v>
      </c>
      <c r="R112">
        <f>IF(V112="Sí",COUNTIFS(DATOS!G:G,CONFIG_METADATA!$B$4,DATOS!D:D,A112,DATOS!I:I,B112,DATOS!K:K,7),"")</f>
        <v>0</v>
      </c>
      <c r="S112">
        <f>IF(V112="Sí",COUNTIFS(DATOS!G:G,CONFIG_METADATA!$B$4,DATOS!D:D,A112,DATOS!I:I,B112,DATOS!K:K,8),"")</f>
        <v>0</v>
      </c>
      <c r="T112">
        <f>IF(V112="Sí",COUNTIFS(DATOS!G:G,CONFIG_METADATA!$B$4,DATOS!D:D,A112,DATOS!I:I,B112,DATOS!K:K,9),"")</f>
        <v>0</v>
      </c>
      <c r="U112">
        <f>IF(V112="Sí",COUNTIFS(DATOS!G:G,CONFIG_METADATA!$B$4,DATOS!D:D,A112,DATOS!I:I,B112,DATOS!K:K,10),"")</f>
        <v>0</v>
      </c>
      <c r="V112" t="str">
        <f>IFERROR(IF(ISERROR(FIND(A112,VLOOKUP(B112,CONFIG_ASIGNATURAS!B:C,2,FALSE()))),"No","Sí"),"No")</f>
        <v>Sí</v>
      </c>
    </row>
    <row r="113" spans="1:22">
      <c r="A113" s="3" t="inlineStr">
        <is>
          <t xml:space="preserve">1EEM</t>
        </is>
      </c>
      <c r="B113" s="3" cm="1">
        <f t="array" ref="B113">IFERROR(INDEX(_xlfn._xlws.FILTER(CONFIG_ASIGNATURAS!$B$2:$B$61,(CONFIG_ASIGNATURAS!$G$2:$G$61="Sí")*ISNUMBER(SEARCH("1EEM",CONFIG_ASIGNATURAS!$C$2:$C$61))),46),"")</f>
      </c>
      <c r="C113" s="3">
        <f>IF(B113="","",IFERROR(IF(VLOOKUP(B113,CONFIG_ASIGNATURAS!$B$2:$F$61,5,FALSE())="Sí","Especialidad","Asignatura"),"Asignatura"))</f>
      </c>
      <c r="D113">
        <f>IF(V113="Sí",COUNTIFS(DATOS!G:G,CONFIG_METADATA!$B$4,DATOS!D:D,A113,DATOS!I:I,B113),"")</f>
        <v>0</v>
      </c>
      <c r="E113" s="14" t="str">
        <f>IF(V113="Sí",IFERROR(AVERAGEIFS(DATOS!K:K,DATOS!G:G,CONFIG_METADATA!$B$4,DATOS!D:D,A113,DATOS!I:I,B113),"—"),"")</f>
        <v>—</v>
      </c>
      <c r="F113" s="14" t="str" cm="1">
        <f t="array" ref="F113">IF(V113="Sí",IFERROR(_xlfn.STDEV.P(IF((nEVAL=CONFIG_METADATA!$B$4)*(nCURSO=A113)*(nASIG=B113),nNOTA)),"—"),"")</f>
        <v>—</v>
      </c>
      <c r="G113" t="str" cm="1">
        <f t="array" ref="G113">IF(V113="Sí",IFERROR(_xlfn.MODE.SNGL(IF((nEVAL=CONFIG_METADATA!$B$4)*(nCURSO=A113)*(nASIG=B113),nNOTA)),"—"),"")</f>
        <v>—</v>
      </c>
      <c r="H113" s="15" t="str">
        <f>IF(V113="Sí",IFERROR(COUNTIFS(DATOS!G:G,CONFIG_METADATA!$B$4,DATOS!D:D,A113,DATOS!I:I,B113,DATOS!L:L,"S")/COUNTIFS(DATOS!G:G,CONFIG_METADATA!$B$4,DATOS!D:D,A113,DATOS!I:I,B113),"—"),"")</f>
        <v>—</v>
      </c>
      <c r="I113" s="15" t="str">
        <f>IF(V113="Sí",IFERROR(COUNTIFS(DATOS!G:G,CONFIG_METADATA!$B$4,DATOS!D:D,A113,DATOS!I:I,B113,DATOS!L:L,"N")/COUNTIFS(DATOS!G:G,CONFIG_METADATA!$B$4,DATOS!D:D,A113,DATOS!I:I,B113),"—"),"")</f>
        <v>—</v>
      </c>
      <c r="J113" t="str" cm="1">
        <f t="array" ref="J113">IF(V113="Sí",IFERROR(_xlfn.MODE.SNGL(IF((nEVAL=CONFIG_METADATA!$B$4)*(nCURSO=A113)*(nASIG=B113)*(nAPTO="S"),nNOTA)),"—"),"")</f>
        <v>—</v>
      </c>
      <c r="K113" t="str" cm="1">
        <f t="array" ref="K113">IF(V113="Sí",IFERROR(_xlfn.MODE.SNGL(IF((nEVAL=CONFIG_METADATA!$B$4)*(nCURSO=A113)*(nASIG=B113)*(nAPTO="N"),nNOTA)),"—"),"")</f>
        <v>—</v>
      </c>
      <c r="L113">
        <f>IF(V113="Sí",COUNTIFS(DATOS!G:G,CONFIG_METADATA!$B$4,DATOS!D:D,A113,DATOS!I:I,B113,DATOS!K:K,1),"")</f>
        <v>0</v>
      </c>
      <c r="M113">
        <f>IF(V113="Sí",COUNTIFS(DATOS!G:G,CONFIG_METADATA!$B$4,DATOS!D:D,A113,DATOS!I:I,B113,DATOS!K:K,2),"")</f>
        <v>0</v>
      </c>
      <c r="N113">
        <f>IF(V113="Sí",COUNTIFS(DATOS!G:G,CONFIG_METADATA!$B$4,DATOS!D:D,A113,DATOS!I:I,B113,DATOS!K:K,3),"")</f>
        <v>0</v>
      </c>
      <c r="O113">
        <f>IF(V113="Sí",COUNTIFS(DATOS!G:G,CONFIG_METADATA!$B$4,DATOS!D:D,A113,DATOS!I:I,B113,DATOS!K:K,4),"")</f>
        <v>0</v>
      </c>
      <c r="P113">
        <f>IF(V113="Sí",COUNTIFS(DATOS!G:G,CONFIG_METADATA!$B$4,DATOS!D:D,A113,DATOS!I:I,B113,DATOS!K:K,5),"")</f>
        <v>0</v>
      </c>
      <c r="Q113">
        <f>IF(V113="Sí",COUNTIFS(DATOS!G:G,CONFIG_METADATA!$B$4,DATOS!D:D,A113,DATOS!I:I,B113,DATOS!K:K,6),"")</f>
        <v>0</v>
      </c>
      <c r="R113">
        <f>IF(V113="Sí",COUNTIFS(DATOS!G:G,CONFIG_METADATA!$B$4,DATOS!D:D,A113,DATOS!I:I,B113,DATOS!K:K,7),"")</f>
        <v>0</v>
      </c>
      <c r="S113">
        <f>IF(V113="Sí",COUNTIFS(DATOS!G:G,CONFIG_METADATA!$B$4,DATOS!D:D,A113,DATOS!I:I,B113,DATOS!K:K,8),"")</f>
        <v>0</v>
      </c>
      <c r="T113">
        <f>IF(V113="Sí",COUNTIFS(DATOS!G:G,CONFIG_METADATA!$B$4,DATOS!D:D,A113,DATOS!I:I,B113,DATOS!K:K,9),"")</f>
        <v>0</v>
      </c>
      <c r="U113">
        <f>IF(V113="Sí",COUNTIFS(DATOS!G:G,CONFIG_METADATA!$B$4,DATOS!D:D,A113,DATOS!I:I,B113,DATOS!K:K,10),"")</f>
        <v>0</v>
      </c>
      <c r="V113" t="str">
        <f>IFERROR(IF(ISERROR(FIND(A113,VLOOKUP(B113,CONFIG_ASIGNATURAS!B:C,2,FALSE()))),"No","Sí"),"No")</f>
        <v>Sí</v>
      </c>
    </row>
    <row r="114" spans="1:22">
      <c r="A114" s="3" t="inlineStr">
        <is>
          <t xml:space="preserve">1EEM</t>
        </is>
      </c>
      <c r="B114" s="3" cm="1">
        <f t="array" ref="B114">IFERROR(INDEX(_xlfn._xlws.FILTER(CONFIG_ASIGNATURAS!$B$2:$B$61,(CONFIG_ASIGNATURAS!$G$2:$G$61="Sí")*ISNUMBER(SEARCH("1EEM",CONFIG_ASIGNATURAS!$C$2:$C$61))),47),"")</f>
      </c>
      <c r="C114" s="3">
        <f>IF(B114="","",IFERROR(IF(VLOOKUP(B114,CONFIG_ASIGNATURAS!$B$2:$F$61,5,FALSE())="Sí","Especialidad","Asignatura"),"Asignatura"))</f>
      </c>
      <c r="D114">
        <f>IF(V114="Sí",COUNTIFS(DATOS!G:G,CONFIG_METADATA!$B$4,DATOS!D:D,A114,DATOS!I:I,B114),"")</f>
        <v>0</v>
      </c>
      <c r="E114" s="14" t="str">
        <f>IF(V114="Sí",IFERROR(AVERAGEIFS(DATOS!K:K,DATOS!G:G,CONFIG_METADATA!$B$4,DATOS!D:D,A114,DATOS!I:I,B114),"—"),"")</f>
        <v>—</v>
      </c>
      <c r="F114" s="14" t="str" cm="1">
        <f t="array" ref="F114">IF(V114="Sí",IFERROR(_xlfn.STDEV.P(IF((nEVAL=CONFIG_METADATA!$B$4)*(nCURSO=A114)*(nASIG=B114),nNOTA)),"—"),"")</f>
        <v>—</v>
      </c>
      <c r="G114" t="str" cm="1">
        <f t="array" ref="G114">IF(V114="Sí",IFERROR(_xlfn.MODE.SNGL(IF((nEVAL=CONFIG_METADATA!$B$4)*(nCURSO=A114)*(nASIG=B114),nNOTA)),"—"),"")</f>
        <v>—</v>
      </c>
      <c r="H114" s="15" t="str">
        <f>IF(V114="Sí",IFERROR(COUNTIFS(DATOS!G:G,CONFIG_METADATA!$B$4,DATOS!D:D,A114,DATOS!I:I,B114,DATOS!L:L,"S")/COUNTIFS(DATOS!G:G,CONFIG_METADATA!$B$4,DATOS!D:D,A114,DATOS!I:I,B114),"—"),"")</f>
        <v>—</v>
      </c>
      <c r="I114" s="15" t="str">
        <f>IF(V114="Sí",IFERROR(COUNTIFS(DATOS!G:G,CONFIG_METADATA!$B$4,DATOS!D:D,A114,DATOS!I:I,B114,DATOS!L:L,"N")/COUNTIFS(DATOS!G:G,CONFIG_METADATA!$B$4,DATOS!D:D,A114,DATOS!I:I,B114),"—"),"")</f>
        <v>—</v>
      </c>
      <c r="J114" t="str" cm="1">
        <f t="array" ref="J114">IF(V114="Sí",IFERROR(_xlfn.MODE.SNGL(IF((nEVAL=CONFIG_METADATA!$B$4)*(nCURSO=A114)*(nASIG=B114)*(nAPTO="S"),nNOTA)),"—"),"")</f>
        <v>—</v>
      </c>
      <c r="K114" t="str" cm="1">
        <f t="array" ref="K114">IF(V114="Sí",IFERROR(_xlfn.MODE.SNGL(IF((nEVAL=CONFIG_METADATA!$B$4)*(nCURSO=A114)*(nASIG=B114)*(nAPTO="N"),nNOTA)),"—"),"")</f>
        <v>—</v>
      </c>
      <c r="L114">
        <f>IF(V114="Sí",COUNTIFS(DATOS!G:G,CONFIG_METADATA!$B$4,DATOS!D:D,A114,DATOS!I:I,B114,DATOS!K:K,1),"")</f>
        <v>0</v>
      </c>
      <c r="M114">
        <f>IF(V114="Sí",COUNTIFS(DATOS!G:G,CONFIG_METADATA!$B$4,DATOS!D:D,A114,DATOS!I:I,B114,DATOS!K:K,2),"")</f>
        <v>0</v>
      </c>
      <c r="N114">
        <f>IF(V114="Sí",COUNTIFS(DATOS!G:G,CONFIG_METADATA!$B$4,DATOS!D:D,A114,DATOS!I:I,B114,DATOS!K:K,3),"")</f>
        <v>0</v>
      </c>
      <c r="O114">
        <f>IF(V114="Sí",COUNTIFS(DATOS!G:G,CONFIG_METADATA!$B$4,DATOS!D:D,A114,DATOS!I:I,B114,DATOS!K:K,4),"")</f>
        <v>0</v>
      </c>
      <c r="P114">
        <f>IF(V114="Sí",COUNTIFS(DATOS!G:G,CONFIG_METADATA!$B$4,DATOS!D:D,A114,DATOS!I:I,B114,DATOS!K:K,5),"")</f>
        <v>0</v>
      </c>
      <c r="Q114">
        <f>IF(V114="Sí",COUNTIFS(DATOS!G:G,CONFIG_METADATA!$B$4,DATOS!D:D,A114,DATOS!I:I,B114,DATOS!K:K,6),"")</f>
        <v>0</v>
      </c>
      <c r="R114">
        <f>IF(V114="Sí",COUNTIFS(DATOS!G:G,CONFIG_METADATA!$B$4,DATOS!D:D,A114,DATOS!I:I,B114,DATOS!K:K,7),"")</f>
        <v>0</v>
      </c>
      <c r="S114">
        <f>IF(V114="Sí",COUNTIFS(DATOS!G:G,CONFIG_METADATA!$B$4,DATOS!D:D,A114,DATOS!I:I,B114,DATOS!K:K,8),"")</f>
        <v>0</v>
      </c>
      <c r="T114">
        <f>IF(V114="Sí",COUNTIFS(DATOS!G:G,CONFIG_METADATA!$B$4,DATOS!D:D,A114,DATOS!I:I,B114,DATOS!K:K,9),"")</f>
        <v>0</v>
      </c>
      <c r="U114">
        <f>IF(V114="Sí",COUNTIFS(DATOS!G:G,CONFIG_METADATA!$B$4,DATOS!D:D,A114,DATOS!I:I,B114,DATOS!K:K,10),"")</f>
        <v>0</v>
      </c>
      <c r="V114" t="str">
        <f>IFERROR(IF(ISERROR(FIND(A114,VLOOKUP(B114,CONFIG_ASIGNATURAS!B:C,2,FALSE()))),"No","Sí"),"No")</f>
        <v>Sí</v>
      </c>
    </row>
    <row r="115" spans="1:22">
      <c r="A115" s="3" t="inlineStr">
        <is>
          <t xml:space="preserve">1EEM</t>
        </is>
      </c>
      <c r="B115" s="3" cm="1">
        <f t="array" ref="B115">IFERROR(INDEX(_xlfn._xlws.FILTER(CONFIG_ASIGNATURAS!$B$2:$B$61,(CONFIG_ASIGNATURAS!$G$2:$G$61="Sí")*ISNUMBER(SEARCH("1EEM",CONFIG_ASIGNATURAS!$C$2:$C$61))),48),"")</f>
      </c>
      <c r="C115" s="3">
        <f>IF(B115="","",IFERROR(IF(VLOOKUP(B115,CONFIG_ASIGNATURAS!$B$2:$F$61,5,FALSE())="Sí","Especialidad","Asignatura"),"Asignatura"))</f>
      </c>
      <c r="D115">
        <f>IF(V115="Sí",COUNTIFS(DATOS!G:G,CONFIG_METADATA!$B$4,DATOS!D:D,A115,DATOS!I:I,B115),"")</f>
        <v>0</v>
      </c>
      <c r="E115" s="14" t="str">
        <f>IF(V115="Sí",IFERROR(AVERAGEIFS(DATOS!K:K,DATOS!G:G,CONFIG_METADATA!$B$4,DATOS!D:D,A115,DATOS!I:I,B115),"—"),"")</f>
        <v>—</v>
      </c>
      <c r="F115" s="14" t="str" cm="1">
        <f t="array" ref="F115">IF(V115="Sí",IFERROR(_xlfn.STDEV.P(IF((nEVAL=CONFIG_METADATA!$B$4)*(nCURSO=A115)*(nASIG=B115),nNOTA)),"—"),"")</f>
        <v>—</v>
      </c>
      <c r="G115" t="str" cm="1">
        <f t="array" ref="G115">IF(V115="Sí",IFERROR(_xlfn.MODE.SNGL(IF((nEVAL=CONFIG_METADATA!$B$4)*(nCURSO=A115)*(nASIG=B115),nNOTA)),"—"),"")</f>
        <v>—</v>
      </c>
      <c r="H115" s="15" t="str">
        <f>IF(V115="Sí",IFERROR(COUNTIFS(DATOS!G:G,CONFIG_METADATA!$B$4,DATOS!D:D,A115,DATOS!I:I,B115,DATOS!L:L,"S")/COUNTIFS(DATOS!G:G,CONFIG_METADATA!$B$4,DATOS!D:D,A115,DATOS!I:I,B115),"—"),"")</f>
        <v>—</v>
      </c>
      <c r="I115" s="15" t="str">
        <f>IF(V115="Sí",IFERROR(COUNTIFS(DATOS!G:G,CONFIG_METADATA!$B$4,DATOS!D:D,A115,DATOS!I:I,B115,DATOS!L:L,"N")/COUNTIFS(DATOS!G:G,CONFIG_METADATA!$B$4,DATOS!D:D,A115,DATOS!I:I,B115),"—"),"")</f>
        <v>—</v>
      </c>
      <c r="J115" t="str" cm="1">
        <f t="array" ref="J115">IF(V115="Sí",IFERROR(_xlfn.MODE.SNGL(IF((nEVAL=CONFIG_METADATA!$B$4)*(nCURSO=A115)*(nASIG=B115)*(nAPTO="S"),nNOTA)),"—"),"")</f>
        <v>—</v>
      </c>
      <c r="K115" t="str" cm="1">
        <f t="array" ref="K115">IF(V115="Sí",IFERROR(_xlfn.MODE.SNGL(IF((nEVAL=CONFIG_METADATA!$B$4)*(nCURSO=A115)*(nASIG=B115)*(nAPTO="N"),nNOTA)),"—"),"")</f>
        <v>—</v>
      </c>
      <c r="L115">
        <f>IF(V115="Sí",COUNTIFS(DATOS!G:G,CONFIG_METADATA!$B$4,DATOS!D:D,A115,DATOS!I:I,B115,DATOS!K:K,1),"")</f>
        <v>0</v>
      </c>
      <c r="M115">
        <f>IF(V115="Sí",COUNTIFS(DATOS!G:G,CONFIG_METADATA!$B$4,DATOS!D:D,A115,DATOS!I:I,B115,DATOS!K:K,2),"")</f>
        <v>0</v>
      </c>
      <c r="N115">
        <f>IF(V115="Sí",COUNTIFS(DATOS!G:G,CONFIG_METADATA!$B$4,DATOS!D:D,A115,DATOS!I:I,B115,DATOS!K:K,3),"")</f>
        <v>0</v>
      </c>
      <c r="O115">
        <f>IF(V115="Sí",COUNTIFS(DATOS!G:G,CONFIG_METADATA!$B$4,DATOS!D:D,A115,DATOS!I:I,B115,DATOS!K:K,4),"")</f>
        <v>0</v>
      </c>
      <c r="P115">
        <f>IF(V115="Sí",COUNTIFS(DATOS!G:G,CONFIG_METADATA!$B$4,DATOS!D:D,A115,DATOS!I:I,B115,DATOS!K:K,5),"")</f>
        <v>0</v>
      </c>
      <c r="Q115">
        <f>IF(V115="Sí",COUNTIFS(DATOS!G:G,CONFIG_METADATA!$B$4,DATOS!D:D,A115,DATOS!I:I,B115,DATOS!K:K,6),"")</f>
        <v>0</v>
      </c>
      <c r="R115">
        <f>IF(V115="Sí",COUNTIFS(DATOS!G:G,CONFIG_METADATA!$B$4,DATOS!D:D,A115,DATOS!I:I,B115,DATOS!K:K,7),"")</f>
        <v>0</v>
      </c>
      <c r="S115">
        <f>IF(V115="Sí",COUNTIFS(DATOS!G:G,CONFIG_METADATA!$B$4,DATOS!D:D,A115,DATOS!I:I,B115,DATOS!K:K,8),"")</f>
        <v>0</v>
      </c>
      <c r="T115">
        <f>IF(V115="Sí",COUNTIFS(DATOS!G:G,CONFIG_METADATA!$B$4,DATOS!D:D,A115,DATOS!I:I,B115,DATOS!K:K,9),"")</f>
        <v>0</v>
      </c>
      <c r="U115">
        <f>IF(V115="Sí",COUNTIFS(DATOS!G:G,CONFIG_METADATA!$B$4,DATOS!D:D,A115,DATOS!I:I,B115,DATOS!K:K,10),"")</f>
        <v>0</v>
      </c>
      <c r="V115" t="str">
        <f>IFERROR(IF(ISERROR(FIND(A115,VLOOKUP(B115,CONFIG_ASIGNATURAS!B:C,2,FALSE()))),"No","Sí"),"No")</f>
        <v>Sí</v>
      </c>
    </row>
    <row r="116" spans="1:22">
      <c r="A116" s="3" t="inlineStr">
        <is>
          <t xml:space="preserve">1EEM</t>
        </is>
      </c>
      <c r="B116" s="3" cm="1">
        <f t="array" ref="B116">IFERROR(INDEX(_xlfn._xlws.FILTER(CONFIG_ASIGNATURAS!$B$2:$B$61,(CONFIG_ASIGNATURAS!$G$2:$G$61="Sí")*ISNUMBER(SEARCH("1EEM",CONFIG_ASIGNATURAS!$C$2:$C$61))),49),"")</f>
      </c>
      <c r="C116" s="3">
        <f>IF(B116="","",IFERROR(IF(VLOOKUP(B116,CONFIG_ASIGNATURAS!$B$2:$F$61,5,FALSE())="Sí","Especialidad","Asignatura"),"Asignatura"))</f>
      </c>
      <c r="D116">
        <f>IF(V116="Sí",COUNTIFS(DATOS!G:G,CONFIG_METADATA!$B$4,DATOS!D:D,A116,DATOS!I:I,B116),"")</f>
        <v>0</v>
      </c>
      <c r="E116" s="14" t="str">
        <f>IF(V116="Sí",IFERROR(AVERAGEIFS(DATOS!K:K,DATOS!G:G,CONFIG_METADATA!$B$4,DATOS!D:D,A116,DATOS!I:I,B116),"—"),"")</f>
        <v>—</v>
      </c>
      <c r="F116" s="14" t="str" cm="1">
        <f t="array" ref="F116">IF(V116="Sí",IFERROR(_xlfn.STDEV.P(IF((nEVAL=CONFIG_METADATA!$B$4)*(nCURSO=A116)*(nASIG=B116),nNOTA)),"—"),"")</f>
        <v>—</v>
      </c>
      <c r="G116" t="str" cm="1">
        <f t="array" ref="G116">IF(V116="Sí",IFERROR(_xlfn.MODE.SNGL(IF((nEVAL=CONFIG_METADATA!$B$4)*(nCURSO=A116)*(nASIG=B116),nNOTA)),"—"),"")</f>
        <v>—</v>
      </c>
      <c r="H116" s="15" t="str">
        <f>IF(V116="Sí",IFERROR(COUNTIFS(DATOS!G:G,CONFIG_METADATA!$B$4,DATOS!D:D,A116,DATOS!I:I,B116,DATOS!L:L,"S")/COUNTIFS(DATOS!G:G,CONFIG_METADATA!$B$4,DATOS!D:D,A116,DATOS!I:I,B116),"—"),"")</f>
        <v>—</v>
      </c>
      <c r="I116" s="15" t="str">
        <f>IF(V116="Sí",IFERROR(COUNTIFS(DATOS!G:G,CONFIG_METADATA!$B$4,DATOS!D:D,A116,DATOS!I:I,B116,DATOS!L:L,"N")/COUNTIFS(DATOS!G:G,CONFIG_METADATA!$B$4,DATOS!D:D,A116,DATOS!I:I,B116),"—"),"")</f>
        <v>—</v>
      </c>
      <c r="J116" t="str" cm="1">
        <f t="array" ref="J116">IF(V116="Sí",IFERROR(_xlfn.MODE.SNGL(IF((nEVAL=CONFIG_METADATA!$B$4)*(nCURSO=A116)*(nASIG=B116)*(nAPTO="S"),nNOTA)),"—"),"")</f>
        <v>—</v>
      </c>
      <c r="K116" t="str" cm="1">
        <f t="array" ref="K116">IF(V116="Sí",IFERROR(_xlfn.MODE.SNGL(IF((nEVAL=CONFIG_METADATA!$B$4)*(nCURSO=A116)*(nASIG=B116)*(nAPTO="N"),nNOTA)),"—"),"")</f>
        <v>—</v>
      </c>
      <c r="L116">
        <f>IF(V116="Sí",COUNTIFS(DATOS!G:G,CONFIG_METADATA!$B$4,DATOS!D:D,A116,DATOS!I:I,B116,DATOS!K:K,1),"")</f>
        <v>0</v>
      </c>
      <c r="M116">
        <f>IF(V116="Sí",COUNTIFS(DATOS!G:G,CONFIG_METADATA!$B$4,DATOS!D:D,A116,DATOS!I:I,B116,DATOS!K:K,2),"")</f>
        <v>0</v>
      </c>
      <c r="N116">
        <f>IF(V116="Sí",COUNTIFS(DATOS!G:G,CONFIG_METADATA!$B$4,DATOS!D:D,A116,DATOS!I:I,B116,DATOS!K:K,3),"")</f>
        <v>0</v>
      </c>
      <c r="O116">
        <f>IF(V116="Sí",COUNTIFS(DATOS!G:G,CONFIG_METADATA!$B$4,DATOS!D:D,A116,DATOS!I:I,B116,DATOS!K:K,4),"")</f>
        <v>0</v>
      </c>
      <c r="P116">
        <f>IF(V116="Sí",COUNTIFS(DATOS!G:G,CONFIG_METADATA!$B$4,DATOS!D:D,A116,DATOS!I:I,B116,DATOS!K:K,5),"")</f>
        <v>0</v>
      </c>
      <c r="Q116">
        <f>IF(V116="Sí",COUNTIFS(DATOS!G:G,CONFIG_METADATA!$B$4,DATOS!D:D,A116,DATOS!I:I,B116,DATOS!K:K,6),"")</f>
        <v>0</v>
      </c>
      <c r="R116">
        <f>IF(V116="Sí",COUNTIFS(DATOS!G:G,CONFIG_METADATA!$B$4,DATOS!D:D,A116,DATOS!I:I,B116,DATOS!K:K,7),"")</f>
        <v>0</v>
      </c>
      <c r="S116">
        <f>IF(V116="Sí",COUNTIFS(DATOS!G:G,CONFIG_METADATA!$B$4,DATOS!D:D,A116,DATOS!I:I,B116,DATOS!K:K,8),"")</f>
        <v>0</v>
      </c>
      <c r="T116">
        <f>IF(V116="Sí",COUNTIFS(DATOS!G:G,CONFIG_METADATA!$B$4,DATOS!D:D,A116,DATOS!I:I,B116,DATOS!K:K,9),"")</f>
        <v>0</v>
      </c>
      <c r="U116">
        <f>IF(V116="Sí",COUNTIFS(DATOS!G:G,CONFIG_METADATA!$B$4,DATOS!D:D,A116,DATOS!I:I,B116,DATOS!K:K,10),"")</f>
        <v>0</v>
      </c>
      <c r="V116" t="str">
        <f>IFERROR(IF(ISERROR(FIND(A116,VLOOKUP(B116,CONFIG_ASIGNATURAS!B:C,2,FALSE()))),"No","Sí"),"No")</f>
        <v>Sí</v>
      </c>
    </row>
    <row r="117" spans="1:22">
      <c r="A117" s="3" t="inlineStr">
        <is>
          <t xml:space="preserve">1EEM</t>
        </is>
      </c>
      <c r="B117" s="3" cm="1">
        <f t="array" ref="B117">IFERROR(INDEX(_xlfn._xlws.FILTER(CONFIG_ASIGNATURAS!$B$2:$B$61,(CONFIG_ASIGNATURAS!$G$2:$G$61="Sí")*ISNUMBER(SEARCH("1EEM",CONFIG_ASIGNATURAS!$C$2:$C$61))),50),"")</f>
      </c>
      <c r="C117" s="3">
        <f>IF(B117="","",IFERROR(IF(VLOOKUP(B117,CONFIG_ASIGNATURAS!$B$2:$F$61,5,FALSE())="Sí","Especialidad","Asignatura"),"Asignatura"))</f>
      </c>
      <c r="D117">
        <f>IF(V117="Sí",COUNTIFS(DATOS!G:G,CONFIG_METADATA!$B$4,DATOS!D:D,A117,DATOS!I:I,B117),"")</f>
        <v>0</v>
      </c>
      <c r="E117" s="14" t="str">
        <f>IF(V117="Sí",IFERROR(AVERAGEIFS(DATOS!K:K,DATOS!G:G,CONFIG_METADATA!$B$4,DATOS!D:D,A117,DATOS!I:I,B117),"—"),"")</f>
        <v>—</v>
      </c>
      <c r="F117" s="14" t="str" cm="1">
        <f t="array" ref="F117">IF(V117="Sí",IFERROR(_xlfn.STDEV.P(IF((nEVAL=CONFIG_METADATA!$B$4)*(nCURSO=A117)*(nASIG=B117),nNOTA)),"—"),"")</f>
        <v>—</v>
      </c>
      <c r="G117" t="str" cm="1">
        <f t="array" ref="G117">IF(V117="Sí",IFERROR(_xlfn.MODE.SNGL(IF((nEVAL=CONFIG_METADATA!$B$4)*(nCURSO=A117)*(nASIG=B117),nNOTA)),"—"),"")</f>
        <v>—</v>
      </c>
      <c r="H117" s="15" t="str">
        <f>IF(V117="Sí",IFERROR(COUNTIFS(DATOS!G:G,CONFIG_METADATA!$B$4,DATOS!D:D,A117,DATOS!I:I,B117,DATOS!L:L,"S")/COUNTIFS(DATOS!G:G,CONFIG_METADATA!$B$4,DATOS!D:D,A117,DATOS!I:I,B117),"—"),"")</f>
        <v>—</v>
      </c>
      <c r="I117" s="15" t="str">
        <f>IF(V117="Sí",IFERROR(COUNTIFS(DATOS!G:G,CONFIG_METADATA!$B$4,DATOS!D:D,A117,DATOS!I:I,B117,DATOS!L:L,"N")/COUNTIFS(DATOS!G:G,CONFIG_METADATA!$B$4,DATOS!D:D,A117,DATOS!I:I,B117),"—"),"")</f>
        <v>—</v>
      </c>
      <c r="J117" t="str" cm="1">
        <f t="array" ref="J117">IF(V117="Sí",IFERROR(_xlfn.MODE.SNGL(IF((nEVAL=CONFIG_METADATA!$B$4)*(nCURSO=A117)*(nASIG=B117)*(nAPTO="S"),nNOTA)),"—"),"")</f>
        <v>—</v>
      </c>
      <c r="K117" t="str" cm="1">
        <f t="array" ref="K117">IF(V117="Sí",IFERROR(_xlfn.MODE.SNGL(IF((nEVAL=CONFIG_METADATA!$B$4)*(nCURSO=A117)*(nASIG=B117)*(nAPTO="N"),nNOTA)),"—"),"")</f>
        <v>—</v>
      </c>
      <c r="L117">
        <f>IF(V117="Sí",COUNTIFS(DATOS!G:G,CONFIG_METADATA!$B$4,DATOS!D:D,A117,DATOS!I:I,B117,DATOS!K:K,1),"")</f>
        <v>0</v>
      </c>
      <c r="M117">
        <f>IF(V117="Sí",COUNTIFS(DATOS!G:G,CONFIG_METADATA!$B$4,DATOS!D:D,A117,DATOS!I:I,B117,DATOS!K:K,2),"")</f>
        <v>0</v>
      </c>
      <c r="N117">
        <f>IF(V117="Sí",COUNTIFS(DATOS!G:G,CONFIG_METADATA!$B$4,DATOS!D:D,A117,DATOS!I:I,B117,DATOS!K:K,3),"")</f>
        <v>0</v>
      </c>
      <c r="O117">
        <f>IF(V117="Sí",COUNTIFS(DATOS!G:G,CONFIG_METADATA!$B$4,DATOS!D:D,A117,DATOS!I:I,B117,DATOS!K:K,4),"")</f>
        <v>0</v>
      </c>
      <c r="P117">
        <f>IF(V117="Sí",COUNTIFS(DATOS!G:G,CONFIG_METADATA!$B$4,DATOS!D:D,A117,DATOS!I:I,B117,DATOS!K:K,5),"")</f>
        <v>0</v>
      </c>
      <c r="Q117">
        <f>IF(V117="Sí",COUNTIFS(DATOS!G:G,CONFIG_METADATA!$B$4,DATOS!D:D,A117,DATOS!I:I,B117,DATOS!K:K,6),"")</f>
        <v>0</v>
      </c>
      <c r="R117">
        <f>IF(V117="Sí",COUNTIFS(DATOS!G:G,CONFIG_METADATA!$B$4,DATOS!D:D,A117,DATOS!I:I,B117,DATOS!K:K,7),"")</f>
        <v>0</v>
      </c>
      <c r="S117">
        <f>IF(V117="Sí",COUNTIFS(DATOS!G:G,CONFIG_METADATA!$B$4,DATOS!D:D,A117,DATOS!I:I,B117,DATOS!K:K,8),"")</f>
        <v>0</v>
      </c>
      <c r="T117">
        <f>IF(V117="Sí",COUNTIFS(DATOS!G:G,CONFIG_METADATA!$B$4,DATOS!D:D,A117,DATOS!I:I,B117,DATOS!K:K,9),"")</f>
        <v>0</v>
      </c>
      <c r="U117">
        <f>IF(V117="Sí",COUNTIFS(DATOS!G:G,CONFIG_METADATA!$B$4,DATOS!D:D,A117,DATOS!I:I,B117,DATOS!K:K,10),"")</f>
        <v>0</v>
      </c>
      <c r="V117" t="str">
        <f>IFERROR(IF(ISERROR(FIND(A117,VLOOKUP(B117,CONFIG_ASIGNATURAS!B:C,2,FALSE()))),"No","Sí"),"No")</f>
        <v>Sí</v>
      </c>
    </row>
    <row r="118" spans="1:22">
      <c r="A118" s="3" t="inlineStr">
        <is>
          <t xml:space="preserve">1EEM</t>
        </is>
      </c>
      <c r="B118" s="3" cm="1">
        <f t="array" ref="B118">IFERROR(INDEX(_xlfn._xlws.FILTER(CONFIG_ASIGNATURAS!$B$2:$B$61,(CONFIG_ASIGNATURAS!$G$2:$G$61="Sí")*ISNUMBER(SEARCH("1EEM",CONFIG_ASIGNATURAS!$C$2:$C$61))),51),"")</f>
      </c>
      <c r="C118" s="3">
        <f>IF(B118="","",IFERROR(IF(VLOOKUP(B118,CONFIG_ASIGNATURAS!$B$2:$F$61,5,FALSE())="Sí","Especialidad","Asignatura"),"Asignatura"))</f>
      </c>
      <c r="D118">
        <f>IF(V118="Sí",COUNTIFS(DATOS!G:G,CONFIG_METADATA!$B$4,DATOS!D:D,A118,DATOS!I:I,B118),"")</f>
        <v>0</v>
      </c>
      <c r="E118" s="14" t="str">
        <f>IF(V118="Sí",IFERROR(AVERAGEIFS(DATOS!K:K,DATOS!G:G,CONFIG_METADATA!$B$4,DATOS!D:D,A118,DATOS!I:I,B118),"—"),"")</f>
        <v>—</v>
      </c>
      <c r="F118" s="14" t="str" cm="1">
        <f t="array" ref="F118">IF(V118="Sí",IFERROR(_xlfn.STDEV.P(IF((nEVAL=CONFIG_METADATA!$B$4)*(nCURSO=A118)*(nASIG=B118),nNOTA)),"—"),"")</f>
        <v>—</v>
      </c>
      <c r="G118" t="str" cm="1">
        <f t="array" ref="G118">IF(V118="Sí",IFERROR(_xlfn.MODE.SNGL(IF((nEVAL=CONFIG_METADATA!$B$4)*(nCURSO=A118)*(nASIG=B118),nNOTA)),"—"),"")</f>
        <v>—</v>
      </c>
      <c r="H118" s="15" t="str">
        <f>IF(V118="Sí",IFERROR(COUNTIFS(DATOS!G:G,CONFIG_METADATA!$B$4,DATOS!D:D,A118,DATOS!I:I,B118,DATOS!L:L,"S")/COUNTIFS(DATOS!G:G,CONFIG_METADATA!$B$4,DATOS!D:D,A118,DATOS!I:I,B118),"—"),"")</f>
        <v>—</v>
      </c>
      <c r="I118" s="15" t="str">
        <f>IF(V118="Sí",IFERROR(COUNTIFS(DATOS!G:G,CONFIG_METADATA!$B$4,DATOS!D:D,A118,DATOS!I:I,B118,DATOS!L:L,"N")/COUNTIFS(DATOS!G:G,CONFIG_METADATA!$B$4,DATOS!D:D,A118,DATOS!I:I,B118),"—"),"")</f>
        <v>—</v>
      </c>
      <c r="J118" t="str" cm="1">
        <f t="array" ref="J118">IF(V118="Sí",IFERROR(_xlfn.MODE.SNGL(IF((nEVAL=CONFIG_METADATA!$B$4)*(nCURSO=A118)*(nASIG=B118)*(nAPTO="S"),nNOTA)),"—"),"")</f>
        <v>—</v>
      </c>
      <c r="K118" t="str" cm="1">
        <f t="array" ref="K118">IF(V118="Sí",IFERROR(_xlfn.MODE.SNGL(IF((nEVAL=CONFIG_METADATA!$B$4)*(nCURSO=A118)*(nASIG=B118)*(nAPTO="N"),nNOTA)),"—"),"")</f>
        <v>—</v>
      </c>
      <c r="L118">
        <f>IF(V118="Sí",COUNTIFS(DATOS!G:G,CONFIG_METADATA!$B$4,DATOS!D:D,A118,DATOS!I:I,B118,DATOS!K:K,1),"")</f>
        <v>0</v>
      </c>
      <c r="M118">
        <f>IF(V118="Sí",COUNTIFS(DATOS!G:G,CONFIG_METADATA!$B$4,DATOS!D:D,A118,DATOS!I:I,B118,DATOS!K:K,2),"")</f>
        <v>0</v>
      </c>
      <c r="N118">
        <f>IF(V118="Sí",COUNTIFS(DATOS!G:G,CONFIG_METADATA!$B$4,DATOS!D:D,A118,DATOS!I:I,B118,DATOS!K:K,3),"")</f>
        <v>0</v>
      </c>
      <c r="O118">
        <f>IF(V118="Sí",COUNTIFS(DATOS!G:G,CONFIG_METADATA!$B$4,DATOS!D:D,A118,DATOS!I:I,B118,DATOS!K:K,4),"")</f>
        <v>0</v>
      </c>
      <c r="P118">
        <f>IF(V118="Sí",COUNTIFS(DATOS!G:G,CONFIG_METADATA!$B$4,DATOS!D:D,A118,DATOS!I:I,B118,DATOS!K:K,5),"")</f>
        <v>0</v>
      </c>
      <c r="Q118">
        <f>IF(V118="Sí",COUNTIFS(DATOS!G:G,CONFIG_METADATA!$B$4,DATOS!D:D,A118,DATOS!I:I,B118,DATOS!K:K,6),"")</f>
        <v>0</v>
      </c>
      <c r="R118">
        <f>IF(V118="Sí",COUNTIFS(DATOS!G:G,CONFIG_METADATA!$B$4,DATOS!D:D,A118,DATOS!I:I,B118,DATOS!K:K,7),"")</f>
        <v>0</v>
      </c>
      <c r="S118">
        <f>IF(V118="Sí",COUNTIFS(DATOS!G:G,CONFIG_METADATA!$B$4,DATOS!D:D,A118,DATOS!I:I,B118,DATOS!K:K,8),"")</f>
        <v>0</v>
      </c>
      <c r="T118">
        <f>IF(V118="Sí",COUNTIFS(DATOS!G:G,CONFIG_METADATA!$B$4,DATOS!D:D,A118,DATOS!I:I,B118,DATOS!K:K,9),"")</f>
        <v>0</v>
      </c>
      <c r="U118">
        <f>IF(V118="Sí",COUNTIFS(DATOS!G:G,CONFIG_METADATA!$B$4,DATOS!D:D,A118,DATOS!I:I,B118,DATOS!K:K,10),"")</f>
        <v>0</v>
      </c>
      <c r="V118" t="str">
        <f>IFERROR(IF(ISERROR(FIND(A118,VLOOKUP(B118,CONFIG_ASIGNATURAS!B:C,2,FALSE()))),"No","Sí"),"No")</f>
        <v>Sí</v>
      </c>
    </row>
    <row r="119" spans="1:22">
      <c r="A119" s="3" t="inlineStr">
        <is>
          <t xml:space="preserve">1EEM</t>
        </is>
      </c>
      <c r="B119" s="3" cm="1">
        <f t="array" ref="B119">IFERROR(INDEX(_xlfn._xlws.FILTER(CONFIG_ASIGNATURAS!$B$2:$B$61,(CONFIG_ASIGNATURAS!$G$2:$G$61="Sí")*ISNUMBER(SEARCH("1EEM",CONFIG_ASIGNATURAS!$C$2:$C$61))),52),"")</f>
      </c>
      <c r="C119" s="3">
        <f>IF(B119="","",IFERROR(IF(VLOOKUP(B119,CONFIG_ASIGNATURAS!$B$2:$F$61,5,FALSE())="Sí","Especialidad","Asignatura"),"Asignatura"))</f>
      </c>
      <c r="D119">
        <f>IF(V119="Sí",COUNTIFS(DATOS!G:G,CONFIG_METADATA!$B$4,DATOS!D:D,A119,DATOS!I:I,B119),"")</f>
        <v>0</v>
      </c>
      <c r="E119" s="14" t="str">
        <f>IF(V119="Sí",IFERROR(AVERAGEIFS(DATOS!K:K,DATOS!G:G,CONFIG_METADATA!$B$4,DATOS!D:D,A119,DATOS!I:I,B119),"—"),"")</f>
        <v>—</v>
      </c>
      <c r="F119" s="14" t="str" cm="1">
        <f t="array" ref="F119">IF(V119="Sí",IFERROR(_xlfn.STDEV.P(IF((nEVAL=CONFIG_METADATA!$B$4)*(nCURSO=A119)*(nASIG=B119),nNOTA)),"—"),"")</f>
        <v>—</v>
      </c>
      <c r="G119" t="str" cm="1">
        <f t="array" ref="G119">IF(V119="Sí",IFERROR(_xlfn.MODE.SNGL(IF((nEVAL=CONFIG_METADATA!$B$4)*(nCURSO=A119)*(nASIG=B119),nNOTA)),"—"),"")</f>
        <v>—</v>
      </c>
      <c r="H119" s="15" t="str">
        <f>IF(V119="Sí",IFERROR(COUNTIFS(DATOS!G:G,CONFIG_METADATA!$B$4,DATOS!D:D,A119,DATOS!I:I,B119,DATOS!L:L,"S")/COUNTIFS(DATOS!G:G,CONFIG_METADATA!$B$4,DATOS!D:D,A119,DATOS!I:I,B119),"—"),"")</f>
        <v>—</v>
      </c>
      <c r="I119" s="15" t="str">
        <f>IF(V119="Sí",IFERROR(COUNTIFS(DATOS!G:G,CONFIG_METADATA!$B$4,DATOS!D:D,A119,DATOS!I:I,B119,DATOS!L:L,"N")/COUNTIFS(DATOS!G:G,CONFIG_METADATA!$B$4,DATOS!D:D,A119,DATOS!I:I,B119),"—"),"")</f>
        <v>—</v>
      </c>
      <c r="J119" t="str" cm="1">
        <f t="array" ref="J119">IF(V119="Sí",IFERROR(_xlfn.MODE.SNGL(IF((nEVAL=CONFIG_METADATA!$B$4)*(nCURSO=A119)*(nASIG=B119)*(nAPTO="S"),nNOTA)),"—"),"")</f>
        <v>—</v>
      </c>
      <c r="K119" t="str" cm="1">
        <f t="array" ref="K119">IF(V119="Sí",IFERROR(_xlfn.MODE.SNGL(IF((nEVAL=CONFIG_METADATA!$B$4)*(nCURSO=A119)*(nASIG=B119)*(nAPTO="N"),nNOTA)),"—"),"")</f>
        <v>—</v>
      </c>
      <c r="L119">
        <f>IF(V119="Sí",COUNTIFS(DATOS!G:G,CONFIG_METADATA!$B$4,DATOS!D:D,A119,DATOS!I:I,B119,DATOS!K:K,1),"")</f>
        <v>0</v>
      </c>
      <c r="M119">
        <f>IF(V119="Sí",COUNTIFS(DATOS!G:G,CONFIG_METADATA!$B$4,DATOS!D:D,A119,DATOS!I:I,B119,DATOS!K:K,2),"")</f>
        <v>0</v>
      </c>
      <c r="N119">
        <f>IF(V119="Sí",COUNTIFS(DATOS!G:G,CONFIG_METADATA!$B$4,DATOS!D:D,A119,DATOS!I:I,B119,DATOS!K:K,3),"")</f>
        <v>0</v>
      </c>
      <c r="O119">
        <f>IF(V119="Sí",COUNTIFS(DATOS!G:G,CONFIG_METADATA!$B$4,DATOS!D:D,A119,DATOS!I:I,B119,DATOS!K:K,4),"")</f>
        <v>0</v>
      </c>
      <c r="P119">
        <f>IF(V119="Sí",COUNTIFS(DATOS!G:G,CONFIG_METADATA!$B$4,DATOS!D:D,A119,DATOS!I:I,B119,DATOS!K:K,5),"")</f>
        <v>0</v>
      </c>
      <c r="Q119">
        <f>IF(V119="Sí",COUNTIFS(DATOS!G:G,CONFIG_METADATA!$B$4,DATOS!D:D,A119,DATOS!I:I,B119,DATOS!K:K,6),"")</f>
        <v>0</v>
      </c>
      <c r="R119">
        <f>IF(V119="Sí",COUNTIFS(DATOS!G:G,CONFIG_METADATA!$B$4,DATOS!D:D,A119,DATOS!I:I,B119,DATOS!K:K,7),"")</f>
        <v>0</v>
      </c>
      <c r="S119">
        <f>IF(V119="Sí",COUNTIFS(DATOS!G:G,CONFIG_METADATA!$B$4,DATOS!D:D,A119,DATOS!I:I,B119,DATOS!K:K,8),"")</f>
        <v>0</v>
      </c>
      <c r="T119">
        <f>IF(V119="Sí",COUNTIFS(DATOS!G:G,CONFIG_METADATA!$B$4,DATOS!D:D,A119,DATOS!I:I,B119,DATOS!K:K,9),"")</f>
        <v>0</v>
      </c>
      <c r="U119">
        <f>IF(V119="Sí",COUNTIFS(DATOS!G:G,CONFIG_METADATA!$B$4,DATOS!D:D,A119,DATOS!I:I,B119,DATOS!K:K,10),"")</f>
        <v>0</v>
      </c>
      <c r="V119" t="str">
        <f>IFERROR(IF(ISERROR(FIND(A119,VLOOKUP(B119,CONFIG_ASIGNATURAS!B:C,2,FALSE()))),"No","Sí"),"No")</f>
        <v>Sí</v>
      </c>
    </row>
    <row r="120" spans="1:22">
      <c r="A120" s="3" t="inlineStr">
        <is>
          <t xml:space="preserve">1EEM</t>
        </is>
      </c>
      <c r="B120" s="3" cm="1">
        <f t="array" ref="B120">IFERROR(INDEX(_xlfn._xlws.FILTER(CONFIG_ASIGNATURAS!$B$2:$B$61,(CONFIG_ASIGNATURAS!$G$2:$G$61="Sí")*ISNUMBER(SEARCH("1EEM",CONFIG_ASIGNATURAS!$C$2:$C$61))),53),"")</f>
      </c>
      <c r="C120" s="3">
        <f>IF(B120="","",IFERROR(IF(VLOOKUP(B120,CONFIG_ASIGNATURAS!$B$2:$F$61,5,FALSE())="Sí","Especialidad","Asignatura"),"Asignatura"))</f>
      </c>
      <c r="D120">
        <f>IF(V120="Sí",COUNTIFS(DATOS!G:G,CONFIG_METADATA!$B$4,DATOS!D:D,A120,DATOS!I:I,B120),"")</f>
        <v>0</v>
      </c>
      <c r="E120" s="14" t="str">
        <f>IF(V120="Sí",IFERROR(AVERAGEIFS(DATOS!K:K,DATOS!G:G,CONFIG_METADATA!$B$4,DATOS!D:D,A120,DATOS!I:I,B120),"—"),"")</f>
        <v>—</v>
      </c>
      <c r="F120" s="14" t="str" cm="1">
        <f t="array" ref="F120">IF(V120="Sí",IFERROR(_xlfn.STDEV.P(IF((nEVAL=CONFIG_METADATA!$B$4)*(nCURSO=A120)*(nASIG=B120),nNOTA)),"—"),"")</f>
        <v>—</v>
      </c>
      <c r="G120" t="str" cm="1">
        <f t="array" ref="G120">IF(V120="Sí",IFERROR(_xlfn.MODE.SNGL(IF((nEVAL=CONFIG_METADATA!$B$4)*(nCURSO=A120)*(nASIG=B120),nNOTA)),"—"),"")</f>
        <v>—</v>
      </c>
      <c r="H120" s="15" t="str">
        <f>IF(V120="Sí",IFERROR(COUNTIFS(DATOS!G:G,CONFIG_METADATA!$B$4,DATOS!D:D,A120,DATOS!I:I,B120,DATOS!L:L,"S")/COUNTIFS(DATOS!G:G,CONFIG_METADATA!$B$4,DATOS!D:D,A120,DATOS!I:I,B120),"—"),"")</f>
        <v>—</v>
      </c>
      <c r="I120" s="15" t="str">
        <f>IF(V120="Sí",IFERROR(COUNTIFS(DATOS!G:G,CONFIG_METADATA!$B$4,DATOS!D:D,A120,DATOS!I:I,B120,DATOS!L:L,"N")/COUNTIFS(DATOS!G:G,CONFIG_METADATA!$B$4,DATOS!D:D,A120,DATOS!I:I,B120),"—"),"")</f>
        <v>—</v>
      </c>
      <c r="J120" t="str" cm="1">
        <f t="array" ref="J120">IF(V120="Sí",IFERROR(_xlfn.MODE.SNGL(IF((nEVAL=CONFIG_METADATA!$B$4)*(nCURSO=A120)*(nASIG=B120)*(nAPTO="S"),nNOTA)),"—"),"")</f>
        <v>—</v>
      </c>
      <c r="K120" t="str" cm="1">
        <f t="array" ref="K120">IF(V120="Sí",IFERROR(_xlfn.MODE.SNGL(IF((nEVAL=CONFIG_METADATA!$B$4)*(nCURSO=A120)*(nASIG=B120)*(nAPTO="N"),nNOTA)),"—"),"")</f>
        <v>—</v>
      </c>
      <c r="L120">
        <f>IF(V120="Sí",COUNTIFS(DATOS!G:G,CONFIG_METADATA!$B$4,DATOS!D:D,A120,DATOS!I:I,B120,DATOS!K:K,1),"")</f>
        <v>0</v>
      </c>
      <c r="M120">
        <f>IF(V120="Sí",COUNTIFS(DATOS!G:G,CONFIG_METADATA!$B$4,DATOS!D:D,A120,DATOS!I:I,B120,DATOS!K:K,2),"")</f>
        <v>0</v>
      </c>
      <c r="N120">
        <f>IF(V120="Sí",COUNTIFS(DATOS!G:G,CONFIG_METADATA!$B$4,DATOS!D:D,A120,DATOS!I:I,B120,DATOS!K:K,3),"")</f>
        <v>0</v>
      </c>
      <c r="O120">
        <f>IF(V120="Sí",COUNTIFS(DATOS!G:G,CONFIG_METADATA!$B$4,DATOS!D:D,A120,DATOS!I:I,B120,DATOS!K:K,4),"")</f>
        <v>0</v>
      </c>
      <c r="P120">
        <f>IF(V120="Sí",COUNTIFS(DATOS!G:G,CONFIG_METADATA!$B$4,DATOS!D:D,A120,DATOS!I:I,B120,DATOS!K:K,5),"")</f>
        <v>0</v>
      </c>
      <c r="Q120">
        <f>IF(V120="Sí",COUNTIFS(DATOS!G:G,CONFIG_METADATA!$B$4,DATOS!D:D,A120,DATOS!I:I,B120,DATOS!K:K,6),"")</f>
        <v>0</v>
      </c>
      <c r="R120">
        <f>IF(V120="Sí",COUNTIFS(DATOS!G:G,CONFIG_METADATA!$B$4,DATOS!D:D,A120,DATOS!I:I,B120,DATOS!K:K,7),"")</f>
        <v>0</v>
      </c>
      <c r="S120">
        <f>IF(V120="Sí",COUNTIFS(DATOS!G:G,CONFIG_METADATA!$B$4,DATOS!D:D,A120,DATOS!I:I,B120,DATOS!K:K,8),"")</f>
        <v>0</v>
      </c>
      <c r="T120">
        <f>IF(V120="Sí",COUNTIFS(DATOS!G:G,CONFIG_METADATA!$B$4,DATOS!D:D,A120,DATOS!I:I,B120,DATOS!K:K,9),"")</f>
        <v>0</v>
      </c>
      <c r="U120">
        <f>IF(V120="Sí",COUNTIFS(DATOS!G:G,CONFIG_METADATA!$B$4,DATOS!D:D,A120,DATOS!I:I,B120,DATOS!K:K,10),"")</f>
        <v>0</v>
      </c>
      <c r="V120" t="str">
        <f>IFERROR(IF(ISERROR(FIND(A120,VLOOKUP(B120,CONFIG_ASIGNATURAS!B:C,2,FALSE()))),"No","Sí"),"No")</f>
        <v>Sí</v>
      </c>
    </row>
    <row r="121" spans="1:22">
      <c r="A121" s="3" t="inlineStr">
        <is>
          <t xml:space="preserve">1EEM</t>
        </is>
      </c>
      <c r="B121" s="3" cm="1">
        <f t="array" ref="B121">IFERROR(INDEX(_xlfn._xlws.FILTER(CONFIG_ASIGNATURAS!$B$2:$B$61,(CONFIG_ASIGNATURAS!$G$2:$G$61="Sí")*ISNUMBER(SEARCH("1EEM",CONFIG_ASIGNATURAS!$C$2:$C$61))),54),"")</f>
      </c>
      <c r="C121" s="3">
        <f>IF(B121="","",IFERROR(IF(VLOOKUP(B121,CONFIG_ASIGNATURAS!$B$2:$F$61,5,FALSE())="Sí","Especialidad","Asignatura"),"Asignatura"))</f>
      </c>
      <c r="D121">
        <f>IF(V121="Sí",COUNTIFS(DATOS!G:G,CONFIG_METADATA!$B$4,DATOS!D:D,A121,DATOS!I:I,B121),"")</f>
        <v>0</v>
      </c>
      <c r="E121" s="14" t="str">
        <f>IF(V121="Sí",IFERROR(AVERAGEIFS(DATOS!K:K,DATOS!G:G,CONFIG_METADATA!$B$4,DATOS!D:D,A121,DATOS!I:I,B121),"—"),"")</f>
        <v>—</v>
      </c>
      <c r="F121" s="14" t="str" cm="1">
        <f t="array" ref="F121">IF(V121="Sí",IFERROR(_xlfn.STDEV.P(IF((nEVAL=CONFIG_METADATA!$B$4)*(nCURSO=A121)*(nASIG=B121),nNOTA)),"—"),"")</f>
        <v>—</v>
      </c>
      <c r="G121" t="str" cm="1">
        <f t="array" ref="G121">IF(V121="Sí",IFERROR(_xlfn.MODE.SNGL(IF((nEVAL=CONFIG_METADATA!$B$4)*(nCURSO=A121)*(nASIG=B121),nNOTA)),"—"),"")</f>
        <v>—</v>
      </c>
      <c r="H121" s="15" t="str">
        <f>IF(V121="Sí",IFERROR(COUNTIFS(DATOS!G:G,CONFIG_METADATA!$B$4,DATOS!D:D,A121,DATOS!I:I,B121,DATOS!L:L,"S")/COUNTIFS(DATOS!G:G,CONFIG_METADATA!$B$4,DATOS!D:D,A121,DATOS!I:I,B121),"—"),"")</f>
        <v>—</v>
      </c>
      <c r="I121" s="15" t="str">
        <f>IF(V121="Sí",IFERROR(COUNTIFS(DATOS!G:G,CONFIG_METADATA!$B$4,DATOS!D:D,A121,DATOS!I:I,B121,DATOS!L:L,"N")/COUNTIFS(DATOS!G:G,CONFIG_METADATA!$B$4,DATOS!D:D,A121,DATOS!I:I,B121),"—"),"")</f>
        <v>—</v>
      </c>
      <c r="J121" t="str" cm="1">
        <f t="array" ref="J121">IF(V121="Sí",IFERROR(_xlfn.MODE.SNGL(IF((nEVAL=CONFIG_METADATA!$B$4)*(nCURSO=A121)*(nASIG=B121)*(nAPTO="S"),nNOTA)),"—"),"")</f>
        <v>—</v>
      </c>
      <c r="K121" t="str" cm="1">
        <f t="array" ref="K121">IF(V121="Sí",IFERROR(_xlfn.MODE.SNGL(IF((nEVAL=CONFIG_METADATA!$B$4)*(nCURSO=A121)*(nASIG=B121)*(nAPTO="N"),nNOTA)),"—"),"")</f>
        <v>—</v>
      </c>
      <c r="L121">
        <f>IF(V121="Sí",COUNTIFS(DATOS!G:G,CONFIG_METADATA!$B$4,DATOS!D:D,A121,DATOS!I:I,B121,DATOS!K:K,1),"")</f>
        <v>0</v>
      </c>
      <c r="M121">
        <f>IF(V121="Sí",COUNTIFS(DATOS!G:G,CONFIG_METADATA!$B$4,DATOS!D:D,A121,DATOS!I:I,B121,DATOS!K:K,2),"")</f>
        <v>0</v>
      </c>
      <c r="N121">
        <f>IF(V121="Sí",COUNTIFS(DATOS!G:G,CONFIG_METADATA!$B$4,DATOS!D:D,A121,DATOS!I:I,B121,DATOS!K:K,3),"")</f>
        <v>0</v>
      </c>
      <c r="O121">
        <f>IF(V121="Sí",COUNTIFS(DATOS!G:G,CONFIG_METADATA!$B$4,DATOS!D:D,A121,DATOS!I:I,B121,DATOS!K:K,4),"")</f>
        <v>0</v>
      </c>
      <c r="P121">
        <f>IF(V121="Sí",COUNTIFS(DATOS!G:G,CONFIG_METADATA!$B$4,DATOS!D:D,A121,DATOS!I:I,B121,DATOS!K:K,5),"")</f>
        <v>0</v>
      </c>
      <c r="Q121">
        <f>IF(V121="Sí",COUNTIFS(DATOS!G:G,CONFIG_METADATA!$B$4,DATOS!D:D,A121,DATOS!I:I,B121,DATOS!K:K,6),"")</f>
        <v>0</v>
      </c>
      <c r="R121">
        <f>IF(V121="Sí",COUNTIFS(DATOS!G:G,CONFIG_METADATA!$B$4,DATOS!D:D,A121,DATOS!I:I,B121,DATOS!K:K,7),"")</f>
        <v>0</v>
      </c>
      <c r="S121">
        <f>IF(V121="Sí",COUNTIFS(DATOS!G:G,CONFIG_METADATA!$B$4,DATOS!D:D,A121,DATOS!I:I,B121,DATOS!K:K,8),"")</f>
        <v>0</v>
      </c>
      <c r="T121">
        <f>IF(V121="Sí",COUNTIFS(DATOS!G:G,CONFIG_METADATA!$B$4,DATOS!D:D,A121,DATOS!I:I,B121,DATOS!K:K,9),"")</f>
        <v>0</v>
      </c>
      <c r="U121">
        <f>IF(V121="Sí",COUNTIFS(DATOS!G:G,CONFIG_METADATA!$B$4,DATOS!D:D,A121,DATOS!I:I,B121,DATOS!K:K,10),"")</f>
        <v>0</v>
      </c>
      <c r="V121" t="str">
        <f>IFERROR(IF(ISERROR(FIND(A121,VLOOKUP(B121,CONFIG_ASIGNATURAS!B:C,2,FALSE()))),"No","Sí"),"No")</f>
        <v>Sí</v>
      </c>
    </row>
    <row r="122" spans="1:22">
      <c r="A122" s="3" t="inlineStr">
        <is>
          <t xml:space="preserve">1EEM</t>
        </is>
      </c>
      <c r="B122" s="3" cm="1">
        <f t="array" ref="B122">IFERROR(INDEX(_xlfn._xlws.FILTER(CONFIG_ASIGNATURAS!$B$2:$B$61,(CONFIG_ASIGNATURAS!$G$2:$G$61="Sí")*ISNUMBER(SEARCH("1EEM",CONFIG_ASIGNATURAS!$C$2:$C$61))),55),"")</f>
      </c>
      <c r="C122" s="3">
        <f>IF(B122="","",IFERROR(IF(VLOOKUP(B122,CONFIG_ASIGNATURAS!$B$2:$F$61,5,FALSE())="Sí","Especialidad","Asignatura"),"Asignatura"))</f>
      </c>
      <c r="D122">
        <f>IF(V122="Sí",COUNTIFS(DATOS!G:G,CONFIG_METADATA!$B$4,DATOS!D:D,A122,DATOS!I:I,B122),"")</f>
        <v>0</v>
      </c>
      <c r="E122" s="14" t="str">
        <f>IF(V122="Sí",IFERROR(AVERAGEIFS(DATOS!K:K,DATOS!G:G,CONFIG_METADATA!$B$4,DATOS!D:D,A122,DATOS!I:I,B122),"—"),"")</f>
        <v>—</v>
      </c>
      <c r="F122" s="14" t="str" cm="1">
        <f t="array" ref="F122">IF(V122="Sí",IFERROR(_xlfn.STDEV.P(IF((nEVAL=CONFIG_METADATA!$B$4)*(nCURSO=A122)*(nASIG=B122),nNOTA)),"—"),"")</f>
        <v>—</v>
      </c>
      <c r="G122" t="str" cm="1">
        <f t="array" ref="G122">IF(V122="Sí",IFERROR(_xlfn.MODE.SNGL(IF((nEVAL=CONFIG_METADATA!$B$4)*(nCURSO=A122)*(nASIG=B122),nNOTA)),"—"),"")</f>
        <v>—</v>
      </c>
      <c r="H122" s="15" t="str">
        <f>IF(V122="Sí",IFERROR(COUNTIFS(DATOS!G:G,CONFIG_METADATA!$B$4,DATOS!D:D,A122,DATOS!I:I,B122,DATOS!L:L,"S")/COUNTIFS(DATOS!G:G,CONFIG_METADATA!$B$4,DATOS!D:D,A122,DATOS!I:I,B122),"—"),"")</f>
        <v>—</v>
      </c>
      <c r="I122" s="15" t="str">
        <f>IF(V122="Sí",IFERROR(COUNTIFS(DATOS!G:G,CONFIG_METADATA!$B$4,DATOS!D:D,A122,DATOS!I:I,B122,DATOS!L:L,"N")/COUNTIFS(DATOS!G:G,CONFIG_METADATA!$B$4,DATOS!D:D,A122,DATOS!I:I,B122),"—"),"")</f>
        <v>—</v>
      </c>
      <c r="J122" t="str" cm="1">
        <f t="array" ref="J122">IF(V122="Sí",IFERROR(_xlfn.MODE.SNGL(IF((nEVAL=CONFIG_METADATA!$B$4)*(nCURSO=A122)*(nASIG=B122)*(nAPTO="S"),nNOTA)),"—"),"")</f>
        <v>—</v>
      </c>
      <c r="K122" t="str" cm="1">
        <f t="array" ref="K122">IF(V122="Sí",IFERROR(_xlfn.MODE.SNGL(IF((nEVAL=CONFIG_METADATA!$B$4)*(nCURSO=A122)*(nASIG=B122)*(nAPTO="N"),nNOTA)),"—"),"")</f>
        <v>—</v>
      </c>
      <c r="L122">
        <f>IF(V122="Sí",COUNTIFS(DATOS!G:G,CONFIG_METADATA!$B$4,DATOS!D:D,A122,DATOS!I:I,B122,DATOS!K:K,1),"")</f>
        <v>0</v>
      </c>
      <c r="M122">
        <f>IF(V122="Sí",COUNTIFS(DATOS!G:G,CONFIG_METADATA!$B$4,DATOS!D:D,A122,DATOS!I:I,B122,DATOS!K:K,2),"")</f>
        <v>0</v>
      </c>
      <c r="N122">
        <f>IF(V122="Sí",COUNTIFS(DATOS!G:G,CONFIG_METADATA!$B$4,DATOS!D:D,A122,DATOS!I:I,B122,DATOS!K:K,3),"")</f>
        <v>0</v>
      </c>
      <c r="O122">
        <f>IF(V122="Sí",COUNTIFS(DATOS!G:G,CONFIG_METADATA!$B$4,DATOS!D:D,A122,DATOS!I:I,B122,DATOS!K:K,4),"")</f>
        <v>0</v>
      </c>
      <c r="P122">
        <f>IF(V122="Sí",COUNTIFS(DATOS!G:G,CONFIG_METADATA!$B$4,DATOS!D:D,A122,DATOS!I:I,B122,DATOS!K:K,5),"")</f>
        <v>0</v>
      </c>
      <c r="Q122">
        <f>IF(V122="Sí",COUNTIFS(DATOS!G:G,CONFIG_METADATA!$B$4,DATOS!D:D,A122,DATOS!I:I,B122,DATOS!K:K,6),"")</f>
        <v>0</v>
      </c>
      <c r="R122">
        <f>IF(V122="Sí",COUNTIFS(DATOS!G:G,CONFIG_METADATA!$B$4,DATOS!D:D,A122,DATOS!I:I,B122,DATOS!K:K,7),"")</f>
        <v>0</v>
      </c>
      <c r="S122">
        <f>IF(V122="Sí",COUNTIFS(DATOS!G:G,CONFIG_METADATA!$B$4,DATOS!D:D,A122,DATOS!I:I,B122,DATOS!K:K,8),"")</f>
        <v>0</v>
      </c>
      <c r="T122">
        <f>IF(V122="Sí",COUNTIFS(DATOS!G:G,CONFIG_METADATA!$B$4,DATOS!D:D,A122,DATOS!I:I,B122,DATOS!K:K,9),"")</f>
        <v>0</v>
      </c>
      <c r="U122">
        <f>IF(V122="Sí",COUNTIFS(DATOS!G:G,CONFIG_METADATA!$B$4,DATOS!D:D,A122,DATOS!I:I,B122,DATOS!K:K,10),"")</f>
        <v>0</v>
      </c>
      <c r="V122" t="str">
        <f>IFERROR(IF(ISERROR(FIND(A122,VLOOKUP(B122,CONFIG_ASIGNATURAS!B:C,2,FALSE()))),"No","Sí"),"No")</f>
        <v>Sí</v>
      </c>
    </row>
    <row r="123" spans="1:22">
      <c r="A123" s="3" t="inlineStr">
        <is>
          <t xml:space="preserve">1EEM</t>
        </is>
      </c>
      <c r="B123" s="3" cm="1">
        <f t="array" ref="B123">IFERROR(INDEX(_xlfn._xlws.FILTER(CONFIG_ASIGNATURAS!$B$2:$B$61,(CONFIG_ASIGNATURAS!$G$2:$G$61="Sí")*ISNUMBER(SEARCH("1EEM",CONFIG_ASIGNATURAS!$C$2:$C$61))),56),"")</f>
      </c>
      <c r="C123" s="3">
        <f>IF(B123="","",IFERROR(IF(VLOOKUP(B123,CONFIG_ASIGNATURAS!$B$2:$F$61,5,FALSE())="Sí","Especialidad","Asignatura"),"Asignatura"))</f>
      </c>
      <c r="D123">
        <f>IF(V123="Sí",COUNTIFS(DATOS!G:G,CONFIG_METADATA!$B$4,DATOS!D:D,A123,DATOS!I:I,B123),"")</f>
        <v>0</v>
      </c>
      <c r="E123" s="14" t="str">
        <f>IF(V123="Sí",IFERROR(AVERAGEIFS(DATOS!K:K,DATOS!G:G,CONFIG_METADATA!$B$4,DATOS!D:D,A123,DATOS!I:I,B123),"—"),"")</f>
        <v>—</v>
      </c>
      <c r="F123" s="14" t="str" cm="1">
        <f t="array" ref="F123">IF(V123="Sí",IFERROR(_xlfn.STDEV.P(IF((nEVAL=CONFIG_METADATA!$B$4)*(nCURSO=A123)*(nASIG=B123),nNOTA)),"—"),"")</f>
        <v>—</v>
      </c>
      <c r="G123" t="str" cm="1">
        <f t="array" ref="G123">IF(V123="Sí",IFERROR(_xlfn.MODE.SNGL(IF((nEVAL=CONFIG_METADATA!$B$4)*(nCURSO=A123)*(nASIG=B123),nNOTA)),"—"),"")</f>
        <v>—</v>
      </c>
      <c r="H123" s="15" t="str">
        <f>IF(V123="Sí",IFERROR(COUNTIFS(DATOS!G:G,CONFIG_METADATA!$B$4,DATOS!D:D,A123,DATOS!I:I,B123,DATOS!L:L,"S")/COUNTIFS(DATOS!G:G,CONFIG_METADATA!$B$4,DATOS!D:D,A123,DATOS!I:I,B123),"—"),"")</f>
        <v>—</v>
      </c>
      <c r="I123" s="15" t="str">
        <f>IF(V123="Sí",IFERROR(COUNTIFS(DATOS!G:G,CONFIG_METADATA!$B$4,DATOS!D:D,A123,DATOS!I:I,B123,DATOS!L:L,"N")/COUNTIFS(DATOS!G:G,CONFIG_METADATA!$B$4,DATOS!D:D,A123,DATOS!I:I,B123),"—"),"")</f>
        <v>—</v>
      </c>
      <c r="J123" t="str" cm="1">
        <f t="array" ref="J123">IF(V123="Sí",IFERROR(_xlfn.MODE.SNGL(IF((nEVAL=CONFIG_METADATA!$B$4)*(nCURSO=A123)*(nASIG=B123)*(nAPTO="S"),nNOTA)),"—"),"")</f>
        <v>—</v>
      </c>
      <c r="K123" t="str" cm="1">
        <f t="array" ref="K123">IF(V123="Sí",IFERROR(_xlfn.MODE.SNGL(IF((nEVAL=CONFIG_METADATA!$B$4)*(nCURSO=A123)*(nASIG=B123)*(nAPTO="N"),nNOTA)),"—"),"")</f>
        <v>—</v>
      </c>
      <c r="L123">
        <f>IF(V123="Sí",COUNTIFS(DATOS!G:G,CONFIG_METADATA!$B$4,DATOS!D:D,A123,DATOS!I:I,B123,DATOS!K:K,1),"")</f>
        <v>0</v>
      </c>
      <c r="M123">
        <f>IF(V123="Sí",COUNTIFS(DATOS!G:G,CONFIG_METADATA!$B$4,DATOS!D:D,A123,DATOS!I:I,B123,DATOS!K:K,2),"")</f>
        <v>0</v>
      </c>
      <c r="N123">
        <f>IF(V123="Sí",COUNTIFS(DATOS!G:G,CONFIG_METADATA!$B$4,DATOS!D:D,A123,DATOS!I:I,B123,DATOS!K:K,3),"")</f>
        <v>0</v>
      </c>
      <c r="O123">
        <f>IF(V123="Sí",COUNTIFS(DATOS!G:G,CONFIG_METADATA!$B$4,DATOS!D:D,A123,DATOS!I:I,B123,DATOS!K:K,4),"")</f>
        <v>0</v>
      </c>
      <c r="P123">
        <f>IF(V123="Sí",COUNTIFS(DATOS!G:G,CONFIG_METADATA!$B$4,DATOS!D:D,A123,DATOS!I:I,B123,DATOS!K:K,5),"")</f>
        <v>0</v>
      </c>
      <c r="Q123">
        <f>IF(V123="Sí",COUNTIFS(DATOS!G:G,CONFIG_METADATA!$B$4,DATOS!D:D,A123,DATOS!I:I,B123,DATOS!K:K,6),"")</f>
        <v>0</v>
      </c>
      <c r="R123">
        <f>IF(V123="Sí",COUNTIFS(DATOS!G:G,CONFIG_METADATA!$B$4,DATOS!D:D,A123,DATOS!I:I,B123,DATOS!K:K,7),"")</f>
        <v>0</v>
      </c>
      <c r="S123">
        <f>IF(V123="Sí",COUNTIFS(DATOS!G:G,CONFIG_METADATA!$B$4,DATOS!D:D,A123,DATOS!I:I,B123,DATOS!K:K,8),"")</f>
        <v>0</v>
      </c>
      <c r="T123">
        <f>IF(V123="Sí",COUNTIFS(DATOS!G:G,CONFIG_METADATA!$B$4,DATOS!D:D,A123,DATOS!I:I,B123,DATOS!K:K,9),"")</f>
        <v>0</v>
      </c>
      <c r="U123">
        <f>IF(V123="Sí",COUNTIFS(DATOS!G:G,CONFIG_METADATA!$B$4,DATOS!D:D,A123,DATOS!I:I,B123,DATOS!K:K,10),"")</f>
        <v>0</v>
      </c>
      <c r="V123" t="str">
        <f>IFERROR(IF(ISERROR(FIND(A123,VLOOKUP(B123,CONFIG_ASIGNATURAS!B:C,2,FALSE()))),"No","Sí"),"No")</f>
        <v>Sí</v>
      </c>
    </row>
    <row r="124" spans="1:22">
      <c r="A124" s="3" t="inlineStr">
        <is>
          <t xml:space="preserve">1EEM</t>
        </is>
      </c>
      <c r="B124" s="3" cm="1">
        <f t="array" ref="B124">IFERROR(INDEX(_xlfn._xlws.FILTER(CONFIG_ASIGNATURAS!$B$2:$B$61,(CONFIG_ASIGNATURAS!$G$2:$G$61="Sí")*ISNUMBER(SEARCH("1EEM",CONFIG_ASIGNATURAS!$C$2:$C$61))),57),"")</f>
      </c>
      <c r="C124" s="3">
        <f>IF(B124="","",IFERROR(IF(VLOOKUP(B124,CONFIG_ASIGNATURAS!$B$2:$F$61,5,FALSE())="Sí","Especialidad","Asignatura"),"Asignatura"))</f>
      </c>
      <c r="D124">
        <f>IF(V124="Sí",COUNTIFS(DATOS!G:G,CONFIG_METADATA!$B$4,DATOS!D:D,A124,DATOS!I:I,B124),"")</f>
        <v>0</v>
      </c>
      <c r="E124" s="14" t="str">
        <f>IF(V124="Sí",IFERROR(AVERAGEIFS(DATOS!K:K,DATOS!G:G,CONFIG_METADATA!$B$4,DATOS!D:D,A124,DATOS!I:I,B124),"—"),"")</f>
        <v>—</v>
      </c>
      <c r="F124" s="14" t="str" cm="1">
        <f t="array" ref="F124">IF(V124="Sí",IFERROR(_xlfn.STDEV.P(IF((nEVAL=CONFIG_METADATA!$B$4)*(nCURSO=A124)*(nASIG=B124),nNOTA)),"—"),"")</f>
        <v>—</v>
      </c>
      <c r="G124" t="str" cm="1">
        <f t="array" ref="G124">IF(V124="Sí",IFERROR(_xlfn.MODE.SNGL(IF((nEVAL=CONFIG_METADATA!$B$4)*(nCURSO=A124)*(nASIG=B124),nNOTA)),"—"),"")</f>
        <v>—</v>
      </c>
      <c r="H124" s="15" t="str">
        <f>IF(V124="Sí",IFERROR(COUNTIFS(DATOS!G:G,CONFIG_METADATA!$B$4,DATOS!D:D,A124,DATOS!I:I,B124,DATOS!L:L,"S")/COUNTIFS(DATOS!G:G,CONFIG_METADATA!$B$4,DATOS!D:D,A124,DATOS!I:I,B124),"—"),"")</f>
        <v>—</v>
      </c>
      <c r="I124" s="15" t="str">
        <f>IF(V124="Sí",IFERROR(COUNTIFS(DATOS!G:G,CONFIG_METADATA!$B$4,DATOS!D:D,A124,DATOS!I:I,B124,DATOS!L:L,"N")/COUNTIFS(DATOS!G:G,CONFIG_METADATA!$B$4,DATOS!D:D,A124,DATOS!I:I,B124),"—"),"")</f>
        <v>—</v>
      </c>
      <c r="J124" t="str" cm="1">
        <f t="array" ref="J124">IF(V124="Sí",IFERROR(_xlfn.MODE.SNGL(IF((nEVAL=CONFIG_METADATA!$B$4)*(nCURSO=A124)*(nASIG=B124)*(nAPTO="S"),nNOTA)),"—"),"")</f>
        <v>—</v>
      </c>
      <c r="K124" t="str" cm="1">
        <f t="array" ref="K124">IF(V124="Sí",IFERROR(_xlfn.MODE.SNGL(IF((nEVAL=CONFIG_METADATA!$B$4)*(nCURSO=A124)*(nASIG=B124)*(nAPTO="N"),nNOTA)),"—"),"")</f>
        <v>—</v>
      </c>
      <c r="L124">
        <f>IF(V124="Sí",COUNTIFS(DATOS!G:G,CONFIG_METADATA!$B$4,DATOS!D:D,A124,DATOS!I:I,B124,DATOS!K:K,1),"")</f>
        <v>0</v>
      </c>
      <c r="M124">
        <f>IF(V124="Sí",COUNTIFS(DATOS!G:G,CONFIG_METADATA!$B$4,DATOS!D:D,A124,DATOS!I:I,B124,DATOS!K:K,2),"")</f>
        <v>0</v>
      </c>
      <c r="N124">
        <f>IF(V124="Sí",COUNTIFS(DATOS!G:G,CONFIG_METADATA!$B$4,DATOS!D:D,A124,DATOS!I:I,B124,DATOS!K:K,3),"")</f>
        <v>0</v>
      </c>
      <c r="O124">
        <f>IF(V124="Sí",COUNTIFS(DATOS!G:G,CONFIG_METADATA!$B$4,DATOS!D:D,A124,DATOS!I:I,B124,DATOS!K:K,4),"")</f>
        <v>0</v>
      </c>
      <c r="P124">
        <f>IF(V124="Sí",COUNTIFS(DATOS!G:G,CONFIG_METADATA!$B$4,DATOS!D:D,A124,DATOS!I:I,B124,DATOS!K:K,5),"")</f>
        <v>0</v>
      </c>
      <c r="Q124">
        <f>IF(V124="Sí",COUNTIFS(DATOS!G:G,CONFIG_METADATA!$B$4,DATOS!D:D,A124,DATOS!I:I,B124,DATOS!K:K,6),"")</f>
        <v>0</v>
      </c>
      <c r="R124">
        <f>IF(V124="Sí",COUNTIFS(DATOS!G:G,CONFIG_METADATA!$B$4,DATOS!D:D,A124,DATOS!I:I,B124,DATOS!K:K,7),"")</f>
        <v>0</v>
      </c>
      <c r="S124">
        <f>IF(V124="Sí",COUNTIFS(DATOS!G:G,CONFIG_METADATA!$B$4,DATOS!D:D,A124,DATOS!I:I,B124,DATOS!K:K,8),"")</f>
        <v>0</v>
      </c>
      <c r="T124">
        <f>IF(V124="Sí",COUNTIFS(DATOS!G:G,CONFIG_METADATA!$B$4,DATOS!D:D,A124,DATOS!I:I,B124,DATOS!K:K,9),"")</f>
        <v>0</v>
      </c>
      <c r="U124">
        <f>IF(V124="Sí",COUNTIFS(DATOS!G:G,CONFIG_METADATA!$B$4,DATOS!D:D,A124,DATOS!I:I,B124,DATOS!K:K,10),"")</f>
        <v>0</v>
      </c>
      <c r="V124" t="str">
        <f>IFERROR(IF(ISERROR(FIND(A124,VLOOKUP(B124,CONFIG_ASIGNATURAS!B:C,2,FALSE()))),"No","Sí"),"No")</f>
        <v>Sí</v>
      </c>
    </row>
    <row r="125" spans="1:22">
      <c r="A125" s="3" t="inlineStr">
        <is>
          <t xml:space="preserve">1EEM</t>
        </is>
      </c>
      <c r="B125" s="3" cm="1">
        <f t="array" ref="B125">IFERROR(INDEX(_xlfn._xlws.FILTER(CONFIG_ASIGNATURAS!$B$2:$B$61,(CONFIG_ASIGNATURAS!$G$2:$G$61="Sí")*ISNUMBER(SEARCH("1EEM",CONFIG_ASIGNATURAS!$C$2:$C$61))),58),"")</f>
      </c>
      <c r="C125" s="3">
        <f>IF(B125="","",IFERROR(IF(VLOOKUP(B125,CONFIG_ASIGNATURAS!$B$2:$F$61,5,FALSE())="Sí","Especialidad","Asignatura"),"Asignatura"))</f>
      </c>
      <c r="D125">
        <f>IF(V125="Sí",COUNTIFS(DATOS!G:G,CONFIG_METADATA!$B$4,DATOS!D:D,A125,DATOS!I:I,B125),"")</f>
        <v>0</v>
      </c>
      <c r="E125" s="14" t="str">
        <f>IF(V125="Sí",IFERROR(AVERAGEIFS(DATOS!K:K,DATOS!G:G,CONFIG_METADATA!$B$4,DATOS!D:D,A125,DATOS!I:I,B125),"—"),"")</f>
        <v>—</v>
      </c>
      <c r="F125" s="14" t="str" cm="1">
        <f t="array" ref="F125">IF(V125="Sí",IFERROR(_xlfn.STDEV.P(IF((nEVAL=CONFIG_METADATA!$B$4)*(nCURSO=A125)*(nASIG=B125),nNOTA)),"—"),"")</f>
        <v>—</v>
      </c>
      <c r="G125" t="str" cm="1">
        <f t="array" ref="G125">IF(V125="Sí",IFERROR(_xlfn.MODE.SNGL(IF((nEVAL=CONFIG_METADATA!$B$4)*(nCURSO=A125)*(nASIG=B125),nNOTA)),"—"),"")</f>
        <v>—</v>
      </c>
      <c r="H125" s="15" t="str">
        <f>IF(V125="Sí",IFERROR(COUNTIFS(DATOS!G:G,CONFIG_METADATA!$B$4,DATOS!D:D,A125,DATOS!I:I,B125,DATOS!L:L,"S")/COUNTIFS(DATOS!G:G,CONFIG_METADATA!$B$4,DATOS!D:D,A125,DATOS!I:I,B125),"—"),"")</f>
        <v>—</v>
      </c>
      <c r="I125" s="15" t="str">
        <f>IF(V125="Sí",IFERROR(COUNTIFS(DATOS!G:G,CONFIG_METADATA!$B$4,DATOS!D:D,A125,DATOS!I:I,B125,DATOS!L:L,"N")/COUNTIFS(DATOS!G:G,CONFIG_METADATA!$B$4,DATOS!D:D,A125,DATOS!I:I,B125),"—"),"")</f>
        <v>—</v>
      </c>
      <c r="J125" t="str" cm="1">
        <f t="array" ref="J125">IF(V125="Sí",IFERROR(_xlfn.MODE.SNGL(IF((nEVAL=CONFIG_METADATA!$B$4)*(nCURSO=A125)*(nASIG=B125)*(nAPTO="S"),nNOTA)),"—"),"")</f>
        <v>—</v>
      </c>
      <c r="K125" t="str" cm="1">
        <f t="array" ref="K125">IF(V125="Sí",IFERROR(_xlfn.MODE.SNGL(IF((nEVAL=CONFIG_METADATA!$B$4)*(nCURSO=A125)*(nASIG=B125)*(nAPTO="N"),nNOTA)),"—"),"")</f>
        <v>—</v>
      </c>
      <c r="L125">
        <f>IF(V125="Sí",COUNTIFS(DATOS!G:G,CONFIG_METADATA!$B$4,DATOS!D:D,A125,DATOS!I:I,B125,DATOS!K:K,1),"")</f>
        <v>0</v>
      </c>
      <c r="M125">
        <f>IF(V125="Sí",COUNTIFS(DATOS!G:G,CONFIG_METADATA!$B$4,DATOS!D:D,A125,DATOS!I:I,B125,DATOS!K:K,2),"")</f>
        <v>0</v>
      </c>
      <c r="N125">
        <f>IF(V125="Sí",COUNTIFS(DATOS!G:G,CONFIG_METADATA!$B$4,DATOS!D:D,A125,DATOS!I:I,B125,DATOS!K:K,3),"")</f>
        <v>0</v>
      </c>
      <c r="O125">
        <f>IF(V125="Sí",COUNTIFS(DATOS!G:G,CONFIG_METADATA!$B$4,DATOS!D:D,A125,DATOS!I:I,B125,DATOS!K:K,4),"")</f>
        <v>0</v>
      </c>
      <c r="P125">
        <f>IF(V125="Sí",COUNTIFS(DATOS!G:G,CONFIG_METADATA!$B$4,DATOS!D:D,A125,DATOS!I:I,B125,DATOS!K:K,5),"")</f>
        <v>0</v>
      </c>
      <c r="Q125">
        <f>IF(V125="Sí",COUNTIFS(DATOS!G:G,CONFIG_METADATA!$B$4,DATOS!D:D,A125,DATOS!I:I,B125,DATOS!K:K,6),"")</f>
        <v>0</v>
      </c>
      <c r="R125">
        <f>IF(V125="Sí",COUNTIFS(DATOS!G:G,CONFIG_METADATA!$B$4,DATOS!D:D,A125,DATOS!I:I,B125,DATOS!K:K,7),"")</f>
        <v>0</v>
      </c>
      <c r="S125">
        <f>IF(V125="Sí",COUNTIFS(DATOS!G:G,CONFIG_METADATA!$B$4,DATOS!D:D,A125,DATOS!I:I,B125,DATOS!K:K,8),"")</f>
        <v>0</v>
      </c>
      <c r="T125">
        <f>IF(V125="Sí",COUNTIFS(DATOS!G:G,CONFIG_METADATA!$B$4,DATOS!D:D,A125,DATOS!I:I,B125,DATOS!K:K,9),"")</f>
        <v>0</v>
      </c>
      <c r="U125">
        <f>IF(V125="Sí",COUNTIFS(DATOS!G:G,CONFIG_METADATA!$B$4,DATOS!D:D,A125,DATOS!I:I,B125,DATOS!K:K,10),"")</f>
        <v>0</v>
      </c>
      <c r="V125" t="str">
        <f>IFERROR(IF(ISERROR(FIND(A125,VLOOKUP(B125,CONFIG_ASIGNATURAS!B:C,2,FALSE()))),"No","Sí"),"No")</f>
        <v>Sí</v>
      </c>
    </row>
    <row r="126" spans="1:22">
      <c r="A126" s="3" t="inlineStr">
        <is>
          <t xml:space="preserve">1EEM</t>
        </is>
      </c>
      <c r="B126" s="3" cm="1">
        <f t="array" ref="B126">IFERROR(INDEX(_xlfn._xlws.FILTER(CONFIG_ASIGNATURAS!$B$2:$B$61,(CONFIG_ASIGNATURAS!$G$2:$G$61="Sí")*ISNUMBER(SEARCH("1EEM",CONFIG_ASIGNATURAS!$C$2:$C$61))),59),"")</f>
      </c>
      <c r="C126" s="3">
        <f>IF(B126="","",IFERROR(IF(VLOOKUP(B126,CONFIG_ASIGNATURAS!$B$2:$F$61,5,FALSE())="Sí","Especialidad","Asignatura"),"Asignatura"))</f>
      </c>
      <c r="D126">
        <f>IF(V126="Sí",COUNTIFS(DATOS!G:G,CONFIG_METADATA!$B$4,DATOS!D:D,A126,DATOS!I:I,B126),"")</f>
        <v>0</v>
      </c>
      <c r="E126" s="14" t="str">
        <f>IF(V126="Sí",IFERROR(AVERAGEIFS(DATOS!K:K,DATOS!G:G,CONFIG_METADATA!$B$4,DATOS!D:D,A126,DATOS!I:I,B126),"—"),"")</f>
        <v>—</v>
      </c>
      <c r="F126" s="14" t="str" cm="1">
        <f t="array" ref="F126">IF(V126="Sí",IFERROR(_xlfn.STDEV.P(IF((nEVAL=CONFIG_METADATA!$B$4)*(nCURSO=A126)*(nASIG=B126),nNOTA)),"—"),"")</f>
        <v>—</v>
      </c>
      <c r="G126" t="str" cm="1">
        <f t="array" ref="G126">IF(V126="Sí",IFERROR(_xlfn.MODE.SNGL(IF((nEVAL=CONFIG_METADATA!$B$4)*(nCURSO=A126)*(nASIG=B126),nNOTA)),"—"),"")</f>
        <v>—</v>
      </c>
      <c r="H126" s="15" t="str">
        <f>IF(V126="Sí",IFERROR(COUNTIFS(DATOS!G:G,CONFIG_METADATA!$B$4,DATOS!D:D,A126,DATOS!I:I,B126,DATOS!L:L,"S")/COUNTIFS(DATOS!G:G,CONFIG_METADATA!$B$4,DATOS!D:D,A126,DATOS!I:I,B126),"—"),"")</f>
        <v>—</v>
      </c>
      <c r="I126" s="15" t="str">
        <f>IF(V126="Sí",IFERROR(COUNTIFS(DATOS!G:G,CONFIG_METADATA!$B$4,DATOS!D:D,A126,DATOS!I:I,B126,DATOS!L:L,"N")/COUNTIFS(DATOS!G:G,CONFIG_METADATA!$B$4,DATOS!D:D,A126,DATOS!I:I,B126),"—"),"")</f>
        <v>—</v>
      </c>
      <c r="J126" t="str" cm="1">
        <f t="array" ref="J126">IF(V126="Sí",IFERROR(_xlfn.MODE.SNGL(IF((nEVAL=CONFIG_METADATA!$B$4)*(nCURSO=A126)*(nASIG=B126)*(nAPTO="S"),nNOTA)),"—"),"")</f>
        <v>—</v>
      </c>
      <c r="K126" t="str" cm="1">
        <f t="array" ref="K126">IF(V126="Sí",IFERROR(_xlfn.MODE.SNGL(IF((nEVAL=CONFIG_METADATA!$B$4)*(nCURSO=A126)*(nASIG=B126)*(nAPTO="N"),nNOTA)),"—"),"")</f>
        <v>—</v>
      </c>
      <c r="L126">
        <f>IF(V126="Sí",COUNTIFS(DATOS!G:G,CONFIG_METADATA!$B$4,DATOS!D:D,A126,DATOS!I:I,B126,DATOS!K:K,1),"")</f>
        <v>0</v>
      </c>
      <c r="M126">
        <f>IF(V126="Sí",COUNTIFS(DATOS!G:G,CONFIG_METADATA!$B$4,DATOS!D:D,A126,DATOS!I:I,B126,DATOS!K:K,2),"")</f>
        <v>0</v>
      </c>
      <c r="N126">
        <f>IF(V126="Sí",COUNTIFS(DATOS!G:G,CONFIG_METADATA!$B$4,DATOS!D:D,A126,DATOS!I:I,B126,DATOS!K:K,3),"")</f>
        <v>0</v>
      </c>
      <c r="O126">
        <f>IF(V126="Sí",COUNTIFS(DATOS!G:G,CONFIG_METADATA!$B$4,DATOS!D:D,A126,DATOS!I:I,B126,DATOS!K:K,4),"")</f>
        <v>0</v>
      </c>
      <c r="P126">
        <f>IF(V126="Sí",COUNTIFS(DATOS!G:G,CONFIG_METADATA!$B$4,DATOS!D:D,A126,DATOS!I:I,B126,DATOS!K:K,5),"")</f>
        <v>0</v>
      </c>
      <c r="Q126">
        <f>IF(V126="Sí",COUNTIFS(DATOS!G:G,CONFIG_METADATA!$B$4,DATOS!D:D,A126,DATOS!I:I,B126,DATOS!K:K,6),"")</f>
        <v>0</v>
      </c>
      <c r="R126">
        <f>IF(V126="Sí",COUNTIFS(DATOS!G:G,CONFIG_METADATA!$B$4,DATOS!D:D,A126,DATOS!I:I,B126,DATOS!K:K,7),"")</f>
        <v>0</v>
      </c>
      <c r="S126">
        <f>IF(V126="Sí",COUNTIFS(DATOS!G:G,CONFIG_METADATA!$B$4,DATOS!D:D,A126,DATOS!I:I,B126,DATOS!K:K,8),"")</f>
        <v>0</v>
      </c>
      <c r="T126">
        <f>IF(V126="Sí",COUNTIFS(DATOS!G:G,CONFIG_METADATA!$B$4,DATOS!D:D,A126,DATOS!I:I,B126,DATOS!K:K,9),"")</f>
        <v>0</v>
      </c>
      <c r="U126">
        <f>IF(V126="Sí",COUNTIFS(DATOS!G:G,CONFIG_METADATA!$B$4,DATOS!D:D,A126,DATOS!I:I,B126,DATOS!K:K,10),"")</f>
        <v>0</v>
      </c>
      <c r="V126" t="str">
        <f>IFERROR(IF(ISERROR(FIND(A126,VLOOKUP(B126,CONFIG_ASIGNATURAS!B:C,2,FALSE()))),"No","Sí"),"No")</f>
        <v>Sí</v>
      </c>
    </row>
    <row r="127" spans="1:22">
      <c r="A127" s="3" t="inlineStr">
        <is>
          <t xml:space="preserve">1EEM</t>
        </is>
      </c>
      <c r="B127" s="3" cm="1">
        <f t="array" ref="B127">IFERROR(INDEX(_xlfn._xlws.FILTER(CONFIG_ASIGNATURAS!$B$2:$B$61,(CONFIG_ASIGNATURAS!$G$2:$G$61="Sí")*ISNUMBER(SEARCH("1EEM",CONFIG_ASIGNATURAS!$C$2:$C$61))),60),"")</f>
      </c>
      <c r="C127" s="3">
        <f>IF(B127="","",IFERROR(IF(VLOOKUP(B127,CONFIG_ASIGNATURAS!$B$2:$F$61,5,FALSE())="Sí","Especialidad","Asignatura"),"Asignatura"))</f>
      </c>
      <c r="D127">
        <f>IF(V127="Sí",COUNTIFS(DATOS!G:G,CONFIG_METADATA!$B$4,DATOS!D:D,A127,DATOS!I:I,B127),"")</f>
        <v>0</v>
      </c>
      <c r="E127" s="14" t="str">
        <f>IF(V127="Sí",IFERROR(AVERAGEIFS(DATOS!K:K,DATOS!G:G,CONFIG_METADATA!$B$4,DATOS!D:D,A127,DATOS!I:I,B127),"—"),"")</f>
        <v>—</v>
      </c>
      <c r="F127" s="14" t="str" cm="1">
        <f t="array" ref="F127">IF(V127="Sí",IFERROR(_xlfn.STDEV.P(IF((nEVAL=CONFIG_METADATA!$B$4)*(nCURSO=A127)*(nASIG=B127),nNOTA)),"—"),"")</f>
        <v>—</v>
      </c>
      <c r="G127" t="str" cm="1">
        <f t="array" ref="G127">IF(V127="Sí",IFERROR(_xlfn.MODE.SNGL(IF((nEVAL=CONFIG_METADATA!$B$4)*(nCURSO=A127)*(nASIG=B127),nNOTA)),"—"),"")</f>
        <v>—</v>
      </c>
      <c r="H127" s="15" t="str">
        <f>IF(V127="Sí",IFERROR(COUNTIFS(DATOS!G:G,CONFIG_METADATA!$B$4,DATOS!D:D,A127,DATOS!I:I,B127,DATOS!L:L,"S")/COUNTIFS(DATOS!G:G,CONFIG_METADATA!$B$4,DATOS!D:D,A127,DATOS!I:I,B127),"—"),"")</f>
        <v>—</v>
      </c>
      <c r="I127" s="15" t="str">
        <f>IF(V127="Sí",IFERROR(COUNTIFS(DATOS!G:G,CONFIG_METADATA!$B$4,DATOS!D:D,A127,DATOS!I:I,B127,DATOS!L:L,"N")/COUNTIFS(DATOS!G:G,CONFIG_METADATA!$B$4,DATOS!D:D,A127,DATOS!I:I,B127),"—"),"")</f>
        <v>—</v>
      </c>
      <c r="J127" t="str" cm="1">
        <f t="array" ref="J127">IF(V127="Sí",IFERROR(_xlfn.MODE.SNGL(IF((nEVAL=CONFIG_METADATA!$B$4)*(nCURSO=A127)*(nASIG=B127)*(nAPTO="S"),nNOTA)),"—"),"")</f>
        <v>—</v>
      </c>
      <c r="K127" t="str" cm="1">
        <f t="array" ref="K127">IF(V127="Sí",IFERROR(_xlfn.MODE.SNGL(IF((nEVAL=CONFIG_METADATA!$B$4)*(nCURSO=A127)*(nASIG=B127)*(nAPTO="N"),nNOTA)),"—"),"")</f>
        <v>—</v>
      </c>
      <c r="L127">
        <f>IF(V127="Sí",COUNTIFS(DATOS!G:G,CONFIG_METADATA!$B$4,DATOS!D:D,A127,DATOS!I:I,B127,DATOS!K:K,1),"")</f>
        <v>0</v>
      </c>
      <c r="M127">
        <f>IF(V127="Sí",COUNTIFS(DATOS!G:G,CONFIG_METADATA!$B$4,DATOS!D:D,A127,DATOS!I:I,B127,DATOS!K:K,2),"")</f>
        <v>0</v>
      </c>
      <c r="N127">
        <f>IF(V127="Sí",COUNTIFS(DATOS!G:G,CONFIG_METADATA!$B$4,DATOS!D:D,A127,DATOS!I:I,B127,DATOS!K:K,3),"")</f>
        <v>0</v>
      </c>
      <c r="O127">
        <f>IF(V127="Sí",COUNTIFS(DATOS!G:G,CONFIG_METADATA!$B$4,DATOS!D:D,A127,DATOS!I:I,B127,DATOS!K:K,4),"")</f>
        <v>0</v>
      </c>
      <c r="P127">
        <f>IF(V127="Sí",COUNTIFS(DATOS!G:G,CONFIG_METADATA!$B$4,DATOS!D:D,A127,DATOS!I:I,B127,DATOS!K:K,5),"")</f>
        <v>0</v>
      </c>
      <c r="Q127">
        <f>IF(V127="Sí",COUNTIFS(DATOS!G:G,CONFIG_METADATA!$B$4,DATOS!D:D,A127,DATOS!I:I,B127,DATOS!K:K,6),"")</f>
        <v>0</v>
      </c>
      <c r="R127">
        <f>IF(V127="Sí",COUNTIFS(DATOS!G:G,CONFIG_METADATA!$B$4,DATOS!D:D,A127,DATOS!I:I,B127,DATOS!K:K,7),"")</f>
        <v>0</v>
      </c>
      <c r="S127">
        <f>IF(V127="Sí",COUNTIFS(DATOS!G:G,CONFIG_METADATA!$B$4,DATOS!D:D,A127,DATOS!I:I,B127,DATOS!K:K,8),"")</f>
        <v>0</v>
      </c>
      <c r="T127">
        <f>IF(V127="Sí",COUNTIFS(DATOS!G:G,CONFIG_METADATA!$B$4,DATOS!D:D,A127,DATOS!I:I,B127,DATOS!K:K,9),"")</f>
        <v>0</v>
      </c>
      <c r="U127">
        <f>IF(V127="Sí",COUNTIFS(DATOS!G:G,CONFIG_METADATA!$B$4,DATOS!D:D,A127,DATOS!I:I,B127,DATOS!K:K,10),"")</f>
        <v>0</v>
      </c>
      <c r="V127" t="str">
        <f>IFERROR(IF(ISERROR(FIND(A127,VLOOKUP(B127,CONFIG_ASIGNATURAS!B:C,2,FALSE()))),"No","Sí"),"No")</f>
        <v>Sí</v>
      </c>
    </row>
    <row r="128" spans="1:22">
      <c r="A128" s="3" t="inlineStr">
        <is>
          <t xml:space="preserve">2EEM</t>
        </is>
      </c>
      <c r="B128" s="3" t="inlineStr">
        <is>
          <t xml:space="preserve">Total</t>
        </is>
      </c>
      <c r="C128" s="3" t="inlineStr">
        <is>
          <t xml:space="preserve">Total</t>
        </is>
      </c>
      <c r="D128">
        <f>COUNTIFS(DATOS!G:G,CONFIG_METADATA!$B$4,DATOS!D:D,A128)</f>
        <v>0</v>
      </c>
      <c r="E128" s="14" t="str">
        <f>IFERROR(AVERAGEIFS(DATOS!K:K,DATOS!G:G,CONFIG_METADATA!$B$4,DATOS!D:D,A128),"—")</f>
        <v>—</v>
      </c>
      <c r="F128" s="14" t="str" cm="1">
        <f t="array" ref="F128">IFERROR(_xlfn.STDEV.P(IF((nEVAL=CONFIG_METADATA!$B$4)*(nCURSO=A128),nNOTA)),"—")</f>
        <v>—</v>
      </c>
      <c r="G128" t="str" cm="1">
        <f t="array" ref="G128">IFERROR(_xlfn.MODE.SNGL(IF((nEVAL=CONFIG_METADATA!$B$4)*(nCURSO=A128),nNOTA)),"—")</f>
        <v>—</v>
      </c>
      <c r="H128" s="15" t="str">
        <f>IFERROR(COUNTIFS(nEVAL,CONFIG_METADATA!$B$4,nCURSO,A128,nAPTO,"S")/COUNTIFS(nEVAL,CONFIG_METADATA!$B$4,nCURSO,A128),"—")</f>
        <v>—</v>
      </c>
      <c r="I128" s="15" t="str">
        <f>IFERROR(COUNTIFS(nEVAL,CONFIG_METADATA!$B$4,nCURSO,A128,nAPTO,"N")/COUNTIFS(nEVAL,CONFIG_METADATA!$B$4,nCURSO,A128),"—")</f>
        <v>—</v>
      </c>
      <c r="J128" t="str" cm="1">
        <f t="array" ref="J128">IFERROR(_xlfn.MODE.SNGL(IF((nEVAL=CONFIG_METADATA!$B$4)*(nCURSO=A128)*(nAPTO="S"),nNOTA)),"—")</f>
        <v>—</v>
      </c>
      <c r="K128" t="str" cm="1">
        <f t="array" ref="K128">IFERROR(_xlfn.MODE.SNGL(IF((nEVAL=CONFIG_METADATA!$B$4)*(nCURSO=A128)*(nAPTO="N"),nNOTA)),"—")</f>
        <v>—</v>
      </c>
      <c r="L128" cm="1">
        <f t="array" ref="L128">SUMPRODUCT((nEVAL=CONFIG_METADATA!$B$4)*(nCURSO=A128)*(nNOTA=1))</f>
        <v>0</v>
      </c>
      <c r="M128" cm="1">
        <f t="array" ref="M128">SUMPRODUCT((nEVAL=CONFIG_METADATA!$B$4)*(nCURSO=A128)*(nNOTA=2))</f>
        <v>0</v>
      </c>
      <c r="N128" cm="1">
        <f t="array" ref="N128">SUMPRODUCT((nEVAL=CONFIG_METADATA!$B$4)*(nCURSO=A128)*(nNOTA=3))</f>
        <v>0</v>
      </c>
      <c r="O128" cm="1">
        <f t="array" ref="O128">SUMPRODUCT((nEVAL=CONFIG_METADATA!$B$4)*(nCURSO=A128)*(nNOTA=4))</f>
        <v>0</v>
      </c>
      <c r="P128" cm="1">
        <f t="array" ref="P128">SUMPRODUCT((nEVAL=CONFIG_METADATA!$B$4)*(nCURSO=A128)*(nNOTA=5))</f>
        <v>0</v>
      </c>
      <c r="Q128" cm="1">
        <f t="array" ref="Q128">SUMPRODUCT((nEVAL=CONFIG_METADATA!$B$4)*(nCURSO=A128)*(nNOTA=6))</f>
        <v>0</v>
      </c>
      <c r="R128" cm="1">
        <f t="array" ref="R128">SUMPRODUCT((nEVAL=CONFIG_METADATA!$B$4)*(nCURSO=A128)*(nNOTA=7))</f>
        <v>0</v>
      </c>
      <c r="S128" cm="1">
        <f t="array" ref="S128">SUMPRODUCT((nEVAL=CONFIG_METADATA!$B$4)*(nCURSO=A128)*(nNOTA=8))</f>
        <v>0</v>
      </c>
      <c r="T128" cm="1">
        <f t="array" ref="T128">SUMPRODUCT((nEVAL=CONFIG_METADATA!$B$4)*(nCURSO=A128)*(nNOTA=9))</f>
        <v>0</v>
      </c>
      <c r="U128" cm="1">
        <f t="array" ref="U128">SUMPRODUCT((nEVAL=CONFIG_METADATA!$B$4)*(nCURSO=A128)*(nNOTA=10))</f>
        <v>0</v>
      </c>
    </row>
    <row r="129" spans="1:22">
      <c r="A129" s="3" t="inlineStr">
        <is>
          <t xml:space="preserve">2EEM</t>
        </is>
      </c>
      <c r="B129" s="3" t="inlineStr">
        <is>
          <t xml:space="preserve">Total Especialidad</t>
        </is>
      </c>
      <c r="C129" s="3" t="inlineStr">
        <is>
          <t xml:space="preserve">TotalEsp</t>
        </is>
      </c>
      <c r="D129">
        <f>SUMPRODUCT((nEVAL=CONFIG_METADATA!$B$4)*(nCURSO=A129)*(nCLASE_E="E")*1)</f>
      </c>
      <c r="E129" s="14" cm="1">
        <f t="array" ref="E129">IFERROR(AVERAGE(IF((nEVAL=CONFIG_METADATA!$B$4)*(nCURSO=A129)*(nCLASE_E="E"),nNOTA)),"—")</f>
      </c>
      <c r="F129" s="14" cm="1">
        <f t="array" ref="F129">IFERROR(_xlfn.STDEV.P(IF((nEVAL=CONFIG_METADATA!$B$4)*(nCURSO=A129)*(nCLASE_E="E"),nNOTA)),"—")</f>
      </c>
      <c r="G129" cm="1">
        <f t="array" ref="G129">IFERROR(_xlfn.MODE.SNGL(IF((nEVAL=CONFIG_METADATA!$B$4)*(nCURSO=A129)*(nCLASE_E="E"),nNOTA)),"—")</f>
      </c>
      <c r="H129" s="15">
        <f>IFERROR(SUMPRODUCT((nEVAL=CONFIG_METADATA!$B$4)*(nCURSO=A129)*(nCLASE_E="E")*(nAPTO="S"))/SUMPRODUCT((nEVAL=CONFIG_METADATA!$B$4)*(nCURSO=A129)*(nCLASE_E="E")*1),"—")</f>
      </c>
      <c r="I129" s="15">
        <f>IFERROR(SUMPRODUCT((nEVAL=CONFIG_METADATA!$B$4)*(nCURSO=A129)*(nCLASE_E="E")*(nAPTO="N"))/SUMPRODUCT((nEVAL=CONFIG_METADATA!$B$4)*(nCURSO=A129)*(nCLASE_E="E")*1),"—")</f>
      </c>
      <c r="J129" cm="1">
        <f t="array" ref="J129">IFERROR(_xlfn.MODE.SNGL(IF((nEVAL=CONFIG_METADATA!$B$4)*(nCURSO=A129)*(nCLASE_E="E")*(nAPTO="S"),nNOTA)),"—")</f>
      </c>
      <c r="K129" cm="1">
        <f t="array" ref="K129">IFERROR(_xlfn.MODE.SNGL(IF((nEVAL=CONFIG_METADATA!$B$4)*(nCURSO=A129)*(nCLASE_E="E")*(nAPTO="N"),nNOTA)),"—")</f>
      </c>
      <c r="L129">
        <f>SUMPRODUCT((nEVAL=CONFIG_METADATA!$B$4)*(nCURSO=A129)*(nCLASE_E="E")*(nNOTA=1))</f>
      </c>
      <c r="M129">
        <f>SUMPRODUCT((nEVAL=CONFIG_METADATA!$B$4)*(nCURSO=A129)*(nCLASE_E="E")*(nNOTA=2))</f>
      </c>
      <c r="N129">
        <f>SUMPRODUCT((nEVAL=CONFIG_METADATA!$B$4)*(nCURSO=A129)*(nCLASE_E="E")*(nNOTA=3))</f>
      </c>
      <c r="O129">
        <f>SUMPRODUCT((nEVAL=CONFIG_METADATA!$B$4)*(nCURSO=A129)*(nCLASE_E="E")*(nNOTA=4))</f>
      </c>
      <c r="P129">
        <f>SUMPRODUCT((nEVAL=CONFIG_METADATA!$B$4)*(nCURSO=A129)*(nCLASE_E="E")*(nNOTA=5))</f>
      </c>
      <c r="Q129">
        <f>SUMPRODUCT((nEVAL=CONFIG_METADATA!$B$4)*(nCURSO=A129)*(nCLASE_E="E")*(nNOTA=6))</f>
      </c>
      <c r="R129">
        <f>SUMPRODUCT((nEVAL=CONFIG_METADATA!$B$4)*(nCURSO=A129)*(nCLASE_E="E")*(nNOTA=7))</f>
      </c>
      <c r="S129">
        <f>SUMPRODUCT((nEVAL=CONFIG_METADATA!$B$4)*(nCURSO=A129)*(nCLASE_E="E")*(nNOTA=8))</f>
      </c>
      <c r="T129">
        <f>SUMPRODUCT((nEVAL=CONFIG_METADATA!$B$4)*(nCURSO=A129)*(nCLASE_E="E")*(nNOTA=9))</f>
      </c>
      <c r="U129">
        <f>SUMPRODUCT((nEVAL=CONFIG_METADATA!$B$4)*(nCURSO=A129)*(nCLASE_E="E")*(nNOTA=10))</f>
      </c>
    </row>
    <row r="130" spans="1:22">
      <c r="A130" s="3" t="inlineStr">
        <is>
          <t xml:space="preserve">2EEM</t>
        </is>
      </c>
      <c r="B130" s="3" t="inlineStr">
        <is>
          <t xml:space="preserve">Total no Especialidad</t>
        </is>
      </c>
      <c r="C130" s="3" t="inlineStr">
        <is>
          <t xml:space="preserve">TotalNoEsp</t>
        </is>
      </c>
      <c r="D130">
        <f>SUMPRODUCT((nEVAL=CONFIG_METADATA!$B$4)*(nCURSO=A130)*((nCLASE_E&lt;&gt;"")*(nCLASE_E&lt;&gt;"E"))*1)</f>
      </c>
      <c r="E130" s="14" cm="1">
        <f t="array" ref="E130">IFERROR(AVERAGE(IF((nEVAL=CONFIG_METADATA!$B$4)*(nCURSO=A130)*((nCLASE_E&lt;&gt;"")*(nCLASE_E&lt;&gt;"E")),nNOTA)),"—")</f>
      </c>
      <c r="F130" s="14" cm="1">
        <f t="array" ref="F130">IFERROR(_xlfn.STDEV.P(IF((nEVAL=CONFIG_METADATA!$B$4)*(nCURSO=A130)*((nCLASE_E&lt;&gt;"")*(nCLASE_E&lt;&gt;"E")),nNOTA)),"—")</f>
      </c>
      <c r="G130" cm="1">
        <f t="array" ref="G130">IFERROR(_xlfn.MODE.SNGL(IF((nEVAL=CONFIG_METADATA!$B$4)*(nCURSO=A130)*((nCLASE_E&lt;&gt;"")*(nCLASE_E&lt;&gt;"E")),nNOTA)),"—")</f>
      </c>
      <c r="H130" s="15">
        <f>IFERROR(SUMPRODUCT((nEVAL=CONFIG_METADATA!$B$4)*(nCURSO=A130)*((nCLASE_E&lt;&gt;"")*(nCLASE_E&lt;&gt;"E"))*(nAPTO="S"))/SUMPRODUCT((nEVAL=CONFIG_METADATA!$B$4)*(nCURSO=A130)*((nCLASE_E&lt;&gt;"")*(nCLASE_E&lt;&gt;"E"))*1),"—")</f>
      </c>
      <c r="I130" s="15">
        <f>IFERROR(SUMPRODUCT((nEVAL=CONFIG_METADATA!$B$4)*(nCURSO=A130)*((nCLASE_E&lt;&gt;"")*(nCLASE_E&lt;&gt;"E"))*(nAPTO="N"))/SUMPRODUCT((nEVAL=CONFIG_METADATA!$B$4)*(nCURSO=A130)*((nCLASE_E&lt;&gt;"")*(nCLASE_E&lt;&gt;"E"))*1),"—")</f>
      </c>
      <c r="J130" cm="1">
        <f t="array" ref="J130">IFERROR(_xlfn.MODE.SNGL(IF((nEVAL=CONFIG_METADATA!$B$4)*(nCURSO=A130)*((nCLASE_E&lt;&gt;"")*(nCLASE_E&lt;&gt;"E"))*(nAPTO="S"),nNOTA)),"—")</f>
      </c>
      <c r="K130" cm="1">
        <f t="array" ref="K130">IFERROR(_xlfn.MODE.SNGL(IF((nEVAL=CONFIG_METADATA!$B$4)*(nCURSO=A130)*((nCLASE_E&lt;&gt;"")*(nCLASE_E&lt;&gt;"E"))*(nAPTO="N"),nNOTA)),"—")</f>
      </c>
      <c r="L130">
        <f>SUMPRODUCT((nEVAL=CONFIG_METADATA!$B$4)*(nCURSO=A130)*((nCLASE_E&lt;&gt;"")*(nCLASE_E&lt;&gt;"E"))*(nNOTA=1))</f>
      </c>
      <c r="M130">
        <f>SUMPRODUCT((nEVAL=CONFIG_METADATA!$B$4)*(nCURSO=A130)*((nCLASE_E&lt;&gt;"")*(nCLASE_E&lt;&gt;"E"))*(nNOTA=2))</f>
      </c>
      <c r="N130">
        <f>SUMPRODUCT((nEVAL=CONFIG_METADATA!$B$4)*(nCURSO=A130)*((nCLASE_E&lt;&gt;"")*(nCLASE_E&lt;&gt;"E"))*(nNOTA=3))</f>
      </c>
      <c r="O130">
        <f>SUMPRODUCT((nEVAL=CONFIG_METADATA!$B$4)*(nCURSO=A130)*((nCLASE_E&lt;&gt;"")*(nCLASE_E&lt;&gt;"E"))*(nNOTA=4))</f>
      </c>
      <c r="P130">
        <f>SUMPRODUCT((nEVAL=CONFIG_METADATA!$B$4)*(nCURSO=A130)*((nCLASE_E&lt;&gt;"")*(nCLASE_E&lt;&gt;"E"))*(nNOTA=5))</f>
      </c>
      <c r="Q130">
        <f>SUMPRODUCT((nEVAL=CONFIG_METADATA!$B$4)*(nCURSO=A130)*((nCLASE_E&lt;&gt;"")*(nCLASE_E&lt;&gt;"E"))*(nNOTA=6))</f>
      </c>
      <c r="R130">
        <f>SUMPRODUCT((nEVAL=CONFIG_METADATA!$B$4)*(nCURSO=A130)*((nCLASE_E&lt;&gt;"")*(nCLASE_E&lt;&gt;"E"))*(nNOTA=7))</f>
      </c>
      <c r="S130">
        <f>SUMPRODUCT((nEVAL=CONFIG_METADATA!$B$4)*(nCURSO=A130)*((nCLASE_E&lt;&gt;"")*(nCLASE_E&lt;&gt;"E"))*(nNOTA=8))</f>
      </c>
      <c r="T130">
        <f>SUMPRODUCT((nEVAL=CONFIG_METADATA!$B$4)*(nCURSO=A130)*((nCLASE_E&lt;&gt;"")*(nCLASE_E&lt;&gt;"E"))*(nNOTA=9))</f>
      </c>
      <c r="U130">
        <f>SUMPRODUCT((nEVAL=CONFIG_METADATA!$B$4)*(nCURSO=A130)*((nCLASE_E&lt;&gt;"")*(nCLASE_E&lt;&gt;"E"))*(nNOTA=10))</f>
      </c>
    </row>
    <row r="131" spans="1:22">
      <c r="A131" s="3" t="inlineStr">
        <is>
          <t xml:space="preserve">2EEM</t>
        </is>
      </c>
      <c r="B131" s="3" cm="1">
        <f t="array" ref="B131">IFERROR(INDEX(_xlfn._xlws.FILTER(CONFIG_ASIGNATURAS!$B$2:$B$61,(CONFIG_ASIGNATURAS!$G$2:$G$61="Sí")*ISNUMBER(SEARCH("2EEM",CONFIG_ASIGNATURAS!$C$2:$C$61))),1),"")</f>
      </c>
      <c r="C131" s="3">
        <f>IF(B131="","",IFERROR(IF(VLOOKUP(B131,CONFIG_ASIGNATURAS!$B$2:$F$61,5,FALSE())="Sí","Especialidad","Asignatura"),"Asignatura"))</f>
      </c>
      <c r="D131">
        <f>IF(V131="Sí",COUNTIFS(DATOS!G:G,CONFIG_METADATA!$B$4,DATOS!D:D,A131,DATOS!I:I,B131),"")</f>
        <v>0</v>
      </c>
      <c r="E131" s="14" t="str">
        <f>IF(V131="Sí",IFERROR(AVERAGEIFS(DATOS!K:K,DATOS!G:G,CONFIG_METADATA!$B$4,DATOS!D:D,A131,DATOS!I:I,B131),"—"),"")</f>
        <v>—</v>
      </c>
      <c r="F131" s="14" t="str" cm="1">
        <f t="array" ref="F131">IF(V131="Sí",IFERROR(_xlfn.STDEV.P(IF((nEVAL=CONFIG_METADATA!$B$4)*(nCURSO=A131)*(nASIG=B131),nNOTA)),"—"),"")</f>
        <v>—</v>
      </c>
      <c r="G131" t="str" cm="1">
        <f t="array" ref="G131">IF(V131="Sí",IFERROR(_xlfn.MODE.SNGL(IF((nEVAL=CONFIG_METADATA!$B$4)*(nCURSO=A131)*(nASIG=B131),nNOTA)),"—"),"")</f>
        <v>—</v>
      </c>
      <c r="H131" s="15" t="str">
        <f>IF(V131="Sí",IFERROR(COUNTIFS(DATOS!G:G,CONFIG_METADATA!$B$4,DATOS!D:D,A131,DATOS!I:I,B131,DATOS!L:L,"S")/COUNTIFS(DATOS!G:G,CONFIG_METADATA!$B$4,DATOS!D:D,A131,DATOS!I:I,B131),"—"),"")</f>
        <v>—</v>
      </c>
      <c r="I131" s="15" t="str">
        <f>IF(V131="Sí",IFERROR(COUNTIFS(DATOS!G:G,CONFIG_METADATA!$B$4,DATOS!D:D,A131,DATOS!I:I,B131,DATOS!L:L,"N")/COUNTIFS(DATOS!G:G,CONFIG_METADATA!$B$4,DATOS!D:D,A131,DATOS!I:I,B131),"—"),"")</f>
        <v>—</v>
      </c>
      <c r="J131" t="str" cm="1">
        <f t="array" ref="J131">IF(V131="Sí",IFERROR(_xlfn.MODE.SNGL(IF((nEVAL=CONFIG_METADATA!$B$4)*(nCURSO=A131)*(nASIG=B131)*(nAPTO="S"),nNOTA)),"—"),"")</f>
        <v>—</v>
      </c>
      <c r="K131" t="str" cm="1">
        <f t="array" ref="K131">IF(V131="Sí",IFERROR(_xlfn.MODE.SNGL(IF((nEVAL=CONFIG_METADATA!$B$4)*(nCURSO=A131)*(nASIG=B131)*(nAPTO="N"),nNOTA)),"—"),"")</f>
        <v>—</v>
      </c>
      <c r="L131">
        <f>IF(V131="Sí",COUNTIFS(DATOS!G:G,CONFIG_METADATA!$B$4,DATOS!D:D,A131,DATOS!I:I,B131,DATOS!K:K,1),"")</f>
        <v>0</v>
      </c>
      <c r="M131">
        <f>IF(V131="Sí",COUNTIFS(DATOS!G:G,CONFIG_METADATA!$B$4,DATOS!D:D,A131,DATOS!I:I,B131,DATOS!K:K,2),"")</f>
        <v>0</v>
      </c>
      <c r="N131">
        <f>IF(V131="Sí",COUNTIFS(DATOS!G:G,CONFIG_METADATA!$B$4,DATOS!D:D,A131,DATOS!I:I,B131,DATOS!K:K,3),"")</f>
        <v>0</v>
      </c>
      <c r="O131">
        <f>IF(V131="Sí",COUNTIFS(DATOS!G:G,CONFIG_METADATA!$B$4,DATOS!D:D,A131,DATOS!I:I,B131,DATOS!K:K,4),"")</f>
        <v>0</v>
      </c>
      <c r="P131">
        <f>IF(V131="Sí",COUNTIFS(DATOS!G:G,CONFIG_METADATA!$B$4,DATOS!D:D,A131,DATOS!I:I,B131,DATOS!K:K,5),"")</f>
        <v>0</v>
      </c>
      <c r="Q131">
        <f>IF(V131="Sí",COUNTIFS(DATOS!G:G,CONFIG_METADATA!$B$4,DATOS!D:D,A131,DATOS!I:I,B131,DATOS!K:K,6),"")</f>
        <v>0</v>
      </c>
      <c r="R131">
        <f>IF(V131="Sí",COUNTIFS(DATOS!G:G,CONFIG_METADATA!$B$4,DATOS!D:D,A131,DATOS!I:I,B131,DATOS!K:K,7),"")</f>
        <v>0</v>
      </c>
      <c r="S131">
        <f>IF(V131="Sí",COUNTIFS(DATOS!G:G,CONFIG_METADATA!$B$4,DATOS!D:D,A131,DATOS!I:I,B131,DATOS!K:K,8),"")</f>
        <v>0</v>
      </c>
      <c r="T131">
        <f>IF(V131="Sí",COUNTIFS(DATOS!G:G,CONFIG_METADATA!$B$4,DATOS!D:D,A131,DATOS!I:I,B131,DATOS!K:K,9),"")</f>
        <v>0</v>
      </c>
      <c r="U131">
        <f>IF(V131="Sí",COUNTIFS(DATOS!G:G,CONFIG_METADATA!$B$4,DATOS!D:D,A131,DATOS!I:I,B131,DATOS!K:K,10),"")</f>
        <v>0</v>
      </c>
      <c r="V131" t="str">
        <f>IFERROR(IF(ISERROR(FIND(A131,VLOOKUP(B131,CONFIG_ASIGNATURAS!B:C,2,FALSE()))),"No","Sí"),"No")</f>
        <v>Sí</v>
      </c>
    </row>
    <row r="132" spans="1:22">
      <c r="A132" s="3" t="inlineStr">
        <is>
          <t xml:space="preserve">2EEM</t>
        </is>
      </c>
      <c r="B132" s="3" cm="1">
        <f t="array" ref="B132">IFERROR(INDEX(_xlfn._xlws.FILTER(CONFIG_ASIGNATURAS!$B$2:$B$61,(CONFIG_ASIGNATURAS!$G$2:$G$61="Sí")*ISNUMBER(SEARCH("2EEM",CONFIG_ASIGNATURAS!$C$2:$C$61))),2),"")</f>
      </c>
      <c r="C132" s="3">
        <f>IF(B132="","",IFERROR(IF(VLOOKUP(B132,CONFIG_ASIGNATURAS!$B$2:$F$61,5,FALSE())="Sí","Especialidad","Asignatura"),"Asignatura"))</f>
      </c>
      <c r="D132">
        <f>IF(V132="Sí",COUNTIFS(DATOS!G:G,CONFIG_METADATA!$B$4,DATOS!D:D,A132,DATOS!I:I,B132),"")</f>
        <v>0</v>
      </c>
      <c r="E132" s="14" t="str">
        <f>IF(V132="Sí",IFERROR(AVERAGEIFS(DATOS!K:K,DATOS!G:G,CONFIG_METADATA!$B$4,DATOS!D:D,A132,DATOS!I:I,B132),"—"),"")</f>
        <v>—</v>
      </c>
      <c r="F132" s="14" t="str" cm="1">
        <f t="array" ref="F132">IF(V132="Sí",IFERROR(_xlfn.STDEV.P(IF((nEVAL=CONFIG_METADATA!$B$4)*(nCURSO=A132)*(nASIG=B132),nNOTA)),"—"),"")</f>
        <v>—</v>
      </c>
      <c r="G132" t="str" cm="1">
        <f t="array" ref="G132">IF(V132="Sí",IFERROR(_xlfn.MODE.SNGL(IF((nEVAL=CONFIG_METADATA!$B$4)*(nCURSO=A132)*(nASIG=B132),nNOTA)),"—"),"")</f>
        <v>—</v>
      </c>
      <c r="H132" s="15" t="str">
        <f>IF(V132="Sí",IFERROR(COUNTIFS(DATOS!G:G,CONFIG_METADATA!$B$4,DATOS!D:D,A132,DATOS!I:I,B132,DATOS!L:L,"S")/COUNTIFS(DATOS!G:G,CONFIG_METADATA!$B$4,DATOS!D:D,A132,DATOS!I:I,B132),"—"),"")</f>
        <v>—</v>
      </c>
      <c r="I132" s="15" t="str">
        <f>IF(V132="Sí",IFERROR(COUNTIFS(DATOS!G:G,CONFIG_METADATA!$B$4,DATOS!D:D,A132,DATOS!I:I,B132,DATOS!L:L,"N")/COUNTIFS(DATOS!G:G,CONFIG_METADATA!$B$4,DATOS!D:D,A132,DATOS!I:I,B132),"—"),"")</f>
        <v>—</v>
      </c>
      <c r="J132" t="str" cm="1">
        <f t="array" ref="J132">IF(V132="Sí",IFERROR(_xlfn.MODE.SNGL(IF((nEVAL=CONFIG_METADATA!$B$4)*(nCURSO=A132)*(nASIG=B132)*(nAPTO="S"),nNOTA)),"—"),"")</f>
        <v>—</v>
      </c>
      <c r="K132" t="str" cm="1">
        <f t="array" ref="K132">IF(V132="Sí",IFERROR(_xlfn.MODE.SNGL(IF((nEVAL=CONFIG_METADATA!$B$4)*(nCURSO=A132)*(nASIG=B132)*(nAPTO="N"),nNOTA)),"—"),"")</f>
        <v>—</v>
      </c>
      <c r="L132">
        <f>IF(V132="Sí",COUNTIFS(DATOS!G:G,CONFIG_METADATA!$B$4,DATOS!D:D,A132,DATOS!I:I,B132,DATOS!K:K,1),"")</f>
        <v>0</v>
      </c>
      <c r="M132">
        <f>IF(V132="Sí",COUNTIFS(DATOS!G:G,CONFIG_METADATA!$B$4,DATOS!D:D,A132,DATOS!I:I,B132,DATOS!K:K,2),"")</f>
        <v>0</v>
      </c>
      <c r="N132">
        <f>IF(V132="Sí",COUNTIFS(DATOS!G:G,CONFIG_METADATA!$B$4,DATOS!D:D,A132,DATOS!I:I,B132,DATOS!K:K,3),"")</f>
        <v>0</v>
      </c>
      <c r="O132">
        <f>IF(V132="Sí",COUNTIFS(DATOS!G:G,CONFIG_METADATA!$B$4,DATOS!D:D,A132,DATOS!I:I,B132,DATOS!K:K,4),"")</f>
        <v>0</v>
      </c>
      <c r="P132">
        <f>IF(V132="Sí",COUNTIFS(DATOS!G:G,CONFIG_METADATA!$B$4,DATOS!D:D,A132,DATOS!I:I,B132,DATOS!K:K,5),"")</f>
        <v>0</v>
      </c>
      <c r="Q132">
        <f>IF(V132="Sí",COUNTIFS(DATOS!G:G,CONFIG_METADATA!$B$4,DATOS!D:D,A132,DATOS!I:I,B132,DATOS!K:K,6),"")</f>
        <v>0</v>
      </c>
      <c r="R132">
        <f>IF(V132="Sí",COUNTIFS(DATOS!G:G,CONFIG_METADATA!$B$4,DATOS!D:D,A132,DATOS!I:I,B132,DATOS!K:K,7),"")</f>
        <v>0</v>
      </c>
      <c r="S132">
        <f>IF(V132="Sí",COUNTIFS(DATOS!G:G,CONFIG_METADATA!$B$4,DATOS!D:D,A132,DATOS!I:I,B132,DATOS!K:K,8),"")</f>
        <v>0</v>
      </c>
      <c r="T132">
        <f>IF(V132="Sí",COUNTIFS(DATOS!G:G,CONFIG_METADATA!$B$4,DATOS!D:D,A132,DATOS!I:I,B132,DATOS!K:K,9),"")</f>
        <v>0</v>
      </c>
      <c r="U132">
        <f>IF(V132="Sí",COUNTIFS(DATOS!G:G,CONFIG_METADATA!$B$4,DATOS!D:D,A132,DATOS!I:I,B132,DATOS!K:K,10),"")</f>
        <v>0</v>
      </c>
      <c r="V132" t="str">
        <f>IFERROR(IF(ISERROR(FIND(A132,VLOOKUP(B132,CONFIG_ASIGNATURAS!B:C,2,FALSE()))),"No","Sí"),"No")</f>
        <v>Sí</v>
      </c>
    </row>
    <row r="133" spans="1:22">
      <c r="A133" s="3" t="inlineStr">
        <is>
          <t xml:space="preserve">2EEM</t>
        </is>
      </c>
      <c r="B133" s="3" cm="1">
        <f t="array" ref="B133">IFERROR(INDEX(_xlfn._xlws.FILTER(CONFIG_ASIGNATURAS!$B$2:$B$61,(CONFIG_ASIGNATURAS!$G$2:$G$61="Sí")*ISNUMBER(SEARCH("2EEM",CONFIG_ASIGNATURAS!$C$2:$C$61))),3),"")</f>
      </c>
      <c r="C133" s="3">
        <f>IF(B133="","",IFERROR(IF(VLOOKUP(B133,CONFIG_ASIGNATURAS!$B$2:$F$61,5,FALSE())="Sí","Especialidad","Asignatura"),"Asignatura"))</f>
      </c>
      <c r="D133">
        <f>IF(V133="Sí",COUNTIFS(DATOS!G:G,CONFIG_METADATA!$B$4,DATOS!D:D,A133,DATOS!I:I,B133),"")</f>
        <v>0</v>
      </c>
      <c r="E133" s="14" t="str">
        <f>IF(V133="Sí",IFERROR(AVERAGEIFS(DATOS!K:K,DATOS!G:G,CONFIG_METADATA!$B$4,DATOS!D:D,A133,DATOS!I:I,B133),"—"),"")</f>
        <v>—</v>
      </c>
      <c r="F133" s="14" t="str" cm="1">
        <f t="array" ref="F133">IF(V133="Sí",IFERROR(_xlfn.STDEV.P(IF((nEVAL=CONFIG_METADATA!$B$4)*(nCURSO=A133)*(nASIG=B133),nNOTA)),"—"),"")</f>
        <v>—</v>
      </c>
      <c r="G133" t="str" cm="1">
        <f t="array" ref="G133">IF(V133="Sí",IFERROR(_xlfn.MODE.SNGL(IF((nEVAL=CONFIG_METADATA!$B$4)*(nCURSO=A133)*(nASIG=B133),nNOTA)),"—"),"")</f>
        <v>—</v>
      </c>
      <c r="H133" s="15" t="str">
        <f>IF(V133="Sí",IFERROR(COUNTIFS(DATOS!G:G,CONFIG_METADATA!$B$4,DATOS!D:D,A133,DATOS!I:I,B133,DATOS!L:L,"S")/COUNTIFS(DATOS!G:G,CONFIG_METADATA!$B$4,DATOS!D:D,A133,DATOS!I:I,B133),"—"),"")</f>
        <v>—</v>
      </c>
      <c r="I133" s="15" t="str">
        <f>IF(V133="Sí",IFERROR(COUNTIFS(DATOS!G:G,CONFIG_METADATA!$B$4,DATOS!D:D,A133,DATOS!I:I,B133,DATOS!L:L,"N")/COUNTIFS(DATOS!G:G,CONFIG_METADATA!$B$4,DATOS!D:D,A133,DATOS!I:I,B133),"—"),"")</f>
        <v>—</v>
      </c>
      <c r="J133" t="str" cm="1">
        <f t="array" ref="J133">IF(V133="Sí",IFERROR(_xlfn.MODE.SNGL(IF((nEVAL=CONFIG_METADATA!$B$4)*(nCURSO=A133)*(nASIG=B133)*(nAPTO="S"),nNOTA)),"—"),"")</f>
        <v>—</v>
      </c>
      <c r="K133" t="str" cm="1">
        <f t="array" ref="K133">IF(V133="Sí",IFERROR(_xlfn.MODE.SNGL(IF((nEVAL=CONFIG_METADATA!$B$4)*(nCURSO=A133)*(nASIG=B133)*(nAPTO="N"),nNOTA)),"—"),"")</f>
        <v>—</v>
      </c>
      <c r="L133">
        <f>IF(V133="Sí",COUNTIFS(DATOS!G:G,CONFIG_METADATA!$B$4,DATOS!D:D,A133,DATOS!I:I,B133,DATOS!K:K,1),"")</f>
        <v>0</v>
      </c>
      <c r="M133">
        <f>IF(V133="Sí",COUNTIFS(DATOS!G:G,CONFIG_METADATA!$B$4,DATOS!D:D,A133,DATOS!I:I,B133,DATOS!K:K,2),"")</f>
        <v>0</v>
      </c>
      <c r="N133">
        <f>IF(V133="Sí",COUNTIFS(DATOS!G:G,CONFIG_METADATA!$B$4,DATOS!D:D,A133,DATOS!I:I,B133,DATOS!K:K,3),"")</f>
        <v>0</v>
      </c>
      <c r="O133">
        <f>IF(V133="Sí",COUNTIFS(DATOS!G:G,CONFIG_METADATA!$B$4,DATOS!D:D,A133,DATOS!I:I,B133,DATOS!K:K,4),"")</f>
        <v>0</v>
      </c>
      <c r="P133">
        <f>IF(V133="Sí",COUNTIFS(DATOS!G:G,CONFIG_METADATA!$B$4,DATOS!D:D,A133,DATOS!I:I,B133,DATOS!K:K,5),"")</f>
        <v>0</v>
      </c>
      <c r="Q133">
        <f>IF(V133="Sí",COUNTIFS(DATOS!G:G,CONFIG_METADATA!$B$4,DATOS!D:D,A133,DATOS!I:I,B133,DATOS!K:K,6),"")</f>
        <v>0</v>
      </c>
      <c r="R133">
        <f>IF(V133="Sí",COUNTIFS(DATOS!G:G,CONFIG_METADATA!$B$4,DATOS!D:D,A133,DATOS!I:I,B133,DATOS!K:K,7),"")</f>
        <v>0</v>
      </c>
      <c r="S133">
        <f>IF(V133="Sí",COUNTIFS(DATOS!G:G,CONFIG_METADATA!$B$4,DATOS!D:D,A133,DATOS!I:I,B133,DATOS!K:K,8),"")</f>
        <v>0</v>
      </c>
      <c r="T133">
        <f>IF(V133="Sí",COUNTIFS(DATOS!G:G,CONFIG_METADATA!$B$4,DATOS!D:D,A133,DATOS!I:I,B133,DATOS!K:K,9),"")</f>
        <v>0</v>
      </c>
      <c r="U133">
        <f>IF(V133="Sí",COUNTIFS(DATOS!G:G,CONFIG_METADATA!$B$4,DATOS!D:D,A133,DATOS!I:I,B133,DATOS!K:K,10),"")</f>
        <v>0</v>
      </c>
      <c r="V133" t="str">
        <f>IFERROR(IF(ISERROR(FIND(A133,VLOOKUP(B133,CONFIG_ASIGNATURAS!B:C,2,FALSE()))),"No","Sí"),"No")</f>
        <v>Sí</v>
      </c>
    </row>
    <row r="134" spans="1:22">
      <c r="A134" s="3" t="inlineStr">
        <is>
          <t xml:space="preserve">2EEM</t>
        </is>
      </c>
      <c r="B134" s="3" cm="1">
        <f t="array" ref="B134">IFERROR(INDEX(_xlfn._xlws.FILTER(CONFIG_ASIGNATURAS!$B$2:$B$61,(CONFIG_ASIGNATURAS!$G$2:$G$61="Sí")*ISNUMBER(SEARCH("2EEM",CONFIG_ASIGNATURAS!$C$2:$C$61))),4),"")</f>
      </c>
      <c r="C134" s="3">
        <f>IF(B134="","",IFERROR(IF(VLOOKUP(B134,CONFIG_ASIGNATURAS!$B$2:$F$61,5,FALSE())="Sí","Especialidad","Asignatura"),"Asignatura"))</f>
      </c>
      <c r="D134">
        <f>IF(V134="Sí",COUNTIFS(DATOS!G:G,CONFIG_METADATA!$B$4,DATOS!D:D,A134,DATOS!I:I,B134),"")</f>
        <v>0</v>
      </c>
      <c r="E134" s="14" t="str">
        <f>IF(V134="Sí",IFERROR(AVERAGEIFS(DATOS!K:K,DATOS!G:G,CONFIG_METADATA!$B$4,DATOS!D:D,A134,DATOS!I:I,B134),"—"),"")</f>
        <v>—</v>
      </c>
      <c r="F134" s="14" t="str" cm="1">
        <f t="array" ref="F134">IF(V134="Sí",IFERROR(_xlfn.STDEV.P(IF((nEVAL=CONFIG_METADATA!$B$4)*(nCURSO=A134)*(nASIG=B134),nNOTA)),"—"),"")</f>
        <v>—</v>
      </c>
      <c r="G134" t="str" cm="1">
        <f t="array" ref="G134">IF(V134="Sí",IFERROR(_xlfn.MODE.SNGL(IF((nEVAL=CONFIG_METADATA!$B$4)*(nCURSO=A134)*(nASIG=B134),nNOTA)),"—"),"")</f>
        <v>—</v>
      </c>
      <c r="H134" s="15" t="str">
        <f>IF(V134="Sí",IFERROR(COUNTIFS(DATOS!G:G,CONFIG_METADATA!$B$4,DATOS!D:D,A134,DATOS!I:I,B134,DATOS!L:L,"S")/COUNTIFS(DATOS!G:G,CONFIG_METADATA!$B$4,DATOS!D:D,A134,DATOS!I:I,B134),"—"),"")</f>
        <v>—</v>
      </c>
      <c r="I134" s="15" t="str">
        <f>IF(V134="Sí",IFERROR(COUNTIFS(DATOS!G:G,CONFIG_METADATA!$B$4,DATOS!D:D,A134,DATOS!I:I,B134,DATOS!L:L,"N")/COUNTIFS(DATOS!G:G,CONFIG_METADATA!$B$4,DATOS!D:D,A134,DATOS!I:I,B134),"—"),"")</f>
        <v>—</v>
      </c>
      <c r="J134" t="str" cm="1">
        <f t="array" ref="J134">IF(V134="Sí",IFERROR(_xlfn.MODE.SNGL(IF((nEVAL=CONFIG_METADATA!$B$4)*(nCURSO=A134)*(nASIG=B134)*(nAPTO="S"),nNOTA)),"—"),"")</f>
        <v>—</v>
      </c>
      <c r="K134" t="str" cm="1">
        <f t="array" ref="K134">IF(V134="Sí",IFERROR(_xlfn.MODE.SNGL(IF((nEVAL=CONFIG_METADATA!$B$4)*(nCURSO=A134)*(nASIG=B134)*(nAPTO="N"),nNOTA)),"—"),"")</f>
        <v>—</v>
      </c>
      <c r="L134">
        <f>IF(V134="Sí",COUNTIFS(DATOS!G:G,CONFIG_METADATA!$B$4,DATOS!D:D,A134,DATOS!I:I,B134,DATOS!K:K,1),"")</f>
        <v>0</v>
      </c>
      <c r="M134">
        <f>IF(V134="Sí",COUNTIFS(DATOS!G:G,CONFIG_METADATA!$B$4,DATOS!D:D,A134,DATOS!I:I,B134,DATOS!K:K,2),"")</f>
        <v>0</v>
      </c>
      <c r="N134">
        <f>IF(V134="Sí",COUNTIFS(DATOS!G:G,CONFIG_METADATA!$B$4,DATOS!D:D,A134,DATOS!I:I,B134,DATOS!K:K,3),"")</f>
        <v>0</v>
      </c>
      <c r="O134">
        <f>IF(V134="Sí",COUNTIFS(DATOS!G:G,CONFIG_METADATA!$B$4,DATOS!D:D,A134,DATOS!I:I,B134,DATOS!K:K,4),"")</f>
        <v>0</v>
      </c>
      <c r="P134">
        <f>IF(V134="Sí",COUNTIFS(DATOS!G:G,CONFIG_METADATA!$B$4,DATOS!D:D,A134,DATOS!I:I,B134,DATOS!K:K,5),"")</f>
        <v>0</v>
      </c>
      <c r="Q134">
        <f>IF(V134="Sí",COUNTIFS(DATOS!G:G,CONFIG_METADATA!$B$4,DATOS!D:D,A134,DATOS!I:I,B134,DATOS!K:K,6),"")</f>
        <v>0</v>
      </c>
      <c r="R134">
        <f>IF(V134="Sí",COUNTIFS(DATOS!G:G,CONFIG_METADATA!$B$4,DATOS!D:D,A134,DATOS!I:I,B134,DATOS!K:K,7),"")</f>
        <v>0</v>
      </c>
      <c r="S134">
        <f>IF(V134="Sí",COUNTIFS(DATOS!G:G,CONFIG_METADATA!$B$4,DATOS!D:D,A134,DATOS!I:I,B134,DATOS!K:K,8),"")</f>
        <v>0</v>
      </c>
      <c r="T134">
        <f>IF(V134="Sí",COUNTIFS(DATOS!G:G,CONFIG_METADATA!$B$4,DATOS!D:D,A134,DATOS!I:I,B134,DATOS!K:K,9),"")</f>
        <v>0</v>
      </c>
      <c r="U134">
        <f>IF(V134="Sí",COUNTIFS(DATOS!G:G,CONFIG_METADATA!$B$4,DATOS!D:D,A134,DATOS!I:I,B134,DATOS!K:K,10),"")</f>
        <v>0</v>
      </c>
      <c r="V134" t="str">
        <f>IFERROR(IF(ISERROR(FIND(A134,VLOOKUP(B134,CONFIG_ASIGNATURAS!B:C,2,FALSE()))),"No","Sí"),"No")</f>
        <v>Sí</v>
      </c>
    </row>
    <row r="135" spans="1:22">
      <c r="A135" s="3" t="inlineStr">
        <is>
          <t xml:space="preserve">2EEM</t>
        </is>
      </c>
      <c r="B135" s="3" cm="1">
        <f t="array" ref="B135">IFERROR(INDEX(_xlfn._xlws.FILTER(CONFIG_ASIGNATURAS!$B$2:$B$61,(CONFIG_ASIGNATURAS!$G$2:$G$61="Sí")*ISNUMBER(SEARCH("2EEM",CONFIG_ASIGNATURAS!$C$2:$C$61))),5),"")</f>
      </c>
      <c r="C135" s="3">
        <f>IF(B135="","",IFERROR(IF(VLOOKUP(B135,CONFIG_ASIGNATURAS!$B$2:$F$61,5,FALSE())="Sí","Especialidad","Asignatura"),"Asignatura"))</f>
      </c>
      <c r="D135">
        <f>IF(V135="Sí",COUNTIFS(DATOS!G:G,CONFIG_METADATA!$B$4,DATOS!D:D,A135,DATOS!I:I,B135),"")</f>
        <v>0</v>
      </c>
      <c r="E135" s="14" t="str">
        <f>IF(V135="Sí",IFERROR(AVERAGEIFS(DATOS!K:K,DATOS!G:G,CONFIG_METADATA!$B$4,DATOS!D:D,A135,DATOS!I:I,B135),"—"),"")</f>
        <v>—</v>
      </c>
      <c r="F135" s="14" t="str" cm="1">
        <f t="array" ref="F135">IF(V135="Sí",IFERROR(_xlfn.STDEV.P(IF((nEVAL=CONFIG_METADATA!$B$4)*(nCURSO=A135)*(nASIG=B135),nNOTA)),"—"),"")</f>
        <v>—</v>
      </c>
      <c r="G135" t="str" cm="1">
        <f t="array" ref="G135">IF(V135="Sí",IFERROR(_xlfn.MODE.SNGL(IF((nEVAL=CONFIG_METADATA!$B$4)*(nCURSO=A135)*(nASIG=B135),nNOTA)),"—"),"")</f>
        <v>—</v>
      </c>
      <c r="H135" s="15" t="str">
        <f>IF(V135="Sí",IFERROR(COUNTIFS(DATOS!G:G,CONFIG_METADATA!$B$4,DATOS!D:D,A135,DATOS!I:I,B135,DATOS!L:L,"S")/COUNTIFS(DATOS!G:G,CONFIG_METADATA!$B$4,DATOS!D:D,A135,DATOS!I:I,B135),"—"),"")</f>
        <v>—</v>
      </c>
      <c r="I135" s="15" t="str">
        <f>IF(V135="Sí",IFERROR(COUNTIFS(DATOS!G:G,CONFIG_METADATA!$B$4,DATOS!D:D,A135,DATOS!I:I,B135,DATOS!L:L,"N")/COUNTIFS(DATOS!G:G,CONFIG_METADATA!$B$4,DATOS!D:D,A135,DATOS!I:I,B135),"—"),"")</f>
        <v>—</v>
      </c>
      <c r="J135" t="str" cm="1">
        <f t="array" ref="J135">IF(V135="Sí",IFERROR(_xlfn.MODE.SNGL(IF((nEVAL=CONFIG_METADATA!$B$4)*(nCURSO=A135)*(nASIG=B135)*(nAPTO="S"),nNOTA)),"—"),"")</f>
        <v>—</v>
      </c>
      <c r="K135" t="str" cm="1">
        <f t="array" ref="K135">IF(V135="Sí",IFERROR(_xlfn.MODE.SNGL(IF((nEVAL=CONFIG_METADATA!$B$4)*(nCURSO=A135)*(nASIG=B135)*(nAPTO="N"),nNOTA)),"—"),"")</f>
        <v>—</v>
      </c>
      <c r="L135">
        <f>IF(V135="Sí",COUNTIFS(DATOS!G:G,CONFIG_METADATA!$B$4,DATOS!D:D,A135,DATOS!I:I,B135,DATOS!K:K,1),"")</f>
        <v>0</v>
      </c>
      <c r="M135">
        <f>IF(V135="Sí",COUNTIFS(DATOS!G:G,CONFIG_METADATA!$B$4,DATOS!D:D,A135,DATOS!I:I,B135,DATOS!K:K,2),"")</f>
        <v>0</v>
      </c>
      <c r="N135">
        <f>IF(V135="Sí",COUNTIFS(DATOS!G:G,CONFIG_METADATA!$B$4,DATOS!D:D,A135,DATOS!I:I,B135,DATOS!K:K,3),"")</f>
        <v>0</v>
      </c>
      <c r="O135">
        <f>IF(V135="Sí",COUNTIFS(DATOS!G:G,CONFIG_METADATA!$B$4,DATOS!D:D,A135,DATOS!I:I,B135,DATOS!K:K,4),"")</f>
        <v>0</v>
      </c>
      <c r="P135">
        <f>IF(V135="Sí",COUNTIFS(DATOS!G:G,CONFIG_METADATA!$B$4,DATOS!D:D,A135,DATOS!I:I,B135,DATOS!K:K,5),"")</f>
        <v>0</v>
      </c>
      <c r="Q135">
        <f>IF(V135="Sí",COUNTIFS(DATOS!G:G,CONFIG_METADATA!$B$4,DATOS!D:D,A135,DATOS!I:I,B135,DATOS!K:K,6),"")</f>
        <v>0</v>
      </c>
      <c r="R135">
        <f>IF(V135="Sí",COUNTIFS(DATOS!G:G,CONFIG_METADATA!$B$4,DATOS!D:D,A135,DATOS!I:I,B135,DATOS!K:K,7),"")</f>
        <v>0</v>
      </c>
      <c r="S135">
        <f>IF(V135="Sí",COUNTIFS(DATOS!G:G,CONFIG_METADATA!$B$4,DATOS!D:D,A135,DATOS!I:I,B135,DATOS!K:K,8),"")</f>
        <v>0</v>
      </c>
      <c r="T135">
        <f>IF(V135="Sí",COUNTIFS(DATOS!G:G,CONFIG_METADATA!$B$4,DATOS!D:D,A135,DATOS!I:I,B135,DATOS!K:K,9),"")</f>
        <v>0</v>
      </c>
      <c r="U135">
        <f>IF(V135="Sí",COUNTIFS(DATOS!G:G,CONFIG_METADATA!$B$4,DATOS!D:D,A135,DATOS!I:I,B135,DATOS!K:K,10),"")</f>
        <v>0</v>
      </c>
      <c r="V135" t="str">
        <f>IFERROR(IF(ISERROR(FIND(A135,VLOOKUP(B135,CONFIG_ASIGNATURAS!B:C,2,FALSE()))),"No","Sí"),"No")</f>
        <v>Sí</v>
      </c>
    </row>
    <row r="136" spans="1:22">
      <c r="A136" s="3" t="inlineStr">
        <is>
          <t xml:space="preserve">2EEM</t>
        </is>
      </c>
      <c r="B136" s="3" cm="1">
        <f t="array" ref="B136">IFERROR(INDEX(_xlfn._xlws.FILTER(CONFIG_ASIGNATURAS!$B$2:$B$61,(CONFIG_ASIGNATURAS!$G$2:$G$61="Sí")*ISNUMBER(SEARCH("2EEM",CONFIG_ASIGNATURAS!$C$2:$C$61))),6),"")</f>
      </c>
      <c r="C136" s="3">
        <f>IF(B136="","",IFERROR(IF(VLOOKUP(B136,CONFIG_ASIGNATURAS!$B$2:$F$61,5,FALSE())="Sí","Especialidad","Asignatura"),"Asignatura"))</f>
      </c>
      <c r="D136">
        <f>IF(V136="Sí",COUNTIFS(DATOS!G:G,CONFIG_METADATA!$B$4,DATOS!D:D,A136,DATOS!I:I,B136),"")</f>
        <v>0</v>
      </c>
      <c r="E136" s="14" t="str">
        <f>IF(V136="Sí",IFERROR(AVERAGEIFS(DATOS!K:K,DATOS!G:G,CONFIG_METADATA!$B$4,DATOS!D:D,A136,DATOS!I:I,B136),"—"),"")</f>
        <v>—</v>
      </c>
      <c r="F136" s="14" t="str" cm="1">
        <f t="array" ref="F136">IF(V136="Sí",IFERROR(_xlfn.STDEV.P(IF((nEVAL=CONFIG_METADATA!$B$4)*(nCURSO=A136)*(nASIG=B136),nNOTA)),"—"),"")</f>
        <v>—</v>
      </c>
      <c r="G136" t="str" cm="1">
        <f t="array" ref="G136">IF(V136="Sí",IFERROR(_xlfn.MODE.SNGL(IF((nEVAL=CONFIG_METADATA!$B$4)*(nCURSO=A136)*(nASIG=B136),nNOTA)),"—"),"")</f>
        <v>—</v>
      </c>
      <c r="H136" s="15" t="str">
        <f>IF(V136="Sí",IFERROR(COUNTIFS(DATOS!G:G,CONFIG_METADATA!$B$4,DATOS!D:D,A136,DATOS!I:I,B136,DATOS!L:L,"S")/COUNTIFS(DATOS!G:G,CONFIG_METADATA!$B$4,DATOS!D:D,A136,DATOS!I:I,B136),"—"),"")</f>
        <v>—</v>
      </c>
      <c r="I136" s="15" t="str">
        <f>IF(V136="Sí",IFERROR(COUNTIFS(DATOS!G:G,CONFIG_METADATA!$B$4,DATOS!D:D,A136,DATOS!I:I,B136,DATOS!L:L,"N")/COUNTIFS(DATOS!G:G,CONFIG_METADATA!$B$4,DATOS!D:D,A136,DATOS!I:I,B136),"—"),"")</f>
        <v>—</v>
      </c>
      <c r="J136" t="str" cm="1">
        <f t="array" ref="J136">IF(V136="Sí",IFERROR(_xlfn.MODE.SNGL(IF((nEVAL=CONFIG_METADATA!$B$4)*(nCURSO=A136)*(nASIG=B136)*(nAPTO="S"),nNOTA)),"—"),"")</f>
        <v>—</v>
      </c>
      <c r="K136" t="str" cm="1">
        <f t="array" ref="K136">IF(V136="Sí",IFERROR(_xlfn.MODE.SNGL(IF((nEVAL=CONFIG_METADATA!$B$4)*(nCURSO=A136)*(nASIG=B136)*(nAPTO="N"),nNOTA)),"—"),"")</f>
        <v>—</v>
      </c>
      <c r="L136">
        <f>IF(V136="Sí",COUNTIFS(DATOS!G:G,CONFIG_METADATA!$B$4,DATOS!D:D,A136,DATOS!I:I,B136,DATOS!K:K,1),"")</f>
        <v>0</v>
      </c>
      <c r="M136">
        <f>IF(V136="Sí",COUNTIFS(DATOS!G:G,CONFIG_METADATA!$B$4,DATOS!D:D,A136,DATOS!I:I,B136,DATOS!K:K,2),"")</f>
        <v>0</v>
      </c>
      <c r="N136">
        <f>IF(V136="Sí",COUNTIFS(DATOS!G:G,CONFIG_METADATA!$B$4,DATOS!D:D,A136,DATOS!I:I,B136,DATOS!K:K,3),"")</f>
        <v>0</v>
      </c>
      <c r="O136">
        <f>IF(V136="Sí",COUNTIFS(DATOS!G:G,CONFIG_METADATA!$B$4,DATOS!D:D,A136,DATOS!I:I,B136,DATOS!K:K,4),"")</f>
        <v>0</v>
      </c>
      <c r="P136">
        <f>IF(V136="Sí",COUNTIFS(DATOS!G:G,CONFIG_METADATA!$B$4,DATOS!D:D,A136,DATOS!I:I,B136,DATOS!K:K,5),"")</f>
        <v>0</v>
      </c>
      <c r="Q136">
        <f>IF(V136="Sí",COUNTIFS(DATOS!G:G,CONFIG_METADATA!$B$4,DATOS!D:D,A136,DATOS!I:I,B136,DATOS!K:K,6),"")</f>
        <v>0</v>
      </c>
      <c r="R136">
        <f>IF(V136="Sí",COUNTIFS(DATOS!G:G,CONFIG_METADATA!$B$4,DATOS!D:D,A136,DATOS!I:I,B136,DATOS!K:K,7),"")</f>
        <v>0</v>
      </c>
      <c r="S136">
        <f>IF(V136="Sí",COUNTIFS(DATOS!G:G,CONFIG_METADATA!$B$4,DATOS!D:D,A136,DATOS!I:I,B136,DATOS!K:K,8),"")</f>
        <v>0</v>
      </c>
      <c r="T136">
        <f>IF(V136="Sí",COUNTIFS(DATOS!G:G,CONFIG_METADATA!$B$4,DATOS!D:D,A136,DATOS!I:I,B136,DATOS!K:K,9),"")</f>
        <v>0</v>
      </c>
      <c r="U136">
        <f>IF(V136="Sí",COUNTIFS(DATOS!G:G,CONFIG_METADATA!$B$4,DATOS!D:D,A136,DATOS!I:I,B136,DATOS!K:K,10),"")</f>
        <v>0</v>
      </c>
      <c r="V136" t="str">
        <f>IFERROR(IF(ISERROR(FIND(A136,VLOOKUP(B136,CONFIG_ASIGNATURAS!B:C,2,FALSE()))),"No","Sí"),"No")</f>
        <v>Sí</v>
      </c>
    </row>
    <row r="137" spans="1:22">
      <c r="A137" s="3" t="inlineStr">
        <is>
          <t xml:space="preserve">2EEM</t>
        </is>
      </c>
      <c r="B137" s="3" cm="1">
        <f t="array" ref="B137">IFERROR(INDEX(_xlfn._xlws.FILTER(CONFIG_ASIGNATURAS!$B$2:$B$61,(CONFIG_ASIGNATURAS!$G$2:$G$61="Sí")*ISNUMBER(SEARCH("2EEM",CONFIG_ASIGNATURAS!$C$2:$C$61))),7),"")</f>
      </c>
      <c r="C137" s="3">
        <f>IF(B137="","",IFERROR(IF(VLOOKUP(B137,CONFIG_ASIGNATURAS!$B$2:$F$61,5,FALSE())="Sí","Especialidad","Asignatura"),"Asignatura"))</f>
      </c>
      <c r="D137">
        <f>IF(V137="Sí",COUNTIFS(DATOS!G:G,CONFIG_METADATA!$B$4,DATOS!D:D,A137,DATOS!I:I,B137),"")</f>
        <v>0</v>
      </c>
      <c r="E137" s="14" t="str">
        <f>IF(V137="Sí",IFERROR(AVERAGEIFS(DATOS!K:K,DATOS!G:G,CONFIG_METADATA!$B$4,DATOS!D:D,A137,DATOS!I:I,B137),"—"),"")</f>
        <v>—</v>
      </c>
      <c r="F137" s="14" t="str" cm="1">
        <f t="array" ref="F137">IF(V137="Sí",IFERROR(_xlfn.STDEV.P(IF((nEVAL=CONFIG_METADATA!$B$4)*(nCURSO=A137)*(nASIG=B137),nNOTA)),"—"),"")</f>
        <v>—</v>
      </c>
      <c r="G137" t="str" cm="1">
        <f t="array" ref="G137">IF(V137="Sí",IFERROR(_xlfn.MODE.SNGL(IF((nEVAL=CONFIG_METADATA!$B$4)*(nCURSO=A137)*(nASIG=B137),nNOTA)),"—"),"")</f>
        <v>—</v>
      </c>
      <c r="H137" s="15" t="str">
        <f>IF(V137="Sí",IFERROR(COUNTIFS(DATOS!G:G,CONFIG_METADATA!$B$4,DATOS!D:D,A137,DATOS!I:I,B137,DATOS!L:L,"S")/COUNTIFS(DATOS!G:G,CONFIG_METADATA!$B$4,DATOS!D:D,A137,DATOS!I:I,B137),"—"),"")</f>
        <v>—</v>
      </c>
      <c r="I137" s="15" t="str">
        <f>IF(V137="Sí",IFERROR(COUNTIFS(DATOS!G:G,CONFIG_METADATA!$B$4,DATOS!D:D,A137,DATOS!I:I,B137,DATOS!L:L,"N")/COUNTIFS(DATOS!G:G,CONFIG_METADATA!$B$4,DATOS!D:D,A137,DATOS!I:I,B137),"—"),"")</f>
        <v>—</v>
      </c>
      <c r="J137" t="str" cm="1">
        <f t="array" ref="J137">IF(V137="Sí",IFERROR(_xlfn.MODE.SNGL(IF((nEVAL=CONFIG_METADATA!$B$4)*(nCURSO=A137)*(nASIG=B137)*(nAPTO="S"),nNOTA)),"—"),"")</f>
        <v>—</v>
      </c>
      <c r="K137" t="str" cm="1">
        <f t="array" ref="K137">IF(V137="Sí",IFERROR(_xlfn.MODE.SNGL(IF((nEVAL=CONFIG_METADATA!$B$4)*(nCURSO=A137)*(nASIG=B137)*(nAPTO="N"),nNOTA)),"—"),"")</f>
        <v>—</v>
      </c>
      <c r="L137">
        <f>IF(V137="Sí",COUNTIFS(DATOS!G:G,CONFIG_METADATA!$B$4,DATOS!D:D,A137,DATOS!I:I,B137,DATOS!K:K,1),"")</f>
        <v>0</v>
      </c>
      <c r="M137">
        <f>IF(V137="Sí",COUNTIFS(DATOS!G:G,CONFIG_METADATA!$B$4,DATOS!D:D,A137,DATOS!I:I,B137,DATOS!K:K,2),"")</f>
        <v>0</v>
      </c>
      <c r="N137">
        <f>IF(V137="Sí",COUNTIFS(DATOS!G:G,CONFIG_METADATA!$B$4,DATOS!D:D,A137,DATOS!I:I,B137,DATOS!K:K,3),"")</f>
        <v>0</v>
      </c>
      <c r="O137">
        <f>IF(V137="Sí",COUNTIFS(DATOS!G:G,CONFIG_METADATA!$B$4,DATOS!D:D,A137,DATOS!I:I,B137,DATOS!K:K,4),"")</f>
        <v>0</v>
      </c>
      <c r="P137">
        <f>IF(V137="Sí",COUNTIFS(DATOS!G:G,CONFIG_METADATA!$B$4,DATOS!D:D,A137,DATOS!I:I,B137,DATOS!K:K,5),"")</f>
        <v>0</v>
      </c>
      <c r="Q137">
        <f>IF(V137="Sí",COUNTIFS(DATOS!G:G,CONFIG_METADATA!$B$4,DATOS!D:D,A137,DATOS!I:I,B137,DATOS!K:K,6),"")</f>
        <v>0</v>
      </c>
      <c r="R137">
        <f>IF(V137="Sí",COUNTIFS(DATOS!G:G,CONFIG_METADATA!$B$4,DATOS!D:D,A137,DATOS!I:I,B137,DATOS!K:K,7),"")</f>
        <v>0</v>
      </c>
      <c r="S137">
        <f>IF(V137="Sí",COUNTIFS(DATOS!G:G,CONFIG_METADATA!$B$4,DATOS!D:D,A137,DATOS!I:I,B137,DATOS!K:K,8),"")</f>
        <v>0</v>
      </c>
      <c r="T137">
        <f>IF(V137="Sí",COUNTIFS(DATOS!G:G,CONFIG_METADATA!$B$4,DATOS!D:D,A137,DATOS!I:I,B137,DATOS!K:K,9),"")</f>
        <v>0</v>
      </c>
      <c r="U137">
        <f>IF(V137="Sí",COUNTIFS(DATOS!G:G,CONFIG_METADATA!$B$4,DATOS!D:D,A137,DATOS!I:I,B137,DATOS!K:K,10),"")</f>
        <v>0</v>
      </c>
      <c r="V137" t="str">
        <f>IFERROR(IF(ISERROR(FIND(A137,VLOOKUP(B137,CONFIG_ASIGNATURAS!B:C,2,FALSE()))),"No","Sí"),"No")</f>
        <v>Sí</v>
      </c>
    </row>
    <row r="138" spans="1:22">
      <c r="A138" s="3" t="inlineStr">
        <is>
          <t xml:space="preserve">2EEM</t>
        </is>
      </c>
      <c r="B138" s="3" cm="1">
        <f t="array" ref="B138">IFERROR(INDEX(_xlfn._xlws.FILTER(CONFIG_ASIGNATURAS!$B$2:$B$61,(CONFIG_ASIGNATURAS!$G$2:$G$61="Sí")*ISNUMBER(SEARCH("2EEM",CONFIG_ASIGNATURAS!$C$2:$C$61))),8),"")</f>
      </c>
      <c r="C138" s="3">
        <f>IF(B138="","",IFERROR(IF(VLOOKUP(B138,CONFIG_ASIGNATURAS!$B$2:$F$61,5,FALSE())="Sí","Especialidad","Asignatura"),"Asignatura"))</f>
      </c>
      <c r="D138">
        <f>IF(V138="Sí",COUNTIFS(DATOS!G:G,CONFIG_METADATA!$B$4,DATOS!D:D,A138,DATOS!I:I,B138),"")</f>
        <v>0</v>
      </c>
      <c r="E138" s="14" t="str">
        <f>IF(V138="Sí",IFERROR(AVERAGEIFS(DATOS!K:K,DATOS!G:G,CONFIG_METADATA!$B$4,DATOS!D:D,A138,DATOS!I:I,B138),"—"),"")</f>
        <v>—</v>
      </c>
      <c r="F138" s="14" t="str" cm="1">
        <f t="array" ref="F138">IF(V138="Sí",IFERROR(_xlfn.STDEV.P(IF((nEVAL=CONFIG_METADATA!$B$4)*(nCURSO=A138)*(nASIG=B138),nNOTA)),"—"),"")</f>
        <v>—</v>
      </c>
      <c r="G138" t="str" cm="1">
        <f t="array" ref="G138">IF(V138="Sí",IFERROR(_xlfn.MODE.SNGL(IF((nEVAL=CONFIG_METADATA!$B$4)*(nCURSO=A138)*(nASIG=B138),nNOTA)),"—"),"")</f>
        <v>—</v>
      </c>
      <c r="H138" s="15" t="str">
        <f>IF(V138="Sí",IFERROR(COUNTIFS(DATOS!G:G,CONFIG_METADATA!$B$4,DATOS!D:D,A138,DATOS!I:I,B138,DATOS!L:L,"S")/COUNTIFS(DATOS!G:G,CONFIG_METADATA!$B$4,DATOS!D:D,A138,DATOS!I:I,B138),"—"),"")</f>
        <v>—</v>
      </c>
      <c r="I138" s="15" t="str">
        <f>IF(V138="Sí",IFERROR(COUNTIFS(DATOS!G:G,CONFIG_METADATA!$B$4,DATOS!D:D,A138,DATOS!I:I,B138,DATOS!L:L,"N")/COUNTIFS(DATOS!G:G,CONFIG_METADATA!$B$4,DATOS!D:D,A138,DATOS!I:I,B138),"—"),"")</f>
        <v>—</v>
      </c>
      <c r="J138" t="str" cm="1">
        <f t="array" ref="J138">IF(V138="Sí",IFERROR(_xlfn.MODE.SNGL(IF((nEVAL=CONFIG_METADATA!$B$4)*(nCURSO=A138)*(nASIG=B138)*(nAPTO="S"),nNOTA)),"—"),"")</f>
        <v>—</v>
      </c>
      <c r="K138" t="str" cm="1">
        <f t="array" ref="K138">IF(V138="Sí",IFERROR(_xlfn.MODE.SNGL(IF((nEVAL=CONFIG_METADATA!$B$4)*(nCURSO=A138)*(nASIG=B138)*(nAPTO="N"),nNOTA)),"—"),"")</f>
        <v>—</v>
      </c>
      <c r="L138">
        <f>IF(V138="Sí",COUNTIFS(DATOS!G:G,CONFIG_METADATA!$B$4,DATOS!D:D,A138,DATOS!I:I,B138,DATOS!K:K,1),"")</f>
        <v>0</v>
      </c>
      <c r="M138">
        <f>IF(V138="Sí",COUNTIFS(DATOS!G:G,CONFIG_METADATA!$B$4,DATOS!D:D,A138,DATOS!I:I,B138,DATOS!K:K,2),"")</f>
        <v>0</v>
      </c>
      <c r="N138">
        <f>IF(V138="Sí",COUNTIFS(DATOS!G:G,CONFIG_METADATA!$B$4,DATOS!D:D,A138,DATOS!I:I,B138,DATOS!K:K,3),"")</f>
        <v>0</v>
      </c>
      <c r="O138">
        <f>IF(V138="Sí",COUNTIFS(DATOS!G:G,CONFIG_METADATA!$B$4,DATOS!D:D,A138,DATOS!I:I,B138,DATOS!K:K,4),"")</f>
        <v>0</v>
      </c>
      <c r="P138">
        <f>IF(V138="Sí",COUNTIFS(DATOS!G:G,CONFIG_METADATA!$B$4,DATOS!D:D,A138,DATOS!I:I,B138,DATOS!K:K,5),"")</f>
        <v>0</v>
      </c>
      <c r="Q138">
        <f>IF(V138="Sí",COUNTIFS(DATOS!G:G,CONFIG_METADATA!$B$4,DATOS!D:D,A138,DATOS!I:I,B138,DATOS!K:K,6),"")</f>
        <v>0</v>
      </c>
      <c r="R138">
        <f>IF(V138="Sí",COUNTIFS(DATOS!G:G,CONFIG_METADATA!$B$4,DATOS!D:D,A138,DATOS!I:I,B138,DATOS!K:K,7),"")</f>
        <v>0</v>
      </c>
      <c r="S138">
        <f>IF(V138="Sí",COUNTIFS(DATOS!G:G,CONFIG_METADATA!$B$4,DATOS!D:D,A138,DATOS!I:I,B138,DATOS!K:K,8),"")</f>
        <v>0</v>
      </c>
      <c r="T138">
        <f>IF(V138="Sí",COUNTIFS(DATOS!G:G,CONFIG_METADATA!$B$4,DATOS!D:D,A138,DATOS!I:I,B138,DATOS!K:K,9),"")</f>
        <v>0</v>
      </c>
      <c r="U138">
        <f>IF(V138="Sí",COUNTIFS(DATOS!G:G,CONFIG_METADATA!$B$4,DATOS!D:D,A138,DATOS!I:I,B138,DATOS!K:K,10),"")</f>
        <v>0</v>
      </c>
      <c r="V138" t="str">
        <f>IFERROR(IF(ISERROR(FIND(A138,VLOOKUP(B138,CONFIG_ASIGNATURAS!B:C,2,FALSE()))),"No","Sí"),"No")</f>
        <v>Sí</v>
      </c>
    </row>
    <row r="139" spans="1:22">
      <c r="A139" s="3" t="inlineStr">
        <is>
          <t xml:space="preserve">2EEM</t>
        </is>
      </c>
      <c r="B139" s="3" cm="1">
        <f t="array" ref="B139">IFERROR(INDEX(_xlfn._xlws.FILTER(CONFIG_ASIGNATURAS!$B$2:$B$61,(CONFIG_ASIGNATURAS!$G$2:$G$61="Sí")*ISNUMBER(SEARCH("2EEM",CONFIG_ASIGNATURAS!$C$2:$C$61))),9),"")</f>
      </c>
      <c r="C139" s="3">
        <f>IF(B139="","",IFERROR(IF(VLOOKUP(B139,CONFIG_ASIGNATURAS!$B$2:$F$61,5,FALSE())="Sí","Especialidad","Asignatura"),"Asignatura"))</f>
      </c>
      <c r="D139">
        <f>IF(V139="Sí",COUNTIFS(DATOS!G:G,CONFIG_METADATA!$B$4,DATOS!D:D,A139,DATOS!I:I,B139),"")</f>
        <v>0</v>
      </c>
      <c r="E139" s="14" t="str">
        <f>IF(V139="Sí",IFERROR(AVERAGEIFS(DATOS!K:K,DATOS!G:G,CONFIG_METADATA!$B$4,DATOS!D:D,A139,DATOS!I:I,B139),"—"),"")</f>
        <v>—</v>
      </c>
      <c r="F139" s="14" t="str" cm="1">
        <f t="array" ref="F139">IF(V139="Sí",IFERROR(_xlfn.STDEV.P(IF((nEVAL=CONFIG_METADATA!$B$4)*(nCURSO=A139)*(nASIG=B139),nNOTA)),"—"),"")</f>
        <v>—</v>
      </c>
      <c r="G139" t="str" cm="1">
        <f t="array" ref="G139">IF(V139="Sí",IFERROR(_xlfn.MODE.SNGL(IF((nEVAL=CONFIG_METADATA!$B$4)*(nCURSO=A139)*(nASIG=B139),nNOTA)),"—"),"")</f>
        <v>—</v>
      </c>
      <c r="H139" s="15" t="str">
        <f>IF(V139="Sí",IFERROR(COUNTIFS(DATOS!G:G,CONFIG_METADATA!$B$4,DATOS!D:D,A139,DATOS!I:I,B139,DATOS!L:L,"S")/COUNTIFS(DATOS!G:G,CONFIG_METADATA!$B$4,DATOS!D:D,A139,DATOS!I:I,B139),"—"),"")</f>
        <v>—</v>
      </c>
      <c r="I139" s="15" t="str">
        <f>IF(V139="Sí",IFERROR(COUNTIFS(DATOS!G:G,CONFIG_METADATA!$B$4,DATOS!D:D,A139,DATOS!I:I,B139,DATOS!L:L,"N")/COUNTIFS(DATOS!G:G,CONFIG_METADATA!$B$4,DATOS!D:D,A139,DATOS!I:I,B139),"—"),"")</f>
        <v>—</v>
      </c>
      <c r="J139" t="str" cm="1">
        <f t="array" ref="J139">IF(V139="Sí",IFERROR(_xlfn.MODE.SNGL(IF((nEVAL=CONFIG_METADATA!$B$4)*(nCURSO=A139)*(nASIG=B139)*(nAPTO="S"),nNOTA)),"—"),"")</f>
        <v>—</v>
      </c>
      <c r="K139" t="str" cm="1">
        <f t="array" ref="K139">IF(V139="Sí",IFERROR(_xlfn.MODE.SNGL(IF((nEVAL=CONFIG_METADATA!$B$4)*(nCURSO=A139)*(nASIG=B139)*(nAPTO="N"),nNOTA)),"—"),"")</f>
        <v>—</v>
      </c>
      <c r="L139">
        <f>IF(V139="Sí",COUNTIFS(DATOS!G:G,CONFIG_METADATA!$B$4,DATOS!D:D,A139,DATOS!I:I,B139,DATOS!K:K,1),"")</f>
        <v>0</v>
      </c>
      <c r="M139">
        <f>IF(V139="Sí",COUNTIFS(DATOS!G:G,CONFIG_METADATA!$B$4,DATOS!D:D,A139,DATOS!I:I,B139,DATOS!K:K,2),"")</f>
        <v>0</v>
      </c>
      <c r="N139">
        <f>IF(V139="Sí",COUNTIFS(DATOS!G:G,CONFIG_METADATA!$B$4,DATOS!D:D,A139,DATOS!I:I,B139,DATOS!K:K,3),"")</f>
        <v>0</v>
      </c>
      <c r="O139">
        <f>IF(V139="Sí",COUNTIFS(DATOS!G:G,CONFIG_METADATA!$B$4,DATOS!D:D,A139,DATOS!I:I,B139,DATOS!K:K,4),"")</f>
        <v>0</v>
      </c>
      <c r="P139">
        <f>IF(V139="Sí",COUNTIFS(DATOS!G:G,CONFIG_METADATA!$B$4,DATOS!D:D,A139,DATOS!I:I,B139,DATOS!K:K,5),"")</f>
        <v>0</v>
      </c>
      <c r="Q139">
        <f>IF(V139="Sí",COUNTIFS(DATOS!G:G,CONFIG_METADATA!$B$4,DATOS!D:D,A139,DATOS!I:I,B139,DATOS!K:K,6),"")</f>
        <v>0</v>
      </c>
      <c r="R139">
        <f>IF(V139="Sí",COUNTIFS(DATOS!G:G,CONFIG_METADATA!$B$4,DATOS!D:D,A139,DATOS!I:I,B139,DATOS!K:K,7),"")</f>
        <v>0</v>
      </c>
      <c r="S139">
        <f>IF(V139="Sí",COUNTIFS(DATOS!G:G,CONFIG_METADATA!$B$4,DATOS!D:D,A139,DATOS!I:I,B139,DATOS!K:K,8),"")</f>
        <v>0</v>
      </c>
      <c r="T139">
        <f>IF(V139="Sí",COUNTIFS(DATOS!G:G,CONFIG_METADATA!$B$4,DATOS!D:D,A139,DATOS!I:I,B139,DATOS!K:K,9),"")</f>
        <v>0</v>
      </c>
      <c r="U139">
        <f>IF(V139="Sí",COUNTIFS(DATOS!G:G,CONFIG_METADATA!$B$4,DATOS!D:D,A139,DATOS!I:I,B139,DATOS!K:K,10),"")</f>
        <v>0</v>
      </c>
      <c r="V139" t="str">
        <f>IFERROR(IF(ISERROR(FIND(A139,VLOOKUP(B139,CONFIG_ASIGNATURAS!B:C,2,FALSE()))),"No","Sí"),"No")</f>
        <v>Sí</v>
      </c>
    </row>
    <row r="140" spans="1:22">
      <c r="A140" s="3" t="inlineStr">
        <is>
          <t xml:space="preserve">2EEM</t>
        </is>
      </c>
      <c r="B140" s="3" cm="1">
        <f t="array" ref="B140">IFERROR(INDEX(_xlfn._xlws.FILTER(CONFIG_ASIGNATURAS!$B$2:$B$61,(CONFIG_ASIGNATURAS!$G$2:$G$61="Sí")*ISNUMBER(SEARCH("2EEM",CONFIG_ASIGNATURAS!$C$2:$C$61))),10),"")</f>
      </c>
      <c r="C140" s="3">
        <f>IF(B140="","",IFERROR(IF(VLOOKUP(B140,CONFIG_ASIGNATURAS!$B$2:$F$61,5,FALSE())="Sí","Especialidad","Asignatura"),"Asignatura"))</f>
      </c>
      <c r="D140">
        <f>IF(V140="Sí",COUNTIFS(DATOS!G:G,CONFIG_METADATA!$B$4,DATOS!D:D,A140,DATOS!I:I,B140),"")</f>
        <v>0</v>
      </c>
      <c r="E140" s="14" t="str">
        <f>IF(V140="Sí",IFERROR(AVERAGEIFS(DATOS!K:K,DATOS!G:G,CONFIG_METADATA!$B$4,DATOS!D:D,A140,DATOS!I:I,B140),"—"),"")</f>
        <v>—</v>
      </c>
      <c r="F140" s="14" t="str" cm="1">
        <f t="array" ref="F140">IF(V140="Sí",IFERROR(_xlfn.STDEV.P(IF((nEVAL=CONFIG_METADATA!$B$4)*(nCURSO=A140)*(nASIG=B140),nNOTA)),"—"),"")</f>
        <v>—</v>
      </c>
      <c r="G140" t="str" cm="1">
        <f t="array" ref="G140">IF(V140="Sí",IFERROR(_xlfn.MODE.SNGL(IF((nEVAL=CONFIG_METADATA!$B$4)*(nCURSO=A140)*(nASIG=B140),nNOTA)),"—"),"")</f>
        <v>—</v>
      </c>
      <c r="H140" s="15" t="str">
        <f>IF(V140="Sí",IFERROR(COUNTIFS(DATOS!G:G,CONFIG_METADATA!$B$4,DATOS!D:D,A140,DATOS!I:I,B140,DATOS!L:L,"S")/COUNTIFS(DATOS!G:G,CONFIG_METADATA!$B$4,DATOS!D:D,A140,DATOS!I:I,B140),"—"),"")</f>
        <v>—</v>
      </c>
      <c r="I140" s="15" t="str">
        <f>IF(V140="Sí",IFERROR(COUNTIFS(DATOS!G:G,CONFIG_METADATA!$B$4,DATOS!D:D,A140,DATOS!I:I,B140,DATOS!L:L,"N")/COUNTIFS(DATOS!G:G,CONFIG_METADATA!$B$4,DATOS!D:D,A140,DATOS!I:I,B140),"—"),"")</f>
        <v>—</v>
      </c>
      <c r="J140" t="str" cm="1">
        <f t="array" ref="J140">IF(V140="Sí",IFERROR(_xlfn.MODE.SNGL(IF((nEVAL=CONFIG_METADATA!$B$4)*(nCURSO=A140)*(nASIG=B140)*(nAPTO="S"),nNOTA)),"—"),"")</f>
        <v>—</v>
      </c>
      <c r="K140" t="str" cm="1">
        <f t="array" ref="K140">IF(V140="Sí",IFERROR(_xlfn.MODE.SNGL(IF((nEVAL=CONFIG_METADATA!$B$4)*(nCURSO=A140)*(nASIG=B140)*(nAPTO="N"),nNOTA)),"—"),"")</f>
        <v>—</v>
      </c>
      <c r="L140">
        <f>IF(V140="Sí",COUNTIFS(DATOS!G:G,CONFIG_METADATA!$B$4,DATOS!D:D,A140,DATOS!I:I,B140,DATOS!K:K,1),"")</f>
        <v>0</v>
      </c>
      <c r="M140">
        <f>IF(V140="Sí",COUNTIFS(DATOS!G:G,CONFIG_METADATA!$B$4,DATOS!D:D,A140,DATOS!I:I,B140,DATOS!K:K,2),"")</f>
        <v>0</v>
      </c>
      <c r="N140">
        <f>IF(V140="Sí",COUNTIFS(DATOS!G:G,CONFIG_METADATA!$B$4,DATOS!D:D,A140,DATOS!I:I,B140,DATOS!K:K,3),"")</f>
        <v>0</v>
      </c>
      <c r="O140">
        <f>IF(V140="Sí",COUNTIFS(DATOS!G:G,CONFIG_METADATA!$B$4,DATOS!D:D,A140,DATOS!I:I,B140,DATOS!K:K,4),"")</f>
        <v>0</v>
      </c>
      <c r="P140">
        <f>IF(V140="Sí",COUNTIFS(DATOS!G:G,CONFIG_METADATA!$B$4,DATOS!D:D,A140,DATOS!I:I,B140,DATOS!K:K,5),"")</f>
        <v>0</v>
      </c>
      <c r="Q140">
        <f>IF(V140="Sí",COUNTIFS(DATOS!G:G,CONFIG_METADATA!$B$4,DATOS!D:D,A140,DATOS!I:I,B140,DATOS!K:K,6),"")</f>
        <v>0</v>
      </c>
      <c r="R140">
        <f>IF(V140="Sí",COUNTIFS(DATOS!G:G,CONFIG_METADATA!$B$4,DATOS!D:D,A140,DATOS!I:I,B140,DATOS!K:K,7),"")</f>
        <v>0</v>
      </c>
      <c r="S140">
        <f>IF(V140="Sí",COUNTIFS(DATOS!G:G,CONFIG_METADATA!$B$4,DATOS!D:D,A140,DATOS!I:I,B140,DATOS!K:K,8),"")</f>
        <v>0</v>
      </c>
      <c r="T140">
        <f>IF(V140="Sí",COUNTIFS(DATOS!G:G,CONFIG_METADATA!$B$4,DATOS!D:D,A140,DATOS!I:I,B140,DATOS!K:K,9),"")</f>
        <v>0</v>
      </c>
      <c r="U140">
        <f>IF(V140="Sí",COUNTIFS(DATOS!G:G,CONFIG_METADATA!$B$4,DATOS!D:D,A140,DATOS!I:I,B140,DATOS!K:K,10),"")</f>
        <v>0</v>
      </c>
      <c r="V140" t="str">
        <f>IFERROR(IF(ISERROR(FIND(A140,VLOOKUP(B140,CONFIG_ASIGNATURAS!B:C,2,FALSE()))),"No","Sí"),"No")</f>
        <v>Sí</v>
      </c>
    </row>
    <row r="141" spans="1:22">
      <c r="A141" s="3" t="inlineStr">
        <is>
          <t xml:space="preserve">2EEM</t>
        </is>
      </c>
      <c r="B141" s="3" cm="1">
        <f t="array" ref="B141">IFERROR(INDEX(_xlfn._xlws.FILTER(CONFIG_ASIGNATURAS!$B$2:$B$61,(CONFIG_ASIGNATURAS!$G$2:$G$61="Sí")*ISNUMBER(SEARCH("2EEM",CONFIG_ASIGNATURAS!$C$2:$C$61))),11),"")</f>
      </c>
      <c r="C141" s="3">
        <f>IF(B141="","",IFERROR(IF(VLOOKUP(B141,CONFIG_ASIGNATURAS!$B$2:$F$61,5,FALSE())="Sí","Especialidad","Asignatura"),"Asignatura"))</f>
      </c>
      <c r="D141">
        <f>IF(V141="Sí",COUNTIFS(DATOS!G:G,CONFIG_METADATA!$B$4,DATOS!D:D,A141,DATOS!I:I,B141),"")</f>
        <v>0</v>
      </c>
      <c r="E141" s="14" t="str">
        <f>IF(V141="Sí",IFERROR(AVERAGEIFS(DATOS!K:K,DATOS!G:G,CONFIG_METADATA!$B$4,DATOS!D:D,A141,DATOS!I:I,B141),"—"),"")</f>
        <v>—</v>
      </c>
      <c r="F141" s="14" t="str" cm="1">
        <f t="array" ref="F141">IF(V141="Sí",IFERROR(_xlfn.STDEV.P(IF((nEVAL=CONFIG_METADATA!$B$4)*(nCURSO=A141)*(nASIG=B141),nNOTA)),"—"),"")</f>
        <v>—</v>
      </c>
      <c r="G141" t="str" cm="1">
        <f t="array" ref="G141">IF(V141="Sí",IFERROR(_xlfn.MODE.SNGL(IF((nEVAL=CONFIG_METADATA!$B$4)*(nCURSO=A141)*(nASIG=B141),nNOTA)),"—"),"")</f>
        <v>—</v>
      </c>
      <c r="H141" s="15" t="str">
        <f>IF(V141="Sí",IFERROR(COUNTIFS(DATOS!G:G,CONFIG_METADATA!$B$4,DATOS!D:D,A141,DATOS!I:I,B141,DATOS!L:L,"S")/COUNTIFS(DATOS!G:G,CONFIG_METADATA!$B$4,DATOS!D:D,A141,DATOS!I:I,B141),"—"),"")</f>
        <v>—</v>
      </c>
      <c r="I141" s="15" t="str">
        <f>IF(V141="Sí",IFERROR(COUNTIFS(DATOS!G:G,CONFIG_METADATA!$B$4,DATOS!D:D,A141,DATOS!I:I,B141,DATOS!L:L,"N")/COUNTIFS(DATOS!G:G,CONFIG_METADATA!$B$4,DATOS!D:D,A141,DATOS!I:I,B141),"—"),"")</f>
        <v>—</v>
      </c>
      <c r="J141" t="str" cm="1">
        <f t="array" ref="J141">IF(V141="Sí",IFERROR(_xlfn.MODE.SNGL(IF((nEVAL=CONFIG_METADATA!$B$4)*(nCURSO=A141)*(nASIG=B141)*(nAPTO="S"),nNOTA)),"—"),"")</f>
        <v>—</v>
      </c>
      <c r="K141" t="str" cm="1">
        <f t="array" ref="K141">IF(V141="Sí",IFERROR(_xlfn.MODE.SNGL(IF((nEVAL=CONFIG_METADATA!$B$4)*(nCURSO=A141)*(nASIG=B141)*(nAPTO="N"),nNOTA)),"—"),"")</f>
        <v>—</v>
      </c>
      <c r="L141">
        <f>IF(V141="Sí",COUNTIFS(DATOS!G:G,CONFIG_METADATA!$B$4,DATOS!D:D,A141,DATOS!I:I,B141,DATOS!K:K,1),"")</f>
        <v>0</v>
      </c>
      <c r="M141">
        <f>IF(V141="Sí",COUNTIFS(DATOS!G:G,CONFIG_METADATA!$B$4,DATOS!D:D,A141,DATOS!I:I,B141,DATOS!K:K,2),"")</f>
        <v>0</v>
      </c>
      <c r="N141">
        <f>IF(V141="Sí",COUNTIFS(DATOS!G:G,CONFIG_METADATA!$B$4,DATOS!D:D,A141,DATOS!I:I,B141,DATOS!K:K,3),"")</f>
        <v>0</v>
      </c>
      <c r="O141">
        <f>IF(V141="Sí",COUNTIFS(DATOS!G:G,CONFIG_METADATA!$B$4,DATOS!D:D,A141,DATOS!I:I,B141,DATOS!K:K,4),"")</f>
        <v>0</v>
      </c>
      <c r="P141">
        <f>IF(V141="Sí",COUNTIFS(DATOS!G:G,CONFIG_METADATA!$B$4,DATOS!D:D,A141,DATOS!I:I,B141,DATOS!K:K,5),"")</f>
        <v>0</v>
      </c>
      <c r="Q141">
        <f>IF(V141="Sí",COUNTIFS(DATOS!G:G,CONFIG_METADATA!$B$4,DATOS!D:D,A141,DATOS!I:I,B141,DATOS!K:K,6),"")</f>
        <v>0</v>
      </c>
      <c r="R141">
        <f>IF(V141="Sí",COUNTIFS(DATOS!G:G,CONFIG_METADATA!$B$4,DATOS!D:D,A141,DATOS!I:I,B141,DATOS!K:K,7),"")</f>
        <v>0</v>
      </c>
      <c r="S141">
        <f>IF(V141="Sí",COUNTIFS(DATOS!G:G,CONFIG_METADATA!$B$4,DATOS!D:D,A141,DATOS!I:I,B141,DATOS!K:K,8),"")</f>
        <v>0</v>
      </c>
      <c r="T141">
        <f>IF(V141="Sí",COUNTIFS(DATOS!G:G,CONFIG_METADATA!$B$4,DATOS!D:D,A141,DATOS!I:I,B141,DATOS!K:K,9),"")</f>
        <v>0</v>
      </c>
      <c r="U141">
        <f>IF(V141="Sí",COUNTIFS(DATOS!G:G,CONFIG_METADATA!$B$4,DATOS!D:D,A141,DATOS!I:I,B141,DATOS!K:K,10),"")</f>
        <v>0</v>
      </c>
      <c r="V141" t="str">
        <f>IFERROR(IF(ISERROR(FIND(A141,VLOOKUP(B141,CONFIG_ASIGNATURAS!B:C,2,FALSE()))),"No","Sí"),"No")</f>
        <v>Sí</v>
      </c>
    </row>
    <row r="142" spans="1:22">
      <c r="A142" s="3" t="inlineStr">
        <is>
          <t xml:space="preserve">2EEM</t>
        </is>
      </c>
      <c r="B142" s="3" cm="1">
        <f t="array" ref="B142">IFERROR(INDEX(_xlfn._xlws.FILTER(CONFIG_ASIGNATURAS!$B$2:$B$61,(CONFIG_ASIGNATURAS!$G$2:$G$61="Sí")*ISNUMBER(SEARCH("2EEM",CONFIG_ASIGNATURAS!$C$2:$C$61))),12),"")</f>
      </c>
      <c r="C142" s="3">
        <f>IF(B142="","",IFERROR(IF(VLOOKUP(B142,CONFIG_ASIGNATURAS!$B$2:$F$61,5,FALSE())="Sí","Especialidad","Asignatura"),"Asignatura"))</f>
      </c>
      <c r="D142">
        <f>IF(V142="Sí",COUNTIFS(DATOS!G:G,CONFIG_METADATA!$B$4,DATOS!D:D,A142,DATOS!I:I,B142),"")</f>
        <v>0</v>
      </c>
      <c r="E142" s="14" t="str">
        <f>IF(V142="Sí",IFERROR(AVERAGEIFS(DATOS!K:K,DATOS!G:G,CONFIG_METADATA!$B$4,DATOS!D:D,A142,DATOS!I:I,B142),"—"),"")</f>
        <v>—</v>
      </c>
      <c r="F142" s="14" t="str" cm="1">
        <f t="array" ref="F142">IF(V142="Sí",IFERROR(_xlfn.STDEV.P(IF((nEVAL=CONFIG_METADATA!$B$4)*(nCURSO=A142)*(nASIG=B142),nNOTA)),"—"),"")</f>
        <v>—</v>
      </c>
      <c r="G142" t="str" cm="1">
        <f t="array" ref="G142">IF(V142="Sí",IFERROR(_xlfn.MODE.SNGL(IF((nEVAL=CONFIG_METADATA!$B$4)*(nCURSO=A142)*(nASIG=B142),nNOTA)),"—"),"")</f>
        <v>—</v>
      </c>
      <c r="H142" s="15" t="str">
        <f>IF(V142="Sí",IFERROR(COUNTIFS(DATOS!G:G,CONFIG_METADATA!$B$4,DATOS!D:D,A142,DATOS!I:I,B142,DATOS!L:L,"S")/COUNTIFS(DATOS!G:G,CONFIG_METADATA!$B$4,DATOS!D:D,A142,DATOS!I:I,B142),"—"),"")</f>
        <v>—</v>
      </c>
      <c r="I142" s="15" t="str">
        <f>IF(V142="Sí",IFERROR(COUNTIFS(DATOS!G:G,CONFIG_METADATA!$B$4,DATOS!D:D,A142,DATOS!I:I,B142,DATOS!L:L,"N")/COUNTIFS(DATOS!G:G,CONFIG_METADATA!$B$4,DATOS!D:D,A142,DATOS!I:I,B142),"—"),"")</f>
        <v>—</v>
      </c>
      <c r="J142" t="str" cm="1">
        <f t="array" ref="J142">IF(V142="Sí",IFERROR(_xlfn.MODE.SNGL(IF((nEVAL=CONFIG_METADATA!$B$4)*(nCURSO=A142)*(nASIG=B142)*(nAPTO="S"),nNOTA)),"—"),"")</f>
        <v>—</v>
      </c>
      <c r="K142" t="str" cm="1">
        <f t="array" ref="K142">IF(V142="Sí",IFERROR(_xlfn.MODE.SNGL(IF((nEVAL=CONFIG_METADATA!$B$4)*(nCURSO=A142)*(nASIG=B142)*(nAPTO="N"),nNOTA)),"—"),"")</f>
        <v>—</v>
      </c>
      <c r="L142">
        <f>IF(V142="Sí",COUNTIFS(DATOS!G:G,CONFIG_METADATA!$B$4,DATOS!D:D,A142,DATOS!I:I,B142,DATOS!K:K,1),"")</f>
        <v>0</v>
      </c>
      <c r="M142">
        <f>IF(V142="Sí",COUNTIFS(DATOS!G:G,CONFIG_METADATA!$B$4,DATOS!D:D,A142,DATOS!I:I,B142,DATOS!K:K,2),"")</f>
        <v>0</v>
      </c>
      <c r="N142">
        <f>IF(V142="Sí",COUNTIFS(DATOS!G:G,CONFIG_METADATA!$B$4,DATOS!D:D,A142,DATOS!I:I,B142,DATOS!K:K,3),"")</f>
        <v>0</v>
      </c>
      <c r="O142">
        <f>IF(V142="Sí",COUNTIFS(DATOS!G:G,CONFIG_METADATA!$B$4,DATOS!D:D,A142,DATOS!I:I,B142,DATOS!K:K,4),"")</f>
        <v>0</v>
      </c>
      <c r="P142">
        <f>IF(V142="Sí",COUNTIFS(DATOS!G:G,CONFIG_METADATA!$B$4,DATOS!D:D,A142,DATOS!I:I,B142,DATOS!K:K,5),"")</f>
        <v>0</v>
      </c>
      <c r="Q142">
        <f>IF(V142="Sí",COUNTIFS(DATOS!G:G,CONFIG_METADATA!$B$4,DATOS!D:D,A142,DATOS!I:I,B142,DATOS!K:K,6),"")</f>
        <v>0</v>
      </c>
      <c r="R142">
        <f>IF(V142="Sí",COUNTIFS(DATOS!G:G,CONFIG_METADATA!$B$4,DATOS!D:D,A142,DATOS!I:I,B142,DATOS!K:K,7),"")</f>
        <v>0</v>
      </c>
      <c r="S142">
        <f>IF(V142="Sí",COUNTIFS(DATOS!G:G,CONFIG_METADATA!$B$4,DATOS!D:D,A142,DATOS!I:I,B142,DATOS!K:K,8),"")</f>
        <v>0</v>
      </c>
      <c r="T142">
        <f>IF(V142="Sí",COUNTIFS(DATOS!G:G,CONFIG_METADATA!$B$4,DATOS!D:D,A142,DATOS!I:I,B142,DATOS!K:K,9),"")</f>
        <v>0</v>
      </c>
      <c r="U142">
        <f>IF(V142="Sí",COUNTIFS(DATOS!G:G,CONFIG_METADATA!$B$4,DATOS!D:D,A142,DATOS!I:I,B142,DATOS!K:K,10),"")</f>
        <v>0</v>
      </c>
      <c r="V142" t="str">
        <f>IFERROR(IF(ISERROR(FIND(A142,VLOOKUP(B142,CONFIG_ASIGNATURAS!B:C,2,FALSE()))),"No","Sí"),"No")</f>
        <v>Sí</v>
      </c>
    </row>
    <row r="143" spans="1:22">
      <c r="A143" s="3" t="inlineStr">
        <is>
          <t xml:space="preserve">2EEM</t>
        </is>
      </c>
      <c r="B143" s="3" cm="1">
        <f t="array" ref="B143">IFERROR(INDEX(_xlfn._xlws.FILTER(CONFIG_ASIGNATURAS!$B$2:$B$61,(CONFIG_ASIGNATURAS!$G$2:$G$61="Sí")*ISNUMBER(SEARCH("2EEM",CONFIG_ASIGNATURAS!$C$2:$C$61))),13),"")</f>
      </c>
      <c r="C143" s="3">
        <f>IF(B143="","",IFERROR(IF(VLOOKUP(B143,CONFIG_ASIGNATURAS!$B$2:$F$61,5,FALSE())="Sí","Especialidad","Asignatura"),"Asignatura"))</f>
      </c>
      <c r="D143">
        <f>IF(V143="Sí",COUNTIFS(DATOS!G:G,CONFIG_METADATA!$B$4,DATOS!D:D,A143,DATOS!I:I,B143),"")</f>
        <v>0</v>
      </c>
      <c r="E143" s="14" t="str">
        <f>IF(V143="Sí",IFERROR(AVERAGEIFS(DATOS!K:K,DATOS!G:G,CONFIG_METADATA!$B$4,DATOS!D:D,A143,DATOS!I:I,B143),"—"),"")</f>
        <v>—</v>
      </c>
      <c r="F143" s="14" t="str" cm="1">
        <f t="array" ref="F143">IF(V143="Sí",IFERROR(_xlfn.STDEV.P(IF((nEVAL=CONFIG_METADATA!$B$4)*(nCURSO=A143)*(nASIG=B143),nNOTA)),"—"),"")</f>
        <v>—</v>
      </c>
      <c r="G143" t="str" cm="1">
        <f t="array" ref="G143">IF(V143="Sí",IFERROR(_xlfn.MODE.SNGL(IF((nEVAL=CONFIG_METADATA!$B$4)*(nCURSO=A143)*(nASIG=B143),nNOTA)),"—"),"")</f>
        <v>—</v>
      </c>
      <c r="H143" s="15" t="str">
        <f>IF(V143="Sí",IFERROR(COUNTIFS(DATOS!G:G,CONFIG_METADATA!$B$4,DATOS!D:D,A143,DATOS!I:I,B143,DATOS!L:L,"S")/COUNTIFS(DATOS!G:G,CONFIG_METADATA!$B$4,DATOS!D:D,A143,DATOS!I:I,B143),"—"),"")</f>
        <v>—</v>
      </c>
      <c r="I143" s="15" t="str">
        <f>IF(V143="Sí",IFERROR(COUNTIFS(DATOS!G:G,CONFIG_METADATA!$B$4,DATOS!D:D,A143,DATOS!I:I,B143,DATOS!L:L,"N")/COUNTIFS(DATOS!G:G,CONFIG_METADATA!$B$4,DATOS!D:D,A143,DATOS!I:I,B143),"—"),"")</f>
        <v>—</v>
      </c>
      <c r="J143" t="str" cm="1">
        <f t="array" ref="J143">IF(V143="Sí",IFERROR(_xlfn.MODE.SNGL(IF((nEVAL=CONFIG_METADATA!$B$4)*(nCURSO=A143)*(nASIG=B143)*(nAPTO="S"),nNOTA)),"—"),"")</f>
        <v>—</v>
      </c>
      <c r="K143" t="str" cm="1">
        <f t="array" ref="K143">IF(V143="Sí",IFERROR(_xlfn.MODE.SNGL(IF((nEVAL=CONFIG_METADATA!$B$4)*(nCURSO=A143)*(nASIG=B143)*(nAPTO="N"),nNOTA)),"—"),"")</f>
        <v>—</v>
      </c>
      <c r="L143">
        <f>IF(V143="Sí",COUNTIFS(DATOS!G:G,CONFIG_METADATA!$B$4,DATOS!D:D,A143,DATOS!I:I,B143,DATOS!K:K,1),"")</f>
        <v>0</v>
      </c>
      <c r="M143">
        <f>IF(V143="Sí",COUNTIFS(DATOS!G:G,CONFIG_METADATA!$B$4,DATOS!D:D,A143,DATOS!I:I,B143,DATOS!K:K,2),"")</f>
        <v>0</v>
      </c>
      <c r="N143">
        <f>IF(V143="Sí",COUNTIFS(DATOS!G:G,CONFIG_METADATA!$B$4,DATOS!D:D,A143,DATOS!I:I,B143,DATOS!K:K,3),"")</f>
        <v>0</v>
      </c>
      <c r="O143">
        <f>IF(V143="Sí",COUNTIFS(DATOS!G:G,CONFIG_METADATA!$B$4,DATOS!D:D,A143,DATOS!I:I,B143,DATOS!K:K,4),"")</f>
        <v>0</v>
      </c>
      <c r="P143">
        <f>IF(V143="Sí",COUNTIFS(DATOS!G:G,CONFIG_METADATA!$B$4,DATOS!D:D,A143,DATOS!I:I,B143,DATOS!K:K,5),"")</f>
        <v>0</v>
      </c>
      <c r="Q143">
        <f>IF(V143="Sí",COUNTIFS(DATOS!G:G,CONFIG_METADATA!$B$4,DATOS!D:D,A143,DATOS!I:I,B143,DATOS!K:K,6),"")</f>
        <v>0</v>
      </c>
      <c r="R143">
        <f>IF(V143="Sí",COUNTIFS(DATOS!G:G,CONFIG_METADATA!$B$4,DATOS!D:D,A143,DATOS!I:I,B143,DATOS!K:K,7),"")</f>
        <v>0</v>
      </c>
      <c r="S143">
        <f>IF(V143="Sí",COUNTIFS(DATOS!G:G,CONFIG_METADATA!$B$4,DATOS!D:D,A143,DATOS!I:I,B143,DATOS!K:K,8),"")</f>
        <v>0</v>
      </c>
      <c r="T143">
        <f>IF(V143="Sí",COUNTIFS(DATOS!G:G,CONFIG_METADATA!$B$4,DATOS!D:D,A143,DATOS!I:I,B143,DATOS!K:K,9),"")</f>
        <v>0</v>
      </c>
      <c r="U143">
        <f>IF(V143="Sí",COUNTIFS(DATOS!G:G,CONFIG_METADATA!$B$4,DATOS!D:D,A143,DATOS!I:I,B143,DATOS!K:K,10),"")</f>
        <v>0</v>
      </c>
      <c r="V143" t="str">
        <f>IFERROR(IF(ISERROR(FIND(A143,VLOOKUP(B143,CONFIG_ASIGNATURAS!B:C,2,FALSE()))),"No","Sí"),"No")</f>
        <v>Sí</v>
      </c>
    </row>
    <row r="144" spans="1:22">
      <c r="A144" s="3" t="inlineStr">
        <is>
          <t xml:space="preserve">2EEM</t>
        </is>
      </c>
      <c r="B144" s="3" cm="1">
        <f t="array" ref="B144">IFERROR(INDEX(_xlfn._xlws.FILTER(CONFIG_ASIGNATURAS!$B$2:$B$61,(CONFIG_ASIGNATURAS!$G$2:$G$61="Sí")*ISNUMBER(SEARCH("2EEM",CONFIG_ASIGNATURAS!$C$2:$C$61))),14),"")</f>
      </c>
      <c r="C144" s="3">
        <f>IF(B144="","",IFERROR(IF(VLOOKUP(B144,CONFIG_ASIGNATURAS!$B$2:$F$61,5,FALSE())="Sí","Especialidad","Asignatura"),"Asignatura"))</f>
      </c>
      <c r="D144">
        <f>IF(V144="Sí",COUNTIFS(DATOS!G:G,CONFIG_METADATA!$B$4,DATOS!D:D,A144,DATOS!I:I,B144),"")</f>
        <v>0</v>
      </c>
      <c r="E144" s="14" t="str">
        <f>IF(V144="Sí",IFERROR(AVERAGEIFS(DATOS!K:K,DATOS!G:G,CONFIG_METADATA!$B$4,DATOS!D:D,A144,DATOS!I:I,B144),"—"),"")</f>
        <v>—</v>
      </c>
      <c r="F144" s="14" t="str" cm="1">
        <f t="array" ref="F144">IF(V144="Sí",IFERROR(_xlfn.STDEV.P(IF((nEVAL=CONFIG_METADATA!$B$4)*(nCURSO=A144)*(nASIG=B144),nNOTA)),"—"),"")</f>
        <v>—</v>
      </c>
      <c r="G144" t="str" cm="1">
        <f t="array" ref="G144">IF(V144="Sí",IFERROR(_xlfn.MODE.SNGL(IF((nEVAL=CONFIG_METADATA!$B$4)*(nCURSO=A144)*(nASIG=B144),nNOTA)),"—"),"")</f>
        <v>—</v>
      </c>
      <c r="H144" s="15" t="str">
        <f>IF(V144="Sí",IFERROR(COUNTIFS(DATOS!G:G,CONFIG_METADATA!$B$4,DATOS!D:D,A144,DATOS!I:I,B144,DATOS!L:L,"S")/COUNTIFS(DATOS!G:G,CONFIG_METADATA!$B$4,DATOS!D:D,A144,DATOS!I:I,B144),"—"),"")</f>
        <v>—</v>
      </c>
      <c r="I144" s="15" t="str">
        <f>IF(V144="Sí",IFERROR(COUNTIFS(DATOS!G:G,CONFIG_METADATA!$B$4,DATOS!D:D,A144,DATOS!I:I,B144,DATOS!L:L,"N")/COUNTIFS(DATOS!G:G,CONFIG_METADATA!$B$4,DATOS!D:D,A144,DATOS!I:I,B144),"—"),"")</f>
        <v>—</v>
      </c>
      <c r="J144" t="str" cm="1">
        <f t="array" ref="J144">IF(V144="Sí",IFERROR(_xlfn.MODE.SNGL(IF((nEVAL=CONFIG_METADATA!$B$4)*(nCURSO=A144)*(nASIG=B144)*(nAPTO="S"),nNOTA)),"—"),"")</f>
        <v>—</v>
      </c>
      <c r="K144" t="str" cm="1">
        <f t="array" ref="K144">IF(V144="Sí",IFERROR(_xlfn.MODE.SNGL(IF((nEVAL=CONFIG_METADATA!$B$4)*(nCURSO=A144)*(nASIG=B144)*(nAPTO="N"),nNOTA)),"—"),"")</f>
        <v>—</v>
      </c>
      <c r="L144">
        <f>IF(V144="Sí",COUNTIFS(DATOS!G:G,CONFIG_METADATA!$B$4,DATOS!D:D,A144,DATOS!I:I,B144,DATOS!K:K,1),"")</f>
        <v>0</v>
      </c>
      <c r="M144">
        <f>IF(V144="Sí",COUNTIFS(DATOS!G:G,CONFIG_METADATA!$B$4,DATOS!D:D,A144,DATOS!I:I,B144,DATOS!K:K,2),"")</f>
        <v>0</v>
      </c>
      <c r="N144">
        <f>IF(V144="Sí",COUNTIFS(DATOS!G:G,CONFIG_METADATA!$B$4,DATOS!D:D,A144,DATOS!I:I,B144,DATOS!K:K,3),"")</f>
        <v>0</v>
      </c>
      <c r="O144">
        <f>IF(V144="Sí",COUNTIFS(DATOS!G:G,CONFIG_METADATA!$B$4,DATOS!D:D,A144,DATOS!I:I,B144,DATOS!K:K,4),"")</f>
        <v>0</v>
      </c>
      <c r="P144">
        <f>IF(V144="Sí",COUNTIFS(DATOS!G:G,CONFIG_METADATA!$B$4,DATOS!D:D,A144,DATOS!I:I,B144,DATOS!K:K,5),"")</f>
        <v>0</v>
      </c>
      <c r="Q144">
        <f>IF(V144="Sí",COUNTIFS(DATOS!G:G,CONFIG_METADATA!$B$4,DATOS!D:D,A144,DATOS!I:I,B144,DATOS!K:K,6),"")</f>
        <v>0</v>
      </c>
      <c r="R144">
        <f>IF(V144="Sí",COUNTIFS(DATOS!G:G,CONFIG_METADATA!$B$4,DATOS!D:D,A144,DATOS!I:I,B144,DATOS!K:K,7),"")</f>
        <v>0</v>
      </c>
      <c r="S144">
        <f>IF(V144="Sí",COUNTIFS(DATOS!G:G,CONFIG_METADATA!$B$4,DATOS!D:D,A144,DATOS!I:I,B144,DATOS!K:K,8),"")</f>
        <v>0</v>
      </c>
      <c r="T144">
        <f>IF(V144="Sí",COUNTIFS(DATOS!G:G,CONFIG_METADATA!$B$4,DATOS!D:D,A144,DATOS!I:I,B144,DATOS!K:K,9),"")</f>
        <v>0</v>
      </c>
      <c r="U144">
        <f>IF(V144="Sí",COUNTIFS(DATOS!G:G,CONFIG_METADATA!$B$4,DATOS!D:D,A144,DATOS!I:I,B144,DATOS!K:K,10),"")</f>
        <v>0</v>
      </c>
      <c r="V144" t="str">
        <f>IFERROR(IF(ISERROR(FIND(A144,VLOOKUP(B144,CONFIG_ASIGNATURAS!B:C,2,FALSE()))),"No","Sí"),"No")</f>
        <v>Sí</v>
      </c>
    </row>
    <row r="145" spans="1:22">
      <c r="A145" s="3" t="inlineStr">
        <is>
          <t xml:space="preserve">2EEM</t>
        </is>
      </c>
      <c r="B145" s="3" cm="1">
        <f t="array" ref="B145">IFERROR(INDEX(_xlfn._xlws.FILTER(CONFIG_ASIGNATURAS!$B$2:$B$61,(CONFIG_ASIGNATURAS!$G$2:$G$61="Sí")*ISNUMBER(SEARCH("2EEM",CONFIG_ASIGNATURAS!$C$2:$C$61))),15),"")</f>
      </c>
      <c r="C145" s="3">
        <f>IF(B145="","",IFERROR(IF(VLOOKUP(B145,CONFIG_ASIGNATURAS!$B$2:$F$61,5,FALSE())="Sí","Especialidad","Asignatura"),"Asignatura"))</f>
      </c>
      <c r="D145">
        <f>IF(V145="Sí",COUNTIFS(DATOS!G:G,CONFIG_METADATA!$B$4,DATOS!D:D,A145,DATOS!I:I,B145),"")</f>
        <v>0</v>
      </c>
      <c r="E145" s="14" t="str">
        <f>IF(V145="Sí",IFERROR(AVERAGEIFS(DATOS!K:K,DATOS!G:G,CONFIG_METADATA!$B$4,DATOS!D:D,A145,DATOS!I:I,B145),"—"),"")</f>
        <v>—</v>
      </c>
      <c r="F145" s="14" t="str" cm="1">
        <f t="array" ref="F145">IF(V145="Sí",IFERROR(_xlfn.STDEV.P(IF((nEVAL=CONFIG_METADATA!$B$4)*(nCURSO=A145)*(nASIG=B145),nNOTA)),"—"),"")</f>
        <v>—</v>
      </c>
      <c r="G145" t="str" cm="1">
        <f t="array" ref="G145">IF(V145="Sí",IFERROR(_xlfn.MODE.SNGL(IF((nEVAL=CONFIG_METADATA!$B$4)*(nCURSO=A145)*(nASIG=B145),nNOTA)),"—"),"")</f>
        <v>—</v>
      </c>
      <c r="H145" s="15" t="str">
        <f>IF(V145="Sí",IFERROR(COUNTIFS(DATOS!G:G,CONFIG_METADATA!$B$4,DATOS!D:D,A145,DATOS!I:I,B145,DATOS!L:L,"S")/COUNTIFS(DATOS!G:G,CONFIG_METADATA!$B$4,DATOS!D:D,A145,DATOS!I:I,B145),"—"),"")</f>
        <v>—</v>
      </c>
      <c r="I145" s="15" t="str">
        <f>IF(V145="Sí",IFERROR(COUNTIFS(DATOS!G:G,CONFIG_METADATA!$B$4,DATOS!D:D,A145,DATOS!I:I,B145,DATOS!L:L,"N")/COUNTIFS(DATOS!G:G,CONFIG_METADATA!$B$4,DATOS!D:D,A145,DATOS!I:I,B145),"—"),"")</f>
        <v>—</v>
      </c>
      <c r="J145" t="str" cm="1">
        <f t="array" ref="J145">IF(V145="Sí",IFERROR(_xlfn.MODE.SNGL(IF((nEVAL=CONFIG_METADATA!$B$4)*(nCURSO=A145)*(nASIG=B145)*(nAPTO="S"),nNOTA)),"—"),"")</f>
        <v>—</v>
      </c>
      <c r="K145" t="str" cm="1">
        <f t="array" ref="K145">IF(V145="Sí",IFERROR(_xlfn.MODE.SNGL(IF((nEVAL=CONFIG_METADATA!$B$4)*(nCURSO=A145)*(nASIG=B145)*(nAPTO="N"),nNOTA)),"—"),"")</f>
        <v>—</v>
      </c>
      <c r="L145">
        <f>IF(V145="Sí",COUNTIFS(DATOS!G:G,CONFIG_METADATA!$B$4,DATOS!D:D,A145,DATOS!I:I,B145,DATOS!K:K,1),"")</f>
        <v>0</v>
      </c>
      <c r="M145">
        <f>IF(V145="Sí",COUNTIFS(DATOS!G:G,CONFIG_METADATA!$B$4,DATOS!D:D,A145,DATOS!I:I,B145,DATOS!K:K,2),"")</f>
        <v>0</v>
      </c>
      <c r="N145">
        <f>IF(V145="Sí",COUNTIFS(DATOS!G:G,CONFIG_METADATA!$B$4,DATOS!D:D,A145,DATOS!I:I,B145,DATOS!K:K,3),"")</f>
        <v>0</v>
      </c>
      <c r="O145">
        <f>IF(V145="Sí",COUNTIFS(DATOS!G:G,CONFIG_METADATA!$B$4,DATOS!D:D,A145,DATOS!I:I,B145,DATOS!K:K,4),"")</f>
        <v>0</v>
      </c>
      <c r="P145">
        <f>IF(V145="Sí",COUNTIFS(DATOS!G:G,CONFIG_METADATA!$B$4,DATOS!D:D,A145,DATOS!I:I,B145,DATOS!K:K,5),"")</f>
        <v>0</v>
      </c>
      <c r="Q145">
        <f>IF(V145="Sí",COUNTIFS(DATOS!G:G,CONFIG_METADATA!$B$4,DATOS!D:D,A145,DATOS!I:I,B145,DATOS!K:K,6),"")</f>
        <v>0</v>
      </c>
      <c r="R145">
        <f>IF(V145="Sí",COUNTIFS(DATOS!G:G,CONFIG_METADATA!$B$4,DATOS!D:D,A145,DATOS!I:I,B145,DATOS!K:K,7),"")</f>
        <v>0</v>
      </c>
      <c r="S145">
        <f>IF(V145="Sí",COUNTIFS(DATOS!G:G,CONFIG_METADATA!$B$4,DATOS!D:D,A145,DATOS!I:I,B145,DATOS!K:K,8),"")</f>
        <v>0</v>
      </c>
      <c r="T145">
        <f>IF(V145="Sí",COUNTIFS(DATOS!G:G,CONFIG_METADATA!$B$4,DATOS!D:D,A145,DATOS!I:I,B145,DATOS!K:K,9),"")</f>
        <v>0</v>
      </c>
      <c r="U145">
        <f>IF(V145="Sí",COUNTIFS(DATOS!G:G,CONFIG_METADATA!$B$4,DATOS!D:D,A145,DATOS!I:I,B145,DATOS!K:K,10),"")</f>
        <v>0</v>
      </c>
      <c r="V145" t="str">
        <f>IFERROR(IF(ISERROR(FIND(A145,VLOOKUP(B145,CONFIG_ASIGNATURAS!B:C,2,FALSE()))),"No","Sí"),"No")</f>
        <v>Sí</v>
      </c>
    </row>
    <row r="146" spans="1:22">
      <c r="A146" s="3" t="inlineStr">
        <is>
          <t xml:space="preserve">2EEM</t>
        </is>
      </c>
      <c r="B146" s="3" cm="1">
        <f t="array" ref="B146">IFERROR(INDEX(_xlfn._xlws.FILTER(CONFIG_ASIGNATURAS!$B$2:$B$61,(CONFIG_ASIGNATURAS!$G$2:$G$61="Sí")*ISNUMBER(SEARCH("2EEM",CONFIG_ASIGNATURAS!$C$2:$C$61))),16),"")</f>
      </c>
      <c r="C146" s="3">
        <f>IF(B146="","",IFERROR(IF(VLOOKUP(B146,CONFIG_ASIGNATURAS!$B$2:$F$61,5,FALSE())="Sí","Especialidad","Asignatura"),"Asignatura"))</f>
      </c>
      <c r="D146">
        <f>IF(V146="Sí",COUNTIFS(DATOS!G:G,CONFIG_METADATA!$B$4,DATOS!D:D,A146,DATOS!I:I,B146),"")</f>
        <v>0</v>
      </c>
      <c r="E146" s="14" t="str">
        <f>IF(V146="Sí",IFERROR(AVERAGEIFS(DATOS!K:K,DATOS!G:G,CONFIG_METADATA!$B$4,DATOS!D:D,A146,DATOS!I:I,B146),"—"),"")</f>
        <v>—</v>
      </c>
      <c r="F146" s="14" t="str" cm="1">
        <f t="array" ref="F146">IF(V146="Sí",IFERROR(_xlfn.STDEV.P(IF((nEVAL=CONFIG_METADATA!$B$4)*(nCURSO=A146)*(nASIG=B146),nNOTA)),"—"),"")</f>
        <v>—</v>
      </c>
      <c r="G146" t="str" cm="1">
        <f t="array" ref="G146">IF(V146="Sí",IFERROR(_xlfn.MODE.SNGL(IF((nEVAL=CONFIG_METADATA!$B$4)*(nCURSO=A146)*(nASIG=B146),nNOTA)),"—"),"")</f>
        <v>—</v>
      </c>
      <c r="H146" s="15" t="str">
        <f>IF(V146="Sí",IFERROR(COUNTIFS(DATOS!G:G,CONFIG_METADATA!$B$4,DATOS!D:D,A146,DATOS!I:I,B146,DATOS!L:L,"S")/COUNTIFS(DATOS!G:G,CONFIG_METADATA!$B$4,DATOS!D:D,A146,DATOS!I:I,B146),"—"),"")</f>
        <v>—</v>
      </c>
      <c r="I146" s="15" t="str">
        <f>IF(V146="Sí",IFERROR(COUNTIFS(DATOS!G:G,CONFIG_METADATA!$B$4,DATOS!D:D,A146,DATOS!I:I,B146,DATOS!L:L,"N")/COUNTIFS(DATOS!G:G,CONFIG_METADATA!$B$4,DATOS!D:D,A146,DATOS!I:I,B146),"—"),"")</f>
        <v>—</v>
      </c>
      <c r="J146" t="str" cm="1">
        <f t="array" ref="J146">IF(V146="Sí",IFERROR(_xlfn.MODE.SNGL(IF((nEVAL=CONFIG_METADATA!$B$4)*(nCURSO=A146)*(nASIG=B146)*(nAPTO="S"),nNOTA)),"—"),"")</f>
        <v>—</v>
      </c>
      <c r="K146" t="str" cm="1">
        <f t="array" ref="K146">IF(V146="Sí",IFERROR(_xlfn.MODE.SNGL(IF((nEVAL=CONFIG_METADATA!$B$4)*(nCURSO=A146)*(nASIG=B146)*(nAPTO="N"),nNOTA)),"—"),"")</f>
        <v>—</v>
      </c>
      <c r="L146">
        <f>IF(V146="Sí",COUNTIFS(DATOS!G:G,CONFIG_METADATA!$B$4,DATOS!D:D,A146,DATOS!I:I,B146,DATOS!K:K,1),"")</f>
        <v>0</v>
      </c>
      <c r="M146">
        <f>IF(V146="Sí",COUNTIFS(DATOS!G:G,CONFIG_METADATA!$B$4,DATOS!D:D,A146,DATOS!I:I,B146,DATOS!K:K,2),"")</f>
        <v>0</v>
      </c>
      <c r="N146">
        <f>IF(V146="Sí",COUNTIFS(DATOS!G:G,CONFIG_METADATA!$B$4,DATOS!D:D,A146,DATOS!I:I,B146,DATOS!K:K,3),"")</f>
        <v>0</v>
      </c>
      <c r="O146">
        <f>IF(V146="Sí",COUNTIFS(DATOS!G:G,CONFIG_METADATA!$B$4,DATOS!D:D,A146,DATOS!I:I,B146,DATOS!K:K,4),"")</f>
        <v>0</v>
      </c>
      <c r="P146">
        <f>IF(V146="Sí",COUNTIFS(DATOS!G:G,CONFIG_METADATA!$B$4,DATOS!D:D,A146,DATOS!I:I,B146,DATOS!K:K,5),"")</f>
        <v>0</v>
      </c>
      <c r="Q146">
        <f>IF(V146="Sí",COUNTIFS(DATOS!G:G,CONFIG_METADATA!$B$4,DATOS!D:D,A146,DATOS!I:I,B146,DATOS!K:K,6),"")</f>
        <v>0</v>
      </c>
      <c r="R146">
        <f>IF(V146="Sí",COUNTIFS(DATOS!G:G,CONFIG_METADATA!$B$4,DATOS!D:D,A146,DATOS!I:I,B146,DATOS!K:K,7),"")</f>
        <v>0</v>
      </c>
      <c r="S146">
        <f>IF(V146="Sí",COUNTIFS(DATOS!G:G,CONFIG_METADATA!$B$4,DATOS!D:D,A146,DATOS!I:I,B146,DATOS!K:K,8),"")</f>
        <v>0</v>
      </c>
      <c r="T146">
        <f>IF(V146="Sí",COUNTIFS(DATOS!G:G,CONFIG_METADATA!$B$4,DATOS!D:D,A146,DATOS!I:I,B146,DATOS!K:K,9),"")</f>
        <v>0</v>
      </c>
      <c r="U146">
        <f>IF(V146="Sí",COUNTIFS(DATOS!G:G,CONFIG_METADATA!$B$4,DATOS!D:D,A146,DATOS!I:I,B146,DATOS!K:K,10),"")</f>
        <v>0</v>
      </c>
      <c r="V146" t="str">
        <f>IFERROR(IF(ISERROR(FIND(A146,VLOOKUP(B146,CONFIG_ASIGNATURAS!B:C,2,FALSE()))),"No","Sí"),"No")</f>
        <v>Sí</v>
      </c>
    </row>
    <row r="147" spans="1:22">
      <c r="A147" s="3" t="inlineStr">
        <is>
          <t xml:space="preserve">2EEM</t>
        </is>
      </c>
      <c r="B147" s="3" cm="1">
        <f t="array" ref="B147">IFERROR(INDEX(_xlfn._xlws.FILTER(CONFIG_ASIGNATURAS!$B$2:$B$61,(CONFIG_ASIGNATURAS!$G$2:$G$61="Sí")*ISNUMBER(SEARCH("2EEM",CONFIG_ASIGNATURAS!$C$2:$C$61))),17),"")</f>
      </c>
      <c r="C147" s="3">
        <f>IF(B147="","",IFERROR(IF(VLOOKUP(B147,CONFIG_ASIGNATURAS!$B$2:$F$61,5,FALSE())="Sí","Especialidad","Asignatura"),"Asignatura"))</f>
      </c>
      <c r="D147">
        <f>IF(V147="Sí",COUNTIFS(DATOS!G:G,CONFIG_METADATA!$B$4,DATOS!D:D,A147,DATOS!I:I,B147),"")</f>
        <v>0</v>
      </c>
      <c r="E147" s="14" t="str">
        <f>IF(V147="Sí",IFERROR(AVERAGEIFS(DATOS!K:K,DATOS!G:G,CONFIG_METADATA!$B$4,DATOS!D:D,A147,DATOS!I:I,B147),"—"),"")</f>
        <v>—</v>
      </c>
      <c r="F147" s="14" t="str" cm="1">
        <f t="array" ref="F147">IF(V147="Sí",IFERROR(_xlfn.STDEV.P(IF((nEVAL=CONFIG_METADATA!$B$4)*(nCURSO=A147)*(nASIG=B147),nNOTA)),"—"),"")</f>
        <v>—</v>
      </c>
      <c r="G147" t="str" cm="1">
        <f t="array" ref="G147">IF(V147="Sí",IFERROR(_xlfn.MODE.SNGL(IF((nEVAL=CONFIG_METADATA!$B$4)*(nCURSO=A147)*(nASIG=B147),nNOTA)),"—"),"")</f>
        <v>—</v>
      </c>
      <c r="H147" s="15" t="str">
        <f>IF(V147="Sí",IFERROR(COUNTIFS(DATOS!G:G,CONFIG_METADATA!$B$4,DATOS!D:D,A147,DATOS!I:I,B147,DATOS!L:L,"S")/COUNTIFS(DATOS!G:G,CONFIG_METADATA!$B$4,DATOS!D:D,A147,DATOS!I:I,B147),"—"),"")</f>
        <v>—</v>
      </c>
      <c r="I147" s="15" t="str">
        <f>IF(V147="Sí",IFERROR(COUNTIFS(DATOS!G:G,CONFIG_METADATA!$B$4,DATOS!D:D,A147,DATOS!I:I,B147,DATOS!L:L,"N")/COUNTIFS(DATOS!G:G,CONFIG_METADATA!$B$4,DATOS!D:D,A147,DATOS!I:I,B147),"—"),"")</f>
        <v>—</v>
      </c>
      <c r="J147" t="str" cm="1">
        <f t="array" ref="J147">IF(V147="Sí",IFERROR(_xlfn.MODE.SNGL(IF((nEVAL=CONFIG_METADATA!$B$4)*(nCURSO=A147)*(nASIG=B147)*(nAPTO="S"),nNOTA)),"—"),"")</f>
        <v>—</v>
      </c>
      <c r="K147" t="str" cm="1">
        <f t="array" ref="K147">IF(V147="Sí",IFERROR(_xlfn.MODE.SNGL(IF((nEVAL=CONFIG_METADATA!$B$4)*(nCURSO=A147)*(nASIG=B147)*(nAPTO="N"),nNOTA)),"—"),"")</f>
        <v>—</v>
      </c>
      <c r="L147">
        <f>IF(V147="Sí",COUNTIFS(DATOS!G:G,CONFIG_METADATA!$B$4,DATOS!D:D,A147,DATOS!I:I,B147,DATOS!K:K,1),"")</f>
        <v>0</v>
      </c>
      <c r="M147">
        <f>IF(V147="Sí",COUNTIFS(DATOS!G:G,CONFIG_METADATA!$B$4,DATOS!D:D,A147,DATOS!I:I,B147,DATOS!K:K,2),"")</f>
        <v>0</v>
      </c>
      <c r="N147">
        <f>IF(V147="Sí",COUNTIFS(DATOS!G:G,CONFIG_METADATA!$B$4,DATOS!D:D,A147,DATOS!I:I,B147,DATOS!K:K,3),"")</f>
        <v>0</v>
      </c>
      <c r="O147">
        <f>IF(V147="Sí",COUNTIFS(DATOS!G:G,CONFIG_METADATA!$B$4,DATOS!D:D,A147,DATOS!I:I,B147,DATOS!K:K,4),"")</f>
        <v>0</v>
      </c>
      <c r="P147">
        <f>IF(V147="Sí",COUNTIFS(DATOS!G:G,CONFIG_METADATA!$B$4,DATOS!D:D,A147,DATOS!I:I,B147,DATOS!K:K,5),"")</f>
        <v>0</v>
      </c>
      <c r="Q147">
        <f>IF(V147="Sí",COUNTIFS(DATOS!G:G,CONFIG_METADATA!$B$4,DATOS!D:D,A147,DATOS!I:I,B147,DATOS!K:K,6),"")</f>
        <v>0</v>
      </c>
      <c r="R147">
        <f>IF(V147="Sí",COUNTIFS(DATOS!G:G,CONFIG_METADATA!$B$4,DATOS!D:D,A147,DATOS!I:I,B147,DATOS!K:K,7),"")</f>
        <v>0</v>
      </c>
      <c r="S147">
        <f>IF(V147="Sí",COUNTIFS(DATOS!G:G,CONFIG_METADATA!$B$4,DATOS!D:D,A147,DATOS!I:I,B147,DATOS!K:K,8),"")</f>
        <v>0</v>
      </c>
      <c r="T147">
        <f>IF(V147="Sí",COUNTIFS(DATOS!G:G,CONFIG_METADATA!$B$4,DATOS!D:D,A147,DATOS!I:I,B147,DATOS!K:K,9),"")</f>
        <v>0</v>
      </c>
      <c r="U147">
        <f>IF(V147="Sí",COUNTIFS(DATOS!G:G,CONFIG_METADATA!$B$4,DATOS!D:D,A147,DATOS!I:I,B147,DATOS!K:K,10),"")</f>
        <v>0</v>
      </c>
      <c r="V147" t="str">
        <f>IFERROR(IF(ISERROR(FIND(A147,VLOOKUP(B147,CONFIG_ASIGNATURAS!B:C,2,FALSE()))),"No","Sí"),"No")</f>
        <v>Sí</v>
      </c>
    </row>
    <row r="148" spans="1:22">
      <c r="A148" s="3" t="inlineStr">
        <is>
          <t xml:space="preserve">2EEM</t>
        </is>
      </c>
      <c r="B148" s="3" cm="1">
        <f t="array" ref="B148">IFERROR(INDEX(_xlfn._xlws.FILTER(CONFIG_ASIGNATURAS!$B$2:$B$61,(CONFIG_ASIGNATURAS!$G$2:$G$61="Sí")*ISNUMBER(SEARCH("2EEM",CONFIG_ASIGNATURAS!$C$2:$C$61))),18),"")</f>
      </c>
      <c r="C148" s="3">
        <f>IF(B148="","",IFERROR(IF(VLOOKUP(B148,CONFIG_ASIGNATURAS!$B$2:$F$61,5,FALSE())="Sí","Especialidad","Asignatura"),"Asignatura"))</f>
      </c>
      <c r="D148">
        <f>IF(V148="Sí",COUNTIFS(DATOS!G:G,CONFIG_METADATA!$B$4,DATOS!D:D,A148,DATOS!I:I,B148),"")</f>
        <v>0</v>
      </c>
      <c r="E148" s="14" t="str">
        <f>IF(V148="Sí",IFERROR(AVERAGEIFS(DATOS!K:K,DATOS!G:G,CONFIG_METADATA!$B$4,DATOS!D:D,A148,DATOS!I:I,B148),"—"),"")</f>
        <v>—</v>
      </c>
      <c r="F148" s="14" t="str" cm="1">
        <f t="array" ref="F148">IF(V148="Sí",IFERROR(_xlfn.STDEV.P(IF((nEVAL=CONFIG_METADATA!$B$4)*(nCURSO=A148)*(nASIG=B148),nNOTA)),"—"),"")</f>
        <v>—</v>
      </c>
      <c r="G148" t="str" cm="1">
        <f t="array" ref="G148">IF(V148="Sí",IFERROR(_xlfn.MODE.SNGL(IF((nEVAL=CONFIG_METADATA!$B$4)*(nCURSO=A148)*(nASIG=B148),nNOTA)),"—"),"")</f>
        <v>—</v>
      </c>
      <c r="H148" s="15" t="str">
        <f>IF(V148="Sí",IFERROR(COUNTIFS(DATOS!G:G,CONFIG_METADATA!$B$4,DATOS!D:D,A148,DATOS!I:I,B148,DATOS!L:L,"S")/COUNTIFS(DATOS!G:G,CONFIG_METADATA!$B$4,DATOS!D:D,A148,DATOS!I:I,B148),"—"),"")</f>
        <v>—</v>
      </c>
      <c r="I148" s="15" t="str">
        <f>IF(V148="Sí",IFERROR(COUNTIFS(DATOS!G:G,CONFIG_METADATA!$B$4,DATOS!D:D,A148,DATOS!I:I,B148,DATOS!L:L,"N")/COUNTIFS(DATOS!G:G,CONFIG_METADATA!$B$4,DATOS!D:D,A148,DATOS!I:I,B148),"—"),"")</f>
        <v>—</v>
      </c>
      <c r="J148" t="str" cm="1">
        <f t="array" ref="J148">IF(V148="Sí",IFERROR(_xlfn.MODE.SNGL(IF((nEVAL=CONFIG_METADATA!$B$4)*(nCURSO=A148)*(nASIG=B148)*(nAPTO="S"),nNOTA)),"—"),"")</f>
        <v>—</v>
      </c>
      <c r="K148" t="str" cm="1">
        <f t="array" ref="K148">IF(V148="Sí",IFERROR(_xlfn.MODE.SNGL(IF((nEVAL=CONFIG_METADATA!$B$4)*(nCURSO=A148)*(nASIG=B148)*(nAPTO="N"),nNOTA)),"—"),"")</f>
        <v>—</v>
      </c>
      <c r="L148">
        <f>IF(V148="Sí",COUNTIFS(DATOS!G:G,CONFIG_METADATA!$B$4,DATOS!D:D,A148,DATOS!I:I,B148,DATOS!K:K,1),"")</f>
        <v>0</v>
      </c>
      <c r="M148">
        <f>IF(V148="Sí",COUNTIFS(DATOS!G:G,CONFIG_METADATA!$B$4,DATOS!D:D,A148,DATOS!I:I,B148,DATOS!K:K,2),"")</f>
        <v>0</v>
      </c>
      <c r="N148">
        <f>IF(V148="Sí",COUNTIFS(DATOS!G:G,CONFIG_METADATA!$B$4,DATOS!D:D,A148,DATOS!I:I,B148,DATOS!K:K,3),"")</f>
        <v>0</v>
      </c>
      <c r="O148">
        <f>IF(V148="Sí",COUNTIFS(DATOS!G:G,CONFIG_METADATA!$B$4,DATOS!D:D,A148,DATOS!I:I,B148,DATOS!K:K,4),"")</f>
        <v>0</v>
      </c>
      <c r="P148">
        <f>IF(V148="Sí",COUNTIFS(DATOS!G:G,CONFIG_METADATA!$B$4,DATOS!D:D,A148,DATOS!I:I,B148,DATOS!K:K,5),"")</f>
        <v>0</v>
      </c>
      <c r="Q148">
        <f>IF(V148="Sí",COUNTIFS(DATOS!G:G,CONFIG_METADATA!$B$4,DATOS!D:D,A148,DATOS!I:I,B148,DATOS!K:K,6),"")</f>
        <v>0</v>
      </c>
      <c r="R148">
        <f>IF(V148="Sí",COUNTIFS(DATOS!G:G,CONFIG_METADATA!$B$4,DATOS!D:D,A148,DATOS!I:I,B148,DATOS!K:K,7),"")</f>
        <v>0</v>
      </c>
      <c r="S148">
        <f>IF(V148="Sí",COUNTIFS(DATOS!G:G,CONFIG_METADATA!$B$4,DATOS!D:D,A148,DATOS!I:I,B148,DATOS!K:K,8),"")</f>
        <v>0</v>
      </c>
      <c r="T148">
        <f>IF(V148="Sí",COUNTIFS(DATOS!G:G,CONFIG_METADATA!$B$4,DATOS!D:D,A148,DATOS!I:I,B148,DATOS!K:K,9),"")</f>
        <v>0</v>
      </c>
      <c r="U148">
        <f>IF(V148="Sí",COUNTIFS(DATOS!G:G,CONFIG_METADATA!$B$4,DATOS!D:D,A148,DATOS!I:I,B148,DATOS!K:K,10),"")</f>
        <v>0</v>
      </c>
      <c r="V148" t="str">
        <f>IFERROR(IF(ISERROR(FIND(A148,VLOOKUP(B148,CONFIG_ASIGNATURAS!B:C,2,FALSE()))),"No","Sí"),"No")</f>
        <v>Sí</v>
      </c>
    </row>
    <row r="149" spans="1:22">
      <c r="A149" s="3" t="inlineStr">
        <is>
          <t xml:space="preserve">2EEM</t>
        </is>
      </c>
      <c r="B149" s="3" cm="1">
        <f t="array" ref="B149">IFERROR(INDEX(_xlfn._xlws.FILTER(CONFIG_ASIGNATURAS!$B$2:$B$61,(CONFIG_ASIGNATURAS!$G$2:$G$61="Sí")*ISNUMBER(SEARCH("2EEM",CONFIG_ASIGNATURAS!$C$2:$C$61))),19),"")</f>
      </c>
      <c r="C149" s="3">
        <f>IF(B149="","",IFERROR(IF(VLOOKUP(B149,CONFIG_ASIGNATURAS!$B$2:$F$61,5,FALSE())="Sí","Especialidad","Asignatura"),"Asignatura"))</f>
      </c>
      <c r="D149">
        <f>IF(V149="Sí",COUNTIFS(DATOS!G:G,CONFIG_METADATA!$B$4,DATOS!D:D,A149,DATOS!I:I,B149),"")</f>
        <v>0</v>
      </c>
      <c r="E149" s="14" t="str">
        <f>IF(V149="Sí",IFERROR(AVERAGEIFS(DATOS!K:K,DATOS!G:G,CONFIG_METADATA!$B$4,DATOS!D:D,A149,DATOS!I:I,B149),"—"),"")</f>
        <v>—</v>
      </c>
      <c r="F149" s="14" t="str" cm="1">
        <f t="array" ref="F149">IF(V149="Sí",IFERROR(_xlfn.STDEV.P(IF((nEVAL=CONFIG_METADATA!$B$4)*(nCURSO=A149)*(nASIG=B149),nNOTA)),"—"),"")</f>
        <v>—</v>
      </c>
      <c r="G149" t="str" cm="1">
        <f t="array" ref="G149">IF(V149="Sí",IFERROR(_xlfn.MODE.SNGL(IF((nEVAL=CONFIG_METADATA!$B$4)*(nCURSO=A149)*(nASIG=B149),nNOTA)),"—"),"")</f>
        <v>—</v>
      </c>
      <c r="H149" s="15" t="str">
        <f>IF(V149="Sí",IFERROR(COUNTIFS(DATOS!G:G,CONFIG_METADATA!$B$4,DATOS!D:D,A149,DATOS!I:I,B149,DATOS!L:L,"S")/COUNTIFS(DATOS!G:G,CONFIG_METADATA!$B$4,DATOS!D:D,A149,DATOS!I:I,B149),"—"),"")</f>
        <v>—</v>
      </c>
      <c r="I149" s="15" t="str">
        <f>IF(V149="Sí",IFERROR(COUNTIFS(DATOS!G:G,CONFIG_METADATA!$B$4,DATOS!D:D,A149,DATOS!I:I,B149,DATOS!L:L,"N")/COUNTIFS(DATOS!G:G,CONFIG_METADATA!$B$4,DATOS!D:D,A149,DATOS!I:I,B149),"—"),"")</f>
        <v>—</v>
      </c>
      <c r="J149" t="str" cm="1">
        <f t="array" ref="J149">IF(V149="Sí",IFERROR(_xlfn.MODE.SNGL(IF((nEVAL=CONFIG_METADATA!$B$4)*(nCURSO=A149)*(nASIG=B149)*(nAPTO="S"),nNOTA)),"—"),"")</f>
        <v>—</v>
      </c>
      <c r="K149" t="str" cm="1">
        <f t="array" ref="K149">IF(V149="Sí",IFERROR(_xlfn.MODE.SNGL(IF((nEVAL=CONFIG_METADATA!$B$4)*(nCURSO=A149)*(nASIG=B149)*(nAPTO="N"),nNOTA)),"—"),"")</f>
        <v>—</v>
      </c>
      <c r="L149">
        <f>IF(V149="Sí",COUNTIFS(DATOS!G:G,CONFIG_METADATA!$B$4,DATOS!D:D,A149,DATOS!I:I,B149,DATOS!K:K,1),"")</f>
        <v>0</v>
      </c>
      <c r="M149">
        <f>IF(V149="Sí",COUNTIFS(DATOS!G:G,CONFIG_METADATA!$B$4,DATOS!D:D,A149,DATOS!I:I,B149,DATOS!K:K,2),"")</f>
        <v>0</v>
      </c>
      <c r="N149">
        <f>IF(V149="Sí",COUNTIFS(DATOS!G:G,CONFIG_METADATA!$B$4,DATOS!D:D,A149,DATOS!I:I,B149,DATOS!K:K,3),"")</f>
        <v>0</v>
      </c>
      <c r="O149">
        <f>IF(V149="Sí",COUNTIFS(DATOS!G:G,CONFIG_METADATA!$B$4,DATOS!D:D,A149,DATOS!I:I,B149,DATOS!K:K,4),"")</f>
        <v>0</v>
      </c>
      <c r="P149">
        <f>IF(V149="Sí",COUNTIFS(DATOS!G:G,CONFIG_METADATA!$B$4,DATOS!D:D,A149,DATOS!I:I,B149,DATOS!K:K,5),"")</f>
        <v>0</v>
      </c>
      <c r="Q149">
        <f>IF(V149="Sí",COUNTIFS(DATOS!G:G,CONFIG_METADATA!$B$4,DATOS!D:D,A149,DATOS!I:I,B149,DATOS!K:K,6),"")</f>
        <v>0</v>
      </c>
      <c r="R149">
        <f>IF(V149="Sí",COUNTIFS(DATOS!G:G,CONFIG_METADATA!$B$4,DATOS!D:D,A149,DATOS!I:I,B149,DATOS!K:K,7),"")</f>
        <v>0</v>
      </c>
      <c r="S149">
        <f>IF(V149="Sí",COUNTIFS(DATOS!G:G,CONFIG_METADATA!$B$4,DATOS!D:D,A149,DATOS!I:I,B149,DATOS!K:K,8),"")</f>
        <v>0</v>
      </c>
      <c r="T149">
        <f>IF(V149="Sí",COUNTIFS(DATOS!G:G,CONFIG_METADATA!$B$4,DATOS!D:D,A149,DATOS!I:I,B149,DATOS!K:K,9),"")</f>
        <v>0</v>
      </c>
      <c r="U149">
        <f>IF(V149="Sí",COUNTIFS(DATOS!G:G,CONFIG_METADATA!$B$4,DATOS!D:D,A149,DATOS!I:I,B149,DATOS!K:K,10),"")</f>
        <v>0</v>
      </c>
      <c r="V149" t="str">
        <f>IFERROR(IF(ISERROR(FIND(A149,VLOOKUP(B149,CONFIG_ASIGNATURAS!B:C,2,FALSE()))),"No","Sí"),"No")</f>
        <v>Sí</v>
      </c>
    </row>
    <row r="150" spans="1:22">
      <c r="A150" s="3" t="inlineStr">
        <is>
          <t xml:space="preserve">2EEM</t>
        </is>
      </c>
      <c r="B150" s="3" cm="1">
        <f t="array" ref="B150">IFERROR(INDEX(_xlfn._xlws.FILTER(CONFIG_ASIGNATURAS!$B$2:$B$61,(CONFIG_ASIGNATURAS!$G$2:$G$61="Sí")*ISNUMBER(SEARCH("2EEM",CONFIG_ASIGNATURAS!$C$2:$C$61))),20),"")</f>
      </c>
      <c r="C150" s="3">
        <f>IF(B150="","",IFERROR(IF(VLOOKUP(B150,CONFIG_ASIGNATURAS!$B$2:$F$61,5,FALSE())="Sí","Especialidad","Asignatura"),"Asignatura"))</f>
      </c>
      <c r="D150">
        <f>IF(V150="Sí",COUNTIFS(DATOS!G:G,CONFIG_METADATA!$B$4,DATOS!D:D,A150,DATOS!I:I,B150),"")</f>
        <v>0</v>
      </c>
      <c r="E150" s="14" t="str">
        <f>IF(V150="Sí",IFERROR(AVERAGEIFS(DATOS!K:K,DATOS!G:G,CONFIG_METADATA!$B$4,DATOS!D:D,A150,DATOS!I:I,B150),"—"),"")</f>
        <v>—</v>
      </c>
      <c r="F150" s="14" t="str" cm="1">
        <f t="array" ref="F150">IF(V150="Sí",IFERROR(_xlfn.STDEV.P(IF((nEVAL=CONFIG_METADATA!$B$4)*(nCURSO=A150)*(nASIG=B150),nNOTA)),"—"),"")</f>
        <v>—</v>
      </c>
      <c r="G150" t="str" cm="1">
        <f t="array" ref="G150">IF(V150="Sí",IFERROR(_xlfn.MODE.SNGL(IF((nEVAL=CONFIG_METADATA!$B$4)*(nCURSO=A150)*(nASIG=B150),nNOTA)),"—"),"")</f>
        <v>—</v>
      </c>
      <c r="H150" s="15" t="str">
        <f>IF(V150="Sí",IFERROR(COUNTIFS(DATOS!G:G,CONFIG_METADATA!$B$4,DATOS!D:D,A150,DATOS!I:I,B150,DATOS!L:L,"S")/COUNTIFS(DATOS!G:G,CONFIG_METADATA!$B$4,DATOS!D:D,A150,DATOS!I:I,B150),"—"),"")</f>
        <v>—</v>
      </c>
      <c r="I150" s="15" t="str">
        <f>IF(V150="Sí",IFERROR(COUNTIFS(DATOS!G:G,CONFIG_METADATA!$B$4,DATOS!D:D,A150,DATOS!I:I,B150,DATOS!L:L,"N")/COUNTIFS(DATOS!G:G,CONFIG_METADATA!$B$4,DATOS!D:D,A150,DATOS!I:I,B150),"—"),"")</f>
        <v>—</v>
      </c>
      <c r="J150" t="str" cm="1">
        <f t="array" ref="J150">IF(V150="Sí",IFERROR(_xlfn.MODE.SNGL(IF((nEVAL=CONFIG_METADATA!$B$4)*(nCURSO=A150)*(nASIG=B150)*(nAPTO="S"),nNOTA)),"—"),"")</f>
        <v>—</v>
      </c>
      <c r="K150" t="str" cm="1">
        <f t="array" ref="K150">IF(V150="Sí",IFERROR(_xlfn.MODE.SNGL(IF((nEVAL=CONFIG_METADATA!$B$4)*(nCURSO=A150)*(nASIG=B150)*(nAPTO="N"),nNOTA)),"—"),"")</f>
        <v>—</v>
      </c>
      <c r="L150">
        <f>IF(V150="Sí",COUNTIFS(DATOS!G:G,CONFIG_METADATA!$B$4,DATOS!D:D,A150,DATOS!I:I,B150,DATOS!K:K,1),"")</f>
        <v>0</v>
      </c>
      <c r="M150">
        <f>IF(V150="Sí",COUNTIFS(DATOS!G:G,CONFIG_METADATA!$B$4,DATOS!D:D,A150,DATOS!I:I,B150,DATOS!K:K,2),"")</f>
        <v>0</v>
      </c>
      <c r="N150">
        <f>IF(V150="Sí",COUNTIFS(DATOS!G:G,CONFIG_METADATA!$B$4,DATOS!D:D,A150,DATOS!I:I,B150,DATOS!K:K,3),"")</f>
        <v>0</v>
      </c>
      <c r="O150">
        <f>IF(V150="Sí",COUNTIFS(DATOS!G:G,CONFIG_METADATA!$B$4,DATOS!D:D,A150,DATOS!I:I,B150,DATOS!K:K,4),"")</f>
        <v>0</v>
      </c>
      <c r="P150">
        <f>IF(V150="Sí",COUNTIFS(DATOS!G:G,CONFIG_METADATA!$B$4,DATOS!D:D,A150,DATOS!I:I,B150,DATOS!K:K,5),"")</f>
        <v>0</v>
      </c>
      <c r="Q150">
        <f>IF(V150="Sí",COUNTIFS(DATOS!G:G,CONFIG_METADATA!$B$4,DATOS!D:D,A150,DATOS!I:I,B150,DATOS!K:K,6),"")</f>
        <v>0</v>
      </c>
      <c r="R150">
        <f>IF(V150="Sí",COUNTIFS(DATOS!G:G,CONFIG_METADATA!$B$4,DATOS!D:D,A150,DATOS!I:I,B150,DATOS!K:K,7),"")</f>
        <v>0</v>
      </c>
      <c r="S150">
        <f>IF(V150="Sí",COUNTIFS(DATOS!G:G,CONFIG_METADATA!$B$4,DATOS!D:D,A150,DATOS!I:I,B150,DATOS!K:K,8),"")</f>
        <v>0</v>
      </c>
      <c r="T150">
        <f>IF(V150="Sí",COUNTIFS(DATOS!G:G,CONFIG_METADATA!$B$4,DATOS!D:D,A150,DATOS!I:I,B150,DATOS!K:K,9),"")</f>
        <v>0</v>
      </c>
      <c r="U150">
        <f>IF(V150="Sí",COUNTIFS(DATOS!G:G,CONFIG_METADATA!$B$4,DATOS!D:D,A150,DATOS!I:I,B150,DATOS!K:K,10),"")</f>
        <v>0</v>
      </c>
      <c r="V150" t="str">
        <f>IFERROR(IF(ISERROR(FIND(A150,VLOOKUP(B150,CONFIG_ASIGNATURAS!B:C,2,FALSE()))),"No","Sí"),"No")</f>
        <v>Sí</v>
      </c>
    </row>
    <row r="151" spans="1:22">
      <c r="A151" s="3" t="inlineStr">
        <is>
          <t xml:space="preserve">2EEM</t>
        </is>
      </c>
      <c r="B151" s="3" cm="1">
        <f t="array" ref="B151">IFERROR(INDEX(_xlfn._xlws.FILTER(CONFIG_ASIGNATURAS!$B$2:$B$61,(CONFIG_ASIGNATURAS!$G$2:$G$61="Sí")*ISNUMBER(SEARCH("2EEM",CONFIG_ASIGNATURAS!$C$2:$C$61))),21),"")</f>
      </c>
      <c r="C151" s="3">
        <f>IF(B151="","",IFERROR(IF(VLOOKUP(B151,CONFIG_ASIGNATURAS!$B$2:$F$61,5,FALSE())="Sí","Especialidad","Asignatura"),"Asignatura"))</f>
      </c>
      <c r="D151">
        <f>IF(V151="Sí",COUNTIFS(DATOS!G:G,CONFIG_METADATA!$B$4,DATOS!D:D,A151,DATOS!I:I,B151),"")</f>
        <v>0</v>
      </c>
      <c r="E151" s="14" t="str">
        <f>IF(V151="Sí",IFERROR(AVERAGEIFS(DATOS!K:K,DATOS!G:G,CONFIG_METADATA!$B$4,DATOS!D:D,A151,DATOS!I:I,B151),"—"),"")</f>
        <v>—</v>
      </c>
      <c r="F151" s="14" t="str" cm="1">
        <f t="array" ref="F151">IF(V151="Sí",IFERROR(_xlfn.STDEV.P(IF((nEVAL=CONFIG_METADATA!$B$4)*(nCURSO=A151)*(nASIG=B151),nNOTA)),"—"),"")</f>
        <v>—</v>
      </c>
      <c r="G151" t="str" cm="1">
        <f t="array" ref="G151">IF(V151="Sí",IFERROR(_xlfn.MODE.SNGL(IF((nEVAL=CONFIG_METADATA!$B$4)*(nCURSO=A151)*(nASIG=B151),nNOTA)),"—"),"")</f>
        <v>—</v>
      </c>
      <c r="H151" s="15" t="str">
        <f>IF(V151="Sí",IFERROR(COUNTIFS(DATOS!G:G,CONFIG_METADATA!$B$4,DATOS!D:D,A151,DATOS!I:I,B151,DATOS!L:L,"S")/COUNTIFS(DATOS!G:G,CONFIG_METADATA!$B$4,DATOS!D:D,A151,DATOS!I:I,B151),"—"),"")</f>
        <v>—</v>
      </c>
      <c r="I151" s="15" t="str">
        <f>IF(V151="Sí",IFERROR(COUNTIFS(DATOS!G:G,CONFIG_METADATA!$B$4,DATOS!D:D,A151,DATOS!I:I,B151,DATOS!L:L,"N")/COUNTIFS(DATOS!G:G,CONFIG_METADATA!$B$4,DATOS!D:D,A151,DATOS!I:I,B151),"—"),"")</f>
        <v>—</v>
      </c>
      <c r="J151" t="str" cm="1">
        <f t="array" ref="J151">IF(V151="Sí",IFERROR(_xlfn.MODE.SNGL(IF((nEVAL=CONFIG_METADATA!$B$4)*(nCURSO=A151)*(nASIG=B151)*(nAPTO="S"),nNOTA)),"—"),"")</f>
        <v>—</v>
      </c>
      <c r="K151" t="str" cm="1">
        <f t="array" ref="K151">IF(V151="Sí",IFERROR(_xlfn.MODE.SNGL(IF((nEVAL=CONFIG_METADATA!$B$4)*(nCURSO=A151)*(nASIG=B151)*(nAPTO="N"),nNOTA)),"—"),"")</f>
        <v>—</v>
      </c>
      <c r="L151">
        <f>IF(V151="Sí",COUNTIFS(DATOS!G:G,CONFIG_METADATA!$B$4,DATOS!D:D,A151,DATOS!I:I,B151,DATOS!K:K,1),"")</f>
        <v>0</v>
      </c>
      <c r="M151">
        <f>IF(V151="Sí",COUNTIFS(DATOS!G:G,CONFIG_METADATA!$B$4,DATOS!D:D,A151,DATOS!I:I,B151,DATOS!K:K,2),"")</f>
        <v>0</v>
      </c>
      <c r="N151">
        <f>IF(V151="Sí",COUNTIFS(DATOS!G:G,CONFIG_METADATA!$B$4,DATOS!D:D,A151,DATOS!I:I,B151,DATOS!K:K,3),"")</f>
        <v>0</v>
      </c>
      <c r="O151">
        <f>IF(V151="Sí",COUNTIFS(DATOS!G:G,CONFIG_METADATA!$B$4,DATOS!D:D,A151,DATOS!I:I,B151,DATOS!K:K,4),"")</f>
        <v>0</v>
      </c>
      <c r="P151">
        <f>IF(V151="Sí",COUNTIFS(DATOS!G:G,CONFIG_METADATA!$B$4,DATOS!D:D,A151,DATOS!I:I,B151,DATOS!K:K,5),"")</f>
        <v>0</v>
      </c>
      <c r="Q151">
        <f>IF(V151="Sí",COUNTIFS(DATOS!G:G,CONFIG_METADATA!$B$4,DATOS!D:D,A151,DATOS!I:I,B151,DATOS!K:K,6),"")</f>
        <v>0</v>
      </c>
      <c r="R151">
        <f>IF(V151="Sí",COUNTIFS(DATOS!G:G,CONFIG_METADATA!$B$4,DATOS!D:D,A151,DATOS!I:I,B151,DATOS!K:K,7),"")</f>
        <v>0</v>
      </c>
      <c r="S151">
        <f>IF(V151="Sí",COUNTIFS(DATOS!G:G,CONFIG_METADATA!$B$4,DATOS!D:D,A151,DATOS!I:I,B151,DATOS!K:K,8),"")</f>
        <v>0</v>
      </c>
      <c r="T151">
        <f>IF(V151="Sí",COUNTIFS(DATOS!G:G,CONFIG_METADATA!$B$4,DATOS!D:D,A151,DATOS!I:I,B151,DATOS!K:K,9),"")</f>
        <v>0</v>
      </c>
      <c r="U151">
        <f>IF(V151="Sí",COUNTIFS(DATOS!G:G,CONFIG_METADATA!$B$4,DATOS!D:D,A151,DATOS!I:I,B151,DATOS!K:K,10),"")</f>
        <v>0</v>
      </c>
      <c r="V151" t="str">
        <f>IFERROR(IF(ISERROR(FIND(A151,VLOOKUP(B151,CONFIG_ASIGNATURAS!B:C,2,FALSE()))),"No","Sí"),"No")</f>
        <v>Sí</v>
      </c>
    </row>
    <row r="152" spans="1:22">
      <c r="A152" s="3" t="inlineStr">
        <is>
          <t xml:space="preserve">2EEM</t>
        </is>
      </c>
      <c r="B152" s="3" cm="1">
        <f t="array" ref="B152">IFERROR(INDEX(_xlfn._xlws.FILTER(CONFIG_ASIGNATURAS!$B$2:$B$61,(CONFIG_ASIGNATURAS!$G$2:$G$61="Sí")*ISNUMBER(SEARCH("2EEM",CONFIG_ASIGNATURAS!$C$2:$C$61))),22),"")</f>
      </c>
      <c r="C152" s="3">
        <f>IF(B152="","",IFERROR(IF(VLOOKUP(B152,CONFIG_ASIGNATURAS!$B$2:$F$61,5,FALSE())="Sí","Especialidad","Asignatura"),"Asignatura"))</f>
      </c>
      <c r="D152">
        <f>IF(V152="Sí",COUNTIFS(DATOS!G:G,CONFIG_METADATA!$B$4,DATOS!D:D,A152,DATOS!I:I,B152),"")</f>
        <v>0</v>
      </c>
      <c r="E152" s="14" t="str">
        <f>IF(V152="Sí",IFERROR(AVERAGEIFS(DATOS!K:K,DATOS!G:G,CONFIG_METADATA!$B$4,DATOS!D:D,A152,DATOS!I:I,B152),"—"),"")</f>
        <v>—</v>
      </c>
      <c r="F152" s="14" t="str" cm="1">
        <f t="array" ref="F152">IF(V152="Sí",IFERROR(_xlfn.STDEV.P(IF((nEVAL=CONFIG_METADATA!$B$4)*(nCURSO=A152)*(nASIG=B152),nNOTA)),"—"),"")</f>
        <v>—</v>
      </c>
      <c r="G152" t="str" cm="1">
        <f t="array" ref="G152">IF(V152="Sí",IFERROR(_xlfn.MODE.SNGL(IF((nEVAL=CONFIG_METADATA!$B$4)*(nCURSO=A152)*(nASIG=B152),nNOTA)),"—"),"")</f>
        <v>—</v>
      </c>
      <c r="H152" s="15" t="str">
        <f>IF(V152="Sí",IFERROR(COUNTIFS(DATOS!G:G,CONFIG_METADATA!$B$4,DATOS!D:D,A152,DATOS!I:I,B152,DATOS!L:L,"S")/COUNTIFS(DATOS!G:G,CONFIG_METADATA!$B$4,DATOS!D:D,A152,DATOS!I:I,B152),"—"),"")</f>
        <v>—</v>
      </c>
      <c r="I152" s="15" t="str">
        <f>IF(V152="Sí",IFERROR(COUNTIFS(DATOS!G:G,CONFIG_METADATA!$B$4,DATOS!D:D,A152,DATOS!I:I,B152,DATOS!L:L,"N")/COUNTIFS(DATOS!G:G,CONFIG_METADATA!$B$4,DATOS!D:D,A152,DATOS!I:I,B152),"—"),"")</f>
        <v>—</v>
      </c>
      <c r="J152" t="str" cm="1">
        <f t="array" ref="J152">IF(V152="Sí",IFERROR(_xlfn.MODE.SNGL(IF((nEVAL=CONFIG_METADATA!$B$4)*(nCURSO=A152)*(nASIG=B152)*(nAPTO="S"),nNOTA)),"—"),"")</f>
        <v>—</v>
      </c>
      <c r="K152" t="str" cm="1">
        <f t="array" ref="K152">IF(V152="Sí",IFERROR(_xlfn.MODE.SNGL(IF((nEVAL=CONFIG_METADATA!$B$4)*(nCURSO=A152)*(nASIG=B152)*(nAPTO="N"),nNOTA)),"—"),"")</f>
        <v>—</v>
      </c>
      <c r="L152">
        <f>IF(V152="Sí",COUNTIFS(DATOS!G:G,CONFIG_METADATA!$B$4,DATOS!D:D,A152,DATOS!I:I,B152,DATOS!K:K,1),"")</f>
        <v>0</v>
      </c>
      <c r="M152">
        <f>IF(V152="Sí",COUNTIFS(DATOS!G:G,CONFIG_METADATA!$B$4,DATOS!D:D,A152,DATOS!I:I,B152,DATOS!K:K,2),"")</f>
        <v>0</v>
      </c>
      <c r="N152">
        <f>IF(V152="Sí",COUNTIFS(DATOS!G:G,CONFIG_METADATA!$B$4,DATOS!D:D,A152,DATOS!I:I,B152,DATOS!K:K,3),"")</f>
        <v>0</v>
      </c>
      <c r="O152">
        <f>IF(V152="Sí",COUNTIFS(DATOS!G:G,CONFIG_METADATA!$B$4,DATOS!D:D,A152,DATOS!I:I,B152,DATOS!K:K,4),"")</f>
        <v>0</v>
      </c>
      <c r="P152">
        <f>IF(V152="Sí",COUNTIFS(DATOS!G:G,CONFIG_METADATA!$B$4,DATOS!D:D,A152,DATOS!I:I,B152,DATOS!K:K,5),"")</f>
        <v>0</v>
      </c>
      <c r="Q152">
        <f>IF(V152="Sí",COUNTIFS(DATOS!G:G,CONFIG_METADATA!$B$4,DATOS!D:D,A152,DATOS!I:I,B152,DATOS!K:K,6),"")</f>
        <v>0</v>
      </c>
      <c r="R152">
        <f>IF(V152="Sí",COUNTIFS(DATOS!G:G,CONFIG_METADATA!$B$4,DATOS!D:D,A152,DATOS!I:I,B152,DATOS!K:K,7),"")</f>
        <v>0</v>
      </c>
      <c r="S152">
        <f>IF(V152="Sí",COUNTIFS(DATOS!G:G,CONFIG_METADATA!$B$4,DATOS!D:D,A152,DATOS!I:I,B152,DATOS!K:K,8),"")</f>
        <v>0</v>
      </c>
      <c r="T152">
        <f>IF(V152="Sí",COUNTIFS(DATOS!G:G,CONFIG_METADATA!$B$4,DATOS!D:D,A152,DATOS!I:I,B152,DATOS!K:K,9),"")</f>
        <v>0</v>
      </c>
      <c r="U152">
        <f>IF(V152="Sí",COUNTIFS(DATOS!G:G,CONFIG_METADATA!$B$4,DATOS!D:D,A152,DATOS!I:I,B152,DATOS!K:K,10),"")</f>
        <v>0</v>
      </c>
      <c r="V152" t="str">
        <f>IFERROR(IF(ISERROR(FIND(A152,VLOOKUP(B152,CONFIG_ASIGNATURAS!B:C,2,FALSE()))),"No","Sí"),"No")</f>
        <v>Sí</v>
      </c>
    </row>
    <row r="153" spans="1:22">
      <c r="A153" s="3" t="inlineStr">
        <is>
          <t xml:space="preserve">2EEM</t>
        </is>
      </c>
      <c r="B153" s="3" cm="1">
        <f t="array" ref="B153">IFERROR(INDEX(_xlfn._xlws.FILTER(CONFIG_ASIGNATURAS!$B$2:$B$61,(CONFIG_ASIGNATURAS!$G$2:$G$61="Sí")*ISNUMBER(SEARCH("2EEM",CONFIG_ASIGNATURAS!$C$2:$C$61))),23),"")</f>
      </c>
      <c r="C153" s="3">
        <f>IF(B153="","",IFERROR(IF(VLOOKUP(B153,CONFIG_ASIGNATURAS!$B$2:$F$61,5,FALSE())="Sí","Especialidad","Asignatura"),"Asignatura"))</f>
      </c>
      <c r="D153">
        <f>IF(V153="Sí",COUNTIFS(DATOS!G:G,CONFIG_METADATA!$B$4,DATOS!D:D,A153,DATOS!I:I,B153),"")</f>
        <v>0</v>
      </c>
      <c r="E153" s="14" t="str">
        <f>IF(V153="Sí",IFERROR(AVERAGEIFS(DATOS!K:K,DATOS!G:G,CONFIG_METADATA!$B$4,DATOS!D:D,A153,DATOS!I:I,B153),"—"),"")</f>
        <v>—</v>
      </c>
      <c r="F153" s="14" t="str" cm="1">
        <f t="array" ref="F153">IF(V153="Sí",IFERROR(_xlfn.STDEV.P(IF((nEVAL=CONFIG_METADATA!$B$4)*(nCURSO=A153)*(nASIG=B153),nNOTA)),"—"),"")</f>
        <v>—</v>
      </c>
      <c r="G153" t="str" cm="1">
        <f t="array" ref="G153">IF(V153="Sí",IFERROR(_xlfn.MODE.SNGL(IF((nEVAL=CONFIG_METADATA!$B$4)*(nCURSO=A153)*(nASIG=B153),nNOTA)),"—"),"")</f>
        <v>—</v>
      </c>
      <c r="H153" s="15" t="str">
        <f>IF(V153="Sí",IFERROR(COUNTIFS(DATOS!G:G,CONFIG_METADATA!$B$4,DATOS!D:D,A153,DATOS!I:I,B153,DATOS!L:L,"S")/COUNTIFS(DATOS!G:G,CONFIG_METADATA!$B$4,DATOS!D:D,A153,DATOS!I:I,B153),"—"),"")</f>
        <v>—</v>
      </c>
      <c r="I153" s="15" t="str">
        <f>IF(V153="Sí",IFERROR(COUNTIFS(DATOS!G:G,CONFIG_METADATA!$B$4,DATOS!D:D,A153,DATOS!I:I,B153,DATOS!L:L,"N")/COUNTIFS(DATOS!G:G,CONFIG_METADATA!$B$4,DATOS!D:D,A153,DATOS!I:I,B153),"—"),"")</f>
        <v>—</v>
      </c>
      <c r="J153" t="str" cm="1">
        <f t="array" ref="J153">IF(V153="Sí",IFERROR(_xlfn.MODE.SNGL(IF((nEVAL=CONFIG_METADATA!$B$4)*(nCURSO=A153)*(nASIG=B153)*(nAPTO="S"),nNOTA)),"—"),"")</f>
        <v>—</v>
      </c>
      <c r="K153" t="str" cm="1">
        <f t="array" ref="K153">IF(V153="Sí",IFERROR(_xlfn.MODE.SNGL(IF((nEVAL=CONFIG_METADATA!$B$4)*(nCURSO=A153)*(nASIG=B153)*(nAPTO="N"),nNOTA)),"—"),"")</f>
        <v>—</v>
      </c>
      <c r="L153">
        <f>IF(V153="Sí",COUNTIFS(DATOS!G:G,CONFIG_METADATA!$B$4,DATOS!D:D,A153,DATOS!I:I,B153,DATOS!K:K,1),"")</f>
        <v>0</v>
      </c>
      <c r="M153">
        <f>IF(V153="Sí",COUNTIFS(DATOS!G:G,CONFIG_METADATA!$B$4,DATOS!D:D,A153,DATOS!I:I,B153,DATOS!K:K,2),"")</f>
        <v>0</v>
      </c>
      <c r="N153">
        <f>IF(V153="Sí",COUNTIFS(DATOS!G:G,CONFIG_METADATA!$B$4,DATOS!D:D,A153,DATOS!I:I,B153,DATOS!K:K,3),"")</f>
        <v>0</v>
      </c>
      <c r="O153">
        <f>IF(V153="Sí",COUNTIFS(DATOS!G:G,CONFIG_METADATA!$B$4,DATOS!D:D,A153,DATOS!I:I,B153,DATOS!K:K,4),"")</f>
        <v>0</v>
      </c>
      <c r="P153">
        <f>IF(V153="Sí",COUNTIFS(DATOS!G:G,CONFIG_METADATA!$B$4,DATOS!D:D,A153,DATOS!I:I,B153,DATOS!K:K,5),"")</f>
        <v>0</v>
      </c>
      <c r="Q153">
        <f>IF(V153="Sí",COUNTIFS(DATOS!G:G,CONFIG_METADATA!$B$4,DATOS!D:D,A153,DATOS!I:I,B153,DATOS!K:K,6),"")</f>
        <v>0</v>
      </c>
      <c r="R153">
        <f>IF(V153="Sí",COUNTIFS(DATOS!G:G,CONFIG_METADATA!$B$4,DATOS!D:D,A153,DATOS!I:I,B153,DATOS!K:K,7),"")</f>
        <v>0</v>
      </c>
      <c r="S153">
        <f>IF(V153="Sí",COUNTIFS(DATOS!G:G,CONFIG_METADATA!$B$4,DATOS!D:D,A153,DATOS!I:I,B153,DATOS!K:K,8),"")</f>
        <v>0</v>
      </c>
      <c r="T153">
        <f>IF(V153="Sí",COUNTIFS(DATOS!G:G,CONFIG_METADATA!$B$4,DATOS!D:D,A153,DATOS!I:I,B153,DATOS!K:K,9),"")</f>
        <v>0</v>
      </c>
      <c r="U153">
        <f>IF(V153="Sí",COUNTIFS(DATOS!G:G,CONFIG_METADATA!$B$4,DATOS!D:D,A153,DATOS!I:I,B153,DATOS!K:K,10),"")</f>
        <v>0</v>
      </c>
      <c r="V153" t="str">
        <f>IFERROR(IF(ISERROR(FIND(A153,VLOOKUP(B153,CONFIG_ASIGNATURAS!B:C,2,FALSE()))),"No","Sí"),"No")</f>
        <v>Sí</v>
      </c>
    </row>
    <row r="154" spans="1:22">
      <c r="A154" s="3" t="inlineStr">
        <is>
          <t xml:space="preserve">2EEM</t>
        </is>
      </c>
      <c r="B154" s="3" cm="1">
        <f t="array" ref="B154">IFERROR(INDEX(_xlfn._xlws.FILTER(CONFIG_ASIGNATURAS!$B$2:$B$61,(CONFIG_ASIGNATURAS!$G$2:$G$61="Sí")*ISNUMBER(SEARCH("2EEM",CONFIG_ASIGNATURAS!$C$2:$C$61))),24),"")</f>
      </c>
      <c r="C154" s="3">
        <f>IF(B154="","",IFERROR(IF(VLOOKUP(B154,CONFIG_ASIGNATURAS!$B$2:$F$61,5,FALSE())="Sí","Especialidad","Asignatura"),"Asignatura"))</f>
      </c>
      <c r="D154">
        <f>IF(V154="Sí",COUNTIFS(DATOS!G:G,CONFIG_METADATA!$B$4,DATOS!D:D,A154,DATOS!I:I,B154),"")</f>
        <v>0</v>
      </c>
      <c r="E154" s="14" t="str">
        <f>IF(V154="Sí",IFERROR(AVERAGEIFS(DATOS!K:K,DATOS!G:G,CONFIG_METADATA!$B$4,DATOS!D:D,A154,DATOS!I:I,B154),"—"),"")</f>
        <v>—</v>
      </c>
      <c r="F154" s="14" t="str" cm="1">
        <f t="array" ref="F154">IF(V154="Sí",IFERROR(_xlfn.STDEV.P(IF((nEVAL=CONFIG_METADATA!$B$4)*(nCURSO=A154)*(nASIG=B154),nNOTA)),"—"),"")</f>
        <v>—</v>
      </c>
      <c r="G154" t="str" cm="1">
        <f t="array" ref="G154">IF(V154="Sí",IFERROR(_xlfn.MODE.SNGL(IF((nEVAL=CONFIG_METADATA!$B$4)*(nCURSO=A154)*(nASIG=B154),nNOTA)),"—"),"")</f>
        <v>—</v>
      </c>
      <c r="H154" s="15" t="str">
        <f>IF(V154="Sí",IFERROR(COUNTIFS(DATOS!G:G,CONFIG_METADATA!$B$4,DATOS!D:D,A154,DATOS!I:I,B154,DATOS!L:L,"S")/COUNTIFS(DATOS!G:G,CONFIG_METADATA!$B$4,DATOS!D:D,A154,DATOS!I:I,B154),"—"),"")</f>
        <v>—</v>
      </c>
      <c r="I154" s="15" t="str">
        <f>IF(V154="Sí",IFERROR(COUNTIFS(DATOS!G:G,CONFIG_METADATA!$B$4,DATOS!D:D,A154,DATOS!I:I,B154,DATOS!L:L,"N")/COUNTIFS(DATOS!G:G,CONFIG_METADATA!$B$4,DATOS!D:D,A154,DATOS!I:I,B154),"—"),"")</f>
        <v>—</v>
      </c>
      <c r="J154" t="str" cm="1">
        <f t="array" ref="J154">IF(V154="Sí",IFERROR(_xlfn.MODE.SNGL(IF((nEVAL=CONFIG_METADATA!$B$4)*(nCURSO=A154)*(nASIG=B154)*(nAPTO="S"),nNOTA)),"—"),"")</f>
        <v>—</v>
      </c>
      <c r="K154" t="str" cm="1">
        <f t="array" ref="K154">IF(V154="Sí",IFERROR(_xlfn.MODE.SNGL(IF((nEVAL=CONFIG_METADATA!$B$4)*(nCURSO=A154)*(nASIG=B154)*(nAPTO="N"),nNOTA)),"—"),"")</f>
        <v>—</v>
      </c>
      <c r="L154">
        <f>IF(V154="Sí",COUNTIFS(DATOS!G:G,CONFIG_METADATA!$B$4,DATOS!D:D,A154,DATOS!I:I,B154,DATOS!K:K,1),"")</f>
        <v>0</v>
      </c>
      <c r="M154">
        <f>IF(V154="Sí",COUNTIFS(DATOS!G:G,CONFIG_METADATA!$B$4,DATOS!D:D,A154,DATOS!I:I,B154,DATOS!K:K,2),"")</f>
        <v>0</v>
      </c>
      <c r="N154">
        <f>IF(V154="Sí",COUNTIFS(DATOS!G:G,CONFIG_METADATA!$B$4,DATOS!D:D,A154,DATOS!I:I,B154,DATOS!K:K,3),"")</f>
        <v>0</v>
      </c>
      <c r="O154">
        <f>IF(V154="Sí",COUNTIFS(DATOS!G:G,CONFIG_METADATA!$B$4,DATOS!D:D,A154,DATOS!I:I,B154,DATOS!K:K,4),"")</f>
        <v>0</v>
      </c>
      <c r="P154">
        <f>IF(V154="Sí",COUNTIFS(DATOS!G:G,CONFIG_METADATA!$B$4,DATOS!D:D,A154,DATOS!I:I,B154,DATOS!K:K,5),"")</f>
        <v>0</v>
      </c>
      <c r="Q154">
        <f>IF(V154="Sí",COUNTIFS(DATOS!G:G,CONFIG_METADATA!$B$4,DATOS!D:D,A154,DATOS!I:I,B154,DATOS!K:K,6),"")</f>
        <v>0</v>
      </c>
      <c r="R154">
        <f>IF(V154="Sí",COUNTIFS(DATOS!G:G,CONFIG_METADATA!$B$4,DATOS!D:D,A154,DATOS!I:I,B154,DATOS!K:K,7),"")</f>
        <v>0</v>
      </c>
      <c r="S154">
        <f>IF(V154="Sí",COUNTIFS(DATOS!G:G,CONFIG_METADATA!$B$4,DATOS!D:D,A154,DATOS!I:I,B154,DATOS!K:K,8),"")</f>
        <v>0</v>
      </c>
      <c r="T154">
        <f>IF(V154="Sí",COUNTIFS(DATOS!G:G,CONFIG_METADATA!$B$4,DATOS!D:D,A154,DATOS!I:I,B154,DATOS!K:K,9),"")</f>
        <v>0</v>
      </c>
      <c r="U154">
        <f>IF(V154="Sí",COUNTIFS(DATOS!G:G,CONFIG_METADATA!$B$4,DATOS!D:D,A154,DATOS!I:I,B154,DATOS!K:K,10),"")</f>
        <v>0</v>
      </c>
      <c r="V154" t="str">
        <f>IFERROR(IF(ISERROR(FIND(A154,VLOOKUP(B154,CONFIG_ASIGNATURAS!B:C,2,FALSE()))),"No","Sí"),"No")</f>
        <v>Sí</v>
      </c>
    </row>
    <row r="155" spans="1:22">
      <c r="A155" s="3" t="inlineStr">
        <is>
          <t xml:space="preserve">2EEM</t>
        </is>
      </c>
      <c r="B155" s="3" cm="1">
        <f t="array" ref="B155">IFERROR(INDEX(_xlfn._xlws.FILTER(CONFIG_ASIGNATURAS!$B$2:$B$61,(CONFIG_ASIGNATURAS!$G$2:$G$61="Sí")*ISNUMBER(SEARCH("2EEM",CONFIG_ASIGNATURAS!$C$2:$C$61))),25),"")</f>
      </c>
      <c r="C155" s="3">
        <f>IF(B155="","",IFERROR(IF(VLOOKUP(B155,CONFIG_ASIGNATURAS!$B$2:$F$61,5,FALSE())="Sí","Especialidad","Asignatura"),"Asignatura"))</f>
      </c>
      <c r="D155">
        <f>IF(V155="Sí",COUNTIFS(DATOS!G:G,CONFIG_METADATA!$B$4,DATOS!D:D,A155,DATOS!I:I,B155),"")</f>
        <v>0</v>
      </c>
      <c r="E155" s="14" t="str">
        <f>IF(V155="Sí",IFERROR(AVERAGEIFS(DATOS!K:K,DATOS!G:G,CONFIG_METADATA!$B$4,DATOS!D:D,A155,DATOS!I:I,B155),"—"),"")</f>
        <v>—</v>
      </c>
      <c r="F155" s="14" t="str" cm="1">
        <f t="array" ref="F155">IF(V155="Sí",IFERROR(_xlfn.STDEV.P(IF((nEVAL=CONFIG_METADATA!$B$4)*(nCURSO=A155)*(nASIG=B155),nNOTA)),"—"),"")</f>
        <v>—</v>
      </c>
      <c r="G155" t="str" cm="1">
        <f t="array" ref="G155">IF(V155="Sí",IFERROR(_xlfn.MODE.SNGL(IF((nEVAL=CONFIG_METADATA!$B$4)*(nCURSO=A155)*(nASIG=B155),nNOTA)),"—"),"")</f>
        <v>—</v>
      </c>
      <c r="H155" s="15" t="str">
        <f>IF(V155="Sí",IFERROR(COUNTIFS(DATOS!G:G,CONFIG_METADATA!$B$4,DATOS!D:D,A155,DATOS!I:I,B155,DATOS!L:L,"S")/COUNTIFS(DATOS!G:G,CONFIG_METADATA!$B$4,DATOS!D:D,A155,DATOS!I:I,B155),"—"),"")</f>
        <v>—</v>
      </c>
      <c r="I155" s="15" t="str">
        <f>IF(V155="Sí",IFERROR(COUNTIFS(DATOS!G:G,CONFIG_METADATA!$B$4,DATOS!D:D,A155,DATOS!I:I,B155,DATOS!L:L,"N")/COUNTIFS(DATOS!G:G,CONFIG_METADATA!$B$4,DATOS!D:D,A155,DATOS!I:I,B155),"—"),"")</f>
        <v>—</v>
      </c>
      <c r="J155" t="str" cm="1">
        <f t="array" ref="J155">IF(V155="Sí",IFERROR(_xlfn.MODE.SNGL(IF((nEVAL=CONFIG_METADATA!$B$4)*(nCURSO=A155)*(nASIG=B155)*(nAPTO="S"),nNOTA)),"—"),"")</f>
        <v>—</v>
      </c>
      <c r="K155" t="str" cm="1">
        <f t="array" ref="K155">IF(V155="Sí",IFERROR(_xlfn.MODE.SNGL(IF((nEVAL=CONFIG_METADATA!$B$4)*(nCURSO=A155)*(nASIG=B155)*(nAPTO="N"),nNOTA)),"—"),"")</f>
        <v>—</v>
      </c>
      <c r="L155">
        <f>IF(V155="Sí",COUNTIFS(DATOS!G:G,CONFIG_METADATA!$B$4,DATOS!D:D,A155,DATOS!I:I,B155,DATOS!K:K,1),"")</f>
        <v>0</v>
      </c>
      <c r="M155">
        <f>IF(V155="Sí",COUNTIFS(DATOS!G:G,CONFIG_METADATA!$B$4,DATOS!D:D,A155,DATOS!I:I,B155,DATOS!K:K,2),"")</f>
        <v>0</v>
      </c>
      <c r="N155">
        <f>IF(V155="Sí",COUNTIFS(DATOS!G:G,CONFIG_METADATA!$B$4,DATOS!D:D,A155,DATOS!I:I,B155,DATOS!K:K,3),"")</f>
        <v>0</v>
      </c>
      <c r="O155">
        <f>IF(V155="Sí",COUNTIFS(DATOS!G:G,CONFIG_METADATA!$B$4,DATOS!D:D,A155,DATOS!I:I,B155,DATOS!K:K,4),"")</f>
        <v>0</v>
      </c>
      <c r="P155">
        <f>IF(V155="Sí",COUNTIFS(DATOS!G:G,CONFIG_METADATA!$B$4,DATOS!D:D,A155,DATOS!I:I,B155,DATOS!K:K,5),"")</f>
        <v>0</v>
      </c>
      <c r="Q155">
        <f>IF(V155="Sí",COUNTIFS(DATOS!G:G,CONFIG_METADATA!$B$4,DATOS!D:D,A155,DATOS!I:I,B155,DATOS!K:K,6),"")</f>
        <v>0</v>
      </c>
      <c r="R155">
        <f>IF(V155="Sí",COUNTIFS(DATOS!G:G,CONFIG_METADATA!$B$4,DATOS!D:D,A155,DATOS!I:I,B155,DATOS!K:K,7),"")</f>
        <v>0</v>
      </c>
      <c r="S155">
        <f>IF(V155="Sí",COUNTIFS(DATOS!G:G,CONFIG_METADATA!$B$4,DATOS!D:D,A155,DATOS!I:I,B155,DATOS!K:K,8),"")</f>
        <v>0</v>
      </c>
      <c r="T155">
        <f>IF(V155="Sí",COUNTIFS(DATOS!G:G,CONFIG_METADATA!$B$4,DATOS!D:D,A155,DATOS!I:I,B155,DATOS!K:K,9),"")</f>
        <v>0</v>
      </c>
      <c r="U155">
        <f>IF(V155="Sí",COUNTIFS(DATOS!G:G,CONFIG_METADATA!$B$4,DATOS!D:D,A155,DATOS!I:I,B155,DATOS!K:K,10),"")</f>
        <v>0</v>
      </c>
      <c r="V155" t="str">
        <f>IFERROR(IF(ISERROR(FIND(A155,VLOOKUP(B155,CONFIG_ASIGNATURAS!B:C,2,FALSE()))),"No","Sí"),"No")</f>
        <v>Sí</v>
      </c>
    </row>
    <row r="156" spans="1:22">
      <c r="A156" s="3" t="inlineStr">
        <is>
          <t xml:space="preserve">2EEM</t>
        </is>
      </c>
      <c r="B156" s="3" cm="1">
        <f t="array" ref="B156">IFERROR(INDEX(_xlfn._xlws.FILTER(CONFIG_ASIGNATURAS!$B$2:$B$61,(CONFIG_ASIGNATURAS!$G$2:$G$61="Sí")*ISNUMBER(SEARCH("2EEM",CONFIG_ASIGNATURAS!$C$2:$C$61))),26),"")</f>
      </c>
      <c r="C156" s="3">
        <f>IF(B156="","",IFERROR(IF(VLOOKUP(B156,CONFIG_ASIGNATURAS!$B$2:$F$61,5,FALSE())="Sí","Especialidad","Asignatura"),"Asignatura"))</f>
      </c>
      <c r="D156">
        <f>IF(V156="Sí",COUNTIFS(DATOS!G:G,CONFIG_METADATA!$B$4,DATOS!D:D,A156,DATOS!I:I,B156),"")</f>
        <v>0</v>
      </c>
      <c r="E156" s="14" t="str">
        <f>IF(V156="Sí",IFERROR(AVERAGEIFS(DATOS!K:K,DATOS!G:G,CONFIG_METADATA!$B$4,DATOS!D:D,A156,DATOS!I:I,B156),"—"),"")</f>
        <v>—</v>
      </c>
      <c r="F156" s="14" t="str" cm="1">
        <f t="array" ref="F156">IF(V156="Sí",IFERROR(_xlfn.STDEV.P(IF((nEVAL=CONFIG_METADATA!$B$4)*(nCURSO=A156)*(nASIG=B156),nNOTA)),"—"),"")</f>
        <v>—</v>
      </c>
      <c r="G156" t="str" cm="1">
        <f t="array" ref="G156">IF(V156="Sí",IFERROR(_xlfn.MODE.SNGL(IF((nEVAL=CONFIG_METADATA!$B$4)*(nCURSO=A156)*(nASIG=B156),nNOTA)),"—"),"")</f>
        <v>—</v>
      </c>
      <c r="H156" s="15" t="str">
        <f>IF(V156="Sí",IFERROR(COUNTIFS(DATOS!G:G,CONFIG_METADATA!$B$4,DATOS!D:D,A156,DATOS!I:I,B156,DATOS!L:L,"S")/COUNTIFS(DATOS!G:G,CONFIG_METADATA!$B$4,DATOS!D:D,A156,DATOS!I:I,B156),"—"),"")</f>
        <v>—</v>
      </c>
      <c r="I156" s="15" t="str">
        <f>IF(V156="Sí",IFERROR(COUNTIFS(DATOS!G:G,CONFIG_METADATA!$B$4,DATOS!D:D,A156,DATOS!I:I,B156,DATOS!L:L,"N")/COUNTIFS(DATOS!G:G,CONFIG_METADATA!$B$4,DATOS!D:D,A156,DATOS!I:I,B156),"—"),"")</f>
        <v>—</v>
      </c>
      <c r="J156" t="str" cm="1">
        <f t="array" ref="J156">IF(V156="Sí",IFERROR(_xlfn.MODE.SNGL(IF((nEVAL=CONFIG_METADATA!$B$4)*(nCURSO=A156)*(nASIG=B156)*(nAPTO="S"),nNOTA)),"—"),"")</f>
        <v>—</v>
      </c>
      <c r="K156" t="str" cm="1">
        <f t="array" ref="K156">IF(V156="Sí",IFERROR(_xlfn.MODE.SNGL(IF((nEVAL=CONFIG_METADATA!$B$4)*(nCURSO=A156)*(nASIG=B156)*(nAPTO="N"),nNOTA)),"—"),"")</f>
        <v>—</v>
      </c>
      <c r="L156">
        <f>IF(V156="Sí",COUNTIFS(DATOS!G:G,CONFIG_METADATA!$B$4,DATOS!D:D,A156,DATOS!I:I,B156,DATOS!K:K,1),"")</f>
        <v>0</v>
      </c>
      <c r="M156">
        <f>IF(V156="Sí",COUNTIFS(DATOS!G:G,CONFIG_METADATA!$B$4,DATOS!D:D,A156,DATOS!I:I,B156,DATOS!K:K,2),"")</f>
        <v>0</v>
      </c>
      <c r="N156">
        <f>IF(V156="Sí",COUNTIFS(DATOS!G:G,CONFIG_METADATA!$B$4,DATOS!D:D,A156,DATOS!I:I,B156,DATOS!K:K,3),"")</f>
        <v>0</v>
      </c>
      <c r="O156">
        <f>IF(V156="Sí",COUNTIFS(DATOS!G:G,CONFIG_METADATA!$B$4,DATOS!D:D,A156,DATOS!I:I,B156,DATOS!K:K,4),"")</f>
        <v>0</v>
      </c>
      <c r="P156">
        <f>IF(V156="Sí",COUNTIFS(DATOS!G:G,CONFIG_METADATA!$B$4,DATOS!D:D,A156,DATOS!I:I,B156,DATOS!K:K,5),"")</f>
        <v>0</v>
      </c>
      <c r="Q156">
        <f>IF(V156="Sí",COUNTIFS(DATOS!G:G,CONFIG_METADATA!$B$4,DATOS!D:D,A156,DATOS!I:I,B156,DATOS!K:K,6),"")</f>
        <v>0</v>
      </c>
      <c r="R156">
        <f>IF(V156="Sí",COUNTIFS(DATOS!G:G,CONFIG_METADATA!$B$4,DATOS!D:D,A156,DATOS!I:I,B156,DATOS!K:K,7),"")</f>
        <v>0</v>
      </c>
      <c r="S156">
        <f>IF(V156="Sí",COUNTIFS(DATOS!G:G,CONFIG_METADATA!$B$4,DATOS!D:D,A156,DATOS!I:I,B156,DATOS!K:K,8),"")</f>
        <v>0</v>
      </c>
      <c r="T156">
        <f>IF(V156="Sí",COUNTIFS(DATOS!G:G,CONFIG_METADATA!$B$4,DATOS!D:D,A156,DATOS!I:I,B156,DATOS!K:K,9),"")</f>
        <v>0</v>
      </c>
      <c r="U156">
        <f>IF(V156="Sí",COUNTIFS(DATOS!G:G,CONFIG_METADATA!$B$4,DATOS!D:D,A156,DATOS!I:I,B156,DATOS!K:K,10),"")</f>
        <v>0</v>
      </c>
      <c r="V156" t="str">
        <f>IFERROR(IF(ISERROR(FIND(A156,VLOOKUP(B156,CONFIG_ASIGNATURAS!B:C,2,FALSE()))),"No","Sí"),"No")</f>
        <v>Sí</v>
      </c>
    </row>
    <row r="157" spans="1:22">
      <c r="A157" s="3" t="inlineStr">
        <is>
          <t xml:space="preserve">2EEM</t>
        </is>
      </c>
      <c r="B157" s="3" cm="1">
        <f t="array" ref="B157">IFERROR(INDEX(_xlfn._xlws.FILTER(CONFIG_ASIGNATURAS!$B$2:$B$61,(CONFIG_ASIGNATURAS!$G$2:$G$61="Sí")*ISNUMBER(SEARCH("2EEM",CONFIG_ASIGNATURAS!$C$2:$C$61))),27),"")</f>
      </c>
      <c r="C157" s="3">
        <f>IF(B157="","",IFERROR(IF(VLOOKUP(B157,CONFIG_ASIGNATURAS!$B$2:$F$61,5,FALSE())="Sí","Especialidad","Asignatura"),"Asignatura"))</f>
      </c>
      <c r="D157">
        <f>IF(V157="Sí",COUNTIFS(DATOS!G:G,CONFIG_METADATA!$B$4,DATOS!D:D,A157,DATOS!I:I,B157),"")</f>
        <v>0</v>
      </c>
      <c r="E157" s="14" t="str">
        <f>IF(V157="Sí",IFERROR(AVERAGEIFS(DATOS!K:K,DATOS!G:G,CONFIG_METADATA!$B$4,DATOS!D:D,A157,DATOS!I:I,B157),"—"),"")</f>
        <v>—</v>
      </c>
      <c r="F157" s="14" t="str" cm="1">
        <f t="array" ref="F157">IF(V157="Sí",IFERROR(_xlfn.STDEV.P(IF((nEVAL=CONFIG_METADATA!$B$4)*(nCURSO=A157)*(nASIG=B157),nNOTA)),"—"),"")</f>
        <v>—</v>
      </c>
      <c r="G157" t="str" cm="1">
        <f t="array" ref="G157">IF(V157="Sí",IFERROR(_xlfn.MODE.SNGL(IF((nEVAL=CONFIG_METADATA!$B$4)*(nCURSO=A157)*(nASIG=B157),nNOTA)),"—"),"")</f>
        <v>—</v>
      </c>
      <c r="H157" s="15" t="str">
        <f>IF(V157="Sí",IFERROR(COUNTIFS(DATOS!G:G,CONFIG_METADATA!$B$4,DATOS!D:D,A157,DATOS!I:I,B157,DATOS!L:L,"S")/COUNTIFS(DATOS!G:G,CONFIG_METADATA!$B$4,DATOS!D:D,A157,DATOS!I:I,B157),"—"),"")</f>
        <v>—</v>
      </c>
      <c r="I157" s="15" t="str">
        <f>IF(V157="Sí",IFERROR(COUNTIFS(DATOS!G:G,CONFIG_METADATA!$B$4,DATOS!D:D,A157,DATOS!I:I,B157,DATOS!L:L,"N")/COUNTIFS(DATOS!G:G,CONFIG_METADATA!$B$4,DATOS!D:D,A157,DATOS!I:I,B157),"—"),"")</f>
        <v>—</v>
      </c>
      <c r="J157" t="str" cm="1">
        <f t="array" ref="J157">IF(V157="Sí",IFERROR(_xlfn.MODE.SNGL(IF((nEVAL=CONFIG_METADATA!$B$4)*(nCURSO=A157)*(nASIG=B157)*(nAPTO="S"),nNOTA)),"—"),"")</f>
        <v>—</v>
      </c>
      <c r="K157" t="str" cm="1">
        <f t="array" ref="K157">IF(V157="Sí",IFERROR(_xlfn.MODE.SNGL(IF((nEVAL=CONFIG_METADATA!$B$4)*(nCURSO=A157)*(nASIG=B157)*(nAPTO="N"),nNOTA)),"—"),"")</f>
        <v>—</v>
      </c>
      <c r="L157">
        <f>IF(V157="Sí",COUNTIFS(DATOS!G:G,CONFIG_METADATA!$B$4,DATOS!D:D,A157,DATOS!I:I,B157,DATOS!K:K,1),"")</f>
        <v>0</v>
      </c>
      <c r="M157">
        <f>IF(V157="Sí",COUNTIFS(DATOS!G:G,CONFIG_METADATA!$B$4,DATOS!D:D,A157,DATOS!I:I,B157,DATOS!K:K,2),"")</f>
        <v>0</v>
      </c>
      <c r="N157">
        <f>IF(V157="Sí",COUNTIFS(DATOS!G:G,CONFIG_METADATA!$B$4,DATOS!D:D,A157,DATOS!I:I,B157,DATOS!K:K,3),"")</f>
        <v>0</v>
      </c>
      <c r="O157">
        <f>IF(V157="Sí",COUNTIFS(DATOS!G:G,CONFIG_METADATA!$B$4,DATOS!D:D,A157,DATOS!I:I,B157,DATOS!K:K,4),"")</f>
        <v>0</v>
      </c>
      <c r="P157">
        <f>IF(V157="Sí",COUNTIFS(DATOS!G:G,CONFIG_METADATA!$B$4,DATOS!D:D,A157,DATOS!I:I,B157,DATOS!K:K,5),"")</f>
        <v>0</v>
      </c>
      <c r="Q157">
        <f>IF(V157="Sí",COUNTIFS(DATOS!G:G,CONFIG_METADATA!$B$4,DATOS!D:D,A157,DATOS!I:I,B157,DATOS!K:K,6),"")</f>
        <v>0</v>
      </c>
      <c r="R157">
        <f>IF(V157="Sí",COUNTIFS(DATOS!G:G,CONFIG_METADATA!$B$4,DATOS!D:D,A157,DATOS!I:I,B157,DATOS!K:K,7),"")</f>
        <v>0</v>
      </c>
      <c r="S157">
        <f>IF(V157="Sí",COUNTIFS(DATOS!G:G,CONFIG_METADATA!$B$4,DATOS!D:D,A157,DATOS!I:I,B157,DATOS!K:K,8),"")</f>
        <v>0</v>
      </c>
      <c r="T157">
        <f>IF(V157="Sí",COUNTIFS(DATOS!G:G,CONFIG_METADATA!$B$4,DATOS!D:D,A157,DATOS!I:I,B157,DATOS!K:K,9),"")</f>
        <v>0</v>
      </c>
      <c r="U157">
        <f>IF(V157="Sí",COUNTIFS(DATOS!G:G,CONFIG_METADATA!$B$4,DATOS!D:D,A157,DATOS!I:I,B157,DATOS!K:K,10),"")</f>
        <v>0</v>
      </c>
      <c r="V157" t="str">
        <f>IFERROR(IF(ISERROR(FIND(A157,VLOOKUP(B157,CONFIG_ASIGNATURAS!B:C,2,FALSE()))),"No","Sí"),"No")</f>
        <v>Sí</v>
      </c>
    </row>
    <row r="158" spans="1:22">
      <c r="A158" s="3" t="inlineStr">
        <is>
          <t xml:space="preserve">2EEM</t>
        </is>
      </c>
      <c r="B158" s="3" cm="1">
        <f t="array" ref="B158">IFERROR(INDEX(_xlfn._xlws.FILTER(CONFIG_ASIGNATURAS!$B$2:$B$61,(CONFIG_ASIGNATURAS!$G$2:$G$61="Sí")*ISNUMBER(SEARCH("2EEM",CONFIG_ASIGNATURAS!$C$2:$C$61))),28),"")</f>
      </c>
      <c r="C158" s="3">
        <f>IF(B158="","",IFERROR(IF(VLOOKUP(B158,CONFIG_ASIGNATURAS!$B$2:$F$61,5,FALSE())="Sí","Especialidad","Asignatura"),"Asignatura"))</f>
      </c>
      <c r="D158">
        <f>IF(V158="Sí",COUNTIFS(DATOS!G:G,CONFIG_METADATA!$B$4,DATOS!D:D,A158,DATOS!I:I,B158),"")</f>
        <v>0</v>
      </c>
      <c r="E158" s="14" t="str">
        <f>IF(V158="Sí",IFERROR(AVERAGEIFS(DATOS!K:K,DATOS!G:G,CONFIG_METADATA!$B$4,DATOS!D:D,A158,DATOS!I:I,B158),"—"),"")</f>
        <v>—</v>
      </c>
      <c r="F158" s="14" t="str" cm="1">
        <f t="array" ref="F158">IF(V158="Sí",IFERROR(_xlfn.STDEV.P(IF((nEVAL=CONFIG_METADATA!$B$4)*(nCURSO=A158)*(nASIG=B158),nNOTA)),"—"),"")</f>
        <v>—</v>
      </c>
      <c r="G158" t="str" cm="1">
        <f t="array" ref="G158">IF(V158="Sí",IFERROR(_xlfn.MODE.SNGL(IF((nEVAL=CONFIG_METADATA!$B$4)*(nCURSO=A158)*(nASIG=B158),nNOTA)),"—"),"")</f>
        <v>—</v>
      </c>
      <c r="H158" s="15" t="str">
        <f>IF(V158="Sí",IFERROR(COUNTIFS(DATOS!G:G,CONFIG_METADATA!$B$4,DATOS!D:D,A158,DATOS!I:I,B158,DATOS!L:L,"S")/COUNTIFS(DATOS!G:G,CONFIG_METADATA!$B$4,DATOS!D:D,A158,DATOS!I:I,B158),"—"),"")</f>
        <v>—</v>
      </c>
      <c r="I158" s="15" t="str">
        <f>IF(V158="Sí",IFERROR(COUNTIFS(DATOS!G:G,CONFIG_METADATA!$B$4,DATOS!D:D,A158,DATOS!I:I,B158,DATOS!L:L,"N")/COUNTIFS(DATOS!G:G,CONFIG_METADATA!$B$4,DATOS!D:D,A158,DATOS!I:I,B158),"—"),"")</f>
        <v>—</v>
      </c>
      <c r="J158" t="str" cm="1">
        <f t="array" ref="J158">IF(V158="Sí",IFERROR(_xlfn.MODE.SNGL(IF((nEVAL=CONFIG_METADATA!$B$4)*(nCURSO=A158)*(nASIG=B158)*(nAPTO="S"),nNOTA)),"—"),"")</f>
        <v>—</v>
      </c>
      <c r="K158" t="str" cm="1">
        <f t="array" ref="K158">IF(V158="Sí",IFERROR(_xlfn.MODE.SNGL(IF((nEVAL=CONFIG_METADATA!$B$4)*(nCURSO=A158)*(nASIG=B158)*(nAPTO="N"),nNOTA)),"—"),"")</f>
        <v>—</v>
      </c>
      <c r="L158">
        <f>IF(V158="Sí",COUNTIFS(DATOS!G:G,CONFIG_METADATA!$B$4,DATOS!D:D,A158,DATOS!I:I,B158,DATOS!K:K,1),"")</f>
        <v>0</v>
      </c>
      <c r="M158">
        <f>IF(V158="Sí",COUNTIFS(DATOS!G:G,CONFIG_METADATA!$B$4,DATOS!D:D,A158,DATOS!I:I,B158,DATOS!K:K,2),"")</f>
        <v>0</v>
      </c>
      <c r="N158">
        <f>IF(V158="Sí",COUNTIFS(DATOS!G:G,CONFIG_METADATA!$B$4,DATOS!D:D,A158,DATOS!I:I,B158,DATOS!K:K,3),"")</f>
        <v>0</v>
      </c>
      <c r="O158">
        <f>IF(V158="Sí",COUNTIFS(DATOS!G:G,CONFIG_METADATA!$B$4,DATOS!D:D,A158,DATOS!I:I,B158,DATOS!K:K,4),"")</f>
        <v>0</v>
      </c>
      <c r="P158">
        <f>IF(V158="Sí",COUNTIFS(DATOS!G:G,CONFIG_METADATA!$B$4,DATOS!D:D,A158,DATOS!I:I,B158,DATOS!K:K,5),"")</f>
        <v>0</v>
      </c>
      <c r="Q158">
        <f>IF(V158="Sí",COUNTIFS(DATOS!G:G,CONFIG_METADATA!$B$4,DATOS!D:D,A158,DATOS!I:I,B158,DATOS!K:K,6),"")</f>
        <v>0</v>
      </c>
      <c r="R158">
        <f>IF(V158="Sí",COUNTIFS(DATOS!G:G,CONFIG_METADATA!$B$4,DATOS!D:D,A158,DATOS!I:I,B158,DATOS!K:K,7),"")</f>
        <v>0</v>
      </c>
      <c r="S158">
        <f>IF(V158="Sí",COUNTIFS(DATOS!G:G,CONFIG_METADATA!$B$4,DATOS!D:D,A158,DATOS!I:I,B158,DATOS!K:K,8),"")</f>
        <v>0</v>
      </c>
      <c r="T158">
        <f>IF(V158="Sí",COUNTIFS(DATOS!G:G,CONFIG_METADATA!$B$4,DATOS!D:D,A158,DATOS!I:I,B158,DATOS!K:K,9),"")</f>
        <v>0</v>
      </c>
      <c r="U158">
        <f>IF(V158="Sí",COUNTIFS(DATOS!G:G,CONFIG_METADATA!$B$4,DATOS!D:D,A158,DATOS!I:I,B158,DATOS!K:K,10),"")</f>
        <v>0</v>
      </c>
      <c r="V158" t="str">
        <f>IFERROR(IF(ISERROR(FIND(A158,VLOOKUP(B158,CONFIG_ASIGNATURAS!B:C,2,FALSE()))),"No","Sí"),"No")</f>
        <v>Sí</v>
      </c>
    </row>
    <row r="159" spans="1:22">
      <c r="A159" s="3" t="inlineStr">
        <is>
          <t xml:space="preserve">2EEM</t>
        </is>
      </c>
      <c r="B159" s="3" cm="1">
        <f t="array" ref="B159">IFERROR(INDEX(_xlfn._xlws.FILTER(CONFIG_ASIGNATURAS!$B$2:$B$61,(CONFIG_ASIGNATURAS!$G$2:$G$61="Sí")*ISNUMBER(SEARCH("2EEM",CONFIG_ASIGNATURAS!$C$2:$C$61))),29),"")</f>
      </c>
      <c r="C159" s="3">
        <f>IF(B159="","",IFERROR(IF(VLOOKUP(B159,CONFIG_ASIGNATURAS!$B$2:$F$61,5,FALSE())="Sí","Especialidad","Asignatura"),"Asignatura"))</f>
      </c>
      <c r="D159">
        <f>IF(V159="Sí",COUNTIFS(DATOS!G:G,CONFIG_METADATA!$B$4,DATOS!D:D,A159,DATOS!I:I,B159),"")</f>
        <v>0</v>
      </c>
      <c r="E159" s="14" t="str">
        <f>IF(V159="Sí",IFERROR(AVERAGEIFS(DATOS!K:K,DATOS!G:G,CONFIG_METADATA!$B$4,DATOS!D:D,A159,DATOS!I:I,B159),"—"),"")</f>
        <v>—</v>
      </c>
      <c r="F159" s="14" t="str" cm="1">
        <f t="array" ref="F159">IF(V159="Sí",IFERROR(_xlfn.STDEV.P(IF((nEVAL=CONFIG_METADATA!$B$4)*(nCURSO=A159)*(nASIG=B159),nNOTA)),"—"),"")</f>
        <v>—</v>
      </c>
      <c r="G159" t="str" cm="1">
        <f t="array" ref="G159">IF(V159="Sí",IFERROR(_xlfn.MODE.SNGL(IF((nEVAL=CONFIG_METADATA!$B$4)*(nCURSO=A159)*(nASIG=B159),nNOTA)),"—"),"")</f>
        <v>—</v>
      </c>
      <c r="H159" s="15" t="str">
        <f>IF(V159="Sí",IFERROR(COUNTIFS(DATOS!G:G,CONFIG_METADATA!$B$4,DATOS!D:D,A159,DATOS!I:I,B159,DATOS!L:L,"S")/COUNTIFS(DATOS!G:G,CONFIG_METADATA!$B$4,DATOS!D:D,A159,DATOS!I:I,B159),"—"),"")</f>
        <v>—</v>
      </c>
      <c r="I159" s="15" t="str">
        <f>IF(V159="Sí",IFERROR(COUNTIFS(DATOS!G:G,CONFIG_METADATA!$B$4,DATOS!D:D,A159,DATOS!I:I,B159,DATOS!L:L,"N")/COUNTIFS(DATOS!G:G,CONFIG_METADATA!$B$4,DATOS!D:D,A159,DATOS!I:I,B159),"—"),"")</f>
        <v>—</v>
      </c>
      <c r="J159" t="str" cm="1">
        <f t="array" ref="J159">IF(V159="Sí",IFERROR(_xlfn.MODE.SNGL(IF((nEVAL=CONFIG_METADATA!$B$4)*(nCURSO=A159)*(nASIG=B159)*(nAPTO="S"),nNOTA)),"—"),"")</f>
        <v>—</v>
      </c>
      <c r="K159" t="str" cm="1">
        <f t="array" ref="K159">IF(V159="Sí",IFERROR(_xlfn.MODE.SNGL(IF((nEVAL=CONFIG_METADATA!$B$4)*(nCURSO=A159)*(nASIG=B159)*(nAPTO="N"),nNOTA)),"—"),"")</f>
        <v>—</v>
      </c>
      <c r="L159">
        <f>IF(V159="Sí",COUNTIFS(DATOS!G:G,CONFIG_METADATA!$B$4,DATOS!D:D,A159,DATOS!I:I,B159,DATOS!K:K,1),"")</f>
        <v>0</v>
      </c>
      <c r="M159">
        <f>IF(V159="Sí",COUNTIFS(DATOS!G:G,CONFIG_METADATA!$B$4,DATOS!D:D,A159,DATOS!I:I,B159,DATOS!K:K,2),"")</f>
        <v>0</v>
      </c>
      <c r="N159">
        <f>IF(V159="Sí",COUNTIFS(DATOS!G:G,CONFIG_METADATA!$B$4,DATOS!D:D,A159,DATOS!I:I,B159,DATOS!K:K,3),"")</f>
        <v>0</v>
      </c>
      <c r="O159">
        <f>IF(V159="Sí",COUNTIFS(DATOS!G:G,CONFIG_METADATA!$B$4,DATOS!D:D,A159,DATOS!I:I,B159,DATOS!K:K,4),"")</f>
        <v>0</v>
      </c>
      <c r="P159">
        <f>IF(V159="Sí",COUNTIFS(DATOS!G:G,CONFIG_METADATA!$B$4,DATOS!D:D,A159,DATOS!I:I,B159,DATOS!K:K,5),"")</f>
        <v>0</v>
      </c>
      <c r="Q159">
        <f>IF(V159="Sí",COUNTIFS(DATOS!G:G,CONFIG_METADATA!$B$4,DATOS!D:D,A159,DATOS!I:I,B159,DATOS!K:K,6),"")</f>
        <v>0</v>
      </c>
      <c r="R159">
        <f>IF(V159="Sí",COUNTIFS(DATOS!G:G,CONFIG_METADATA!$B$4,DATOS!D:D,A159,DATOS!I:I,B159,DATOS!K:K,7),"")</f>
        <v>0</v>
      </c>
      <c r="S159">
        <f>IF(V159="Sí",COUNTIFS(DATOS!G:G,CONFIG_METADATA!$B$4,DATOS!D:D,A159,DATOS!I:I,B159,DATOS!K:K,8),"")</f>
        <v>0</v>
      </c>
      <c r="T159">
        <f>IF(V159="Sí",COUNTIFS(DATOS!G:G,CONFIG_METADATA!$B$4,DATOS!D:D,A159,DATOS!I:I,B159,DATOS!K:K,9),"")</f>
        <v>0</v>
      </c>
      <c r="U159">
        <f>IF(V159="Sí",COUNTIFS(DATOS!G:G,CONFIG_METADATA!$B$4,DATOS!D:D,A159,DATOS!I:I,B159,DATOS!K:K,10),"")</f>
        <v>0</v>
      </c>
      <c r="V159" t="str">
        <f>IFERROR(IF(ISERROR(FIND(A159,VLOOKUP(B159,CONFIG_ASIGNATURAS!B:C,2,FALSE()))),"No","Sí"),"No")</f>
        <v>Sí</v>
      </c>
    </row>
    <row r="160" spans="1:22">
      <c r="A160" s="3" t="inlineStr">
        <is>
          <t xml:space="preserve">2EEM</t>
        </is>
      </c>
      <c r="B160" s="3" cm="1">
        <f t="array" ref="B160">IFERROR(INDEX(_xlfn._xlws.FILTER(CONFIG_ASIGNATURAS!$B$2:$B$61,(CONFIG_ASIGNATURAS!$G$2:$G$61="Sí")*ISNUMBER(SEARCH("2EEM",CONFIG_ASIGNATURAS!$C$2:$C$61))),30),"")</f>
      </c>
      <c r="C160" s="3">
        <f>IF(B160="","",IFERROR(IF(VLOOKUP(B160,CONFIG_ASIGNATURAS!$B$2:$F$61,5,FALSE())="Sí","Especialidad","Asignatura"),"Asignatura"))</f>
      </c>
      <c r="D160">
        <f>IF(V160="Sí",COUNTIFS(DATOS!G:G,CONFIG_METADATA!$B$4,DATOS!D:D,A160,DATOS!I:I,B160),"")</f>
        <v>0</v>
      </c>
      <c r="E160" s="14" t="str">
        <f>IF(V160="Sí",IFERROR(AVERAGEIFS(DATOS!K:K,DATOS!G:G,CONFIG_METADATA!$B$4,DATOS!D:D,A160,DATOS!I:I,B160),"—"),"")</f>
        <v>—</v>
      </c>
      <c r="F160" s="14" t="str" cm="1">
        <f t="array" ref="F160">IF(V160="Sí",IFERROR(_xlfn.STDEV.P(IF((nEVAL=CONFIG_METADATA!$B$4)*(nCURSO=A160)*(nASIG=B160),nNOTA)),"—"),"")</f>
        <v>—</v>
      </c>
      <c r="G160" t="str" cm="1">
        <f t="array" ref="G160">IF(V160="Sí",IFERROR(_xlfn.MODE.SNGL(IF((nEVAL=CONFIG_METADATA!$B$4)*(nCURSO=A160)*(nASIG=B160),nNOTA)),"—"),"")</f>
        <v>—</v>
      </c>
      <c r="H160" s="15" t="str">
        <f>IF(V160="Sí",IFERROR(COUNTIFS(DATOS!G:G,CONFIG_METADATA!$B$4,DATOS!D:D,A160,DATOS!I:I,B160,DATOS!L:L,"S")/COUNTIFS(DATOS!G:G,CONFIG_METADATA!$B$4,DATOS!D:D,A160,DATOS!I:I,B160),"—"),"")</f>
        <v>—</v>
      </c>
      <c r="I160" s="15" t="str">
        <f>IF(V160="Sí",IFERROR(COUNTIFS(DATOS!G:G,CONFIG_METADATA!$B$4,DATOS!D:D,A160,DATOS!I:I,B160,DATOS!L:L,"N")/COUNTIFS(DATOS!G:G,CONFIG_METADATA!$B$4,DATOS!D:D,A160,DATOS!I:I,B160),"—"),"")</f>
        <v>—</v>
      </c>
      <c r="J160" t="str" cm="1">
        <f t="array" ref="J160">IF(V160="Sí",IFERROR(_xlfn.MODE.SNGL(IF((nEVAL=CONFIG_METADATA!$B$4)*(nCURSO=A160)*(nASIG=B160)*(nAPTO="S"),nNOTA)),"—"),"")</f>
        <v>—</v>
      </c>
      <c r="K160" t="str" cm="1">
        <f t="array" ref="K160">IF(V160="Sí",IFERROR(_xlfn.MODE.SNGL(IF((nEVAL=CONFIG_METADATA!$B$4)*(nCURSO=A160)*(nASIG=B160)*(nAPTO="N"),nNOTA)),"—"),"")</f>
        <v>—</v>
      </c>
      <c r="L160">
        <f>IF(V160="Sí",COUNTIFS(DATOS!G:G,CONFIG_METADATA!$B$4,DATOS!D:D,A160,DATOS!I:I,B160,DATOS!K:K,1),"")</f>
        <v>0</v>
      </c>
      <c r="M160">
        <f>IF(V160="Sí",COUNTIFS(DATOS!G:G,CONFIG_METADATA!$B$4,DATOS!D:D,A160,DATOS!I:I,B160,DATOS!K:K,2),"")</f>
        <v>0</v>
      </c>
      <c r="N160">
        <f>IF(V160="Sí",COUNTIFS(DATOS!G:G,CONFIG_METADATA!$B$4,DATOS!D:D,A160,DATOS!I:I,B160,DATOS!K:K,3),"")</f>
        <v>0</v>
      </c>
      <c r="O160">
        <f>IF(V160="Sí",COUNTIFS(DATOS!G:G,CONFIG_METADATA!$B$4,DATOS!D:D,A160,DATOS!I:I,B160,DATOS!K:K,4),"")</f>
        <v>0</v>
      </c>
      <c r="P160">
        <f>IF(V160="Sí",COUNTIFS(DATOS!G:G,CONFIG_METADATA!$B$4,DATOS!D:D,A160,DATOS!I:I,B160,DATOS!K:K,5),"")</f>
        <v>0</v>
      </c>
      <c r="Q160">
        <f>IF(V160="Sí",COUNTIFS(DATOS!G:G,CONFIG_METADATA!$B$4,DATOS!D:D,A160,DATOS!I:I,B160,DATOS!K:K,6),"")</f>
        <v>0</v>
      </c>
      <c r="R160">
        <f>IF(V160="Sí",COUNTIFS(DATOS!G:G,CONFIG_METADATA!$B$4,DATOS!D:D,A160,DATOS!I:I,B160,DATOS!K:K,7),"")</f>
        <v>0</v>
      </c>
      <c r="S160">
        <f>IF(V160="Sí",COUNTIFS(DATOS!G:G,CONFIG_METADATA!$B$4,DATOS!D:D,A160,DATOS!I:I,B160,DATOS!K:K,8),"")</f>
        <v>0</v>
      </c>
      <c r="T160">
        <f>IF(V160="Sí",COUNTIFS(DATOS!G:G,CONFIG_METADATA!$B$4,DATOS!D:D,A160,DATOS!I:I,B160,DATOS!K:K,9),"")</f>
        <v>0</v>
      </c>
      <c r="U160">
        <f>IF(V160="Sí",COUNTIFS(DATOS!G:G,CONFIG_METADATA!$B$4,DATOS!D:D,A160,DATOS!I:I,B160,DATOS!K:K,10),"")</f>
        <v>0</v>
      </c>
      <c r="V160" t="str">
        <f>IFERROR(IF(ISERROR(FIND(A160,VLOOKUP(B160,CONFIG_ASIGNATURAS!B:C,2,FALSE()))),"No","Sí"),"No")</f>
        <v>Sí</v>
      </c>
    </row>
    <row r="161" spans="1:22">
      <c r="A161" s="3" t="inlineStr">
        <is>
          <t xml:space="preserve">2EEM</t>
        </is>
      </c>
      <c r="B161" s="3" cm="1">
        <f t="array" ref="B161">IFERROR(INDEX(_xlfn._xlws.FILTER(CONFIG_ASIGNATURAS!$B$2:$B$61,(CONFIG_ASIGNATURAS!$G$2:$G$61="Sí")*ISNUMBER(SEARCH("2EEM",CONFIG_ASIGNATURAS!$C$2:$C$61))),31),"")</f>
      </c>
      <c r="C161" s="3">
        <f>IF(B161="","",IFERROR(IF(VLOOKUP(B161,CONFIG_ASIGNATURAS!$B$2:$F$61,5,FALSE())="Sí","Especialidad","Asignatura"),"Asignatura"))</f>
      </c>
      <c r="D161">
        <f>IF(V161="Sí",COUNTIFS(DATOS!G:G,CONFIG_METADATA!$B$4,DATOS!D:D,A161,DATOS!I:I,B161),"")</f>
        <v>0</v>
      </c>
      <c r="E161" s="14" t="str">
        <f>IF(V161="Sí",IFERROR(AVERAGEIFS(DATOS!K:K,DATOS!G:G,CONFIG_METADATA!$B$4,DATOS!D:D,A161,DATOS!I:I,B161),"—"),"")</f>
        <v>—</v>
      </c>
      <c r="F161" s="14" t="str" cm="1">
        <f t="array" ref="F161">IF(V161="Sí",IFERROR(_xlfn.STDEV.P(IF((nEVAL=CONFIG_METADATA!$B$4)*(nCURSO=A161)*(nASIG=B161),nNOTA)),"—"),"")</f>
        <v>—</v>
      </c>
      <c r="G161" t="str" cm="1">
        <f t="array" ref="G161">IF(V161="Sí",IFERROR(_xlfn.MODE.SNGL(IF((nEVAL=CONFIG_METADATA!$B$4)*(nCURSO=A161)*(nASIG=B161),nNOTA)),"—"),"")</f>
        <v>—</v>
      </c>
      <c r="H161" s="15" t="str">
        <f>IF(V161="Sí",IFERROR(COUNTIFS(DATOS!G:G,CONFIG_METADATA!$B$4,DATOS!D:D,A161,DATOS!I:I,B161,DATOS!L:L,"S")/COUNTIFS(DATOS!G:G,CONFIG_METADATA!$B$4,DATOS!D:D,A161,DATOS!I:I,B161),"—"),"")</f>
        <v>—</v>
      </c>
      <c r="I161" s="15" t="str">
        <f>IF(V161="Sí",IFERROR(COUNTIFS(DATOS!G:G,CONFIG_METADATA!$B$4,DATOS!D:D,A161,DATOS!I:I,B161,DATOS!L:L,"N")/COUNTIFS(DATOS!G:G,CONFIG_METADATA!$B$4,DATOS!D:D,A161,DATOS!I:I,B161),"—"),"")</f>
        <v>—</v>
      </c>
      <c r="J161" t="str" cm="1">
        <f t="array" ref="J161">IF(V161="Sí",IFERROR(_xlfn.MODE.SNGL(IF((nEVAL=CONFIG_METADATA!$B$4)*(nCURSO=A161)*(nASIG=B161)*(nAPTO="S"),nNOTA)),"—"),"")</f>
        <v>—</v>
      </c>
      <c r="K161" t="str" cm="1">
        <f t="array" ref="K161">IF(V161="Sí",IFERROR(_xlfn.MODE.SNGL(IF((nEVAL=CONFIG_METADATA!$B$4)*(nCURSO=A161)*(nASIG=B161)*(nAPTO="N"),nNOTA)),"—"),"")</f>
        <v>—</v>
      </c>
      <c r="L161">
        <f>IF(V161="Sí",COUNTIFS(DATOS!G:G,CONFIG_METADATA!$B$4,DATOS!D:D,A161,DATOS!I:I,B161,DATOS!K:K,1),"")</f>
        <v>0</v>
      </c>
      <c r="M161">
        <f>IF(V161="Sí",COUNTIFS(DATOS!G:G,CONFIG_METADATA!$B$4,DATOS!D:D,A161,DATOS!I:I,B161,DATOS!K:K,2),"")</f>
        <v>0</v>
      </c>
      <c r="N161">
        <f>IF(V161="Sí",COUNTIFS(DATOS!G:G,CONFIG_METADATA!$B$4,DATOS!D:D,A161,DATOS!I:I,B161,DATOS!K:K,3),"")</f>
        <v>0</v>
      </c>
      <c r="O161">
        <f>IF(V161="Sí",COUNTIFS(DATOS!G:G,CONFIG_METADATA!$B$4,DATOS!D:D,A161,DATOS!I:I,B161,DATOS!K:K,4),"")</f>
        <v>0</v>
      </c>
      <c r="P161">
        <f>IF(V161="Sí",COUNTIFS(DATOS!G:G,CONFIG_METADATA!$B$4,DATOS!D:D,A161,DATOS!I:I,B161,DATOS!K:K,5),"")</f>
        <v>0</v>
      </c>
      <c r="Q161">
        <f>IF(V161="Sí",COUNTIFS(DATOS!G:G,CONFIG_METADATA!$B$4,DATOS!D:D,A161,DATOS!I:I,B161,DATOS!K:K,6),"")</f>
        <v>0</v>
      </c>
      <c r="R161">
        <f>IF(V161="Sí",COUNTIFS(DATOS!G:G,CONFIG_METADATA!$B$4,DATOS!D:D,A161,DATOS!I:I,B161,DATOS!K:K,7),"")</f>
        <v>0</v>
      </c>
      <c r="S161">
        <f>IF(V161="Sí",COUNTIFS(DATOS!G:G,CONFIG_METADATA!$B$4,DATOS!D:D,A161,DATOS!I:I,B161,DATOS!K:K,8),"")</f>
        <v>0</v>
      </c>
      <c r="T161">
        <f>IF(V161="Sí",COUNTIFS(DATOS!G:G,CONFIG_METADATA!$B$4,DATOS!D:D,A161,DATOS!I:I,B161,DATOS!K:K,9),"")</f>
        <v>0</v>
      </c>
      <c r="U161">
        <f>IF(V161="Sí",COUNTIFS(DATOS!G:G,CONFIG_METADATA!$B$4,DATOS!D:D,A161,DATOS!I:I,B161,DATOS!K:K,10),"")</f>
        <v>0</v>
      </c>
      <c r="V161" t="str">
        <f>IFERROR(IF(ISERROR(FIND(A161,VLOOKUP(B161,CONFIG_ASIGNATURAS!B:C,2,FALSE()))),"No","Sí"),"No")</f>
        <v>Sí</v>
      </c>
    </row>
    <row r="162" spans="1:22">
      <c r="A162" s="3" t="inlineStr">
        <is>
          <t xml:space="preserve">2EEM</t>
        </is>
      </c>
      <c r="B162" s="3" cm="1">
        <f t="array" ref="B162">IFERROR(INDEX(_xlfn._xlws.FILTER(CONFIG_ASIGNATURAS!$B$2:$B$61,(CONFIG_ASIGNATURAS!$G$2:$G$61="Sí")*ISNUMBER(SEARCH("2EEM",CONFIG_ASIGNATURAS!$C$2:$C$61))),32),"")</f>
      </c>
      <c r="C162" s="3">
        <f>IF(B162="","",IFERROR(IF(VLOOKUP(B162,CONFIG_ASIGNATURAS!$B$2:$F$61,5,FALSE())="Sí","Especialidad","Asignatura"),"Asignatura"))</f>
      </c>
      <c r="D162">
        <f>IF(V162="Sí",COUNTIFS(DATOS!G:G,CONFIG_METADATA!$B$4,DATOS!D:D,A162,DATOS!I:I,B162),"")</f>
        <v>0</v>
      </c>
      <c r="E162" s="14" t="str">
        <f>IF(V162="Sí",IFERROR(AVERAGEIFS(DATOS!K:K,DATOS!G:G,CONFIG_METADATA!$B$4,DATOS!D:D,A162,DATOS!I:I,B162),"—"),"")</f>
        <v>—</v>
      </c>
      <c r="F162" s="14" t="str" cm="1">
        <f t="array" ref="F162">IF(V162="Sí",IFERROR(_xlfn.STDEV.P(IF((nEVAL=CONFIG_METADATA!$B$4)*(nCURSO=A162)*(nASIG=B162),nNOTA)),"—"),"")</f>
        <v>—</v>
      </c>
      <c r="G162" t="str" cm="1">
        <f t="array" ref="G162">IF(V162="Sí",IFERROR(_xlfn.MODE.SNGL(IF((nEVAL=CONFIG_METADATA!$B$4)*(nCURSO=A162)*(nASIG=B162),nNOTA)),"—"),"")</f>
        <v>—</v>
      </c>
      <c r="H162" s="15" t="str">
        <f>IF(V162="Sí",IFERROR(COUNTIFS(DATOS!G:G,CONFIG_METADATA!$B$4,DATOS!D:D,A162,DATOS!I:I,B162,DATOS!L:L,"S")/COUNTIFS(DATOS!G:G,CONFIG_METADATA!$B$4,DATOS!D:D,A162,DATOS!I:I,B162),"—"),"")</f>
        <v>—</v>
      </c>
      <c r="I162" s="15" t="str">
        <f>IF(V162="Sí",IFERROR(COUNTIFS(DATOS!G:G,CONFIG_METADATA!$B$4,DATOS!D:D,A162,DATOS!I:I,B162,DATOS!L:L,"N")/COUNTIFS(DATOS!G:G,CONFIG_METADATA!$B$4,DATOS!D:D,A162,DATOS!I:I,B162),"—"),"")</f>
        <v>—</v>
      </c>
      <c r="J162" t="str" cm="1">
        <f t="array" ref="J162">IF(V162="Sí",IFERROR(_xlfn.MODE.SNGL(IF((nEVAL=CONFIG_METADATA!$B$4)*(nCURSO=A162)*(nASIG=B162)*(nAPTO="S"),nNOTA)),"—"),"")</f>
        <v>—</v>
      </c>
      <c r="K162" t="str" cm="1">
        <f t="array" ref="K162">IF(V162="Sí",IFERROR(_xlfn.MODE.SNGL(IF((nEVAL=CONFIG_METADATA!$B$4)*(nCURSO=A162)*(nASIG=B162)*(nAPTO="N"),nNOTA)),"—"),"")</f>
        <v>—</v>
      </c>
      <c r="L162">
        <f>IF(V162="Sí",COUNTIFS(DATOS!G:G,CONFIG_METADATA!$B$4,DATOS!D:D,A162,DATOS!I:I,B162,DATOS!K:K,1),"")</f>
        <v>0</v>
      </c>
      <c r="M162">
        <f>IF(V162="Sí",COUNTIFS(DATOS!G:G,CONFIG_METADATA!$B$4,DATOS!D:D,A162,DATOS!I:I,B162,DATOS!K:K,2),"")</f>
        <v>0</v>
      </c>
      <c r="N162">
        <f>IF(V162="Sí",COUNTIFS(DATOS!G:G,CONFIG_METADATA!$B$4,DATOS!D:D,A162,DATOS!I:I,B162,DATOS!K:K,3),"")</f>
        <v>0</v>
      </c>
      <c r="O162">
        <f>IF(V162="Sí",COUNTIFS(DATOS!G:G,CONFIG_METADATA!$B$4,DATOS!D:D,A162,DATOS!I:I,B162,DATOS!K:K,4),"")</f>
        <v>0</v>
      </c>
      <c r="P162">
        <f>IF(V162="Sí",COUNTIFS(DATOS!G:G,CONFIG_METADATA!$B$4,DATOS!D:D,A162,DATOS!I:I,B162,DATOS!K:K,5),"")</f>
        <v>0</v>
      </c>
      <c r="Q162">
        <f>IF(V162="Sí",COUNTIFS(DATOS!G:G,CONFIG_METADATA!$B$4,DATOS!D:D,A162,DATOS!I:I,B162,DATOS!K:K,6),"")</f>
        <v>0</v>
      </c>
      <c r="R162">
        <f>IF(V162="Sí",COUNTIFS(DATOS!G:G,CONFIG_METADATA!$B$4,DATOS!D:D,A162,DATOS!I:I,B162,DATOS!K:K,7),"")</f>
        <v>0</v>
      </c>
      <c r="S162">
        <f>IF(V162="Sí",COUNTIFS(DATOS!G:G,CONFIG_METADATA!$B$4,DATOS!D:D,A162,DATOS!I:I,B162,DATOS!K:K,8),"")</f>
        <v>0</v>
      </c>
      <c r="T162">
        <f>IF(V162="Sí",COUNTIFS(DATOS!G:G,CONFIG_METADATA!$B$4,DATOS!D:D,A162,DATOS!I:I,B162,DATOS!K:K,9),"")</f>
        <v>0</v>
      </c>
      <c r="U162">
        <f>IF(V162="Sí",COUNTIFS(DATOS!G:G,CONFIG_METADATA!$B$4,DATOS!D:D,A162,DATOS!I:I,B162,DATOS!K:K,10),"")</f>
        <v>0</v>
      </c>
      <c r="V162" t="str">
        <f>IFERROR(IF(ISERROR(FIND(A162,VLOOKUP(B162,CONFIG_ASIGNATURAS!B:C,2,FALSE()))),"No","Sí"),"No")</f>
        <v>Sí</v>
      </c>
    </row>
    <row r="163" spans="1:22">
      <c r="A163" s="3" t="inlineStr">
        <is>
          <t xml:space="preserve">2EEM</t>
        </is>
      </c>
      <c r="B163" s="3" cm="1">
        <f t="array" ref="B163">IFERROR(INDEX(_xlfn._xlws.FILTER(CONFIG_ASIGNATURAS!$B$2:$B$61,(CONFIG_ASIGNATURAS!$G$2:$G$61="Sí")*ISNUMBER(SEARCH("2EEM",CONFIG_ASIGNATURAS!$C$2:$C$61))),33),"")</f>
      </c>
      <c r="C163" s="3">
        <f>IF(B163="","",IFERROR(IF(VLOOKUP(B163,CONFIG_ASIGNATURAS!$B$2:$F$61,5,FALSE())="Sí","Especialidad","Asignatura"),"Asignatura"))</f>
      </c>
      <c r="D163">
        <f>IF(V163="Sí",COUNTIFS(DATOS!G:G,CONFIG_METADATA!$B$4,DATOS!D:D,A163,DATOS!I:I,B163),"")</f>
        <v>0</v>
      </c>
      <c r="E163" s="14" t="str">
        <f>IF(V163="Sí",IFERROR(AVERAGEIFS(DATOS!K:K,DATOS!G:G,CONFIG_METADATA!$B$4,DATOS!D:D,A163,DATOS!I:I,B163),"—"),"")</f>
        <v>—</v>
      </c>
      <c r="F163" s="14" t="str" cm="1">
        <f t="array" ref="F163">IF(V163="Sí",IFERROR(_xlfn.STDEV.P(IF((nEVAL=CONFIG_METADATA!$B$4)*(nCURSO=A163)*(nASIG=B163),nNOTA)),"—"),"")</f>
        <v>—</v>
      </c>
      <c r="G163" t="str" cm="1">
        <f t="array" ref="G163">IF(V163="Sí",IFERROR(_xlfn.MODE.SNGL(IF((nEVAL=CONFIG_METADATA!$B$4)*(nCURSO=A163)*(nASIG=B163),nNOTA)),"—"),"")</f>
        <v>—</v>
      </c>
      <c r="H163" s="15" t="str">
        <f>IF(V163="Sí",IFERROR(COUNTIFS(DATOS!G:G,CONFIG_METADATA!$B$4,DATOS!D:D,A163,DATOS!I:I,B163,DATOS!L:L,"S")/COUNTIFS(DATOS!G:G,CONFIG_METADATA!$B$4,DATOS!D:D,A163,DATOS!I:I,B163),"—"),"")</f>
        <v>—</v>
      </c>
      <c r="I163" s="15" t="str">
        <f>IF(V163="Sí",IFERROR(COUNTIFS(DATOS!G:G,CONFIG_METADATA!$B$4,DATOS!D:D,A163,DATOS!I:I,B163,DATOS!L:L,"N")/COUNTIFS(DATOS!G:G,CONFIG_METADATA!$B$4,DATOS!D:D,A163,DATOS!I:I,B163),"—"),"")</f>
        <v>—</v>
      </c>
      <c r="J163" t="str" cm="1">
        <f t="array" ref="J163">IF(V163="Sí",IFERROR(_xlfn.MODE.SNGL(IF((nEVAL=CONFIG_METADATA!$B$4)*(nCURSO=A163)*(nASIG=B163)*(nAPTO="S"),nNOTA)),"—"),"")</f>
        <v>—</v>
      </c>
      <c r="K163" t="str" cm="1">
        <f t="array" ref="K163">IF(V163="Sí",IFERROR(_xlfn.MODE.SNGL(IF((nEVAL=CONFIG_METADATA!$B$4)*(nCURSO=A163)*(nASIG=B163)*(nAPTO="N"),nNOTA)),"—"),"")</f>
        <v>—</v>
      </c>
      <c r="L163">
        <f>IF(V163="Sí",COUNTIFS(DATOS!G:G,CONFIG_METADATA!$B$4,DATOS!D:D,A163,DATOS!I:I,B163,DATOS!K:K,1),"")</f>
        <v>0</v>
      </c>
      <c r="M163">
        <f>IF(V163="Sí",COUNTIFS(DATOS!G:G,CONFIG_METADATA!$B$4,DATOS!D:D,A163,DATOS!I:I,B163,DATOS!K:K,2),"")</f>
        <v>0</v>
      </c>
      <c r="N163">
        <f>IF(V163="Sí",COUNTIFS(DATOS!G:G,CONFIG_METADATA!$B$4,DATOS!D:D,A163,DATOS!I:I,B163,DATOS!K:K,3),"")</f>
        <v>0</v>
      </c>
      <c r="O163">
        <f>IF(V163="Sí",COUNTIFS(DATOS!G:G,CONFIG_METADATA!$B$4,DATOS!D:D,A163,DATOS!I:I,B163,DATOS!K:K,4),"")</f>
        <v>0</v>
      </c>
      <c r="P163">
        <f>IF(V163="Sí",COUNTIFS(DATOS!G:G,CONFIG_METADATA!$B$4,DATOS!D:D,A163,DATOS!I:I,B163,DATOS!K:K,5),"")</f>
        <v>0</v>
      </c>
      <c r="Q163">
        <f>IF(V163="Sí",COUNTIFS(DATOS!G:G,CONFIG_METADATA!$B$4,DATOS!D:D,A163,DATOS!I:I,B163,DATOS!K:K,6),"")</f>
        <v>0</v>
      </c>
      <c r="R163">
        <f>IF(V163="Sí",COUNTIFS(DATOS!G:G,CONFIG_METADATA!$B$4,DATOS!D:D,A163,DATOS!I:I,B163,DATOS!K:K,7),"")</f>
        <v>0</v>
      </c>
      <c r="S163">
        <f>IF(V163="Sí",COUNTIFS(DATOS!G:G,CONFIG_METADATA!$B$4,DATOS!D:D,A163,DATOS!I:I,B163,DATOS!K:K,8),"")</f>
        <v>0</v>
      </c>
      <c r="T163">
        <f>IF(V163="Sí",COUNTIFS(DATOS!G:G,CONFIG_METADATA!$B$4,DATOS!D:D,A163,DATOS!I:I,B163,DATOS!K:K,9),"")</f>
        <v>0</v>
      </c>
      <c r="U163">
        <f>IF(V163="Sí",COUNTIFS(DATOS!G:G,CONFIG_METADATA!$B$4,DATOS!D:D,A163,DATOS!I:I,B163,DATOS!K:K,10),"")</f>
        <v>0</v>
      </c>
      <c r="V163" t="str">
        <f>IFERROR(IF(ISERROR(FIND(A163,VLOOKUP(B163,CONFIG_ASIGNATURAS!B:C,2,FALSE()))),"No","Sí"),"No")</f>
        <v>Sí</v>
      </c>
    </row>
    <row r="164" spans="1:22">
      <c r="A164" s="3" t="inlineStr">
        <is>
          <t xml:space="preserve">2EEM</t>
        </is>
      </c>
      <c r="B164" s="3" cm="1">
        <f t="array" ref="B164">IFERROR(INDEX(_xlfn._xlws.FILTER(CONFIG_ASIGNATURAS!$B$2:$B$61,(CONFIG_ASIGNATURAS!$G$2:$G$61="Sí")*ISNUMBER(SEARCH("2EEM",CONFIG_ASIGNATURAS!$C$2:$C$61))),34),"")</f>
      </c>
      <c r="C164" s="3">
        <f>IF(B164="","",IFERROR(IF(VLOOKUP(B164,CONFIG_ASIGNATURAS!$B$2:$F$61,5,FALSE())="Sí","Especialidad","Asignatura"),"Asignatura"))</f>
      </c>
      <c r="D164">
        <f>IF(V164="Sí",COUNTIFS(DATOS!G:G,CONFIG_METADATA!$B$4,DATOS!D:D,A164,DATOS!I:I,B164),"")</f>
        <v>0</v>
      </c>
      <c r="E164" s="14" t="str">
        <f>IF(V164="Sí",IFERROR(AVERAGEIFS(DATOS!K:K,DATOS!G:G,CONFIG_METADATA!$B$4,DATOS!D:D,A164,DATOS!I:I,B164),"—"),"")</f>
        <v>—</v>
      </c>
      <c r="F164" s="14" t="str" cm="1">
        <f t="array" ref="F164">IF(V164="Sí",IFERROR(_xlfn.STDEV.P(IF((nEVAL=CONFIG_METADATA!$B$4)*(nCURSO=A164)*(nASIG=B164),nNOTA)),"—"),"")</f>
        <v>—</v>
      </c>
      <c r="G164" t="str" cm="1">
        <f t="array" ref="G164">IF(V164="Sí",IFERROR(_xlfn.MODE.SNGL(IF((nEVAL=CONFIG_METADATA!$B$4)*(nCURSO=A164)*(nASIG=B164),nNOTA)),"—"),"")</f>
        <v>—</v>
      </c>
      <c r="H164" s="15" t="str">
        <f>IF(V164="Sí",IFERROR(COUNTIFS(DATOS!G:G,CONFIG_METADATA!$B$4,DATOS!D:D,A164,DATOS!I:I,B164,DATOS!L:L,"S")/COUNTIFS(DATOS!G:G,CONFIG_METADATA!$B$4,DATOS!D:D,A164,DATOS!I:I,B164),"—"),"")</f>
        <v>—</v>
      </c>
      <c r="I164" s="15" t="str">
        <f>IF(V164="Sí",IFERROR(COUNTIFS(DATOS!G:G,CONFIG_METADATA!$B$4,DATOS!D:D,A164,DATOS!I:I,B164,DATOS!L:L,"N")/COUNTIFS(DATOS!G:G,CONFIG_METADATA!$B$4,DATOS!D:D,A164,DATOS!I:I,B164),"—"),"")</f>
        <v>—</v>
      </c>
      <c r="J164" t="str" cm="1">
        <f t="array" ref="J164">IF(V164="Sí",IFERROR(_xlfn.MODE.SNGL(IF((nEVAL=CONFIG_METADATA!$B$4)*(nCURSO=A164)*(nASIG=B164)*(nAPTO="S"),nNOTA)),"—"),"")</f>
        <v>—</v>
      </c>
      <c r="K164" t="str" cm="1">
        <f t="array" ref="K164">IF(V164="Sí",IFERROR(_xlfn.MODE.SNGL(IF((nEVAL=CONFIG_METADATA!$B$4)*(nCURSO=A164)*(nASIG=B164)*(nAPTO="N"),nNOTA)),"—"),"")</f>
        <v>—</v>
      </c>
      <c r="L164">
        <f>IF(V164="Sí",COUNTIFS(DATOS!G:G,CONFIG_METADATA!$B$4,DATOS!D:D,A164,DATOS!I:I,B164,DATOS!K:K,1),"")</f>
        <v>0</v>
      </c>
      <c r="M164">
        <f>IF(V164="Sí",COUNTIFS(DATOS!G:G,CONFIG_METADATA!$B$4,DATOS!D:D,A164,DATOS!I:I,B164,DATOS!K:K,2),"")</f>
        <v>0</v>
      </c>
      <c r="N164">
        <f>IF(V164="Sí",COUNTIFS(DATOS!G:G,CONFIG_METADATA!$B$4,DATOS!D:D,A164,DATOS!I:I,B164,DATOS!K:K,3),"")</f>
        <v>0</v>
      </c>
      <c r="O164">
        <f>IF(V164="Sí",COUNTIFS(DATOS!G:G,CONFIG_METADATA!$B$4,DATOS!D:D,A164,DATOS!I:I,B164,DATOS!K:K,4),"")</f>
        <v>0</v>
      </c>
      <c r="P164">
        <f>IF(V164="Sí",COUNTIFS(DATOS!G:G,CONFIG_METADATA!$B$4,DATOS!D:D,A164,DATOS!I:I,B164,DATOS!K:K,5),"")</f>
        <v>0</v>
      </c>
      <c r="Q164">
        <f>IF(V164="Sí",COUNTIFS(DATOS!G:G,CONFIG_METADATA!$B$4,DATOS!D:D,A164,DATOS!I:I,B164,DATOS!K:K,6),"")</f>
        <v>0</v>
      </c>
      <c r="R164">
        <f>IF(V164="Sí",COUNTIFS(DATOS!G:G,CONFIG_METADATA!$B$4,DATOS!D:D,A164,DATOS!I:I,B164,DATOS!K:K,7),"")</f>
        <v>0</v>
      </c>
      <c r="S164">
        <f>IF(V164="Sí",COUNTIFS(DATOS!G:G,CONFIG_METADATA!$B$4,DATOS!D:D,A164,DATOS!I:I,B164,DATOS!K:K,8),"")</f>
        <v>0</v>
      </c>
      <c r="T164">
        <f>IF(V164="Sí",COUNTIFS(DATOS!G:G,CONFIG_METADATA!$B$4,DATOS!D:D,A164,DATOS!I:I,B164,DATOS!K:K,9),"")</f>
        <v>0</v>
      </c>
      <c r="U164">
        <f>IF(V164="Sí",COUNTIFS(DATOS!G:G,CONFIG_METADATA!$B$4,DATOS!D:D,A164,DATOS!I:I,B164,DATOS!K:K,10),"")</f>
        <v>0</v>
      </c>
      <c r="V164" t="str">
        <f>IFERROR(IF(ISERROR(FIND(A164,VLOOKUP(B164,CONFIG_ASIGNATURAS!B:C,2,FALSE()))),"No","Sí"),"No")</f>
        <v>Sí</v>
      </c>
    </row>
    <row r="165" spans="1:22">
      <c r="A165" s="3" t="inlineStr">
        <is>
          <t xml:space="preserve">2EEM</t>
        </is>
      </c>
      <c r="B165" s="3" cm="1">
        <f t="array" ref="B165">IFERROR(INDEX(_xlfn._xlws.FILTER(CONFIG_ASIGNATURAS!$B$2:$B$61,(CONFIG_ASIGNATURAS!$G$2:$G$61="Sí")*ISNUMBER(SEARCH("2EEM",CONFIG_ASIGNATURAS!$C$2:$C$61))),35),"")</f>
      </c>
      <c r="C165" s="3">
        <f>IF(B165="","",IFERROR(IF(VLOOKUP(B165,CONFIG_ASIGNATURAS!$B$2:$F$61,5,FALSE())="Sí","Especialidad","Asignatura"),"Asignatura"))</f>
      </c>
      <c r="D165">
        <f>IF(V165="Sí",COUNTIFS(DATOS!G:G,CONFIG_METADATA!$B$4,DATOS!D:D,A165,DATOS!I:I,B165),"")</f>
        <v>0</v>
      </c>
      <c r="E165" s="14" t="str">
        <f>IF(V165="Sí",IFERROR(AVERAGEIFS(DATOS!K:K,DATOS!G:G,CONFIG_METADATA!$B$4,DATOS!D:D,A165,DATOS!I:I,B165),"—"),"")</f>
        <v>—</v>
      </c>
      <c r="F165" s="14" t="str" cm="1">
        <f t="array" ref="F165">IF(V165="Sí",IFERROR(_xlfn.STDEV.P(IF((nEVAL=CONFIG_METADATA!$B$4)*(nCURSO=A165)*(nASIG=B165),nNOTA)),"—"),"")</f>
        <v>—</v>
      </c>
      <c r="G165" t="str" cm="1">
        <f t="array" ref="G165">IF(V165="Sí",IFERROR(_xlfn.MODE.SNGL(IF((nEVAL=CONFIG_METADATA!$B$4)*(nCURSO=A165)*(nASIG=B165),nNOTA)),"—"),"")</f>
        <v>—</v>
      </c>
      <c r="H165" s="15" t="str">
        <f>IF(V165="Sí",IFERROR(COUNTIFS(DATOS!G:G,CONFIG_METADATA!$B$4,DATOS!D:D,A165,DATOS!I:I,B165,DATOS!L:L,"S")/COUNTIFS(DATOS!G:G,CONFIG_METADATA!$B$4,DATOS!D:D,A165,DATOS!I:I,B165),"—"),"")</f>
        <v>—</v>
      </c>
      <c r="I165" s="15" t="str">
        <f>IF(V165="Sí",IFERROR(COUNTIFS(DATOS!G:G,CONFIG_METADATA!$B$4,DATOS!D:D,A165,DATOS!I:I,B165,DATOS!L:L,"N")/COUNTIFS(DATOS!G:G,CONFIG_METADATA!$B$4,DATOS!D:D,A165,DATOS!I:I,B165),"—"),"")</f>
        <v>—</v>
      </c>
      <c r="J165" t="str" cm="1">
        <f t="array" ref="J165">IF(V165="Sí",IFERROR(_xlfn.MODE.SNGL(IF((nEVAL=CONFIG_METADATA!$B$4)*(nCURSO=A165)*(nASIG=B165)*(nAPTO="S"),nNOTA)),"—"),"")</f>
        <v>—</v>
      </c>
      <c r="K165" t="str" cm="1">
        <f t="array" ref="K165">IF(V165="Sí",IFERROR(_xlfn.MODE.SNGL(IF((nEVAL=CONFIG_METADATA!$B$4)*(nCURSO=A165)*(nASIG=B165)*(nAPTO="N"),nNOTA)),"—"),"")</f>
        <v>—</v>
      </c>
      <c r="L165">
        <f>IF(V165="Sí",COUNTIFS(DATOS!G:G,CONFIG_METADATA!$B$4,DATOS!D:D,A165,DATOS!I:I,B165,DATOS!K:K,1),"")</f>
        <v>0</v>
      </c>
      <c r="M165">
        <f>IF(V165="Sí",COUNTIFS(DATOS!G:G,CONFIG_METADATA!$B$4,DATOS!D:D,A165,DATOS!I:I,B165,DATOS!K:K,2),"")</f>
        <v>0</v>
      </c>
      <c r="N165">
        <f>IF(V165="Sí",COUNTIFS(DATOS!G:G,CONFIG_METADATA!$B$4,DATOS!D:D,A165,DATOS!I:I,B165,DATOS!K:K,3),"")</f>
        <v>0</v>
      </c>
      <c r="O165">
        <f>IF(V165="Sí",COUNTIFS(DATOS!G:G,CONFIG_METADATA!$B$4,DATOS!D:D,A165,DATOS!I:I,B165,DATOS!K:K,4),"")</f>
        <v>0</v>
      </c>
      <c r="P165">
        <f>IF(V165="Sí",COUNTIFS(DATOS!G:G,CONFIG_METADATA!$B$4,DATOS!D:D,A165,DATOS!I:I,B165,DATOS!K:K,5),"")</f>
        <v>0</v>
      </c>
      <c r="Q165">
        <f>IF(V165="Sí",COUNTIFS(DATOS!G:G,CONFIG_METADATA!$B$4,DATOS!D:D,A165,DATOS!I:I,B165,DATOS!K:K,6),"")</f>
        <v>0</v>
      </c>
      <c r="R165">
        <f>IF(V165="Sí",COUNTIFS(DATOS!G:G,CONFIG_METADATA!$B$4,DATOS!D:D,A165,DATOS!I:I,B165,DATOS!K:K,7),"")</f>
        <v>0</v>
      </c>
      <c r="S165">
        <f>IF(V165="Sí",COUNTIFS(DATOS!G:G,CONFIG_METADATA!$B$4,DATOS!D:D,A165,DATOS!I:I,B165,DATOS!K:K,8),"")</f>
        <v>0</v>
      </c>
      <c r="T165">
        <f>IF(V165="Sí",COUNTIFS(DATOS!G:G,CONFIG_METADATA!$B$4,DATOS!D:D,A165,DATOS!I:I,B165,DATOS!K:K,9),"")</f>
        <v>0</v>
      </c>
      <c r="U165">
        <f>IF(V165="Sí",COUNTIFS(DATOS!G:G,CONFIG_METADATA!$B$4,DATOS!D:D,A165,DATOS!I:I,B165,DATOS!K:K,10),"")</f>
        <v>0</v>
      </c>
      <c r="V165" t="str">
        <f>IFERROR(IF(ISERROR(FIND(A165,VLOOKUP(B165,CONFIG_ASIGNATURAS!B:C,2,FALSE()))),"No","Sí"),"No")</f>
        <v>Sí</v>
      </c>
    </row>
    <row r="166" spans="1:22">
      <c r="A166" s="3" t="inlineStr">
        <is>
          <t xml:space="preserve">2EEM</t>
        </is>
      </c>
      <c r="B166" s="3" cm="1">
        <f t="array" ref="B166">IFERROR(INDEX(_xlfn._xlws.FILTER(CONFIG_ASIGNATURAS!$B$2:$B$61,(CONFIG_ASIGNATURAS!$G$2:$G$61="Sí")*ISNUMBER(SEARCH("2EEM",CONFIG_ASIGNATURAS!$C$2:$C$61))),36),"")</f>
      </c>
      <c r="C166" s="3">
        <f>IF(B166="","",IFERROR(IF(VLOOKUP(B166,CONFIG_ASIGNATURAS!$B$2:$F$61,5,FALSE())="Sí","Especialidad","Asignatura"),"Asignatura"))</f>
      </c>
      <c r="D166">
        <f>IF(V166="Sí",COUNTIFS(DATOS!G:G,CONFIG_METADATA!$B$4,DATOS!D:D,A166,DATOS!I:I,B166),"")</f>
        <v>0</v>
      </c>
      <c r="E166" s="14" t="str">
        <f>IF(V166="Sí",IFERROR(AVERAGEIFS(DATOS!K:K,DATOS!G:G,CONFIG_METADATA!$B$4,DATOS!D:D,A166,DATOS!I:I,B166),"—"),"")</f>
        <v>—</v>
      </c>
      <c r="F166" s="14" t="str" cm="1">
        <f t="array" ref="F166">IF(V166="Sí",IFERROR(_xlfn.STDEV.P(IF((nEVAL=CONFIG_METADATA!$B$4)*(nCURSO=A166)*(nASIG=B166),nNOTA)),"—"),"")</f>
        <v>—</v>
      </c>
      <c r="G166" t="str" cm="1">
        <f t="array" ref="G166">IF(V166="Sí",IFERROR(_xlfn.MODE.SNGL(IF((nEVAL=CONFIG_METADATA!$B$4)*(nCURSO=A166)*(nASIG=B166),nNOTA)),"—"),"")</f>
        <v>—</v>
      </c>
      <c r="H166" s="15" t="str">
        <f>IF(V166="Sí",IFERROR(COUNTIFS(DATOS!G:G,CONFIG_METADATA!$B$4,DATOS!D:D,A166,DATOS!I:I,B166,DATOS!L:L,"S")/COUNTIFS(DATOS!G:G,CONFIG_METADATA!$B$4,DATOS!D:D,A166,DATOS!I:I,B166),"—"),"")</f>
        <v>—</v>
      </c>
      <c r="I166" s="15" t="str">
        <f>IF(V166="Sí",IFERROR(COUNTIFS(DATOS!G:G,CONFIG_METADATA!$B$4,DATOS!D:D,A166,DATOS!I:I,B166,DATOS!L:L,"N")/COUNTIFS(DATOS!G:G,CONFIG_METADATA!$B$4,DATOS!D:D,A166,DATOS!I:I,B166),"—"),"")</f>
        <v>—</v>
      </c>
      <c r="J166" t="str" cm="1">
        <f t="array" ref="J166">IF(V166="Sí",IFERROR(_xlfn.MODE.SNGL(IF((nEVAL=CONFIG_METADATA!$B$4)*(nCURSO=A166)*(nASIG=B166)*(nAPTO="S"),nNOTA)),"—"),"")</f>
        <v>—</v>
      </c>
      <c r="K166" t="str" cm="1">
        <f t="array" ref="K166">IF(V166="Sí",IFERROR(_xlfn.MODE.SNGL(IF((nEVAL=CONFIG_METADATA!$B$4)*(nCURSO=A166)*(nASIG=B166)*(nAPTO="N"),nNOTA)),"—"),"")</f>
        <v>—</v>
      </c>
      <c r="L166">
        <f>IF(V166="Sí",COUNTIFS(DATOS!G:G,CONFIG_METADATA!$B$4,DATOS!D:D,A166,DATOS!I:I,B166,DATOS!K:K,1),"")</f>
        <v>0</v>
      </c>
      <c r="M166">
        <f>IF(V166="Sí",COUNTIFS(DATOS!G:G,CONFIG_METADATA!$B$4,DATOS!D:D,A166,DATOS!I:I,B166,DATOS!K:K,2),"")</f>
        <v>0</v>
      </c>
      <c r="N166">
        <f>IF(V166="Sí",COUNTIFS(DATOS!G:G,CONFIG_METADATA!$B$4,DATOS!D:D,A166,DATOS!I:I,B166,DATOS!K:K,3),"")</f>
        <v>0</v>
      </c>
      <c r="O166">
        <f>IF(V166="Sí",COUNTIFS(DATOS!G:G,CONFIG_METADATA!$B$4,DATOS!D:D,A166,DATOS!I:I,B166,DATOS!K:K,4),"")</f>
        <v>0</v>
      </c>
      <c r="P166">
        <f>IF(V166="Sí",COUNTIFS(DATOS!G:G,CONFIG_METADATA!$B$4,DATOS!D:D,A166,DATOS!I:I,B166,DATOS!K:K,5),"")</f>
        <v>0</v>
      </c>
      <c r="Q166">
        <f>IF(V166="Sí",COUNTIFS(DATOS!G:G,CONFIG_METADATA!$B$4,DATOS!D:D,A166,DATOS!I:I,B166,DATOS!K:K,6),"")</f>
        <v>0</v>
      </c>
      <c r="R166">
        <f>IF(V166="Sí",COUNTIFS(DATOS!G:G,CONFIG_METADATA!$B$4,DATOS!D:D,A166,DATOS!I:I,B166,DATOS!K:K,7),"")</f>
        <v>0</v>
      </c>
      <c r="S166">
        <f>IF(V166="Sí",COUNTIFS(DATOS!G:G,CONFIG_METADATA!$B$4,DATOS!D:D,A166,DATOS!I:I,B166,DATOS!K:K,8),"")</f>
        <v>0</v>
      </c>
      <c r="T166">
        <f>IF(V166="Sí",COUNTIFS(DATOS!G:G,CONFIG_METADATA!$B$4,DATOS!D:D,A166,DATOS!I:I,B166,DATOS!K:K,9),"")</f>
        <v>0</v>
      </c>
      <c r="U166">
        <f>IF(V166="Sí",COUNTIFS(DATOS!G:G,CONFIG_METADATA!$B$4,DATOS!D:D,A166,DATOS!I:I,B166,DATOS!K:K,10),"")</f>
        <v>0</v>
      </c>
      <c r="V166" t="str">
        <f>IFERROR(IF(ISERROR(FIND(A166,VLOOKUP(B166,CONFIG_ASIGNATURAS!B:C,2,FALSE()))),"No","Sí"),"No")</f>
        <v>Sí</v>
      </c>
    </row>
    <row r="167" spans="1:22">
      <c r="A167" s="3" t="inlineStr">
        <is>
          <t xml:space="preserve">2EEM</t>
        </is>
      </c>
      <c r="B167" s="3" cm="1">
        <f t="array" ref="B167">IFERROR(INDEX(_xlfn._xlws.FILTER(CONFIG_ASIGNATURAS!$B$2:$B$61,(CONFIG_ASIGNATURAS!$G$2:$G$61="Sí")*ISNUMBER(SEARCH("2EEM",CONFIG_ASIGNATURAS!$C$2:$C$61))),37),"")</f>
      </c>
      <c r="C167" s="3">
        <f>IF(B167="","",IFERROR(IF(VLOOKUP(B167,CONFIG_ASIGNATURAS!$B$2:$F$61,5,FALSE())="Sí","Especialidad","Asignatura"),"Asignatura"))</f>
      </c>
      <c r="D167">
        <f>IF(V167="Sí",COUNTIFS(DATOS!G:G,CONFIG_METADATA!$B$4,DATOS!D:D,A167,DATOS!I:I,B167),"")</f>
        <v>0</v>
      </c>
      <c r="E167" s="14" t="str">
        <f>IF(V167="Sí",IFERROR(AVERAGEIFS(DATOS!K:K,DATOS!G:G,CONFIG_METADATA!$B$4,DATOS!D:D,A167,DATOS!I:I,B167),"—"),"")</f>
        <v>—</v>
      </c>
      <c r="F167" s="14" t="str" cm="1">
        <f t="array" ref="F167">IF(V167="Sí",IFERROR(_xlfn.STDEV.P(IF((nEVAL=CONFIG_METADATA!$B$4)*(nCURSO=A167)*(nASIG=B167),nNOTA)),"—"),"")</f>
        <v>—</v>
      </c>
      <c r="G167" t="str" cm="1">
        <f t="array" ref="G167">IF(V167="Sí",IFERROR(_xlfn.MODE.SNGL(IF((nEVAL=CONFIG_METADATA!$B$4)*(nCURSO=A167)*(nASIG=B167),nNOTA)),"—"),"")</f>
        <v>—</v>
      </c>
      <c r="H167" s="15" t="str">
        <f>IF(V167="Sí",IFERROR(COUNTIFS(DATOS!G:G,CONFIG_METADATA!$B$4,DATOS!D:D,A167,DATOS!I:I,B167,DATOS!L:L,"S")/COUNTIFS(DATOS!G:G,CONFIG_METADATA!$B$4,DATOS!D:D,A167,DATOS!I:I,B167),"—"),"")</f>
        <v>—</v>
      </c>
      <c r="I167" s="15" t="str">
        <f>IF(V167="Sí",IFERROR(COUNTIFS(DATOS!G:G,CONFIG_METADATA!$B$4,DATOS!D:D,A167,DATOS!I:I,B167,DATOS!L:L,"N")/COUNTIFS(DATOS!G:G,CONFIG_METADATA!$B$4,DATOS!D:D,A167,DATOS!I:I,B167),"—"),"")</f>
        <v>—</v>
      </c>
      <c r="J167" t="str" cm="1">
        <f t="array" ref="J167">IF(V167="Sí",IFERROR(_xlfn.MODE.SNGL(IF((nEVAL=CONFIG_METADATA!$B$4)*(nCURSO=A167)*(nASIG=B167)*(nAPTO="S"),nNOTA)),"—"),"")</f>
        <v>—</v>
      </c>
      <c r="K167" t="str" cm="1">
        <f t="array" ref="K167">IF(V167="Sí",IFERROR(_xlfn.MODE.SNGL(IF((nEVAL=CONFIG_METADATA!$B$4)*(nCURSO=A167)*(nASIG=B167)*(nAPTO="N"),nNOTA)),"—"),"")</f>
        <v>—</v>
      </c>
      <c r="L167">
        <f>IF(V167="Sí",COUNTIFS(DATOS!G:G,CONFIG_METADATA!$B$4,DATOS!D:D,A167,DATOS!I:I,B167,DATOS!K:K,1),"")</f>
        <v>0</v>
      </c>
      <c r="M167">
        <f>IF(V167="Sí",COUNTIFS(DATOS!G:G,CONFIG_METADATA!$B$4,DATOS!D:D,A167,DATOS!I:I,B167,DATOS!K:K,2),"")</f>
        <v>0</v>
      </c>
      <c r="N167">
        <f>IF(V167="Sí",COUNTIFS(DATOS!G:G,CONFIG_METADATA!$B$4,DATOS!D:D,A167,DATOS!I:I,B167,DATOS!K:K,3),"")</f>
        <v>0</v>
      </c>
      <c r="O167">
        <f>IF(V167="Sí",COUNTIFS(DATOS!G:G,CONFIG_METADATA!$B$4,DATOS!D:D,A167,DATOS!I:I,B167,DATOS!K:K,4),"")</f>
        <v>0</v>
      </c>
      <c r="P167">
        <f>IF(V167="Sí",COUNTIFS(DATOS!G:G,CONFIG_METADATA!$B$4,DATOS!D:D,A167,DATOS!I:I,B167,DATOS!K:K,5),"")</f>
        <v>0</v>
      </c>
      <c r="Q167">
        <f>IF(V167="Sí",COUNTIFS(DATOS!G:G,CONFIG_METADATA!$B$4,DATOS!D:D,A167,DATOS!I:I,B167,DATOS!K:K,6),"")</f>
        <v>0</v>
      </c>
      <c r="R167">
        <f>IF(V167="Sí",COUNTIFS(DATOS!G:G,CONFIG_METADATA!$B$4,DATOS!D:D,A167,DATOS!I:I,B167,DATOS!K:K,7),"")</f>
        <v>0</v>
      </c>
      <c r="S167">
        <f>IF(V167="Sí",COUNTIFS(DATOS!G:G,CONFIG_METADATA!$B$4,DATOS!D:D,A167,DATOS!I:I,B167,DATOS!K:K,8),"")</f>
        <v>0</v>
      </c>
      <c r="T167">
        <f>IF(V167="Sí",COUNTIFS(DATOS!G:G,CONFIG_METADATA!$B$4,DATOS!D:D,A167,DATOS!I:I,B167,DATOS!K:K,9),"")</f>
        <v>0</v>
      </c>
      <c r="U167">
        <f>IF(V167="Sí",COUNTIFS(DATOS!G:G,CONFIG_METADATA!$B$4,DATOS!D:D,A167,DATOS!I:I,B167,DATOS!K:K,10),"")</f>
        <v>0</v>
      </c>
      <c r="V167" t="str">
        <f>IFERROR(IF(ISERROR(FIND(A167,VLOOKUP(B167,CONFIG_ASIGNATURAS!B:C,2,FALSE()))),"No","Sí"),"No")</f>
        <v>Sí</v>
      </c>
    </row>
    <row r="168" spans="1:22">
      <c r="A168" s="3" t="inlineStr">
        <is>
          <t xml:space="preserve">2EEM</t>
        </is>
      </c>
      <c r="B168" s="3" cm="1">
        <f t="array" ref="B168">IFERROR(INDEX(_xlfn._xlws.FILTER(CONFIG_ASIGNATURAS!$B$2:$B$61,(CONFIG_ASIGNATURAS!$G$2:$G$61="Sí")*ISNUMBER(SEARCH("2EEM",CONFIG_ASIGNATURAS!$C$2:$C$61))),38),"")</f>
      </c>
      <c r="C168" s="3">
        <f>IF(B168="","",IFERROR(IF(VLOOKUP(B168,CONFIG_ASIGNATURAS!$B$2:$F$61,5,FALSE())="Sí","Especialidad","Asignatura"),"Asignatura"))</f>
      </c>
      <c r="D168">
        <f>IF(V168="Sí",COUNTIFS(DATOS!G:G,CONFIG_METADATA!$B$4,DATOS!D:D,A168,DATOS!I:I,B168),"")</f>
        <v>0</v>
      </c>
      <c r="E168" s="14" t="str">
        <f>IF(V168="Sí",IFERROR(AVERAGEIFS(DATOS!K:K,DATOS!G:G,CONFIG_METADATA!$B$4,DATOS!D:D,A168,DATOS!I:I,B168),"—"),"")</f>
        <v>—</v>
      </c>
      <c r="F168" s="14" t="str" cm="1">
        <f t="array" ref="F168">IF(V168="Sí",IFERROR(_xlfn.STDEV.P(IF((nEVAL=CONFIG_METADATA!$B$4)*(nCURSO=A168)*(nASIG=B168),nNOTA)),"—"),"")</f>
        <v>—</v>
      </c>
      <c r="G168" t="str" cm="1">
        <f t="array" ref="G168">IF(V168="Sí",IFERROR(_xlfn.MODE.SNGL(IF((nEVAL=CONFIG_METADATA!$B$4)*(nCURSO=A168)*(nASIG=B168),nNOTA)),"—"),"")</f>
        <v>—</v>
      </c>
      <c r="H168" s="15" t="str">
        <f>IF(V168="Sí",IFERROR(COUNTIFS(DATOS!G:G,CONFIG_METADATA!$B$4,DATOS!D:D,A168,DATOS!I:I,B168,DATOS!L:L,"S")/COUNTIFS(DATOS!G:G,CONFIG_METADATA!$B$4,DATOS!D:D,A168,DATOS!I:I,B168),"—"),"")</f>
        <v>—</v>
      </c>
      <c r="I168" s="15" t="str">
        <f>IF(V168="Sí",IFERROR(COUNTIFS(DATOS!G:G,CONFIG_METADATA!$B$4,DATOS!D:D,A168,DATOS!I:I,B168,DATOS!L:L,"N")/COUNTIFS(DATOS!G:G,CONFIG_METADATA!$B$4,DATOS!D:D,A168,DATOS!I:I,B168),"—"),"")</f>
        <v>—</v>
      </c>
      <c r="J168" t="str" cm="1">
        <f t="array" ref="J168">IF(V168="Sí",IFERROR(_xlfn.MODE.SNGL(IF((nEVAL=CONFIG_METADATA!$B$4)*(nCURSO=A168)*(nASIG=B168)*(nAPTO="S"),nNOTA)),"—"),"")</f>
        <v>—</v>
      </c>
      <c r="K168" t="str" cm="1">
        <f t="array" ref="K168">IF(V168="Sí",IFERROR(_xlfn.MODE.SNGL(IF((nEVAL=CONFIG_METADATA!$B$4)*(nCURSO=A168)*(nASIG=B168)*(nAPTO="N"),nNOTA)),"—"),"")</f>
        <v>—</v>
      </c>
      <c r="L168">
        <f>IF(V168="Sí",COUNTIFS(DATOS!G:G,CONFIG_METADATA!$B$4,DATOS!D:D,A168,DATOS!I:I,B168,DATOS!K:K,1),"")</f>
        <v>0</v>
      </c>
      <c r="M168">
        <f>IF(V168="Sí",COUNTIFS(DATOS!G:G,CONFIG_METADATA!$B$4,DATOS!D:D,A168,DATOS!I:I,B168,DATOS!K:K,2),"")</f>
        <v>0</v>
      </c>
      <c r="N168">
        <f>IF(V168="Sí",COUNTIFS(DATOS!G:G,CONFIG_METADATA!$B$4,DATOS!D:D,A168,DATOS!I:I,B168,DATOS!K:K,3),"")</f>
        <v>0</v>
      </c>
      <c r="O168">
        <f>IF(V168="Sí",COUNTIFS(DATOS!G:G,CONFIG_METADATA!$B$4,DATOS!D:D,A168,DATOS!I:I,B168,DATOS!K:K,4),"")</f>
        <v>0</v>
      </c>
      <c r="P168">
        <f>IF(V168="Sí",COUNTIFS(DATOS!G:G,CONFIG_METADATA!$B$4,DATOS!D:D,A168,DATOS!I:I,B168,DATOS!K:K,5),"")</f>
        <v>0</v>
      </c>
      <c r="Q168">
        <f>IF(V168="Sí",COUNTIFS(DATOS!G:G,CONFIG_METADATA!$B$4,DATOS!D:D,A168,DATOS!I:I,B168,DATOS!K:K,6),"")</f>
        <v>0</v>
      </c>
      <c r="R168">
        <f>IF(V168="Sí",COUNTIFS(DATOS!G:G,CONFIG_METADATA!$B$4,DATOS!D:D,A168,DATOS!I:I,B168,DATOS!K:K,7),"")</f>
        <v>0</v>
      </c>
      <c r="S168">
        <f>IF(V168="Sí",COUNTIFS(DATOS!G:G,CONFIG_METADATA!$B$4,DATOS!D:D,A168,DATOS!I:I,B168,DATOS!K:K,8),"")</f>
        <v>0</v>
      </c>
      <c r="T168">
        <f>IF(V168="Sí",COUNTIFS(DATOS!G:G,CONFIG_METADATA!$B$4,DATOS!D:D,A168,DATOS!I:I,B168,DATOS!K:K,9),"")</f>
        <v>0</v>
      </c>
      <c r="U168">
        <f>IF(V168="Sí",COUNTIFS(DATOS!G:G,CONFIG_METADATA!$B$4,DATOS!D:D,A168,DATOS!I:I,B168,DATOS!K:K,10),"")</f>
        <v>0</v>
      </c>
      <c r="V168" t="str">
        <f>IFERROR(IF(ISERROR(FIND(A168,VLOOKUP(B168,CONFIG_ASIGNATURAS!B:C,2,FALSE()))),"No","Sí"),"No")</f>
        <v>Sí</v>
      </c>
    </row>
    <row r="169" spans="1:22">
      <c r="A169" s="3" t="inlineStr">
        <is>
          <t xml:space="preserve">2EEM</t>
        </is>
      </c>
      <c r="B169" s="3" cm="1">
        <f t="array" ref="B169">IFERROR(INDEX(_xlfn._xlws.FILTER(CONFIG_ASIGNATURAS!$B$2:$B$61,(CONFIG_ASIGNATURAS!$G$2:$G$61="Sí")*ISNUMBER(SEARCH("2EEM",CONFIG_ASIGNATURAS!$C$2:$C$61))),39),"")</f>
      </c>
      <c r="C169" s="3">
        <f>IF(B169="","",IFERROR(IF(VLOOKUP(B169,CONFIG_ASIGNATURAS!$B$2:$F$61,5,FALSE())="Sí","Especialidad","Asignatura"),"Asignatura"))</f>
      </c>
      <c r="D169">
        <f>IF(V169="Sí",COUNTIFS(DATOS!G:G,CONFIG_METADATA!$B$4,DATOS!D:D,A169,DATOS!I:I,B169),"")</f>
        <v>0</v>
      </c>
      <c r="E169" s="14" t="str">
        <f>IF(V169="Sí",IFERROR(AVERAGEIFS(DATOS!K:K,DATOS!G:G,CONFIG_METADATA!$B$4,DATOS!D:D,A169,DATOS!I:I,B169),"—"),"")</f>
        <v>—</v>
      </c>
      <c r="F169" s="14" t="str" cm="1">
        <f t="array" ref="F169">IF(V169="Sí",IFERROR(_xlfn.STDEV.P(IF((nEVAL=CONFIG_METADATA!$B$4)*(nCURSO=A169)*(nASIG=B169),nNOTA)),"—"),"")</f>
        <v>—</v>
      </c>
      <c r="G169" t="str" cm="1">
        <f t="array" ref="G169">IF(V169="Sí",IFERROR(_xlfn.MODE.SNGL(IF((nEVAL=CONFIG_METADATA!$B$4)*(nCURSO=A169)*(nASIG=B169),nNOTA)),"—"),"")</f>
        <v>—</v>
      </c>
      <c r="H169" s="15" t="str">
        <f>IF(V169="Sí",IFERROR(COUNTIFS(DATOS!G:G,CONFIG_METADATA!$B$4,DATOS!D:D,A169,DATOS!I:I,B169,DATOS!L:L,"S")/COUNTIFS(DATOS!G:G,CONFIG_METADATA!$B$4,DATOS!D:D,A169,DATOS!I:I,B169),"—"),"")</f>
        <v>—</v>
      </c>
      <c r="I169" s="15" t="str">
        <f>IF(V169="Sí",IFERROR(COUNTIFS(DATOS!G:G,CONFIG_METADATA!$B$4,DATOS!D:D,A169,DATOS!I:I,B169,DATOS!L:L,"N")/COUNTIFS(DATOS!G:G,CONFIG_METADATA!$B$4,DATOS!D:D,A169,DATOS!I:I,B169),"—"),"")</f>
        <v>—</v>
      </c>
      <c r="J169" t="str" cm="1">
        <f t="array" ref="J169">IF(V169="Sí",IFERROR(_xlfn.MODE.SNGL(IF((nEVAL=CONFIG_METADATA!$B$4)*(nCURSO=A169)*(nASIG=B169)*(nAPTO="S"),nNOTA)),"—"),"")</f>
        <v>—</v>
      </c>
      <c r="K169" t="str" cm="1">
        <f t="array" ref="K169">IF(V169="Sí",IFERROR(_xlfn.MODE.SNGL(IF((nEVAL=CONFIG_METADATA!$B$4)*(nCURSO=A169)*(nASIG=B169)*(nAPTO="N"),nNOTA)),"—"),"")</f>
        <v>—</v>
      </c>
      <c r="L169">
        <f>IF(V169="Sí",COUNTIFS(DATOS!G:G,CONFIG_METADATA!$B$4,DATOS!D:D,A169,DATOS!I:I,B169,DATOS!K:K,1),"")</f>
        <v>0</v>
      </c>
      <c r="M169">
        <f>IF(V169="Sí",COUNTIFS(DATOS!G:G,CONFIG_METADATA!$B$4,DATOS!D:D,A169,DATOS!I:I,B169,DATOS!K:K,2),"")</f>
        <v>0</v>
      </c>
      <c r="N169">
        <f>IF(V169="Sí",COUNTIFS(DATOS!G:G,CONFIG_METADATA!$B$4,DATOS!D:D,A169,DATOS!I:I,B169,DATOS!K:K,3),"")</f>
        <v>0</v>
      </c>
      <c r="O169">
        <f>IF(V169="Sí",COUNTIFS(DATOS!G:G,CONFIG_METADATA!$B$4,DATOS!D:D,A169,DATOS!I:I,B169,DATOS!K:K,4),"")</f>
        <v>0</v>
      </c>
      <c r="P169">
        <f>IF(V169="Sí",COUNTIFS(DATOS!G:G,CONFIG_METADATA!$B$4,DATOS!D:D,A169,DATOS!I:I,B169,DATOS!K:K,5),"")</f>
        <v>0</v>
      </c>
      <c r="Q169">
        <f>IF(V169="Sí",COUNTIFS(DATOS!G:G,CONFIG_METADATA!$B$4,DATOS!D:D,A169,DATOS!I:I,B169,DATOS!K:K,6),"")</f>
        <v>0</v>
      </c>
      <c r="R169">
        <f>IF(V169="Sí",COUNTIFS(DATOS!G:G,CONFIG_METADATA!$B$4,DATOS!D:D,A169,DATOS!I:I,B169,DATOS!K:K,7),"")</f>
        <v>0</v>
      </c>
      <c r="S169">
        <f>IF(V169="Sí",COUNTIFS(DATOS!G:G,CONFIG_METADATA!$B$4,DATOS!D:D,A169,DATOS!I:I,B169,DATOS!K:K,8),"")</f>
        <v>0</v>
      </c>
      <c r="T169">
        <f>IF(V169="Sí",COUNTIFS(DATOS!G:G,CONFIG_METADATA!$B$4,DATOS!D:D,A169,DATOS!I:I,B169,DATOS!K:K,9),"")</f>
        <v>0</v>
      </c>
      <c r="U169">
        <f>IF(V169="Sí",COUNTIFS(DATOS!G:G,CONFIG_METADATA!$B$4,DATOS!D:D,A169,DATOS!I:I,B169,DATOS!K:K,10),"")</f>
        <v>0</v>
      </c>
      <c r="V169" t="str">
        <f>IFERROR(IF(ISERROR(FIND(A169,VLOOKUP(B169,CONFIG_ASIGNATURAS!B:C,2,FALSE()))),"No","Sí"),"No")</f>
        <v>Sí</v>
      </c>
    </row>
    <row r="170" spans="1:22">
      <c r="A170" s="3" t="inlineStr">
        <is>
          <t xml:space="preserve">2EEM</t>
        </is>
      </c>
      <c r="B170" s="3" cm="1">
        <f t="array" ref="B170">IFERROR(INDEX(_xlfn._xlws.FILTER(CONFIG_ASIGNATURAS!$B$2:$B$61,(CONFIG_ASIGNATURAS!$G$2:$G$61="Sí")*ISNUMBER(SEARCH("2EEM",CONFIG_ASIGNATURAS!$C$2:$C$61))),40),"")</f>
      </c>
      <c r="C170" s="3">
        <f>IF(B170="","",IFERROR(IF(VLOOKUP(B170,CONFIG_ASIGNATURAS!$B$2:$F$61,5,FALSE())="Sí","Especialidad","Asignatura"),"Asignatura"))</f>
      </c>
      <c r="D170">
        <f>IF(V170="Sí",COUNTIFS(DATOS!G:G,CONFIG_METADATA!$B$4,DATOS!D:D,A170,DATOS!I:I,B170),"")</f>
        <v>0</v>
      </c>
      <c r="E170" s="14" t="str">
        <f>IF(V170="Sí",IFERROR(AVERAGEIFS(DATOS!K:K,DATOS!G:G,CONFIG_METADATA!$B$4,DATOS!D:D,A170,DATOS!I:I,B170),"—"),"")</f>
        <v>—</v>
      </c>
      <c r="F170" s="14" t="str" cm="1">
        <f t="array" ref="F170">IF(V170="Sí",IFERROR(_xlfn.STDEV.P(IF((nEVAL=CONFIG_METADATA!$B$4)*(nCURSO=A170)*(nASIG=B170),nNOTA)),"—"),"")</f>
        <v>—</v>
      </c>
      <c r="G170" t="str" cm="1">
        <f t="array" ref="G170">IF(V170="Sí",IFERROR(_xlfn.MODE.SNGL(IF((nEVAL=CONFIG_METADATA!$B$4)*(nCURSO=A170)*(nASIG=B170),nNOTA)),"—"),"")</f>
        <v>—</v>
      </c>
      <c r="H170" s="15" t="str">
        <f>IF(V170="Sí",IFERROR(COUNTIFS(DATOS!G:G,CONFIG_METADATA!$B$4,DATOS!D:D,A170,DATOS!I:I,B170,DATOS!L:L,"S")/COUNTIFS(DATOS!G:G,CONFIG_METADATA!$B$4,DATOS!D:D,A170,DATOS!I:I,B170),"—"),"")</f>
        <v>—</v>
      </c>
      <c r="I170" s="15" t="str">
        <f>IF(V170="Sí",IFERROR(COUNTIFS(DATOS!G:G,CONFIG_METADATA!$B$4,DATOS!D:D,A170,DATOS!I:I,B170,DATOS!L:L,"N")/COUNTIFS(DATOS!G:G,CONFIG_METADATA!$B$4,DATOS!D:D,A170,DATOS!I:I,B170),"—"),"")</f>
        <v>—</v>
      </c>
      <c r="J170" t="str" cm="1">
        <f t="array" ref="J170">IF(V170="Sí",IFERROR(_xlfn.MODE.SNGL(IF((nEVAL=CONFIG_METADATA!$B$4)*(nCURSO=A170)*(nASIG=B170)*(nAPTO="S"),nNOTA)),"—"),"")</f>
        <v>—</v>
      </c>
      <c r="K170" t="str" cm="1">
        <f t="array" ref="K170">IF(V170="Sí",IFERROR(_xlfn.MODE.SNGL(IF((nEVAL=CONFIG_METADATA!$B$4)*(nCURSO=A170)*(nASIG=B170)*(nAPTO="N"),nNOTA)),"—"),"")</f>
        <v>—</v>
      </c>
      <c r="L170">
        <f>IF(V170="Sí",COUNTIFS(DATOS!G:G,CONFIG_METADATA!$B$4,DATOS!D:D,A170,DATOS!I:I,B170,DATOS!K:K,1),"")</f>
        <v>0</v>
      </c>
      <c r="M170">
        <f>IF(V170="Sí",COUNTIFS(DATOS!G:G,CONFIG_METADATA!$B$4,DATOS!D:D,A170,DATOS!I:I,B170,DATOS!K:K,2),"")</f>
        <v>0</v>
      </c>
      <c r="N170">
        <f>IF(V170="Sí",COUNTIFS(DATOS!G:G,CONFIG_METADATA!$B$4,DATOS!D:D,A170,DATOS!I:I,B170,DATOS!K:K,3),"")</f>
        <v>0</v>
      </c>
      <c r="O170">
        <f>IF(V170="Sí",COUNTIFS(DATOS!G:G,CONFIG_METADATA!$B$4,DATOS!D:D,A170,DATOS!I:I,B170,DATOS!K:K,4),"")</f>
        <v>0</v>
      </c>
      <c r="P170">
        <f>IF(V170="Sí",COUNTIFS(DATOS!G:G,CONFIG_METADATA!$B$4,DATOS!D:D,A170,DATOS!I:I,B170,DATOS!K:K,5),"")</f>
        <v>0</v>
      </c>
      <c r="Q170">
        <f>IF(V170="Sí",COUNTIFS(DATOS!G:G,CONFIG_METADATA!$B$4,DATOS!D:D,A170,DATOS!I:I,B170,DATOS!K:K,6),"")</f>
        <v>0</v>
      </c>
      <c r="R170">
        <f>IF(V170="Sí",COUNTIFS(DATOS!G:G,CONFIG_METADATA!$B$4,DATOS!D:D,A170,DATOS!I:I,B170,DATOS!K:K,7),"")</f>
        <v>0</v>
      </c>
      <c r="S170">
        <f>IF(V170="Sí",COUNTIFS(DATOS!G:G,CONFIG_METADATA!$B$4,DATOS!D:D,A170,DATOS!I:I,B170,DATOS!K:K,8),"")</f>
        <v>0</v>
      </c>
      <c r="T170">
        <f>IF(V170="Sí",COUNTIFS(DATOS!G:G,CONFIG_METADATA!$B$4,DATOS!D:D,A170,DATOS!I:I,B170,DATOS!K:K,9),"")</f>
        <v>0</v>
      </c>
      <c r="U170">
        <f>IF(V170="Sí",COUNTIFS(DATOS!G:G,CONFIG_METADATA!$B$4,DATOS!D:D,A170,DATOS!I:I,B170,DATOS!K:K,10),"")</f>
        <v>0</v>
      </c>
      <c r="V170" t="str">
        <f>IFERROR(IF(ISERROR(FIND(A170,VLOOKUP(B170,CONFIG_ASIGNATURAS!B:C,2,FALSE()))),"No","Sí"),"No")</f>
        <v>Sí</v>
      </c>
    </row>
    <row r="171" spans="1:22">
      <c r="A171" s="3" t="inlineStr">
        <is>
          <t xml:space="preserve">2EEM</t>
        </is>
      </c>
      <c r="B171" s="3" cm="1">
        <f t="array" ref="B171">IFERROR(INDEX(_xlfn._xlws.FILTER(CONFIG_ASIGNATURAS!$B$2:$B$61,(CONFIG_ASIGNATURAS!$G$2:$G$61="Sí")*ISNUMBER(SEARCH("2EEM",CONFIG_ASIGNATURAS!$C$2:$C$61))),41),"")</f>
      </c>
      <c r="C171" s="3">
        <f>IF(B171="","",IFERROR(IF(VLOOKUP(B171,CONFIG_ASIGNATURAS!$B$2:$F$61,5,FALSE())="Sí","Especialidad","Asignatura"),"Asignatura"))</f>
      </c>
      <c r="D171">
        <f>IF(V171="Sí",COUNTIFS(DATOS!G:G,CONFIG_METADATA!$B$4,DATOS!D:D,A171,DATOS!I:I,B171),"")</f>
        <v>0</v>
      </c>
      <c r="E171" s="14" t="str">
        <f>IF(V171="Sí",IFERROR(AVERAGEIFS(DATOS!K:K,DATOS!G:G,CONFIG_METADATA!$B$4,DATOS!D:D,A171,DATOS!I:I,B171),"—"),"")</f>
        <v>—</v>
      </c>
      <c r="F171" s="14" t="str" cm="1">
        <f t="array" ref="F171">IF(V171="Sí",IFERROR(_xlfn.STDEV.P(IF((nEVAL=CONFIG_METADATA!$B$4)*(nCURSO=A171)*(nASIG=B171),nNOTA)),"—"),"")</f>
        <v>—</v>
      </c>
      <c r="G171" t="str" cm="1">
        <f t="array" ref="G171">IF(V171="Sí",IFERROR(_xlfn.MODE.SNGL(IF((nEVAL=CONFIG_METADATA!$B$4)*(nCURSO=A171)*(nASIG=B171),nNOTA)),"—"),"")</f>
        <v>—</v>
      </c>
      <c r="H171" s="15" t="str">
        <f>IF(V171="Sí",IFERROR(COUNTIFS(DATOS!G:G,CONFIG_METADATA!$B$4,DATOS!D:D,A171,DATOS!I:I,B171,DATOS!L:L,"S")/COUNTIFS(DATOS!G:G,CONFIG_METADATA!$B$4,DATOS!D:D,A171,DATOS!I:I,B171),"—"),"")</f>
        <v>—</v>
      </c>
      <c r="I171" s="15" t="str">
        <f>IF(V171="Sí",IFERROR(COUNTIFS(DATOS!G:G,CONFIG_METADATA!$B$4,DATOS!D:D,A171,DATOS!I:I,B171,DATOS!L:L,"N")/COUNTIFS(DATOS!G:G,CONFIG_METADATA!$B$4,DATOS!D:D,A171,DATOS!I:I,B171),"—"),"")</f>
        <v>—</v>
      </c>
      <c r="J171" t="str" cm="1">
        <f t="array" ref="J171">IF(V171="Sí",IFERROR(_xlfn.MODE.SNGL(IF((nEVAL=CONFIG_METADATA!$B$4)*(nCURSO=A171)*(nASIG=B171)*(nAPTO="S"),nNOTA)),"—"),"")</f>
        <v>—</v>
      </c>
      <c r="K171" t="str" cm="1">
        <f t="array" ref="K171">IF(V171="Sí",IFERROR(_xlfn.MODE.SNGL(IF((nEVAL=CONFIG_METADATA!$B$4)*(nCURSO=A171)*(nASIG=B171)*(nAPTO="N"),nNOTA)),"—"),"")</f>
        <v>—</v>
      </c>
      <c r="L171">
        <f>IF(V171="Sí",COUNTIFS(DATOS!G:G,CONFIG_METADATA!$B$4,DATOS!D:D,A171,DATOS!I:I,B171,DATOS!K:K,1),"")</f>
        <v>0</v>
      </c>
      <c r="M171">
        <f>IF(V171="Sí",COUNTIFS(DATOS!G:G,CONFIG_METADATA!$B$4,DATOS!D:D,A171,DATOS!I:I,B171,DATOS!K:K,2),"")</f>
        <v>0</v>
      </c>
      <c r="N171">
        <f>IF(V171="Sí",COUNTIFS(DATOS!G:G,CONFIG_METADATA!$B$4,DATOS!D:D,A171,DATOS!I:I,B171,DATOS!K:K,3),"")</f>
        <v>0</v>
      </c>
      <c r="O171">
        <f>IF(V171="Sí",COUNTIFS(DATOS!G:G,CONFIG_METADATA!$B$4,DATOS!D:D,A171,DATOS!I:I,B171,DATOS!K:K,4),"")</f>
        <v>0</v>
      </c>
      <c r="P171">
        <f>IF(V171="Sí",COUNTIFS(DATOS!G:G,CONFIG_METADATA!$B$4,DATOS!D:D,A171,DATOS!I:I,B171,DATOS!K:K,5),"")</f>
        <v>0</v>
      </c>
      <c r="Q171">
        <f>IF(V171="Sí",COUNTIFS(DATOS!G:G,CONFIG_METADATA!$B$4,DATOS!D:D,A171,DATOS!I:I,B171,DATOS!K:K,6),"")</f>
        <v>0</v>
      </c>
      <c r="R171">
        <f>IF(V171="Sí",COUNTIFS(DATOS!G:G,CONFIG_METADATA!$B$4,DATOS!D:D,A171,DATOS!I:I,B171,DATOS!K:K,7),"")</f>
        <v>0</v>
      </c>
      <c r="S171">
        <f>IF(V171="Sí",COUNTIFS(DATOS!G:G,CONFIG_METADATA!$B$4,DATOS!D:D,A171,DATOS!I:I,B171,DATOS!K:K,8),"")</f>
        <v>0</v>
      </c>
      <c r="T171">
        <f>IF(V171="Sí",COUNTIFS(DATOS!G:G,CONFIG_METADATA!$B$4,DATOS!D:D,A171,DATOS!I:I,B171,DATOS!K:K,9),"")</f>
        <v>0</v>
      </c>
      <c r="U171">
        <f>IF(V171="Sí",COUNTIFS(DATOS!G:G,CONFIG_METADATA!$B$4,DATOS!D:D,A171,DATOS!I:I,B171,DATOS!K:K,10),"")</f>
        <v>0</v>
      </c>
      <c r="V171" t="str">
        <f>IFERROR(IF(ISERROR(FIND(A171,VLOOKUP(B171,CONFIG_ASIGNATURAS!B:C,2,FALSE()))),"No","Sí"),"No")</f>
        <v>Sí</v>
      </c>
    </row>
    <row r="172" spans="1:22">
      <c r="A172" s="3" t="inlineStr">
        <is>
          <t xml:space="preserve">2EEM</t>
        </is>
      </c>
      <c r="B172" s="3" cm="1">
        <f t="array" ref="B172">IFERROR(INDEX(_xlfn._xlws.FILTER(CONFIG_ASIGNATURAS!$B$2:$B$61,(CONFIG_ASIGNATURAS!$G$2:$G$61="Sí")*ISNUMBER(SEARCH("2EEM",CONFIG_ASIGNATURAS!$C$2:$C$61))),42),"")</f>
      </c>
      <c r="C172" s="3">
        <f>IF(B172="","",IFERROR(IF(VLOOKUP(B172,CONFIG_ASIGNATURAS!$B$2:$F$61,5,FALSE())="Sí","Especialidad","Asignatura"),"Asignatura"))</f>
      </c>
      <c r="D172">
        <f>IF(V172="Sí",COUNTIFS(DATOS!G:G,CONFIG_METADATA!$B$4,DATOS!D:D,A172,DATOS!I:I,B172),"")</f>
        <v>0</v>
      </c>
      <c r="E172" s="14" t="str">
        <f>IF(V172="Sí",IFERROR(AVERAGEIFS(DATOS!K:K,DATOS!G:G,CONFIG_METADATA!$B$4,DATOS!D:D,A172,DATOS!I:I,B172),"—"),"")</f>
        <v>—</v>
      </c>
      <c r="F172" s="14" t="str" cm="1">
        <f t="array" ref="F172">IF(V172="Sí",IFERROR(_xlfn.STDEV.P(IF((nEVAL=CONFIG_METADATA!$B$4)*(nCURSO=A172)*(nASIG=B172),nNOTA)),"—"),"")</f>
        <v>—</v>
      </c>
      <c r="G172" t="str" cm="1">
        <f t="array" ref="G172">IF(V172="Sí",IFERROR(_xlfn.MODE.SNGL(IF((nEVAL=CONFIG_METADATA!$B$4)*(nCURSO=A172)*(nASIG=B172),nNOTA)),"—"),"")</f>
        <v>—</v>
      </c>
      <c r="H172" s="15" t="str">
        <f>IF(V172="Sí",IFERROR(COUNTIFS(DATOS!G:G,CONFIG_METADATA!$B$4,DATOS!D:D,A172,DATOS!I:I,B172,DATOS!L:L,"S")/COUNTIFS(DATOS!G:G,CONFIG_METADATA!$B$4,DATOS!D:D,A172,DATOS!I:I,B172),"—"),"")</f>
        <v>—</v>
      </c>
      <c r="I172" s="15" t="str">
        <f>IF(V172="Sí",IFERROR(COUNTIFS(DATOS!G:G,CONFIG_METADATA!$B$4,DATOS!D:D,A172,DATOS!I:I,B172,DATOS!L:L,"N")/COUNTIFS(DATOS!G:G,CONFIG_METADATA!$B$4,DATOS!D:D,A172,DATOS!I:I,B172),"—"),"")</f>
        <v>—</v>
      </c>
      <c r="J172" t="str" cm="1">
        <f t="array" ref="J172">IF(V172="Sí",IFERROR(_xlfn.MODE.SNGL(IF((nEVAL=CONFIG_METADATA!$B$4)*(nCURSO=A172)*(nASIG=B172)*(nAPTO="S"),nNOTA)),"—"),"")</f>
        <v>—</v>
      </c>
      <c r="K172" t="str" cm="1">
        <f t="array" ref="K172">IF(V172="Sí",IFERROR(_xlfn.MODE.SNGL(IF((nEVAL=CONFIG_METADATA!$B$4)*(nCURSO=A172)*(nASIG=B172)*(nAPTO="N"),nNOTA)),"—"),"")</f>
        <v>—</v>
      </c>
      <c r="L172">
        <f>IF(V172="Sí",COUNTIFS(DATOS!G:G,CONFIG_METADATA!$B$4,DATOS!D:D,A172,DATOS!I:I,B172,DATOS!K:K,1),"")</f>
        <v>0</v>
      </c>
      <c r="M172">
        <f>IF(V172="Sí",COUNTIFS(DATOS!G:G,CONFIG_METADATA!$B$4,DATOS!D:D,A172,DATOS!I:I,B172,DATOS!K:K,2),"")</f>
        <v>0</v>
      </c>
      <c r="N172">
        <f>IF(V172="Sí",COUNTIFS(DATOS!G:G,CONFIG_METADATA!$B$4,DATOS!D:D,A172,DATOS!I:I,B172,DATOS!K:K,3),"")</f>
        <v>0</v>
      </c>
      <c r="O172">
        <f>IF(V172="Sí",COUNTIFS(DATOS!G:G,CONFIG_METADATA!$B$4,DATOS!D:D,A172,DATOS!I:I,B172,DATOS!K:K,4),"")</f>
        <v>0</v>
      </c>
      <c r="P172">
        <f>IF(V172="Sí",COUNTIFS(DATOS!G:G,CONFIG_METADATA!$B$4,DATOS!D:D,A172,DATOS!I:I,B172,DATOS!K:K,5),"")</f>
        <v>0</v>
      </c>
      <c r="Q172">
        <f>IF(V172="Sí",COUNTIFS(DATOS!G:G,CONFIG_METADATA!$B$4,DATOS!D:D,A172,DATOS!I:I,B172,DATOS!K:K,6),"")</f>
        <v>0</v>
      </c>
      <c r="R172">
        <f>IF(V172="Sí",COUNTIFS(DATOS!G:G,CONFIG_METADATA!$B$4,DATOS!D:D,A172,DATOS!I:I,B172,DATOS!K:K,7),"")</f>
        <v>0</v>
      </c>
      <c r="S172">
        <f>IF(V172="Sí",COUNTIFS(DATOS!G:G,CONFIG_METADATA!$B$4,DATOS!D:D,A172,DATOS!I:I,B172,DATOS!K:K,8),"")</f>
        <v>0</v>
      </c>
      <c r="T172">
        <f>IF(V172="Sí",COUNTIFS(DATOS!G:G,CONFIG_METADATA!$B$4,DATOS!D:D,A172,DATOS!I:I,B172,DATOS!K:K,9),"")</f>
        <v>0</v>
      </c>
      <c r="U172">
        <f>IF(V172="Sí",COUNTIFS(DATOS!G:G,CONFIG_METADATA!$B$4,DATOS!D:D,A172,DATOS!I:I,B172,DATOS!K:K,10),"")</f>
        <v>0</v>
      </c>
      <c r="V172" t="str">
        <f>IFERROR(IF(ISERROR(FIND(A172,VLOOKUP(B172,CONFIG_ASIGNATURAS!B:C,2,FALSE()))),"No","Sí"),"No")</f>
        <v>Sí</v>
      </c>
    </row>
    <row r="173" spans="1:22">
      <c r="A173" s="3" t="inlineStr">
        <is>
          <t xml:space="preserve">2EEM</t>
        </is>
      </c>
      <c r="B173" s="3" cm="1">
        <f t="array" ref="B173">IFERROR(INDEX(_xlfn._xlws.FILTER(CONFIG_ASIGNATURAS!$B$2:$B$61,(CONFIG_ASIGNATURAS!$G$2:$G$61="Sí")*ISNUMBER(SEARCH("2EEM",CONFIG_ASIGNATURAS!$C$2:$C$61))),43),"")</f>
      </c>
      <c r="C173" s="3">
        <f>IF(B173="","",IFERROR(IF(VLOOKUP(B173,CONFIG_ASIGNATURAS!$B$2:$F$61,5,FALSE())="Sí","Especialidad","Asignatura"),"Asignatura"))</f>
      </c>
      <c r="D173">
        <f>IF(V173="Sí",COUNTIFS(DATOS!G:G,CONFIG_METADATA!$B$4,DATOS!D:D,A173,DATOS!I:I,B173),"")</f>
        <v>0</v>
      </c>
      <c r="E173" s="14" t="str">
        <f>IF(V173="Sí",IFERROR(AVERAGEIFS(DATOS!K:K,DATOS!G:G,CONFIG_METADATA!$B$4,DATOS!D:D,A173,DATOS!I:I,B173),"—"),"")</f>
        <v>—</v>
      </c>
      <c r="F173" s="14" t="str" cm="1">
        <f t="array" ref="F173">IF(V173="Sí",IFERROR(_xlfn.STDEV.P(IF((nEVAL=CONFIG_METADATA!$B$4)*(nCURSO=A173)*(nASIG=B173),nNOTA)),"—"),"")</f>
        <v>—</v>
      </c>
      <c r="G173" t="str" cm="1">
        <f t="array" ref="G173">IF(V173="Sí",IFERROR(_xlfn.MODE.SNGL(IF((nEVAL=CONFIG_METADATA!$B$4)*(nCURSO=A173)*(nASIG=B173),nNOTA)),"—"),"")</f>
        <v>—</v>
      </c>
      <c r="H173" s="15" t="str">
        <f>IF(V173="Sí",IFERROR(COUNTIFS(DATOS!G:G,CONFIG_METADATA!$B$4,DATOS!D:D,A173,DATOS!I:I,B173,DATOS!L:L,"S")/COUNTIFS(DATOS!G:G,CONFIG_METADATA!$B$4,DATOS!D:D,A173,DATOS!I:I,B173),"—"),"")</f>
        <v>—</v>
      </c>
      <c r="I173" s="15" t="str">
        <f>IF(V173="Sí",IFERROR(COUNTIFS(DATOS!G:G,CONFIG_METADATA!$B$4,DATOS!D:D,A173,DATOS!I:I,B173,DATOS!L:L,"N")/COUNTIFS(DATOS!G:G,CONFIG_METADATA!$B$4,DATOS!D:D,A173,DATOS!I:I,B173),"—"),"")</f>
        <v>—</v>
      </c>
      <c r="J173" t="str" cm="1">
        <f t="array" ref="J173">IF(V173="Sí",IFERROR(_xlfn.MODE.SNGL(IF((nEVAL=CONFIG_METADATA!$B$4)*(nCURSO=A173)*(nASIG=B173)*(nAPTO="S"),nNOTA)),"—"),"")</f>
        <v>—</v>
      </c>
      <c r="K173" t="str" cm="1">
        <f t="array" ref="K173">IF(V173="Sí",IFERROR(_xlfn.MODE.SNGL(IF((nEVAL=CONFIG_METADATA!$B$4)*(nCURSO=A173)*(nASIG=B173)*(nAPTO="N"),nNOTA)),"—"),"")</f>
        <v>—</v>
      </c>
      <c r="L173">
        <f>IF(V173="Sí",COUNTIFS(DATOS!G:G,CONFIG_METADATA!$B$4,DATOS!D:D,A173,DATOS!I:I,B173,DATOS!K:K,1),"")</f>
        <v>0</v>
      </c>
      <c r="M173">
        <f>IF(V173="Sí",COUNTIFS(DATOS!G:G,CONFIG_METADATA!$B$4,DATOS!D:D,A173,DATOS!I:I,B173,DATOS!K:K,2),"")</f>
        <v>0</v>
      </c>
      <c r="N173">
        <f>IF(V173="Sí",COUNTIFS(DATOS!G:G,CONFIG_METADATA!$B$4,DATOS!D:D,A173,DATOS!I:I,B173,DATOS!K:K,3),"")</f>
        <v>0</v>
      </c>
      <c r="O173">
        <f>IF(V173="Sí",COUNTIFS(DATOS!G:G,CONFIG_METADATA!$B$4,DATOS!D:D,A173,DATOS!I:I,B173,DATOS!K:K,4),"")</f>
        <v>0</v>
      </c>
      <c r="P173">
        <f>IF(V173="Sí",COUNTIFS(DATOS!G:G,CONFIG_METADATA!$B$4,DATOS!D:D,A173,DATOS!I:I,B173,DATOS!K:K,5),"")</f>
        <v>0</v>
      </c>
      <c r="Q173">
        <f>IF(V173="Sí",COUNTIFS(DATOS!G:G,CONFIG_METADATA!$B$4,DATOS!D:D,A173,DATOS!I:I,B173,DATOS!K:K,6),"")</f>
        <v>0</v>
      </c>
      <c r="R173">
        <f>IF(V173="Sí",COUNTIFS(DATOS!G:G,CONFIG_METADATA!$B$4,DATOS!D:D,A173,DATOS!I:I,B173,DATOS!K:K,7),"")</f>
        <v>0</v>
      </c>
      <c r="S173">
        <f>IF(V173="Sí",COUNTIFS(DATOS!G:G,CONFIG_METADATA!$B$4,DATOS!D:D,A173,DATOS!I:I,B173,DATOS!K:K,8),"")</f>
        <v>0</v>
      </c>
      <c r="T173">
        <f>IF(V173="Sí",COUNTIFS(DATOS!G:G,CONFIG_METADATA!$B$4,DATOS!D:D,A173,DATOS!I:I,B173,DATOS!K:K,9),"")</f>
        <v>0</v>
      </c>
      <c r="U173">
        <f>IF(V173="Sí",COUNTIFS(DATOS!G:G,CONFIG_METADATA!$B$4,DATOS!D:D,A173,DATOS!I:I,B173,DATOS!K:K,10),"")</f>
        <v>0</v>
      </c>
      <c r="V173" t="str">
        <f>IFERROR(IF(ISERROR(FIND(A173,VLOOKUP(B173,CONFIG_ASIGNATURAS!B:C,2,FALSE()))),"No","Sí"),"No")</f>
        <v>Sí</v>
      </c>
    </row>
    <row r="174" spans="1:22">
      <c r="A174" s="3" t="inlineStr">
        <is>
          <t xml:space="preserve">2EEM</t>
        </is>
      </c>
      <c r="B174" s="3" cm="1">
        <f t="array" ref="B174">IFERROR(INDEX(_xlfn._xlws.FILTER(CONFIG_ASIGNATURAS!$B$2:$B$61,(CONFIG_ASIGNATURAS!$G$2:$G$61="Sí")*ISNUMBER(SEARCH("2EEM",CONFIG_ASIGNATURAS!$C$2:$C$61))),44),"")</f>
      </c>
      <c r="C174" s="3">
        <f>IF(B174="","",IFERROR(IF(VLOOKUP(B174,CONFIG_ASIGNATURAS!$B$2:$F$61,5,FALSE())="Sí","Especialidad","Asignatura"),"Asignatura"))</f>
      </c>
      <c r="D174">
        <f>IF(V174="Sí",COUNTIFS(DATOS!G:G,CONFIG_METADATA!$B$4,DATOS!D:D,A174,DATOS!I:I,B174),"")</f>
        <v>0</v>
      </c>
      <c r="E174" s="14" t="str">
        <f>IF(V174="Sí",IFERROR(AVERAGEIFS(DATOS!K:K,DATOS!G:G,CONFIG_METADATA!$B$4,DATOS!D:D,A174,DATOS!I:I,B174),"—"),"")</f>
        <v>—</v>
      </c>
      <c r="F174" s="14" t="str" cm="1">
        <f t="array" ref="F174">IF(V174="Sí",IFERROR(_xlfn.STDEV.P(IF((nEVAL=CONFIG_METADATA!$B$4)*(nCURSO=A174)*(nASIG=B174),nNOTA)),"—"),"")</f>
        <v>—</v>
      </c>
      <c r="G174" t="str" cm="1">
        <f t="array" ref="G174">IF(V174="Sí",IFERROR(_xlfn.MODE.SNGL(IF((nEVAL=CONFIG_METADATA!$B$4)*(nCURSO=A174)*(nASIG=B174),nNOTA)),"—"),"")</f>
        <v>—</v>
      </c>
      <c r="H174" s="15" t="str">
        <f>IF(V174="Sí",IFERROR(COUNTIFS(DATOS!G:G,CONFIG_METADATA!$B$4,DATOS!D:D,A174,DATOS!I:I,B174,DATOS!L:L,"S")/COUNTIFS(DATOS!G:G,CONFIG_METADATA!$B$4,DATOS!D:D,A174,DATOS!I:I,B174),"—"),"")</f>
        <v>—</v>
      </c>
      <c r="I174" s="15" t="str">
        <f>IF(V174="Sí",IFERROR(COUNTIFS(DATOS!G:G,CONFIG_METADATA!$B$4,DATOS!D:D,A174,DATOS!I:I,B174,DATOS!L:L,"N")/COUNTIFS(DATOS!G:G,CONFIG_METADATA!$B$4,DATOS!D:D,A174,DATOS!I:I,B174),"—"),"")</f>
        <v>—</v>
      </c>
      <c r="J174" t="str" cm="1">
        <f t="array" ref="J174">IF(V174="Sí",IFERROR(_xlfn.MODE.SNGL(IF((nEVAL=CONFIG_METADATA!$B$4)*(nCURSO=A174)*(nASIG=B174)*(nAPTO="S"),nNOTA)),"—"),"")</f>
        <v>—</v>
      </c>
      <c r="K174" t="str" cm="1">
        <f t="array" ref="K174">IF(V174="Sí",IFERROR(_xlfn.MODE.SNGL(IF((nEVAL=CONFIG_METADATA!$B$4)*(nCURSO=A174)*(nASIG=B174)*(nAPTO="N"),nNOTA)),"—"),"")</f>
        <v>—</v>
      </c>
      <c r="L174">
        <f>IF(V174="Sí",COUNTIFS(DATOS!G:G,CONFIG_METADATA!$B$4,DATOS!D:D,A174,DATOS!I:I,B174,DATOS!K:K,1),"")</f>
        <v>0</v>
      </c>
      <c r="M174">
        <f>IF(V174="Sí",COUNTIFS(DATOS!G:G,CONFIG_METADATA!$B$4,DATOS!D:D,A174,DATOS!I:I,B174,DATOS!K:K,2),"")</f>
        <v>0</v>
      </c>
      <c r="N174">
        <f>IF(V174="Sí",COUNTIFS(DATOS!G:G,CONFIG_METADATA!$B$4,DATOS!D:D,A174,DATOS!I:I,B174,DATOS!K:K,3),"")</f>
        <v>0</v>
      </c>
      <c r="O174">
        <f>IF(V174="Sí",COUNTIFS(DATOS!G:G,CONFIG_METADATA!$B$4,DATOS!D:D,A174,DATOS!I:I,B174,DATOS!K:K,4),"")</f>
        <v>0</v>
      </c>
      <c r="P174">
        <f>IF(V174="Sí",COUNTIFS(DATOS!G:G,CONFIG_METADATA!$B$4,DATOS!D:D,A174,DATOS!I:I,B174,DATOS!K:K,5),"")</f>
        <v>0</v>
      </c>
      <c r="Q174">
        <f>IF(V174="Sí",COUNTIFS(DATOS!G:G,CONFIG_METADATA!$B$4,DATOS!D:D,A174,DATOS!I:I,B174,DATOS!K:K,6),"")</f>
        <v>0</v>
      </c>
      <c r="R174">
        <f>IF(V174="Sí",COUNTIFS(DATOS!G:G,CONFIG_METADATA!$B$4,DATOS!D:D,A174,DATOS!I:I,B174,DATOS!K:K,7),"")</f>
        <v>0</v>
      </c>
      <c r="S174">
        <f>IF(V174="Sí",COUNTIFS(DATOS!G:G,CONFIG_METADATA!$B$4,DATOS!D:D,A174,DATOS!I:I,B174,DATOS!K:K,8),"")</f>
        <v>0</v>
      </c>
      <c r="T174">
        <f>IF(V174="Sí",COUNTIFS(DATOS!G:G,CONFIG_METADATA!$B$4,DATOS!D:D,A174,DATOS!I:I,B174,DATOS!K:K,9),"")</f>
        <v>0</v>
      </c>
      <c r="U174">
        <f>IF(V174="Sí",COUNTIFS(DATOS!G:G,CONFIG_METADATA!$B$4,DATOS!D:D,A174,DATOS!I:I,B174,DATOS!K:K,10),"")</f>
        <v>0</v>
      </c>
      <c r="V174" t="str">
        <f>IFERROR(IF(ISERROR(FIND(A174,VLOOKUP(B174,CONFIG_ASIGNATURAS!B:C,2,FALSE()))),"No","Sí"),"No")</f>
        <v>Sí</v>
      </c>
    </row>
    <row r="175" spans="1:22">
      <c r="A175" s="3" t="inlineStr">
        <is>
          <t xml:space="preserve">2EEM</t>
        </is>
      </c>
      <c r="B175" s="3" cm="1">
        <f t="array" ref="B175">IFERROR(INDEX(_xlfn._xlws.FILTER(CONFIG_ASIGNATURAS!$B$2:$B$61,(CONFIG_ASIGNATURAS!$G$2:$G$61="Sí")*ISNUMBER(SEARCH("2EEM",CONFIG_ASIGNATURAS!$C$2:$C$61))),45),"")</f>
      </c>
      <c r="C175" s="3">
        <f>IF(B175="","",IFERROR(IF(VLOOKUP(B175,CONFIG_ASIGNATURAS!$B$2:$F$61,5,FALSE())="Sí","Especialidad","Asignatura"),"Asignatura"))</f>
      </c>
      <c r="D175">
        <f>IF(V175="Sí",COUNTIFS(DATOS!G:G,CONFIG_METADATA!$B$4,DATOS!D:D,A175,DATOS!I:I,B175),"")</f>
        <v>0</v>
      </c>
      <c r="E175" s="14" t="str">
        <f>IF(V175="Sí",IFERROR(AVERAGEIFS(DATOS!K:K,DATOS!G:G,CONFIG_METADATA!$B$4,DATOS!D:D,A175,DATOS!I:I,B175),"—"),"")</f>
        <v>—</v>
      </c>
      <c r="F175" s="14" t="str" cm="1">
        <f t="array" ref="F175">IF(V175="Sí",IFERROR(_xlfn.STDEV.P(IF((nEVAL=CONFIG_METADATA!$B$4)*(nCURSO=A175)*(nASIG=B175),nNOTA)),"—"),"")</f>
        <v>—</v>
      </c>
      <c r="G175" t="str" cm="1">
        <f t="array" ref="G175">IF(V175="Sí",IFERROR(_xlfn.MODE.SNGL(IF((nEVAL=CONFIG_METADATA!$B$4)*(nCURSO=A175)*(nASIG=B175),nNOTA)),"—"),"")</f>
        <v>—</v>
      </c>
      <c r="H175" s="15" t="str">
        <f>IF(V175="Sí",IFERROR(COUNTIFS(DATOS!G:G,CONFIG_METADATA!$B$4,DATOS!D:D,A175,DATOS!I:I,B175,DATOS!L:L,"S")/COUNTIFS(DATOS!G:G,CONFIG_METADATA!$B$4,DATOS!D:D,A175,DATOS!I:I,B175),"—"),"")</f>
        <v>—</v>
      </c>
      <c r="I175" s="15" t="str">
        <f>IF(V175="Sí",IFERROR(COUNTIFS(DATOS!G:G,CONFIG_METADATA!$B$4,DATOS!D:D,A175,DATOS!I:I,B175,DATOS!L:L,"N")/COUNTIFS(DATOS!G:G,CONFIG_METADATA!$B$4,DATOS!D:D,A175,DATOS!I:I,B175),"—"),"")</f>
        <v>—</v>
      </c>
      <c r="J175" t="str" cm="1">
        <f t="array" ref="J175">IF(V175="Sí",IFERROR(_xlfn.MODE.SNGL(IF((nEVAL=CONFIG_METADATA!$B$4)*(nCURSO=A175)*(nASIG=B175)*(nAPTO="S"),nNOTA)),"—"),"")</f>
        <v>—</v>
      </c>
      <c r="K175" t="str" cm="1">
        <f t="array" ref="K175">IF(V175="Sí",IFERROR(_xlfn.MODE.SNGL(IF((nEVAL=CONFIG_METADATA!$B$4)*(nCURSO=A175)*(nASIG=B175)*(nAPTO="N"),nNOTA)),"—"),"")</f>
        <v>—</v>
      </c>
      <c r="L175">
        <f>IF(V175="Sí",COUNTIFS(DATOS!G:G,CONFIG_METADATA!$B$4,DATOS!D:D,A175,DATOS!I:I,B175,DATOS!K:K,1),"")</f>
        <v>0</v>
      </c>
      <c r="M175">
        <f>IF(V175="Sí",COUNTIFS(DATOS!G:G,CONFIG_METADATA!$B$4,DATOS!D:D,A175,DATOS!I:I,B175,DATOS!K:K,2),"")</f>
        <v>0</v>
      </c>
      <c r="N175">
        <f>IF(V175="Sí",COUNTIFS(DATOS!G:G,CONFIG_METADATA!$B$4,DATOS!D:D,A175,DATOS!I:I,B175,DATOS!K:K,3),"")</f>
        <v>0</v>
      </c>
      <c r="O175">
        <f>IF(V175="Sí",COUNTIFS(DATOS!G:G,CONFIG_METADATA!$B$4,DATOS!D:D,A175,DATOS!I:I,B175,DATOS!K:K,4),"")</f>
        <v>0</v>
      </c>
      <c r="P175">
        <f>IF(V175="Sí",COUNTIFS(DATOS!G:G,CONFIG_METADATA!$B$4,DATOS!D:D,A175,DATOS!I:I,B175,DATOS!K:K,5),"")</f>
        <v>0</v>
      </c>
      <c r="Q175">
        <f>IF(V175="Sí",COUNTIFS(DATOS!G:G,CONFIG_METADATA!$B$4,DATOS!D:D,A175,DATOS!I:I,B175,DATOS!K:K,6),"")</f>
        <v>0</v>
      </c>
      <c r="R175">
        <f>IF(V175="Sí",COUNTIFS(DATOS!G:G,CONFIG_METADATA!$B$4,DATOS!D:D,A175,DATOS!I:I,B175,DATOS!K:K,7),"")</f>
        <v>0</v>
      </c>
      <c r="S175">
        <f>IF(V175="Sí",COUNTIFS(DATOS!G:G,CONFIG_METADATA!$B$4,DATOS!D:D,A175,DATOS!I:I,B175,DATOS!K:K,8),"")</f>
        <v>0</v>
      </c>
      <c r="T175">
        <f>IF(V175="Sí",COUNTIFS(DATOS!G:G,CONFIG_METADATA!$B$4,DATOS!D:D,A175,DATOS!I:I,B175,DATOS!K:K,9),"")</f>
        <v>0</v>
      </c>
      <c r="U175">
        <f>IF(V175="Sí",COUNTIFS(DATOS!G:G,CONFIG_METADATA!$B$4,DATOS!D:D,A175,DATOS!I:I,B175,DATOS!K:K,10),"")</f>
        <v>0</v>
      </c>
      <c r="V175" t="str">
        <f>IFERROR(IF(ISERROR(FIND(A175,VLOOKUP(B175,CONFIG_ASIGNATURAS!B:C,2,FALSE()))),"No","Sí"),"No")</f>
        <v>Sí</v>
      </c>
    </row>
    <row r="176" spans="1:22">
      <c r="A176" s="3" t="inlineStr">
        <is>
          <t xml:space="preserve">2EEM</t>
        </is>
      </c>
      <c r="B176" s="3" cm="1">
        <f t="array" ref="B176">IFERROR(INDEX(_xlfn._xlws.FILTER(CONFIG_ASIGNATURAS!$B$2:$B$61,(CONFIG_ASIGNATURAS!$G$2:$G$61="Sí")*ISNUMBER(SEARCH("2EEM",CONFIG_ASIGNATURAS!$C$2:$C$61))),46),"")</f>
      </c>
      <c r="C176" s="3">
        <f>IF(B176="","",IFERROR(IF(VLOOKUP(B176,CONFIG_ASIGNATURAS!$B$2:$F$61,5,FALSE())="Sí","Especialidad","Asignatura"),"Asignatura"))</f>
      </c>
      <c r="D176">
        <f>IF(V176="Sí",COUNTIFS(DATOS!G:G,CONFIG_METADATA!$B$4,DATOS!D:D,A176,DATOS!I:I,B176),"")</f>
        <v>0</v>
      </c>
      <c r="E176" s="14" t="str">
        <f>IF(V176="Sí",IFERROR(AVERAGEIFS(DATOS!K:K,DATOS!G:G,CONFIG_METADATA!$B$4,DATOS!D:D,A176,DATOS!I:I,B176),"—"),"")</f>
        <v>—</v>
      </c>
      <c r="F176" s="14" t="str" cm="1">
        <f t="array" ref="F176">IF(V176="Sí",IFERROR(_xlfn.STDEV.P(IF((nEVAL=CONFIG_METADATA!$B$4)*(nCURSO=A176)*(nASIG=B176),nNOTA)),"—"),"")</f>
        <v>—</v>
      </c>
      <c r="G176" t="str" cm="1">
        <f t="array" ref="G176">IF(V176="Sí",IFERROR(_xlfn.MODE.SNGL(IF((nEVAL=CONFIG_METADATA!$B$4)*(nCURSO=A176)*(nASIG=B176),nNOTA)),"—"),"")</f>
        <v>—</v>
      </c>
      <c r="H176" s="15" t="str">
        <f>IF(V176="Sí",IFERROR(COUNTIFS(DATOS!G:G,CONFIG_METADATA!$B$4,DATOS!D:D,A176,DATOS!I:I,B176,DATOS!L:L,"S")/COUNTIFS(DATOS!G:G,CONFIG_METADATA!$B$4,DATOS!D:D,A176,DATOS!I:I,B176),"—"),"")</f>
        <v>—</v>
      </c>
      <c r="I176" s="15" t="str">
        <f>IF(V176="Sí",IFERROR(COUNTIFS(DATOS!G:G,CONFIG_METADATA!$B$4,DATOS!D:D,A176,DATOS!I:I,B176,DATOS!L:L,"N")/COUNTIFS(DATOS!G:G,CONFIG_METADATA!$B$4,DATOS!D:D,A176,DATOS!I:I,B176),"—"),"")</f>
        <v>—</v>
      </c>
      <c r="J176" t="str" cm="1">
        <f t="array" ref="J176">IF(V176="Sí",IFERROR(_xlfn.MODE.SNGL(IF((nEVAL=CONFIG_METADATA!$B$4)*(nCURSO=A176)*(nASIG=B176)*(nAPTO="S"),nNOTA)),"—"),"")</f>
        <v>—</v>
      </c>
      <c r="K176" t="str" cm="1">
        <f t="array" ref="K176">IF(V176="Sí",IFERROR(_xlfn.MODE.SNGL(IF((nEVAL=CONFIG_METADATA!$B$4)*(nCURSO=A176)*(nASIG=B176)*(nAPTO="N"),nNOTA)),"—"),"")</f>
        <v>—</v>
      </c>
      <c r="L176">
        <f>IF(V176="Sí",COUNTIFS(DATOS!G:G,CONFIG_METADATA!$B$4,DATOS!D:D,A176,DATOS!I:I,B176,DATOS!K:K,1),"")</f>
        <v>0</v>
      </c>
      <c r="M176">
        <f>IF(V176="Sí",COUNTIFS(DATOS!G:G,CONFIG_METADATA!$B$4,DATOS!D:D,A176,DATOS!I:I,B176,DATOS!K:K,2),"")</f>
        <v>0</v>
      </c>
      <c r="N176">
        <f>IF(V176="Sí",COUNTIFS(DATOS!G:G,CONFIG_METADATA!$B$4,DATOS!D:D,A176,DATOS!I:I,B176,DATOS!K:K,3),"")</f>
        <v>0</v>
      </c>
      <c r="O176">
        <f>IF(V176="Sí",COUNTIFS(DATOS!G:G,CONFIG_METADATA!$B$4,DATOS!D:D,A176,DATOS!I:I,B176,DATOS!K:K,4),"")</f>
        <v>0</v>
      </c>
      <c r="P176">
        <f>IF(V176="Sí",COUNTIFS(DATOS!G:G,CONFIG_METADATA!$B$4,DATOS!D:D,A176,DATOS!I:I,B176,DATOS!K:K,5),"")</f>
        <v>0</v>
      </c>
      <c r="Q176">
        <f>IF(V176="Sí",COUNTIFS(DATOS!G:G,CONFIG_METADATA!$B$4,DATOS!D:D,A176,DATOS!I:I,B176,DATOS!K:K,6),"")</f>
        <v>0</v>
      </c>
      <c r="R176">
        <f>IF(V176="Sí",COUNTIFS(DATOS!G:G,CONFIG_METADATA!$B$4,DATOS!D:D,A176,DATOS!I:I,B176,DATOS!K:K,7),"")</f>
        <v>0</v>
      </c>
      <c r="S176">
        <f>IF(V176="Sí",COUNTIFS(DATOS!G:G,CONFIG_METADATA!$B$4,DATOS!D:D,A176,DATOS!I:I,B176,DATOS!K:K,8),"")</f>
        <v>0</v>
      </c>
      <c r="T176">
        <f>IF(V176="Sí",COUNTIFS(DATOS!G:G,CONFIG_METADATA!$B$4,DATOS!D:D,A176,DATOS!I:I,B176,DATOS!K:K,9),"")</f>
        <v>0</v>
      </c>
      <c r="U176">
        <f>IF(V176="Sí",COUNTIFS(DATOS!G:G,CONFIG_METADATA!$B$4,DATOS!D:D,A176,DATOS!I:I,B176,DATOS!K:K,10),"")</f>
        <v>0</v>
      </c>
      <c r="V176" t="str">
        <f>IFERROR(IF(ISERROR(FIND(A176,VLOOKUP(B176,CONFIG_ASIGNATURAS!B:C,2,FALSE()))),"No","Sí"),"No")</f>
        <v>Sí</v>
      </c>
    </row>
    <row r="177" spans="1:22">
      <c r="A177" s="3" t="inlineStr">
        <is>
          <t xml:space="preserve">2EEM</t>
        </is>
      </c>
      <c r="B177" s="3" cm="1">
        <f t="array" ref="B177">IFERROR(INDEX(_xlfn._xlws.FILTER(CONFIG_ASIGNATURAS!$B$2:$B$61,(CONFIG_ASIGNATURAS!$G$2:$G$61="Sí")*ISNUMBER(SEARCH("2EEM",CONFIG_ASIGNATURAS!$C$2:$C$61))),47),"")</f>
      </c>
      <c r="C177" s="3">
        <f>IF(B177="","",IFERROR(IF(VLOOKUP(B177,CONFIG_ASIGNATURAS!$B$2:$F$61,5,FALSE())="Sí","Especialidad","Asignatura"),"Asignatura"))</f>
      </c>
      <c r="D177">
        <f>IF(V177="Sí",COUNTIFS(DATOS!G:G,CONFIG_METADATA!$B$4,DATOS!D:D,A177,DATOS!I:I,B177),"")</f>
        <v>0</v>
      </c>
      <c r="E177" s="14" t="str">
        <f>IF(V177="Sí",IFERROR(AVERAGEIFS(DATOS!K:K,DATOS!G:G,CONFIG_METADATA!$B$4,DATOS!D:D,A177,DATOS!I:I,B177),"—"),"")</f>
        <v>—</v>
      </c>
      <c r="F177" s="14" t="str" cm="1">
        <f t="array" ref="F177">IF(V177="Sí",IFERROR(_xlfn.STDEV.P(IF((nEVAL=CONFIG_METADATA!$B$4)*(nCURSO=A177)*(nASIG=B177),nNOTA)),"—"),"")</f>
        <v>—</v>
      </c>
      <c r="G177" t="str" cm="1">
        <f t="array" ref="G177">IF(V177="Sí",IFERROR(_xlfn.MODE.SNGL(IF((nEVAL=CONFIG_METADATA!$B$4)*(nCURSO=A177)*(nASIG=B177),nNOTA)),"—"),"")</f>
        <v>—</v>
      </c>
      <c r="H177" s="15" t="str">
        <f>IF(V177="Sí",IFERROR(COUNTIFS(DATOS!G:G,CONFIG_METADATA!$B$4,DATOS!D:D,A177,DATOS!I:I,B177,DATOS!L:L,"S")/COUNTIFS(DATOS!G:G,CONFIG_METADATA!$B$4,DATOS!D:D,A177,DATOS!I:I,B177),"—"),"")</f>
        <v>—</v>
      </c>
      <c r="I177" s="15" t="str">
        <f>IF(V177="Sí",IFERROR(COUNTIFS(DATOS!G:G,CONFIG_METADATA!$B$4,DATOS!D:D,A177,DATOS!I:I,B177,DATOS!L:L,"N")/COUNTIFS(DATOS!G:G,CONFIG_METADATA!$B$4,DATOS!D:D,A177,DATOS!I:I,B177),"—"),"")</f>
        <v>—</v>
      </c>
      <c r="J177" t="str" cm="1">
        <f t="array" ref="J177">IF(V177="Sí",IFERROR(_xlfn.MODE.SNGL(IF((nEVAL=CONFIG_METADATA!$B$4)*(nCURSO=A177)*(nASIG=B177)*(nAPTO="S"),nNOTA)),"—"),"")</f>
        <v>—</v>
      </c>
      <c r="K177" t="str" cm="1">
        <f t="array" ref="K177">IF(V177="Sí",IFERROR(_xlfn.MODE.SNGL(IF((nEVAL=CONFIG_METADATA!$B$4)*(nCURSO=A177)*(nASIG=B177)*(nAPTO="N"),nNOTA)),"—"),"")</f>
        <v>—</v>
      </c>
      <c r="L177">
        <f>IF(V177="Sí",COUNTIFS(DATOS!G:G,CONFIG_METADATA!$B$4,DATOS!D:D,A177,DATOS!I:I,B177,DATOS!K:K,1),"")</f>
        <v>0</v>
      </c>
      <c r="M177">
        <f>IF(V177="Sí",COUNTIFS(DATOS!G:G,CONFIG_METADATA!$B$4,DATOS!D:D,A177,DATOS!I:I,B177,DATOS!K:K,2),"")</f>
        <v>0</v>
      </c>
      <c r="N177">
        <f>IF(V177="Sí",COUNTIFS(DATOS!G:G,CONFIG_METADATA!$B$4,DATOS!D:D,A177,DATOS!I:I,B177,DATOS!K:K,3),"")</f>
        <v>0</v>
      </c>
      <c r="O177">
        <f>IF(V177="Sí",COUNTIFS(DATOS!G:G,CONFIG_METADATA!$B$4,DATOS!D:D,A177,DATOS!I:I,B177,DATOS!K:K,4),"")</f>
        <v>0</v>
      </c>
      <c r="P177">
        <f>IF(V177="Sí",COUNTIFS(DATOS!G:G,CONFIG_METADATA!$B$4,DATOS!D:D,A177,DATOS!I:I,B177,DATOS!K:K,5),"")</f>
        <v>0</v>
      </c>
      <c r="Q177">
        <f>IF(V177="Sí",COUNTIFS(DATOS!G:G,CONFIG_METADATA!$B$4,DATOS!D:D,A177,DATOS!I:I,B177,DATOS!K:K,6),"")</f>
        <v>0</v>
      </c>
      <c r="R177">
        <f>IF(V177="Sí",COUNTIFS(DATOS!G:G,CONFIG_METADATA!$B$4,DATOS!D:D,A177,DATOS!I:I,B177,DATOS!K:K,7),"")</f>
        <v>0</v>
      </c>
      <c r="S177">
        <f>IF(V177="Sí",COUNTIFS(DATOS!G:G,CONFIG_METADATA!$B$4,DATOS!D:D,A177,DATOS!I:I,B177,DATOS!K:K,8),"")</f>
        <v>0</v>
      </c>
      <c r="T177">
        <f>IF(V177="Sí",COUNTIFS(DATOS!G:G,CONFIG_METADATA!$B$4,DATOS!D:D,A177,DATOS!I:I,B177,DATOS!K:K,9),"")</f>
        <v>0</v>
      </c>
      <c r="U177">
        <f>IF(V177="Sí",COUNTIFS(DATOS!G:G,CONFIG_METADATA!$B$4,DATOS!D:D,A177,DATOS!I:I,B177,DATOS!K:K,10),"")</f>
        <v>0</v>
      </c>
      <c r="V177" t="str">
        <f>IFERROR(IF(ISERROR(FIND(A177,VLOOKUP(B177,CONFIG_ASIGNATURAS!B:C,2,FALSE()))),"No","Sí"),"No")</f>
        <v>Sí</v>
      </c>
    </row>
    <row r="178" spans="1:22">
      <c r="A178" s="3" t="inlineStr">
        <is>
          <t xml:space="preserve">2EEM</t>
        </is>
      </c>
      <c r="B178" s="3" cm="1">
        <f t="array" ref="B178">IFERROR(INDEX(_xlfn._xlws.FILTER(CONFIG_ASIGNATURAS!$B$2:$B$61,(CONFIG_ASIGNATURAS!$G$2:$G$61="Sí")*ISNUMBER(SEARCH("2EEM",CONFIG_ASIGNATURAS!$C$2:$C$61))),48),"")</f>
      </c>
      <c r="C178" s="3">
        <f>IF(B178="","",IFERROR(IF(VLOOKUP(B178,CONFIG_ASIGNATURAS!$B$2:$F$61,5,FALSE())="Sí","Especialidad","Asignatura"),"Asignatura"))</f>
      </c>
      <c r="D178">
        <f>IF(V178="Sí",COUNTIFS(DATOS!G:G,CONFIG_METADATA!$B$4,DATOS!D:D,A178,DATOS!I:I,B178),"")</f>
        <v>0</v>
      </c>
      <c r="E178" s="14" t="str">
        <f>IF(V178="Sí",IFERROR(AVERAGEIFS(DATOS!K:K,DATOS!G:G,CONFIG_METADATA!$B$4,DATOS!D:D,A178,DATOS!I:I,B178),"—"),"")</f>
        <v>—</v>
      </c>
      <c r="F178" s="14" t="str" cm="1">
        <f t="array" ref="F178">IF(V178="Sí",IFERROR(_xlfn.STDEV.P(IF((nEVAL=CONFIG_METADATA!$B$4)*(nCURSO=A178)*(nASIG=B178),nNOTA)),"—"),"")</f>
        <v>—</v>
      </c>
      <c r="G178" t="str" cm="1">
        <f t="array" ref="G178">IF(V178="Sí",IFERROR(_xlfn.MODE.SNGL(IF((nEVAL=CONFIG_METADATA!$B$4)*(nCURSO=A178)*(nASIG=B178),nNOTA)),"—"),"")</f>
        <v>—</v>
      </c>
      <c r="H178" s="15" t="str">
        <f>IF(V178="Sí",IFERROR(COUNTIFS(DATOS!G:G,CONFIG_METADATA!$B$4,DATOS!D:D,A178,DATOS!I:I,B178,DATOS!L:L,"S")/COUNTIFS(DATOS!G:G,CONFIG_METADATA!$B$4,DATOS!D:D,A178,DATOS!I:I,B178),"—"),"")</f>
        <v>—</v>
      </c>
      <c r="I178" s="15" t="str">
        <f>IF(V178="Sí",IFERROR(COUNTIFS(DATOS!G:G,CONFIG_METADATA!$B$4,DATOS!D:D,A178,DATOS!I:I,B178,DATOS!L:L,"N")/COUNTIFS(DATOS!G:G,CONFIG_METADATA!$B$4,DATOS!D:D,A178,DATOS!I:I,B178),"—"),"")</f>
        <v>—</v>
      </c>
      <c r="J178" t="str" cm="1">
        <f t="array" ref="J178">IF(V178="Sí",IFERROR(_xlfn.MODE.SNGL(IF((nEVAL=CONFIG_METADATA!$B$4)*(nCURSO=A178)*(nASIG=B178)*(nAPTO="S"),nNOTA)),"—"),"")</f>
        <v>—</v>
      </c>
      <c r="K178" t="str" cm="1">
        <f t="array" ref="K178">IF(V178="Sí",IFERROR(_xlfn.MODE.SNGL(IF((nEVAL=CONFIG_METADATA!$B$4)*(nCURSO=A178)*(nASIG=B178)*(nAPTO="N"),nNOTA)),"—"),"")</f>
        <v>—</v>
      </c>
      <c r="L178">
        <f>IF(V178="Sí",COUNTIFS(DATOS!G:G,CONFIG_METADATA!$B$4,DATOS!D:D,A178,DATOS!I:I,B178,DATOS!K:K,1),"")</f>
        <v>0</v>
      </c>
      <c r="M178">
        <f>IF(V178="Sí",COUNTIFS(DATOS!G:G,CONFIG_METADATA!$B$4,DATOS!D:D,A178,DATOS!I:I,B178,DATOS!K:K,2),"")</f>
        <v>0</v>
      </c>
      <c r="N178">
        <f>IF(V178="Sí",COUNTIFS(DATOS!G:G,CONFIG_METADATA!$B$4,DATOS!D:D,A178,DATOS!I:I,B178,DATOS!K:K,3),"")</f>
        <v>0</v>
      </c>
      <c r="O178">
        <f>IF(V178="Sí",COUNTIFS(DATOS!G:G,CONFIG_METADATA!$B$4,DATOS!D:D,A178,DATOS!I:I,B178,DATOS!K:K,4),"")</f>
        <v>0</v>
      </c>
      <c r="P178">
        <f>IF(V178="Sí",COUNTIFS(DATOS!G:G,CONFIG_METADATA!$B$4,DATOS!D:D,A178,DATOS!I:I,B178,DATOS!K:K,5),"")</f>
        <v>0</v>
      </c>
      <c r="Q178">
        <f>IF(V178="Sí",COUNTIFS(DATOS!G:G,CONFIG_METADATA!$B$4,DATOS!D:D,A178,DATOS!I:I,B178,DATOS!K:K,6),"")</f>
        <v>0</v>
      </c>
      <c r="R178">
        <f>IF(V178="Sí",COUNTIFS(DATOS!G:G,CONFIG_METADATA!$B$4,DATOS!D:D,A178,DATOS!I:I,B178,DATOS!K:K,7),"")</f>
        <v>0</v>
      </c>
      <c r="S178">
        <f>IF(V178="Sí",COUNTIFS(DATOS!G:G,CONFIG_METADATA!$B$4,DATOS!D:D,A178,DATOS!I:I,B178,DATOS!K:K,8),"")</f>
        <v>0</v>
      </c>
      <c r="T178">
        <f>IF(V178="Sí",COUNTIFS(DATOS!G:G,CONFIG_METADATA!$B$4,DATOS!D:D,A178,DATOS!I:I,B178,DATOS!K:K,9),"")</f>
        <v>0</v>
      </c>
      <c r="U178">
        <f>IF(V178="Sí",COUNTIFS(DATOS!G:G,CONFIG_METADATA!$B$4,DATOS!D:D,A178,DATOS!I:I,B178,DATOS!K:K,10),"")</f>
        <v>0</v>
      </c>
      <c r="V178" t="str">
        <f>IFERROR(IF(ISERROR(FIND(A178,VLOOKUP(B178,CONFIG_ASIGNATURAS!B:C,2,FALSE()))),"No","Sí"),"No")</f>
        <v>Sí</v>
      </c>
    </row>
    <row r="179" spans="1:22">
      <c r="A179" s="3" t="inlineStr">
        <is>
          <t xml:space="preserve">2EEM</t>
        </is>
      </c>
      <c r="B179" s="3" cm="1">
        <f t="array" ref="B179">IFERROR(INDEX(_xlfn._xlws.FILTER(CONFIG_ASIGNATURAS!$B$2:$B$61,(CONFIG_ASIGNATURAS!$G$2:$G$61="Sí")*ISNUMBER(SEARCH("2EEM",CONFIG_ASIGNATURAS!$C$2:$C$61))),49),"")</f>
      </c>
      <c r="C179" s="3">
        <f>IF(B179="","",IFERROR(IF(VLOOKUP(B179,CONFIG_ASIGNATURAS!$B$2:$F$61,5,FALSE())="Sí","Especialidad","Asignatura"),"Asignatura"))</f>
      </c>
      <c r="D179">
        <f>IF(V179="Sí",COUNTIFS(DATOS!G:G,CONFIG_METADATA!$B$4,DATOS!D:D,A179,DATOS!I:I,B179),"")</f>
        <v>0</v>
      </c>
      <c r="E179" s="14" t="str">
        <f>IF(V179="Sí",IFERROR(AVERAGEIFS(DATOS!K:K,DATOS!G:G,CONFIG_METADATA!$B$4,DATOS!D:D,A179,DATOS!I:I,B179),"—"),"")</f>
        <v>—</v>
      </c>
      <c r="F179" s="14" t="str" cm="1">
        <f t="array" ref="F179">IF(V179="Sí",IFERROR(_xlfn.STDEV.P(IF((nEVAL=CONFIG_METADATA!$B$4)*(nCURSO=A179)*(nASIG=B179),nNOTA)),"—"),"")</f>
        <v>—</v>
      </c>
      <c r="G179" t="str" cm="1">
        <f t="array" ref="G179">IF(V179="Sí",IFERROR(_xlfn.MODE.SNGL(IF((nEVAL=CONFIG_METADATA!$B$4)*(nCURSO=A179)*(nASIG=B179),nNOTA)),"—"),"")</f>
        <v>—</v>
      </c>
      <c r="H179" s="15" t="str">
        <f>IF(V179="Sí",IFERROR(COUNTIFS(DATOS!G:G,CONFIG_METADATA!$B$4,DATOS!D:D,A179,DATOS!I:I,B179,DATOS!L:L,"S")/COUNTIFS(DATOS!G:G,CONFIG_METADATA!$B$4,DATOS!D:D,A179,DATOS!I:I,B179),"—"),"")</f>
        <v>—</v>
      </c>
      <c r="I179" s="15" t="str">
        <f>IF(V179="Sí",IFERROR(COUNTIFS(DATOS!G:G,CONFIG_METADATA!$B$4,DATOS!D:D,A179,DATOS!I:I,B179,DATOS!L:L,"N")/COUNTIFS(DATOS!G:G,CONFIG_METADATA!$B$4,DATOS!D:D,A179,DATOS!I:I,B179),"—"),"")</f>
        <v>—</v>
      </c>
      <c r="J179" t="str" cm="1">
        <f t="array" ref="J179">IF(V179="Sí",IFERROR(_xlfn.MODE.SNGL(IF((nEVAL=CONFIG_METADATA!$B$4)*(nCURSO=A179)*(nASIG=B179)*(nAPTO="S"),nNOTA)),"—"),"")</f>
        <v>—</v>
      </c>
      <c r="K179" t="str" cm="1">
        <f t="array" ref="K179">IF(V179="Sí",IFERROR(_xlfn.MODE.SNGL(IF((nEVAL=CONFIG_METADATA!$B$4)*(nCURSO=A179)*(nASIG=B179)*(nAPTO="N"),nNOTA)),"—"),"")</f>
        <v>—</v>
      </c>
      <c r="L179">
        <f>IF(V179="Sí",COUNTIFS(DATOS!G:G,CONFIG_METADATA!$B$4,DATOS!D:D,A179,DATOS!I:I,B179,DATOS!K:K,1),"")</f>
        <v>0</v>
      </c>
      <c r="M179">
        <f>IF(V179="Sí",COUNTIFS(DATOS!G:G,CONFIG_METADATA!$B$4,DATOS!D:D,A179,DATOS!I:I,B179,DATOS!K:K,2),"")</f>
        <v>0</v>
      </c>
      <c r="N179">
        <f>IF(V179="Sí",COUNTIFS(DATOS!G:G,CONFIG_METADATA!$B$4,DATOS!D:D,A179,DATOS!I:I,B179,DATOS!K:K,3),"")</f>
        <v>0</v>
      </c>
      <c r="O179">
        <f>IF(V179="Sí",COUNTIFS(DATOS!G:G,CONFIG_METADATA!$B$4,DATOS!D:D,A179,DATOS!I:I,B179,DATOS!K:K,4),"")</f>
        <v>0</v>
      </c>
      <c r="P179">
        <f>IF(V179="Sí",COUNTIFS(DATOS!G:G,CONFIG_METADATA!$B$4,DATOS!D:D,A179,DATOS!I:I,B179,DATOS!K:K,5),"")</f>
        <v>0</v>
      </c>
      <c r="Q179">
        <f>IF(V179="Sí",COUNTIFS(DATOS!G:G,CONFIG_METADATA!$B$4,DATOS!D:D,A179,DATOS!I:I,B179,DATOS!K:K,6),"")</f>
        <v>0</v>
      </c>
      <c r="R179">
        <f>IF(V179="Sí",COUNTIFS(DATOS!G:G,CONFIG_METADATA!$B$4,DATOS!D:D,A179,DATOS!I:I,B179,DATOS!K:K,7),"")</f>
        <v>0</v>
      </c>
      <c r="S179">
        <f>IF(V179="Sí",COUNTIFS(DATOS!G:G,CONFIG_METADATA!$B$4,DATOS!D:D,A179,DATOS!I:I,B179,DATOS!K:K,8),"")</f>
        <v>0</v>
      </c>
      <c r="T179">
        <f>IF(V179="Sí",COUNTIFS(DATOS!G:G,CONFIG_METADATA!$B$4,DATOS!D:D,A179,DATOS!I:I,B179,DATOS!K:K,9),"")</f>
        <v>0</v>
      </c>
      <c r="U179">
        <f>IF(V179="Sí",COUNTIFS(DATOS!G:G,CONFIG_METADATA!$B$4,DATOS!D:D,A179,DATOS!I:I,B179,DATOS!K:K,10),"")</f>
        <v>0</v>
      </c>
      <c r="V179" t="str">
        <f>IFERROR(IF(ISERROR(FIND(A179,VLOOKUP(B179,CONFIG_ASIGNATURAS!B:C,2,FALSE()))),"No","Sí"),"No")</f>
        <v>Sí</v>
      </c>
    </row>
    <row r="180" spans="1:22">
      <c r="A180" s="3" t="inlineStr">
        <is>
          <t xml:space="preserve">2EEM</t>
        </is>
      </c>
      <c r="B180" s="3" cm="1">
        <f t="array" ref="B180">IFERROR(INDEX(_xlfn._xlws.FILTER(CONFIG_ASIGNATURAS!$B$2:$B$61,(CONFIG_ASIGNATURAS!$G$2:$G$61="Sí")*ISNUMBER(SEARCH("2EEM",CONFIG_ASIGNATURAS!$C$2:$C$61))),50),"")</f>
      </c>
      <c r="C180" s="3">
        <f>IF(B180="","",IFERROR(IF(VLOOKUP(B180,CONFIG_ASIGNATURAS!$B$2:$F$61,5,FALSE())="Sí","Especialidad","Asignatura"),"Asignatura"))</f>
      </c>
      <c r="D180">
        <f>IF(V180="Sí",COUNTIFS(DATOS!G:G,CONFIG_METADATA!$B$4,DATOS!D:D,A180,DATOS!I:I,B180),"")</f>
        <v>0</v>
      </c>
      <c r="E180" s="14" t="str">
        <f>IF(V180="Sí",IFERROR(AVERAGEIFS(DATOS!K:K,DATOS!G:G,CONFIG_METADATA!$B$4,DATOS!D:D,A180,DATOS!I:I,B180),"—"),"")</f>
        <v>—</v>
      </c>
      <c r="F180" s="14" t="str" cm="1">
        <f t="array" ref="F180">IF(V180="Sí",IFERROR(_xlfn.STDEV.P(IF((nEVAL=CONFIG_METADATA!$B$4)*(nCURSO=A180)*(nASIG=B180),nNOTA)),"—"),"")</f>
        <v>—</v>
      </c>
      <c r="G180" t="str" cm="1">
        <f t="array" ref="G180">IF(V180="Sí",IFERROR(_xlfn.MODE.SNGL(IF((nEVAL=CONFIG_METADATA!$B$4)*(nCURSO=A180)*(nASIG=B180),nNOTA)),"—"),"")</f>
        <v>—</v>
      </c>
      <c r="H180" s="15" t="str">
        <f>IF(V180="Sí",IFERROR(COUNTIFS(DATOS!G:G,CONFIG_METADATA!$B$4,DATOS!D:D,A180,DATOS!I:I,B180,DATOS!L:L,"S")/COUNTIFS(DATOS!G:G,CONFIG_METADATA!$B$4,DATOS!D:D,A180,DATOS!I:I,B180),"—"),"")</f>
        <v>—</v>
      </c>
      <c r="I180" s="15" t="str">
        <f>IF(V180="Sí",IFERROR(COUNTIFS(DATOS!G:G,CONFIG_METADATA!$B$4,DATOS!D:D,A180,DATOS!I:I,B180,DATOS!L:L,"N")/COUNTIFS(DATOS!G:G,CONFIG_METADATA!$B$4,DATOS!D:D,A180,DATOS!I:I,B180),"—"),"")</f>
        <v>—</v>
      </c>
      <c r="J180" t="str" cm="1">
        <f t="array" ref="J180">IF(V180="Sí",IFERROR(_xlfn.MODE.SNGL(IF((nEVAL=CONFIG_METADATA!$B$4)*(nCURSO=A180)*(nASIG=B180)*(nAPTO="S"),nNOTA)),"—"),"")</f>
        <v>—</v>
      </c>
      <c r="K180" t="str" cm="1">
        <f t="array" ref="K180">IF(V180="Sí",IFERROR(_xlfn.MODE.SNGL(IF((nEVAL=CONFIG_METADATA!$B$4)*(nCURSO=A180)*(nASIG=B180)*(nAPTO="N"),nNOTA)),"—"),"")</f>
        <v>—</v>
      </c>
      <c r="L180">
        <f>IF(V180="Sí",COUNTIFS(DATOS!G:G,CONFIG_METADATA!$B$4,DATOS!D:D,A180,DATOS!I:I,B180,DATOS!K:K,1),"")</f>
        <v>0</v>
      </c>
      <c r="M180">
        <f>IF(V180="Sí",COUNTIFS(DATOS!G:G,CONFIG_METADATA!$B$4,DATOS!D:D,A180,DATOS!I:I,B180,DATOS!K:K,2),"")</f>
        <v>0</v>
      </c>
      <c r="N180">
        <f>IF(V180="Sí",COUNTIFS(DATOS!G:G,CONFIG_METADATA!$B$4,DATOS!D:D,A180,DATOS!I:I,B180,DATOS!K:K,3),"")</f>
        <v>0</v>
      </c>
      <c r="O180">
        <f>IF(V180="Sí",COUNTIFS(DATOS!G:G,CONFIG_METADATA!$B$4,DATOS!D:D,A180,DATOS!I:I,B180,DATOS!K:K,4),"")</f>
        <v>0</v>
      </c>
      <c r="P180">
        <f>IF(V180="Sí",COUNTIFS(DATOS!G:G,CONFIG_METADATA!$B$4,DATOS!D:D,A180,DATOS!I:I,B180,DATOS!K:K,5),"")</f>
        <v>0</v>
      </c>
      <c r="Q180">
        <f>IF(V180="Sí",COUNTIFS(DATOS!G:G,CONFIG_METADATA!$B$4,DATOS!D:D,A180,DATOS!I:I,B180,DATOS!K:K,6),"")</f>
        <v>0</v>
      </c>
      <c r="R180">
        <f>IF(V180="Sí",COUNTIFS(DATOS!G:G,CONFIG_METADATA!$B$4,DATOS!D:D,A180,DATOS!I:I,B180,DATOS!K:K,7),"")</f>
        <v>0</v>
      </c>
      <c r="S180">
        <f>IF(V180="Sí",COUNTIFS(DATOS!G:G,CONFIG_METADATA!$B$4,DATOS!D:D,A180,DATOS!I:I,B180,DATOS!K:K,8),"")</f>
        <v>0</v>
      </c>
      <c r="T180">
        <f>IF(V180="Sí",COUNTIFS(DATOS!G:G,CONFIG_METADATA!$B$4,DATOS!D:D,A180,DATOS!I:I,B180,DATOS!K:K,9),"")</f>
        <v>0</v>
      </c>
      <c r="U180">
        <f>IF(V180="Sí",COUNTIFS(DATOS!G:G,CONFIG_METADATA!$B$4,DATOS!D:D,A180,DATOS!I:I,B180,DATOS!K:K,10),"")</f>
        <v>0</v>
      </c>
      <c r="V180" t="str">
        <f>IFERROR(IF(ISERROR(FIND(A180,VLOOKUP(B180,CONFIG_ASIGNATURAS!B:C,2,FALSE()))),"No","Sí"),"No")</f>
        <v>Sí</v>
      </c>
    </row>
    <row r="181" spans="1:22">
      <c r="A181" s="3" t="inlineStr">
        <is>
          <t xml:space="preserve">2EEM</t>
        </is>
      </c>
      <c r="B181" s="3" cm="1">
        <f t="array" ref="B181">IFERROR(INDEX(_xlfn._xlws.FILTER(CONFIG_ASIGNATURAS!$B$2:$B$61,(CONFIG_ASIGNATURAS!$G$2:$G$61="Sí")*ISNUMBER(SEARCH("2EEM",CONFIG_ASIGNATURAS!$C$2:$C$61))),51),"")</f>
      </c>
      <c r="C181" s="3">
        <f>IF(B181="","",IFERROR(IF(VLOOKUP(B181,CONFIG_ASIGNATURAS!$B$2:$F$61,5,FALSE())="Sí","Especialidad","Asignatura"),"Asignatura"))</f>
      </c>
      <c r="D181">
        <f>IF(V181="Sí",COUNTIFS(DATOS!G:G,CONFIG_METADATA!$B$4,DATOS!D:D,A181,DATOS!I:I,B181),"")</f>
        <v>0</v>
      </c>
      <c r="E181" s="14" t="str">
        <f>IF(V181="Sí",IFERROR(AVERAGEIFS(DATOS!K:K,DATOS!G:G,CONFIG_METADATA!$B$4,DATOS!D:D,A181,DATOS!I:I,B181),"—"),"")</f>
        <v>—</v>
      </c>
      <c r="F181" s="14" t="str" cm="1">
        <f t="array" ref="F181">IF(V181="Sí",IFERROR(_xlfn.STDEV.P(IF((nEVAL=CONFIG_METADATA!$B$4)*(nCURSO=A181)*(nASIG=B181),nNOTA)),"—"),"")</f>
        <v>—</v>
      </c>
      <c r="G181" t="str" cm="1">
        <f t="array" ref="G181">IF(V181="Sí",IFERROR(_xlfn.MODE.SNGL(IF((nEVAL=CONFIG_METADATA!$B$4)*(nCURSO=A181)*(nASIG=B181),nNOTA)),"—"),"")</f>
        <v>—</v>
      </c>
      <c r="H181" s="15" t="str">
        <f>IF(V181="Sí",IFERROR(COUNTIFS(DATOS!G:G,CONFIG_METADATA!$B$4,DATOS!D:D,A181,DATOS!I:I,B181,DATOS!L:L,"S")/COUNTIFS(DATOS!G:G,CONFIG_METADATA!$B$4,DATOS!D:D,A181,DATOS!I:I,B181),"—"),"")</f>
        <v>—</v>
      </c>
      <c r="I181" s="15" t="str">
        <f>IF(V181="Sí",IFERROR(COUNTIFS(DATOS!G:G,CONFIG_METADATA!$B$4,DATOS!D:D,A181,DATOS!I:I,B181,DATOS!L:L,"N")/COUNTIFS(DATOS!G:G,CONFIG_METADATA!$B$4,DATOS!D:D,A181,DATOS!I:I,B181),"—"),"")</f>
        <v>—</v>
      </c>
      <c r="J181" t="str" cm="1">
        <f t="array" ref="J181">IF(V181="Sí",IFERROR(_xlfn.MODE.SNGL(IF((nEVAL=CONFIG_METADATA!$B$4)*(nCURSO=A181)*(nASIG=B181)*(nAPTO="S"),nNOTA)),"—"),"")</f>
        <v>—</v>
      </c>
      <c r="K181" t="str" cm="1">
        <f t="array" ref="K181">IF(V181="Sí",IFERROR(_xlfn.MODE.SNGL(IF((nEVAL=CONFIG_METADATA!$B$4)*(nCURSO=A181)*(nASIG=B181)*(nAPTO="N"),nNOTA)),"—"),"")</f>
        <v>—</v>
      </c>
      <c r="L181">
        <f>IF(V181="Sí",COUNTIFS(DATOS!G:G,CONFIG_METADATA!$B$4,DATOS!D:D,A181,DATOS!I:I,B181,DATOS!K:K,1),"")</f>
        <v>0</v>
      </c>
      <c r="M181">
        <f>IF(V181="Sí",COUNTIFS(DATOS!G:G,CONFIG_METADATA!$B$4,DATOS!D:D,A181,DATOS!I:I,B181,DATOS!K:K,2),"")</f>
        <v>0</v>
      </c>
      <c r="N181">
        <f>IF(V181="Sí",COUNTIFS(DATOS!G:G,CONFIG_METADATA!$B$4,DATOS!D:D,A181,DATOS!I:I,B181,DATOS!K:K,3),"")</f>
        <v>0</v>
      </c>
      <c r="O181">
        <f>IF(V181="Sí",COUNTIFS(DATOS!G:G,CONFIG_METADATA!$B$4,DATOS!D:D,A181,DATOS!I:I,B181,DATOS!K:K,4),"")</f>
        <v>0</v>
      </c>
      <c r="P181">
        <f>IF(V181="Sí",COUNTIFS(DATOS!G:G,CONFIG_METADATA!$B$4,DATOS!D:D,A181,DATOS!I:I,B181,DATOS!K:K,5),"")</f>
        <v>0</v>
      </c>
      <c r="Q181">
        <f>IF(V181="Sí",COUNTIFS(DATOS!G:G,CONFIG_METADATA!$B$4,DATOS!D:D,A181,DATOS!I:I,B181,DATOS!K:K,6),"")</f>
        <v>0</v>
      </c>
      <c r="R181">
        <f>IF(V181="Sí",COUNTIFS(DATOS!G:G,CONFIG_METADATA!$B$4,DATOS!D:D,A181,DATOS!I:I,B181,DATOS!K:K,7),"")</f>
        <v>0</v>
      </c>
      <c r="S181">
        <f>IF(V181="Sí",COUNTIFS(DATOS!G:G,CONFIG_METADATA!$B$4,DATOS!D:D,A181,DATOS!I:I,B181,DATOS!K:K,8),"")</f>
        <v>0</v>
      </c>
      <c r="T181">
        <f>IF(V181="Sí",COUNTIFS(DATOS!G:G,CONFIG_METADATA!$B$4,DATOS!D:D,A181,DATOS!I:I,B181,DATOS!K:K,9),"")</f>
        <v>0</v>
      </c>
      <c r="U181">
        <f>IF(V181="Sí",COUNTIFS(DATOS!G:G,CONFIG_METADATA!$B$4,DATOS!D:D,A181,DATOS!I:I,B181,DATOS!K:K,10),"")</f>
        <v>0</v>
      </c>
      <c r="V181" t="str">
        <f>IFERROR(IF(ISERROR(FIND(A181,VLOOKUP(B181,CONFIG_ASIGNATURAS!B:C,2,FALSE()))),"No","Sí"),"No")</f>
        <v>Sí</v>
      </c>
    </row>
    <row r="182" spans="1:22">
      <c r="A182" s="3" t="inlineStr">
        <is>
          <t xml:space="preserve">2EEM</t>
        </is>
      </c>
      <c r="B182" s="3" cm="1">
        <f t="array" ref="B182">IFERROR(INDEX(_xlfn._xlws.FILTER(CONFIG_ASIGNATURAS!$B$2:$B$61,(CONFIG_ASIGNATURAS!$G$2:$G$61="Sí")*ISNUMBER(SEARCH("2EEM",CONFIG_ASIGNATURAS!$C$2:$C$61))),52),"")</f>
      </c>
      <c r="C182" s="3">
        <f>IF(B182="","",IFERROR(IF(VLOOKUP(B182,CONFIG_ASIGNATURAS!$B$2:$F$61,5,FALSE())="Sí","Especialidad","Asignatura"),"Asignatura"))</f>
      </c>
      <c r="D182">
        <f>IF(V182="Sí",COUNTIFS(DATOS!G:G,CONFIG_METADATA!$B$4,DATOS!D:D,A182,DATOS!I:I,B182),"")</f>
        <v>0</v>
      </c>
      <c r="E182" s="14" t="str">
        <f>IF(V182="Sí",IFERROR(AVERAGEIFS(DATOS!K:K,DATOS!G:G,CONFIG_METADATA!$B$4,DATOS!D:D,A182,DATOS!I:I,B182),"—"),"")</f>
        <v>—</v>
      </c>
      <c r="F182" s="14" t="str" cm="1">
        <f t="array" ref="F182">IF(V182="Sí",IFERROR(_xlfn.STDEV.P(IF((nEVAL=CONFIG_METADATA!$B$4)*(nCURSO=A182)*(nASIG=B182),nNOTA)),"—"),"")</f>
        <v>—</v>
      </c>
      <c r="G182" t="str" cm="1">
        <f t="array" ref="G182">IF(V182="Sí",IFERROR(_xlfn.MODE.SNGL(IF((nEVAL=CONFIG_METADATA!$B$4)*(nCURSO=A182)*(nASIG=B182),nNOTA)),"—"),"")</f>
        <v>—</v>
      </c>
      <c r="H182" s="15" t="str">
        <f>IF(V182="Sí",IFERROR(COUNTIFS(DATOS!G:G,CONFIG_METADATA!$B$4,DATOS!D:D,A182,DATOS!I:I,B182,DATOS!L:L,"S")/COUNTIFS(DATOS!G:G,CONFIG_METADATA!$B$4,DATOS!D:D,A182,DATOS!I:I,B182),"—"),"")</f>
        <v>—</v>
      </c>
      <c r="I182" s="15" t="str">
        <f>IF(V182="Sí",IFERROR(COUNTIFS(DATOS!G:G,CONFIG_METADATA!$B$4,DATOS!D:D,A182,DATOS!I:I,B182,DATOS!L:L,"N")/COUNTIFS(DATOS!G:G,CONFIG_METADATA!$B$4,DATOS!D:D,A182,DATOS!I:I,B182),"—"),"")</f>
        <v>—</v>
      </c>
      <c r="J182" t="str" cm="1">
        <f t="array" ref="J182">IF(V182="Sí",IFERROR(_xlfn.MODE.SNGL(IF((nEVAL=CONFIG_METADATA!$B$4)*(nCURSO=A182)*(nASIG=B182)*(nAPTO="S"),nNOTA)),"—"),"")</f>
        <v>—</v>
      </c>
      <c r="K182" t="str" cm="1">
        <f t="array" ref="K182">IF(V182="Sí",IFERROR(_xlfn.MODE.SNGL(IF((nEVAL=CONFIG_METADATA!$B$4)*(nCURSO=A182)*(nASIG=B182)*(nAPTO="N"),nNOTA)),"—"),"")</f>
        <v>—</v>
      </c>
      <c r="L182">
        <f>IF(V182="Sí",COUNTIFS(DATOS!G:G,CONFIG_METADATA!$B$4,DATOS!D:D,A182,DATOS!I:I,B182,DATOS!K:K,1),"")</f>
        <v>0</v>
      </c>
      <c r="M182">
        <f>IF(V182="Sí",COUNTIFS(DATOS!G:G,CONFIG_METADATA!$B$4,DATOS!D:D,A182,DATOS!I:I,B182,DATOS!K:K,2),"")</f>
        <v>0</v>
      </c>
      <c r="N182">
        <f>IF(V182="Sí",COUNTIFS(DATOS!G:G,CONFIG_METADATA!$B$4,DATOS!D:D,A182,DATOS!I:I,B182,DATOS!K:K,3),"")</f>
        <v>0</v>
      </c>
      <c r="O182">
        <f>IF(V182="Sí",COUNTIFS(DATOS!G:G,CONFIG_METADATA!$B$4,DATOS!D:D,A182,DATOS!I:I,B182,DATOS!K:K,4),"")</f>
        <v>0</v>
      </c>
      <c r="P182">
        <f>IF(V182="Sí",COUNTIFS(DATOS!G:G,CONFIG_METADATA!$B$4,DATOS!D:D,A182,DATOS!I:I,B182,DATOS!K:K,5),"")</f>
        <v>0</v>
      </c>
      <c r="Q182">
        <f>IF(V182="Sí",COUNTIFS(DATOS!G:G,CONFIG_METADATA!$B$4,DATOS!D:D,A182,DATOS!I:I,B182,DATOS!K:K,6),"")</f>
        <v>0</v>
      </c>
      <c r="R182">
        <f>IF(V182="Sí",COUNTIFS(DATOS!G:G,CONFIG_METADATA!$B$4,DATOS!D:D,A182,DATOS!I:I,B182,DATOS!K:K,7),"")</f>
        <v>0</v>
      </c>
      <c r="S182">
        <f>IF(V182="Sí",COUNTIFS(DATOS!G:G,CONFIG_METADATA!$B$4,DATOS!D:D,A182,DATOS!I:I,B182,DATOS!K:K,8),"")</f>
        <v>0</v>
      </c>
      <c r="T182">
        <f>IF(V182="Sí",COUNTIFS(DATOS!G:G,CONFIG_METADATA!$B$4,DATOS!D:D,A182,DATOS!I:I,B182,DATOS!K:K,9),"")</f>
        <v>0</v>
      </c>
      <c r="U182">
        <f>IF(V182="Sí",COUNTIFS(DATOS!G:G,CONFIG_METADATA!$B$4,DATOS!D:D,A182,DATOS!I:I,B182,DATOS!K:K,10),"")</f>
        <v>0</v>
      </c>
      <c r="V182" t="str">
        <f>IFERROR(IF(ISERROR(FIND(A182,VLOOKUP(B182,CONFIG_ASIGNATURAS!B:C,2,FALSE()))),"No","Sí"),"No")</f>
        <v>Sí</v>
      </c>
    </row>
    <row r="183" spans="1:22">
      <c r="A183" s="3" t="inlineStr">
        <is>
          <t xml:space="preserve">2EEM</t>
        </is>
      </c>
      <c r="B183" s="3" cm="1">
        <f t="array" ref="B183">IFERROR(INDEX(_xlfn._xlws.FILTER(CONFIG_ASIGNATURAS!$B$2:$B$61,(CONFIG_ASIGNATURAS!$G$2:$G$61="Sí")*ISNUMBER(SEARCH("2EEM",CONFIG_ASIGNATURAS!$C$2:$C$61))),53),"")</f>
      </c>
      <c r="C183" s="3">
        <f>IF(B183="","",IFERROR(IF(VLOOKUP(B183,CONFIG_ASIGNATURAS!$B$2:$F$61,5,FALSE())="Sí","Especialidad","Asignatura"),"Asignatura"))</f>
      </c>
      <c r="D183">
        <f>IF(V183="Sí",COUNTIFS(DATOS!G:G,CONFIG_METADATA!$B$4,DATOS!D:D,A183,DATOS!I:I,B183),"")</f>
        <v>0</v>
      </c>
      <c r="E183" s="14" t="str">
        <f>IF(V183="Sí",IFERROR(AVERAGEIFS(DATOS!K:K,DATOS!G:G,CONFIG_METADATA!$B$4,DATOS!D:D,A183,DATOS!I:I,B183),"—"),"")</f>
        <v>—</v>
      </c>
      <c r="F183" s="14" t="str" cm="1">
        <f t="array" ref="F183">IF(V183="Sí",IFERROR(_xlfn.STDEV.P(IF((nEVAL=CONFIG_METADATA!$B$4)*(nCURSO=A183)*(nASIG=B183),nNOTA)),"—"),"")</f>
        <v>—</v>
      </c>
      <c r="G183" t="str" cm="1">
        <f t="array" ref="G183">IF(V183="Sí",IFERROR(_xlfn.MODE.SNGL(IF((nEVAL=CONFIG_METADATA!$B$4)*(nCURSO=A183)*(nASIG=B183),nNOTA)),"—"),"")</f>
        <v>—</v>
      </c>
      <c r="H183" s="15" t="str">
        <f>IF(V183="Sí",IFERROR(COUNTIFS(DATOS!G:G,CONFIG_METADATA!$B$4,DATOS!D:D,A183,DATOS!I:I,B183,DATOS!L:L,"S")/COUNTIFS(DATOS!G:G,CONFIG_METADATA!$B$4,DATOS!D:D,A183,DATOS!I:I,B183),"—"),"")</f>
        <v>—</v>
      </c>
      <c r="I183" s="15" t="str">
        <f>IF(V183="Sí",IFERROR(COUNTIFS(DATOS!G:G,CONFIG_METADATA!$B$4,DATOS!D:D,A183,DATOS!I:I,B183,DATOS!L:L,"N")/COUNTIFS(DATOS!G:G,CONFIG_METADATA!$B$4,DATOS!D:D,A183,DATOS!I:I,B183),"—"),"")</f>
        <v>—</v>
      </c>
      <c r="J183" t="str" cm="1">
        <f t="array" ref="J183">IF(V183="Sí",IFERROR(_xlfn.MODE.SNGL(IF((nEVAL=CONFIG_METADATA!$B$4)*(nCURSO=A183)*(nASIG=B183)*(nAPTO="S"),nNOTA)),"—"),"")</f>
        <v>—</v>
      </c>
      <c r="K183" t="str" cm="1">
        <f t="array" ref="K183">IF(V183="Sí",IFERROR(_xlfn.MODE.SNGL(IF((nEVAL=CONFIG_METADATA!$B$4)*(nCURSO=A183)*(nASIG=B183)*(nAPTO="N"),nNOTA)),"—"),"")</f>
        <v>—</v>
      </c>
      <c r="L183">
        <f>IF(V183="Sí",COUNTIFS(DATOS!G:G,CONFIG_METADATA!$B$4,DATOS!D:D,A183,DATOS!I:I,B183,DATOS!K:K,1),"")</f>
        <v>0</v>
      </c>
      <c r="M183">
        <f>IF(V183="Sí",COUNTIFS(DATOS!G:G,CONFIG_METADATA!$B$4,DATOS!D:D,A183,DATOS!I:I,B183,DATOS!K:K,2),"")</f>
        <v>0</v>
      </c>
      <c r="N183">
        <f>IF(V183="Sí",COUNTIFS(DATOS!G:G,CONFIG_METADATA!$B$4,DATOS!D:D,A183,DATOS!I:I,B183,DATOS!K:K,3),"")</f>
        <v>0</v>
      </c>
      <c r="O183">
        <f>IF(V183="Sí",COUNTIFS(DATOS!G:G,CONFIG_METADATA!$B$4,DATOS!D:D,A183,DATOS!I:I,B183,DATOS!K:K,4),"")</f>
        <v>0</v>
      </c>
      <c r="P183">
        <f>IF(V183="Sí",COUNTIFS(DATOS!G:G,CONFIG_METADATA!$B$4,DATOS!D:D,A183,DATOS!I:I,B183,DATOS!K:K,5),"")</f>
        <v>0</v>
      </c>
      <c r="Q183">
        <f>IF(V183="Sí",COUNTIFS(DATOS!G:G,CONFIG_METADATA!$B$4,DATOS!D:D,A183,DATOS!I:I,B183,DATOS!K:K,6),"")</f>
        <v>0</v>
      </c>
      <c r="R183">
        <f>IF(V183="Sí",COUNTIFS(DATOS!G:G,CONFIG_METADATA!$B$4,DATOS!D:D,A183,DATOS!I:I,B183,DATOS!K:K,7),"")</f>
        <v>0</v>
      </c>
      <c r="S183">
        <f>IF(V183="Sí",COUNTIFS(DATOS!G:G,CONFIG_METADATA!$B$4,DATOS!D:D,A183,DATOS!I:I,B183,DATOS!K:K,8),"")</f>
        <v>0</v>
      </c>
      <c r="T183">
        <f>IF(V183="Sí",COUNTIFS(DATOS!G:G,CONFIG_METADATA!$B$4,DATOS!D:D,A183,DATOS!I:I,B183,DATOS!K:K,9),"")</f>
        <v>0</v>
      </c>
      <c r="U183">
        <f>IF(V183="Sí",COUNTIFS(DATOS!G:G,CONFIG_METADATA!$B$4,DATOS!D:D,A183,DATOS!I:I,B183,DATOS!K:K,10),"")</f>
        <v>0</v>
      </c>
      <c r="V183" t="str">
        <f>IFERROR(IF(ISERROR(FIND(A183,VLOOKUP(B183,CONFIG_ASIGNATURAS!B:C,2,FALSE()))),"No","Sí"),"No")</f>
        <v>Sí</v>
      </c>
    </row>
    <row r="184" spans="1:22">
      <c r="A184" s="3" t="inlineStr">
        <is>
          <t xml:space="preserve">2EEM</t>
        </is>
      </c>
      <c r="B184" s="3" cm="1">
        <f t="array" ref="B184">IFERROR(INDEX(_xlfn._xlws.FILTER(CONFIG_ASIGNATURAS!$B$2:$B$61,(CONFIG_ASIGNATURAS!$G$2:$G$61="Sí")*ISNUMBER(SEARCH("2EEM",CONFIG_ASIGNATURAS!$C$2:$C$61))),54),"")</f>
      </c>
      <c r="C184" s="3">
        <f>IF(B184="","",IFERROR(IF(VLOOKUP(B184,CONFIG_ASIGNATURAS!$B$2:$F$61,5,FALSE())="Sí","Especialidad","Asignatura"),"Asignatura"))</f>
      </c>
      <c r="D184">
        <f>IF(V184="Sí",COUNTIFS(DATOS!G:G,CONFIG_METADATA!$B$4,DATOS!D:D,A184,DATOS!I:I,B184),"")</f>
        <v>0</v>
      </c>
      <c r="E184" s="14" t="str">
        <f>IF(V184="Sí",IFERROR(AVERAGEIFS(DATOS!K:K,DATOS!G:G,CONFIG_METADATA!$B$4,DATOS!D:D,A184,DATOS!I:I,B184),"—"),"")</f>
        <v>—</v>
      </c>
      <c r="F184" s="14" t="str" cm="1">
        <f t="array" ref="F184">IF(V184="Sí",IFERROR(_xlfn.STDEV.P(IF((nEVAL=CONFIG_METADATA!$B$4)*(nCURSO=A184)*(nASIG=B184),nNOTA)),"—"),"")</f>
        <v>—</v>
      </c>
      <c r="G184" t="str" cm="1">
        <f t="array" ref="G184">IF(V184="Sí",IFERROR(_xlfn.MODE.SNGL(IF((nEVAL=CONFIG_METADATA!$B$4)*(nCURSO=A184)*(nASIG=B184),nNOTA)),"—"),"")</f>
        <v>—</v>
      </c>
      <c r="H184" s="15" t="str">
        <f>IF(V184="Sí",IFERROR(COUNTIFS(DATOS!G:G,CONFIG_METADATA!$B$4,DATOS!D:D,A184,DATOS!I:I,B184,DATOS!L:L,"S")/COUNTIFS(DATOS!G:G,CONFIG_METADATA!$B$4,DATOS!D:D,A184,DATOS!I:I,B184),"—"),"")</f>
        <v>—</v>
      </c>
      <c r="I184" s="15" t="str">
        <f>IF(V184="Sí",IFERROR(COUNTIFS(DATOS!G:G,CONFIG_METADATA!$B$4,DATOS!D:D,A184,DATOS!I:I,B184,DATOS!L:L,"N")/COUNTIFS(DATOS!G:G,CONFIG_METADATA!$B$4,DATOS!D:D,A184,DATOS!I:I,B184),"—"),"")</f>
        <v>—</v>
      </c>
      <c r="J184" t="str" cm="1">
        <f t="array" ref="J184">IF(V184="Sí",IFERROR(_xlfn.MODE.SNGL(IF((nEVAL=CONFIG_METADATA!$B$4)*(nCURSO=A184)*(nASIG=B184)*(nAPTO="S"),nNOTA)),"—"),"")</f>
        <v>—</v>
      </c>
      <c r="K184" t="str" cm="1">
        <f t="array" ref="K184">IF(V184="Sí",IFERROR(_xlfn.MODE.SNGL(IF((nEVAL=CONFIG_METADATA!$B$4)*(nCURSO=A184)*(nASIG=B184)*(nAPTO="N"),nNOTA)),"—"),"")</f>
        <v>—</v>
      </c>
      <c r="L184">
        <f>IF(V184="Sí",COUNTIFS(DATOS!G:G,CONFIG_METADATA!$B$4,DATOS!D:D,A184,DATOS!I:I,B184,DATOS!K:K,1),"")</f>
        <v>0</v>
      </c>
      <c r="M184">
        <f>IF(V184="Sí",COUNTIFS(DATOS!G:G,CONFIG_METADATA!$B$4,DATOS!D:D,A184,DATOS!I:I,B184,DATOS!K:K,2),"")</f>
        <v>0</v>
      </c>
      <c r="N184">
        <f>IF(V184="Sí",COUNTIFS(DATOS!G:G,CONFIG_METADATA!$B$4,DATOS!D:D,A184,DATOS!I:I,B184,DATOS!K:K,3),"")</f>
        <v>0</v>
      </c>
      <c r="O184">
        <f>IF(V184="Sí",COUNTIFS(DATOS!G:G,CONFIG_METADATA!$B$4,DATOS!D:D,A184,DATOS!I:I,B184,DATOS!K:K,4),"")</f>
        <v>0</v>
      </c>
      <c r="P184">
        <f>IF(V184="Sí",COUNTIFS(DATOS!G:G,CONFIG_METADATA!$B$4,DATOS!D:D,A184,DATOS!I:I,B184,DATOS!K:K,5),"")</f>
        <v>0</v>
      </c>
      <c r="Q184">
        <f>IF(V184="Sí",COUNTIFS(DATOS!G:G,CONFIG_METADATA!$B$4,DATOS!D:D,A184,DATOS!I:I,B184,DATOS!K:K,6),"")</f>
        <v>0</v>
      </c>
      <c r="R184">
        <f>IF(V184="Sí",COUNTIFS(DATOS!G:G,CONFIG_METADATA!$B$4,DATOS!D:D,A184,DATOS!I:I,B184,DATOS!K:K,7),"")</f>
        <v>0</v>
      </c>
      <c r="S184">
        <f>IF(V184="Sí",COUNTIFS(DATOS!G:G,CONFIG_METADATA!$B$4,DATOS!D:D,A184,DATOS!I:I,B184,DATOS!K:K,8),"")</f>
        <v>0</v>
      </c>
      <c r="T184">
        <f>IF(V184="Sí",COUNTIFS(DATOS!G:G,CONFIG_METADATA!$B$4,DATOS!D:D,A184,DATOS!I:I,B184,DATOS!K:K,9),"")</f>
        <v>0</v>
      </c>
      <c r="U184">
        <f>IF(V184="Sí",COUNTIFS(DATOS!G:G,CONFIG_METADATA!$B$4,DATOS!D:D,A184,DATOS!I:I,B184,DATOS!K:K,10),"")</f>
        <v>0</v>
      </c>
      <c r="V184" t="str">
        <f>IFERROR(IF(ISERROR(FIND(A184,VLOOKUP(B184,CONFIG_ASIGNATURAS!B:C,2,FALSE()))),"No","Sí"),"No")</f>
        <v>Sí</v>
      </c>
    </row>
    <row r="185" spans="1:22">
      <c r="A185" s="3" t="inlineStr">
        <is>
          <t xml:space="preserve">2EEM</t>
        </is>
      </c>
      <c r="B185" s="3" cm="1">
        <f t="array" ref="B185">IFERROR(INDEX(_xlfn._xlws.FILTER(CONFIG_ASIGNATURAS!$B$2:$B$61,(CONFIG_ASIGNATURAS!$G$2:$G$61="Sí")*ISNUMBER(SEARCH("2EEM",CONFIG_ASIGNATURAS!$C$2:$C$61))),55),"")</f>
      </c>
      <c r="C185" s="3">
        <f>IF(B185="","",IFERROR(IF(VLOOKUP(B185,CONFIG_ASIGNATURAS!$B$2:$F$61,5,FALSE())="Sí","Especialidad","Asignatura"),"Asignatura"))</f>
      </c>
      <c r="D185">
        <f>IF(V185="Sí",COUNTIFS(DATOS!G:G,CONFIG_METADATA!$B$4,DATOS!D:D,A185,DATOS!I:I,B185),"")</f>
        <v>0</v>
      </c>
      <c r="E185" s="14" t="str">
        <f>IF(V185="Sí",IFERROR(AVERAGEIFS(DATOS!K:K,DATOS!G:G,CONFIG_METADATA!$B$4,DATOS!D:D,A185,DATOS!I:I,B185),"—"),"")</f>
        <v>—</v>
      </c>
      <c r="F185" s="14" t="str" cm="1">
        <f t="array" ref="F185">IF(V185="Sí",IFERROR(_xlfn.STDEV.P(IF((nEVAL=CONFIG_METADATA!$B$4)*(nCURSO=A185)*(nASIG=B185),nNOTA)),"—"),"")</f>
        <v>—</v>
      </c>
      <c r="G185" t="str" cm="1">
        <f t="array" ref="G185">IF(V185="Sí",IFERROR(_xlfn.MODE.SNGL(IF((nEVAL=CONFIG_METADATA!$B$4)*(nCURSO=A185)*(nASIG=B185),nNOTA)),"—"),"")</f>
        <v>—</v>
      </c>
      <c r="H185" s="15" t="str">
        <f>IF(V185="Sí",IFERROR(COUNTIFS(DATOS!G:G,CONFIG_METADATA!$B$4,DATOS!D:D,A185,DATOS!I:I,B185,DATOS!L:L,"S")/COUNTIFS(DATOS!G:G,CONFIG_METADATA!$B$4,DATOS!D:D,A185,DATOS!I:I,B185),"—"),"")</f>
        <v>—</v>
      </c>
      <c r="I185" s="15" t="str">
        <f>IF(V185="Sí",IFERROR(COUNTIFS(DATOS!G:G,CONFIG_METADATA!$B$4,DATOS!D:D,A185,DATOS!I:I,B185,DATOS!L:L,"N")/COUNTIFS(DATOS!G:G,CONFIG_METADATA!$B$4,DATOS!D:D,A185,DATOS!I:I,B185),"—"),"")</f>
        <v>—</v>
      </c>
      <c r="J185" t="str" cm="1">
        <f t="array" ref="J185">IF(V185="Sí",IFERROR(_xlfn.MODE.SNGL(IF((nEVAL=CONFIG_METADATA!$B$4)*(nCURSO=A185)*(nASIG=B185)*(nAPTO="S"),nNOTA)),"—"),"")</f>
        <v>—</v>
      </c>
      <c r="K185" t="str" cm="1">
        <f t="array" ref="K185">IF(V185="Sí",IFERROR(_xlfn.MODE.SNGL(IF((nEVAL=CONFIG_METADATA!$B$4)*(nCURSO=A185)*(nASIG=B185)*(nAPTO="N"),nNOTA)),"—"),"")</f>
        <v>—</v>
      </c>
      <c r="L185">
        <f>IF(V185="Sí",COUNTIFS(DATOS!G:G,CONFIG_METADATA!$B$4,DATOS!D:D,A185,DATOS!I:I,B185,DATOS!K:K,1),"")</f>
        <v>0</v>
      </c>
      <c r="M185">
        <f>IF(V185="Sí",COUNTIFS(DATOS!G:G,CONFIG_METADATA!$B$4,DATOS!D:D,A185,DATOS!I:I,B185,DATOS!K:K,2),"")</f>
        <v>0</v>
      </c>
      <c r="N185">
        <f>IF(V185="Sí",COUNTIFS(DATOS!G:G,CONFIG_METADATA!$B$4,DATOS!D:D,A185,DATOS!I:I,B185,DATOS!K:K,3),"")</f>
        <v>0</v>
      </c>
      <c r="O185">
        <f>IF(V185="Sí",COUNTIFS(DATOS!G:G,CONFIG_METADATA!$B$4,DATOS!D:D,A185,DATOS!I:I,B185,DATOS!K:K,4),"")</f>
        <v>0</v>
      </c>
      <c r="P185">
        <f>IF(V185="Sí",COUNTIFS(DATOS!G:G,CONFIG_METADATA!$B$4,DATOS!D:D,A185,DATOS!I:I,B185,DATOS!K:K,5),"")</f>
        <v>0</v>
      </c>
      <c r="Q185">
        <f>IF(V185="Sí",COUNTIFS(DATOS!G:G,CONFIG_METADATA!$B$4,DATOS!D:D,A185,DATOS!I:I,B185,DATOS!K:K,6),"")</f>
        <v>0</v>
      </c>
      <c r="R185">
        <f>IF(V185="Sí",COUNTIFS(DATOS!G:G,CONFIG_METADATA!$B$4,DATOS!D:D,A185,DATOS!I:I,B185,DATOS!K:K,7),"")</f>
        <v>0</v>
      </c>
      <c r="S185">
        <f>IF(V185="Sí",COUNTIFS(DATOS!G:G,CONFIG_METADATA!$B$4,DATOS!D:D,A185,DATOS!I:I,B185,DATOS!K:K,8),"")</f>
        <v>0</v>
      </c>
      <c r="T185">
        <f>IF(V185="Sí",COUNTIFS(DATOS!G:G,CONFIG_METADATA!$B$4,DATOS!D:D,A185,DATOS!I:I,B185,DATOS!K:K,9),"")</f>
        <v>0</v>
      </c>
      <c r="U185">
        <f>IF(V185="Sí",COUNTIFS(DATOS!G:G,CONFIG_METADATA!$B$4,DATOS!D:D,A185,DATOS!I:I,B185,DATOS!K:K,10),"")</f>
        <v>0</v>
      </c>
      <c r="V185" t="str">
        <f>IFERROR(IF(ISERROR(FIND(A185,VLOOKUP(B185,CONFIG_ASIGNATURAS!B:C,2,FALSE()))),"No","Sí"),"No")</f>
        <v>Sí</v>
      </c>
    </row>
    <row r="186" spans="1:22">
      <c r="A186" s="3" t="inlineStr">
        <is>
          <t xml:space="preserve">2EEM</t>
        </is>
      </c>
      <c r="B186" s="3" cm="1">
        <f t="array" ref="B186">IFERROR(INDEX(_xlfn._xlws.FILTER(CONFIG_ASIGNATURAS!$B$2:$B$61,(CONFIG_ASIGNATURAS!$G$2:$G$61="Sí")*ISNUMBER(SEARCH("2EEM",CONFIG_ASIGNATURAS!$C$2:$C$61))),56),"")</f>
      </c>
      <c r="C186" s="3">
        <f>IF(B186="","",IFERROR(IF(VLOOKUP(B186,CONFIG_ASIGNATURAS!$B$2:$F$61,5,FALSE())="Sí","Especialidad","Asignatura"),"Asignatura"))</f>
      </c>
      <c r="D186">
        <f>IF(V186="Sí",COUNTIFS(DATOS!G:G,CONFIG_METADATA!$B$4,DATOS!D:D,A186,DATOS!I:I,B186),"")</f>
        <v>0</v>
      </c>
      <c r="E186" s="14" t="str">
        <f>IF(V186="Sí",IFERROR(AVERAGEIFS(DATOS!K:K,DATOS!G:G,CONFIG_METADATA!$B$4,DATOS!D:D,A186,DATOS!I:I,B186),"—"),"")</f>
        <v>—</v>
      </c>
      <c r="F186" s="14" t="str" cm="1">
        <f t="array" ref="F186">IF(V186="Sí",IFERROR(_xlfn.STDEV.P(IF((nEVAL=CONFIG_METADATA!$B$4)*(nCURSO=A186)*(nASIG=B186),nNOTA)),"—"),"")</f>
        <v>—</v>
      </c>
      <c r="G186" t="str" cm="1">
        <f t="array" ref="G186">IF(V186="Sí",IFERROR(_xlfn.MODE.SNGL(IF((nEVAL=CONFIG_METADATA!$B$4)*(nCURSO=A186)*(nASIG=B186),nNOTA)),"—"),"")</f>
        <v>—</v>
      </c>
      <c r="H186" s="15" t="str">
        <f>IF(V186="Sí",IFERROR(COUNTIFS(DATOS!G:G,CONFIG_METADATA!$B$4,DATOS!D:D,A186,DATOS!I:I,B186,DATOS!L:L,"S")/COUNTIFS(DATOS!G:G,CONFIG_METADATA!$B$4,DATOS!D:D,A186,DATOS!I:I,B186),"—"),"")</f>
        <v>—</v>
      </c>
      <c r="I186" s="15" t="str">
        <f>IF(V186="Sí",IFERROR(COUNTIFS(DATOS!G:G,CONFIG_METADATA!$B$4,DATOS!D:D,A186,DATOS!I:I,B186,DATOS!L:L,"N")/COUNTIFS(DATOS!G:G,CONFIG_METADATA!$B$4,DATOS!D:D,A186,DATOS!I:I,B186),"—"),"")</f>
        <v>—</v>
      </c>
      <c r="J186" t="str" cm="1">
        <f t="array" ref="J186">IF(V186="Sí",IFERROR(_xlfn.MODE.SNGL(IF((nEVAL=CONFIG_METADATA!$B$4)*(nCURSO=A186)*(nASIG=B186)*(nAPTO="S"),nNOTA)),"—"),"")</f>
        <v>—</v>
      </c>
      <c r="K186" t="str" cm="1">
        <f t="array" ref="K186">IF(V186="Sí",IFERROR(_xlfn.MODE.SNGL(IF((nEVAL=CONFIG_METADATA!$B$4)*(nCURSO=A186)*(nASIG=B186)*(nAPTO="N"),nNOTA)),"—"),"")</f>
        <v>—</v>
      </c>
      <c r="L186">
        <f>IF(V186="Sí",COUNTIFS(DATOS!G:G,CONFIG_METADATA!$B$4,DATOS!D:D,A186,DATOS!I:I,B186,DATOS!K:K,1),"")</f>
        <v>0</v>
      </c>
      <c r="M186">
        <f>IF(V186="Sí",COUNTIFS(DATOS!G:G,CONFIG_METADATA!$B$4,DATOS!D:D,A186,DATOS!I:I,B186,DATOS!K:K,2),"")</f>
        <v>0</v>
      </c>
      <c r="N186">
        <f>IF(V186="Sí",COUNTIFS(DATOS!G:G,CONFIG_METADATA!$B$4,DATOS!D:D,A186,DATOS!I:I,B186,DATOS!K:K,3),"")</f>
        <v>0</v>
      </c>
      <c r="O186">
        <f>IF(V186="Sí",COUNTIFS(DATOS!G:G,CONFIG_METADATA!$B$4,DATOS!D:D,A186,DATOS!I:I,B186,DATOS!K:K,4),"")</f>
        <v>0</v>
      </c>
      <c r="P186">
        <f>IF(V186="Sí",COUNTIFS(DATOS!G:G,CONFIG_METADATA!$B$4,DATOS!D:D,A186,DATOS!I:I,B186,DATOS!K:K,5),"")</f>
        <v>0</v>
      </c>
      <c r="Q186">
        <f>IF(V186="Sí",COUNTIFS(DATOS!G:G,CONFIG_METADATA!$B$4,DATOS!D:D,A186,DATOS!I:I,B186,DATOS!K:K,6),"")</f>
        <v>0</v>
      </c>
      <c r="R186">
        <f>IF(V186="Sí",COUNTIFS(DATOS!G:G,CONFIG_METADATA!$B$4,DATOS!D:D,A186,DATOS!I:I,B186,DATOS!K:K,7),"")</f>
        <v>0</v>
      </c>
      <c r="S186">
        <f>IF(V186="Sí",COUNTIFS(DATOS!G:G,CONFIG_METADATA!$B$4,DATOS!D:D,A186,DATOS!I:I,B186,DATOS!K:K,8),"")</f>
        <v>0</v>
      </c>
      <c r="T186">
        <f>IF(V186="Sí",COUNTIFS(DATOS!G:G,CONFIG_METADATA!$B$4,DATOS!D:D,A186,DATOS!I:I,B186,DATOS!K:K,9),"")</f>
        <v>0</v>
      </c>
      <c r="U186">
        <f>IF(V186="Sí",COUNTIFS(DATOS!G:G,CONFIG_METADATA!$B$4,DATOS!D:D,A186,DATOS!I:I,B186,DATOS!K:K,10),"")</f>
        <v>0</v>
      </c>
      <c r="V186" t="str">
        <f>IFERROR(IF(ISERROR(FIND(A186,VLOOKUP(B186,CONFIG_ASIGNATURAS!B:C,2,FALSE()))),"No","Sí"),"No")</f>
        <v>Sí</v>
      </c>
    </row>
    <row r="187" spans="1:22">
      <c r="A187" s="3" t="inlineStr">
        <is>
          <t xml:space="preserve">2EEM</t>
        </is>
      </c>
      <c r="B187" s="3" cm="1">
        <f t="array" ref="B187">IFERROR(INDEX(_xlfn._xlws.FILTER(CONFIG_ASIGNATURAS!$B$2:$B$61,(CONFIG_ASIGNATURAS!$G$2:$G$61="Sí")*ISNUMBER(SEARCH("2EEM",CONFIG_ASIGNATURAS!$C$2:$C$61))),57),"")</f>
      </c>
      <c r="C187" s="3">
        <f>IF(B187="","",IFERROR(IF(VLOOKUP(B187,CONFIG_ASIGNATURAS!$B$2:$F$61,5,FALSE())="Sí","Especialidad","Asignatura"),"Asignatura"))</f>
      </c>
      <c r="D187">
        <f>IF(V187="Sí",COUNTIFS(DATOS!G:G,CONFIG_METADATA!$B$4,DATOS!D:D,A187,DATOS!I:I,B187),"")</f>
        <v>0</v>
      </c>
      <c r="E187" s="14" t="str">
        <f>IF(V187="Sí",IFERROR(AVERAGEIFS(DATOS!K:K,DATOS!G:G,CONFIG_METADATA!$B$4,DATOS!D:D,A187,DATOS!I:I,B187),"—"),"")</f>
        <v>—</v>
      </c>
      <c r="F187" s="14" t="str" cm="1">
        <f t="array" ref="F187">IF(V187="Sí",IFERROR(_xlfn.STDEV.P(IF((nEVAL=CONFIG_METADATA!$B$4)*(nCURSO=A187)*(nASIG=B187),nNOTA)),"—"),"")</f>
        <v>—</v>
      </c>
      <c r="G187" t="str" cm="1">
        <f t="array" ref="G187">IF(V187="Sí",IFERROR(_xlfn.MODE.SNGL(IF((nEVAL=CONFIG_METADATA!$B$4)*(nCURSO=A187)*(nASIG=B187),nNOTA)),"—"),"")</f>
        <v>—</v>
      </c>
      <c r="H187" s="15" t="str">
        <f>IF(V187="Sí",IFERROR(COUNTIFS(DATOS!G:G,CONFIG_METADATA!$B$4,DATOS!D:D,A187,DATOS!I:I,B187,DATOS!L:L,"S")/COUNTIFS(DATOS!G:G,CONFIG_METADATA!$B$4,DATOS!D:D,A187,DATOS!I:I,B187),"—"),"")</f>
        <v>—</v>
      </c>
      <c r="I187" s="15" t="str">
        <f>IF(V187="Sí",IFERROR(COUNTIFS(DATOS!G:G,CONFIG_METADATA!$B$4,DATOS!D:D,A187,DATOS!I:I,B187,DATOS!L:L,"N")/COUNTIFS(DATOS!G:G,CONFIG_METADATA!$B$4,DATOS!D:D,A187,DATOS!I:I,B187),"—"),"")</f>
        <v>—</v>
      </c>
      <c r="J187" t="str" cm="1">
        <f t="array" ref="J187">IF(V187="Sí",IFERROR(_xlfn.MODE.SNGL(IF((nEVAL=CONFIG_METADATA!$B$4)*(nCURSO=A187)*(nASIG=B187)*(nAPTO="S"),nNOTA)),"—"),"")</f>
        <v>—</v>
      </c>
      <c r="K187" t="str" cm="1">
        <f t="array" ref="K187">IF(V187="Sí",IFERROR(_xlfn.MODE.SNGL(IF((nEVAL=CONFIG_METADATA!$B$4)*(nCURSO=A187)*(nASIG=B187)*(nAPTO="N"),nNOTA)),"—"),"")</f>
        <v>—</v>
      </c>
      <c r="L187">
        <f>IF(V187="Sí",COUNTIFS(DATOS!G:G,CONFIG_METADATA!$B$4,DATOS!D:D,A187,DATOS!I:I,B187,DATOS!K:K,1),"")</f>
        <v>0</v>
      </c>
      <c r="M187">
        <f>IF(V187="Sí",COUNTIFS(DATOS!G:G,CONFIG_METADATA!$B$4,DATOS!D:D,A187,DATOS!I:I,B187,DATOS!K:K,2),"")</f>
        <v>0</v>
      </c>
      <c r="N187">
        <f>IF(V187="Sí",COUNTIFS(DATOS!G:G,CONFIG_METADATA!$B$4,DATOS!D:D,A187,DATOS!I:I,B187,DATOS!K:K,3),"")</f>
        <v>0</v>
      </c>
      <c r="O187">
        <f>IF(V187="Sí",COUNTIFS(DATOS!G:G,CONFIG_METADATA!$B$4,DATOS!D:D,A187,DATOS!I:I,B187,DATOS!K:K,4),"")</f>
        <v>0</v>
      </c>
      <c r="P187">
        <f>IF(V187="Sí",COUNTIFS(DATOS!G:G,CONFIG_METADATA!$B$4,DATOS!D:D,A187,DATOS!I:I,B187,DATOS!K:K,5),"")</f>
        <v>0</v>
      </c>
      <c r="Q187">
        <f>IF(V187="Sí",COUNTIFS(DATOS!G:G,CONFIG_METADATA!$B$4,DATOS!D:D,A187,DATOS!I:I,B187,DATOS!K:K,6),"")</f>
        <v>0</v>
      </c>
      <c r="R187">
        <f>IF(V187="Sí",COUNTIFS(DATOS!G:G,CONFIG_METADATA!$B$4,DATOS!D:D,A187,DATOS!I:I,B187,DATOS!K:K,7),"")</f>
        <v>0</v>
      </c>
      <c r="S187">
        <f>IF(V187="Sí",COUNTIFS(DATOS!G:G,CONFIG_METADATA!$B$4,DATOS!D:D,A187,DATOS!I:I,B187,DATOS!K:K,8),"")</f>
        <v>0</v>
      </c>
      <c r="T187">
        <f>IF(V187="Sí",COUNTIFS(DATOS!G:G,CONFIG_METADATA!$B$4,DATOS!D:D,A187,DATOS!I:I,B187,DATOS!K:K,9),"")</f>
        <v>0</v>
      </c>
      <c r="U187">
        <f>IF(V187="Sí",COUNTIFS(DATOS!G:G,CONFIG_METADATA!$B$4,DATOS!D:D,A187,DATOS!I:I,B187,DATOS!K:K,10),"")</f>
        <v>0</v>
      </c>
      <c r="V187" t="str">
        <f>IFERROR(IF(ISERROR(FIND(A187,VLOOKUP(B187,CONFIG_ASIGNATURAS!B:C,2,FALSE()))),"No","Sí"),"No")</f>
        <v>Sí</v>
      </c>
    </row>
    <row r="188" spans="1:22">
      <c r="A188" s="3" t="inlineStr">
        <is>
          <t xml:space="preserve">2EEM</t>
        </is>
      </c>
      <c r="B188" s="3" cm="1">
        <f t="array" ref="B188">IFERROR(INDEX(_xlfn._xlws.FILTER(CONFIG_ASIGNATURAS!$B$2:$B$61,(CONFIG_ASIGNATURAS!$G$2:$G$61="Sí")*ISNUMBER(SEARCH("2EEM",CONFIG_ASIGNATURAS!$C$2:$C$61))),58),"")</f>
      </c>
      <c r="C188" s="3">
        <f>IF(B188="","",IFERROR(IF(VLOOKUP(B188,CONFIG_ASIGNATURAS!$B$2:$F$61,5,FALSE())="Sí","Especialidad","Asignatura"),"Asignatura"))</f>
      </c>
      <c r="D188">
        <f>IF(V188="Sí",COUNTIFS(DATOS!G:G,CONFIG_METADATA!$B$4,DATOS!D:D,A188,DATOS!I:I,B188),"")</f>
        <v>0</v>
      </c>
      <c r="E188" s="14" t="str">
        <f>IF(V188="Sí",IFERROR(AVERAGEIFS(DATOS!K:K,DATOS!G:G,CONFIG_METADATA!$B$4,DATOS!D:D,A188,DATOS!I:I,B188),"—"),"")</f>
        <v>—</v>
      </c>
      <c r="F188" s="14" t="str" cm="1">
        <f t="array" ref="F188">IF(V188="Sí",IFERROR(_xlfn.STDEV.P(IF((nEVAL=CONFIG_METADATA!$B$4)*(nCURSO=A188)*(nASIG=B188),nNOTA)),"—"),"")</f>
        <v>—</v>
      </c>
      <c r="G188" t="str" cm="1">
        <f t="array" ref="G188">IF(V188="Sí",IFERROR(_xlfn.MODE.SNGL(IF((nEVAL=CONFIG_METADATA!$B$4)*(nCURSO=A188)*(nASIG=B188),nNOTA)),"—"),"")</f>
        <v>—</v>
      </c>
      <c r="H188" s="15" t="str">
        <f>IF(V188="Sí",IFERROR(COUNTIFS(DATOS!G:G,CONFIG_METADATA!$B$4,DATOS!D:D,A188,DATOS!I:I,B188,DATOS!L:L,"S")/COUNTIFS(DATOS!G:G,CONFIG_METADATA!$B$4,DATOS!D:D,A188,DATOS!I:I,B188),"—"),"")</f>
        <v>—</v>
      </c>
      <c r="I188" s="15" t="str">
        <f>IF(V188="Sí",IFERROR(COUNTIFS(DATOS!G:G,CONFIG_METADATA!$B$4,DATOS!D:D,A188,DATOS!I:I,B188,DATOS!L:L,"N")/COUNTIFS(DATOS!G:G,CONFIG_METADATA!$B$4,DATOS!D:D,A188,DATOS!I:I,B188),"—"),"")</f>
        <v>—</v>
      </c>
      <c r="J188" t="str" cm="1">
        <f t="array" ref="J188">IF(V188="Sí",IFERROR(_xlfn.MODE.SNGL(IF((nEVAL=CONFIG_METADATA!$B$4)*(nCURSO=A188)*(nASIG=B188)*(nAPTO="S"),nNOTA)),"—"),"")</f>
        <v>—</v>
      </c>
      <c r="K188" t="str" cm="1">
        <f t="array" ref="K188">IF(V188="Sí",IFERROR(_xlfn.MODE.SNGL(IF((nEVAL=CONFIG_METADATA!$B$4)*(nCURSO=A188)*(nASIG=B188)*(nAPTO="N"),nNOTA)),"—"),"")</f>
        <v>—</v>
      </c>
      <c r="L188">
        <f>IF(V188="Sí",COUNTIFS(DATOS!G:G,CONFIG_METADATA!$B$4,DATOS!D:D,A188,DATOS!I:I,B188,DATOS!K:K,1),"")</f>
        <v>0</v>
      </c>
      <c r="M188">
        <f>IF(V188="Sí",COUNTIFS(DATOS!G:G,CONFIG_METADATA!$B$4,DATOS!D:D,A188,DATOS!I:I,B188,DATOS!K:K,2),"")</f>
        <v>0</v>
      </c>
      <c r="N188">
        <f>IF(V188="Sí",COUNTIFS(DATOS!G:G,CONFIG_METADATA!$B$4,DATOS!D:D,A188,DATOS!I:I,B188,DATOS!K:K,3),"")</f>
        <v>0</v>
      </c>
      <c r="O188">
        <f>IF(V188="Sí",COUNTIFS(DATOS!G:G,CONFIG_METADATA!$B$4,DATOS!D:D,A188,DATOS!I:I,B188,DATOS!K:K,4),"")</f>
        <v>0</v>
      </c>
      <c r="P188">
        <f>IF(V188="Sí",COUNTIFS(DATOS!G:G,CONFIG_METADATA!$B$4,DATOS!D:D,A188,DATOS!I:I,B188,DATOS!K:K,5),"")</f>
        <v>0</v>
      </c>
      <c r="Q188">
        <f>IF(V188="Sí",COUNTIFS(DATOS!G:G,CONFIG_METADATA!$B$4,DATOS!D:D,A188,DATOS!I:I,B188,DATOS!K:K,6),"")</f>
        <v>0</v>
      </c>
      <c r="R188">
        <f>IF(V188="Sí",COUNTIFS(DATOS!G:G,CONFIG_METADATA!$B$4,DATOS!D:D,A188,DATOS!I:I,B188,DATOS!K:K,7),"")</f>
        <v>0</v>
      </c>
      <c r="S188">
        <f>IF(V188="Sí",COUNTIFS(DATOS!G:G,CONFIG_METADATA!$B$4,DATOS!D:D,A188,DATOS!I:I,B188,DATOS!K:K,8),"")</f>
        <v>0</v>
      </c>
      <c r="T188">
        <f>IF(V188="Sí",COUNTIFS(DATOS!G:G,CONFIG_METADATA!$B$4,DATOS!D:D,A188,DATOS!I:I,B188,DATOS!K:K,9),"")</f>
        <v>0</v>
      </c>
      <c r="U188">
        <f>IF(V188="Sí",COUNTIFS(DATOS!G:G,CONFIG_METADATA!$B$4,DATOS!D:D,A188,DATOS!I:I,B188,DATOS!K:K,10),"")</f>
        <v>0</v>
      </c>
      <c r="V188" t="str">
        <f>IFERROR(IF(ISERROR(FIND(A188,VLOOKUP(B188,CONFIG_ASIGNATURAS!B:C,2,FALSE()))),"No","Sí"),"No")</f>
        <v>Sí</v>
      </c>
    </row>
    <row r="189" spans="1:22">
      <c r="A189" s="3" t="inlineStr">
        <is>
          <t xml:space="preserve">2EEM</t>
        </is>
      </c>
      <c r="B189" s="3" cm="1">
        <f t="array" ref="B189">IFERROR(INDEX(_xlfn._xlws.FILTER(CONFIG_ASIGNATURAS!$B$2:$B$61,(CONFIG_ASIGNATURAS!$G$2:$G$61="Sí")*ISNUMBER(SEARCH("2EEM",CONFIG_ASIGNATURAS!$C$2:$C$61))),59),"")</f>
      </c>
      <c r="C189" s="3">
        <f>IF(B189="","",IFERROR(IF(VLOOKUP(B189,CONFIG_ASIGNATURAS!$B$2:$F$61,5,FALSE())="Sí","Especialidad","Asignatura"),"Asignatura"))</f>
      </c>
      <c r="D189">
        <f>IF(V189="Sí",COUNTIFS(DATOS!G:G,CONFIG_METADATA!$B$4,DATOS!D:D,A189,DATOS!I:I,B189),"")</f>
        <v>0</v>
      </c>
      <c r="E189" s="14" t="str">
        <f>IF(V189="Sí",IFERROR(AVERAGEIFS(DATOS!K:K,DATOS!G:G,CONFIG_METADATA!$B$4,DATOS!D:D,A189,DATOS!I:I,B189),"—"),"")</f>
        <v>—</v>
      </c>
      <c r="F189" s="14" t="str" cm="1">
        <f t="array" ref="F189">IF(V189="Sí",IFERROR(_xlfn.STDEV.P(IF((nEVAL=CONFIG_METADATA!$B$4)*(nCURSO=A189)*(nASIG=B189),nNOTA)),"—"),"")</f>
        <v>—</v>
      </c>
      <c r="G189" t="str" cm="1">
        <f t="array" ref="G189">IF(V189="Sí",IFERROR(_xlfn.MODE.SNGL(IF((nEVAL=CONFIG_METADATA!$B$4)*(nCURSO=A189)*(nASIG=B189),nNOTA)),"—"),"")</f>
        <v>—</v>
      </c>
      <c r="H189" s="15" t="str">
        <f>IF(V189="Sí",IFERROR(COUNTIFS(DATOS!G:G,CONFIG_METADATA!$B$4,DATOS!D:D,A189,DATOS!I:I,B189,DATOS!L:L,"S")/COUNTIFS(DATOS!G:G,CONFIG_METADATA!$B$4,DATOS!D:D,A189,DATOS!I:I,B189),"—"),"")</f>
        <v>—</v>
      </c>
      <c r="I189" s="15" t="str">
        <f>IF(V189="Sí",IFERROR(COUNTIFS(DATOS!G:G,CONFIG_METADATA!$B$4,DATOS!D:D,A189,DATOS!I:I,B189,DATOS!L:L,"N")/COUNTIFS(DATOS!G:G,CONFIG_METADATA!$B$4,DATOS!D:D,A189,DATOS!I:I,B189),"—"),"")</f>
        <v>—</v>
      </c>
      <c r="J189" t="str" cm="1">
        <f t="array" ref="J189">IF(V189="Sí",IFERROR(_xlfn.MODE.SNGL(IF((nEVAL=CONFIG_METADATA!$B$4)*(nCURSO=A189)*(nASIG=B189)*(nAPTO="S"),nNOTA)),"—"),"")</f>
        <v>—</v>
      </c>
      <c r="K189" t="str" cm="1">
        <f t="array" ref="K189">IF(V189="Sí",IFERROR(_xlfn.MODE.SNGL(IF((nEVAL=CONFIG_METADATA!$B$4)*(nCURSO=A189)*(nASIG=B189)*(nAPTO="N"),nNOTA)),"—"),"")</f>
        <v>—</v>
      </c>
      <c r="L189">
        <f>IF(V189="Sí",COUNTIFS(DATOS!G:G,CONFIG_METADATA!$B$4,DATOS!D:D,A189,DATOS!I:I,B189,DATOS!K:K,1),"")</f>
        <v>0</v>
      </c>
      <c r="M189">
        <f>IF(V189="Sí",COUNTIFS(DATOS!G:G,CONFIG_METADATA!$B$4,DATOS!D:D,A189,DATOS!I:I,B189,DATOS!K:K,2),"")</f>
        <v>0</v>
      </c>
      <c r="N189">
        <f>IF(V189="Sí",COUNTIFS(DATOS!G:G,CONFIG_METADATA!$B$4,DATOS!D:D,A189,DATOS!I:I,B189,DATOS!K:K,3),"")</f>
        <v>0</v>
      </c>
      <c r="O189">
        <f>IF(V189="Sí",COUNTIFS(DATOS!G:G,CONFIG_METADATA!$B$4,DATOS!D:D,A189,DATOS!I:I,B189,DATOS!K:K,4),"")</f>
        <v>0</v>
      </c>
      <c r="P189">
        <f>IF(V189="Sí",COUNTIFS(DATOS!G:G,CONFIG_METADATA!$B$4,DATOS!D:D,A189,DATOS!I:I,B189,DATOS!K:K,5),"")</f>
        <v>0</v>
      </c>
      <c r="Q189">
        <f>IF(V189="Sí",COUNTIFS(DATOS!G:G,CONFIG_METADATA!$B$4,DATOS!D:D,A189,DATOS!I:I,B189,DATOS!K:K,6),"")</f>
        <v>0</v>
      </c>
      <c r="R189">
        <f>IF(V189="Sí",COUNTIFS(DATOS!G:G,CONFIG_METADATA!$B$4,DATOS!D:D,A189,DATOS!I:I,B189,DATOS!K:K,7),"")</f>
        <v>0</v>
      </c>
      <c r="S189">
        <f>IF(V189="Sí",COUNTIFS(DATOS!G:G,CONFIG_METADATA!$B$4,DATOS!D:D,A189,DATOS!I:I,B189,DATOS!K:K,8),"")</f>
        <v>0</v>
      </c>
      <c r="T189">
        <f>IF(V189="Sí",COUNTIFS(DATOS!G:G,CONFIG_METADATA!$B$4,DATOS!D:D,A189,DATOS!I:I,B189,DATOS!K:K,9),"")</f>
        <v>0</v>
      </c>
      <c r="U189">
        <f>IF(V189="Sí",COUNTIFS(DATOS!G:G,CONFIG_METADATA!$B$4,DATOS!D:D,A189,DATOS!I:I,B189,DATOS!K:K,10),"")</f>
        <v>0</v>
      </c>
      <c r="V189" t="str">
        <f>IFERROR(IF(ISERROR(FIND(A189,VLOOKUP(B189,CONFIG_ASIGNATURAS!B:C,2,FALSE()))),"No","Sí"),"No")</f>
        <v>Sí</v>
      </c>
    </row>
    <row r="190" spans="1:22">
      <c r="A190" s="3" t="inlineStr">
        <is>
          <t xml:space="preserve">2EEM</t>
        </is>
      </c>
      <c r="B190" s="3" cm="1">
        <f t="array" ref="B190">IFERROR(INDEX(_xlfn._xlws.FILTER(CONFIG_ASIGNATURAS!$B$2:$B$61,(CONFIG_ASIGNATURAS!$G$2:$G$61="Sí")*ISNUMBER(SEARCH("2EEM",CONFIG_ASIGNATURAS!$C$2:$C$61))),60),"")</f>
      </c>
      <c r="C190" s="3">
        <f>IF(B190="","",IFERROR(IF(VLOOKUP(B190,CONFIG_ASIGNATURAS!$B$2:$F$61,5,FALSE())="Sí","Especialidad","Asignatura"),"Asignatura"))</f>
      </c>
      <c r="D190">
        <f>IF(V190="Sí",COUNTIFS(DATOS!G:G,CONFIG_METADATA!$B$4,DATOS!D:D,A190,DATOS!I:I,B190),"")</f>
        <v>0</v>
      </c>
      <c r="E190" s="14" t="str">
        <f>IF(V190="Sí",IFERROR(AVERAGEIFS(DATOS!K:K,DATOS!G:G,CONFIG_METADATA!$B$4,DATOS!D:D,A190,DATOS!I:I,B190),"—"),"")</f>
        <v>—</v>
      </c>
      <c r="F190" s="14" t="str" cm="1">
        <f t="array" ref="F190">IF(V190="Sí",IFERROR(_xlfn.STDEV.P(IF((nEVAL=CONFIG_METADATA!$B$4)*(nCURSO=A190)*(nASIG=B190),nNOTA)),"—"),"")</f>
        <v>—</v>
      </c>
      <c r="G190" t="str" cm="1">
        <f t="array" ref="G190">IF(V190="Sí",IFERROR(_xlfn.MODE.SNGL(IF((nEVAL=CONFIG_METADATA!$B$4)*(nCURSO=A190)*(nASIG=B190),nNOTA)),"—"),"")</f>
        <v>—</v>
      </c>
      <c r="H190" s="15" t="str">
        <f>IF(V190="Sí",IFERROR(COUNTIFS(DATOS!G:G,CONFIG_METADATA!$B$4,DATOS!D:D,A190,DATOS!I:I,B190,DATOS!L:L,"S")/COUNTIFS(DATOS!G:G,CONFIG_METADATA!$B$4,DATOS!D:D,A190,DATOS!I:I,B190),"—"),"")</f>
        <v>—</v>
      </c>
      <c r="I190" s="15" t="str">
        <f>IF(V190="Sí",IFERROR(COUNTIFS(DATOS!G:G,CONFIG_METADATA!$B$4,DATOS!D:D,A190,DATOS!I:I,B190,DATOS!L:L,"N")/COUNTIFS(DATOS!G:G,CONFIG_METADATA!$B$4,DATOS!D:D,A190,DATOS!I:I,B190),"—"),"")</f>
        <v>—</v>
      </c>
      <c r="J190" t="str" cm="1">
        <f t="array" ref="J190">IF(V190="Sí",IFERROR(_xlfn.MODE.SNGL(IF((nEVAL=CONFIG_METADATA!$B$4)*(nCURSO=A190)*(nASIG=B190)*(nAPTO="S"),nNOTA)),"—"),"")</f>
        <v>—</v>
      </c>
      <c r="K190" t="str" cm="1">
        <f t="array" ref="K190">IF(V190="Sí",IFERROR(_xlfn.MODE.SNGL(IF((nEVAL=CONFIG_METADATA!$B$4)*(nCURSO=A190)*(nASIG=B190)*(nAPTO="N"),nNOTA)),"—"),"")</f>
        <v>—</v>
      </c>
      <c r="L190">
        <f>IF(V190="Sí",COUNTIFS(DATOS!G:G,CONFIG_METADATA!$B$4,DATOS!D:D,A190,DATOS!I:I,B190,DATOS!K:K,1),"")</f>
        <v>0</v>
      </c>
      <c r="M190">
        <f>IF(V190="Sí",COUNTIFS(DATOS!G:G,CONFIG_METADATA!$B$4,DATOS!D:D,A190,DATOS!I:I,B190,DATOS!K:K,2),"")</f>
        <v>0</v>
      </c>
      <c r="N190">
        <f>IF(V190="Sí",COUNTIFS(DATOS!G:G,CONFIG_METADATA!$B$4,DATOS!D:D,A190,DATOS!I:I,B190,DATOS!K:K,3),"")</f>
        <v>0</v>
      </c>
      <c r="O190">
        <f>IF(V190="Sí",COUNTIFS(DATOS!G:G,CONFIG_METADATA!$B$4,DATOS!D:D,A190,DATOS!I:I,B190,DATOS!K:K,4),"")</f>
        <v>0</v>
      </c>
      <c r="P190">
        <f>IF(V190="Sí",COUNTIFS(DATOS!G:G,CONFIG_METADATA!$B$4,DATOS!D:D,A190,DATOS!I:I,B190,DATOS!K:K,5),"")</f>
        <v>0</v>
      </c>
      <c r="Q190">
        <f>IF(V190="Sí",COUNTIFS(DATOS!G:G,CONFIG_METADATA!$B$4,DATOS!D:D,A190,DATOS!I:I,B190,DATOS!K:K,6),"")</f>
        <v>0</v>
      </c>
      <c r="R190">
        <f>IF(V190="Sí",COUNTIFS(DATOS!G:G,CONFIG_METADATA!$B$4,DATOS!D:D,A190,DATOS!I:I,B190,DATOS!K:K,7),"")</f>
        <v>0</v>
      </c>
      <c r="S190">
        <f>IF(V190="Sí",COUNTIFS(DATOS!G:G,CONFIG_METADATA!$B$4,DATOS!D:D,A190,DATOS!I:I,B190,DATOS!K:K,8),"")</f>
        <v>0</v>
      </c>
      <c r="T190">
        <f>IF(V190="Sí",COUNTIFS(DATOS!G:G,CONFIG_METADATA!$B$4,DATOS!D:D,A190,DATOS!I:I,B190,DATOS!K:K,9),"")</f>
        <v>0</v>
      </c>
      <c r="U190">
        <f>IF(V190="Sí",COUNTIFS(DATOS!G:G,CONFIG_METADATA!$B$4,DATOS!D:D,A190,DATOS!I:I,B190,DATOS!K:K,10),"")</f>
        <v>0</v>
      </c>
      <c r="V190" t="str">
        <f>IFERROR(IF(ISERROR(FIND(A190,VLOOKUP(B190,CONFIG_ASIGNATURAS!B:C,2,FALSE()))),"No","Sí"),"No")</f>
        <v>Sí</v>
      </c>
    </row>
    <row r="191" spans="1:22">
      <c r="A191" s="3" t="inlineStr">
        <is>
          <t xml:space="preserve">3EEM</t>
        </is>
      </c>
      <c r="B191" s="3" t="inlineStr">
        <is>
          <t xml:space="preserve">Total</t>
        </is>
      </c>
      <c r="C191" s="3" t="inlineStr">
        <is>
          <t xml:space="preserve">Total</t>
        </is>
      </c>
      <c r="D191">
        <f>COUNTIFS(DATOS!G:G,CONFIG_METADATA!$B$4,DATOS!D:D,A191)</f>
        <v>0</v>
      </c>
      <c r="E191" s="14" t="str">
        <f>IFERROR(AVERAGEIFS(DATOS!K:K,DATOS!G:G,CONFIG_METADATA!$B$4,DATOS!D:D,A191),"—")</f>
        <v>—</v>
      </c>
      <c r="F191" s="14" t="str" cm="1">
        <f t="array" ref="F191">IFERROR(_xlfn.STDEV.P(IF((nEVAL=CONFIG_METADATA!$B$4)*(nCURSO=A191),nNOTA)),"—")</f>
        <v>—</v>
      </c>
      <c r="G191" t="str" cm="1">
        <f t="array" ref="G191">IFERROR(_xlfn.MODE.SNGL(IF((nEVAL=CONFIG_METADATA!$B$4)*(nCURSO=A191),nNOTA)),"—")</f>
        <v>—</v>
      </c>
      <c r="H191" s="15" t="str">
        <f>IFERROR(COUNTIFS(nEVAL,CONFIG_METADATA!$B$4,nCURSO,A191,nAPTO,"S")/COUNTIFS(nEVAL,CONFIG_METADATA!$B$4,nCURSO,A191),"—")</f>
        <v>—</v>
      </c>
      <c r="I191" s="15" t="str">
        <f>IFERROR(COUNTIFS(nEVAL,CONFIG_METADATA!$B$4,nCURSO,A191,nAPTO,"N")/COUNTIFS(nEVAL,CONFIG_METADATA!$B$4,nCURSO,A191),"—")</f>
        <v>—</v>
      </c>
      <c r="J191" t="str" cm="1">
        <f t="array" ref="J191">IFERROR(_xlfn.MODE.SNGL(IF((nEVAL=CONFIG_METADATA!$B$4)*(nCURSO=A191)*(nAPTO="S"),nNOTA)),"—")</f>
        <v>—</v>
      </c>
      <c r="K191" t="str" cm="1">
        <f t="array" ref="K191">IFERROR(_xlfn.MODE.SNGL(IF((nEVAL=CONFIG_METADATA!$B$4)*(nCURSO=A191)*(nAPTO="N"),nNOTA)),"—")</f>
        <v>—</v>
      </c>
      <c r="L191" cm="1">
        <f t="array" ref="L191">SUMPRODUCT((nEVAL=CONFIG_METADATA!$B$4)*(nCURSO=A191)*(nNOTA=1))</f>
        <v>0</v>
      </c>
      <c r="M191" cm="1">
        <f t="array" ref="M191">SUMPRODUCT((nEVAL=CONFIG_METADATA!$B$4)*(nCURSO=A191)*(nNOTA=2))</f>
        <v>0</v>
      </c>
      <c r="N191" cm="1">
        <f t="array" ref="N191">SUMPRODUCT((nEVAL=CONFIG_METADATA!$B$4)*(nCURSO=A191)*(nNOTA=3))</f>
        <v>0</v>
      </c>
      <c r="O191" cm="1">
        <f t="array" ref="O191">SUMPRODUCT((nEVAL=CONFIG_METADATA!$B$4)*(nCURSO=A191)*(nNOTA=4))</f>
        <v>0</v>
      </c>
      <c r="P191" cm="1">
        <f t="array" ref="P191">SUMPRODUCT((nEVAL=CONFIG_METADATA!$B$4)*(nCURSO=A191)*(nNOTA=5))</f>
        <v>0</v>
      </c>
      <c r="Q191" cm="1">
        <f t="array" ref="Q191">SUMPRODUCT((nEVAL=CONFIG_METADATA!$B$4)*(nCURSO=A191)*(nNOTA=6))</f>
        <v>0</v>
      </c>
      <c r="R191" cm="1">
        <f t="array" ref="R191">SUMPRODUCT((nEVAL=CONFIG_METADATA!$B$4)*(nCURSO=A191)*(nNOTA=7))</f>
        <v>0</v>
      </c>
      <c r="S191" cm="1">
        <f t="array" ref="S191">SUMPRODUCT((nEVAL=CONFIG_METADATA!$B$4)*(nCURSO=A191)*(nNOTA=8))</f>
        <v>0</v>
      </c>
      <c r="T191" cm="1">
        <f t="array" ref="T191">SUMPRODUCT((nEVAL=CONFIG_METADATA!$B$4)*(nCURSO=A191)*(nNOTA=9))</f>
        <v>0</v>
      </c>
      <c r="U191" cm="1">
        <f t="array" ref="U191">SUMPRODUCT((nEVAL=CONFIG_METADATA!$B$4)*(nCURSO=A191)*(nNOTA=10))</f>
        <v>0</v>
      </c>
    </row>
    <row r="192" spans="1:22">
      <c r="A192" s="3" t="inlineStr">
        <is>
          <t xml:space="preserve">3EEM</t>
        </is>
      </c>
      <c r="B192" s="3" t="inlineStr">
        <is>
          <t xml:space="preserve">Total Especialidad</t>
        </is>
      </c>
      <c r="C192" s="3" t="inlineStr">
        <is>
          <t xml:space="preserve">TotalEsp</t>
        </is>
      </c>
      <c r="D192">
        <f>SUMPRODUCT((nEVAL=CONFIG_METADATA!$B$4)*(nCURSO=A192)*(nCLASE_E="E")*1)</f>
      </c>
      <c r="E192" s="14" cm="1">
        <f t="array" ref="E192">IFERROR(AVERAGE(IF((nEVAL=CONFIG_METADATA!$B$4)*(nCURSO=A192)*(nCLASE_E="E"),nNOTA)),"—")</f>
      </c>
      <c r="F192" s="14" cm="1">
        <f t="array" ref="F192">IFERROR(_xlfn.STDEV.P(IF((nEVAL=CONFIG_METADATA!$B$4)*(nCURSO=A192)*(nCLASE_E="E"),nNOTA)),"—")</f>
      </c>
      <c r="G192" cm="1">
        <f t="array" ref="G192">IFERROR(_xlfn.MODE.SNGL(IF((nEVAL=CONFIG_METADATA!$B$4)*(nCURSO=A192)*(nCLASE_E="E"),nNOTA)),"—")</f>
      </c>
      <c r="H192" s="15">
        <f>IFERROR(SUMPRODUCT((nEVAL=CONFIG_METADATA!$B$4)*(nCURSO=A192)*(nCLASE_E="E")*(nAPTO="S"))/SUMPRODUCT((nEVAL=CONFIG_METADATA!$B$4)*(nCURSO=A192)*(nCLASE_E="E")*1),"—")</f>
      </c>
      <c r="I192" s="15">
        <f>IFERROR(SUMPRODUCT((nEVAL=CONFIG_METADATA!$B$4)*(nCURSO=A192)*(nCLASE_E="E")*(nAPTO="N"))/SUMPRODUCT((nEVAL=CONFIG_METADATA!$B$4)*(nCURSO=A192)*(nCLASE_E="E")*1),"—")</f>
      </c>
      <c r="J192" cm="1">
        <f t="array" ref="J192">IFERROR(_xlfn.MODE.SNGL(IF((nEVAL=CONFIG_METADATA!$B$4)*(nCURSO=A192)*(nCLASE_E="E")*(nAPTO="S"),nNOTA)),"—")</f>
      </c>
      <c r="K192" cm="1">
        <f t="array" ref="K192">IFERROR(_xlfn.MODE.SNGL(IF((nEVAL=CONFIG_METADATA!$B$4)*(nCURSO=A192)*(nCLASE_E="E")*(nAPTO="N"),nNOTA)),"—")</f>
      </c>
      <c r="L192">
        <f>SUMPRODUCT((nEVAL=CONFIG_METADATA!$B$4)*(nCURSO=A192)*(nCLASE_E="E")*(nNOTA=1))</f>
      </c>
      <c r="M192">
        <f>SUMPRODUCT((nEVAL=CONFIG_METADATA!$B$4)*(nCURSO=A192)*(nCLASE_E="E")*(nNOTA=2))</f>
      </c>
      <c r="N192">
        <f>SUMPRODUCT((nEVAL=CONFIG_METADATA!$B$4)*(nCURSO=A192)*(nCLASE_E="E")*(nNOTA=3))</f>
      </c>
      <c r="O192">
        <f>SUMPRODUCT((nEVAL=CONFIG_METADATA!$B$4)*(nCURSO=A192)*(nCLASE_E="E")*(nNOTA=4))</f>
      </c>
      <c r="P192">
        <f>SUMPRODUCT((nEVAL=CONFIG_METADATA!$B$4)*(nCURSO=A192)*(nCLASE_E="E")*(nNOTA=5))</f>
      </c>
      <c r="Q192">
        <f>SUMPRODUCT((nEVAL=CONFIG_METADATA!$B$4)*(nCURSO=A192)*(nCLASE_E="E")*(nNOTA=6))</f>
      </c>
      <c r="R192">
        <f>SUMPRODUCT((nEVAL=CONFIG_METADATA!$B$4)*(nCURSO=A192)*(nCLASE_E="E")*(nNOTA=7))</f>
      </c>
      <c r="S192">
        <f>SUMPRODUCT((nEVAL=CONFIG_METADATA!$B$4)*(nCURSO=A192)*(nCLASE_E="E")*(nNOTA=8))</f>
      </c>
      <c r="T192">
        <f>SUMPRODUCT((nEVAL=CONFIG_METADATA!$B$4)*(nCURSO=A192)*(nCLASE_E="E")*(nNOTA=9))</f>
      </c>
      <c r="U192">
        <f>SUMPRODUCT((nEVAL=CONFIG_METADATA!$B$4)*(nCURSO=A192)*(nCLASE_E="E")*(nNOTA=10))</f>
      </c>
    </row>
    <row r="193" spans="1:22">
      <c r="A193" s="3" t="inlineStr">
        <is>
          <t xml:space="preserve">3EEM</t>
        </is>
      </c>
      <c r="B193" s="3" t="inlineStr">
        <is>
          <t xml:space="preserve">Total no Especialidad</t>
        </is>
      </c>
      <c r="C193" s="3" t="inlineStr">
        <is>
          <t xml:space="preserve">TotalNoEsp</t>
        </is>
      </c>
      <c r="D193">
        <f>SUMPRODUCT((nEVAL=CONFIG_METADATA!$B$4)*(nCURSO=A193)*((nCLASE_E&lt;&gt;"")*(nCLASE_E&lt;&gt;"E"))*1)</f>
      </c>
      <c r="E193" s="14" cm="1">
        <f t="array" ref="E193">IFERROR(AVERAGE(IF((nEVAL=CONFIG_METADATA!$B$4)*(nCURSO=A193)*((nCLASE_E&lt;&gt;"")*(nCLASE_E&lt;&gt;"E")),nNOTA)),"—")</f>
      </c>
      <c r="F193" s="14" cm="1">
        <f t="array" ref="F193">IFERROR(_xlfn.STDEV.P(IF((nEVAL=CONFIG_METADATA!$B$4)*(nCURSO=A193)*((nCLASE_E&lt;&gt;"")*(nCLASE_E&lt;&gt;"E")),nNOTA)),"—")</f>
      </c>
      <c r="G193" cm="1">
        <f t="array" ref="G193">IFERROR(_xlfn.MODE.SNGL(IF((nEVAL=CONFIG_METADATA!$B$4)*(nCURSO=A193)*((nCLASE_E&lt;&gt;"")*(nCLASE_E&lt;&gt;"E")),nNOTA)),"—")</f>
      </c>
      <c r="H193" s="15">
        <f>IFERROR(SUMPRODUCT((nEVAL=CONFIG_METADATA!$B$4)*(nCURSO=A193)*((nCLASE_E&lt;&gt;"")*(nCLASE_E&lt;&gt;"E"))*(nAPTO="S"))/SUMPRODUCT((nEVAL=CONFIG_METADATA!$B$4)*(nCURSO=A193)*((nCLASE_E&lt;&gt;"")*(nCLASE_E&lt;&gt;"E"))*1),"—")</f>
      </c>
      <c r="I193" s="15">
        <f>IFERROR(SUMPRODUCT((nEVAL=CONFIG_METADATA!$B$4)*(nCURSO=A193)*((nCLASE_E&lt;&gt;"")*(nCLASE_E&lt;&gt;"E"))*(nAPTO="N"))/SUMPRODUCT((nEVAL=CONFIG_METADATA!$B$4)*(nCURSO=A193)*((nCLASE_E&lt;&gt;"")*(nCLASE_E&lt;&gt;"E"))*1),"—")</f>
      </c>
      <c r="J193" cm="1">
        <f t="array" ref="J193">IFERROR(_xlfn.MODE.SNGL(IF((nEVAL=CONFIG_METADATA!$B$4)*(nCURSO=A193)*((nCLASE_E&lt;&gt;"")*(nCLASE_E&lt;&gt;"E"))*(nAPTO="S"),nNOTA)),"—")</f>
      </c>
      <c r="K193" cm="1">
        <f t="array" ref="K193">IFERROR(_xlfn.MODE.SNGL(IF((nEVAL=CONFIG_METADATA!$B$4)*(nCURSO=A193)*((nCLASE_E&lt;&gt;"")*(nCLASE_E&lt;&gt;"E"))*(nAPTO="N"),nNOTA)),"—")</f>
      </c>
      <c r="L193">
        <f>SUMPRODUCT((nEVAL=CONFIG_METADATA!$B$4)*(nCURSO=A193)*((nCLASE_E&lt;&gt;"")*(nCLASE_E&lt;&gt;"E"))*(nNOTA=1))</f>
      </c>
      <c r="M193">
        <f>SUMPRODUCT((nEVAL=CONFIG_METADATA!$B$4)*(nCURSO=A193)*((nCLASE_E&lt;&gt;"")*(nCLASE_E&lt;&gt;"E"))*(nNOTA=2))</f>
      </c>
      <c r="N193">
        <f>SUMPRODUCT((nEVAL=CONFIG_METADATA!$B$4)*(nCURSO=A193)*((nCLASE_E&lt;&gt;"")*(nCLASE_E&lt;&gt;"E"))*(nNOTA=3))</f>
      </c>
      <c r="O193">
        <f>SUMPRODUCT((nEVAL=CONFIG_METADATA!$B$4)*(nCURSO=A193)*((nCLASE_E&lt;&gt;"")*(nCLASE_E&lt;&gt;"E"))*(nNOTA=4))</f>
      </c>
      <c r="P193">
        <f>SUMPRODUCT((nEVAL=CONFIG_METADATA!$B$4)*(nCURSO=A193)*((nCLASE_E&lt;&gt;"")*(nCLASE_E&lt;&gt;"E"))*(nNOTA=5))</f>
      </c>
      <c r="Q193">
        <f>SUMPRODUCT((nEVAL=CONFIG_METADATA!$B$4)*(nCURSO=A193)*((nCLASE_E&lt;&gt;"")*(nCLASE_E&lt;&gt;"E"))*(nNOTA=6))</f>
      </c>
      <c r="R193">
        <f>SUMPRODUCT((nEVAL=CONFIG_METADATA!$B$4)*(nCURSO=A193)*((nCLASE_E&lt;&gt;"")*(nCLASE_E&lt;&gt;"E"))*(nNOTA=7))</f>
      </c>
      <c r="S193">
        <f>SUMPRODUCT((nEVAL=CONFIG_METADATA!$B$4)*(nCURSO=A193)*((nCLASE_E&lt;&gt;"")*(nCLASE_E&lt;&gt;"E"))*(nNOTA=8))</f>
      </c>
      <c r="T193">
        <f>SUMPRODUCT((nEVAL=CONFIG_METADATA!$B$4)*(nCURSO=A193)*((nCLASE_E&lt;&gt;"")*(nCLASE_E&lt;&gt;"E"))*(nNOTA=9))</f>
      </c>
      <c r="U193">
        <f>SUMPRODUCT((nEVAL=CONFIG_METADATA!$B$4)*(nCURSO=A193)*((nCLASE_E&lt;&gt;"")*(nCLASE_E&lt;&gt;"E"))*(nNOTA=10))</f>
      </c>
    </row>
    <row r="194" spans="1:22">
      <c r="A194" s="3" t="inlineStr">
        <is>
          <t xml:space="preserve">3EEM</t>
        </is>
      </c>
      <c r="B194" s="3" cm="1">
        <f t="array" ref="B194">IFERROR(INDEX(_xlfn._xlws.FILTER(CONFIG_ASIGNATURAS!$B$2:$B$61,(CONFIG_ASIGNATURAS!$G$2:$G$61="Sí")*ISNUMBER(SEARCH("3EEM",CONFIG_ASIGNATURAS!$C$2:$C$61))),1),"")</f>
      </c>
      <c r="C194" s="3">
        <f>IF(B194="","",IFERROR(IF(VLOOKUP(B194,CONFIG_ASIGNATURAS!$B$2:$F$61,5,FALSE())="Sí","Especialidad","Asignatura"),"Asignatura"))</f>
      </c>
      <c r="D194">
        <f>IF(V194="Sí",COUNTIFS(DATOS!G:G,CONFIG_METADATA!$B$4,DATOS!D:D,A194,DATOS!I:I,B194),"")</f>
        <v>0</v>
      </c>
      <c r="E194" s="14" t="str">
        <f>IF(V194="Sí",IFERROR(AVERAGEIFS(DATOS!K:K,DATOS!G:G,CONFIG_METADATA!$B$4,DATOS!D:D,A194,DATOS!I:I,B194),"—"),"")</f>
        <v>—</v>
      </c>
      <c r="F194" s="14" t="str" cm="1">
        <f t="array" ref="F194">IF(V194="Sí",IFERROR(_xlfn.STDEV.P(IF((nEVAL=CONFIG_METADATA!$B$4)*(nCURSO=A194)*(nASIG=B194),nNOTA)),"—"),"")</f>
        <v>—</v>
      </c>
      <c r="G194" t="str" cm="1">
        <f t="array" ref="G194">IF(V194="Sí",IFERROR(_xlfn.MODE.SNGL(IF((nEVAL=CONFIG_METADATA!$B$4)*(nCURSO=A194)*(nASIG=B194),nNOTA)),"—"),"")</f>
        <v>—</v>
      </c>
      <c r="H194" s="15" t="str">
        <f>IF(V194="Sí",IFERROR(COUNTIFS(DATOS!G:G,CONFIG_METADATA!$B$4,DATOS!D:D,A194,DATOS!I:I,B194,DATOS!L:L,"S")/COUNTIFS(DATOS!G:G,CONFIG_METADATA!$B$4,DATOS!D:D,A194,DATOS!I:I,B194),"—"),"")</f>
        <v>—</v>
      </c>
      <c r="I194" s="15" t="str">
        <f>IF(V194="Sí",IFERROR(COUNTIFS(DATOS!G:G,CONFIG_METADATA!$B$4,DATOS!D:D,A194,DATOS!I:I,B194,DATOS!L:L,"N")/COUNTIFS(DATOS!G:G,CONFIG_METADATA!$B$4,DATOS!D:D,A194,DATOS!I:I,B194),"—"),"")</f>
        <v>—</v>
      </c>
      <c r="J194" t="str" cm="1">
        <f t="array" ref="J194">IF(V194="Sí",IFERROR(_xlfn.MODE.SNGL(IF((nEVAL=CONFIG_METADATA!$B$4)*(nCURSO=A194)*(nASIG=B194)*(nAPTO="S"),nNOTA)),"—"),"")</f>
        <v>—</v>
      </c>
      <c r="K194" t="str" cm="1">
        <f t="array" ref="K194">IF(V194="Sí",IFERROR(_xlfn.MODE.SNGL(IF((nEVAL=CONFIG_METADATA!$B$4)*(nCURSO=A194)*(nASIG=B194)*(nAPTO="N"),nNOTA)),"—"),"")</f>
        <v>—</v>
      </c>
      <c r="L194">
        <f>IF(V194="Sí",COUNTIFS(DATOS!G:G,CONFIG_METADATA!$B$4,DATOS!D:D,A194,DATOS!I:I,B194,DATOS!K:K,1),"")</f>
        <v>0</v>
      </c>
      <c r="M194">
        <f>IF(V194="Sí",COUNTIFS(DATOS!G:G,CONFIG_METADATA!$B$4,DATOS!D:D,A194,DATOS!I:I,B194,DATOS!K:K,2),"")</f>
        <v>0</v>
      </c>
      <c r="N194">
        <f>IF(V194="Sí",COUNTIFS(DATOS!G:G,CONFIG_METADATA!$B$4,DATOS!D:D,A194,DATOS!I:I,B194,DATOS!K:K,3),"")</f>
        <v>0</v>
      </c>
      <c r="O194">
        <f>IF(V194="Sí",COUNTIFS(DATOS!G:G,CONFIG_METADATA!$B$4,DATOS!D:D,A194,DATOS!I:I,B194,DATOS!K:K,4),"")</f>
        <v>0</v>
      </c>
      <c r="P194">
        <f>IF(V194="Sí",COUNTIFS(DATOS!G:G,CONFIG_METADATA!$B$4,DATOS!D:D,A194,DATOS!I:I,B194,DATOS!K:K,5),"")</f>
        <v>0</v>
      </c>
      <c r="Q194">
        <f>IF(V194="Sí",COUNTIFS(DATOS!G:G,CONFIG_METADATA!$B$4,DATOS!D:D,A194,DATOS!I:I,B194,DATOS!K:K,6),"")</f>
        <v>0</v>
      </c>
      <c r="R194">
        <f>IF(V194="Sí",COUNTIFS(DATOS!G:G,CONFIG_METADATA!$B$4,DATOS!D:D,A194,DATOS!I:I,B194,DATOS!K:K,7),"")</f>
        <v>0</v>
      </c>
      <c r="S194">
        <f>IF(V194="Sí",COUNTIFS(DATOS!G:G,CONFIG_METADATA!$B$4,DATOS!D:D,A194,DATOS!I:I,B194,DATOS!K:K,8),"")</f>
        <v>0</v>
      </c>
      <c r="T194">
        <f>IF(V194="Sí",COUNTIFS(DATOS!G:G,CONFIG_METADATA!$B$4,DATOS!D:D,A194,DATOS!I:I,B194,DATOS!K:K,9),"")</f>
        <v>0</v>
      </c>
      <c r="U194">
        <f>IF(V194="Sí",COUNTIFS(DATOS!G:G,CONFIG_METADATA!$B$4,DATOS!D:D,A194,DATOS!I:I,B194,DATOS!K:K,10),"")</f>
        <v>0</v>
      </c>
      <c r="V194" t="str">
        <f>IFERROR(IF(ISERROR(FIND(A194,VLOOKUP(B194,CONFIG_ASIGNATURAS!B:C,2,FALSE()))),"No","Sí"),"No")</f>
        <v>Sí</v>
      </c>
    </row>
    <row r="195" spans="1:22">
      <c r="A195" s="3" t="inlineStr">
        <is>
          <t xml:space="preserve">3EEM</t>
        </is>
      </c>
      <c r="B195" s="3" cm="1">
        <f t="array" ref="B195">IFERROR(INDEX(_xlfn._xlws.FILTER(CONFIG_ASIGNATURAS!$B$2:$B$61,(CONFIG_ASIGNATURAS!$G$2:$G$61="Sí")*ISNUMBER(SEARCH("3EEM",CONFIG_ASIGNATURAS!$C$2:$C$61))),2),"")</f>
      </c>
      <c r="C195" s="3">
        <f>IF(B195="","",IFERROR(IF(VLOOKUP(B195,CONFIG_ASIGNATURAS!$B$2:$F$61,5,FALSE())="Sí","Especialidad","Asignatura"),"Asignatura"))</f>
      </c>
      <c r="D195">
        <f>IF(V195="Sí",COUNTIFS(DATOS!G:G,CONFIG_METADATA!$B$4,DATOS!D:D,A195,DATOS!I:I,B195),"")</f>
        <v>0</v>
      </c>
      <c r="E195" s="14" t="str">
        <f>IF(V195="Sí",IFERROR(AVERAGEIFS(DATOS!K:K,DATOS!G:G,CONFIG_METADATA!$B$4,DATOS!D:D,A195,DATOS!I:I,B195),"—"),"")</f>
        <v>—</v>
      </c>
      <c r="F195" s="14" t="str" cm="1">
        <f t="array" ref="F195">IF(V195="Sí",IFERROR(_xlfn.STDEV.P(IF((nEVAL=CONFIG_METADATA!$B$4)*(nCURSO=A195)*(nASIG=B195),nNOTA)),"—"),"")</f>
        <v>—</v>
      </c>
      <c r="G195" t="str" cm="1">
        <f t="array" ref="G195">IF(V195="Sí",IFERROR(_xlfn.MODE.SNGL(IF((nEVAL=CONFIG_METADATA!$B$4)*(nCURSO=A195)*(nASIG=B195),nNOTA)),"—"),"")</f>
        <v>—</v>
      </c>
      <c r="H195" s="15" t="str">
        <f>IF(V195="Sí",IFERROR(COUNTIFS(DATOS!G:G,CONFIG_METADATA!$B$4,DATOS!D:D,A195,DATOS!I:I,B195,DATOS!L:L,"S")/COUNTIFS(DATOS!G:G,CONFIG_METADATA!$B$4,DATOS!D:D,A195,DATOS!I:I,B195),"—"),"")</f>
        <v>—</v>
      </c>
      <c r="I195" s="15" t="str">
        <f>IF(V195="Sí",IFERROR(COUNTIFS(DATOS!G:G,CONFIG_METADATA!$B$4,DATOS!D:D,A195,DATOS!I:I,B195,DATOS!L:L,"N")/COUNTIFS(DATOS!G:G,CONFIG_METADATA!$B$4,DATOS!D:D,A195,DATOS!I:I,B195),"—"),"")</f>
        <v>—</v>
      </c>
      <c r="J195" t="str" cm="1">
        <f t="array" ref="J195">IF(V195="Sí",IFERROR(_xlfn.MODE.SNGL(IF((nEVAL=CONFIG_METADATA!$B$4)*(nCURSO=A195)*(nASIG=B195)*(nAPTO="S"),nNOTA)),"—"),"")</f>
        <v>—</v>
      </c>
      <c r="K195" t="str" cm="1">
        <f t="array" ref="K195">IF(V195="Sí",IFERROR(_xlfn.MODE.SNGL(IF((nEVAL=CONFIG_METADATA!$B$4)*(nCURSO=A195)*(nASIG=B195)*(nAPTO="N"),nNOTA)),"—"),"")</f>
        <v>—</v>
      </c>
      <c r="L195">
        <f>IF(V195="Sí",COUNTIFS(DATOS!G:G,CONFIG_METADATA!$B$4,DATOS!D:D,A195,DATOS!I:I,B195,DATOS!K:K,1),"")</f>
        <v>0</v>
      </c>
      <c r="M195">
        <f>IF(V195="Sí",COUNTIFS(DATOS!G:G,CONFIG_METADATA!$B$4,DATOS!D:D,A195,DATOS!I:I,B195,DATOS!K:K,2),"")</f>
        <v>0</v>
      </c>
      <c r="N195">
        <f>IF(V195="Sí",COUNTIFS(DATOS!G:G,CONFIG_METADATA!$B$4,DATOS!D:D,A195,DATOS!I:I,B195,DATOS!K:K,3),"")</f>
        <v>0</v>
      </c>
      <c r="O195">
        <f>IF(V195="Sí",COUNTIFS(DATOS!G:G,CONFIG_METADATA!$B$4,DATOS!D:D,A195,DATOS!I:I,B195,DATOS!K:K,4),"")</f>
        <v>0</v>
      </c>
      <c r="P195">
        <f>IF(V195="Sí",COUNTIFS(DATOS!G:G,CONFIG_METADATA!$B$4,DATOS!D:D,A195,DATOS!I:I,B195,DATOS!K:K,5),"")</f>
        <v>0</v>
      </c>
      <c r="Q195">
        <f>IF(V195="Sí",COUNTIFS(DATOS!G:G,CONFIG_METADATA!$B$4,DATOS!D:D,A195,DATOS!I:I,B195,DATOS!K:K,6),"")</f>
        <v>0</v>
      </c>
      <c r="R195">
        <f>IF(V195="Sí",COUNTIFS(DATOS!G:G,CONFIG_METADATA!$B$4,DATOS!D:D,A195,DATOS!I:I,B195,DATOS!K:K,7),"")</f>
        <v>0</v>
      </c>
      <c r="S195">
        <f>IF(V195="Sí",COUNTIFS(DATOS!G:G,CONFIG_METADATA!$B$4,DATOS!D:D,A195,DATOS!I:I,B195,DATOS!K:K,8),"")</f>
        <v>0</v>
      </c>
      <c r="T195">
        <f>IF(V195="Sí",COUNTIFS(DATOS!G:G,CONFIG_METADATA!$B$4,DATOS!D:D,A195,DATOS!I:I,B195,DATOS!K:K,9),"")</f>
        <v>0</v>
      </c>
      <c r="U195">
        <f>IF(V195="Sí",COUNTIFS(DATOS!G:G,CONFIG_METADATA!$B$4,DATOS!D:D,A195,DATOS!I:I,B195,DATOS!K:K,10),"")</f>
        <v>0</v>
      </c>
      <c r="V195" t="str">
        <f>IFERROR(IF(ISERROR(FIND(A195,VLOOKUP(B195,CONFIG_ASIGNATURAS!B:C,2,FALSE()))),"No","Sí"),"No")</f>
        <v>Sí</v>
      </c>
    </row>
    <row r="196" spans="1:22">
      <c r="A196" s="3" t="inlineStr">
        <is>
          <t xml:space="preserve">3EEM</t>
        </is>
      </c>
      <c r="B196" s="3" cm="1">
        <f t="array" ref="B196">IFERROR(INDEX(_xlfn._xlws.FILTER(CONFIG_ASIGNATURAS!$B$2:$B$61,(CONFIG_ASIGNATURAS!$G$2:$G$61="Sí")*ISNUMBER(SEARCH("3EEM",CONFIG_ASIGNATURAS!$C$2:$C$61))),3),"")</f>
      </c>
      <c r="C196" s="3">
        <f>IF(B196="","",IFERROR(IF(VLOOKUP(B196,CONFIG_ASIGNATURAS!$B$2:$F$61,5,FALSE())="Sí","Especialidad","Asignatura"),"Asignatura"))</f>
      </c>
      <c r="D196">
        <f>IF(V196="Sí",COUNTIFS(DATOS!G:G,CONFIG_METADATA!$B$4,DATOS!D:D,A196,DATOS!I:I,B196),"")</f>
        <v>0</v>
      </c>
      <c r="E196" s="14" t="str">
        <f>IF(V196="Sí",IFERROR(AVERAGEIFS(DATOS!K:K,DATOS!G:G,CONFIG_METADATA!$B$4,DATOS!D:D,A196,DATOS!I:I,B196),"—"),"")</f>
        <v>—</v>
      </c>
      <c r="F196" s="14" t="str" cm="1">
        <f t="array" ref="F196">IF(V196="Sí",IFERROR(_xlfn.STDEV.P(IF((nEVAL=CONFIG_METADATA!$B$4)*(nCURSO=A196)*(nASIG=B196),nNOTA)),"—"),"")</f>
        <v>—</v>
      </c>
      <c r="G196" t="str" cm="1">
        <f t="array" ref="G196">IF(V196="Sí",IFERROR(_xlfn.MODE.SNGL(IF((nEVAL=CONFIG_METADATA!$B$4)*(nCURSO=A196)*(nASIG=B196),nNOTA)),"—"),"")</f>
        <v>—</v>
      </c>
      <c r="H196" s="15" t="str">
        <f>IF(V196="Sí",IFERROR(COUNTIFS(DATOS!G:G,CONFIG_METADATA!$B$4,DATOS!D:D,A196,DATOS!I:I,B196,DATOS!L:L,"S")/COUNTIFS(DATOS!G:G,CONFIG_METADATA!$B$4,DATOS!D:D,A196,DATOS!I:I,B196),"—"),"")</f>
        <v>—</v>
      </c>
      <c r="I196" s="15" t="str">
        <f>IF(V196="Sí",IFERROR(COUNTIFS(DATOS!G:G,CONFIG_METADATA!$B$4,DATOS!D:D,A196,DATOS!I:I,B196,DATOS!L:L,"N")/COUNTIFS(DATOS!G:G,CONFIG_METADATA!$B$4,DATOS!D:D,A196,DATOS!I:I,B196),"—"),"")</f>
        <v>—</v>
      </c>
      <c r="J196" t="str" cm="1">
        <f t="array" ref="J196">IF(V196="Sí",IFERROR(_xlfn.MODE.SNGL(IF((nEVAL=CONFIG_METADATA!$B$4)*(nCURSO=A196)*(nASIG=B196)*(nAPTO="S"),nNOTA)),"—"),"")</f>
        <v>—</v>
      </c>
      <c r="K196" t="str" cm="1">
        <f t="array" ref="K196">IF(V196="Sí",IFERROR(_xlfn.MODE.SNGL(IF((nEVAL=CONFIG_METADATA!$B$4)*(nCURSO=A196)*(nASIG=B196)*(nAPTO="N"),nNOTA)),"—"),"")</f>
        <v>—</v>
      </c>
      <c r="L196">
        <f>IF(V196="Sí",COUNTIFS(DATOS!G:G,CONFIG_METADATA!$B$4,DATOS!D:D,A196,DATOS!I:I,B196,DATOS!K:K,1),"")</f>
        <v>0</v>
      </c>
      <c r="M196">
        <f>IF(V196="Sí",COUNTIFS(DATOS!G:G,CONFIG_METADATA!$B$4,DATOS!D:D,A196,DATOS!I:I,B196,DATOS!K:K,2),"")</f>
        <v>0</v>
      </c>
      <c r="N196">
        <f>IF(V196="Sí",COUNTIFS(DATOS!G:G,CONFIG_METADATA!$B$4,DATOS!D:D,A196,DATOS!I:I,B196,DATOS!K:K,3),"")</f>
        <v>0</v>
      </c>
      <c r="O196">
        <f>IF(V196="Sí",COUNTIFS(DATOS!G:G,CONFIG_METADATA!$B$4,DATOS!D:D,A196,DATOS!I:I,B196,DATOS!K:K,4),"")</f>
        <v>0</v>
      </c>
      <c r="P196">
        <f>IF(V196="Sí",COUNTIFS(DATOS!G:G,CONFIG_METADATA!$B$4,DATOS!D:D,A196,DATOS!I:I,B196,DATOS!K:K,5),"")</f>
        <v>0</v>
      </c>
      <c r="Q196">
        <f>IF(V196="Sí",COUNTIFS(DATOS!G:G,CONFIG_METADATA!$B$4,DATOS!D:D,A196,DATOS!I:I,B196,DATOS!K:K,6),"")</f>
        <v>0</v>
      </c>
      <c r="R196">
        <f>IF(V196="Sí",COUNTIFS(DATOS!G:G,CONFIG_METADATA!$B$4,DATOS!D:D,A196,DATOS!I:I,B196,DATOS!K:K,7),"")</f>
        <v>0</v>
      </c>
      <c r="S196">
        <f>IF(V196="Sí",COUNTIFS(DATOS!G:G,CONFIG_METADATA!$B$4,DATOS!D:D,A196,DATOS!I:I,B196,DATOS!K:K,8),"")</f>
        <v>0</v>
      </c>
      <c r="T196">
        <f>IF(V196="Sí",COUNTIFS(DATOS!G:G,CONFIG_METADATA!$B$4,DATOS!D:D,A196,DATOS!I:I,B196,DATOS!K:K,9),"")</f>
        <v>0</v>
      </c>
      <c r="U196">
        <f>IF(V196="Sí",COUNTIFS(DATOS!G:G,CONFIG_METADATA!$B$4,DATOS!D:D,A196,DATOS!I:I,B196,DATOS!K:K,10),"")</f>
        <v>0</v>
      </c>
      <c r="V196" t="str">
        <f>IFERROR(IF(ISERROR(FIND(A196,VLOOKUP(B196,CONFIG_ASIGNATURAS!B:C,2,FALSE()))),"No","Sí"),"No")</f>
        <v>Sí</v>
      </c>
    </row>
    <row r="197" spans="1:22">
      <c r="A197" s="3" t="inlineStr">
        <is>
          <t xml:space="preserve">3EEM</t>
        </is>
      </c>
      <c r="B197" s="3" cm="1">
        <f t="array" ref="B197">IFERROR(INDEX(_xlfn._xlws.FILTER(CONFIG_ASIGNATURAS!$B$2:$B$61,(CONFIG_ASIGNATURAS!$G$2:$G$61="Sí")*ISNUMBER(SEARCH("3EEM",CONFIG_ASIGNATURAS!$C$2:$C$61))),4),"")</f>
      </c>
      <c r="C197" s="3">
        <f>IF(B197="","",IFERROR(IF(VLOOKUP(B197,CONFIG_ASIGNATURAS!$B$2:$F$61,5,FALSE())="Sí","Especialidad","Asignatura"),"Asignatura"))</f>
      </c>
      <c r="D197">
        <f>IF(V197="Sí",COUNTIFS(DATOS!G:G,CONFIG_METADATA!$B$4,DATOS!D:D,A197,DATOS!I:I,B197),"")</f>
        <v>0</v>
      </c>
      <c r="E197" s="14" t="str">
        <f>IF(V197="Sí",IFERROR(AVERAGEIFS(DATOS!K:K,DATOS!G:G,CONFIG_METADATA!$B$4,DATOS!D:D,A197,DATOS!I:I,B197),"—"),"")</f>
        <v>—</v>
      </c>
      <c r="F197" s="14" t="str" cm="1">
        <f t="array" ref="F197">IF(V197="Sí",IFERROR(_xlfn.STDEV.P(IF((nEVAL=CONFIG_METADATA!$B$4)*(nCURSO=A197)*(nASIG=B197),nNOTA)),"—"),"")</f>
        <v>—</v>
      </c>
      <c r="G197" t="str" cm="1">
        <f t="array" ref="G197">IF(V197="Sí",IFERROR(_xlfn.MODE.SNGL(IF((nEVAL=CONFIG_METADATA!$B$4)*(nCURSO=A197)*(nASIG=B197),nNOTA)),"—"),"")</f>
        <v>—</v>
      </c>
      <c r="H197" s="15" t="str">
        <f>IF(V197="Sí",IFERROR(COUNTIFS(DATOS!G:G,CONFIG_METADATA!$B$4,DATOS!D:D,A197,DATOS!I:I,B197,DATOS!L:L,"S")/COUNTIFS(DATOS!G:G,CONFIG_METADATA!$B$4,DATOS!D:D,A197,DATOS!I:I,B197),"—"),"")</f>
        <v>—</v>
      </c>
      <c r="I197" s="15" t="str">
        <f>IF(V197="Sí",IFERROR(COUNTIFS(DATOS!G:G,CONFIG_METADATA!$B$4,DATOS!D:D,A197,DATOS!I:I,B197,DATOS!L:L,"N")/COUNTIFS(DATOS!G:G,CONFIG_METADATA!$B$4,DATOS!D:D,A197,DATOS!I:I,B197),"—"),"")</f>
        <v>—</v>
      </c>
      <c r="J197" t="str" cm="1">
        <f t="array" ref="J197">IF(V197="Sí",IFERROR(_xlfn.MODE.SNGL(IF((nEVAL=CONFIG_METADATA!$B$4)*(nCURSO=A197)*(nASIG=B197)*(nAPTO="S"),nNOTA)),"—"),"")</f>
        <v>—</v>
      </c>
      <c r="K197" t="str" cm="1">
        <f t="array" ref="K197">IF(V197="Sí",IFERROR(_xlfn.MODE.SNGL(IF((nEVAL=CONFIG_METADATA!$B$4)*(nCURSO=A197)*(nASIG=B197)*(nAPTO="N"),nNOTA)),"—"),"")</f>
        <v>—</v>
      </c>
      <c r="L197">
        <f>IF(V197="Sí",COUNTIFS(DATOS!G:G,CONFIG_METADATA!$B$4,DATOS!D:D,A197,DATOS!I:I,B197,DATOS!K:K,1),"")</f>
        <v>0</v>
      </c>
      <c r="M197">
        <f>IF(V197="Sí",COUNTIFS(DATOS!G:G,CONFIG_METADATA!$B$4,DATOS!D:D,A197,DATOS!I:I,B197,DATOS!K:K,2),"")</f>
        <v>0</v>
      </c>
      <c r="N197">
        <f>IF(V197="Sí",COUNTIFS(DATOS!G:G,CONFIG_METADATA!$B$4,DATOS!D:D,A197,DATOS!I:I,B197,DATOS!K:K,3),"")</f>
        <v>0</v>
      </c>
      <c r="O197">
        <f>IF(V197="Sí",COUNTIFS(DATOS!G:G,CONFIG_METADATA!$B$4,DATOS!D:D,A197,DATOS!I:I,B197,DATOS!K:K,4),"")</f>
        <v>0</v>
      </c>
      <c r="P197">
        <f>IF(V197="Sí",COUNTIFS(DATOS!G:G,CONFIG_METADATA!$B$4,DATOS!D:D,A197,DATOS!I:I,B197,DATOS!K:K,5),"")</f>
        <v>0</v>
      </c>
      <c r="Q197">
        <f>IF(V197="Sí",COUNTIFS(DATOS!G:G,CONFIG_METADATA!$B$4,DATOS!D:D,A197,DATOS!I:I,B197,DATOS!K:K,6),"")</f>
        <v>0</v>
      </c>
      <c r="R197">
        <f>IF(V197="Sí",COUNTIFS(DATOS!G:G,CONFIG_METADATA!$B$4,DATOS!D:D,A197,DATOS!I:I,B197,DATOS!K:K,7),"")</f>
        <v>0</v>
      </c>
      <c r="S197">
        <f>IF(V197="Sí",COUNTIFS(DATOS!G:G,CONFIG_METADATA!$B$4,DATOS!D:D,A197,DATOS!I:I,B197,DATOS!K:K,8),"")</f>
        <v>0</v>
      </c>
      <c r="T197">
        <f>IF(V197="Sí",COUNTIFS(DATOS!G:G,CONFIG_METADATA!$B$4,DATOS!D:D,A197,DATOS!I:I,B197,DATOS!K:K,9),"")</f>
        <v>0</v>
      </c>
      <c r="U197">
        <f>IF(V197="Sí",COUNTIFS(DATOS!G:G,CONFIG_METADATA!$B$4,DATOS!D:D,A197,DATOS!I:I,B197,DATOS!K:K,10),"")</f>
        <v>0</v>
      </c>
      <c r="V197" t="str">
        <f>IFERROR(IF(ISERROR(FIND(A197,VLOOKUP(B197,CONFIG_ASIGNATURAS!B:C,2,FALSE()))),"No","Sí"),"No")</f>
        <v>Sí</v>
      </c>
    </row>
    <row r="198" spans="1:22">
      <c r="A198" s="3" t="inlineStr">
        <is>
          <t xml:space="preserve">3EEM</t>
        </is>
      </c>
      <c r="B198" s="3" cm="1">
        <f t="array" ref="B198">IFERROR(INDEX(_xlfn._xlws.FILTER(CONFIG_ASIGNATURAS!$B$2:$B$61,(CONFIG_ASIGNATURAS!$G$2:$G$61="Sí")*ISNUMBER(SEARCH("3EEM",CONFIG_ASIGNATURAS!$C$2:$C$61))),5),"")</f>
      </c>
      <c r="C198" s="3">
        <f>IF(B198="","",IFERROR(IF(VLOOKUP(B198,CONFIG_ASIGNATURAS!$B$2:$F$61,5,FALSE())="Sí","Especialidad","Asignatura"),"Asignatura"))</f>
      </c>
      <c r="D198">
        <f>IF(V198="Sí",COUNTIFS(DATOS!G:G,CONFIG_METADATA!$B$4,DATOS!D:D,A198,DATOS!I:I,B198),"")</f>
        <v>0</v>
      </c>
      <c r="E198" s="14" t="str">
        <f>IF(V198="Sí",IFERROR(AVERAGEIFS(DATOS!K:K,DATOS!G:G,CONFIG_METADATA!$B$4,DATOS!D:D,A198,DATOS!I:I,B198),"—"),"")</f>
        <v>—</v>
      </c>
      <c r="F198" s="14" t="str" cm="1">
        <f t="array" ref="F198">IF(V198="Sí",IFERROR(_xlfn.STDEV.P(IF((nEVAL=CONFIG_METADATA!$B$4)*(nCURSO=A198)*(nASIG=B198),nNOTA)),"—"),"")</f>
        <v>—</v>
      </c>
      <c r="G198" t="str" cm="1">
        <f t="array" ref="G198">IF(V198="Sí",IFERROR(_xlfn.MODE.SNGL(IF((nEVAL=CONFIG_METADATA!$B$4)*(nCURSO=A198)*(nASIG=B198),nNOTA)),"—"),"")</f>
        <v>—</v>
      </c>
      <c r="H198" s="15" t="str">
        <f>IF(V198="Sí",IFERROR(COUNTIFS(DATOS!G:G,CONFIG_METADATA!$B$4,DATOS!D:D,A198,DATOS!I:I,B198,DATOS!L:L,"S")/COUNTIFS(DATOS!G:G,CONFIG_METADATA!$B$4,DATOS!D:D,A198,DATOS!I:I,B198),"—"),"")</f>
        <v>—</v>
      </c>
      <c r="I198" s="15" t="str">
        <f>IF(V198="Sí",IFERROR(COUNTIFS(DATOS!G:G,CONFIG_METADATA!$B$4,DATOS!D:D,A198,DATOS!I:I,B198,DATOS!L:L,"N")/COUNTIFS(DATOS!G:G,CONFIG_METADATA!$B$4,DATOS!D:D,A198,DATOS!I:I,B198),"—"),"")</f>
        <v>—</v>
      </c>
      <c r="J198" t="str" cm="1">
        <f t="array" ref="J198">IF(V198="Sí",IFERROR(_xlfn.MODE.SNGL(IF((nEVAL=CONFIG_METADATA!$B$4)*(nCURSO=A198)*(nASIG=B198)*(nAPTO="S"),nNOTA)),"—"),"")</f>
        <v>—</v>
      </c>
      <c r="K198" t="str" cm="1">
        <f t="array" ref="K198">IF(V198="Sí",IFERROR(_xlfn.MODE.SNGL(IF((nEVAL=CONFIG_METADATA!$B$4)*(nCURSO=A198)*(nASIG=B198)*(nAPTO="N"),nNOTA)),"—"),"")</f>
        <v>—</v>
      </c>
      <c r="L198">
        <f>IF(V198="Sí",COUNTIFS(DATOS!G:G,CONFIG_METADATA!$B$4,DATOS!D:D,A198,DATOS!I:I,B198,DATOS!K:K,1),"")</f>
        <v>0</v>
      </c>
      <c r="M198">
        <f>IF(V198="Sí",COUNTIFS(DATOS!G:G,CONFIG_METADATA!$B$4,DATOS!D:D,A198,DATOS!I:I,B198,DATOS!K:K,2),"")</f>
        <v>0</v>
      </c>
      <c r="N198">
        <f>IF(V198="Sí",COUNTIFS(DATOS!G:G,CONFIG_METADATA!$B$4,DATOS!D:D,A198,DATOS!I:I,B198,DATOS!K:K,3),"")</f>
        <v>0</v>
      </c>
      <c r="O198">
        <f>IF(V198="Sí",COUNTIFS(DATOS!G:G,CONFIG_METADATA!$B$4,DATOS!D:D,A198,DATOS!I:I,B198,DATOS!K:K,4),"")</f>
        <v>0</v>
      </c>
      <c r="P198">
        <f>IF(V198="Sí",COUNTIFS(DATOS!G:G,CONFIG_METADATA!$B$4,DATOS!D:D,A198,DATOS!I:I,B198,DATOS!K:K,5),"")</f>
        <v>0</v>
      </c>
      <c r="Q198">
        <f>IF(V198="Sí",COUNTIFS(DATOS!G:G,CONFIG_METADATA!$B$4,DATOS!D:D,A198,DATOS!I:I,B198,DATOS!K:K,6),"")</f>
        <v>0</v>
      </c>
      <c r="R198">
        <f>IF(V198="Sí",COUNTIFS(DATOS!G:G,CONFIG_METADATA!$B$4,DATOS!D:D,A198,DATOS!I:I,B198,DATOS!K:K,7),"")</f>
        <v>0</v>
      </c>
      <c r="S198">
        <f>IF(V198="Sí",COUNTIFS(DATOS!G:G,CONFIG_METADATA!$B$4,DATOS!D:D,A198,DATOS!I:I,B198,DATOS!K:K,8),"")</f>
        <v>0</v>
      </c>
      <c r="T198">
        <f>IF(V198="Sí",COUNTIFS(DATOS!G:G,CONFIG_METADATA!$B$4,DATOS!D:D,A198,DATOS!I:I,B198,DATOS!K:K,9),"")</f>
        <v>0</v>
      </c>
      <c r="U198">
        <f>IF(V198="Sí",COUNTIFS(DATOS!G:G,CONFIG_METADATA!$B$4,DATOS!D:D,A198,DATOS!I:I,B198,DATOS!K:K,10),"")</f>
        <v>0</v>
      </c>
      <c r="V198" t="str">
        <f>IFERROR(IF(ISERROR(FIND(A198,VLOOKUP(B198,CONFIG_ASIGNATURAS!B:C,2,FALSE()))),"No","Sí"),"No")</f>
        <v>Sí</v>
      </c>
    </row>
    <row r="199" spans="1:22">
      <c r="A199" s="3" t="inlineStr">
        <is>
          <t xml:space="preserve">3EEM</t>
        </is>
      </c>
      <c r="B199" s="3" cm="1">
        <f t="array" ref="B199">IFERROR(INDEX(_xlfn._xlws.FILTER(CONFIG_ASIGNATURAS!$B$2:$B$61,(CONFIG_ASIGNATURAS!$G$2:$G$61="Sí")*ISNUMBER(SEARCH("3EEM",CONFIG_ASIGNATURAS!$C$2:$C$61))),6),"")</f>
      </c>
      <c r="C199" s="3">
        <f>IF(B199="","",IFERROR(IF(VLOOKUP(B199,CONFIG_ASIGNATURAS!$B$2:$F$61,5,FALSE())="Sí","Especialidad","Asignatura"),"Asignatura"))</f>
      </c>
      <c r="D199">
        <f>IF(V199="Sí",COUNTIFS(DATOS!G:G,CONFIG_METADATA!$B$4,DATOS!D:D,A199,DATOS!I:I,B199),"")</f>
        <v>0</v>
      </c>
      <c r="E199" s="14" t="str">
        <f>IF(V199="Sí",IFERROR(AVERAGEIFS(DATOS!K:K,DATOS!G:G,CONFIG_METADATA!$B$4,DATOS!D:D,A199,DATOS!I:I,B199),"—"),"")</f>
        <v>—</v>
      </c>
      <c r="F199" s="14" t="str" cm="1">
        <f t="array" ref="F199">IF(V199="Sí",IFERROR(_xlfn.STDEV.P(IF((nEVAL=CONFIG_METADATA!$B$4)*(nCURSO=A199)*(nASIG=B199),nNOTA)),"—"),"")</f>
        <v>—</v>
      </c>
      <c r="G199" t="str" cm="1">
        <f t="array" ref="G199">IF(V199="Sí",IFERROR(_xlfn.MODE.SNGL(IF((nEVAL=CONFIG_METADATA!$B$4)*(nCURSO=A199)*(nASIG=B199),nNOTA)),"—"),"")</f>
        <v>—</v>
      </c>
      <c r="H199" s="15" t="str">
        <f>IF(V199="Sí",IFERROR(COUNTIFS(DATOS!G:G,CONFIG_METADATA!$B$4,DATOS!D:D,A199,DATOS!I:I,B199,DATOS!L:L,"S")/COUNTIFS(DATOS!G:G,CONFIG_METADATA!$B$4,DATOS!D:D,A199,DATOS!I:I,B199),"—"),"")</f>
        <v>—</v>
      </c>
      <c r="I199" s="15" t="str">
        <f>IF(V199="Sí",IFERROR(COUNTIFS(DATOS!G:G,CONFIG_METADATA!$B$4,DATOS!D:D,A199,DATOS!I:I,B199,DATOS!L:L,"N")/COUNTIFS(DATOS!G:G,CONFIG_METADATA!$B$4,DATOS!D:D,A199,DATOS!I:I,B199),"—"),"")</f>
        <v>—</v>
      </c>
      <c r="J199" t="str" cm="1">
        <f t="array" ref="J199">IF(V199="Sí",IFERROR(_xlfn.MODE.SNGL(IF((nEVAL=CONFIG_METADATA!$B$4)*(nCURSO=A199)*(nASIG=B199)*(nAPTO="S"),nNOTA)),"—"),"")</f>
        <v>—</v>
      </c>
      <c r="K199" t="str" cm="1">
        <f t="array" ref="K199">IF(V199="Sí",IFERROR(_xlfn.MODE.SNGL(IF((nEVAL=CONFIG_METADATA!$B$4)*(nCURSO=A199)*(nASIG=B199)*(nAPTO="N"),nNOTA)),"—"),"")</f>
        <v>—</v>
      </c>
      <c r="L199">
        <f>IF(V199="Sí",COUNTIFS(DATOS!G:G,CONFIG_METADATA!$B$4,DATOS!D:D,A199,DATOS!I:I,B199,DATOS!K:K,1),"")</f>
        <v>0</v>
      </c>
      <c r="M199">
        <f>IF(V199="Sí",COUNTIFS(DATOS!G:G,CONFIG_METADATA!$B$4,DATOS!D:D,A199,DATOS!I:I,B199,DATOS!K:K,2),"")</f>
        <v>0</v>
      </c>
      <c r="N199">
        <f>IF(V199="Sí",COUNTIFS(DATOS!G:G,CONFIG_METADATA!$B$4,DATOS!D:D,A199,DATOS!I:I,B199,DATOS!K:K,3),"")</f>
        <v>0</v>
      </c>
      <c r="O199">
        <f>IF(V199="Sí",COUNTIFS(DATOS!G:G,CONFIG_METADATA!$B$4,DATOS!D:D,A199,DATOS!I:I,B199,DATOS!K:K,4),"")</f>
        <v>0</v>
      </c>
      <c r="P199">
        <f>IF(V199="Sí",COUNTIFS(DATOS!G:G,CONFIG_METADATA!$B$4,DATOS!D:D,A199,DATOS!I:I,B199,DATOS!K:K,5),"")</f>
        <v>0</v>
      </c>
      <c r="Q199">
        <f>IF(V199="Sí",COUNTIFS(DATOS!G:G,CONFIG_METADATA!$B$4,DATOS!D:D,A199,DATOS!I:I,B199,DATOS!K:K,6),"")</f>
        <v>0</v>
      </c>
      <c r="R199">
        <f>IF(V199="Sí",COUNTIFS(DATOS!G:G,CONFIG_METADATA!$B$4,DATOS!D:D,A199,DATOS!I:I,B199,DATOS!K:K,7),"")</f>
        <v>0</v>
      </c>
      <c r="S199">
        <f>IF(V199="Sí",COUNTIFS(DATOS!G:G,CONFIG_METADATA!$B$4,DATOS!D:D,A199,DATOS!I:I,B199,DATOS!K:K,8),"")</f>
        <v>0</v>
      </c>
      <c r="T199">
        <f>IF(V199="Sí",COUNTIFS(DATOS!G:G,CONFIG_METADATA!$B$4,DATOS!D:D,A199,DATOS!I:I,B199,DATOS!K:K,9),"")</f>
        <v>0</v>
      </c>
      <c r="U199">
        <f>IF(V199="Sí",COUNTIFS(DATOS!G:G,CONFIG_METADATA!$B$4,DATOS!D:D,A199,DATOS!I:I,B199,DATOS!K:K,10),"")</f>
        <v>0</v>
      </c>
      <c r="V199" t="str">
        <f>IFERROR(IF(ISERROR(FIND(A199,VLOOKUP(B199,CONFIG_ASIGNATURAS!B:C,2,FALSE()))),"No","Sí"),"No")</f>
        <v>Sí</v>
      </c>
    </row>
    <row r="200" spans="1:22">
      <c r="A200" s="3" t="inlineStr">
        <is>
          <t xml:space="preserve">3EEM</t>
        </is>
      </c>
      <c r="B200" s="3" cm="1">
        <f t="array" ref="B200">IFERROR(INDEX(_xlfn._xlws.FILTER(CONFIG_ASIGNATURAS!$B$2:$B$61,(CONFIG_ASIGNATURAS!$G$2:$G$61="Sí")*ISNUMBER(SEARCH("3EEM",CONFIG_ASIGNATURAS!$C$2:$C$61))),7),"")</f>
      </c>
      <c r="C200" s="3">
        <f>IF(B200="","",IFERROR(IF(VLOOKUP(B200,CONFIG_ASIGNATURAS!$B$2:$F$61,5,FALSE())="Sí","Especialidad","Asignatura"),"Asignatura"))</f>
      </c>
      <c r="D200">
        <f>IF(V200="Sí",COUNTIFS(DATOS!G:G,CONFIG_METADATA!$B$4,DATOS!D:D,A200,DATOS!I:I,B200),"")</f>
        <v>0</v>
      </c>
      <c r="E200" s="14" t="str">
        <f>IF(V200="Sí",IFERROR(AVERAGEIFS(DATOS!K:K,DATOS!G:G,CONFIG_METADATA!$B$4,DATOS!D:D,A200,DATOS!I:I,B200),"—"),"")</f>
        <v>—</v>
      </c>
      <c r="F200" s="14" t="str" cm="1">
        <f t="array" ref="F200">IF(V200="Sí",IFERROR(_xlfn.STDEV.P(IF((nEVAL=CONFIG_METADATA!$B$4)*(nCURSO=A200)*(nASIG=B200),nNOTA)),"—"),"")</f>
        <v>—</v>
      </c>
      <c r="G200" t="str" cm="1">
        <f t="array" ref="G200">IF(V200="Sí",IFERROR(_xlfn.MODE.SNGL(IF((nEVAL=CONFIG_METADATA!$B$4)*(nCURSO=A200)*(nASIG=B200),nNOTA)),"—"),"")</f>
        <v>—</v>
      </c>
      <c r="H200" s="15" t="str">
        <f>IF(V200="Sí",IFERROR(COUNTIFS(DATOS!G:G,CONFIG_METADATA!$B$4,DATOS!D:D,A200,DATOS!I:I,B200,DATOS!L:L,"S")/COUNTIFS(DATOS!G:G,CONFIG_METADATA!$B$4,DATOS!D:D,A200,DATOS!I:I,B200),"—"),"")</f>
        <v>—</v>
      </c>
      <c r="I200" s="15" t="str">
        <f>IF(V200="Sí",IFERROR(COUNTIFS(DATOS!G:G,CONFIG_METADATA!$B$4,DATOS!D:D,A200,DATOS!I:I,B200,DATOS!L:L,"N")/COUNTIFS(DATOS!G:G,CONFIG_METADATA!$B$4,DATOS!D:D,A200,DATOS!I:I,B200),"—"),"")</f>
        <v>—</v>
      </c>
      <c r="J200" t="str" cm="1">
        <f t="array" ref="J200">IF(V200="Sí",IFERROR(_xlfn.MODE.SNGL(IF((nEVAL=CONFIG_METADATA!$B$4)*(nCURSO=A200)*(nASIG=B200)*(nAPTO="S"),nNOTA)),"—"),"")</f>
        <v>—</v>
      </c>
      <c r="K200" t="str" cm="1">
        <f t="array" ref="K200">IF(V200="Sí",IFERROR(_xlfn.MODE.SNGL(IF((nEVAL=CONFIG_METADATA!$B$4)*(nCURSO=A200)*(nASIG=B200)*(nAPTO="N"),nNOTA)),"—"),"")</f>
        <v>—</v>
      </c>
      <c r="L200">
        <f>IF(V200="Sí",COUNTIFS(DATOS!G:G,CONFIG_METADATA!$B$4,DATOS!D:D,A200,DATOS!I:I,B200,DATOS!K:K,1),"")</f>
        <v>0</v>
      </c>
      <c r="M200">
        <f>IF(V200="Sí",COUNTIFS(DATOS!G:G,CONFIG_METADATA!$B$4,DATOS!D:D,A200,DATOS!I:I,B200,DATOS!K:K,2),"")</f>
        <v>0</v>
      </c>
      <c r="N200">
        <f>IF(V200="Sí",COUNTIFS(DATOS!G:G,CONFIG_METADATA!$B$4,DATOS!D:D,A200,DATOS!I:I,B200,DATOS!K:K,3),"")</f>
        <v>0</v>
      </c>
      <c r="O200">
        <f>IF(V200="Sí",COUNTIFS(DATOS!G:G,CONFIG_METADATA!$B$4,DATOS!D:D,A200,DATOS!I:I,B200,DATOS!K:K,4),"")</f>
        <v>0</v>
      </c>
      <c r="P200">
        <f>IF(V200="Sí",COUNTIFS(DATOS!G:G,CONFIG_METADATA!$B$4,DATOS!D:D,A200,DATOS!I:I,B200,DATOS!K:K,5),"")</f>
        <v>0</v>
      </c>
      <c r="Q200">
        <f>IF(V200="Sí",COUNTIFS(DATOS!G:G,CONFIG_METADATA!$B$4,DATOS!D:D,A200,DATOS!I:I,B200,DATOS!K:K,6),"")</f>
        <v>0</v>
      </c>
      <c r="R200">
        <f>IF(V200="Sí",COUNTIFS(DATOS!G:G,CONFIG_METADATA!$B$4,DATOS!D:D,A200,DATOS!I:I,B200,DATOS!K:K,7),"")</f>
        <v>0</v>
      </c>
      <c r="S200">
        <f>IF(V200="Sí",COUNTIFS(DATOS!G:G,CONFIG_METADATA!$B$4,DATOS!D:D,A200,DATOS!I:I,B200,DATOS!K:K,8),"")</f>
        <v>0</v>
      </c>
      <c r="T200">
        <f>IF(V200="Sí",COUNTIFS(DATOS!G:G,CONFIG_METADATA!$B$4,DATOS!D:D,A200,DATOS!I:I,B200,DATOS!K:K,9),"")</f>
        <v>0</v>
      </c>
      <c r="U200">
        <f>IF(V200="Sí",COUNTIFS(DATOS!G:G,CONFIG_METADATA!$B$4,DATOS!D:D,A200,DATOS!I:I,B200,DATOS!K:K,10),"")</f>
        <v>0</v>
      </c>
      <c r="V200" t="str">
        <f>IFERROR(IF(ISERROR(FIND(A200,VLOOKUP(B200,CONFIG_ASIGNATURAS!B:C,2,FALSE()))),"No","Sí"),"No")</f>
        <v>Sí</v>
      </c>
    </row>
    <row r="201" spans="1:22">
      <c r="A201" s="3" t="inlineStr">
        <is>
          <t xml:space="preserve">3EEM</t>
        </is>
      </c>
      <c r="B201" s="3" cm="1">
        <f t="array" ref="B201">IFERROR(INDEX(_xlfn._xlws.FILTER(CONFIG_ASIGNATURAS!$B$2:$B$61,(CONFIG_ASIGNATURAS!$G$2:$G$61="Sí")*ISNUMBER(SEARCH("3EEM",CONFIG_ASIGNATURAS!$C$2:$C$61))),8),"")</f>
      </c>
      <c r="C201" s="3">
        <f>IF(B201="","",IFERROR(IF(VLOOKUP(B201,CONFIG_ASIGNATURAS!$B$2:$F$61,5,FALSE())="Sí","Especialidad","Asignatura"),"Asignatura"))</f>
      </c>
      <c r="D201">
        <f>IF(V201="Sí",COUNTIFS(DATOS!G:G,CONFIG_METADATA!$B$4,DATOS!D:D,A201,DATOS!I:I,B201),"")</f>
        <v>0</v>
      </c>
      <c r="E201" s="14" t="str">
        <f>IF(V201="Sí",IFERROR(AVERAGEIFS(DATOS!K:K,DATOS!G:G,CONFIG_METADATA!$B$4,DATOS!D:D,A201,DATOS!I:I,B201),"—"),"")</f>
        <v>—</v>
      </c>
      <c r="F201" s="14" t="str" cm="1">
        <f t="array" ref="F201">IF(V201="Sí",IFERROR(_xlfn.STDEV.P(IF((nEVAL=CONFIG_METADATA!$B$4)*(nCURSO=A201)*(nASIG=B201),nNOTA)),"—"),"")</f>
        <v>—</v>
      </c>
      <c r="G201" t="str" cm="1">
        <f t="array" ref="G201">IF(V201="Sí",IFERROR(_xlfn.MODE.SNGL(IF((nEVAL=CONFIG_METADATA!$B$4)*(nCURSO=A201)*(nASIG=B201),nNOTA)),"—"),"")</f>
        <v>—</v>
      </c>
      <c r="H201" s="15" t="str">
        <f>IF(V201="Sí",IFERROR(COUNTIFS(DATOS!G:G,CONFIG_METADATA!$B$4,DATOS!D:D,A201,DATOS!I:I,B201,DATOS!L:L,"S")/COUNTIFS(DATOS!G:G,CONFIG_METADATA!$B$4,DATOS!D:D,A201,DATOS!I:I,B201),"—"),"")</f>
        <v>—</v>
      </c>
      <c r="I201" s="15" t="str">
        <f>IF(V201="Sí",IFERROR(COUNTIFS(DATOS!G:G,CONFIG_METADATA!$B$4,DATOS!D:D,A201,DATOS!I:I,B201,DATOS!L:L,"N")/COUNTIFS(DATOS!G:G,CONFIG_METADATA!$B$4,DATOS!D:D,A201,DATOS!I:I,B201),"—"),"")</f>
        <v>—</v>
      </c>
      <c r="J201" t="str" cm="1">
        <f t="array" ref="J201">IF(V201="Sí",IFERROR(_xlfn.MODE.SNGL(IF((nEVAL=CONFIG_METADATA!$B$4)*(nCURSO=A201)*(nASIG=B201)*(nAPTO="S"),nNOTA)),"—"),"")</f>
        <v>—</v>
      </c>
      <c r="K201" t="str" cm="1">
        <f t="array" ref="K201">IF(V201="Sí",IFERROR(_xlfn.MODE.SNGL(IF((nEVAL=CONFIG_METADATA!$B$4)*(nCURSO=A201)*(nASIG=B201)*(nAPTO="N"),nNOTA)),"—"),"")</f>
        <v>—</v>
      </c>
      <c r="L201">
        <f>IF(V201="Sí",COUNTIFS(DATOS!G:G,CONFIG_METADATA!$B$4,DATOS!D:D,A201,DATOS!I:I,B201,DATOS!K:K,1),"")</f>
        <v>0</v>
      </c>
      <c r="M201">
        <f>IF(V201="Sí",COUNTIFS(DATOS!G:G,CONFIG_METADATA!$B$4,DATOS!D:D,A201,DATOS!I:I,B201,DATOS!K:K,2),"")</f>
        <v>0</v>
      </c>
      <c r="N201">
        <f>IF(V201="Sí",COUNTIFS(DATOS!G:G,CONFIG_METADATA!$B$4,DATOS!D:D,A201,DATOS!I:I,B201,DATOS!K:K,3),"")</f>
        <v>0</v>
      </c>
      <c r="O201">
        <f>IF(V201="Sí",COUNTIFS(DATOS!G:G,CONFIG_METADATA!$B$4,DATOS!D:D,A201,DATOS!I:I,B201,DATOS!K:K,4),"")</f>
        <v>0</v>
      </c>
      <c r="P201">
        <f>IF(V201="Sí",COUNTIFS(DATOS!G:G,CONFIG_METADATA!$B$4,DATOS!D:D,A201,DATOS!I:I,B201,DATOS!K:K,5),"")</f>
        <v>0</v>
      </c>
      <c r="Q201">
        <f>IF(V201="Sí",COUNTIFS(DATOS!G:G,CONFIG_METADATA!$B$4,DATOS!D:D,A201,DATOS!I:I,B201,DATOS!K:K,6),"")</f>
        <v>0</v>
      </c>
      <c r="R201">
        <f>IF(V201="Sí",COUNTIFS(DATOS!G:G,CONFIG_METADATA!$B$4,DATOS!D:D,A201,DATOS!I:I,B201,DATOS!K:K,7),"")</f>
        <v>0</v>
      </c>
      <c r="S201">
        <f>IF(V201="Sí",COUNTIFS(DATOS!G:G,CONFIG_METADATA!$B$4,DATOS!D:D,A201,DATOS!I:I,B201,DATOS!K:K,8),"")</f>
        <v>0</v>
      </c>
      <c r="T201">
        <f>IF(V201="Sí",COUNTIFS(DATOS!G:G,CONFIG_METADATA!$B$4,DATOS!D:D,A201,DATOS!I:I,B201,DATOS!K:K,9),"")</f>
        <v>0</v>
      </c>
      <c r="U201">
        <f>IF(V201="Sí",COUNTIFS(DATOS!G:G,CONFIG_METADATA!$B$4,DATOS!D:D,A201,DATOS!I:I,B201,DATOS!K:K,10),"")</f>
        <v>0</v>
      </c>
      <c r="V201" t="str">
        <f>IFERROR(IF(ISERROR(FIND(A201,VLOOKUP(B201,CONFIG_ASIGNATURAS!B:C,2,FALSE()))),"No","Sí"),"No")</f>
        <v>Sí</v>
      </c>
    </row>
    <row r="202" spans="1:22">
      <c r="A202" s="3" t="inlineStr">
        <is>
          <t xml:space="preserve">3EEM</t>
        </is>
      </c>
      <c r="B202" s="3" cm="1">
        <f t="array" ref="B202">IFERROR(INDEX(_xlfn._xlws.FILTER(CONFIG_ASIGNATURAS!$B$2:$B$61,(CONFIG_ASIGNATURAS!$G$2:$G$61="Sí")*ISNUMBER(SEARCH("3EEM",CONFIG_ASIGNATURAS!$C$2:$C$61))),9),"")</f>
      </c>
      <c r="C202" s="3">
        <f>IF(B202="","",IFERROR(IF(VLOOKUP(B202,CONFIG_ASIGNATURAS!$B$2:$F$61,5,FALSE())="Sí","Especialidad","Asignatura"),"Asignatura"))</f>
      </c>
      <c r="D202">
        <f>IF(V202="Sí",COUNTIFS(DATOS!G:G,CONFIG_METADATA!$B$4,DATOS!D:D,A202,DATOS!I:I,B202),"")</f>
        <v>0</v>
      </c>
      <c r="E202" s="14" t="str">
        <f>IF(V202="Sí",IFERROR(AVERAGEIFS(DATOS!K:K,DATOS!G:G,CONFIG_METADATA!$B$4,DATOS!D:D,A202,DATOS!I:I,B202),"—"),"")</f>
        <v>—</v>
      </c>
      <c r="F202" s="14" t="str" cm="1">
        <f t="array" ref="F202">IF(V202="Sí",IFERROR(_xlfn.STDEV.P(IF((nEVAL=CONFIG_METADATA!$B$4)*(nCURSO=A202)*(nASIG=B202),nNOTA)),"—"),"")</f>
        <v>—</v>
      </c>
      <c r="G202" t="str" cm="1">
        <f t="array" ref="G202">IF(V202="Sí",IFERROR(_xlfn.MODE.SNGL(IF((nEVAL=CONFIG_METADATA!$B$4)*(nCURSO=A202)*(nASIG=B202),nNOTA)),"—"),"")</f>
        <v>—</v>
      </c>
      <c r="H202" s="15" t="str">
        <f>IF(V202="Sí",IFERROR(COUNTIFS(DATOS!G:G,CONFIG_METADATA!$B$4,DATOS!D:D,A202,DATOS!I:I,B202,DATOS!L:L,"S")/COUNTIFS(DATOS!G:G,CONFIG_METADATA!$B$4,DATOS!D:D,A202,DATOS!I:I,B202),"—"),"")</f>
        <v>—</v>
      </c>
      <c r="I202" s="15" t="str">
        <f>IF(V202="Sí",IFERROR(COUNTIFS(DATOS!G:G,CONFIG_METADATA!$B$4,DATOS!D:D,A202,DATOS!I:I,B202,DATOS!L:L,"N")/COUNTIFS(DATOS!G:G,CONFIG_METADATA!$B$4,DATOS!D:D,A202,DATOS!I:I,B202),"—"),"")</f>
        <v>—</v>
      </c>
      <c r="J202" t="str" cm="1">
        <f t="array" ref="J202">IF(V202="Sí",IFERROR(_xlfn.MODE.SNGL(IF((nEVAL=CONFIG_METADATA!$B$4)*(nCURSO=A202)*(nASIG=B202)*(nAPTO="S"),nNOTA)),"—"),"")</f>
        <v>—</v>
      </c>
      <c r="K202" t="str" cm="1">
        <f t="array" ref="K202">IF(V202="Sí",IFERROR(_xlfn.MODE.SNGL(IF((nEVAL=CONFIG_METADATA!$B$4)*(nCURSO=A202)*(nASIG=B202)*(nAPTO="N"),nNOTA)),"—"),"")</f>
        <v>—</v>
      </c>
      <c r="L202">
        <f>IF(V202="Sí",COUNTIFS(DATOS!G:G,CONFIG_METADATA!$B$4,DATOS!D:D,A202,DATOS!I:I,B202,DATOS!K:K,1),"")</f>
        <v>0</v>
      </c>
      <c r="M202">
        <f>IF(V202="Sí",COUNTIFS(DATOS!G:G,CONFIG_METADATA!$B$4,DATOS!D:D,A202,DATOS!I:I,B202,DATOS!K:K,2),"")</f>
        <v>0</v>
      </c>
      <c r="N202">
        <f>IF(V202="Sí",COUNTIFS(DATOS!G:G,CONFIG_METADATA!$B$4,DATOS!D:D,A202,DATOS!I:I,B202,DATOS!K:K,3),"")</f>
        <v>0</v>
      </c>
      <c r="O202">
        <f>IF(V202="Sí",COUNTIFS(DATOS!G:G,CONFIG_METADATA!$B$4,DATOS!D:D,A202,DATOS!I:I,B202,DATOS!K:K,4),"")</f>
        <v>0</v>
      </c>
      <c r="P202">
        <f>IF(V202="Sí",COUNTIFS(DATOS!G:G,CONFIG_METADATA!$B$4,DATOS!D:D,A202,DATOS!I:I,B202,DATOS!K:K,5),"")</f>
        <v>0</v>
      </c>
      <c r="Q202">
        <f>IF(V202="Sí",COUNTIFS(DATOS!G:G,CONFIG_METADATA!$B$4,DATOS!D:D,A202,DATOS!I:I,B202,DATOS!K:K,6),"")</f>
        <v>0</v>
      </c>
      <c r="R202">
        <f>IF(V202="Sí",COUNTIFS(DATOS!G:G,CONFIG_METADATA!$B$4,DATOS!D:D,A202,DATOS!I:I,B202,DATOS!K:K,7),"")</f>
        <v>0</v>
      </c>
      <c r="S202">
        <f>IF(V202="Sí",COUNTIFS(DATOS!G:G,CONFIG_METADATA!$B$4,DATOS!D:D,A202,DATOS!I:I,B202,DATOS!K:K,8),"")</f>
        <v>0</v>
      </c>
      <c r="T202">
        <f>IF(V202="Sí",COUNTIFS(DATOS!G:G,CONFIG_METADATA!$B$4,DATOS!D:D,A202,DATOS!I:I,B202,DATOS!K:K,9),"")</f>
        <v>0</v>
      </c>
      <c r="U202">
        <f>IF(V202="Sí",COUNTIFS(DATOS!G:G,CONFIG_METADATA!$B$4,DATOS!D:D,A202,DATOS!I:I,B202,DATOS!K:K,10),"")</f>
        <v>0</v>
      </c>
      <c r="V202" t="str">
        <f>IFERROR(IF(ISERROR(FIND(A202,VLOOKUP(B202,CONFIG_ASIGNATURAS!B:C,2,FALSE()))),"No","Sí"),"No")</f>
        <v>Sí</v>
      </c>
    </row>
    <row r="203" spans="1:22">
      <c r="A203" s="3" t="inlineStr">
        <is>
          <t xml:space="preserve">3EEM</t>
        </is>
      </c>
      <c r="B203" s="3" cm="1">
        <f t="array" ref="B203">IFERROR(INDEX(_xlfn._xlws.FILTER(CONFIG_ASIGNATURAS!$B$2:$B$61,(CONFIG_ASIGNATURAS!$G$2:$G$61="Sí")*ISNUMBER(SEARCH("3EEM",CONFIG_ASIGNATURAS!$C$2:$C$61))),10),"")</f>
      </c>
      <c r="C203" s="3">
        <f>IF(B203="","",IFERROR(IF(VLOOKUP(B203,CONFIG_ASIGNATURAS!$B$2:$F$61,5,FALSE())="Sí","Especialidad","Asignatura"),"Asignatura"))</f>
      </c>
      <c r="D203">
        <f>IF(V203="Sí",COUNTIFS(DATOS!G:G,CONFIG_METADATA!$B$4,DATOS!D:D,A203,DATOS!I:I,B203),"")</f>
        <v>0</v>
      </c>
      <c r="E203" s="14" t="str">
        <f>IF(V203="Sí",IFERROR(AVERAGEIFS(DATOS!K:K,DATOS!G:G,CONFIG_METADATA!$B$4,DATOS!D:D,A203,DATOS!I:I,B203),"—"),"")</f>
        <v>—</v>
      </c>
      <c r="F203" s="14" t="str" cm="1">
        <f t="array" ref="F203">IF(V203="Sí",IFERROR(_xlfn.STDEV.P(IF((nEVAL=CONFIG_METADATA!$B$4)*(nCURSO=A203)*(nASIG=B203),nNOTA)),"—"),"")</f>
        <v>—</v>
      </c>
      <c r="G203" t="str" cm="1">
        <f t="array" ref="G203">IF(V203="Sí",IFERROR(_xlfn.MODE.SNGL(IF((nEVAL=CONFIG_METADATA!$B$4)*(nCURSO=A203)*(nASIG=B203),nNOTA)),"—"),"")</f>
        <v>—</v>
      </c>
      <c r="H203" s="15" t="str">
        <f>IF(V203="Sí",IFERROR(COUNTIFS(DATOS!G:G,CONFIG_METADATA!$B$4,DATOS!D:D,A203,DATOS!I:I,B203,DATOS!L:L,"S")/COUNTIFS(DATOS!G:G,CONFIG_METADATA!$B$4,DATOS!D:D,A203,DATOS!I:I,B203),"—"),"")</f>
        <v>—</v>
      </c>
      <c r="I203" s="15" t="str">
        <f>IF(V203="Sí",IFERROR(COUNTIFS(DATOS!G:G,CONFIG_METADATA!$B$4,DATOS!D:D,A203,DATOS!I:I,B203,DATOS!L:L,"N")/COUNTIFS(DATOS!G:G,CONFIG_METADATA!$B$4,DATOS!D:D,A203,DATOS!I:I,B203),"—"),"")</f>
        <v>—</v>
      </c>
      <c r="J203" t="str" cm="1">
        <f t="array" ref="J203">IF(V203="Sí",IFERROR(_xlfn.MODE.SNGL(IF((nEVAL=CONFIG_METADATA!$B$4)*(nCURSO=A203)*(nASIG=B203)*(nAPTO="S"),nNOTA)),"—"),"")</f>
        <v>—</v>
      </c>
      <c r="K203" t="str" cm="1">
        <f t="array" ref="K203">IF(V203="Sí",IFERROR(_xlfn.MODE.SNGL(IF((nEVAL=CONFIG_METADATA!$B$4)*(nCURSO=A203)*(nASIG=B203)*(nAPTO="N"),nNOTA)),"—"),"")</f>
        <v>—</v>
      </c>
      <c r="L203">
        <f>IF(V203="Sí",COUNTIFS(DATOS!G:G,CONFIG_METADATA!$B$4,DATOS!D:D,A203,DATOS!I:I,B203,DATOS!K:K,1),"")</f>
        <v>0</v>
      </c>
      <c r="M203">
        <f>IF(V203="Sí",COUNTIFS(DATOS!G:G,CONFIG_METADATA!$B$4,DATOS!D:D,A203,DATOS!I:I,B203,DATOS!K:K,2),"")</f>
        <v>0</v>
      </c>
      <c r="N203">
        <f>IF(V203="Sí",COUNTIFS(DATOS!G:G,CONFIG_METADATA!$B$4,DATOS!D:D,A203,DATOS!I:I,B203,DATOS!K:K,3),"")</f>
        <v>0</v>
      </c>
      <c r="O203">
        <f>IF(V203="Sí",COUNTIFS(DATOS!G:G,CONFIG_METADATA!$B$4,DATOS!D:D,A203,DATOS!I:I,B203,DATOS!K:K,4),"")</f>
        <v>0</v>
      </c>
      <c r="P203">
        <f>IF(V203="Sí",COUNTIFS(DATOS!G:G,CONFIG_METADATA!$B$4,DATOS!D:D,A203,DATOS!I:I,B203,DATOS!K:K,5),"")</f>
        <v>0</v>
      </c>
      <c r="Q203">
        <f>IF(V203="Sí",COUNTIFS(DATOS!G:G,CONFIG_METADATA!$B$4,DATOS!D:D,A203,DATOS!I:I,B203,DATOS!K:K,6),"")</f>
        <v>0</v>
      </c>
      <c r="R203">
        <f>IF(V203="Sí",COUNTIFS(DATOS!G:G,CONFIG_METADATA!$B$4,DATOS!D:D,A203,DATOS!I:I,B203,DATOS!K:K,7),"")</f>
        <v>0</v>
      </c>
      <c r="S203">
        <f>IF(V203="Sí",COUNTIFS(DATOS!G:G,CONFIG_METADATA!$B$4,DATOS!D:D,A203,DATOS!I:I,B203,DATOS!K:K,8),"")</f>
        <v>0</v>
      </c>
      <c r="T203">
        <f>IF(V203="Sí",COUNTIFS(DATOS!G:G,CONFIG_METADATA!$B$4,DATOS!D:D,A203,DATOS!I:I,B203,DATOS!K:K,9),"")</f>
        <v>0</v>
      </c>
      <c r="U203">
        <f>IF(V203="Sí",COUNTIFS(DATOS!G:G,CONFIG_METADATA!$B$4,DATOS!D:D,A203,DATOS!I:I,B203,DATOS!K:K,10),"")</f>
        <v>0</v>
      </c>
      <c r="V203" t="str">
        <f>IFERROR(IF(ISERROR(FIND(A203,VLOOKUP(B203,CONFIG_ASIGNATURAS!B:C,2,FALSE()))),"No","Sí"),"No")</f>
        <v>Sí</v>
      </c>
    </row>
    <row r="204" spans="1:22">
      <c r="A204" s="3" t="inlineStr">
        <is>
          <t xml:space="preserve">3EEM</t>
        </is>
      </c>
      <c r="B204" s="3" cm="1">
        <f t="array" ref="B204">IFERROR(INDEX(_xlfn._xlws.FILTER(CONFIG_ASIGNATURAS!$B$2:$B$61,(CONFIG_ASIGNATURAS!$G$2:$G$61="Sí")*ISNUMBER(SEARCH("3EEM",CONFIG_ASIGNATURAS!$C$2:$C$61))),11),"")</f>
      </c>
      <c r="C204" s="3">
        <f>IF(B204="","",IFERROR(IF(VLOOKUP(B204,CONFIG_ASIGNATURAS!$B$2:$F$61,5,FALSE())="Sí","Especialidad","Asignatura"),"Asignatura"))</f>
      </c>
      <c r="D204">
        <f>IF(V204="Sí",COUNTIFS(DATOS!G:G,CONFIG_METADATA!$B$4,DATOS!D:D,A204,DATOS!I:I,B204),"")</f>
        <v>0</v>
      </c>
      <c r="E204" s="14" t="str">
        <f>IF(V204="Sí",IFERROR(AVERAGEIFS(DATOS!K:K,DATOS!G:G,CONFIG_METADATA!$B$4,DATOS!D:D,A204,DATOS!I:I,B204),"—"),"")</f>
        <v>—</v>
      </c>
      <c r="F204" s="14" t="str" cm="1">
        <f t="array" ref="F204">IF(V204="Sí",IFERROR(_xlfn.STDEV.P(IF((nEVAL=CONFIG_METADATA!$B$4)*(nCURSO=A204)*(nASIG=B204),nNOTA)),"—"),"")</f>
        <v>—</v>
      </c>
      <c r="G204" t="str" cm="1">
        <f t="array" ref="G204">IF(V204="Sí",IFERROR(_xlfn.MODE.SNGL(IF((nEVAL=CONFIG_METADATA!$B$4)*(nCURSO=A204)*(nASIG=B204),nNOTA)),"—"),"")</f>
        <v>—</v>
      </c>
      <c r="H204" s="15" t="str">
        <f>IF(V204="Sí",IFERROR(COUNTIFS(DATOS!G:G,CONFIG_METADATA!$B$4,DATOS!D:D,A204,DATOS!I:I,B204,DATOS!L:L,"S")/COUNTIFS(DATOS!G:G,CONFIG_METADATA!$B$4,DATOS!D:D,A204,DATOS!I:I,B204),"—"),"")</f>
        <v>—</v>
      </c>
      <c r="I204" s="15" t="str">
        <f>IF(V204="Sí",IFERROR(COUNTIFS(DATOS!G:G,CONFIG_METADATA!$B$4,DATOS!D:D,A204,DATOS!I:I,B204,DATOS!L:L,"N")/COUNTIFS(DATOS!G:G,CONFIG_METADATA!$B$4,DATOS!D:D,A204,DATOS!I:I,B204),"—"),"")</f>
        <v>—</v>
      </c>
      <c r="J204" t="str" cm="1">
        <f t="array" ref="J204">IF(V204="Sí",IFERROR(_xlfn.MODE.SNGL(IF((nEVAL=CONFIG_METADATA!$B$4)*(nCURSO=A204)*(nASIG=B204)*(nAPTO="S"),nNOTA)),"—"),"")</f>
        <v>—</v>
      </c>
      <c r="K204" t="str" cm="1">
        <f t="array" ref="K204">IF(V204="Sí",IFERROR(_xlfn.MODE.SNGL(IF((nEVAL=CONFIG_METADATA!$B$4)*(nCURSO=A204)*(nASIG=B204)*(nAPTO="N"),nNOTA)),"—"),"")</f>
        <v>—</v>
      </c>
      <c r="L204">
        <f>IF(V204="Sí",COUNTIFS(DATOS!G:G,CONFIG_METADATA!$B$4,DATOS!D:D,A204,DATOS!I:I,B204,DATOS!K:K,1),"")</f>
        <v>0</v>
      </c>
      <c r="M204">
        <f>IF(V204="Sí",COUNTIFS(DATOS!G:G,CONFIG_METADATA!$B$4,DATOS!D:D,A204,DATOS!I:I,B204,DATOS!K:K,2),"")</f>
        <v>0</v>
      </c>
      <c r="N204">
        <f>IF(V204="Sí",COUNTIFS(DATOS!G:G,CONFIG_METADATA!$B$4,DATOS!D:D,A204,DATOS!I:I,B204,DATOS!K:K,3),"")</f>
        <v>0</v>
      </c>
      <c r="O204">
        <f>IF(V204="Sí",COUNTIFS(DATOS!G:G,CONFIG_METADATA!$B$4,DATOS!D:D,A204,DATOS!I:I,B204,DATOS!K:K,4),"")</f>
        <v>0</v>
      </c>
      <c r="P204">
        <f>IF(V204="Sí",COUNTIFS(DATOS!G:G,CONFIG_METADATA!$B$4,DATOS!D:D,A204,DATOS!I:I,B204,DATOS!K:K,5),"")</f>
        <v>0</v>
      </c>
      <c r="Q204">
        <f>IF(V204="Sí",COUNTIFS(DATOS!G:G,CONFIG_METADATA!$B$4,DATOS!D:D,A204,DATOS!I:I,B204,DATOS!K:K,6),"")</f>
        <v>0</v>
      </c>
      <c r="R204">
        <f>IF(V204="Sí",COUNTIFS(DATOS!G:G,CONFIG_METADATA!$B$4,DATOS!D:D,A204,DATOS!I:I,B204,DATOS!K:K,7),"")</f>
        <v>0</v>
      </c>
      <c r="S204">
        <f>IF(V204="Sí",COUNTIFS(DATOS!G:G,CONFIG_METADATA!$B$4,DATOS!D:D,A204,DATOS!I:I,B204,DATOS!K:K,8),"")</f>
        <v>0</v>
      </c>
      <c r="T204">
        <f>IF(V204="Sí",COUNTIFS(DATOS!G:G,CONFIG_METADATA!$B$4,DATOS!D:D,A204,DATOS!I:I,B204,DATOS!K:K,9),"")</f>
        <v>0</v>
      </c>
      <c r="U204">
        <f>IF(V204="Sí",COUNTIFS(DATOS!G:G,CONFIG_METADATA!$B$4,DATOS!D:D,A204,DATOS!I:I,B204,DATOS!K:K,10),"")</f>
        <v>0</v>
      </c>
      <c r="V204" t="str">
        <f>IFERROR(IF(ISERROR(FIND(A204,VLOOKUP(B204,CONFIG_ASIGNATURAS!B:C,2,FALSE()))),"No","Sí"),"No")</f>
        <v>Sí</v>
      </c>
    </row>
    <row r="205" spans="1:22">
      <c r="A205" s="3" t="inlineStr">
        <is>
          <t xml:space="preserve">3EEM</t>
        </is>
      </c>
      <c r="B205" s="3" cm="1">
        <f t="array" ref="B205">IFERROR(INDEX(_xlfn._xlws.FILTER(CONFIG_ASIGNATURAS!$B$2:$B$61,(CONFIG_ASIGNATURAS!$G$2:$G$61="Sí")*ISNUMBER(SEARCH("3EEM",CONFIG_ASIGNATURAS!$C$2:$C$61))),12),"")</f>
      </c>
      <c r="C205" s="3">
        <f>IF(B205="","",IFERROR(IF(VLOOKUP(B205,CONFIG_ASIGNATURAS!$B$2:$F$61,5,FALSE())="Sí","Especialidad","Asignatura"),"Asignatura"))</f>
      </c>
      <c r="D205">
        <f>IF(V205="Sí",COUNTIFS(DATOS!G:G,CONFIG_METADATA!$B$4,DATOS!D:D,A205,DATOS!I:I,B205),"")</f>
        <v>0</v>
      </c>
      <c r="E205" s="14" t="str">
        <f>IF(V205="Sí",IFERROR(AVERAGEIFS(DATOS!K:K,DATOS!G:G,CONFIG_METADATA!$B$4,DATOS!D:D,A205,DATOS!I:I,B205),"—"),"")</f>
        <v>—</v>
      </c>
      <c r="F205" s="14" t="str" cm="1">
        <f t="array" ref="F205">IF(V205="Sí",IFERROR(_xlfn.STDEV.P(IF((nEVAL=CONFIG_METADATA!$B$4)*(nCURSO=A205)*(nASIG=B205),nNOTA)),"—"),"")</f>
        <v>—</v>
      </c>
      <c r="G205" t="str" cm="1">
        <f t="array" ref="G205">IF(V205="Sí",IFERROR(_xlfn.MODE.SNGL(IF((nEVAL=CONFIG_METADATA!$B$4)*(nCURSO=A205)*(nASIG=B205),nNOTA)),"—"),"")</f>
        <v>—</v>
      </c>
      <c r="H205" s="15" t="str">
        <f>IF(V205="Sí",IFERROR(COUNTIFS(DATOS!G:G,CONFIG_METADATA!$B$4,DATOS!D:D,A205,DATOS!I:I,B205,DATOS!L:L,"S")/COUNTIFS(DATOS!G:G,CONFIG_METADATA!$B$4,DATOS!D:D,A205,DATOS!I:I,B205),"—"),"")</f>
        <v>—</v>
      </c>
      <c r="I205" s="15" t="str">
        <f>IF(V205="Sí",IFERROR(COUNTIFS(DATOS!G:G,CONFIG_METADATA!$B$4,DATOS!D:D,A205,DATOS!I:I,B205,DATOS!L:L,"N")/COUNTIFS(DATOS!G:G,CONFIG_METADATA!$B$4,DATOS!D:D,A205,DATOS!I:I,B205),"—"),"")</f>
        <v>—</v>
      </c>
      <c r="J205" t="str" cm="1">
        <f t="array" ref="J205">IF(V205="Sí",IFERROR(_xlfn.MODE.SNGL(IF((nEVAL=CONFIG_METADATA!$B$4)*(nCURSO=A205)*(nASIG=B205)*(nAPTO="S"),nNOTA)),"—"),"")</f>
        <v>—</v>
      </c>
      <c r="K205" t="str" cm="1">
        <f t="array" ref="K205">IF(V205="Sí",IFERROR(_xlfn.MODE.SNGL(IF((nEVAL=CONFIG_METADATA!$B$4)*(nCURSO=A205)*(nASIG=B205)*(nAPTO="N"),nNOTA)),"—"),"")</f>
        <v>—</v>
      </c>
      <c r="L205">
        <f>IF(V205="Sí",COUNTIFS(DATOS!G:G,CONFIG_METADATA!$B$4,DATOS!D:D,A205,DATOS!I:I,B205,DATOS!K:K,1),"")</f>
        <v>0</v>
      </c>
      <c r="M205">
        <f>IF(V205="Sí",COUNTIFS(DATOS!G:G,CONFIG_METADATA!$B$4,DATOS!D:D,A205,DATOS!I:I,B205,DATOS!K:K,2),"")</f>
        <v>0</v>
      </c>
      <c r="N205">
        <f>IF(V205="Sí",COUNTIFS(DATOS!G:G,CONFIG_METADATA!$B$4,DATOS!D:D,A205,DATOS!I:I,B205,DATOS!K:K,3),"")</f>
        <v>0</v>
      </c>
      <c r="O205">
        <f>IF(V205="Sí",COUNTIFS(DATOS!G:G,CONFIG_METADATA!$B$4,DATOS!D:D,A205,DATOS!I:I,B205,DATOS!K:K,4),"")</f>
        <v>0</v>
      </c>
      <c r="P205">
        <f>IF(V205="Sí",COUNTIFS(DATOS!G:G,CONFIG_METADATA!$B$4,DATOS!D:D,A205,DATOS!I:I,B205,DATOS!K:K,5),"")</f>
        <v>0</v>
      </c>
      <c r="Q205">
        <f>IF(V205="Sí",COUNTIFS(DATOS!G:G,CONFIG_METADATA!$B$4,DATOS!D:D,A205,DATOS!I:I,B205,DATOS!K:K,6),"")</f>
        <v>0</v>
      </c>
      <c r="R205">
        <f>IF(V205="Sí",COUNTIFS(DATOS!G:G,CONFIG_METADATA!$B$4,DATOS!D:D,A205,DATOS!I:I,B205,DATOS!K:K,7),"")</f>
        <v>0</v>
      </c>
      <c r="S205">
        <f>IF(V205="Sí",COUNTIFS(DATOS!G:G,CONFIG_METADATA!$B$4,DATOS!D:D,A205,DATOS!I:I,B205,DATOS!K:K,8),"")</f>
        <v>0</v>
      </c>
      <c r="T205">
        <f>IF(V205="Sí",COUNTIFS(DATOS!G:G,CONFIG_METADATA!$B$4,DATOS!D:D,A205,DATOS!I:I,B205,DATOS!K:K,9),"")</f>
        <v>0</v>
      </c>
      <c r="U205">
        <f>IF(V205="Sí",COUNTIFS(DATOS!G:G,CONFIG_METADATA!$B$4,DATOS!D:D,A205,DATOS!I:I,B205,DATOS!K:K,10),"")</f>
        <v>0</v>
      </c>
      <c r="V205" t="str">
        <f>IFERROR(IF(ISERROR(FIND(A205,VLOOKUP(B205,CONFIG_ASIGNATURAS!B:C,2,FALSE()))),"No","Sí"),"No")</f>
        <v>Sí</v>
      </c>
    </row>
    <row r="206" spans="1:22">
      <c r="A206" s="3" t="inlineStr">
        <is>
          <t xml:space="preserve">3EEM</t>
        </is>
      </c>
      <c r="B206" s="3" cm="1">
        <f t="array" ref="B206">IFERROR(INDEX(_xlfn._xlws.FILTER(CONFIG_ASIGNATURAS!$B$2:$B$61,(CONFIG_ASIGNATURAS!$G$2:$G$61="Sí")*ISNUMBER(SEARCH("3EEM",CONFIG_ASIGNATURAS!$C$2:$C$61))),13),"")</f>
      </c>
      <c r="C206" s="3">
        <f>IF(B206="","",IFERROR(IF(VLOOKUP(B206,CONFIG_ASIGNATURAS!$B$2:$F$61,5,FALSE())="Sí","Especialidad","Asignatura"),"Asignatura"))</f>
      </c>
      <c r="D206">
        <f>IF(V206="Sí",COUNTIFS(DATOS!G:G,CONFIG_METADATA!$B$4,DATOS!D:D,A206,DATOS!I:I,B206),"")</f>
        <v>0</v>
      </c>
      <c r="E206" s="14" t="str">
        <f>IF(V206="Sí",IFERROR(AVERAGEIFS(DATOS!K:K,DATOS!G:G,CONFIG_METADATA!$B$4,DATOS!D:D,A206,DATOS!I:I,B206),"—"),"")</f>
        <v>—</v>
      </c>
      <c r="F206" s="14" t="str" cm="1">
        <f t="array" ref="F206">IF(V206="Sí",IFERROR(_xlfn.STDEV.P(IF((nEVAL=CONFIG_METADATA!$B$4)*(nCURSO=A206)*(nASIG=B206),nNOTA)),"—"),"")</f>
        <v>—</v>
      </c>
      <c r="G206" t="str" cm="1">
        <f t="array" ref="G206">IF(V206="Sí",IFERROR(_xlfn.MODE.SNGL(IF((nEVAL=CONFIG_METADATA!$B$4)*(nCURSO=A206)*(nASIG=B206),nNOTA)),"—"),"")</f>
        <v>—</v>
      </c>
      <c r="H206" s="15" t="str">
        <f>IF(V206="Sí",IFERROR(COUNTIFS(DATOS!G:G,CONFIG_METADATA!$B$4,DATOS!D:D,A206,DATOS!I:I,B206,DATOS!L:L,"S")/COUNTIFS(DATOS!G:G,CONFIG_METADATA!$B$4,DATOS!D:D,A206,DATOS!I:I,B206),"—"),"")</f>
        <v>—</v>
      </c>
      <c r="I206" s="15" t="str">
        <f>IF(V206="Sí",IFERROR(COUNTIFS(DATOS!G:G,CONFIG_METADATA!$B$4,DATOS!D:D,A206,DATOS!I:I,B206,DATOS!L:L,"N")/COUNTIFS(DATOS!G:G,CONFIG_METADATA!$B$4,DATOS!D:D,A206,DATOS!I:I,B206),"—"),"")</f>
        <v>—</v>
      </c>
      <c r="J206" t="str" cm="1">
        <f t="array" ref="J206">IF(V206="Sí",IFERROR(_xlfn.MODE.SNGL(IF((nEVAL=CONFIG_METADATA!$B$4)*(nCURSO=A206)*(nASIG=B206)*(nAPTO="S"),nNOTA)),"—"),"")</f>
        <v>—</v>
      </c>
      <c r="K206" t="str" cm="1">
        <f t="array" ref="K206">IF(V206="Sí",IFERROR(_xlfn.MODE.SNGL(IF((nEVAL=CONFIG_METADATA!$B$4)*(nCURSO=A206)*(nASIG=B206)*(nAPTO="N"),nNOTA)),"—"),"")</f>
        <v>—</v>
      </c>
      <c r="L206">
        <f>IF(V206="Sí",COUNTIFS(DATOS!G:G,CONFIG_METADATA!$B$4,DATOS!D:D,A206,DATOS!I:I,B206,DATOS!K:K,1),"")</f>
        <v>0</v>
      </c>
      <c r="M206">
        <f>IF(V206="Sí",COUNTIFS(DATOS!G:G,CONFIG_METADATA!$B$4,DATOS!D:D,A206,DATOS!I:I,B206,DATOS!K:K,2),"")</f>
        <v>0</v>
      </c>
      <c r="N206">
        <f>IF(V206="Sí",COUNTIFS(DATOS!G:G,CONFIG_METADATA!$B$4,DATOS!D:D,A206,DATOS!I:I,B206,DATOS!K:K,3),"")</f>
        <v>0</v>
      </c>
      <c r="O206">
        <f>IF(V206="Sí",COUNTIFS(DATOS!G:G,CONFIG_METADATA!$B$4,DATOS!D:D,A206,DATOS!I:I,B206,DATOS!K:K,4),"")</f>
        <v>0</v>
      </c>
      <c r="P206">
        <f>IF(V206="Sí",COUNTIFS(DATOS!G:G,CONFIG_METADATA!$B$4,DATOS!D:D,A206,DATOS!I:I,B206,DATOS!K:K,5),"")</f>
        <v>0</v>
      </c>
      <c r="Q206">
        <f>IF(V206="Sí",COUNTIFS(DATOS!G:G,CONFIG_METADATA!$B$4,DATOS!D:D,A206,DATOS!I:I,B206,DATOS!K:K,6),"")</f>
        <v>0</v>
      </c>
      <c r="R206">
        <f>IF(V206="Sí",COUNTIFS(DATOS!G:G,CONFIG_METADATA!$B$4,DATOS!D:D,A206,DATOS!I:I,B206,DATOS!K:K,7),"")</f>
        <v>0</v>
      </c>
      <c r="S206">
        <f>IF(V206="Sí",COUNTIFS(DATOS!G:G,CONFIG_METADATA!$B$4,DATOS!D:D,A206,DATOS!I:I,B206,DATOS!K:K,8),"")</f>
        <v>0</v>
      </c>
      <c r="T206">
        <f>IF(V206="Sí",COUNTIFS(DATOS!G:G,CONFIG_METADATA!$B$4,DATOS!D:D,A206,DATOS!I:I,B206,DATOS!K:K,9),"")</f>
        <v>0</v>
      </c>
      <c r="U206">
        <f>IF(V206="Sí",COUNTIFS(DATOS!G:G,CONFIG_METADATA!$B$4,DATOS!D:D,A206,DATOS!I:I,B206,DATOS!K:K,10),"")</f>
        <v>0</v>
      </c>
      <c r="V206" t="str">
        <f>IFERROR(IF(ISERROR(FIND(A206,VLOOKUP(B206,CONFIG_ASIGNATURAS!B:C,2,FALSE()))),"No","Sí"),"No")</f>
        <v>Sí</v>
      </c>
    </row>
    <row r="207" spans="1:22">
      <c r="A207" s="3" t="inlineStr">
        <is>
          <t xml:space="preserve">3EEM</t>
        </is>
      </c>
      <c r="B207" s="3" cm="1">
        <f t="array" ref="B207">IFERROR(INDEX(_xlfn._xlws.FILTER(CONFIG_ASIGNATURAS!$B$2:$B$61,(CONFIG_ASIGNATURAS!$G$2:$G$61="Sí")*ISNUMBER(SEARCH("3EEM",CONFIG_ASIGNATURAS!$C$2:$C$61))),14),"")</f>
      </c>
      <c r="C207" s="3">
        <f>IF(B207="","",IFERROR(IF(VLOOKUP(B207,CONFIG_ASIGNATURAS!$B$2:$F$61,5,FALSE())="Sí","Especialidad","Asignatura"),"Asignatura"))</f>
      </c>
      <c r="D207">
        <f>IF(V207="Sí",COUNTIFS(DATOS!G:G,CONFIG_METADATA!$B$4,DATOS!D:D,A207,DATOS!I:I,B207),"")</f>
        <v>0</v>
      </c>
      <c r="E207" s="14" t="str">
        <f>IF(V207="Sí",IFERROR(AVERAGEIFS(DATOS!K:K,DATOS!G:G,CONFIG_METADATA!$B$4,DATOS!D:D,A207,DATOS!I:I,B207),"—"),"")</f>
        <v>—</v>
      </c>
      <c r="F207" s="14" t="str" cm="1">
        <f t="array" ref="F207">IF(V207="Sí",IFERROR(_xlfn.STDEV.P(IF((nEVAL=CONFIG_METADATA!$B$4)*(nCURSO=A207)*(nASIG=B207),nNOTA)),"—"),"")</f>
        <v>—</v>
      </c>
      <c r="G207" t="str" cm="1">
        <f t="array" ref="G207">IF(V207="Sí",IFERROR(_xlfn.MODE.SNGL(IF((nEVAL=CONFIG_METADATA!$B$4)*(nCURSO=A207)*(nASIG=B207),nNOTA)),"—"),"")</f>
        <v>—</v>
      </c>
      <c r="H207" s="15" t="str">
        <f>IF(V207="Sí",IFERROR(COUNTIFS(DATOS!G:G,CONFIG_METADATA!$B$4,DATOS!D:D,A207,DATOS!I:I,B207,DATOS!L:L,"S")/COUNTIFS(DATOS!G:G,CONFIG_METADATA!$B$4,DATOS!D:D,A207,DATOS!I:I,B207),"—"),"")</f>
        <v>—</v>
      </c>
      <c r="I207" s="15" t="str">
        <f>IF(V207="Sí",IFERROR(COUNTIFS(DATOS!G:G,CONFIG_METADATA!$B$4,DATOS!D:D,A207,DATOS!I:I,B207,DATOS!L:L,"N")/COUNTIFS(DATOS!G:G,CONFIG_METADATA!$B$4,DATOS!D:D,A207,DATOS!I:I,B207),"—"),"")</f>
        <v>—</v>
      </c>
      <c r="J207" t="str" cm="1">
        <f t="array" ref="J207">IF(V207="Sí",IFERROR(_xlfn.MODE.SNGL(IF((nEVAL=CONFIG_METADATA!$B$4)*(nCURSO=A207)*(nASIG=B207)*(nAPTO="S"),nNOTA)),"—"),"")</f>
        <v>—</v>
      </c>
      <c r="K207" t="str" cm="1">
        <f t="array" ref="K207">IF(V207="Sí",IFERROR(_xlfn.MODE.SNGL(IF((nEVAL=CONFIG_METADATA!$B$4)*(nCURSO=A207)*(nASIG=B207)*(nAPTO="N"),nNOTA)),"—"),"")</f>
        <v>—</v>
      </c>
      <c r="L207">
        <f>IF(V207="Sí",COUNTIFS(DATOS!G:G,CONFIG_METADATA!$B$4,DATOS!D:D,A207,DATOS!I:I,B207,DATOS!K:K,1),"")</f>
        <v>0</v>
      </c>
      <c r="M207">
        <f>IF(V207="Sí",COUNTIFS(DATOS!G:G,CONFIG_METADATA!$B$4,DATOS!D:D,A207,DATOS!I:I,B207,DATOS!K:K,2),"")</f>
        <v>0</v>
      </c>
      <c r="N207">
        <f>IF(V207="Sí",COUNTIFS(DATOS!G:G,CONFIG_METADATA!$B$4,DATOS!D:D,A207,DATOS!I:I,B207,DATOS!K:K,3),"")</f>
        <v>0</v>
      </c>
      <c r="O207">
        <f>IF(V207="Sí",COUNTIFS(DATOS!G:G,CONFIG_METADATA!$B$4,DATOS!D:D,A207,DATOS!I:I,B207,DATOS!K:K,4),"")</f>
        <v>0</v>
      </c>
      <c r="P207">
        <f>IF(V207="Sí",COUNTIFS(DATOS!G:G,CONFIG_METADATA!$B$4,DATOS!D:D,A207,DATOS!I:I,B207,DATOS!K:K,5),"")</f>
        <v>0</v>
      </c>
      <c r="Q207">
        <f>IF(V207="Sí",COUNTIFS(DATOS!G:G,CONFIG_METADATA!$B$4,DATOS!D:D,A207,DATOS!I:I,B207,DATOS!K:K,6),"")</f>
        <v>0</v>
      </c>
      <c r="R207">
        <f>IF(V207="Sí",COUNTIFS(DATOS!G:G,CONFIG_METADATA!$B$4,DATOS!D:D,A207,DATOS!I:I,B207,DATOS!K:K,7),"")</f>
        <v>0</v>
      </c>
      <c r="S207">
        <f>IF(V207="Sí",COUNTIFS(DATOS!G:G,CONFIG_METADATA!$B$4,DATOS!D:D,A207,DATOS!I:I,B207,DATOS!K:K,8),"")</f>
        <v>0</v>
      </c>
      <c r="T207">
        <f>IF(V207="Sí",COUNTIFS(DATOS!G:G,CONFIG_METADATA!$B$4,DATOS!D:D,A207,DATOS!I:I,B207,DATOS!K:K,9),"")</f>
        <v>0</v>
      </c>
      <c r="U207">
        <f>IF(V207="Sí",COUNTIFS(DATOS!G:G,CONFIG_METADATA!$B$4,DATOS!D:D,A207,DATOS!I:I,B207,DATOS!K:K,10),"")</f>
        <v>0</v>
      </c>
      <c r="V207" t="str">
        <f>IFERROR(IF(ISERROR(FIND(A207,VLOOKUP(B207,CONFIG_ASIGNATURAS!B:C,2,FALSE()))),"No","Sí"),"No")</f>
        <v>Sí</v>
      </c>
    </row>
    <row r="208" spans="1:22">
      <c r="A208" s="3" t="inlineStr">
        <is>
          <t xml:space="preserve">3EEM</t>
        </is>
      </c>
      <c r="B208" s="3" cm="1">
        <f t="array" ref="B208">IFERROR(INDEX(_xlfn._xlws.FILTER(CONFIG_ASIGNATURAS!$B$2:$B$61,(CONFIG_ASIGNATURAS!$G$2:$G$61="Sí")*ISNUMBER(SEARCH("3EEM",CONFIG_ASIGNATURAS!$C$2:$C$61))),15),"")</f>
      </c>
      <c r="C208" s="3">
        <f>IF(B208="","",IFERROR(IF(VLOOKUP(B208,CONFIG_ASIGNATURAS!$B$2:$F$61,5,FALSE())="Sí","Especialidad","Asignatura"),"Asignatura"))</f>
      </c>
      <c r="D208">
        <f>IF(V208="Sí",COUNTIFS(DATOS!G:G,CONFIG_METADATA!$B$4,DATOS!D:D,A208,DATOS!I:I,B208),"")</f>
        <v>0</v>
      </c>
      <c r="E208" s="14" t="str">
        <f>IF(V208="Sí",IFERROR(AVERAGEIFS(DATOS!K:K,DATOS!G:G,CONFIG_METADATA!$B$4,DATOS!D:D,A208,DATOS!I:I,B208),"—"),"")</f>
        <v>—</v>
      </c>
      <c r="F208" s="14" t="str" cm="1">
        <f t="array" ref="F208">IF(V208="Sí",IFERROR(_xlfn.STDEV.P(IF((nEVAL=CONFIG_METADATA!$B$4)*(nCURSO=A208)*(nASIG=B208),nNOTA)),"—"),"")</f>
        <v>—</v>
      </c>
      <c r="G208" t="str" cm="1">
        <f t="array" ref="G208">IF(V208="Sí",IFERROR(_xlfn.MODE.SNGL(IF((nEVAL=CONFIG_METADATA!$B$4)*(nCURSO=A208)*(nASIG=B208),nNOTA)),"—"),"")</f>
        <v>—</v>
      </c>
      <c r="H208" s="15" t="str">
        <f>IF(V208="Sí",IFERROR(COUNTIFS(DATOS!G:G,CONFIG_METADATA!$B$4,DATOS!D:D,A208,DATOS!I:I,B208,DATOS!L:L,"S")/COUNTIFS(DATOS!G:G,CONFIG_METADATA!$B$4,DATOS!D:D,A208,DATOS!I:I,B208),"—"),"")</f>
        <v>—</v>
      </c>
      <c r="I208" s="15" t="str">
        <f>IF(V208="Sí",IFERROR(COUNTIFS(DATOS!G:G,CONFIG_METADATA!$B$4,DATOS!D:D,A208,DATOS!I:I,B208,DATOS!L:L,"N")/COUNTIFS(DATOS!G:G,CONFIG_METADATA!$B$4,DATOS!D:D,A208,DATOS!I:I,B208),"—"),"")</f>
        <v>—</v>
      </c>
      <c r="J208" t="str" cm="1">
        <f t="array" ref="J208">IF(V208="Sí",IFERROR(_xlfn.MODE.SNGL(IF((nEVAL=CONFIG_METADATA!$B$4)*(nCURSO=A208)*(nASIG=B208)*(nAPTO="S"),nNOTA)),"—"),"")</f>
        <v>—</v>
      </c>
      <c r="K208" t="str" cm="1">
        <f t="array" ref="K208">IF(V208="Sí",IFERROR(_xlfn.MODE.SNGL(IF((nEVAL=CONFIG_METADATA!$B$4)*(nCURSO=A208)*(nASIG=B208)*(nAPTO="N"),nNOTA)),"—"),"")</f>
        <v>—</v>
      </c>
      <c r="L208">
        <f>IF(V208="Sí",COUNTIFS(DATOS!G:G,CONFIG_METADATA!$B$4,DATOS!D:D,A208,DATOS!I:I,B208,DATOS!K:K,1),"")</f>
        <v>0</v>
      </c>
      <c r="M208">
        <f>IF(V208="Sí",COUNTIFS(DATOS!G:G,CONFIG_METADATA!$B$4,DATOS!D:D,A208,DATOS!I:I,B208,DATOS!K:K,2),"")</f>
        <v>0</v>
      </c>
      <c r="N208">
        <f>IF(V208="Sí",COUNTIFS(DATOS!G:G,CONFIG_METADATA!$B$4,DATOS!D:D,A208,DATOS!I:I,B208,DATOS!K:K,3),"")</f>
        <v>0</v>
      </c>
      <c r="O208">
        <f>IF(V208="Sí",COUNTIFS(DATOS!G:G,CONFIG_METADATA!$B$4,DATOS!D:D,A208,DATOS!I:I,B208,DATOS!K:K,4),"")</f>
        <v>0</v>
      </c>
      <c r="P208">
        <f>IF(V208="Sí",COUNTIFS(DATOS!G:G,CONFIG_METADATA!$B$4,DATOS!D:D,A208,DATOS!I:I,B208,DATOS!K:K,5),"")</f>
        <v>0</v>
      </c>
      <c r="Q208">
        <f>IF(V208="Sí",COUNTIFS(DATOS!G:G,CONFIG_METADATA!$B$4,DATOS!D:D,A208,DATOS!I:I,B208,DATOS!K:K,6),"")</f>
        <v>0</v>
      </c>
      <c r="R208">
        <f>IF(V208="Sí",COUNTIFS(DATOS!G:G,CONFIG_METADATA!$B$4,DATOS!D:D,A208,DATOS!I:I,B208,DATOS!K:K,7),"")</f>
        <v>0</v>
      </c>
      <c r="S208">
        <f>IF(V208="Sí",COUNTIFS(DATOS!G:G,CONFIG_METADATA!$B$4,DATOS!D:D,A208,DATOS!I:I,B208,DATOS!K:K,8),"")</f>
        <v>0</v>
      </c>
      <c r="T208">
        <f>IF(V208="Sí",COUNTIFS(DATOS!G:G,CONFIG_METADATA!$B$4,DATOS!D:D,A208,DATOS!I:I,B208,DATOS!K:K,9),"")</f>
        <v>0</v>
      </c>
      <c r="U208">
        <f>IF(V208="Sí",COUNTIFS(DATOS!G:G,CONFIG_METADATA!$B$4,DATOS!D:D,A208,DATOS!I:I,B208,DATOS!K:K,10),"")</f>
        <v>0</v>
      </c>
      <c r="V208" t="str">
        <f>IFERROR(IF(ISERROR(FIND(A208,VLOOKUP(B208,CONFIG_ASIGNATURAS!B:C,2,FALSE()))),"No","Sí"),"No")</f>
        <v>Sí</v>
      </c>
    </row>
    <row r="209" spans="1:22">
      <c r="A209" s="3" t="inlineStr">
        <is>
          <t xml:space="preserve">3EEM</t>
        </is>
      </c>
      <c r="B209" s="3" cm="1">
        <f t="array" ref="B209">IFERROR(INDEX(_xlfn._xlws.FILTER(CONFIG_ASIGNATURAS!$B$2:$B$61,(CONFIG_ASIGNATURAS!$G$2:$G$61="Sí")*ISNUMBER(SEARCH("3EEM",CONFIG_ASIGNATURAS!$C$2:$C$61))),16),"")</f>
      </c>
      <c r="C209" s="3">
        <f>IF(B209="","",IFERROR(IF(VLOOKUP(B209,CONFIG_ASIGNATURAS!$B$2:$F$61,5,FALSE())="Sí","Especialidad","Asignatura"),"Asignatura"))</f>
      </c>
      <c r="D209">
        <f>IF(V209="Sí",COUNTIFS(DATOS!G:G,CONFIG_METADATA!$B$4,DATOS!D:D,A209,DATOS!I:I,B209),"")</f>
        <v>0</v>
      </c>
      <c r="E209" s="14" t="str">
        <f>IF(V209="Sí",IFERROR(AVERAGEIFS(DATOS!K:K,DATOS!G:G,CONFIG_METADATA!$B$4,DATOS!D:D,A209,DATOS!I:I,B209),"—"),"")</f>
        <v>—</v>
      </c>
      <c r="F209" s="14" t="str" cm="1">
        <f t="array" ref="F209">IF(V209="Sí",IFERROR(_xlfn.STDEV.P(IF((nEVAL=CONFIG_METADATA!$B$4)*(nCURSO=A209)*(nASIG=B209),nNOTA)),"—"),"")</f>
        <v>—</v>
      </c>
      <c r="G209" t="str" cm="1">
        <f t="array" ref="G209">IF(V209="Sí",IFERROR(_xlfn.MODE.SNGL(IF((nEVAL=CONFIG_METADATA!$B$4)*(nCURSO=A209)*(nASIG=B209),nNOTA)),"—"),"")</f>
        <v>—</v>
      </c>
      <c r="H209" s="15" t="str">
        <f>IF(V209="Sí",IFERROR(COUNTIFS(DATOS!G:G,CONFIG_METADATA!$B$4,DATOS!D:D,A209,DATOS!I:I,B209,DATOS!L:L,"S")/COUNTIFS(DATOS!G:G,CONFIG_METADATA!$B$4,DATOS!D:D,A209,DATOS!I:I,B209),"—"),"")</f>
        <v>—</v>
      </c>
      <c r="I209" s="15" t="str">
        <f>IF(V209="Sí",IFERROR(COUNTIFS(DATOS!G:G,CONFIG_METADATA!$B$4,DATOS!D:D,A209,DATOS!I:I,B209,DATOS!L:L,"N")/COUNTIFS(DATOS!G:G,CONFIG_METADATA!$B$4,DATOS!D:D,A209,DATOS!I:I,B209),"—"),"")</f>
        <v>—</v>
      </c>
      <c r="J209" t="str" cm="1">
        <f t="array" ref="J209">IF(V209="Sí",IFERROR(_xlfn.MODE.SNGL(IF((nEVAL=CONFIG_METADATA!$B$4)*(nCURSO=A209)*(nASIG=B209)*(nAPTO="S"),nNOTA)),"—"),"")</f>
        <v>—</v>
      </c>
      <c r="K209" t="str" cm="1">
        <f t="array" ref="K209">IF(V209="Sí",IFERROR(_xlfn.MODE.SNGL(IF((nEVAL=CONFIG_METADATA!$B$4)*(nCURSO=A209)*(nASIG=B209)*(nAPTO="N"),nNOTA)),"—"),"")</f>
        <v>—</v>
      </c>
      <c r="L209">
        <f>IF(V209="Sí",COUNTIFS(DATOS!G:G,CONFIG_METADATA!$B$4,DATOS!D:D,A209,DATOS!I:I,B209,DATOS!K:K,1),"")</f>
        <v>0</v>
      </c>
      <c r="M209">
        <f>IF(V209="Sí",COUNTIFS(DATOS!G:G,CONFIG_METADATA!$B$4,DATOS!D:D,A209,DATOS!I:I,B209,DATOS!K:K,2),"")</f>
        <v>0</v>
      </c>
      <c r="N209">
        <f>IF(V209="Sí",COUNTIFS(DATOS!G:G,CONFIG_METADATA!$B$4,DATOS!D:D,A209,DATOS!I:I,B209,DATOS!K:K,3),"")</f>
        <v>0</v>
      </c>
      <c r="O209">
        <f>IF(V209="Sí",COUNTIFS(DATOS!G:G,CONFIG_METADATA!$B$4,DATOS!D:D,A209,DATOS!I:I,B209,DATOS!K:K,4),"")</f>
        <v>0</v>
      </c>
      <c r="P209">
        <f>IF(V209="Sí",COUNTIFS(DATOS!G:G,CONFIG_METADATA!$B$4,DATOS!D:D,A209,DATOS!I:I,B209,DATOS!K:K,5),"")</f>
        <v>0</v>
      </c>
      <c r="Q209">
        <f>IF(V209="Sí",COUNTIFS(DATOS!G:G,CONFIG_METADATA!$B$4,DATOS!D:D,A209,DATOS!I:I,B209,DATOS!K:K,6),"")</f>
        <v>0</v>
      </c>
      <c r="R209">
        <f>IF(V209="Sí",COUNTIFS(DATOS!G:G,CONFIG_METADATA!$B$4,DATOS!D:D,A209,DATOS!I:I,B209,DATOS!K:K,7),"")</f>
        <v>0</v>
      </c>
      <c r="S209">
        <f>IF(V209="Sí",COUNTIFS(DATOS!G:G,CONFIG_METADATA!$B$4,DATOS!D:D,A209,DATOS!I:I,B209,DATOS!K:K,8),"")</f>
        <v>0</v>
      </c>
      <c r="T209">
        <f>IF(V209="Sí",COUNTIFS(DATOS!G:G,CONFIG_METADATA!$B$4,DATOS!D:D,A209,DATOS!I:I,B209,DATOS!K:K,9),"")</f>
        <v>0</v>
      </c>
      <c r="U209">
        <f>IF(V209="Sí",COUNTIFS(DATOS!G:G,CONFIG_METADATA!$B$4,DATOS!D:D,A209,DATOS!I:I,B209,DATOS!K:K,10),"")</f>
        <v>0</v>
      </c>
      <c r="V209" t="str">
        <f>IFERROR(IF(ISERROR(FIND(A209,VLOOKUP(B209,CONFIG_ASIGNATURAS!B:C,2,FALSE()))),"No","Sí"),"No")</f>
        <v>Sí</v>
      </c>
    </row>
    <row r="210" spans="1:22">
      <c r="A210" s="3" t="inlineStr">
        <is>
          <t xml:space="preserve">3EEM</t>
        </is>
      </c>
      <c r="B210" s="3" cm="1">
        <f t="array" ref="B210">IFERROR(INDEX(_xlfn._xlws.FILTER(CONFIG_ASIGNATURAS!$B$2:$B$61,(CONFIG_ASIGNATURAS!$G$2:$G$61="Sí")*ISNUMBER(SEARCH("3EEM",CONFIG_ASIGNATURAS!$C$2:$C$61))),17),"")</f>
      </c>
      <c r="C210" s="3">
        <f>IF(B210="","",IFERROR(IF(VLOOKUP(B210,CONFIG_ASIGNATURAS!$B$2:$F$61,5,FALSE())="Sí","Especialidad","Asignatura"),"Asignatura"))</f>
      </c>
      <c r="D210">
        <f>IF(V210="Sí",COUNTIFS(DATOS!G:G,CONFIG_METADATA!$B$4,DATOS!D:D,A210,DATOS!I:I,B210),"")</f>
        <v>0</v>
      </c>
      <c r="E210" s="14" t="str">
        <f>IF(V210="Sí",IFERROR(AVERAGEIFS(DATOS!K:K,DATOS!G:G,CONFIG_METADATA!$B$4,DATOS!D:D,A210,DATOS!I:I,B210),"—"),"")</f>
        <v>—</v>
      </c>
      <c r="F210" s="14" t="str" cm="1">
        <f t="array" ref="F210">IF(V210="Sí",IFERROR(_xlfn.STDEV.P(IF((nEVAL=CONFIG_METADATA!$B$4)*(nCURSO=A210)*(nASIG=B210),nNOTA)),"—"),"")</f>
        <v>—</v>
      </c>
      <c r="G210" t="str" cm="1">
        <f t="array" ref="G210">IF(V210="Sí",IFERROR(_xlfn.MODE.SNGL(IF((nEVAL=CONFIG_METADATA!$B$4)*(nCURSO=A210)*(nASIG=B210),nNOTA)),"—"),"")</f>
        <v>—</v>
      </c>
      <c r="H210" s="15" t="str">
        <f>IF(V210="Sí",IFERROR(COUNTIFS(DATOS!G:G,CONFIG_METADATA!$B$4,DATOS!D:D,A210,DATOS!I:I,B210,DATOS!L:L,"S")/COUNTIFS(DATOS!G:G,CONFIG_METADATA!$B$4,DATOS!D:D,A210,DATOS!I:I,B210),"—"),"")</f>
        <v>—</v>
      </c>
      <c r="I210" s="15" t="str">
        <f>IF(V210="Sí",IFERROR(COUNTIFS(DATOS!G:G,CONFIG_METADATA!$B$4,DATOS!D:D,A210,DATOS!I:I,B210,DATOS!L:L,"N")/COUNTIFS(DATOS!G:G,CONFIG_METADATA!$B$4,DATOS!D:D,A210,DATOS!I:I,B210),"—"),"")</f>
        <v>—</v>
      </c>
      <c r="J210" t="str" cm="1">
        <f t="array" ref="J210">IF(V210="Sí",IFERROR(_xlfn.MODE.SNGL(IF((nEVAL=CONFIG_METADATA!$B$4)*(nCURSO=A210)*(nASIG=B210)*(nAPTO="S"),nNOTA)),"—"),"")</f>
        <v>—</v>
      </c>
      <c r="K210" t="str" cm="1">
        <f t="array" ref="K210">IF(V210="Sí",IFERROR(_xlfn.MODE.SNGL(IF((nEVAL=CONFIG_METADATA!$B$4)*(nCURSO=A210)*(nASIG=B210)*(nAPTO="N"),nNOTA)),"—"),"")</f>
        <v>—</v>
      </c>
      <c r="L210">
        <f>IF(V210="Sí",COUNTIFS(DATOS!G:G,CONFIG_METADATA!$B$4,DATOS!D:D,A210,DATOS!I:I,B210,DATOS!K:K,1),"")</f>
        <v>0</v>
      </c>
      <c r="M210">
        <f>IF(V210="Sí",COUNTIFS(DATOS!G:G,CONFIG_METADATA!$B$4,DATOS!D:D,A210,DATOS!I:I,B210,DATOS!K:K,2),"")</f>
        <v>0</v>
      </c>
      <c r="N210">
        <f>IF(V210="Sí",COUNTIFS(DATOS!G:G,CONFIG_METADATA!$B$4,DATOS!D:D,A210,DATOS!I:I,B210,DATOS!K:K,3),"")</f>
        <v>0</v>
      </c>
      <c r="O210">
        <f>IF(V210="Sí",COUNTIFS(DATOS!G:G,CONFIG_METADATA!$B$4,DATOS!D:D,A210,DATOS!I:I,B210,DATOS!K:K,4),"")</f>
        <v>0</v>
      </c>
      <c r="P210">
        <f>IF(V210="Sí",COUNTIFS(DATOS!G:G,CONFIG_METADATA!$B$4,DATOS!D:D,A210,DATOS!I:I,B210,DATOS!K:K,5),"")</f>
        <v>0</v>
      </c>
      <c r="Q210">
        <f>IF(V210="Sí",COUNTIFS(DATOS!G:G,CONFIG_METADATA!$B$4,DATOS!D:D,A210,DATOS!I:I,B210,DATOS!K:K,6),"")</f>
        <v>0</v>
      </c>
      <c r="R210">
        <f>IF(V210="Sí",COUNTIFS(DATOS!G:G,CONFIG_METADATA!$B$4,DATOS!D:D,A210,DATOS!I:I,B210,DATOS!K:K,7),"")</f>
        <v>0</v>
      </c>
      <c r="S210">
        <f>IF(V210="Sí",COUNTIFS(DATOS!G:G,CONFIG_METADATA!$B$4,DATOS!D:D,A210,DATOS!I:I,B210,DATOS!K:K,8),"")</f>
        <v>0</v>
      </c>
      <c r="T210">
        <f>IF(V210="Sí",COUNTIFS(DATOS!G:G,CONFIG_METADATA!$B$4,DATOS!D:D,A210,DATOS!I:I,B210,DATOS!K:K,9),"")</f>
        <v>0</v>
      </c>
      <c r="U210">
        <f>IF(V210="Sí",COUNTIFS(DATOS!G:G,CONFIG_METADATA!$B$4,DATOS!D:D,A210,DATOS!I:I,B210,DATOS!K:K,10),"")</f>
        <v>0</v>
      </c>
      <c r="V210" t="str">
        <f>IFERROR(IF(ISERROR(FIND(A210,VLOOKUP(B210,CONFIG_ASIGNATURAS!B:C,2,FALSE()))),"No","Sí"),"No")</f>
        <v>Sí</v>
      </c>
    </row>
    <row r="211" spans="1:22">
      <c r="A211" s="3" t="inlineStr">
        <is>
          <t xml:space="preserve">3EEM</t>
        </is>
      </c>
      <c r="B211" s="3" cm="1">
        <f t="array" ref="B211">IFERROR(INDEX(_xlfn._xlws.FILTER(CONFIG_ASIGNATURAS!$B$2:$B$61,(CONFIG_ASIGNATURAS!$G$2:$G$61="Sí")*ISNUMBER(SEARCH("3EEM",CONFIG_ASIGNATURAS!$C$2:$C$61))),18),"")</f>
      </c>
      <c r="C211" s="3">
        <f>IF(B211="","",IFERROR(IF(VLOOKUP(B211,CONFIG_ASIGNATURAS!$B$2:$F$61,5,FALSE())="Sí","Especialidad","Asignatura"),"Asignatura"))</f>
      </c>
      <c r="D211">
        <f>IF(V211="Sí",COUNTIFS(DATOS!G:G,CONFIG_METADATA!$B$4,DATOS!D:D,A211,DATOS!I:I,B211),"")</f>
        <v>0</v>
      </c>
      <c r="E211" s="14" t="str">
        <f>IF(V211="Sí",IFERROR(AVERAGEIFS(DATOS!K:K,DATOS!G:G,CONFIG_METADATA!$B$4,DATOS!D:D,A211,DATOS!I:I,B211),"—"),"")</f>
        <v>—</v>
      </c>
      <c r="F211" s="14" t="str" cm="1">
        <f t="array" ref="F211">IF(V211="Sí",IFERROR(_xlfn.STDEV.P(IF((nEVAL=CONFIG_METADATA!$B$4)*(nCURSO=A211)*(nASIG=B211),nNOTA)),"—"),"")</f>
        <v>—</v>
      </c>
      <c r="G211" t="str" cm="1">
        <f t="array" ref="G211">IF(V211="Sí",IFERROR(_xlfn.MODE.SNGL(IF((nEVAL=CONFIG_METADATA!$B$4)*(nCURSO=A211)*(nASIG=B211),nNOTA)),"—"),"")</f>
        <v>—</v>
      </c>
      <c r="H211" s="15" t="str">
        <f>IF(V211="Sí",IFERROR(COUNTIFS(DATOS!G:G,CONFIG_METADATA!$B$4,DATOS!D:D,A211,DATOS!I:I,B211,DATOS!L:L,"S")/COUNTIFS(DATOS!G:G,CONFIG_METADATA!$B$4,DATOS!D:D,A211,DATOS!I:I,B211),"—"),"")</f>
        <v>—</v>
      </c>
      <c r="I211" s="15" t="str">
        <f>IF(V211="Sí",IFERROR(COUNTIFS(DATOS!G:G,CONFIG_METADATA!$B$4,DATOS!D:D,A211,DATOS!I:I,B211,DATOS!L:L,"N")/COUNTIFS(DATOS!G:G,CONFIG_METADATA!$B$4,DATOS!D:D,A211,DATOS!I:I,B211),"—"),"")</f>
        <v>—</v>
      </c>
      <c r="J211" t="str" cm="1">
        <f t="array" ref="J211">IF(V211="Sí",IFERROR(_xlfn.MODE.SNGL(IF((nEVAL=CONFIG_METADATA!$B$4)*(nCURSO=A211)*(nASIG=B211)*(nAPTO="S"),nNOTA)),"—"),"")</f>
        <v>—</v>
      </c>
      <c r="K211" t="str" cm="1">
        <f t="array" ref="K211">IF(V211="Sí",IFERROR(_xlfn.MODE.SNGL(IF((nEVAL=CONFIG_METADATA!$B$4)*(nCURSO=A211)*(nASIG=B211)*(nAPTO="N"),nNOTA)),"—"),"")</f>
        <v>—</v>
      </c>
      <c r="L211">
        <f>IF(V211="Sí",COUNTIFS(DATOS!G:G,CONFIG_METADATA!$B$4,DATOS!D:D,A211,DATOS!I:I,B211,DATOS!K:K,1),"")</f>
        <v>0</v>
      </c>
      <c r="M211">
        <f>IF(V211="Sí",COUNTIFS(DATOS!G:G,CONFIG_METADATA!$B$4,DATOS!D:D,A211,DATOS!I:I,B211,DATOS!K:K,2),"")</f>
        <v>0</v>
      </c>
      <c r="N211">
        <f>IF(V211="Sí",COUNTIFS(DATOS!G:G,CONFIG_METADATA!$B$4,DATOS!D:D,A211,DATOS!I:I,B211,DATOS!K:K,3),"")</f>
        <v>0</v>
      </c>
      <c r="O211">
        <f>IF(V211="Sí",COUNTIFS(DATOS!G:G,CONFIG_METADATA!$B$4,DATOS!D:D,A211,DATOS!I:I,B211,DATOS!K:K,4),"")</f>
        <v>0</v>
      </c>
      <c r="P211">
        <f>IF(V211="Sí",COUNTIFS(DATOS!G:G,CONFIG_METADATA!$B$4,DATOS!D:D,A211,DATOS!I:I,B211,DATOS!K:K,5),"")</f>
        <v>0</v>
      </c>
      <c r="Q211">
        <f>IF(V211="Sí",COUNTIFS(DATOS!G:G,CONFIG_METADATA!$B$4,DATOS!D:D,A211,DATOS!I:I,B211,DATOS!K:K,6),"")</f>
        <v>0</v>
      </c>
      <c r="R211">
        <f>IF(V211="Sí",COUNTIFS(DATOS!G:G,CONFIG_METADATA!$B$4,DATOS!D:D,A211,DATOS!I:I,B211,DATOS!K:K,7),"")</f>
        <v>0</v>
      </c>
      <c r="S211">
        <f>IF(V211="Sí",COUNTIFS(DATOS!G:G,CONFIG_METADATA!$B$4,DATOS!D:D,A211,DATOS!I:I,B211,DATOS!K:K,8),"")</f>
        <v>0</v>
      </c>
      <c r="T211">
        <f>IF(V211="Sí",COUNTIFS(DATOS!G:G,CONFIG_METADATA!$B$4,DATOS!D:D,A211,DATOS!I:I,B211,DATOS!K:K,9),"")</f>
        <v>0</v>
      </c>
      <c r="U211">
        <f>IF(V211="Sí",COUNTIFS(DATOS!G:G,CONFIG_METADATA!$B$4,DATOS!D:D,A211,DATOS!I:I,B211,DATOS!K:K,10),"")</f>
        <v>0</v>
      </c>
      <c r="V211" t="str">
        <f>IFERROR(IF(ISERROR(FIND(A211,VLOOKUP(B211,CONFIG_ASIGNATURAS!B:C,2,FALSE()))),"No","Sí"),"No")</f>
        <v>Sí</v>
      </c>
    </row>
    <row r="212" spans="1:22">
      <c r="A212" s="3" t="inlineStr">
        <is>
          <t xml:space="preserve">3EEM</t>
        </is>
      </c>
      <c r="B212" s="3" cm="1">
        <f t="array" ref="B212">IFERROR(INDEX(_xlfn._xlws.FILTER(CONFIG_ASIGNATURAS!$B$2:$B$61,(CONFIG_ASIGNATURAS!$G$2:$G$61="Sí")*ISNUMBER(SEARCH("3EEM",CONFIG_ASIGNATURAS!$C$2:$C$61))),19),"")</f>
      </c>
      <c r="C212" s="3">
        <f>IF(B212="","",IFERROR(IF(VLOOKUP(B212,CONFIG_ASIGNATURAS!$B$2:$F$61,5,FALSE())="Sí","Especialidad","Asignatura"),"Asignatura"))</f>
      </c>
      <c r="D212">
        <f>IF(V212="Sí",COUNTIFS(DATOS!G:G,CONFIG_METADATA!$B$4,DATOS!D:D,A212,DATOS!I:I,B212),"")</f>
        <v>0</v>
      </c>
      <c r="E212" s="14" t="str">
        <f>IF(V212="Sí",IFERROR(AVERAGEIFS(DATOS!K:K,DATOS!G:G,CONFIG_METADATA!$B$4,DATOS!D:D,A212,DATOS!I:I,B212),"—"),"")</f>
        <v>—</v>
      </c>
      <c r="F212" s="14" t="str" cm="1">
        <f t="array" ref="F212">IF(V212="Sí",IFERROR(_xlfn.STDEV.P(IF((nEVAL=CONFIG_METADATA!$B$4)*(nCURSO=A212)*(nASIG=B212),nNOTA)),"—"),"")</f>
        <v>—</v>
      </c>
      <c r="G212" t="str" cm="1">
        <f t="array" ref="G212">IF(V212="Sí",IFERROR(_xlfn.MODE.SNGL(IF((nEVAL=CONFIG_METADATA!$B$4)*(nCURSO=A212)*(nASIG=B212),nNOTA)),"—"),"")</f>
        <v>—</v>
      </c>
      <c r="H212" s="15" t="str">
        <f>IF(V212="Sí",IFERROR(COUNTIFS(DATOS!G:G,CONFIG_METADATA!$B$4,DATOS!D:D,A212,DATOS!I:I,B212,DATOS!L:L,"S")/COUNTIFS(DATOS!G:G,CONFIG_METADATA!$B$4,DATOS!D:D,A212,DATOS!I:I,B212),"—"),"")</f>
        <v>—</v>
      </c>
      <c r="I212" s="15" t="str">
        <f>IF(V212="Sí",IFERROR(COUNTIFS(DATOS!G:G,CONFIG_METADATA!$B$4,DATOS!D:D,A212,DATOS!I:I,B212,DATOS!L:L,"N")/COUNTIFS(DATOS!G:G,CONFIG_METADATA!$B$4,DATOS!D:D,A212,DATOS!I:I,B212),"—"),"")</f>
        <v>—</v>
      </c>
      <c r="J212" t="str" cm="1">
        <f t="array" ref="J212">IF(V212="Sí",IFERROR(_xlfn.MODE.SNGL(IF((nEVAL=CONFIG_METADATA!$B$4)*(nCURSO=A212)*(nASIG=B212)*(nAPTO="S"),nNOTA)),"—"),"")</f>
        <v>—</v>
      </c>
      <c r="K212" t="str" cm="1">
        <f t="array" ref="K212">IF(V212="Sí",IFERROR(_xlfn.MODE.SNGL(IF((nEVAL=CONFIG_METADATA!$B$4)*(nCURSO=A212)*(nASIG=B212)*(nAPTO="N"),nNOTA)),"—"),"")</f>
        <v>—</v>
      </c>
      <c r="L212">
        <f>IF(V212="Sí",COUNTIFS(DATOS!G:G,CONFIG_METADATA!$B$4,DATOS!D:D,A212,DATOS!I:I,B212,DATOS!K:K,1),"")</f>
        <v>0</v>
      </c>
      <c r="M212">
        <f>IF(V212="Sí",COUNTIFS(DATOS!G:G,CONFIG_METADATA!$B$4,DATOS!D:D,A212,DATOS!I:I,B212,DATOS!K:K,2),"")</f>
        <v>0</v>
      </c>
      <c r="N212">
        <f>IF(V212="Sí",COUNTIFS(DATOS!G:G,CONFIG_METADATA!$B$4,DATOS!D:D,A212,DATOS!I:I,B212,DATOS!K:K,3),"")</f>
        <v>0</v>
      </c>
      <c r="O212">
        <f>IF(V212="Sí",COUNTIFS(DATOS!G:G,CONFIG_METADATA!$B$4,DATOS!D:D,A212,DATOS!I:I,B212,DATOS!K:K,4),"")</f>
        <v>0</v>
      </c>
      <c r="P212">
        <f>IF(V212="Sí",COUNTIFS(DATOS!G:G,CONFIG_METADATA!$B$4,DATOS!D:D,A212,DATOS!I:I,B212,DATOS!K:K,5),"")</f>
        <v>0</v>
      </c>
      <c r="Q212">
        <f>IF(V212="Sí",COUNTIFS(DATOS!G:G,CONFIG_METADATA!$B$4,DATOS!D:D,A212,DATOS!I:I,B212,DATOS!K:K,6),"")</f>
        <v>0</v>
      </c>
      <c r="R212">
        <f>IF(V212="Sí",COUNTIFS(DATOS!G:G,CONFIG_METADATA!$B$4,DATOS!D:D,A212,DATOS!I:I,B212,DATOS!K:K,7),"")</f>
        <v>0</v>
      </c>
      <c r="S212">
        <f>IF(V212="Sí",COUNTIFS(DATOS!G:G,CONFIG_METADATA!$B$4,DATOS!D:D,A212,DATOS!I:I,B212,DATOS!K:K,8),"")</f>
        <v>0</v>
      </c>
      <c r="T212">
        <f>IF(V212="Sí",COUNTIFS(DATOS!G:G,CONFIG_METADATA!$B$4,DATOS!D:D,A212,DATOS!I:I,B212,DATOS!K:K,9),"")</f>
        <v>0</v>
      </c>
      <c r="U212">
        <f>IF(V212="Sí",COUNTIFS(DATOS!G:G,CONFIG_METADATA!$B$4,DATOS!D:D,A212,DATOS!I:I,B212,DATOS!K:K,10),"")</f>
        <v>0</v>
      </c>
      <c r="V212" t="str">
        <f>IFERROR(IF(ISERROR(FIND(A212,VLOOKUP(B212,CONFIG_ASIGNATURAS!B:C,2,FALSE()))),"No","Sí"),"No")</f>
        <v>Sí</v>
      </c>
    </row>
    <row r="213" spans="1:22">
      <c r="A213" s="3" t="inlineStr">
        <is>
          <t xml:space="preserve">3EEM</t>
        </is>
      </c>
      <c r="B213" s="3" cm="1">
        <f t="array" ref="B213">IFERROR(INDEX(_xlfn._xlws.FILTER(CONFIG_ASIGNATURAS!$B$2:$B$61,(CONFIG_ASIGNATURAS!$G$2:$G$61="Sí")*ISNUMBER(SEARCH("3EEM",CONFIG_ASIGNATURAS!$C$2:$C$61))),20),"")</f>
      </c>
      <c r="C213" s="3">
        <f>IF(B213="","",IFERROR(IF(VLOOKUP(B213,CONFIG_ASIGNATURAS!$B$2:$F$61,5,FALSE())="Sí","Especialidad","Asignatura"),"Asignatura"))</f>
      </c>
      <c r="D213">
        <f>IF(V213="Sí",COUNTIFS(DATOS!G:G,CONFIG_METADATA!$B$4,DATOS!D:D,A213,DATOS!I:I,B213),"")</f>
        <v>0</v>
      </c>
      <c r="E213" s="14" t="str">
        <f>IF(V213="Sí",IFERROR(AVERAGEIFS(DATOS!K:K,DATOS!G:G,CONFIG_METADATA!$B$4,DATOS!D:D,A213,DATOS!I:I,B213),"—"),"")</f>
        <v>—</v>
      </c>
      <c r="F213" s="14" t="str" cm="1">
        <f t="array" ref="F213">IF(V213="Sí",IFERROR(_xlfn.STDEV.P(IF((nEVAL=CONFIG_METADATA!$B$4)*(nCURSO=A213)*(nASIG=B213),nNOTA)),"—"),"")</f>
        <v>—</v>
      </c>
      <c r="G213" t="str" cm="1">
        <f t="array" ref="G213">IF(V213="Sí",IFERROR(_xlfn.MODE.SNGL(IF((nEVAL=CONFIG_METADATA!$B$4)*(nCURSO=A213)*(nASIG=B213),nNOTA)),"—"),"")</f>
        <v>—</v>
      </c>
      <c r="H213" s="15" t="str">
        <f>IF(V213="Sí",IFERROR(COUNTIFS(DATOS!G:G,CONFIG_METADATA!$B$4,DATOS!D:D,A213,DATOS!I:I,B213,DATOS!L:L,"S")/COUNTIFS(DATOS!G:G,CONFIG_METADATA!$B$4,DATOS!D:D,A213,DATOS!I:I,B213),"—"),"")</f>
        <v>—</v>
      </c>
      <c r="I213" s="15" t="str">
        <f>IF(V213="Sí",IFERROR(COUNTIFS(DATOS!G:G,CONFIG_METADATA!$B$4,DATOS!D:D,A213,DATOS!I:I,B213,DATOS!L:L,"N")/COUNTIFS(DATOS!G:G,CONFIG_METADATA!$B$4,DATOS!D:D,A213,DATOS!I:I,B213),"—"),"")</f>
        <v>—</v>
      </c>
      <c r="J213" t="str" cm="1">
        <f t="array" ref="J213">IF(V213="Sí",IFERROR(_xlfn.MODE.SNGL(IF((nEVAL=CONFIG_METADATA!$B$4)*(nCURSO=A213)*(nASIG=B213)*(nAPTO="S"),nNOTA)),"—"),"")</f>
        <v>—</v>
      </c>
      <c r="K213" t="str" cm="1">
        <f t="array" ref="K213">IF(V213="Sí",IFERROR(_xlfn.MODE.SNGL(IF((nEVAL=CONFIG_METADATA!$B$4)*(nCURSO=A213)*(nASIG=B213)*(nAPTO="N"),nNOTA)),"—"),"")</f>
        <v>—</v>
      </c>
      <c r="L213">
        <f>IF(V213="Sí",COUNTIFS(DATOS!G:G,CONFIG_METADATA!$B$4,DATOS!D:D,A213,DATOS!I:I,B213,DATOS!K:K,1),"")</f>
        <v>0</v>
      </c>
      <c r="M213">
        <f>IF(V213="Sí",COUNTIFS(DATOS!G:G,CONFIG_METADATA!$B$4,DATOS!D:D,A213,DATOS!I:I,B213,DATOS!K:K,2),"")</f>
        <v>0</v>
      </c>
      <c r="N213">
        <f>IF(V213="Sí",COUNTIFS(DATOS!G:G,CONFIG_METADATA!$B$4,DATOS!D:D,A213,DATOS!I:I,B213,DATOS!K:K,3),"")</f>
        <v>0</v>
      </c>
      <c r="O213">
        <f>IF(V213="Sí",COUNTIFS(DATOS!G:G,CONFIG_METADATA!$B$4,DATOS!D:D,A213,DATOS!I:I,B213,DATOS!K:K,4),"")</f>
        <v>0</v>
      </c>
      <c r="P213">
        <f>IF(V213="Sí",COUNTIFS(DATOS!G:G,CONFIG_METADATA!$B$4,DATOS!D:D,A213,DATOS!I:I,B213,DATOS!K:K,5),"")</f>
        <v>0</v>
      </c>
      <c r="Q213">
        <f>IF(V213="Sí",COUNTIFS(DATOS!G:G,CONFIG_METADATA!$B$4,DATOS!D:D,A213,DATOS!I:I,B213,DATOS!K:K,6),"")</f>
        <v>0</v>
      </c>
      <c r="R213">
        <f>IF(V213="Sí",COUNTIFS(DATOS!G:G,CONFIG_METADATA!$B$4,DATOS!D:D,A213,DATOS!I:I,B213,DATOS!K:K,7),"")</f>
        <v>0</v>
      </c>
      <c r="S213">
        <f>IF(V213="Sí",COUNTIFS(DATOS!G:G,CONFIG_METADATA!$B$4,DATOS!D:D,A213,DATOS!I:I,B213,DATOS!K:K,8),"")</f>
        <v>0</v>
      </c>
      <c r="T213">
        <f>IF(V213="Sí",COUNTIFS(DATOS!G:G,CONFIG_METADATA!$B$4,DATOS!D:D,A213,DATOS!I:I,B213,DATOS!K:K,9),"")</f>
        <v>0</v>
      </c>
      <c r="U213">
        <f>IF(V213="Sí",COUNTIFS(DATOS!G:G,CONFIG_METADATA!$B$4,DATOS!D:D,A213,DATOS!I:I,B213,DATOS!K:K,10),"")</f>
        <v>0</v>
      </c>
      <c r="V213" t="str">
        <f>IFERROR(IF(ISERROR(FIND(A213,VLOOKUP(B213,CONFIG_ASIGNATURAS!B:C,2,FALSE()))),"No","Sí"),"No")</f>
        <v>Sí</v>
      </c>
    </row>
    <row r="214" spans="1:22">
      <c r="A214" s="3" t="inlineStr">
        <is>
          <t xml:space="preserve">3EEM</t>
        </is>
      </c>
      <c r="B214" s="3" cm="1">
        <f t="array" ref="B214">IFERROR(INDEX(_xlfn._xlws.FILTER(CONFIG_ASIGNATURAS!$B$2:$B$61,(CONFIG_ASIGNATURAS!$G$2:$G$61="Sí")*ISNUMBER(SEARCH("3EEM",CONFIG_ASIGNATURAS!$C$2:$C$61))),21),"")</f>
      </c>
      <c r="C214" s="3">
        <f>IF(B214="","",IFERROR(IF(VLOOKUP(B214,CONFIG_ASIGNATURAS!$B$2:$F$61,5,FALSE())="Sí","Especialidad","Asignatura"),"Asignatura"))</f>
      </c>
      <c r="D214">
        <f>IF(V214="Sí",COUNTIFS(DATOS!G:G,CONFIG_METADATA!$B$4,DATOS!D:D,A214,DATOS!I:I,B214),"")</f>
        <v>0</v>
      </c>
      <c r="E214" s="14" t="str">
        <f>IF(V214="Sí",IFERROR(AVERAGEIFS(DATOS!K:K,DATOS!G:G,CONFIG_METADATA!$B$4,DATOS!D:D,A214,DATOS!I:I,B214),"—"),"")</f>
        <v>—</v>
      </c>
      <c r="F214" s="14" t="str" cm="1">
        <f t="array" ref="F214">IF(V214="Sí",IFERROR(_xlfn.STDEV.P(IF((nEVAL=CONFIG_METADATA!$B$4)*(nCURSO=A214)*(nASIG=B214),nNOTA)),"—"),"")</f>
        <v>—</v>
      </c>
      <c r="G214" t="str" cm="1">
        <f t="array" ref="G214">IF(V214="Sí",IFERROR(_xlfn.MODE.SNGL(IF((nEVAL=CONFIG_METADATA!$B$4)*(nCURSO=A214)*(nASIG=B214),nNOTA)),"—"),"")</f>
        <v>—</v>
      </c>
      <c r="H214" s="15" t="str">
        <f>IF(V214="Sí",IFERROR(COUNTIFS(DATOS!G:G,CONFIG_METADATA!$B$4,DATOS!D:D,A214,DATOS!I:I,B214,DATOS!L:L,"S")/COUNTIFS(DATOS!G:G,CONFIG_METADATA!$B$4,DATOS!D:D,A214,DATOS!I:I,B214),"—"),"")</f>
        <v>—</v>
      </c>
      <c r="I214" s="15" t="str">
        <f>IF(V214="Sí",IFERROR(COUNTIFS(DATOS!G:G,CONFIG_METADATA!$B$4,DATOS!D:D,A214,DATOS!I:I,B214,DATOS!L:L,"N")/COUNTIFS(DATOS!G:G,CONFIG_METADATA!$B$4,DATOS!D:D,A214,DATOS!I:I,B214),"—"),"")</f>
        <v>—</v>
      </c>
      <c r="J214" t="str" cm="1">
        <f t="array" ref="J214">IF(V214="Sí",IFERROR(_xlfn.MODE.SNGL(IF((nEVAL=CONFIG_METADATA!$B$4)*(nCURSO=A214)*(nASIG=B214)*(nAPTO="S"),nNOTA)),"—"),"")</f>
        <v>—</v>
      </c>
      <c r="K214" t="str" cm="1">
        <f t="array" ref="K214">IF(V214="Sí",IFERROR(_xlfn.MODE.SNGL(IF((nEVAL=CONFIG_METADATA!$B$4)*(nCURSO=A214)*(nASIG=B214)*(nAPTO="N"),nNOTA)),"—"),"")</f>
        <v>—</v>
      </c>
      <c r="L214">
        <f>IF(V214="Sí",COUNTIFS(DATOS!G:G,CONFIG_METADATA!$B$4,DATOS!D:D,A214,DATOS!I:I,B214,DATOS!K:K,1),"")</f>
        <v>0</v>
      </c>
      <c r="M214">
        <f>IF(V214="Sí",COUNTIFS(DATOS!G:G,CONFIG_METADATA!$B$4,DATOS!D:D,A214,DATOS!I:I,B214,DATOS!K:K,2),"")</f>
        <v>0</v>
      </c>
      <c r="N214">
        <f>IF(V214="Sí",COUNTIFS(DATOS!G:G,CONFIG_METADATA!$B$4,DATOS!D:D,A214,DATOS!I:I,B214,DATOS!K:K,3),"")</f>
        <v>0</v>
      </c>
      <c r="O214">
        <f>IF(V214="Sí",COUNTIFS(DATOS!G:G,CONFIG_METADATA!$B$4,DATOS!D:D,A214,DATOS!I:I,B214,DATOS!K:K,4),"")</f>
        <v>0</v>
      </c>
      <c r="P214">
        <f>IF(V214="Sí",COUNTIFS(DATOS!G:G,CONFIG_METADATA!$B$4,DATOS!D:D,A214,DATOS!I:I,B214,DATOS!K:K,5),"")</f>
        <v>0</v>
      </c>
      <c r="Q214">
        <f>IF(V214="Sí",COUNTIFS(DATOS!G:G,CONFIG_METADATA!$B$4,DATOS!D:D,A214,DATOS!I:I,B214,DATOS!K:K,6),"")</f>
        <v>0</v>
      </c>
      <c r="R214">
        <f>IF(V214="Sí",COUNTIFS(DATOS!G:G,CONFIG_METADATA!$B$4,DATOS!D:D,A214,DATOS!I:I,B214,DATOS!K:K,7),"")</f>
        <v>0</v>
      </c>
      <c r="S214">
        <f>IF(V214="Sí",COUNTIFS(DATOS!G:G,CONFIG_METADATA!$B$4,DATOS!D:D,A214,DATOS!I:I,B214,DATOS!K:K,8),"")</f>
        <v>0</v>
      </c>
      <c r="T214">
        <f>IF(V214="Sí",COUNTIFS(DATOS!G:G,CONFIG_METADATA!$B$4,DATOS!D:D,A214,DATOS!I:I,B214,DATOS!K:K,9),"")</f>
        <v>0</v>
      </c>
      <c r="U214">
        <f>IF(V214="Sí",COUNTIFS(DATOS!G:G,CONFIG_METADATA!$B$4,DATOS!D:D,A214,DATOS!I:I,B214,DATOS!K:K,10),"")</f>
        <v>0</v>
      </c>
      <c r="V214" t="str">
        <f>IFERROR(IF(ISERROR(FIND(A214,VLOOKUP(B214,CONFIG_ASIGNATURAS!B:C,2,FALSE()))),"No","Sí"),"No")</f>
        <v>Sí</v>
      </c>
    </row>
    <row r="215" spans="1:22">
      <c r="A215" s="3" t="inlineStr">
        <is>
          <t xml:space="preserve">3EEM</t>
        </is>
      </c>
      <c r="B215" s="3" cm="1">
        <f t="array" ref="B215">IFERROR(INDEX(_xlfn._xlws.FILTER(CONFIG_ASIGNATURAS!$B$2:$B$61,(CONFIG_ASIGNATURAS!$G$2:$G$61="Sí")*ISNUMBER(SEARCH("3EEM",CONFIG_ASIGNATURAS!$C$2:$C$61))),22),"")</f>
      </c>
      <c r="C215" s="3">
        <f>IF(B215="","",IFERROR(IF(VLOOKUP(B215,CONFIG_ASIGNATURAS!$B$2:$F$61,5,FALSE())="Sí","Especialidad","Asignatura"),"Asignatura"))</f>
      </c>
      <c r="D215">
        <f>IF(V215="Sí",COUNTIFS(DATOS!G:G,CONFIG_METADATA!$B$4,DATOS!D:D,A215,DATOS!I:I,B215),"")</f>
        <v>0</v>
      </c>
      <c r="E215" s="14" t="str">
        <f>IF(V215="Sí",IFERROR(AVERAGEIFS(DATOS!K:K,DATOS!G:G,CONFIG_METADATA!$B$4,DATOS!D:D,A215,DATOS!I:I,B215),"—"),"")</f>
        <v>—</v>
      </c>
      <c r="F215" s="14" t="str" cm="1">
        <f t="array" ref="F215">IF(V215="Sí",IFERROR(_xlfn.STDEV.P(IF((nEVAL=CONFIG_METADATA!$B$4)*(nCURSO=A215)*(nASIG=B215),nNOTA)),"—"),"")</f>
        <v>—</v>
      </c>
      <c r="G215" t="str" cm="1">
        <f t="array" ref="G215">IF(V215="Sí",IFERROR(_xlfn.MODE.SNGL(IF((nEVAL=CONFIG_METADATA!$B$4)*(nCURSO=A215)*(nASIG=B215),nNOTA)),"—"),"")</f>
        <v>—</v>
      </c>
      <c r="H215" s="15" t="str">
        <f>IF(V215="Sí",IFERROR(COUNTIFS(DATOS!G:G,CONFIG_METADATA!$B$4,DATOS!D:D,A215,DATOS!I:I,B215,DATOS!L:L,"S")/COUNTIFS(DATOS!G:G,CONFIG_METADATA!$B$4,DATOS!D:D,A215,DATOS!I:I,B215),"—"),"")</f>
        <v>—</v>
      </c>
      <c r="I215" s="15" t="str">
        <f>IF(V215="Sí",IFERROR(COUNTIFS(DATOS!G:G,CONFIG_METADATA!$B$4,DATOS!D:D,A215,DATOS!I:I,B215,DATOS!L:L,"N")/COUNTIFS(DATOS!G:G,CONFIG_METADATA!$B$4,DATOS!D:D,A215,DATOS!I:I,B215),"—"),"")</f>
        <v>—</v>
      </c>
      <c r="J215" t="str" cm="1">
        <f t="array" ref="J215">IF(V215="Sí",IFERROR(_xlfn.MODE.SNGL(IF((nEVAL=CONFIG_METADATA!$B$4)*(nCURSO=A215)*(nASIG=B215)*(nAPTO="S"),nNOTA)),"—"),"")</f>
        <v>—</v>
      </c>
      <c r="K215" t="str" cm="1">
        <f t="array" ref="K215">IF(V215="Sí",IFERROR(_xlfn.MODE.SNGL(IF((nEVAL=CONFIG_METADATA!$B$4)*(nCURSO=A215)*(nASIG=B215)*(nAPTO="N"),nNOTA)),"—"),"")</f>
        <v>—</v>
      </c>
      <c r="L215">
        <f>IF(V215="Sí",COUNTIFS(DATOS!G:G,CONFIG_METADATA!$B$4,DATOS!D:D,A215,DATOS!I:I,B215,DATOS!K:K,1),"")</f>
        <v>0</v>
      </c>
      <c r="M215">
        <f>IF(V215="Sí",COUNTIFS(DATOS!G:G,CONFIG_METADATA!$B$4,DATOS!D:D,A215,DATOS!I:I,B215,DATOS!K:K,2),"")</f>
        <v>0</v>
      </c>
      <c r="N215">
        <f>IF(V215="Sí",COUNTIFS(DATOS!G:G,CONFIG_METADATA!$B$4,DATOS!D:D,A215,DATOS!I:I,B215,DATOS!K:K,3),"")</f>
        <v>0</v>
      </c>
      <c r="O215">
        <f>IF(V215="Sí",COUNTIFS(DATOS!G:G,CONFIG_METADATA!$B$4,DATOS!D:D,A215,DATOS!I:I,B215,DATOS!K:K,4),"")</f>
        <v>0</v>
      </c>
      <c r="P215">
        <f>IF(V215="Sí",COUNTIFS(DATOS!G:G,CONFIG_METADATA!$B$4,DATOS!D:D,A215,DATOS!I:I,B215,DATOS!K:K,5),"")</f>
        <v>0</v>
      </c>
      <c r="Q215">
        <f>IF(V215="Sí",COUNTIFS(DATOS!G:G,CONFIG_METADATA!$B$4,DATOS!D:D,A215,DATOS!I:I,B215,DATOS!K:K,6),"")</f>
        <v>0</v>
      </c>
      <c r="R215">
        <f>IF(V215="Sí",COUNTIFS(DATOS!G:G,CONFIG_METADATA!$B$4,DATOS!D:D,A215,DATOS!I:I,B215,DATOS!K:K,7),"")</f>
        <v>0</v>
      </c>
      <c r="S215">
        <f>IF(V215="Sí",COUNTIFS(DATOS!G:G,CONFIG_METADATA!$B$4,DATOS!D:D,A215,DATOS!I:I,B215,DATOS!K:K,8),"")</f>
        <v>0</v>
      </c>
      <c r="T215">
        <f>IF(V215="Sí",COUNTIFS(DATOS!G:G,CONFIG_METADATA!$B$4,DATOS!D:D,A215,DATOS!I:I,B215,DATOS!K:K,9),"")</f>
        <v>0</v>
      </c>
      <c r="U215">
        <f>IF(V215="Sí",COUNTIFS(DATOS!G:G,CONFIG_METADATA!$B$4,DATOS!D:D,A215,DATOS!I:I,B215,DATOS!K:K,10),"")</f>
        <v>0</v>
      </c>
      <c r="V215" t="str">
        <f>IFERROR(IF(ISERROR(FIND(A215,VLOOKUP(B215,CONFIG_ASIGNATURAS!B:C,2,FALSE()))),"No","Sí"),"No")</f>
        <v>Sí</v>
      </c>
    </row>
    <row r="216" spans="1:22">
      <c r="A216" s="3" t="inlineStr">
        <is>
          <t xml:space="preserve">3EEM</t>
        </is>
      </c>
      <c r="B216" s="3" cm="1">
        <f t="array" ref="B216">IFERROR(INDEX(_xlfn._xlws.FILTER(CONFIG_ASIGNATURAS!$B$2:$B$61,(CONFIG_ASIGNATURAS!$G$2:$G$61="Sí")*ISNUMBER(SEARCH("3EEM",CONFIG_ASIGNATURAS!$C$2:$C$61))),23),"")</f>
      </c>
      <c r="C216" s="3">
        <f>IF(B216="","",IFERROR(IF(VLOOKUP(B216,CONFIG_ASIGNATURAS!$B$2:$F$61,5,FALSE())="Sí","Especialidad","Asignatura"),"Asignatura"))</f>
      </c>
      <c r="D216">
        <f>IF(V216="Sí",COUNTIFS(DATOS!G:G,CONFIG_METADATA!$B$4,DATOS!D:D,A216,DATOS!I:I,B216),"")</f>
        <v>0</v>
      </c>
      <c r="E216" s="14" t="str">
        <f>IF(V216="Sí",IFERROR(AVERAGEIFS(DATOS!K:K,DATOS!G:G,CONFIG_METADATA!$B$4,DATOS!D:D,A216,DATOS!I:I,B216),"—"),"")</f>
        <v>—</v>
      </c>
      <c r="F216" s="14" t="str" cm="1">
        <f t="array" ref="F216">IF(V216="Sí",IFERROR(_xlfn.STDEV.P(IF((nEVAL=CONFIG_METADATA!$B$4)*(nCURSO=A216)*(nASIG=B216),nNOTA)),"—"),"")</f>
        <v>—</v>
      </c>
      <c r="G216" t="str" cm="1">
        <f t="array" ref="G216">IF(V216="Sí",IFERROR(_xlfn.MODE.SNGL(IF((nEVAL=CONFIG_METADATA!$B$4)*(nCURSO=A216)*(nASIG=B216),nNOTA)),"—"),"")</f>
        <v>—</v>
      </c>
      <c r="H216" s="15" t="str">
        <f>IF(V216="Sí",IFERROR(COUNTIFS(DATOS!G:G,CONFIG_METADATA!$B$4,DATOS!D:D,A216,DATOS!I:I,B216,DATOS!L:L,"S")/COUNTIFS(DATOS!G:G,CONFIG_METADATA!$B$4,DATOS!D:D,A216,DATOS!I:I,B216),"—"),"")</f>
        <v>—</v>
      </c>
      <c r="I216" s="15" t="str">
        <f>IF(V216="Sí",IFERROR(COUNTIFS(DATOS!G:G,CONFIG_METADATA!$B$4,DATOS!D:D,A216,DATOS!I:I,B216,DATOS!L:L,"N")/COUNTIFS(DATOS!G:G,CONFIG_METADATA!$B$4,DATOS!D:D,A216,DATOS!I:I,B216),"—"),"")</f>
        <v>—</v>
      </c>
      <c r="J216" t="str" cm="1">
        <f t="array" ref="J216">IF(V216="Sí",IFERROR(_xlfn.MODE.SNGL(IF((nEVAL=CONFIG_METADATA!$B$4)*(nCURSO=A216)*(nASIG=B216)*(nAPTO="S"),nNOTA)),"—"),"")</f>
        <v>—</v>
      </c>
      <c r="K216" t="str" cm="1">
        <f t="array" ref="K216">IF(V216="Sí",IFERROR(_xlfn.MODE.SNGL(IF((nEVAL=CONFIG_METADATA!$B$4)*(nCURSO=A216)*(nASIG=B216)*(nAPTO="N"),nNOTA)),"—"),"")</f>
        <v>—</v>
      </c>
      <c r="L216">
        <f>IF(V216="Sí",COUNTIFS(DATOS!G:G,CONFIG_METADATA!$B$4,DATOS!D:D,A216,DATOS!I:I,B216,DATOS!K:K,1),"")</f>
        <v>0</v>
      </c>
      <c r="M216">
        <f>IF(V216="Sí",COUNTIFS(DATOS!G:G,CONFIG_METADATA!$B$4,DATOS!D:D,A216,DATOS!I:I,B216,DATOS!K:K,2),"")</f>
        <v>0</v>
      </c>
      <c r="N216">
        <f>IF(V216="Sí",COUNTIFS(DATOS!G:G,CONFIG_METADATA!$B$4,DATOS!D:D,A216,DATOS!I:I,B216,DATOS!K:K,3),"")</f>
        <v>0</v>
      </c>
      <c r="O216">
        <f>IF(V216="Sí",COUNTIFS(DATOS!G:G,CONFIG_METADATA!$B$4,DATOS!D:D,A216,DATOS!I:I,B216,DATOS!K:K,4),"")</f>
        <v>0</v>
      </c>
      <c r="P216">
        <f>IF(V216="Sí",COUNTIFS(DATOS!G:G,CONFIG_METADATA!$B$4,DATOS!D:D,A216,DATOS!I:I,B216,DATOS!K:K,5),"")</f>
        <v>0</v>
      </c>
      <c r="Q216">
        <f>IF(V216="Sí",COUNTIFS(DATOS!G:G,CONFIG_METADATA!$B$4,DATOS!D:D,A216,DATOS!I:I,B216,DATOS!K:K,6),"")</f>
        <v>0</v>
      </c>
      <c r="R216">
        <f>IF(V216="Sí",COUNTIFS(DATOS!G:G,CONFIG_METADATA!$B$4,DATOS!D:D,A216,DATOS!I:I,B216,DATOS!K:K,7),"")</f>
        <v>0</v>
      </c>
      <c r="S216">
        <f>IF(V216="Sí",COUNTIFS(DATOS!G:G,CONFIG_METADATA!$B$4,DATOS!D:D,A216,DATOS!I:I,B216,DATOS!K:K,8),"")</f>
        <v>0</v>
      </c>
      <c r="T216">
        <f>IF(V216="Sí",COUNTIFS(DATOS!G:G,CONFIG_METADATA!$B$4,DATOS!D:D,A216,DATOS!I:I,B216,DATOS!K:K,9),"")</f>
        <v>0</v>
      </c>
      <c r="U216">
        <f>IF(V216="Sí",COUNTIFS(DATOS!G:G,CONFIG_METADATA!$B$4,DATOS!D:D,A216,DATOS!I:I,B216,DATOS!K:K,10),"")</f>
        <v>0</v>
      </c>
      <c r="V216" t="str">
        <f>IFERROR(IF(ISERROR(FIND(A216,VLOOKUP(B216,CONFIG_ASIGNATURAS!B:C,2,FALSE()))),"No","Sí"),"No")</f>
        <v>Sí</v>
      </c>
    </row>
    <row r="217" spans="1:22">
      <c r="A217" s="3" t="inlineStr">
        <is>
          <t xml:space="preserve">3EEM</t>
        </is>
      </c>
      <c r="B217" s="3" cm="1">
        <f t="array" ref="B217">IFERROR(INDEX(_xlfn._xlws.FILTER(CONFIG_ASIGNATURAS!$B$2:$B$61,(CONFIG_ASIGNATURAS!$G$2:$G$61="Sí")*ISNUMBER(SEARCH("3EEM",CONFIG_ASIGNATURAS!$C$2:$C$61))),24),"")</f>
      </c>
      <c r="C217" s="3">
        <f>IF(B217="","",IFERROR(IF(VLOOKUP(B217,CONFIG_ASIGNATURAS!$B$2:$F$61,5,FALSE())="Sí","Especialidad","Asignatura"),"Asignatura"))</f>
      </c>
      <c r="D217">
        <f>IF(V217="Sí",COUNTIFS(DATOS!G:G,CONFIG_METADATA!$B$4,DATOS!D:D,A217,DATOS!I:I,B217),"")</f>
        <v>0</v>
      </c>
      <c r="E217" s="14" t="str">
        <f>IF(V217="Sí",IFERROR(AVERAGEIFS(DATOS!K:K,DATOS!G:G,CONFIG_METADATA!$B$4,DATOS!D:D,A217,DATOS!I:I,B217),"—"),"")</f>
        <v>—</v>
      </c>
      <c r="F217" s="14" t="str" cm="1">
        <f t="array" ref="F217">IF(V217="Sí",IFERROR(_xlfn.STDEV.P(IF((nEVAL=CONFIG_METADATA!$B$4)*(nCURSO=A217)*(nASIG=B217),nNOTA)),"—"),"")</f>
        <v>—</v>
      </c>
      <c r="G217" t="str" cm="1">
        <f t="array" ref="G217">IF(V217="Sí",IFERROR(_xlfn.MODE.SNGL(IF((nEVAL=CONFIG_METADATA!$B$4)*(nCURSO=A217)*(nASIG=B217),nNOTA)),"—"),"")</f>
        <v>—</v>
      </c>
      <c r="H217" s="15" t="str">
        <f>IF(V217="Sí",IFERROR(COUNTIFS(DATOS!G:G,CONFIG_METADATA!$B$4,DATOS!D:D,A217,DATOS!I:I,B217,DATOS!L:L,"S")/COUNTIFS(DATOS!G:G,CONFIG_METADATA!$B$4,DATOS!D:D,A217,DATOS!I:I,B217),"—"),"")</f>
        <v>—</v>
      </c>
      <c r="I217" s="15" t="str">
        <f>IF(V217="Sí",IFERROR(COUNTIFS(DATOS!G:G,CONFIG_METADATA!$B$4,DATOS!D:D,A217,DATOS!I:I,B217,DATOS!L:L,"N")/COUNTIFS(DATOS!G:G,CONFIG_METADATA!$B$4,DATOS!D:D,A217,DATOS!I:I,B217),"—"),"")</f>
        <v>—</v>
      </c>
      <c r="J217" t="str" cm="1">
        <f t="array" ref="J217">IF(V217="Sí",IFERROR(_xlfn.MODE.SNGL(IF((nEVAL=CONFIG_METADATA!$B$4)*(nCURSO=A217)*(nASIG=B217)*(nAPTO="S"),nNOTA)),"—"),"")</f>
        <v>—</v>
      </c>
      <c r="K217" t="str" cm="1">
        <f t="array" ref="K217">IF(V217="Sí",IFERROR(_xlfn.MODE.SNGL(IF((nEVAL=CONFIG_METADATA!$B$4)*(nCURSO=A217)*(nASIG=B217)*(nAPTO="N"),nNOTA)),"—"),"")</f>
        <v>—</v>
      </c>
      <c r="L217">
        <f>IF(V217="Sí",COUNTIFS(DATOS!G:G,CONFIG_METADATA!$B$4,DATOS!D:D,A217,DATOS!I:I,B217,DATOS!K:K,1),"")</f>
        <v>0</v>
      </c>
      <c r="M217">
        <f>IF(V217="Sí",COUNTIFS(DATOS!G:G,CONFIG_METADATA!$B$4,DATOS!D:D,A217,DATOS!I:I,B217,DATOS!K:K,2),"")</f>
        <v>0</v>
      </c>
      <c r="N217">
        <f>IF(V217="Sí",COUNTIFS(DATOS!G:G,CONFIG_METADATA!$B$4,DATOS!D:D,A217,DATOS!I:I,B217,DATOS!K:K,3),"")</f>
        <v>0</v>
      </c>
      <c r="O217">
        <f>IF(V217="Sí",COUNTIFS(DATOS!G:G,CONFIG_METADATA!$B$4,DATOS!D:D,A217,DATOS!I:I,B217,DATOS!K:K,4),"")</f>
        <v>0</v>
      </c>
      <c r="P217">
        <f>IF(V217="Sí",COUNTIFS(DATOS!G:G,CONFIG_METADATA!$B$4,DATOS!D:D,A217,DATOS!I:I,B217,DATOS!K:K,5),"")</f>
        <v>0</v>
      </c>
      <c r="Q217">
        <f>IF(V217="Sí",COUNTIFS(DATOS!G:G,CONFIG_METADATA!$B$4,DATOS!D:D,A217,DATOS!I:I,B217,DATOS!K:K,6),"")</f>
        <v>0</v>
      </c>
      <c r="R217">
        <f>IF(V217="Sí",COUNTIFS(DATOS!G:G,CONFIG_METADATA!$B$4,DATOS!D:D,A217,DATOS!I:I,B217,DATOS!K:K,7),"")</f>
        <v>0</v>
      </c>
      <c r="S217">
        <f>IF(V217="Sí",COUNTIFS(DATOS!G:G,CONFIG_METADATA!$B$4,DATOS!D:D,A217,DATOS!I:I,B217,DATOS!K:K,8),"")</f>
        <v>0</v>
      </c>
      <c r="T217">
        <f>IF(V217="Sí",COUNTIFS(DATOS!G:G,CONFIG_METADATA!$B$4,DATOS!D:D,A217,DATOS!I:I,B217,DATOS!K:K,9),"")</f>
        <v>0</v>
      </c>
      <c r="U217">
        <f>IF(V217="Sí",COUNTIFS(DATOS!G:G,CONFIG_METADATA!$B$4,DATOS!D:D,A217,DATOS!I:I,B217,DATOS!K:K,10),"")</f>
        <v>0</v>
      </c>
      <c r="V217" t="str">
        <f>IFERROR(IF(ISERROR(FIND(A217,VLOOKUP(B217,CONFIG_ASIGNATURAS!B:C,2,FALSE()))),"No","Sí"),"No")</f>
        <v>Sí</v>
      </c>
    </row>
    <row r="218" spans="1:22">
      <c r="A218" s="3" t="inlineStr">
        <is>
          <t xml:space="preserve">3EEM</t>
        </is>
      </c>
      <c r="B218" s="3" cm="1">
        <f t="array" ref="B218">IFERROR(INDEX(_xlfn._xlws.FILTER(CONFIG_ASIGNATURAS!$B$2:$B$61,(CONFIG_ASIGNATURAS!$G$2:$G$61="Sí")*ISNUMBER(SEARCH("3EEM",CONFIG_ASIGNATURAS!$C$2:$C$61))),25),"")</f>
      </c>
      <c r="C218" s="3">
        <f>IF(B218="","",IFERROR(IF(VLOOKUP(B218,CONFIG_ASIGNATURAS!$B$2:$F$61,5,FALSE())="Sí","Especialidad","Asignatura"),"Asignatura"))</f>
      </c>
      <c r="D218">
        <f>IF(V218="Sí",COUNTIFS(DATOS!G:G,CONFIG_METADATA!$B$4,DATOS!D:D,A218,DATOS!I:I,B218),"")</f>
        <v>0</v>
      </c>
      <c r="E218" s="14" t="str">
        <f>IF(V218="Sí",IFERROR(AVERAGEIFS(DATOS!K:K,DATOS!G:G,CONFIG_METADATA!$B$4,DATOS!D:D,A218,DATOS!I:I,B218),"—"),"")</f>
        <v>—</v>
      </c>
      <c r="F218" s="14" t="str" cm="1">
        <f t="array" ref="F218">IF(V218="Sí",IFERROR(_xlfn.STDEV.P(IF((nEVAL=CONFIG_METADATA!$B$4)*(nCURSO=A218)*(nASIG=B218),nNOTA)),"—"),"")</f>
        <v>—</v>
      </c>
      <c r="G218" t="str" cm="1">
        <f t="array" ref="G218">IF(V218="Sí",IFERROR(_xlfn.MODE.SNGL(IF((nEVAL=CONFIG_METADATA!$B$4)*(nCURSO=A218)*(nASIG=B218),nNOTA)),"—"),"")</f>
        <v>—</v>
      </c>
      <c r="H218" s="15" t="str">
        <f>IF(V218="Sí",IFERROR(COUNTIFS(DATOS!G:G,CONFIG_METADATA!$B$4,DATOS!D:D,A218,DATOS!I:I,B218,DATOS!L:L,"S")/COUNTIFS(DATOS!G:G,CONFIG_METADATA!$B$4,DATOS!D:D,A218,DATOS!I:I,B218),"—"),"")</f>
        <v>—</v>
      </c>
      <c r="I218" s="15" t="str">
        <f>IF(V218="Sí",IFERROR(COUNTIFS(DATOS!G:G,CONFIG_METADATA!$B$4,DATOS!D:D,A218,DATOS!I:I,B218,DATOS!L:L,"N")/COUNTIFS(DATOS!G:G,CONFIG_METADATA!$B$4,DATOS!D:D,A218,DATOS!I:I,B218),"—"),"")</f>
        <v>—</v>
      </c>
      <c r="J218" t="str" cm="1">
        <f t="array" ref="J218">IF(V218="Sí",IFERROR(_xlfn.MODE.SNGL(IF((nEVAL=CONFIG_METADATA!$B$4)*(nCURSO=A218)*(nASIG=B218)*(nAPTO="S"),nNOTA)),"—"),"")</f>
        <v>—</v>
      </c>
      <c r="K218" t="str" cm="1">
        <f t="array" ref="K218">IF(V218="Sí",IFERROR(_xlfn.MODE.SNGL(IF((nEVAL=CONFIG_METADATA!$B$4)*(nCURSO=A218)*(nASIG=B218)*(nAPTO="N"),nNOTA)),"—"),"")</f>
        <v>—</v>
      </c>
      <c r="L218">
        <f>IF(V218="Sí",COUNTIFS(DATOS!G:G,CONFIG_METADATA!$B$4,DATOS!D:D,A218,DATOS!I:I,B218,DATOS!K:K,1),"")</f>
        <v>0</v>
      </c>
      <c r="M218">
        <f>IF(V218="Sí",COUNTIFS(DATOS!G:G,CONFIG_METADATA!$B$4,DATOS!D:D,A218,DATOS!I:I,B218,DATOS!K:K,2),"")</f>
        <v>0</v>
      </c>
      <c r="N218">
        <f>IF(V218="Sí",COUNTIFS(DATOS!G:G,CONFIG_METADATA!$B$4,DATOS!D:D,A218,DATOS!I:I,B218,DATOS!K:K,3),"")</f>
        <v>0</v>
      </c>
      <c r="O218">
        <f>IF(V218="Sí",COUNTIFS(DATOS!G:G,CONFIG_METADATA!$B$4,DATOS!D:D,A218,DATOS!I:I,B218,DATOS!K:K,4),"")</f>
        <v>0</v>
      </c>
      <c r="P218">
        <f>IF(V218="Sí",COUNTIFS(DATOS!G:G,CONFIG_METADATA!$B$4,DATOS!D:D,A218,DATOS!I:I,B218,DATOS!K:K,5),"")</f>
        <v>0</v>
      </c>
      <c r="Q218">
        <f>IF(V218="Sí",COUNTIFS(DATOS!G:G,CONFIG_METADATA!$B$4,DATOS!D:D,A218,DATOS!I:I,B218,DATOS!K:K,6),"")</f>
        <v>0</v>
      </c>
      <c r="R218">
        <f>IF(V218="Sí",COUNTIFS(DATOS!G:G,CONFIG_METADATA!$B$4,DATOS!D:D,A218,DATOS!I:I,B218,DATOS!K:K,7),"")</f>
        <v>0</v>
      </c>
      <c r="S218">
        <f>IF(V218="Sí",COUNTIFS(DATOS!G:G,CONFIG_METADATA!$B$4,DATOS!D:D,A218,DATOS!I:I,B218,DATOS!K:K,8),"")</f>
        <v>0</v>
      </c>
      <c r="T218">
        <f>IF(V218="Sí",COUNTIFS(DATOS!G:G,CONFIG_METADATA!$B$4,DATOS!D:D,A218,DATOS!I:I,B218,DATOS!K:K,9),"")</f>
        <v>0</v>
      </c>
      <c r="U218">
        <f>IF(V218="Sí",COUNTIFS(DATOS!G:G,CONFIG_METADATA!$B$4,DATOS!D:D,A218,DATOS!I:I,B218,DATOS!K:K,10),"")</f>
        <v>0</v>
      </c>
      <c r="V218" t="str">
        <f>IFERROR(IF(ISERROR(FIND(A218,VLOOKUP(B218,CONFIG_ASIGNATURAS!B:C,2,FALSE()))),"No","Sí"),"No")</f>
        <v>Sí</v>
      </c>
    </row>
    <row r="219" spans="1:22">
      <c r="A219" s="3" t="inlineStr">
        <is>
          <t xml:space="preserve">3EEM</t>
        </is>
      </c>
      <c r="B219" s="3" cm="1">
        <f t="array" ref="B219">IFERROR(INDEX(_xlfn._xlws.FILTER(CONFIG_ASIGNATURAS!$B$2:$B$61,(CONFIG_ASIGNATURAS!$G$2:$G$61="Sí")*ISNUMBER(SEARCH("3EEM",CONFIG_ASIGNATURAS!$C$2:$C$61))),26),"")</f>
      </c>
      <c r="C219" s="3">
        <f>IF(B219="","",IFERROR(IF(VLOOKUP(B219,CONFIG_ASIGNATURAS!$B$2:$F$61,5,FALSE())="Sí","Especialidad","Asignatura"),"Asignatura"))</f>
      </c>
      <c r="D219">
        <f>IF(V219="Sí",COUNTIFS(DATOS!G:G,CONFIG_METADATA!$B$4,DATOS!D:D,A219,DATOS!I:I,B219),"")</f>
        <v>0</v>
      </c>
      <c r="E219" s="14" t="str">
        <f>IF(V219="Sí",IFERROR(AVERAGEIFS(DATOS!K:K,DATOS!G:G,CONFIG_METADATA!$B$4,DATOS!D:D,A219,DATOS!I:I,B219),"—"),"")</f>
        <v>—</v>
      </c>
      <c r="F219" s="14" t="str" cm="1">
        <f t="array" ref="F219">IF(V219="Sí",IFERROR(_xlfn.STDEV.P(IF((nEVAL=CONFIG_METADATA!$B$4)*(nCURSO=A219)*(nASIG=B219),nNOTA)),"—"),"")</f>
        <v>—</v>
      </c>
      <c r="G219" t="str" cm="1">
        <f t="array" ref="G219">IF(V219="Sí",IFERROR(_xlfn.MODE.SNGL(IF((nEVAL=CONFIG_METADATA!$B$4)*(nCURSO=A219)*(nASIG=B219),nNOTA)),"—"),"")</f>
        <v>—</v>
      </c>
      <c r="H219" s="15" t="str">
        <f>IF(V219="Sí",IFERROR(COUNTIFS(DATOS!G:G,CONFIG_METADATA!$B$4,DATOS!D:D,A219,DATOS!I:I,B219,DATOS!L:L,"S")/COUNTIFS(DATOS!G:G,CONFIG_METADATA!$B$4,DATOS!D:D,A219,DATOS!I:I,B219),"—"),"")</f>
        <v>—</v>
      </c>
      <c r="I219" s="15" t="str">
        <f>IF(V219="Sí",IFERROR(COUNTIFS(DATOS!G:G,CONFIG_METADATA!$B$4,DATOS!D:D,A219,DATOS!I:I,B219,DATOS!L:L,"N")/COUNTIFS(DATOS!G:G,CONFIG_METADATA!$B$4,DATOS!D:D,A219,DATOS!I:I,B219),"—"),"")</f>
        <v>—</v>
      </c>
      <c r="J219" t="str" cm="1">
        <f t="array" ref="J219">IF(V219="Sí",IFERROR(_xlfn.MODE.SNGL(IF((nEVAL=CONFIG_METADATA!$B$4)*(nCURSO=A219)*(nASIG=B219)*(nAPTO="S"),nNOTA)),"—"),"")</f>
        <v>—</v>
      </c>
      <c r="K219" t="str" cm="1">
        <f t="array" ref="K219">IF(V219="Sí",IFERROR(_xlfn.MODE.SNGL(IF((nEVAL=CONFIG_METADATA!$B$4)*(nCURSO=A219)*(nASIG=B219)*(nAPTO="N"),nNOTA)),"—"),"")</f>
        <v>—</v>
      </c>
      <c r="L219">
        <f>IF(V219="Sí",COUNTIFS(DATOS!G:G,CONFIG_METADATA!$B$4,DATOS!D:D,A219,DATOS!I:I,B219,DATOS!K:K,1),"")</f>
        <v>0</v>
      </c>
      <c r="M219">
        <f>IF(V219="Sí",COUNTIFS(DATOS!G:G,CONFIG_METADATA!$B$4,DATOS!D:D,A219,DATOS!I:I,B219,DATOS!K:K,2),"")</f>
        <v>0</v>
      </c>
      <c r="N219">
        <f>IF(V219="Sí",COUNTIFS(DATOS!G:G,CONFIG_METADATA!$B$4,DATOS!D:D,A219,DATOS!I:I,B219,DATOS!K:K,3),"")</f>
        <v>0</v>
      </c>
      <c r="O219">
        <f>IF(V219="Sí",COUNTIFS(DATOS!G:G,CONFIG_METADATA!$B$4,DATOS!D:D,A219,DATOS!I:I,B219,DATOS!K:K,4),"")</f>
        <v>0</v>
      </c>
      <c r="P219">
        <f>IF(V219="Sí",COUNTIFS(DATOS!G:G,CONFIG_METADATA!$B$4,DATOS!D:D,A219,DATOS!I:I,B219,DATOS!K:K,5),"")</f>
        <v>0</v>
      </c>
      <c r="Q219">
        <f>IF(V219="Sí",COUNTIFS(DATOS!G:G,CONFIG_METADATA!$B$4,DATOS!D:D,A219,DATOS!I:I,B219,DATOS!K:K,6),"")</f>
        <v>0</v>
      </c>
      <c r="R219">
        <f>IF(V219="Sí",COUNTIFS(DATOS!G:G,CONFIG_METADATA!$B$4,DATOS!D:D,A219,DATOS!I:I,B219,DATOS!K:K,7),"")</f>
        <v>0</v>
      </c>
      <c r="S219">
        <f>IF(V219="Sí",COUNTIFS(DATOS!G:G,CONFIG_METADATA!$B$4,DATOS!D:D,A219,DATOS!I:I,B219,DATOS!K:K,8),"")</f>
        <v>0</v>
      </c>
      <c r="T219">
        <f>IF(V219="Sí",COUNTIFS(DATOS!G:G,CONFIG_METADATA!$B$4,DATOS!D:D,A219,DATOS!I:I,B219,DATOS!K:K,9),"")</f>
        <v>0</v>
      </c>
      <c r="U219">
        <f>IF(V219="Sí",COUNTIFS(DATOS!G:G,CONFIG_METADATA!$B$4,DATOS!D:D,A219,DATOS!I:I,B219,DATOS!K:K,10),"")</f>
        <v>0</v>
      </c>
      <c r="V219" t="str">
        <f>IFERROR(IF(ISERROR(FIND(A219,VLOOKUP(B219,CONFIG_ASIGNATURAS!B:C,2,FALSE()))),"No","Sí"),"No")</f>
        <v>Sí</v>
      </c>
    </row>
    <row r="220" spans="1:22">
      <c r="A220" s="3" t="inlineStr">
        <is>
          <t xml:space="preserve">3EEM</t>
        </is>
      </c>
      <c r="B220" s="3" cm="1">
        <f t="array" ref="B220">IFERROR(INDEX(_xlfn._xlws.FILTER(CONFIG_ASIGNATURAS!$B$2:$B$61,(CONFIG_ASIGNATURAS!$G$2:$G$61="Sí")*ISNUMBER(SEARCH("3EEM",CONFIG_ASIGNATURAS!$C$2:$C$61))),27),"")</f>
      </c>
      <c r="C220" s="3">
        <f>IF(B220="","",IFERROR(IF(VLOOKUP(B220,CONFIG_ASIGNATURAS!$B$2:$F$61,5,FALSE())="Sí","Especialidad","Asignatura"),"Asignatura"))</f>
      </c>
      <c r="D220">
        <f>IF(V220="Sí",COUNTIFS(DATOS!G:G,CONFIG_METADATA!$B$4,DATOS!D:D,A220,DATOS!I:I,B220),"")</f>
        <v>0</v>
      </c>
      <c r="E220" s="14" t="str">
        <f>IF(V220="Sí",IFERROR(AVERAGEIFS(DATOS!K:K,DATOS!G:G,CONFIG_METADATA!$B$4,DATOS!D:D,A220,DATOS!I:I,B220),"—"),"")</f>
        <v>—</v>
      </c>
      <c r="F220" s="14" t="str" cm="1">
        <f t="array" ref="F220">IF(V220="Sí",IFERROR(_xlfn.STDEV.P(IF((nEVAL=CONFIG_METADATA!$B$4)*(nCURSO=A220)*(nASIG=B220),nNOTA)),"—"),"")</f>
        <v>—</v>
      </c>
      <c r="G220" t="str" cm="1">
        <f t="array" ref="G220">IF(V220="Sí",IFERROR(_xlfn.MODE.SNGL(IF((nEVAL=CONFIG_METADATA!$B$4)*(nCURSO=A220)*(nASIG=B220),nNOTA)),"—"),"")</f>
        <v>—</v>
      </c>
      <c r="H220" s="15" t="str">
        <f>IF(V220="Sí",IFERROR(COUNTIFS(DATOS!G:G,CONFIG_METADATA!$B$4,DATOS!D:D,A220,DATOS!I:I,B220,DATOS!L:L,"S")/COUNTIFS(DATOS!G:G,CONFIG_METADATA!$B$4,DATOS!D:D,A220,DATOS!I:I,B220),"—"),"")</f>
        <v>—</v>
      </c>
      <c r="I220" s="15" t="str">
        <f>IF(V220="Sí",IFERROR(COUNTIFS(DATOS!G:G,CONFIG_METADATA!$B$4,DATOS!D:D,A220,DATOS!I:I,B220,DATOS!L:L,"N")/COUNTIFS(DATOS!G:G,CONFIG_METADATA!$B$4,DATOS!D:D,A220,DATOS!I:I,B220),"—"),"")</f>
        <v>—</v>
      </c>
      <c r="J220" t="str" cm="1">
        <f t="array" ref="J220">IF(V220="Sí",IFERROR(_xlfn.MODE.SNGL(IF((nEVAL=CONFIG_METADATA!$B$4)*(nCURSO=A220)*(nASIG=B220)*(nAPTO="S"),nNOTA)),"—"),"")</f>
        <v>—</v>
      </c>
      <c r="K220" t="str" cm="1">
        <f t="array" ref="K220">IF(V220="Sí",IFERROR(_xlfn.MODE.SNGL(IF((nEVAL=CONFIG_METADATA!$B$4)*(nCURSO=A220)*(nASIG=B220)*(nAPTO="N"),nNOTA)),"—"),"")</f>
        <v>—</v>
      </c>
      <c r="L220">
        <f>IF(V220="Sí",COUNTIFS(DATOS!G:G,CONFIG_METADATA!$B$4,DATOS!D:D,A220,DATOS!I:I,B220,DATOS!K:K,1),"")</f>
        <v>0</v>
      </c>
      <c r="M220">
        <f>IF(V220="Sí",COUNTIFS(DATOS!G:G,CONFIG_METADATA!$B$4,DATOS!D:D,A220,DATOS!I:I,B220,DATOS!K:K,2),"")</f>
        <v>0</v>
      </c>
      <c r="N220">
        <f>IF(V220="Sí",COUNTIFS(DATOS!G:G,CONFIG_METADATA!$B$4,DATOS!D:D,A220,DATOS!I:I,B220,DATOS!K:K,3),"")</f>
        <v>0</v>
      </c>
      <c r="O220">
        <f>IF(V220="Sí",COUNTIFS(DATOS!G:G,CONFIG_METADATA!$B$4,DATOS!D:D,A220,DATOS!I:I,B220,DATOS!K:K,4),"")</f>
        <v>0</v>
      </c>
      <c r="P220">
        <f>IF(V220="Sí",COUNTIFS(DATOS!G:G,CONFIG_METADATA!$B$4,DATOS!D:D,A220,DATOS!I:I,B220,DATOS!K:K,5),"")</f>
        <v>0</v>
      </c>
      <c r="Q220">
        <f>IF(V220="Sí",COUNTIFS(DATOS!G:G,CONFIG_METADATA!$B$4,DATOS!D:D,A220,DATOS!I:I,B220,DATOS!K:K,6),"")</f>
        <v>0</v>
      </c>
      <c r="R220">
        <f>IF(V220="Sí",COUNTIFS(DATOS!G:G,CONFIG_METADATA!$B$4,DATOS!D:D,A220,DATOS!I:I,B220,DATOS!K:K,7),"")</f>
        <v>0</v>
      </c>
      <c r="S220">
        <f>IF(V220="Sí",COUNTIFS(DATOS!G:G,CONFIG_METADATA!$B$4,DATOS!D:D,A220,DATOS!I:I,B220,DATOS!K:K,8),"")</f>
        <v>0</v>
      </c>
      <c r="T220">
        <f>IF(V220="Sí",COUNTIFS(DATOS!G:G,CONFIG_METADATA!$B$4,DATOS!D:D,A220,DATOS!I:I,B220,DATOS!K:K,9),"")</f>
        <v>0</v>
      </c>
      <c r="U220">
        <f>IF(V220="Sí",COUNTIFS(DATOS!G:G,CONFIG_METADATA!$B$4,DATOS!D:D,A220,DATOS!I:I,B220,DATOS!K:K,10),"")</f>
        <v>0</v>
      </c>
      <c r="V220" t="str">
        <f>IFERROR(IF(ISERROR(FIND(A220,VLOOKUP(B220,CONFIG_ASIGNATURAS!B:C,2,FALSE()))),"No","Sí"),"No")</f>
        <v>Sí</v>
      </c>
    </row>
    <row r="221" spans="1:22">
      <c r="A221" s="3" t="inlineStr">
        <is>
          <t xml:space="preserve">3EEM</t>
        </is>
      </c>
      <c r="B221" s="3" cm="1">
        <f t="array" ref="B221">IFERROR(INDEX(_xlfn._xlws.FILTER(CONFIG_ASIGNATURAS!$B$2:$B$61,(CONFIG_ASIGNATURAS!$G$2:$G$61="Sí")*ISNUMBER(SEARCH("3EEM",CONFIG_ASIGNATURAS!$C$2:$C$61))),28),"")</f>
      </c>
      <c r="C221" s="3">
        <f>IF(B221="","",IFERROR(IF(VLOOKUP(B221,CONFIG_ASIGNATURAS!$B$2:$F$61,5,FALSE())="Sí","Especialidad","Asignatura"),"Asignatura"))</f>
      </c>
      <c r="D221">
        <f>IF(V221="Sí",COUNTIFS(DATOS!G:G,CONFIG_METADATA!$B$4,DATOS!D:D,A221,DATOS!I:I,B221),"")</f>
        <v>0</v>
      </c>
      <c r="E221" s="14" t="str">
        <f>IF(V221="Sí",IFERROR(AVERAGEIFS(DATOS!K:K,DATOS!G:G,CONFIG_METADATA!$B$4,DATOS!D:D,A221,DATOS!I:I,B221),"—"),"")</f>
        <v>—</v>
      </c>
      <c r="F221" s="14" t="str" cm="1">
        <f t="array" ref="F221">IF(V221="Sí",IFERROR(_xlfn.STDEV.P(IF((nEVAL=CONFIG_METADATA!$B$4)*(nCURSO=A221)*(nASIG=B221),nNOTA)),"—"),"")</f>
        <v>—</v>
      </c>
      <c r="G221" t="str" cm="1">
        <f t="array" ref="G221">IF(V221="Sí",IFERROR(_xlfn.MODE.SNGL(IF((nEVAL=CONFIG_METADATA!$B$4)*(nCURSO=A221)*(nASIG=B221),nNOTA)),"—"),"")</f>
        <v>—</v>
      </c>
      <c r="H221" s="15" t="str">
        <f>IF(V221="Sí",IFERROR(COUNTIFS(DATOS!G:G,CONFIG_METADATA!$B$4,DATOS!D:D,A221,DATOS!I:I,B221,DATOS!L:L,"S")/COUNTIFS(DATOS!G:G,CONFIG_METADATA!$B$4,DATOS!D:D,A221,DATOS!I:I,B221),"—"),"")</f>
        <v>—</v>
      </c>
      <c r="I221" s="15" t="str">
        <f>IF(V221="Sí",IFERROR(COUNTIFS(DATOS!G:G,CONFIG_METADATA!$B$4,DATOS!D:D,A221,DATOS!I:I,B221,DATOS!L:L,"N")/COUNTIFS(DATOS!G:G,CONFIG_METADATA!$B$4,DATOS!D:D,A221,DATOS!I:I,B221),"—"),"")</f>
        <v>—</v>
      </c>
      <c r="J221" t="str" cm="1">
        <f t="array" ref="J221">IF(V221="Sí",IFERROR(_xlfn.MODE.SNGL(IF((nEVAL=CONFIG_METADATA!$B$4)*(nCURSO=A221)*(nASIG=B221)*(nAPTO="S"),nNOTA)),"—"),"")</f>
        <v>—</v>
      </c>
      <c r="K221" t="str" cm="1">
        <f t="array" ref="K221">IF(V221="Sí",IFERROR(_xlfn.MODE.SNGL(IF((nEVAL=CONFIG_METADATA!$B$4)*(nCURSO=A221)*(nASIG=B221)*(nAPTO="N"),nNOTA)),"—"),"")</f>
        <v>—</v>
      </c>
      <c r="L221">
        <f>IF(V221="Sí",COUNTIFS(DATOS!G:G,CONFIG_METADATA!$B$4,DATOS!D:D,A221,DATOS!I:I,B221,DATOS!K:K,1),"")</f>
        <v>0</v>
      </c>
      <c r="M221">
        <f>IF(V221="Sí",COUNTIFS(DATOS!G:G,CONFIG_METADATA!$B$4,DATOS!D:D,A221,DATOS!I:I,B221,DATOS!K:K,2),"")</f>
        <v>0</v>
      </c>
      <c r="N221">
        <f>IF(V221="Sí",COUNTIFS(DATOS!G:G,CONFIG_METADATA!$B$4,DATOS!D:D,A221,DATOS!I:I,B221,DATOS!K:K,3),"")</f>
        <v>0</v>
      </c>
      <c r="O221">
        <f>IF(V221="Sí",COUNTIFS(DATOS!G:G,CONFIG_METADATA!$B$4,DATOS!D:D,A221,DATOS!I:I,B221,DATOS!K:K,4),"")</f>
        <v>0</v>
      </c>
      <c r="P221">
        <f>IF(V221="Sí",COUNTIFS(DATOS!G:G,CONFIG_METADATA!$B$4,DATOS!D:D,A221,DATOS!I:I,B221,DATOS!K:K,5),"")</f>
        <v>0</v>
      </c>
      <c r="Q221">
        <f>IF(V221="Sí",COUNTIFS(DATOS!G:G,CONFIG_METADATA!$B$4,DATOS!D:D,A221,DATOS!I:I,B221,DATOS!K:K,6),"")</f>
        <v>0</v>
      </c>
      <c r="R221">
        <f>IF(V221="Sí",COUNTIFS(DATOS!G:G,CONFIG_METADATA!$B$4,DATOS!D:D,A221,DATOS!I:I,B221,DATOS!K:K,7),"")</f>
        <v>0</v>
      </c>
      <c r="S221">
        <f>IF(V221="Sí",COUNTIFS(DATOS!G:G,CONFIG_METADATA!$B$4,DATOS!D:D,A221,DATOS!I:I,B221,DATOS!K:K,8),"")</f>
        <v>0</v>
      </c>
      <c r="T221">
        <f>IF(V221="Sí",COUNTIFS(DATOS!G:G,CONFIG_METADATA!$B$4,DATOS!D:D,A221,DATOS!I:I,B221,DATOS!K:K,9),"")</f>
        <v>0</v>
      </c>
      <c r="U221">
        <f>IF(V221="Sí",COUNTIFS(DATOS!G:G,CONFIG_METADATA!$B$4,DATOS!D:D,A221,DATOS!I:I,B221,DATOS!K:K,10),"")</f>
        <v>0</v>
      </c>
      <c r="V221" t="str">
        <f>IFERROR(IF(ISERROR(FIND(A221,VLOOKUP(B221,CONFIG_ASIGNATURAS!B:C,2,FALSE()))),"No","Sí"),"No")</f>
        <v>Sí</v>
      </c>
    </row>
    <row r="222" spans="1:22">
      <c r="A222" s="3" t="inlineStr">
        <is>
          <t xml:space="preserve">3EEM</t>
        </is>
      </c>
      <c r="B222" s="3" cm="1">
        <f t="array" ref="B222">IFERROR(INDEX(_xlfn._xlws.FILTER(CONFIG_ASIGNATURAS!$B$2:$B$61,(CONFIG_ASIGNATURAS!$G$2:$G$61="Sí")*ISNUMBER(SEARCH("3EEM",CONFIG_ASIGNATURAS!$C$2:$C$61))),29),"")</f>
      </c>
      <c r="C222" s="3">
        <f>IF(B222="","",IFERROR(IF(VLOOKUP(B222,CONFIG_ASIGNATURAS!$B$2:$F$61,5,FALSE())="Sí","Especialidad","Asignatura"),"Asignatura"))</f>
      </c>
      <c r="D222">
        <f>IF(V222="Sí",COUNTIFS(DATOS!G:G,CONFIG_METADATA!$B$4,DATOS!D:D,A222,DATOS!I:I,B222),"")</f>
        <v>0</v>
      </c>
      <c r="E222" s="14" t="str">
        <f>IF(V222="Sí",IFERROR(AVERAGEIFS(DATOS!K:K,DATOS!G:G,CONFIG_METADATA!$B$4,DATOS!D:D,A222,DATOS!I:I,B222),"—"),"")</f>
        <v>—</v>
      </c>
      <c r="F222" s="14" t="str" cm="1">
        <f t="array" ref="F222">IF(V222="Sí",IFERROR(_xlfn.STDEV.P(IF((nEVAL=CONFIG_METADATA!$B$4)*(nCURSO=A222)*(nASIG=B222),nNOTA)),"—"),"")</f>
        <v>—</v>
      </c>
      <c r="G222" t="str" cm="1">
        <f t="array" ref="G222">IF(V222="Sí",IFERROR(_xlfn.MODE.SNGL(IF((nEVAL=CONFIG_METADATA!$B$4)*(nCURSO=A222)*(nASIG=B222),nNOTA)),"—"),"")</f>
        <v>—</v>
      </c>
      <c r="H222" s="15" t="str">
        <f>IF(V222="Sí",IFERROR(COUNTIFS(DATOS!G:G,CONFIG_METADATA!$B$4,DATOS!D:D,A222,DATOS!I:I,B222,DATOS!L:L,"S")/COUNTIFS(DATOS!G:G,CONFIG_METADATA!$B$4,DATOS!D:D,A222,DATOS!I:I,B222),"—"),"")</f>
        <v>—</v>
      </c>
      <c r="I222" s="15" t="str">
        <f>IF(V222="Sí",IFERROR(COUNTIFS(DATOS!G:G,CONFIG_METADATA!$B$4,DATOS!D:D,A222,DATOS!I:I,B222,DATOS!L:L,"N")/COUNTIFS(DATOS!G:G,CONFIG_METADATA!$B$4,DATOS!D:D,A222,DATOS!I:I,B222),"—"),"")</f>
        <v>—</v>
      </c>
      <c r="J222" t="str" cm="1">
        <f t="array" ref="J222">IF(V222="Sí",IFERROR(_xlfn.MODE.SNGL(IF((nEVAL=CONFIG_METADATA!$B$4)*(nCURSO=A222)*(nASIG=B222)*(nAPTO="S"),nNOTA)),"—"),"")</f>
        <v>—</v>
      </c>
      <c r="K222" t="str" cm="1">
        <f t="array" ref="K222">IF(V222="Sí",IFERROR(_xlfn.MODE.SNGL(IF((nEVAL=CONFIG_METADATA!$B$4)*(nCURSO=A222)*(nASIG=B222)*(nAPTO="N"),nNOTA)),"—"),"")</f>
        <v>—</v>
      </c>
      <c r="L222">
        <f>IF(V222="Sí",COUNTIFS(DATOS!G:G,CONFIG_METADATA!$B$4,DATOS!D:D,A222,DATOS!I:I,B222,DATOS!K:K,1),"")</f>
        <v>0</v>
      </c>
      <c r="M222">
        <f>IF(V222="Sí",COUNTIFS(DATOS!G:G,CONFIG_METADATA!$B$4,DATOS!D:D,A222,DATOS!I:I,B222,DATOS!K:K,2),"")</f>
        <v>0</v>
      </c>
      <c r="N222">
        <f>IF(V222="Sí",COUNTIFS(DATOS!G:G,CONFIG_METADATA!$B$4,DATOS!D:D,A222,DATOS!I:I,B222,DATOS!K:K,3),"")</f>
        <v>0</v>
      </c>
      <c r="O222">
        <f>IF(V222="Sí",COUNTIFS(DATOS!G:G,CONFIG_METADATA!$B$4,DATOS!D:D,A222,DATOS!I:I,B222,DATOS!K:K,4),"")</f>
        <v>0</v>
      </c>
      <c r="P222">
        <f>IF(V222="Sí",COUNTIFS(DATOS!G:G,CONFIG_METADATA!$B$4,DATOS!D:D,A222,DATOS!I:I,B222,DATOS!K:K,5),"")</f>
        <v>0</v>
      </c>
      <c r="Q222">
        <f>IF(V222="Sí",COUNTIFS(DATOS!G:G,CONFIG_METADATA!$B$4,DATOS!D:D,A222,DATOS!I:I,B222,DATOS!K:K,6),"")</f>
        <v>0</v>
      </c>
      <c r="R222">
        <f>IF(V222="Sí",COUNTIFS(DATOS!G:G,CONFIG_METADATA!$B$4,DATOS!D:D,A222,DATOS!I:I,B222,DATOS!K:K,7),"")</f>
        <v>0</v>
      </c>
      <c r="S222">
        <f>IF(V222="Sí",COUNTIFS(DATOS!G:G,CONFIG_METADATA!$B$4,DATOS!D:D,A222,DATOS!I:I,B222,DATOS!K:K,8),"")</f>
        <v>0</v>
      </c>
      <c r="T222">
        <f>IF(V222="Sí",COUNTIFS(DATOS!G:G,CONFIG_METADATA!$B$4,DATOS!D:D,A222,DATOS!I:I,B222,DATOS!K:K,9),"")</f>
        <v>0</v>
      </c>
      <c r="U222">
        <f>IF(V222="Sí",COUNTIFS(DATOS!G:G,CONFIG_METADATA!$B$4,DATOS!D:D,A222,DATOS!I:I,B222,DATOS!K:K,10),"")</f>
        <v>0</v>
      </c>
      <c r="V222" t="str">
        <f>IFERROR(IF(ISERROR(FIND(A222,VLOOKUP(B222,CONFIG_ASIGNATURAS!B:C,2,FALSE()))),"No","Sí"),"No")</f>
        <v>Sí</v>
      </c>
    </row>
    <row r="223" spans="1:22">
      <c r="A223" s="3" t="inlineStr">
        <is>
          <t xml:space="preserve">3EEM</t>
        </is>
      </c>
      <c r="B223" s="3" cm="1">
        <f t="array" ref="B223">IFERROR(INDEX(_xlfn._xlws.FILTER(CONFIG_ASIGNATURAS!$B$2:$B$61,(CONFIG_ASIGNATURAS!$G$2:$G$61="Sí")*ISNUMBER(SEARCH("3EEM",CONFIG_ASIGNATURAS!$C$2:$C$61))),30),"")</f>
      </c>
      <c r="C223" s="3">
        <f>IF(B223="","",IFERROR(IF(VLOOKUP(B223,CONFIG_ASIGNATURAS!$B$2:$F$61,5,FALSE())="Sí","Especialidad","Asignatura"),"Asignatura"))</f>
      </c>
      <c r="D223">
        <f>IF(V223="Sí",COUNTIFS(DATOS!G:G,CONFIG_METADATA!$B$4,DATOS!D:D,A223,DATOS!I:I,B223),"")</f>
        <v>0</v>
      </c>
      <c r="E223" s="14" t="str">
        <f>IF(V223="Sí",IFERROR(AVERAGEIFS(DATOS!K:K,DATOS!G:G,CONFIG_METADATA!$B$4,DATOS!D:D,A223,DATOS!I:I,B223),"—"),"")</f>
        <v>—</v>
      </c>
      <c r="F223" s="14" t="str" cm="1">
        <f t="array" ref="F223">IF(V223="Sí",IFERROR(_xlfn.STDEV.P(IF((nEVAL=CONFIG_METADATA!$B$4)*(nCURSO=A223)*(nASIG=B223),nNOTA)),"—"),"")</f>
        <v>—</v>
      </c>
      <c r="G223" t="str" cm="1">
        <f t="array" ref="G223">IF(V223="Sí",IFERROR(_xlfn.MODE.SNGL(IF((nEVAL=CONFIG_METADATA!$B$4)*(nCURSO=A223)*(nASIG=B223),nNOTA)),"—"),"")</f>
        <v>—</v>
      </c>
      <c r="H223" s="15" t="str">
        <f>IF(V223="Sí",IFERROR(COUNTIFS(DATOS!G:G,CONFIG_METADATA!$B$4,DATOS!D:D,A223,DATOS!I:I,B223,DATOS!L:L,"S")/COUNTIFS(DATOS!G:G,CONFIG_METADATA!$B$4,DATOS!D:D,A223,DATOS!I:I,B223),"—"),"")</f>
        <v>—</v>
      </c>
      <c r="I223" s="15" t="str">
        <f>IF(V223="Sí",IFERROR(COUNTIFS(DATOS!G:G,CONFIG_METADATA!$B$4,DATOS!D:D,A223,DATOS!I:I,B223,DATOS!L:L,"N")/COUNTIFS(DATOS!G:G,CONFIG_METADATA!$B$4,DATOS!D:D,A223,DATOS!I:I,B223),"—"),"")</f>
        <v>—</v>
      </c>
      <c r="J223" t="str" cm="1">
        <f t="array" ref="J223">IF(V223="Sí",IFERROR(_xlfn.MODE.SNGL(IF((nEVAL=CONFIG_METADATA!$B$4)*(nCURSO=A223)*(nASIG=B223)*(nAPTO="S"),nNOTA)),"—"),"")</f>
        <v>—</v>
      </c>
      <c r="K223" t="str" cm="1">
        <f t="array" ref="K223">IF(V223="Sí",IFERROR(_xlfn.MODE.SNGL(IF((nEVAL=CONFIG_METADATA!$B$4)*(nCURSO=A223)*(nASIG=B223)*(nAPTO="N"),nNOTA)),"—"),"")</f>
        <v>—</v>
      </c>
      <c r="L223">
        <f>IF(V223="Sí",COUNTIFS(DATOS!G:G,CONFIG_METADATA!$B$4,DATOS!D:D,A223,DATOS!I:I,B223,DATOS!K:K,1),"")</f>
        <v>0</v>
      </c>
      <c r="M223">
        <f>IF(V223="Sí",COUNTIFS(DATOS!G:G,CONFIG_METADATA!$B$4,DATOS!D:D,A223,DATOS!I:I,B223,DATOS!K:K,2),"")</f>
        <v>0</v>
      </c>
      <c r="N223">
        <f>IF(V223="Sí",COUNTIFS(DATOS!G:G,CONFIG_METADATA!$B$4,DATOS!D:D,A223,DATOS!I:I,B223,DATOS!K:K,3),"")</f>
        <v>0</v>
      </c>
      <c r="O223">
        <f>IF(V223="Sí",COUNTIFS(DATOS!G:G,CONFIG_METADATA!$B$4,DATOS!D:D,A223,DATOS!I:I,B223,DATOS!K:K,4),"")</f>
        <v>0</v>
      </c>
      <c r="P223">
        <f>IF(V223="Sí",COUNTIFS(DATOS!G:G,CONFIG_METADATA!$B$4,DATOS!D:D,A223,DATOS!I:I,B223,DATOS!K:K,5),"")</f>
        <v>0</v>
      </c>
      <c r="Q223">
        <f>IF(V223="Sí",COUNTIFS(DATOS!G:G,CONFIG_METADATA!$B$4,DATOS!D:D,A223,DATOS!I:I,B223,DATOS!K:K,6),"")</f>
        <v>0</v>
      </c>
      <c r="R223">
        <f>IF(V223="Sí",COUNTIFS(DATOS!G:G,CONFIG_METADATA!$B$4,DATOS!D:D,A223,DATOS!I:I,B223,DATOS!K:K,7),"")</f>
        <v>0</v>
      </c>
      <c r="S223">
        <f>IF(V223="Sí",COUNTIFS(DATOS!G:G,CONFIG_METADATA!$B$4,DATOS!D:D,A223,DATOS!I:I,B223,DATOS!K:K,8),"")</f>
        <v>0</v>
      </c>
      <c r="T223">
        <f>IF(V223="Sí",COUNTIFS(DATOS!G:G,CONFIG_METADATA!$B$4,DATOS!D:D,A223,DATOS!I:I,B223,DATOS!K:K,9),"")</f>
        <v>0</v>
      </c>
      <c r="U223">
        <f>IF(V223="Sí",COUNTIFS(DATOS!G:G,CONFIG_METADATA!$B$4,DATOS!D:D,A223,DATOS!I:I,B223,DATOS!K:K,10),"")</f>
        <v>0</v>
      </c>
      <c r="V223" t="str">
        <f>IFERROR(IF(ISERROR(FIND(A223,VLOOKUP(B223,CONFIG_ASIGNATURAS!B:C,2,FALSE()))),"No","Sí"),"No")</f>
        <v>Sí</v>
      </c>
    </row>
    <row r="224" spans="1:22">
      <c r="A224" s="3" t="inlineStr">
        <is>
          <t xml:space="preserve">3EEM</t>
        </is>
      </c>
      <c r="B224" s="3" cm="1">
        <f t="array" ref="B224">IFERROR(INDEX(_xlfn._xlws.FILTER(CONFIG_ASIGNATURAS!$B$2:$B$61,(CONFIG_ASIGNATURAS!$G$2:$G$61="Sí")*ISNUMBER(SEARCH("3EEM",CONFIG_ASIGNATURAS!$C$2:$C$61))),31),"")</f>
      </c>
      <c r="C224" s="3">
        <f>IF(B224="","",IFERROR(IF(VLOOKUP(B224,CONFIG_ASIGNATURAS!$B$2:$F$61,5,FALSE())="Sí","Especialidad","Asignatura"),"Asignatura"))</f>
      </c>
      <c r="D224">
        <f>IF(V224="Sí",COUNTIFS(DATOS!G:G,CONFIG_METADATA!$B$4,DATOS!D:D,A224,DATOS!I:I,B224),"")</f>
        <v>0</v>
      </c>
      <c r="E224" s="14" t="str">
        <f>IF(V224="Sí",IFERROR(AVERAGEIFS(DATOS!K:K,DATOS!G:G,CONFIG_METADATA!$B$4,DATOS!D:D,A224,DATOS!I:I,B224),"—"),"")</f>
        <v>—</v>
      </c>
      <c r="F224" s="14" t="str" cm="1">
        <f t="array" ref="F224">IF(V224="Sí",IFERROR(_xlfn.STDEV.P(IF((nEVAL=CONFIG_METADATA!$B$4)*(nCURSO=A224)*(nASIG=B224),nNOTA)),"—"),"")</f>
        <v>—</v>
      </c>
      <c r="G224" t="str" cm="1">
        <f t="array" ref="G224">IF(V224="Sí",IFERROR(_xlfn.MODE.SNGL(IF((nEVAL=CONFIG_METADATA!$B$4)*(nCURSO=A224)*(nASIG=B224),nNOTA)),"—"),"")</f>
        <v>—</v>
      </c>
      <c r="H224" s="15" t="str">
        <f>IF(V224="Sí",IFERROR(COUNTIFS(DATOS!G:G,CONFIG_METADATA!$B$4,DATOS!D:D,A224,DATOS!I:I,B224,DATOS!L:L,"S")/COUNTIFS(DATOS!G:G,CONFIG_METADATA!$B$4,DATOS!D:D,A224,DATOS!I:I,B224),"—"),"")</f>
        <v>—</v>
      </c>
      <c r="I224" s="15" t="str">
        <f>IF(V224="Sí",IFERROR(COUNTIFS(DATOS!G:G,CONFIG_METADATA!$B$4,DATOS!D:D,A224,DATOS!I:I,B224,DATOS!L:L,"N")/COUNTIFS(DATOS!G:G,CONFIG_METADATA!$B$4,DATOS!D:D,A224,DATOS!I:I,B224),"—"),"")</f>
        <v>—</v>
      </c>
      <c r="J224" t="str" cm="1">
        <f t="array" ref="J224">IF(V224="Sí",IFERROR(_xlfn.MODE.SNGL(IF((nEVAL=CONFIG_METADATA!$B$4)*(nCURSO=A224)*(nASIG=B224)*(nAPTO="S"),nNOTA)),"—"),"")</f>
        <v>—</v>
      </c>
      <c r="K224" t="str" cm="1">
        <f t="array" ref="K224">IF(V224="Sí",IFERROR(_xlfn.MODE.SNGL(IF((nEVAL=CONFIG_METADATA!$B$4)*(nCURSO=A224)*(nASIG=B224)*(nAPTO="N"),nNOTA)),"—"),"")</f>
        <v>—</v>
      </c>
      <c r="L224">
        <f>IF(V224="Sí",COUNTIFS(DATOS!G:G,CONFIG_METADATA!$B$4,DATOS!D:D,A224,DATOS!I:I,B224,DATOS!K:K,1),"")</f>
        <v>0</v>
      </c>
      <c r="M224">
        <f>IF(V224="Sí",COUNTIFS(DATOS!G:G,CONFIG_METADATA!$B$4,DATOS!D:D,A224,DATOS!I:I,B224,DATOS!K:K,2),"")</f>
        <v>0</v>
      </c>
      <c r="N224">
        <f>IF(V224="Sí",COUNTIFS(DATOS!G:G,CONFIG_METADATA!$B$4,DATOS!D:D,A224,DATOS!I:I,B224,DATOS!K:K,3),"")</f>
        <v>0</v>
      </c>
      <c r="O224">
        <f>IF(V224="Sí",COUNTIFS(DATOS!G:G,CONFIG_METADATA!$B$4,DATOS!D:D,A224,DATOS!I:I,B224,DATOS!K:K,4),"")</f>
        <v>0</v>
      </c>
      <c r="P224">
        <f>IF(V224="Sí",COUNTIFS(DATOS!G:G,CONFIG_METADATA!$B$4,DATOS!D:D,A224,DATOS!I:I,B224,DATOS!K:K,5),"")</f>
        <v>0</v>
      </c>
      <c r="Q224">
        <f>IF(V224="Sí",COUNTIFS(DATOS!G:G,CONFIG_METADATA!$B$4,DATOS!D:D,A224,DATOS!I:I,B224,DATOS!K:K,6),"")</f>
        <v>0</v>
      </c>
      <c r="R224">
        <f>IF(V224="Sí",COUNTIFS(DATOS!G:G,CONFIG_METADATA!$B$4,DATOS!D:D,A224,DATOS!I:I,B224,DATOS!K:K,7),"")</f>
        <v>0</v>
      </c>
      <c r="S224">
        <f>IF(V224="Sí",COUNTIFS(DATOS!G:G,CONFIG_METADATA!$B$4,DATOS!D:D,A224,DATOS!I:I,B224,DATOS!K:K,8),"")</f>
        <v>0</v>
      </c>
      <c r="T224">
        <f>IF(V224="Sí",COUNTIFS(DATOS!G:G,CONFIG_METADATA!$B$4,DATOS!D:D,A224,DATOS!I:I,B224,DATOS!K:K,9),"")</f>
        <v>0</v>
      </c>
      <c r="U224">
        <f>IF(V224="Sí",COUNTIFS(DATOS!G:G,CONFIG_METADATA!$B$4,DATOS!D:D,A224,DATOS!I:I,B224,DATOS!K:K,10),"")</f>
        <v>0</v>
      </c>
      <c r="V224" t="str">
        <f>IFERROR(IF(ISERROR(FIND(A224,VLOOKUP(B224,CONFIG_ASIGNATURAS!B:C,2,FALSE()))),"No","Sí"),"No")</f>
        <v>Sí</v>
      </c>
    </row>
    <row r="225" spans="1:22">
      <c r="A225" s="3" t="inlineStr">
        <is>
          <t xml:space="preserve">3EEM</t>
        </is>
      </c>
      <c r="B225" s="3" cm="1">
        <f t="array" ref="B225">IFERROR(INDEX(_xlfn._xlws.FILTER(CONFIG_ASIGNATURAS!$B$2:$B$61,(CONFIG_ASIGNATURAS!$G$2:$G$61="Sí")*ISNUMBER(SEARCH("3EEM",CONFIG_ASIGNATURAS!$C$2:$C$61))),32),"")</f>
      </c>
      <c r="C225" s="3">
        <f>IF(B225="","",IFERROR(IF(VLOOKUP(B225,CONFIG_ASIGNATURAS!$B$2:$F$61,5,FALSE())="Sí","Especialidad","Asignatura"),"Asignatura"))</f>
      </c>
      <c r="D225">
        <f>IF(V225="Sí",COUNTIFS(DATOS!G:G,CONFIG_METADATA!$B$4,DATOS!D:D,A225,DATOS!I:I,B225),"")</f>
        <v>0</v>
      </c>
      <c r="E225" s="14" t="str">
        <f>IF(V225="Sí",IFERROR(AVERAGEIFS(DATOS!K:K,DATOS!G:G,CONFIG_METADATA!$B$4,DATOS!D:D,A225,DATOS!I:I,B225),"—"),"")</f>
        <v>—</v>
      </c>
      <c r="F225" s="14" t="str" cm="1">
        <f t="array" ref="F225">IF(V225="Sí",IFERROR(_xlfn.STDEV.P(IF((nEVAL=CONFIG_METADATA!$B$4)*(nCURSO=A225)*(nASIG=B225),nNOTA)),"—"),"")</f>
        <v>—</v>
      </c>
      <c r="G225" t="str" cm="1">
        <f t="array" ref="G225">IF(V225="Sí",IFERROR(_xlfn.MODE.SNGL(IF((nEVAL=CONFIG_METADATA!$B$4)*(nCURSO=A225)*(nASIG=B225),nNOTA)),"—"),"")</f>
        <v>—</v>
      </c>
      <c r="H225" s="15" t="str">
        <f>IF(V225="Sí",IFERROR(COUNTIFS(DATOS!G:G,CONFIG_METADATA!$B$4,DATOS!D:D,A225,DATOS!I:I,B225,DATOS!L:L,"S")/COUNTIFS(DATOS!G:G,CONFIG_METADATA!$B$4,DATOS!D:D,A225,DATOS!I:I,B225),"—"),"")</f>
        <v>—</v>
      </c>
      <c r="I225" s="15" t="str">
        <f>IF(V225="Sí",IFERROR(COUNTIFS(DATOS!G:G,CONFIG_METADATA!$B$4,DATOS!D:D,A225,DATOS!I:I,B225,DATOS!L:L,"N")/COUNTIFS(DATOS!G:G,CONFIG_METADATA!$B$4,DATOS!D:D,A225,DATOS!I:I,B225),"—"),"")</f>
        <v>—</v>
      </c>
      <c r="J225" t="str" cm="1">
        <f t="array" ref="J225">IF(V225="Sí",IFERROR(_xlfn.MODE.SNGL(IF((nEVAL=CONFIG_METADATA!$B$4)*(nCURSO=A225)*(nASIG=B225)*(nAPTO="S"),nNOTA)),"—"),"")</f>
        <v>—</v>
      </c>
      <c r="K225" t="str" cm="1">
        <f t="array" ref="K225">IF(V225="Sí",IFERROR(_xlfn.MODE.SNGL(IF((nEVAL=CONFIG_METADATA!$B$4)*(nCURSO=A225)*(nASIG=B225)*(nAPTO="N"),nNOTA)),"—"),"")</f>
        <v>—</v>
      </c>
      <c r="L225">
        <f>IF(V225="Sí",COUNTIFS(DATOS!G:G,CONFIG_METADATA!$B$4,DATOS!D:D,A225,DATOS!I:I,B225,DATOS!K:K,1),"")</f>
        <v>0</v>
      </c>
      <c r="M225">
        <f>IF(V225="Sí",COUNTIFS(DATOS!G:G,CONFIG_METADATA!$B$4,DATOS!D:D,A225,DATOS!I:I,B225,DATOS!K:K,2),"")</f>
        <v>0</v>
      </c>
      <c r="N225">
        <f>IF(V225="Sí",COUNTIFS(DATOS!G:G,CONFIG_METADATA!$B$4,DATOS!D:D,A225,DATOS!I:I,B225,DATOS!K:K,3),"")</f>
        <v>0</v>
      </c>
      <c r="O225">
        <f>IF(V225="Sí",COUNTIFS(DATOS!G:G,CONFIG_METADATA!$B$4,DATOS!D:D,A225,DATOS!I:I,B225,DATOS!K:K,4),"")</f>
        <v>0</v>
      </c>
      <c r="P225">
        <f>IF(V225="Sí",COUNTIFS(DATOS!G:G,CONFIG_METADATA!$B$4,DATOS!D:D,A225,DATOS!I:I,B225,DATOS!K:K,5),"")</f>
        <v>0</v>
      </c>
      <c r="Q225">
        <f>IF(V225="Sí",COUNTIFS(DATOS!G:G,CONFIG_METADATA!$B$4,DATOS!D:D,A225,DATOS!I:I,B225,DATOS!K:K,6),"")</f>
        <v>0</v>
      </c>
      <c r="R225">
        <f>IF(V225="Sí",COUNTIFS(DATOS!G:G,CONFIG_METADATA!$B$4,DATOS!D:D,A225,DATOS!I:I,B225,DATOS!K:K,7),"")</f>
        <v>0</v>
      </c>
      <c r="S225">
        <f>IF(V225="Sí",COUNTIFS(DATOS!G:G,CONFIG_METADATA!$B$4,DATOS!D:D,A225,DATOS!I:I,B225,DATOS!K:K,8),"")</f>
        <v>0</v>
      </c>
      <c r="T225">
        <f>IF(V225="Sí",COUNTIFS(DATOS!G:G,CONFIG_METADATA!$B$4,DATOS!D:D,A225,DATOS!I:I,B225,DATOS!K:K,9),"")</f>
        <v>0</v>
      </c>
      <c r="U225">
        <f>IF(V225="Sí",COUNTIFS(DATOS!G:G,CONFIG_METADATA!$B$4,DATOS!D:D,A225,DATOS!I:I,B225,DATOS!K:K,10),"")</f>
        <v>0</v>
      </c>
      <c r="V225" t="str">
        <f>IFERROR(IF(ISERROR(FIND(A225,VLOOKUP(B225,CONFIG_ASIGNATURAS!B:C,2,FALSE()))),"No","Sí"),"No")</f>
        <v>Sí</v>
      </c>
    </row>
    <row r="226" spans="1:22">
      <c r="A226" s="3" t="inlineStr">
        <is>
          <t xml:space="preserve">3EEM</t>
        </is>
      </c>
      <c r="B226" s="3" cm="1">
        <f t="array" ref="B226">IFERROR(INDEX(_xlfn._xlws.FILTER(CONFIG_ASIGNATURAS!$B$2:$B$61,(CONFIG_ASIGNATURAS!$G$2:$G$61="Sí")*ISNUMBER(SEARCH("3EEM",CONFIG_ASIGNATURAS!$C$2:$C$61))),33),"")</f>
      </c>
      <c r="C226" s="3">
        <f>IF(B226="","",IFERROR(IF(VLOOKUP(B226,CONFIG_ASIGNATURAS!$B$2:$F$61,5,FALSE())="Sí","Especialidad","Asignatura"),"Asignatura"))</f>
      </c>
      <c r="D226">
        <f>IF(V226="Sí",COUNTIFS(DATOS!G:G,CONFIG_METADATA!$B$4,DATOS!D:D,A226,DATOS!I:I,B226),"")</f>
        <v>0</v>
      </c>
      <c r="E226" s="14" t="str">
        <f>IF(V226="Sí",IFERROR(AVERAGEIFS(DATOS!K:K,DATOS!G:G,CONFIG_METADATA!$B$4,DATOS!D:D,A226,DATOS!I:I,B226),"—"),"")</f>
        <v>—</v>
      </c>
      <c r="F226" s="14" t="str" cm="1">
        <f t="array" ref="F226">IF(V226="Sí",IFERROR(_xlfn.STDEV.P(IF((nEVAL=CONFIG_METADATA!$B$4)*(nCURSO=A226)*(nASIG=B226),nNOTA)),"—"),"")</f>
        <v>—</v>
      </c>
      <c r="G226" t="str" cm="1">
        <f t="array" ref="G226">IF(V226="Sí",IFERROR(_xlfn.MODE.SNGL(IF((nEVAL=CONFIG_METADATA!$B$4)*(nCURSO=A226)*(nASIG=B226),nNOTA)),"—"),"")</f>
        <v>—</v>
      </c>
      <c r="H226" s="15" t="str">
        <f>IF(V226="Sí",IFERROR(COUNTIFS(DATOS!G:G,CONFIG_METADATA!$B$4,DATOS!D:D,A226,DATOS!I:I,B226,DATOS!L:L,"S")/COUNTIFS(DATOS!G:G,CONFIG_METADATA!$B$4,DATOS!D:D,A226,DATOS!I:I,B226),"—"),"")</f>
        <v>—</v>
      </c>
      <c r="I226" s="15" t="str">
        <f>IF(V226="Sí",IFERROR(COUNTIFS(DATOS!G:G,CONFIG_METADATA!$B$4,DATOS!D:D,A226,DATOS!I:I,B226,DATOS!L:L,"N")/COUNTIFS(DATOS!G:G,CONFIG_METADATA!$B$4,DATOS!D:D,A226,DATOS!I:I,B226),"—"),"")</f>
        <v>—</v>
      </c>
      <c r="J226" t="str" cm="1">
        <f t="array" ref="J226">IF(V226="Sí",IFERROR(_xlfn.MODE.SNGL(IF((nEVAL=CONFIG_METADATA!$B$4)*(nCURSO=A226)*(nASIG=B226)*(nAPTO="S"),nNOTA)),"—"),"")</f>
        <v>—</v>
      </c>
      <c r="K226" t="str" cm="1">
        <f t="array" ref="K226">IF(V226="Sí",IFERROR(_xlfn.MODE.SNGL(IF((nEVAL=CONFIG_METADATA!$B$4)*(nCURSO=A226)*(nASIG=B226)*(nAPTO="N"),nNOTA)),"—"),"")</f>
        <v>—</v>
      </c>
      <c r="L226">
        <f>IF(V226="Sí",COUNTIFS(DATOS!G:G,CONFIG_METADATA!$B$4,DATOS!D:D,A226,DATOS!I:I,B226,DATOS!K:K,1),"")</f>
        <v>0</v>
      </c>
      <c r="M226">
        <f>IF(V226="Sí",COUNTIFS(DATOS!G:G,CONFIG_METADATA!$B$4,DATOS!D:D,A226,DATOS!I:I,B226,DATOS!K:K,2),"")</f>
        <v>0</v>
      </c>
      <c r="N226">
        <f>IF(V226="Sí",COUNTIFS(DATOS!G:G,CONFIG_METADATA!$B$4,DATOS!D:D,A226,DATOS!I:I,B226,DATOS!K:K,3),"")</f>
        <v>0</v>
      </c>
      <c r="O226">
        <f>IF(V226="Sí",COUNTIFS(DATOS!G:G,CONFIG_METADATA!$B$4,DATOS!D:D,A226,DATOS!I:I,B226,DATOS!K:K,4),"")</f>
        <v>0</v>
      </c>
      <c r="P226">
        <f>IF(V226="Sí",COUNTIFS(DATOS!G:G,CONFIG_METADATA!$B$4,DATOS!D:D,A226,DATOS!I:I,B226,DATOS!K:K,5),"")</f>
        <v>0</v>
      </c>
      <c r="Q226">
        <f>IF(V226="Sí",COUNTIFS(DATOS!G:G,CONFIG_METADATA!$B$4,DATOS!D:D,A226,DATOS!I:I,B226,DATOS!K:K,6),"")</f>
        <v>0</v>
      </c>
      <c r="R226">
        <f>IF(V226="Sí",COUNTIFS(DATOS!G:G,CONFIG_METADATA!$B$4,DATOS!D:D,A226,DATOS!I:I,B226,DATOS!K:K,7),"")</f>
        <v>0</v>
      </c>
      <c r="S226">
        <f>IF(V226="Sí",COUNTIFS(DATOS!G:G,CONFIG_METADATA!$B$4,DATOS!D:D,A226,DATOS!I:I,B226,DATOS!K:K,8),"")</f>
        <v>0</v>
      </c>
      <c r="T226">
        <f>IF(V226="Sí",COUNTIFS(DATOS!G:G,CONFIG_METADATA!$B$4,DATOS!D:D,A226,DATOS!I:I,B226,DATOS!K:K,9),"")</f>
        <v>0</v>
      </c>
      <c r="U226">
        <f>IF(V226="Sí",COUNTIFS(DATOS!G:G,CONFIG_METADATA!$B$4,DATOS!D:D,A226,DATOS!I:I,B226,DATOS!K:K,10),"")</f>
        <v>0</v>
      </c>
      <c r="V226" t="str">
        <f>IFERROR(IF(ISERROR(FIND(A226,VLOOKUP(B226,CONFIG_ASIGNATURAS!B:C,2,FALSE()))),"No","Sí"),"No")</f>
        <v>Sí</v>
      </c>
    </row>
    <row r="227" spans="1:22">
      <c r="A227" s="3" t="inlineStr">
        <is>
          <t xml:space="preserve">3EEM</t>
        </is>
      </c>
      <c r="B227" s="3" cm="1">
        <f t="array" ref="B227">IFERROR(INDEX(_xlfn._xlws.FILTER(CONFIG_ASIGNATURAS!$B$2:$B$61,(CONFIG_ASIGNATURAS!$G$2:$G$61="Sí")*ISNUMBER(SEARCH("3EEM",CONFIG_ASIGNATURAS!$C$2:$C$61))),34),"")</f>
      </c>
      <c r="C227" s="3">
        <f>IF(B227="","",IFERROR(IF(VLOOKUP(B227,CONFIG_ASIGNATURAS!$B$2:$F$61,5,FALSE())="Sí","Especialidad","Asignatura"),"Asignatura"))</f>
      </c>
      <c r="D227">
        <f>IF(V227="Sí",COUNTIFS(DATOS!G:G,CONFIG_METADATA!$B$4,DATOS!D:D,A227,DATOS!I:I,B227),"")</f>
        <v>0</v>
      </c>
      <c r="E227" s="14" t="str">
        <f>IF(V227="Sí",IFERROR(AVERAGEIFS(DATOS!K:K,DATOS!G:G,CONFIG_METADATA!$B$4,DATOS!D:D,A227,DATOS!I:I,B227),"—"),"")</f>
        <v>—</v>
      </c>
      <c r="F227" s="14" t="str" cm="1">
        <f t="array" ref="F227">IF(V227="Sí",IFERROR(_xlfn.STDEV.P(IF((nEVAL=CONFIG_METADATA!$B$4)*(nCURSO=A227)*(nASIG=B227),nNOTA)),"—"),"")</f>
        <v>—</v>
      </c>
      <c r="G227" t="str" cm="1">
        <f t="array" ref="G227">IF(V227="Sí",IFERROR(_xlfn.MODE.SNGL(IF((nEVAL=CONFIG_METADATA!$B$4)*(nCURSO=A227)*(nASIG=B227),nNOTA)),"—"),"")</f>
        <v>—</v>
      </c>
      <c r="H227" s="15" t="str">
        <f>IF(V227="Sí",IFERROR(COUNTIFS(DATOS!G:G,CONFIG_METADATA!$B$4,DATOS!D:D,A227,DATOS!I:I,B227,DATOS!L:L,"S")/COUNTIFS(DATOS!G:G,CONFIG_METADATA!$B$4,DATOS!D:D,A227,DATOS!I:I,B227),"—"),"")</f>
        <v>—</v>
      </c>
      <c r="I227" s="15" t="str">
        <f>IF(V227="Sí",IFERROR(COUNTIFS(DATOS!G:G,CONFIG_METADATA!$B$4,DATOS!D:D,A227,DATOS!I:I,B227,DATOS!L:L,"N")/COUNTIFS(DATOS!G:G,CONFIG_METADATA!$B$4,DATOS!D:D,A227,DATOS!I:I,B227),"—"),"")</f>
        <v>—</v>
      </c>
      <c r="J227" t="str" cm="1">
        <f t="array" ref="J227">IF(V227="Sí",IFERROR(_xlfn.MODE.SNGL(IF((nEVAL=CONFIG_METADATA!$B$4)*(nCURSO=A227)*(nASIG=B227)*(nAPTO="S"),nNOTA)),"—"),"")</f>
        <v>—</v>
      </c>
      <c r="K227" t="str" cm="1">
        <f t="array" ref="K227">IF(V227="Sí",IFERROR(_xlfn.MODE.SNGL(IF((nEVAL=CONFIG_METADATA!$B$4)*(nCURSO=A227)*(nASIG=B227)*(nAPTO="N"),nNOTA)),"—"),"")</f>
        <v>—</v>
      </c>
      <c r="L227">
        <f>IF(V227="Sí",COUNTIFS(DATOS!G:G,CONFIG_METADATA!$B$4,DATOS!D:D,A227,DATOS!I:I,B227,DATOS!K:K,1),"")</f>
        <v>0</v>
      </c>
      <c r="M227">
        <f>IF(V227="Sí",COUNTIFS(DATOS!G:G,CONFIG_METADATA!$B$4,DATOS!D:D,A227,DATOS!I:I,B227,DATOS!K:K,2),"")</f>
        <v>0</v>
      </c>
      <c r="N227">
        <f>IF(V227="Sí",COUNTIFS(DATOS!G:G,CONFIG_METADATA!$B$4,DATOS!D:D,A227,DATOS!I:I,B227,DATOS!K:K,3),"")</f>
        <v>0</v>
      </c>
      <c r="O227">
        <f>IF(V227="Sí",COUNTIFS(DATOS!G:G,CONFIG_METADATA!$B$4,DATOS!D:D,A227,DATOS!I:I,B227,DATOS!K:K,4),"")</f>
        <v>0</v>
      </c>
      <c r="P227">
        <f>IF(V227="Sí",COUNTIFS(DATOS!G:G,CONFIG_METADATA!$B$4,DATOS!D:D,A227,DATOS!I:I,B227,DATOS!K:K,5),"")</f>
        <v>0</v>
      </c>
      <c r="Q227">
        <f>IF(V227="Sí",COUNTIFS(DATOS!G:G,CONFIG_METADATA!$B$4,DATOS!D:D,A227,DATOS!I:I,B227,DATOS!K:K,6),"")</f>
        <v>0</v>
      </c>
      <c r="R227">
        <f>IF(V227="Sí",COUNTIFS(DATOS!G:G,CONFIG_METADATA!$B$4,DATOS!D:D,A227,DATOS!I:I,B227,DATOS!K:K,7),"")</f>
        <v>0</v>
      </c>
      <c r="S227">
        <f>IF(V227="Sí",COUNTIFS(DATOS!G:G,CONFIG_METADATA!$B$4,DATOS!D:D,A227,DATOS!I:I,B227,DATOS!K:K,8),"")</f>
        <v>0</v>
      </c>
      <c r="T227">
        <f>IF(V227="Sí",COUNTIFS(DATOS!G:G,CONFIG_METADATA!$B$4,DATOS!D:D,A227,DATOS!I:I,B227,DATOS!K:K,9),"")</f>
        <v>0</v>
      </c>
      <c r="U227">
        <f>IF(V227="Sí",COUNTIFS(DATOS!G:G,CONFIG_METADATA!$B$4,DATOS!D:D,A227,DATOS!I:I,B227,DATOS!K:K,10),"")</f>
        <v>0</v>
      </c>
      <c r="V227" t="str">
        <f>IFERROR(IF(ISERROR(FIND(A227,VLOOKUP(B227,CONFIG_ASIGNATURAS!B:C,2,FALSE()))),"No","Sí"),"No")</f>
        <v>Sí</v>
      </c>
    </row>
    <row r="228" spans="1:22">
      <c r="A228" s="3" t="inlineStr">
        <is>
          <t xml:space="preserve">3EEM</t>
        </is>
      </c>
      <c r="B228" s="3" cm="1">
        <f t="array" ref="B228">IFERROR(INDEX(_xlfn._xlws.FILTER(CONFIG_ASIGNATURAS!$B$2:$B$61,(CONFIG_ASIGNATURAS!$G$2:$G$61="Sí")*ISNUMBER(SEARCH("3EEM",CONFIG_ASIGNATURAS!$C$2:$C$61))),35),"")</f>
      </c>
      <c r="C228" s="3">
        <f>IF(B228="","",IFERROR(IF(VLOOKUP(B228,CONFIG_ASIGNATURAS!$B$2:$F$61,5,FALSE())="Sí","Especialidad","Asignatura"),"Asignatura"))</f>
      </c>
      <c r="D228">
        <f>IF(V228="Sí",COUNTIFS(DATOS!G:G,CONFIG_METADATA!$B$4,DATOS!D:D,A228,DATOS!I:I,B228),"")</f>
        <v>0</v>
      </c>
      <c r="E228" s="14" t="str">
        <f>IF(V228="Sí",IFERROR(AVERAGEIFS(DATOS!K:K,DATOS!G:G,CONFIG_METADATA!$B$4,DATOS!D:D,A228,DATOS!I:I,B228),"—"),"")</f>
        <v>—</v>
      </c>
      <c r="F228" s="14" t="str" cm="1">
        <f t="array" ref="F228">IF(V228="Sí",IFERROR(_xlfn.STDEV.P(IF((nEVAL=CONFIG_METADATA!$B$4)*(nCURSO=A228)*(nASIG=B228),nNOTA)),"—"),"")</f>
        <v>—</v>
      </c>
      <c r="G228" t="str" cm="1">
        <f t="array" ref="G228">IF(V228="Sí",IFERROR(_xlfn.MODE.SNGL(IF((nEVAL=CONFIG_METADATA!$B$4)*(nCURSO=A228)*(nASIG=B228),nNOTA)),"—"),"")</f>
        <v>—</v>
      </c>
      <c r="H228" s="15" t="str">
        <f>IF(V228="Sí",IFERROR(COUNTIFS(DATOS!G:G,CONFIG_METADATA!$B$4,DATOS!D:D,A228,DATOS!I:I,B228,DATOS!L:L,"S")/COUNTIFS(DATOS!G:G,CONFIG_METADATA!$B$4,DATOS!D:D,A228,DATOS!I:I,B228),"—"),"")</f>
        <v>—</v>
      </c>
      <c r="I228" s="15" t="str">
        <f>IF(V228="Sí",IFERROR(COUNTIFS(DATOS!G:G,CONFIG_METADATA!$B$4,DATOS!D:D,A228,DATOS!I:I,B228,DATOS!L:L,"N")/COUNTIFS(DATOS!G:G,CONFIG_METADATA!$B$4,DATOS!D:D,A228,DATOS!I:I,B228),"—"),"")</f>
        <v>—</v>
      </c>
      <c r="J228" t="str" cm="1">
        <f t="array" ref="J228">IF(V228="Sí",IFERROR(_xlfn.MODE.SNGL(IF((nEVAL=CONFIG_METADATA!$B$4)*(nCURSO=A228)*(nASIG=B228)*(nAPTO="S"),nNOTA)),"—"),"")</f>
        <v>—</v>
      </c>
      <c r="K228" t="str" cm="1">
        <f t="array" ref="K228">IF(V228="Sí",IFERROR(_xlfn.MODE.SNGL(IF((nEVAL=CONFIG_METADATA!$B$4)*(nCURSO=A228)*(nASIG=B228)*(nAPTO="N"),nNOTA)),"—"),"")</f>
        <v>—</v>
      </c>
      <c r="L228">
        <f>IF(V228="Sí",COUNTIFS(DATOS!G:G,CONFIG_METADATA!$B$4,DATOS!D:D,A228,DATOS!I:I,B228,DATOS!K:K,1),"")</f>
        <v>0</v>
      </c>
      <c r="M228">
        <f>IF(V228="Sí",COUNTIFS(DATOS!G:G,CONFIG_METADATA!$B$4,DATOS!D:D,A228,DATOS!I:I,B228,DATOS!K:K,2),"")</f>
        <v>0</v>
      </c>
      <c r="N228">
        <f>IF(V228="Sí",COUNTIFS(DATOS!G:G,CONFIG_METADATA!$B$4,DATOS!D:D,A228,DATOS!I:I,B228,DATOS!K:K,3),"")</f>
        <v>0</v>
      </c>
      <c r="O228">
        <f>IF(V228="Sí",COUNTIFS(DATOS!G:G,CONFIG_METADATA!$B$4,DATOS!D:D,A228,DATOS!I:I,B228,DATOS!K:K,4),"")</f>
        <v>0</v>
      </c>
      <c r="P228">
        <f>IF(V228="Sí",COUNTIFS(DATOS!G:G,CONFIG_METADATA!$B$4,DATOS!D:D,A228,DATOS!I:I,B228,DATOS!K:K,5),"")</f>
        <v>0</v>
      </c>
      <c r="Q228">
        <f>IF(V228="Sí",COUNTIFS(DATOS!G:G,CONFIG_METADATA!$B$4,DATOS!D:D,A228,DATOS!I:I,B228,DATOS!K:K,6),"")</f>
        <v>0</v>
      </c>
      <c r="R228">
        <f>IF(V228="Sí",COUNTIFS(DATOS!G:G,CONFIG_METADATA!$B$4,DATOS!D:D,A228,DATOS!I:I,B228,DATOS!K:K,7),"")</f>
        <v>0</v>
      </c>
      <c r="S228">
        <f>IF(V228="Sí",COUNTIFS(DATOS!G:G,CONFIG_METADATA!$B$4,DATOS!D:D,A228,DATOS!I:I,B228,DATOS!K:K,8),"")</f>
        <v>0</v>
      </c>
      <c r="T228">
        <f>IF(V228="Sí",COUNTIFS(DATOS!G:G,CONFIG_METADATA!$B$4,DATOS!D:D,A228,DATOS!I:I,B228,DATOS!K:K,9),"")</f>
        <v>0</v>
      </c>
      <c r="U228">
        <f>IF(V228="Sí",COUNTIFS(DATOS!G:G,CONFIG_METADATA!$B$4,DATOS!D:D,A228,DATOS!I:I,B228,DATOS!K:K,10),"")</f>
        <v>0</v>
      </c>
      <c r="V228" t="str">
        <f>IFERROR(IF(ISERROR(FIND(A228,VLOOKUP(B228,CONFIG_ASIGNATURAS!B:C,2,FALSE()))),"No","Sí"),"No")</f>
        <v>Sí</v>
      </c>
    </row>
    <row r="229" spans="1:22">
      <c r="A229" s="3" t="inlineStr">
        <is>
          <t xml:space="preserve">3EEM</t>
        </is>
      </c>
      <c r="B229" s="3" cm="1">
        <f t="array" ref="B229">IFERROR(INDEX(_xlfn._xlws.FILTER(CONFIG_ASIGNATURAS!$B$2:$B$61,(CONFIG_ASIGNATURAS!$G$2:$G$61="Sí")*ISNUMBER(SEARCH("3EEM",CONFIG_ASIGNATURAS!$C$2:$C$61))),36),"")</f>
      </c>
      <c r="C229" s="3">
        <f>IF(B229="","",IFERROR(IF(VLOOKUP(B229,CONFIG_ASIGNATURAS!$B$2:$F$61,5,FALSE())="Sí","Especialidad","Asignatura"),"Asignatura"))</f>
      </c>
      <c r="D229">
        <f>IF(V229="Sí",COUNTIFS(DATOS!G:G,CONFIG_METADATA!$B$4,DATOS!D:D,A229,DATOS!I:I,B229),"")</f>
        <v>0</v>
      </c>
      <c r="E229" s="14" t="str">
        <f>IF(V229="Sí",IFERROR(AVERAGEIFS(DATOS!K:K,DATOS!G:G,CONFIG_METADATA!$B$4,DATOS!D:D,A229,DATOS!I:I,B229),"—"),"")</f>
        <v>—</v>
      </c>
      <c r="F229" s="14" t="str" cm="1">
        <f t="array" ref="F229">IF(V229="Sí",IFERROR(_xlfn.STDEV.P(IF((nEVAL=CONFIG_METADATA!$B$4)*(nCURSO=A229)*(nASIG=B229),nNOTA)),"—"),"")</f>
        <v>—</v>
      </c>
      <c r="G229" t="str" cm="1">
        <f t="array" ref="G229">IF(V229="Sí",IFERROR(_xlfn.MODE.SNGL(IF((nEVAL=CONFIG_METADATA!$B$4)*(nCURSO=A229)*(nASIG=B229),nNOTA)),"—"),"")</f>
        <v>—</v>
      </c>
      <c r="H229" s="15" t="str">
        <f>IF(V229="Sí",IFERROR(COUNTIFS(DATOS!G:G,CONFIG_METADATA!$B$4,DATOS!D:D,A229,DATOS!I:I,B229,DATOS!L:L,"S")/COUNTIFS(DATOS!G:G,CONFIG_METADATA!$B$4,DATOS!D:D,A229,DATOS!I:I,B229),"—"),"")</f>
        <v>—</v>
      </c>
      <c r="I229" s="15" t="str">
        <f>IF(V229="Sí",IFERROR(COUNTIFS(DATOS!G:G,CONFIG_METADATA!$B$4,DATOS!D:D,A229,DATOS!I:I,B229,DATOS!L:L,"N")/COUNTIFS(DATOS!G:G,CONFIG_METADATA!$B$4,DATOS!D:D,A229,DATOS!I:I,B229),"—"),"")</f>
        <v>—</v>
      </c>
      <c r="J229" t="str" cm="1">
        <f t="array" ref="J229">IF(V229="Sí",IFERROR(_xlfn.MODE.SNGL(IF((nEVAL=CONFIG_METADATA!$B$4)*(nCURSO=A229)*(nASIG=B229)*(nAPTO="S"),nNOTA)),"—"),"")</f>
        <v>—</v>
      </c>
      <c r="K229" t="str" cm="1">
        <f t="array" ref="K229">IF(V229="Sí",IFERROR(_xlfn.MODE.SNGL(IF((nEVAL=CONFIG_METADATA!$B$4)*(nCURSO=A229)*(nASIG=B229)*(nAPTO="N"),nNOTA)),"—"),"")</f>
        <v>—</v>
      </c>
      <c r="L229">
        <f>IF(V229="Sí",COUNTIFS(DATOS!G:G,CONFIG_METADATA!$B$4,DATOS!D:D,A229,DATOS!I:I,B229,DATOS!K:K,1),"")</f>
        <v>0</v>
      </c>
      <c r="M229">
        <f>IF(V229="Sí",COUNTIFS(DATOS!G:G,CONFIG_METADATA!$B$4,DATOS!D:D,A229,DATOS!I:I,B229,DATOS!K:K,2),"")</f>
        <v>0</v>
      </c>
      <c r="N229">
        <f>IF(V229="Sí",COUNTIFS(DATOS!G:G,CONFIG_METADATA!$B$4,DATOS!D:D,A229,DATOS!I:I,B229,DATOS!K:K,3),"")</f>
        <v>0</v>
      </c>
      <c r="O229">
        <f>IF(V229="Sí",COUNTIFS(DATOS!G:G,CONFIG_METADATA!$B$4,DATOS!D:D,A229,DATOS!I:I,B229,DATOS!K:K,4),"")</f>
        <v>0</v>
      </c>
      <c r="P229">
        <f>IF(V229="Sí",COUNTIFS(DATOS!G:G,CONFIG_METADATA!$B$4,DATOS!D:D,A229,DATOS!I:I,B229,DATOS!K:K,5),"")</f>
        <v>0</v>
      </c>
      <c r="Q229">
        <f>IF(V229="Sí",COUNTIFS(DATOS!G:G,CONFIG_METADATA!$B$4,DATOS!D:D,A229,DATOS!I:I,B229,DATOS!K:K,6),"")</f>
        <v>0</v>
      </c>
      <c r="R229">
        <f>IF(V229="Sí",COUNTIFS(DATOS!G:G,CONFIG_METADATA!$B$4,DATOS!D:D,A229,DATOS!I:I,B229,DATOS!K:K,7),"")</f>
        <v>0</v>
      </c>
      <c r="S229">
        <f>IF(V229="Sí",COUNTIFS(DATOS!G:G,CONFIG_METADATA!$B$4,DATOS!D:D,A229,DATOS!I:I,B229,DATOS!K:K,8),"")</f>
        <v>0</v>
      </c>
      <c r="T229">
        <f>IF(V229="Sí",COUNTIFS(DATOS!G:G,CONFIG_METADATA!$B$4,DATOS!D:D,A229,DATOS!I:I,B229,DATOS!K:K,9),"")</f>
        <v>0</v>
      </c>
      <c r="U229">
        <f>IF(V229="Sí",COUNTIFS(DATOS!G:G,CONFIG_METADATA!$B$4,DATOS!D:D,A229,DATOS!I:I,B229,DATOS!K:K,10),"")</f>
        <v>0</v>
      </c>
      <c r="V229" t="str">
        <f>IFERROR(IF(ISERROR(FIND(A229,VLOOKUP(B229,CONFIG_ASIGNATURAS!B:C,2,FALSE()))),"No","Sí"),"No")</f>
        <v>Sí</v>
      </c>
    </row>
    <row r="230" spans="1:22">
      <c r="A230" s="3" t="inlineStr">
        <is>
          <t xml:space="preserve">3EEM</t>
        </is>
      </c>
      <c r="B230" s="3" cm="1">
        <f t="array" ref="B230">IFERROR(INDEX(_xlfn._xlws.FILTER(CONFIG_ASIGNATURAS!$B$2:$B$61,(CONFIG_ASIGNATURAS!$G$2:$G$61="Sí")*ISNUMBER(SEARCH("3EEM",CONFIG_ASIGNATURAS!$C$2:$C$61))),37),"")</f>
      </c>
      <c r="C230" s="3">
        <f>IF(B230="","",IFERROR(IF(VLOOKUP(B230,CONFIG_ASIGNATURAS!$B$2:$F$61,5,FALSE())="Sí","Especialidad","Asignatura"),"Asignatura"))</f>
      </c>
      <c r="D230">
        <f>IF(V230="Sí",COUNTIFS(DATOS!G:G,CONFIG_METADATA!$B$4,DATOS!D:D,A230,DATOS!I:I,B230),"")</f>
        <v>0</v>
      </c>
      <c r="E230" s="14" t="str">
        <f>IF(V230="Sí",IFERROR(AVERAGEIFS(DATOS!K:K,DATOS!G:G,CONFIG_METADATA!$B$4,DATOS!D:D,A230,DATOS!I:I,B230),"—"),"")</f>
        <v>—</v>
      </c>
      <c r="F230" s="14" t="str" cm="1">
        <f t="array" ref="F230">IF(V230="Sí",IFERROR(_xlfn.STDEV.P(IF((nEVAL=CONFIG_METADATA!$B$4)*(nCURSO=A230)*(nASIG=B230),nNOTA)),"—"),"")</f>
        <v>—</v>
      </c>
      <c r="G230" t="str" cm="1">
        <f t="array" ref="G230">IF(V230="Sí",IFERROR(_xlfn.MODE.SNGL(IF((nEVAL=CONFIG_METADATA!$B$4)*(nCURSO=A230)*(nASIG=B230),nNOTA)),"—"),"")</f>
        <v>—</v>
      </c>
      <c r="H230" s="15" t="str">
        <f>IF(V230="Sí",IFERROR(COUNTIFS(DATOS!G:G,CONFIG_METADATA!$B$4,DATOS!D:D,A230,DATOS!I:I,B230,DATOS!L:L,"S")/COUNTIFS(DATOS!G:G,CONFIG_METADATA!$B$4,DATOS!D:D,A230,DATOS!I:I,B230),"—"),"")</f>
        <v>—</v>
      </c>
      <c r="I230" s="15" t="str">
        <f>IF(V230="Sí",IFERROR(COUNTIFS(DATOS!G:G,CONFIG_METADATA!$B$4,DATOS!D:D,A230,DATOS!I:I,B230,DATOS!L:L,"N")/COUNTIFS(DATOS!G:G,CONFIG_METADATA!$B$4,DATOS!D:D,A230,DATOS!I:I,B230),"—"),"")</f>
        <v>—</v>
      </c>
      <c r="J230" t="str" cm="1">
        <f t="array" ref="J230">IF(V230="Sí",IFERROR(_xlfn.MODE.SNGL(IF((nEVAL=CONFIG_METADATA!$B$4)*(nCURSO=A230)*(nASIG=B230)*(nAPTO="S"),nNOTA)),"—"),"")</f>
        <v>—</v>
      </c>
      <c r="K230" t="str" cm="1">
        <f t="array" ref="K230">IF(V230="Sí",IFERROR(_xlfn.MODE.SNGL(IF((nEVAL=CONFIG_METADATA!$B$4)*(nCURSO=A230)*(nASIG=B230)*(nAPTO="N"),nNOTA)),"—"),"")</f>
        <v>—</v>
      </c>
      <c r="L230">
        <f>IF(V230="Sí",COUNTIFS(DATOS!G:G,CONFIG_METADATA!$B$4,DATOS!D:D,A230,DATOS!I:I,B230,DATOS!K:K,1),"")</f>
        <v>0</v>
      </c>
      <c r="M230">
        <f>IF(V230="Sí",COUNTIFS(DATOS!G:G,CONFIG_METADATA!$B$4,DATOS!D:D,A230,DATOS!I:I,B230,DATOS!K:K,2),"")</f>
        <v>0</v>
      </c>
      <c r="N230">
        <f>IF(V230="Sí",COUNTIFS(DATOS!G:G,CONFIG_METADATA!$B$4,DATOS!D:D,A230,DATOS!I:I,B230,DATOS!K:K,3),"")</f>
        <v>0</v>
      </c>
      <c r="O230">
        <f>IF(V230="Sí",COUNTIFS(DATOS!G:G,CONFIG_METADATA!$B$4,DATOS!D:D,A230,DATOS!I:I,B230,DATOS!K:K,4),"")</f>
        <v>0</v>
      </c>
      <c r="P230">
        <f>IF(V230="Sí",COUNTIFS(DATOS!G:G,CONFIG_METADATA!$B$4,DATOS!D:D,A230,DATOS!I:I,B230,DATOS!K:K,5),"")</f>
        <v>0</v>
      </c>
      <c r="Q230">
        <f>IF(V230="Sí",COUNTIFS(DATOS!G:G,CONFIG_METADATA!$B$4,DATOS!D:D,A230,DATOS!I:I,B230,DATOS!K:K,6),"")</f>
        <v>0</v>
      </c>
      <c r="R230">
        <f>IF(V230="Sí",COUNTIFS(DATOS!G:G,CONFIG_METADATA!$B$4,DATOS!D:D,A230,DATOS!I:I,B230,DATOS!K:K,7),"")</f>
        <v>0</v>
      </c>
      <c r="S230">
        <f>IF(V230="Sí",COUNTIFS(DATOS!G:G,CONFIG_METADATA!$B$4,DATOS!D:D,A230,DATOS!I:I,B230,DATOS!K:K,8),"")</f>
        <v>0</v>
      </c>
      <c r="T230">
        <f>IF(V230="Sí",COUNTIFS(DATOS!G:G,CONFIG_METADATA!$B$4,DATOS!D:D,A230,DATOS!I:I,B230,DATOS!K:K,9),"")</f>
        <v>0</v>
      </c>
      <c r="U230">
        <f>IF(V230="Sí",COUNTIFS(DATOS!G:G,CONFIG_METADATA!$B$4,DATOS!D:D,A230,DATOS!I:I,B230,DATOS!K:K,10),"")</f>
        <v>0</v>
      </c>
      <c r="V230" t="str">
        <f>IFERROR(IF(ISERROR(FIND(A230,VLOOKUP(B230,CONFIG_ASIGNATURAS!B:C,2,FALSE()))),"No","Sí"),"No")</f>
        <v>Sí</v>
      </c>
    </row>
    <row r="231" spans="1:22">
      <c r="A231" s="3" t="inlineStr">
        <is>
          <t xml:space="preserve">3EEM</t>
        </is>
      </c>
      <c r="B231" s="3" cm="1">
        <f t="array" ref="B231">IFERROR(INDEX(_xlfn._xlws.FILTER(CONFIG_ASIGNATURAS!$B$2:$B$61,(CONFIG_ASIGNATURAS!$G$2:$G$61="Sí")*ISNUMBER(SEARCH("3EEM",CONFIG_ASIGNATURAS!$C$2:$C$61))),38),"")</f>
      </c>
      <c r="C231" s="3">
        <f>IF(B231="","",IFERROR(IF(VLOOKUP(B231,CONFIG_ASIGNATURAS!$B$2:$F$61,5,FALSE())="Sí","Especialidad","Asignatura"),"Asignatura"))</f>
      </c>
      <c r="D231">
        <f>IF(V231="Sí",COUNTIFS(DATOS!G:G,CONFIG_METADATA!$B$4,DATOS!D:D,A231,DATOS!I:I,B231),"")</f>
        <v>0</v>
      </c>
      <c r="E231" s="14" t="str">
        <f>IF(V231="Sí",IFERROR(AVERAGEIFS(DATOS!K:K,DATOS!G:G,CONFIG_METADATA!$B$4,DATOS!D:D,A231,DATOS!I:I,B231),"—"),"")</f>
        <v>—</v>
      </c>
      <c r="F231" s="14" t="str" cm="1">
        <f t="array" ref="F231">IF(V231="Sí",IFERROR(_xlfn.STDEV.P(IF((nEVAL=CONFIG_METADATA!$B$4)*(nCURSO=A231)*(nASIG=B231),nNOTA)),"—"),"")</f>
        <v>—</v>
      </c>
      <c r="G231" t="str" cm="1">
        <f t="array" ref="G231">IF(V231="Sí",IFERROR(_xlfn.MODE.SNGL(IF((nEVAL=CONFIG_METADATA!$B$4)*(nCURSO=A231)*(nASIG=B231),nNOTA)),"—"),"")</f>
        <v>—</v>
      </c>
      <c r="H231" s="15" t="str">
        <f>IF(V231="Sí",IFERROR(COUNTIFS(DATOS!G:G,CONFIG_METADATA!$B$4,DATOS!D:D,A231,DATOS!I:I,B231,DATOS!L:L,"S")/COUNTIFS(DATOS!G:G,CONFIG_METADATA!$B$4,DATOS!D:D,A231,DATOS!I:I,B231),"—"),"")</f>
        <v>—</v>
      </c>
      <c r="I231" s="15" t="str">
        <f>IF(V231="Sí",IFERROR(COUNTIFS(DATOS!G:G,CONFIG_METADATA!$B$4,DATOS!D:D,A231,DATOS!I:I,B231,DATOS!L:L,"N")/COUNTIFS(DATOS!G:G,CONFIG_METADATA!$B$4,DATOS!D:D,A231,DATOS!I:I,B231),"—"),"")</f>
        <v>—</v>
      </c>
      <c r="J231" t="str" cm="1">
        <f t="array" ref="J231">IF(V231="Sí",IFERROR(_xlfn.MODE.SNGL(IF((nEVAL=CONFIG_METADATA!$B$4)*(nCURSO=A231)*(nASIG=B231)*(nAPTO="S"),nNOTA)),"—"),"")</f>
        <v>—</v>
      </c>
      <c r="K231" t="str" cm="1">
        <f t="array" ref="K231">IF(V231="Sí",IFERROR(_xlfn.MODE.SNGL(IF((nEVAL=CONFIG_METADATA!$B$4)*(nCURSO=A231)*(nASIG=B231)*(nAPTO="N"),nNOTA)),"—"),"")</f>
        <v>—</v>
      </c>
      <c r="L231">
        <f>IF(V231="Sí",COUNTIFS(DATOS!G:G,CONFIG_METADATA!$B$4,DATOS!D:D,A231,DATOS!I:I,B231,DATOS!K:K,1),"")</f>
        <v>0</v>
      </c>
      <c r="M231">
        <f>IF(V231="Sí",COUNTIFS(DATOS!G:G,CONFIG_METADATA!$B$4,DATOS!D:D,A231,DATOS!I:I,B231,DATOS!K:K,2),"")</f>
        <v>0</v>
      </c>
      <c r="N231">
        <f>IF(V231="Sí",COUNTIFS(DATOS!G:G,CONFIG_METADATA!$B$4,DATOS!D:D,A231,DATOS!I:I,B231,DATOS!K:K,3),"")</f>
        <v>0</v>
      </c>
      <c r="O231">
        <f>IF(V231="Sí",COUNTIFS(DATOS!G:G,CONFIG_METADATA!$B$4,DATOS!D:D,A231,DATOS!I:I,B231,DATOS!K:K,4),"")</f>
        <v>0</v>
      </c>
      <c r="P231">
        <f>IF(V231="Sí",COUNTIFS(DATOS!G:G,CONFIG_METADATA!$B$4,DATOS!D:D,A231,DATOS!I:I,B231,DATOS!K:K,5),"")</f>
        <v>0</v>
      </c>
      <c r="Q231">
        <f>IF(V231="Sí",COUNTIFS(DATOS!G:G,CONFIG_METADATA!$B$4,DATOS!D:D,A231,DATOS!I:I,B231,DATOS!K:K,6),"")</f>
        <v>0</v>
      </c>
      <c r="R231">
        <f>IF(V231="Sí",COUNTIFS(DATOS!G:G,CONFIG_METADATA!$B$4,DATOS!D:D,A231,DATOS!I:I,B231,DATOS!K:K,7),"")</f>
        <v>0</v>
      </c>
      <c r="S231">
        <f>IF(V231="Sí",COUNTIFS(DATOS!G:G,CONFIG_METADATA!$B$4,DATOS!D:D,A231,DATOS!I:I,B231,DATOS!K:K,8),"")</f>
        <v>0</v>
      </c>
      <c r="T231">
        <f>IF(V231="Sí",COUNTIFS(DATOS!G:G,CONFIG_METADATA!$B$4,DATOS!D:D,A231,DATOS!I:I,B231,DATOS!K:K,9),"")</f>
        <v>0</v>
      </c>
      <c r="U231">
        <f>IF(V231="Sí",COUNTIFS(DATOS!G:G,CONFIG_METADATA!$B$4,DATOS!D:D,A231,DATOS!I:I,B231,DATOS!K:K,10),"")</f>
        <v>0</v>
      </c>
      <c r="V231" t="str">
        <f>IFERROR(IF(ISERROR(FIND(A231,VLOOKUP(B231,CONFIG_ASIGNATURAS!B:C,2,FALSE()))),"No","Sí"),"No")</f>
        <v>Sí</v>
      </c>
    </row>
    <row r="232" spans="1:22">
      <c r="A232" s="3" t="inlineStr">
        <is>
          <t xml:space="preserve">3EEM</t>
        </is>
      </c>
      <c r="B232" s="3" cm="1">
        <f t="array" ref="B232">IFERROR(INDEX(_xlfn._xlws.FILTER(CONFIG_ASIGNATURAS!$B$2:$B$61,(CONFIG_ASIGNATURAS!$G$2:$G$61="Sí")*ISNUMBER(SEARCH("3EEM",CONFIG_ASIGNATURAS!$C$2:$C$61))),39),"")</f>
      </c>
      <c r="C232" s="3">
        <f>IF(B232="","",IFERROR(IF(VLOOKUP(B232,CONFIG_ASIGNATURAS!$B$2:$F$61,5,FALSE())="Sí","Especialidad","Asignatura"),"Asignatura"))</f>
      </c>
      <c r="D232">
        <f>IF(V232="Sí",COUNTIFS(DATOS!G:G,CONFIG_METADATA!$B$4,DATOS!D:D,A232,DATOS!I:I,B232),"")</f>
        <v>0</v>
      </c>
      <c r="E232" s="14" t="str">
        <f>IF(V232="Sí",IFERROR(AVERAGEIFS(DATOS!K:K,DATOS!G:G,CONFIG_METADATA!$B$4,DATOS!D:D,A232,DATOS!I:I,B232),"—"),"")</f>
        <v>—</v>
      </c>
      <c r="F232" s="14" t="str" cm="1">
        <f t="array" ref="F232">IF(V232="Sí",IFERROR(_xlfn.STDEV.P(IF((nEVAL=CONFIG_METADATA!$B$4)*(nCURSO=A232)*(nASIG=B232),nNOTA)),"—"),"")</f>
        <v>—</v>
      </c>
      <c r="G232" t="str" cm="1">
        <f t="array" ref="G232">IF(V232="Sí",IFERROR(_xlfn.MODE.SNGL(IF((nEVAL=CONFIG_METADATA!$B$4)*(nCURSO=A232)*(nASIG=B232),nNOTA)),"—"),"")</f>
        <v>—</v>
      </c>
      <c r="H232" s="15" t="str">
        <f>IF(V232="Sí",IFERROR(COUNTIFS(DATOS!G:G,CONFIG_METADATA!$B$4,DATOS!D:D,A232,DATOS!I:I,B232,DATOS!L:L,"S")/COUNTIFS(DATOS!G:G,CONFIG_METADATA!$B$4,DATOS!D:D,A232,DATOS!I:I,B232),"—"),"")</f>
        <v>—</v>
      </c>
      <c r="I232" s="15" t="str">
        <f>IF(V232="Sí",IFERROR(COUNTIFS(DATOS!G:G,CONFIG_METADATA!$B$4,DATOS!D:D,A232,DATOS!I:I,B232,DATOS!L:L,"N")/COUNTIFS(DATOS!G:G,CONFIG_METADATA!$B$4,DATOS!D:D,A232,DATOS!I:I,B232),"—"),"")</f>
        <v>—</v>
      </c>
      <c r="J232" t="str" cm="1">
        <f t="array" ref="J232">IF(V232="Sí",IFERROR(_xlfn.MODE.SNGL(IF((nEVAL=CONFIG_METADATA!$B$4)*(nCURSO=A232)*(nASIG=B232)*(nAPTO="S"),nNOTA)),"—"),"")</f>
        <v>—</v>
      </c>
      <c r="K232" t="str" cm="1">
        <f t="array" ref="K232">IF(V232="Sí",IFERROR(_xlfn.MODE.SNGL(IF((nEVAL=CONFIG_METADATA!$B$4)*(nCURSO=A232)*(nASIG=B232)*(nAPTO="N"),nNOTA)),"—"),"")</f>
        <v>—</v>
      </c>
      <c r="L232">
        <f>IF(V232="Sí",COUNTIFS(DATOS!G:G,CONFIG_METADATA!$B$4,DATOS!D:D,A232,DATOS!I:I,B232,DATOS!K:K,1),"")</f>
        <v>0</v>
      </c>
      <c r="M232">
        <f>IF(V232="Sí",COUNTIFS(DATOS!G:G,CONFIG_METADATA!$B$4,DATOS!D:D,A232,DATOS!I:I,B232,DATOS!K:K,2),"")</f>
        <v>0</v>
      </c>
      <c r="N232">
        <f>IF(V232="Sí",COUNTIFS(DATOS!G:G,CONFIG_METADATA!$B$4,DATOS!D:D,A232,DATOS!I:I,B232,DATOS!K:K,3),"")</f>
        <v>0</v>
      </c>
      <c r="O232">
        <f>IF(V232="Sí",COUNTIFS(DATOS!G:G,CONFIG_METADATA!$B$4,DATOS!D:D,A232,DATOS!I:I,B232,DATOS!K:K,4),"")</f>
        <v>0</v>
      </c>
      <c r="P232">
        <f>IF(V232="Sí",COUNTIFS(DATOS!G:G,CONFIG_METADATA!$B$4,DATOS!D:D,A232,DATOS!I:I,B232,DATOS!K:K,5),"")</f>
        <v>0</v>
      </c>
      <c r="Q232">
        <f>IF(V232="Sí",COUNTIFS(DATOS!G:G,CONFIG_METADATA!$B$4,DATOS!D:D,A232,DATOS!I:I,B232,DATOS!K:K,6),"")</f>
        <v>0</v>
      </c>
      <c r="R232">
        <f>IF(V232="Sí",COUNTIFS(DATOS!G:G,CONFIG_METADATA!$B$4,DATOS!D:D,A232,DATOS!I:I,B232,DATOS!K:K,7),"")</f>
        <v>0</v>
      </c>
      <c r="S232">
        <f>IF(V232="Sí",COUNTIFS(DATOS!G:G,CONFIG_METADATA!$B$4,DATOS!D:D,A232,DATOS!I:I,B232,DATOS!K:K,8),"")</f>
        <v>0</v>
      </c>
      <c r="T232">
        <f>IF(V232="Sí",COUNTIFS(DATOS!G:G,CONFIG_METADATA!$B$4,DATOS!D:D,A232,DATOS!I:I,B232,DATOS!K:K,9),"")</f>
        <v>0</v>
      </c>
      <c r="U232">
        <f>IF(V232="Sí",COUNTIFS(DATOS!G:G,CONFIG_METADATA!$B$4,DATOS!D:D,A232,DATOS!I:I,B232,DATOS!K:K,10),"")</f>
        <v>0</v>
      </c>
      <c r="V232" t="str">
        <f>IFERROR(IF(ISERROR(FIND(A232,VLOOKUP(B232,CONFIG_ASIGNATURAS!B:C,2,FALSE()))),"No","Sí"),"No")</f>
        <v>Sí</v>
      </c>
    </row>
    <row r="233" spans="1:22">
      <c r="A233" s="3" t="inlineStr">
        <is>
          <t xml:space="preserve">3EEM</t>
        </is>
      </c>
      <c r="B233" s="3" cm="1">
        <f t="array" ref="B233">IFERROR(INDEX(_xlfn._xlws.FILTER(CONFIG_ASIGNATURAS!$B$2:$B$61,(CONFIG_ASIGNATURAS!$G$2:$G$61="Sí")*ISNUMBER(SEARCH("3EEM",CONFIG_ASIGNATURAS!$C$2:$C$61))),40),"")</f>
      </c>
      <c r="C233" s="3">
        <f>IF(B233="","",IFERROR(IF(VLOOKUP(B233,CONFIG_ASIGNATURAS!$B$2:$F$61,5,FALSE())="Sí","Especialidad","Asignatura"),"Asignatura"))</f>
      </c>
      <c r="D233">
        <f>IF(V233="Sí",COUNTIFS(DATOS!G:G,CONFIG_METADATA!$B$4,DATOS!D:D,A233,DATOS!I:I,B233),"")</f>
        <v>0</v>
      </c>
      <c r="E233" s="14" t="str">
        <f>IF(V233="Sí",IFERROR(AVERAGEIFS(DATOS!K:K,DATOS!G:G,CONFIG_METADATA!$B$4,DATOS!D:D,A233,DATOS!I:I,B233),"—"),"")</f>
        <v>—</v>
      </c>
      <c r="F233" s="14" t="str" cm="1">
        <f t="array" ref="F233">IF(V233="Sí",IFERROR(_xlfn.STDEV.P(IF((nEVAL=CONFIG_METADATA!$B$4)*(nCURSO=A233)*(nASIG=B233),nNOTA)),"—"),"")</f>
        <v>—</v>
      </c>
      <c r="G233" t="str" cm="1">
        <f t="array" ref="G233">IF(V233="Sí",IFERROR(_xlfn.MODE.SNGL(IF((nEVAL=CONFIG_METADATA!$B$4)*(nCURSO=A233)*(nASIG=B233),nNOTA)),"—"),"")</f>
        <v>—</v>
      </c>
      <c r="H233" s="15" t="str">
        <f>IF(V233="Sí",IFERROR(COUNTIFS(DATOS!G:G,CONFIG_METADATA!$B$4,DATOS!D:D,A233,DATOS!I:I,B233,DATOS!L:L,"S")/COUNTIFS(DATOS!G:G,CONFIG_METADATA!$B$4,DATOS!D:D,A233,DATOS!I:I,B233),"—"),"")</f>
        <v>—</v>
      </c>
      <c r="I233" s="15" t="str">
        <f>IF(V233="Sí",IFERROR(COUNTIFS(DATOS!G:G,CONFIG_METADATA!$B$4,DATOS!D:D,A233,DATOS!I:I,B233,DATOS!L:L,"N")/COUNTIFS(DATOS!G:G,CONFIG_METADATA!$B$4,DATOS!D:D,A233,DATOS!I:I,B233),"—"),"")</f>
        <v>—</v>
      </c>
      <c r="J233" t="str" cm="1">
        <f t="array" ref="J233">IF(V233="Sí",IFERROR(_xlfn.MODE.SNGL(IF((nEVAL=CONFIG_METADATA!$B$4)*(nCURSO=A233)*(nASIG=B233)*(nAPTO="S"),nNOTA)),"—"),"")</f>
        <v>—</v>
      </c>
      <c r="K233" t="str" cm="1">
        <f t="array" ref="K233">IF(V233="Sí",IFERROR(_xlfn.MODE.SNGL(IF((nEVAL=CONFIG_METADATA!$B$4)*(nCURSO=A233)*(nASIG=B233)*(nAPTO="N"),nNOTA)),"—"),"")</f>
        <v>—</v>
      </c>
      <c r="L233">
        <f>IF(V233="Sí",COUNTIFS(DATOS!G:G,CONFIG_METADATA!$B$4,DATOS!D:D,A233,DATOS!I:I,B233,DATOS!K:K,1),"")</f>
        <v>0</v>
      </c>
      <c r="M233">
        <f>IF(V233="Sí",COUNTIFS(DATOS!G:G,CONFIG_METADATA!$B$4,DATOS!D:D,A233,DATOS!I:I,B233,DATOS!K:K,2),"")</f>
        <v>0</v>
      </c>
      <c r="N233">
        <f>IF(V233="Sí",COUNTIFS(DATOS!G:G,CONFIG_METADATA!$B$4,DATOS!D:D,A233,DATOS!I:I,B233,DATOS!K:K,3),"")</f>
        <v>0</v>
      </c>
      <c r="O233">
        <f>IF(V233="Sí",COUNTIFS(DATOS!G:G,CONFIG_METADATA!$B$4,DATOS!D:D,A233,DATOS!I:I,B233,DATOS!K:K,4),"")</f>
        <v>0</v>
      </c>
      <c r="P233">
        <f>IF(V233="Sí",COUNTIFS(DATOS!G:G,CONFIG_METADATA!$B$4,DATOS!D:D,A233,DATOS!I:I,B233,DATOS!K:K,5),"")</f>
        <v>0</v>
      </c>
      <c r="Q233">
        <f>IF(V233="Sí",COUNTIFS(DATOS!G:G,CONFIG_METADATA!$B$4,DATOS!D:D,A233,DATOS!I:I,B233,DATOS!K:K,6),"")</f>
        <v>0</v>
      </c>
      <c r="R233">
        <f>IF(V233="Sí",COUNTIFS(DATOS!G:G,CONFIG_METADATA!$B$4,DATOS!D:D,A233,DATOS!I:I,B233,DATOS!K:K,7),"")</f>
        <v>0</v>
      </c>
      <c r="S233">
        <f>IF(V233="Sí",COUNTIFS(DATOS!G:G,CONFIG_METADATA!$B$4,DATOS!D:D,A233,DATOS!I:I,B233,DATOS!K:K,8),"")</f>
        <v>0</v>
      </c>
      <c r="T233">
        <f>IF(V233="Sí",COUNTIFS(DATOS!G:G,CONFIG_METADATA!$B$4,DATOS!D:D,A233,DATOS!I:I,B233,DATOS!K:K,9),"")</f>
        <v>0</v>
      </c>
      <c r="U233">
        <f>IF(V233="Sí",COUNTIFS(DATOS!G:G,CONFIG_METADATA!$B$4,DATOS!D:D,A233,DATOS!I:I,B233,DATOS!K:K,10),"")</f>
        <v>0</v>
      </c>
      <c r="V233" t="str">
        <f>IFERROR(IF(ISERROR(FIND(A233,VLOOKUP(B233,CONFIG_ASIGNATURAS!B:C,2,FALSE()))),"No","Sí"),"No")</f>
        <v>Sí</v>
      </c>
    </row>
    <row r="234" spans="1:22">
      <c r="A234" s="3" t="inlineStr">
        <is>
          <t xml:space="preserve">3EEM</t>
        </is>
      </c>
      <c r="B234" s="3" cm="1">
        <f t="array" ref="B234">IFERROR(INDEX(_xlfn._xlws.FILTER(CONFIG_ASIGNATURAS!$B$2:$B$61,(CONFIG_ASIGNATURAS!$G$2:$G$61="Sí")*ISNUMBER(SEARCH("3EEM",CONFIG_ASIGNATURAS!$C$2:$C$61))),41),"")</f>
      </c>
      <c r="C234" s="3">
        <f>IF(B234="","",IFERROR(IF(VLOOKUP(B234,CONFIG_ASIGNATURAS!$B$2:$F$61,5,FALSE())="Sí","Especialidad","Asignatura"),"Asignatura"))</f>
      </c>
      <c r="D234">
        <f>IF(V234="Sí",COUNTIFS(DATOS!G:G,CONFIG_METADATA!$B$4,DATOS!D:D,A234,DATOS!I:I,B234),"")</f>
        <v>0</v>
      </c>
      <c r="E234" s="14" t="str">
        <f>IF(V234="Sí",IFERROR(AVERAGEIFS(DATOS!K:K,DATOS!G:G,CONFIG_METADATA!$B$4,DATOS!D:D,A234,DATOS!I:I,B234),"—"),"")</f>
        <v>—</v>
      </c>
      <c r="F234" s="14" t="str" cm="1">
        <f t="array" ref="F234">IF(V234="Sí",IFERROR(_xlfn.STDEV.P(IF((nEVAL=CONFIG_METADATA!$B$4)*(nCURSO=A234)*(nASIG=B234),nNOTA)),"—"),"")</f>
        <v>—</v>
      </c>
      <c r="G234" t="str" cm="1">
        <f t="array" ref="G234">IF(V234="Sí",IFERROR(_xlfn.MODE.SNGL(IF((nEVAL=CONFIG_METADATA!$B$4)*(nCURSO=A234)*(nASIG=B234),nNOTA)),"—"),"")</f>
        <v>—</v>
      </c>
      <c r="H234" s="15" t="str">
        <f>IF(V234="Sí",IFERROR(COUNTIFS(DATOS!G:G,CONFIG_METADATA!$B$4,DATOS!D:D,A234,DATOS!I:I,B234,DATOS!L:L,"S")/COUNTIFS(DATOS!G:G,CONFIG_METADATA!$B$4,DATOS!D:D,A234,DATOS!I:I,B234),"—"),"")</f>
        <v>—</v>
      </c>
      <c r="I234" s="15" t="str">
        <f>IF(V234="Sí",IFERROR(COUNTIFS(DATOS!G:G,CONFIG_METADATA!$B$4,DATOS!D:D,A234,DATOS!I:I,B234,DATOS!L:L,"N")/COUNTIFS(DATOS!G:G,CONFIG_METADATA!$B$4,DATOS!D:D,A234,DATOS!I:I,B234),"—"),"")</f>
        <v>—</v>
      </c>
      <c r="J234" t="str" cm="1">
        <f t="array" ref="J234">IF(V234="Sí",IFERROR(_xlfn.MODE.SNGL(IF((nEVAL=CONFIG_METADATA!$B$4)*(nCURSO=A234)*(nASIG=B234)*(nAPTO="S"),nNOTA)),"—"),"")</f>
        <v>—</v>
      </c>
      <c r="K234" t="str" cm="1">
        <f t="array" ref="K234">IF(V234="Sí",IFERROR(_xlfn.MODE.SNGL(IF((nEVAL=CONFIG_METADATA!$B$4)*(nCURSO=A234)*(nASIG=B234)*(nAPTO="N"),nNOTA)),"—"),"")</f>
        <v>—</v>
      </c>
      <c r="L234">
        <f>IF(V234="Sí",COUNTIFS(DATOS!G:G,CONFIG_METADATA!$B$4,DATOS!D:D,A234,DATOS!I:I,B234,DATOS!K:K,1),"")</f>
        <v>0</v>
      </c>
      <c r="M234">
        <f>IF(V234="Sí",COUNTIFS(DATOS!G:G,CONFIG_METADATA!$B$4,DATOS!D:D,A234,DATOS!I:I,B234,DATOS!K:K,2),"")</f>
        <v>0</v>
      </c>
      <c r="N234">
        <f>IF(V234="Sí",COUNTIFS(DATOS!G:G,CONFIG_METADATA!$B$4,DATOS!D:D,A234,DATOS!I:I,B234,DATOS!K:K,3),"")</f>
        <v>0</v>
      </c>
      <c r="O234">
        <f>IF(V234="Sí",COUNTIFS(DATOS!G:G,CONFIG_METADATA!$B$4,DATOS!D:D,A234,DATOS!I:I,B234,DATOS!K:K,4),"")</f>
        <v>0</v>
      </c>
      <c r="P234">
        <f>IF(V234="Sí",COUNTIFS(DATOS!G:G,CONFIG_METADATA!$B$4,DATOS!D:D,A234,DATOS!I:I,B234,DATOS!K:K,5),"")</f>
        <v>0</v>
      </c>
      <c r="Q234">
        <f>IF(V234="Sí",COUNTIFS(DATOS!G:G,CONFIG_METADATA!$B$4,DATOS!D:D,A234,DATOS!I:I,B234,DATOS!K:K,6),"")</f>
        <v>0</v>
      </c>
      <c r="R234">
        <f>IF(V234="Sí",COUNTIFS(DATOS!G:G,CONFIG_METADATA!$B$4,DATOS!D:D,A234,DATOS!I:I,B234,DATOS!K:K,7),"")</f>
        <v>0</v>
      </c>
      <c r="S234">
        <f>IF(V234="Sí",COUNTIFS(DATOS!G:G,CONFIG_METADATA!$B$4,DATOS!D:D,A234,DATOS!I:I,B234,DATOS!K:K,8),"")</f>
        <v>0</v>
      </c>
      <c r="T234">
        <f>IF(V234="Sí",COUNTIFS(DATOS!G:G,CONFIG_METADATA!$B$4,DATOS!D:D,A234,DATOS!I:I,B234,DATOS!K:K,9),"")</f>
        <v>0</v>
      </c>
      <c r="U234">
        <f>IF(V234="Sí",COUNTIFS(DATOS!G:G,CONFIG_METADATA!$B$4,DATOS!D:D,A234,DATOS!I:I,B234,DATOS!K:K,10),"")</f>
        <v>0</v>
      </c>
      <c r="V234" t="str">
        <f>IFERROR(IF(ISERROR(FIND(A234,VLOOKUP(B234,CONFIG_ASIGNATURAS!B:C,2,FALSE()))),"No","Sí"),"No")</f>
        <v>Sí</v>
      </c>
    </row>
    <row r="235" spans="1:22">
      <c r="A235" s="3" t="inlineStr">
        <is>
          <t xml:space="preserve">3EEM</t>
        </is>
      </c>
      <c r="B235" s="3" cm="1">
        <f t="array" ref="B235">IFERROR(INDEX(_xlfn._xlws.FILTER(CONFIG_ASIGNATURAS!$B$2:$B$61,(CONFIG_ASIGNATURAS!$G$2:$G$61="Sí")*ISNUMBER(SEARCH("3EEM",CONFIG_ASIGNATURAS!$C$2:$C$61))),42),"")</f>
      </c>
      <c r="C235" s="3">
        <f>IF(B235="","",IFERROR(IF(VLOOKUP(B235,CONFIG_ASIGNATURAS!$B$2:$F$61,5,FALSE())="Sí","Especialidad","Asignatura"),"Asignatura"))</f>
      </c>
      <c r="D235">
        <f>IF(V235="Sí",COUNTIFS(DATOS!G:G,CONFIG_METADATA!$B$4,DATOS!D:D,A235,DATOS!I:I,B235),"")</f>
        <v>0</v>
      </c>
      <c r="E235" s="14" t="str">
        <f>IF(V235="Sí",IFERROR(AVERAGEIFS(DATOS!K:K,DATOS!G:G,CONFIG_METADATA!$B$4,DATOS!D:D,A235,DATOS!I:I,B235),"—"),"")</f>
        <v>—</v>
      </c>
      <c r="F235" s="14" t="str" cm="1">
        <f t="array" ref="F235">IF(V235="Sí",IFERROR(_xlfn.STDEV.P(IF((nEVAL=CONFIG_METADATA!$B$4)*(nCURSO=A235)*(nASIG=B235),nNOTA)),"—"),"")</f>
        <v>—</v>
      </c>
      <c r="G235" t="str" cm="1">
        <f t="array" ref="G235">IF(V235="Sí",IFERROR(_xlfn.MODE.SNGL(IF((nEVAL=CONFIG_METADATA!$B$4)*(nCURSO=A235)*(nASIG=B235),nNOTA)),"—"),"")</f>
        <v>—</v>
      </c>
      <c r="H235" s="15" t="str">
        <f>IF(V235="Sí",IFERROR(COUNTIFS(DATOS!G:G,CONFIG_METADATA!$B$4,DATOS!D:D,A235,DATOS!I:I,B235,DATOS!L:L,"S")/COUNTIFS(DATOS!G:G,CONFIG_METADATA!$B$4,DATOS!D:D,A235,DATOS!I:I,B235),"—"),"")</f>
        <v>—</v>
      </c>
      <c r="I235" s="15" t="str">
        <f>IF(V235="Sí",IFERROR(COUNTIFS(DATOS!G:G,CONFIG_METADATA!$B$4,DATOS!D:D,A235,DATOS!I:I,B235,DATOS!L:L,"N")/COUNTIFS(DATOS!G:G,CONFIG_METADATA!$B$4,DATOS!D:D,A235,DATOS!I:I,B235),"—"),"")</f>
        <v>—</v>
      </c>
      <c r="J235" t="str" cm="1">
        <f t="array" ref="J235">IF(V235="Sí",IFERROR(_xlfn.MODE.SNGL(IF((nEVAL=CONFIG_METADATA!$B$4)*(nCURSO=A235)*(nASIG=B235)*(nAPTO="S"),nNOTA)),"—"),"")</f>
        <v>—</v>
      </c>
      <c r="K235" t="str" cm="1">
        <f t="array" ref="K235">IF(V235="Sí",IFERROR(_xlfn.MODE.SNGL(IF((nEVAL=CONFIG_METADATA!$B$4)*(nCURSO=A235)*(nASIG=B235)*(nAPTO="N"),nNOTA)),"—"),"")</f>
        <v>—</v>
      </c>
      <c r="L235">
        <f>IF(V235="Sí",COUNTIFS(DATOS!G:G,CONFIG_METADATA!$B$4,DATOS!D:D,A235,DATOS!I:I,B235,DATOS!K:K,1),"")</f>
        <v>0</v>
      </c>
      <c r="M235">
        <f>IF(V235="Sí",COUNTIFS(DATOS!G:G,CONFIG_METADATA!$B$4,DATOS!D:D,A235,DATOS!I:I,B235,DATOS!K:K,2),"")</f>
        <v>0</v>
      </c>
      <c r="N235">
        <f>IF(V235="Sí",COUNTIFS(DATOS!G:G,CONFIG_METADATA!$B$4,DATOS!D:D,A235,DATOS!I:I,B235,DATOS!K:K,3),"")</f>
        <v>0</v>
      </c>
      <c r="O235">
        <f>IF(V235="Sí",COUNTIFS(DATOS!G:G,CONFIG_METADATA!$B$4,DATOS!D:D,A235,DATOS!I:I,B235,DATOS!K:K,4),"")</f>
        <v>0</v>
      </c>
      <c r="P235">
        <f>IF(V235="Sí",COUNTIFS(DATOS!G:G,CONFIG_METADATA!$B$4,DATOS!D:D,A235,DATOS!I:I,B235,DATOS!K:K,5),"")</f>
        <v>0</v>
      </c>
      <c r="Q235">
        <f>IF(V235="Sí",COUNTIFS(DATOS!G:G,CONFIG_METADATA!$B$4,DATOS!D:D,A235,DATOS!I:I,B235,DATOS!K:K,6),"")</f>
        <v>0</v>
      </c>
      <c r="R235">
        <f>IF(V235="Sí",COUNTIFS(DATOS!G:G,CONFIG_METADATA!$B$4,DATOS!D:D,A235,DATOS!I:I,B235,DATOS!K:K,7),"")</f>
        <v>0</v>
      </c>
      <c r="S235">
        <f>IF(V235="Sí",COUNTIFS(DATOS!G:G,CONFIG_METADATA!$B$4,DATOS!D:D,A235,DATOS!I:I,B235,DATOS!K:K,8),"")</f>
        <v>0</v>
      </c>
      <c r="T235">
        <f>IF(V235="Sí",COUNTIFS(DATOS!G:G,CONFIG_METADATA!$B$4,DATOS!D:D,A235,DATOS!I:I,B235,DATOS!K:K,9),"")</f>
        <v>0</v>
      </c>
      <c r="U235">
        <f>IF(V235="Sí",COUNTIFS(DATOS!G:G,CONFIG_METADATA!$B$4,DATOS!D:D,A235,DATOS!I:I,B235,DATOS!K:K,10),"")</f>
        <v>0</v>
      </c>
      <c r="V235" t="str">
        <f>IFERROR(IF(ISERROR(FIND(A235,VLOOKUP(B235,CONFIG_ASIGNATURAS!B:C,2,FALSE()))),"No","Sí"),"No")</f>
        <v>Sí</v>
      </c>
    </row>
    <row r="236" spans="1:22">
      <c r="A236" s="3" t="inlineStr">
        <is>
          <t xml:space="preserve">3EEM</t>
        </is>
      </c>
      <c r="B236" s="3" cm="1">
        <f t="array" ref="B236">IFERROR(INDEX(_xlfn._xlws.FILTER(CONFIG_ASIGNATURAS!$B$2:$B$61,(CONFIG_ASIGNATURAS!$G$2:$G$61="Sí")*ISNUMBER(SEARCH("3EEM",CONFIG_ASIGNATURAS!$C$2:$C$61))),43),"")</f>
      </c>
      <c r="C236" s="3">
        <f>IF(B236="","",IFERROR(IF(VLOOKUP(B236,CONFIG_ASIGNATURAS!$B$2:$F$61,5,FALSE())="Sí","Especialidad","Asignatura"),"Asignatura"))</f>
      </c>
      <c r="D236">
        <f>IF(V236="Sí",COUNTIFS(DATOS!G:G,CONFIG_METADATA!$B$4,DATOS!D:D,A236,DATOS!I:I,B236),"")</f>
        <v>0</v>
      </c>
      <c r="E236" s="14" t="str">
        <f>IF(V236="Sí",IFERROR(AVERAGEIFS(DATOS!K:K,DATOS!G:G,CONFIG_METADATA!$B$4,DATOS!D:D,A236,DATOS!I:I,B236),"—"),"")</f>
        <v>—</v>
      </c>
      <c r="F236" s="14" t="str" cm="1">
        <f t="array" ref="F236">IF(V236="Sí",IFERROR(_xlfn.STDEV.P(IF((nEVAL=CONFIG_METADATA!$B$4)*(nCURSO=A236)*(nASIG=B236),nNOTA)),"—"),"")</f>
        <v>—</v>
      </c>
      <c r="G236" t="str" cm="1">
        <f t="array" ref="G236">IF(V236="Sí",IFERROR(_xlfn.MODE.SNGL(IF((nEVAL=CONFIG_METADATA!$B$4)*(nCURSO=A236)*(nASIG=B236),nNOTA)),"—"),"")</f>
        <v>—</v>
      </c>
      <c r="H236" s="15" t="str">
        <f>IF(V236="Sí",IFERROR(COUNTIFS(DATOS!G:G,CONFIG_METADATA!$B$4,DATOS!D:D,A236,DATOS!I:I,B236,DATOS!L:L,"S")/COUNTIFS(DATOS!G:G,CONFIG_METADATA!$B$4,DATOS!D:D,A236,DATOS!I:I,B236),"—"),"")</f>
        <v>—</v>
      </c>
      <c r="I236" s="15" t="str">
        <f>IF(V236="Sí",IFERROR(COUNTIFS(DATOS!G:G,CONFIG_METADATA!$B$4,DATOS!D:D,A236,DATOS!I:I,B236,DATOS!L:L,"N")/COUNTIFS(DATOS!G:G,CONFIG_METADATA!$B$4,DATOS!D:D,A236,DATOS!I:I,B236),"—"),"")</f>
        <v>—</v>
      </c>
      <c r="J236" t="str" cm="1">
        <f t="array" ref="J236">IF(V236="Sí",IFERROR(_xlfn.MODE.SNGL(IF((nEVAL=CONFIG_METADATA!$B$4)*(nCURSO=A236)*(nASIG=B236)*(nAPTO="S"),nNOTA)),"—"),"")</f>
        <v>—</v>
      </c>
      <c r="K236" t="str" cm="1">
        <f t="array" ref="K236">IF(V236="Sí",IFERROR(_xlfn.MODE.SNGL(IF((nEVAL=CONFIG_METADATA!$B$4)*(nCURSO=A236)*(nASIG=B236)*(nAPTO="N"),nNOTA)),"—"),"")</f>
        <v>—</v>
      </c>
      <c r="L236">
        <f>IF(V236="Sí",COUNTIFS(DATOS!G:G,CONFIG_METADATA!$B$4,DATOS!D:D,A236,DATOS!I:I,B236,DATOS!K:K,1),"")</f>
        <v>0</v>
      </c>
      <c r="M236">
        <f>IF(V236="Sí",COUNTIFS(DATOS!G:G,CONFIG_METADATA!$B$4,DATOS!D:D,A236,DATOS!I:I,B236,DATOS!K:K,2),"")</f>
        <v>0</v>
      </c>
      <c r="N236">
        <f>IF(V236="Sí",COUNTIFS(DATOS!G:G,CONFIG_METADATA!$B$4,DATOS!D:D,A236,DATOS!I:I,B236,DATOS!K:K,3),"")</f>
        <v>0</v>
      </c>
      <c r="O236">
        <f>IF(V236="Sí",COUNTIFS(DATOS!G:G,CONFIG_METADATA!$B$4,DATOS!D:D,A236,DATOS!I:I,B236,DATOS!K:K,4),"")</f>
        <v>0</v>
      </c>
      <c r="P236">
        <f>IF(V236="Sí",COUNTIFS(DATOS!G:G,CONFIG_METADATA!$B$4,DATOS!D:D,A236,DATOS!I:I,B236,DATOS!K:K,5),"")</f>
        <v>0</v>
      </c>
      <c r="Q236">
        <f>IF(V236="Sí",COUNTIFS(DATOS!G:G,CONFIG_METADATA!$B$4,DATOS!D:D,A236,DATOS!I:I,B236,DATOS!K:K,6),"")</f>
        <v>0</v>
      </c>
      <c r="R236">
        <f>IF(V236="Sí",COUNTIFS(DATOS!G:G,CONFIG_METADATA!$B$4,DATOS!D:D,A236,DATOS!I:I,B236,DATOS!K:K,7),"")</f>
        <v>0</v>
      </c>
      <c r="S236">
        <f>IF(V236="Sí",COUNTIFS(DATOS!G:G,CONFIG_METADATA!$B$4,DATOS!D:D,A236,DATOS!I:I,B236,DATOS!K:K,8),"")</f>
        <v>0</v>
      </c>
      <c r="T236">
        <f>IF(V236="Sí",COUNTIFS(DATOS!G:G,CONFIG_METADATA!$B$4,DATOS!D:D,A236,DATOS!I:I,B236,DATOS!K:K,9),"")</f>
        <v>0</v>
      </c>
      <c r="U236">
        <f>IF(V236="Sí",COUNTIFS(DATOS!G:G,CONFIG_METADATA!$B$4,DATOS!D:D,A236,DATOS!I:I,B236,DATOS!K:K,10),"")</f>
        <v>0</v>
      </c>
      <c r="V236" t="str">
        <f>IFERROR(IF(ISERROR(FIND(A236,VLOOKUP(B236,CONFIG_ASIGNATURAS!B:C,2,FALSE()))),"No","Sí"),"No")</f>
        <v>Sí</v>
      </c>
    </row>
    <row r="237" spans="1:22">
      <c r="A237" s="3" t="inlineStr">
        <is>
          <t xml:space="preserve">3EEM</t>
        </is>
      </c>
      <c r="B237" s="3" cm="1">
        <f t="array" ref="B237">IFERROR(INDEX(_xlfn._xlws.FILTER(CONFIG_ASIGNATURAS!$B$2:$B$61,(CONFIG_ASIGNATURAS!$G$2:$G$61="Sí")*ISNUMBER(SEARCH("3EEM",CONFIG_ASIGNATURAS!$C$2:$C$61))),44),"")</f>
      </c>
      <c r="C237" s="3">
        <f>IF(B237="","",IFERROR(IF(VLOOKUP(B237,CONFIG_ASIGNATURAS!$B$2:$F$61,5,FALSE())="Sí","Especialidad","Asignatura"),"Asignatura"))</f>
      </c>
      <c r="D237">
        <f>IF(V237="Sí",COUNTIFS(DATOS!G:G,CONFIG_METADATA!$B$4,DATOS!D:D,A237,DATOS!I:I,B237),"")</f>
        <v>0</v>
      </c>
      <c r="E237" s="14" t="str">
        <f>IF(V237="Sí",IFERROR(AVERAGEIFS(DATOS!K:K,DATOS!G:G,CONFIG_METADATA!$B$4,DATOS!D:D,A237,DATOS!I:I,B237),"—"),"")</f>
        <v>—</v>
      </c>
      <c r="F237" s="14" t="str" cm="1">
        <f t="array" ref="F237">IF(V237="Sí",IFERROR(_xlfn.STDEV.P(IF((nEVAL=CONFIG_METADATA!$B$4)*(nCURSO=A237)*(nASIG=B237),nNOTA)),"—"),"")</f>
        <v>—</v>
      </c>
      <c r="G237" t="str" cm="1">
        <f t="array" ref="G237">IF(V237="Sí",IFERROR(_xlfn.MODE.SNGL(IF((nEVAL=CONFIG_METADATA!$B$4)*(nCURSO=A237)*(nASIG=B237),nNOTA)),"—"),"")</f>
        <v>—</v>
      </c>
      <c r="H237" s="15" t="str">
        <f>IF(V237="Sí",IFERROR(COUNTIFS(DATOS!G:G,CONFIG_METADATA!$B$4,DATOS!D:D,A237,DATOS!I:I,B237,DATOS!L:L,"S")/COUNTIFS(DATOS!G:G,CONFIG_METADATA!$B$4,DATOS!D:D,A237,DATOS!I:I,B237),"—"),"")</f>
        <v>—</v>
      </c>
      <c r="I237" s="15" t="str">
        <f>IF(V237="Sí",IFERROR(COUNTIFS(DATOS!G:G,CONFIG_METADATA!$B$4,DATOS!D:D,A237,DATOS!I:I,B237,DATOS!L:L,"N")/COUNTIFS(DATOS!G:G,CONFIG_METADATA!$B$4,DATOS!D:D,A237,DATOS!I:I,B237),"—"),"")</f>
        <v>—</v>
      </c>
      <c r="J237" t="str" cm="1">
        <f t="array" ref="J237">IF(V237="Sí",IFERROR(_xlfn.MODE.SNGL(IF((nEVAL=CONFIG_METADATA!$B$4)*(nCURSO=A237)*(nASIG=B237)*(nAPTO="S"),nNOTA)),"—"),"")</f>
        <v>—</v>
      </c>
      <c r="K237" t="str" cm="1">
        <f t="array" ref="K237">IF(V237="Sí",IFERROR(_xlfn.MODE.SNGL(IF((nEVAL=CONFIG_METADATA!$B$4)*(nCURSO=A237)*(nASIG=B237)*(nAPTO="N"),nNOTA)),"—"),"")</f>
        <v>—</v>
      </c>
      <c r="L237">
        <f>IF(V237="Sí",COUNTIFS(DATOS!G:G,CONFIG_METADATA!$B$4,DATOS!D:D,A237,DATOS!I:I,B237,DATOS!K:K,1),"")</f>
        <v>0</v>
      </c>
      <c r="M237">
        <f>IF(V237="Sí",COUNTIFS(DATOS!G:G,CONFIG_METADATA!$B$4,DATOS!D:D,A237,DATOS!I:I,B237,DATOS!K:K,2),"")</f>
        <v>0</v>
      </c>
      <c r="N237">
        <f>IF(V237="Sí",COUNTIFS(DATOS!G:G,CONFIG_METADATA!$B$4,DATOS!D:D,A237,DATOS!I:I,B237,DATOS!K:K,3),"")</f>
        <v>0</v>
      </c>
      <c r="O237">
        <f>IF(V237="Sí",COUNTIFS(DATOS!G:G,CONFIG_METADATA!$B$4,DATOS!D:D,A237,DATOS!I:I,B237,DATOS!K:K,4),"")</f>
        <v>0</v>
      </c>
      <c r="P237">
        <f>IF(V237="Sí",COUNTIFS(DATOS!G:G,CONFIG_METADATA!$B$4,DATOS!D:D,A237,DATOS!I:I,B237,DATOS!K:K,5),"")</f>
        <v>0</v>
      </c>
      <c r="Q237">
        <f>IF(V237="Sí",COUNTIFS(DATOS!G:G,CONFIG_METADATA!$B$4,DATOS!D:D,A237,DATOS!I:I,B237,DATOS!K:K,6),"")</f>
        <v>0</v>
      </c>
      <c r="R237">
        <f>IF(V237="Sí",COUNTIFS(DATOS!G:G,CONFIG_METADATA!$B$4,DATOS!D:D,A237,DATOS!I:I,B237,DATOS!K:K,7),"")</f>
        <v>0</v>
      </c>
      <c r="S237">
        <f>IF(V237="Sí",COUNTIFS(DATOS!G:G,CONFIG_METADATA!$B$4,DATOS!D:D,A237,DATOS!I:I,B237,DATOS!K:K,8),"")</f>
        <v>0</v>
      </c>
      <c r="T237">
        <f>IF(V237="Sí",COUNTIFS(DATOS!G:G,CONFIG_METADATA!$B$4,DATOS!D:D,A237,DATOS!I:I,B237,DATOS!K:K,9),"")</f>
        <v>0</v>
      </c>
      <c r="U237">
        <f>IF(V237="Sí",COUNTIFS(DATOS!G:G,CONFIG_METADATA!$B$4,DATOS!D:D,A237,DATOS!I:I,B237,DATOS!K:K,10),"")</f>
        <v>0</v>
      </c>
      <c r="V237" t="str">
        <f>IFERROR(IF(ISERROR(FIND(A237,VLOOKUP(B237,CONFIG_ASIGNATURAS!B:C,2,FALSE()))),"No","Sí"),"No")</f>
        <v>Sí</v>
      </c>
    </row>
    <row r="238" spans="1:22">
      <c r="A238" s="3" t="inlineStr">
        <is>
          <t xml:space="preserve">3EEM</t>
        </is>
      </c>
      <c r="B238" s="3" cm="1">
        <f t="array" ref="B238">IFERROR(INDEX(_xlfn._xlws.FILTER(CONFIG_ASIGNATURAS!$B$2:$B$61,(CONFIG_ASIGNATURAS!$G$2:$G$61="Sí")*ISNUMBER(SEARCH("3EEM",CONFIG_ASIGNATURAS!$C$2:$C$61))),45),"")</f>
      </c>
      <c r="C238" s="3">
        <f>IF(B238="","",IFERROR(IF(VLOOKUP(B238,CONFIG_ASIGNATURAS!$B$2:$F$61,5,FALSE())="Sí","Especialidad","Asignatura"),"Asignatura"))</f>
      </c>
      <c r="D238">
        <f>IF(V238="Sí",COUNTIFS(DATOS!G:G,CONFIG_METADATA!$B$4,DATOS!D:D,A238,DATOS!I:I,B238),"")</f>
        <v>0</v>
      </c>
      <c r="E238" s="14" t="str">
        <f>IF(V238="Sí",IFERROR(AVERAGEIFS(DATOS!K:K,DATOS!G:G,CONFIG_METADATA!$B$4,DATOS!D:D,A238,DATOS!I:I,B238),"—"),"")</f>
        <v>—</v>
      </c>
      <c r="F238" s="14" t="str" cm="1">
        <f t="array" ref="F238">IF(V238="Sí",IFERROR(_xlfn.STDEV.P(IF((nEVAL=CONFIG_METADATA!$B$4)*(nCURSO=A238)*(nASIG=B238),nNOTA)),"—"),"")</f>
        <v>—</v>
      </c>
      <c r="G238" t="str" cm="1">
        <f t="array" ref="G238">IF(V238="Sí",IFERROR(_xlfn.MODE.SNGL(IF((nEVAL=CONFIG_METADATA!$B$4)*(nCURSO=A238)*(nASIG=B238),nNOTA)),"—"),"")</f>
        <v>—</v>
      </c>
      <c r="H238" s="15" t="str">
        <f>IF(V238="Sí",IFERROR(COUNTIFS(DATOS!G:G,CONFIG_METADATA!$B$4,DATOS!D:D,A238,DATOS!I:I,B238,DATOS!L:L,"S")/COUNTIFS(DATOS!G:G,CONFIG_METADATA!$B$4,DATOS!D:D,A238,DATOS!I:I,B238),"—"),"")</f>
        <v>—</v>
      </c>
      <c r="I238" s="15" t="str">
        <f>IF(V238="Sí",IFERROR(COUNTIFS(DATOS!G:G,CONFIG_METADATA!$B$4,DATOS!D:D,A238,DATOS!I:I,B238,DATOS!L:L,"N")/COUNTIFS(DATOS!G:G,CONFIG_METADATA!$B$4,DATOS!D:D,A238,DATOS!I:I,B238),"—"),"")</f>
        <v>—</v>
      </c>
      <c r="J238" t="str" cm="1">
        <f t="array" ref="J238">IF(V238="Sí",IFERROR(_xlfn.MODE.SNGL(IF((nEVAL=CONFIG_METADATA!$B$4)*(nCURSO=A238)*(nASIG=B238)*(nAPTO="S"),nNOTA)),"—"),"")</f>
        <v>—</v>
      </c>
      <c r="K238" t="str" cm="1">
        <f t="array" ref="K238">IF(V238="Sí",IFERROR(_xlfn.MODE.SNGL(IF((nEVAL=CONFIG_METADATA!$B$4)*(nCURSO=A238)*(nASIG=B238)*(nAPTO="N"),nNOTA)),"—"),"")</f>
        <v>—</v>
      </c>
      <c r="L238">
        <f>IF(V238="Sí",COUNTIFS(DATOS!G:G,CONFIG_METADATA!$B$4,DATOS!D:D,A238,DATOS!I:I,B238,DATOS!K:K,1),"")</f>
        <v>0</v>
      </c>
      <c r="M238">
        <f>IF(V238="Sí",COUNTIFS(DATOS!G:G,CONFIG_METADATA!$B$4,DATOS!D:D,A238,DATOS!I:I,B238,DATOS!K:K,2),"")</f>
        <v>0</v>
      </c>
      <c r="N238">
        <f>IF(V238="Sí",COUNTIFS(DATOS!G:G,CONFIG_METADATA!$B$4,DATOS!D:D,A238,DATOS!I:I,B238,DATOS!K:K,3),"")</f>
        <v>0</v>
      </c>
      <c r="O238">
        <f>IF(V238="Sí",COUNTIFS(DATOS!G:G,CONFIG_METADATA!$B$4,DATOS!D:D,A238,DATOS!I:I,B238,DATOS!K:K,4),"")</f>
        <v>0</v>
      </c>
      <c r="P238">
        <f>IF(V238="Sí",COUNTIFS(DATOS!G:G,CONFIG_METADATA!$B$4,DATOS!D:D,A238,DATOS!I:I,B238,DATOS!K:K,5),"")</f>
        <v>0</v>
      </c>
      <c r="Q238">
        <f>IF(V238="Sí",COUNTIFS(DATOS!G:G,CONFIG_METADATA!$B$4,DATOS!D:D,A238,DATOS!I:I,B238,DATOS!K:K,6),"")</f>
        <v>0</v>
      </c>
      <c r="R238">
        <f>IF(V238="Sí",COUNTIFS(DATOS!G:G,CONFIG_METADATA!$B$4,DATOS!D:D,A238,DATOS!I:I,B238,DATOS!K:K,7),"")</f>
        <v>0</v>
      </c>
      <c r="S238">
        <f>IF(V238="Sí",COUNTIFS(DATOS!G:G,CONFIG_METADATA!$B$4,DATOS!D:D,A238,DATOS!I:I,B238,DATOS!K:K,8),"")</f>
        <v>0</v>
      </c>
      <c r="T238">
        <f>IF(V238="Sí",COUNTIFS(DATOS!G:G,CONFIG_METADATA!$B$4,DATOS!D:D,A238,DATOS!I:I,B238,DATOS!K:K,9),"")</f>
        <v>0</v>
      </c>
      <c r="U238">
        <f>IF(V238="Sí",COUNTIFS(DATOS!G:G,CONFIG_METADATA!$B$4,DATOS!D:D,A238,DATOS!I:I,B238,DATOS!K:K,10),"")</f>
        <v>0</v>
      </c>
      <c r="V238" t="str">
        <f>IFERROR(IF(ISERROR(FIND(A238,VLOOKUP(B238,CONFIG_ASIGNATURAS!B:C,2,FALSE()))),"No","Sí"),"No")</f>
        <v>Sí</v>
      </c>
    </row>
    <row r="239" spans="1:22">
      <c r="A239" s="3" t="inlineStr">
        <is>
          <t xml:space="preserve">3EEM</t>
        </is>
      </c>
      <c r="B239" s="3" cm="1">
        <f t="array" ref="B239">IFERROR(INDEX(_xlfn._xlws.FILTER(CONFIG_ASIGNATURAS!$B$2:$B$61,(CONFIG_ASIGNATURAS!$G$2:$G$61="Sí")*ISNUMBER(SEARCH("3EEM",CONFIG_ASIGNATURAS!$C$2:$C$61))),46),"")</f>
      </c>
      <c r="C239" s="3">
        <f>IF(B239="","",IFERROR(IF(VLOOKUP(B239,CONFIG_ASIGNATURAS!$B$2:$F$61,5,FALSE())="Sí","Especialidad","Asignatura"),"Asignatura"))</f>
      </c>
      <c r="D239">
        <f>IF(V239="Sí",COUNTIFS(DATOS!G:G,CONFIG_METADATA!$B$4,DATOS!D:D,A239,DATOS!I:I,B239),"")</f>
        <v>0</v>
      </c>
      <c r="E239" s="14" t="str">
        <f>IF(V239="Sí",IFERROR(AVERAGEIFS(DATOS!K:K,DATOS!G:G,CONFIG_METADATA!$B$4,DATOS!D:D,A239,DATOS!I:I,B239),"—"),"")</f>
        <v>—</v>
      </c>
      <c r="F239" s="14" t="str" cm="1">
        <f t="array" ref="F239">IF(V239="Sí",IFERROR(_xlfn.STDEV.P(IF((nEVAL=CONFIG_METADATA!$B$4)*(nCURSO=A239)*(nASIG=B239),nNOTA)),"—"),"")</f>
        <v>—</v>
      </c>
      <c r="G239" t="str" cm="1">
        <f t="array" ref="G239">IF(V239="Sí",IFERROR(_xlfn.MODE.SNGL(IF((nEVAL=CONFIG_METADATA!$B$4)*(nCURSO=A239)*(nASIG=B239),nNOTA)),"—"),"")</f>
        <v>—</v>
      </c>
      <c r="H239" s="15" t="str">
        <f>IF(V239="Sí",IFERROR(COUNTIFS(DATOS!G:G,CONFIG_METADATA!$B$4,DATOS!D:D,A239,DATOS!I:I,B239,DATOS!L:L,"S")/COUNTIFS(DATOS!G:G,CONFIG_METADATA!$B$4,DATOS!D:D,A239,DATOS!I:I,B239),"—"),"")</f>
        <v>—</v>
      </c>
      <c r="I239" s="15" t="str">
        <f>IF(V239="Sí",IFERROR(COUNTIFS(DATOS!G:G,CONFIG_METADATA!$B$4,DATOS!D:D,A239,DATOS!I:I,B239,DATOS!L:L,"N")/COUNTIFS(DATOS!G:G,CONFIG_METADATA!$B$4,DATOS!D:D,A239,DATOS!I:I,B239),"—"),"")</f>
        <v>—</v>
      </c>
      <c r="J239" t="str" cm="1">
        <f t="array" ref="J239">IF(V239="Sí",IFERROR(_xlfn.MODE.SNGL(IF((nEVAL=CONFIG_METADATA!$B$4)*(nCURSO=A239)*(nASIG=B239)*(nAPTO="S"),nNOTA)),"—"),"")</f>
        <v>—</v>
      </c>
      <c r="K239" t="str" cm="1">
        <f t="array" ref="K239">IF(V239="Sí",IFERROR(_xlfn.MODE.SNGL(IF((nEVAL=CONFIG_METADATA!$B$4)*(nCURSO=A239)*(nASIG=B239)*(nAPTO="N"),nNOTA)),"—"),"")</f>
        <v>—</v>
      </c>
      <c r="L239">
        <f>IF(V239="Sí",COUNTIFS(DATOS!G:G,CONFIG_METADATA!$B$4,DATOS!D:D,A239,DATOS!I:I,B239,DATOS!K:K,1),"")</f>
        <v>0</v>
      </c>
      <c r="M239">
        <f>IF(V239="Sí",COUNTIFS(DATOS!G:G,CONFIG_METADATA!$B$4,DATOS!D:D,A239,DATOS!I:I,B239,DATOS!K:K,2),"")</f>
        <v>0</v>
      </c>
      <c r="N239">
        <f>IF(V239="Sí",COUNTIFS(DATOS!G:G,CONFIG_METADATA!$B$4,DATOS!D:D,A239,DATOS!I:I,B239,DATOS!K:K,3),"")</f>
        <v>0</v>
      </c>
      <c r="O239">
        <f>IF(V239="Sí",COUNTIFS(DATOS!G:G,CONFIG_METADATA!$B$4,DATOS!D:D,A239,DATOS!I:I,B239,DATOS!K:K,4),"")</f>
        <v>0</v>
      </c>
      <c r="P239">
        <f>IF(V239="Sí",COUNTIFS(DATOS!G:G,CONFIG_METADATA!$B$4,DATOS!D:D,A239,DATOS!I:I,B239,DATOS!K:K,5),"")</f>
        <v>0</v>
      </c>
      <c r="Q239">
        <f>IF(V239="Sí",COUNTIFS(DATOS!G:G,CONFIG_METADATA!$B$4,DATOS!D:D,A239,DATOS!I:I,B239,DATOS!K:K,6),"")</f>
        <v>0</v>
      </c>
      <c r="R239">
        <f>IF(V239="Sí",COUNTIFS(DATOS!G:G,CONFIG_METADATA!$B$4,DATOS!D:D,A239,DATOS!I:I,B239,DATOS!K:K,7),"")</f>
        <v>0</v>
      </c>
      <c r="S239">
        <f>IF(V239="Sí",COUNTIFS(DATOS!G:G,CONFIG_METADATA!$B$4,DATOS!D:D,A239,DATOS!I:I,B239,DATOS!K:K,8),"")</f>
        <v>0</v>
      </c>
      <c r="T239">
        <f>IF(V239="Sí",COUNTIFS(DATOS!G:G,CONFIG_METADATA!$B$4,DATOS!D:D,A239,DATOS!I:I,B239,DATOS!K:K,9),"")</f>
        <v>0</v>
      </c>
      <c r="U239">
        <f>IF(V239="Sí",COUNTIFS(DATOS!G:G,CONFIG_METADATA!$B$4,DATOS!D:D,A239,DATOS!I:I,B239,DATOS!K:K,10),"")</f>
        <v>0</v>
      </c>
      <c r="V239" t="str">
        <f>IFERROR(IF(ISERROR(FIND(A239,VLOOKUP(B239,CONFIG_ASIGNATURAS!B:C,2,FALSE()))),"No","Sí"),"No")</f>
        <v>Sí</v>
      </c>
    </row>
    <row r="240" spans="1:22">
      <c r="A240" s="3" t="inlineStr">
        <is>
          <t xml:space="preserve">3EEM</t>
        </is>
      </c>
      <c r="B240" s="3" cm="1">
        <f t="array" ref="B240">IFERROR(INDEX(_xlfn._xlws.FILTER(CONFIG_ASIGNATURAS!$B$2:$B$61,(CONFIG_ASIGNATURAS!$G$2:$G$61="Sí")*ISNUMBER(SEARCH("3EEM",CONFIG_ASIGNATURAS!$C$2:$C$61))),47),"")</f>
      </c>
      <c r="C240" s="3">
        <f>IF(B240="","",IFERROR(IF(VLOOKUP(B240,CONFIG_ASIGNATURAS!$B$2:$F$61,5,FALSE())="Sí","Especialidad","Asignatura"),"Asignatura"))</f>
      </c>
      <c r="D240">
        <f>IF(V240="Sí",COUNTIFS(DATOS!G:G,CONFIG_METADATA!$B$4,DATOS!D:D,A240,DATOS!I:I,B240),"")</f>
        <v>0</v>
      </c>
      <c r="E240" s="14" t="str">
        <f>IF(V240="Sí",IFERROR(AVERAGEIFS(DATOS!K:K,DATOS!G:G,CONFIG_METADATA!$B$4,DATOS!D:D,A240,DATOS!I:I,B240),"—"),"")</f>
        <v>—</v>
      </c>
      <c r="F240" s="14" t="str" cm="1">
        <f t="array" ref="F240">IF(V240="Sí",IFERROR(_xlfn.STDEV.P(IF((nEVAL=CONFIG_METADATA!$B$4)*(nCURSO=A240)*(nASIG=B240),nNOTA)),"—"),"")</f>
        <v>—</v>
      </c>
      <c r="G240" t="str" cm="1">
        <f t="array" ref="G240">IF(V240="Sí",IFERROR(_xlfn.MODE.SNGL(IF((nEVAL=CONFIG_METADATA!$B$4)*(nCURSO=A240)*(nASIG=B240),nNOTA)),"—"),"")</f>
        <v>—</v>
      </c>
      <c r="H240" s="15" t="str">
        <f>IF(V240="Sí",IFERROR(COUNTIFS(DATOS!G:G,CONFIG_METADATA!$B$4,DATOS!D:D,A240,DATOS!I:I,B240,DATOS!L:L,"S")/COUNTIFS(DATOS!G:G,CONFIG_METADATA!$B$4,DATOS!D:D,A240,DATOS!I:I,B240),"—"),"")</f>
        <v>—</v>
      </c>
      <c r="I240" s="15" t="str">
        <f>IF(V240="Sí",IFERROR(COUNTIFS(DATOS!G:G,CONFIG_METADATA!$B$4,DATOS!D:D,A240,DATOS!I:I,B240,DATOS!L:L,"N")/COUNTIFS(DATOS!G:G,CONFIG_METADATA!$B$4,DATOS!D:D,A240,DATOS!I:I,B240),"—"),"")</f>
        <v>—</v>
      </c>
      <c r="J240" t="str" cm="1">
        <f t="array" ref="J240">IF(V240="Sí",IFERROR(_xlfn.MODE.SNGL(IF((nEVAL=CONFIG_METADATA!$B$4)*(nCURSO=A240)*(nASIG=B240)*(nAPTO="S"),nNOTA)),"—"),"")</f>
        <v>—</v>
      </c>
      <c r="K240" t="str" cm="1">
        <f t="array" ref="K240">IF(V240="Sí",IFERROR(_xlfn.MODE.SNGL(IF((nEVAL=CONFIG_METADATA!$B$4)*(nCURSO=A240)*(nASIG=B240)*(nAPTO="N"),nNOTA)),"—"),"")</f>
        <v>—</v>
      </c>
      <c r="L240">
        <f>IF(V240="Sí",COUNTIFS(DATOS!G:G,CONFIG_METADATA!$B$4,DATOS!D:D,A240,DATOS!I:I,B240,DATOS!K:K,1),"")</f>
        <v>0</v>
      </c>
      <c r="M240">
        <f>IF(V240="Sí",COUNTIFS(DATOS!G:G,CONFIG_METADATA!$B$4,DATOS!D:D,A240,DATOS!I:I,B240,DATOS!K:K,2),"")</f>
        <v>0</v>
      </c>
      <c r="N240">
        <f>IF(V240="Sí",COUNTIFS(DATOS!G:G,CONFIG_METADATA!$B$4,DATOS!D:D,A240,DATOS!I:I,B240,DATOS!K:K,3),"")</f>
        <v>0</v>
      </c>
      <c r="O240">
        <f>IF(V240="Sí",COUNTIFS(DATOS!G:G,CONFIG_METADATA!$B$4,DATOS!D:D,A240,DATOS!I:I,B240,DATOS!K:K,4),"")</f>
        <v>0</v>
      </c>
      <c r="P240">
        <f>IF(V240="Sí",COUNTIFS(DATOS!G:G,CONFIG_METADATA!$B$4,DATOS!D:D,A240,DATOS!I:I,B240,DATOS!K:K,5),"")</f>
        <v>0</v>
      </c>
      <c r="Q240">
        <f>IF(V240="Sí",COUNTIFS(DATOS!G:G,CONFIG_METADATA!$B$4,DATOS!D:D,A240,DATOS!I:I,B240,DATOS!K:K,6),"")</f>
        <v>0</v>
      </c>
      <c r="R240">
        <f>IF(V240="Sí",COUNTIFS(DATOS!G:G,CONFIG_METADATA!$B$4,DATOS!D:D,A240,DATOS!I:I,B240,DATOS!K:K,7),"")</f>
        <v>0</v>
      </c>
      <c r="S240">
        <f>IF(V240="Sí",COUNTIFS(DATOS!G:G,CONFIG_METADATA!$B$4,DATOS!D:D,A240,DATOS!I:I,B240,DATOS!K:K,8),"")</f>
        <v>0</v>
      </c>
      <c r="T240">
        <f>IF(V240="Sí",COUNTIFS(DATOS!G:G,CONFIG_METADATA!$B$4,DATOS!D:D,A240,DATOS!I:I,B240,DATOS!K:K,9),"")</f>
        <v>0</v>
      </c>
      <c r="U240">
        <f>IF(V240="Sí",COUNTIFS(DATOS!G:G,CONFIG_METADATA!$B$4,DATOS!D:D,A240,DATOS!I:I,B240,DATOS!K:K,10),"")</f>
        <v>0</v>
      </c>
      <c r="V240" t="str">
        <f>IFERROR(IF(ISERROR(FIND(A240,VLOOKUP(B240,CONFIG_ASIGNATURAS!B:C,2,FALSE()))),"No","Sí"),"No")</f>
        <v>Sí</v>
      </c>
    </row>
    <row r="241" spans="1:22">
      <c r="A241" s="3" t="inlineStr">
        <is>
          <t xml:space="preserve">3EEM</t>
        </is>
      </c>
      <c r="B241" s="3" cm="1">
        <f t="array" ref="B241">IFERROR(INDEX(_xlfn._xlws.FILTER(CONFIG_ASIGNATURAS!$B$2:$B$61,(CONFIG_ASIGNATURAS!$G$2:$G$61="Sí")*ISNUMBER(SEARCH("3EEM",CONFIG_ASIGNATURAS!$C$2:$C$61))),48),"")</f>
      </c>
      <c r="C241" s="3">
        <f>IF(B241="","",IFERROR(IF(VLOOKUP(B241,CONFIG_ASIGNATURAS!$B$2:$F$61,5,FALSE())="Sí","Especialidad","Asignatura"),"Asignatura"))</f>
      </c>
      <c r="D241">
        <f>IF(V241="Sí",COUNTIFS(DATOS!G:G,CONFIG_METADATA!$B$4,DATOS!D:D,A241,DATOS!I:I,B241),"")</f>
        <v>0</v>
      </c>
      <c r="E241" s="14" t="str">
        <f>IF(V241="Sí",IFERROR(AVERAGEIFS(DATOS!K:K,DATOS!G:G,CONFIG_METADATA!$B$4,DATOS!D:D,A241,DATOS!I:I,B241),"—"),"")</f>
        <v>—</v>
      </c>
      <c r="F241" s="14" t="str" cm="1">
        <f t="array" ref="F241">IF(V241="Sí",IFERROR(_xlfn.STDEV.P(IF((nEVAL=CONFIG_METADATA!$B$4)*(nCURSO=A241)*(nASIG=B241),nNOTA)),"—"),"")</f>
        <v>—</v>
      </c>
      <c r="G241" t="str" cm="1">
        <f t="array" ref="G241">IF(V241="Sí",IFERROR(_xlfn.MODE.SNGL(IF((nEVAL=CONFIG_METADATA!$B$4)*(nCURSO=A241)*(nASIG=B241),nNOTA)),"—"),"")</f>
        <v>—</v>
      </c>
      <c r="H241" s="15" t="str">
        <f>IF(V241="Sí",IFERROR(COUNTIFS(DATOS!G:G,CONFIG_METADATA!$B$4,DATOS!D:D,A241,DATOS!I:I,B241,DATOS!L:L,"S")/COUNTIFS(DATOS!G:G,CONFIG_METADATA!$B$4,DATOS!D:D,A241,DATOS!I:I,B241),"—"),"")</f>
        <v>—</v>
      </c>
      <c r="I241" s="15" t="str">
        <f>IF(V241="Sí",IFERROR(COUNTIFS(DATOS!G:G,CONFIG_METADATA!$B$4,DATOS!D:D,A241,DATOS!I:I,B241,DATOS!L:L,"N")/COUNTIFS(DATOS!G:G,CONFIG_METADATA!$B$4,DATOS!D:D,A241,DATOS!I:I,B241),"—"),"")</f>
        <v>—</v>
      </c>
      <c r="J241" t="str" cm="1">
        <f t="array" ref="J241">IF(V241="Sí",IFERROR(_xlfn.MODE.SNGL(IF((nEVAL=CONFIG_METADATA!$B$4)*(nCURSO=A241)*(nASIG=B241)*(nAPTO="S"),nNOTA)),"—"),"")</f>
        <v>—</v>
      </c>
      <c r="K241" t="str" cm="1">
        <f t="array" ref="K241">IF(V241="Sí",IFERROR(_xlfn.MODE.SNGL(IF((nEVAL=CONFIG_METADATA!$B$4)*(nCURSO=A241)*(nASIG=B241)*(nAPTO="N"),nNOTA)),"—"),"")</f>
        <v>—</v>
      </c>
      <c r="L241">
        <f>IF(V241="Sí",COUNTIFS(DATOS!G:G,CONFIG_METADATA!$B$4,DATOS!D:D,A241,DATOS!I:I,B241,DATOS!K:K,1),"")</f>
        <v>0</v>
      </c>
      <c r="M241">
        <f>IF(V241="Sí",COUNTIFS(DATOS!G:G,CONFIG_METADATA!$B$4,DATOS!D:D,A241,DATOS!I:I,B241,DATOS!K:K,2),"")</f>
        <v>0</v>
      </c>
      <c r="N241">
        <f>IF(V241="Sí",COUNTIFS(DATOS!G:G,CONFIG_METADATA!$B$4,DATOS!D:D,A241,DATOS!I:I,B241,DATOS!K:K,3),"")</f>
        <v>0</v>
      </c>
      <c r="O241">
        <f>IF(V241="Sí",COUNTIFS(DATOS!G:G,CONFIG_METADATA!$B$4,DATOS!D:D,A241,DATOS!I:I,B241,DATOS!K:K,4),"")</f>
        <v>0</v>
      </c>
      <c r="P241">
        <f>IF(V241="Sí",COUNTIFS(DATOS!G:G,CONFIG_METADATA!$B$4,DATOS!D:D,A241,DATOS!I:I,B241,DATOS!K:K,5),"")</f>
        <v>0</v>
      </c>
      <c r="Q241">
        <f>IF(V241="Sí",COUNTIFS(DATOS!G:G,CONFIG_METADATA!$B$4,DATOS!D:D,A241,DATOS!I:I,B241,DATOS!K:K,6),"")</f>
        <v>0</v>
      </c>
      <c r="R241">
        <f>IF(V241="Sí",COUNTIFS(DATOS!G:G,CONFIG_METADATA!$B$4,DATOS!D:D,A241,DATOS!I:I,B241,DATOS!K:K,7),"")</f>
        <v>0</v>
      </c>
      <c r="S241">
        <f>IF(V241="Sí",COUNTIFS(DATOS!G:G,CONFIG_METADATA!$B$4,DATOS!D:D,A241,DATOS!I:I,B241,DATOS!K:K,8),"")</f>
        <v>0</v>
      </c>
      <c r="T241">
        <f>IF(V241="Sí",COUNTIFS(DATOS!G:G,CONFIG_METADATA!$B$4,DATOS!D:D,A241,DATOS!I:I,B241,DATOS!K:K,9),"")</f>
        <v>0</v>
      </c>
      <c r="U241">
        <f>IF(V241="Sí",COUNTIFS(DATOS!G:G,CONFIG_METADATA!$B$4,DATOS!D:D,A241,DATOS!I:I,B241,DATOS!K:K,10),"")</f>
        <v>0</v>
      </c>
      <c r="V241" t="str">
        <f>IFERROR(IF(ISERROR(FIND(A241,VLOOKUP(B241,CONFIG_ASIGNATURAS!B:C,2,FALSE()))),"No","Sí"),"No")</f>
        <v>Sí</v>
      </c>
    </row>
    <row r="242" spans="1:22">
      <c r="A242" s="3" t="inlineStr">
        <is>
          <t xml:space="preserve">3EEM</t>
        </is>
      </c>
      <c r="B242" s="3" cm="1">
        <f t="array" ref="B242">IFERROR(INDEX(_xlfn._xlws.FILTER(CONFIG_ASIGNATURAS!$B$2:$B$61,(CONFIG_ASIGNATURAS!$G$2:$G$61="Sí")*ISNUMBER(SEARCH("3EEM",CONFIG_ASIGNATURAS!$C$2:$C$61))),49),"")</f>
      </c>
      <c r="C242" s="3">
        <f>IF(B242="","",IFERROR(IF(VLOOKUP(B242,CONFIG_ASIGNATURAS!$B$2:$F$61,5,FALSE())="Sí","Especialidad","Asignatura"),"Asignatura"))</f>
      </c>
      <c r="D242">
        <f>IF(V242="Sí",COUNTIFS(DATOS!G:G,CONFIG_METADATA!$B$4,DATOS!D:D,A242,DATOS!I:I,B242),"")</f>
        <v>0</v>
      </c>
      <c r="E242" s="14" t="str">
        <f>IF(V242="Sí",IFERROR(AVERAGEIFS(DATOS!K:K,DATOS!G:G,CONFIG_METADATA!$B$4,DATOS!D:D,A242,DATOS!I:I,B242),"—"),"")</f>
        <v>—</v>
      </c>
      <c r="F242" s="14" t="str" cm="1">
        <f t="array" ref="F242">IF(V242="Sí",IFERROR(_xlfn.STDEV.P(IF((nEVAL=CONFIG_METADATA!$B$4)*(nCURSO=A242)*(nASIG=B242),nNOTA)),"—"),"")</f>
        <v>—</v>
      </c>
      <c r="G242" t="str" cm="1">
        <f t="array" ref="G242">IF(V242="Sí",IFERROR(_xlfn.MODE.SNGL(IF((nEVAL=CONFIG_METADATA!$B$4)*(nCURSO=A242)*(nASIG=B242),nNOTA)),"—"),"")</f>
        <v>—</v>
      </c>
      <c r="H242" s="15" t="str">
        <f>IF(V242="Sí",IFERROR(COUNTIFS(DATOS!G:G,CONFIG_METADATA!$B$4,DATOS!D:D,A242,DATOS!I:I,B242,DATOS!L:L,"S")/COUNTIFS(DATOS!G:G,CONFIG_METADATA!$B$4,DATOS!D:D,A242,DATOS!I:I,B242),"—"),"")</f>
        <v>—</v>
      </c>
      <c r="I242" s="15" t="str">
        <f>IF(V242="Sí",IFERROR(COUNTIFS(DATOS!G:G,CONFIG_METADATA!$B$4,DATOS!D:D,A242,DATOS!I:I,B242,DATOS!L:L,"N")/COUNTIFS(DATOS!G:G,CONFIG_METADATA!$B$4,DATOS!D:D,A242,DATOS!I:I,B242),"—"),"")</f>
        <v>—</v>
      </c>
      <c r="J242" t="str" cm="1">
        <f t="array" ref="J242">IF(V242="Sí",IFERROR(_xlfn.MODE.SNGL(IF((nEVAL=CONFIG_METADATA!$B$4)*(nCURSO=A242)*(nASIG=B242)*(nAPTO="S"),nNOTA)),"—"),"")</f>
        <v>—</v>
      </c>
      <c r="K242" t="str" cm="1">
        <f t="array" ref="K242">IF(V242="Sí",IFERROR(_xlfn.MODE.SNGL(IF((nEVAL=CONFIG_METADATA!$B$4)*(nCURSO=A242)*(nASIG=B242)*(nAPTO="N"),nNOTA)),"—"),"")</f>
        <v>—</v>
      </c>
      <c r="L242">
        <f>IF(V242="Sí",COUNTIFS(DATOS!G:G,CONFIG_METADATA!$B$4,DATOS!D:D,A242,DATOS!I:I,B242,DATOS!K:K,1),"")</f>
        <v>0</v>
      </c>
      <c r="M242">
        <f>IF(V242="Sí",COUNTIFS(DATOS!G:G,CONFIG_METADATA!$B$4,DATOS!D:D,A242,DATOS!I:I,B242,DATOS!K:K,2),"")</f>
        <v>0</v>
      </c>
      <c r="N242">
        <f>IF(V242="Sí",COUNTIFS(DATOS!G:G,CONFIG_METADATA!$B$4,DATOS!D:D,A242,DATOS!I:I,B242,DATOS!K:K,3),"")</f>
        <v>0</v>
      </c>
      <c r="O242">
        <f>IF(V242="Sí",COUNTIFS(DATOS!G:G,CONFIG_METADATA!$B$4,DATOS!D:D,A242,DATOS!I:I,B242,DATOS!K:K,4),"")</f>
        <v>0</v>
      </c>
      <c r="P242">
        <f>IF(V242="Sí",COUNTIFS(DATOS!G:G,CONFIG_METADATA!$B$4,DATOS!D:D,A242,DATOS!I:I,B242,DATOS!K:K,5),"")</f>
        <v>0</v>
      </c>
      <c r="Q242">
        <f>IF(V242="Sí",COUNTIFS(DATOS!G:G,CONFIG_METADATA!$B$4,DATOS!D:D,A242,DATOS!I:I,B242,DATOS!K:K,6),"")</f>
        <v>0</v>
      </c>
      <c r="R242">
        <f>IF(V242="Sí",COUNTIFS(DATOS!G:G,CONFIG_METADATA!$B$4,DATOS!D:D,A242,DATOS!I:I,B242,DATOS!K:K,7),"")</f>
        <v>0</v>
      </c>
      <c r="S242">
        <f>IF(V242="Sí",COUNTIFS(DATOS!G:G,CONFIG_METADATA!$B$4,DATOS!D:D,A242,DATOS!I:I,B242,DATOS!K:K,8),"")</f>
        <v>0</v>
      </c>
      <c r="T242">
        <f>IF(V242="Sí",COUNTIFS(DATOS!G:G,CONFIG_METADATA!$B$4,DATOS!D:D,A242,DATOS!I:I,B242,DATOS!K:K,9),"")</f>
        <v>0</v>
      </c>
      <c r="U242">
        <f>IF(V242="Sí",COUNTIFS(DATOS!G:G,CONFIG_METADATA!$B$4,DATOS!D:D,A242,DATOS!I:I,B242,DATOS!K:K,10),"")</f>
        <v>0</v>
      </c>
      <c r="V242" t="str">
        <f>IFERROR(IF(ISERROR(FIND(A242,VLOOKUP(B242,CONFIG_ASIGNATURAS!B:C,2,FALSE()))),"No","Sí"),"No")</f>
        <v>Sí</v>
      </c>
    </row>
    <row r="243" spans="1:22">
      <c r="A243" s="3" t="inlineStr">
        <is>
          <t xml:space="preserve">3EEM</t>
        </is>
      </c>
      <c r="B243" s="3" cm="1">
        <f t="array" ref="B243">IFERROR(INDEX(_xlfn._xlws.FILTER(CONFIG_ASIGNATURAS!$B$2:$B$61,(CONFIG_ASIGNATURAS!$G$2:$G$61="Sí")*ISNUMBER(SEARCH("3EEM",CONFIG_ASIGNATURAS!$C$2:$C$61))),50),"")</f>
      </c>
      <c r="C243" s="3">
        <f>IF(B243="","",IFERROR(IF(VLOOKUP(B243,CONFIG_ASIGNATURAS!$B$2:$F$61,5,FALSE())="Sí","Especialidad","Asignatura"),"Asignatura"))</f>
      </c>
      <c r="D243">
        <f>IF(V243="Sí",COUNTIFS(DATOS!G:G,CONFIG_METADATA!$B$4,DATOS!D:D,A243,DATOS!I:I,B243),"")</f>
        <v>0</v>
      </c>
      <c r="E243" s="14" t="str">
        <f>IF(V243="Sí",IFERROR(AVERAGEIFS(DATOS!K:K,DATOS!G:G,CONFIG_METADATA!$B$4,DATOS!D:D,A243,DATOS!I:I,B243),"—"),"")</f>
        <v>—</v>
      </c>
      <c r="F243" s="14" t="str" cm="1">
        <f t="array" ref="F243">IF(V243="Sí",IFERROR(_xlfn.STDEV.P(IF((nEVAL=CONFIG_METADATA!$B$4)*(nCURSO=A243)*(nASIG=B243),nNOTA)),"—"),"")</f>
        <v>—</v>
      </c>
      <c r="G243" t="str" cm="1">
        <f t="array" ref="G243">IF(V243="Sí",IFERROR(_xlfn.MODE.SNGL(IF((nEVAL=CONFIG_METADATA!$B$4)*(nCURSO=A243)*(nASIG=B243),nNOTA)),"—"),"")</f>
        <v>—</v>
      </c>
      <c r="H243" s="15" t="str">
        <f>IF(V243="Sí",IFERROR(COUNTIFS(DATOS!G:G,CONFIG_METADATA!$B$4,DATOS!D:D,A243,DATOS!I:I,B243,DATOS!L:L,"S")/COUNTIFS(DATOS!G:G,CONFIG_METADATA!$B$4,DATOS!D:D,A243,DATOS!I:I,B243),"—"),"")</f>
        <v>—</v>
      </c>
      <c r="I243" s="15" t="str">
        <f>IF(V243="Sí",IFERROR(COUNTIFS(DATOS!G:G,CONFIG_METADATA!$B$4,DATOS!D:D,A243,DATOS!I:I,B243,DATOS!L:L,"N")/COUNTIFS(DATOS!G:G,CONFIG_METADATA!$B$4,DATOS!D:D,A243,DATOS!I:I,B243),"—"),"")</f>
        <v>—</v>
      </c>
      <c r="J243" t="str" cm="1">
        <f t="array" ref="J243">IF(V243="Sí",IFERROR(_xlfn.MODE.SNGL(IF((nEVAL=CONFIG_METADATA!$B$4)*(nCURSO=A243)*(nASIG=B243)*(nAPTO="S"),nNOTA)),"—"),"")</f>
        <v>—</v>
      </c>
      <c r="K243" t="str" cm="1">
        <f t="array" ref="K243">IF(V243="Sí",IFERROR(_xlfn.MODE.SNGL(IF((nEVAL=CONFIG_METADATA!$B$4)*(nCURSO=A243)*(nASIG=B243)*(nAPTO="N"),nNOTA)),"—"),"")</f>
        <v>—</v>
      </c>
      <c r="L243">
        <f>IF(V243="Sí",COUNTIFS(DATOS!G:G,CONFIG_METADATA!$B$4,DATOS!D:D,A243,DATOS!I:I,B243,DATOS!K:K,1),"")</f>
        <v>0</v>
      </c>
      <c r="M243">
        <f>IF(V243="Sí",COUNTIFS(DATOS!G:G,CONFIG_METADATA!$B$4,DATOS!D:D,A243,DATOS!I:I,B243,DATOS!K:K,2),"")</f>
        <v>0</v>
      </c>
      <c r="N243">
        <f>IF(V243="Sí",COUNTIFS(DATOS!G:G,CONFIG_METADATA!$B$4,DATOS!D:D,A243,DATOS!I:I,B243,DATOS!K:K,3),"")</f>
        <v>0</v>
      </c>
      <c r="O243">
        <f>IF(V243="Sí",COUNTIFS(DATOS!G:G,CONFIG_METADATA!$B$4,DATOS!D:D,A243,DATOS!I:I,B243,DATOS!K:K,4),"")</f>
        <v>0</v>
      </c>
      <c r="P243">
        <f>IF(V243="Sí",COUNTIFS(DATOS!G:G,CONFIG_METADATA!$B$4,DATOS!D:D,A243,DATOS!I:I,B243,DATOS!K:K,5),"")</f>
        <v>0</v>
      </c>
      <c r="Q243">
        <f>IF(V243="Sí",COUNTIFS(DATOS!G:G,CONFIG_METADATA!$B$4,DATOS!D:D,A243,DATOS!I:I,B243,DATOS!K:K,6),"")</f>
        <v>0</v>
      </c>
      <c r="R243">
        <f>IF(V243="Sí",COUNTIFS(DATOS!G:G,CONFIG_METADATA!$B$4,DATOS!D:D,A243,DATOS!I:I,B243,DATOS!K:K,7),"")</f>
        <v>0</v>
      </c>
      <c r="S243">
        <f>IF(V243="Sí",COUNTIFS(DATOS!G:G,CONFIG_METADATA!$B$4,DATOS!D:D,A243,DATOS!I:I,B243,DATOS!K:K,8),"")</f>
        <v>0</v>
      </c>
      <c r="T243">
        <f>IF(V243="Sí",COUNTIFS(DATOS!G:G,CONFIG_METADATA!$B$4,DATOS!D:D,A243,DATOS!I:I,B243,DATOS!K:K,9),"")</f>
        <v>0</v>
      </c>
      <c r="U243">
        <f>IF(V243="Sí",COUNTIFS(DATOS!G:G,CONFIG_METADATA!$B$4,DATOS!D:D,A243,DATOS!I:I,B243,DATOS!K:K,10),"")</f>
        <v>0</v>
      </c>
      <c r="V243" t="str">
        <f>IFERROR(IF(ISERROR(FIND(A243,VLOOKUP(B243,CONFIG_ASIGNATURAS!B:C,2,FALSE()))),"No","Sí"),"No")</f>
        <v>Sí</v>
      </c>
    </row>
    <row r="244" spans="1:22">
      <c r="A244" s="3" t="inlineStr">
        <is>
          <t xml:space="preserve">3EEM</t>
        </is>
      </c>
      <c r="B244" s="3" cm="1">
        <f t="array" ref="B244">IFERROR(INDEX(_xlfn._xlws.FILTER(CONFIG_ASIGNATURAS!$B$2:$B$61,(CONFIG_ASIGNATURAS!$G$2:$G$61="Sí")*ISNUMBER(SEARCH("3EEM",CONFIG_ASIGNATURAS!$C$2:$C$61))),51),"")</f>
      </c>
      <c r="C244" s="3">
        <f>IF(B244="","",IFERROR(IF(VLOOKUP(B244,CONFIG_ASIGNATURAS!$B$2:$F$61,5,FALSE())="Sí","Especialidad","Asignatura"),"Asignatura"))</f>
      </c>
      <c r="D244">
        <f>IF(V244="Sí",COUNTIFS(DATOS!G:G,CONFIG_METADATA!$B$4,DATOS!D:D,A244,DATOS!I:I,B244),"")</f>
        <v>0</v>
      </c>
      <c r="E244" s="14" t="str">
        <f>IF(V244="Sí",IFERROR(AVERAGEIFS(DATOS!K:K,DATOS!G:G,CONFIG_METADATA!$B$4,DATOS!D:D,A244,DATOS!I:I,B244),"—"),"")</f>
        <v>—</v>
      </c>
      <c r="F244" s="14" t="str" cm="1">
        <f t="array" ref="F244">IF(V244="Sí",IFERROR(_xlfn.STDEV.P(IF((nEVAL=CONFIG_METADATA!$B$4)*(nCURSO=A244)*(nASIG=B244),nNOTA)),"—"),"")</f>
        <v>—</v>
      </c>
      <c r="G244" t="str" cm="1">
        <f t="array" ref="G244">IF(V244="Sí",IFERROR(_xlfn.MODE.SNGL(IF((nEVAL=CONFIG_METADATA!$B$4)*(nCURSO=A244)*(nASIG=B244),nNOTA)),"—"),"")</f>
        <v>—</v>
      </c>
      <c r="H244" s="15" t="str">
        <f>IF(V244="Sí",IFERROR(COUNTIFS(DATOS!G:G,CONFIG_METADATA!$B$4,DATOS!D:D,A244,DATOS!I:I,B244,DATOS!L:L,"S")/COUNTIFS(DATOS!G:G,CONFIG_METADATA!$B$4,DATOS!D:D,A244,DATOS!I:I,B244),"—"),"")</f>
        <v>—</v>
      </c>
      <c r="I244" s="15" t="str">
        <f>IF(V244="Sí",IFERROR(COUNTIFS(DATOS!G:G,CONFIG_METADATA!$B$4,DATOS!D:D,A244,DATOS!I:I,B244,DATOS!L:L,"N")/COUNTIFS(DATOS!G:G,CONFIG_METADATA!$B$4,DATOS!D:D,A244,DATOS!I:I,B244),"—"),"")</f>
        <v>—</v>
      </c>
      <c r="J244" t="str" cm="1">
        <f t="array" ref="J244">IF(V244="Sí",IFERROR(_xlfn.MODE.SNGL(IF((nEVAL=CONFIG_METADATA!$B$4)*(nCURSO=A244)*(nASIG=B244)*(nAPTO="S"),nNOTA)),"—"),"")</f>
        <v>—</v>
      </c>
      <c r="K244" t="str" cm="1">
        <f t="array" ref="K244">IF(V244="Sí",IFERROR(_xlfn.MODE.SNGL(IF((nEVAL=CONFIG_METADATA!$B$4)*(nCURSO=A244)*(nASIG=B244)*(nAPTO="N"),nNOTA)),"—"),"")</f>
        <v>—</v>
      </c>
      <c r="L244">
        <f>IF(V244="Sí",COUNTIFS(DATOS!G:G,CONFIG_METADATA!$B$4,DATOS!D:D,A244,DATOS!I:I,B244,DATOS!K:K,1),"")</f>
        <v>0</v>
      </c>
      <c r="M244">
        <f>IF(V244="Sí",COUNTIFS(DATOS!G:G,CONFIG_METADATA!$B$4,DATOS!D:D,A244,DATOS!I:I,B244,DATOS!K:K,2),"")</f>
        <v>0</v>
      </c>
      <c r="N244">
        <f>IF(V244="Sí",COUNTIFS(DATOS!G:G,CONFIG_METADATA!$B$4,DATOS!D:D,A244,DATOS!I:I,B244,DATOS!K:K,3),"")</f>
        <v>0</v>
      </c>
      <c r="O244">
        <f>IF(V244="Sí",COUNTIFS(DATOS!G:G,CONFIG_METADATA!$B$4,DATOS!D:D,A244,DATOS!I:I,B244,DATOS!K:K,4),"")</f>
        <v>0</v>
      </c>
      <c r="P244">
        <f>IF(V244="Sí",COUNTIFS(DATOS!G:G,CONFIG_METADATA!$B$4,DATOS!D:D,A244,DATOS!I:I,B244,DATOS!K:K,5),"")</f>
        <v>0</v>
      </c>
      <c r="Q244">
        <f>IF(V244="Sí",COUNTIFS(DATOS!G:G,CONFIG_METADATA!$B$4,DATOS!D:D,A244,DATOS!I:I,B244,DATOS!K:K,6),"")</f>
        <v>0</v>
      </c>
      <c r="R244">
        <f>IF(V244="Sí",COUNTIFS(DATOS!G:G,CONFIG_METADATA!$B$4,DATOS!D:D,A244,DATOS!I:I,B244,DATOS!K:K,7),"")</f>
        <v>0</v>
      </c>
      <c r="S244">
        <f>IF(V244="Sí",COUNTIFS(DATOS!G:G,CONFIG_METADATA!$B$4,DATOS!D:D,A244,DATOS!I:I,B244,DATOS!K:K,8),"")</f>
        <v>0</v>
      </c>
      <c r="T244">
        <f>IF(V244="Sí",COUNTIFS(DATOS!G:G,CONFIG_METADATA!$B$4,DATOS!D:D,A244,DATOS!I:I,B244,DATOS!K:K,9),"")</f>
        <v>0</v>
      </c>
      <c r="U244">
        <f>IF(V244="Sí",COUNTIFS(DATOS!G:G,CONFIG_METADATA!$B$4,DATOS!D:D,A244,DATOS!I:I,B244,DATOS!K:K,10),"")</f>
        <v>0</v>
      </c>
      <c r="V244" t="str">
        <f>IFERROR(IF(ISERROR(FIND(A244,VLOOKUP(B244,CONFIG_ASIGNATURAS!B:C,2,FALSE()))),"No","Sí"),"No")</f>
        <v>Sí</v>
      </c>
    </row>
    <row r="245" spans="1:22">
      <c r="A245" s="3" t="inlineStr">
        <is>
          <t xml:space="preserve">3EEM</t>
        </is>
      </c>
      <c r="B245" s="3" cm="1">
        <f t="array" ref="B245">IFERROR(INDEX(_xlfn._xlws.FILTER(CONFIG_ASIGNATURAS!$B$2:$B$61,(CONFIG_ASIGNATURAS!$G$2:$G$61="Sí")*ISNUMBER(SEARCH("3EEM",CONFIG_ASIGNATURAS!$C$2:$C$61))),52),"")</f>
      </c>
      <c r="C245" s="3">
        <f>IF(B245="","",IFERROR(IF(VLOOKUP(B245,CONFIG_ASIGNATURAS!$B$2:$F$61,5,FALSE())="Sí","Especialidad","Asignatura"),"Asignatura"))</f>
      </c>
      <c r="D245">
        <f>IF(V245="Sí",COUNTIFS(DATOS!G:G,CONFIG_METADATA!$B$4,DATOS!D:D,A245,DATOS!I:I,B245),"")</f>
        <v>0</v>
      </c>
      <c r="E245" s="14" t="str">
        <f>IF(V245="Sí",IFERROR(AVERAGEIFS(DATOS!K:K,DATOS!G:G,CONFIG_METADATA!$B$4,DATOS!D:D,A245,DATOS!I:I,B245),"—"),"")</f>
        <v>—</v>
      </c>
      <c r="F245" s="14" t="str" cm="1">
        <f t="array" ref="F245">IF(V245="Sí",IFERROR(_xlfn.STDEV.P(IF((nEVAL=CONFIG_METADATA!$B$4)*(nCURSO=A245)*(nASIG=B245),nNOTA)),"—"),"")</f>
        <v>—</v>
      </c>
      <c r="G245" t="str" cm="1">
        <f t="array" ref="G245">IF(V245="Sí",IFERROR(_xlfn.MODE.SNGL(IF((nEVAL=CONFIG_METADATA!$B$4)*(nCURSO=A245)*(nASIG=B245),nNOTA)),"—"),"")</f>
        <v>—</v>
      </c>
      <c r="H245" s="15" t="str">
        <f>IF(V245="Sí",IFERROR(COUNTIFS(DATOS!G:G,CONFIG_METADATA!$B$4,DATOS!D:D,A245,DATOS!I:I,B245,DATOS!L:L,"S")/COUNTIFS(DATOS!G:G,CONFIG_METADATA!$B$4,DATOS!D:D,A245,DATOS!I:I,B245),"—"),"")</f>
        <v>—</v>
      </c>
      <c r="I245" s="15" t="str">
        <f>IF(V245="Sí",IFERROR(COUNTIFS(DATOS!G:G,CONFIG_METADATA!$B$4,DATOS!D:D,A245,DATOS!I:I,B245,DATOS!L:L,"N")/COUNTIFS(DATOS!G:G,CONFIG_METADATA!$B$4,DATOS!D:D,A245,DATOS!I:I,B245),"—"),"")</f>
        <v>—</v>
      </c>
      <c r="J245" t="str" cm="1">
        <f t="array" ref="J245">IF(V245="Sí",IFERROR(_xlfn.MODE.SNGL(IF((nEVAL=CONFIG_METADATA!$B$4)*(nCURSO=A245)*(nASIG=B245)*(nAPTO="S"),nNOTA)),"—"),"")</f>
        <v>—</v>
      </c>
      <c r="K245" t="str" cm="1">
        <f t="array" ref="K245">IF(V245="Sí",IFERROR(_xlfn.MODE.SNGL(IF((nEVAL=CONFIG_METADATA!$B$4)*(nCURSO=A245)*(nASIG=B245)*(nAPTO="N"),nNOTA)),"—"),"")</f>
        <v>—</v>
      </c>
      <c r="L245">
        <f>IF(V245="Sí",COUNTIFS(DATOS!G:G,CONFIG_METADATA!$B$4,DATOS!D:D,A245,DATOS!I:I,B245,DATOS!K:K,1),"")</f>
        <v>0</v>
      </c>
      <c r="M245">
        <f>IF(V245="Sí",COUNTIFS(DATOS!G:G,CONFIG_METADATA!$B$4,DATOS!D:D,A245,DATOS!I:I,B245,DATOS!K:K,2),"")</f>
        <v>0</v>
      </c>
      <c r="N245">
        <f>IF(V245="Sí",COUNTIFS(DATOS!G:G,CONFIG_METADATA!$B$4,DATOS!D:D,A245,DATOS!I:I,B245,DATOS!K:K,3),"")</f>
        <v>0</v>
      </c>
      <c r="O245">
        <f>IF(V245="Sí",COUNTIFS(DATOS!G:G,CONFIG_METADATA!$B$4,DATOS!D:D,A245,DATOS!I:I,B245,DATOS!K:K,4),"")</f>
        <v>0</v>
      </c>
      <c r="P245">
        <f>IF(V245="Sí",COUNTIFS(DATOS!G:G,CONFIG_METADATA!$B$4,DATOS!D:D,A245,DATOS!I:I,B245,DATOS!K:K,5),"")</f>
        <v>0</v>
      </c>
      <c r="Q245">
        <f>IF(V245="Sí",COUNTIFS(DATOS!G:G,CONFIG_METADATA!$B$4,DATOS!D:D,A245,DATOS!I:I,B245,DATOS!K:K,6),"")</f>
        <v>0</v>
      </c>
      <c r="R245">
        <f>IF(V245="Sí",COUNTIFS(DATOS!G:G,CONFIG_METADATA!$B$4,DATOS!D:D,A245,DATOS!I:I,B245,DATOS!K:K,7),"")</f>
        <v>0</v>
      </c>
      <c r="S245">
        <f>IF(V245="Sí",COUNTIFS(DATOS!G:G,CONFIG_METADATA!$B$4,DATOS!D:D,A245,DATOS!I:I,B245,DATOS!K:K,8),"")</f>
        <v>0</v>
      </c>
      <c r="T245">
        <f>IF(V245="Sí",COUNTIFS(DATOS!G:G,CONFIG_METADATA!$B$4,DATOS!D:D,A245,DATOS!I:I,B245,DATOS!K:K,9),"")</f>
        <v>0</v>
      </c>
      <c r="U245">
        <f>IF(V245="Sí",COUNTIFS(DATOS!G:G,CONFIG_METADATA!$B$4,DATOS!D:D,A245,DATOS!I:I,B245,DATOS!K:K,10),"")</f>
        <v>0</v>
      </c>
      <c r="V245" t="str">
        <f>IFERROR(IF(ISERROR(FIND(A245,VLOOKUP(B245,CONFIG_ASIGNATURAS!B:C,2,FALSE()))),"No","Sí"),"No")</f>
        <v>Sí</v>
      </c>
    </row>
    <row r="246" spans="1:22">
      <c r="A246" s="3" t="inlineStr">
        <is>
          <t xml:space="preserve">3EEM</t>
        </is>
      </c>
      <c r="B246" s="3" cm="1">
        <f t="array" ref="B246">IFERROR(INDEX(_xlfn._xlws.FILTER(CONFIG_ASIGNATURAS!$B$2:$B$61,(CONFIG_ASIGNATURAS!$G$2:$G$61="Sí")*ISNUMBER(SEARCH("3EEM",CONFIG_ASIGNATURAS!$C$2:$C$61))),53),"")</f>
      </c>
      <c r="C246" s="3">
        <f>IF(B246="","",IFERROR(IF(VLOOKUP(B246,CONFIG_ASIGNATURAS!$B$2:$F$61,5,FALSE())="Sí","Especialidad","Asignatura"),"Asignatura"))</f>
      </c>
      <c r="D246">
        <f>IF(V246="Sí",COUNTIFS(DATOS!G:G,CONFIG_METADATA!$B$4,DATOS!D:D,A246,DATOS!I:I,B246),"")</f>
        <v>0</v>
      </c>
      <c r="E246" s="14" t="str">
        <f>IF(V246="Sí",IFERROR(AVERAGEIFS(DATOS!K:K,DATOS!G:G,CONFIG_METADATA!$B$4,DATOS!D:D,A246,DATOS!I:I,B246),"—"),"")</f>
        <v>—</v>
      </c>
      <c r="F246" s="14" t="str" cm="1">
        <f t="array" ref="F246">IF(V246="Sí",IFERROR(_xlfn.STDEV.P(IF((nEVAL=CONFIG_METADATA!$B$4)*(nCURSO=A246)*(nASIG=B246),nNOTA)),"—"),"")</f>
        <v>—</v>
      </c>
      <c r="G246" t="str" cm="1">
        <f t="array" ref="G246">IF(V246="Sí",IFERROR(_xlfn.MODE.SNGL(IF((nEVAL=CONFIG_METADATA!$B$4)*(nCURSO=A246)*(nASIG=B246),nNOTA)),"—"),"")</f>
        <v>—</v>
      </c>
      <c r="H246" s="15" t="str">
        <f>IF(V246="Sí",IFERROR(COUNTIFS(DATOS!G:G,CONFIG_METADATA!$B$4,DATOS!D:D,A246,DATOS!I:I,B246,DATOS!L:L,"S")/COUNTIFS(DATOS!G:G,CONFIG_METADATA!$B$4,DATOS!D:D,A246,DATOS!I:I,B246),"—"),"")</f>
        <v>—</v>
      </c>
      <c r="I246" s="15" t="str">
        <f>IF(V246="Sí",IFERROR(COUNTIFS(DATOS!G:G,CONFIG_METADATA!$B$4,DATOS!D:D,A246,DATOS!I:I,B246,DATOS!L:L,"N")/COUNTIFS(DATOS!G:G,CONFIG_METADATA!$B$4,DATOS!D:D,A246,DATOS!I:I,B246),"—"),"")</f>
        <v>—</v>
      </c>
      <c r="J246" t="str" cm="1">
        <f t="array" ref="J246">IF(V246="Sí",IFERROR(_xlfn.MODE.SNGL(IF((nEVAL=CONFIG_METADATA!$B$4)*(nCURSO=A246)*(nASIG=B246)*(nAPTO="S"),nNOTA)),"—"),"")</f>
        <v>—</v>
      </c>
      <c r="K246" t="str" cm="1">
        <f t="array" ref="K246">IF(V246="Sí",IFERROR(_xlfn.MODE.SNGL(IF((nEVAL=CONFIG_METADATA!$B$4)*(nCURSO=A246)*(nASIG=B246)*(nAPTO="N"),nNOTA)),"—"),"")</f>
        <v>—</v>
      </c>
      <c r="L246">
        <f>IF(V246="Sí",COUNTIFS(DATOS!G:G,CONFIG_METADATA!$B$4,DATOS!D:D,A246,DATOS!I:I,B246,DATOS!K:K,1),"")</f>
        <v>0</v>
      </c>
      <c r="M246">
        <f>IF(V246="Sí",COUNTIFS(DATOS!G:G,CONFIG_METADATA!$B$4,DATOS!D:D,A246,DATOS!I:I,B246,DATOS!K:K,2),"")</f>
        <v>0</v>
      </c>
      <c r="N246">
        <f>IF(V246="Sí",COUNTIFS(DATOS!G:G,CONFIG_METADATA!$B$4,DATOS!D:D,A246,DATOS!I:I,B246,DATOS!K:K,3),"")</f>
        <v>0</v>
      </c>
      <c r="O246">
        <f>IF(V246="Sí",COUNTIFS(DATOS!G:G,CONFIG_METADATA!$B$4,DATOS!D:D,A246,DATOS!I:I,B246,DATOS!K:K,4),"")</f>
        <v>0</v>
      </c>
      <c r="P246">
        <f>IF(V246="Sí",COUNTIFS(DATOS!G:G,CONFIG_METADATA!$B$4,DATOS!D:D,A246,DATOS!I:I,B246,DATOS!K:K,5),"")</f>
        <v>0</v>
      </c>
      <c r="Q246">
        <f>IF(V246="Sí",COUNTIFS(DATOS!G:G,CONFIG_METADATA!$B$4,DATOS!D:D,A246,DATOS!I:I,B246,DATOS!K:K,6),"")</f>
        <v>0</v>
      </c>
      <c r="R246">
        <f>IF(V246="Sí",COUNTIFS(DATOS!G:G,CONFIG_METADATA!$B$4,DATOS!D:D,A246,DATOS!I:I,B246,DATOS!K:K,7),"")</f>
        <v>0</v>
      </c>
      <c r="S246">
        <f>IF(V246="Sí",COUNTIFS(DATOS!G:G,CONFIG_METADATA!$B$4,DATOS!D:D,A246,DATOS!I:I,B246,DATOS!K:K,8),"")</f>
        <v>0</v>
      </c>
      <c r="T246">
        <f>IF(V246="Sí",COUNTIFS(DATOS!G:G,CONFIG_METADATA!$B$4,DATOS!D:D,A246,DATOS!I:I,B246,DATOS!K:K,9),"")</f>
        <v>0</v>
      </c>
      <c r="U246">
        <f>IF(V246="Sí",COUNTIFS(DATOS!G:G,CONFIG_METADATA!$B$4,DATOS!D:D,A246,DATOS!I:I,B246,DATOS!K:K,10),"")</f>
        <v>0</v>
      </c>
      <c r="V246" t="str">
        <f>IFERROR(IF(ISERROR(FIND(A246,VLOOKUP(B246,CONFIG_ASIGNATURAS!B:C,2,FALSE()))),"No","Sí"),"No")</f>
        <v>Sí</v>
      </c>
    </row>
    <row r="247" spans="1:22">
      <c r="A247" s="3" t="inlineStr">
        <is>
          <t xml:space="preserve">3EEM</t>
        </is>
      </c>
      <c r="B247" s="3" cm="1">
        <f t="array" ref="B247">IFERROR(INDEX(_xlfn._xlws.FILTER(CONFIG_ASIGNATURAS!$B$2:$B$61,(CONFIG_ASIGNATURAS!$G$2:$G$61="Sí")*ISNUMBER(SEARCH("3EEM",CONFIG_ASIGNATURAS!$C$2:$C$61))),54),"")</f>
      </c>
      <c r="C247" s="3">
        <f>IF(B247="","",IFERROR(IF(VLOOKUP(B247,CONFIG_ASIGNATURAS!$B$2:$F$61,5,FALSE())="Sí","Especialidad","Asignatura"),"Asignatura"))</f>
      </c>
      <c r="D247">
        <f>IF(V247="Sí",COUNTIFS(DATOS!G:G,CONFIG_METADATA!$B$4,DATOS!D:D,A247,DATOS!I:I,B247),"")</f>
        <v>0</v>
      </c>
      <c r="E247" s="14" t="str">
        <f>IF(V247="Sí",IFERROR(AVERAGEIFS(DATOS!K:K,DATOS!G:G,CONFIG_METADATA!$B$4,DATOS!D:D,A247,DATOS!I:I,B247),"—"),"")</f>
        <v>—</v>
      </c>
      <c r="F247" s="14" t="str" cm="1">
        <f t="array" ref="F247">IF(V247="Sí",IFERROR(_xlfn.STDEV.P(IF((nEVAL=CONFIG_METADATA!$B$4)*(nCURSO=A247)*(nASIG=B247),nNOTA)),"—"),"")</f>
        <v>—</v>
      </c>
      <c r="G247" t="str" cm="1">
        <f t="array" ref="G247">IF(V247="Sí",IFERROR(_xlfn.MODE.SNGL(IF((nEVAL=CONFIG_METADATA!$B$4)*(nCURSO=A247)*(nASIG=B247),nNOTA)),"—"),"")</f>
        <v>—</v>
      </c>
      <c r="H247" s="15" t="str">
        <f>IF(V247="Sí",IFERROR(COUNTIFS(DATOS!G:G,CONFIG_METADATA!$B$4,DATOS!D:D,A247,DATOS!I:I,B247,DATOS!L:L,"S")/COUNTIFS(DATOS!G:G,CONFIG_METADATA!$B$4,DATOS!D:D,A247,DATOS!I:I,B247),"—"),"")</f>
        <v>—</v>
      </c>
      <c r="I247" s="15" t="str">
        <f>IF(V247="Sí",IFERROR(COUNTIFS(DATOS!G:G,CONFIG_METADATA!$B$4,DATOS!D:D,A247,DATOS!I:I,B247,DATOS!L:L,"N")/COUNTIFS(DATOS!G:G,CONFIG_METADATA!$B$4,DATOS!D:D,A247,DATOS!I:I,B247),"—"),"")</f>
        <v>—</v>
      </c>
      <c r="J247" t="str" cm="1">
        <f t="array" ref="J247">IF(V247="Sí",IFERROR(_xlfn.MODE.SNGL(IF((nEVAL=CONFIG_METADATA!$B$4)*(nCURSO=A247)*(nASIG=B247)*(nAPTO="S"),nNOTA)),"—"),"")</f>
        <v>—</v>
      </c>
      <c r="K247" t="str" cm="1">
        <f t="array" ref="K247">IF(V247="Sí",IFERROR(_xlfn.MODE.SNGL(IF((nEVAL=CONFIG_METADATA!$B$4)*(nCURSO=A247)*(nASIG=B247)*(nAPTO="N"),nNOTA)),"—"),"")</f>
        <v>—</v>
      </c>
      <c r="L247">
        <f>IF(V247="Sí",COUNTIFS(DATOS!G:G,CONFIG_METADATA!$B$4,DATOS!D:D,A247,DATOS!I:I,B247,DATOS!K:K,1),"")</f>
        <v>0</v>
      </c>
      <c r="M247">
        <f>IF(V247="Sí",COUNTIFS(DATOS!G:G,CONFIG_METADATA!$B$4,DATOS!D:D,A247,DATOS!I:I,B247,DATOS!K:K,2),"")</f>
        <v>0</v>
      </c>
      <c r="N247">
        <f>IF(V247="Sí",COUNTIFS(DATOS!G:G,CONFIG_METADATA!$B$4,DATOS!D:D,A247,DATOS!I:I,B247,DATOS!K:K,3),"")</f>
        <v>0</v>
      </c>
      <c r="O247">
        <f>IF(V247="Sí",COUNTIFS(DATOS!G:G,CONFIG_METADATA!$B$4,DATOS!D:D,A247,DATOS!I:I,B247,DATOS!K:K,4),"")</f>
        <v>0</v>
      </c>
      <c r="P247">
        <f>IF(V247="Sí",COUNTIFS(DATOS!G:G,CONFIG_METADATA!$B$4,DATOS!D:D,A247,DATOS!I:I,B247,DATOS!K:K,5),"")</f>
        <v>0</v>
      </c>
      <c r="Q247">
        <f>IF(V247="Sí",COUNTIFS(DATOS!G:G,CONFIG_METADATA!$B$4,DATOS!D:D,A247,DATOS!I:I,B247,DATOS!K:K,6),"")</f>
        <v>0</v>
      </c>
      <c r="R247">
        <f>IF(V247="Sí",COUNTIFS(DATOS!G:G,CONFIG_METADATA!$B$4,DATOS!D:D,A247,DATOS!I:I,B247,DATOS!K:K,7),"")</f>
        <v>0</v>
      </c>
      <c r="S247">
        <f>IF(V247="Sí",COUNTIFS(DATOS!G:G,CONFIG_METADATA!$B$4,DATOS!D:D,A247,DATOS!I:I,B247,DATOS!K:K,8),"")</f>
        <v>0</v>
      </c>
      <c r="T247">
        <f>IF(V247="Sí",COUNTIFS(DATOS!G:G,CONFIG_METADATA!$B$4,DATOS!D:D,A247,DATOS!I:I,B247,DATOS!K:K,9),"")</f>
        <v>0</v>
      </c>
      <c r="U247">
        <f>IF(V247="Sí",COUNTIFS(DATOS!G:G,CONFIG_METADATA!$B$4,DATOS!D:D,A247,DATOS!I:I,B247,DATOS!K:K,10),"")</f>
        <v>0</v>
      </c>
      <c r="V247" t="str">
        <f>IFERROR(IF(ISERROR(FIND(A247,VLOOKUP(B247,CONFIG_ASIGNATURAS!B:C,2,FALSE()))),"No","Sí"),"No")</f>
        <v>Sí</v>
      </c>
    </row>
    <row r="248" spans="1:22">
      <c r="A248" s="3" t="inlineStr">
        <is>
          <t xml:space="preserve">3EEM</t>
        </is>
      </c>
      <c r="B248" s="3" cm="1">
        <f t="array" ref="B248">IFERROR(INDEX(_xlfn._xlws.FILTER(CONFIG_ASIGNATURAS!$B$2:$B$61,(CONFIG_ASIGNATURAS!$G$2:$G$61="Sí")*ISNUMBER(SEARCH("3EEM",CONFIG_ASIGNATURAS!$C$2:$C$61))),55),"")</f>
      </c>
      <c r="C248" s="3">
        <f>IF(B248="","",IFERROR(IF(VLOOKUP(B248,CONFIG_ASIGNATURAS!$B$2:$F$61,5,FALSE())="Sí","Especialidad","Asignatura"),"Asignatura"))</f>
      </c>
      <c r="D248">
        <f>IF(V248="Sí",COUNTIFS(DATOS!G:G,CONFIG_METADATA!$B$4,DATOS!D:D,A248,DATOS!I:I,B248),"")</f>
        <v>0</v>
      </c>
      <c r="E248" s="14" t="str">
        <f>IF(V248="Sí",IFERROR(AVERAGEIFS(DATOS!K:K,DATOS!G:G,CONFIG_METADATA!$B$4,DATOS!D:D,A248,DATOS!I:I,B248),"—"),"")</f>
        <v>—</v>
      </c>
      <c r="F248" s="14" t="str" cm="1">
        <f t="array" ref="F248">IF(V248="Sí",IFERROR(_xlfn.STDEV.P(IF((nEVAL=CONFIG_METADATA!$B$4)*(nCURSO=A248)*(nASIG=B248),nNOTA)),"—"),"")</f>
        <v>—</v>
      </c>
      <c r="G248" t="str" cm="1">
        <f t="array" ref="G248">IF(V248="Sí",IFERROR(_xlfn.MODE.SNGL(IF((nEVAL=CONFIG_METADATA!$B$4)*(nCURSO=A248)*(nASIG=B248),nNOTA)),"—"),"")</f>
        <v>—</v>
      </c>
      <c r="H248" s="15" t="str">
        <f>IF(V248="Sí",IFERROR(COUNTIFS(DATOS!G:G,CONFIG_METADATA!$B$4,DATOS!D:D,A248,DATOS!I:I,B248,DATOS!L:L,"S")/COUNTIFS(DATOS!G:G,CONFIG_METADATA!$B$4,DATOS!D:D,A248,DATOS!I:I,B248),"—"),"")</f>
        <v>—</v>
      </c>
      <c r="I248" s="15" t="str">
        <f>IF(V248="Sí",IFERROR(COUNTIFS(DATOS!G:G,CONFIG_METADATA!$B$4,DATOS!D:D,A248,DATOS!I:I,B248,DATOS!L:L,"N")/COUNTIFS(DATOS!G:G,CONFIG_METADATA!$B$4,DATOS!D:D,A248,DATOS!I:I,B248),"—"),"")</f>
        <v>—</v>
      </c>
      <c r="J248" t="str" cm="1">
        <f t="array" ref="J248">IF(V248="Sí",IFERROR(_xlfn.MODE.SNGL(IF((nEVAL=CONFIG_METADATA!$B$4)*(nCURSO=A248)*(nASIG=B248)*(nAPTO="S"),nNOTA)),"—"),"")</f>
        <v>—</v>
      </c>
      <c r="K248" t="str" cm="1">
        <f t="array" ref="K248">IF(V248="Sí",IFERROR(_xlfn.MODE.SNGL(IF((nEVAL=CONFIG_METADATA!$B$4)*(nCURSO=A248)*(nASIG=B248)*(nAPTO="N"),nNOTA)),"—"),"")</f>
        <v>—</v>
      </c>
      <c r="L248">
        <f>IF(V248="Sí",COUNTIFS(DATOS!G:G,CONFIG_METADATA!$B$4,DATOS!D:D,A248,DATOS!I:I,B248,DATOS!K:K,1),"")</f>
        <v>0</v>
      </c>
      <c r="M248">
        <f>IF(V248="Sí",COUNTIFS(DATOS!G:G,CONFIG_METADATA!$B$4,DATOS!D:D,A248,DATOS!I:I,B248,DATOS!K:K,2),"")</f>
        <v>0</v>
      </c>
      <c r="N248">
        <f>IF(V248="Sí",COUNTIFS(DATOS!G:G,CONFIG_METADATA!$B$4,DATOS!D:D,A248,DATOS!I:I,B248,DATOS!K:K,3),"")</f>
        <v>0</v>
      </c>
      <c r="O248">
        <f>IF(V248="Sí",COUNTIFS(DATOS!G:G,CONFIG_METADATA!$B$4,DATOS!D:D,A248,DATOS!I:I,B248,DATOS!K:K,4),"")</f>
        <v>0</v>
      </c>
      <c r="P248">
        <f>IF(V248="Sí",COUNTIFS(DATOS!G:G,CONFIG_METADATA!$B$4,DATOS!D:D,A248,DATOS!I:I,B248,DATOS!K:K,5),"")</f>
        <v>0</v>
      </c>
      <c r="Q248">
        <f>IF(V248="Sí",COUNTIFS(DATOS!G:G,CONFIG_METADATA!$B$4,DATOS!D:D,A248,DATOS!I:I,B248,DATOS!K:K,6),"")</f>
        <v>0</v>
      </c>
      <c r="R248">
        <f>IF(V248="Sí",COUNTIFS(DATOS!G:G,CONFIG_METADATA!$B$4,DATOS!D:D,A248,DATOS!I:I,B248,DATOS!K:K,7),"")</f>
        <v>0</v>
      </c>
      <c r="S248">
        <f>IF(V248="Sí",COUNTIFS(DATOS!G:G,CONFIG_METADATA!$B$4,DATOS!D:D,A248,DATOS!I:I,B248,DATOS!K:K,8),"")</f>
        <v>0</v>
      </c>
      <c r="T248">
        <f>IF(V248="Sí",COUNTIFS(DATOS!G:G,CONFIG_METADATA!$B$4,DATOS!D:D,A248,DATOS!I:I,B248,DATOS!K:K,9),"")</f>
        <v>0</v>
      </c>
      <c r="U248">
        <f>IF(V248="Sí",COUNTIFS(DATOS!G:G,CONFIG_METADATA!$B$4,DATOS!D:D,A248,DATOS!I:I,B248,DATOS!K:K,10),"")</f>
        <v>0</v>
      </c>
      <c r="V248" t="str">
        <f>IFERROR(IF(ISERROR(FIND(A248,VLOOKUP(B248,CONFIG_ASIGNATURAS!B:C,2,FALSE()))),"No","Sí"),"No")</f>
        <v>Sí</v>
      </c>
    </row>
    <row r="249" spans="1:22">
      <c r="A249" s="3" t="inlineStr">
        <is>
          <t xml:space="preserve">3EEM</t>
        </is>
      </c>
      <c r="B249" s="3" cm="1">
        <f t="array" ref="B249">IFERROR(INDEX(_xlfn._xlws.FILTER(CONFIG_ASIGNATURAS!$B$2:$B$61,(CONFIG_ASIGNATURAS!$G$2:$G$61="Sí")*ISNUMBER(SEARCH("3EEM",CONFIG_ASIGNATURAS!$C$2:$C$61))),56),"")</f>
      </c>
      <c r="C249" s="3">
        <f>IF(B249="","",IFERROR(IF(VLOOKUP(B249,CONFIG_ASIGNATURAS!$B$2:$F$61,5,FALSE())="Sí","Especialidad","Asignatura"),"Asignatura"))</f>
      </c>
      <c r="D249">
        <f>IF(V249="Sí",COUNTIFS(DATOS!G:G,CONFIG_METADATA!$B$4,DATOS!D:D,A249,DATOS!I:I,B249),"")</f>
        <v>0</v>
      </c>
      <c r="E249" s="14" t="str">
        <f>IF(V249="Sí",IFERROR(AVERAGEIFS(DATOS!K:K,DATOS!G:G,CONFIG_METADATA!$B$4,DATOS!D:D,A249,DATOS!I:I,B249),"—"),"")</f>
        <v>—</v>
      </c>
      <c r="F249" s="14" t="str" cm="1">
        <f t="array" ref="F249">IF(V249="Sí",IFERROR(_xlfn.STDEV.P(IF((nEVAL=CONFIG_METADATA!$B$4)*(nCURSO=A249)*(nASIG=B249),nNOTA)),"—"),"")</f>
        <v>—</v>
      </c>
      <c r="G249" t="str" cm="1">
        <f t="array" ref="G249">IF(V249="Sí",IFERROR(_xlfn.MODE.SNGL(IF((nEVAL=CONFIG_METADATA!$B$4)*(nCURSO=A249)*(nASIG=B249),nNOTA)),"—"),"")</f>
        <v>—</v>
      </c>
      <c r="H249" s="15" t="str">
        <f>IF(V249="Sí",IFERROR(COUNTIFS(DATOS!G:G,CONFIG_METADATA!$B$4,DATOS!D:D,A249,DATOS!I:I,B249,DATOS!L:L,"S")/COUNTIFS(DATOS!G:G,CONFIG_METADATA!$B$4,DATOS!D:D,A249,DATOS!I:I,B249),"—"),"")</f>
        <v>—</v>
      </c>
      <c r="I249" s="15" t="str">
        <f>IF(V249="Sí",IFERROR(COUNTIFS(DATOS!G:G,CONFIG_METADATA!$B$4,DATOS!D:D,A249,DATOS!I:I,B249,DATOS!L:L,"N")/COUNTIFS(DATOS!G:G,CONFIG_METADATA!$B$4,DATOS!D:D,A249,DATOS!I:I,B249),"—"),"")</f>
        <v>—</v>
      </c>
      <c r="J249" t="str" cm="1">
        <f t="array" ref="J249">IF(V249="Sí",IFERROR(_xlfn.MODE.SNGL(IF((nEVAL=CONFIG_METADATA!$B$4)*(nCURSO=A249)*(nASIG=B249)*(nAPTO="S"),nNOTA)),"—"),"")</f>
        <v>—</v>
      </c>
      <c r="K249" t="str" cm="1">
        <f t="array" ref="K249">IF(V249="Sí",IFERROR(_xlfn.MODE.SNGL(IF((nEVAL=CONFIG_METADATA!$B$4)*(nCURSO=A249)*(nASIG=B249)*(nAPTO="N"),nNOTA)),"—"),"")</f>
        <v>—</v>
      </c>
      <c r="L249">
        <f>IF(V249="Sí",COUNTIFS(DATOS!G:G,CONFIG_METADATA!$B$4,DATOS!D:D,A249,DATOS!I:I,B249,DATOS!K:K,1),"")</f>
        <v>0</v>
      </c>
      <c r="M249">
        <f>IF(V249="Sí",COUNTIFS(DATOS!G:G,CONFIG_METADATA!$B$4,DATOS!D:D,A249,DATOS!I:I,B249,DATOS!K:K,2),"")</f>
        <v>0</v>
      </c>
      <c r="N249">
        <f>IF(V249="Sí",COUNTIFS(DATOS!G:G,CONFIG_METADATA!$B$4,DATOS!D:D,A249,DATOS!I:I,B249,DATOS!K:K,3),"")</f>
        <v>0</v>
      </c>
      <c r="O249">
        <f>IF(V249="Sí",COUNTIFS(DATOS!G:G,CONFIG_METADATA!$B$4,DATOS!D:D,A249,DATOS!I:I,B249,DATOS!K:K,4),"")</f>
        <v>0</v>
      </c>
      <c r="P249">
        <f>IF(V249="Sí",COUNTIFS(DATOS!G:G,CONFIG_METADATA!$B$4,DATOS!D:D,A249,DATOS!I:I,B249,DATOS!K:K,5),"")</f>
        <v>0</v>
      </c>
      <c r="Q249">
        <f>IF(V249="Sí",COUNTIFS(DATOS!G:G,CONFIG_METADATA!$B$4,DATOS!D:D,A249,DATOS!I:I,B249,DATOS!K:K,6),"")</f>
        <v>0</v>
      </c>
      <c r="R249">
        <f>IF(V249="Sí",COUNTIFS(DATOS!G:G,CONFIG_METADATA!$B$4,DATOS!D:D,A249,DATOS!I:I,B249,DATOS!K:K,7),"")</f>
        <v>0</v>
      </c>
      <c r="S249">
        <f>IF(V249="Sí",COUNTIFS(DATOS!G:G,CONFIG_METADATA!$B$4,DATOS!D:D,A249,DATOS!I:I,B249,DATOS!K:K,8),"")</f>
        <v>0</v>
      </c>
      <c r="T249">
        <f>IF(V249="Sí",COUNTIFS(DATOS!G:G,CONFIG_METADATA!$B$4,DATOS!D:D,A249,DATOS!I:I,B249,DATOS!K:K,9),"")</f>
        <v>0</v>
      </c>
      <c r="U249">
        <f>IF(V249="Sí",COUNTIFS(DATOS!G:G,CONFIG_METADATA!$B$4,DATOS!D:D,A249,DATOS!I:I,B249,DATOS!K:K,10),"")</f>
        <v>0</v>
      </c>
      <c r="V249" t="str">
        <f>IFERROR(IF(ISERROR(FIND(A249,VLOOKUP(B249,CONFIG_ASIGNATURAS!B:C,2,FALSE()))),"No","Sí"),"No")</f>
        <v>Sí</v>
      </c>
    </row>
    <row r="250" spans="1:22">
      <c r="A250" s="3" t="inlineStr">
        <is>
          <t xml:space="preserve">3EEM</t>
        </is>
      </c>
      <c r="B250" s="3" cm="1">
        <f t="array" ref="B250">IFERROR(INDEX(_xlfn._xlws.FILTER(CONFIG_ASIGNATURAS!$B$2:$B$61,(CONFIG_ASIGNATURAS!$G$2:$G$61="Sí")*ISNUMBER(SEARCH("3EEM",CONFIG_ASIGNATURAS!$C$2:$C$61))),57),"")</f>
      </c>
      <c r="C250" s="3">
        <f>IF(B250="","",IFERROR(IF(VLOOKUP(B250,CONFIG_ASIGNATURAS!$B$2:$F$61,5,FALSE())="Sí","Especialidad","Asignatura"),"Asignatura"))</f>
      </c>
      <c r="D250">
        <f>IF(V250="Sí",COUNTIFS(DATOS!G:G,CONFIG_METADATA!$B$4,DATOS!D:D,A250,DATOS!I:I,B250),"")</f>
        <v>0</v>
      </c>
      <c r="E250" s="14" t="str">
        <f>IF(V250="Sí",IFERROR(AVERAGEIFS(DATOS!K:K,DATOS!G:G,CONFIG_METADATA!$B$4,DATOS!D:D,A250,DATOS!I:I,B250),"—"),"")</f>
        <v>—</v>
      </c>
      <c r="F250" s="14" t="str" cm="1">
        <f t="array" ref="F250">IF(V250="Sí",IFERROR(_xlfn.STDEV.P(IF((nEVAL=CONFIG_METADATA!$B$4)*(nCURSO=A250)*(nASIG=B250),nNOTA)),"—"),"")</f>
        <v>—</v>
      </c>
      <c r="G250" t="str" cm="1">
        <f t="array" ref="G250">IF(V250="Sí",IFERROR(_xlfn.MODE.SNGL(IF((nEVAL=CONFIG_METADATA!$B$4)*(nCURSO=A250)*(nASIG=B250),nNOTA)),"—"),"")</f>
        <v>—</v>
      </c>
      <c r="H250" s="15" t="str">
        <f>IF(V250="Sí",IFERROR(COUNTIFS(DATOS!G:G,CONFIG_METADATA!$B$4,DATOS!D:D,A250,DATOS!I:I,B250,DATOS!L:L,"S")/COUNTIFS(DATOS!G:G,CONFIG_METADATA!$B$4,DATOS!D:D,A250,DATOS!I:I,B250),"—"),"")</f>
        <v>—</v>
      </c>
      <c r="I250" s="15" t="str">
        <f>IF(V250="Sí",IFERROR(COUNTIFS(DATOS!G:G,CONFIG_METADATA!$B$4,DATOS!D:D,A250,DATOS!I:I,B250,DATOS!L:L,"N")/COUNTIFS(DATOS!G:G,CONFIG_METADATA!$B$4,DATOS!D:D,A250,DATOS!I:I,B250),"—"),"")</f>
        <v>—</v>
      </c>
      <c r="J250" t="str" cm="1">
        <f t="array" ref="J250">IF(V250="Sí",IFERROR(_xlfn.MODE.SNGL(IF((nEVAL=CONFIG_METADATA!$B$4)*(nCURSO=A250)*(nASIG=B250)*(nAPTO="S"),nNOTA)),"—"),"")</f>
        <v>—</v>
      </c>
      <c r="K250" t="str" cm="1">
        <f t="array" ref="K250">IF(V250="Sí",IFERROR(_xlfn.MODE.SNGL(IF((nEVAL=CONFIG_METADATA!$B$4)*(nCURSO=A250)*(nASIG=B250)*(nAPTO="N"),nNOTA)),"—"),"")</f>
        <v>—</v>
      </c>
      <c r="L250">
        <f>IF(V250="Sí",COUNTIFS(DATOS!G:G,CONFIG_METADATA!$B$4,DATOS!D:D,A250,DATOS!I:I,B250,DATOS!K:K,1),"")</f>
        <v>0</v>
      </c>
      <c r="M250">
        <f>IF(V250="Sí",COUNTIFS(DATOS!G:G,CONFIG_METADATA!$B$4,DATOS!D:D,A250,DATOS!I:I,B250,DATOS!K:K,2),"")</f>
        <v>0</v>
      </c>
      <c r="N250">
        <f>IF(V250="Sí",COUNTIFS(DATOS!G:G,CONFIG_METADATA!$B$4,DATOS!D:D,A250,DATOS!I:I,B250,DATOS!K:K,3),"")</f>
        <v>0</v>
      </c>
      <c r="O250">
        <f>IF(V250="Sí",COUNTIFS(DATOS!G:G,CONFIG_METADATA!$B$4,DATOS!D:D,A250,DATOS!I:I,B250,DATOS!K:K,4),"")</f>
        <v>0</v>
      </c>
      <c r="P250">
        <f>IF(V250="Sí",COUNTIFS(DATOS!G:G,CONFIG_METADATA!$B$4,DATOS!D:D,A250,DATOS!I:I,B250,DATOS!K:K,5),"")</f>
        <v>0</v>
      </c>
      <c r="Q250">
        <f>IF(V250="Sí",COUNTIFS(DATOS!G:G,CONFIG_METADATA!$B$4,DATOS!D:D,A250,DATOS!I:I,B250,DATOS!K:K,6),"")</f>
        <v>0</v>
      </c>
      <c r="R250">
        <f>IF(V250="Sí",COUNTIFS(DATOS!G:G,CONFIG_METADATA!$B$4,DATOS!D:D,A250,DATOS!I:I,B250,DATOS!K:K,7),"")</f>
        <v>0</v>
      </c>
      <c r="S250">
        <f>IF(V250="Sí",COUNTIFS(DATOS!G:G,CONFIG_METADATA!$B$4,DATOS!D:D,A250,DATOS!I:I,B250,DATOS!K:K,8),"")</f>
        <v>0</v>
      </c>
      <c r="T250">
        <f>IF(V250="Sí",COUNTIFS(DATOS!G:G,CONFIG_METADATA!$B$4,DATOS!D:D,A250,DATOS!I:I,B250,DATOS!K:K,9),"")</f>
        <v>0</v>
      </c>
      <c r="U250">
        <f>IF(V250="Sí",COUNTIFS(DATOS!G:G,CONFIG_METADATA!$B$4,DATOS!D:D,A250,DATOS!I:I,B250,DATOS!K:K,10),"")</f>
        <v>0</v>
      </c>
      <c r="V250" t="str">
        <f>IFERROR(IF(ISERROR(FIND(A250,VLOOKUP(B250,CONFIG_ASIGNATURAS!B:C,2,FALSE()))),"No","Sí"),"No")</f>
        <v>Sí</v>
      </c>
    </row>
    <row r="251" spans="1:22">
      <c r="A251" s="3" t="inlineStr">
        <is>
          <t xml:space="preserve">3EEM</t>
        </is>
      </c>
      <c r="B251" s="3" cm="1">
        <f t="array" ref="B251">IFERROR(INDEX(_xlfn._xlws.FILTER(CONFIG_ASIGNATURAS!$B$2:$B$61,(CONFIG_ASIGNATURAS!$G$2:$G$61="Sí")*ISNUMBER(SEARCH("3EEM",CONFIG_ASIGNATURAS!$C$2:$C$61))),58),"")</f>
      </c>
      <c r="C251" s="3">
        <f>IF(B251="","",IFERROR(IF(VLOOKUP(B251,CONFIG_ASIGNATURAS!$B$2:$F$61,5,FALSE())="Sí","Especialidad","Asignatura"),"Asignatura"))</f>
      </c>
      <c r="D251">
        <f>IF(V251="Sí",COUNTIFS(DATOS!G:G,CONFIG_METADATA!$B$4,DATOS!D:D,A251,DATOS!I:I,B251),"")</f>
        <v>0</v>
      </c>
      <c r="E251" s="14" t="str">
        <f>IF(V251="Sí",IFERROR(AVERAGEIFS(DATOS!K:K,DATOS!G:G,CONFIG_METADATA!$B$4,DATOS!D:D,A251,DATOS!I:I,B251),"—"),"")</f>
        <v>—</v>
      </c>
      <c r="F251" s="14" t="str" cm="1">
        <f t="array" ref="F251">IF(V251="Sí",IFERROR(_xlfn.STDEV.P(IF((nEVAL=CONFIG_METADATA!$B$4)*(nCURSO=A251)*(nASIG=B251),nNOTA)),"—"),"")</f>
        <v>—</v>
      </c>
      <c r="G251" t="str" cm="1">
        <f t="array" ref="G251">IF(V251="Sí",IFERROR(_xlfn.MODE.SNGL(IF((nEVAL=CONFIG_METADATA!$B$4)*(nCURSO=A251)*(nASIG=B251),nNOTA)),"—"),"")</f>
        <v>—</v>
      </c>
      <c r="H251" s="15" t="str">
        <f>IF(V251="Sí",IFERROR(COUNTIFS(DATOS!G:G,CONFIG_METADATA!$B$4,DATOS!D:D,A251,DATOS!I:I,B251,DATOS!L:L,"S")/COUNTIFS(DATOS!G:G,CONFIG_METADATA!$B$4,DATOS!D:D,A251,DATOS!I:I,B251),"—"),"")</f>
        <v>—</v>
      </c>
      <c r="I251" s="15" t="str">
        <f>IF(V251="Sí",IFERROR(COUNTIFS(DATOS!G:G,CONFIG_METADATA!$B$4,DATOS!D:D,A251,DATOS!I:I,B251,DATOS!L:L,"N")/COUNTIFS(DATOS!G:G,CONFIG_METADATA!$B$4,DATOS!D:D,A251,DATOS!I:I,B251),"—"),"")</f>
        <v>—</v>
      </c>
      <c r="J251" t="str" cm="1">
        <f t="array" ref="J251">IF(V251="Sí",IFERROR(_xlfn.MODE.SNGL(IF((nEVAL=CONFIG_METADATA!$B$4)*(nCURSO=A251)*(nASIG=B251)*(nAPTO="S"),nNOTA)),"—"),"")</f>
        <v>—</v>
      </c>
      <c r="K251" t="str" cm="1">
        <f t="array" ref="K251">IF(V251="Sí",IFERROR(_xlfn.MODE.SNGL(IF((nEVAL=CONFIG_METADATA!$B$4)*(nCURSO=A251)*(nASIG=B251)*(nAPTO="N"),nNOTA)),"—"),"")</f>
        <v>—</v>
      </c>
      <c r="L251">
        <f>IF(V251="Sí",COUNTIFS(DATOS!G:G,CONFIG_METADATA!$B$4,DATOS!D:D,A251,DATOS!I:I,B251,DATOS!K:K,1),"")</f>
        <v>0</v>
      </c>
      <c r="M251">
        <f>IF(V251="Sí",COUNTIFS(DATOS!G:G,CONFIG_METADATA!$B$4,DATOS!D:D,A251,DATOS!I:I,B251,DATOS!K:K,2),"")</f>
        <v>0</v>
      </c>
      <c r="N251">
        <f>IF(V251="Sí",COUNTIFS(DATOS!G:G,CONFIG_METADATA!$B$4,DATOS!D:D,A251,DATOS!I:I,B251,DATOS!K:K,3),"")</f>
        <v>0</v>
      </c>
      <c r="O251">
        <f>IF(V251="Sí",COUNTIFS(DATOS!G:G,CONFIG_METADATA!$B$4,DATOS!D:D,A251,DATOS!I:I,B251,DATOS!K:K,4),"")</f>
        <v>0</v>
      </c>
      <c r="P251">
        <f>IF(V251="Sí",COUNTIFS(DATOS!G:G,CONFIG_METADATA!$B$4,DATOS!D:D,A251,DATOS!I:I,B251,DATOS!K:K,5),"")</f>
        <v>0</v>
      </c>
      <c r="Q251">
        <f>IF(V251="Sí",COUNTIFS(DATOS!G:G,CONFIG_METADATA!$B$4,DATOS!D:D,A251,DATOS!I:I,B251,DATOS!K:K,6),"")</f>
        <v>0</v>
      </c>
      <c r="R251">
        <f>IF(V251="Sí",COUNTIFS(DATOS!G:G,CONFIG_METADATA!$B$4,DATOS!D:D,A251,DATOS!I:I,B251,DATOS!K:K,7),"")</f>
        <v>0</v>
      </c>
      <c r="S251">
        <f>IF(V251="Sí",COUNTIFS(DATOS!G:G,CONFIG_METADATA!$B$4,DATOS!D:D,A251,DATOS!I:I,B251,DATOS!K:K,8),"")</f>
        <v>0</v>
      </c>
      <c r="T251">
        <f>IF(V251="Sí",COUNTIFS(DATOS!G:G,CONFIG_METADATA!$B$4,DATOS!D:D,A251,DATOS!I:I,B251,DATOS!K:K,9),"")</f>
        <v>0</v>
      </c>
      <c r="U251">
        <f>IF(V251="Sí",COUNTIFS(DATOS!G:G,CONFIG_METADATA!$B$4,DATOS!D:D,A251,DATOS!I:I,B251,DATOS!K:K,10),"")</f>
        <v>0</v>
      </c>
      <c r="V251" t="str">
        <f>IFERROR(IF(ISERROR(FIND(A251,VLOOKUP(B251,CONFIG_ASIGNATURAS!B:C,2,FALSE()))),"No","Sí"),"No")</f>
        <v>Sí</v>
      </c>
    </row>
    <row r="252" spans="1:22">
      <c r="A252" s="3" t="inlineStr">
        <is>
          <t xml:space="preserve">3EEM</t>
        </is>
      </c>
      <c r="B252" s="3" cm="1">
        <f t="array" ref="B252">IFERROR(INDEX(_xlfn._xlws.FILTER(CONFIG_ASIGNATURAS!$B$2:$B$61,(CONFIG_ASIGNATURAS!$G$2:$G$61="Sí")*ISNUMBER(SEARCH("3EEM",CONFIG_ASIGNATURAS!$C$2:$C$61))),59),"")</f>
      </c>
      <c r="C252" s="3">
        <f>IF(B252="","",IFERROR(IF(VLOOKUP(B252,CONFIG_ASIGNATURAS!$B$2:$F$61,5,FALSE())="Sí","Especialidad","Asignatura"),"Asignatura"))</f>
      </c>
      <c r="D252">
        <f>IF(V252="Sí",COUNTIFS(DATOS!G:G,CONFIG_METADATA!$B$4,DATOS!D:D,A252,DATOS!I:I,B252),"")</f>
        <v>0</v>
      </c>
      <c r="E252" s="14" t="str">
        <f>IF(V252="Sí",IFERROR(AVERAGEIFS(DATOS!K:K,DATOS!G:G,CONFIG_METADATA!$B$4,DATOS!D:D,A252,DATOS!I:I,B252),"—"),"")</f>
        <v>—</v>
      </c>
      <c r="F252" s="14" t="str" cm="1">
        <f t="array" ref="F252">IF(V252="Sí",IFERROR(_xlfn.STDEV.P(IF((nEVAL=CONFIG_METADATA!$B$4)*(nCURSO=A252)*(nASIG=B252),nNOTA)),"—"),"")</f>
        <v>—</v>
      </c>
      <c r="G252" t="str" cm="1">
        <f t="array" ref="G252">IF(V252="Sí",IFERROR(_xlfn.MODE.SNGL(IF((nEVAL=CONFIG_METADATA!$B$4)*(nCURSO=A252)*(nASIG=B252),nNOTA)),"—"),"")</f>
        <v>—</v>
      </c>
      <c r="H252" s="15" t="str">
        <f>IF(V252="Sí",IFERROR(COUNTIFS(DATOS!G:G,CONFIG_METADATA!$B$4,DATOS!D:D,A252,DATOS!I:I,B252,DATOS!L:L,"S")/COUNTIFS(DATOS!G:G,CONFIG_METADATA!$B$4,DATOS!D:D,A252,DATOS!I:I,B252),"—"),"")</f>
        <v>—</v>
      </c>
      <c r="I252" s="15" t="str">
        <f>IF(V252="Sí",IFERROR(COUNTIFS(DATOS!G:G,CONFIG_METADATA!$B$4,DATOS!D:D,A252,DATOS!I:I,B252,DATOS!L:L,"N")/COUNTIFS(DATOS!G:G,CONFIG_METADATA!$B$4,DATOS!D:D,A252,DATOS!I:I,B252),"—"),"")</f>
        <v>—</v>
      </c>
      <c r="J252" t="str" cm="1">
        <f t="array" ref="J252">IF(V252="Sí",IFERROR(_xlfn.MODE.SNGL(IF((nEVAL=CONFIG_METADATA!$B$4)*(nCURSO=A252)*(nASIG=B252)*(nAPTO="S"),nNOTA)),"—"),"")</f>
        <v>—</v>
      </c>
      <c r="K252" t="str" cm="1">
        <f t="array" ref="K252">IF(V252="Sí",IFERROR(_xlfn.MODE.SNGL(IF((nEVAL=CONFIG_METADATA!$B$4)*(nCURSO=A252)*(nASIG=B252)*(nAPTO="N"),nNOTA)),"—"),"")</f>
        <v>—</v>
      </c>
      <c r="L252">
        <f>IF(V252="Sí",COUNTIFS(DATOS!G:G,CONFIG_METADATA!$B$4,DATOS!D:D,A252,DATOS!I:I,B252,DATOS!K:K,1),"")</f>
        <v>0</v>
      </c>
      <c r="M252">
        <f>IF(V252="Sí",COUNTIFS(DATOS!G:G,CONFIG_METADATA!$B$4,DATOS!D:D,A252,DATOS!I:I,B252,DATOS!K:K,2),"")</f>
        <v>0</v>
      </c>
      <c r="N252">
        <f>IF(V252="Sí",COUNTIFS(DATOS!G:G,CONFIG_METADATA!$B$4,DATOS!D:D,A252,DATOS!I:I,B252,DATOS!K:K,3),"")</f>
        <v>0</v>
      </c>
      <c r="O252">
        <f>IF(V252="Sí",COUNTIFS(DATOS!G:G,CONFIG_METADATA!$B$4,DATOS!D:D,A252,DATOS!I:I,B252,DATOS!K:K,4),"")</f>
        <v>0</v>
      </c>
      <c r="P252">
        <f>IF(V252="Sí",COUNTIFS(DATOS!G:G,CONFIG_METADATA!$B$4,DATOS!D:D,A252,DATOS!I:I,B252,DATOS!K:K,5),"")</f>
        <v>0</v>
      </c>
      <c r="Q252">
        <f>IF(V252="Sí",COUNTIFS(DATOS!G:G,CONFIG_METADATA!$B$4,DATOS!D:D,A252,DATOS!I:I,B252,DATOS!K:K,6),"")</f>
        <v>0</v>
      </c>
      <c r="R252">
        <f>IF(V252="Sí",COUNTIFS(DATOS!G:G,CONFIG_METADATA!$B$4,DATOS!D:D,A252,DATOS!I:I,B252,DATOS!K:K,7),"")</f>
        <v>0</v>
      </c>
      <c r="S252">
        <f>IF(V252="Sí",COUNTIFS(DATOS!G:G,CONFIG_METADATA!$B$4,DATOS!D:D,A252,DATOS!I:I,B252,DATOS!K:K,8),"")</f>
        <v>0</v>
      </c>
      <c r="T252">
        <f>IF(V252="Sí",COUNTIFS(DATOS!G:G,CONFIG_METADATA!$B$4,DATOS!D:D,A252,DATOS!I:I,B252,DATOS!K:K,9),"")</f>
        <v>0</v>
      </c>
      <c r="U252">
        <f>IF(V252="Sí",COUNTIFS(DATOS!G:G,CONFIG_METADATA!$B$4,DATOS!D:D,A252,DATOS!I:I,B252,DATOS!K:K,10),"")</f>
        <v>0</v>
      </c>
      <c r="V252" t="str">
        <f>IFERROR(IF(ISERROR(FIND(A252,VLOOKUP(B252,CONFIG_ASIGNATURAS!B:C,2,FALSE()))),"No","Sí"),"No")</f>
        <v>Sí</v>
      </c>
    </row>
    <row r="253" spans="1:22">
      <c r="A253" s="3" t="inlineStr">
        <is>
          <t xml:space="preserve">3EEM</t>
        </is>
      </c>
      <c r="B253" s="3" cm="1">
        <f t="array" ref="B253">IFERROR(INDEX(_xlfn._xlws.FILTER(CONFIG_ASIGNATURAS!$B$2:$B$61,(CONFIG_ASIGNATURAS!$G$2:$G$61="Sí")*ISNUMBER(SEARCH("3EEM",CONFIG_ASIGNATURAS!$C$2:$C$61))),60),"")</f>
      </c>
      <c r="C253" s="3">
        <f>IF(B253="","",IFERROR(IF(VLOOKUP(B253,CONFIG_ASIGNATURAS!$B$2:$F$61,5,FALSE())="Sí","Especialidad","Asignatura"),"Asignatura"))</f>
      </c>
      <c r="D253">
        <f>IF(V253="Sí",COUNTIFS(DATOS!G:G,CONFIG_METADATA!$B$4,DATOS!D:D,A253,DATOS!I:I,B253),"")</f>
        <v>0</v>
      </c>
      <c r="E253" s="14" t="str">
        <f>IF(V253="Sí",IFERROR(AVERAGEIFS(DATOS!K:K,DATOS!G:G,CONFIG_METADATA!$B$4,DATOS!D:D,A253,DATOS!I:I,B253),"—"),"")</f>
        <v>—</v>
      </c>
      <c r="F253" s="14" t="str" cm="1">
        <f t="array" ref="F253">IF(V253="Sí",IFERROR(_xlfn.STDEV.P(IF((nEVAL=CONFIG_METADATA!$B$4)*(nCURSO=A253)*(nASIG=B253),nNOTA)),"—"),"")</f>
        <v>—</v>
      </c>
      <c r="G253" t="str" cm="1">
        <f t="array" ref="G253">IF(V253="Sí",IFERROR(_xlfn.MODE.SNGL(IF((nEVAL=CONFIG_METADATA!$B$4)*(nCURSO=A253)*(nASIG=B253),nNOTA)),"—"),"")</f>
        <v>—</v>
      </c>
      <c r="H253" s="15" t="str">
        <f>IF(V253="Sí",IFERROR(COUNTIFS(DATOS!G:G,CONFIG_METADATA!$B$4,DATOS!D:D,A253,DATOS!I:I,B253,DATOS!L:L,"S")/COUNTIFS(DATOS!G:G,CONFIG_METADATA!$B$4,DATOS!D:D,A253,DATOS!I:I,B253),"—"),"")</f>
        <v>—</v>
      </c>
      <c r="I253" s="15" t="str">
        <f>IF(V253="Sí",IFERROR(COUNTIFS(DATOS!G:G,CONFIG_METADATA!$B$4,DATOS!D:D,A253,DATOS!I:I,B253,DATOS!L:L,"N")/COUNTIFS(DATOS!G:G,CONFIG_METADATA!$B$4,DATOS!D:D,A253,DATOS!I:I,B253),"—"),"")</f>
        <v>—</v>
      </c>
      <c r="J253" t="str" cm="1">
        <f t="array" ref="J253">IF(V253="Sí",IFERROR(_xlfn.MODE.SNGL(IF((nEVAL=CONFIG_METADATA!$B$4)*(nCURSO=A253)*(nASIG=B253)*(nAPTO="S"),nNOTA)),"—"),"")</f>
        <v>—</v>
      </c>
      <c r="K253" t="str" cm="1">
        <f t="array" ref="K253">IF(V253="Sí",IFERROR(_xlfn.MODE.SNGL(IF((nEVAL=CONFIG_METADATA!$B$4)*(nCURSO=A253)*(nASIG=B253)*(nAPTO="N"),nNOTA)),"—"),"")</f>
        <v>—</v>
      </c>
      <c r="L253">
        <f>IF(V253="Sí",COUNTIFS(DATOS!G:G,CONFIG_METADATA!$B$4,DATOS!D:D,A253,DATOS!I:I,B253,DATOS!K:K,1),"")</f>
        <v>0</v>
      </c>
      <c r="M253">
        <f>IF(V253="Sí",COUNTIFS(DATOS!G:G,CONFIG_METADATA!$B$4,DATOS!D:D,A253,DATOS!I:I,B253,DATOS!K:K,2),"")</f>
        <v>0</v>
      </c>
      <c r="N253">
        <f>IF(V253="Sí",COUNTIFS(DATOS!G:G,CONFIG_METADATA!$B$4,DATOS!D:D,A253,DATOS!I:I,B253,DATOS!K:K,3),"")</f>
        <v>0</v>
      </c>
      <c r="O253">
        <f>IF(V253="Sí",COUNTIFS(DATOS!G:G,CONFIG_METADATA!$B$4,DATOS!D:D,A253,DATOS!I:I,B253,DATOS!K:K,4),"")</f>
        <v>0</v>
      </c>
      <c r="P253">
        <f>IF(V253="Sí",COUNTIFS(DATOS!G:G,CONFIG_METADATA!$B$4,DATOS!D:D,A253,DATOS!I:I,B253,DATOS!K:K,5),"")</f>
        <v>0</v>
      </c>
      <c r="Q253">
        <f>IF(V253="Sí",COUNTIFS(DATOS!G:G,CONFIG_METADATA!$B$4,DATOS!D:D,A253,DATOS!I:I,B253,DATOS!K:K,6),"")</f>
        <v>0</v>
      </c>
      <c r="R253">
        <f>IF(V253="Sí",COUNTIFS(DATOS!G:G,CONFIG_METADATA!$B$4,DATOS!D:D,A253,DATOS!I:I,B253,DATOS!K:K,7),"")</f>
        <v>0</v>
      </c>
      <c r="S253">
        <f>IF(V253="Sí",COUNTIFS(DATOS!G:G,CONFIG_METADATA!$B$4,DATOS!D:D,A253,DATOS!I:I,B253,DATOS!K:K,8),"")</f>
        <v>0</v>
      </c>
      <c r="T253">
        <f>IF(V253="Sí",COUNTIFS(DATOS!G:G,CONFIG_METADATA!$B$4,DATOS!D:D,A253,DATOS!I:I,B253,DATOS!K:K,9),"")</f>
        <v>0</v>
      </c>
      <c r="U253">
        <f>IF(V253="Sí",COUNTIFS(DATOS!G:G,CONFIG_METADATA!$B$4,DATOS!D:D,A253,DATOS!I:I,B253,DATOS!K:K,10),"")</f>
        <v>0</v>
      </c>
      <c r="V253" t="str">
        <f>IFERROR(IF(ISERROR(FIND(A253,VLOOKUP(B253,CONFIG_ASIGNATURAS!B:C,2,FALSE()))),"No","Sí"),"No")</f>
        <v>Sí</v>
      </c>
    </row>
    <row r="254" spans="1:22">
      <c r="A254" s="3" t="inlineStr">
        <is>
          <t xml:space="preserve">4EEM</t>
        </is>
      </c>
      <c r="B254" s="3" t="inlineStr">
        <is>
          <t xml:space="preserve">Total</t>
        </is>
      </c>
      <c r="C254" s="3" t="inlineStr">
        <is>
          <t xml:space="preserve">Total</t>
        </is>
      </c>
      <c r="D254">
        <f>COUNTIFS(DATOS!G:G,CONFIG_METADATA!$B$4,DATOS!D:D,A254)</f>
        <v>0</v>
      </c>
      <c r="E254" s="14" t="str">
        <f>IFERROR(AVERAGEIFS(DATOS!K:K,DATOS!G:G,CONFIG_METADATA!$B$4,DATOS!D:D,A254),"—")</f>
        <v>—</v>
      </c>
      <c r="F254" s="14" t="str" cm="1">
        <f t="array" ref="F254">IFERROR(_xlfn.STDEV.P(IF((nEVAL=CONFIG_METADATA!$B$4)*(nCURSO=A254),nNOTA)),"—")</f>
        <v>—</v>
      </c>
      <c r="G254" t="str" cm="1">
        <f t="array" ref="G254">IFERROR(_xlfn.MODE.SNGL(IF((nEVAL=CONFIG_METADATA!$B$4)*(nCURSO=A254),nNOTA)),"—")</f>
        <v>—</v>
      </c>
      <c r="H254" s="15" t="str">
        <f>IFERROR(COUNTIFS(nEVAL,CONFIG_METADATA!$B$4,nCURSO,A254,nAPTO,"S")/COUNTIFS(nEVAL,CONFIG_METADATA!$B$4,nCURSO,A254),"—")</f>
        <v>—</v>
      </c>
      <c r="I254" s="15" t="str">
        <f>IFERROR(COUNTIFS(nEVAL,CONFIG_METADATA!$B$4,nCURSO,A254,nAPTO,"N")/COUNTIFS(nEVAL,CONFIG_METADATA!$B$4,nCURSO,A254),"—")</f>
        <v>—</v>
      </c>
      <c r="J254" t="str" cm="1">
        <f t="array" ref="J254">IFERROR(_xlfn.MODE.SNGL(IF((nEVAL=CONFIG_METADATA!$B$4)*(nCURSO=A254)*(nAPTO="S"),nNOTA)),"—")</f>
        <v>—</v>
      </c>
      <c r="K254" t="str" cm="1">
        <f t="array" ref="K254">IFERROR(_xlfn.MODE.SNGL(IF((nEVAL=CONFIG_METADATA!$B$4)*(nCURSO=A254)*(nAPTO="N"),nNOTA)),"—")</f>
        <v>—</v>
      </c>
      <c r="L254" cm="1">
        <f t="array" ref="L254">SUMPRODUCT((nEVAL=CONFIG_METADATA!$B$4)*(nCURSO=A254)*(nNOTA=1))</f>
        <v>0</v>
      </c>
      <c r="M254" cm="1">
        <f t="array" ref="M254">SUMPRODUCT((nEVAL=CONFIG_METADATA!$B$4)*(nCURSO=A254)*(nNOTA=2))</f>
        <v>0</v>
      </c>
      <c r="N254" cm="1">
        <f t="array" ref="N254">SUMPRODUCT((nEVAL=CONFIG_METADATA!$B$4)*(nCURSO=A254)*(nNOTA=3))</f>
        <v>0</v>
      </c>
      <c r="O254" cm="1">
        <f t="array" ref="O254">SUMPRODUCT((nEVAL=CONFIG_METADATA!$B$4)*(nCURSO=A254)*(nNOTA=4))</f>
        <v>0</v>
      </c>
      <c r="P254" cm="1">
        <f t="array" ref="P254">SUMPRODUCT((nEVAL=CONFIG_METADATA!$B$4)*(nCURSO=A254)*(nNOTA=5))</f>
        <v>0</v>
      </c>
      <c r="Q254" cm="1">
        <f t="array" ref="Q254">SUMPRODUCT((nEVAL=CONFIG_METADATA!$B$4)*(nCURSO=A254)*(nNOTA=6))</f>
        <v>0</v>
      </c>
      <c r="R254" cm="1">
        <f t="array" ref="R254">SUMPRODUCT((nEVAL=CONFIG_METADATA!$B$4)*(nCURSO=A254)*(nNOTA=7))</f>
        <v>0</v>
      </c>
      <c r="S254" cm="1">
        <f t="array" ref="S254">SUMPRODUCT((nEVAL=CONFIG_METADATA!$B$4)*(nCURSO=A254)*(nNOTA=8))</f>
        <v>0</v>
      </c>
      <c r="T254" cm="1">
        <f t="array" ref="T254">SUMPRODUCT((nEVAL=CONFIG_METADATA!$B$4)*(nCURSO=A254)*(nNOTA=9))</f>
        <v>0</v>
      </c>
      <c r="U254" cm="1">
        <f t="array" ref="U254">SUMPRODUCT((nEVAL=CONFIG_METADATA!$B$4)*(nCURSO=A254)*(nNOTA=10))</f>
        <v>0</v>
      </c>
    </row>
    <row r="255" spans="1:22">
      <c r="A255" s="3" t="inlineStr">
        <is>
          <t xml:space="preserve">4EEM</t>
        </is>
      </c>
      <c r="B255" s="3" t="inlineStr">
        <is>
          <t xml:space="preserve">Total Especialidad</t>
        </is>
      </c>
      <c r="C255" s="3" t="inlineStr">
        <is>
          <t xml:space="preserve">TotalEsp</t>
        </is>
      </c>
      <c r="D255">
        <f>SUMPRODUCT((nEVAL=CONFIG_METADATA!$B$4)*(nCURSO=A255)*(nCLASE_E="E")*1)</f>
      </c>
      <c r="E255" s="14" cm="1">
        <f t="array" ref="E255">IFERROR(AVERAGE(IF((nEVAL=CONFIG_METADATA!$B$4)*(nCURSO=A255)*(nCLASE_E="E"),nNOTA)),"—")</f>
      </c>
      <c r="F255" s="14" cm="1">
        <f t="array" ref="F255">IFERROR(_xlfn.STDEV.P(IF((nEVAL=CONFIG_METADATA!$B$4)*(nCURSO=A255)*(nCLASE_E="E"),nNOTA)),"—")</f>
      </c>
      <c r="G255" cm="1">
        <f t="array" ref="G255">IFERROR(_xlfn.MODE.SNGL(IF((nEVAL=CONFIG_METADATA!$B$4)*(nCURSO=A255)*(nCLASE_E="E"),nNOTA)),"—")</f>
      </c>
      <c r="H255" s="15">
        <f>IFERROR(SUMPRODUCT((nEVAL=CONFIG_METADATA!$B$4)*(nCURSO=A255)*(nCLASE_E="E")*(nAPTO="S"))/SUMPRODUCT((nEVAL=CONFIG_METADATA!$B$4)*(nCURSO=A255)*(nCLASE_E="E")*1),"—")</f>
      </c>
      <c r="I255" s="15">
        <f>IFERROR(SUMPRODUCT((nEVAL=CONFIG_METADATA!$B$4)*(nCURSO=A255)*(nCLASE_E="E")*(nAPTO="N"))/SUMPRODUCT((nEVAL=CONFIG_METADATA!$B$4)*(nCURSO=A255)*(nCLASE_E="E")*1),"—")</f>
      </c>
      <c r="J255" cm="1">
        <f t="array" ref="J255">IFERROR(_xlfn.MODE.SNGL(IF((nEVAL=CONFIG_METADATA!$B$4)*(nCURSO=A255)*(nCLASE_E="E")*(nAPTO="S"),nNOTA)),"—")</f>
      </c>
      <c r="K255" cm="1">
        <f t="array" ref="K255">IFERROR(_xlfn.MODE.SNGL(IF((nEVAL=CONFIG_METADATA!$B$4)*(nCURSO=A255)*(nCLASE_E="E")*(nAPTO="N"),nNOTA)),"—")</f>
      </c>
      <c r="L255">
        <f>SUMPRODUCT((nEVAL=CONFIG_METADATA!$B$4)*(nCURSO=A255)*(nCLASE_E="E")*(nNOTA=1))</f>
      </c>
      <c r="M255">
        <f>SUMPRODUCT((nEVAL=CONFIG_METADATA!$B$4)*(nCURSO=A255)*(nCLASE_E="E")*(nNOTA=2))</f>
      </c>
      <c r="N255">
        <f>SUMPRODUCT((nEVAL=CONFIG_METADATA!$B$4)*(nCURSO=A255)*(nCLASE_E="E")*(nNOTA=3))</f>
      </c>
      <c r="O255">
        <f>SUMPRODUCT((nEVAL=CONFIG_METADATA!$B$4)*(nCURSO=A255)*(nCLASE_E="E")*(nNOTA=4))</f>
      </c>
      <c r="P255">
        <f>SUMPRODUCT((nEVAL=CONFIG_METADATA!$B$4)*(nCURSO=A255)*(nCLASE_E="E")*(nNOTA=5))</f>
      </c>
      <c r="Q255">
        <f>SUMPRODUCT((nEVAL=CONFIG_METADATA!$B$4)*(nCURSO=A255)*(nCLASE_E="E")*(nNOTA=6))</f>
      </c>
      <c r="R255">
        <f>SUMPRODUCT((nEVAL=CONFIG_METADATA!$B$4)*(nCURSO=A255)*(nCLASE_E="E")*(nNOTA=7))</f>
      </c>
      <c r="S255">
        <f>SUMPRODUCT((nEVAL=CONFIG_METADATA!$B$4)*(nCURSO=A255)*(nCLASE_E="E")*(nNOTA=8))</f>
      </c>
      <c r="T255">
        <f>SUMPRODUCT((nEVAL=CONFIG_METADATA!$B$4)*(nCURSO=A255)*(nCLASE_E="E")*(nNOTA=9))</f>
      </c>
      <c r="U255">
        <f>SUMPRODUCT((nEVAL=CONFIG_METADATA!$B$4)*(nCURSO=A255)*(nCLASE_E="E")*(nNOTA=10))</f>
      </c>
    </row>
    <row r="256" spans="1:22">
      <c r="A256" s="3" t="inlineStr">
        <is>
          <t xml:space="preserve">4EEM</t>
        </is>
      </c>
      <c r="B256" s="3" t="inlineStr">
        <is>
          <t xml:space="preserve">Total no Especialidad</t>
        </is>
      </c>
      <c r="C256" s="3" t="inlineStr">
        <is>
          <t xml:space="preserve">TotalNoEsp</t>
        </is>
      </c>
      <c r="D256">
        <f>SUMPRODUCT((nEVAL=CONFIG_METADATA!$B$4)*(nCURSO=A256)*((nCLASE_E&lt;&gt;"")*(nCLASE_E&lt;&gt;"E"))*1)</f>
      </c>
      <c r="E256" s="14" cm="1">
        <f t="array" ref="E256">IFERROR(AVERAGE(IF((nEVAL=CONFIG_METADATA!$B$4)*(nCURSO=A256)*((nCLASE_E&lt;&gt;"")*(nCLASE_E&lt;&gt;"E")),nNOTA)),"—")</f>
      </c>
      <c r="F256" s="14" cm="1">
        <f t="array" ref="F256">IFERROR(_xlfn.STDEV.P(IF((nEVAL=CONFIG_METADATA!$B$4)*(nCURSO=A256)*((nCLASE_E&lt;&gt;"")*(nCLASE_E&lt;&gt;"E")),nNOTA)),"—")</f>
      </c>
      <c r="G256" cm="1">
        <f t="array" ref="G256">IFERROR(_xlfn.MODE.SNGL(IF((nEVAL=CONFIG_METADATA!$B$4)*(nCURSO=A256)*((nCLASE_E&lt;&gt;"")*(nCLASE_E&lt;&gt;"E")),nNOTA)),"—")</f>
      </c>
      <c r="H256" s="15">
        <f>IFERROR(SUMPRODUCT((nEVAL=CONFIG_METADATA!$B$4)*(nCURSO=A256)*((nCLASE_E&lt;&gt;"")*(nCLASE_E&lt;&gt;"E"))*(nAPTO="S"))/SUMPRODUCT((nEVAL=CONFIG_METADATA!$B$4)*(nCURSO=A256)*((nCLASE_E&lt;&gt;"")*(nCLASE_E&lt;&gt;"E"))*1),"—")</f>
      </c>
      <c r="I256" s="15">
        <f>IFERROR(SUMPRODUCT((nEVAL=CONFIG_METADATA!$B$4)*(nCURSO=A256)*((nCLASE_E&lt;&gt;"")*(nCLASE_E&lt;&gt;"E"))*(nAPTO="N"))/SUMPRODUCT((nEVAL=CONFIG_METADATA!$B$4)*(nCURSO=A256)*((nCLASE_E&lt;&gt;"")*(nCLASE_E&lt;&gt;"E"))*1),"—")</f>
      </c>
      <c r="J256" cm="1">
        <f t="array" ref="J256">IFERROR(_xlfn.MODE.SNGL(IF((nEVAL=CONFIG_METADATA!$B$4)*(nCURSO=A256)*((nCLASE_E&lt;&gt;"")*(nCLASE_E&lt;&gt;"E"))*(nAPTO="S"),nNOTA)),"—")</f>
      </c>
      <c r="K256" cm="1">
        <f t="array" ref="K256">IFERROR(_xlfn.MODE.SNGL(IF((nEVAL=CONFIG_METADATA!$B$4)*(nCURSO=A256)*((nCLASE_E&lt;&gt;"")*(nCLASE_E&lt;&gt;"E"))*(nAPTO="N"),nNOTA)),"—")</f>
      </c>
      <c r="L256">
        <f>SUMPRODUCT((nEVAL=CONFIG_METADATA!$B$4)*(nCURSO=A256)*((nCLASE_E&lt;&gt;"")*(nCLASE_E&lt;&gt;"E"))*(nNOTA=1))</f>
      </c>
      <c r="M256">
        <f>SUMPRODUCT((nEVAL=CONFIG_METADATA!$B$4)*(nCURSO=A256)*((nCLASE_E&lt;&gt;"")*(nCLASE_E&lt;&gt;"E"))*(nNOTA=2))</f>
      </c>
      <c r="N256">
        <f>SUMPRODUCT((nEVAL=CONFIG_METADATA!$B$4)*(nCURSO=A256)*((nCLASE_E&lt;&gt;"")*(nCLASE_E&lt;&gt;"E"))*(nNOTA=3))</f>
      </c>
      <c r="O256">
        <f>SUMPRODUCT((nEVAL=CONFIG_METADATA!$B$4)*(nCURSO=A256)*((nCLASE_E&lt;&gt;"")*(nCLASE_E&lt;&gt;"E"))*(nNOTA=4))</f>
      </c>
      <c r="P256">
        <f>SUMPRODUCT((nEVAL=CONFIG_METADATA!$B$4)*(nCURSO=A256)*((nCLASE_E&lt;&gt;"")*(nCLASE_E&lt;&gt;"E"))*(nNOTA=5))</f>
      </c>
      <c r="Q256">
        <f>SUMPRODUCT((nEVAL=CONFIG_METADATA!$B$4)*(nCURSO=A256)*((nCLASE_E&lt;&gt;"")*(nCLASE_E&lt;&gt;"E"))*(nNOTA=6))</f>
      </c>
      <c r="R256">
        <f>SUMPRODUCT((nEVAL=CONFIG_METADATA!$B$4)*(nCURSO=A256)*((nCLASE_E&lt;&gt;"")*(nCLASE_E&lt;&gt;"E"))*(nNOTA=7))</f>
      </c>
      <c r="S256">
        <f>SUMPRODUCT((nEVAL=CONFIG_METADATA!$B$4)*(nCURSO=A256)*((nCLASE_E&lt;&gt;"")*(nCLASE_E&lt;&gt;"E"))*(nNOTA=8))</f>
      </c>
      <c r="T256">
        <f>SUMPRODUCT((nEVAL=CONFIG_METADATA!$B$4)*(nCURSO=A256)*((nCLASE_E&lt;&gt;"")*(nCLASE_E&lt;&gt;"E"))*(nNOTA=9))</f>
      </c>
      <c r="U256">
        <f>SUMPRODUCT((nEVAL=CONFIG_METADATA!$B$4)*(nCURSO=A256)*((nCLASE_E&lt;&gt;"")*(nCLASE_E&lt;&gt;"E"))*(nNOTA=10))</f>
      </c>
    </row>
    <row r="257" spans="1:22">
      <c r="A257" s="3" t="inlineStr">
        <is>
          <t xml:space="preserve">4EEM</t>
        </is>
      </c>
      <c r="B257" s="3" cm="1">
        <f t="array" ref="B257">IFERROR(INDEX(_xlfn._xlws.FILTER(CONFIG_ASIGNATURAS!$B$2:$B$61,(CONFIG_ASIGNATURAS!$G$2:$G$61="Sí")*ISNUMBER(SEARCH("4EEM",CONFIG_ASIGNATURAS!$C$2:$C$61))),1),"")</f>
      </c>
      <c r="C257" s="3">
        <f>IF(B257="","",IFERROR(IF(VLOOKUP(B257,CONFIG_ASIGNATURAS!$B$2:$F$61,5,FALSE())="Sí","Especialidad","Asignatura"),"Asignatura"))</f>
      </c>
      <c r="D257">
        <f>IF(V257="Sí",COUNTIFS(DATOS!G:G,CONFIG_METADATA!$B$4,DATOS!D:D,A257,DATOS!I:I,B257),"")</f>
        <v>0</v>
      </c>
      <c r="E257" s="14" t="str">
        <f>IF(V257="Sí",IFERROR(AVERAGEIFS(DATOS!K:K,DATOS!G:G,CONFIG_METADATA!$B$4,DATOS!D:D,A257,DATOS!I:I,B257),"—"),"")</f>
        <v>—</v>
      </c>
      <c r="F257" s="14" t="str" cm="1">
        <f t="array" ref="F257">IF(V257="Sí",IFERROR(_xlfn.STDEV.P(IF((nEVAL=CONFIG_METADATA!$B$4)*(nCURSO=A257)*(nASIG=B257),nNOTA)),"—"),"")</f>
        <v>—</v>
      </c>
      <c r="G257" t="str" cm="1">
        <f t="array" ref="G257">IF(V257="Sí",IFERROR(_xlfn.MODE.SNGL(IF((nEVAL=CONFIG_METADATA!$B$4)*(nCURSO=A257)*(nASIG=B257),nNOTA)),"—"),"")</f>
        <v>—</v>
      </c>
      <c r="H257" s="15" t="str">
        <f>IF(V257="Sí",IFERROR(COUNTIFS(DATOS!G:G,CONFIG_METADATA!$B$4,DATOS!D:D,A257,DATOS!I:I,B257,DATOS!L:L,"S")/COUNTIFS(DATOS!G:G,CONFIG_METADATA!$B$4,DATOS!D:D,A257,DATOS!I:I,B257),"—"),"")</f>
        <v>—</v>
      </c>
      <c r="I257" s="15" t="str">
        <f>IF(V257="Sí",IFERROR(COUNTIFS(DATOS!G:G,CONFIG_METADATA!$B$4,DATOS!D:D,A257,DATOS!I:I,B257,DATOS!L:L,"N")/COUNTIFS(DATOS!G:G,CONFIG_METADATA!$B$4,DATOS!D:D,A257,DATOS!I:I,B257),"—"),"")</f>
        <v>—</v>
      </c>
      <c r="J257" t="str" cm="1">
        <f t="array" ref="J257">IF(V257="Sí",IFERROR(_xlfn.MODE.SNGL(IF((nEVAL=CONFIG_METADATA!$B$4)*(nCURSO=A257)*(nASIG=B257)*(nAPTO="S"),nNOTA)),"—"),"")</f>
        <v>—</v>
      </c>
      <c r="K257" t="str" cm="1">
        <f t="array" ref="K257">IF(V257="Sí",IFERROR(_xlfn.MODE.SNGL(IF((nEVAL=CONFIG_METADATA!$B$4)*(nCURSO=A257)*(nASIG=B257)*(nAPTO="N"),nNOTA)),"—"),"")</f>
        <v>—</v>
      </c>
      <c r="L257">
        <f>IF(V257="Sí",COUNTIFS(DATOS!G:G,CONFIG_METADATA!$B$4,DATOS!D:D,A257,DATOS!I:I,B257,DATOS!K:K,1),"")</f>
        <v>0</v>
      </c>
      <c r="M257">
        <f>IF(V257="Sí",COUNTIFS(DATOS!G:G,CONFIG_METADATA!$B$4,DATOS!D:D,A257,DATOS!I:I,B257,DATOS!K:K,2),"")</f>
        <v>0</v>
      </c>
      <c r="N257">
        <f>IF(V257="Sí",COUNTIFS(DATOS!G:G,CONFIG_METADATA!$B$4,DATOS!D:D,A257,DATOS!I:I,B257,DATOS!K:K,3),"")</f>
        <v>0</v>
      </c>
      <c r="O257">
        <f>IF(V257="Sí",COUNTIFS(DATOS!G:G,CONFIG_METADATA!$B$4,DATOS!D:D,A257,DATOS!I:I,B257,DATOS!K:K,4),"")</f>
        <v>0</v>
      </c>
      <c r="P257">
        <f>IF(V257="Sí",COUNTIFS(DATOS!G:G,CONFIG_METADATA!$B$4,DATOS!D:D,A257,DATOS!I:I,B257,DATOS!K:K,5),"")</f>
        <v>0</v>
      </c>
      <c r="Q257">
        <f>IF(V257="Sí",COUNTIFS(DATOS!G:G,CONFIG_METADATA!$B$4,DATOS!D:D,A257,DATOS!I:I,B257,DATOS!K:K,6),"")</f>
        <v>0</v>
      </c>
      <c r="R257">
        <f>IF(V257="Sí",COUNTIFS(DATOS!G:G,CONFIG_METADATA!$B$4,DATOS!D:D,A257,DATOS!I:I,B257,DATOS!K:K,7),"")</f>
        <v>0</v>
      </c>
      <c r="S257">
        <f>IF(V257="Sí",COUNTIFS(DATOS!G:G,CONFIG_METADATA!$B$4,DATOS!D:D,A257,DATOS!I:I,B257,DATOS!K:K,8),"")</f>
        <v>0</v>
      </c>
      <c r="T257">
        <f>IF(V257="Sí",COUNTIFS(DATOS!G:G,CONFIG_METADATA!$B$4,DATOS!D:D,A257,DATOS!I:I,B257,DATOS!K:K,9),"")</f>
        <v>0</v>
      </c>
      <c r="U257">
        <f>IF(V257="Sí",COUNTIFS(DATOS!G:G,CONFIG_METADATA!$B$4,DATOS!D:D,A257,DATOS!I:I,B257,DATOS!K:K,10),"")</f>
        <v>0</v>
      </c>
      <c r="V257" t="str">
        <f>IFERROR(IF(ISERROR(FIND(A257,VLOOKUP(B257,CONFIG_ASIGNATURAS!B:C,2,FALSE()))),"No","Sí"),"No")</f>
        <v>Sí</v>
      </c>
    </row>
    <row r="258" spans="1:22">
      <c r="A258" s="3" t="inlineStr">
        <is>
          <t xml:space="preserve">4EEM</t>
        </is>
      </c>
      <c r="B258" s="3" cm="1">
        <f t="array" ref="B258">IFERROR(INDEX(_xlfn._xlws.FILTER(CONFIG_ASIGNATURAS!$B$2:$B$61,(CONFIG_ASIGNATURAS!$G$2:$G$61="Sí")*ISNUMBER(SEARCH("4EEM",CONFIG_ASIGNATURAS!$C$2:$C$61))),2),"")</f>
      </c>
      <c r="C258" s="3">
        <f>IF(B258="","",IFERROR(IF(VLOOKUP(B258,CONFIG_ASIGNATURAS!$B$2:$F$61,5,FALSE())="Sí","Especialidad","Asignatura"),"Asignatura"))</f>
      </c>
      <c r="D258">
        <f>IF(V258="Sí",COUNTIFS(DATOS!G:G,CONFIG_METADATA!$B$4,DATOS!D:D,A258,DATOS!I:I,B258),"")</f>
        <v>0</v>
      </c>
      <c r="E258" s="14" t="str">
        <f>IF(V258="Sí",IFERROR(AVERAGEIFS(DATOS!K:K,DATOS!G:G,CONFIG_METADATA!$B$4,DATOS!D:D,A258,DATOS!I:I,B258),"—"),"")</f>
        <v>—</v>
      </c>
      <c r="F258" s="14" t="str" cm="1">
        <f t="array" ref="F258">IF(V258="Sí",IFERROR(_xlfn.STDEV.P(IF((nEVAL=CONFIG_METADATA!$B$4)*(nCURSO=A258)*(nASIG=B258),nNOTA)),"—"),"")</f>
        <v>—</v>
      </c>
      <c r="G258" t="str" cm="1">
        <f t="array" ref="G258">IF(V258="Sí",IFERROR(_xlfn.MODE.SNGL(IF((nEVAL=CONFIG_METADATA!$B$4)*(nCURSO=A258)*(nASIG=B258),nNOTA)),"—"),"")</f>
        <v>—</v>
      </c>
      <c r="H258" s="15" t="str">
        <f>IF(V258="Sí",IFERROR(COUNTIFS(DATOS!G:G,CONFIG_METADATA!$B$4,DATOS!D:D,A258,DATOS!I:I,B258,DATOS!L:L,"S")/COUNTIFS(DATOS!G:G,CONFIG_METADATA!$B$4,DATOS!D:D,A258,DATOS!I:I,B258),"—"),"")</f>
        <v>—</v>
      </c>
      <c r="I258" s="15" t="str">
        <f>IF(V258="Sí",IFERROR(COUNTIFS(DATOS!G:G,CONFIG_METADATA!$B$4,DATOS!D:D,A258,DATOS!I:I,B258,DATOS!L:L,"N")/COUNTIFS(DATOS!G:G,CONFIG_METADATA!$B$4,DATOS!D:D,A258,DATOS!I:I,B258),"—"),"")</f>
        <v>—</v>
      </c>
      <c r="J258" t="str" cm="1">
        <f t="array" ref="J258">IF(V258="Sí",IFERROR(_xlfn.MODE.SNGL(IF((nEVAL=CONFIG_METADATA!$B$4)*(nCURSO=A258)*(nASIG=B258)*(nAPTO="S"),nNOTA)),"—"),"")</f>
        <v>—</v>
      </c>
      <c r="K258" t="str" cm="1">
        <f t="array" ref="K258">IF(V258="Sí",IFERROR(_xlfn.MODE.SNGL(IF((nEVAL=CONFIG_METADATA!$B$4)*(nCURSO=A258)*(nASIG=B258)*(nAPTO="N"),nNOTA)),"—"),"")</f>
        <v>—</v>
      </c>
      <c r="L258">
        <f>IF(V258="Sí",COUNTIFS(DATOS!G:G,CONFIG_METADATA!$B$4,DATOS!D:D,A258,DATOS!I:I,B258,DATOS!K:K,1),"")</f>
        <v>0</v>
      </c>
      <c r="M258">
        <f>IF(V258="Sí",COUNTIFS(DATOS!G:G,CONFIG_METADATA!$B$4,DATOS!D:D,A258,DATOS!I:I,B258,DATOS!K:K,2),"")</f>
        <v>0</v>
      </c>
      <c r="N258">
        <f>IF(V258="Sí",COUNTIFS(DATOS!G:G,CONFIG_METADATA!$B$4,DATOS!D:D,A258,DATOS!I:I,B258,DATOS!K:K,3),"")</f>
        <v>0</v>
      </c>
      <c r="O258">
        <f>IF(V258="Sí",COUNTIFS(DATOS!G:G,CONFIG_METADATA!$B$4,DATOS!D:D,A258,DATOS!I:I,B258,DATOS!K:K,4),"")</f>
        <v>0</v>
      </c>
      <c r="P258">
        <f>IF(V258="Sí",COUNTIFS(DATOS!G:G,CONFIG_METADATA!$B$4,DATOS!D:D,A258,DATOS!I:I,B258,DATOS!K:K,5),"")</f>
        <v>0</v>
      </c>
      <c r="Q258">
        <f>IF(V258="Sí",COUNTIFS(DATOS!G:G,CONFIG_METADATA!$B$4,DATOS!D:D,A258,DATOS!I:I,B258,DATOS!K:K,6),"")</f>
        <v>0</v>
      </c>
      <c r="R258">
        <f>IF(V258="Sí",COUNTIFS(DATOS!G:G,CONFIG_METADATA!$B$4,DATOS!D:D,A258,DATOS!I:I,B258,DATOS!K:K,7),"")</f>
        <v>0</v>
      </c>
      <c r="S258">
        <f>IF(V258="Sí",COUNTIFS(DATOS!G:G,CONFIG_METADATA!$B$4,DATOS!D:D,A258,DATOS!I:I,B258,DATOS!K:K,8),"")</f>
        <v>0</v>
      </c>
      <c r="T258">
        <f>IF(V258="Sí",COUNTIFS(DATOS!G:G,CONFIG_METADATA!$B$4,DATOS!D:D,A258,DATOS!I:I,B258,DATOS!K:K,9),"")</f>
        <v>0</v>
      </c>
      <c r="U258">
        <f>IF(V258="Sí",COUNTIFS(DATOS!G:G,CONFIG_METADATA!$B$4,DATOS!D:D,A258,DATOS!I:I,B258,DATOS!K:K,10),"")</f>
        <v>0</v>
      </c>
      <c r="V258" t="str">
        <f>IFERROR(IF(ISERROR(FIND(A258,VLOOKUP(B258,CONFIG_ASIGNATURAS!B:C,2,FALSE()))),"No","Sí"),"No")</f>
        <v>Sí</v>
      </c>
    </row>
    <row r="259" spans="1:22">
      <c r="A259" s="3" t="inlineStr">
        <is>
          <t xml:space="preserve">4EEM</t>
        </is>
      </c>
      <c r="B259" s="3" cm="1">
        <f t="array" ref="B259">IFERROR(INDEX(_xlfn._xlws.FILTER(CONFIG_ASIGNATURAS!$B$2:$B$61,(CONFIG_ASIGNATURAS!$G$2:$G$61="Sí")*ISNUMBER(SEARCH("4EEM",CONFIG_ASIGNATURAS!$C$2:$C$61))),3),"")</f>
      </c>
      <c r="C259" s="3">
        <f>IF(B259="","",IFERROR(IF(VLOOKUP(B259,CONFIG_ASIGNATURAS!$B$2:$F$61,5,FALSE())="Sí","Especialidad","Asignatura"),"Asignatura"))</f>
      </c>
      <c r="D259">
        <f>IF(V259="Sí",COUNTIFS(DATOS!G:G,CONFIG_METADATA!$B$4,DATOS!D:D,A259,DATOS!I:I,B259),"")</f>
        <v>0</v>
      </c>
      <c r="E259" s="14" t="str">
        <f>IF(V259="Sí",IFERROR(AVERAGEIFS(DATOS!K:K,DATOS!G:G,CONFIG_METADATA!$B$4,DATOS!D:D,A259,DATOS!I:I,B259),"—"),"")</f>
        <v>—</v>
      </c>
      <c r="F259" s="14" t="str" cm="1">
        <f t="array" ref="F259">IF(V259="Sí",IFERROR(_xlfn.STDEV.P(IF((nEVAL=CONFIG_METADATA!$B$4)*(nCURSO=A259)*(nASIG=B259),nNOTA)),"—"),"")</f>
        <v>—</v>
      </c>
      <c r="G259" t="str" cm="1">
        <f t="array" ref="G259">IF(V259="Sí",IFERROR(_xlfn.MODE.SNGL(IF((nEVAL=CONFIG_METADATA!$B$4)*(nCURSO=A259)*(nASIG=B259),nNOTA)),"—"),"")</f>
        <v>—</v>
      </c>
      <c r="H259" s="15" t="str">
        <f>IF(V259="Sí",IFERROR(COUNTIFS(DATOS!G:G,CONFIG_METADATA!$B$4,DATOS!D:D,A259,DATOS!I:I,B259,DATOS!L:L,"S")/COUNTIFS(DATOS!G:G,CONFIG_METADATA!$B$4,DATOS!D:D,A259,DATOS!I:I,B259),"—"),"")</f>
        <v>—</v>
      </c>
      <c r="I259" s="15" t="str">
        <f>IF(V259="Sí",IFERROR(COUNTIFS(DATOS!G:G,CONFIG_METADATA!$B$4,DATOS!D:D,A259,DATOS!I:I,B259,DATOS!L:L,"N")/COUNTIFS(DATOS!G:G,CONFIG_METADATA!$B$4,DATOS!D:D,A259,DATOS!I:I,B259),"—"),"")</f>
        <v>—</v>
      </c>
      <c r="J259" t="str" cm="1">
        <f t="array" ref="J259">IF(V259="Sí",IFERROR(_xlfn.MODE.SNGL(IF((nEVAL=CONFIG_METADATA!$B$4)*(nCURSO=A259)*(nASIG=B259)*(nAPTO="S"),nNOTA)),"—"),"")</f>
        <v>—</v>
      </c>
      <c r="K259" t="str" cm="1">
        <f t="array" ref="K259">IF(V259="Sí",IFERROR(_xlfn.MODE.SNGL(IF((nEVAL=CONFIG_METADATA!$B$4)*(nCURSO=A259)*(nASIG=B259)*(nAPTO="N"),nNOTA)),"—"),"")</f>
        <v>—</v>
      </c>
      <c r="L259">
        <f>IF(V259="Sí",COUNTIFS(DATOS!G:G,CONFIG_METADATA!$B$4,DATOS!D:D,A259,DATOS!I:I,B259,DATOS!K:K,1),"")</f>
        <v>0</v>
      </c>
      <c r="M259">
        <f>IF(V259="Sí",COUNTIFS(DATOS!G:G,CONFIG_METADATA!$B$4,DATOS!D:D,A259,DATOS!I:I,B259,DATOS!K:K,2),"")</f>
        <v>0</v>
      </c>
      <c r="N259">
        <f>IF(V259="Sí",COUNTIFS(DATOS!G:G,CONFIG_METADATA!$B$4,DATOS!D:D,A259,DATOS!I:I,B259,DATOS!K:K,3),"")</f>
        <v>0</v>
      </c>
      <c r="O259">
        <f>IF(V259="Sí",COUNTIFS(DATOS!G:G,CONFIG_METADATA!$B$4,DATOS!D:D,A259,DATOS!I:I,B259,DATOS!K:K,4),"")</f>
        <v>0</v>
      </c>
      <c r="P259">
        <f>IF(V259="Sí",COUNTIFS(DATOS!G:G,CONFIG_METADATA!$B$4,DATOS!D:D,A259,DATOS!I:I,B259,DATOS!K:K,5),"")</f>
        <v>0</v>
      </c>
      <c r="Q259">
        <f>IF(V259="Sí",COUNTIFS(DATOS!G:G,CONFIG_METADATA!$B$4,DATOS!D:D,A259,DATOS!I:I,B259,DATOS!K:K,6),"")</f>
        <v>0</v>
      </c>
      <c r="R259">
        <f>IF(V259="Sí",COUNTIFS(DATOS!G:G,CONFIG_METADATA!$B$4,DATOS!D:D,A259,DATOS!I:I,B259,DATOS!K:K,7),"")</f>
        <v>0</v>
      </c>
      <c r="S259">
        <f>IF(V259="Sí",COUNTIFS(DATOS!G:G,CONFIG_METADATA!$B$4,DATOS!D:D,A259,DATOS!I:I,B259,DATOS!K:K,8),"")</f>
        <v>0</v>
      </c>
      <c r="T259">
        <f>IF(V259="Sí",COUNTIFS(DATOS!G:G,CONFIG_METADATA!$B$4,DATOS!D:D,A259,DATOS!I:I,B259,DATOS!K:K,9),"")</f>
        <v>0</v>
      </c>
      <c r="U259">
        <f>IF(V259="Sí",COUNTIFS(DATOS!G:G,CONFIG_METADATA!$B$4,DATOS!D:D,A259,DATOS!I:I,B259,DATOS!K:K,10),"")</f>
        <v>0</v>
      </c>
      <c r="V259" t="str">
        <f>IFERROR(IF(ISERROR(FIND(A259,VLOOKUP(B259,CONFIG_ASIGNATURAS!B:C,2,FALSE()))),"No","Sí"),"No")</f>
        <v>Sí</v>
      </c>
    </row>
    <row r="260" spans="1:22">
      <c r="A260" s="3" t="inlineStr">
        <is>
          <t xml:space="preserve">4EEM</t>
        </is>
      </c>
      <c r="B260" s="3" cm="1">
        <f t="array" ref="B260">IFERROR(INDEX(_xlfn._xlws.FILTER(CONFIG_ASIGNATURAS!$B$2:$B$61,(CONFIG_ASIGNATURAS!$G$2:$G$61="Sí")*ISNUMBER(SEARCH("4EEM",CONFIG_ASIGNATURAS!$C$2:$C$61))),4),"")</f>
      </c>
      <c r="C260" s="3">
        <f>IF(B260="","",IFERROR(IF(VLOOKUP(B260,CONFIG_ASIGNATURAS!$B$2:$F$61,5,FALSE())="Sí","Especialidad","Asignatura"),"Asignatura"))</f>
      </c>
      <c r="D260">
        <f>IF(V260="Sí",COUNTIFS(DATOS!G:G,CONFIG_METADATA!$B$4,DATOS!D:D,A260,DATOS!I:I,B260),"")</f>
        <v>0</v>
      </c>
      <c r="E260" s="14" t="str">
        <f>IF(V260="Sí",IFERROR(AVERAGEIFS(DATOS!K:K,DATOS!G:G,CONFIG_METADATA!$B$4,DATOS!D:D,A260,DATOS!I:I,B260),"—"),"")</f>
        <v>—</v>
      </c>
      <c r="F260" s="14" t="str" cm="1">
        <f t="array" ref="F260">IF(V260="Sí",IFERROR(_xlfn.STDEV.P(IF((nEVAL=CONFIG_METADATA!$B$4)*(nCURSO=A260)*(nASIG=B260),nNOTA)),"—"),"")</f>
        <v>—</v>
      </c>
      <c r="G260" t="str" cm="1">
        <f t="array" ref="G260">IF(V260="Sí",IFERROR(_xlfn.MODE.SNGL(IF((nEVAL=CONFIG_METADATA!$B$4)*(nCURSO=A260)*(nASIG=B260),nNOTA)),"—"),"")</f>
        <v>—</v>
      </c>
      <c r="H260" s="15" t="str">
        <f>IF(V260="Sí",IFERROR(COUNTIFS(DATOS!G:G,CONFIG_METADATA!$B$4,DATOS!D:D,A260,DATOS!I:I,B260,DATOS!L:L,"S")/COUNTIFS(DATOS!G:G,CONFIG_METADATA!$B$4,DATOS!D:D,A260,DATOS!I:I,B260),"—"),"")</f>
        <v>—</v>
      </c>
      <c r="I260" s="15" t="str">
        <f>IF(V260="Sí",IFERROR(COUNTIFS(DATOS!G:G,CONFIG_METADATA!$B$4,DATOS!D:D,A260,DATOS!I:I,B260,DATOS!L:L,"N")/COUNTIFS(DATOS!G:G,CONFIG_METADATA!$B$4,DATOS!D:D,A260,DATOS!I:I,B260),"—"),"")</f>
        <v>—</v>
      </c>
      <c r="J260" t="str" cm="1">
        <f t="array" ref="J260">IF(V260="Sí",IFERROR(_xlfn.MODE.SNGL(IF((nEVAL=CONFIG_METADATA!$B$4)*(nCURSO=A260)*(nASIG=B260)*(nAPTO="S"),nNOTA)),"—"),"")</f>
        <v>—</v>
      </c>
      <c r="K260" t="str" cm="1">
        <f t="array" ref="K260">IF(V260="Sí",IFERROR(_xlfn.MODE.SNGL(IF((nEVAL=CONFIG_METADATA!$B$4)*(nCURSO=A260)*(nASIG=B260)*(nAPTO="N"),nNOTA)),"—"),"")</f>
        <v>—</v>
      </c>
      <c r="L260">
        <f>IF(V260="Sí",COUNTIFS(DATOS!G:G,CONFIG_METADATA!$B$4,DATOS!D:D,A260,DATOS!I:I,B260,DATOS!K:K,1),"")</f>
        <v>0</v>
      </c>
      <c r="M260">
        <f>IF(V260="Sí",COUNTIFS(DATOS!G:G,CONFIG_METADATA!$B$4,DATOS!D:D,A260,DATOS!I:I,B260,DATOS!K:K,2),"")</f>
        <v>0</v>
      </c>
      <c r="N260">
        <f>IF(V260="Sí",COUNTIFS(DATOS!G:G,CONFIG_METADATA!$B$4,DATOS!D:D,A260,DATOS!I:I,B260,DATOS!K:K,3),"")</f>
        <v>0</v>
      </c>
      <c r="O260">
        <f>IF(V260="Sí",COUNTIFS(DATOS!G:G,CONFIG_METADATA!$B$4,DATOS!D:D,A260,DATOS!I:I,B260,DATOS!K:K,4),"")</f>
        <v>0</v>
      </c>
      <c r="P260">
        <f>IF(V260="Sí",COUNTIFS(DATOS!G:G,CONFIG_METADATA!$B$4,DATOS!D:D,A260,DATOS!I:I,B260,DATOS!K:K,5),"")</f>
        <v>0</v>
      </c>
      <c r="Q260">
        <f>IF(V260="Sí",COUNTIFS(DATOS!G:G,CONFIG_METADATA!$B$4,DATOS!D:D,A260,DATOS!I:I,B260,DATOS!K:K,6),"")</f>
        <v>0</v>
      </c>
      <c r="R260">
        <f>IF(V260="Sí",COUNTIFS(DATOS!G:G,CONFIG_METADATA!$B$4,DATOS!D:D,A260,DATOS!I:I,B260,DATOS!K:K,7),"")</f>
        <v>0</v>
      </c>
      <c r="S260">
        <f>IF(V260="Sí",COUNTIFS(DATOS!G:G,CONFIG_METADATA!$B$4,DATOS!D:D,A260,DATOS!I:I,B260,DATOS!K:K,8),"")</f>
        <v>0</v>
      </c>
      <c r="T260">
        <f>IF(V260="Sí",COUNTIFS(DATOS!G:G,CONFIG_METADATA!$B$4,DATOS!D:D,A260,DATOS!I:I,B260,DATOS!K:K,9),"")</f>
        <v>0</v>
      </c>
      <c r="U260">
        <f>IF(V260="Sí",COUNTIFS(DATOS!G:G,CONFIG_METADATA!$B$4,DATOS!D:D,A260,DATOS!I:I,B260,DATOS!K:K,10),"")</f>
        <v>0</v>
      </c>
      <c r="V260" t="str">
        <f>IFERROR(IF(ISERROR(FIND(A260,VLOOKUP(B260,CONFIG_ASIGNATURAS!B:C,2,FALSE()))),"No","Sí"),"No")</f>
        <v>Sí</v>
      </c>
    </row>
    <row r="261" spans="1:22">
      <c r="A261" s="3" t="inlineStr">
        <is>
          <t xml:space="preserve">4EEM</t>
        </is>
      </c>
      <c r="B261" s="3" cm="1">
        <f t="array" ref="B261">IFERROR(INDEX(_xlfn._xlws.FILTER(CONFIG_ASIGNATURAS!$B$2:$B$61,(CONFIG_ASIGNATURAS!$G$2:$G$61="Sí")*ISNUMBER(SEARCH("4EEM",CONFIG_ASIGNATURAS!$C$2:$C$61))),5),"")</f>
      </c>
      <c r="C261" s="3">
        <f>IF(B261="","",IFERROR(IF(VLOOKUP(B261,CONFIG_ASIGNATURAS!$B$2:$F$61,5,FALSE())="Sí","Especialidad","Asignatura"),"Asignatura"))</f>
      </c>
      <c r="D261">
        <f>IF(V261="Sí",COUNTIFS(DATOS!G:G,CONFIG_METADATA!$B$4,DATOS!D:D,A261,DATOS!I:I,B261),"")</f>
        <v>0</v>
      </c>
      <c r="E261" s="14" t="str">
        <f>IF(V261="Sí",IFERROR(AVERAGEIFS(DATOS!K:K,DATOS!G:G,CONFIG_METADATA!$B$4,DATOS!D:D,A261,DATOS!I:I,B261),"—"),"")</f>
        <v>—</v>
      </c>
      <c r="F261" s="14" t="str" cm="1">
        <f t="array" ref="F261">IF(V261="Sí",IFERROR(_xlfn.STDEV.P(IF((nEVAL=CONFIG_METADATA!$B$4)*(nCURSO=A261)*(nASIG=B261),nNOTA)),"—"),"")</f>
        <v>—</v>
      </c>
      <c r="G261" t="str" cm="1">
        <f t="array" ref="G261">IF(V261="Sí",IFERROR(_xlfn.MODE.SNGL(IF((nEVAL=CONFIG_METADATA!$B$4)*(nCURSO=A261)*(nASIG=B261),nNOTA)),"—"),"")</f>
        <v>—</v>
      </c>
      <c r="H261" s="15" t="str">
        <f>IF(V261="Sí",IFERROR(COUNTIFS(DATOS!G:G,CONFIG_METADATA!$B$4,DATOS!D:D,A261,DATOS!I:I,B261,DATOS!L:L,"S")/COUNTIFS(DATOS!G:G,CONFIG_METADATA!$B$4,DATOS!D:D,A261,DATOS!I:I,B261),"—"),"")</f>
        <v>—</v>
      </c>
      <c r="I261" s="15" t="str">
        <f>IF(V261="Sí",IFERROR(COUNTIFS(DATOS!G:G,CONFIG_METADATA!$B$4,DATOS!D:D,A261,DATOS!I:I,B261,DATOS!L:L,"N")/COUNTIFS(DATOS!G:G,CONFIG_METADATA!$B$4,DATOS!D:D,A261,DATOS!I:I,B261),"—"),"")</f>
        <v>—</v>
      </c>
      <c r="J261" t="str" cm="1">
        <f t="array" ref="J261">IF(V261="Sí",IFERROR(_xlfn.MODE.SNGL(IF((nEVAL=CONFIG_METADATA!$B$4)*(nCURSO=A261)*(nASIG=B261)*(nAPTO="S"),nNOTA)),"—"),"")</f>
        <v>—</v>
      </c>
      <c r="K261" t="str" cm="1">
        <f t="array" ref="K261">IF(V261="Sí",IFERROR(_xlfn.MODE.SNGL(IF((nEVAL=CONFIG_METADATA!$B$4)*(nCURSO=A261)*(nASIG=B261)*(nAPTO="N"),nNOTA)),"—"),"")</f>
        <v>—</v>
      </c>
      <c r="L261">
        <f>IF(V261="Sí",COUNTIFS(DATOS!G:G,CONFIG_METADATA!$B$4,DATOS!D:D,A261,DATOS!I:I,B261,DATOS!K:K,1),"")</f>
        <v>0</v>
      </c>
      <c r="M261">
        <f>IF(V261="Sí",COUNTIFS(DATOS!G:G,CONFIG_METADATA!$B$4,DATOS!D:D,A261,DATOS!I:I,B261,DATOS!K:K,2),"")</f>
        <v>0</v>
      </c>
      <c r="N261">
        <f>IF(V261="Sí",COUNTIFS(DATOS!G:G,CONFIG_METADATA!$B$4,DATOS!D:D,A261,DATOS!I:I,B261,DATOS!K:K,3),"")</f>
        <v>0</v>
      </c>
      <c r="O261">
        <f>IF(V261="Sí",COUNTIFS(DATOS!G:G,CONFIG_METADATA!$B$4,DATOS!D:D,A261,DATOS!I:I,B261,DATOS!K:K,4),"")</f>
        <v>0</v>
      </c>
      <c r="P261">
        <f>IF(V261="Sí",COUNTIFS(DATOS!G:G,CONFIG_METADATA!$B$4,DATOS!D:D,A261,DATOS!I:I,B261,DATOS!K:K,5),"")</f>
        <v>0</v>
      </c>
      <c r="Q261">
        <f>IF(V261="Sí",COUNTIFS(DATOS!G:G,CONFIG_METADATA!$B$4,DATOS!D:D,A261,DATOS!I:I,B261,DATOS!K:K,6),"")</f>
        <v>0</v>
      </c>
      <c r="R261">
        <f>IF(V261="Sí",COUNTIFS(DATOS!G:G,CONFIG_METADATA!$B$4,DATOS!D:D,A261,DATOS!I:I,B261,DATOS!K:K,7),"")</f>
        <v>0</v>
      </c>
      <c r="S261">
        <f>IF(V261="Sí",COUNTIFS(DATOS!G:G,CONFIG_METADATA!$B$4,DATOS!D:D,A261,DATOS!I:I,B261,DATOS!K:K,8),"")</f>
        <v>0</v>
      </c>
      <c r="T261">
        <f>IF(V261="Sí",COUNTIFS(DATOS!G:G,CONFIG_METADATA!$B$4,DATOS!D:D,A261,DATOS!I:I,B261,DATOS!K:K,9),"")</f>
        <v>0</v>
      </c>
      <c r="U261">
        <f>IF(V261="Sí",COUNTIFS(DATOS!G:G,CONFIG_METADATA!$B$4,DATOS!D:D,A261,DATOS!I:I,B261,DATOS!K:K,10),"")</f>
        <v>0</v>
      </c>
      <c r="V261" t="str">
        <f>IFERROR(IF(ISERROR(FIND(A261,VLOOKUP(B261,CONFIG_ASIGNATURAS!B:C,2,FALSE()))),"No","Sí"),"No")</f>
        <v>Sí</v>
      </c>
    </row>
    <row r="262" spans="1:22">
      <c r="A262" s="3" t="inlineStr">
        <is>
          <t xml:space="preserve">4EEM</t>
        </is>
      </c>
      <c r="B262" s="3" cm="1">
        <f t="array" ref="B262">IFERROR(INDEX(_xlfn._xlws.FILTER(CONFIG_ASIGNATURAS!$B$2:$B$61,(CONFIG_ASIGNATURAS!$G$2:$G$61="Sí")*ISNUMBER(SEARCH("4EEM",CONFIG_ASIGNATURAS!$C$2:$C$61))),6),"")</f>
      </c>
      <c r="C262" s="3">
        <f>IF(B262="","",IFERROR(IF(VLOOKUP(B262,CONFIG_ASIGNATURAS!$B$2:$F$61,5,FALSE())="Sí","Especialidad","Asignatura"),"Asignatura"))</f>
      </c>
      <c r="D262">
        <f>IF(V262="Sí",COUNTIFS(DATOS!G:G,CONFIG_METADATA!$B$4,DATOS!D:D,A262,DATOS!I:I,B262),"")</f>
        <v>0</v>
      </c>
      <c r="E262" s="14" t="str">
        <f>IF(V262="Sí",IFERROR(AVERAGEIFS(DATOS!K:K,DATOS!G:G,CONFIG_METADATA!$B$4,DATOS!D:D,A262,DATOS!I:I,B262),"—"),"")</f>
        <v>—</v>
      </c>
      <c r="F262" s="14" t="str" cm="1">
        <f t="array" ref="F262">IF(V262="Sí",IFERROR(_xlfn.STDEV.P(IF((nEVAL=CONFIG_METADATA!$B$4)*(nCURSO=A262)*(nASIG=B262),nNOTA)),"—"),"")</f>
        <v>—</v>
      </c>
      <c r="G262" t="str" cm="1">
        <f t="array" ref="G262">IF(V262="Sí",IFERROR(_xlfn.MODE.SNGL(IF((nEVAL=CONFIG_METADATA!$B$4)*(nCURSO=A262)*(nASIG=B262),nNOTA)),"—"),"")</f>
        <v>—</v>
      </c>
      <c r="H262" s="15" t="str">
        <f>IF(V262="Sí",IFERROR(COUNTIFS(DATOS!G:G,CONFIG_METADATA!$B$4,DATOS!D:D,A262,DATOS!I:I,B262,DATOS!L:L,"S")/COUNTIFS(DATOS!G:G,CONFIG_METADATA!$B$4,DATOS!D:D,A262,DATOS!I:I,B262),"—"),"")</f>
        <v>—</v>
      </c>
      <c r="I262" s="15" t="str">
        <f>IF(V262="Sí",IFERROR(COUNTIFS(DATOS!G:G,CONFIG_METADATA!$B$4,DATOS!D:D,A262,DATOS!I:I,B262,DATOS!L:L,"N")/COUNTIFS(DATOS!G:G,CONFIG_METADATA!$B$4,DATOS!D:D,A262,DATOS!I:I,B262),"—"),"")</f>
        <v>—</v>
      </c>
      <c r="J262" t="str" cm="1">
        <f t="array" ref="J262">IF(V262="Sí",IFERROR(_xlfn.MODE.SNGL(IF((nEVAL=CONFIG_METADATA!$B$4)*(nCURSO=A262)*(nASIG=B262)*(nAPTO="S"),nNOTA)),"—"),"")</f>
        <v>—</v>
      </c>
      <c r="K262" t="str" cm="1">
        <f t="array" ref="K262">IF(V262="Sí",IFERROR(_xlfn.MODE.SNGL(IF((nEVAL=CONFIG_METADATA!$B$4)*(nCURSO=A262)*(nASIG=B262)*(nAPTO="N"),nNOTA)),"—"),"")</f>
        <v>—</v>
      </c>
      <c r="L262">
        <f>IF(V262="Sí",COUNTIFS(DATOS!G:G,CONFIG_METADATA!$B$4,DATOS!D:D,A262,DATOS!I:I,B262,DATOS!K:K,1),"")</f>
        <v>0</v>
      </c>
      <c r="M262">
        <f>IF(V262="Sí",COUNTIFS(DATOS!G:G,CONFIG_METADATA!$B$4,DATOS!D:D,A262,DATOS!I:I,B262,DATOS!K:K,2),"")</f>
        <v>0</v>
      </c>
      <c r="N262">
        <f>IF(V262="Sí",COUNTIFS(DATOS!G:G,CONFIG_METADATA!$B$4,DATOS!D:D,A262,DATOS!I:I,B262,DATOS!K:K,3),"")</f>
        <v>0</v>
      </c>
      <c r="O262">
        <f>IF(V262="Sí",COUNTIFS(DATOS!G:G,CONFIG_METADATA!$B$4,DATOS!D:D,A262,DATOS!I:I,B262,DATOS!K:K,4),"")</f>
        <v>0</v>
      </c>
      <c r="P262">
        <f>IF(V262="Sí",COUNTIFS(DATOS!G:G,CONFIG_METADATA!$B$4,DATOS!D:D,A262,DATOS!I:I,B262,DATOS!K:K,5),"")</f>
        <v>0</v>
      </c>
      <c r="Q262">
        <f>IF(V262="Sí",COUNTIFS(DATOS!G:G,CONFIG_METADATA!$B$4,DATOS!D:D,A262,DATOS!I:I,B262,DATOS!K:K,6),"")</f>
        <v>0</v>
      </c>
      <c r="R262">
        <f>IF(V262="Sí",COUNTIFS(DATOS!G:G,CONFIG_METADATA!$B$4,DATOS!D:D,A262,DATOS!I:I,B262,DATOS!K:K,7),"")</f>
        <v>0</v>
      </c>
      <c r="S262">
        <f>IF(V262="Sí",COUNTIFS(DATOS!G:G,CONFIG_METADATA!$B$4,DATOS!D:D,A262,DATOS!I:I,B262,DATOS!K:K,8),"")</f>
        <v>0</v>
      </c>
      <c r="T262">
        <f>IF(V262="Sí",COUNTIFS(DATOS!G:G,CONFIG_METADATA!$B$4,DATOS!D:D,A262,DATOS!I:I,B262,DATOS!K:K,9),"")</f>
        <v>0</v>
      </c>
      <c r="U262">
        <f>IF(V262="Sí",COUNTIFS(DATOS!G:G,CONFIG_METADATA!$B$4,DATOS!D:D,A262,DATOS!I:I,B262,DATOS!K:K,10),"")</f>
        <v>0</v>
      </c>
      <c r="V262" t="str">
        <f>IFERROR(IF(ISERROR(FIND(A262,VLOOKUP(B262,CONFIG_ASIGNATURAS!B:C,2,FALSE()))),"No","Sí"),"No")</f>
        <v>Sí</v>
      </c>
    </row>
    <row r="263" spans="1:22">
      <c r="A263" s="3" t="inlineStr">
        <is>
          <t xml:space="preserve">4EEM</t>
        </is>
      </c>
      <c r="B263" s="3" cm="1">
        <f t="array" ref="B263">IFERROR(INDEX(_xlfn._xlws.FILTER(CONFIG_ASIGNATURAS!$B$2:$B$61,(CONFIG_ASIGNATURAS!$G$2:$G$61="Sí")*ISNUMBER(SEARCH("4EEM",CONFIG_ASIGNATURAS!$C$2:$C$61))),7),"")</f>
      </c>
      <c r="C263" s="3">
        <f>IF(B263="","",IFERROR(IF(VLOOKUP(B263,CONFIG_ASIGNATURAS!$B$2:$F$61,5,FALSE())="Sí","Especialidad","Asignatura"),"Asignatura"))</f>
      </c>
      <c r="D263">
        <f>IF(V263="Sí",COUNTIFS(DATOS!G:G,CONFIG_METADATA!$B$4,DATOS!D:D,A263,DATOS!I:I,B263),"")</f>
        <v>0</v>
      </c>
      <c r="E263" s="14" t="str">
        <f>IF(V263="Sí",IFERROR(AVERAGEIFS(DATOS!K:K,DATOS!G:G,CONFIG_METADATA!$B$4,DATOS!D:D,A263,DATOS!I:I,B263),"—"),"")</f>
        <v>—</v>
      </c>
      <c r="F263" s="14" t="str" cm="1">
        <f t="array" ref="F263">IF(V263="Sí",IFERROR(_xlfn.STDEV.P(IF((nEVAL=CONFIG_METADATA!$B$4)*(nCURSO=A263)*(nASIG=B263),nNOTA)),"—"),"")</f>
        <v>—</v>
      </c>
      <c r="G263" t="str" cm="1">
        <f t="array" ref="G263">IF(V263="Sí",IFERROR(_xlfn.MODE.SNGL(IF((nEVAL=CONFIG_METADATA!$B$4)*(nCURSO=A263)*(nASIG=B263),nNOTA)),"—"),"")</f>
        <v>—</v>
      </c>
      <c r="H263" s="15" t="str">
        <f>IF(V263="Sí",IFERROR(COUNTIFS(DATOS!G:G,CONFIG_METADATA!$B$4,DATOS!D:D,A263,DATOS!I:I,B263,DATOS!L:L,"S")/COUNTIFS(DATOS!G:G,CONFIG_METADATA!$B$4,DATOS!D:D,A263,DATOS!I:I,B263),"—"),"")</f>
        <v>—</v>
      </c>
      <c r="I263" s="15" t="str">
        <f>IF(V263="Sí",IFERROR(COUNTIFS(DATOS!G:G,CONFIG_METADATA!$B$4,DATOS!D:D,A263,DATOS!I:I,B263,DATOS!L:L,"N")/COUNTIFS(DATOS!G:G,CONFIG_METADATA!$B$4,DATOS!D:D,A263,DATOS!I:I,B263),"—"),"")</f>
        <v>—</v>
      </c>
      <c r="J263" t="str" cm="1">
        <f t="array" ref="J263">IF(V263="Sí",IFERROR(_xlfn.MODE.SNGL(IF((nEVAL=CONFIG_METADATA!$B$4)*(nCURSO=A263)*(nASIG=B263)*(nAPTO="S"),nNOTA)),"—"),"")</f>
        <v>—</v>
      </c>
      <c r="K263" t="str" cm="1">
        <f t="array" ref="K263">IF(V263="Sí",IFERROR(_xlfn.MODE.SNGL(IF((nEVAL=CONFIG_METADATA!$B$4)*(nCURSO=A263)*(nASIG=B263)*(nAPTO="N"),nNOTA)),"—"),"")</f>
        <v>—</v>
      </c>
      <c r="L263">
        <f>IF(V263="Sí",COUNTIFS(DATOS!G:G,CONFIG_METADATA!$B$4,DATOS!D:D,A263,DATOS!I:I,B263,DATOS!K:K,1),"")</f>
        <v>0</v>
      </c>
      <c r="M263">
        <f>IF(V263="Sí",COUNTIFS(DATOS!G:G,CONFIG_METADATA!$B$4,DATOS!D:D,A263,DATOS!I:I,B263,DATOS!K:K,2),"")</f>
        <v>0</v>
      </c>
      <c r="N263">
        <f>IF(V263="Sí",COUNTIFS(DATOS!G:G,CONFIG_METADATA!$B$4,DATOS!D:D,A263,DATOS!I:I,B263,DATOS!K:K,3),"")</f>
        <v>0</v>
      </c>
      <c r="O263">
        <f>IF(V263="Sí",COUNTIFS(DATOS!G:G,CONFIG_METADATA!$B$4,DATOS!D:D,A263,DATOS!I:I,B263,DATOS!K:K,4),"")</f>
        <v>0</v>
      </c>
      <c r="P263">
        <f>IF(V263="Sí",COUNTIFS(DATOS!G:G,CONFIG_METADATA!$B$4,DATOS!D:D,A263,DATOS!I:I,B263,DATOS!K:K,5),"")</f>
        <v>0</v>
      </c>
      <c r="Q263">
        <f>IF(V263="Sí",COUNTIFS(DATOS!G:G,CONFIG_METADATA!$B$4,DATOS!D:D,A263,DATOS!I:I,B263,DATOS!K:K,6),"")</f>
        <v>0</v>
      </c>
      <c r="R263">
        <f>IF(V263="Sí",COUNTIFS(DATOS!G:G,CONFIG_METADATA!$B$4,DATOS!D:D,A263,DATOS!I:I,B263,DATOS!K:K,7),"")</f>
        <v>0</v>
      </c>
      <c r="S263">
        <f>IF(V263="Sí",COUNTIFS(DATOS!G:G,CONFIG_METADATA!$B$4,DATOS!D:D,A263,DATOS!I:I,B263,DATOS!K:K,8),"")</f>
        <v>0</v>
      </c>
      <c r="T263">
        <f>IF(V263="Sí",COUNTIFS(DATOS!G:G,CONFIG_METADATA!$B$4,DATOS!D:D,A263,DATOS!I:I,B263,DATOS!K:K,9),"")</f>
        <v>0</v>
      </c>
      <c r="U263">
        <f>IF(V263="Sí",COUNTIFS(DATOS!G:G,CONFIG_METADATA!$B$4,DATOS!D:D,A263,DATOS!I:I,B263,DATOS!K:K,10),"")</f>
        <v>0</v>
      </c>
      <c r="V263" t="str">
        <f>IFERROR(IF(ISERROR(FIND(A263,VLOOKUP(B263,CONFIG_ASIGNATURAS!B:C,2,FALSE()))),"No","Sí"),"No")</f>
        <v>Sí</v>
      </c>
    </row>
    <row r="264" spans="1:22">
      <c r="A264" s="3" t="inlineStr">
        <is>
          <t xml:space="preserve">4EEM</t>
        </is>
      </c>
      <c r="B264" s="3" cm="1">
        <f t="array" ref="B264">IFERROR(INDEX(_xlfn._xlws.FILTER(CONFIG_ASIGNATURAS!$B$2:$B$61,(CONFIG_ASIGNATURAS!$G$2:$G$61="Sí")*ISNUMBER(SEARCH("4EEM",CONFIG_ASIGNATURAS!$C$2:$C$61))),8),"")</f>
      </c>
      <c r="C264" s="3">
        <f>IF(B264="","",IFERROR(IF(VLOOKUP(B264,CONFIG_ASIGNATURAS!$B$2:$F$61,5,FALSE())="Sí","Especialidad","Asignatura"),"Asignatura"))</f>
      </c>
      <c r="D264">
        <f>IF(V264="Sí",COUNTIFS(DATOS!G:G,CONFIG_METADATA!$B$4,DATOS!D:D,A264,DATOS!I:I,B264),"")</f>
        <v>0</v>
      </c>
      <c r="E264" s="14" t="str">
        <f>IF(V264="Sí",IFERROR(AVERAGEIFS(DATOS!K:K,DATOS!G:G,CONFIG_METADATA!$B$4,DATOS!D:D,A264,DATOS!I:I,B264),"—"),"")</f>
        <v>—</v>
      </c>
      <c r="F264" s="14" t="str" cm="1">
        <f t="array" ref="F264">IF(V264="Sí",IFERROR(_xlfn.STDEV.P(IF((nEVAL=CONFIG_METADATA!$B$4)*(nCURSO=A264)*(nASIG=B264),nNOTA)),"—"),"")</f>
        <v>—</v>
      </c>
      <c r="G264" t="str" cm="1">
        <f t="array" ref="G264">IF(V264="Sí",IFERROR(_xlfn.MODE.SNGL(IF((nEVAL=CONFIG_METADATA!$B$4)*(nCURSO=A264)*(nASIG=B264),nNOTA)),"—"),"")</f>
        <v>—</v>
      </c>
      <c r="H264" s="15" t="str">
        <f>IF(V264="Sí",IFERROR(COUNTIFS(DATOS!G:G,CONFIG_METADATA!$B$4,DATOS!D:D,A264,DATOS!I:I,B264,DATOS!L:L,"S")/COUNTIFS(DATOS!G:G,CONFIG_METADATA!$B$4,DATOS!D:D,A264,DATOS!I:I,B264),"—"),"")</f>
        <v>—</v>
      </c>
      <c r="I264" s="15" t="str">
        <f>IF(V264="Sí",IFERROR(COUNTIFS(DATOS!G:G,CONFIG_METADATA!$B$4,DATOS!D:D,A264,DATOS!I:I,B264,DATOS!L:L,"N")/COUNTIFS(DATOS!G:G,CONFIG_METADATA!$B$4,DATOS!D:D,A264,DATOS!I:I,B264),"—"),"")</f>
        <v>—</v>
      </c>
      <c r="J264" t="str" cm="1">
        <f t="array" ref="J264">IF(V264="Sí",IFERROR(_xlfn.MODE.SNGL(IF((nEVAL=CONFIG_METADATA!$B$4)*(nCURSO=A264)*(nASIG=B264)*(nAPTO="S"),nNOTA)),"—"),"")</f>
        <v>—</v>
      </c>
      <c r="K264" t="str" cm="1">
        <f t="array" ref="K264">IF(V264="Sí",IFERROR(_xlfn.MODE.SNGL(IF((nEVAL=CONFIG_METADATA!$B$4)*(nCURSO=A264)*(nASIG=B264)*(nAPTO="N"),nNOTA)),"—"),"")</f>
        <v>—</v>
      </c>
      <c r="L264">
        <f>IF(V264="Sí",COUNTIFS(DATOS!G:G,CONFIG_METADATA!$B$4,DATOS!D:D,A264,DATOS!I:I,B264,DATOS!K:K,1),"")</f>
        <v>0</v>
      </c>
      <c r="M264">
        <f>IF(V264="Sí",COUNTIFS(DATOS!G:G,CONFIG_METADATA!$B$4,DATOS!D:D,A264,DATOS!I:I,B264,DATOS!K:K,2),"")</f>
        <v>0</v>
      </c>
      <c r="N264">
        <f>IF(V264="Sí",COUNTIFS(DATOS!G:G,CONFIG_METADATA!$B$4,DATOS!D:D,A264,DATOS!I:I,B264,DATOS!K:K,3),"")</f>
        <v>0</v>
      </c>
      <c r="O264">
        <f>IF(V264="Sí",COUNTIFS(DATOS!G:G,CONFIG_METADATA!$B$4,DATOS!D:D,A264,DATOS!I:I,B264,DATOS!K:K,4),"")</f>
        <v>0</v>
      </c>
      <c r="P264">
        <f>IF(V264="Sí",COUNTIFS(DATOS!G:G,CONFIG_METADATA!$B$4,DATOS!D:D,A264,DATOS!I:I,B264,DATOS!K:K,5),"")</f>
        <v>0</v>
      </c>
      <c r="Q264">
        <f>IF(V264="Sí",COUNTIFS(DATOS!G:G,CONFIG_METADATA!$B$4,DATOS!D:D,A264,DATOS!I:I,B264,DATOS!K:K,6),"")</f>
        <v>0</v>
      </c>
      <c r="R264">
        <f>IF(V264="Sí",COUNTIFS(DATOS!G:G,CONFIG_METADATA!$B$4,DATOS!D:D,A264,DATOS!I:I,B264,DATOS!K:K,7),"")</f>
        <v>0</v>
      </c>
      <c r="S264">
        <f>IF(V264="Sí",COUNTIFS(DATOS!G:G,CONFIG_METADATA!$B$4,DATOS!D:D,A264,DATOS!I:I,B264,DATOS!K:K,8),"")</f>
        <v>0</v>
      </c>
      <c r="T264">
        <f>IF(V264="Sí",COUNTIFS(DATOS!G:G,CONFIG_METADATA!$B$4,DATOS!D:D,A264,DATOS!I:I,B264,DATOS!K:K,9),"")</f>
        <v>0</v>
      </c>
      <c r="U264">
        <f>IF(V264="Sí",COUNTIFS(DATOS!G:G,CONFIG_METADATA!$B$4,DATOS!D:D,A264,DATOS!I:I,B264,DATOS!K:K,10),"")</f>
        <v>0</v>
      </c>
      <c r="V264" t="str">
        <f>IFERROR(IF(ISERROR(FIND(A264,VLOOKUP(B264,CONFIG_ASIGNATURAS!B:C,2,FALSE()))),"No","Sí"),"No")</f>
        <v>Sí</v>
      </c>
    </row>
    <row r="265" spans="1:22">
      <c r="A265" s="3" t="inlineStr">
        <is>
          <t xml:space="preserve">4EEM</t>
        </is>
      </c>
      <c r="B265" s="3" cm="1">
        <f t="array" ref="B265">IFERROR(INDEX(_xlfn._xlws.FILTER(CONFIG_ASIGNATURAS!$B$2:$B$61,(CONFIG_ASIGNATURAS!$G$2:$G$61="Sí")*ISNUMBER(SEARCH("4EEM",CONFIG_ASIGNATURAS!$C$2:$C$61))),9),"")</f>
      </c>
      <c r="C265" s="3">
        <f>IF(B265="","",IFERROR(IF(VLOOKUP(B265,CONFIG_ASIGNATURAS!$B$2:$F$61,5,FALSE())="Sí","Especialidad","Asignatura"),"Asignatura"))</f>
      </c>
      <c r="D265">
        <f>IF(V265="Sí",COUNTIFS(DATOS!G:G,CONFIG_METADATA!$B$4,DATOS!D:D,A265,DATOS!I:I,B265),"")</f>
        <v>0</v>
      </c>
      <c r="E265" s="14" t="str">
        <f>IF(V265="Sí",IFERROR(AVERAGEIFS(DATOS!K:K,DATOS!G:G,CONFIG_METADATA!$B$4,DATOS!D:D,A265,DATOS!I:I,B265),"—"),"")</f>
        <v>—</v>
      </c>
      <c r="F265" s="14" t="str" cm="1">
        <f t="array" ref="F265">IF(V265="Sí",IFERROR(_xlfn.STDEV.P(IF((nEVAL=CONFIG_METADATA!$B$4)*(nCURSO=A265)*(nASIG=B265),nNOTA)),"—"),"")</f>
        <v>—</v>
      </c>
      <c r="G265" t="str" cm="1">
        <f t="array" ref="G265">IF(V265="Sí",IFERROR(_xlfn.MODE.SNGL(IF((nEVAL=CONFIG_METADATA!$B$4)*(nCURSO=A265)*(nASIG=B265),nNOTA)),"—"),"")</f>
        <v>—</v>
      </c>
      <c r="H265" s="15" t="str">
        <f>IF(V265="Sí",IFERROR(COUNTIFS(DATOS!G:G,CONFIG_METADATA!$B$4,DATOS!D:D,A265,DATOS!I:I,B265,DATOS!L:L,"S")/COUNTIFS(DATOS!G:G,CONFIG_METADATA!$B$4,DATOS!D:D,A265,DATOS!I:I,B265),"—"),"")</f>
        <v>—</v>
      </c>
      <c r="I265" s="15" t="str">
        <f>IF(V265="Sí",IFERROR(COUNTIFS(DATOS!G:G,CONFIG_METADATA!$B$4,DATOS!D:D,A265,DATOS!I:I,B265,DATOS!L:L,"N")/COUNTIFS(DATOS!G:G,CONFIG_METADATA!$B$4,DATOS!D:D,A265,DATOS!I:I,B265),"—"),"")</f>
        <v>—</v>
      </c>
      <c r="J265" t="str" cm="1">
        <f t="array" ref="J265">IF(V265="Sí",IFERROR(_xlfn.MODE.SNGL(IF((nEVAL=CONFIG_METADATA!$B$4)*(nCURSO=A265)*(nASIG=B265)*(nAPTO="S"),nNOTA)),"—"),"")</f>
        <v>—</v>
      </c>
      <c r="K265" t="str" cm="1">
        <f t="array" ref="K265">IF(V265="Sí",IFERROR(_xlfn.MODE.SNGL(IF((nEVAL=CONFIG_METADATA!$B$4)*(nCURSO=A265)*(nASIG=B265)*(nAPTO="N"),nNOTA)),"—"),"")</f>
        <v>—</v>
      </c>
      <c r="L265">
        <f>IF(V265="Sí",COUNTIFS(DATOS!G:G,CONFIG_METADATA!$B$4,DATOS!D:D,A265,DATOS!I:I,B265,DATOS!K:K,1),"")</f>
        <v>0</v>
      </c>
      <c r="M265">
        <f>IF(V265="Sí",COUNTIFS(DATOS!G:G,CONFIG_METADATA!$B$4,DATOS!D:D,A265,DATOS!I:I,B265,DATOS!K:K,2),"")</f>
        <v>0</v>
      </c>
      <c r="N265">
        <f>IF(V265="Sí",COUNTIFS(DATOS!G:G,CONFIG_METADATA!$B$4,DATOS!D:D,A265,DATOS!I:I,B265,DATOS!K:K,3),"")</f>
        <v>0</v>
      </c>
      <c r="O265">
        <f>IF(V265="Sí",COUNTIFS(DATOS!G:G,CONFIG_METADATA!$B$4,DATOS!D:D,A265,DATOS!I:I,B265,DATOS!K:K,4),"")</f>
        <v>0</v>
      </c>
      <c r="P265">
        <f>IF(V265="Sí",COUNTIFS(DATOS!G:G,CONFIG_METADATA!$B$4,DATOS!D:D,A265,DATOS!I:I,B265,DATOS!K:K,5),"")</f>
        <v>0</v>
      </c>
      <c r="Q265">
        <f>IF(V265="Sí",COUNTIFS(DATOS!G:G,CONFIG_METADATA!$B$4,DATOS!D:D,A265,DATOS!I:I,B265,DATOS!K:K,6),"")</f>
        <v>0</v>
      </c>
      <c r="R265">
        <f>IF(V265="Sí",COUNTIFS(DATOS!G:G,CONFIG_METADATA!$B$4,DATOS!D:D,A265,DATOS!I:I,B265,DATOS!K:K,7),"")</f>
        <v>0</v>
      </c>
      <c r="S265">
        <f>IF(V265="Sí",COUNTIFS(DATOS!G:G,CONFIG_METADATA!$B$4,DATOS!D:D,A265,DATOS!I:I,B265,DATOS!K:K,8),"")</f>
        <v>0</v>
      </c>
      <c r="T265">
        <f>IF(V265="Sí",COUNTIFS(DATOS!G:G,CONFIG_METADATA!$B$4,DATOS!D:D,A265,DATOS!I:I,B265,DATOS!K:K,9),"")</f>
        <v>0</v>
      </c>
      <c r="U265">
        <f>IF(V265="Sí",COUNTIFS(DATOS!G:G,CONFIG_METADATA!$B$4,DATOS!D:D,A265,DATOS!I:I,B265,DATOS!K:K,10),"")</f>
        <v>0</v>
      </c>
      <c r="V265" t="str">
        <f>IFERROR(IF(ISERROR(FIND(A265,VLOOKUP(B265,CONFIG_ASIGNATURAS!B:C,2,FALSE()))),"No","Sí"),"No")</f>
        <v>Sí</v>
      </c>
    </row>
    <row r="266" spans="1:22">
      <c r="A266" s="3" t="inlineStr">
        <is>
          <t xml:space="preserve">4EEM</t>
        </is>
      </c>
      <c r="B266" s="3" cm="1">
        <f t="array" ref="B266">IFERROR(INDEX(_xlfn._xlws.FILTER(CONFIG_ASIGNATURAS!$B$2:$B$61,(CONFIG_ASIGNATURAS!$G$2:$G$61="Sí")*ISNUMBER(SEARCH("4EEM",CONFIG_ASIGNATURAS!$C$2:$C$61))),10),"")</f>
      </c>
      <c r="C266" s="3">
        <f>IF(B266="","",IFERROR(IF(VLOOKUP(B266,CONFIG_ASIGNATURAS!$B$2:$F$61,5,FALSE())="Sí","Especialidad","Asignatura"),"Asignatura"))</f>
      </c>
      <c r="D266">
        <f>IF(V266="Sí",COUNTIFS(DATOS!G:G,CONFIG_METADATA!$B$4,DATOS!D:D,A266,DATOS!I:I,B266),"")</f>
        <v>0</v>
      </c>
      <c r="E266" s="14" t="str">
        <f>IF(V266="Sí",IFERROR(AVERAGEIFS(DATOS!K:K,DATOS!G:G,CONFIG_METADATA!$B$4,DATOS!D:D,A266,DATOS!I:I,B266),"—"),"")</f>
        <v>—</v>
      </c>
      <c r="F266" s="14" t="str" cm="1">
        <f t="array" ref="F266">IF(V266="Sí",IFERROR(_xlfn.STDEV.P(IF((nEVAL=CONFIG_METADATA!$B$4)*(nCURSO=A266)*(nASIG=B266),nNOTA)),"—"),"")</f>
        <v>—</v>
      </c>
      <c r="G266" t="str" cm="1">
        <f t="array" ref="G266">IF(V266="Sí",IFERROR(_xlfn.MODE.SNGL(IF((nEVAL=CONFIG_METADATA!$B$4)*(nCURSO=A266)*(nASIG=B266),nNOTA)),"—"),"")</f>
        <v>—</v>
      </c>
      <c r="H266" s="15" t="str">
        <f>IF(V266="Sí",IFERROR(COUNTIFS(DATOS!G:G,CONFIG_METADATA!$B$4,DATOS!D:D,A266,DATOS!I:I,B266,DATOS!L:L,"S")/COUNTIFS(DATOS!G:G,CONFIG_METADATA!$B$4,DATOS!D:D,A266,DATOS!I:I,B266),"—"),"")</f>
        <v>—</v>
      </c>
      <c r="I266" s="15" t="str">
        <f>IF(V266="Sí",IFERROR(COUNTIFS(DATOS!G:G,CONFIG_METADATA!$B$4,DATOS!D:D,A266,DATOS!I:I,B266,DATOS!L:L,"N")/COUNTIFS(DATOS!G:G,CONFIG_METADATA!$B$4,DATOS!D:D,A266,DATOS!I:I,B266),"—"),"")</f>
        <v>—</v>
      </c>
      <c r="J266" t="str" cm="1">
        <f t="array" ref="J266">IF(V266="Sí",IFERROR(_xlfn.MODE.SNGL(IF((nEVAL=CONFIG_METADATA!$B$4)*(nCURSO=A266)*(nASIG=B266)*(nAPTO="S"),nNOTA)),"—"),"")</f>
        <v>—</v>
      </c>
      <c r="K266" t="str" cm="1">
        <f t="array" ref="K266">IF(V266="Sí",IFERROR(_xlfn.MODE.SNGL(IF((nEVAL=CONFIG_METADATA!$B$4)*(nCURSO=A266)*(nASIG=B266)*(nAPTO="N"),nNOTA)),"—"),"")</f>
        <v>—</v>
      </c>
      <c r="L266">
        <f>IF(V266="Sí",COUNTIFS(DATOS!G:G,CONFIG_METADATA!$B$4,DATOS!D:D,A266,DATOS!I:I,B266,DATOS!K:K,1),"")</f>
        <v>0</v>
      </c>
      <c r="M266">
        <f>IF(V266="Sí",COUNTIFS(DATOS!G:G,CONFIG_METADATA!$B$4,DATOS!D:D,A266,DATOS!I:I,B266,DATOS!K:K,2),"")</f>
        <v>0</v>
      </c>
      <c r="N266">
        <f>IF(V266="Sí",COUNTIFS(DATOS!G:G,CONFIG_METADATA!$B$4,DATOS!D:D,A266,DATOS!I:I,B266,DATOS!K:K,3),"")</f>
        <v>0</v>
      </c>
      <c r="O266">
        <f>IF(V266="Sí",COUNTIFS(DATOS!G:G,CONFIG_METADATA!$B$4,DATOS!D:D,A266,DATOS!I:I,B266,DATOS!K:K,4),"")</f>
        <v>0</v>
      </c>
      <c r="P266">
        <f>IF(V266="Sí",COUNTIFS(DATOS!G:G,CONFIG_METADATA!$B$4,DATOS!D:D,A266,DATOS!I:I,B266,DATOS!K:K,5),"")</f>
        <v>0</v>
      </c>
      <c r="Q266">
        <f>IF(V266="Sí",COUNTIFS(DATOS!G:G,CONFIG_METADATA!$B$4,DATOS!D:D,A266,DATOS!I:I,B266,DATOS!K:K,6),"")</f>
        <v>0</v>
      </c>
      <c r="R266">
        <f>IF(V266="Sí",COUNTIFS(DATOS!G:G,CONFIG_METADATA!$B$4,DATOS!D:D,A266,DATOS!I:I,B266,DATOS!K:K,7),"")</f>
        <v>0</v>
      </c>
      <c r="S266">
        <f>IF(V266="Sí",COUNTIFS(DATOS!G:G,CONFIG_METADATA!$B$4,DATOS!D:D,A266,DATOS!I:I,B266,DATOS!K:K,8),"")</f>
        <v>0</v>
      </c>
      <c r="T266">
        <f>IF(V266="Sí",COUNTIFS(DATOS!G:G,CONFIG_METADATA!$B$4,DATOS!D:D,A266,DATOS!I:I,B266,DATOS!K:K,9),"")</f>
        <v>0</v>
      </c>
      <c r="U266">
        <f>IF(V266="Sí",COUNTIFS(DATOS!G:G,CONFIG_METADATA!$B$4,DATOS!D:D,A266,DATOS!I:I,B266,DATOS!K:K,10),"")</f>
        <v>0</v>
      </c>
      <c r="V266" t="str">
        <f>IFERROR(IF(ISERROR(FIND(A266,VLOOKUP(B266,CONFIG_ASIGNATURAS!B:C,2,FALSE()))),"No","Sí"),"No")</f>
        <v>Sí</v>
      </c>
    </row>
    <row r="267" spans="1:22">
      <c r="A267" s="3" t="inlineStr">
        <is>
          <t xml:space="preserve">4EEM</t>
        </is>
      </c>
      <c r="B267" s="3" cm="1">
        <f t="array" ref="B267">IFERROR(INDEX(_xlfn._xlws.FILTER(CONFIG_ASIGNATURAS!$B$2:$B$61,(CONFIG_ASIGNATURAS!$G$2:$G$61="Sí")*ISNUMBER(SEARCH("4EEM",CONFIG_ASIGNATURAS!$C$2:$C$61))),11),"")</f>
      </c>
      <c r="C267" s="3">
        <f>IF(B267="","",IFERROR(IF(VLOOKUP(B267,CONFIG_ASIGNATURAS!$B$2:$F$61,5,FALSE())="Sí","Especialidad","Asignatura"),"Asignatura"))</f>
      </c>
      <c r="D267">
        <f>IF(V267="Sí",COUNTIFS(DATOS!G:G,CONFIG_METADATA!$B$4,DATOS!D:D,A267,DATOS!I:I,B267),"")</f>
        <v>0</v>
      </c>
      <c r="E267" s="14" t="str">
        <f>IF(V267="Sí",IFERROR(AVERAGEIFS(DATOS!K:K,DATOS!G:G,CONFIG_METADATA!$B$4,DATOS!D:D,A267,DATOS!I:I,B267),"—"),"")</f>
        <v>—</v>
      </c>
      <c r="F267" s="14" t="str" cm="1">
        <f t="array" ref="F267">IF(V267="Sí",IFERROR(_xlfn.STDEV.P(IF((nEVAL=CONFIG_METADATA!$B$4)*(nCURSO=A267)*(nASIG=B267),nNOTA)),"—"),"")</f>
        <v>—</v>
      </c>
      <c r="G267" t="str" cm="1">
        <f t="array" ref="G267">IF(V267="Sí",IFERROR(_xlfn.MODE.SNGL(IF((nEVAL=CONFIG_METADATA!$B$4)*(nCURSO=A267)*(nASIG=B267),nNOTA)),"—"),"")</f>
        <v>—</v>
      </c>
      <c r="H267" s="15" t="str">
        <f>IF(V267="Sí",IFERROR(COUNTIFS(DATOS!G:G,CONFIG_METADATA!$B$4,DATOS!D:D,A267,DATOS!I:I,B267,DATOS!L:L,"S")/COUNTIFS(DATOS!G:G,CONFIG_METADATA!$B$4,DATOS!D:D,A267,DATOS!I:I,B267),"—"),"")</f>
        <v>—</v>
      </c>
      <c r="I267" s="15" t="str">
        <f>IF(V267="Sí",IFERROR(COUNTIFS(DATOS!G:G,CONFIG_METADATA!$B$4,DATOS!D:D,A267,DATOS!I:I,B267,DATOS!L:L,"N")/COUNTIFS(DATOS!G:G,CONFIG_METADATA!$B$4,DATOS!D:D,A267,DATOS!I:I,B267),"—"),"")</f>
        <v>—</v>
      </c>
      <c r="J267" t="str" cm="1">
        <f t="array" ref="J267">IF(V267="Sí",IFERROR(_xlfn.MODE.SNGL(IF((nEVAL=CONFIG_METADATA!$B$4)*(nCURSO=A267)*(nASIG=B267)*(nAPTO="S"),nNOTA)),"—"),"")</f>
        <v>—</v>
      </c>
      <c r="K267" t="str" cm="1">
        <f t="array" ref="K267">IF(V267="Sí",IFERROR(_xlfn.MODE.SNGL(IF((nEVAL=CONFIG_METADATA!$B$4)*(nCURSO=A267)*(nASIG=B267)*(nAPTO="N"),nNOTA)),"—"),"")</f>
        <v>—</v>
      </c>
      <c r="L267">
        <f>IF(V267="Sí",COUNTIFS(DATOS!G:G,CONFIG_METADATA!$B$4,DATOS!D:D,A267,DATOS!I:I,B267,DATOS!K:K,1),"")</f>
        <v>0</v>
      </c>
      <c r="M267">
        <f>IF(V267="Sí",COUNTIFS(DATOS!G:G,CONFIG_METADATA!$B$4,DATOS!D:D,A267,DATOS!I:I,B267,DATOS!K:K,2),"")</f>
        <v>0</v>
      </c>
      <c r="N267">
        <f>IF(V267="Sí",COUNTIFS(DATOS!G:G,CONFIG_METADATA!$B$4,DATOS!D:D,A267,DATOS!I:I,B267,DATOS!K:K,3),"")</f>
        <v>0</v>
      </c>
      <c r="O267">
        <f>IF(V267="Sí",COUNTIFS(DATOS!G:G,CONFIG_METADATA!$B$4,DATOS!D:D,A267,DATOS!I:I,B267,DATOS!K:K,4),"")</f>
        <v>0</v>
      </c>
      <c r="P267">
        <f>IF(V267="Sí",COUNTIFS(DATOS!G:G,CONFIG_METADATA!$B$4,DATOS!D:D,A267,DATOS!I:I,B267,DATOS!K:K,5),"")</f>
        <v>0</v>
      </c>
      <c r="Q267">
        <f>IF(V267="Sí",COUNTIFS(DATOS!G:G,CONFIG_METADATA!$B$4,DATOS!D:D,A267,DATOS!I:I,B267,DATOS!K:K,6),"")</f>
        <v>0</v>
      </c>
      <c r="R267">
        <f>IF(V267="Sí",COUNTIFS(DATOS!G:G,CONFIG_METADATA!$B$4,DATOS!D:D,A267,DATOS!I:I,B267,DATOS!K:K,7),"")</f>
        <v>0</v>
      </c>
      <c r="S267">
        <f>IF(V267="Sí",COUNTIFS(DATOS!G:G,CONFIG_METADATA!$B$4,DATOS!D:D,A267,DATOS!I:I,B267,DATOS!K:K,8),"")</f>
        <v>0</v>
      </c>
      <c r="T267">
        <f>IF(V267="Sí",COUNTIFS(DATOS!G:G,CONFIG_METADATA!$B$4,DATOS!D:D,A267,DATOS!I:I,B267,DATOS!K:K,9),"")</f>
        <v>0</v>
      </c>
      <c r="U267">
        <f>IF(V267="Sí",COUNTIFS(DATOS!G:G,CONFIG_METADATA!$B$4,DATOS!D:D,A267,DATOS!I:I,B267,DATOS!K:K,10),"")</f>
        <v>0</v>
      </c>
      <c r="V267" t="str">
        <f>IFERROR(IF(ISERROR(FIND(A267,VLOOKUP(B267,CONFIG_ASIGNATURAS!B:C,2,FALSE()))),"No","Sí"),"No")</f>
        <v>Sí</v>
      </c>
    </row>
    <row r="268" spans="1:22">
      <c r="A268" s="3" t="inlineStr">
        <is>
          <t xml:space="preserve">4EEM</t>
        </is>
      </c>
      <c r="B268" s="3" cm="1">
        <f t="array" ref="B268">IFERROR(INDEX(_xlfn._xlws.FILTER(CONFIG_ASIGNATURAS!$B$2:$B$61,(CONFIG_ASIGNATURAS!$G$2:$G$61="Sí")*ISNUMBER(SEARCH("4EEM",CONFIG_ASIGNATURAS!$C$2:$C$61))),12),"")</f>
      </c>
      <c r="C268" s="3">
        <f>IF(B268="","",IFERROR(IF(VLOOKUP(B268,CONFIG_ASIGNATURAS!$B$2:$F$61,5,FALSE())="Sí","Especialidad","Asignatura"),"Asignatura"))</f>
      </c>
      <c r="D268">
        <f>IF(V268="Sí",COUNTIFS(DATOS!G:G,CONFIG_METADATA!$B$4,DATOS!D:D,A268,DATOS!I:I,B268),"")</f>
        <v>0</v>
      </c>
      <c r="E268" s="14" t="str">
        <f>IF(V268="Sí",IFERROR(AVERAGEIFS(DATOS!K:K,DATOS!G:G,CONFIG_METADATA!$B$4,DATOS!D:D,A268,DATOS!I:I,B268),"—"),"")</f>
        <v>—</v>
      </c>
      <c r="F268" s="14" t="str" cm="1">
        <f t="array" ref="F268">IF(V268="Sí",IFERROR(_xlfn.STDEV.P(IF((nEVAL=CONFIG_METADATA!$B$4)*(nCURSO=A268)*(nASIG=B268),nNOTA)),"—"),"")</f>
        <v>—</v>
      </c>
      <c r="G268" t="str" cm="1">
        <f t="array" ref="G268">IF(V268="Sí",IFERROR(_xlfn.MODE.SNGL(IF((nEVAL=CONFIG_METADATA!$B$4)*(nCURSO=A268)*(nASIG=B268),nNOTA)),"—"),"")</f>
        <v>—</v>
      </c>
      <c r="H268" s="15" t="str">
        <f>IF(V268="Sí",IFERROR(COUNTIFS(DATOS!G:G,CONFIG_METADATA!$B$4,DATOS!D:D,A268,DATOS!I:I,B268,DATOS!L:L,"S")/COUNTIFS(DATOS!G:G,CONFIG_METADATA!$B$4,DATOS!D:D,A268,DATOS!I:I,B268),"—"),"")</f>
        <v>—</v>
      </c>
      <c r="I268" s="15" t="str">
        <f>IF(V268="Sí",IFERROR(COUNTIFS(DATOS!G:G,CONFIG_METADATA!$B$4,DATOS!D:D,A268,DATOS!I:I,B268,DATOS!L:L,"N")/COUNTIFS(DATOS!G:G,CONFIG_METADATA!$B$4,DATOS!D:D,A268,DATOS!I:I,B268),"—"),"")</f>
        <v>—</v>
      </c>
      <c r="J268" t="str" cm="1">
        <f t="array" ref="J268">IF(V268="Sí",IFERROR(_xlfn.MODE.SNGL(IF((nEVAL=CONFIG_METADATA!$B$4)*(nCURSO=A268)*(nASIG=B268)*(nAPTO="S"),nNOTA)),"—"),"")</f>
        <v>—</v>
      </c>
      <c r="K268" t="str" cm="1">
        <f t="array" ref="K268">IF(V268="Sí",IFERROR(_xlfn.MODE.SNGL(IF((nEVAL=CONFIG_METADATA!$B$4)*(nCURSO=A268)*(nASIG=B268)*(nAPTO="N"),nNOTA)),"—"),"")</f>
        <v>—</v>
      </c>
      <c r="L268">
        <f>IF(V268="Sí",COUNTIFS(DATOS!G:G,CONFIG_METADATA!$B$4,DATOS!D:D,A268,DATOS!I:I,B268,DATOS!K:K,1),"")</f>
        <v>0</v>
      </c>
      <c r="M268">
        <f>IF(V268="Sí",COUNTIFS(DATOS!G:G,CONFIG_METADATA!$B$4,DATOS!D:D,A268,DATOS!I:I,B268,DATOS!K:K,2),"")</f>
        <v>0</v>
      </c>
      <c r="N268">
        <f>IF(V268="Sí",COUNTIFS(DATOS!G:G,CONFIG_METADATA!$B$4,DATOS!D:D,A268,DATOS!I:I,B268,DATOS!K:K,3),"")</f>
        <v>0</v>
      </c>
      <c r="O268">
        <f>IF(V268="Sí",COUNTIFS(DATOS!G:G,CONFIG_METADATA!$B$4,DATOS!D:D,A268,DATOS!I:I,B268,DATOS!K:K,4),"")</f>
        <v>0</v>
      </c>
      <c r="P268">
        <f>IF(V268="Sí",COUNTIFS(DATOS!G:G,CONFIG_METADATA!$B$4,DATOS!D:D,A268,DATOS!I:I,B268,DATOS!K:K,5),"")</f>
        <v>0</v>
      </c>
      <c r="Q268">
        <f>IF(V268="Sí",COUNTIFS(DATOS!G:G,CONFIG_METADATA!$B$4,DATOS!D:D,A268,DATOS!I:I,B268,DATOS!K:K,6),"")</f>
        <v>0</v>
      </c>
      <c r="R268">
        <f>IF(V268="Sí",COUNTIFS(DATOS!G:G,CONFIG_METADATA!$B$4,DATOS!D:D,A268,DATOS!I:I,B268,DATOS!K:K,7),"")</f>
        <v>0</v>
      </c>
      <c r="S268">
        <f>IF(V268="Sí",COUNTIFS(DATOS!G:G,CONFIG_METADATA!$B$4,DATOS!D:D,A268,DATOS!I:I,B268,DATOS!K:K,8),"")</f>
        <v>0</v>
      </c>
      <c r="T268">
        <f>IF(V268="Sí",COUNTIFS(DATOS!G:G,CONFIG_METADATA!$B$4,DATOS!D:D,A268,DATOS!I:I,B268,DATOS!K:K,9),"")</f>
        <v>0</v>
      </c>
      <c r="U268">
        <f>IF(V268="Sí",COUNTIFS(DATOS!G:G,CONFIG_METADATA!$B$4,DATOS!D:D,A268,DATOS!I:I,B268,DATOS!K:K,10),"")</f>
        <v>0</v>
      </c>
      <c r="V268" t="str">
        <f>IFERROR(IF(ISERROR(FIND(A268,VLOOKUP(B268,CONFIG_ASIGNATURAS!B:C,2,FALSE()))),"No","Sí"),"No")</f>
        <v>Sí</v>
      </c>
    </row>
    <row r="269" spans="1:22">
      <c r="A269" s="3" t="inlineStr">
        <is>
          <t xml:space="preserve">4EEM</t>
        </is>
      </c>
      <c r="B269" s="3" cm="1">
        <f t="array" ref="B269">IFERROR(INDEX(_xlfn._xlws.FILTER(CONFIG_ASIGNATURAS!$B$2:$B$61,(CONFIG_ASIGNATURAS!$G$2:$G$61="Sí")*ISNUMBER(SEARCH("4EEM",CONFIG_ASIGNATURAS!$C$2:$C$61))),13),"")</f>
      </c>
      <c r="C269" s="3">
        <f>IF(B269="","",IFERROR(IF(VLOOKUP(B269,CONFIG_ASIGNATURAS!$B$2:$F$61,5,FALSE())="Sí","Especialidad","Asignatura"),"Asignatura"))</f>
      </c>
      <c r="D269">
        <f>IF(V269="Sí",COUNTIFS(DATOS!G:G,CONFIG_METADATA!$B$4,DATOS!D:D,A269,DATOS!I:I,B269),"")</f>
        <v>0</v>
      </c>
      <c r="E269" s="14" t="str">
        <f>IF(V269="Sí",IFERROR(AVERAGEIFS(DATOS!K:K,DATOS!G:G,CONFIG_METADATA!$B$4,DATOS!D:D,A269,DATOS!I:I,B269),"—"),"")</f>
        <v>—</v>
      </c>
      <c r="F269" s="14" t="str" cm="1">
        <f t="array" ref="F269">IF(V269="Sí",IFERROR(_xlfn.STDEV.P(IF((nEVAL=CONFIG_METADATA!$B$4)*(nCURSO=A269)*(nASIG=B269),nNOTA)),"—"),"")</f>
        <v>—</v>
      </c>
      <c r="G269" t="str" cm="1">
        <f t="array" ref="G269">IF(V269="Sí",IFERROR(_xlfn.MODE.SNGL(IF((nEVAL=CONFIG_METADATA!$B$4)*(nCURSO=A269)*(nASIG=B269),nNOTA)),"—"),"")</f>
        <v>—</v>
      </c>
      <c r="H269" s="15" t="str">
        <f>IF(V269="Sí",IFERROR(COUNTIFS(DATOS!G:G,CONFIG_METADATA!$B$4,DATOS!D:D,A269,DATOS!I:I,B269,DATOS!L:L,"S")/COUNTIFS(DATOS!G:G,CONFIG_METADATA!$B$4,DATOS!D:D,A269,DATOS!I:I,B269),"—"),"")</f>
        <v>—</v>
      </c>
      <c r="I269" s="15" t="str">
        <f>IF(V269="Sí",IFERROR(COUNTIFS(DATOS!G:G,CONFIG_METADATA!$B$4,DATOS!D:D,A269,DATOS!I:I,B269,DATOS!L:L,"N")/COUNTIFS(DATOS!G:G,CONFIG_METADATA!$B$4,DATOS!D:D,A269,DATOS!I:I,B269),"—"),"")</f>
        <v>—</v>
      </c>
      <c r="J269" t="str" cm="1">
        <f t="array" ref="J269">IF(V269="Sí",IFERROR(_xlfn.MODE.SNGL(IF((nEVAL=CONFIG_METADATA!$B$4)*(nCURSO=A269)*(nASIG=B269)*(nAPTO="S"),nNOTA)),"—"),"")</f>
        <v>—</v>
      </c>
      <c r="K269" t="str" cm="1">
        <f t="array" ref="K269">IF(V269="Sí",IFERROR(_xlfn.MODE.SNGL(IF((nEVAL=CONFIG_METADATA!$B$4)*(nCURSO=A269)*(nASIG=B269)*(nAPTO="N"),nNOTA)),"—"),"")</f>
        <v>—</v>
      </c>
      <c r="L269">
        <f>IF(V269="Sí",COUNTIFS(DATOS!G:G,CONFIG_METADATA!$B$4,DATOS!D:D,A269,DATOS!I:I,B269,DATOS!K:K,1),"")</f>
        <v>0</v>
      </c>
      <c r="M269">
        <f>IF(V269="Sí",COUNTIFS(DATOS!G:G,CONFIG_METADATA!$B$4,DATOS!D:D,A269,DATOS!I:I,B269,DATOS!K:K,2),"")</f>
        <v>0</v>
      </c>
      <c r="N269">
        <f>IF(V269="Sí",COUNTIFS(DATOS!G:G,CONFIG_METADATA!$B$4,DATOS!D:D,A269,DATOS!I:I,B269,DATOS!K:K,3),"")</f>
        <v>0</v>
      </c>
      <c r="O269">
        <f>IF(V269="Sí",COUNTIFS(DATOS!G:G,CONFIG_METADATA!$B$4,DATOS!D:D,A269,DATOS!I:I,B269,DATOS!K:K,4),"")</f>
        <v>0</v>
      </c>
      <c r="P269">
        <f>IF(V269="Sí",COUNTIFS(DATOS!G:G,CONFIG_METADATA!$B$4,DATOS!D:D,A269,DATOS!I:I,B269,DATOS!K:K,5),"")</f>
        <v>0</v>
      </c>
      <c r="Q269">
        <f>IF(V269="Sí",COUNTIFS(DATOS!G:G,CONFIG_METADATA!$B$4,DATOS!D:D,A269,DATOS!I:I,B269,DATOS!K:K,6),"")</f>
        <v>0</v>
      </c>
      <c r="R269">
        <f>IF(V269="Sí",COUNTIFS(DATOS!G:G,CONFIG_METADATA!$B$4,DATOS!D:D,A269,DATOS!I:I,B269,DATOS!K:K,7),"")</f>
        <v>0</v>
      </c>
      <c r="S269">
        <f>IF(V269="Sí",COUNTIFS(DATOS!G:G,CONFIG_METADATA!$B$4,DATOS!D:D,A269,DATOS!I:I,B269,DATOS!K:K,8),"")</f>
        <v>0</v>
      </c>
      <c r="T269">
        <f>IF(V269="Sí",COUNTIFS(DATOS!G:G,CONFIG_METADATA!$B$4,DATOS!D:D,A269,DATOS!I:I,B269,DATOS!K:K,9),"")</f>
        <v>0</v>
      </c>
      <c r="U269">
        <f>IF(V269="Sí",COUNTIFS(DATOS!G:G,CONFIG_METADATA!$B$4,DATOS!D:D,A269,DATOS!I:I,B269,DATOS!K:K,10),"")</f>
        <v>0</v>
      </c>
      <c r="V269" t="str">
        <f>IFERROR(IF(ISERROR(FIND(A269,VLOOKUP(B269,CONFIG_ASIGNATURAS!B:C,2,FALSE()))),"No","Sí"),"No")</f>
        <v>Sí</v>
      </c>
    </row>
    <row r="270" spans="1:22">
      <c r="A270" s="3" t="inlineStr">
        <is>
          <t xml:space="preserve">4EEM</t>
        </is>
      </c>
      <c r="B270" s="3" cm="1">
        <f t="array" ref="B270">IFERROR(INDEX(_xlfn._xlws.FILTER(CONFIG_ASIGNATURAS!$B$2:$B$61,(CONFIG_ASIGNATURAS!$G$2:$G$61="Sí")*ISNUMBER(SEARCH("4EEM",CONFIG_ASIGNATURAS!$C$2:$C$61))),14),"")</f>
      </c>
      <c r="C270" s="3">
        <f>IF(B270="","",IFERROR(IF(VLOOKUP(B270,CONFIG_ASIGNATURAS!$B$2:$F$61,5,FALSE())="Sí","Especialidad","Asignatura"),"Asignatura"))</f>
      </c>
      <c r="D270">
        <f>IF(V270="Sí",COUNTIFS(DATOS!G:G,CONFIG_METADATA!$B$4,DATOS!D:D,A270,DATOS!I:I,B270),"")</f>
        <v>0</v>
      </c>
      <c r="E270" s="14" t="str">
        <f>IF(V270="Sí",IFERROR(AVERAGEIFS(DATOS!K:K,DATOS!G:G,CONFIG_METADATA!$B$4,DATOS!D:D,A270,DATOS!I:I,B270),"—"),"")</f>
        <v>—</v>
      </c>
      <c r="F270" s="14" t="str" cm="1">
        <f t="array" ref="F270">IF(V270="Sí",IFERROR(_xlfn.STDEV.P(IF((nEVAL=CONFIG_METADATA!$B$4)*(nCURSO=A270)*(nASIG=B270),nNOTA)),"—"),"")</f>
        <v>—</v>
      </c>
      <c r="G270" t="str" cm="1">
        <f t="array" ref="G270">IF(V270="Sí",IFERROR(_xlfn.MODE.SNGL(IF((nEVAL=CONFIG_METADATA!$B$4)*(nCURSO=A270)*(nASIG=B270),nNOTA)),"—"),"")</f>
        <v>—</v>
      </c>
      <c r="H270" s="15" t="str">
        <f>IF(V270="Sí",IFERROR(COUNTIFS(DATOS!G:G,CONFIG_METADATA!$B$4,DATOS!D:D,A270,DATOS!I:I,B270,DATOS!L:L,"S")/COUNTIFS(DATOS!G:G,CONFIG_METADATA!$B$4,DATOS!D:D,A270,DATOS!I:I,B270),"—"),"")</f>
        <v>—</v>
      </c>
      <c r="I270" s="15" t="str">
        <f>IF(V270="Sí",IFERROR(COUNTIFS(DATOS!G:G,CONFIG_METADATA!$B$4,DATOS!D:D,A270,DATOS!I:I,B270,DATOS!L:L,"N")/COUNTIFS(DATOS!G:G,CONFIG_METADATA!$B$4,DATOS!D:D,A270,DATOS!I:I,B270),"—"),"")</f>
        <v>—</v>
      </c>
      <c r="J270" t="str" cm="1">
        <f t="array" ref="J270">IF(V270="Sí",IFERROR(_xlfn.MODE.SNGL(IF((nEVAL=CONFIG_METADATA!$B$4)*(nCURSO=A270)*(nASIG=B270)*(nAPTO="S"),nNOTA)),"—"),"")</f>
        <v>—</v>
      </c>
      <c r="K270" t="str" cm="1">
        <f t="array" ref="K270">IF(V270="Sí",IFERROR(_xlfn.MODE.SNGL(IF((nEVAL=CONFIG_METADATA!$B$4)*(nCURSO=A270)*(nASIG=B270)*(nAPTO="N"),nNOTA)),"—"),"")</f>
        <v>—</v>
      </c>
      <c r="L270">
        <f>IF(V270="Sí",COUNTIFS(DATOS!G:G,CONFIG_METADATA!$B$4,DATOS!D:D,A270,DATOS!I:I,B270,DATOS!K:K,1),"")</f>
        <v>0</v>
      </c>
      <c r="M270">
        <f>IF(V270="Sí",COUNTIFS(DATOS!G:G,CONFIG_METADATA!$B$4,DATOS!D:D,A270,DATOS!I:I,B270,DATOS!K:K,2),"")</f>
        <v>0</v>
      </c>
      <c r="N270">
        <f>IF(V270="Sí",COUNTIFS(DATOS!G:G,CONFIG_METADATA!$B$4,DATOS!D:D,A270,DATOS!I:I,B270,DATOS!K:K,3),"")</f>
        <v>0</v>
      </c>
      <c r="O270">
        <f>IF(V270="Sí",COUNTIFS(DATOS!G:G,CONFIG_METADATA!$B$4,DATOS!D:D,A270,DATOS!I:I,B270,DATOS!K:K,4),"")</f>
        <v>0</v>
      </c>
      <c r="P270">
        <f>IF(V270="Sí",COUNTIFS(DATOS!G:G,CONFIG_METADATA!$B$4,DATOS!D:D,A270,DATOS!I:I,B270,DATOS!K:K,5),"")</f>
        <v>0</v>
      </c>
      <c r="Q270">
        <f>IF(V270="Sí",COUNTIFS(DATOS!G:G,CONFIG_METADATA!$B$4,DATOS!D:D,A270,DATOS!I:I,B270,DATOS!K:K,6),"")</f>
        <v>0</v>
      </c>
      <c r="R270">
        <f>IF(V270="Sí",COUNTIFS(DATOS!G:G,CONFIG_METADATA!$B$4,DATOS!D:D,A270,DATOS!I:I,B270,DATOS!K:K,7),"")</f>
        <v>0</v>
      </c>
      <c r="S270">
        <f>IF(V270="Sí",COUNTIFS(DATOS!G:G,CONFIG_METADATA!$B$4,DATOS!D:D,A270,DATOS!I:I,B270,DATOS!K:K,8),"")</f>
        <v>0</v>
      </c>
      <c r="T270">
        <f>IF(V270="Sí",COUNTIFS(DATOS!G:G,CONFIG_METADATA!$B$4,DATOS!D:D,A270,DATOS!I:I,B270,DATOS!K:K,9),"")</f>
        <v>0</v>
      </c>
      <c r="U270">
        <f>IF(V270="Sí",COUNTIFS(DATOS!G:G,CONFIG_METADATA!$B$4,DATOS!D:D,A270,DATOS!I:I,B270,DATOS!K:K,10),"")</f>
        <v>0</v>
      </c>
      <c r="V270" t="str">
        <f>IFERROR(IF(ISERROR(FIND(A270,VLOOKUP(B270,CONFIG_ASIGNATURAS!B:C,2,FALSE()))),"No","Sí"),"No")</f>
        <v>Sí</v>
      </c>
    </row>
    <row r="271" spans="1:22">
      <c r="A271" s="3" t="inlineStr">
        <is>
          <t xml:space="preserve">4EEM</t>
        </is>
      </c>
      <c r="B271" s="3" cm="1">
        <f t="array" ref="B271">IFERROR(INDEX(_xlfn._xlws.FILTER(CONFIG_ASIGNATURAS!$B$2:$B$61,(CONFIG_ASIGNATURAS!$G$2:$G$61="Sí")*ISNUMBER(SEARCH("4EEM",CONFIG_ASIGNATURAS!$C$2:$C$61))),15),"")</f>
      </c>
      <c r="C271" s="3">
        <f>IF(B271="","",IFERROR(IF(VLOOKUP(B271,CONFIG_ASIGNATURAS!$B$2:$F$61,5,FALSE())="Sí","Especialidad","Asignatura"),"Asignatura"))</f>
      </c>
      <c r="D271">
        <f>IF(V271="Sí",COUNTIFS(DATOS!G:G,CONFIG_METADATA!$B$4,DATOS!D:D,A271,DATOS!I:I,B271),"")</f>
        <v>0</v>
      </c>
      <c r="E271" s="14" t="str">
        <f>IF(V271="Sí",IFERROR(AVERAGEIFS(DATOS!K:K,DATOS!G:G,CONFIG_METADATA!$B$4,DATOS!D:D,A271,DATOS!I:I,B271),"—"),"")</f>
        <v>—</v>
      </c>
      <c r="F271" s="14" t="str" cm="1">
        <f t="array" ref="F271">IF(V271="Sí",IFERROR(_xlfn.STDEV.P(IF((nEVAL=CONFIG_METADATA!$B$4)*(nCURSO=A271)*(nASIG=B271),nNOTA)),"—"),"")</f>
        <v>—</v>
      </c>
      <c r="G271" t="str" cm="1">
        <f t="array" ref="G271">IF(V271="Sí",IFERROR(_xlfn.MODE.SNGL(IF((nEVAL=CONFIG_METADATA!$B$4)*(nCURSO=A271)*(nASIG=B271),nNOTA)),"—"),"")</f>
        <v>—</v>
      </c>
      <c r="H271" s="15" t="str">
        <f>IF(V271="Sí",IFERROR(COUNTIFS(DATOS!G:G,CONFIG_METADATA!$B$4,DATOS!D:D,A271,DATOS!I:I,B271,DATOS!L:L,"S")/COUNTIFS(DATOS!G:G,CONFIG_METADATA!$B$4,DATOS!D:D,A271,DATOS!I:I,B271),"—"),"")</f>
        <v>—</v>
      </c>
      <c r="I271" s="15" t="str">
        <f>IF(V271="Sí",IFERROR(COUNTIFS(DATOS!G:G,CONFIG_METADATA!$B$4,DATOS!D:D,A271,DATOS!I:I,B271,DATOS!L:L,"N")/COUNTIFS(DATOS!G:G,CONFIG_METADATA!$B$4,DATOS!D:D,A271,DATOS!I:I,B271),"—"),"")</f>
        <v>—</v>
      </c>
      <c r="J271" t="str" cm="1">
        <f t="array" ref="J271">IF(V271="Sí",IFERROR(_xlfn.MODE.SNGL(IF((nEVAL=CONFIG_METADATA!$B$4)*(nCURSO=A271)*(nASIG=B271)*(nAPTO="S"),nNOTA)),"—"),"")</f>
        <v>—</v>
      </c>
      <c r="K271" t="str" cm="1">
        <f t="array" ref="K271">IF(V271="Sí",IFERROR(_xlfn.MODE.SNGL(IF((nEVAL=CONFIG_METADATA!$B$4)*(nCURSO=A271)*(nASIG=B271)*(nAPTO="N"),nNOTA)),"—"),"")</f>
        <v>—</v>
      </c>
      <c r="L271">
        <f>IF(V271="Sí",COUNTIFS(DATOS!G:G,CONFIG_METADATA!$B$4,DATOS!D:D,A271,DATOS!I:I,B271,DATOS!K:K,1),"")</f>
        <v>0</v>
      </c>
      <c r="M271">
        <f>IF(V271="Sí",COUNTIFS(DATOS!G:G,CONFIG_METADATA!$B$4,DATOS!D:D,A271,DATOS!I:I,B271,DATOS!K:K,2),"")</f>
        <v>0</v>
      </c>
      <c r="N271">
        <f>IF(V271="Sí",COUNTIFS(DATOS!G:G,CONFIG_METADATA!$B$4,DATOS!D:D,A271,DATOS!I:I,B271,DATOS!K:K,3),"")</f>
        <v>0</v>
      </c>
      <c r="O271">
        <f>IF(V271="Sí",COUNTIFS(DATOS!G:G,CONFIG_METADATA!$B$4,DATOS!D:D,A271,DATOS!I:I,B271,DATOS!K:K,4),"")</f>
        <v>0</v>
      </c>
      <c r="P271">
        <f>IF(V271="Sí",COUNTIFS(DATOS!G:G,CONFIG_METADATA!$B$4,DATOS!D:D,A271,DATOS!I:I,B271,DATOS!K:K,5),"")</f>
        <v>0</v>
      </c>
      <c r="Q271">
        <f>IF(V271="Sí",COUNTIFS(DATOS!G:G,CONFIG_METADATA!$B$4,DATOS!D:D,A271,DATOS!I:I,B271,DATOS!K:K,6),"")</f>
        <v>0</v>
      </c>
      <c r="R271">
        <f>IF(V271="Sí",COUNTIFS(DATOS!G:G,CONFIG_METADATA!$B$4,DATOS!D:D,A271,DATOS!I:I,B271,DATOS!K:K,7),"")</f>
        <v>0</v>
      </c>
      <c r="S271">
        <f>IF(V271="Sí",COUNTIFS(DATOS!G:G,CONFIG_METADATA!$B$4,DATOS!D:D,A271,DATOS!I:I,B271,DATOS!K:K,8),"")</f>
        <v>0</v>
      </c>
      <c r="T271">
        <f>IF(V271="Sí",COUNTIFS(DATOS!G:G,CONFIG_METADATA!$B$4,DATOS!D:D,A271,DATOS!I:I,B271,DATOS!K:K,9),"")</f>
        <v>0</v>
      </c>
      <c r="U271">
        <f>IF(V271="Sí",COUNTIFS(DATOS!G:G,CONFIG_METADATA!$B$4,DATOS!D:D,A271,DATOS!I:I,B271,DATOS!K:K,10),"")</f>
        <v>0</v>
      </c>
      <c r="V271" t="str">
        <f>IFERROR(IF(ISERROR(FIND(A271,VLOOKUP(B271,CONFIG_ASIGNATURAS!B:C,2,FALSE()))),"No","Sí"),"No")</f>
        <v>Sí</v>
      </c>
    </row>
    <row r="272" spans="1:22">
      <c r="A272" s="3" t="inlineStr">
        <is>
          <t xml:space="preserve">4EEM</t>
        </is>
      </c>
      <c r="B272" s="3" cm="1">
        <f t="array" ref="B272">IFERROR(INDEX(_xlfn._xlws.FILTER(CONFIG_ASIGNATURAS!$B$2:$B$61,(CONFIG_ASIGNATURAS!$G$2:$G$61="Sí")*ISNUMBER(SEARCH("4EEM",CONFIG_ASIGNATURAS!$C$2:$C$61))),16),"")</f>
      </c>
      <c r="C272" s="3">
        <f>IF(B272="","",IFERROR(IF(VLOOKUP(B272,CONFIG_ASIGNATURAS!$B$2:$F$61,5,FALSE())="Sí","Especialidad","Asignatura"),"Asignatura"))</f>
      </c>
      <c r="D272">
        <f>IF(V272="Sí",COUNTIFS(DATOS!G:G,CONFIG_METADATA!$B$4,DATOS!D:D,A272,DATOS!I:I,B272),"")</f>
        <v>0</v>
      </c>
      <c r="E272" s="14" t="str">
        <f>IF(V272="Sí",IFERROR(AVERAGEIFS(DATOS!K:K,DATOS!G:G,CONFIG_METADATA!$B$4,DATOS!D:D,A272,DATOS!I:I,B272),"—"),"")</f>
        <v>—</v>
      </c>
      <c r="F272" s="14" t="str" cm="1">
        <f t="array" ref="F272">IF(V272="Sí",IFERROR(_xlfn.STDEV.P(IF((nEVAL=CONFIG_METADATA!$B$4)*(nCURSO=A272)*(nASIG=B272),nNOTA)),"—"),"")</f>
        <v>—</v>
      </c>
      <c r="G272" t="str" cm="1">
        <f t="array" ref="G272">IF(V272="Sí",IFERROR(_xlfn.MODE.SNGL(IF((nEVAL=CONFIG_METADATA!$B$4)*(nCURSO=A272)*(nASIG=B272),nNOTA)),"—"),"")</f>
        <v>—</v>
      </c>
      <c r="H272" s="15" t="str">
        <f>IF(V272="Sí",IFERROR(COUNTIFS(DATOS!G:G,CONFIG_METADATA!$B$4,DATOS!D:D,A272,DATOS!I:I,B272,DATOS!L:L,"S")/COUNTIFS(DATOS!G:G,CONFIG_METADATA!$B$4,DATOS!D:D,A272,DATOS!I:I,B272),"—"),"")</f>
        <v>—</v>
      </c>
      <c r="I272" s="15" t="str">
        <f>IF(V272="Sí",IFERROR(COUNTIFS(DATOS!G:G,CONFIG_METADATA!$B$4,DATOS!D:D,A272,DATOS!I:I,B272,DATOS!L:L,"N")/COUNTIFS(DATOS!G:G,CONFIG_METADATA!$B$4,DATOS!D:D,A272,DATOS!I:I,B272),"—"),"")</f>
        <v>—</v>
      </c>
      <c r="J272" t="str" cm="1">
        <f t="array" ref="J272">IF(V272="Sí",IFERROR(_xlfn.MODE.SNGL(IF((nEVAL=CONFIG_METADATA!$B$4)*(nCURSO=A272)*(nASIG=B272)*(nAPTO="S"),nNOTA)),"—"),"")</f>
        <v>—</v>
      </c>
      <c r="K272" t="str" cm="1">
        <f t="array" ref="K272">IF(V272="Sí",IFERROR(_xlfn.MODE.SNGL(IF((nEVAL=CONFIG_METADATA!$B$4)*(nCURSO=A272)*(nASIG=B272)*(nAPTO="N"),nNOTA)),"—"),"")</f>
        <v>—</v>
      </c>
      <c r="L272">
        <f>IF(V272="Sí",COUNTIFS(DATOS!G:G,CONFIG_METADATA!$B$4,DATOS!D:D,A272,DATOS!I:I,B272,DATOS!K:K,1),"")</f>
        <v>0</v>
      </c>
      <c r="M272">
        <f>IF(V272="Sí",COUNTIFS(DATOS!G:G,CONFIG_METADATA!$B$4,DATOS!D:D,A272,DATOS!I:I,B272,DATOS!K:K,2),"")</f>
        <v>0</v>
      </c>
      <c r="N272">
        <f>IF(V272="Sí",COUNTIFS(DATOS!G:G,CONFIG_METADATA!$B$4,DATOS!D:D,A272,DATOS!I:I,B272,DATOS!K:K,3),"")</f>
        <v>0</v>
      </c>
      <c r="O272">
        <f>IF(V272="Sí",COUNTIFS(DATOS!G:G,CONFIG_METADATA!$B$4,DATOS!D:D,A272,DATOS!I:I,B272,DATOS!K:K,4),"")</f>
        <v>0</v>
      </c>
      <c r="P272">
        <f>IF(V272="Sí",COUNTIFS(DATOS!G:G,CONFIG_METADATA!$B$4,DATOS!D:D,A272,DATOS!I:I,B272,DATOS!K:K,5),"")</f>
        <v>0</v>
      </c>
      <c r="Q272">
        <f>IF(V272="Sí",COUNTIFS(DATOS!G:G,CONFIG_METADATA!$B$4,DATOS!D:D,A272,DATOS!I:I,B272,DATOS!K:K,6),"")</f>
        <v>0</v>
      </c>
      <c r="R272">
        <f>IF(V272="Sí",COUNTIFS(DATOS!G:G,CONFIG_METADATA!$B$4,DATOS!D:D,A272,DATOS!I:I,B272,DATOS!K:K,7),"")</f>
        <v>0</v>
      </c>
      <c r="S272">
        <f>IF(V272="Sí",COUNTIFS(DATOS!G:G,CONFIG_METADATA!$B$4,DATOS!D:D,A272,DATOS!I:I,B272,DATOS!K:K,8),"")</f>
        <v>0</v>
      </c>
      <c r="T272">
        <f>IF(V272="Sí",COUNTIFS(DATOS!G:G,CONFIG_METADATA!$B$4,DATOS!D:D,A272,DATOS!I:I,B272,DATOS!K:K,9),"")</f>
        <v>0</v>
      </c>
      <c r="U272">
        <f>IF(V272="Sí",COUNTIFS(DATOS!G:G,CONFIG_METADATA!$B$4,DATOS!D:D,A272,DATOS!I:I,B272,DATOS!K:K,10),"")</f>
        <v>0</v>
      </c>
      <c r="V272" t="str">
        <f>IFERROR(IF(ISERROR(FIND(A272,VLOOKUP(B272,CONFIG_ASIGNATURAS!B:C,2,FALSE()))),"No","Sí"),"No")</f>
        <v>Sí</v>
      </c>
    </row>
    <row r="273" spans="1:22">
      <c r="A273" s="3" t="inlineStr">
        <is>
          <t xml:space="preserve">4EEM</t>
        </is>
      </c>
      <c r="B273" s="3" cm="1">
        <f t="array" ref="B273">IFERROR(INDEX(_xlfn._xlws.FILTER(CONFIG_ASIGNATURAS!$B$2:$B$61,(CONFIG_ASIGNATURAS!$G$2:$G$61="Sí")*ISNUMBER(SEARCH("4EEM",CONFIG_ASIGNATURAS!$C$2:$C$61))),17),"")</f>
      </c>
      <c r="C273" s="3">
        <f>IF(B273="","",IFERROR(IF(VLOOKUP(B273,CONFIG_ASIGNATURAS!$B$2:$F$61,5,FALSE())="Sí","Especialidad","Asignatura"),"Asignatura"))</f>
      </c>
      <c r="D273">
        <f>IF(V273="Sí",COUNTIFS(DATOS!G:G,CONFIG_METADATA!$B$4,DATOS!D:D,A273,DATOS!I:I,B273),"")</f>
        <v>0</v>
      </c>
      <c r="E273" s="14" t="str">
        <f>IF(V273="Sí",IFERROR(AVERAGEIFS(DATOS!K:K,DATOS!G:G,CONFIG_METADATA!$B$4,DATOS!D:D,A273,DATOS!I:I,B273),"—"),"")</f>
        <v>—</v>
      </c>
      <c r="F273" s="14" t="str" cm="1">
        <f t="array" ref="F273">IF(V273="Sí",IFERROR(_xlfn.STDEV.P(IF((nEVAL=CONFIG_METADATA!$B$4)*(nCURSO=A273)*(nASIG=B273),nNOTA)),"—"),"")</f>
        <v>—</v>
      </c>
      <c r="G273" t="str" cm="1">
        <f t="array" ref="G273">IF(V273="Sí",IFERROR(_xlfn.MODE.SNGL(IF((nEVAL=CONFIG_METADATA!$B$4)*(nCURSO=A273)*(nASIG=B273),nNOTA)),"—"),"")</f>
        <v>—</v>
      </c>
      <c r="H273" s="15" t="str">
        <f>IF(V273="Sí",IFERROR(COUNTIFS(DATOS!G:G,CONFIG_METADATA!$B$4,DATOS!D:D,A273,DATOS!I:I,B273,DATOS!L:L,"S")/COUNTIFS(DATOS!G:G,CONFIG_METADATA!$B$4,DATOS!D:D,A273,DATOS!I:I,B273),"—"),"")</f>
        <v>—</v>
      </c>
      <c r="I273" s="15" t="str">
        <f>IF(V273="Sí",IFERROR(COUNTIFS(DATOS!G:G,CONFIG_METADATA!$B$4,DATOS!D:D,A273,DATOS!I:I,B273,DATOS!L:L,"N")/COUNTIFS(DATOS!G:G,CONFIG_METADATA!$B$4,DATOS!D:D,A273,DATOS!I:I,B273),"—"),"")</f>
        <v>—</v>
      </c>
      <c r="J273" t="str" cm="1">
        <f t="array" ref="J273">IF(V273="Sí",IFERROR(_xlfn.MODE.SNGL(IF((nEVAL=CONFIG_METADATA!$B$4)*(nCURSO=A273)*(nASIG=B273)*(nAPTO="S"),nNOTA)),"—"),"")</f>
        <v>—</v>
      </c>
      <c r="K273" t="str" cm="1">
        <f t="array" ref="K273">IF(V273="Sí",IFERROR(_xlfn.MODE.SNGL(IF((nEVAL=CONFIG_METADATA!$B$4)*(nCURSO=A273)*(nASIG=B273)*(nAPTO="N"),nNOTA)),"—"),"")</f>
        <v>—</v>
      </c>
      <c r="L273">
        <f>IF(V273="Sí",COUNTIFS(DATOS!G:G,CONFIG_METADATA!$B$4,DATOS!D:D,A273,DATOS!I:I,B273,DATOS!K:K,1),"")</f>
        <v>0</v>
      </c>
      <c r="M273">
        <f>IF(V273="Sí",COUNTIFS(DATOS!G:G,CONFIG_METADATA!$B$4,DATOS!D:D,A273,DATOS!I:I,B273,DATOS!K:K,2),"")</f>
        <v>0</v>
      </c>
      <c r="N273">
        <f>IF(V273="Sí",COUNTIFS(DATOS!G:G,CONFIG_METADATA!$B$4,DATOS!D:D,A273,DATOS!I:I,B273,DATOS!K:K,3),"")</f>
        <v>0</v>
      </c>
      <c r="O273">
        <f>IF(V273="Sí",COUNTIFS(DATOS!G:G,CONFIG_METADATA!$B$4,DATOS!D:D,A273,DATOS!I:I,B273,DATOS!K:K,4),"")</f>
        <v>0</v>
      </c>
      <c r="P273">
        <f>IF(V273="Sí",COUNTIFS(DATOS!G:G,CONFIG_METADATA!$B$4,DATOS!D:D,A273,DATOS!I:I,B273,DATOS!K:K,5),"")</f>
        <v>0</v>
      </c>
      <c r="Q273">
        <f>IF(V273="Sí",COUNTIFS(DATOS!G:G,CONFIG_METADATA!$B$4,DATOS!D:D,A273,DATOS!I:I,B273,DATOS!K:K,6),"")</f>
        <v>0</v>
      </c>
      <c r="R273">
        <f>IF(V273="Sí",COUNTIFS(DATOS!G:G,CONFIG_METADATA!$B$4,DATOS!D:D,A273,DATOS!I:I,B273,DATOS!K:K,7),"")</f>
        <v>0</v>
      </c>
      <c r="S273">
        <f>IF(V273="Sí",COUNTIFS(DATOS!G:G,CONFIG_METADATA!$B$4,DATOS!D:D,A273,DATOS!I:I,B273,DATOS!K:K,8),"")</f>
        <v>0</v>
      </c>
      <c r="T273">
        <f>IF(V273="Sí",COUNTIFS(DATOS!G:G,CONFIG_METADATA!$B$4,DATOS!D:D,A273,DATOS!I:I,B273,DATOS!K:K,9),"")</f>
        <v>0</v>
      </c>
      <c r="U273">
        <f>IF(V273="Sí",COUNTIFS(DATOS!G:G,CONFIG_METADATA!$B$4,DATOS!D:D,A273,DATOS!I:I,B273,DATOS!K:K,10),"")</f>
        <v>0</v>
      </c>
      <c r="V273" t="str">
        <f>IFERROR(IF(ISERROR(FIND(A273,VLOOKUP(B273,CONFIG_ASIGNATURAS!B:C,2,FALSE()))),"No","Sí"),"No")</f>
        <v>Sí</v>
      </c>
    </row>
    <row r="274" spans="1:22">
      <c r="A274" s="3" t="inlineStr">
        <is>
          <t xml:space="preserve">4EEM</t>
        </is>
      </c>
      <c r="B274" s="3" cm="1">
        <f t="array" ref="B274">IFERROR(INDEX(_xlfn._xlws.FILTER(CONFIG_ASIGNATURAS!$B$2:$B$61,(CONFIG_ASIGNATURAS!$G$2:$G$61="Sí")*ISNUMBER(SEARCH("4EEM",CONFIG_ASIGNATURAS!$C$2:$C$61))),18),"")</f>
      </c>
      <c r="C274" s="3">
        <f>IF(B274="","",IFERROR(IF(VLOOKUP(B274,CONFIG_ASIGNATURAS!$B$2:$F$61,5,FALSE())="Sí","Especialidad","Asignatura"),"Asignatura"))</f>
      </c>
      <c r="D274">
        <f>IF(V274="Sí",COUNTIFS(DATOS!G:G,CONFIG_METADATA!$B$4,DATOS!D:D,A274,DATOS!I:I,B274),"")</f>
        <v>0</v>
      </c>
      <c r="E274" s="14" t="str">
        <f>IF(V274="Sí",IFERROR(AVERAGEIFS(DATOS!K:K,DATOS!G:G,CONFIG_METADATA!$B$4,DATOS!D:D,A274,DATOS!I:I,B274),"—"),"")</f>
        <v>—</v>
      </c>
      <c r="F274" s="14" t="str" cm="1">
        <f t="array" ref="F274">IF(V274="Sí",IFERROR(_xlfn.STDEV.P(IF((nEVAL=CONFIG_METADATA!$B$4)*(nCURSO=A274)*(nASIG=B274),nNOTA)),"—"),"")</f>
        <v>—</v>
      </c>
      <c r="G274" t="str" cm="1">
        <f t="array" ref="G274">IF(V274="Sí",IFERROR(_xlfn.MODE.SNGL(IF((nEVAL=CONFIG_METADATA!$B$4)*(nCURSO=A274)*(nASIG=B274),nNOTA)),"—"),"")</f>
        <v>—</v>
      </c>
      <c r="H274" s="15" t="str">
        <f>IF(V274="Sí",IFERROR(COUNTIFS(DATOS!G:G,CONFIG_METADATA!$B$4,DATOS!D:D,A274,DATOS!I:I,B274,DATOS!L:L,"S")/COUNTIFS(DATOS!G:G,CONFIG_METADATA!$B$4,DATOS!D:D,A274,DATOS!I:I,B274),"—"),"")</f>
        <v>—</v>
      </c>
      <c r="I274" s="15" t="str">
        <f>IF(V274="Sí",IFERROR(COUNTIFS(DATOS!G:G,CONFIG_METADATA!$B$4,DATOS!D:D,A274,DATOS!I:I,B274,DATOS!L:L,"N")/COUNTIFS(DATOS!G:G,CONFIG_METADATA!$B$4,DATOS!D:D,A274,DATOS!I:I,B274),"—"),"")</f>
        <v>—</v>
      </c>
      <c r="J274" t="str" cm="1">
        <f t="array" ref="J274">IF(V274="Sí",IFERROR(_xlfn.MODE.SNGL(IF((nEVAL=CONFIG_METADATA!$B$4)*(nCURSO=A274)*(nASIG=B274)*(nAPTO="S"),nNOTA)),"—"),"")</f>
        <v>—</v>
      </c>
      <c r="K274" t="str" cm="1">
        <f t="array" ref="K274">IF(V274="Sí",IFERROR(_xlfn.MODE.SNGL(IF((nEVAL=CONFIG_METADATA!$B$4)*(nCURSO=A274)*(nASIG=B274)*(nAPTO="N"),nNOTA)),"—"),"")</f>
        <v>—</v>
      </c>
      <c r="L274">
        <f>IF(V274="Sí",COUNTIFS(DATOS!G:G,CONFIG_METADATA!$B$4,DATOS!D:D,A274,DATOS!I:I,B274,DATOS!K:K,1),"")</f>
        <v>0</v>
      </c>
      <c r="M274">
        <f>IF(V274="Sí",COUNTIFS(DATOS!G:G,CONFIG_METADATA!$B$4,DATOS!D:D,A274,DATOS!I:I,B274,DATOS!K:K,2),"")</f>
        <v>0</v>
      </c>
      <c r="N274">
        <f>IF(V274="Sí",COUNTIFS(DATOS!G:G,CONFIG_METADATA!$B$4,DATOS!D:D,A274,DATOS!I:I,B274,DATOS!K:K,3),"")</f>
        <v>0</v>
      </c>
      <c r="O274">
        <f>IF(V274="Sí",COUNTIFS(DATOS!G:G,CONFIG_METADATA!$B$4,DATOS!D:D,A274,DATOS!I:I,B274,DATOS!K:K,4),"")</f>
        <v>0</v>
      </c>
      <c r="P274">
        <f>IF(V274="Sí",COUNTIFS(DATOS!G:G,CONFIG_METADATA!$B$4,DATOS!D:D,A274,DATOS!I:I,B274,DATOS!K:K,5),"")</f>
        <v>0</v>
      </c>
      <c r="Q274">
        <f>IF(V274="Sí",COUNTIFS(DATOS!G:G,CONFIG_METADATA!$B$4,DATOS!D:D,A274,DATOS!I:I,B274,DATOS!K:K,6),"")</f>
        <v>0</v>
      </c>
      <c r="R274">
        <f>IF(V274="Sí",COUNTIFS(DATOS!G:G,CONFIG_METADATA!$B$4,DATOS!D:D,A274,DATOS!I:I,B274,DATOS!K:K,7),"")</f>
        <v>0</v>
      </c>
      <c r="S274">
        <f>IF(V274="Sí",COUNTIFS(DATOS!G:G,CONFIG_METADATA!$B$4,DATOS!D:D,A274,DATOS!I:I,B274,DATOS!K:K,8),"")</f>
        <v>0</v>
      </c>
      <c r="T274">
        <f>IF(V274="Sí",COUNTIFS(DATOS!G:G,CONFIG_METADATA!$B$4,DATOS!D:D,A274,DATOS!I:I,B274,DATOS!K:K,9),"")</f>
        <v>0</v>
      </c>
      <c r="U274">
        <f>IF(V274="Sí",COUNTIFS(DATOS!G:G,CONFIG_METADATA!$B$4,DATOS!D:D,A274,DATOS!I:I,B274,DATOS!K:K,10),"")</f>
        <v>0</v>
      </c>
      <c r="V274" t="str">
        <f>IFERROR(IF(ISERROR(FIND(A274,VLOOKUP(B274,CONFIG_ASIGNATURAS!B:C,2,FALSE()))),"No","Sí"),"No")</f>
        <v>Sí</v>
      </c>
    </row>
    <row r="275" spans="1:22">
      <c r="A275" s="3" t="inlineStr">
        <is>
          <t xml:space="preserve">4EEM</t>
        </is>
      </c>
      <c r="B275" s="3" cm="1">
        <f t="array" ref="B275">IFERROR(INDEX(_xlfn._xlws.FILTER(CONFIG_ASIGNATURAS!$B$2:$B$61,(CONFIG_ASIGNATURAS!$G$2:$G$61="Sí")*ISNUMBER(SEARCH("4EEM",CONFIG_ASIGNATURAS!$C$2:$C$61))),19),"")</f>
      </c>
      <c r="C275" s="3">
        <f>IF(B275="","",IFERROR(IF(VLOOKUP(B275,CONFIG_ASIGNATURAS!$B$2:$F$61,5,FALSE())="Sí","Especialidad","Asignatura"),"Asignatura"))</f>
      </c>
      <c r="D275">
        <f>IF(V275="Sí",COUNTIFS(DATOS!G:G,CONFIG_METADATA!$B$4,DATOS!D:D,A275,DATOS!I:I,B275),"")</f>
        <v>0</v>
      </c>
      <c r="E275" s="14" t="str">
        <f>IF(V275="Sí",IFERROR(AVERAGEIFS(DATOS!K:K,DATOS!G:G,CONFIG_METADATA!$B$4,DATOS!D:D,A275,DATOS!I:I,B275),"—"),"")</f>
        <v>—</v>
      </c>
      <c r="F275" s="14" t="str" cm="1">
        <f t="array" ref="F275">IF(V275="Sí",IFERROR(_xlfn.STDEV.P(IF((nEVAL=CONFIG_METADATA!$B$4)*(nCURSO=A275)*(nASIG=B275),nNOTA)),"—"),"")</f>
        <v>—</v>
      </c>
      <c r="G275" t="str" cm="1">
        <f t="array" ref="G275">IF(V275="Sí",IFERROR(_xlfn.MODE.SNGL(IF((nEVAL=CONFIG_METADATA!$B$4)*(nCURSO=A275)*(nASIG=B275),nNOTA)),"—"),"")</f>
        <v>—</v>
      </c>
      <c r="H275" s="15" t="str">
        <f>IF(V275="Sí",IFERROR(COUNTIFS(DATOS!G:G,CONFIG_METADATA!$B$4,DATOS!D:D,A275,DATOS!I:I,B275,DATOS!L:L,"S")/COUNTIFS(DATOS!G:G,CONFIG_METADATA!$B$4,DATOS!D:D,A275,DATOS!I:I,B275),"—"),"")</f>
        <v>—</v>
      </c>
      <c r="I275" s="15" t="str">
        <f>IF(V275="Sí",IFERROR(COUNTIFS(DATOS!G:G,CONFIG_METADATA!$B$4,DATOS!D:D,A275,DATOS!I:I,B275,DATOS!L:L,"N")/COUNTIFS(DATOS!G:G,CONFIG_METADATA!$B$4,DATOS!D:D,A275,DATOS!I:I,B275),"—"),"")</f>
        <v>—</v>
      </c>
      <c r="J275" t="str" cm="1">
        <f t="array" ref="J275">IF(V275="Sí",IFERROR(_xlfn.MODE.SNGL(IF((nEVAL=CONFIG_METADATA!$B$4)*(nCURSO=A275)*(nASIG=B275)*(nAPTO="S"),nNOTA)),"—"),"")</f>
        <v>—</v>
      </c>
      <c r="K275" t="str" cm="1">
        <f t="array" ref="K275">IF(V275="Sí",IFERROR(_xlfn.MODE.SNGL(IF((nEVAL=CONFIG_METADATA!$B$4)*(nCURSO=A275)*(nASIG=B275)*(nAPTO="N"),nNOTA)),"—"),"")</f>
        <v>—</v>
      </c>
      <c r="L275">
        <f>IF(V275="Sí",COUNTIFS(DATOS!G:G,CONFIG_METADATA!$B$4,DATOS!D:D,A275,DATOS!I:I,B275,DATOS!K:K,1),"")</f>
        <v>0</v>
      </c>
      <c r="M275">
        <f>IF(V275="Sí",COUNTIFS(DATOS!G:G,CONFIG_METADATA!$B$4,DATOS!D:D,A275,DATOS!I:I,B275,DATOS!K:K,2),"")</f>
        <v>0</v>
      </c>
      <c r="N275">
        <f>IF(V275="Sí",COUNTIFS(DATOS!G:G,CONFIG_METADATA!$B$4,DATOS!D:D,A275,DATOS!I:I,B275,DATOS!K:K,3),"")</f>
        <v>0</v>
      </c>
      <c r="O275">
        <f>IF(V275="Sí",COUNTIFS(DATOS!G:G,CONFIG_METADATA!$B$4,DATOS!D:D,A275,DATOS!I:I,B275,DATOS!K:K,4),"")</f>
        <v>0</v>
      </c>
      <c r="P275">
        <f>IF(V275="Sí",COUNTIFS(DATOS!G:G,CONFIG_METADATA!$B$4,DATOS!D:D,A275,DATOS!I:I,B275,DATOS!K:K,5),"")</f>
        <v>0</v>
      </c>
      <c r="Q275">
        <f>IF(V275="Sí",COUNTIFS(DATOS!G:G,CONFIG_METADATA!$B$4,DATOS!D:D,A275,DATOS!I:I,B275,DATOS!K:K,6),"")</f>
        <v>0</v>
      </c>
      <c r="R275">
        <f>IF(V275="Sí",COUNTIFS(DATOS!G:G,CONFIG_METADATA!$B$4,DATOS!D:D,A275,DATOS!I:I,B275,DATOS!K:K,7),"")</f>
        <v>0</v>
      </c>
      <c r="S275">
        <f>IF(V275="Sí",COUNTIFS(DATOS!G:G,CONFIG_METADATA!$B$4,DATOS!D:D,A275,DATOS!I:I,B275,DATOS!K:K,8),"")</f>
        <v>0</v>
      </c>
      <c r="T275">
        <f>IF(V275="Sí",COUNTIFS(DATOS!G:G,CONFIG_METADATA!$B$4,DATOS!D:D,A275,DATOS!I:I,B275,DATOS!K:K,9),"")</f>
        <v>0</v>
      </c>
      <c r="U275">
        <f>IF(V275="Sí",COUNTIFS(DATOS!G:G,CONFIG_METADATA!$B$4,DATOS!D:D,A275,DATOS!I:I,B275,DATOS!K:K,10),"")</f>
        <v>0</v>
      </c>
      <c r="V275" t="str">
        <f>IFERROR(IF(ISERROR(FIND(A275,VLOOKUP(B275,CONFIG_ASIGNATURAS!B:C,2,FALSE()))),"No","Sí"),"No")</f>
        <v>Sí</v>
      </c>
    </row>
    <row r="276" spans="1:22">
      <c r="A276" s="3" t="inlineStr">
        <is>
          <t xml:space="preserve">4EEM</t>
        </is>
      </c>
      <c r="B276" s="3" cm="1">
        <f t="array" ref="B276">IFERROR(INDEX(_xlfn._xlws.FILTER(CONFIG_ASIGNATURAS!$B$2:$B$61,(CONFIG_ASIGNATURAS!$G$2:$G$61="Sí")*ISNUMBER(SEARCH("4EEM",CONFIG_ASIGNATURAS!$C$2:$C$61))),20),"")</f>
      </c>
      <c r="C276" s="3">
        <f>IF(B276="","",IFERROR(IF(VLOOKUP(B276,CONFIG_ASIGNATURAS!$B$2:$F$61,5,FALSE())="Sí","Especialidad","Asignatura"),"Asignatura"))</f>
      </c>
      <c r="D276">
        <f>IF(V276="Sí",COUNTIFS(DATOS!G:G,CONFIG_METADATA!$B$4,DATOS!D:D,A276,DATOS!I:I,B276),"")</f>
        <v>0</v>
      </c>
      <c r="E276" s="14" t="str">
        <f>IF(V276="Sí",IFERROR(AVERAGEIFS(DATOS!K:K,DATOS!G:G,CONFIG_METADATA!$B$4,DATOS!D:D,A276,DATOS!I:I,B276),"—"),"")</f>
        <v>—</v>
      </c>
      <c r="F276" s="14" t="str" cm="1">
        <f t="array" ref="F276">IF(V276="Sí",IFERROR(_xlfn.STDEV.P(IF((nEVAL=CONFIG_METADATA!$B$4)*(nCURSO=A276)*(nASIG=B276),nNOTA)),"—"),"")</f>
        <v>—</v>
      </c>
      <c r="G276" t="str" cm="1">
        <f t="array" ref="G276">IF(V276="Sí",IFERROR(_xlfn.MODE.SNGL(IF((nEVAL=CONFIG_METADATA!$B$4)*(nCURSO=A276)*(nASIG=B276),nNOTA)),"—"),"")</f>
        <v>—</v>
      </c>
      <c r="H276" s="15" t="str">
        <f>IF(V276="Sí",IFERROR(COUNTIFS(DATOS!G:G,CONFIG_METADATA!$B$4,DATOS!D:D,A276,DATOS!I:I,B276,DATOS!L:L,"S")/COUNTIFS(DATOS!G:G,CONFIG_METADATA!$B$4,DATOS!D:D,A276,DATOS!I:I,B276),"—"),"")</f>
        <v>—</v>
      </c>
      <c r="I276" s="15" t="str">
        <f>IF(V276="Sí",IFERROR(COUNTIFS(DATOS!G:G,CONFIG_METADATA!$B$4,DATOS!D:D,A276,DATOS!I:I,B276,DATOS!L:L,"N")/COUNTIFS(DATOS!G:G,CONFIG_METADATA!$B$4,DATOS!D:D,A276,DATOS!I:I,B276),"—"),"")</f>
        <v>—</v>
      </c>
      <c r="J276" t="str" cm="1">
        <f t="array" ref="J276">IF(V276="Sí",IFERROR(_xlfn.MODE.SNGL(IF((nEVAL=CONFIG_METADATA!$B$4)*(nCURSO=A276)*(nASIG=B276)*(nAPTO="S"),nNOTA)),"—"),"")</f>
        <v>—</v>
      </c>
      <c r="K276" t="str" cm="1">
        <f t="array" ref="K276">IF(V276="Sí",IFERROR(_xlfn.MODE.SNGL(IF((nEVAL=CONFIG_METADATA!$B$4)*(nCURSO=A276)*(nASIG=B276)*(nAPTO="N"),nNOTA)),"—"),"")</f>
        <v>—</v>
      </c>
      <c r="L276">
        <f>IF(V276="Sí",COUNTIFS(DATOS!G:G,CONFIG_METADATA!$B$4,DATOS!D:D,A276,DATOS!I:I,B276,DATOS!K:K,1),"")</f>
        <v>0</v>
      </c>
      <c r="M276">
        <f>IF(V276="Sí",COUNTIFS(DATOS!G:G,CONFIG_METADATA!$B$4,DATOS!D:D,A276,DATOS!I:I,B276,DATOS!K:K,2),"")</f>
        <v>0</v>
      </c>
      <c r="N276">
        <f>IF(V276="Sí",COUNTIFS(DATOS!G:G,CONFIG_METADATA!$B$4,DATOS!D:D,A276,DATOS!I:I,B276,DATOS!K:K,3),"")</f>
        <v>0</v>
      </c>
      <c r="O276">
        <f>IF(V276="Sí",COUNTIFS(DATOS!G:G,CONFIG_METADATA!$B$4,DATOS!D:D,A276,DATOS!I:I,B276,DATOS!K:K,4),"")</f>
        <v>0</v>
      </c>
      <c r="P276">
        <f>IF(V276="Sí",COUNTIFS(DATOS!G:G,CONFIG_METADATA!$B$4,DATOS!D:D,A276,DATOS!I:I,B276,DATOS!K:K,5),"")</f>
        <v>0</v>
      </c>
      <c r="Q276">
        <f>IF(V276="Sí",COUNTIFS(DATOS!G:G,CONFIG_METADATA!$B$4,DATOS!D:D,A276,DATOS!I:I,B276,DATOS!K:K,6),"")</f>
        <v>0</v>
      </c>
      <c r="R276">
        <f>IF(V276="Sí",COUNTIFS(DATOS!G:G,CONFIG_METADATA!$B$4,DATOS!D:D,A276,DATOS!I:I,B276,DATOS!K:K,7),"")</f>
        <v>0</v>
      </c>
      <c r="S276">
        <f>IF(V276="Sí",COUNTIFS(DATOS!G:G,CONFIG_METADATA!$B$4,DATOS!D:D,A276,DATOS!I:I,B276,DATOS!K:K,8),"")</f>
        <v>0</v>
      </c>
      <c r="T276">
        <f>IF(V276="Sí",COUNTIFS(DATOS!G:G,CONFIG_METADATA!$B$4,DATOS!D:D,A276,DATOS!I:I,B276,DATOS!K:K,9),"")</f>
        <v>0</v>
      </c>
      <c r="U276">
        <f>IF(V276="Sí",COUNTIFS(DATOS!G:G,CONFIG_METADATA!$B$4,DATOS!D:D,A276,DATOS!I:I,B276,DATOS!K:K,10),"")</f>
        <v>0</v>
      </c>
      <c r="V276" t="str">
        <f>IFERROR(IF(ISERROR(FIND(A276,VLOOKUP(B276,CONFIG_ASIGNATURAS!B:C,2,FALSE()))),"No","Sí"),"No")</f>
        <v>Sí</v>
      </c>
    </row>
    <row r="277" spans="1:22">
      <c r="A277" s="3" t="inlineStr">
        <is>
          <t xml:space="preserve">4EEM</t>
        </is>
      </c>
      <c r="B277" s="3" cm="1">
        <f t="array" ref="B277">IFERROR(INDEX(_xlfn._xlws.FILTER(CONFIG_ASIGNATURAS!$B$2:$B$61,(CONFIG_ASIGNATURAS!$G$2:$G$61="Sí")*ISNUMBER(SEARCH("4EEM",CONFIG_ASIGNATURAS!$C$2:$C$61))),21),"")</f>
      </c>
      <c r="C277" s="3">
        <f>IF(B277="","",IFERROR(IF(VLOOKUP(B277,CONFIG_ASIGNATURAS!$B$2:$F$61,5,FALSE())="Sí","Especialidad","Asignatura"),"Asignatura"))</f>
      </c>
      <c r="D277">
        <f>IF(V277="Sí",COUNTIFS(DATOS!G:G,CONFIG_METADATA!$B$4,DATOS!D:D,A277,DATOS!I:I,B277),"")</f>
        <v>0</v>
      </c>
      <c r="E277" s="14" t="str">
        <f>IF(V277="Sí",IFERROR(AVERAGEIFS(DATOS!K:K,DATOS!G:G,CONFIG_METADATA!$B$4,DATOS!D:D,A277,DATOS!I:I,B277),"—"),"")</f>
        <v>—</v>
      </c>
      <c r="F277" s="14" t="str" cm="1">
        <f t="array" ref="F277">IF(V277="Sí",IFERROR(_xlfn.STDEV.P(IF((nEVAL=CONFIG_METADATA!$B$4)*(nCURSO=A277)*(nASIG=B277),nNOTA)),"—"),"")</f>
        <v>—</v>
      </c>
      <c r="G277" t="str" cm="1">
        <f t="array" ref="G277">IF(V277="Sí",IFERROR(_xlfn.MODE.SNGL(IF((nEVAL=CONFIG_METADATA!$B$4)*(nCURSO=A277)*(nASIG=B277),nNOTA)),"—"),"")</f>
        <v>—</v>
      </c>
      <c r="H277" s="15" t="str">
        <f>IF(V277="Sí",IFERROR(COUNTIFS(DATOS!G:G,CONFIG_METADATA!$B$4,DATOS!D:D,A277,DATOS!I:I,B277,DATOS!L:L,"S")/COUNTIFS(DATOS!G:G,CONFIG_METADATA!$B$4,DATOS!D:D,A277,DATOS!I:I,B277),"—"),"")</f>
        <v>—</v>
      </c>
      <c r="I277" s="15" t="str">
        <f>IF(V277="Sí",IFERROR(COUNTIFS(DATOS!G:G,CONFIG_METADATA!$B$4,DATOS!D:D,A277,DATOS!I:I,B277,DATOS!L:L,"N")/COUNTIFS(DATOS!G:G,CONFIG_METADATA!$B$4,DATOS!D:D,A277,DATOS!I:I,B277),"—"),"")</f>
        <v>—</v>
      </c>
      <c r="J277" t="str" cm="1">
        <f t="array" ref="J277">IF(V277="Sí",IFERROR(_xlfn.MODE.SNGL(IF((nEVAL=CONFIG_METADATA!$B$4)*(nCURSO=A277)*(nASIG=B277)*(nAPTO="S"),nNOTA)),"—"),"")</f>
        <v>—</v>
      </c>
      <c r="K277" t="str" cm="1">
        <f t="array" ref="K277">IF(V277="Sí",IFERROR(_xlfn.MODE.SNGL(IF((nEVAL=CONFIG_METADATA!$B$4)*(nCURSO=A277)*(nASIG=B277)*(nAPTO="N"),nNOTA)),"—"),"")</f>
        <v>—</v>
      </c>
      <c r="L277">
        <f>IF(V277="Sí",COUNTIFS(DATOS!G:G,CONFIG_METADATA!$B$4,DATOS!D:D,A277,DATOS!I:I,B277,DATOS!K:K,1),"")</f>
        <v>0</v>
      </c>
      <c r="M277">
        <f>IF(V277="Sí",COUNTIFS(DATOS!G:G,CONFIG_METADATA!$B$4,DATOS!D:D,A277,DATOS!I:I,B277,DATOS!K:K,2),"")</f>
        <v>0</v>
      </c>
      <c r="N277">
        <f>IF(V277="Sí",COUNTIFS(DATOS!G:G,CONFIG_METADATA!$B$4,DATOS!D:D,A277,DATOS!I:I,B277,DATOS!K:K,3),"")</f>
        <v>0</v>
      </c>
      <c r="O277">
        <f>IF(V277="Sí",COUNTIFS(DATOS!G:G,CONFIG_METADATA!$B$4,DATOS!D:D,A277,DATOS!I:I,B277,DATOS!K:K,4),"")</f>
        <v>0</v>
      </c>
      <c r="P277">
        <f>IF(V277="Sí",COUNTIFS(DATOS!G:G,CONFIG_METADATA!$B$4,DATOS!D:D,A277,DATOS!I:I,B277,DATOS!K:K,5),"")</f>
        <v>0</v>
      </c>
      <c r="Q277">
        <f>IF(V277="Sí",COUNTIFS(DATOS!G:G,CONFIG_METADATA!$B$4,DATOS!D:D,A277,DATOS!I:I,B277,DATOS!K:K,6),"")</f>
        <v>0</v>
      </c>
      <c r="R277">
        <f>IF(V277="Sí",COUNTIFS(DATOS!G:G,CONFIG_METADATA!$B$4,DATOS!D:D,A277,DATOS!I:I,B277,DATOS!K:K,7),"")</f>
        <v>0</v>
      </c>
      <c r="S277">
        <f>IF(V277="Sí",COUNTIFS(DATOS!G:G,CONFIG_METADATA!$B$4,DATOS!D:D,A277,DATOS!I:I,B277,DATOS!K:K,8),"")</f>
        <v>0</v>
      </c>
      <c r="T277">
        <f>IF(V277="Sí",COUNTIFS(DATOS!G:G,CONFIG_METADATA!$B$4,DATOS!D:D,A277,DATOS!I:I,B277,DATOS!K:K,9),"")</f>
        <v>0</v>
      </c>
      <c r="U277">
        <f>IF(V277="Sí",COUNTIFS(DATOS!G:G,CONFIG_METADATA!$B$4,DATOS!D:D,A277,DATOS!I:I,B277,DATOS!K:K,10),"")</f>
        <v>0</v>
      </c>
      <c r="V277" t="str">
        <f>IFERROR(IF(ISERROR(FIND(A277,VLOOKUP(B277,CONFIG_ASIGNATURAS!B:C,2,FALSE()))),"No","Sí"),"No")</f>
        <v>Sí</v>
      </c>
    </row>
    <row r="278" spans="1:22">
      <c r="A278" s="3" t="inlineStr">
        <is>
          <t xml:space="preserve">4EEM</t>
        </is>
      </c>
      <c r="B278" s="3" cm="1">
        <f t="array" ref="B278">IFERROR(INDEX(_xlfn._xlws.FILTER(CONFIG_ASIGNATURAS!$B$2:$B$61,(CONFIG_ASIGNATURAS!$G$2:$G$61="Sí")*ISNUMBER(SEARCH("4EEM",CONFIG_ASIGNATURAS!$C$2:$C$61))),22),"")</f>
      </c>
      <c r="C278" s="3">
        <f>IF(B278="","",IFERROR(IF(VLOOKUP(B278,CONFIG_ASIGNATURAS!$B$2:$F$61,5,FALSE())="Sí","Especialidad","Asignatura"),"Asignatura"))</f>
      </c>
      <c r="D278">
        <f>IF(V278="Sí",COUNTIFS(DATOS!G:G,CONFIG_METADATA!$B$4,DATOS!D:D,A278,DATOS!I:I,B278),"")</f>
        <v>0</v>
      </c>
      <c r="E278" s="14" t="str">
        <f>IF(V278="Sí",IFERROR(AVERAGEIFS(DATOS!K:K,DATOS!G:G,CONFIG_METADATA!$B$4,DATOS!D:D,A278,DATOS!I:I,B278),"—"),"")</f>
        <v>—</v>
      </c>
      <c r="F278" s="14" t="str" cm="1">
        <f t="array" ref="F278">IF(V278="Sí",IFERROR(_xlfn.STDEV.P(IF((nEVAL=CONFIG_METADATA!$B$4)*(nCURSO=A278)*(nASIG=B278),nNOTA)),"—"),"")</f>
        <v>—</v>
      </c>
      <c r="G278" t="str" cm="1">
        <f t="array" ref="G278">IF(V278="Sí",IFERROR(_xlfn.MODE.SNGL(IF((nEVAL=CONFIG_METADATA!$B$4)*(nCURSO=A278)*(nASIG=B278),nNOTA)),"—"),"")</f>
        <v>—</v>
      </c>
      <c r="H278" s="15" t="str">
        <f>IF(V278="Sí",IFERROR(COUNTIFS(DATOS!G:G,CONFIG_METADATA!$B$4,DATOS!D:D,A278,DATOS!I:I,B278,DATOS!L:L,"S")/COUNTIFS(DATOS!G:G,CONFIG_METADATA!$B$4,DATOS!D:D,A278,DATOS!I:I,B278),"—"),"")</f>
        <v>—</v>
      </c>
      <c r="I278" s="15" t="str">
        <f>IF(V278="Sí",IFERROR(COUNTIFS(DATOS!G:G,CONFIG_METADATA!$B$4,DATOS!D:D,A278,DATOS!I:I,B278,DATOS!L:L,"N")/COUNTIFS(DATOS!G:G,CONFIG_METADATA!$B$4,DATOS!D:D,A278,DATOS!I:I,B278),"—"),"")</f>
        <v>—</v>
      </c>
      <c r="J278" t="str" cm="1">
        <f t="array" ref="J278">IF(V278="Sí",IFERROR(_xlfn.MODE.SNGL(IF((nEVAL=CONFIG_METADATA!$B$4)*(nCURSO=A278)*(nASIG=B278)*(nAPTO="S"),nNOTA)),"—"),"")</f>
        <v>—</v>
      </c>
      <c r="K278" t="str" cm="1">
        <f t="array" ref="K278">IF(V278="Sí",IFERROR(_xlfn.MODE.SNGL(IF((nEVAL=CONFIG_METADATA!$B$4)*(nCURSO=A278)*(nASIG=B278)*(nAPTO="N"),nNOTA)),"—"),"")</f>
        <v>—</v>
      </c>
      <c r="L278">
        <f>IF(V278="Sí",COUNTIFS(DATOS!G:G,CONFIG_METADATA!$B$4,DATOS!D:D,A278,DATOS!I:I,B278,DATOS!K:K,1),"")</f>
        <v>0</v>
      </c>
      <c r="M278">
        <f>IF(V278="Sí",COUNTIFS(DATOS!G:G,CONFIG_METADATA!$B$4,DATOS!D:D,A278,DATOS!I:I,B278,DATOS!K:K,2),"")</f>
        <v>0</v>
      </c>
      <c r="N278">
        <f>IF(V278="Sí",COUNTIFS(DATOS!G:G,CONFIG_METADATA!$B$4,DATOS!D:D,A278,DATOS!I:I,B278,DATOS!K:K,3),"")</f>
        <v>0</v>
      </c>
      <c r="O278">
        <f>IF(V278="Sí",COUNTIFS(DATOS!G:G,CONFIG_METADATA!$B$4,DATOS!D:D,A278,DATOS!I:I,B278,DATOS!K:K,4),"")</f>
        <v>0</v>
      </c>
      <c r="P278">
        <f>IF(V278="Sí",COUNTIFS(DATOS!G:G,CONFIG_METADATA!$B$4,DATOS!D:D,A278,DATOS!I:I,B278,DATOS!K:K,5),"")</f>
        <v>0</v>
      </c>
      <c r="Q278">
        <f>IF(V278="Sí",COUNTIFS(DATOS!G:G,CONFIG_METADATA!$B$4,DATOS!D:D,A278,DATOS!I:I,B278,DATOS!K:K,6),"")</f>
        <v>0</v>
      </c>
      <c r="R278">
        <f>IF(V278="Sí",COUNTIFS(DATOS!G:G,CONFIG_METADATA!$B$4,DATOS!D:D,A278,DATOS!I:I,B278,DATOS!K:K,7),"")</f>
        <v>0</v>
      </c>
      <c r="S278">
        <f>IF(V278="Sí",COUNTIFS(DATOS!G:G,CONFIG_METADATA!$B$4,DATOS!D:D,A278,DATOS!I:I,B278,DATOS!K:K,8),"")</f>
        <v>0</v>
      </c>
      <c r="T278">
        <f>IF(V278="Sí",COUNTIFS(DATOS!G:G,CONFIG_METADATA!$B$4,DATOS!D:D,A278,DATOS!I:I,B278,DATOS!K:K,9),"")</f>
        <v>0</v>
      </c>
      <c r="U278">
        <f>IF(V278="Sí",COUNTIFS(DATOS!G:G,CONFIG_METADATA!$B$4,DATOS!D:D,A278,DATOS!I:I,B278,DATOS!K:K,10),"")</f>
        <v>0</v>
      </c>
      <c r="V278" t="str">
        <f>IFERROR(IF(ISERROR(FIND(A278,VLOOKUP(B278,CONFIG_ASIGNATURAS!B:C,2,FALSE()))),"No","Sí"),"No")</f>
        <v>Sí</v>
      </c>
    </row>
    <row r="279" spans="1:22">
      <c r="A279" s="3" t="inlineStr">
        <is>
          <t xml:space="preserve">4EEM</t>
        </is>
      </c>
      <c r="B279" s="3" cm="1">
        <f t="array" ref="B279">IFERROR(INDEX(_xlfn._xlws.FILTER(CONFIG_ASIGNATURAS!$B$2:$B$61,(CONFIG_ASIGNATURAS!$G$2:$G$61="Sí")*ISNUMBER(SEARCH("4EEM",CONFIG_ASIGNATURAS!$C$2:$C$61))),23),"")</f>
      </c>
      <c r="C279" s="3">
        <f>IF(B279="","",IFERROR(IF(VLOOKUP(B279,CONFIG_ASIGNATURAS!$B$2:$F$61,5,FALSE())="Sí","Especialidad","Asignatura"),"Asignatura"))</f>
      </c>
      <c r="D279">
        <f>IF(V279="Sí",COUNTIFS(DATOS!G:G,CONFIG_METADATA!$B$4,DATOS!D:D,A279,DATOS!I:I,B279),"")</f>
        <v>0</v>
      </c>
      <c r="E279" s="14" t="str">
        <f>IF(V279="Sí",IFERROR(AVERAGEIFS(DATOS!K:K,DATOS!G:G,CONFIG_METADATA!$B$4,DATOS!D:D,A279,DATOS!I:I,B279),"—"),"")</f>
        <v>—</v>
      </c>
      <c r="F279" s="14" t="str" cm="1">
        <f t="array" ref="F279">IF(V279="Sí",IFERROR(_xlfn.STDEV.P(IF((nEVAL=CONFIG_METADATA!$B$4)*(nCURSO=A279)*(nASIG=B279),nNOTA)),"—"),"")</f>
        <v>—</v>
      </c>
      <c r="G279" t="str" cm="1">
        <f t="array" ref="G279">IF(V279="Sí",IFERROR(_xlfn.MODE.SNGL(IF((nEVAL=CONFIG_METADATA!$B$4)*(nCURSO=A279)*(nASIG=B279),nNOTA)),"—"),"")</f>
        <v>—</v>
      </c>
      <c r="H279" s="15" t="str">
        <f>IF(V279="Sí",IFERROR(COUNTIFS(DATOS!G:G,CONFIG_METADATA!$B$4,DATOS!D:D,A279,DATOS!I:I,B279,DATOS!L:L,"S")/COUNTIFS(DATOS!G:G,CONFIG_METADATA!$B$4,DATOS!D:D,A279,DATOS!I:I,B279),"—"),"")</f>
        <v>—</v>
      </c>
      <c r="I279" s="15" t="str">
        <f>IF(V279="Sí",IFERROR(COUNTIFS(DATOS!G:G,CONFIG_METADATA!$B$4,DATOS!D:D,A279,DATOS!I:I,B279,DATOS!L:L,"N")/COUNTIFS(DATOS!G:G,CONFIG_METADATA!$B$4,DATOS!D:D,A279,DATOS!I:I,B279),"—"),"")</f>
        <v>—</v>
      </c>
      <c r="J279" t="str" cm="1">
        <f t="array" ref="J279">IF(V279="Sí",IFERROR(_xlfn.MODE.SNGL(IF((nEVAL=CONFIG_METADATA!$B$4)*(nCURSO=A279)*(nASIG=B279)*(nAPTO="S"),nNOTA)),"—"),"")</f>
        <v>—</v>
      </c>
      <c r="K279" t="str" cm="1">
        <f t="array" ref="K279">IF(V279="Sí",IFERROR(_xlfn.MODE.SNGL(IF((nEVAL=CONFIG_METADATA!$B$4)*(nCURSO=A279)*(nASIG=B279)*(nAPTO="N"),nNOTA)),"—"),"")</f>
        <v>—</v>
      </c>
      <c r="L279">
        <f>IF(V279="Sí",COUNTIFS(DATOS!G:G,CONFIG_METADATA!$B$4,DATOS!D:D,A279,DATOS!I:I,B279,DATOS!K:K,1),"")</f>
        <v>0</v>
      </c>
      <c r="M279">
        <f>IF(V279="Sí",COUNTIFS(DATOS!G:G,CONFIG_METADATA!$B$4,DATOS!D:D,A279,DATOS!I:I,B279,DATOS!K:K,2),"")</f>
        <v>0</v>
      </c>
      <c r="N279">
        <f>IF(V279="Sí",COUNTIFS(DATOS!G:G,CONFIG_METADATA!$B$4,DATOS!D:D,A279,DATOS!I:I,B279,DATOS!K:K,3),"")</f>
        <v>0</v>
      </c>
      <c r="O279">
        <f>IF(V279="Sí",COUNTIFS(DATOS!G:G,CONFIG_METADATA!$B$4,DATOS!D:D,A279,DATOS!I:I,B279,DATOS!K:K,4),"")</f>
        <v>0</v>
      </c>
      <c r="P279">
        <f>IF(V279="Sí",COUNTIFS(DATOS!G:G,CONFIG_METADATA!$B$4,DATOS!D:D,A279,DATOS!I:I,B279,DATOS!K:K,5),"")</f>
        <v>0</v>
      </c>
      <c r="Q279">
        <f>IF(V279="Sí",COUNTIFS(DATOS!G:G,CONFIG_METADATA!$B$4,DATOS!D:D,A279,DATOS!I:I,B279,DATOS!K:K,6),"")</f>
        <v>0</v>
      </c>
      <c r="R279">
        <f>IF(V279="Sí",COUNTIFS(DATOS!G:G,CONFIG_METADATA!$B$4,DATOS!D:D,A279,DATOS!I:I,B279,DATOS!K:K,7),"")</f>
        <v>0</v>
      </c>
      <c r="S279">
        <f>IF(V279="Sí",COUNTIFS(DATOS!G:G,CONFIG_METADATA!$B$4,DATOS!D:D,A279,DATOS!I:I,B279,DATOS!K:K,8),"")</f>
        <v>0</v>
      </c>
      <c r="T279">
        <f>IF(V279="Sí",COUNTIFS(DATOS!G:G,CONFIG_METADATA!$B$4,DATOS!D:D,A279,DATOS!I:I,B279,DATOS!K:K,9),"")</f>
        <v>0</v>
      </c>
      <c r="U279">
        <f>IF(V279="Sí",COUNTIFS(DATOS!G:G,CONFIG_METADATA!$B$4,DATOS!D:D,A279,DATOS!I:I,B279,DATOS!K:K,10),"")</f>
        <v>0</v>
      </c>
      <c r="V279" t="str">
        <f>IFERROR(IF(ISERROR(FIND(A279,VLOOKUP(B279,CONFIG_ASIGNATURAS!B:C,2,FALSE()))),"No","Sí"),"No")</f>
        <v>Sí</v>
      </c>
    </row>
    <row r="280" spans="1:22">
      <c r="A280" s="3" t="inlineStr">
        <is>
          <t xml:space="preserve">4EEM</t>
        </is>
      </c>
      <c r="B280" s="3" cm="1">
        <f t="array" ref="B280">IFERROR(INDEX(_xlfn._xlws.FILTER(CONFIG_ASIGNATURAS!$B$2:$B$61,(CONFIG_ASIGNATURAS!$G$2:$G$61="Sí")*ISNUMBER(SEARCH("4EEM",CONFIG_ASIGNATURAS!$C$2:$C$61))),24),"")</f>
      </c>
      <c r="C280" s="3">
        <f>IF(B280="","",IFERROR(IF(VLOOKUP(B280,CONFIG_ASIGNATURAS!$B$2:$F$61,5,FALSE())="Sí","Especialidad","Asignatura"),"Asignatura"))</f>
      </c>
      <c r="D280">
        <f>IF(V280="Sí",COUNTIFS(DATOS!G:G,CONFIG_METADATA!$B$4,DATOS!D:D,A280,DATOS!I:I,B280),"")</f>
        <v>0</v>
      </c>
      <c r="E280" s="14" t="str">
        <f>IF(V280="Sí",IFERROR(AVERAGEIFS(DATOS!K:K,DATOS!G:G,CONFIG_METADATA!$B$4,DATOS!D:D,A280,DATOS!I:I,B280),"—"),"")</f>
        <v>—</v>
      </c>
      <c r="F280" s="14" t="str" cm="1">
        <f t="array" ref="F280">IF(V280="Sí",IFERROR(_xlfn.STDEV.P(IF((nEVAL=CONFIG_METADATA!$B$4)*(nCURSO=A280)*(nASIG=B280),nNOTA)),"—"),"")</f>
        <v>—</v>
      </c>
      <c r="G280" t="str" cm="1">
        <f t="array" ref="G280">IF(V280="Sí",IFERROR(_xlfn.MODE.SNGL(IF((nEVAL=CONFIG_METADATA!$B$4)*(nCURSO=A280)*(nASIG=B280),nNOTA)),"—"),"")</f>
        <v>—</v>
      </c>
      <c r="H280" s="15" t="str">
        <f>IF(V280="Sí",IFERROR(COUNTIFS(DATOS!G:G,CONFIG_METADATA!$B$4,DATOS!D:D,A280,DATOS!I:I,B280,DATOS!L:L,"S")/COUNTIFS(DATOS!G:G,CONFIG_METADATA!$B$4,DATOS!D:D,A280,DATOS!I:I,B280),"—"),"")</f>
        <v>—</v>
      </c>
      <c r="I280" s="15" t="str">
        <f>IF(V280="Sí",IFERROR(COUNTIFS(DATOS!G:G,CONFIG_METADATA!$B$4,DATOS!D:D,A280,DATOS!I:I,B280,DATOS!L:L,"N")/COUNTIFS(DATOS!G:G,CONFIG_METADATA!$B$4,DATOS!D:D,A280,DATOS!I:I,B280),"—"),"")</f>
        <v>—</v>
      </c>
      <c r="J280" t="str" cm="1">
        <f t="array" ref="J280">IF(V280="Sí",IFERROR(_xlfn.MODE.SNGL(IF((nEVAL=CONFIG_METADATA!$B$4)*(nCURSO=A280)*(nASIG=B280)*(nAPTO="S"),nNOTA)),"—"),"")</f>
        <v>—</v>
      </c>
      <c r="K280" t="str" cm="1">
        <f t="array" ref="K280">IF(V280="Sí",IFERROR(_xlfn.MODE.SNGL(IF((nEVAL=CONFIG_METADATA!$B$4)*(nCURSO=A280)*(nASIG=B280)*(nAPTO="N"),nNOTA)),"—"),"")</f>
        <v>—</v>
      </c>
      <c r="L280">
        <f>IF(V280="Sí",COUNTIFS(DATOS!G:G,CONFIG_METADATA!$B$4,DATOS!D:D,A280,DATOS!I:I,B280,DATOS!K:K,1),"")</f>
        <v>0</v>
      </c>
      <c r="M280">
        <f>IF(V280="Sí",COUNTIFS(DATOS!G:G,CONFIG_METADATA!$B$4,DATOS!D:D,A280,DATOS!I:I,B280,DATOS!K:K,2),"")</f>
        <v>0</v>
      </c>
      <c r="N280">
        <f>IF(V280="Sí",COUNTIFS(DATOS!G:G,CONFIG_METADATA!$B$4,DATOS!D:D,A280,DATOS!I:I,B280,DATOS!K:K,3),"")</f>
        <v>0</v>
      </c>
      <c r="O280">
        <f>IF(V280="Sí",COUNTIFS(DATOS!G:G,CONFIG_METADATA!$B$4,DATOS!D:D,A280,DATOS!I:I,B280,DATOS!K:K,4),"")</f>
        <v>0</v>
      </c>
      <c r="P280">
        <f>IF(V280="Sí",COUNTIFS(DATOS!G:G,CONFIG_METADATA!$B$4,DATOS!D:D,A280,DATOS!I:I,B280,DATOS!K:K,5),"")</f>
        <v>0</v>
      </c>
      <c r="Q280">
        <f>IF(V280="Sí",COUNTIFS(DATOS!G:G,CONFIG_METADATA!$B$4,DATOS!D:D,A280,DATOS!I:I,B280,DATOS!K:K,6),"")</f>
        <v>0</v>
      </c>
      <c r="R280">
        <f>IF(V280="Sí",COUNTIFS(DATOS!G:G,CONFIG_METADATA!$B$4,DATOS!D:D,A280,DATOS!I:I,B280,DATOS!K:K,7),"")</f>
        <v>0</v>
      </c>
      <c r="S280">
        <f>IF(V280="Sí",COUNTIFS(DATOS!G:G,CONFIG_METADATA!$B$4,DATOS!D:D,A280,DATOS!I:I,B280,DATOS!K:K,8),"")</f>
        <v>0</v>
      </c>
      <c r="T280">
        <f>IF(V280="Sí",COUNTIFS(DATOS!G:G,CONFIG_METADATA!$B$4,DATOS!D:D,A280,DATOS!I:I,B280,DATOS!K:K,9),"")</f>
        <v>0</v>
      </c>
      <c r="U280">
        <f>IF(V280="Sí",COUNTIFS(DATOS!G:G,CONFIG_METADATA!$B$4,DATOS!D:D,A280,DATOS!I:I,B280,DATOS!K:K,10),"")</f>
        <v>0</v>
      </c>
      <c r="V280" t="str">
        <f>IFERROR(IF(ISERROR(FIND(A280,VLOOKUP(B280,CONFIG_ASIGNATURAS!B:C,2,FALSE()))),"No","Sí"),"No")</f>
        <v>Sí</v>
      </c>
    </row>
    <row r="281" spans="1:22">
      <c r="A281" s="3" t="inlineStr">
        <is>
          <t xml:space="preserve">4EEM</t>
        </is>
      </c>
      <c r="B281" s="3" cm="1">
        <f t="array" ref="B281">IFERROR(INDEX(_xlfn._xlws.FILTER(CONFIG_ASIGNATURAS!$B$2:$B$61,(CONFIG_ASIGNATURAS!$G$2:$G$61="Sí")*ISNUMBER(SEARCH("4EEM",CONFIG_ASIGNATURAS!$C$2:$C$61))),25),"")</f>
      </c>
      <c r="C281" s="3">
        <f>IF(B281="","",IFERROR(IF(VLOOKUP(B281,CONFIG_ASIGNATURAS!$B$2:$F$61,5,FALSE())="Sí","Especialidad","Asignatura"),"Asignatura"))</f>
      </c>
      <c r="D281">
        <f>IF(V281="Sí",COUNTIFS(DATOS!G:G,CONFIG_METADATA!$B$4,DATOS!D:D,A281,DATOS!I:I,B281),"")</f>
        <v>0</v>
      </c>
      <c r="E281" s="14" t="str">
        <f>IF(V281="Sí",IFERROR(AVERAGEIFS(DATOS!K:K,DATOS!G:G,CONFIG_METADATA!$B$4,DATOS!D:D,A281,DATOS!I:I,B281),"—"),"")</f>
        <v>—</v>
      </c>
      <c r="F281" s="14" t="str" cm="1">
        <f t="array" ref="F281">IF(V281="Sí",IFERROR(_xlfn.STDEV.P(IF((nEVAL=CONFIG_METADATA!$B$4)*(nCURSO=A281)*(nASIG=B281),nNOTA)),"—"),"")</f>
        <v>—</v>
      </c>
      <c r="G281" t="str" cm="1">
        <f t="array" ref="G281">IF(V281="Sí",IFERROR(_xlfn.MODE.SNGL(IF((nEVAL=CONFIG_METADATA!$B$4)*(nCURSO=A281)*(nASIG=B281),nNOTA)),"—"),"")</f>
        <v>—</v>
      </c>
      <c r="H281" s="15" t="str">
        <f>IF(V281="Sí",IFERROR(COUNTIFS(DATOS!G:G,CONFIG_METADATA!$B$4,DATOS!D:D,A281,DATOS!I:I,B281,DATOS!L:L,"S")/COUNTIFS(DATOS!G:G,CONFIG_METADATA!$B$4,DATOS!D:D,A281,DATOS!I:I,B281),"—"),"")</f>
        <v>—</v>
      </c>
      <c r="I281" s="15" t="str">
        <f>IF(V281="Sí",IFERROR(COUNTIFS(DATOS!G:G,CONFIG_METADATA!$B$4,DATOS!D:D,A281,DATOS!I:I,B281,DATOS!L:L,"N")/COUNTIFS(DATOS!G:G,CONFIG_METADATA!$B$4,DATOS!D:D,A281,DATOS!I:I,B281),"—"),"")</f>
        <v>—</v>
      </c>
      <c r="J281" t="str" cm="1">
        <f t="array" ref="J281">IF(V281="Sí",IFERROR(_xlfn.MODE.SNGL(IF((nEVAL=CONFIG_METADATA!$B$4)*(nCURSO=A281)*(nASIG=B281)*(nAPTO="S"),nNOTA)),"—"),"")</f>
        <v>—</v>
      </c>
      <c r="K281" t="str" cm="1">
        <f t="array" ref="K281">IF(V281="Sí",IFERROR(_xlfn.MODE.SNGL(IF((nEVAL=CONFIG_METADATA!$B$4)*(nCURSO=A281)*(nASIG=B281)*(nAPTO="N"),nNOTA)),"—"),"")</f>
        <v>—</v>
      </c>
      <c r="L281">
        <f>IF(V281="Sí",COUNTIFS(DATOS!G:G,CONFIG_METADATA!$B$4,DATOS!D:D,A281,DATOS!I:I,B281,DATOS!K:K,1),"")</f>
        <v>0</v>
      </c>
      <c r="M281">
        <f>IF(V281="Sí",COUNTIFS(DATOS!G:G,CONFIG_METADATA!$B$4,DATOS!D:D,A281,DATOS!I:I,B281,DATOS!K:K,2),"")</f>
        <v>0</v>
      </c>
      <c r="N281">
        <f>IF(V281="Sí",COUNTIFS(DATOS!G:G,CONFIG_METADATA!$B$4,DATOS!D:D,A281,DATOS!I:I,B281,DATOS!K:K,3),"")</f>
        <v>0</v>
      </c>
      <c r="O281">
        <f>IF(V281="Sí",COUNTIFS(DATOS!G:G,CONFIG_METADATA!$B$4,DATOS!D:D,A281,DATOS!I:I,B281,DATOS!K:K,4),"")</f>
        <v>0</v>
      </c>
      <c r="P281">
        <f>IF(V281="Sí",COUNTIFS(DATOS!G:G,CONFIG_METADATA!$B$4,DATOS!D:D,A281,DATOS!I:I,B281,DATOS!K:K,5),"")</f>
        <v>0</v>
      </c>
      <c r="Q281">
        <f>IF(V281="Sí",COUNTIFS(DATOS!G:G,CONFIG_METADATA!$B$4,DATOS!D:D,A281,DATOS!I:I,B281,DATOS!K:K,6),"")</f>
        <v>0</v>
      </c>
      <c r="R281">
        <f>IF(V281="Sí",COUNTIFS(DATOS!G:G,CONFIG_METADATA!$B$4,DATOS!D:D,A281,DATOS!I:I,B281,DATOS!K:K,7),"")</f>
        <v>0</v>
      </c>
      <c r="S281">
        <f>IF(V281="Sí",COUNTIFS(DATOS!G:G,CONFIG_METADATA!$B$4,DATOS!D:D,A281,DATOS!I:I,B281,DATOS!K:K,8),"")</f>
        <v>0</v>
      </c>
      <c r="T281">
        <f>IF(V281="Sí",COUNTIFS(DATOS!G:G,CONFIG_METADATA!$B$4,DATOS!D:D,A281,DATOS!I:I,B281,DATOS!K:K,9),"")</f>
        <v>0</v>
      </c>
      <c r="U281">
        <f>IF(V281="Sí",COUNTIFS(DATOS!G:G,CONFIG_METADATA!$B$4,DATOS!D:D,A281,DATOS!I:I,B281,DATOS!K:K,10),"")</f>
        <v>0</v>
      </c>
      <c r="V281" t="str">
        <f>IFERROR(IF(ISERROR(FIND(A281,VLOOKUP(B281,CONFIG_ASIGNATURAS!B:C,2,FALSE()))),"No","Sí"),"No")</f>
        <v>Sí</v>
      </c>
    </row>
    <row r="282" spans="1:22">
      <c r="A282" s="3" t="inlineStr">
        <is>
          <t xml:space="preserve">4EEM</t>
        </is>
      </c>
      <c r="B282" s="3" cm="1">
        <f t="array" ref="B282">IFERROR(INDEX(_xlfn._xlws.FILTER(CONFIG_ASIGNATURAS!$B$2:$B$61,(CONFIG_ASIGNATURAS!$G$2:$G$61="Sí")*ISNUMBER(SEARCH("4EEM",CONFIG_ASIGNATURAS!$C$2:$C$61))),26),"")</f>
      </c>
      <c r="C282" s="3">
        <f>IF(B282="","",IFERROR(IF(VLOOKUP(B282,CONFIG_ASIGNATURAS!$B$2:$F$61,5,FALSE())="Sí","Especialidad","Asignatura"),"Asignatura"))</f>
      </c>
      <c r="D282">
        <f>IF(V282="Sí",COUNTIFS(DATOS!G:G,CONFIG_METADATA!$B$4,DATOS!D:D,A282,DATOS!I:I,B282),"")</f>
        <v>0</v>
      </c>
      <c r="E282" s="14" t="str">
        <f>IF(V282="Sí",IFERROR(AVERAGEIFS(DATOS!K:K,DATOS!G:G,CONFIG_METADATA!$B$4,DATOS!D:D,A282,DATOS!I:I,B282),"—"),"")</f>
        <v>—</v>
      </c>
      <c r="F282" s="14" t="str" cm="1">
        <f t="array" ref="F282">IF(V282="Sí",IFERROR(_xlfn.STDEV.P(IF((nEVAL=CONFIG_METADATA!$B$4)*(nCURSO=A282)*(nASIG=B282),nNOTA)),"—"),"")</f>
        <v>—</v>
      </c>
      <c r="G282" t="str" cm="1">
        <f t="array" ref="G282">IF(V282="Sí",IFERROR(_xlfn.MODE.SNGL(IF((nEVAL=CONFIG_METADATA!$B$4)*(nCURSO=A282)*(nASIG=B282),nNOTA)),"—"),"")</f>
        <v>—</v>
      </c>
      <c r="H282" s="15" t="str">
        <f>IF(V282="Sí",IFERROR(COUNTIFS(DATOS!G:G,CONFIG_METADATA!$B$4,DATOS!D:D,A282,DATOS!I:I,B282,DATOS!L:L,"S")/COUNTIFS(DATOS!G:G,CONFIG_METADATA!$B$4,DATOS!D:D,A282,DATOS!I:I,B282),"—"),"")</f>
        <v>—</v>
      </c>
      <c r="I282" s="15" t="str">
        <f>IF(V282="Sí",IFERROR(COUNTIFS(DATOS!G:G,CONFIG_METADATA!$B$4,DATOS!D:D,A282,DATOS!I:I,B282,DATOS!L:L,"N")/COUNTIFS(DATOS!G:G,CONFIG_METADATA!$B$4,DATOS!D:D,A282,DATOS!I:I,B282),"—"),"")</f>
        <v>—</v>
      </c>
      <c r="J282" t="str" cm="1">
        <f t="array" ref="J282">IF(V282="Sí",IFERROR(_xlfn.MODE.SNGL(IF((nEVAL=CONFIG_METADATA!$B$4)*(nCURSO=A282)*(nASIG=B282)*(nAPTO="S"),nNOTA)),"—"),"")</f>
        <v>—</v>
      </c>
      <c r="K282" t="str" cm="1">
        <f t="array" ref="K282">IF(V282="Sí",IFERROR(_xlfn.MODE.SNGL(IF((nEVAL=CONFIG_METADATA!$B$4)*(nCURSO=A282)*(nASIG=B282)*(nAPTO="N"),nNOTA)),"—"),"")</f>
        <v>—</v>
      </c>
      <c r="L282">
        <f>IF(V282="Sí",COUNTIFS(DATOS!G:G,CONFIG_METADATA!$B$4,DATOS!D:D,A282,DATOS!I:I,B282,DATOS!K:K,1),"")</f>
        <v>0</v>
      </c>
      <c r="M282">
        <f>IF(V282="Sí",COUNTIFS(DATOS!G:G,CONFIG_METADATA!$B$4,DATOS!D:D,A282,DATOS!I:I,B282,DATOS!K:K,2),"")</f>
        <v>0</v>
      </c>
      <c r="N282">
        <f>IF(V282="Sí",COUNTIFS(DATOS!G:G,CONFIG_METADATA!$B$4,DATOS!D:D,A282,DATOS!I:I,B282,DATOS!K:K,3),"")</f>
        <v>0</v>
      </c>
      <c r="O282">
        <f>IF(V282="Sí",COUNTIFS(DATOS!G:G,CONFIG_METADATA!$B$4,DATOS!D:D,A282,DATOS!I:I,B282,DATOS!K:K,4),"")</f>
        <v>0</v>
      </c>
      <c r="P282">
        <f>IF(V282="Sí",COUNTIFS(DATOS!G:G,CONFIG_METADATA!$B$4,DATOS!D:D,A282,DATOS!I:I,B282,DATOS!K:K,5),"")</f>
        <v>0</v>
      </c>
      <c r="Q282">
        <f>IF(V282="Sí",COUNTIFS(DATOS!G:G,CONFIG_METADATA!$B$4,DATOS!D:D,A282,DATOS!I:I,B282,DATOS!K:K,6),"")</f>
        <v>0</v>
      </c>
      <c r="R282">
        <f>IF(V282="Sí",COUNTIFS(DATOS!G:G,CONFIG_METADATA!$B$4,DATOS!D:D,A282,DATOS!I:I,B282,DATOS!K:K,7),"")</f>
        <v>0</v>
      </c>
      <c r="S282">
        <f>IF(V282="Sí",COUNTIFS(DATOS!G:G,CONFIG_METADATA!$B$4,DATOS!D:D,A282,DATOS!I:I,B282,DATOS!K:K,8),"")</f>
        <v>0</v>
      </c>
      <c r="T282">
        <f>IF(V282="Sí",COUNTIFS(DATOS!G:G,CONFIG_METADATA!$B$4,DATOS!D:D,A282,DATOS!I:I,B282,DATOS!K:K,9),"")</f>
        <v>0</v>
      </c>
      <c r="U282">
        <f>IF(V282="Sí",COUNTIFS(DATOS!G:G,CONFIG_METADATA!$B$4,DATOS!D:D,A282,DATOS!I:I,B282,DATOS!K:K,10),"")</f>
        <v>0</v>
      </c>
      <c r="V282" t="str">
        <f>IFERROR(IF(ISERROR(FIND(A282,VLOOKUP(B282,CONFIG_ASIGNATURAS!B:C,2,FALSE()))),"No","Sí"),"No")</f>
        <v>Sí</v>
      </c>
    </row>
    <row r="283" spans="1:22">
      <c r="A283" s="3" t="inlineStr">
        <is>
          <t xml:space="preserve">4EEM</t>
        </is>
      </c>
      <c r="B283" s="3" cm="1">
        <f t="array" ref="B283">IFERROR(INDEX(_xlfn._xlws.FILTER(CONFIG_ASIGNATURAS!$B$2:$B$61,(CONFIG_ASIGNATURAS!$G$2:$G$61="Sí")*ISNUMBER(SEARCH("4EEM",CONFIG_ASIGNATURAS!$C$2:$C$61))),27),"")</f>
      </c>
      <c r="C283" s="3">
        <f>IF(B283="","",IFERROR(IF(VLOOKUP(B283,CONFIG_ASIGNATURAS!$B$2:$F$61,5,FALSE())="Sí","Especialidad","Asignatura"),"Asignatura"))</f>
      </c>
      <c r="D283">
        <f>IF(V283="Sí",COUNTIFS(DATOS!G:G,CONFIG_METADATA!$B$4,DATOS!D:D,A283,DATOS!I:I,B283),"")</f>
        <v>0</v>
      </c>
      <c r="E283" s="14" t="str">
        <f>IF(V283="Sí",IFERROR(AVERAGEIFS(DATOS!K:K,DATOS!G:G,CONFIG_METADATA!$B$4,DATOS!D:D,A283,DATOS!I:I,B283),"—"),"")</f>
        <v>—</v>
      </c>
      <c r="F283" s="14" t="str" cm="1">
        <f t="array" ref="F283">IF(V283="Sí",IFERROR(_xlfn.STDEV.P(IF((nEVAL=CONFIG_METADATA!$B$4)*(nCURSO=A283)*(nASIG=B283),nNOTA)),"—"),"")</f>
        <v>—</v>
      </c>
      <c r="G283" t="str" cm="1">
        <f t="array" ref="G283">IF(V283="Sí",IFERROR(_xlfn.MODE.SNGL(IF((nEVAL=CONFIG_METADATA!$B$4)*(nCURSO=A283)*(nASIG=B283),nNOTA)),"—"),"")</f>
        <v>—</v>
      </c>
      <c r="H283" s="15" t="str">
        <f>IF(V283="Sí",IFERROR(COUNTIFS(DATOS!G:G,CONFIG_METADATA!$B$4,DATOS!D:D,A283,DATOS!I:I,B283,DATOS!L:L,"S")/COUNTIFS(DATOS!G:G,CONFIG_METADATA!$B$4,DATOS!D:D,A283,DATOS!I:I,B283),"—"),"")</f>
        <v>—</v>
      </c>
      <c r="I283" s="15" t="str">
        <f>IF(V283="Sí",IFERROR(COUNTIFS(DATOS!G:G,CONFIG_METADATA!$B$4,DATOS!D:D,A283,DATOS!I:I,B283,DATOS!L:L,"N")/COUNTIFS(DATOS!G:G,CONFIG_METADATA!$B$4,DATOS!D:D,A283,DATOS!I:I,B283),"—"),"")</f>
        <v>—</v>
      </c>
      <c r="J283" t="str" cm="1">
        <f t="array" ref="J283">IF(V283="Sí",IFERROR(_xlfn.MODE.SNGL(IF((nEVAL=CONFIG_METADATA!$B$4)*(nCURSO=A283)*(nASIG=B283)*(nAPTO="S"),nNOTA)),"—"),"")</f>
        <v>—</v>
      </c>
      <c r="K283" t="str" cm="1">
        <f t="array" ref="K283">IF(V283="Sí",IFERROR(_xlfn.MODE.SNGL(IF((nEVAL=CONFIG_METADATA!$B$4)*(nCURSO=A283)*(nASIG=B283)*(nAPTO="N"),nNOTA)),"—"),"")</f>
        <v>—</v>
      </c>
      <c r="L283">
        <f>IF(V283="Sí",COUNTIFS(DATOS!G:G,CONFIG_METADATA!$B$4,DATOS!D:D,A283,DATOS!I:I,B283,DATOS!K:K,1),"")</f>
        <v>0</v>
      </c>
      <c r="M283">
        <f>IF(V283="Sí",COUNTIFS(DATOS!G:G,CONFIG_METADATA!$B$4,DATOS!D:D,A283,DATOS!I:I,B283,DATOS!K:K,2),"")</f>
        <v>0</v>
      </c>
      <c r="N283">
        <f>IF(V283="Sí",COUNTIFS(DATOS!G:G,CONFIG_METADATA!$B$4,DATOS!D:D,A283,DATOS!I:I,B283,DATOS!K:K,3),"")</f>
        <v>0</v>
      </c>
      <c r="O283">
        <f>IF(V283="Sí",COUNTIFS(DATOS!G:G,CONFIG_METADATA!$B$4,DATOS!D:D,A283,DATOS!I:I,B283,DATOS!K:K,4),"")</f>
        <v>0</v>
      </c>
      <c r="P283">
        <f>IF(V283="Sí",COUNTIFS(DATOS!G:G,CONFIG_METADATA!$B$4,DATOS!D:D,A283,DATOS!I:I,B283,DATOS!K:K,5),"")</f>
        <v>0</v>
      </c>
      <c r="Q283">
        <f>IF(V283="Sí",COUNTIFS(DATOS!G:G,CONFIG_METADATA!$B$4,DATOS!D:D,A283,DATOS!I:I,B283,DATOS!K:K,6),"")</f>
        <v>0</v>
      </c>
      <c r="R283">
        <f>IF(V283="Sí",COUNTIFS(DATOS!G:G,CONFIG_METADATA!$B$4,DATOS!D:D,A283,DATOS!I:I,B283,DATOS!K:K,7),"")</f>
        <v>0</v>
      </c>
      <c r="S283">
        <f>IF(V283="Sí",COUNTIFS(DATOS!G:G,CONFIG_METADATA!$B$4,DATOS!D:D,A283,DATOS!I:I,B283,DATOS!K:K,8),"")</f>
        <v>0</v>
      </c>
      <c r="T283">
        <f>IF(V283="Sí",COUNTIFS(DATOS!G:G,CONFIG_METADATA!$B$4,DATOS!D:D,A283,DATOS!I:I,B283,DATOS!K:K,9),"")</f>
        <v>0</v>
      </c>
      <c r="U283">
        <f>IF(V283="Sí",COUNTIFS(DATOS!G:G,CONFIG_METADATA!$B$4,DATOS!D:D,A283,DATOS!I:I,B283,DATOS!K:K,10),"")</f>
        <v>0</v>
      </c>
      <c r="V283" t="str">
        <f>IFERROR(IF(ISERROR(FIND(A283,VLOOKUP(B283,CONFIG_ASIGNATURAS!B:C,2,FALSE()))),"No","Sí"),"No")</f>
        <v>Sí</v>
      </c>
    </row>
    <row r="284" spans="1:22">
      <c r="A284" s="3" t="inlineStr">
        <is>
          <t xml:space="preserve">4EEM</t>
        </is>
      </c>
      <c r="B284" s="3" cm="1">
        <f t="array" ref="B284">IFERROR(INDEX(_xlfn._xlws.FILTER(CONFIG_ASIGNATURAS!$B$2:$B$61,(CONFIG_ASIGNATURAS!$G$2:$G$61="Sí")*ISNUMBER(SEARCH("4EEM",CONFIG_ASIGNATURAS!$C$2:$C$61))),28),"")</f>
      </c>
      <c r="C284" s="3">
        <f>IF(B284="","",IFERROR(IF(VLOOKUP(B284,CONFIG_ASIGNATURAS!$B$2:$F$61,5,FALSE())="Sí","Especialidad","Asignatura"),"Asignatura"))</f>
      </c>
      <c r="D284">
        <f>IF(V284="Sí",COUNTIFS(DATOS!G:G,CONFIG_METADATA!$B$4,DATOS!D:D,A284,DATOS!I:I,B284),"")</f>
        <v>0</v>
      </c>
      <c r="E284" s="14" t="str">
        <f>IF(V284="Sí",IFERROR(AVERAGEIFS(DATOS!K:K,DATOS!G:G,CONFIG_METADATA!$B$4,DATOS!D:D,A284,DATOS!I:I,B284),"—"),"")</f>
        <v>—</v>
      </c>
      <c r="F284" s="14" t="str" cm="1">
        <f t="array" ref="F284">IF(V284="Sí",IFERROR(_xlfn.STDEV.P(IF((nEVAL=CONFIG_METADATA!$B$4)*(nCURSO=A284)*(nASIG=B284),nNOTA)),"—"),"")</f>
        <v>—</v>
      </c>
      <c r="G284" t="str" cm="1">
        <f t="array" ref="G284">IF(V284="Sí",IFERROR(_xlfn.MODE.SNGL(IF((nEVAL=CONFIG_METADATA!$B$4)*(nCURSO=A284)*(nASIG=B284),nNOTA)),"—"),"")</f>
        <v>—</v>
      </c>
      <c r="H284" s="15" t="str">
        <f>IF(V284="Sí",IFERROR(COUNTIFS(DATOS!G:G,CONFIG_METADATA!$B$4,DATOS!D:D,A284,DATOS!I:I,B284,DATOS!L:L,"S")/COUNTIFS(DATOS!G:G,CONFIG_METADATA!$B$4,DATOS!D:D,A284,DATOS!I:I,B284),"—"),"")</f>
        <v>—</v>
      </c>
      <c r="I284" s="15" t="str">
        <f>IF(V284="Sí",IFERROR(COUNTIFS(DATOS!G:G,CONFIG_METADATA!$B$4,DATOS!D:D,A284,DATOS!I:I,B284,DATOS!L:L,"N")/COUNTIFS(DATOS!G:G,CONFIG_METADATA!$B$4,DATOS!D:D,A284,DATOS!I:I,B284),"—"),"")</f>
        <v>—</v>
      </c>
      <c r="J284" t="str" cm="1">
        <f t="array" ref="J284">IF(V284="Sí",IFERROR(_xlfn.MODE.SNGL(IF((nEVAL=CONFIG_METADATA!$B$4)*(nCURSO=A284)*(nASIG=B284)*(nAPTO="S"),nNOTA)),"—"),"")</f>
        <v>—</v>
      </c>
      <c r="K284" t="str" cm="1">
        <f t="array" ref="K284">IF(V284="Sí",IFERROR(_xlfn.MODE.SNGL(IF((nEVAL=CONFIG_METADATA!$B$4)*(nCURSO=A284)*(nASIG=B284)*(nAPTO="N"),nNOTA)),"—"),"")</f>
        <v>—</v>
      </c>
      <c r="L284">
        <f>IF(V284="Sí",COUNTIFS(DATOS!G:G,CONFIG_METADATA!$B$4,DATOS!D:D,A284,DATOS!I:I,B284,DATOS!K:K,1),"")</f>
        <v>0</v>
      </c>
      <c r="M284">
        <f>IF(V284="Sí",COUNTIFS(DATOS!G:G,CONFIG_METADATA!$B$4,DATOS!D:D,A284,DATOS!I:I,B284,DATOS!K:K,2),"")</f>
        <v>0</v>
      </c>
      <c r="N284">
        <f>IF(V284="Sí",COUNTIFS(DATOS!G:G,CONFIG_METADATA!$B$4,DATOS!D:D,A284,DATOS!I:I,B284,DATOS!K:K,3),"")</f>
        <v>0</v>
      </c>
      <c r="O284">
        <f>IF(V284="Sí",COUNTIFS(DATOS!G:G,CONFIG_METADATA!$B$4,DATOS!D:D,A284,DATOS!I:I,B284,DATOS!K:K,4),"")</f>
        <v>0</v>
      </c>
      <c r="P284">
        <f>IF(V284="Sí",COUNTIFS(DATOS!G:G,CONFIG_METADATA!$B$4,DATOS!D:D,A284,DATOS!I:I,B284,DATOS!K:K,5),"")</f>
        <v>0</v>
      </c>
      <c r="Q284">
        <f>IF(V284="Sí",COUNTIFS(DATOS!G:G,CONFIG_METADATA!$B$4,DATOS!D:D,A284,DATOS!I:I,B284,DATOS!K:K,6),"")</f>
        <v>0</v>
      </c>
      <c r="R284">
        <f>IF(V284="Sí",COUNTIFS(DATOS!G:G,CONFIG_METADATA!$B$4,DATOS!D:D,A284,DATOS!I:I,B284,DATOS!K:K,7),"")</f>
        <v>0</v>
      </c>
      <c r="S284">
        <f>IF(V284="Sí",COUNTIFS(DATOS!G:G,CONFIG_METADATA!$B$4,DATOS!D:D,A284,DATOS!I:I,B284,DATOS!K:K,8),"")</f>
        <v>0</v>
      </c>
      <c r="T284">
        <f>IF(V284="Sí",COUNTIFS(DATOS!G:G,CONFIG_METADATA!$B$4,DATOS!D:D,A284,DATOS!I:I,B284,DATOS!K:K,9),"")</f>
        <v>0</v>
      </c>
      <c r="U284">
        <f>IF(V284="Sí",COUNTIFS(DATOS!G:G,CONFIG_METADATA!$B$4,DATOS!D:D,A284,DATOS!I:I,B284,DATOS!K:K,10),"")</f>
        <v>0</v>
      </c>
      <c r="V284" t="str">
        <f>IFERROR(IF(ISERROR(FIND(A284,VLOOKUP(B284,CONFIG_ASIGNATURAS!B:C,2,FALSE()))),"No","Sí"),"No")</f>
        <v>Sí</v>
      </c>
    </row>
    <row r="285" spans="1:22">
      <c r="A285" s="3" t="inlineStr">
        <is>
          <t xml:space="preserve">4EEM</t>
        </is>
      </c>
      <c r="B285" s="3" cm="1">
        <f t="array" ref="B285">IFERROR(INDEX(_xlfn._xlws.FILTER(CONFIG_ASIGNATURAS!$B$2:$B$61,(CONFIG_ASIGNATURAS!$G$2:$G$61="Sí")*ISNUMBER(SEARCH("4EEM",CONFIG_ASIGNATURAS!$C$2:$C$61))),29),"")</f>
      </c>
      <c r="C285" s="3">
        <f>IF(B285="","",IFERROR(IF(VLOOKUP(B285,CONFIG_ASIGNATURAS!$B$2:$F$61,5,FALSE())="Sí","Especialidad","Asignatura"),"Asignatura"))</f>
      </c>
      <c r="D285">
        <f>IF(V285="Sí",COUNTIFS(DATOS!G:G,CONFIG_METADATA!$B$4,DATOS!D:D,A285,DATOS!I:I,B285),"")</f>
        <v>0</v>
      </c>
      <c r="E285" s="14" t="str">
        <f>IF(V285="Sí",IFERROR(AVERAGEIFS(DATOS!K:K,DATOS!G:G,CONFIG_METADATA!$B$4,DATOS!D:D,A285,DATOS!I:I,B285),"—"),"")</f>
        <v>—</v>
      </c>
      <c r="F285" s="14" t="str" cm="1">
        <f t="array" ref="F285">IF(V285="Sí",IFERROR(_xlfn.STDEV.P(IF((nEVAL=CONFIG_METADATA!$B$4)*(nCURSO=A285)*(nASIG=B285),nNOTA)),"—"),"")</f>
        <v>—</v>
      </c>
      <c r="G285" t="str" cm="1">
        <f t="array" ref="G285">IF(V285="Sí",IFERROR(_xlfn.MODE.SNGL(IF((nEVAL=CONFIG_METADATA!$B$4)*(nCURSO=A285)*(nASIG=B285),nNOTA)),"—"),"")</f>
        <v>—</v>
      </c>
      <c r="H285" s="15" t="str">
        <f>IF(V285="Sí",IFERROR(COUNTIFS(DATOS!G:G,CONFIG_METADATA!$B$4,DATOS!D:D,A285,DATOS!I:I,B285,DATOS!L:L,"S")/COUNTIFS(DATOS!G:G,CONFIG_METADATA!$B$4,DATOS!D:D,A285,DATOS!I:I,B285),"—"),"")</f>
        <v>—</v>
      </c>
      <c r="I285" s="15" t="str">
        <f>IF(V285="Sí",IFERROR(COUNTIFS(DATOS!G:G,CONFIG_METADATA!$B$4,DATOS!D:D,A285,DATOS!I:I,B285,DATOS!L:L,"N")/COUNTIFS(DATOS!G:G,CONFIG_METADATA!$B$4,DATOS!D:D,A285,DATOS!I:I,B285),"—"),"")</f>
        <v>—</v>
      </c>
      <c r="J285" t="str" cm="1">
        <f t="array" ref="J285">IF(V285="Sí",IFERROR(_xlfn.MODE.SNGL(IF((nEVAL=CONFIG_METADATA!$B$4)*(nCURSO=A285)*(nASIG=B285)*(nAPTO="S"),nNOTA)),"—"),"")</f>
        <v>—</v>
      </c>
      <c r="K285" t="str" cm="1">
        <f t="array" ref="K285">IF(V285="Sí",IFERROR(_xlfn.MODE.SNGL(IF((nEVAL=CONFIG_METADATA!$B$4)*(nCURSO=A285)*(nASIG=B285)*(nAPTO="N"),nNOTA)),"—"),"")</f>
        <v>—</v>
      </c>
      <c r="L285">
        <f>IF(V285="Sí",COUNTIFS(DATOS!G:G,CONFIG_METADATA!$B$4,DATOS!D:D,A285,DATOS!I:I,B285,DATOS!K:K,1),"")</f>
        <v>0</v>
      </c>
      <c r="M285">
        <f>IF(V285="Sí",COUNTIFS(DATOS!G:G,CONFIG_METADATA!$B$4,DATOS!D:D,A285,DATOS!I:I,B285,DATOS!K:K,2),"")</f>
        <v>0</v>
      </c>
      <c r="N285">
        <f>IF(V285="Sí",COUNTIFS(DATOS!G:G,CONFIG_METADATA!$B$4,DATOS!D:D,A285,DATOS!I:I,B285,DATOS!K:K,3),"")</f>
        <v>0</v>
      </c>
      <c r="O285">
        <f>IF(V285="Sí",COUNTIFS(DATOS!G:G,CONFIG_METADATA!$B$4,DATOS!D:D,A285,DATOS!I:I,B285,DATOS!K:K,4),"")</f>
        <v>0</v>
      </c>
      <c r="P285">
        <f>IF(V285="Sí",COUNTIFS(DATOS!G:G,CONFIG_METADATA!$B$4,DATOS!D:D,A285,DATOS!I:I,B285,DATOS!K:K,5),"")</f>
        <v>0</v>
      </c>
      <c r="Q285">
        <f>IF(V285="Sí",COUNTIFS(DATOS!G:G,CONFIG_METADATA!$B$4,DATOS!D:D,A285,DATOS!I:I,B285,DATOS!K:K,6),"")</f>
        <v>0</v>
      </c>
      <c r="R285">
        <f>IF(V285="Sí",COUNTIFS(DATOS!G:G,CONFIG_METADATA!$B$4,DATOS!D:D,A285,DATOS!I:I,B285,DATOS!K:K,7),"")</f>
        <v>0</v>
      </c>
      <c r="S285">
        <f>IF(V285="Sí",COUNTIFS(DATOS!G:G,CONFIG_METADATA!$B$4,DATOS!D:D,A285,DATOS!I:I,B285,DATOS!K:K,8),"")</f>
        <v>0</v>
      </c>
      <c r="T285">
        <f>IF(V285="Sí",COUNTIFS(DATOS!G:G,CONFIG_METADATA!$B$4,DATOS!D:D,A285,DATOS!I:I,B285,DATOS!K:K,9),"")</f>
        <v>0</v>
      </c>
      <c r="U285">
        <f>IF(V285="Sí",COUNTIFS(DATOS!G:G,CONFIG_METADATA!$B$4,DATOS!D:D,A285,DATOS!I:I,B285,DATOS!K:K,10),"")</f>
        <v>0</v>
      </c>
      <c r="V285" t="str">
        <f>IFERROR(IF(ISERROR(FIND(A285,VLOOKUP(B285,CONFIG_ASIGNATURAS!B:C,2,FALSE()))),"No","Sí"),"No")</f>
        <v>Sí</v>
      </c>
    </row>
    <row r="286" spans="1:22">
      <c r="A286" s="3" t="inlineStr">
        <is>
          <t xml:space="preserve">4EEM</t>
        </is>
      </c>
      <c r="B286" s="3" cm="1">
        <f t="array" ref="B286">IFERROR(INDEX(_xlfn._xlws.FILTER(CONFIG_ASIGNATURAS!$B$2:$B$61,(CONFIG_ASIGNATURAS!$G$2:$G$61="Sí")*ISNUMBER(SEARCH("4EEM",CONFIG_ASIGNATURAS!$C$2:$C$61))),30),"")</f>
      </c>
      <c r="C286" s="3">
        <f>IF(B286="","",IFERROR(IF(VLOOKUP(B286,CONFIG_ASIGNATURAS!$B$2:$F$61,5,FALSE())="Sí","Especialidad","Asignatura"),"Asignatura"))</f>
      </c>
      <c r="D286">
        <f>IF(V286="Sí",COUNTIFS(DATOS!G:G,CONFIG_METADATA!$B$4,DATOS!D:D,A286,DATOS!I:I,B286),"")</f>
        <v>0</v>
      </c>
      <c r="E286" s="14" t="str">
        <f>IF(V286="Sí",IFERROR(AVERAGEIFS(DATOS!K:K,DATOS!G:G,CONFIG_METADATA!$B$4,DATOS!D:D,A286,DATOS!I:I,B286),"—"),"")</f>
        <v>—</v>
      </c>
      <c r="F286" s="14" t="str" cm="1">
        <f t="array" ref="F286">IF(V286="Sí",IFERROR(_xlfn.STDEV.P(IF((nEVAL=CONFIG_METADATA!$B$4)*(nCURSO=A286)*(nASIG=B286),nNOTA)),"—"),"")</f>
        <v>—</v>
      </c>
      <c r="G286" t="str" cm="1">
        <f t="array" ref="G286">IF(V286="Sí",IFERROR(_xlfn.MODE.SNGL(IF((nEVAL=CONFIG_METADATA!$B$4)*(nCURSO=A286)*(nASIG=B286),nNOTA)),"—"),"")</f>
        <v>—</v>
      </c>
      <c r="H286" s="15" t="str">
        <f>IF(V286="Sí",IFERROR(COUNTIFS(DATOS!G:G,CONFIG_METADATA!$B$4,DATOS!D:D,A286,DATOS!I:I,B286,DATOS!L:L,"S")/COUNTIFS(DATOS!G:G,CONFIG_METADATA!$B$4,DATOS!D:D,A286,DATOS!I:I,B286),"—"),"")</f>
        <v>—</v>
      </c>
      <c r="I286" s="15" t="str">
        <f>IF(V286="Sí",IFERROR(COUNTIFS(DATOS!G:G,CONFIG_METADATA!$B$4,DATOS!D:D,A286,DATOS!I:I,B286,DATOS!L:L,"N")/COUNTIFS(DATOS!G:G,CONFIG_METADATA!$B$4,DATOS!D:D,A286,DATOS!I:I,B286),"—"),"")</f>
        <v>—</v>
      </c>
      <c r="J286" t="str" cm="1">
        <f t="array" ref="J286">IF(V286="Sí",IFERROR(_xlfn.MODE.SNGL(IF((nEVAL=CONFIG_METADATA!$B$4)*(nCURSO=A286)*(nASIG=B286)*(nAPTO="S"),nNOTA)),"—"),"")</f>
        <v>—</v>
      </c>
      <c r="K286" t="str" cm="1">
        <f t="array" ref="K286">IF(V286="Sí",IFERROR(_xlfn.MODE.SNGL(IF((nEVAL=CONFIG_METADATA!$B$4)*(nCURSO=A286)*(nASIG=B286)*(nAPTO="N"),nNOTA)),"—"),"")</f>
        <v>—</v>
      </c>
      <c r="L286">
        <f>IF(V286="Sí",COUNTIFS(DATOS!G:G,CONFIG_METADATA!$B$4,DATOS!D:D,A286,DATOS!I:I,B286,DATOS!K:K,1),"")</f>
        <v>0</v>
      </c>
      <c r="M286">
        <f>IF(V286="Sí",COUNTIFS(DATOS!G:G,CONFIG_METADATA!$B$4,DATOS!D:D,A286,DATOS!I:I,B286,DATOS!K:K,2),"")</f>
        <v>0</v>
      </c>
      <c r="N286">
        <f>IF(V286="Sí",COUNTIFS(DATOS!G:G,CONFIG_METADATA!$B$4,DATOS!D:D,A286,DATOS!I:I,B286,DATOS!K:K,3),"")</f>
        <v>0</v>
      </c>
      <c r="O286">
        <f>IF(V286="Sí",COUNTIFS(DATOS!G:G,CONFIG_METADATA!$B$4,DATOS!D:D,A286,DATOS!I:I,B286,DATOS!K:K,4),"")</f>
        <v>0</v>
      </c>
      <c r="P286">
        <f>IF(V286="Sí",COUNTIFS(DATOS!G:G,CONFIG_METADATA!$B$4,DATOS!D:D,A286,DATOS!I:I,B286,DATOS!K:K,5),"")</f>
        <v>0</v>
      </c>
      <c r="Q286">
        <f>IF(V286="Sí",COUNTIFS(DATOS!G:G,CONFIG_METADATA!$B$4,DATOS!D:D,A286,DATOS!I:I,B286,DATOS!K:K,6),"")</f>
        <v>0</v>
      </c>
      <c r="R286">
        <f>IF(V286="Sí",COUNTIFS(DATOS!G:G,CONFIG_METADATA!$B$4,DATOS!D:D,A286,DATOS!I:I,B286,DATOS!K:K,7),"")</f>
        <v>0</v>
      </c>
      <c r="S286">
        <f>IF(V286="Sí",COUNTIFS(DATOS!G:G,CONFIG_METADATA!$B$4,DATOS!D:D,A286,DATOS!I:I,B286,DATOS!K:K,8),"")</f>
        <v>0</v>
      </c>
      <c r="T286">
        <f>IF(V286="Sí",COUNTIFS(DATOS!G:G,CONFIG_METADATA!$B$4,DATOS!D:D,A286,DATOS!I:I,B286,DATOS!K:K,9),"")</f>
        <v>0</v>
      </c>
      <c r="U286">
        <f>IF(V286="Sí",COUNTIFS(DATOS!G:G,CONFIG_METADATA!$B$4,DATOS!D:D,A286,DATOS!I:I,B286,DATOS!K:K,10),"")</f>
        <v>0</v>
      </c>
      <c r="V286" t="str">
        <f>IFERROR(IF(ISERROR(FIND(A286,VLOOKUP(B286,CONFIG_ASIGNATURAS!B:C,2,FALSE()))),"No","Sí"),"No")</f>
        <v>Sí</v>
      </c>
    </row>
    <row r="287" spans="1:22">
      <c r="A287" s="3" t="inlineStr">
        <is>
          <t xml:space="preserve">4EEM</t>
        </is>
      </c>
      <c r="B287" s="3" cm="1">
        <f t="array" ref="B287">IFERROR(INDEX(_xlfn._xlws.FILTER(CONFIG_ASIGNATURAS!$B$2:$B$61,(CONFIG_ASIGNATURAS!$G$2:$G$61="Sí")*ISNUMBER(SEARCH("4EEM",CONFIG_ASIGNATURAS!$C$2:$C$61))),31),"")</f>
      </c>
      <c r="C287" s="3">
        <f>IF(B287="","",IFERROR(IF(VLOOKUP(B287,CONFIG_ASIGNATURAS!$B$2:$F$61,5,FALSE())="Sí","Especialidad","Asignatura"),"Asignatura"))</f>
      </c>
      <c r="D287">
        <f>IF(V287="Sí",COUNTIFS(DATOS!G:G,CONFIG_METADATA!$B$4,DATOS!D:D,A287,DATOS!I:I,B287),"")</f>
        <v>0</v>
      </c>
      <c r="E287" s="14" t="str">
        <f>IF(V287="Sí",IFERROR(AVERAGEIFS(DATOS!K:K,DATOS!G:G,CONFIG_METADATA!$B$4,DATOS!D:D,A287,DATOS!I:I,B287),"—"),"")</f>
        <v>—</v>
      </c>
      <c r="F287" s="14" t="str" cm="1">
        <f t="array" ref="F287">IF(V287="Sí",IFERROR(_xlfn.STDEV.P(IF((nEVAL=CONFIG_METADATA!$B$4)*(nCURSO=A287)*(nASIG=B287),nNOTA)),"—"),"")</f>
        <v>—</v>
      </c>
      <c r="G287" t="str" cm="1">
        <f t="array" ref="G287">IF(V287="Sí",IFERROR(_xlfn.MODE.SNGL(IF((nEVAL=CONFIG_METADATA!$B$4)*(nCURSO=A287)*(nASIG=B287),nNOTA)),"—"),"")</f>
        <v>—</v>
      </c>
      <c r="H287" s="15" t="str">
        <f>IF(V287="Sí",IFERROR(COUNTIFS(DATOS!G:G,CONFIG_METADATA!$B$4,DATOS!D:D,A287,DATOS!I:I,B287,DATOS!L:L,"S")/COUNTIFS(DATOS!G:G,CONFIG_METADATA!$B$4,DATOS!D:D,A287,DATOS!I:I,B287),"—"),"")</f>
        <v>—</v>
      </c>
      <c r="I287" s="15" t="str">
        <f>IF(V287="Sí",IFERROR(COUNTIFS(DATOS!G:G,CONFIG_METADATA!$B$4,DATOS!D:D,A287,DATOS!I:I,B287,DATOS!L:L,"N")/COUNTIFS(DATOS!G:G,CONFIG_METADATA!$B$4,DATOS!D:D,A287,DATOS!I:I,B287),"—"),"")</f>
        <v>—</v>
      </c>
      <c r="J287" t="str" cm="1">
        <f t="array" ref="J287">IF(V287="Sí",IFERROR(_xlfn.MODE.SNGL(IF((nEVAL=CONFIG_METADATA!$B$4)*(nCURSO=A287)*(nASIG=B287)*(nAPTO="S"),nNOTA)),"—"),"")</f>
        <v>—</v>
      </c>
      <c r="K287" t="str" cm="1">
        <f t="array" ref="K287">IF(V287="Sí",IFERROR(_xlfn.MODE.SNGL(IF((nEVAL=CONFIG_METADATA!$B$4)*(nCURSO=A287)*(nASIG=B287)*(nAPTO="N"),nNOTA)),"—"),"")</f>
        <v>—</v>
      </c>
      <c r="L287">
        <f>IF(V287="Sí",COUNTIFS(DATOS!G:G,CONFIG_METADATA!$B$4,DATOS!D:D,A287,DATOS!I:I,B287,DATOS!K:K,1),"")</f>
        <v>0</v>
      </c>
      <c r="M287">
        <f>IF(V287="Sí",COUNTIFS(DATOS!G:G,CONFIG_METADATA!$B$4,DATOS!D:D,A287,DATOS!I:I,B287,DATOS!K:K,2),"")</f>
        <v>0</v>
      </c>
      <c r="N287">
        <f>IF(V287="Sí",COUNTIFS(DATOS!G:G,CONFIG_METADATA!$B$4,DATOS!D:D,A287,DATOS!I:I,B287,DATOS!K:K,3),"")</f>
        <v>0</v>
      </c>
      <c r="O287">
        <f>IF(V287="Sí",COUNTIFS(DATOS!G:G,CONFIG_METADATA!$B$4,DATOS!D:D,A287,DATOS!I:I,B287,DATOS!K:K,4),"")</f>
        <v>0</v>
      </c>
      <c r="P287">
        <f>IF(V287="Sí",COUNTIFS(DATOS!G:G,CONFIG_METADATA!$B$4,DATOS!D:D,A287,DATOS!I:I,B287,DATOS!K:K,5),"")</f>
        <v>0</v>
      </c>
      <c r="Q287">
        <f>IF(V287="Sí",COUNTIFS(DATOS!G:G,CONFIG_METADATA!$B$4,DATOS!D:D,A287,DATOS!I:I,B287,DATOS!K:K,6),"")</f>
        <v>0</v>
      </c>
      <c r="R287">
        <f>IF(V287="Sí",COUNTIFS(DATOS!G:G,CONFIG_METADATA!$B$4,DATOS!D:D,A287,DATOS!I:I,B287,DATOS!K:K,7),"")</f>
        <v>0</v>
      </c>
      <c r="S287">
        <f>IF(V287="Sí",COUNTIFS(DATOS!G:G,CONFIG_METADATA!$B$4,DATOS!D:D,A287,DATOS!I:I,B287,DATOS!K:K,8),"")</f>
        <v>0</v>
      </c>
      <c r="T287">
        <f>IF(V287="Sí",COUNTIFS(DATOS!G:G,CONFIG_METADATA!$B$4,DATOS!D:D,A287,DATOS!I:I,B287,DATOS!K:K,9),"")</f>
        <v>0</v>
      </c>
      <c r="U287">
        <f>IF(V287="Sí",COUNTIFS(DATOS!G:G,CONFIG_METADATA!$B$4,DATOS!D:D,A287,DATOS!I:I,B287,DATOS!K:K,10),"")</f>
        <v>0</v>
      </c>
      <c r="V287" t="str">
        <f>IFERROR(IF(ISERROR(FIND(A287,VLOOKUP(B287,CONFIG_ASIGNATURAS!B:C,2,FALSE()))),"No","Sí"),"No")</f>
        <v>Sí</v>
      </c>
    </row>
    <row r="288" spans="1:22">
      <c r="A288" s="3" t="inlineStr">
        <is>
          <t xml:space="preserve">4EEM</t>
        </is>
      </c>
      <c r="B288" s="3" cm="1">
        <f t="array" ref="B288">IFERROR(INDEX(_xlfn._xlws.FILTER(CONFIG_ASIGNATURAS!$B$2:$B$61,(CONFIG_ASIGNATURAS!$G$2:$G$61="Sí")*ISNUMBER(SEARCH("4EEM",CONFIG_ASIGNATURAS!$C$2:$C$61))),32),"")</f>
      </c>
      <c r="C288" s="3">
        <f>IF(B288="","",IFERROR(IF(VLOOKUP(B288,CONFIG_ASIGNATURAS!$B$2:$F$61,5,FALSE())="Sí","Especialidad","Asignatura"),"Asignatura"))</f>
      </c>
      <c r="D288">
        <f>IF(V288="Sí",COUNTIFS(DATOS!G:G,CONFIG_METADATA!$B$4,DATOS!D:D,A288,DATOS!I:I,B288),"")</f>
        <v>0</v>
      </c>
      <c r="E288" s="14" t="str">
        <f>IF(V288="Sí",IFERROR(AVERAGEIFS(DATOS!K:K,DATOS!G:G,CONFIG_METADATA!$B$4,DATOS!D:D,A288,DATOS!I:I,B288),"—"),"")</f>
        <v>—</v>
      </c>
      <c r="F288" s="14" t="str" cm="1">
        <f t="array" ref="F288">IF(V288="Sí",IFERROR(_xlfn.STDEV.P(IF((nEVAL=CONFIG_METADATA!$B$4)*(nCURSO=A288)*(nASIG=B288),nNOTA)),"—"),"")</f>
        <v>—</v>
      </c>
      <c r="G288" t="str" cm="1">
        <f t="array" ref="G288">IF(V288="Sí",IFERROR(_xlfn.MODE.SNGL(IF((nEVAL=CONFIG_METADATA!$B$4)*(nCURSO=A288)*(nASIG=B288),nNOTA)),"—"),"")</f>
        <v>—</v>
      </c>
      <c r="H288" s="15" t="str">
        <f>IF(V288="Sí",IFERROR(COUNTIFS(DATOS!G:G,CONFIG_METADATA!$B$4,DATOS!D:D,A288,DATOS!I:I,B288,DATOS!L:L,"S")/COUNTIFS(DATOS!G:G,CONFIG_METADATA!$B$4,DATOS!D:D,A288,DATOS!I:I,B288),"—"),"")</f>
        <v>—</v>
      </c>
      <c r="I288" s="15" t="str">
        <f>IF(V288="Sí",IFERROR(COUNTIFS(DATOS!G:G,CONFIG_METADATA!$B$4,DATOS!D:D,A288,DATOS!I:I,B288,DATOS!L:L,"N")/COUNTIFS(DATOS!G:G,CONFIG_METADATA!$B$4,DATOS!D:D,A288,DATOS!I:I,B288),"—"),"")</f>
        <v>—</v>
      </c>
      <c r="J288" t="str" cm="1">
        <f t="array" ref="J288">IF(V288="Sí",IFERROR(_xlfn.MODE.SNGL(IF((nEVAL=CONFIG_METADATA!$B$4)*(nCURSO=A288)*(nASIG=B288)*(nAPTO="S"),nNOTA)),"—"),"")</f>
        <v>—</v>
      </c>
      <c r="K288" t="str" cm="1">
        <f t="array" ref="K288">IF(V288="Sí",IFERROR(_xlfn.MODE.SNGL(IF((nEVAL=CONFIG_METADATA!$B$4)*(nCURSO=A288)*(nASIG=B288)*(nAPTO="N"),nNOTA)),"—"),"")</f>
        <v>—</v>
      </c>
      <c r="L288">
        <f>IF(V288="Sí",COUNTIFS(DATOS!G:G,CONFIG_METADATA!$B$4,DATOS!D:D,A288,DATOS!I:I,B288,DATOS!K:K,1),"")</f>
        <v>0</v>
      </c>
      <c r="M288">
        <f>IF(V288="Sí",COUNTIFS(DATOS!G:G,CONFIG_METADATA!$B$4,DATOS!D:D,A288,DATOS!I:I,B288,DATOS!K:K,2),"")</f>
        <v>0</v>
      </c>
      <c r="N288">
        <f>IF(V288="Sí",COUNTIFS(DATOS!G:G,CONFIG_METADATA!$B$4,DATOS!D:D,A288,DATOS!I:I,B288,DATOS!K:K,3),"")</f>
        <v>0</v>
      </c>
      <c r="O288">
        <f>IF(V288="Sí",COUNTIFS(DATOS!G:G,CONFIG_METADATA!$B$4,DATOS!D:D,A288,DATOS!I:I,B288,DATOS!K:K,4),"")</f>
        <v>0</v>
      </c>
      <c r="P288">
        <f>IF(V288="Sí",COUNTIFS(DATOS!G:G,CONFIG_METADATA!$B$4,DATOS!D:D,A288,DATOS!I:I,B288,DATOS!K:K,5),"")</f>
        <v>0</v>
      </c>
      <c r="Q288">
        <f>IF(V288="Sí",COUNTIFS(DATOS!G:G,CONFIG_METADATA!$B$4,DATOS!D:D,A288,DATOS!I:I,B288,DATOS!K:K,6),"")</f>
        <v>0</v>
      </c>
      <c r="R288">
        <f>IF(V288="Sí",COUNTIFS(DATOS!G:G,CONFIG_METADATA!$B$4,DATOS!D:D,A288,DATOS!I:I,B288,DATOS!K:K,7),"")</f>
        <v>0</v>
      </c>
      <c r="S288">
        <f>IF(V288="Sí",COUNTIFS(DATOS!G:G,CONFIG_METADATA!$B$4,DATOS!D:D,A288,DATOS!I:I,B288,DATOS!K:K,8),"")</f>
        <v>0</v>
      </c>
      <c r="T288">
        <f>IF(V288="Sí",COUNTIFS(DATOS!G:G,CONFIG_METADATA!$B$4,DATOS!D:D,A288,DATOS!I:I,B288,DATOS!K:K,9),"")</f>
        <v>0</v>
      </c>
      <c r="U288">
        <f>IF(V288="Sí",COUNTIFS(DATOS!G:G,CONFIG_METADATA!$B$4,DATOS!D:D,A288,DATOS!I:I,B288,DATOS!K:K,10),"")</f>
        <v>0</v>
      </c>
      <c r="V288" t="str">
        <f>IFERROR(IF(ISERROR(FIND(A288,VLOOKUP(B288,CONFIG_ASIGNATURAS!B:C,2,FALSE()))),"No","Sí"),"No")</f>
        <v>Sí</v>
      </c>
    </row>
    <row r="289" spans="1:22">
      <c r="A289" s="3" t="inlineStr">
        <is>
          <t xml:space="preserve">4EEM</t>
        </is>
      </c>
      <c r="B289" s="3" cm="1">
        <f t="array" ref="B289">IFERROR(INDEX(_xlfn._xlws.FILTER(CONFIG_ASIGNATURAS!$B$2:$B$61,(CONFIG_ASIGNATURAS!$G$2:$G$61="Sí")*ISNUMBER(SEARCH("4EEM",CONFIG_ASIGNATURAS!$C$2:$C$61))),33),"")</f>
      </c>
      <c r="C289" s="3">
        <f>IF(B289="","",IFERROR(IF(VLOOKUP(B289,CONFIG_ASIGNATURAS!$B$2:$F$61,5,FALSE())="Sí","Especialidad","Asignatura"),"Asignatura"))</f>
      </c>
      <c r="D289">
        <f>IF(V289="Sí",COUNTIFS(DATOS!G:G,CONFIG_METADATA!$B$4,DATOS!D:D,A289,DATOS!I:I,B289),"")</f>
        <v>0</v>
      </c>
      <c r="E289" s="14" t="str">
        <f>IF(V289="Sí",IFERROR(AVERAGEIFS(DATOS!K:K,DATOS!G:G,CONFIG_METADATA!$B$4,DATOS!D:D,A289,DATOS!I:I,B289),"—"),"")</f>
        <v>—</v>
      </c>
      <c r="F289" s="14" t="str" cm="1">
        <f t="array" ref="F289">IF(V289="Sí",IFERROR(_xlfn.STDEV.P(IF((nEVAL=CONFIG_METADATA!$B$4)*(nCURSO=A289)*(nASIG=B289),nNOTA)),"—"),"")</f>
        <v>—</v>
      </c>
      <c r="G289" t="str" cm="1">
        <f t="array" ref="G289">IF(V289="Sí",IFERROR(_xlfn.MODE.SNGL(IF((nEVAL=CONFIG_METADATA!$B$4)*(nCURSO=A289)*(nASIG=B289),nNOTA)),"—"),"")</f>
        <v>—</v>
      </c>
      <c r="H289" s="15" t="str">
        <f>IF(V289="Sí",IFERROR(COUNTIFS(DATOS!G:G,CONFIG_METADATA!$B$4,DATOS!D:D,A289,DATOS!I:I,B289,DATOS!L:L,"S")/COUNTIFS(DATOS!G:G,CONFIG_METADATA!$B$4,DATOS!D:D,A289,DATOS!I:I,B289),"—"),"")</f>
        <v>—</v>
      </c>
      <c r="I289" s="15" t="str">
        <f>IF(V289="Sí",IFERROR(COUNTIFS(DATOS!G:G,CONFIG_METADATA!$B$4,DATOS!D:D,A289,DATOS!I:I,B289,DATOS!L:L,"N")/COUNTIFS(DATOS!G:G,CONFIG_METADATA!$B$4,DATOS!D:D,A289,DATOS!I:I,B289),"—"),"")</f>
        <v>—</v>
      </c>
      <c r="J289" t="str" cm="1">
        <f t="array" ref="J289">IF(V289="Sí",IFERROR(_xlfn.MODE.SNGL(IF((nEVAL=CONFIG_METADATA!$B$4)*(nCURSO=A289)*(nASIG=B289)*(nAPTO="S"),nNOTA)),"—"),"")</f>
        <v>—</v>
      </c>
      <c r="K289" t="str" cm="1">
        <f t="array" ref="K289">IF(V289="Sí",IFERROR(_xlfn.MODE.SNGL(IF((nEVAL=CONFIG_METADATA!$B$4)*(nCURSO=A289)*(nASIG=B289)*(nAPTO="N"),nNOTA)),"—"),"")</f>
        <v>—</v>
      </c>
      <c r="L289">
        <f>IF(V289="Sí",COUNTIFS(DATOS!G:G,CONFIG_METADATA!$B$4,DATOS!D:D,A289,DATOS!I:I,B289,DATOS!K:K,1),"")</f>
        <v>0</v>
      </c>
      <c r="M289">
        <f>IF(V289="Sí",COUNTIFS(DATOS!G:G,CONFIG_METADATA!$B$4,DATOS!D:D,A289,DATOS!I:I,B289,DATOS!K:K,2),"")</f>
        <v>0</v>
      </c>
      <c r="N289">
        <f>IF(V289="Sí",COUNTIFS(DATOS!G:G,CONFIG_METADATA!$B$4,DATOS!D:D,A289,DATOS!I:I,B289,DATOS!K:K,3),"")</f>
        <v>0</v>
      </c>
      <c r="O289">
        <f>IF(V289="Sí",COUNTIFS(DATOS!G:G,CONFIG_METADATA!$B$4,DATOS!D:D,A289,DATOS!I:I,B289,DATOS!K:K,4),"")</f>
        <v>0</v>
      </c>
      <c r="P289">
        <f>IF(V289="Sí",COUNTIFS(DATOS!G:G,CONFIG_METADATA!$B$4,DATOS!D:D,A289,DATOS!I:I,B289,DATOS!K:K,5),"")</f>
        <v>0</v>
      </c>
      <c r="Q289">
        <f>IF(V289="Sí",COUNTIFS(DATOS!G:G,CONFIG_METADATA!$B$4,DATOS!D:D,A289,DATOS!I:I,B289,DATOS!K:K,6),"")</f>
        <v>0</v>
      </c>
      <c r="R289">
        <f>IF(V289="Sí",COUNTIFS(DATOS!G:G,CONFIG_METADATA!$B$4,DATOS!D:D,A289,DATOS!I:I,B289,DATOS!K:K,7),"")</f>
        <v>0</v>
      </c>
      <c r="S289">
        <f>IF(V289="Sí",COUNTIFS(DATOS!G:G,CONFIG_METADATA!$B$4,DATOS!D:D,A289,DATOS!I:I,B289,DATOS!K:K,8),"")</f>
        <v>0</v>
      </c>
      <c r="T289">
        <f>IF(V289="Sí",COUNTIFS(DATOS!G:G,CONFIG_METADATA!$B$4,DATOS!D:D,A289,DATOS!I:I,B289,DATOS!K:K,9),"")</f>
        <v>0</v>
      </c>
      <c r="U289">
        <f>IF(V289="Sí",COUNTIFS(DATOS!G:G,CONFIG_METADATA!$B$4,DATOS!D:D,A289,DATOS!I:I,B289,DATOS!K:K,10),"")</f>
        <v>0</v>
      </c>
      <c r="V289" t="str">
        <f>IFERROR(IF(ISERROR(FIND(A289,VLOOKUP(B289,CONFIG_ASIGNATURAS!B:C,2,FALSE()))),"No","Sí"),"No")</f>
        <v>Sí</v>
      </c>
    </row>
    <row r="290" spans="1:22">
      <c r="A290" s="3" t="inlineStr">
        <is>
          <t xml:space="preserve">4EEM</t>
        </is>
      </c>
      <c r="B290" s="3" cm="1">
        <f t="array" ref="B290">IFERROR(INDEX(_xlfn._xlws.FILTER(CONFIG_ASIGNATURAS!$B$2:$B$61,(CONFIG_ASIGNATURAS!$G$2:$G$61="Sí")*ISNUMBER(SEARCH("4EEM",CONFIG_ASIGNATURAS!$C$2:$C$61))),34),"")</f>
      </c>
      <c r="C290" s="3">
        <f>IF(B290="","",IFERROR(IF(VLOOKUP(B290,CONFIG_ASIGNATURAS!$B$2:$F$61,5,FALSE())="Sí","Especialidad","Asignatura"),"Asignatura"))</f>
      </c>
      <c r="D290">
        <f>IF(V290="Sí",COUNTIFS(DATOS!G:G,CONFIG_METADATA!$B$4,DATOS!D:D,A290,DATOS!I:I,B290),"")</f>
        <v>0</v>
      </c>
      <c r="E290" s="14" t="str">
        <f>IF(V290="Sí",IFERROR(AVERAGEIFS(DATOS!K:K,DATOS!G:G,CONFIG_METADATA!$B$4,DATOS!D:D,A290,DATOS!I:I,B290),"—"),"")</f>
        <v>—</v>
      </c>
      <c r="F290" s="14" t="str" cm="1">
        <f t="array" ref="F290">IF(V290="Sí",IFERROR(_xlfn.STDEV.P(IF((nEVAL=CONFIG_METADATA!$B$4)*(nCURSO=A290)*(nASIG=B290),nNOTA)),"—"),"")</f>
        <v>—</v>
      </c>
      <c r="G290" t="str" cm="1">
        <f t="array" ref="G290">IF(V290="Sí",IFERROR(_xlfn.MODE.SNGL(IF((nEVAL=CONFIG_METADATA!$B$4)*(nCURSO=A290)*(nASIG=B290),nNOTA)),"—"),"")</f>
        <v>—</v>
      </c>
      <c r="H290" s="15" t="str">
        <f>IF(V290="Sí",IFERROR(COUNTIFS(DATOS!G:G,CONFIG_METADATA!$B$4,DATOS!D:D,A290,DATOS!I:I,B290,DATOS!L:L,"S")/COUNTIFS(DATOS!G:G,CONFIG_METADATA!$B$4,DATOS!D:D,A290,DATOS!I:I,B290),"—"),"")</f>
        <v>—</v>
      </c>
      <c r="I290" s="15" t="str">
        <f>IF(V290="Sí",IFERROR(COUNTIFS(DATOS!G:G,CONFIG_METADATA!$B$4,DATOS!D:D,A290,DATOS!I:I,B290,DATOS!L:L,"N")/COUNTIFS(DATOS!G:G,CONFIG_METADATA!$B$4,DATOS!D:D,A290,DATOS!I:I,B290),"—"),"")</f>
        <v>—</v>
      </c>
      <c r="J290" t="str" cm="1">
        <f t="array" ref="J290">IF(V290="Sí",IFERROR(_xlfn.MODE.SNGL(IF((nEVAL=CONFIG_METADATA!$B$4)*(nCURSO=A290)*(nASIG=B290)*(nAPTO="S"),nNOTA)),"—"),"")</f>
        <v>—</v>
      </c>
      <c r="K290" t="str" cm="1">
        <f t="array" ref="K290">IF(V290="Sí",IFERROR(_xlfn.MODE.SNGL(IF((nEVAL=CONFIG_METADATA!$B$4)*(nCURSO=A290)*(nASIG=B290)*(nAPTO="N"),nNOTA)),"—"),"")</f>
        <v>—</v>
      </c>
      <c r="L290">
        <f>IF(V290="Sí",COUNTIFS(DATOS!G:G,CONFIG_METADATA!$B$4,DATOS!D:D,A290,DATOS!I:I,B290,DATOS!K:K,1),"")</f>
        <v>0</v>
      </c>
      <c r="M290">
        <f>IF(V290="Sí",COUNTIFS(DATOS!G:G,CONFIG_METADATA!$B$4,DATOS!D:D,A290,DATOS!I:I,B290,DATOS!K:K,2),"")</f>
        <v>0</v>
      </c>
      <c r="N290">
        <f>IF(V290="Sí",COUNTIFS(DATOS!G:G,CONFIG_METADATA!$B$4,DATOS!D:D,A290,DATOS!I:I,B290,DATOS!K:K,3),"")</f>
        <v>0</v>
      </c>
      <c r="O290">
        <f>IF(V290="Sí",COUNTIFS(DATOS!G:G,CONFIG_METADATA!$B$4,DATOS!D:D,A290,DATOS!I:I,B290,DATOS!K:K,4),"")</f>
        <v>0</v>
      </c>
      <c r="P290">
        <f>IF(V290="Sí",COUNTIFS(DATOS!G:G,CONFIG_METADATA!$B$4,DATOS!D:D,A290,DATOS!I:I,B290,DATOS!K:K,5),"")</f>
        <v>0</v>
      </c>
      <c r="Q290">
        <f>IF(V290="Sí",COUNTIFS(DATOS!G:G,CONFIG_METADATA!$B$4,DATOS!D:D,A290,DATOS!I:I,B290,DATOS!K:K,6),"")</f>
        <v>0</v>
      </c>
      <c r="R290">
        <f>IF(V290="Sí",COUNTIFS(DATOS!G:G,CONFIG_METADATA!$B$4,DATOS!D:D,A290,DATOS!I:I,B290,DATOS!K:K,7),"")</f>
        <v>0</v>
      </c>
      <c r="S290">
        <f>IF(V290="Sí",COUNTIFS(DATOS!G:G,CONFIG_METADATA!$B$4,DATOS!D:D,A290,DATOS!I:I,B290,DATOS!K:K,8),"")</f>
        <v>0</v>
      </c>
      <c r="T290">
        <f>IF(V290="Sí",COUNTIFS(DATOS!G:G,CONFIG_METADATA!$B$4,DATOS!D:D,A290,DATOS!I:I,B290,DATOS!K:K,9),"")</f>
        <v>0</v>
      </c>
      <c r="U290">
        <f>IF(V290="Sí",COUNTIFS(DATOS!G:G,CONFIG_METADATA!$B$4,DATOS!D:D,A290,DATOS!I:I,B290,DATOS!K:K,10),"")</f>
        <v>0</v>
      </c>
      <c r="V290" t="str">
        <f>IFERROR(IF(ISERROR(FIND(A290,VLOOKUP(B290,CONFIG_ASIGNATURAS!B:C,2,FALSE()))),"No","Sí"),"No")</f>
        <v>Sí</v>
      </c>
    </row>
    <row r="291" spans="1:22">
      <c r="A291" s="3" t="inlineStr">
        <is>
          <t xml:space="preserve">4EEM</t>
        </is>
      </c>
      <c r="B291" s="3" cm="1">
        <f t="array" ref="B291">IFERROR(INDEX(_xlfn._xlws.FILTER(CONFIG_ASIGNATURAS!$B$2:$B$61,(CONFIG_ASIGNATURAS!$G$2:$G$61="Sí")*ISNUMBER(SEARCH("4EEM",CONFIG_ASIGNATURAS!$C$2:$C$61))),35),"")</f>
      </c>
      <c r="C291" s="3">
        <f>IF(B291="","",IFERROR(IF(VLOOKUP(B291,CONFIG_ASIGNATURAS!$B$2:$F$61,5,FALSE())="Sí","Especialidad","Asignatura"),"Asignatura"))</f>
      </c>
      <c r="D291">
        <f>IF(V291="Sí",COUNTIFS(DATOS!G:G,CONFIG_METADATA!$B$4,DATOS!D:D,A291,DATOS!I:I,B291),"")</f>
        <v>0</v>
      </c>
      <c r="E291" s="14" t="str">
        <f>IF(V291="Sí",IFERROR(AVERAGEIFS(DATOS!K:K,DATOS!G:G,CONFIG_METADATA!$B$4,DATOS!D:D,A291,DATOS!I:I,B291),"—"),"")</f>
        <v>—</v>
      </c>
      <c r="F291" s="14" t="str" cm="1">
        <f t="array" ref="F291">IF(V291="Sí",IFERROR(_xlfn.STDEV.P(IF((nEVAL=CONFIG_METADATA!$B$4)*(nCURSO=A291)*(nASIG=B291),nNOTA)),"—"),"")</f>
        <v>—</v>
      </c>
      <c r="G291" t="str" cm="1">
        <f t="array" ref="G291">IF(V291="Sí",IFERROR(_xlfn.MODE.SNGL(IF((nEVAL=CONFIG_METADATA!$B$4)*(nCURSO=A291)*(nASIG=B291),nNOTA)),"—"),"")</f>
        <v>—</v>
      </c>
      <c r="H291" s="15" t="str">
        <f>IF(V291="Sí",IFERROR(COUNTIFS(DATOS!G:G,CONFIG_METADATA!$B$4,DATOS!D:D,A291,DATOS!I:I,B291,DATOS!L:L,"S")/COUNTIFS(DATOS!G:G,CONFIG_METADATA!$B$4,DATOS!D:D,A291,DATOS!I:I,B291),"—"),"")</f>
        <v>—</v>
      </c>
      <c r="I291" s="15" t="str">
        <f>IF(V291="Sí",IFERROR(COUNTIFS(DATOS!G:G,CONFIG_METADATA!$B$4,DATOS!D:D,A291,DATOS!I:I,B291,DATOS!L:L,"N")/COUNTIFS(DATOS!G:G,CONFIG_METADATA!$B$4,DATOS!D:D,A291,DATOS!I:I,B291),"—"),"")</f>
        <v>—</v>
      </c>
      <c r="J291" t="str" cm="1">
        <f t="array" ref="J291">IF(V291="Sí",IFERROR(_xlfn.MODE.SNGL(IF((nEVAL=CONFIG_METADATA!$B$4)*(nCURSO=A291)*(nASIG=B291)*(nAPTO="S"),nNOTA)),"—"),"")</f>
        <v>—</v>
      </c>
      <c r="K291" t="str" cm="1">
        <f t="array" ref="K291">IF(V291="Sí",IFERROR(_xlfn.MODE.SNGL(IF((nEVAL=CONFIG_METADATA!$B$4)*(nCURSO=A291)*(nASIG=B291)*(nAPTO="N"),nNOTA)),"—"),"")</f>
        <v>—</v>
      </c>
      <c r="L291">
        <f>IF(V291="Sí",COUNTIFS(DATOS!G:G,CONFIG_METADATA!$B$4,DATOS!D:D,A291,DATOS!I:I,B291,DATOS!K:K,1),"")</f>
        <v>0</v>
      </c>
      <c r="M291">
        <f>IF(V291="Sí",COUNTIFS(DATOS!G:G,CONFIG_METADATA!$B$4,DATOS!D:D,A291,DATOS!I:I,B291,DATOS!K:K,2),"")</f>
        <v>0</v>
      </c>
      <c r="N291">
        <f>IF(V291="Sí",COUNTIFS(DATOS!G:G,CONFIG_METADATA!$B$4,DATOS!D:D,A291,DATOS!I:I,B291,DATOS!K:K,3),"")</f>
        <v>0</v>
      </c>
      <c r="O291">
        <f>IF(V291="Sí",COUNTIFS(DATOS!G:G,CONFIG_METADATA!$B$4,DATOS!D:D,A291,DATOS!I:I,B291,DATOS!K:K,4),"")</f>
        <v>0</v>
      </c>
      <c r="P291">
        <f>IF(V291="Sí",COUNTIFS(DATOS!G:G,CONFIG_METADATA!$B$4,DATOS!D:D,A291,DATOS!I:I,B291,DATOS!K:K,5),"")</f>
        <v>0</v>
      </c>
      <c r="Q291">
        <f>IF(V291="Sí",COUNTIFS(DATOS!G:G,CONFIG_METADATA!$B$4,DATOS!D:D,A291,DATOS!I:I,B291,DATOS!K:K,6),"")</f>
        <v>0</v>
      </c>
      <c r="R291">
        <f>IF(V291="Sí",COUNTIFS(DATOS!G:G,CONFIG_METADATA!$B$4,DATOS!D:D,A291,DATOS!I:I,B291,DATOS!K:K,7),"")</f>
        <v>0</v>
      </c>
      <c r="S291">
        <f>IF(V291="Sí",COUNTIFS(DATOS!G:G,CONFIG_METADATA!$B$4,DATOS!D:D,A291,DATOS!I:I,B291,DATOS!K:K,8),"")</f>
        <v>0</v>
      </c>
      <c r="T291">
        <f>IF(V291="Sí",COUNTIFS(DATOS!G:G,CONFIG_METADATA!$B$4,DATOS!D:D,A291,DATOS!I:I,B291,DATOS!K:K,9),"")</f>
        <v>0</v>
      </c>
      <c r="U291">
        <f>IF(V291="Sí",COUNTIFS(DATOS!G:G,CONFIG_METADATA!$B$4,DATOS!D:D,A291,DATOS!I:I,B291,DATOS!K:K,10),"")</f>
        <v>0</v>
      </c>
      <c r="V291" t="str">
        <f>IFERROR(IF(ISERROR(FIND(A291,VLOOKUP(B291,CONFIG_ASIGNATURAS!B:C,2,FALSE()))),"No","Sí"),"No")</f>
        <v>Sí</v>
      </c>
    </row>
    <row r="292" spans="1:22">
      <c r="A292" s="3" t="inlineStr">
        <is>
          <t xml:space="preserve">4EEM</t>
        </is>
      </c>
      <c r="B292" s="3" cm="1">
        <f t="array" ref="B292">IFERROR(INDEX(_xlfn._xlws.FILTER(CONFIG_ASIGNATURAS!$B$2:$B$61,(CONFIG_ASIGNATURAS!$G$2:$G$61="Sí")*ISNUMBER(SEARCH("4EEM",CONFIG_ASIGNATURAS!$C$2:$C$61))),36),"")</f>
      </c>
      <c r="C292" s="3">
        <f>IF(B292="","",IFERROR(IF(VLOOKUP(B292,CONFIG_ASIGNATURAS!$B$2:$F$61,5,FALSE())="Sí","Especialidad","Asignatura"),"Asignatura"))</f>
      </c>
      <c r="D292">
        <f>IF(V292="Sí",COUNTIFS(DATOS!G:G,CONFIG_METADATA!$B$4,DATOS!D:D,A292,DATOS!I:I,B292),"")</f>
        <v>0</v>
      </c>
      <c r="E292" s="14" t="str">
        <f>IF(V292="Sí",IFERROR(AVERAGEIFS(DATOS!K:K,DATOS!G:G,CONFIG_METADATA!$B$4,DATOS!D:D,A292,DATOS!I:I,B292),"—"),"")</f>
        <v>—</v>
      </c>
      <c r="F292" s="14" t="str" cm="1">
        <f t="array" ref="F292">IF(V292="Sí",IFERROR(_xlfn.STDEV.P(IF((nEVAL=CONFIG_METADATA!$B$4)*(nCURSO=A292)*(nASIG=B292),nNOTA)),"—"),"")</f>
        <v>—</v>
      </c>
      <c r="G292" t="str" cm="1">
        <f t="array" ref="G292">IF(V292="Sí",IFERROR(_xlfn.MODE.SNGL(IF((nEVAL=CONFIG_METADATA!$B$4)*(nCURSO=A292)*(nASIG=B292),nNOTA)),"—"),"")</f>
        <v>—</v>
      </c>
      <c r="H292" s="15" t="str">
        <f>IF(V292="Sí",IFERROR(COUNTIFS(DATOS!G:G,CONFIG_METADATA!$B$4,DATOS!D:D,A292,DATOS!I:I,B292,DATOS!L:L,"S")/COUNTIFS(DATOS!G:G,CONFIG_METADATA!$B$4,DATOS!D:D,A292,DATOS!I:I,B292),"—"),"")</f>
        <v>—</v>
      </c>
      <c r="I292" s="15" t="str">
        <f>IF(V292="Sí",IFERROR(COUNTIFS(DATOS!G:G,CONFIG_METADATA!$B$4,DATOS!D:D,A292,DATOS!I:I,B292,DATOS!L:L,"N")/COUNTIFS(DATOS!G:G,CONFIG_METADATA!$B$4,DATOS!D:D,A292,DATOS!I:I,B292),"—"),"")</f>
        <v>—</v>
      </c>
      <c r="J292" t="str" cm="1">
        <f t="array" ref="J292">IF(V292="Sí",IFERROR(_xlfn.MODE.SNGL(IF((nEVAL=CONFIG_METADATA!$B$4)*(nCURSO=A292)*(nASIG=B292)*(nAPTO="S"),nNOTA)),"—"),"")</f>
        <v>—</v>
      </c>
      <c r="K292" t="str" cm="1">
        <f t="array" ref="K292">IF(V292="Sí",IFERROR(_xlfn.MODE.SNGL(IF((nEVAL=CONFIG_METADATA!$B$4)*(nCURSO=A292)*(nASIG=B292)*(nAPTO="N"),nNOTA)),"—"),"")</f>
        <v>—</v>
      </c>
      <c r="L292">
        <f>IF(V292="Sí",COUNTIFS(DATOS!G:G,CONFIG_METADATA!$B$4,DATOS!D:D,A292,DATOS!I:I,B292,DATOS!K:K,1),"")</f>
        <v>0</v>
      </c>
      <c r="M292">
        <f>IF(V292="Sí",COUNTIFS(DATOS!G:G,CONFIG_METADATA!$B$4,DATOS!D:D,A292,DATOS!I:I,B292,DATOS!K:K,2),"")</f>
        <v>0</v>
      </c>
      <c r="N292">
        <f>IF(V292="Sí",COUNTIFS(DATOS!G:G,CONFIG_METADATA!$B$4,DATOS!D:D,A292,DATOS!I:I,B292,DATOS!K:K,3),"")</f>
        <v>0</v>
      </c>
      <c r="O292">
        <f>IF(V292="Sí",COUNTIFS(DATOS!G:G,CONFIG_METADATA!$B$4,DATOS!D:D,A292,DATOS!I:I,B292,DATOS!K:K,4),"")</f>
        <v>0</v>
      </c>
      <c r="P292">
        <f>IF(V292="Sí",COUNTIFS(DATOS!G:G,CONFIG_METADATA!$B$4,DATOS!D:D,A292,DATOS!I:I,B292,DATOS!K:K,5),"")</f>
        <v>0</v>
      </c>
      <c r="Q292">
        <f>IF(V292="Sí",COUNTIFS(DATOS!G:G,CONFIG_METADATA!$B$4,DATOS!D:D,A292,DATOS!I:I,B292,DATOS!K:K,6),"")</f>
        <v>0</v>
      </c>
      <c r="R292">
        <f>IF(V292="Sí",COUNTIFS(DATOS!G:G,CONFIG_METADATA!$B$4,DATOS!D:D,A292,DATOS!I:I,B292,DATOS!K:K,7),"")</f>
        <v>0</v>
      </c>
      <c r="S292">
        <f>IF(V292="Sí",COUNTIFS(DATOS!G:G,CONFIG_METADATA!$B$4,DATOS!D:D,A292,DATOS!I:I,B292,DATOS!K:K,8),"")</f>
        <v>0</v>
      </c>
      <c r="T292">
        <f>IF(V292="Sí",COUNTIFS(DATOS!G:G,CONFIG_METADATA!$B$4,DATOS!D:D,A292,DATOS!I:I,B292,DATOS!K:K,9),"")</f>
        <v>0</v>
      </c>
      <c r="U292">
        <f>IF(V292="Sí",COUNTIFS(DATOS!G:G,CONFIG_METADATA!$B$4,DATOS!D:D,A292,DATOS!I:I,B292,DATOS!K:K,10),"")</f>
        <v>0</v>
      </c>
      <c r="V292" t="str">
        <f>IFERROR(IF(ISERROR(FIND(A292,VLOOKUP(B292,CONFIG_ASIGNATURAS!B:C,2,FALSE()))),"No","Sí"),"No")</f>
        <v>Sí</v>
      </c>
    </row>
    <row r="293" spans="1:22">
      <c r="A293" s="3" t="inlineStr">
        <is>
          <t xml:space="preserve">4EEM</t>
        </is>
      </c>
      <c r="B293" s="3" cm="1">
        <f t="array" ref="B293">IFERROR(INDEX(_xlfn._xlws.FILTER(CONFIG_ASIGNATURAS!$B$2:$B$61,(CONFIG_ASIGNATURAS!$G$2:$G$61="Sí")*ISNUMBER(SEARCH("4EEM",CONFIG_ASIGNATURAS!$C$2:$C$61))),37),"")</f>
      </c>
      <c r="C293" s="3">
        <f>IF(B293="","",IFERROR(IF(VLOOKUP(B293,CONFIG_ASIGNATURAS!$B$2:$F$61,5,FALSE())="Sí","Especialidad","Asignatura"),"Asignatura"))</f>
      </c>
      <c r="D293">
        <f>IF(V293="Sí",COUNTIFS(DATOS!G:G,CONFIG_METADATA!$B$4,DATOS!D:D,A293,DATOS!I:I,B293),"")</f>
        <v>0</v>
      </c>
      <c r="E293" s="14" t="str">
        <f>IF(V293="Sí",IFERROR(AVERAGEIFS(DATOS!K:K,DATOS!G:G,CONFIG_METADATA!$B$4,DATOS!D:D,A293,DATOS!I:I,B293),"—"),"")</f>
        <v>—</v>
      </c>
      <c r="F293" s="14" t="str" cm="1">
        <f t="array" ref="F293">IF(V293="Sí",IFERROR(_xlfn.STDEV.P(IF((nEVAL=CONFIG_METADATA!$B$4)*(nCURSO=A293)*(nASIG=B293),nNOTA)),"—"),"")</f>
        <v>—</v>
      </c>
      <c r="G293" t="str" cm="1">
        <f t="array" ref="G293">IF(V293="Sí",IFERROR(_xlfn.MODE.SNGL(IF((nEVAL=CONFIG_METADATA!$B$4)*(nCURSO=A293)*(nASIG=B293),nNOTA)),"—"),"")</f>
        <v>—</v>
      </c>
      <c r="H293" s="15" t="str">
        <f>IF(V293="Sí",IFERROR(COUNTIFS(DATOS!G:G,CONFIG_METADATA!$B$4,DATOS!D:D,A293,DATOS!I:I,B293,DATOS!L:L,"S")/COUNTIFS(DATOS!G:G,CONFIG_METADATA!$B$4,DATOS!D:D,A293,DATOS!I:I,B293),"—"),"")</f>
        <v>—</v>
      </c>
      <c r="I293" s="15" t="str">
        <f>IF(V293="Sí",IFERROR(COUNTIFS(DATOS!G:G,CONFIG_METADATA!$B$4,DATOS!D:D,A293,DATOS!I:I,B293,DATOS!L:L,"N")/COUNTIFS(DATOS!G:G,CONFIG_METADATA!$B$4,DATOS!D:D,A293,DATOS!I:I,B293),"—"),"")</f>
        <v>—</v>
      </c>
      <c r="J293" t="str" cm="1">
        <f t="array" ref="J293">IF(V293="Sí",IFERROR(_xlfn.MODE.SNGL(IF((nEVAL=CONFIG_METADATA!$B$4)*(nCURSO=A293)*(nASIG=B293)*(nAPTO="S"),nNOTA)),"—"),"")</f>
        <v>—</v>
      </c>
      <c r="K293" t="str" cm="1">
        <f t="array" ref="K293">IF(V293="Sí",IFERROR(_xlfn.MODE.SNGL(IF((nEVAL=CONFIG_METADATA!$B$4)*(nCURSO=A293)*(nASIG=B293)*(nAPTO="N"),nNOTA)),"—"),"")</f>
        <v>—</v>
      </c>
      <c r="L293">
        <f>IF(V293="Sí",COUNTIFS(DATOS!G:G,CONFIG_METADATA!$B$4,DATOS!D:D,A293,DATOS!I:I,B293,DATOS!K:K,1),"")</f>
        <v>0</v>
      </c>
      <c r="M293">
        <f>IF(V293="Sí",COUNTIFS(DATOS!G:G,CONFIG_METADATA!$B$4,DATOS!D:D,A293,DATOS!I:I,B293,DATOS!K:K,2),"")</f>
        <v>0</v>
      </c>
      <c r="N293">
        <f>IF(V293="Sí",COUNTIFS(DATOS!G:G,CONFIG_METADATA!$B$4,DATOS!D:D,A293,DATOS!I:I,B293,DATOS!K:K,3),"")</f>
        <v>0</v>
      </c>
      <c r="O293">
        <f>IF(V293="Sí",COUNTIFS(DATOS!G:G,CONFIG_METADATA!$B$4,DATOS!D:D,A293,DATOS!I:I,B293,DATOS!K:K,4),"")</f>
        <v>0</v>
      </c>
      <c r="P293">
        <f>IF(V293="Sí",COUNTIFS(DATOS!G:G,CONFIG_METADATA!$B$4,DATOS!D:D,A293,DATOS!I:I,B293,DATOS!K:K,5),"")</f>
        <v>0</v>
      </c>
      <c r="Q293">
        <f>IF(V293="Sí",COUNTIFS(DATOS!G:G,CONFIG_METADATA!$B$4,DATOS!D:D,A293,DATOS!I:I,B293,DATOS!K:K,6),"")</f>
        <v>0</v>
      </c>
      <c r="R293">
        <f>IF(V293="Sí",COUNTIFS(DATOS!G:G,CONFIG_METADATA!$B$4,DATOS!D:D,A293,DATOS!I:I,B293,DATOS!K:K,7),"")</f>
        <v>0</v>
      </c>
      <c r="S293">
        <f>IF(V293="Sí",COUNTIFS(DATOS!G:G,CONFIG_METADATA!$B$4,DATOS!D:D,A293,DATOS!I:I,B293,DATOS!K:K,8),"")</f>
        <v>0</v>
      </c>
      <c r="T293">
        <f>IF(V293="Sí",COUNTIFS(DATOS!G:G,CONFIG_METADATA!$B$4,DATOS!D:D,A293,DATOS!I:I,B293,DATOS!K:K,9),"")</f>
        <v>0</v>
      </c>
      <c r="U293">
        <f>IF(V293="Sí",COUNTIFS(DATOS!G:G,CONFIG_METADATA!$B$4,DATOS!D:D,A293,DATOS!I:I,B293,DATOS!K:K,10),"")</f>
        <v>0</v>
      </c>
      <c r="V293" t="str">
        <f>IFERROR(IF(ISERROR(FIND(A293,VLOOKUP(B293,CONFIG_ASIGNATURAS!B:C,2,FALSE()))),"No","Sí"),"No")</f>
        <v>Sí</v>
      </c>
    </row>
    <row r="294" spans="1:22">
      <c r="A294" s="3" t="inlineStr">
        <is>
          <t xml:space="preserve">4EEM</t>
        </is>
      </c>
      <c r="B294" s="3" cm="1">
        <f t="array" ref="B294">IFERROR(INDEX(_xlfn._xlws.FILTER(CONFIG_ASIGNATURAS!$B$2:$B$61,(CONFIG_ASIGNATURAS!$G$2:$G$61="Sí")*ISNUMBER(SEARCH("4EEM",CONFIG_ASIGNATURAS!$C$2:$C$61))),38),"")</f>
      </c>
      <c r="C294" s="3">
        <f>IF(B294="","",IFERROR(IF(VLOOKUP(B294,CONFIG_ASIGNATURAS!$B$2:$F$61,5,FALSE())="Sí","Especialidad","Asignatura"),"Asignatura"))</f>
      </c>
      <c r="D294">
        <f>IF(V294="Sí",COUNTIFS(DATOS!G:G,CONFIG_METADATA!$B$4,DATOS!D:D,A294,DATOS!I:I,B294),"")</f>
        <v>0</v>
      </c>
      <c r="E294" s="14" t="str">
        <f>IF(V294="Sí",IFERROR(AVERAGEIFS(DATOS!K:K,DATOS!G:G,CONFIG_METADATA!$B$4,DATOS!D:D,A294,DATOS!I:I,B294),"—"),"")</f>
        <v>—</v>
      </c>
      <c r="F294" s="14" t="str" cm="1">
        <f t="array" ref="F294">IF(V294="Sí",IFERROR(_xlfn.STDEV.P(IF((nEVAL=CONFIG_METADATA!$B$4)*(nCURSO=A294)*(nASIG=B294),nNOTA)),"—"),"")</f>
        <v>—</v>
      </c>
      <c r="G294" t="str" cm="1">
        <f t="array" ref="G294">IF(V294="Sí",IFERROR(_xlfn.MODE.SNGL(IF((nEVAL=CONFIG_METADATA!$B$4)*(nCURSO=A294)*(nASIG=B294),nNOTA)),"—"),"")</f>
        <v>—</v>
      </c>
      <c r="H294" s="15" t="str">
        <f>IF(V294="Sí",IFERROR(COUNTIFS(DATOS!G:G,CONFIG_METADATA!$B$4,DATOS!D:D,A294,DATOS!I:I,B294,DATOS!L:L,"S")/COUNTIFS(DATOS!G:G,CONFIG_METADATA!$B$4,DATOS!D:D,A294,DATOS!I:I,B294),"—"),"")</f>
        <v>—</v>
      </c>
      <c r="I294" s="15" t="str">
        <f>IF(V294="Sí",IFERROR(COUNTIFS(DATOS!G:G,CONFIG_METADATA!$B$4,DATOS!D:D,A294,DATOS!I:I,B294,DATOS!L:L,"N")/COUNTIFS(DATOS!G:G,CONFIG_METADATA!$B$4,DATOS!D:D,A294,DATOS!I:I,B294),"—"),"")</f>
        <v>—</v>
      </c>
      <c r="J294" t="str" cm="1">
        <f t="array" ref="J294">IF(V294="Sí",IFERROR(_xlfn.MODE.SNGL(IF((nEVAL=CONFIG_METADATA!$B$4)*(nCURSO=A294)*(nASIG=B294)*(nAPTO="S"),nNOTA)),"—"),"")</f>
        <v>—</v>
      </c>
      <c r="K294" t="str" cm="1">
        <f t="array" ref="K294">IF(V294="Sí",IFERROR(_xlfn.MODE.SNGL(IF((nEVAL=CONFIG_METADATA!$B$4)*(nCURSO=A294)*(nASIG=B294)*(nAPTO="N"),nNOTA)),"—"),"")</f>
        <v>—</v>
      </c>
      <c r="L294">
        <f>IF(V294="Sí",COUNTIFS(DATOS!G:G,CONFIG_METADATA!$B$4,DATOS!D:D,A294,DATOS!I:I,B294,DATOS!K:K,1),"")</f>
        <v>0</v>
      </c>
      <c r="M294">
        <f>IF(V294="Sí",COUNTIFS(DATOS!G:G,CONFIG_METADATA!$B$4,DATOS!D:D,A294,DATOS!I:I,B294,DATOS!K:K,2),"")</f>
        <v>0</v>
      </c>
      <c r="N294">
        <f>IF(V294="Sí",COUNTIFS(DATOS!G:G,CONFIG_METADATA!$B$4,DATOS!D:D,A294,DATOS!I:I,B294,DATOS!K:K,3),"")</f>
        <v>0</v>
      </c>
      <c r="O294">
        <f>IF(V294="Sí",COUNTIFS(DATOS!G:G,CONFIG_METADATA!$B$4,DATOS!D:D,A294,DATOS!I:I,B294,DATOS!K:K,4),"")</f>
        <v>0</v>
      </c>
      <c r="P294">
        <f>IF(V294="Sí",COUNTIFS(DATOS!G:G,CONFIG_METADATA!$B$4,DATOS!D:D,A294,DATOS!I:I,B294,DATOS!K:K,5),"")</f>
        <v>0</v>
      </c>
      <c r="Q294">
        <f>IF(V294="Sí",COUNTIFS(DATOS!G:G,CONFIG_METADATA!$B$4,DATOS!D:D,A294,DATOS!I:I,B294,DATOS!K:K,6),"")</f>
        <v>0</v>
      </c>
      <c r="R294">
        <f>IF(V294="Sí",COUNTIFS(DATOS!G:G,CONFIG_METADATA!$B$4,DATOS!D:D,A294,DATOS!I:I,B294,DATOS!K:K,7),"")</f>
        <v>0</v>
      </c>
      <c r="S294">
        <f>IF(V294="Sí",COUNTIFS(DATOS!G:G,CONFIG_METADATA!$B$4,DATOS!D:D,A294,DATOS!I:I,B294,DATOS!K:K,8),"")</f>
        <v>0</v>
      </c>
      <c r="T294">
        <f>IF(V294="Sí",COUNTIFS(DATOS!G:G,CONFIG_METADATA!$B$4,DATOS!D:D,A294,DATOS!I:I,B294,DATOS!K:K,9),"")</f>
        <v>0</v>
      </c>
      <c r="U294">
        <f>IF(V294="Sí",COUNTIFS(DATOS!G:G,CONFIG_METADATA!$B$4,DATOS!D:D,A294,DATOS!I:I,B294,DATOS!K:K,10),"")</f>
        <v>0</v>
      </c>
      <c r="V294" t="str">
        <f>IFERROR(IF(ISERROR(FIND(A294,VLOOKUP(B294,CONFIG_ASIGNATURAS!B:C,2,FALSE()))),"No","Sí"),"No")</f>
        <v>Sí</v>
      </c>
    </row>
    <row r="295" spans="1:22">
      <c r="A295" s="3" t="inlineStr">
        <is>
          <t xml:space="preserve">4EEM</t>
        </is>
      </c>
      <c r="B295" s="3" cm="1">
        <f t="array" ref="B295">IFERROR(INDEX(_xlfn._xlws.FILTER(CONFIG_ASIGNATURAS!$B$2:$B$61,(CONFIG_ASIGNATURAS!$G$2:$G$61="Sí")*ISNUMBER(SEARCH("4EEM",CONFIG_ASIGNATURAS!$C$2:$C$61))),39),"")</f>
      </c>
      <c r="C295" s="3">
        <f>IF(B295="","",IFERROR(IF(VLOOKUP(B295,CONFIG_ASIGNATURAS!$B$2:$F$61,5,FALSE())="Sí","Especialidad","Asignatura"),"Asignatura"))</f>
      </c>
      <c r="D295">
        <f>IF(V295="Sí",COUNTIFS(DATOS!G:G,CONFIG_METADATA!$B$4,DATOS!D:D,A295,DATOS!I:I,B295),"")</f>
        <v>0</v>
      </c>
      <c r="E295" s="14" t="str">
        <f>IF(V295="Sí",IFERROR(AVERAGEIFS(DATOS!K:K,DATOS!G:G,CONFIG_METADATA!$B$4,DATOS!D:D,A295,DATOS!I:I,B295),"—"),"")</f>
        <v>—</v>
      </c>
      <c r="F295" s="14" t="str" cm="1">
        <f t="array" ref="F295">IF(V295="Sí",IFERROR(_xlfn.STDEV.P(IF((nEVAL=CONFIG_METADATA!$B$4)*(nCURSO=A295)*(nASIG=B295),nNOTA)),"—"),"")</f>
        <v>—</v>
      </c>
      <c r="G295" t="str" cm="1">
        <f t="array" ref="G295">IF(V295="Sí",IFERROR(_xlfn.MODE.SNGL(IF((nEVAL=CONFIG_METADATA!$B$4)*(nCURSO=A295)*(nASIG=B295),nNOTA)),"—"),"")</f>
        <v>—</v>
      </c>
      <c r="H295" s="15" t="str">
        <f>IF(V295="Sí",IFERROR(COUNTIFS(DATOS!G:G,CONFIG_METADATA!$B$4,DATOS!D:D,A295,DATOS!I:I,B295,DATOS!L:L,"S")/COUNTIFS(DATOS!G:G,CONFIG_METADATA!$B$4,DATOS!D:D,A295,DATOS!I:I,B295),"—"),"")</f>
        <v>—</v>
      </c>
      <c r="I295" s="15" t="str">
        <f>IF(V295="Sí",IFERROR(COUNTIFS(DATOS!G:G,CONFIG_METADATA!$B$4,DATOS!D:D,A295,DATOS!I:I,B295,DATOS!L:L,"N")/COUNTIFS(DATOS!G:G,CONFIG_METADATA!$B$4,DATOS!D:D,A295,DATOS!I:I,B295),"—"),"")</f>
        <v>—</v>
      </c>
      <c r="J295" t="str" cm="1">
        <f t="array" ref="J295">IF(V295="Sí",IFERROR(_xlfn.MODE.SNGL(IF((nEVAL=CONFIG_METADATA!$B$4)*(nCURSO=A295)*(nASIG=B295)*(nAPTO="S"),nNOTA)),"—"),"")</f>
        <v>—</v>
      </c>
      <c r="K295" t="str" cm="1">
        <f t="array" ref="K295">IF(V295="Sí",IFERROR(_xlfn.MODE.SNGL(IF((nEVAL=CONFIG_METADATA!$B$4)*(nCURSO=A295)*(nASIG=B295)*(nAPTO="N"),nNOTA)),"—"),"")</f>
        <v>—</v>
      </c>
      <c r="L295">
        <f>IF(V295="Sí",COUNTIFS(DATOS!G:G,CONFIG_METADATA!$B$4,DATOS!D:D,A295,DATOS!I:I,B295,DATOS!K:K,1),"")</f>
        <v>0</v>
      </c>
      <c r="M295">
        <f>IF(V295="Sí",COUNTIFS(DATOS!G:G,CONFIG_METADATA!$B$4,DATOS!D:D,A295,DATOS!I:I,B295,DATOS!K:K,2),"")</f>
        <v>0</v>
      </c>
      <c r="N295">
        <f>IF(V295="Sí",COUNTIFS(DATOS!G:G,CONFIG_METADATA!$B$4,DATOS!D:D,A295,DATOS!I:I,B295,DATOS!K:K,3),"")</f>
        <v>0</v>
      </c>
      <c r="O295">
        <f>IF(V295="Sí",COUNTIFS(DATOS!G:G,CONFIG_METADATA!$B$4,DATOS!D:D,A295,DATOS!I:I,B295,DATOS!K:K,4),"")</f>
        <v>0</v>
      </c>
      <c r="P295">
        <f>IF(V295="Sí",COUNTIFS(DATOS!G:G,CONFIG_METADATA!$B$4,DATOS!D:D,A295,DATOS!I:I,B295,DATOS!K:K,5),"")</f>
        <v>0</v>
      </c>
      <c r="Q295">
        <f>IF(V295="Sí",COUNTIFS(DATOS!G:G,CONFIG_METADATA!$B$4,DATOS!D:D,A295,DATOS!I:I,B295,DATOS!K:K,6),"")</f>
        <v>0</v>
      </c>
      <c r="R295">
        <f>IF(V295="Sí",COUNTIFS(DATOS!G:G,CONFIG_METADATA!$B$4,DATOS!D:D,A295,DATOS!I:I,B295,DATOS!K:K,7),"")</f>
        <v>0</v>
      </c>
      <c r="S295">
        <f>IF(V295="Sí",COUNTIFS(DATOS!G:G,CONFIG_METADATA!$B$4,DATOS!D:D,A295,DATOS!I:I,B295,DATOS!K:K,8),"")</f>
        <v>0</v>
      </c>
      <c r="T295">
        <f>IF(V295="Sí",COUNTIFS(DATOS!G:G,CONFIG_METADATA!$B$4,DATOS!D:D,A295,DATOS!I:I,B295,DATOS!K:K,9),"")</f>
        <v>0</v>
      </c>
      <c r="U295">
        <f>IF(V295="Sí",COUNTIFS(DATOS!G:G,CONFIG_METADATA!$B$4,DATOS!D:D,A295,DATOS!I:I,B295,DATOS!K:K,10),"")</f>
        <v>0</v>
      </c>
      <c r="V295" t="str">
        <f>IFERROR(IF(ISERROR(FIND(A295,VLOOKUP(B295,CONFIG_ASIGNATURAS!B:C,2,FALSE()))),"No","Sí"),"No")</f>
        <v>Sí</v>
      </c>
    </row>
    <row r="296" spans="1:22">
      <c r="A296" s="3" t="inlineStr">
        <is>
          <t xml:space="preserve">4EEM</t>
        </is>
      </c>
      <c r="B296" s="3" cm="1">
        <f t="array" ref="B296">IFERROR(INDEX(_xlfn._xlws.FILTER(CONFIG_ASIGNATURAS!$B$2:$B$61,(CONFIG_ASIGNATURAS!$G$2:$G$61="Sí")*ISNUMBER(SEARCH("4EEM",CONFIG_ASIGNATURAS!$C$2:$C$61))),40),"")</f>
      </c>
      <c r="C296" s="3">
        <f>IF(B296="","",IFERROR(IF(VLOOKUP(B296,CONFIG_ASIGNATURAS!$B$2:$F$61,5,FALSE())="Sí","Especialidad","Asignatura"),"Asignatura"))</f>
      </c>
      <c r="D296">
        <f>IF(V296="Sí",COUNTIFS(DATOS!G:G,CONFIG_METADATA!$B$4,DATOS!D:D,A296,DATOS!I:I,B296),"")</f>
        <v>0</v>
      </c>
      <c r="E296" s="14" t="str">
        <f>IF(V296="Sí",IFERROR(AVERAGEIFS(DATOS!K:K,DATOS!G:G,CONFIG_METADATA!$B$4,DATOS!D:D,A296,DATOS!I:I,B296),"—"),"")</f>
        <v>—</v>
      </c>
      <c r="F296" s="14" t="str" cm="1">
        <f t="array" ref="F296">IF(V296="Sí",IFERROR(_xlfn.STDEV.P(IF((nEVAL=CONFIG_METADATA!$B$4)*(nCURSO=A296)*(nASIG=B296),nNOTA)),"—"),"")</f>
        <v>—</v>
      </c>
      <c r="G296" t="str" cm="1">
        <f t="array" ref="G296">IF(V296="Sí",IFERROR(_xlfn.MODE.SNGL(IF((nEVAL=CONFIG_METADATA!$B$4)*(nCURSO=A296)*(nASIG=B296),nNOTA)),"—"),"")</f>
        <v>—</v>
      </c>
      <c r="H296" s="15" t="str">
        <f>IF(V296="Sí",IFERROR(COUNTIFS(DATOS!G:G,CONFIG_METADATA!$B$4,DATOS!D:D,A296,DATOS!I:I,B296,DATOS!L:L,"S")/COUNTIFS(DATOS!G:G,CONFIG_METADATA!$B$4,DATOS!D:D,A296,DATOS!I:I,B296),"—"),"")</f>
        <v>—</v>
      </c>
      <c r="I296" s="15" t="str">
        <f>IF(V296="Sí",IFERROR(COUNTIFS(DATOS!G:G,CONFIG_METADATA!$B$4,DATOS!D:D,A296,DATOS!I:I,B296,DATOS!L:L,"N")/COUNTIFS(DATOS!G:G,CONFIG_METADATA!$B$4,DATOS!D:D,A296,DATOS!I:I,B296),"—"),"")</f>
        <v>—</v>
      </c>
      <c r="J296" t="str" cm="1">
        <f t="array" ref="J296">IF(V296="Sí",IFERROR(_xlfn.MODE.SNGL(IF((nEVAL=CONFIG_METADATA!$B$4)*(nCURSO=A296)*(nASIG=B296)*(nAPTO="S"),nNOTA)),"—"),"")</f>
        <v>—</v>
      </c>
      <c r="K296" t="str" cm="1">
        <f t="array" ref="K296">IF(V296="Sí",IFERROR(_xlfn.MODE.SNGL(IF((nEVAL=CONFIG_METADATA!$B$4)*(nCURSO=A296)*(nASIG=B296)*(nAPTO="N"),nNOTA)),"—"),"")</f>
        <v>—</v>
      </c>
      <c r="L296">
        <f>IF(V296="Sí",COUNTIFS(DATOS!G:G,CONFIG_METADATA!$B$4,DATOS!D:D,A296,DATOS!I:I,B296,DATOS!K:K,1),"")</f>
        <v>0</v>
      </c>
      <c r="M296">
        <f>IF(V296="Sí",COUNTIFS(DATOS!G:G,CONFIG_METADATA!$B$4,DATOS!D:D,A296,DATOS!I:I,B296,DATOS!K:K,2),"")</f>
        <v>0</v>
      </c>
      <c r="N296">
        <f>IF(V296="Sí",COUNTIFS(DATOS!G:G,CONFIG_METADATA!$B$4,DATOS!D:D,A296,DATOS!I:I,B296,DATOS!K:K,3),"")</f>
        <v>0</v>
      </c>
      <c r="O296">
        <f>IF(V296="Sí",COUNTIFS(DATOS!G:G,CONFIG_METADATA!$B$4,DATOS!D:D,A296,DATOS!I:I,B296,DATOS!K:K,4),"")</f>
        <v>0</v>
      </c>
      <c r="P296">
        <f>IF(V296="Sí",COUNTIFS(DATOS!G:G,CONFIG_METADATA!$B$4,DATOS!D:D,A296,DATOS!I:I,B296,DATOS!K:K,5),"")</f>
        <v>0</v>
      </c>
      <c r="Q296">
        <f>IF(V296="Sí",COUNTIFS(DATOS!G:G,CONFIG_METADATA!$B$4,DATOS!D:D,A296,DATOS!I:I,B296,DATOS!K:K,6),"")</f>
        <v>0</v>
      </c>
      <c r="R296">
        <f>IF(V296="Sí",COUNTIFS(DATOS!G:G,CONFIG_METADATA!$B$4,DATOS!D:D,A296,DATOS!I:I,B296,DATOS!K:K,7),"")</f>
        <v>0</v>
      </c>
      <c r="S296">
        <f>IF(V296="Sí",COUNTIFS(DATOS!G:G,CONFIG_METADATA!$B$4,DATOS!D:D,A296,DATOS!I:I,B296,DATOS!K:K,8),"")</f>
        <v>0</v>
      </c>
      <c r="T296">
        <f>IF(V296="Sí",COUNTIFS(DATOS!G:G,CONFIG_METADATA!$B$4,DATOS!D:D,A296,DATOS!I:I,B296,DATOS!K:K,9),"")</f>
        <v>0</v>
      </c>
      <c r="U296">
        <f>IF(V296="Sí",COUNTIFS(DATOS!G:G,CONFIG_METADATA!$B$4,DATOS!D:D,A296,DATOS!I:I,B296,DATOS!K:K,10),"")</f>
        <v>0</v>
      </c>
      <c r="V296" t="str">
        <f>IFERROR(IF(ISERROR(FIND(A296,VLOOKUP(B296,CONFIG_ASIGNATURAS!B:C,2,FALSE()))),"No","Sí"),"No")</f>
        <v>Sí</v>
      </c>
    </row>
    <row r="297" spans="1:22">
      <c r="A297" s="3" t="inlineStr">
        <is>
          <t xml:space="preserve">4EEM</t>
        </is>
      </c>
      <c r="B297" s="3" cm="1">
        <f t="array" ref="B297">IFERROR(INDEX(_xlfn._xlws.FILTER(CONFIG_ASIGNATURAS!$B$2:$B$61,(CONFIG_ASIGNATURAS!$G$2:$G$61="Sí")*ISNUMBER(SEARCH("4EEM",CONFIG_ASIGNATURAS!$C$2:$C$61))),41),"")</f>
      </c>
      <c r="C297" s="3">
        <f>IF(B297="","",IFERROR(IF(VLOOKUP(B297,CONFIG_ASIGNATURAS!$B$2:$F$61,5,FALSE())="Sí","Especialidad","Asignatura"),"Asignatura"))</f>
      </c>
      <c r="D297">
        <f>IF(V297="Sí",COUNTIFS(DATOS!G:G,CONFIG_METADATA!$B$4,DATOS!D:D,A297,DATOS!I:I,B297),"")</f>
        <v>0</v>
      </c>
      <c r="E297" s="14" t="str">
        <f>IF(V297="Sí",IFERROR(AVERAGEIFS(DATOS!K:K,DATOS!G:G,CONFIG_METADATA!$B$4,DATOS!D:D,A297,DATOS!I:I,B297),"—"),"")</f>
        <v>—</v>
      </c>
      <c r="F297" s="14" t="str" cm="1">
        <f t="array" ref="F297">IF(V297="Sí",IFERROR(_xlfn.STDEV.P(IF((nEVAL=CONFIG_METADATA!$B$4)*(nCURSO=A297)*(nASIG=B297),nNOTA)),"—"),"")</f>
        <v>—</v>
      </c>
      <c r="G297" t="str" cm="1">
        <f t="array" ref="G297">IF(V297="Sí",IFERROR(_xlfn.MODE.SNGL(IF((nEVAL=CONFIG_METADATA!$B$4)*(nCURSO=A297)*(nASIG=B297),nNOTA)),"—"),"")</f>
        <v>—</v>
      </c>
      <c r="H297" s="15" t="str">
        <f>IF(V297="Sí",IFERROR(COUNTIFS(DATOS!G:G,CONFIG_METADATA!$B$4,DATOS!D:D,A297,DATOS!I:I,B297,DATOS!L:L,"S")/COUNTIFS(DATOS!G:G,CONFIG_METADATA!$B$4,DATOS!D:D,A297,DATOS!I:I,B297),"—"),"")</f>
        <v>—</v>
      </c>
      <c r="I297" s="15" t="str">
        <f>IF(V297="Sí",IFERROR(COUNTIFS(DATOS!G:G,CONFIG_METADATA!$B$4,DATOS!D:D,A297,DATOS!I:I,B297,DATOS!L:L,"N")/COUNTIFS(DATOS!G:G,CONFIG_METADATA!$B$4,DATOS!D:D,A297,DATOS!I:I,B297),"—"),"")</f>
        <v>—</v>
      </c>
      <c r="J297" t="str" cm="1">
        <f t="array" ref="J297">IF(V297="Sí",IFERROR(_xlfn.MODE.SNGL(IF((nEVAL=CONFIG_METADATA!$B$4)*(nCURSO=A297)*(nASIG=B297)*(nAPTO="S"),nNOTA)),"—"),"")</f>
        <v>—</v>
      </c>
      <c r="K297" t="str" cm="1">
        <f t="array" ref="K297">IF(V297="Sí",IFERROR(_xlfn.MODE.SNGL(IF((nEVAL=CONFIG_METADATA!$B$4)*(nCURSO=A297)*(nASIG=B297)*(nAPTO="N"),nNOTA)),"—"),"")</f>
        <v>—</v>
      </c>
      <c r="L297">
        <f>IF(V297="Sí",COUNTIFS(DATOS!G:G,CONFIG_METADATA!$B$4,DATOS!D:D,A297,DATOS!I:I,B297,DATOS!K:K,1),"")</f>
        <v>0</v>
      </c>
      <c r="M297">
        <f>IF(V297="Sí",COUNTIFS(DATOS!G:G,CONFIG_METADATA!$B$4,DATOS!D:D,A297,DATOS!I:I,B297,DATOS!K:K,2),"")</f>
        <v>0</v>
      </c>
      <c r="N297">
        <f>IF(V297="Sí",COUNTIFS(DATOS!G:G,CONFIG_METADATA!$B$4,DATOS!D:D,A297,DATOS!I:I,B297,DATOS!K:K,3),"")</f>
        <v>0</v>
      </c>
      <c r="O297">
        <f>IF(V297="Sí",COUNTIFS(DATOS!G:G,CONFIG_METADATA!$B$4,DATOS!D:D,A297,DATOS!I:I,B297,DATOS!K:K,4),"")</f>
        <v>0</v>
      </c>
      <c r="P297">
        <f>IF(V297="Sí",COUNTIFS(DATOS!G:G,CONFIG_METADATA!$B$4,DATOS!D:D,A297,DATOS!I:I,B297,DATOS!K:K,5),"")</f>
        <v>0</v>
      </c>
      <c r="Q297">
        <f>IF(V297="Sí",COUNTIFS(DATOS!G:G,CONFIG_METADATA!$B$4,DATOS!D:D,A297,DATOS!I:I,B297,DATOS!K:K,6),"")</f>
        <v>0</v>
      </c>
      <c r="R297">
        <f>IF(V297="Sí",COUNTIFS(DATOS!G:G,CONFIG_METADATA!$B$4,DATOS!D:D,A297,DATOS!I:I,B297,DATOS!K:K,7),"")</f>
        <v>0</v>
      </c>
      <c r="S297">
        <f>IF(V297="Sí",COUNTIFS(DATOS!G:G,CONFIG_METADATA!$B$4,DATOS!D:D,A297,DATOS!I:I,B297,DATOS!K:K,8),"")</f>
        <v>0</v>
      </c>
      <c r="T297">
        <f>IF(V297="Sí",COUNTIFS(DATOS!G:G,CONFIG_METADATA!$B$4,DATOS!D:D,A297,DATOS!I:I,B297,DATOS!K:K,9),"")</f>
        <v>0</v>
      </c>
      <c r="U297">
        <f>IF(V297="Sí",COUNTIFS(DATOS!G:G,CONFIG_METADATA!$B$4,DATOS!D:D,A297,DATOS!I:I,B297,DATOS!K:K,10),"")</f>
        <v>0</v>
      </c>
      <c r="V297" t="str">
        <f>IFERROR(IF(ISERROR(FIND(A297,VLOOKUP(B297,CONFIG_ASIGNATURAS!B:C,2,FALSE()))),"No","Sí"),"No")</f>
        <v>Sí</v>
      </c>
    </row>
    <row r="298" spans="1:22">
      <c r="A298" s="3" t="inlineStr">
        <is>
          <t xml:space="preserve">4EEM</t>
        </is>
      </c>
      <c r="B298" s="3" cm="1">
        <f t="array" ref="B298">IFERROR(INDEX(_xlfn._xlws.FILTER(CONFIG_ASIGNATURAS!$B$2:$B$61,(CONFIG_ASIGNATURAS!$G$2:$G$61="Sí")*ISNUMBER(SEARCH("4EEM",CONFIG_ASIGNATURAS!$C$2:$C$61))),42),"")</f>
      </c>
      <c r="C298" s="3">
        <f>IF(B298="","",IFERROR(IF(VLOOKUP(B298,CONFIG_ASIGNATURAS!$B$2:$F$61,5,FALSE())="Sí","Especialidad","Asignatura"),"Asignatura"))</f>
      </c>
      <c r="D298">
        <f>IF(V298="Sí",COUNTIFS(DATOS!G:G,CONFIG_METADATA!$B$4,DATOS!D:D,A298,DATOS!I:I,B298),"")</f>
        <v>0</v>
      </c>
      <c r="E298" s="14" t="str">
        <f>IF(V298="Sí",IFERROR(AVERAGEIFS(DATOS!K:K,DATOS!G:G,CONFIG_METADATA!$B$4,DATOS!D:D,A298,DATOS!I:I,B298),"—"),"")</f>
        <v>—</v>
      </c>
      <c r="F298" s="14" t="str" cm="1">
        <f t="array" ref="F298">IF(V298="Sí",IFERROR(_xlfn.STDEV.P(IF((nEVAL=CONFIG_METADATA!$B$4)*(nCURSO=A298)*(nASIG=B298),nNOTA)),"—"),"")</f>
        <v>—</v>
      </c>
      <c r="G298" t="str" cm="1">
        <f t="array" ref="G298">IF(V298="Sí",IFERROR(_xlfn.MODE.SNGL(IF((nEVAL=CONFIG_METADATA!$B$4)*(nCURSO=A298)*(nASIG=B298),nNOTA)),"—"),"")</f>
        <v>—</v>
      </c>
      <c r="H298" s="15" t="str">
        <f>IF(V298="Sí",IFERROR(COUNTIFS(DATOS!G:G,CONFIG_METADATA!$B$4,DATOS!D:D,A298,DATOS!I:I,B298,DATOS!L:L,"S")/COUNTIFS(DATOS!G:G,CONFIG_METADATA!$B$4,DATOS!D:D,A298,DATOS!I:I,B298),"—"),"")</f>
        <v>—</v>
      </c>
      <c r="I298" s="15" t="str">
        <f>IF(V298="Sí",IFERROR(COUNTIFS(DATOS!G:G,CONFIG_METADATA!$B$4,DATOS!D:D,A298,DATOS!I:I,B298,DATOS!L:L,"N")/COUNTIFS(DATOS!G:G,CONFIG_METADATA!$B$4,DATOS!D:D,A298,DATOS!I:I,B298),"—"),"")</f>
        <v>—</v>
      </c>
      <c r="J298" t="str" cm="1">
        <f t="array" ref="J298">IF(V298="Sí",IFERROR(_xlfn.MODE.SNGL(IF((nEVAL=CONFIG_METADATA!$B$4)*(nCURSO=A298)*(nASIG=B298)*(nAPTO="S"),nNOTA)),"—"),"")</f>
        <v>—</v>
      </c>
      <c r="K298" t="str" cm="1">
        <f t="array" ref="K298">IF(V298="Sí",IFERROR(_xlfn.MODE.SNGL(IF((nEVAL=CONFIG_METADATA!$B$4)*(nCURSO=A298)*(nASIG=B298)*(nAPTO="N"),nNOTA)),"—"),"")</f>
        <v>—</v>
      </c>
      <c r="L298">
        <f>IF(V298="Sí",COUNTIFS(DATOS!G:G,CONFIG_METADATA!$B$4,DATOS!D:D,A298,DATOS!I:I,B298,DATOS!K:K,1),"")</f>
        <v>0</v>
      </c>
      <c r="M298">
        <f>IF(V298="Sí",COUNTIFS(DATOS!G:G,CONFIG_METADATA!$B$4,DATOS!D:D,A298,DATOS!I:I,B298,DATOS!K:K,2),"")</f>
        <v>0</v>
      </c>
      <c r="N298">
        <f>IF(V298="Sí",COUNTIFS(DATOS!G:G,CONFIG_METADATA!$B$4,DATOS!D:D,A298,DATOS!I:I,B298,DATOS!K:K,3),"")</f>
        <v>0</v>
      </c>
      <c r="O298">
        <f>IF(V298="Sí",COUNTIFS(DATOS!G:G,CONFIG_METADATA!$B$4,DATOS!D:D,A298,DATOS!I:I,B298,DATOS!K:K,4),"")</f>
        <v>0</v>
      </c>
      <c r="P298">
        <f>IF(V298="Sí",COUNTIFS(DATOS!G:G,CONFIG_METADATA!$B$4,DATOS!D:D,A298,DATOS!I:I,B298,DATOS!K:K,5),"")</f>
        <v>0</v>
      </c>
      <c r="Q298">
        <f>IF(V298="Sí",COUNTIFS(DATOS!G:G,CONFIG_METADATA!$B$4,DATOS!D:D,A298,DATOS!I:I,B298,DATOS!K:K,6),"")</f>
        <v>0</v>
      </c>
      <c r="R298">
        <f>IF(V298="Sí",COUNTIFS(DATOS!G:G,CONFIG_METADATA!$B$4,DATOS!D:D,A298,DATOS!I:I,B298,DATOS!K:K,7),"")</f>
        <v>0</v>
      </c>
      <c r="S298">
        <f>IF(V298="Sí",COUNTIFS(DATOS!G:G,CONFIG_METADATA!$B$4,DATOS!D:D,A298,DATOS!I:I,B298,DATOS!K:K,8),"")</f>
        <v>0</v>
      </c>
      <c r="T298">
        <f>IF(V298="Sí",COUNTIFS(DATOS!G:G,CONFIG_METADATA!$B$4,DATOS!D:D,A298,DATOS!I:I,B298,DATOS!K:K,9),"")</f>
        <v>0</v>
      </c>
      <c r="U298">
        <f>IF(V298="Sí",COUNTIFS(DATOS!G:G,CONFIG_METADATA!$B$4,DATOS!D:D,A298,DATOS!I:I,B298,DATOS!K:K,10),"")</f>
        <v>0</v>
      </c>
      <c r="V298" t="str">
        <f>IFERROR(IF(ISERROR(FIND(A298,VLOOKUP(B298,CONFIG_ASIGNATURAS!B:C,2,FALSE()))),"No","Sí"),"No")</f>
        <v>Sí</v>
      </c>
    </row>
    <row r="299" spans="1:22">
      <c r="A299" s="3" t="inlineStr">
        <is>
          <t xml:space="preserve">4EEM</t>
        </is>
      </c>
      <c r="B299" s="3" cm="1">
        <f t="array" ref="B299">IFERROR(INDEX(_xlfn._xlws.FILTER(CONFIG_ASIGNATURAS!$B$2:$B$61,(CONFIG_ASIGNATURAS!$G$2:$G$61="Sí")*ISNUMBER(SEARCH("4EEM",CONFIG_ASIGNATURAS!$C$2:$C$61))),43),"")</f>
      </c>
      <c r="C299" s="3">
        <f>IF(B299="","",IFERROR(IF(VLOOKUP(B299,CONFIG_ASIGNATURAS!$B$2:$F$61,5,FALSE())="Sí","Especialidad","Asignatura"),"Asignatura"))</f>
      </c>
      <c r="D299">
        <f>IF(V299="Sí",COUNTIFS(DATOS!G:G,CONFIG_METADATA!$B$4,DATOS!D:D,A299,DATOS!I:I,B299),"")</f>
        <v>0</v>
      </c>
      <c r="E299" s="14" t="str">
        <f>IF(V299="Sí",IFERROR(AVERAGEIFS(DATOS!K:K,DATOS!G:G,CONFIG_METADATA!$B$4,DATOS!D:D,A299,DATOS!I:I,B299),"—"),"")</f>
        <v>—</v>
      </c>
      <c r="F299" s="14" t="str" cm="1">
        <f t="array" ref="F299">IF(V299="Sí",IFERROR(_xlfn.STDEV.P(IF((nEVAL=CONFIG_METADATA!$B$4)*(nCURSO=A299)*(nASIG=B299),nNOTA)),"—"),"")</f>
        <v>—</v>
      </c>
      <c r="G299" t="str" cm="1">
        <f t="array" ref="G299">IF(V299="Sí",IFERROR(_xlfn.MODE.SNGL(IF((nEVAL=CONFIG_METADATA!$B$4)*(nCURSO=A299)*(nASIG=B299),nNOTA)),"—"),"")</f>
        <v>—</v>
      </c>
      <c r="H299" s="15" t="str">
        <f>IF(V299="Sí",IFERROR(COUNTIFS(DATOS!G:G,CONFIG_METADATA!$B$4,DATOS!D:D,A299,DATOS!I:I,B299,DATOS!L:L,"S")/COUNTIFS(DATOS!G:G,CONFIG_METADATA!$B$4,DATOS!D:D,A299,DATOS!I:I,B299),"—"),"")</f>
        <v>—</v>
      </c>
      <c r="I299" s="15" t="str">
        <f>IF(V299="Sí",IFERROR(COUNTIFS(DATOS!G:G,CONFIG_METADATA!$B$4,DATOS!D:D,A299,DATOS!I:I,B299,DATOS!L:L,"N")/COUNTIFS(DATOS!G:G,CONFIG_METADATA!$B$4,DATOS!D:D,A299,DATOS!I:I,B299),"—"),"")</f>
        <v>—</v>
      </c>
      <c r="J299" t="str" cm="1">
        <f t="array" ref="J299">IF(V299="Sí",IFERROR(_xlfn.MODE.SNGL(IF((nEVAL=CONFIG_METADATA!$B$4)*(nCURSO=A299)*(nASIG=B299)*(nAPTO="S"),nNOTA)),"—"),"")</f>
        <v>—</v>
      </c>
      <c r="K299" t="str" cm="1">
        <f t="array" ref="K299">IF(V299="Sí",IFERROR(_xlfn.MODE.SNGL(IF((nEVAL=CONFIG_METADATA!$B$4)*(nCURSO=A299)*(nASIG=B299)*(nAPTO="N"),nNOTA)),"—"),"")</f>
        <v>—</v>
      </c>
      <c r="L299">
        <f>IF(V299="Sí",COUNTIFS(DATOS!G:G,CONFIG_METADATA!$B$4,DATOS!D:D,A299,DATOS!I:I,B299,DATOS!K:K,1),"")</f>
        <v>0</v>
      </c>
      <c r="M299">
        <f>IF(V299="Sí",COUNTIFS(DATOS!G:G,CONFIG_METADATA!$B$4,DATOS!D:D,A299,DATOS!I:I,B299,DATOS!K:K,2),"")</f>
        <v>0</v>
      </c>
      <c r="N299">
        <f>IF(V299="Sí",COUNTIFS(DATOS!G:G,CONFIG_METADATA!$B$4,DATOS!D:D,A299,DATOS!I:I,B299,DATOS!K:K,3),"")</f>
        <v>0</v>
      </c>
      <c r="O299">
        <f>IF(V299="Sí",COUNTIFS(DATOS!G:G,CONFIG_METADATA!$B$4,DATOS!D:D,A299,DATOS!I:I,B299,DATOS!K:K,4),"")</f>
        <v>0</v>
      </c>
      <c r="P299">
        <f>IF(V299="Sí",COUNTIFS(DATOS!G:G,CONFIG_METADATA!$B$4,DATOS!D:D,A299,DATOS!I:I,B299,DATOS!K:K,5),"")</f>
        <v>0</v>
      </c>
      <c r="Q299">
        <f>IF(V299="Sí",COUNTIFS(DATOS!G:G,CONFIG_METADATA!$B$4,DATOS!D:D,A299,DATOS!I:I,B299,DATOS!K:K,6),"")</f>
        <v>0</v>
      </c>
      <c r="R299">
        <f>IF(V299="Sí",COUNTIFS(DATOS!G:G,CONFIG_METADATA!$B$4,DATOS!D:D,A299,DATOS!I:I,B299,DATOS!K:K,7),"")</f>
        <v>0</v>
      </c>
      <c r="S299">
        <f>IF(V299="Sí",COUNTIFS(DATOS!G:G,CONFIG_METADATA!$B$4,DATOS!D:D,A299,DATOS!I:I,B299,DATOS!K:K,8),"")</f>
        <v>0</v>
      </c>
      <c r="T299">
        <f>IF(V299="Sí",COUNTIFS(DATOS!G:G,CONFIG_METADATA!$B$4,DATOS!D:D,A299,DATOS!I:I,B299,DATOS!K:K,9),"")</f>
        <v>0</v>
      </c>
      <c r="U299">
        <f>IF(V299="Sí",COUNTIFS(DATOS!G:G,CONFIG_METADATA!$B$4,DATOS!D:D,A299,DATOS!I:I,B299,DATOS!K:K,10),"")</f>
        <v>0</v>
      </c>
      <c r="V299" t="str">
        <f>IFERROR(IF(ISERROR(FIND(A299,VLOOKUP(B299,CONFIG_ASIGNATURAS!B:C,2,FALSE()))),"No","Sí"),"No")</f>
        <v>Sí</v>
      </c>
    </row>
    <row r="300" spans="1:22">
      <c r="A300" s="3" t="inlineStr">
        <is>
          <t xml:space="preserve">4EEM</t>
        </is>
      </c>
      <c r="B300" s="3" cm="1">
        <f t="array" ref="B300">IFERROR(INDEX(_xlfn._xlws.FILTER(CONFIG_ASIGNATURAS!$B$2:$B$61,(CONFIG_ASIGNATURAS!$G$2:$G$61="Sí")*ISNUMBER(SEARCH("4EEM",CONFIG_ASIGNATURAS!$C$2:$C$61))),44),"")</f>
      </c>
      <c r="C300" s="3">
        <f>IF(B300="","",IFERROR(IF(VLOOKUP(B300,CONFIG_ASIGNATURAS!$B$2:$F$61,5,FALSE())="Sí","Especialidad","Asignatura"),"Asignatura"))</f>
      </c>
      <c r="D300">
        <f>IF(V300="Sí",COUNTIFS(DATOS!G:G,CONFIG_METADATA!$B$4,DATOS!D:D,A300,DATOS!I:I,B300),"")</f>
        <v>0</v>
      </c>
      <c r="E300" s="14" t="str">
        <f>IF(V300="Sí",IFERROR(AVERAGEIFS(DATOS!K:K,DATOS!G:G,CONFIG_METADATA!$B$4,DATOS!D:D,A300,DATOS!I:I,B300),"—"),"")</f>
        <v>—</v>
      </c>
      <c r="F300" s="14" t="str" cm="1">
        <f t="array" ref="F300">IF(V300="Sí",IFERROR(_xlfn.STDEV.P(IF((nEVAL=CONFIG_METADATA!$B$4)*(nCURSO=A300)*(nASIG=B300),nNOTA)),"—"),"")</f>
        <v>—</v>
      </c>
      <c r="G300" t="str" cm="1">
        <f t="array" ref="G300">IF(V300="Sí",IFERROR(_xlfn.MODE.SNGL(IF((nEVAL=CONFIG_METADATA!$B$4)*(nCURSO=A300)*(nASIG=B300),nNOTA)),"—"),"")</f>
        <v>—</v>
      </c>
      <c r="H300" s="15" t="str">
        <f>IF(V300="Sí",IFERROR(COUNTIFS(DATOS!G:G,CONFIG_METADATA!$B$4,DATOS!D:D,A300,DATOS!I:I,B300,DATOS!L:L,"S")/COUNTIFS(DATOS!G:G,CONFIG_METADATA!$B$4,DATOS!D:D,A300,DATOS!I:I,B300),"—"),"")</f>
        <v>—</v>
      </c>
      <c r="I300" s="15" t="str">
        <f>IF(V300="Sí",IFERROR(COUNTIFS(DATOS!G:G,CONFIG_METADATA!$B$4,DATOS!D:D,A300,DATOS!I:I,B300,DATOS!L:L,"N")/COUNTIFS(DATOS!G:G,CONFIG_METADATA!$B$4,DATOS!D:D,A300,DATOS!I:I,B300),"—"),"")</f>
        <v>—</v>
      </c>
      <c r="J300" t="str" cm="1">
        <f t="array" ref="J300">IF(V300="Sí",IFERROR(_xlfn.MODE.SNGL(IF((nEVAL=CONFIG_METADATA!$B$4)*(nCURSO=A300)*(nASIG=B300)*(nAPTO="S"),nNOTA)),"—"),"")</f>
        <v>—</v>
      </c>
      <c r="K300" t="str" cm="1">
        <f t="array" ref="K300">IF(V300="Sí",IFERROR(_xlfn.MODE.SNGL(IF((nEVAL=CONFIG_METADATA!$B$4)*(nCURSO=A300)*(nASIG=B300)*(nAPTO="N"),nNOTA)),"—"),"")</f>
        <v>—</v>
      </c>
      <c r="L300">
        <f>IF(V300="Sí",COUNTIFS(DATOS!G:G,CONFIG_METADATA!$B$4,DATOS!D:D,A300,DATOS!I:I,B300,DATOS!K:K,1),"")</f>
        <v>0</v>
      </c>
      <c r="M300">
        <f>IF(V300="Sí",COUNTIFS(DATOS!G:G,CONFIG_METADATA!$B$4,DATOS!D:D,A300,DATOS!I:I,B300,DATOS!K:K,2),"")</f>
        <v>0</v>
      </c>
      <c r="N300">
        <f>IF(V300="Sí",COUNTIFS(DATOS!G:G,CONFIG_METADATA!$B$4,DATOS!D:D,A300,DATOS!I:I,B300,DATOS!K:K,3),"")</f>
        <v>0</v>
      </c>
      <c r="O300">
        <f>IF(V300="Sí",COUNTIFS(DATOS!G:G,CONFIG_METADATA!$B$4,DATOS!D:D,A300,DATOS!I:I,B300,DATOS!K:K,4),"")</f>
        <v>0</v>
      </c>
      <c r="P300">
        <f>IF(V300="Sí",COUNTIFS(DATOS!G:G,CONFIG_METADATA!$B$4,DATOS!D:D,A300,DATOS!I:I,B300,DATOS!K:K,5),"")</f>
        <v>0</v>
      </c>
      <c r="Q300">
        <f>IF(V300="Sí",COUNTIFS(DATOS!G:G,CONFIG_METADATA!$B$4,DATOS!D:D,A300,DATOS!I:I,B300,DATOS!K:K,6),"")</f>
        <v>0</v>
      </c>
      <c r="R300">
        <f>IF(V300="Sí",COUNTIFS(DATOS!G:G,CONFIG_METADATA!$B$4,DATOS!D:D,A300,DATOS!I:I,B300,DATOS!K:K,7),"")</f>
        <v>0</v>
      </c>
      <c r="S300">
        <f>IF(V300="Sí",COUNTIFS(DATOS!G:G,CONFIG_METADATA!$B$4,DATOS!D:D,A300,DATOS!I:I,B300,DATOS!K:K,8),"")</f>
        <v>0</v>
      </c>
      <c r="T300">
        <f>IF(V300="Sí",COUNTIFS(DATOS!G:G,CONFIG_METADATA!$B$4,DATOS!D:D,A300,DATOS!I:I,B300,DATOS!K:K,9),"")</f>
        <v>0</v>
      </c>
      <c r="U300">
        <f>IF(V300="Sí",COUNTIFS(DATOS!G:G,CONFIG_METADATA!$B$4,DATOS!D:D,A300,DATOS!I:I,B300,DATOS!K:K,10),"")</f>
        <v>0</v>
      </c>
      <c r="V300" t="str">
        <f>IFERROR(IF(ISERROR(FIND(A300,VLOOKUP(B300,CONFIG_ASIGNATURAS!B:C,2,FALSE()))),"No","Sí"),"No")</f>
        <v>Sí</v>
      </c>
    </row>
    <row r="301" spans="1:22">
      <c r="A301" s="3" t="inlineStr">
        <is>
          <t xml:space="preserve">4EEM</t>
        </is>
      </c>
      <c r="B301" s="3" cm="1">
        <f t="array" ref="B301">IFERROR(INDEX(_xlfn._xlws.FILTER(CONFIG_ASIGNATURAS!$B$2:$B$61,(CONFIG_ASIGNATURAS!$G$2:$G$61="Sí")*ISNUMBER(SEARCH("4EEM",CONFIG_ASIGNATURAS!$C$2:$C$61))),45),"")</f>
      </c>
      <c r="C301" s="3">
        <f>IF(B301="","",IFERROR(IF(VLOOKUP(B301,CONFIG_ASIGNATURAS!$B$2:$F$61,5,FALSE())="Sí","Especialidad","Asignatura"),"Asignatura"))</f>
      </c>
      <c r="D301">
        <f>IF(V301="Sí",COUNTIFS(DATOS!G:G,CONFIG_METADATA!$B$4,DATOS!D:D,A301,DATOS!I:I,B301),"")</f>
        <v>0</v>
      </c>
      <c r="E301" s="14" t="str">
        <f>IF(V301="Sí",IFERROR(AVERAGEIFS(DATOS!K:K,DATOS!G:G,CONFIG_METADATA!$B$4,DATOS!D:D,A301,DATOS!I:I,B301),"—"),"")</f>
        <v>—</v>
      </c>
      <c r="F301" s="14" t="str" cm="1">
        <f t="array" ref="F301">IF(V301="Sí",IFERROR(_xlfn.STDEV.P(IF((nEVAL=CONFIG_METADATA!$B$4)*(nCURSO=A301)*(nASIG=B301),nNOTA)),"—"),"")</f>
        <v>—</v>
      </c>
      <c r="G301" t="str" cm="1">
        <f t="array" ref="G301">IF(V301="Sí",IFERROR(_xlfn.MODE.SNGL(IF((nEVAL=CONFIG_METADATA!$B$4)*(nCURSO=A301)*(nASIG=B301),nNOTA)),"—"),"")</f>
        <v>—</v>
      </c>
      <c r="H301" s="15" t="str">
        <f>IF(V301="Sí",IFERROR(COUNTIFS(DATOS!G:G,CONFIG_METADATA!$B$4,DATOS!D:D,A301,DATOS!I:I,B301,DATOS!L:L,"S")/COUNTIFS(DATOS!G:G,CONFIG_METADATA!$B$4,DATOS!D:D,A301,DATOS!I:I,B301),"—"),"")</f>
        <v>—</v>
      </c>
      <c r="I301" s="15" t="str">
        <f>IF(V301="Sí",IFERROR(COUNTIFS(DATOS!G:G,CONFIG_METADATA!$B$4,DATOS!D:D,A301,DATOS!I:I,B301,DATOS!L:L,"N")/COUNTIFS(DATOS!G:G,CONFIG_METADATA!$B$4,DATOS!D:D,A301,DATOS!I:I,B301),"—"),"")</f>
        <v>—</v>
      </c>
      <c r="J301" t="str" cm="1">
        <f t="array" ref="J301">IF(V301="Sí",IFERROR(_xlfn.MODE.SNGL(IF((nEVAL=CONFIG_METADATA!$B$4)*(nCURSO=A301)*(nASIG=B301)*(nAPTO="S"),nNOTA)),"—"),"")</f>
        <v>—</v>
      </c>
      <c r="K301" t="str" cm="1">
        <f t="array" ref="K301">IF(V301="Sí",IFERROR(_xlfn.MODE.SNGL(IF((nEVAL=CONFIG_METADATA!$B$4)*(nCURSO=A301)*(nASIG=B301)*(nAPTO="N"),nNOTA)),"—"),"")</f>
        <v>—</v>
      </c>
      <c r="L301">
        <f>IF(V301="Sí",COUNTIFS(DATOS!G:G,CONFIG_METADATA!$B$4,DATOS!D:D,A301,DATOS!I:I,B301,DATOS!K:K,1),"")</f>
        <v>0</v>
      </c>
      <c r="M301">
        <f>IF(V301="Sí",COUNTIFS(DATOS!G:G,CONFIG_METADATA!$B$4,DATOS!D:D,A301,DATOS!I:I,B301,DATOS!K:K,2),"")</f>
        <v>0</v>
      </c>
      <c r="N301">
        <f>IF(V301="Sí",COUNTIFS(DATOS!G:G,CONFIG_METADATA!$B$4,DATOS!D:D,A301,DATOS!I:I,B301,DATOS!K:K,3),"")</f>
        <v>0</v>
      </c>
      <c r="O301">
        <f>IF(V301="Sí",COUNTIFS(DATOS!G:G,CONFIG_METADATA!$B$4,DATOS!D:D,A301,DATOS!I:I,B301,DATOS!K:K,4),"")</f>
        <v>0</v>
      </c>
      <c r="P301">
        <f>IF(V301="Sí",COUNTIFS(DATOS!G:G,CONFIG_METADATA!$B$4,DATOS!D:D,A301,DATOS!I:I,B301,DATOS!K:K,5),"")</f>
        <v>0</v>
      </c>
      <c r="Q301">
        <f>IF(V301="Sí",COUNTIFS(DATOS!G:G,CONFIG_METADATA!$B$4,DATOS!D:D,A301,DATOS!I:I,B301,DATOS!K:K,6),"")</f>
        <v>0</v>
      </c>
      <c r="R301">
        <f>IF(V301="Sí",COUNTIFS(DATOS!G:G,CONFIG_METADATA!$B$4,DATOS!D:D,A301,DATOS!I:I,B301,DATOS!K:K,7),"")</f>
        <v>0</v>
      </c>
      <c r="S301">
        <f>IF(V301="Sí",COUNTIFS(DATOS!G:G,CONFIG_METADATA!$B$4,DATOS!D:D,A301,DATOS!I:I,B301,DATOS!K:K,8),"")</f>
        <v>0</v>
      </c>
      <c r="T301">
        <f>IF(V301="Sí",COUNTIFS(DATOS!G:G,CONFIG_METADATA!$B$4,DATOS!D:D,A301,DATOS!I:I,B301,DATOS!K:K,9),"")</f>
        <v>0</v>
      </c>
      <c r="U301">
        <f>IF(V301="Sí",COUNTIFS(DATOS!G:G,CONFIG_METADATA!$B$4,DATOS!D:D,A301,DATOS!I:I,B301,DATOS!K:K,10),"")</f>
        <v>0</v>
      </c>
      <c r="V301" t="str">
        <f>IFERROR(IF(ISERROR(FIND(A301,VLOOKUP(B301,CONFIG_ASIGNATURAS!B:C,2,FALSE()))),"No","Sí"),"No")</f>
        <v>Sí</v>
      </c>
    </row>
    <row r="302" spans="1:22">
      <c r="A302" s="3" t="inlineStr">
        <is>
          <t xml:space="preserve">4EEM</t>
        </is>
      </c>
      <c r="B302" s="3" cm="1">
        <f t="array" ref="B302">IFERROR(INDEX(_xlfn._xlws.FILTER(CONFIG_ASIGNATURAS!$B$2:$B$61,(CONFIG_ASIGNATURAS!$G$2:$G$61="Sí")*ISNUMBER(SEARCH("4EEM",CONFIG_ASIGNATURAS!$C$2:$C$61))),46),"")</f>
      </c>
      <c r="C302" s="3">
        <f>IF(B302="","",IFERROR(IF(VLOOKUP(B302,CONFIG_ASIGNATURAS!$B$2:$F$61,5,FALSE())="Sí","Especialidad","Asignatura"),"Asignatura"))</f>
      </c>
      <c r="D302">
        <f>IF(V302="Sí",COUNTIFS(DATOS!G:G,CONFIG_METADATA!$B$4,DATOS!D:D,A302,DATOS!I:I,B302),"")</f>
        <v>0</v>
      </c>
      <c r="E302" s="14" t="str">
        <f>IF(V302="Sí",IFERROR(AVERAGEIFS(DATOS!K:K,DATOS!G:G,CONFIG_METADATA!$B$4,DATOS!D:D,A302,DATOS!I:I,B302),"—"),"")</f>
        <v>—</v>
      </c>
      <c r="F302" s="14" t="str" cm="1">
        <f t="array" ref="F302">IF(V302="Sí",IFERROR(_xlfn.STDEV.P(IF((nEVAL=CONFIG_METADATA!$B$4)*(nCURSO=A302)*(nASIG=B302),nNOTA)),"—"),"")</f>
        <v>—</v>
      </c>
      <c r="G302" t="str" cm="1">
        <f t="array" ref="G302">IF(V302="Sí",IFERROR(_xlfn.MODE.SNGL(IF((nEVAL=CONFIG_METADATA!$B$4)*(nCURSO=A302)*(nASIG=B302),nNOTA)),"—"),"")</f>
        <v>—</v>
      </c>
      <c r="H302" s="15" t="str">
        <f>IF(V302="Sí",IFERROR(COUNTIFS(DATOS!G:G,CONFIG_METADATA!$B$4,DATOS!D:D,A302,DATOS!I:I,B302,DATOS!L:L,"S")/COUNTIFS(DATOS!G:G,CONFIG_METADATA!$B$4,DATOS!D:D,A302,DATOS!I:I,B302),"—"),"")</f>
        <v>—</v>
      </c>
      <c r="I302" s="15" t="str">
        <f>IF(V302="Sí",IFERROR(COUNTIFS(DATOS!G:G,CONFIG_METADATA!$B$4,DATOS!D:D,A302,DATOS!I:I,B302,DATOS!L:L,"N")/COUNTIFS(DATOS!G:G,CONFIG_METADATA!$B$4,DATOS!D:D,A302,DATOS!I:I,B302),"—"),"")</f>
        <v>—</v>
      </c>
      <c r="J302" t="str" cm="1">
        <f t="array" ref="J302">IF(V302="Sí",IFERROR(_xlfn.MODE.SNGL(IF((nEVAL=CONFIG_METADATA!$B$4)*(nCURSO=A302)*(nASIG=B302)*(nAPTO="S"),nNOTA)),"—"),"")</f>
        <v>—</v>
      </c>
      <c r="K302" t="str" cm="1">
        <f t="array" ref="K302">IF(V302="Sí",IFERROR(_xlfn.MODE.SNGL(IF((nEVAL=CONFIG_METADATA!$B$4)*(nCURSO=A302)*(nASIG=B302)*(nAPTO="N"),nNOTA)),"—"),"")</f>
        <v>—</v>
      </c>
      <c r="L302">
        <f>IF(V302="Sí",COUNTIFS(DATOS!G:G,CONFIG_METADATA!$B$4,DATOS!D:D,A302,DATOS!I:I,B302,DATOS!K:K,1),"")</f>
        <v>0</v>
      </c>
      <c r="M302">
        <f>IF(V302="Sí",COUNTIFS(DATOS!G:G,CONFIG_METADATA!$B$4,DATOS!D:D,A302,DATOS!I:I,B302,DATOS!K:K,2),"")</f>
        <v>0</v>
      </c>
      <c r="N302">
        <f>IF(V302="Sí",COUNTIFS(DATOS!G:G,CONFIG_METADATA!$B$4,DATOS!D:D,A302,DATOS!I:I,B302,DATOS!K:K,3),"")</f>
        <v>0</v>
      </c>
      <c r="O302">
        <f>IF(V302="Sí",COUNTIFS(DATOS!G:G,CONFIG_METADATA!$B$4,DATOS!D:D,A302,DATOS!I:I,B302,DATOS!K:K,4),"")</f>
        <v>0</v>
      </c>
      <c r="P302">
        <f>IF(V302="Sí",COUNTIFS(DATOS!G:G,CONFIG_METADATA!$B$4,DATOS!D:D,A302,DATOS!I:I,B302,DATOS!K:K,5),"")</f>
        <v>0</v>
      </c>
      <c r="Q302">
        <f>IF(V302="Sí",COUNTIFS(DATOS!G:G,CONFIG_METADATA!$B$4,DATOS!D:D,A302,DATOS!I:I,B302,DATOS!K:K,6),"")</f>
        <v>0</v>
      </c>
      <c r="R302">
        <f>IF(V302="Sí",COUNTIFS(DATOS!G:G,CONFIG_METADATA!$B$4,DATOS!D:D,A302,DATOS!I:I,B302,DATOS!K:K,7),"")</f>
        <v>0</v>
      </c>
      <c r="S302">
        <f>IF(V302="Sí",COUNTIFS(DATOS!G:G,CONFIG_METADATA!$B$4,DATOS!D:D,A302,DATOS!I:I,B302,DATOS!K:K,8),"")</f>
        <v>0</v>
      </c>
      <c r="T302">
        <f>IF(V302="Sí",COUNTIFS(DATOS!G:G,CONFIG_METADATA!$B$4,DATOS!D:D,A302,DATOS!I:I,B302,DATOS!K:K,9),"")</f>
        <v>0</v>
      </c>
      <c r="U302">
        <f>IF(V302="Sí",COUNTIFS(DATOS!G:G,CONFIG_METADATA!$B$4,DATOS!D:D,A302,DATOS!I:I,B302,DATOS!K:K,10),"")</f>
        <v>0</v>
      </c>
      <c r="V302" t="str">
        <f>IFERROR(IF(ISERROR(FIND(A302,VLOOKUP(B302,CONFIG_ASIGNATURAS!B:C,2,FALSE()))),"No","Sí"),"No")</f>
        <v>Sí</v>
      </c>
    </row>
    <row r="303" spans="1:22">
      <c r="A303" s="3" t="inlineStr">
        <is>
          <t xml:space="preserve">4EEM</t>
        </is>
      </c>
      <c r="B303" s="3" cm="1">
        <f t="array" ref="B303">IFERROR(INDEX(_xlfn._xlws.FILTER(CONFIG_ASIGNATURAS!$B$2:$B$61,(CONFIG_ASIGNATURAS!$G$2:$G$61="Sí")*ISNUMBER(SEARCH("4EEM",CONFIG_ASIGNATURAS!$C$2:$C$61))),47),"")</f>
      </c>
      <c r="C303" s="3">
        <f>IF(B303="","",IFERROR(IF(VLOOKUP(B303,CONFIG_ASIGNATURAS!$B$2:$F$61,5,FALSE())="Sí","Especialidad","Asignatura"),"Asignatura"))</f>
      </c>
      <c r="D303">
        <f>IF(V303="Sí",COUNTIFS(DATOS!G:G,CONFIG_METADATA!$B$4,DATOS!D:D,A303,DATOS!I:I,B303),"")</f>
        <v>0</v>
      </c>
      <c r="E303" s="14" t="str">
        <f>IF(V303="Sí",IFERROR(AVERAGEIFS(DATOS!K:K,DATOS!G:G,CONFIG_METADATA!$B$4,DATOS!D:D,A303,DATOS!I:I,B303),"—"),"")</f>
        <v>—</v>
      </c>
      <c r="F303" s="14" t="str" cm="1">
        <f t="array" ref="F303">IF(V303="Sí",IFERROR(_xlfn.STDEV.P(IF((nEVAL=CONFIG_METADATA!$B$4)*(nCURSO=A303)*(nASIG=B303),nNOTA)),"—"),"")</f>
        <v>—</v>
      </c>
      <c r="G303" t="str" cm="1">
        <f t="array" ref="G303">IF(V303="Sí",IFERROR(_xlfn.MODE.SNGL(IF((nEVAL=CONFIG_METADATA!$B$4)*(nCURSO=A303)*(nASIG=B303),nNOTA)),"—"),"")</f>
        <v>—</v>
      </c>
      <c r="H303" s="15" t="str">
        <f>IF(V303="Sí",IFERROR(COUNTIFS(DATOS!G:G,CONFIG_METADATA!$B$4,DATOS!D:D,A303,DATOS!I:I,B303,DATOS!L:L,"S")/COUNTIFS(DATOS!G:G,CONFIG_METADATA!$B$4,DATOS!D:D,A303,DATOS!I:I,B303),"—"),"")</f>
        <v>—</v>
      </c>
      <c r="I303" s="15" t="str">
        <f>IF(V303="Sí",IFERROR(COUNTIFS(DATOS!G:G,CONFIG_METADATA!$B$4,DATOS!D:D,A303,DATOS!I:I,B303,DATOS!L:L,"N")/COUNTIFS(DATOS!G:G,CONFIG_METADATA!$B$4,DATOS!D:D,A303,DATOS!I:I,B303),"—"),"")</f>
        <v>—</v>
      </c>
      <c r="J303" t="str" cm="1">
        <f t="array" ref="J303">IF(V303="Sí",IFERROR(_xlfn.MODE.SNGL(IF((nEVAL=CONFIG_METADATA!$B$4)*(nCURSO=A303)*(nASIG=B303)*(nAPTO="S"),nNOTA)),"—"),"")</f>
        <v>—</v>
      </c>
      <c r="K303" t="str" cm="1">
        <f t="array" ref="K303">IF(V303="Sí",IFERROR(_xlfn.MODE.SNGL(IF((nEVAL=CONFIG_METADATA!$B$4)*(nCURSO=A303)*(nASIG=B303)*(nAPTO="N"),nNOTA)),"—"),"")</f>
        <v>—</v>
      </c>
      <c r="L303">
        <f>IF(V303="Sí",COUNTIFS(DATOS!G:G,CONFIG_METADATA!$B$4,DATOS!D:D,A303,DATOS!I:I,B303,DATOS!K:K,1),"")</f>
        <v>0</v>
      </c>
      <c r="M303">
        <f>IF(V303="Sí",COUNTIFS(DATOS!G:G,CONFIG_METADATA!$B$4,DATOS!D:D,A303,DATOS!I:I,B303,DATOS!K:K,2),"")</f>
        <v>0</v>
      </c>
      <c r="N303">
        <f>IF(V303="Sí",COUNTIFS(DATOS!G:G,CONFIG_METADATA!$B$4,DATOS!D:D,A303,DATOS!I:I,B303,DATOS!K:K,3),"")</f>
        <v>0</v>
      </c>
      <c r="O303">
        <f>IF(V303="Sí",COUNTIFS(DATOS!G:G,CONFIG_METADATA!$B$4,DATOS!D:D,A303,DATOS!I:I,B303,DATOS!K:K,4),"")</f>
        <v>0</v>
      </c>
      <c r="P303">
        <f>IF(V303="Sí",COUNTIFS(DATOS!G:G,CONFIG_METADATA!$B$4,DATOS!D:D,A303,DATOS!I:I,B303,DATOS!K:K,5),"")</f>
        <v>0</v>
      </c>
      <c r="Q303">
        <f>IF(V303="Sí",COUNTIFS(DATOS!G:G,CONFIG_METADATA!$B$4,DATOS!D:D,A303,DATOS!I:I,B303,DATOS!K:K,6),"")</f>
        <v>0</v>
      </c>
      <c r="R303">
        <f>IF(V303="Sí",COUNTIFS(DATOS!G:G,CONFIG_METADATA!$B$4,DATOS!D:D,A303,DATOS!I:I,B303,DATOS!K:K,7),"")</f>
        <v>0</v>
      </c>
      <c r="S303">
        <f>IF(V303="Sí",COUNTIFS(DATOS!G:G,CONFIG_METADATA!$B$4,DATOS!D:D,A303,DATOS!I:I,B303,DATOS!K:K,8),"")</f>
        <v>0</v>
      </c>
      <c r="T303">
        <f>IF(V303="Sí",COUNTIFS(DATOS!G:G,CONFIG_METADATA!$B$4,DATOS!D:D,A303,DATOS!I:I,B303,DATOS!K:K,9),"")</f>
        <v>0</v>
      </c>
      <c r="U303">
        <f>IF(V303="Sí",COUNTIFS(DATOS!G:G,CONFIG_METADATA!$B$4,DATOS!D:D,A303,DATOS!I:I,B303,DATOS!K:K,10),"")</f>
        <v>0</v>
      </c>
      <c r="V303" t="str">
        <f>IFERROR(IF(ISERROR(FIND(A303,VLOOKUP(B303,CONFIG_ASIGNATURAS!B:C,2,FALSE()))),"No","Sí"),"No")</f>
        <v>Sí</v>
      </c>
    </row>
    <row r="304" spans="1:22">
      <c r="A304" s="3" t="inlineStr">
        <is>
          <t xml:space="preserve">4EEM</t>
        </is>
      </c>
      <c r="B304" s="3" cm="1">
        <f t="array" ref="B304">IFERROR(INDEX(_xlfn._xlws.FILTER(CONFIG_ASIGNATURAS!$B$2:$B$61,(CONFIG_ASIGNATURAS!$G$2:$G$61="Sí")*ISNUMBER(SEARCH("4EEM",CONFIG_ASIGNATURAS!$C$2:$C$61))),48),"")</f>
      </c>
      <c r="C304" s="3">
        <f>IF(B304="","",IFERROR(IF(VLOOKUP(B304,CONFIG_ASIGNATURAS!$B$2:$F$61,5,FALSE())="Sí","Especialidad","Asignatura"),"Asignatura"))</f>
      </c>
      <c r="D304">
        <f>IF(V304="Sí",COUNTIFS(DATOS!G:G,CONFIG_METADATA!$B$4,DATOS!D:D,A304,DATOS!I:I,B304),"")</f>
        <v>0</v>
      </c>
      <c r="E304" s="14" t="str">
        <f>IF(V304="Sí",IFERROR(AVERAGEIFS(DATOS!K:K,DATOS!G:G,CONFIG_METADATA!$B$4,DATOS!D:D,A304,DATOS!I:I,B304),"—"),"")</f>
        <v>—</v>
      </c>
      <c r="F304" s="14" t="str" cm="1">
        <f t="array" ref="F304">IF(V304="Sí",IFERROR(_xlfn.STDEV.P(IF((nEVAL=CONFIG_METADATA!$B$4)*(nCURSO=A304)*(nASIG=B304),nNOTA)),"—"),"")</f>
        <v>—</v>
      </c>
      <c r="G304" t="str" cm="1">
        <f t="array" ref="G304">IF(V304="Sí",IFERROR(_xlfn.MODE.SNGL(IF((nEVAL=CONFIG_METADATA!$B$4)*(nCURSO=A304)*(nASIG=B304),nNOTA)),"—"),"")</f>
        <v>—</v>
      </c>
      <c r="H304" s="15" t="str">
        <f>IF(V304="Sí",IFERROR(COUNTIFS(DATOS!G:G,CONFIG_METADATA!$B$4,DATOS!D:D,A304,DATOS!I:I,B304,DATOS!L:L,"S")/COUNTIFS(DATOS!G:G,CONFIG_METADATA!$B$4,DATOS!D:D,A304,DATOS!I:I,B304),"—"),"")</f>
        <v>—</v>
      </c>
      <c r="I304" s="15" t="str">
        <f>IF(V304="Sí",IFERROR(COUNTIFS(DATOS!G:G,CONFIG_METADATA!$B$4,DATOS!D:D,A304,DATOS!I:I,B304,DATOS!L:L,"N")/COUNTIFS(DATOS!G:G,CONFIG_METADATA!$B$4,DATOS!D:D,A304,DATOS!I:I,B304),"—"),"")</f>
        <v>—</v>
      </c>
      <c r="J304" t="str" cm="1">
        <f t="array" ref="J304">IF(V304="Sí",IFERROR(_xlfn.MODE.SNGL(IF((nEVAL=CONFIG_METADATA!$B$4)*(nCURSO=A304)*(nASIG=B304)*(nAPTO="S"),nNOTA)),"—"),"")</f>
        <v>—</v>
      </c>
      <c r="K304" t="str" cm="1">
        <f t="array" ref="K304">IF(V304="Sí",IFERROR(_xlfn.MODE.SNGL(IF((nEVAL=CONFIG_METADATA!$B$4)*(nCURSO=A304)*(nASIG=B304)*(nAPTO="N"),nNOTA)),"—"),"")</f>
        <v>—</v>
      </c>
      <c r="L304">
        <f>IF(V304="Sí",COUNTIFS(DATOS!G:G,CONFIG_METADATA!$B$4,DATOS!D:D,A304,DATOS!I:I,B304,DATOS!K:K,1),"")</f>
        <v>0</v>
      </c>
      <c r="M304">
        <f>IF(V304="Sí",COUNTIFS(DATOS!G:G,CONFIG_METADATA!$B$4,DATOS!D:D,A304,DATOS!I:I,B304,DATOS!K:K,2),"")</f>
        <v>0</v>
      </c>
      <c r="N304">
        <f>IF(V304="Sí",COUNTIFS(DATOS!G:G,CONFIG_METADATA!$B$4,DATOS!D:D,A304,DATOS!I:I,B304,DATOS!K:K,3),"")</f>
        <v>0</v>
      </c>
      <c r="O304">
        <f>IF(V304="Sí",COUNTIFS(DATOS!G:G,CONFIG_METADATA!$B$4,DATOS!D:D,A304,DATOS!I:I,B304,DATOS!K:K,4),"")</f>
        <v>0</v>
      </c>
      <c r="P304">
        <f>IF(V304="Sí",COUNTIFS(DATOS!G:G,CONFIG_METADATA!$B$4,DATOS!D:D,A304,DATOS!I:I,B304,DATOS!K:K,5),"")</f>
        <v>0</v>
      </c>
      <c r="Q304">
        <f>IF(V304="Sí",COUNTIFS(DATOS!G:G,CONFIG_METADATA!$B$4,DATOS!D:D,A304,DATOS!I:I,B304,DATOS!K:K,6),"")</f>
        <v>0</v>
      </c>
      <c r="R304">
        <f>IF(V304="Sí",COUNTIFS(DATOS!G:G,CONFIG_METADATA!$B$4,DATOS!D:D,A304,DATOS!I:I,B304,DATOS!K:K,7),"")</f>
        <v>0</v>
      </c>
      <c r="S304">
        <f>IF(V304="Sí",COUNTIFS(DATOS!G:G,CONFIG_METADATA!$B$4,DATOS!D:D,A304,DATOS!I:I,B304,DATOS!K:K,8),"")</f>
        <v>0</v>
      </c>
      <c r="T304">
        <f>IF(V304="Sí",COUNTIFS(DATOS!G:G,CONFIG_METADATA!$B$4,DATOS!D:D,A304,DATOS!I:I,B304,DATOS!K:K,9),"")</f>
        <v>0</v>
      </c>
      <c r="U304">
        <f>IF(V304="Sí",COUNTIFS(DATOS!G:G,CONFIG_METADATA!$B$4,DATOS!D:D,A304,DATOS!I:I,B304,DATOS!K:K,10),"")</f>
        <v>0</v>
      </c>
      <c r="V304" t="str">
        <f>IFERROR(IF(ISERROR(FIND(A304,VLOOKUP(B304,CONFIG_ASIGNATURAS!B:C,2,FALSE()))),"No","Sí"),"No")</f>
        <v>Sí</v>
      </c>
    </row>
    <row r="305" spans="1:22">
      <c r="A305" s="3" t="inlineStr">
        <is>
          <t xml:space="preserve">4EEM</t>
        </is>
      </c>
      <c r="B305" s="3" cm="1">
        <f t="array" ref="B305">IFERROR(INDEX(_xlfn._xlws.FILTER(CONFIG_ASIGNATURAS!$B$2:$B$61,(CONFIG_ASIGNATURAS!$G$2:$G$61="Sí")*ISNUMBER(SEARCH("4EEM",CONFIG_ASIGNATURAS!$C$2:$C$61))),49),"")</f>
      </c>
      <c r="C305" s="3">
        <f>IF(B305="","",IFERROR(IF(VLOOKUP(B305,CONFIG_ASIGNATURAS!$B$2:$F$61,5,FALSE())="Sí","Especialidad","Asignatura"),"Asignatura"))</f>
      </c>
      <c r="D305">
        <f>IF(V305="Sí",COUNTIFS(DATOS!G:G,CONFIG_METADATA!$B$4,DATOS!D:D,A305,DATOS!I:I,B305),"")</f>
        <v>0</v>
      </c>
      <c r="E305" s="14" t="str">
        <f>IF(V305="Sí",IFERROR(AVERAGEIFS(DATOS!K:K,DATOS!G:G,CONFIG_METADATA!$B$4,DATOS!D:D,A305,DATOS!I:I,B305),"—"),"")</f>
        <v>—</v>
      </c>
      <c r="F305" s="14" t="str" cm="1">
        <f t="array" ref="F305">IF(V305="Sí",IFERROR(_xlfn.STDEV.P(IF((nEVAL=CONFIG_METADATA!$B$4)*(nCURSO=A305)*(nASIG=B305),nNOTA)),"—"),"")</f>
        <v>—</v>
      </c>
      <c r="G305" t="str" cm="1">
        <f t="array" ref="G305">IF(V305="Sí",IFERROR(_xlfn.MODE.SNGL(IF((nEVAL=CONFIG_METADATA!$B$4)*(nCURSO=A305)*(nASIG=B305),nNOTA)),"—"),"")</f>
        <v>—</v>
      </c>
      <c r="H305" s="15" t="str">
        <f>IF(V305="Sí",IFERROR(COUNTIFS(DATOS!G:G,CONFIG_METADATA!$B$4,DATOS!D:D,A305,DATOS!I:I,B305,DATOS!L:L,"S")/COUNTIFS(DATOS!G:G,CONFIG_METADATA!$B$4,DATOS!D:D,A305,DATOS!I:I,B305),"—"),"")</f>
        <v>—</v>
      </c>
      <c r="I305" s="15" t="str">
        <f>IF(V305="Sí",IFERROR(COUNTIFS(DATOS!G:G,CONFIG_METADATA!$B$4,DATOS!D:D,A305,DATOS!I:I,B305,DATOS!L:L,"N")/COUNTIFS(DATOS!G:G,CONFIG_METADATA!$B$4,DATOS!D:D,A305,DATOS!I:I,B305),"—"),"")</f>
        <v>—</v>
      </c>
      <c r="J305" t="str" cm="1">
        <f t="array" ref="J305">IF(V305="Sí",IFERROR(_xlfn.MODE.SNGL(IF((nEVAL=CONFIG_METADATA!$B$4)*(nCURSO=A305)*(nASIG=B305)*(nAPTO="S"),nNOTA)),"—"),"")</f>
        <v>—</v>
      </c>
      <c r="K305" t="str" cm="1">
        <f t="array" ref="K305">IF(V305="Sí",IFERROR(_xlfn.MODE.SNGL(IF((nEVAL=CONFIG_METADATA!$B$4)*(nCURSO=A305)*(nASIG=B305)*(nAPTO="N"),nNOTA)),"—"),"")</f>
        <v>—</v>
      </c>
      <c r="L305">
        <f>IF(V305="Sí",COUNTIFS(DATOS!G:G,CONFIG_METADATA!$B$4,DATOS!D:D,A305,DATOS!I:I,B305,DATOS!K:K,1),"")</f>
        <v>0</v>
      </c>
      <c r="M305">
        <f>IF(V305="Sí",COUNTIFS(DATOS!G:G,CONFIG_METADATA!$B$4,DATOS!D:D,A305,DATOS!I:I,B305,DATOS!K:K,2),"")</f>
        <v>0</v>
      </c>
      <c r="N305">
        <f>IF(V305="Sí",COUNTIFS(DATOS!G:G,CONFIG_METADATA!$B$4,DATOS!D:D,A305,DATOS!I:I,B305,DATOS!K:K,3),"")</f>
        <v>0</v>
      </c>
      <c r="O305">
        <f>IF(V305="Sí",COUNTIFS(DATOS!G:G,CONFIG_METADATA!$B$4,DATOS!D:D,A305,DATOS!I:I,B305,DATOS!K:K,4),"")</f>
        <v>0</v>
      </c>
      <c r="P305">
        <f>IF(V305="Sí",COUNTIFS(DATOS!G:G,CONFIG_METADATA!$B$4,DATOS!D:D,A305,DATOS!I:I,B305,DATOS!K:K,5),"")</f>
        <v>0</v>
      </c>
      <c r="Q305">
        <f>IF(V305="Sí",COUNTIFS(DATOS!G:G,CONFIG_METADATA!$B$4,DATOS!D:D,A305,DATOS!I:I,B305,DATOS!K:K,6),"")</f>
        <v>0</v>
      </c>
      <c r="R305">
        <f>IF(V305="Sí",COUNTIFS(DATOS!G:G,CONFIG_METADATA!$B$4,DATOS!D:D,A305,DATOS!I:I,B305,DATOS!K:K,7),"")</f>
        <v>0</v>
      </c>
      <c r="S305">
        <f>IF(V305="Sí",COUNTIFS(DATOS!G:G,CONFIG_METADATA!$B$4,DATOS!D:D,A305,DATOS!I:I,B305,DATOS!K:K,8),"")</f>
        <v>0</v>
      </c>
      <c r="T305">
        <f>IF(V305="Sí",COUNTIFS(DATOS!G:G,CONFIG_METADATA!$B$4,DATOS!D:D,A305,DATOS!I:I,B305,DATOS!K:K,9),"")</f>
        <v>0</v>
      </c>
      <c r="U305">
        <f>IF(V305="Sí",COUNTIFS(DATOS!G:G,CONFIG_METADATA!$B$4,DATOS!D:D,A305,DATOS!I:I,B305,DATOS!K:K,10),"")</f>
        <v>0</v>
      </c>
      <c r="V305" t="str">
        <f>IFERROR(IF(ISERROR(FIND(A305,VLOOKUP(B305,CONFIG_ASIGNATURAS!B:C,2,FALSE()))),"No","Sí"),"No")</f>
        <v>Sí</v>
      </c>
    </row>
    <row r="306" spans="1:22">
      <c r="A306" s="3" t="inlineStr">
        <is>
          <t xml:space="preserve">4EEM</t>
        </is>
      </c>
      <c r="B306" s="3" cm="1">
        <f t="array" ref="B306">IFERROR(INDEX(_xlfn._xlws.FILTER(CONFIG_ASIGNATURAS!$B$2:$B$61,(CONFIG_ASIGNATURAS!$G$2:$G$61="Sí")*ISNUMBER(SEARCH("4EEM",CONFIG_ASIGNATURAS!$C$2:$C$61))),50),"")</f>
      </c>
      <c r="C306" s="3">
        <f>IF(B306="","",IFERROR(IF(VLOOKUP(B306,CONFIG_ASIGNATURAS!$B$2:$F$61,5,FALSE())="Sí","Especialidad","Asignatura"),"Asignatura"))</f>
      </c>
      <c r="D306">
        <f>IF(V306="Sí",COUNTIFS(DATOS!G:G,CONFIG_METADATA!$B$4,DATOS!D:D,A306,DATOS!I:I,B306),"")</f>
        <v>0</v>
      </c>
      <c r="E306" s="14" t="str">
        <f>IF(V306="Sí",IFERROR(AVERAGEIFS(DATOS!K:K,DATOS!G:G,CONFIG_METADATA!$B$4,DATOS!D:D,A306,DATOS!I:I,B306),"—"),"")</f>
        <v>—</v>
      </c>
      <c r="F306" s="14" t="str" cm="1">
        <f t="array" ref="F306">IF(V306="Sí",IFERROR(_xlfn.STDEV.P(IF((nEVAL=CONFIG_METADATA!$B$4)*(nCURSO=A306)*(nASIG=B306),nNOTA)),"—"),"")</f>
        <v>—</v>
      </c>
      <c r="G306" t="str" cm="1">
        <f t="array" ref="G306">IF(V306="Sí",IFERROR(_xlfn.MODE.SNGL(IF((nEVAL=CONFIG_METADATA!$B$4)*(nCURSO=A306)*(nASIG=B306),nNOTA)),"—"),"")</f>
        <v>—</v>
      </c>
      <c r="H306" s="15" t="str">
        <f>IF(V306="Sí",IFERROR(COUNTIFS(DATOS!G:G,CONFIG_METADATA!$B$4,DATOS!D:D,A306,DATOS!I:I,B306,DATOS!L:L,"S")/COUNTIFS(DATOS!G:G,CONFIG_METADATA!$B$4,DATOS!D:D,A306,DATOS!I:I,B306),"—"),"")</f>
        <v>—</v>
      </c>
      <c r="I306" s="15" t="str">
        <f>IF(V306="Sí",IFERROR(COUNTIFS(DATOS!G:G,CONFIG_METADATA!$B$4,DATOS!D:D,A306,DATOS!I:I,B306,DATOS!L:L,"N")/COUNTIFS(DATOS!G:G,CONFIG_METADATA!$B$4,DATOS!D:D,A306,DATOS!I:I,B306),"—"),"")</f>
        <v>—</v>
      </c>
      <c r="J306" t="str" cm="1">
        <f t="array" ref="J306">IF(V306="Sí",IFERROR(_xlfn.MODE.SNGL(IF((nEVAL=CONFIG_METADATA!$B$4)*(nCURSO=A306)*(nASIG=B306)*(nAPTO="S"),nNOTA)),"—"),"")</f>
        <v>—</v>
      </c>
      <c r="K306" t="str" cm="1">
        <f t="array" ref="K306">IF(V306="Sí",IFERROR(_xlfn.MODE.SNGL(IF((nEVAL=CONFIG_METADATA!$B$4)*(nCURSO=A306)*(nASIG=B306)*(nAPTO="N"),nNOTA)),"—"),"")</f>
        <v>—</v>
      </c>
      <c r="L306">
        <f>IF(V306="Sí",COUNTIFS(DATOS!G:G,CONFIG_METADATA!$B$4,DATOS!D:D,A306,DATOS!I:I,B306,DATOS!K:K,1),"")</f>
        <v>0</v>
      </c>
      <c r="M306">
        <f>IF(V306="Sí",COUNTIFS(DATOS!G:G,CONFIG_METADATA!$B$4,DATOS!D:D,A306,DATOS!I:I,B306,DATOS!K:K,2),"")</f>
        <v>0</v>
      </c>
      <c r="N306">
        <f>IF(V306="Sí",COUNTIFS(DATOS!G:G,CONFIG_METADATA!$B$4,DATOS!D:D,A306,DATOS!I:I,B306,DATOS!K:K,3),"")</f>
        <v>0</v>
      </c>
      <c r="O306">
        <f>IF(V306="Sí",COUNTIFS(DATOS!G:G,CONFIG_METADATA!$B$4,DATOS!D:D,A306,DATOS!I:I,B306,DATOS!K:K,4),"")</f>
        <v>0</v>
      </c>
      <c r="P306">
        <f>IF(V306="Sí",COUNTIFS(DATOS!G:G,CONFIG_METADATA!$B$4,DATOS!D:D,A306,DATOS!I:I,B306,DATOS!K:K,5),"")</f>
        <v>0</v>
      </c>
      <c r="Q306">
        <f>IF(V306="Sí",COUNTIFS(DATOS!G:G,CONFIG_METADATA!$B$4,DATOS!D:D,A306,DATOS!I:I,B306,DATOS!K:K,6),"")</f>
        <v>0</v>
      </c>
      <c r="R306">
        <f>IF(V306="Sí",COUNTIFS(DATOS!G:G,CONFIG_METADATA!$B$4,DATOS!D:D,A306,DATOS!I:I,B306,DATOS!K:K,7),"")</f>
        <v>0</v>
      </c>
      <c r="S306">
        <f>IF(V306="Sí",COUNTIFS(DATOS!G:G,CONFIG_METADATA!$B$4,DATOS!D:D,A306,DATOS!I:I,B306,DATOS!K:K,8),"")</f>
        <v>0</v>
      </c>
      <c r="T306">
        <f>IF(V306="Sí",COUNTIFS(DATOS!G:G,CONFIG_METADATA!$B$4,DATOS!D:D,A306,DATOS!I:I,B306,DATOS!K:K,9),"")</f>
        <v>0</v>
      </c>
      <c r="U306">
        <f>IF(V306="Sí",COUNTIFS(DATOS!G:G,CONFIG_METADATA!$B$4,DATOS!D:D,A306,DATOS!I:I,B306,DATOS!K:K,10),"")</f>
        <v>0</v>
      </c>
      <c r="V306" t="str">
        <f>IFERROR(IF(ISERROR(FIND(A306,VLOOKUP(B306,CONFIG_ASIGNATURAS!B:C,2,FALSE()))),"No","Sí"),"No")</f>
        <v>Sí</v>
      </c>
    </row>
    <row r="307" spans="1:22">
      <c r="A307" s="3" t="inlineStr">
        <is>
          <t xml:space="preserve">4EEM</t>
        </is>
      </c>
      <c r="B307" s="3" cm="1">
        <f t="array" ref="B307">IFERROR(INDEX(_xlfn._xlws.FILTER(CONFIG_ASIGNATURAS!$B$2:$B$61,(CONFIG_ASIGNATURAS!$G$2:$G$61="Sí")*ISNUMBER(SEARCH("4EEM",CONFIG_ASIGNATURAS!$C$2:$C$61))),51),"")</f>
      </c>
      <c r="C307" s="3">
        <f>IF(B307="","",IFERROR(IF(VLOOKUP(B307,CONFIG_ASIGNATURAS!$B$2:$F$61,5,FALSE())="Sí","Especialidad","Asignatura"),"Asignatura"))</f>
      </c>
      <c r="D307">
        <f>IF(V307="Sí",COUNTIFS(DATOS!G:G,CONFIG_METADATA!$B$4,DATOS!D:D,A307,DATOS!I:I,B307),"")</f>
        <v>0</v>
      </c>
      <c r="E307" s="14" t="str">
        <f>IF(V307="Sí",IFERROR(AVERAGEIFS(DATOS!K:K,DATOS!G:G,CONFIG_METADATA!$B$4,DATOS!D:D,A307,DATOS!I:I,B307),"—"),"")</f>
        <v>—</v>
      </c>
      <c r="F307" s="14" t="str" cm="1">
        <f t="array" ref="F307">IF(V307="Sí",IFERROR(_xlfn.STDEV.P(IF((nEVAL=CONFIG_METADATA!$B$4)*(nCURSO=A307)*(nASIG=B307),nNOTA)),"—"),"")</f>
        <v>—</v>
      </c>
      <c r="G307" t="str" cm="1">
        <f t="array" ref="G307">IF(V307="Sí",IFERROR(_xlfn.MODE.SNGL(IF((nEVAL=CONFIG_METADATA!$B$4)*(nCURSO=A307)*(nASIG=B307),nNOTA)),"—"),"")</f>
        <v>—</v>
      </c>
      <c r="H307" s="15" t="str">
        <f>IF(V307="Sí",IFERROR(COUNTIFS(DATOS!G:G,CONFIG_METADATA!$B$4,DATOS!D:D,A307,DATOS!I:I,B307,DATOS!L:L,"S")/COUNTIFS(DATOS!G:G,CONFIG_METADATA!$B$4,DATOS!D:D,A307,DATOS!I:I,B307),"—"),"")</f>
        <v>—</v>
      </c>
      <c r="I307" s="15" t="str">
        <f>IF(V307="Sí",IFERROR(COUNTIFS(DATOS!G:G,CONFIG_METADATA!$B$4,DATOS!D:D,A307,DATOS!I:I,B307,DATOS!L:L,"N")/COUNTIFS(DATOS!G:G,CONFIG_METADATA!$B$4,DATOS!D:D,A307,DATOS!I:I,B307),"—"),"")</f>
        <v>—</v>
      </c>
      <c r="J307" t="str" cm="1">
        <f t="array" ref="J307">IF(V307="Sí",IFERROR(_xlfn.MODE.SNGL(IF((nEVAL=CONFIG_METADATA!$B$4)*(nCURSO=A307)*(nASIG=B307)*(nAPTO="S"),nNOTA)),"—"),"")</f>
        <v>—</v>
      </c>
      <c r="K307" t="str" cm="1">
        <f t="array" ref="K307">IF(V307="Sí",IFERROR(_xlfn.MODE.SNGL(IF((nEVAL=CONFIG_METADATA!$B$4)*(nCURSO=A307)*(nASIG=B307)*(nAPTO="N"),nNOTA)),"—"),"")</f>
        <v>—</v>
      </c>
      <c r="L307">
        <f>IF(V307="Sí",COUNTIFS(DATOS!G:G,CONFIG_METADATA!$B$4,DATOS!D:D,A307,DATOS!I:I,B307,DATOS!K:K,1),"")</f>
        <v>0</v>
      </c>
      <c r="M307">
        <f>IF(V307="Sí",COUNTIFS(DATOS!G:G,CONFIG_METADATA!$B$4,DATOS!D:D,A307,DATOS!I:I,B307,DATOS!K:K,2),"")</f>
        <v>0</v>
      </c>
      <c r="N307">
        <f>IF(V307="Sí",COUNTIFS(DATOS!G:G,CONFIG_METADATA!$B$4,DATOS!D:D,A307,DATOS!I:I,B307,DATOS!K:K,3),"")</f>
        <v>0</v>
      </c>
      <c r="O307">
        <f>IF(V307="Sí",COUNTIFS(DATOS!G:G,CONFIG_METADATA!$B$4,DATOS!D:D,A307,DATOS!I:I,B307,DATOS!K:K,4),"")</f>
        <v>0</v>
      </c>
      <c r="P307">
        <f>IF(V307="Sí",COUNTIFS(DATOS!G:G,CONFIG_METADATA!$B$4,DATOS!D:D,A307,DATOS!I:I,B307,DATOS!K:K,5),"")</f>
        <v>0</v>
      </c>
      <c r="Q307">
        <f>IF(V307="Sí",COUNTIFS(DATOS!G:G,CONFIG_METADATA!$B$4,DATOS!D:D,A307,DATOS!I:I,B307,DATOS!K:K,6),"")</f>
        <v>0</v>
      </c>
      <c r="R307">
        <f>IF(V307="Sí",COUNTIFS(DATOS!G:G,CONFIG_METADATA!$B$4,DATOS!D:D,A307,DATOS!I:I,B307,DATOS!K:K,7),"")</f>
        <v>0</v>
      </c>
      <c r="S307">
        <f>IF(V307="Sí",COUNTIFS(DATOS!G:G,CONFIG_METADATA!$B$4,DATOS!D:D,A307,DATOS!I:I,B307,DATOS!K:K,8),"")</f>
        <v>0</v>
      </c>
      <c r="T307">
        <f>IF(V307="Sí",COUNTIFS(DATOS!G:G,CONFIG_METADATA!$B$4,DATOS!D:D,A307,DATOS!I:I,B307,DATOS!K:K,9),"")</f>
        <v>0</v>
      </c>
      <c r="U307">
        <f>IF(V307="Sí",COUNTIFS(DATOS!G:G,CONFIG_METADATA!$B$4,DATOS!D:D,A307,DATOS!I:I,B307,DATOS!K:K,10),"")</f>
        <v>0</v>
      </c>
      <c r="V307" t="str">
        <f>IFERROR(IF(ISERROR(FIND(A307,VLOOKUP(B307,CONFIG_ASIGNATURAS!B:C,2,FALSE()))),"No","Sí"),"No")</f>
        <v>Sí</v>
      </c>
    </row>
    <row r="308" spans="1:22">
      <c r="A308" s="3" t="inlineStr">
        <is>
          <t xml:space="preserve">4EEM</t>
        </is>
      </c>
      <c r="B308" s="3" cm="1">
        <f t="array" ref="B308">IFERROR(INDEX(_xlfn._xlws.FILTER(CONFIG_ASIGNATURAS!$B$2:$B$61,(CONFIG_ASIGNATURAS!$G$2:$G$61="Sí")*ISNUMBER(SEARCH("4EEM",CONFIG_ASIGNATURAS!$C$2:$C$61))),52),"")</f>
      </c>
      <c r="C308" s="3">
        <f>IF(B308="","",IFERROR(IF(VLOOKUP(B308,CONFIG_ASIGNATURAS!$B$2:$F$61,5,FALSE())="Sí","Especialidad","Asignatura"),"Asignatura"))</f>
      </c>
      <c r="D308">
        <f>IF(V308="Sí",COUNTIFS(DATOS!G:G,CONFIG_METADATA!$B$4,DATOS!D:D,A308,DATOS!I:I,B308),"")</f>
        <v>0</v>
      </c>
      <c r="E308" s="14" t="str">
        <f>IF(V308="Sí",IFERROR(AVERAGEIFS(DATOS!K:K,DATOS!G:G,CONFIG_METADATA!$B$4,DATOS!D:D,A308,DATOS!I:I,B308),"—"),"")</f>
        <v>—</v>
      </c>
      <c r="F308" s="14" t="str" cm="1">
        <f t="array" ref="F308">IF(V308="Sí",IFERROR(_xlfn.STDEV.P(IF((nEVAL=CONFIG_METADATA!$B$4)*(nCURSO=A308)*(nASIG=B308),nNOTA)),"—"),"")</f>
        <v>—</v>
      </c>
      <c r="G308" t="str" cm="1">
        <f t="array" ref="G308">IF(V308="Sí",IFERROR(_xlfn.MODE.SNGL(IF((nEVAL=CONFIG_METADATA!$B$4)*(nCURSO=A308)*(nASIG=B308),nNOTA)),"—"),"")</f>
        <v>—</v>
      </c>
      <c r="H308" s="15" t="str">
        <f>IF(V308="Sí",IFERROR(COUNTIFS(DATOS!G:G,CONFIG_METADATA!$B$4,DATOS!D:D,A308,DATOS!I:I,B308,DATOS!L:L,"S")/COUNTIFS(DATOS!G:G,CONFIG_METADATA!$B$4,DATOS!D:D,A308,DATOS!I:I,B308),"—"),"")</f>
        <v>—</v>
      </c>
      <c r="I308" s="15" t="str">
        <f>IF(V308="Sí",IFERROR(COUNTIFS(DATOS!G:G,CONFIG_METADATA!$B$4,DATOS!D:D,A308,DATOS!I:I,B308,DATOS!L:L,"N")/COUNTIFS(DATOS!G:G,CONFIG_METADATA!$B$4,DATOS!D:D,A308,DATOS!I:I,B308),"—"),"")</f>
        <v>—</v>
      </c>
      <c r="J308" t="str" cm="1">
        <f t="array" ref="J308">IF(V308="Sí",IFERROR(_xlfn.MODE.SNGL(IF((nEVAL=CONFIG_METADATA!$B$4)*(nCURSO=A308)*(nASIG=B308)*(nAPTO="S"),nNOTA)),"—"),"")</f>
        <v>—</v>
      </c>
      <c r="K308" t="str" cm="1">
        <f t="array" ref="K308">IF(V308="Sí",IFERROR(_xlfn.MODE.SNGL(IF((nEVAL=CONFIG_METADATA!$B$4)*(nCURSO=A308)*(nASIG=B308)*(nAPTO="N"),nNOTA)),"—"),"")</f>
        <v>—</v>
      </c>
      <c r="L308">
        <f>IF(V308="Sí",COUNTIFS(DATOS!G:G,CONFIG_METADATA!$B$4,DATOS!D:D,A308,DATOS!I:I,B308,DATOS!K:K,1),"")</f>
        <v>0</v>
      </c>
      <c r="M308">
        <f>IF(V308="Sí",COUNTIFS(DATOS!G:G,CONFIG_METADATA!$B$4,DATOS!D:D,A308,DATOS!I:I,B308,DATOS!K:K,2),"")</f>
        <v>0</v>
      </c>
      <c r="N308">
        <f>IF(V308="Sí",COUNTIFS(DATOS!G:G,CONFIG_METADATA!$B$4,DATOS!D:D,A308,DATOS!I:I,B308,DATOS!K:K,3),"")</f>
        <v>0</v>
      </c>
      <c r="O308">
        <f>IF(V308="Sí",COUNTIFS(DATOS!G:G,CONFIG_METADATA!$B$4,DATOS!D:D,A308,DATOS!I:I,B308,DATOS!K:K,4),"")</f>
        <v>0</v>
      </c>
      <c r="P308">
        <f>IF(V308="Sí",COUNTIFS(DATOS!G:G,CONFIG_METADATA!$B$4,DATOS!D:D,A308,DATOS!I:I,B308,DATOS!K:K,5),"")</f>
        <v>0</v>
      </c>
      <c r="Q308">
        <f>IF(V308="Sí",COUNTIFS(DATOS!G:G,CONFIG_METADATA!$B$4,DATOS!D:D,A308,DATOS!I:I,B308,DATOS!K:K,6),"")</f>
        <v>0</v>
      </c>
      <c r="R308">
        <f>IF(V308="Sí",COUNTIFS(DATOS!G:G,CONFIG_METADATA!$B$4,DATOS!D:D,A308,DATOS!I:I,B308,DATOS!K:K,7),"")</f>
        <v>0</v>
      </c>
      <c r="S308">
        <f>IF(V308="Sí",COUNTIFS(DATOS!G:G,CONFIG_METADATA!$B$4,DATOS!D:D,A308,DATOS!I:I,B308,DATOS!K:K,8),"")</f>
        <v>0</v>
      </c>
      <c r="T308">
        <f>IF(V308="Sí",COUNTIFS(DATOS!G:G,CONFIG_METADATA!$B$4,DATOS!D:D,A308,DATOS!I:I,B308,DATOS!K:K,9),"")</f>
        <v>0</v>
      </c>
      <c r="U308">
        <f>IF(V308="Sí",COUNTIFS(DATOS!G:G,CONFIG_METADATA!$B$4,DATOS!D:D,A308,DATOS!I:I,B308,DATOS!K:K,10),"")</f>
        <v>0</v>
      </c>
      <c r="V308" t="str">
        <f>IFERROR(IF(ISERROR(FIND(A308,VLOOKUP(B308,CONFIG_ASIGNATURAS!B:C,2,FALSE()))),"No","Sí"),"No")</f>
        <v>Sí</v>
      </c>
    </row>
    <row r="309" spans="1:22">
      <c r="A309" s="3" t="inlineStr">
        <is>
          <t xml:space="preserve">4EEM</t>
        </is>
      </c>
      <c r="B309" s="3" cm="1">
        <f t="array" ref="B309">IFERROR(INDEX(_xlfn._xlws.FILTER(CONFIG_ASIGNATURAS!$B$2:$B$61,(CONFIG_ASIGNATURAS!$G$2:$G$61="Sí")*ISNUMBER(SEARCH("4EEM",CONFIG_ASIGNATURAS!$C$2:$C$61))),53),"")</f>
      </c>
      <c r="C309" s="3">
        <f>IF(B309="","",IFERROR(IF(VLOOKUP(B309,CONFIG_ASIGNATURAS!$B$2:$F$61,5,FALSE())="Sí","Especialidad","Asignatura"),"Asignatura"))</f>
      </c>
      <c r="D309">
        <f>IF(V309="Sí",COUNTIFS(DATOS!G:G,CONFIG_METADATA!$B$4,DATOS!D:D,A309,DATOS!I:I,B309),"")</f>
        <v>0</v>
      </c>
      <c r="E309" s="14" t="str">
        <f>IF(V309="Sí",IFERROR(AVERAGEIFS(DATOS!K:K,DATOS!G:G,CONFIG_METADATA!$B$4,DATOS!D:D,A309,DATOS!I:I,B309),"—"),"")</f>
        <v>—</v>
      </c>
      <c r="F309" s="14" t="str" cm="1">
        <f t="array" ref="F309">IF(V309="Sí",IFERROR(_xlfn.STDEV.P(IF((nEVAL=CONFIG_METADATA!$B$4)*(nCURSO=A309)*(nASIG=B309),nNOTA)),"—"),"")</f>
        <v>—</v>
      </c>
      <c r="G309" t="str" cm="1">
        <f t="array" ref="G309">IF(V309="Sí",IFERROR(_xlfn.MODE.SNGL(IF((nEVAL=CONFIG_METADATA!$B$4)*(nCURSO=A309)*(nASIG=B309),nNOTA)),"—"),"")</f>
        <v>—</v>
      </c>
      <c r="H309" s="15" t="str">
        <f>IF(V309="Sí",IFERROR(COUNTIFS(DATOS!G:G,CONFIG_METADATA!$B$4,DATOS!D:D,A309,DATOS!I:I,B309,DATOS!L:L,"S")/COUNTIFS(DATOS!G:G,CONFIG_METADATA!$B$4,DATOS!D:D,A309,DATOS!I:I,B309),"—"),"")</f>
        <v>—</v>
      </c>
      <c r="I309" s="15" t="str">
        <f>IF(V309="Sí",IFERROR(COUNTIFS(DATOS!G:G,CONFIG_METADATA!$B$4,DATOS!D:D,A309,DATOS!I:I,B309,DATOS!L:L,"N")/COUNTIFS(DATOS!G:G,CONFIG_METADATA!$B$4,DATOS!D:D,A309,DATOS!I:I,B309),"—"),"")</f>
        <v>—</v>
      </c>
      <c r="J309" t="str" cm="1">
        <f t="array" ref="J309">IF(V309="Sí",IFERROR(_xlfn.MODE.SNGL(IF((nEVAL=CONFIG_METADATA!$B$4)*(nCURSO=A309)*(nASIG=B309)*(nAPTO="S"),nNOTA)),"—"),"")</f>
        <v>—</v>
      </c>
      <c r="K309" t="str" cm="1">
        <f t="array" ref="K309">IF(V309="Sí",IFERROR(_xlfn.MODE.SNGL(IF((nEVAL=CONFIG_METADATA!$B$4)*(nCURSO=A309)*(nASIG=B309)*(nAPTO="N"),nNOTA)),"—"),"")</f>
        <v>—</v>
      </c>
      <c r="L309">
        <f>IF(V309="Sí",COUNTIFS(DATOS!G:G,CONFIG_METADATA!$B$4,DATOS!D:D,A309,DATOS!I:I,B309,DATOS!K:K,1),"")</f>
        <v>0</v>
      </c>
      <c r="M309">
        <f>IF(V309="Sí",COUNTIFS(DATOS!G:G,CONFIG_METADATA!$B$4,DATOS!D:D,A309,DATOS!I:I,B309,DATOS!K:K,2),"")</f>
        <v>0</v>
      </c>
      <c r="N309">
        <f>IF(V309="Sí",COUNTIFS(DATOS!G:G,CONFIG_METADATA!$B$4,DATOS!D:D,A309,DATOS!I:I,B309,DATOS!K:K,3),"")</f>
        <v>0</v>
      </c>
      <c r="O309">
        <f>IF(V309="Sí",COUNTIFS(DATOS!G:G,CONFIG_METADATA!$B$4,DATOS!D:D,A309,DATOS!I:I,B309,DATOS!K:K,4),"")</f>
        <v>0</v>
      </c>
      <c r="P309">
        <f>IF(V309="Sí",COUNTIFS(DATOS!G:G,CONFIG_METADATA!$B$4,DATOS!D:D,A309,DATOS!I:I,B309,DATOS!K:K,5),"")</f>
        <v>0</v>
      </c>
      <c r="Q309">
        <f>IF(V309="Sí",COUNTIFS(DATOS!G:G,CONFIG_METADATA!$B$4,DATOS!D:D,A309,DATOS!I:I,B309,DATOS!K:K,6),"")</f>
        <v>0</v>
      </c>
      <c r="R309">
        <f>IF(V309="Sí",COUNTIFS(DATOS!G:G,CONFIG_METADATA!$B$4,DATOS!D:D,A309,DATOS!I:I,B309,DATOS!K:K,7),"")</f>
        <v>0</v>
      </c>
      <c r="S309">
        <f>IF(V309="Sí",COUNTIFS(DATOS!G:G,CONFIG_METADATA!$B$4,DATOS!D:D,A309,DATOS!I:I,B309,DATOS!K:K,8),"")</f>
        <v>0</v>
      </c>
      <c r="T309">
        <f>IF(V309="Sí",COUNTIFS(DATOS!G:G,CONFIG_METADATA!$B$4,DATOS!D:D,A309,DATOS!I:I,B309,DATOS!K:K,9),"")</f>
        <v>0</v>
      </c>
      <c r="U309">
        <f>IF(V309="Sí",COUNTIFS(DATOS!G:G,CONFIG_METADATA!$B$4,DATOS!D:D,A309,DATOS!I:I,B309,DATOS!K:K,10),"")</f>
        <v>0</v>
      </c>
      <c r="V309" t="str">
        <f>IFERROR(IF(ISERROR(FIND(A309,VLOOKUP(B309,CONFIG_ASIGNATURAS!B:C,2,FALSE()))),"No","Sí"),"No")</f>
        <v>Sí</v>
      </c>
    </row>
    <row r="310" spans="1:22">
      <c r="A310" s="3" t="inlineStr">
        <is>
          <t xml:space="preserve">4EEM</t>
        </is>
      </c>
      <c r="B310" s="3" cm="1">
        <f t="array" ref="B310">IFERROR(INDEX(_xlfn._xlws.FILTER(CONFIG_ASIGNATURAS!$B$2:$B$61,(CONFIG_ASIGNATURAS!$G$2:$G$61="Sí")*ISNUMBER(SEARCH("4EEM",CONFIG_ASIGNATURAS!$C$2:$C$61))),54),"")</f>
      </c>
      <c r="C310" s="3">
        <f>IF(B310="","",IFERROR(IF(VLOOKUP(B310,CONFIG_ASIGNATURAS!$B$2:$F$61,5,FALSE())="Sí","Especialidad","Asignatura"),"Asignatura"))</f>
      </c>
      <c r="D310">
        <f>IF(V310="Sí",COUNTIFS(DATOS!G:G,CONFIG_METADATA!$B$4,DATOS!D:D,A310,DATOS!I:I,B310),"")</f>
        <v>0</v>
      </c>
      <c r="E310" s="14" t="str">
        <f>IF(V310="Sí",IFERROR(AVERAGEIFS(DATOS!K:K,DATOS!G:G,CONFIG_METADATA!$B$4,DATOS!D:D,A310,DATOS!I:I,B310),"—"),"")</f>
        <v>—</v>
      </c>
      <c r="F310" s="14" t="str" cm="1">
        <f t="array" ref="F310">IF(V310="Sí",IFERROR(_xlfn.STDEV.P(IF((nEVAL=CONFIG_METADATA!$B$4)*(nCURSO=A310)*(nASIG=B310),nNOTA)),"—"),"")</f>
        <v>—</v>
      </c>
      <c r="G310" t="str" cm="1">
        <f t="array" ref="G310">IF(V310="Sí",IFERROR(_xlfn.MODE.SNGL(IF((nEVAL=CONFIG_METADATA!$B$4)*(nCURSO=A310)*(nASIG=B310),nNOTA)),"—"),"")</f>
        <v>—</v>
      </c>
      <c r="H310" s="15" t="str">
        <f>IF(V310="Sí",IFERROR(COUNTIFS(DATOS!G:G,CONFIG_METADATA!$B$4,DATOS!D:D,A310,DATOS!I:I,B310,DATOS!L:L,"S")/COUNTIFS(DATOS!G:G,CONFIG_METADATA!$B$4,DATOS!D:D,A310,DATOS!I:I,B310),"—"),"")</f>
        <v>—</v>
      </c>
      <c r="I310" s="15" t="str">
        <f>IF(V310="Sí",IFERROR(COUNTIFS(DATOS!G:G,CONFIG_METADATA!$B$4,DATOS!D:D,A310,DATOS!I:I,B310,DATOS!L:L,"N")/COUNTIFS(DATOS!G:G,CONFIG_METADATA!$B$4,DATOS!D:D,A310,DATOS!I:I,B310),"—"),"")</f>
        <v>—</v>
      </c>
      <c r="J310" t="str" cm="1">
        <f t="array" ref="J310">IF(V310="Sí",IFERROR(_xlfn.MODE.SNGL(IF((nEVAL=CONFIG_METADATA!$B$4)*(nCURSO=A310)*(nASIG=B310)*(nAPTO="S"),nNOTA)),"—"),"")</f>
        <v>—</v>
      </c>
      <c r="K310" t="str" cm="1">
        <f t="array" ref="K310">IF(V310="Sí",IFERROR(_xlfn.MODE.SNGL(IF((nEVAL=CONFIG_METADATA!$B$4)*(nCURSO=A310)*(nASIG=B310)*(nAPTO="N"),nNOTA)),"—"),"")</f>
        <v>—</v>
      </c>
      <c r="L310">
        <f>IF(V310="Sí",COUNTIFS(DATOS!G:G,CONFIG_METADATA!$B$4,DATOS!D:D,A310,DATOS!I:I,B310,DATOS!K:K,1),"")</f>
        <v>0</v>
      </c>
      <c r="M310">
        <f>IF(V310="Sí",COUNTIFS(DATOS!G:G,CONFIG_METADATA!$B$4,DATOS!D:D,A310,DATOS!I:I,B310,DATOS!K:K,2),"")</f>
        <v>0</v>
      </c>
      <c r="N310">
        <f>IF(V310="Sí",COUNTIFS(DATOS!G:G,CONFIG_METADATA!$B$4,DATOS!D:D,A310,DATOS!I:I,B310,DATOS!K:K,3),"")</f>
        <v>0</v>
      </c>
      <c r="O310">
        <f>IF(V310="Sí",COUNTIFS(DATOS!G:G,CONFIG_METADATA!$B$4,DATOS!D:D,A310,DATOS!I:I,B310,DATOS!K:K,4),"")</f>
        <v>0</v>
      </c>
      <c r="P310">
        <f>IF(V310="Sí",COUNTIFS(DATOS!G:G,CONFIG_METADATA!$B$4,DATOS!D:D,A310,DATOS!I:I,B310,DATOS!K:K,5),"")</f>
        <v>0</v>
      </c>
      <c r="Q310">
        <f>IF(V310="Sí",COUNTIFS(DATOS!G:G,CONFIG_METADATA!$B$4,DATOS!D:D,A310,DATOS!I:I,B310,DATOS!K:K,6),"")</f>
        <v>0</v>
      </c>
      <c r="R310">
        <f>IF(V310="Sí",COUNTIFS(DATOS!G:G,CONFIG_METADATA!$B$4,DATOS!D:D,A310,DATOS!I:I,B310,DATOS!K:K,7),"")</f>
        <v>0</v>
      </c>
      <c r="S310">
        <f>IF(V310="Sí",COUNTIFS(DATOS!G:G,CONFIG_METADATA!$B$4,DATOS!D:D,A310,DATOS!I:I,B310,DATOS!K:K,8),"")</f>
        <v>0</v>
      </c>
      <c r="T310">
        <f>IF(V310="Sí",COUNTIFS(DATOS!G:G,CONFIG_METADATA!$B$4,DATOS!D:D,A310,DATOS!I:I,B310,DATOS!K:K,9),"")</f>
        <v>0</v>
      </c>
      <c r="U310">
        <f>IF(V310="Sí",COUNTIFS(DATOS!G:G,CONFIG_METADATA!$B$4,DATOS!D:D,A310,DATOS!I:I,B310,DATOS!K:K,10),"")</f>
        <v>0</v>
      </c>
      <c r="V310" t="str">
        <f>IFERROR(IF(ISERROR(FIND(A310,VLOOKUP(B310,CONFIG_ASIGNATURAS!B:C,2,FALSE()))),"No","Sí"),"No")</f>
        <v>Sí</v>
      </c>
    </row>
    <row r="311" spans="1:22">
      <c r="A311" s="3" t="inlineStr">
        <is>
          <t xml:space="preserve">4EEM</t>
        </is>
      </c>
      <c r="B311" s="3" cm="1">
        <f t="array" ref="B311">IFERROR(INDEX(_xlfn._xlws.FILTER(CONFIG_ASIGNATURAS!$B$2:$B$61,(CONFIG_ASIGNATURAS!$G$2:$G$61="Sí")*ISNUMBER(SEARCH("4EEM",CONFIG_ASIGNATURAS!$C$2:$C$61))),55),"")</f>
      </c>
      <c r="C311" s="3">
        <f>IF(B311="","",IFERROR(IF(VLOOKUP(B311,CONFIG_ASIGNATURAS!$B$2:$F$61,5,FALSE())="Sí","Especialidad","Asignatura"),"Asignatura"))</f>
      </c>
      <c r="D311">
        <f>IF(V311="Sí",COUNTIFS(DATOS!G:G,CONFIG_METADATA!$B$4,DATOS!D:D,A311,DATOS!I:I,B311),"")</f>
        <v>0</v>
      </c>
      <c r="E311" s="14" t="str">
        <f>IF(V311="Sí",IFERROR(AVERAGEIFS(DATOS!K:K,DATOS!G:G,CONFIG_METADATA!$B$4,DATOS!D:D,A311,DATOS!I:I,B311),"—"),"")</f>
        <v>—</v>
      </c>
      <c r="F311" s="14" t="str" cm="1">
        <f t="array" ref="F311">IF(V311="Sí",IFERROR(_xlfn.STDEV.P(IF((nEVAL=CONFIG_METADATA!$B$4)*(nCURSO=A311)*(nASIG=B311),nNOTA)),"—"),"")</f>
        <v>—</v>
      </c>
      <c r="G311" t="str" cm="1">
        <f t="array" ref="G311">IF(V311="Sí",IFERROR(_xlfn.MODE.SNGL(IF((nEVAL=CONFIG_METADATA!$B$4)*(nCURSO=A311)*(nASIG=B311),nNOTA)),"—"),"")</f>
        <v>—</v>
      </c>
      <c r="H311" s="15" t="str">
        <f>IF(V311="Sí",IFERROR(COUNTIFS(DATOS!G:G,CONFIG_METADATA!$B$4,DATOS!D:D,A311,DATOS!I:I,B311,DATOS!L:L,"S")/COUNTIFS(DATOS!G:G,CONFIG_METADATA!$B$4,DATOS!D:D,A311,DATOS!I:I,B311),"—"),"")</f>
        <v>—</v>
      </c>
      <c r="I311" s="15" t="str">
        <f>IF(V311="Sí",IFERROR(COUNTIFS(DATOS!G:G,CONFIG_METADATA!$B$4,DATOS!D:D,A311,DATOS!I:I,B311,DATOS!L:L,"N")/COUNTIFS(DATOS!G:G,CONFIG_METADATA!$B$4,DATOS!D:D,A311,DATOS!I:I,B311),"—"),"")</f>
        <v>—</v>
      </c>
      <c r="J311" t="str" cm="1">
        <f t="array" ref="J311">IF(V311="Sí",IFERROR(_xlfn.MODE.SNGL(IF((nEVAL=CONFIG_METADATA!$B$4)*(nCURSO=A311)*(nASIG=B311)*(nAPTO="S"),nNOTA)),"—"),"")</f>
        <v>—</v>
      </c>
      <c r="K311" t="str" cm="1">
        <f t="array" ref="K311">IF(V311="Sí",IFERROR(_xlfn.MODE.SNGL(IF((nEVAL=CONFIG_METADATA!$B$4)*(nCURSO=A311)*(nASIG=B311)*(nAPTO="N"),nNOTA)),"—"),"")</f>
        <v>—</v>
      </c>
      <c r="L311">
        <f>IF(V311="Sí",COUNTIFS(DATOS!G:G,CONFIG_METADATA!$B$4,DATOS!D:D,A311,DATOS!I:I,B311,DATOS!K:K,1),"")</f>
        <v>0</v>
      </c>
      <c r="M311">
        <f>IF(V311="Sí",COUNTIFS(DATOS!G:G,CONFIG_METADATA!$B$4,DATOS!D:D,A311,DATOS!I:I,B311,DATOS!K:K,2),"")</f>
        <v>0</v>
      </c>
      <c r="N311">
        <f>IF(V311="Sí",COUNTIFS(DATOS!G:G,CONFIG_METADATA!$B$4,DATOS!D:D,A311,DATOS!I:I,B311,DATOS!K:K,3),"")</f>
        <v>0</v>
      </c>
      <c r="O311">
        <f>IF(V311="Sí",COUNTIFS(DATOS!G:G,CONFIG_METADATA!$B$4,DATOS!D:D,A311,DATOS!I:I,B311,DATOS!K:K,4),"")</f>
        <v>0</v>
      </c>
      <c r="P311">
        <f>IF(V311="Sí",COUNTIFS(DATOS!G:G,CONFIG_METADATA!$B$4,DATOS!D:D,A311,DATOS!I:I,B311,DATOS!K:K,5),"")</f>
        <v>0</v>
      </c>
      <c r="Q311">
        <f>IF(V311="Sí",COUNTIFS(DATOS!G:G,CONFIG_METADATA!$B$4,DATOS!D:D,A311,DATOS!I:I,B311,DATOS!K:K,6),"")</f>
        <v>0</v>
      </c>
      <c r="R311">
        <f>IF(V311="Sí",COUNTIFS(DATOS!G:G,CONFIG_METADATA!$B$4,DATOS!D:D,A311,DATOS!I:I,B311,DATOS!K:K,7),"")</f>
        <v>0</v>
      </c>
      <c r="S311">
        <f>IF(V311="Sí",COUNTIFS(DATOS!G:G,CONFIG_METADATA!$B$4,DATOS!D:D,A311,DATOS!I:I,B311,DATOS!K:K,8),"")</f>
        <v>0</v>
      </c>
      <c r="T311">
        <f>IF(V311="Sí",COUNTIFS(DATOS!G:G,CONFIG_METADATA!$B$4,DATOS!D:D,A311,DATOS!I:I,B311,DATOS!K:K,9),"")</f>
        <v>0</v>
      </c>
      <c r="U311">
        <f>IF(V311="Sí",COUNTIFS(DATOS!G:G,CONFIG_METADATA!$B$4,DATOS!D:D,A311,DATOS!I:I,B311,DATOS!K:K,10),"")</f>
        <v>0</v>
      </c>
      <c r="V311" t="str">
        <f>IFERROR(IF(ISERROR(FIND(A311,VLOOKUP(B311,CONFIG_ASIGNATURAS!B:C,2,FALSE()))),"No","Sí"),"No")</f>
        <v>Sí</v>
      </c>
    </row>
    <row r="312" spans="1:22">
      <c r="A312" s="3" t="inlineStr">
        <is>
          <t xml:space="preserve">4EEM</t>
        </is>
      </c>
      <c r="B312" s="3" cm="1">
        <f t="array" ref="B312">IFERROR(INDEX(_xlfn._xlws.FILTER(CONFIG_ASIGNATURAS!$B$2:$B$61,(CONFIG_ASIGNATURAS!$G$2:$G$61="Sí")*ISNUMBER(SEARCH("4EEM",CONFIG_ASIGNATURAS!$C$2:$C$61))),56),"")</f>
      </c>
      <c r="C312" s="3">
        <f>IF(B312="","",IFERROR(IF(VLOOKUP(B312,CONFIG_ASIGNATURAS!$B$2:$F$61,5,FALSE())="Sí","Especialidad","Asignatura"),"Asignatura"))</f>
      </c>
      <c r="D312">
        <f>IF(V312="Sí",COUNTIFS(DATOS!G:G,CONFIG_METADATA!$B$4,DATOS!D:D,A312,DATOS!I:I,B312),"")</f>
        <v>0</v>
      </c>
      <c r="E312" s="14" t="str">
        <f>IF(V312="Sí",IFERROR(AVERAGEIFS(DATOS!K:K,DATOS!G:G,CONFIG_METADATA!$B$4,DATOS!D:D,A312,DATOS!I:I,B312),"—"),"")</f>
        <v>—</v>
      </c>
      <c r="F312" s="14" t="str" cm="1">
        <f t="array" ref="F312">IF(V312="Sí",IFERROR(_xlfn.STDEV.P(IF((nEVAL=CONFIG_METADATA!$B$4)*(nCURSO=A312)*(nASIG=B312),nNOTA)),"—"),"")</f>
        <v>—</v>
      </c>
      <c r="G312" t="str" cm="1">
        <f t="array" ref="G312">IF(V312="Sí",IFERROR(_xlfn.MODE.SNGL(IF((nEVAL=CONFIG_METADATA!$B$4)*(nCURSO=A312)*(nASIG=B312),nNOTA)),"—"),"")</f>
        <v>—</v>
      </c>
      <c r="H312" s="15" t="str">
        <f>IF(V312="Sí",IFERROR(COUNTIFS(DATOS!G:G,CONFIG_METADATA!$B$4,DATOS!D:D,A312,DATOS!I:I,B312,DATOS!L:L,"S")/COUNTIFS(DATOS!G:G,CONFIG_METADATA!$B$4,DATOS!D:D,A312,DATOS!I:I,B312),"—"),"")</f>
        <v>—</v>
      </c>
      <c r="I312" s="15" t="str">
        <f>IF(V312="Sí",IFERROR(COUNTIFS(DATOS!G:G,CONFIG_METADATA!$B$4,DATOS!D:D,A312,DATOS!I:I,B312,DATOS!L:L,"N")/COUNTIFS(DATOS!G:G,CONFIG_METADATA!$B$4,DATOS!D:D,A312,DATOS!I:I,B312),"—"),"")</f>
        <v>—</v>
      </c>
      <c r="J312" t="str" cm="1">
        <f t="array" ref="J312">IF(V312="Sí",IFERROR(_xlfn.MODE.SNGL(IF((nEVAL=CONFIG_METADATA!$B$4)*(nCURSO=A312)*(nASIG=B312)*(nAPTO="S"),nNOTA)),"—"),"")</f>
        <v>—</v>
      </c>
      <c r="K312" t="str" cm="1">
        <f t="array" ref="K312">IF(V312="Sí",IFERROR(_xlfn.MODE.SNGL(IF((nEVAL=CONFIG_METADATA!$B$4)*(nCURSO=A312)*(nASIG=B312)*(nAPTO="N"),nNOTA)),"—"),"")</f>
        <v>—</v>
      </c>
      <c r="L312">
        <f>IF(V312="Sí",COUNTIFS(DATOS!G:G,CONFIG_METADATA!$B$4,DATOS!D:D,A312,DATOS!I:I,B312,DATOS!K:K,1),"")</f>
        <v>0</v>
      </c>
      <c r="M312">
        <f>IF(V312="Sí",COUNTIFS(DATOS!G:G,CONFIG_METADATA!$B$4,DATOS!D:D,A312,DATOS!I:I,B312,DATOS!K:K,2),"")</f>
        <v>0</v>
      </c>
      <c r="N312">
        <f>IF(V312="Sí",COUNTIFS(DATOS!G:G,CONFIG_METADATA!$B$4,DATOS!D:D,A312,DATOS!I:I,B312,DATOS!K:K,3),"")</f>
        <v>0</v>
      </c>
      <c r="O312">
        <f>IF(V312="Sí",COUNTIFS(DATOS!G:G,CONFIG_METADATA!$B$4,DATOS!D:D,A312,DATOS!I:I,B312,DATOS!K:K,4),"")</f>
        <v>0</v>
      </c>
      <c r="P312">
        <f>IF(V312="Sí",COUNTIFS(DATOS!G:G,CONFIG_METADATA!$B$4,DATOS!D:D,A312,DATOS!I:I,B312,DATOS!K:K,5),"")</f>
        <v>0</v>
      </c>
      <c r="Q312">
        <f>IF(V312="Sí",COUNTIFS(DATOS!G:G,CONFIG_METADATA!$B$4,DATOS!D:D,A312,DATOS!I:I,B312,DATOS!K:K,6),"")</f>
        <v>0</v>
      </c>
      <c r="R312">
        <f>IF(V312="Sí",COUNTIFS(DATOS!G:G,CONFIG_METADATA!$B$4,DATOS!D:D,A312,DATOS!I:I,B312,DATOS!K:K,7),"")</f>
        <v>0</v>
      </c>
      <c r="S312">
        <f>IF(V312="Sí",COUNTIFS(DATOS!G:G,CONFIG_METADATA!$B$4,DATOS!D:D,A312,DATOS!I:I,B312,DATOS!K:K,8),"")</f>
        <v>0</v>
      </c>
      <c r="T312">
        <f>IF(V312="Sí",COUNTIFS(DATOS!G:G,CONFIG_METADATA!$B$4,DATOS!D:D,A312,DATOS!I:I,B312,DATOS!K:K,9),"")</f>
        <v>0</v>
      </c>
      <c r="U312">
        <f>IF(V312="Sí",COUNTIFS(DATOS!G:G,CONFIG_METADATA!$B$4,DATOS!D:D,A312,DATOS!I:I,B312,DATOS!K:K,10),"")</f>
        <v>0</v>
      </c>
      <c r="V312" t="str">
        <f>IFERROR(IF(ISERROR(FIND(A312,VLOOKUP(B312,CONFIG_ASIGNATURAS!B:C,2,FALSE()))),"No","Sí"),"No")</f>
        <v>Sí</v>
      </c>
    </row>
    <row r="313" spans="1:22">
      <c r="A313" s="3" t="inlineStr">
        <is>
          <t xml:space="preserve">4EEM</t>
        </is>
      </c>
      <c r="B313" s="3" cm="1">
        <f t="array" ref="B313">IFERROR(INDEX(_xlfn._xlws.FILTER(CONFIG_ASIGNATURAS!$B$2:$B$61,(CONFIG_ASIGNATURAS!$G$2:$G$61="Sí")*ISNUMBER(SEARCH("4EEM",CONFIG_ASIGNATURAS!$C$2:$C$61))),57),"")</f>
      </c>
      <c r="C313" s="3">
        <f>IF(B313="","",IFERROR(IF(VLOOKUP(B313,CONFIG_ASIGNATURAS!$B$2:$F$61,5,FALSE())="Sí","Especialidad","Asignatura"),"Asignatura"))</f>
      </c>
      <c r="D313">
        <f>IF(V313="Sí",COUNTIFS(DATOS!G:G,CONFIG_METADATA!$B$4,DATOS!D:D,A313,DATOS!I:I,B313),"")</f>
        <v>0</v>
      </c>
      <c r="E313" s="14" t="str">
        <f>IF(V313="Sí",IFERROR(AVERAGEIFS(DATOS!K:K,DATOS!G:G,CONFIG_METADATA!$B$4,DATOS!D:D,A313,DATOS!I:I,B313),"—"),"")</f>
        <v>—</v>
      </c>
      <c r="F313" s="14" t="str" cm="1">
        <f t="array" ref="F313">IF(V313="Sí",IFERROR(_xlfn.STDEV.P(IF((nEVAL=CONFIG_METADATA!$B$4)*(nCURSO=A313)*(nASIG=B313),nNOTA)),"—"),"")</f>
        <v>—</v>
      </c>
      <c r="G313" t="str" cm="1">
        <f t="array" ref="G313">IF(V313="Sí",IFERROR(_xlfn.MODE.SNGL(IF((nEVAL=CONFIG_METADATA!$B$4)*(nCURSO=A313)*(nASIG=B313),nNOTA)),"—"),"")</f>
        <v>—</v>
      </c>
      <c r="H313" s="15" t="str">
        <f>IF(V313="Sí",IFERROR(COUNTIFS(DATOS!G:G,CONFIG_METADATA!$B$4,DATOS!D:D,A313,DATOS!I:I,B313,DATOS!L:L,"S")/COUNTIFS(DATOS!G:G,CONFIG_METADATA!$B$4,DATOS!D:D,A313,DATOS!I:I,B313),"—"),"")</f>
        <v>—</v>
      </c>
      <c r="I313" s="15" t="str">
        <f>IF(V313="Sí",IFERROR(COUNTIFS(DATOS!G:G,CONFIG_METADATA!$B$4,DATOS!D:D,A313,DATOS!I:I,B313,DATOS!L:L,"N")/COUNTIFS(DATOS!G:G,CONFIG_METADATA!$B$4,DATOS!D:D,A313,DATOS!I:I,B313),"—"),"")</f>
        <v>—</v>
      </c>
      <c r="J313" t="str" cm="1">
        <f t="array" ref="J313">IF(V313="Sí",IFERROR(_xlfn.MODE.SNGL(IF((nEVAL=CONFIG_METADATA!$B$4)*(nCURSO=A313)*(nASIG=B313)*(nAPTO="S"),nNOTA)),"—"),"")</f>
        <v>—</v>
      </c>
      <c r="K313" t="str" cm="1">
        <f t="array" ref="K313">IF(V313="Sí",IFERROR(_xlfn.MODE.SNGL(IF((nEVAL=CONFIG_METADATA!$B$4)*(nCURSO=A313)*(nASIG=B313)*(nAPTO="N"),nNOTA)),"—"),"")</f>
        <v>—</v>
      </c>
      <c r="L313">
        <f>IF(V313="Sí",COUNTIFS(DATOS!G:G,CONFIG_METADATA!$B$4,DATOS!D:D,A313,DATOS!I:I,B313,DATOS!K:K,1),"")</f>
        <v>0</v>
      </c>
      <c r="M313">
        <f>IF(V313="Sí",COUNTIFS(DATOS!G:G,CONFIG_METADATA!$B$4,DATOS!D:D,A313,DATOS!I:I,B313,DATOS!K:K,2),"")</f>
        <v>0</v>
      </c>
      <c r="N313">
        <f>IF(V313="Sí",COUNTIFS(DATOS!G:G,CONFIG_METADATA!$B$4,DATOS!D:D,A313,DATOS!I:I,B313,DATOS!K:K,3),"")</f>
        <v>0</v>
      </c>
      <c r="O313">
        <f>IF(V313="Sí",COUNTIFS(DATOS!G:G,CONFIG_METADATA!$B$4,DATOS!D:D,A313,DATOS!I:I,B313,DATOS!K:K,4),"")</f>
        <v>0</v>
      </c>
      <c r="P313">
        <f>IF(V313="Sí",COUNTIFS(DATOS!G:G,CONFIG_METADATA!$B$4,DATOS!D:D,A313,DATOS!I:I,B313,DATOS!K:K,5),"")</f>
        <v>0</v>
      </c>
      <c r="Q313">
        <f>IF(V313="Sí",COUNTIFS(DATOS!G:G,CONFIG_METADATA!$B$4,DATOS!D:D,A313,DATOS!I:I,B313,DATOS!K:K,6),"")</f>
        <v>0</v>
      </c>
      <c r="R313">
        <f>IF(V313="Sí",COUNTIFS(DATOS!G:G,CONFIG_METADATA!$B$4,DATOS!D:D,A313,DATOS!I:I,B313,DATOS!K:K,7),"")</f>
        <v>0</v>
      </c>
      <c r="S313">
        <f>IF(V313="Sí",COUNTIFS(DATOS!G:G,CONFIG_METADATA!$B$4,DATOS!D:D,A313,DATOS!I:I,B313,DATOS!K:K,8),"")</f>
        <v>0</v>
      </c>
      <c r="T313">
        <f>IF(V313="Sí",COUNTIFS(DATOS!G:G,CONFIG_METADATA!$B$4,DATOS!D:D,A313,DATOS!I:I,B313,DATOS!K:K,9),"")</f>
        <v>0</v>
      </c>
      <c r="U313">
        <f>IF(V313="Sí",COUNTIFS(DATOS!G:G,CONFIG_METADATA!$B$4,DATOS!D:D,A313,DATOS!I:I,B313,DATOS!K:K,10),"")</f>
        <v>0</v>
      </c>
      <c r="V313" t="str">
        <f>IFERROR(IF(ISERROR(FIND(A313,VLOOKUP(B313,CONFIG_ASIGNATURAS!B:C,2,FALSE()))),"No","Sí"),"No")</f>
        <v>Sí</v>
      </c>
    </row>
    <row r="314" spans="1:22">
      <c r="A314" s="3" t="inlineStr">
        <is>
          <t xml:space="preserve">4EEM</t>
        </is>
      </c>
      <c r="B314" s="3" cm="1">
        <f t="array" ref="B314">IFERROR(INDEX(_xlfn._xlws.FILTER(CONFIG_ASIGNATURAS!$B$2:$B$61,(CONFIG_ASIGNATURAS!$G$2:$G$61="Sí")*ISNUMBER(SEARCH("4EEM",CONFIG_ASIGNATURAS!$C$2:$C$61))),58),"")</f>
      </c>
      <c r="C314" s="3">
        <f>IF(B314="","",IFERROR(IF(VLOOKUP(B314,CONFIG_ASIGNATURAS!$B$2:$F$61,5,FALSE())="Sí","Especialidad","Asignatura"),"Asignatura"))</f>
      </c>
      <c r="D314">
        <f>IF(V314="Sí",COUNTIFS(DATOS!G:G,CONFIG_METADATA!$B$4,DATOS!D:D,A314,DATOS!I:I,B314),"")</f>
        <v>0</v>
      </c>
      <c r="E314" s="14" t="str">
        <f>IF(V314="Sí",IFERROR(AVERAGEIFS(DATOS!K:K,DATOS!G:G,CONFIG_METADATA!$B$4,DATOS!D:D,A314,DATOS!I:I,B314),"—"),"")</f>
        <v>—</v>
      </c>
      <c r="F314" s="14" t="str" cm="1">
        <f t="array" ref="F314">IF(V314="Sí",IFERROR(_xlfn.STDEV.P(IF((nEVAL=CONFIG_METADATA!$B$4)*(nCURSO=A314)*(nASIG=B314),nNOTA)),"—"),"")</f>
        <v>—</v>
      </c>
      <c r="G314" t="str" cm="1">
        <f t="array" ref="G314">IF(V314="Sí",IFERROR(_xlfn.MODE.SNGL(IF((nEVAL=CONFIG_METADATA!$B$4)*(nCURSO=A314)*(nASIG=B314),nNOTA)),"—"),"")</f>
        <v>—</v>
      </c>
      <c r="H314" s="15" t="str">
        <f>IF(V314="Sí",IFERROR(COUNTIFS(DATOS!G:G,CONFIG_METADATA!$B$4,DATOS!D:D,A314,DATOS!I:I,B314,DATOS!L:L,"S")/COUNTIFS(DATOS!G:G,CONFIG_METADATA!$B$4,DATOS!D:D,A314,DATOS!I:I,B314),"—"),"")</f>
        <v>—</v>
      </c>
      <c r="I314" s="15" t="str">
        <f>IF(V314="Sí",IFERROR(COUNTIFS(DATOS!G:G,CONFIG_METADATA!$B$4,DATOS!D:D,A314,DATOS!I:I,B314,DATOS!L:L,"N")/COUNTIFS(DATOS!G:G,CONFIG_METADATA!$B$4,DATOS!D:D,A314,DATOS!I:I,B314),"—"),"")</f>
        <v>—</v>
      </c>
      <c r="J314" t="str" cm="1">
        <f t="array" ref="J314">IF(V314="Sí",IFERROR(_xlfn.MODE.SNGL(IF((nEVAL=CONFIG_METADATA!$B$4)*(nCURSO=A314)*(nASIG=B314)*(nAPTO="S"),nNOTA)),"—"),"")</f>
        <v>—</v>
      </c>
      <c r="K314" t="str" cm="1">
        <f t="array" ref="K314">IF(V314="Sí",IFERROR(_xlfn.MODE.SNGL(IF((nEVAL=CONFIG_METADATA!$B$4)*(nCURSO=A314)*(nASIG=B314)*(nAPTO="N"),nNOTA)),"—"),"")</f>
        <v>—</v>
      </c>
      <c r="L314">
        <f>IF(V314="Sí",COUNTIFS(DATOS!G:G,CONFIG_METADATA!$B$4,DATOS!D:D,A314,DATOS!I:I,B314,DATOS!K:K,1),"")</f>
        <v>0</v>
      </c>
      <c r="M314">
        <f>IF(V314="Sí",COUNTIFS(DATOS!G:G,CONFIG_METADATA!$B$4,DATOS!D:D,A314,DATOS!I:I,B314,DATOS!K:K,2),"")</f>
        <v>0</v>
      </c>
      <c r="N314">
        <f>IF(V314="Sí",COUNTIFS(DATOS!G:G,CONFIG_METADATA!$B$4,DATOS!D:D,A314,DATOS!I:I,B314,DATOS!K:K,3),"")</f>
        <v>0</v>
      </c>
      <c r="O314">
        <f>IF(V314="Sí",COUNTIFS(DATOS!G:G,CONFIG_METADATA!$B$4,DATOS!D:D,A314,DATOS!I:I,B314,DATOS!K:K,4),"")</f>
        <v>0</v>
      </c>
      <c r="P314">
        <f>IF(V314="Sí",COUNTIFS(DATOS!G:G,CONFIG_METADATA!$B$4,DATOS!D:D,A314,DATOS!I:I,B314,DATOS!K:K,5),"")</f>
        <v>0</v>
      </c>
      <c r="Q314">
        <f>IF(V314="Sí",COUNTIFS(DATOS!G:G,CONFIG_METADATA!$B$4,DATOS!D:D,A314,DATOS!I:I,B314,DATOS!K:K,6),"")</f>
        <v>0</v>
      </c>
      <c r="R314">
        <f>IF(V314="Sí",COUNTIFS(DATOS!G:G,CONFIG_METADATA!$B$4,DATOS!D:D,A314,DATOS!I:I,B314,DATOS!K:K,7),"")</f>
        <v>0</v>
      </c>
      <c r="S314">
        <f>IF(V314="Sí",COUNTIFS(DATOS!G:G,CONFIG_METADATA!$B$4,DATOS!D:D,A314,DATOS!I:I,B314,DATOS!K:K,8),"")</f>
        <v>0</v>
      </c>
      <c r="T314">
        <f>IF(V314="Sí",COUNTIFS(DATOS!G:G,CONFIG_METADATA!$B$4,DATOS!D:D,A314,DATOS!I:I,B314,DATOS!K:K,9),"")</f>
        <v>0</v>
      </c>
      <c r="U314">
        <f>IF(V314="Sí",COUNTIFS(DATOS!G:G,CONFIG_METADATA!$B$4,DATOS!D:D,A314,DATOS!I:I,B314,DATOS!K:K,10),"")</f>
        <v>0</v>
      </c>
      <c r="V314" t="str">
        <f>IFERROR(IF(ISERROR(FIND(A314,VLOOKUP(B314,CONFIG_ASIGNATURAS!B:C,2,FALSE()))),"No","Sí"),"No")</f>
        <v>Sí</v>
      </c>
    </row>
    <row r="315" spans="1:22">
      <c r="A315" s="3" t="inlineStr">
        <is>
          <t xml:space="preserve">4EEM</t>
        </is>
      </c>
      <c r="B315" s="3" cm="1">
        <f t="array" ref="B315">IFERROR(INDEX(_xlfn._xlws.FILTER(CONFIG_ASIGNATURAS!$B$2:$B$61,(CONFIG_ASIGNATURAS!$G$2:$G$61="Sí")*ISNUMBER(SEARCH("4EEM",CONFIG_ASIGNATURAS!$C$2:$C$61))),59),"")</f>
      </c>
      <c r="C315" s="3">
        <f>IF(B315="","",IFERROR(IF(VLOOKUP(B315,CONFIG_ASIGNATURAS!$B$2:$F$61,5,FALSE())="Sí","Especialidad","Asignatura"),"Asignatura"))</f>
      </c>
      <c r="D315">
        <f>IF(V315="Sí",COUNTIFS(DATOS!G:G,CONFIG_METADATA!$B$4,DATOS!D:D,A315,DATOS!I:I,B315),"")</f>
        <v>0</v>
      </c>
      <c r="E315" s="14" t="str">
        <f>IF(V315="Sí",IFERROR(AVERAGEIFS(DATOS!K:K,DATOS!G:G,CONFIG_METADATA!$B$4,DATOS!D:D,A315,DATOS!I:I,B315),"—"),"")</f>
        <v>—</v>
      </c>
      <c r="F315" s="14" t="str" cm="1">
        <f t="array" ref="F315">IF(V315="Sí",IFERROR(_xlfn.STDEV.P(IF((nEVAL=CONFIG_METADATA!$B$4)*(nCURSO=A315)*(nASIG=B315),nNOTA)),"—"),"")</f>
        <v>—</v>
      </c>
      <c r="G315" t="str" cm="1">
        <f t="array" ref="G315">IF(V315="Sí",IFERROR(_xlfn.MODE.SNGL(IF((nEVAL=CONFIG_METADATA!$B$4)*(nCURSO=A315)*(nASIG=B315),nNOTA)),"—"),"")</f>
        <v>—</v>
      </c>
      <c r="H315" s="15" t="str">
        <f>IF(V315="Sí",IFERROR(COUNTIFS(DATOS!G:G,CONFIG_METADATA!$B$4,DATOS!D:D,A315,DATOS!I:I,B315,DATOS!L:L,"S")/COUNTIFS(DATOS!G:G,CONFIG_METADATA!$B$4,DATOS!D:D,A315,DATOS!I:I,B315),"—"),"")</f>
        <v>—</v>
      </c>
      <c r="I315" s="15" t="str">
        <f>IF(V315="Sí",IFERROR(COUNTIFS(DATOS!G:G,CONFIG_METADATA!$B$4,DATOS!D:D,A315,DATOS!I:I,B315,DATOS!L:L,"N")/COUNTIFS(DATOS!G:G,CONFIG_METADATA!$B$4,DATOS!D:D,A315,DATOS!I:I,B315),"—"),"")</f>
        <v>—</v>
      </c>
      <c r="J315" t="str" cm="1">
        <f t="array" ref="J315">IF(V315="Sí",IFERROR(_xlfn.MODE.SNGL(IF((nEVAL=CONFIG_METADATA!$B$4)*(nCURSO=A315)*(nASIG=B315)*(nAPTO="S"),nNOTA)),"—"),"")</f>
        <v>—</v>
      </c>
      <c r="K315" t="str" cm="1">
        <f t="array" ref="K315">IF(V315="Sí",IFERROR(_xlfn.MODE.SNGL(IF((nEVAL=CONFIG_METADATA!$B$4)*(nCURSO=A315)*(nASIG=B315)*(nAPTO="N"),nNOTA)),"—"),"")</f>
        <v>—</v>
      </c>
      <c r="L315">
        <f>IF(V315="Sí",COUNTIFS(DATOS!G:G,CONFIG_METADATA!$B$4,DATOS!D:D,A315,DATOS!I:I,B315,DATOS!K:K,1),"")</f>
        <v>0</v>
      </c>
      <c r="M315">
        <f>IF(V315="Sí",COUNTIFS(DATOS!G:G,CONFIG_METADATA!$B$4,DATOS!D:D,A315,DATOS!I:I,B315,DATOS!K:K,2),"")</f>
        <v>0</v>
      </c>
      <c r="N315">
        <f>IF(V315="Sí",COUNTIFS(DATOS!G:G,CONFIG_METADATA!$B$4,DATOS!D:D,A315,DATOS!I:I,B315,DATOS!K:K,3),"")</f>
        <v>0</v>
      </c>
      <c r="O315">
        <f>IF(V315="Sí",COUNTIFS(DATOS!G:G,CONFIG_METADATA!$B$4,DATOS!D:D,A315,DATOS!I:I,B315,DATOS!K:K,4),"")</f>
        <v>0</v>
      </c>
      <c r="P315">
        <f>IF(V315="Sí",COUNTIFS(DATOS!G:G,CONFIG_METADATA!$B$4,DATOS!D:D,A315,DATOS!I:I,B315,DATOS!K:K,5),"")</f>
        <v>0</v>
      </c>
      <c r="Q315">
        <f>IF(V315="Sí",COUNTIFS(DATOS!G:G,CONFIG_METADATA!$B$4,DATOS!D:D,A315,DATOS!I:I,B315,DATOS!K:K,6),"")</f>
        <v>0</v>
      </c>
      <c r="R315">
        <f>IF(V315="Sí",COUNTIFS(DATOS!G:G,CONFIG_METADATA!$B$4,DATOS!D:D,A315,DATOS!I:I,B315,DATOS!K:K,7),"")</f>
        <v>0</v>
      </c>
      <c r="S315">
        <f>IF(V315="Sí",COUNTIFS(DATOS!G:G,CONFIG_METADATA!$B$4,DATOS!D:D,A315,DATOS!I:I,B315,DATOS!K:K,8),"")</f>
        <v>0</v>
      </c>
      <c r="T315">
        <f>IF(V315="Sí",COUNTIFS(DATOS!G:G,CONFIG_METADATA!$B$4,DATOS!D:D,A315,DATOS!I:I,B315,DATOS!K:K,9),"")</f>
        <v>0</v>
      </c>
      <c r="U315">
        <f>IF(V315="Sí",COUNTIFS(DATOS!G:G,CONFIG_METADATA!$B$4,DATOS!D:D,A315,DATOS!I:I,B315,DATOS!K:K,10),"")</f>
        <v>0</v>
      </c>
      <c r="V315" t="str">
        <f>IFERROR(IF(ISERROR(FIND(A315,VLOOKUP(B315,CONFIG_ASIGNATURAS!B:C,2,FALSE()))),"No","Sí"),"No")</f>
        <v>Sí</v>
      </c>
    </row>
    <row r="316" spans="1:22">
      <c r="A316" s="3" t="inlineStr">
        <is>
          <t xml:space="preserve">4EEM</t>
        </is>
      </c>
      <c r="B316" s="3" cm="1">
        <f t="array" ref="B316">IFERROR(INDEX(_xlfn._xlws.FILTER(CONFIG_ASIGNATURAS!$B$2:$B$61,(CONFIG_ASIGNATURAS!$G$2:$G$61="Sí")*ISNUMBER(SEARCH("4EEM",CONFIG_ASIGNATURAS!$C$2:$C$61))),60),"")</f>
      </c>
      <c r="C316" s="3">
        <f>IF(B316="","",IFERROR(IF(VLOOKUP(B316,CONFIG_ASIGNATURAS!$B$2:$F$61,5,FALSE())="Sí","Especialidad","Asignatura"),"Asignatura"))</f>
      </c>
      <c r="D316">
        <f>IF(V316="Sí",COUNTIFS(DATOS!G:G,CONFIG_METADATA!$B$4,DATOS!D:D,A316,DATOS!I:I,B316),"")</f>
        <v>0</v>
      </c>
      <c r="E316" s="14" t="str">
        <f>IF(V316="Sí",IFERROR(AVERAGEIFS(DATOS!K:K,DATOS!G:G,CONFIG_METADATA!$B$4,DATOS!D:D,A316,DATOS!I:I,B316),"—"),"")</f>
        <v>—</v>
      </c>
      <c r="F316" s="14" t="str" cm="1">
        <f t="array" ref="F316">IF(V316="Sí",IFERROR(_xlfn.STDEV.P(IF((nEVAL=CONFIG_METADATA!$B$4)*(nCURSO=A316)*(nASIG=B316),nNOTA)),"—"),"")</f>
        <v>—</v>
      </c>
      <c r="G316" t="str" cm="1">
        <f t="array" ref="G316">IF(V316="Sí",IFERROR(_xlfn.MODE.SNGL(IF((nEVAL=CONFIG_METADATA!$B$4)*(nCURSO=A316)*(nASIG=B316),nNOTA)),"—"),"")</f>
        <v>—</v>
      </c>
      <c r="H316" s="15" t="str">
        <f>IF(V316="Sí",IFERROR(COUNTIFS(DATOS!G:G,CONFIG_METADATA!$B$4,DATOS!D:D,A316,DATOS!I:I,B316,DATOS!L:L,"S")/COUNTIFS(DATOS!G:G,CONFIG_METADATA!$B$4,DATOS!D:D,A316,DATOS!I:I,B316),"—"),"")</f>
        <v>—</v>
      </c>
      <c r="I316" s="15" t="str">
        <f>IF(V316="Sí",IFERROR(COUNTIFS(DATOS!G:G,CONFIG_METADATA!$B$4,DATOS!D:D,A316,DATOS!I:I,B316,DATOS!L:L,"N")/COUNTIFS(DATOS!G:G,CONFIG_METADATA!$B$4,DATOS!D:D,A316,DATOS!I:I,B316),"—"),"")</f>
        <v>—</v>
      </c>
      <c r="J316" t="str" cm="1">
        <f t="array" ref="J316">IF(V316="Sí",IFERROR(_xlfn.MODE.SNGL(IF((nEVAL=CONFIG_METADATA!$B$4)*(nCURSO=A316)*(nASIG=B316)*(nAPTO="S"),nNOTA)),"—"),"")</f>
        <v>—</v>
      </c>
      <c r="K316" t="str" cm="1">
        <f t="array" ref="K316">IF(V316="Sí",IFERROR(_xlfn.MODE.SNGL(IF((nEVAL=CONFIG_METADATA!$B$4)*(nCURSO=A316)*(nASIG=B316)*(nAPTO="N"),nNOTA)),"—"),"")</f>
        <v>—</v>
      </c>
      <c r="L316">
        <f>IF(V316="Sí",COUNTIFS(DATOS!G:G,CONFIG_METADATA!$B$4,DATOS!D:D,A316,DATOS!I:I,B316,DATOS!K:K,1),"")</f>
        <v>0</v>
      </c>
      <c r="M316">
        <f>IF(V316="Sí",COUNTIFS(DATOS!G:G,CONFIG_METADATA!$B$4,DATOS!D:D,A316,DATOS!I:I,B316,DATOS!K:K,2),"")</f>
        <v>0</v>
      </c>
      <c r="N316">
        <f>IF(V316="Sí",COUNTIFS(DATOS!G:G,CONFIG_METADATA!$B$4,DATOS!D:D,A316,DATOS!I:I,B316,DATOS!K:K,3),"")</f>
        <v>0</v>
      </c>
      <c r="O316">
        <f>IF(V316="Sí",COUNTIFS(DATOS!G:G,CONFIG_METADATA!$B$4,DATOS!D:D,A316,DATOS!I:I,B316,DATOS!K:K,4),"")</f>
        <v>0</v>
      </c>
      <c r="P316">
        <f>IF(V316="Sí",COUNTIFS(DATOS!G:G,CONFIG_METADATA!$B$4,DATOS!D:D,A316,DATOS!I:I,B316,DATOS!K:K,5),"")</f>
        <v>0</v>
      </c>
      <c r="Q316">
        <f>IF(V316="Sí",COUNTIFS(DATOS!G:G,CONFIG_METADATA!$B$4,DATOS!D:D,A316,DATOS!I:I,B316,DATOS!K:K,6),"")</f>
        <v>0</v>
      </c>
      <c r="R316">
        <f>IF(V316="Sí",COUNTIFS(DATOS!G:G,CONFIG_METADATA!$B$4,DATOS!D:D,A316,DATOS!I:I,B316,DATOS!K:K,7),"")</f>
        <v>0</v>
      </c>
      <c r="S316">
        <f>IF(V316="Sí",COUNTIFS(DATOS!G:G,CONFIG_METADATA!$B$4,DATOS!D:D,A316,DATOS!I:I,B316,DATOS!K:K,8),"")</f>
        <v>0</v>
      </c>
      <c r="T316">
        <f>IF(V316="Sí",COUNTIFS(DATOS!G:G,CONFIG_METADATA!$B$4,DATOS!D:D,A316,DATOS!I:I,B316,DATOS!K:K,9),"")</f>
        <v>0</v>
      </c>
      <c r="U316">
        <f>IF(V316="Sí",COUNTIFS(DATOS!G:G,CONFIG_METADATA!$B$4,DATOS!D:D,A316,DATOS!I:I,B316,DATOS!K:K,10),"")</f>
        <v>0</v>
      </c>
      <c r="V316" t="str">
        <f>IFERROR(IF(ISERROR(FIND(A316,VLOOKUP(B316,CONFIG_ASIGNATURAS!B:C,2,FALSE()))),"No","Sí"),"No")</f>
        <v>Sí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853"/>
  <sheetViews>
    <sheetView zoomScaleNormal="100" workbookViewId="0">
      <selection activeCell="W6" sqref="W6:W787"/>
    </sheetView>
  </sheetViews>
  <sheetFormatPr baseColWidth="10" defaultColWidth="8.6640625" defaultRowHeight="15" x14ac:dyDescent="0.2"/>
  <cols>
    <col min="1" max="1" width="24.5" customWidth="1"/>
    <col min="2" max="24" width="9" customWidth="1"/>
  </cols>
  <sheetData>
    <row r="1" spans="1:23" ht="17.25" customHeight="1" x14ac:dyDescent="0.2">
      <c r="A1" s="7" t="s">
        <v>102</v>
      </c>
    </row>
    <row r="2" spans="1:23" ht="15" customHeight="1" x14ac:dyDescent="0.2">
      <c r="A2" s="8" t="s">
        <v>103</v>
      </c>
    </row>
    <row r="3" spans="1:23" ht="15" customHeight="1" x14ac:dyDescent="0.2">
      <c r="A3" s="9"/>
    </row>
    <row r="4" spans="1:23" ht="15" customHeight="1" x14ac:dyDescent="0.2">
      <c r="A4" s="10" t="s">
        <v>104</v>
      </c>
      <c r="B4" s="11" t="s">
        <v>15</v>
      </c>
      <c r="G4" s="10" t="s">
        <v>104</v>
      </c>
      <c r="H4" s="11" t="s">
        <v>19</v>
      </c>
      <c r="M4" s="10" t="s">
        <v>104</v>
      </c>
      <c r="N4" s="11" t="s">
        <v>23</v>
      </c>
      <c r="S4" s="10" t="s">
        <v>104</v>
      </c>
      <c r="T4" s="11" t="s">
        <v>26</v>
      </c>
    </row>
    <row r="5" spans="1:23" ht="15" customHeight="1" x14ac:dyDescent="0.2">
      <c r="A5" s="2" t="s">
        <v>63</v>
      </c>
      <c r="B5" s="2" t="s">
        <v>105</v>
      </c>
      <c r="C5" s="2" t="s">
        <v>16</v>
      </c>
      <c r="D5" s="2" t="s">
        <v>106</v>
      </c>
      <c r="E5" s="2" t="s">
        <v>107</v>
      </c>
      <c r="G5" s="2" t="s">
        <v>63</v>
      </c>
      <c r="H5" s="2" t="s">
        <v>105</v>
      </c>
      <c r="I5" s="2" t="s">
        <v>16</v>
      </c>
      <c r="J5" s="2" t="s">
        <v>106</v>
      </c>
      <c r="K5" s="2" t="s">
        <v>107</v>
      </c>
      <c r="M5" s="2" t="s">
        <v>63</v>
      </c>
      <c r="N5" s="2" t="s">
        <v>105</v>
      </c>
      <c r="O5" s="2" t="s">
        <v>16</v>
      </c>
      <c r="P5" s="2" t="s">
        <v>106</v>
      </c>
      <c r="Q5" s="2" t="s">
        <v>107</v>
      </c>
      <c r="S5" s="2" t="s">
        <v>63</v>
      </c>
      <c r="T5" s="2" t="s">
        <v>105</v>
      </c>
      <c r="U5" s="2" t="s">
        <v>16</v>
      </c>
      <c r="V5" s="2" t="s">
        <v>106</v>
      </c>
      <c r="W5" s="2" t="s">
        <v>107</v>
      </c>
    </row>
    <row r="6" spans="1:23" ht="15" customHeight="1" x14ac:dyDescent="0.2">
      <c r="A6" t="str" cm="1">
        <f t="array" ref="A6">IFERROR(_xlfn.UNIQUE(_xlfn._xlws.FILTER(nNIA,(nEVAL=CONFIG_METADATA!$B$4)*(nCURSO="1EEM"))),"")</f>
        <v/>
      </c>
      <c r="B6" t="str">
        <f>IF(A6="","",IFERROR(AVERAGEIFS(nNOTA,nNIA,A6,nEVAL,CONFIG_METADATA!$B$4,nASIG,"Lenguaje Musical"),""))</f>
        <v/>
      </c>
      <c r="C6" t="str">
        <f>IF(A6="","",IFERROR(AVERAGEIFS(nNOTA,nNIA,A6,nEVAL,CONFIG_METADATA!$B$4,nASIG,"Coro"),""))</f>
        <v/>
      </c>
      <c r="D6" t="str">
        <f>IF(A6="","",IFERROR(AVERAGEIFS(nNOTA,nNIA,A6,nEVAL,CONFIG_METADATA!$B$4,nASIG,"Conjunto"),""))</f>
        <v/>
      </c>
      <c r="E6" t="str" cm="1">
        <f t="array" ref="E6">IF(A6="","",IFERROR(AVERAGE(IF((nNIA=A6)*(nEVAL=CONFIG_METADATA!$B$4)*(nASIG&lt;&gt;"Lenguaje Musical")*(nASIG&lt;&gt;"Coro")*(nASIG&lt;&gt;"Conjunto"),nNOTA)),""))</f>
        <v/>
      </c>
      <c r="G6" t="str" cm="1">
        <f t="array" ref="G6">IFERROR(_xlfn.UNIQUE(_xlfn._xlws.FILTER(nNIA,(nEVAL=CONFIG_METADATA!$B$4)*(nCURSO="2EEM"))),"")</f>
        <v/>
      </c>
      <c r="H6" t="str">
        <f>IF(G6="","",IFERROR(AVERAGEIFS(nNOTA,nNIA,G6,nEVAL,CONFIG_METADATA!$B$4,nASIG,"Lenguaje Musical"),""))</f>
        <v/>
      </c>
      <c r="I6" t="str">
        <f>IF(G6="","",IFERROR(AVERAGEIFS(nNOTA,nNIA,G6,nEVAL,CONFIG_METADATA!$B$4,nASIG,"Coro"),""))</f>
        <v/>
      </c>
      <c r="J6" t="str">
        <f>IF(G6="","",IFERROR(AVERAGEIFS(nNOTA,nNIA,G6,nEVAL,CONFIG_METADATA!$B$4,nASIG,"Conjunto"),""))</f>
        <v/>
      </c>
      <c r="K6" t="str" cm="1">
        <f t="array" ref="K6">IF(G6="","",IFERROR(AVERAGE(IF((nNIA=G6)*(nEVAL=CONFIG_METADATA!$B$4)*(nASIG&lt;&gt;"Lenguaje Musical")*(nASIG&lt;&gt;"Coro")*(nASIG&lt;&gt;"Conjunto"),nNOTA)),""))</f>
        <v/>
      </c>
      <c r="M6" t="str" cm="1">
        <f t="array" ref="M6">IFERROR(_xlfn.UNIQUE(_xlfn._xlws.FILTER(nNIA,(nEVAL=CONFIG_METADATA!$B$4)*(nCURSO="3EEM"))),"")</f>
        <v/>
      </c>
      <c r="N6" t="str">
        <f>IF(M6="","",IFERROR(AVERAGEIFS(nNOTA,nNIA,M6,nEVAL,CONFIG_METADATA!$B$4,nASIG,"Lenguaje Musical"),""))</f>
        <v/>
      </c>
      <c r="O6" t="str">
        <f>IF(M6="","",IFERROR(AVERAGEIFS(nNOTA,nNIA,M6,nEVAL,CONFIG_METADATA!$B$4,nASIG,"Coro"),""))</f>
        <v/>
      </c>
      <c r="P6" t="str">
        <f>IF(M6="","",IFERROR(AVERAGEIFS(nNOTA,nNIA,M6,nEVAL,CONFIG_METADATA!$B$4,nASIG,"Conjunto"),""))</f>
        <v/>
      </c>
      <c r="Q6" t="str" cm="1">
        <f t="array" ref="Q6">IF(M6="","",IFERROR(AVERAGE(IF((nNIA=M6)*(nEVAL=CONFIG_METADATA!$B$4)*(nASIG&lt;&gt;"Lenguaje Musical")*(nASIG&lt;&gt;"Coro")*(nASIG&lt;&gt;"Conjunto"),nNOTA)),""))</f>
        <v/>
      </c>
      <c r="S6" t="str" cm="1">
        <f t="array" ref="S6">IFERROR(_xlfn.UNIQUE(_xlfn._xlws.FILTER(nNIA,(nEVAL=CONFIG_METADATA!$B$4)*(nCURSO="4EEM"))),"")</f>
        <v/>
      </c>
      <c r="T6" t="str">
        <f>IF(S6="","",IFERROR(AVERAGEIFS(nNOTA,nNIA,S6,nEVAL,CONFIG_METADATA!$B$4,nASIG,"Lenguaje Musical"),""))</f>
        <v/>
      </c>
      <c r="U6" t="str">
        <f>IF(S6="","",IFERROR(AVERAGEIFS(nNOTA,nNIA,S6,nEVAL,CONFIG_METADATA!$B$4,nASIG,"Coro"),""))</f>
        <v/>
      </c>
      <c r="V6" t="str">
        <f>IF(S6="","",IFERROR(AVERAGEIFS(nNOTA,nNIA,S6,nEVAL,CONFIG_METADATA!$B$4,nASIG,"Conjunto"),""))</f>
        <v/>
      </c>
      <c r="W6" t="str" cm="1">
        <f t="array" ref="W6">IF(S6="","",IFERROR(AVERAGE(IF((nNIA=S6)*(nEVAL=CONFIG_METADATA!$B$4)*(nASIG&lt;&gt;"Lenguaje Musical")*(nASIG&lt;&gt;"Coro")*(nASIG&lt;&gt;"Conjunto"),nNOTA)),""))</f>
        <v/>
      </c>
    </row>
    <row r="7" spans="1:23" ht="15" customHeight="1" x14ac:dyDescent="0.2">
      <c r="B7" t="str">
        <f>IF(A7="","",IFERROR(AVERAGEIFS(nNOTA,nNIA,A7,nEVAL,CONFIG_METADATA!$B$4,nASIG,"Lenguaje Musical"),""))</f>
        <v/>
      </c>
      <c r="C7" t="str">
        <f>IF(A7="","",IFERROR(AVERAGEIFS(nNOTA,nNIA,A7,nEVAL,CONFIG_METADATA!$B$4,nASIG,"Coro"),""))</f>
        <v/>
      </c>
      <c r="D7" t="str">
        <f>IF(A7="","",IFERROR(AVERAGEIFS(nNOTA,nNIA,A7,nEVAL,CONFIG_METADATA!$B$4,nASIG,"Conjunto"),""))</f>
        <v/>
      </c>
      <c r="E7" t="str" cm="1">
        <f t="array" ref="E7">IF(A7="","",IFERROR(AVERAGE(IF((nNIA=A7)*(nEVAL=CONFIG_METADATA!$B$4)*(nASIG&lt;&gt;"Lenguaje Musical")*(nASIG&lt;&gt;"Coro")*(nASIG&lt;&gt;"Conjunto"),nNOTA)),""))</f>
        <v/>
      </c>
      <c r="H7" t="str">
        <f>IF(G7="","",IFERROR(AVERAGEIFS(nNOTA,nNIA,G7,nEVAL,CONFIG_METADATA!$B$4,nASIG,"Lenguaje Musical"),""))</f>
        <v/>
      </c>
      <c r="I7" t="str">
        <f>IF(G7="","",IFERROR(AVERAGEIFS(nNOTA,nNIA,G7,nEVAL,CONFIG_METADATA!$B$4,nASIG,"Coro"),""))</f>
        <v/>
      </c>
      <c r="J7" t="str">
        <f>IF(G7="","",IFERROR(AVERAGEIFS(nNOTA,nNIA,G7,nEVAL,CONFIG_METADATA!$B$4,nASIG,"Conjunto"),""))</f>
        <v/>
      </c>
      <c r="K7" t="str" cm="1">
        <f t="array" ref="K7">IF(G7="","",IFERROR(AVERAGE(IF((nNIA=G7)*(nEVAL=CONFIG_METADATA!$B$4)*(nASIG&lt;&gt;"Lenguaje Musical")*(nASIG&lt;&gt;"Coro")*(nASIG&lt;&gt;"Conjunto"),nNOTA)),""))</f>
        <v/>
      </c>
      <c r="N7" t="str">
        <f>IF(M7="","",IFERROR(AVERAGEIFS(nNOTA,nNIA,M7,nEVAL,CONFIG_METADATA!$B$4,nASIG,"Lenguaje Musical"),""))</f>
        <v/>
      </c>
      <c r="O7" t="str">
        <f>IF(M7="","",IFERROR(AVERAGEIFS(nNOTA,nNIA,M7,nEVAL,CONFIG_METADATA!$B$4,nASIG,"Coro"),""))</f>
        <v/>
      </c>
      <c r="P7" t="str">
        <f>IF(M7="","",IFERROR(AVERAGEIFS(nNOTA,nNIA,M7,nEVAL,CONFIG_METADATA!$B$4,nASIG,"Conjunto"),""))</f>
        <v/>
      </c>
      <c r="Q7" t="str" cm="1">
        <f t="array" ref="Q7">IF(M7="","",IFERROR(AVERAGE(IF((nNIA=M7)*(nEVAL=CONFIG_METADATA!$B$4)*(nASIG&lt;&gt;"Lenguaje Musical")*(nASIG&lt;&gt;"Coro")*(nASIG&lt;&gt;"Conjunto"),nNOTA)),""))</f>
        <v/>
      </c>
      <c r="T7" t="str">
        <f>IF(S7="","",IFERROR(AVERAGEIFS(nNOTA,nNIA,S7,nEVAL,CONFIG_METADATA!$B$4,nASIG,"Lenguaje Musical"),""))</f>
        <v/>
      </c>
      <c r="U7" t="str">
        <f>IF(S7="","",IFERROR(AVERAGEIFS(nNOTA,nNIA,S7,nEVAL,CONFIG_METADATA!$B$4,nASIG,"Coro"),""))</f>
        <v/>
      </c>
      <c r="V7" t="str">
        <f>IF(S7="","",IFERROR(AVERAGEIFS(nNOTA,nNIA,S7,nEVAL,CONFIG_METADATA!$B$4,nASIG,"Conjunto"),""))</f>
        <v/>
      </c>
      <c r="W7" t="str" cm="1">
        <f t="array" ref="W7">IF(S7="","",IFERROR(AVERAGE(IF((nNIA=S7)*(nEVAL=CONFIG_METADATA!$B$4)*(nASIG&lt;&gt;"Lenguaje Musical")*(nASIG&lt;&gt;"Coro")*(nASIG&lt;&gt;"Conjunto"),nNOTA)),""))</f>
        <v/>
      </c>
    </row>
    <row r="8" spans="1:23" ht="15" customHeight="1" x14ac:dyDescent="0.2">
      <c r="B8" t="str">
        <f>IF(A8="","",IFERROR(AVERAGEIFS(nNOTA,nNIA,A8,nEVAL,CONFIG_METADATA!$B$4,nASIG,"Lenguaje Musical"),""))</f>
        <v/>
      </c>
      <c r="C8" t="str">
        <f>IF(A8="","",IFERROR(AVERAGEIFS(nNOTA,nNIA,A8,nEVAL,CONFIG_METADATA!$B$4,nASIG,"Coro"),""))</f>
        <v/>
      </c>
      <c r="D8" t="str">
        <f>IF(A8="","",IFERROR(AVERAGEIFS(nNOTA,nNIA,A8,nEVAL,CONFIG_METADATA!$B$4,nASIG,"Conjunto"),""))</f>
        <v/>
      </c>
      <c r="E8" t="str" cm="1">
        <f t="array" ref="E8">IF(A8="","",IFERROR(AVERAGE(IF((nNIA=A8)*(nEVAL=CONFIG_METADATA!$B$4)*(nASIG&lt;&gt;"Lenguaje Musical")*(nASIG&lt;&gt;"Coro")*(nASIG&lt;&gt;"Conjunto"),nNOTA)),""))</f>
        <v/>
      </c>
      <c r="H8" t="str">
        <f>IF(G8="","",IFERROR(AVERAGEIFS(nNOTA,nNIA,G8,nEVAL,CONFIG_METADATA!$B$4,nASIG,"Lenguaje Musical"),""))</f>
        <v/>
      </c>
      <c r="I8" t="str">
        <f>IF(G8="","",IFERROR(AVERAGEIFS(nNOTA,nNIA,G8,nEVAL,CONFIG_METADATA!$B$4,nASIG,"Coro"),""))</f>
        <v/>
      </c>
      <c r="J8" t="str">
        <f>IF(G8="","",IFERROR(AVERAGEIFS(nNOTA,nNIA,G8,nEVAL,CONFIG_METADATA!$B$4,nASIG,"Conjunto"),""))</f>
        <v/>
      </c>
      <c r="K8" t="str" cm="1">
        <f t="array" ref="K8">IF(G8="","",IFERROR(AVERAGE(IF((nNIA=G8)*(nEVAL=CONFIG_METADATA!$B$4)*(nASIG&lt;&gt;"Lenguaje Musical")*(nASIG&lt;&gt;"Coro")*(nASIG&lt;&gt;"Conjunto"),nNOTA)),""))</f>
        <v/>
      </c>
      <c r="N8" t="str">
        <f>IF(M8="","",IFERROR(AVERAGEIFS(nNOTA,nNIA,M8,nEVAL,CONFIG_METADATA!$B$4,nASIG,"Lenguaje Musical"),""))</f>
        <v/>
      </c>
      <c r="O8" t="str">
        <f>IF(M8="","",IFERROR(AVERAGEIFS(nNOTA,nNIA,M8,nEVAL,CONFIG_METADATA!$B$4,nASIG,"Coro"),""))</f>
        <v/>
      </c>
      <c r="P8" t="str">
        <f>IF(M8="","",IFERROR(AVERAGEIFS(nNOTA,nNIA,M8,nEVAL,CONFIG_METADATA!$B$4,nASIG,"Conjunto"),""))</f>
        <v/>
      </c>
      <c r="Q8" t="str" cm="1">
        <f t="array" ref="Q8">IF(M8="","",IFERROR(AVERAGE(IF((nNIA=M8)*(nEVAL=CONFIG_METADATA!$B$4)*(nASIG&lt;&gt;"Lenguaje Musical")*(nASIG&lt;&gt;"Coro")*(nASIG&lt;&gt;"Conjunto"),nNOTA)),""))</f>
        <v/>
      </c>
      <c r="T8" t="str">
        <f>IF(S8="","",IFERROR(AVERAGEIFS(nNOTA,nNIA,S8,nEVAL,CONFIG_METADATA!$B$4,nASIG,"Lenguaje Musical"),""))</f>
        <v/>
      </c>
      <c r="U8" t="str">
        <f>IF(S8="","",IFERROR(AVERAGEIFS(nNOTA,nNIA,S8,nEVAL,CONFIG_METADATA!$B$4,nASIG,"Coro"),""))</f>
        <v/>
      </c>
      <c r="V8" t="str">
        <f>IF(S8="","",IFERROR(AVERAGEIFS(nNOTA,nNIA,S8,nEVAL,CONFIG_METADATA!$B$4,nASIG,"Conjunto"),""))</f>
        <v/>
      </c>
      <c r="W8" t="str" cm="1">
        <f t="array" ref="W8">IF(S8="","",IFERROR(AVERAGE(IF((nNIA=S8)*(nEVAL=CONFIG_METADATA!$B$4)*(nASIG&lt;&gt;"Lenguaje Musical")*(nASIG&lt;&gt;"Coro")*(nASIG&lt;&gt;"Conjunto"),nNOTA)),""))</f>
        <v/>
      </c>
    </row>
    <row r="9" spans="1:23" ht="15" customHeight="1" x14ac:dyDescent="0.2">
      <c r="B9" t="str">
        <f>IF(A9="","",IFERROR(AVERAGEIFS(nNOTA,nNIA,A9,nEVAL,CONFIG_METADATA!$B$4,nASIG,"Lenguaje Musical"),""))</f>
        <v/>
      </c>
      <c r="C9" t="str">
        <f>IF(A9="","",IFERROR(AVERAGEIFS(nNOTA,nNIA,A9,nEVAL,CONFIG_METADATA!$B$4,nASIG,"Coro"),""))</f>
        <v/>
      </c>
      <c r="D9" t="str">
        <f>IF(A9="","",IFERROR(AVERAGEIFS(nNOTA,nNIA,A9,nEVAL,CONFIG_METADATA!$B$4,nASIG,"Conjunto"),""))</f>
        <v/>
      </c>
      <c r="E9" t="str" cm="1">
        <f t="array" ref="E9">IF(A9="","",IFERROR(AVERAGE(IF((nNIA=A9)*(nEVAL=CONFIG_METADATA!$B$4)*(nASIG&lt;&gt;"Lenguaje Musical")*(nASIG&lt;&gt;"Coro")*(nASIG&lt;&gt;"Conjunto"),nNOTA)),""))</f>
        <v/>
      </c>
      <c r="H9" t="str">
        <f>IF(G9="","",IFERROR(AVERAGEIFS(nNOTA,nNIA,G9,nEVAL,CONFIG_METADATA!$B$4,nASIG,"Lenguaje Musical"),""))</f>
        <v/>
      </c>
      <c r="I9" t="str">
        <f>IF(G9="","",IFERROR(AVERAGEIFS(nNOTA,nNIA,G9,nEVAL,CONFIG_METADATA!$B$4,nASIG,"Coro"),""))</f>
        <v/>
      </c>
      <c r="J9" t="str">
        <f>IF(G9="","",IFERROR(AVERAGEIFS(nNOTA,nNIA,G9,nEVAL,CONFIG_METADATA!$B$4,nASIG,"Conjunto"),""))</f>
        <v/>
      </c>
      <c r="K9" t="str" cm="1">
        <f t="array" ref="K9">IF(G9="","",IFERROR(AVERAGE(IF((nNIA=G9)*(nEVAL=CONFIG_METADATA!$B$4)*(nASIG&lt;&gt;"Lenguaje Musical")*(nASIG&lt;&gt;"Coro")*(nASIG&lt;&gt;"Conjunto"),nNOTA)),""))</f>
        <v/>
      </c>
      <c r="N9" t="str">
        <f>IF(M9="","",IFERROR(AVERAGEIFS(nNOTA,nNIA,M9,nEVAL,CONFIG_METADATA!$B$4,nASIG,"Lenguaje Musical"),""))</f>
        <v/>
      </c>
      <c r="O9" t="str">
        <f>IF(M9="","",IFERROR(AVERAGEIFS(nNOTA,nNIA,M9,nEVAL,CONFIG_METADATA!$B$4,nASIG,"Coro"),""))</f>
        <v/>
      </c>
      <c r="P9" t="str">
        <f>IF(M9="","",IFERROR(AVERAGEIFS(nNOTA,nNIA,M9,nEVAL,CONFIG_METADATA!$B$4,nASIG,"Conjunto"),""))</f>
        <v/>
      </c>
      <c r="Q9" t="str" cm="1">
        <f t="array" ref="Q9">IF(M9="","",IFERROR(AVERAGE(IF((nNIA=M9)*(nEVAL=CONFIG_METADATA!$B$4)*(nASIG&lt;&gt;"Lenguaje Musical")*(nASIG&lt;&gt;"Coro")*(nASIG&lt;&gt;"Conjunto"),nNOTA)),""))</f>
        <v/>
      </c>
      <c r="T9" t="str">
        <f>IF(S9="","",IFERROR(AVERAGEIFS(nNOTA,nNIA,S9,nEVAL,CONFIG_METADATA!$B$4,nASIG,"Lenguaje Musical"),""))</f>
        <v/>
      </c>
      <c r="U9" t="str">
        <f>IF(S9="","",IFERROR(AVERAGEIFS(nNOTA,nNIA,S9,nEVAL,CONFIG_METADATA!$B$4,nASIG,"Coro"),""))</f>
        <v/>
      </c>
      <c r="V9" t="str">
        <f>IF(S9="","",IFERROR(AVERAGEIFS(nNOTA,nNIA,S9,nEVAL,CONFIG_METADATA!$B$4,nASIG,"Conjunto"),""))</f>
        <v/>
      </c>
      <c r="W9" t="str" cm="1">
        <f t="array" ref="W9">IF(S9="","",IFERROR(AVERAGE(IF((nNIA=S9)*(nEVAL=CONFIG_METADATA!$B$4)*(nASIG&lt;&gt;"Lenguaje Musical")*(nASIG&lt;&gt;"Coro")*(nASIG&lt;&gt;"Conjunto"),nNOTA)),""))</f>
        <v/>
      </c>
    </row>
    <row r="10" spans="1:23" ht="15" customHeight="1" x14ac:dyDescent="0.2">
      <c r="B10" t="str">
        <f>IF(A10="","",IFERROR(AVERAGEIFS(nNOTA,nNIA,A10,nEVAL,CONFIG_METADATA!$B$4,nASIG,"Lenguaje Musical"),""))</f>
        <v/>
      </c>
      <c r="C10" t="str">
        <f>IF(A10="","",IFERROR(AVERAGEIFS(nNOTA,nNIA,A10,nEVAL,CONFIG_METADATA!$B$4,nASIG,"Coro"),""))</f>
        <v/>
      </c>
      <c r="D10" t="str">
        <f>IF(A10="","",IFERROR(AVERAGEIFS(nNOTA,nNIA,A10,nEVAL,CONFIG_METADATA!$B$4,nASIG,"Conjunto"),""))</f>
        <v/>
      </c>
      <c r="E10" t="str" cm="1">
        <f t="array" ref="E10">IF(A10="","",IFERROR(AVERAGE(IF((nNIA=A10)*(nEVAL=CONFIG_METADATA!$B$4)*(nASIG&lt;&gt;"Lenguaje Musical")*(nASIG&lt;&gt;"Coro")*(nASIG&lt;&gt;"Conjunto"),nNOTA)),""))</f>
        <v/>
      </c>
      <c r="H10" t="str">
        <f>IF(G10="","",IFERROR(AVERAGEIFS(nNOTA,nNIA,G10,nEVAL,CONFIG_METADATA!$B$4,nASIG,"Lenguaje Musical"),""))</f>
        <v/>
      </c>
      <c r="I10" t="str">
        <f>IF(G10="","",IFERROR(AVERAGEIFS(nNOTA,nNIA,G10,nEVAL,CONFIG_METADATA!$B$4,nASIG,"Coro"),""))</f>
        <v/>
      </c>
      <c r="J10" t="str">
        <f>IF(G10="","",IFERROR(AVERAGEIFS(nNOTA,nNIA,G10,nEVAL,CONFIG_METADATA!$B$4,nASIG,"Conjunto"),""))</f>
        <v/>
      </c>
      <c r="K10" t="str" cm="1">
        <f t="array" ref="K10">IF(G10="","",IFERROR(AVERAGE(IF((nNIA=G10)*(nEVAL=CONFIG_METADATA!$B$4)*(nASIG&lt;&gt;"Lenguaje Musical")*(nASIG&lt;&gt;"Coro")*(nASIG&lt;&gt;"Conjunto"),nNOTA)),""))</f>
        <v/>
      </c>
      <c r="N10" t="str">
        <f>IF(M10="","",IFERROR(AVERAGEIFS(nNOTA,nNIA,M10,nEVAL,CONFIG_METADATA!$B$4,nASIG,"Lenguaje Musical"),""))</f>
        <v/>
      </c>
      <c r="O10" t="str">
        <f>IF(M10="","",IFERROR(AVERAGEIFS(nNOTA,nNIA,M10,nEVAL,CONFIG_METADATA!$B$4,nASIG,"Coro"),""))</f>
        <v/>
      </c>
      <c r="P10" t="str">
        <f>IF(M10="","",IFERROR(AVERAGEIFS(nNOTA,nNIA,M10,nEVAL,CONFIG_METADATA!$B$4,nASIG,"Conjunto"),""))</f>
        <v/>
      </c>
      <c r="Q10" t="str" cm="1">
        <f t="array" ref="Q10">IF(M10="","",IFERROR(AVERAGE(IF((nNIA=M10)*(nEVAL=CONFIG_METADATA!$B$4)*(nASIG&lt;&gt;"Lenguaje Musical")*(nASIG&lt;&gt;"Coro")*(nASIG&lt;&gt;"Conjunto"),nNOTA)),""))</f>
        <v/>
      </c>
      <c r="T10" t="str">
        <f>IF(S10="","",IFERROR(AVERAGEIFS(nNOTA,nNIA,S10,nEVAL,CONFIG_METADATA!$B$4,nASIG,"Lenguaje Musical"),""))</f>
        <v/>
      </c>
      <c r="U10" t="str">
        <f>IF(S10="","",IFERROR(AVERAGEIFS(nNOTA,nNIA,S10,nEVAL,CONFIG_METADATA!$B$4,nASIG,"Coro"),""))</f>
        <v/>
      </c>
      <c r="V10" t="str">
        <f>IF(S10="","",IFERROR(AVERAGEIFS(nNOTA,nNIA,S10,nEVAL,CONFIG_METADATA!$B$4,nASIG,"Conjunto"),""))</f>
        <v/>
      </c>
      <c r="W10" t="str" cm="1">
        <f t="array" ref="W10">IF(S10="","",IFERROR(AVERAGE(IF((nNIA=S10)*(nEVAL=CONFIG_METADATA!$B$4)*(nASIG&lt;&gt;"Lenguaje Musical")*(nASIG&lt;&gt;"Coro")*(nASIG&lt;&gt;"Conjunto"),nNOTA)),""))</f>
        <v/>
      </c>
    </row>
    <row r="11" spans="1:23" ht="15" customHeight="1" x14ac:dyDescent="0.2">
      <c r="B11" t="str">
        <f>IF(A11="","",IFERROR(AVERAGEIFS(nNOTA,nNIA,A11,nEVAL,CONFIG_METADATA!$B$4,nASIG,"Lenguaje Musical"),""))</f>
        <v/>
      </c>
      <c r="C11" t="str">
        <f>IF(A11="","",IFERROR(AVERAGEIFS(nNOTA,nNIA,A11,nEVAL,CONFIG_METADATA!$B$4,nASIG,"Coro"),""))</f>
        <v/>
      </c>
      <c r="D11" t="str">
        <f>IF(A11="","",IFERROR(AVERAGEIFS(nNOTA,nNIA,A11,nEVAL,CONFIG_METADATA!$B$4,nASIG,"Conjunto"),""))</f>
        <v/>
      </c>
      <c r="E11" t="str" cm="1">
        <f t="array" ref="E11">IF(A11="","",IFERROR(AVERAGE(IF((nNIA=A11)*(nEVAL=CONFIG_METADATA!$B$4)*(nASIG&lt;&gt;"Lenguaje Musical")*(nASIG&lt;&gt;"Coro")*(nASIG&lt;&gt;"Conjunto"),nNOTA)),""))</f>
        <v/>
      </c>
      <c r="H11" t="str">
        <f>IF(G11="","",IFERROR(AVERAGEIFS(nNOTA,nNIA,G11,nEVAL,CONFIG_METADATA!$B$4,nASIG,"Lenguaje Musical"),""))</f>
        <v/>
      </c>
      <c r="I11" t="str">
        <f>IF(G11="","",IFERROR(AVERAGEIFS(nNOTA,nNIA,G11,nEVAL,CONFIG_METADATA!$B$4,nASIG,"Coro"),""))</f>
        <v/>
      </c>
      <c r="J11" t="str">
        <f>IF(G11="","",IFERROR(AVERAGEIFS(nNOTA,nNIA,G11,nEVAL,CONFIG_METADATA!$B$4,nASIG,"Conjunto"),""))</f>
        <v/>
      </c>
      <c r="K11" t="str" cm="1">
        <f t="array" ref="K11">IF(G11="","",IFERROR(AVERAGE(IF((nNIA=G11)*(nEVAL=CONFIG_METADATA!$B$4)*(nASIG&lt;&gt;"Lenguaje Musical")*(nASIG&lt;&gt;"Coro")*(nASIG&lt;&gt;"Conjunto"),nNOTA)),""))</f>
        <v/>
      </c>
      <c r="N11" t="str">
        <f>IF(M11="","",IFERROR(AVERAGEIFS(nNOTA,nNIA,M11,nEVAL,CONFIG_METADATA!$B$4,nASIG,"Lenguaje Musical"),""))</f>
        <v/>
      </c>
      <c r="O11" t="str">
        <f>IF(M11="","",IFERROR(AVERAGEIFS(nNOTA,nNIA,M11,nEVAL,CONFIG_METADATA!$B$4,nASIG,"Coro"),""))</f>
        <v/>
      </c>
      <c r="P11" t="str">
        <f>IF(M11="","",IFERROR(AVERAGEIFS(nNOTA,nNIA,M11,nEVAL,CONFIG_METADATA!$B$4,nASIG,"Conjunto"),""))</f>
        <v/>
      </c>
      <c r="Q11" t="str" cm="1">
        <f t="array" ref="Q11">IF(M11="","",IFERROR(AVERAGE(IF((nNIA=M11)*(nEVAL=CONFIG_METADATA!$B$4)*(nASIG&lt;&gt;"Lenguaje Musical")*(nASIG&lt;&gt;"Coro")*(nASIG&lt;&gt;"Conjunto"),nNOTA)),""))</f>
        <v/>
      </c>
      <c r="T11" t="str">
        <f>IF(S11="","",IFERROR(AVERAGEIFS(nNOTA,nNIA,S11,nEVAL,CONFIG_METADATA!$B$4,nASIG,"Lenguaje Musical"),""))</f>
        <v/>
      </c>
      <c r="U11" t="str">
        <f>IF(S11="","",IFERROR(AVERAGEIFS(nNOTA,nNIA,S11,nEVAL,CONFIG_METADATA!$B$4,nASIG,"Coro"),""))</f>
        <v/>
      </c>
      <c r="V11" t="str">
        <f>IF(S11="","",IFERROR(AVERAGEIFS(nNOTA,nNIA,S11,nEVAL,CONFIG_METADATA!$B$4,nASIG,"Conjunto"),""))</f>
        <v/>
      </c>
      <c r="W11" t="str" cm="1">
        <f t="array" ref="W11">IF(S11="","",IFERROR(AVERAGE(IF((nNIA=S11)*(nEVAL=CONFIG_METADATA!$B$4)*(nASIG&lt;&gt;"Lenguaje Musical")*(nASIG&lt;&gt;"Coro")*(nASIG&lt;&gt;"Conjunto"),nNOTA)),""))</f>
        <v/>
      </c>
    </row>
    <row r="12" spans="1:23" ht="15" customHeight="1" x14ac:dyDescent="0.2">
      <c r="B12" t="str">
        <f>IF(A12="","",IFERROR(AVERAGEIFS(nNOTA,nNIA,A12,nEVAL,CONFIG_METADATA!$B$4,nASIG,"Lenguaje Musical"),""))</f>
        <v/>
      </c>
      <c r="C12" t="str">
        <f>IF(A12="","",IFERROR(AVERAGEIFS(nNOTA,nNIA,A12,nEVAL,CONFIG_METADATA!$B$4,nASIG,"Coro"),""))</f>
        <v/>
      </c>
      <c r="D12" t="str">
        <f>IF(A12="","",IFERROR(AVERAGEIFS(nNOTA,nNIA,A12,nEVAL,CONFIG_METADATA!$B$4,nASIG,"Conjunto"),""))</f>
        <v/>
      </c>
      <c r="E12" t="str" cm="1">
        <f t="array" ref="E12">IF(A12="","",IFERROR(AVERAGE(IF((nNIA=A12)*(nEVAL=CONFIG_METADATA!$B$4)*(nASIG&lt;&gt;"Lenguaje Musical")*(nASIG&lt;&gt;"Coro")*(nASIG&lt;&gt;"Conjunto"),nNOTA)),""))</f>
        <v/>
      </c>
      <c r="H12" t="str">
        <f>IF(G12="","",IFERROR(AVERAGEIFS(nNOTA,nNIA,G12,nEVAL,CONFIG_METADATA!$B$4,nASIG,"Lenguaje Musical"),""))</f>
        <v/>
      </c>
      <c r="I12" t="str">
        <f>IF(G12="","",IFERROR(AVERAGEIFS(nNOTA,nNIA,G12,nEVAL,CONFIG_METADATA!$B$4,nASIG,"Coro"),""))</f>
        <v/>
      </c>
      <c r="J12" t="str">
        <f>IF(G12="","",IFERROR(AVERAGEIFS(nNOTA,nNIA,G12,nEVAL,CONFIG_METADATA!$B$4,nASIG,"Conjunto"),""))</f>
        <v/>
      </c>
      <c r="K12" t="str" cm="1">
        <f t="array" ref="K12">IF(G12="","",IFERROR(AVERAGE(IF((nNIA=G12)*(nEVAL=CONFIG_METADATA!$B$4)*(nASIG&lt;&gt;"Lenguaje Musical")*(nASIG&lt;&gt;"Coro")*(nASIG&lt;&gt;"Conjunto"),nNOTA)),""))</f>
        <v/>
      </c>
      <c r="N12" t="str">
        <f>IF(M12="","",IFERROR(AVERAGEIFS(nNOTA,nNIA,M12,nEVAL,CONFIG_METADATA!$B$4,nASIG,"Lenguaje Musical"),""))</f>
        <v/>
      </c>
      <c r="O12" t="str">
        <f>IF(M12="","",IFERROR(AVERAGEIFS(nNOTA,nNIA,M12,nEVAL,CONFIG_METADATA!$B$4,nASIG,"Coro"),""))</f>
        <v/>
      </c>
      <c r="P12" t="str">
        <f>IF(M12="","",IFERROR(AVERAGEIFS(nNOTA,nNIA,M12,nEVAL,CONFIG_METADATA!$B$4,nASIG,"Conjunto"),""))</f>
        <v/>
      </c>
      <c r="Q12" t="str" cm="1">
        <f t="array" ref="Q12">IF(M12="","",IFERROR(AVERAGE(IF((nNIA=M12)*(nEVAL=CONFIG_METADATA!$B$4)*(nASIG&lt;&gt;"Lenguaje Musical")*(nASIG&lt;&gt;"Coro")*(nASIG&lt;&gt;"Conjunto"),nNOTA)),""))</f>
        <v/>
      </c>
      <c r="T12" t="str">
        <f>IF(S12="","",IFERROR(AVERAGEIFS(nNOTA,nNIA,S12,nEVAL,CONFIG_METADATA!$B$4,nASIG,"Lenguaje Musical"),""))</f>
        <v/>
      </c>
      <c r="U12" t="str">
        <f>IF(S12="","",IFERROR(AVERAGEIFS(nNOTA,nNIA,S12,nEVAL,CONFIG_METADATA!$B$4,nASIG,"Coro"),""))</f>
        <v/>
      </c>
      <c r="V12" t="str">
        <f>IF(S12="","",IFERROR(AVERAGEIFS(nNOTA,nNIA,S12,nEVAL,CONFIG_METADATA!$B$4,nASIG,"Conjunto"),""))</f>
        <v/>
      </c>
      <c r="W12" t="str" cm="1">
        <f t="array" ref="W12">IF(S12="","",IFERROR(AVERAGE(IF((nNIA=S12)*(nEVAL=CONFIG_METADATA!$B$4)*(nASIG&lt;&gt;"Lenguaje Musical")*(nASIG&lt;&gt;"Coro")*(nASIG&lt;&gt;"Conjunto"),nNOTA)),""))</f>
        <v/>
      </c>
    </row>
    <row r="13" spans="1:23" ht="15" customHeight="1" x14ac:dyDescent="0.2">
      <c r="B13" t="str">
        <f>IF(A13="","",IFERROR(AVERAGEIFS(nNOTA,nNIA,A13,nEVAL,CONFIG_METADATA!$B$4,nASIG,"Lenguaje Musical"),""))</f>
        <v/>
      </c>
      <c r="C13" t="str">
        <f>IF(A13="","",IFERROR(AVERAGEIFS(nNOTA,nNIA,A13,nEVAL,CONFIG_METADATA!$B$4,nASIG,"Coro"),""))</f>
        <v/>
      </c>
      <c r="D13" t="str">
        <f>IF(A13="","",IFERROR(AVERAGEIFS(nNOTA,nNIA,A13,nEVAL,CONFIG_METADATA!$B$4,nASIG,"Conjunto"),""))</f>
        <v/>
      </c>
      <c r="E13" t="str" cm="1">
        <f t="array" ref="E13">IF(A13="","",IFERROR(AVERAGE(IF((nNIA=A13)*(nEVAL=CONFIG_METADATA!$B$4)*(nASIG&lt;&gt;"Lenguaje Musical")*(nASIG&lt;&gt;"Coro")*(nASIG&lt;&gt;"Conjunto"),nNOTA)),""))</f>
        <v/>
      </c>
      <c r="H13" t="str">
        <f>IF(G13="","",IFERROR(AVERAGEIFS(nNOTA,nNIA,G13,nEVAL,CONFIG_METADATA!$B$4,nASIG,"Lenguaje Musical"),""))</f>
        <v/>
      </c>
      <c r="I13" t="str">
        <f>IF(G13="","",IFERROR(AVERAGEIFS(nNOTA,nNIA,G13,nEVAL,CONFIG_METADATA!$B$4,nASIG,"Coro"),""))</f>
        <v/>
      </c>
      <c r="J13" t="str">
        <f>IF(G13="","",IFERROR(AVERAGEIFS(nNOTA,nNIA,G13,nEVAL,CONFIG_METADATA!$B$4,nASIG,"Conjunto"),""))</f>
        <v/>
      </c>
      <c r="K13" t="str" cm="1">
        <f t="array" ref="K13">IF(G13="","",IFERROR(AVERAGE(IF((nNIA=G13)*(nEVAL=CONFIG_METADATA!$B$4)*(nASIG&lt;&gt;"Lenguaje Musical")*(nASIG&lt;&gt;"Coro")*(nASIG&lt;&gt;"Conjunto"),nNOTA)),""))</f>
        <v/>
      </c>
      <c r="N13" t="str">
        <f>IF(M13="","",IFERROR(AVERAGEIFS(nNOTA,nNIA,M13,nEVAL,CONFIG_METADATA!$B$4,nASIG,"Lenguaje Musical"),""))</f>
        <v/>
      </c>
      <c r="O13" t="str">
        <f>IF(M13="","",IFERROR(AVERAGEIFS(nNOTA,nNIA,M13,nEVAL,CONFIG_METADATA!$B$4,nASIG,"Coro"),""))</f>
        <v/>
      </c>
      <c r="P13" t="str">
        <f>IF(M13="","",IFERROR(AVERAGEIFS(nNOTA,nNIA,M13,nEVAL,CONFIG_METADATA!$B$4,nASIG,"Conjunto"),""))</f>
        <v/>
      </c>
      <c r="Q13" t="str" cm="1">
        <f t="array" ref="Q13">IF(M13="","",IFERROR(AVERAGE(IF((nNIA=M13)*(nEVAL=CONFIG_METADATA!$B$4)*(nASIG&lt;&gt;"Lenguaje Musical")*(nASIG&lt;&gt;"Coro")*(nASIG&lt;&gt;"Conjunto"),nNOTA)),""))</f>
        <v/>
      </c>
      <c r="T13" t="str">
        <f>IF(S13="","",IFERROR(AVERAGEIFS(nNOTA,nNIA,S13,nEVAL,CONFIG_METADATA!$B$4,nASIG,"Lenguaje Musical"),""))</f>
        <v/>
      </c>
      <c r="U13" t="str">
        <f>IF(S13="","",IFERROR(AVERAGEIFS(nNOTA,nNIA,S13,nEVAL,CONFIG_METADATA!$B$4,nASIG,"Coro"),""))</f>
        <v/>
      </c>
      <c r="V13" t="str">
        <f>IF(S13="","",IFERROR(AVERAGEIFS(nNOTA,nNIA,S13,nEVAL,CONFIG_METADATA!$B$4,nASIG,"Conjunto"),""))</f>
        <v/>
      </c>
      <c r="W13" t="str" cm="1">
        <f t="array" ref="W13">IF(S13="","",IFERROR(AVERAGE(IF((nNIA=S13)*(nEVAL=CONFIG_METADATA!$B$4)*(nASIG&lt;&gt;"Lenguaje Musical")*(nASIG&lt;&gt;"Coro")*(nASIG&lt;&gt;"Conjunto"),nNOTA)),""))</f>
        <v/>
      </c>
    </row>
    <row r="14" spans="1:23" ht="15" customHeight="1" x14ac:dyDescent="0.2">
      <c r="B14" t="str">
        <f>IF(A14="","",IFERROR(AVERAGEIFS(nNOTA,nNIA,A14,nEVAL,CONFIG_METADATA!$B$4,nASIG,"Lenguaje Musical"),""))</f>
        <v/>
      </c>
      <c r="C14" t="str">
        <f>IF(A14="","",IFERROR(AVERAGEIFS(nNOTA,nNIA,A14,nEVAL,CONFIG_METADATA!$B$4,nASIG,"Coro"),""))</f>
        <v/>
      </c>
      <c r="D14" t="str">
        <f>IF(A14="","",IFERROR(AVERAGEIFS(nNOTA,nNIA,A14,nEVAL,CONFIG_METADATA!$B$4,nASIG,"Conjunto"),""))</f>
        <v/>
      </c>
      <c r="E14" t="str" cm="1">
        <f t="array" ref="E14">IF(A14="","",IFERROR(AVERAGE(IF((nNIA=A14)*(nEVAL=CONFIG_METADATA!$B$4)*(nASIG&lt;&gt;"Lenguaje Musical")*(nASIG&lt;&gt;"Coro")*(nASIG&lt;&gt;"Conjunto"),nNOTA)),""))</f>
        <v/>
      </c>
      <c r="H14" t="str">
        <f>IF(G14="","",IFERROR(AVERAGEIFS(nNOTA,nNIA,G14,nEVAL,CONFIG_METADATA!$B$4,nASIG,"Lenguaje Musical"),""))</f>
        <v/>
      </c>
      <c r="I14" t="str">
        <f>IF(G14="","",IFERROR(AVERAGEIFS(nNOTA,nNIA,G14,nEVAL,CONFIG_METADATA!$B$4,nASIG,"Coro"),""))</f>
        <v/>
      </c>
      <c r="J14" t="str">
        <f>IF(G14="","",IFERROR(AVERAGEIFS(nNOTA,nNIA,G14,nEVAL,CONFIG_METADATA!$B$4,nASIG,"Conjunto"),""))</f>
        <v/>
      </c>
      <c r="K14" t="str" cm="1">
        <f t="array" ref="K14">IF(G14="","",IFERROR(AVERAGE(IF((nNIA=G14)*(nEVAL=CONFIG_METADATA!$B$4)*(nASIG&lt;&gt;"Lenguaje Musical")*(nASIG&lt;&gt;"Coro")*(nASIG&lt;&gt;"Conjunto"),nNOTA)),""))</f>
        <v/>
      </c>
      <c r="N14" t="str">
        <f>IF(M14="","",IFERROR(AVERAGEIFS(nNOTA,nNIA,M14,nEVAL,CONFIG_METADATA!$B$4,nASIG,"Lenguaje Musical"),""))</f>
        <v/>
      </c>
      <c r="O14" t="str">
        <f>IF(M14="","",IFERROR(AVERAGEIFS(nNOTA,nNIA,M14,nEVAL,CONFIG_METADATA!$B$4,nASIG,"Coro"),""))</f>
        <v/>
      </c>
      <c r="P14" t="str">
        <f>IF(M14="","",IFERROR(AVERAGEIFS(nNOTA,nNIA,M14,nEVAL,CONFIG_METADATA!$B$4,nASIG,"Conjunto"),""))</f>
        <v/>
      </c>
      <c r="Q14" t="str" cm="1">
        <f t="array" ref="Q14">IF(M14="","",IFERROR(AVERAGE(IF((nNIA=M14)*(nEVAL=CONFIG_METADATA!$B$4)*(nASIG&lt;&gt;"Lenguaje Musical")*(nASIG&lt;&gt;"Coro")*(nASIG&lt;&gt;"Conjunto"),nNOTA)),""))</f>
        <v/>
      </c>
      <c r="T14" t="str">
        <f>IF(S14="","",IFERROR(AVERAGEIFS(nNOTA,nNIA,S14,nEVAL,CONFIG_METADATA!$B$4,nASIG,"Lenguaje Musical"),""))</f>
        <v/>
      </c>
      <c r="U14" t="str">
        <f>IF(S14="","",IFERROR(AVERAGEIFS(nNOTA,nNIA,S14,nEVAL,CONFIG_METADATA!$B$4,nASIG,"Coro"),""))</f>
        <v/>
      </c>
      <c r="V14" t="str">
        <f>IF(S14="","",IFERROR(AVERAGEIFS(nNOTA,nNIA,S14,nEVAL,CONFIG_METADATA!$B$4,nASIG,"Conjunto"),""))</f>
        <v/>
      </c>
      <c r="W14" t="str" cm="1">
        <f t="array" ref="W14">IF(S14="","",IFERROR(AVERAGE(IF((nNIA=S14)*(nEVAL=CONFIG_METADATA!$B$4)*(nASIG&lt;&gt;"Lenguaje Musical")*(nASIG&lt;&gt;"Coro")*(nASIG&lt;&gt;"Conjunto"),nNOTA)),""))</f>
        <v/>
      </c>
    </row>
    <row r="15" spans="1:23" ht="15" customHeight="1" x14ac:dyDescent="0.2">
      <c r="B15" t="str">
        <f>IF(A15="","",IFERROR(AVERAGEIFS(nNOTA,nNIA,A15,nEVAL,CONFIG_METADATA!$B$4,nASIG,"Lenguaje Musical"),""))</f>
        <v/>
      </c>
      <c r="C15" t="str">
        <f>IF(A15="","",IFERROR(AVERAGEIFS(nNOTA,nNIA,A15,nEVAL,CONFIG_METADATA!$B$4,nASIG,"Coro"),""))</f>
        <v/>
      </c>
      <c r="D15" t="str">
        <f>IF(A15="","",IFERROR(AVERAGEIFS(nNOTA,nNIA,A15,nEVAL,CONFIG_METADATA!$B$4,nASIG,"Conjunto"),""))</f>
        <v/>
      </c>
      <c r="E15" t="str" cm="1">
        <f t="array" ref="E15">IF(A15="","",IFERROR(AVERAGE(IF((nNIA=A15)*(nEVAL=CONFIG_METADATA!$B$4)*(nASIG&lt;&gt;"Lenguaje Musical")*(nASIG&lt;&gt;"Coro")*(nASIG&lt;&gt;"Conjunto"),nNOTA)),""))</f>
        <v/>
      </c>
      <c r="H15" t="str">
        <f>IF(G15="","",IFERROR(AVERAGEIFS(nNOTA,nNIA,G15,nEVAL,CONFIG_METADATA!$B$4,nASIG,"Lenguaje Musical"),""))</f>
        <v/>
      </c>
      <c r="I15" t="str">
        <f>IF(G15="","",IFERROR(AVERAGEIFS(nNOTA,nNIA,G15,nEVAL,CONFIG_METADATA!$B$4,nASIG,"Coro"),""))</f>
        <v/>
      </c>
      <c r="J15" t="str">
        <f>IF(G15="","",IFERROR(AVERAGEIFS(nNOTA,nNIA,G15,nEVAL,CONFIG_METADATA!$B$4,nASIG,"Conjunto"),""))</f>
        <v/>
      </c>
      <c r="K15" t="str" cm="1">
        <f t="array" ref="K15">IF(G15="","",IFERROR(AVERAGE(IF((nNIA=G15)*(nEVAL=CONFIG_METADATA!$B$4)*(nASIG&lt;&gt;"Lenguaje Musical")*(nASIG&lt;&gt;"Coro")*(nASIG&lt;&gt;"Conjunto"),nNOTA)),""))</f>
        <v/>
      </c>
      <c r="N15" t="str">
        <f>IF(M15="","",IFERROR(AVERAGEIFS(nNOTA,nNIA,M15,nEVAL,CONFIG_METADATA!$B$4,nASIG,"Lenguaje Musical"),""))</f>
        <v/>
      </c>
      <c r="O15" t="str">
        <f>IF(M15="","",IFERROR(AVERAGEIFS(nNOTA,nNIA,M15,nEVAL,CONFIG_METADATA!$B$4,nASIG,"Coro"),""))</f>
        <v/>
      </c>
      <c r="P15" t="str">
        <f>IF(M15="","",IFERROR(AVERAGEIFS(nNOTA,nNIA,M15,nEVAL,CONFIG_METADATA!$B$4,nASIG,"Conjunto"),""))</f>
        <v/>
      </c>
      <c r="Q15" t="str" cm="1">
        <f t="array" ref="Q15">IF(M15="","",IFERROR(AVERAGE(IF((nNIA=M15)*(nEVAL=CONFIG_METADATA!$B$4)*(nASIG&lt;&gt;"Lenguaje Musical")*(nASIG&lt;&gt;"Coro")*(nASIG&lt;&gt;"Conjunto"),nNOTA)),""))</f>
        <v/>
      </c>
      <c r="T15" t="str">
        <f>IF(S15="","",IFERROR(AVERAGEIFS(nNOTA,nNIA,S15,nEVAL,CONFIG_METADATA!$B$4,nASIG,"Lenguaje Musical"),""))</f>
        <v/>
      </c>
      <c r="U15" t="str">
        <f>IF(S15="","",IFERROR(AVERAGEIFS(nNOTA,nNIA,S15,nEVAL,CONFIG_METADATA!$B$4,nASIG,"Coro"),""))</f>
        <v/>
      </c>
      <c r="V15" t="str">
        <f>IF(S15="","",IFERROR(AVERAGEIFS(nNOTA,nNIA,S15,nEVAL,CONFIG_METADATA!$B$4,nASIG,"Conjunto"),""))</f>
        <v/>
      </c>
      <c r="W15" t="str" cm="1">
        <f t="array" ref="W15">IF(S15="","",IFERROR(AVERAGE(IF((nNIA=S15)*(nEVAL=CONFIG_METADATA!$B$4)*(nASIG&lt;&gt;"Lenguaje Musical")*(nASIG&lt;&gt;"Coro")*(nASIG&lt;&gt;"Conjunto"),nNOTA)),""))</f>
        <v/>
      </c>
    </row>
    <row r="16" spans="1:23" ht="15" customHeight="1" x14ac:dyDescent="0.2">
      <c r="B16" t="str">
        <f>IF(A16="","",IFERROR(AVERAGEIFS(nNOTA,nNIA,A16,nEVAL,CONFIG_METADATA!$B$4,nASIG,"Lenguaje Musical"),""))</f>
        <v/>
      </c>
      <c r="C16" t="str">
        <f>IF(A16="","",IFERROR(AVERAGEIFS(nNOTA,nNIA,A16,nEVAL,CONFIG_METADATA!$B$4,nASIG,"Coro"),""))</f>
        <v/>
      </c>
      <c r="D16" t="str">
        <f>IF(A16="","",IFERROR(AVERAGEIFS(nNOTA,nNIA,A16,nEVAL,CONFIG_METADATA!$B$4,nASIG,"Conjunto"),""))</f>
        <v/>
      </c>
      <c r="E16" t="str" cm="1">
        <f t="array" ref="E16">IF(A16="","",IFERROR(AVERAGE(IF((nNIA=A16)*(nEVAL=CONFIG_METADATA!$B$4)*(nASIG&lt;&gt;"Lenguaje Musical")*(nASIG&lt;&gt;"Coro")*(nASIG&lt;&gt;"Conjunto"),nNOTA)),""))</f>
        <v/>
      </c>
      <c r="H16" t="str">
        <f>IF(G16="","",IFERROR(AVERAGEIFS(nNOTA,nNIA,G16,nEVAL,CONFIG_METADATA!$B$4,nASIG,"Lenguaje Musical"),""))</f>
        <v/>
      </c>
      <c r="I16" t="str">
        <f>IF(G16="","",IFERROR(AVERAGEIFS(nNOTA,nNIA,G16,nEVAL,CONFIG_METADATA!$B$4,nASIG,"Coro"),""))</f>
        <v/>
      </c>
      <c r="J16" t="str">
        <f>IF(G16="","",IFERROR(AVERAGEIFS(nNOTA,nNIA,G16,nEVAL,CONFIG_METADATA!$B$4,nASIG,"Conjunto"),""))</f>
        <v/>
      </c>
      <c r="K16" t="str" cm="1">
        <f t="array" ref="K16">IF(G16="","",IFERROR(AVERAGE(IF((nNIA=G16)*(nEVAL=CONFIG_METADATA!$B$4)*(nASIG&lt;&gt;"Lenguaje Musical")*(nASIG&lt;&gt;"Coro")*(nASIG&lt;&gt;"Conjunto"),nNOTA)),""))</f>
        <v/>
      </c>
      <c r="N16" t="str">
        <f>IF(M16="","",IFERROR(AVERAGEIFS(nNOTA,nNIA,M16,nEVAL,CONFIG_METADATA!$B$4,nASIG,"Lenguaje Musical"),""))</f>
        <v/>
      </c>
      <c r="O16" t="str">
        <f>IF(M16="","",IFERROR(AVERAGEIFS(nNOTA,nNIA,M16,nEVAL,CONFIG_METADATA!$B$4,nASIG,"Coro"),""))</f>
        <v/>
      </c>
      <c r="P16" t="str">
        <f>IF(M16="","",IFERROR(AVERAGEIFS(nNOTA,nNIA,M16,nEVAL,CONFIG_METADATA!$B$4,nASIG,"Conjunto"),""))</f>
        <v/>
      </c>
      <c r="Q16" t="str" cm="1">
        <f t="array" ref="Q16">IF(M16="","",IFERROR(AVERAGE(IF((nNIA=M16)*(nEVAL=CONFIG_METADATA!$B$4)*(nASIG&lt;&gt;"Lenguaje Musical")*(nASIG&lt;&gt;"Coro")*(nASIG&lt;&gt;"Conjunto"),nNOTA)),""))</f>
        <v/>
      </c>
      <c r="T16" t="str">
        <f>IF(S16="","",IFERROR(AVERAGEIFS(nNOTA,nNIA,S16,nEVAL,CONFIG_METADATA!$B$4,nASIG,"Lenguaje Musical"),""))</f>
        <v/>
      </c>
      <c r="U16" t="str">
        <f>IF(S16="","",IFERROR(AVERAGEIFS(nNOTA,nNIA,S16,nEVAL,CONFIG_METADATA!$B$4,nASIG,"Coro"),""))</f>
        <v/>
      </c>
      <c r="V16" t="str">
        <f>IF(S16="","",IFERROR(AVERAGEIFS(nNOTA,nNIA,S16,nEVAL,CONFIG_METADATA!$B$4,nASIG,"Conjunto"),""))</f>
        <v/>
      </c>
      <c r="W16" t="str" cm="1">
        <f t="array" ref="W16">IF(S16="","",IFERROR(AVERAGE(IF((nNIA=S16)*(nEVAL=CONFIG_METADATA!$B$4)*(nASIG&lt;&gt;"Lenguaje Musical")*(nASIG&lt;&gt;"Coro")*(nASIG&lt;&gt;"Conjunto"),nNOTA)),""))</f>
        <v/>
      </c>
    </row>
    <row r="17" spans="2:23" ht="15" customHeight="1" x14ac:dyDescent="0.2">
      <c r="B17" t="str">
        <f>IF(A17="","",IFERROR(AVERAGEIFS(nNOTA,nNIA,A17,nEVAL,CONFIG_METADATA!$B$4,nASIG,"Lenguaje Musical"),""))</f>
        <v/>
      </c>
      <c r="C17" t="str">
        <f>IF(A17="","",IFERROR(AVERAGEIFS(nNOTA,nNIA,A17,nEVAL,CONFIG_METADATA!$B$4,nASIG,"Coro"),""))</f>
        <v/>
      </c>
      <c r="D17" t="str">
        <f>IF(A17="","",IFERROR(AVERAGEIFS(nNOTA,nNIA,A17,nEVAL,CONFIG_METADATA!$B$4,nASIG,"Conjunto"),""))</f>
        <v/>
      </c>
      <c r="E17" t="str" cm="1">
        <f t="array" ref="E17">IF(A17="","",IFERROR(AVERAGE(IF((nNIA=A17)*(nEVAL=CONFIG_METADATA!$B$4)*(nASIG&lt;&gt;"Lenguaje Musical")*(nASIG&lt;&gt;"Coro")*(nASIG&lt;&gt;"Conjunto"),nNOTA)),""))</f>
        <v/>
      </c>
      <c r="H17" t="str">
        <f>IF(G17="","",IFERROR(AVERAGEIFS(nNOTA,nNIA,G17,nEVAL,CONFIG_METADATA!$B$4,nASIG,"Lenguaje Musical"),""))</f>
        <v/>
      </c>
      <c r="I17" t="str">
        <f>IF(G17="","",IFERROR(AVERAGEIFS(nNOTA,nNIA,G17,nEVAL,CONFIG_METADATA!$B$4,nASIG,"Coro"),""))</f>
        <v/>
      </c>
      <c r="J17" t="str">
        <f>IF(G17="","",IFERROR(AVERAGEIFS(nNOTA,nNIA,G17,nEVAL,CONFIG_METADATA!$B$4,nASIG,"Conjunto"),""))</f>
        <v/>
      </c>
      <c r="K17" t="str" cm="1">
        <f t="array" ref="K17">IF(G17="","",IFERROR(AVERAGE(IF((nNIA=G17)*(nEVAL=CONFIG_METADATA!$B$4)*(nASIG&lt;&gt;"Lenguaje Musical")*(nASIG&lt;&gt;"Coro")*(nASIG&lt;&gt;"Conjunto"),nNOTA)),""))</f>
        <v/>
      </c>
      <c r="N17" t="str">
        <f>IF(M17="","",IFERROR(AVERAGEIFS(nNOTA,nNIA,M17,nEVAL,CONFIG_METADATA!$B$4,nASIG,"Lenguaje Musical"),""))</f>
        <v/>
      </c>
      <c r="O17" t="str">
        <f>IF(M17="","",IFERROR(AVERAGEIFS(nNOTA,nNIA,M17,nEVAL,CONFIG_METADATA!$B$4,nASIG,"Coro"),""))</f>
        <v/>
      </c>
      <c r="P17" t="str">
        <f>IF(M17="","",IFERROR(AVERAGEIFS(nNOTA,nNIA,M17,nEVAL,CONFIG_METADATA!$B$4,nASIG,"Conjunto"),""))</f>
        <v/>
      </c>
      <c r="Q17" t="str" cm="1">
        <f t="array" ref="Q17">IF(M17="","",IFERROR(AVERAGE(IF((nNIA=M17)*(nEVAL=CONFIG_METADATA!$B$4)*(nASIG&lt;&gt;"Lenguaje Musical")*(nASIG&lt;&gt;"Coro")*(nASIG&lt;&gt;"Conjunto"),nNOTA)),""))</f>
        <v/>
      </c>
      <c r="T17" t="str">
        <f>IF(S17="","",IFERROR(AVERAGEIFS(nNOTA,nNIA,S17,nEVAL,CONFIG_METADATA!$B$4,nASIG,"Lenguaje Musical"),""))</f>
        <v/>
      </c>
      <c r="U17" t="str">
        <f>IF(S17="","",IFERROR(AVERAGEIFS(nNOTA,nNIA,S17,nEVAL,CONFIG_METADATA!$B$4,nASIG,"Coro"),""))</f>
        <v/>
      </c>
      <c r="V17" t="str">
        <f>IF(S17="","",IFERROR(AVERAGEIFS(nNOTA,nNIA,S17,nEVAL,CONFIG_METADATA!$B$4,nASIG,"Conjunto"),""))</f>
        <v/>
      </c>
      <c r="W17" t="str" cm="1">
        <f t="array" ref="W17">IF(S17="","",IFERROR(AVERAGE(IF((nNIA=S17)*(nEVAL=CONFIG_METADATA!$B$4)*(nASIG&lt;&gt;"Lenguaje Musical")*(nASIG&lt;&gt;"Coro")*(nASIG&lt;&gt;"Conjunto"),nNOTA)),""))</f>
        <v/>
      </c>
    </row>
    <row r="18" spans="2:23" ht="15" customHeight="1" x14ac:dyDescent="0.2">
      <c r="B18" t="str">
        <f>IF(A18="","",IFERROR(AVERAGEIFS(nNOTA,nNIA,A18,nEVAL,CONFIG_METADATA!$B$4,nASIG,"Lenguaje Musical"),""))</f>
        <v/>
      </c>
      <c r="C18" t="str">
        <f>IF(A18="","",IFERROR(AVERAGEIFS(nNOTA,nNIA,A18,nEVAL,CONFIG_METADATA!$B$4,nASIG,"Coro"),""))</f>
        <v/>
      </c>
      <c r="D18" t="str">
        <f>IF(A18="","",IFERROR(AVERAGEIFS(nNOTA,nNIA,A18,nEVAL,CONFIG_METADATA!$B$4,nASIG,"Conjunto"),""))</f>
        <v/>
      </c>
      <c r="E18" t="str" cm="1">
        <f t="array" ref="E18">IF(A18="","",IFERROR(AVERAGE(IF((nNIA=A18)*(nEVAL=CONFIG_METADATA!$B$4)*(nASIG&lt;&gt;"Lenguaje Musical")*(nASIG&lt;&gt;"Coro")*(nASIG&lt;&gt;"Conjunto"),nNOTA)),""))</f>
        <v/>
      </c>
      <c r="H18" t="str">
        <f>IF(G18="","",IFERROR(AVERAGEIFS(nNOTA,nNIA,G18,nEVAL,CONFIG_METADATA!$B$4,nASIG,"Lenguaje Musical"),""))</f>
        <v/>
      </c>
      <c r="I18" t="str">
        <f>IF(G18="","",IFERROR(AVERAGEIFS(nNOTA,nNIA,G18,nEVAL,CONFIG_METADATA!$B$4,nASIG,"Coro"),""))</f>
        <v/>
      </c>
      <c r="J18" t="str">
        <f>IF(G18="","",IFERROR(AVERAGEIFS(nNOTA,nNIA,G18,nEVAL,CONFIG_METADATA!$B$4,nASIG,"Conjunto"),""))</f>
        <v/>
      </c>
      <c r="K18" t="str" cm="1">
        <f t="array" ref="K18">IF(G18="","",IFERROR(AVERAGE(IF((nNIA=G18)*(nEVAL=CONFIG_METADATA!$B$4)*(nASIG&lt;&gt;"Lenguaje Musical")*(nASIG&lt;&gt;"Coro")*(nASIG&lt;&gt;"Conjunto"),nNOTA)),""))</f>
        <v/>
      </c>
      <c r="N18" t="str">
        <f>IF(M18="","",IFERROR(AVERAGEIFS(nNOTA,nNIA,M18,nEVAL,CONFIG_METADATA!$B$4,nASIG,"Lenguaje Musical"),""))</f>
        <v/>
      </c>
      <c r="O18" t="str">
        <f>IF(M18="","",IFERROR(AVERAGEIFS(nNOTA,nNIA,M18,nEVAL,CONFIG_METADATA!$B$4,nASIG,"Coro"),""))</f>
        <v/>
      </c>
      <c r="P18" t="str">
        <f>IF(M18="","",IFERROR(AVERAGEIFS(nNOTA,nNIA,M18,nEVAL,CONFIG_METADATA!$B$4,nASIG,"Conjunto"),""))</f>
        <v/>
      </c>
      <c r="Q18" t="str" cm="1">
        <f t="array" ref="Q18">IF(M18="","",IFERROR(AVERAGE(IF((nNIA=M18)*(nEVAL=CONFIG_METADATA!$B$4)*(nASIG&lt;&gt;"Lenguaje Musical")*(nASIG&lt;&gt;"Coro")*(nASIG&lt;&gt;"Conjunto"),nNOTA)),""))</f>
        <v/>
      </c>
      <c r="T18" t="str">
        <f>IF(S18="","",IFERROR(AVERAGEIFS(nNOTA,nNIA,S18,nEVAL,CONFIG_METADATA!$B$4,nASIG,"Lenguaje Musical"),""))</f>
        <v/>
      </c>
      <c r="U18" t="str">
        <f>IF(S18="","",IFERROR(AVERAGEIFS(nNOTA,nNIA,S18,nEVAL,CONFIG_METADATA!$B$4,nASIG,"Coro"),""))</f>
        <v/>
      </c>
      <c r="V18" t="str">
        <f>IF(S18="","",IFERROR(AVERAGEIFS(nNOTA,nNIA,S18,nEVAL,CONFIG_METADATA!$B$4,nASIG,"Conjunto"),""))</f>
        <v/>
      </c>
      <c r="W18" t="str" cm="1">
        <f t="array" ref="W18">IF(S18="","",IFERROR(AVERAGE(IF((nNIA=S18)*(nEVAL=CONFIG_METADATA!$B$4)*(nASIG&lt;&gt;"Lenguaje Musical")*(nASIG&lt;&gt;"Coro")*(nASIG&lt;&gt;"Conjunto"),nNOTA)),""))</f>
        <v/>
      </c>
    </row>
    <row r="19" spans="2:23" ht="15" customHeight="1" x14ac:dyDescent="0.2">
      <c r="B19" t="str">
        <f>IF(A19="","",IFERROR(AVERAGEIFS(nNOTA,nNIA,A19,nEVAL,CONFIG_METADATA!$B$4,nASIG,"Lenguaje Musical"),""))</f>
        <v/>
      </c>
      <c r="C19" t="str">
        <f>IF(A19="","",IFERROR(AVERAGEIFS(nNOTA,nNIA,A19,nEVAL,CONFIG_METADATA!$B$4,nASIG,"Coro"),""))</f>
        <v/>
      </c>
      <c r="D19" t="str">
        <f>IF(A19="","",IFERROR(AVERAGEIFS(nNOTA,nNIA,A19,nEVAL,CONFIG_METADATA!$B$4,nASIG,"Conjunto"),""))</f>
        <v/>
      </c>
      <c r="E19" t="str" cm="1">
        <f t="array" ref="E19">IF(A19="","",IFERROR(AVERAGE(IF((nNIA=A19)*(nEVAL=CONFIG_METADATA!$B$4)*(nASIG&lt;&gt;"Lenguaje Musical")*(nASIG&lt;&gt;"Coro")*(nASIG&lt;&gt;"Conjunto"),nNOTA)),""))</f>
        <v/>
      </c>
      <c r="H19" t="str">
        <f>IF(G19="","",IFERROR(AVERAGEIFS(nNOTA,nNIA,G19,nEVAL,CONFIG_METADATA!$B$4,nASIG,"Lenguaje Musical"),""))</f>
        <v/>
      </c>
      <c r="I19" t="str">
        <f>IF(G19="","",IFERROR(AVERAGEIFS(nNOTA,nNIA,G19,nEVAL,CONFIG_METADATA!$B$4,nASIG,"Coro"),""))</f>
        <v/>
      </c>
      <c r="J19" t="str">
        <f>IF(G19="","",IFERROR(AVERAGEIFS(nNOTA,nNIA,G19,nEVAL,CONFIG_METADATA!$B$4,nASIG,"Conjunto"),""))</f>
        <v/>
      </c>
      <c r="K19" t="str" cm="1">
        <f t="array" ref="K19">IF(G19="","",IFERROR(AVERAGE(IF((nNIA=G19)*(nEVAL=CONFIG_METADATA!$B$4)*(nASIG&lt;&gt;"Lenguaje Musical")*(nASIG&lt;&gt;"Coro")*(nASIG&lt;&gt;"Conjunto"),nNOTA)),""))</f>
        <v/>
      </c>
      <c r="N19" t="str">
        <f>IF(M19="","",IFERROR(AVERAGEIFS(nNOTA,nNIA,M19,nEVAL,CONFIG_METADATA!$B$4,nASIG,"Lenguaje Musical"),""))</f>
        <v/>
      </c>
      <c r="O19" t="str">
        <f>IF(M19="","",IFERROR(AVERAGEIFS(nNOTA,nNIA,M19,nEVAL,CONFIG_METADATA!$B$4,nASIG,"Coro"),""))</f>
        <v/>
      </c>
      <c r="P19" t="str">
        <f>IF(M19="","",IFERROR(AVERAGEIFS(nNOTA,nNIA,M19,nEVAL,CONFIG_METADATA!$B$4,nASIG,"Conjunto"),""))</f>
        <v/>
      </c>
      <c r="Q19" t="str" cm="1">
        <f t="array" ref="Q19">IF(M19="","",IFERROR(AVERAGE(IF((nNIA=M19)*(nEVAL=CONFIG_METADATA!$B$4)*(nASIG&lt;&gt;"Lenguaje Musical")*(nASIG&lt;&gt;"Coro")*(nASIG&lt;&gt;"Conjunto"),nNOTA)),""))</f>
        <v/>
      </c>
      <c r="T19" t="str">
        <f>IF(S19="","",IFERROR(AVERAGEIFS(nNOTA,nNIA,S19,nEVAL,CONFIG_METADATA!$B$4,nASIG,"Lenguaje Musical"),""))</f>
        <v/>
      </c>
      <c r="U19" t="str">
        <f>IF(S19="","",IFERROR(AVERAGEIFS(nNOTA,nNIA,S19,nEVAL,CONFIG_METADATA!$B$4,nASIG,"Coro"),""))</f>
        <v/>
      </c>
      <c r="V19" t="str">
        <f>IF(S19="","",IFERROR(AVERAGEIFS(nNOTA,nNIA,S19,nEVAL,CONFIG_METADATA!$B$4,nASIG,"Conjunto"),""))</f>
        <v/>
      </c>
      <c r="W19" t="str" cm="1">
        <f t="array" ref="W19">IF(S19="","",IFERROR(AVERAGE(IF((nNIA=S19)*(nEVAL=CONFIG_METADATA!$B$4)*(nASIG&lt;&gt;"Lenguaje Musical")*(nASIG&lt;&gt;"Coro")*(nASIG&lt;&gt;"Conjunto"),nNOTA)),""))</f>
        <v/>
      </c>
    </row>
    <row r="20" spans="2:23" ht="15" customHeight="1" x14ac:dyDescent="0.2">
      <c r="B20" t="str">
        <f>IF(A20="","",IFERROR(AVERAGEIFS(nNOTA,nNIA,A20,nEVAL,CONFIG_METADATA!$B$4,nASIG,"Lenguaje Musical"),""))</f>
        <v/>
      </c>
      <c r="C20" t="str">
        <f>IF(A20="","",IFERROR(AVERAGEIFS(nNOTA,nNIA,A20,nEVAL,CONFIG_METADATA!$B$4,nASIG,"Coro"),""))</f>
        <v/>
      </c>
      <c r="D20" t="str">
        <f>IF(A20="","",IFERROR(AVERAGEIFS(nNOTA,nNIA,A20,nEVAL,CONFIG_METADATA!$B$4,nASIG,"Conjunto"),""))</f>
        <v/>
      </c>
      <c r="E20" t="str" cm="1">
        <f t="array" ref="E20">IF(A20="","",IFERROR(AVERAGE(IF((nNIA=A20)*(nEVAL=CONFIG_METADATA!$B$4)*(nASIG&lt;&gt;"Lenguaje Musical")*(nASIG&lt;&gt;"Coro")*(nASIG&lt;&gt;"Conjunto"),nNOTA)),""))</f>
        <v/>
      </c>
      <c r="H20" t="str">
        <f>IF(G20="","",IFERROR(AVERAGEIFS(nNOTA,nNIA,G20,nEVAL,CONFIG_METADATA!$B$4,nASIG,"Lenguaje Musical"),""))</f>
        <v/>
      </c>
      <c r="I20" t="str">
        <f>IF(G20="","",IFERROR(AVERAGEIFS(nNOTA,nNIA,G20,nEVAL,CONFIG_METADATA!$B$4,nASIG,"Coro"),""))</f>
        <v/>
      </c>
      <c r="J20" t="str">
        <f>IF(G20="","",IFERROR(AVERAGEIFS(nNOTA,nNIA,G20,nEVAL,CONFIG_METADATA!$B$4,nASIG,"Conjunto"),""))</f>
        <v/>
      </c>
      <c r="K20" t="str" cm="1">
        <f t="array" ref="K20">IF(G20="","",IFERROR(AVERAGE(IF((nNIA=G20)*(nEVAL=CONFIG_METADATA!$B$4)*(nASIG&lt;&gt;"Lenguaje Musical")*(nASIG&lt;&gt;"Coro")*(nASIG&lt;&gt;"Conjunto"),nNOTA)),""))</f>
        <v/>
      </c>
      <c r="N20" t="str">
        <f>IF(M20="","",IFERROR(AVERAGEIFS(nNOTA,nNIA,M20,nEVAL,CONFIG_METADATA!$B$4,nASIG,"Lenguaje Musical"),""))</f>
        <v/>
      </c>
      <c r="O20" t="str">
        <f>IF(M20="","",IFERROR(AVERAGEIFS(nNOTA,nNIA,M20,nEVAL,CONFIG_METADATA!$B$4,nASIG,"Coro"),""))</f>
        <v/>
      </c>
      <c r="P20" t="str">
        <f>IF(M20="","",IFERROR(AVERAGEIFS(nNOTA,nNIA,M20,nEVAL,CONFIG_METADATA!$B$4,nASIG,"Conjunto"),""))</f>
        <v/>
      </c>
      <c r="Q20" t="str" cm="1">
        <f t="array" ref="Q20">IF(M20="","",IFERROR(AVERAGE(IF((nNIA=M20)*(nEVAL=CONFIG_METADATA!$B$4)*(nASIG&lt;&gt;"Lenguaje Musical")*(nASIG&lt;&gt;"Coro")*(nASIG&lt;&gt;"Conjunto"),nNOTA)),""))</f>
        <v/>
      </c>
      <c r="T20" t="str">
        <f>IF(S20="","",IFERROR(AVERAGEIFS(nNOTA,nNIA,S20,nEVAL,CONFIG_METADATA!$B$4,nASIG,"Lenguaje Musical"),""))</f>
        <v/>
      </c>
      <c r="U20" t="str">
        <f>IF(S20="","",IFERROR(AVERAGEIFS(nNOTA,nNIA,S20,nEVAL,CONFIG_METADATA!$B$4,nASIG,"Coro"),""))</f>
        <v/>
      </c>
      <c r="V20" t="str">
        <f>IF(S20="","",IFERROR(AVERAGEIFS(nNOTA,nNIA,S20,nEVAL,CONFIG_METADATA!$B$4,nASIG,"Conjunto"),""))</f>
        <v/>
      </c>
      <c r="W20" t="str" cm="1">
        <f t="array" ref="W20">IF(S20="","",IFERROR(AVERAGE(IF((nNIA=S20)*(nEVAL=CONFIG_METADATA!$B$4)*(nASIG&lt;&gt;"Lenguaje Musical")*(nASIG&lt;&gt;"Coro")*(nASIG&lt;&gt;"Conjunto"),nNOTA)),""))</f>
        <v/>
      </c>
    </row>
    <row r="21" spans="2:23" ht="15" customHeight="1" x14ac:dyDescent="0.2">
      <c r="B21" t="str">
        <f>IF(A21="","",IFERROR(AVERAGEIFS(nNOTA,nNIA,A21,nEVAL,CONFIG_METADATA!$B$4,nASIG,"Lenguaje Musical"),""))</f>
        <v/>
      </c>
      <c r="C21" t="str">
        <f>IF(A21="","",IFERROR(AVERAGEIFS(nNOTA,nNIA,A21,nEVAL,CONFIG_METADATA!$B$4,nASIG,"Coro"),""))</f>
        <v/>
      </c>
      <c r="D21" t="str">
        <f>IF(A21="","",IFERROR(AVERAGEIFS(nNOTA,nNIA,A21,nEVAL,CONFIG_METADATA!$B$4,nASIG,"Conjunto"),""))</f>
        <v/>
      </c>
      <c r="E21" t="str" cm="1">
        <f t="array" ref="E21">IF(A21="","",IFERROR(AVERAGE(IF((nNIA=A21)*(nEVAL=CONFIG_METADATA!$B$4)*(nASIG&lt;&gt;"Lenguaje Musical")*(nASIG&lt;&gt;"Coro")*(nASIG&lt;&gt;"Conjunto"),nNOTA)),""))</f>
        <v/>
      </c>
      <c r="H21" t="str">
        <f>IF(G21="","",IFERROR(AVERAGEIFS(nNOTA,nNIA,G21,nEVAL,CONFIG_METADATA!$B$4,nASIG,"Lenguaje Musical"),""))</f>
        <v/>
      </c>
      <c r="I21" t="str">
        <f>IF(G21="","",IFERROR(AVERAGEIFS(nNOTA,nNIA,G21,nEVAL,CONFIG_METADATA!$B$4,nASIG,"Coro"),""))</f>
        <v/>
      </c>
      <c r="J21" t="str">
        <f>IF(G21="","",IFERROR(AVERAGEIFS(nNOTA,nNIA,G21,nEVAL,CONFIG_METADATA!$B$4,nASIG,"Conjunto"),""))</f>
        <v/>
      </c>
      <c r="K21" t="str" cm="1">
        <f t="array" ref="K21">IF(G21="","",IFERROR(AVERAGE(IF((nNIA=G21)*(nEVAL=CONFIG_METADATA!$B$4)*(nASIG&lt;&gt;"Lenguaje Musical")*(nASIG&lt;&gt;"Coro")*(nASIG&lt;&gt;"Conjunto"),nNOTA)),""))</f>
        <v/>
      </c>
      <c r="N21" t="str">
        <f>IF(M21="","",IFERROR(AVERAGEIFS(nNOTA,nNIA,M21,nEVAL,CONFIG_METADATA!$B$4,nASIG,"Lenguaje Musical"),""))</f>
        <v/>
      </c>
      <c r="O21" t="str">
        <f>IF(M21="","",IFERROR(AVERAGEIFS(nNOTA,nNIA,M21,nEVAL,CONFIG_METADATA!$B$4,nASIG,"Coro"),""))</f>
        <v/>
      </c>
      <c r="P21" t="str">
        <f>IF(M21="","",IFERROR(AVERAGEIFS(nNOTA,nNIA,M21,nEVAL,CONFIG_METADATA!$B$4,nASIG,"Conjunto"),""))</f>
        <v/>
      </c>
      <c r="Q21" t="str" cm="1">
        <f t="array" ref="Q21">IF(M21="","",IFERROR(AVERAGE(IF((nNIA=M21)*(nEVAL=CONFIG_METADATA!$B$4)*(nASIG&lt;&gt;"Lenguaje Musical")*(nASIG&lt;&gt;"Coro")*(nASIG&lt;&gt;"Conjunto"),nNOTA)),""))</f>
        <v/>
      </c>
      <c r="T21" t="str">
        <f>IF(S21="","",IFERROR(AVERAGEIFS(nNOTA,nNIA,S21,nEVAL,CONFIG_METADATA!$B$4,nASIG,"Lenguaje Musical"),""))</f>
        <v/>
      </c>
      <c r="U21" t="str">
        <f>IF(S21="","",IFERROR(AVERAGEIFS(nNOTA,nNIA,S21,nEVAL,CONFIG_METADATA!$B$4,nASIG,"Coro"),""))</f>
        <v/>
      </c>
      <c r="V21" t="str">
        <f>IF(S21="","",IFERROR(AVERAGEIFS(nNOTA,nNIA,S21,nEVAL,CONFIG_METADATA!$B$4,nASIG,"Conjunto"),""))</f>
        <v/>
      </c>
      <c r="W21" t="str" cm="1">
        <f t="array" ref="W21">IF(S21="","",IFERROR(AVERAGE(IF((nNIA=S21)*(nEVAL=CONFIG_METADATA!$B$4)*(nASIG&lt;&gt;"Lenguaje Musical")*(nASIG&lt;&gt;"Coro")*(nASIG&lt;&gt;"Conjunto"),nNOTA)),""))</f>
        <v/>
      </c>
    </row>
    <row r="22" spans="2:23" ht="15" customHeight="1" x14ac:dyDescent="0.2">
      <c r="B22" t="str">
        <f>IF(A22="","",IFERROR(AVERAGEIFS(nNOTA,nNIA,A22,nEVAL,CONFIG_METADATA!$B$4,nASIG,"Lenguaje Musical"),""))</f>
        <v/>
      </c>
      <c r="C22" t="str">
        <f>IF(A22="","",IFERROR(AVERAGEIFS(nNOTA,nNIA,A22,nEVAL,CONFIG_METADATA!$B$4,nASIG,"Coro"),""))</f>
        <v/>
      </c>
      <c r="D22" t="str">
        <f>IF(A22="","",IFERROR(AVERAGEIFS(nNOTA,nNIA,A22,nEVAL,CONFIG_METADATA!$B$4,nASIG,"Conjunto"),""))</f>
        <v/>
      </c>
      <c r="E22" t="str" cm="1">
        <f t="array" ref="E22">IF(A22="","",IFERROR(AVERAGE(IF((nNIA=A22)*(nEVAL=CONFIG_METADATA!$B$4)*(nASIG&lt;&gt;"Lenguaje Musical")*(nASIG&lt;&gt;"Coro")*(nASIG&lt;&gt;"Conjunto"),nNOTA)),""))</f>
        <v/>
      </c>
      <c r="H22" t="str">
        <f>IF(G22="","",IFERROR(AVERAGEIFS(nNOTA,nNIA,G22,nEVAL,CONFIG_METADATA!$B$4,nASIG,"Lenguaje Musical"),""))</f>
        <v/>
      </c>
      <c r="I22" t="str">
        <f>IF(G22="","",IFERROR(AVERAGEIFS(nNOTA,nNIA,G22,nEVAL,CONFIG_METADATA!$B$4,nASIG,"Coro"),""))</f>
        <v/>
      </c>
      <c r="J22" t="str">
        <f>IF(G22="","",IFERROR(AVERAGEIFS(nNOTA,nNIA,G22,nEVAL,CONFIG_METADATA!$B$4,nASIG,"Conjunto"),""))</f>
        <v/>
      </c>
      <c r="K22" t="str" cm="1">
        <f t="array" ref="K22">IF(G22="","",IFERROR(AVERAGE(IF((nNIA=G22)*(nEVAL=CONFIG_METADATA!$B$4)*(nASIG&lt;&gt;"Lenguaje Musical")*(nASIG&lt;&gt;"Coro")*(nASIG&lt;&gt;"Conjunto"),nNOTA)),""))</f>
        <v/>
      </c>
      <c r="N22" t="str">
        <f>IF(M22="","",IFERROR(AVERAGEIFS(nNOTA,nNIA,M22,nEVAL,CONFIG_METADATA!$B$4,nASIG,"Lenguaje Musical"),""))</f>
        <v/>
      </c>
      <c r="O22" t="str">
        <f>IF(M22="","",IFERROR(AVERAGEIFS(nNOTA,nNIA,M22,nEVAL,CONFIG_METADATA!$B$4,nASIG,"Coro"),""))</f>
        <v/>
      </c>
      <c r="P22" t="str">
        <f>IF(M22="","",IFERROR(AVERAGEIFS(nNOTA,nNIA,M22,nEVAL,CONFIG_METADATA!$B$4,nASIG,"Conjunto"),""))</f>
        <v/>
      </c>
      <c r="Q22" t="str" cm="1">
        <f t="array" ref="Q22">IF(M22="","",IFERROR(AVERAGE(IF((nNIA=M22)*(nEVAL=CONFIG_METADATA!$B$4)*(nASIG&lt;&gt;"Lenguaje Musical")*(nASIG&lt;&gt;"Coro")*(nASIG&lt;&gt;"Conjunto"),nNOTA)),""))</f>
        <v/>
      </c>
      <c r="T22" t="str">
        <f>IF(S22="","",IFERROR(AVERAGEIFS(nNOTA,nNIA,S22,nEVAL,CONFIG_METADATA!$B$4,nASIG,"Lenguaje Musical"),""))</f>
        <v/>
      </c>
      <c r="U22" t="str">
        <f>IF(S22="","",IFERROR(AVERAGEIFS(nNOTA,nNIA,S22,nEVAL,CONFIG_METADATA!$B$4,nASIG,"Coro"),""))</f>
        <v/>
      </c>
      <c r="V22" t="str">
        <f>IF(S22="","",IFERROR(AVERAGEIFS(nNOTA,nNIA,S22,nEVAL,CONFIG_METADATA!$B$4,nASIG,"Conjunto"),""))</f>
        <v/>
      </c>
      <c r="W22" t="str" cm="1">
        <f t="array" ref="W22">IF(S22="","",IFERROR(AVERAGE(IF((nNIA=S22)*(nEVAL=CONFIG_METADATA!$B$4)*(nASIG&lt;&gt;"Lenguaje Musical")*(nASIG&lt;&gt;"Coro")*(nASIG&lt;&gt;"Conjunto"),nNOTA)),""))</f>
        <v/>
      </c>
    </row>
    <row r="23" spans="2:23" ht="15" customHeight="1" x14ac:dyDescent="0.2">
      <c r="B23" t="str">
        <f>IF(A23="","",IFERROR(AVERAGEIFS(nNOTA,nNIA,A23,nEVAL,CONFIG_METADATA!$B$4,nASIG,"Lenguaje Musical"),""))</f>
        <v/>
      </c>
      <c r="C23" t="str">
        <f>IF(A23="","",IFERROR(AVERAGEIFS(nNOTA,nNIA,A23,nEVAL,CONFIG_METADATA!$B$4,nASIG,"Coro"),""))</f>
        <v/>
      </c>
      <c r="D23" t="str">
        <f>IF(A23="","",IFERROR(AVERAGEIFS(nNOTA,nNIA,A23,nEVAL,CONFIG_METADATA!$B$4,nASIG,"Conjunto"),""))</f>
        <v/>
      </c>
      <c r="E23" t="str" cm="1">
        <f t="array" ref="E23">IF(A23="","",IFERROR(AVERAGE(IF((nNIA=A23)*(nEVAL=CONFIG_METADATA!$B$4)*(nASIG&lt;&gt;"Lenguaje Musical")*(nASIG&lt;&gt;"Coro")*(nASIG&lt;&gt;"Conjunto"),nNOTA)),""))</f>
        <v/>
      </c>
      <c r="H23" t="str">
        <f>IF(G23="","",IFERROR(AVERAGEIFS(nNOTA,nNIA,G23,nEVAL,CONFIG_METADATA!$B$4,nASIG,"Lenguaje Musical"),""))</f>
        <v/>
      </c>
      <c r="I23" t="str">
        <f>IF(G23="","",IFERROR(AVERAGEIFS(nNOTA,nNIA,G23,nEVAL,CONFIG_METADATA!$B$4,nASIG,"Coro"),""))</f>
        <v/>
      </c>
      <c r="J23" t="str">
        <f>IF(G23="","",IFERROR(AVERAGEIFS(nNOTA,nNIA,G23,nEVAL,CONFIG_METADATA!$B$4,nASIG,"Conjunto"),""))</f>
        <v/>
      </c>
      <c r="K23" t="str" cm="1">
        <f t="array" ref="K23">IF(G23="","",IFERROR(AVERAGE(IF((nNIA=G23)*(nEVAL=CONFIG_METADATA!$B$4)*(nASIG&lt;&gt;"Lenguaje Musical")*(nASIG&lt;&gt;"Coro")*(nASIG&lt;&gt;"Conjunto"),nNOTA)),""))</f>
        <v/>
      </c>
      <c r="N23" t="str">
        <f>IF(M23="","",IFERROR(AVERAGEIFS(nNOTA,nNIA,M23,nEVAL,CONFIG_METADATA!$B$4,nASIG,"Lenguaje Musical"),""))</f>
        <v/>
      </c>
      <c r="O23" t="str">
        <f>IF(M23="","",IFERROR(AVERAGEIFS(nNOTA,nNIA,M23,nEVAL,CONFIG_METADATA!$B$4,nASIG,"Coro"),""))</f>
        <v/>
      </c>
      <c r="P23" t="str">
        <f>IF(M23="","",IFERROR(AVERAGEIFS(nNOTA,nNIA,M23,nEVAL,CONFIG_METADATA!$B$4,nASIG,"Conjunto"),""))</f>
        <v/>
      </c>
      <c r="Q23" t="str" cm="1">
        <f t="array" ref="Q23">IF(M23="","",IFERROR(AVERAGE(IF((nNIA=M23)*(nEVAL=CONFIG_METADATA!$B$4)*(nASIG&lt;&gt;"Lenguaje Musical")*(nASIG&lt;&gt;"Coro")*(nASIG&lt;&gt;"Conjunto"),nNOTA)),""))</f>
        <v/>
      </c>
      <c r="T23" t="str">
        <f>IF(S23="","",IFERROR(AVERAGEIFS(nNOTA,nNIA,S23,nEVAL,CONFIG_METADATA!$B$4,nASIG,"Lenguaje Musical"),""))</f>
        <v/>
      </c>
      <c r="U23" t="str">
        <f>IF(S23="","",IFERROR(AVERAGEIFS(nNOTA,nNIA,S23,nEVAL,CONFIG_METADATA!$B$4,nASIG,"Coro"),""))</f>
        <v/>
      </c>
      <c r="V23" t="str">
        <f>IF(S23="","",IFERROR(AVERAGEIFS(nNOTA,nNIA,S23,nEVAL,CONFIG_METADATA!$B$4,nASIG,"Conjunto"),""))</f>
        <v/>
      </c>
      <c r="W23" t="str" cm="1">
        <f t="array" ref="W23">IF(S23="","",IFERROR(AVERAGE(IF((nNIA=S23)*(nEVAL=CONFIG_METADATA!$B$4)*(nASIG&lt;&gt;"Lenguaje Musical")*(nASIG&lt;&gt;"Coro")*(nASIG&lt;&gt;"Conjunto"),nNOTA)),""))</f>
        <v/>
      </c>
    </row>
    <row r="24" spans="2:23" ht="15" customHeight="1" x14ac:dyDescent="0.2">
      <c r="B24" t="str">
        <f>IF(A24="","",IFERROR(AVERAGEIFS(nNOTA,nNIA,A24,nEVAL,CONFIG_METADATA!$B$4,nASIG,"Lenguaje Musical"),""))</f>
        <v/>
      </c>
      <c r="C24" t="str">
        <f>IF(A24="","",IFERROR(AVERAGEIFS(nNOTA,nNIA,A24,nEVAL,CONFIG_METADATA!$B$4,nASIG,"Coro"),""))</f>
        <v/>
      </c>
      <c r="D24" t="str">
        <f>IF(A24="","",IFERROR(AVERAGEIFS(nNOTA,nNIA,A24,nEVAL,CONFIG_METADATA!$B$4,nASIG,"Conjunto"),""))</f>
        <v/>
      </c>
      <c r="E24" t="str" cm="1">
        <f t="array" ref="E24">IF(A24="","",IFERROR(AVERAGE(IF((nNIA=A24)*(nEVAL=CONFIG_METADATA!$B$4)*(nASIG&lt;&gt;"Lenguaje Musical")*(nASIG&lt;&gt;"Coro")*(nASIG&lt;&gt;"Conjunto"),nNOTA)),""))</f>
        <v/>
      </c>
      <c r="H24" t="str">
        <f>IF(G24="","",IFERROR(AVERAGEIFS(nNOTA,nNIA,G24,nEVAL,CONFIG_METADATA!$B$4,nASIG,"Lenguaje Musical"),""))</f>
        <v/>
      </c>
      <c r="I24" t="str">
        <f>IF(G24="","",IFERROR(AVERAGEIFS(nNOTA,nNIA,G24,nEVAL,CONFIG_METADATA!$B$4,nASIG,"Coro"),""))</f>
        <v/>
      </c>
      <c r="J24" t="str">
        <f>IF(G24="","",IFERROR(AVERAGEIFS(nNOTA,nNIA,G24,nEVAL,CONFIG_METADATA!$B$4,nASIG,"Conjunto"),""))</f>
        <v/>
      </c>
      <c r="K24" t="str" cm="1">
        <f t="array" ref="K24">IF(G24="","",IFERROR(AVERAGE(IF((nNIA=G24)*(nEVAL=CONFIG_METADATA!$B$4)*(nASIG&lt;&gt;"Lenguaje Musical")*(nASIG&lt;&gt;"Coro")*(nASIG&lt;&gt;"Conjunto"),nNOTA)),""))</f>
        <v/>
      </c>
      <c r="N24" t="str">
        <f>IF(M24="","",IFERROR(AVERAGEIFS(nNOTA,nNIA,M24,nEVAL,CONFIG_METADATA!$B$4,nASIG,"Lenguaje Musical"),""))</f>
        <v/>
      </c>
      <c r="O24" t="str">
        <f>IF(M24="","",IFERROR(AVERAGEIFS(nNOTA,nNIA,M24,nEVAL,CONFIG_METADATA!$B$4,nASIG,"Coro"),""))</f>
        <v/>
      </c>
      <c r="P24" t="str">
        <f>IF(M24="","",IFERROR(AVERAGEIFS(nNOTA,nNIA,M24,nEVAL,CONFIG_METADATA!$B$4,nASIG,"Conjunto"),""))</f>
        <v/>
      </c>
      <c r="Q24" t="str" cm="1">
        <f t="array" ref="Q24">IF(M24="","",IFERROR(AVERAGE(IF((nNIA=M24)*(nEVAL=CONFIG_METADATA!$B$4)*(nASIG&lt;&gt;"Lenguaje Musical")*(nASIG&lt;&gt;"Coro")*(nASIG&lt;&gt;"Conjunto"),nNOTA)),""))</f>
        <v/>
      </c>
      <c r="T24" t="str">
        <f>IF(S24="","",IFERROR(AVERAGEIFS(nNOTA,nNIA,S24,nEVAL,CONFIG_METADATA!$B$4,nASIG,"Lenguaje Musical"),""))</f>
        <v/>
      </c>
      <c r="U24" t="str">
        <f>IF(S24="","",IFERROR(AVERAGEIFS(nNOTA,nNIA,S24,nEVAL,CONFIG_METADATA!$B$4,nASIG,"Coro"),""))</f>
        <v/>
      </c>
      <c r="V24" t="str">
        <f>IF(S24="","",IFERROR(AVERAGEIFS(nNOTA,nNIA,S24,nEVAL,CONFIG_METADATA!$B$4,nASIG,"Conjunto"),""))</f>
        <v/>
      </c>
      <c r="W24" t="str" cm="1">
        <f t="array" ref="W24">IF(S24="","",IFERROR(AVERAGE(IF((nNIA=S24)*(nEVAL=CONFIG_METADATA!$B$4)*(nASIG&lt;&gt;"Lenguaje Musical")*(nASIG&lt;&gt;"Coro")*(nASIG&lt;&gt;"Conjunto"),nNOTA)),""))</f>
        <v/>
      </c>
    </row>
    <row r="25" spans="2:23" ht="15" customHeight="1" x14ac:dyDescent="0.2">
      <c r="B25" t="str">
        <f>IF(A25="","",IFERROR(AVERAGEIFS(nNOTA,nNIA,A25,nEVAL,CONFIG_METADATA!$B$4,nASIG,"Lenguaje Musical"),""))</f>
        <v/>
      </c>
      <c r="C25" t="str">
        <f>IF(A25="","",IFERROR(AVERAGEIFS(nNOTA,nNIA,A25,nEVAL,CONFIG_METADATA!$B$4,nASIG,"Coro"),""))</f>
        <v/>
      </c>
      <c r="D25" t="str">
        <f>IF(A25="","",IFERROR(AVERAGEIFS(nNOTA,nNIA,A25,nEVAL,CONFIG_METADATA!$B$4,nASIG,"Conjunto"),""))</f>
        <v/>
      </c>
      <c r="E25" t="str" cm="1">
        <f t="array" ref="E25">IF(A25="","",IFERROR(AVERAGE(IF((nNIA=A25)*(nEVAL=CONFIG_METADATA!$B$4)*(nASIG&lt;&gt;"Lenguaje Musical")*(nASIG&lt;&gt;"Coro")*(nASIG&lt;&gt;"Conjunto"),nNOTA)),""))</f>
        <v/>
      </c>
      <c r="H25" t="str">
        <f>IF(G25="","",IFERROR(AVERAGEIFS(nNOTA,nNIA,G25,nEVAL,CONFIG_METADATA!$B$4,nASIG,"Lenguaje Musical"),""))</f>
        <v/>
      </c>
      <c r="I25" t="str">
        <f>IF(G25="","",IFERROR(AVERAGEIFS(nNOTA,nNIA,G25,nEVAL,CONFIG_METADATA!$B$4,nASIG,"Coro"),""))</f>
        <v/>
      </c>
      <c r="J25" t="str">
        <f>IF(G25="","",IFERROR(AVERAGEIFS(nNOTA,nNIA,G25,nEVAL,CONFIG_METADATA!$B$4,nASIG,"Conjunto"),""))</f>
        <v/>
      </c>
      <c r="K25" t="str" cm="1">
        <f t="array" ref="K25">IF(G25="","",IFERROR(AVERAGE(IF((nNIA=G25)*(nEVAL=CONFIG_METADATA!$B$4)*(nASIG&lt;&gt;"Lenguaje Musical")*(nASIG&lt;&gt;"Coro")*(nASIG&lt;&gt;"Conjunto"),nNOTA)),""))</f>
        <v/>
      </c>
      <c r="N25" t="str">
        <f>IF(M25="","",IFERROR(AVERAGEIFS(nNOTA,nNIA,M25,nEVAL,CONFIG_METADATA!$B$4,nASIG,"Lenguaje Musical"),""))</f>
        <v/>
      </c>
      <c r="O25" t="str">
        <f>IF(M25="","",IFERROR(AVERAGEIFS(nNOTA,nNIA,M25,nEVAL,CONFIG_METADATA!$B$4,nASIG,"Coro"),""))</f>
        <v/>
      </c>
      <c r="P25" t="str">
        <f>IF(M25="","",IFERROR(AVERAGEIFS(nNOTA,nNIA,M25,nEVAL,CONFIG_METADATA!$B$4,nASIG,"Conjunto"),""))</f>
        <v/>
      </c>
      <c r="Q25" t="str" cm="1">
        <f t="array" ref="Q25">IF(M25="","",IFERROR(AVERAGE(IF((nNIA=M25)*(nEVAL=CONFIG_METADATA!$B$4)*(nASIG&lt;&gt;"Lenguaje Musical")*(nASIG&lt;&gt;"Coro")*(nASIG&lt;&gt;"Conjunto"),nNOTA)),""))</f>
        <v/>
      </c>
      <c r="T25" t="str">
        <f>IF(S25="","",IFERROR(AVERAGEIFS(nNOTA,nNIA,S25,nEVAL,CONFIG_METADATA!$B$4,nASIG,"Lenguaje Musical"),""))</f>
        <v/>
      </c>
      <c r="U25" t="str">
        <f>IF(S25="","",IFERROR(AVERAGEIFS(nNOTA,nNIA,S25,nEVAL,CONFIG_METADATA!$B$4,nASIG,"Coro"),""))</f>
        <v/>
      </c>
      <c r="V25" t="str">
        <f>IF(S25="","",IFERROR(AVERAGEIFS(nNOTA,nNIA,S25,nEVAL,CONFIG_METADATA!$B$4,nASIG,"Conjunto"),""))</f>
        <v/>
      </c>
      <c r="W25" t="str" cm="1">
        <f t="array" ref="W25">IF(S25="","",IFERROR(AVERAGE(IF((nNIA=S25)*(nEVAL=CONFIG_METADATA!$B$4)*(nASIG&lt;&gt;"Lenguaje Musical")*(nASIG&lt;&gt;"Coro")*(nASIG&lt;&gt;"Conjunto"),nNOTA)),""))</f>
        <v/>
      </c>
    </row>
    <row r="26" spans="2:23" ht="15" customHeight="1" x14ac:dyDescent="0.2">
      <c r="B26" t="str">
        <f>IF(A26="","",IFERROR(AVERAGEIFS(nNOTA,nNIA,A26,nEVAL,CONFIG_METADATA!$B$4,nASIG,"Lenguaje Musical"),""))</f>
        <v/>
      </c>
      <c r="C26" t="str">
        <f>IF(A26="","",IFERROR(AVERAGEIFS(nNOTA,nNIA,A26,nEVAL,CONFIG_METADATA!$B$4,nASIG,"Coro"),""))</f>
        <v/>
      </c>
      <c r="D26" t="str">
        <f>IF(A26="","",IFERROR(AVERAGEIFS(nNOTA,nNIA,A26,nEVAL,CONFIG_METADATA!$B$4,nASIG,"Conjunto"),""))</f>
        <v/>
      </c>
      <c r="E26" t="str" cm="1">
        <f t="array" ref="E26">IF(A26="","",IFERROR(AVERAGE(IF((nNIA=A26)*(nEVAL=CONFIG_METADATA!$B$4)*(nASIG&lt;&gt;"Lenguaje Musical")*(nASIG&lt;&gt;"Coro")*(nASIG&lt;&gt;"Conjunto"),nNOTA)),""))</f>
        <v/>
      </c>
      <c r="H26" t="str">
        <f>IF(G26="","",IFERROR(AVERAGEIFS(nNOTA,nNIA,G26,nEVAL,CONFIG_METADATA!$B$4,nASIG,"Lenguaje Musical"),""))</f>
        <v/>
      </c>
      <c r="I26" t="str">
        <f>IF(G26="","",IFERROR(AVERAGEIFS(nNOTA,nNIA,G26,nEVAL,CONFIG_METADATA!$B$4,nASIG,"Coro"),""))</f>
        <v/>
      </c>
      <c r="J26" t="str">
        <f>IF(G26="","",IFERROR(AVERAGEIFS(nNOTA,nNIA,G26,nEVAL,CONFIG_METADATA!$B$4,nASIG,"Conjunto"),""))</f>
        <v/>
      </c>
      <c r="K26" t="str" cm="1">
        <f t="array" ref="K26">IF(G26="","",IFERROR(AVERAGE(IF((nNIA=G26)*(nEVAL=CONFIG_METADATA!$B$4)*(nASIG&lt;&gt;"Lenguaje Musical")*(nASIG&lt;&gt;"Coro")*(nASIG&lt;&gt;"Conjunto"),nNOTA)),""))</f>
        <v/>
      </c>
      <c r="N26" t="str">
        <f>IF(M26="","",IFERROR(AVERAGEIFS(nNOTA,nNIA,M26,nEVAL,CONFIG_METADATA!$B$4,nASIG,"Lenguaje Musical"),""))</f>
        <v/>
      </c>
      <c r="O26" t="str">
        <f>IF(M26="","",IFERROR(AVERAGEIFS(nNOTA,nNIA,M26,nEVAL,CONFIG_METADATA!$B$4,nASIG,"Coro"),""))</f>
        <v/>
      </c>
      <c r="P26" t="str">
        <f>IF(M26="","",IFERROR(AVERAGEIFS(nNOTA,nNIA,M26,nEVAL,CONFIG_METADATA!$B$4,nASIG,"Conjunto"),""))</f>
        <v/>
      </c>
      <c r="Q26" t="str" cm="1">
        <f t="array" ref="Q26">IF(M26="","",IFERROR(AVERAGE(IF((nNIA=M26)*(nEVAL=CONFIG_METADATA!$B$4)*(nASIG&lt;&gt;"Lenguaje Musical")*(nASIG&lt;&gt;"Coro")*(nASIG&lt;&gt;"Conjunto"),nNOTA)),""))</f>
        <v/>
      </c>
      <c r="T26" t="str">
        <f>IF(S26="","",IFERROR(AVERAGEIFS(nNOTA,nNIA,S26,nEVAL,CONFIG_METADATA!$B$4,nASIG,"Lenguaje Musical"),""))</f>
        <v/>
      </c>
      <c r="U26" t="str">
        <f>IF(S26="","",IFERROR(AVERAGEIFS(nNOTA,nNIA,S26,nEVAL,CONFIG_METADATA!$B$4,nASIG,"Coro"),""))</f>
        <v/>
      </c>
      <c r="V26" t="str">
        <f>IF(S26="","",IFERROR(AVERAGEIFS(nNOTA,nNIA,S26,nEVAL,CONFIG_METADATA!$B$4,nASIG,"Conjunto"),""))</f>
        <v/>
      </c>
      <c r="W26" t="str" cm="1">
        <f t="array" ref="W26">IF(S26="","",IFERROR(AVERAGE(IF((nNIA=S26)*(nEVAL=CONFIG_METADATA!$B$4)*(nASIG&lt;&gt;"Lenguaje Musical")*(nASIG&lt;&gt;"Coro")*(nASIG&lt;&gt;"Conjunto"),nNOTA)),""))</f>
        <v/>
      </c>
    </row>
    <row r="27" spans="2:23" ht="15" customHeight="1" x14ac:dyDescent="0.2">
      <c r="B27" t="str">
        <f>IF(A27="","",IFERROR(AVERAGEIFS(nNOTA,nNIA,A27,nEVAL,CONFIG_METADATA!$B$4,nASIG,"Lenguaje Musical"),""))</f>
        <v/>
      </c>
      <c r="C27" t="str">
        <f>IF(A27="","",IFERROR(AVERAGEIFS(nNOTA,nNIA,A27,nEVAL,CONFIG_METADATA!$B$4,nASIG,"Coro"),""))</f>
        <v/>
      </c>
      <c r="D27" t="str">
        <f>IF(A27="","",IFERROR(AVERAGEIFS(nNOTA,nNIA,A27,nEVAL,CONFIG_METADATA!$B$4,nASIG,"Conjunto"),""))</f>
        <v/>
      </c>
      <c r="E27" t="str" cm="1">
        <f t="array" ref="E27">IF(A27="","",IFERROR(AVERAGE(IF((nNIA=A27)*(nEVAL=CONFIG_METADATA!$B$4)*(nASIG&lt;&gt;"Lenguaje Musical")*(nASIG&lt;&gt;"Coro")*(nASIG&lt;&gt;"Conjunto"),nNOTA)),""))</f>
        <v/>
      </c>
      <c r="H27" t="str">
        <f>IF(G27="","",IFERROR(AVERAGEIFS(nNOTA,nNIA,G27,nEVAL,CONFIG_METADATA!$B$4,nASIG,"Lenguaje Musical"),""))</f>
        <v/>
      </c>
      <c r="I27" t="str">
        <f>IF(G27="","",IFERROR(AVERAGEIFS(nNOTA,nNIA,G27,nEVAL,CONFIG_METADATA!$B$4,nASIG,"Coro"),""))</f>
        <v/>
      </c>
      <c r="J27" t="str">
        <f>IF(G27="","",IFERROR(AVERAGEIFS(nNOTA,nNIA,G27,nEVAL,CONFIG_METADATA!$B$4,nASIG,"Conjunto"),""))</f>
        <v/>
      </c>
      <c r="K27" t="str" cm="1">
        <f t="array" ref="K27">IF(G27="","",IFERROR(AVERAGE(IF((nNIA=G27)*(nEVAL=CONFIG_METADATA!$B$4)*(nASIG&lt;&gt;"Lenguaje Musical")*(nASIG&lt;&gt;"Coro")*(nASIG&lt;&gt;"Conjunto"),nNOTA)),""))</f>
        <v/>
      </c>
      <c r="N27" t="str">
        <f>IF(M27="","",IFERROR(AVERAGEIFS(nNOTA,nNIA,M27,nEVAL,CONFIG_METADATA!$B$4,nASIG,"Lenguaje Musical"),""))</f>
        <v/>
      </c>
      <c r="O27" t="str">
        <f>IF(M27="","",IFERROR(AVERAGEIFS(nNOTA,nNIA,M27,nEVAL,CONFIG_METADATA!$B$4,nASIG,"Coro"),""))</f>
        <v/>
      </c>
      <c r="P27" t="str">
        <f>IF(M27="","",IFERROR(AVERAGEIFS(nNOTA,nNIA,M27,nEVAL,CONFIG_METADATA!$B$4,nASIG,"Conjunto"),""))</f>
        <v/>
      </c>
      <c r="Q27" t="str" cm="1">
        <f t="array" ref="Q27">IF(M27="","",IFERROR(AVERAGE(IF((nNIA=M27)*(nEVAL=CONFIG_METADATA!$B$4)*(nASIG&lt;&gt;"Lenguaje Musical")*(nASIG&lt;&gt;"Coro")*(nASIG&lt;&gt;"Conjunto"),nNOTA)),""))</f>
        <v/>
      </c>
      <c r="T27" t="str">
        <f>IF(S27="","",IFERROR(AVERAGEIFS(nNOTA,nNIA,S27,nEVAL,CONFIG_METADATA!$B$4,nASIG,"Lenguaje Musical"),""))</f>
        <v/>
      </c>
      <c r="U27" t="str">
        <f>IF(S27="","",IFERROR(AVERAGEIFS(nNOTA,nNIA,S27,nEVAL,CONFIG_METADATA!$B$4,nASIG,"Coro"),""))</f>
        <v/>
      </c>
      <c r="V27" t="str">
        <f>IF(S27="","",IFERROR(AVERAGEIFS(nNOTA,nNIA,S27,nEVAL,CONFIG_METADATA!$B$4,nASIG,"Conjunto"),""))</f>
        <v/>
      </c>
      <c r="W27" t="str" cm="1">
        <f t="array" ref="W27">IF(S27="","",IFERROR(AVERAGE(IF((nNIA=S27)*(nEVAL=CONFIG_METADATA!$B$4)*(nASIG&lt;&gt;"Lenguaje Musical")*(nASIG&lt;&gt;"Coro")*(nASIG&lt;&gt;"Conjunto"),nNOTA)),""))</f>
        <v/>
      </c>
    </row>
    <row r="28" spans="2:23" ht="15" customHeight="1" x14ac:dyDescent="0.2">
      <c r="B28" t="str">
        <f>IF(A28="","",IFERROR(AVERAGEIFS(nNOTA,nNIA,A28,nEVAL,CONFIG_METADATA!$B$4,nASIG,"Lenguaje Musical"),""))</f>
        <v/>
      </c>
      <c r="C28" t="str">
        <f>IF(A28="","",IFERROR(AVERAGEIFS(nNOTA,nNIA,A28,nEVAL,CONFIG_METADATA!$B$4,nASIG,"Coro"),""))</f>
        <v/>
      </c>
      <c r="D28" t="str">
        <f>IF(A28="","",IFERROR(AVERAGEIFS(nNOTA,nNIA,A28,nEVAL,CONFIG_METADATA!$B$4,nASIG,"Conjunto"),""))</f>
        <v/>
      </c>
      <c r="E28" t="str" cm="1">
        <f t="array" ref="E28">IF(A28="","",IFERROR(AVERAGE(IF((nNIA=A28)*(nEVAL=CONFIG_METADATA!$B$4)*(nASIG&lt;&gt;"Lenguaje Musical")*(nASIG&lt;&gt;"Coro")*(nASIG&lt;&gt;"Conjunto"),nNOTA)),""))</f>
        <v/>
      </c>
      <c r="H28" t="str">
        <f>IF(G28="","",IFERROR(AVERAGEIFS(nNOTA,nNIA,G28,nEVAL,CONFIG_METADATA!$B$4,nASIG,"Lenguaje Musical"),""))</f>
        <v/>
      </c>
      <c r="I28" t="str">
        <f>IF(G28="","",IFERROR(AVERAGEIFS(nNOTA,nNIA,G28,nEVAL,CONFIG_METADATA!$B$4,nASIG,"Coro"),""))</f>
        <v/>
      </c>
      <c r="J28" t="str">
        <f>IF(G28="","",IFERROR(AVERAGEIFS(nNOTA,nNIA,G28,nEVAL,CONFIG_METADATA!$B$4,nASIG,"Conjunto"),""))</f>
        <v/>
      </c>
      <c r="K28" t="str" cm="1">
        <f t="array" ref="K28">IF(G28="","",IFERROR(AVERAGE(IF((nNIA=G28)*(nEVAL=CONFIG_METADATA!$B$4)*(nASIG&lt;&gt;"Lenguaje Musical")*(nASIG&lt;&gt;"Coro")*(nASIG&lt;&gt;"Conjunto"),nNOTA)),""))</f>
        <v/>
      </c>
      <c r="N28" t="str">
        <f>IF(M28="","",IFERROR(AVERAGEIFS(nNOTA,nNIA,M28,nEVAL,CONFIG_METADATA!$B$4,nASIG,"Lenguaje Musical"),""))</f>
        <v/>
      </c>
      <c r="O28" t="str">
        <f>IF(M28="","",IFERROR(AVERAGEIFS(nNOTA,nNIA,M28,nEVAL,CONFIG_METADATA!$B$4,nASIG,"Coro"),""))</f>
        <v/>
      </c>
      <c r="P28" t="str">
        <f>IF(M28="","",IFERROR(AVERAGEIFS(nNOTA,nNIA,M28,nEVAL,CONFIG_METADATA!$B$4,nASIG,"Conjunto"),""))</f>
        <v/>
      </c>
      <c r="Q28" t="str" cm="1">
        <f t="array" ref="Q28">IF(M28="","",IFERROR(AVERAGE(IF((nNIA=M28)*(nEVAL=CONFIG_METADATA!$B$4)*(nASIG&lt;&gt;"Lenguaje Musical")*(nASIG&lt;&gt;"Coro")*(nASIG&lt;&gt;"Conjunto"),nNOTA)),""))</f>
        <v/>
      </c>
      <c r="T28" t="str">
        <f>IF(S28="","",IFERROR(AVERAGEIFS(nNOTA,nNIA,S28,nEVAL,CONFIG_METADATA!$B$4,nASIG,"Lenguaje Musical"),""))</f>
        <v/>
      </c>
      <c r="U28" t="str">
        <f>IF(S28="","",IFERROR(AVERAGEIFS(nNOTA,nNIA,S28,nEVAL,CONFIG_METADATA!$B$4,nASIG,"Coro"),""))</f>
        <v/>
      </c>
      <c r="V28" t="str">
        <f>IF(S28="","",IFERROR(AVERAGEIFS(nNOTA,nNIA,S28,nEVAL,CONFIG_METADATA!$B$4,nASIG,"Conjunto"),""))</f>
        <v/>
      </c>
      <c r="W28" t="str" cm="1">
        <f t="array" ref="W28">IF(S28="","",IFERROR(AVERAGE(IF((nNIA=S28)*(nEVAL=CONFIG_METADATA!$B$4)*(nASIG&lt;&gt;"Lenguaje Musical")*(nASIG&lt;&gt;"Coro")*(nASIG&lt;&gt;"Conjunto"),nNOTA)),""))</f>
        <v/>
      </c>
    </row>
    <row r="29" spans="2:23" ht="15" customHeight="1" x14ac:dyDescent="0.2">
      <c r="B29" t="str">
        <f>IF(A29="","",IFERROR(AVERAGEIFS(nNOTA,nNIA,A29,nEVAL,CONFIG_METADATA!$B$4,nASIG,"Lenguaje Musical"),""))</f>
        <v/>
      </c>
      <c r="C29" t="str">
        <f>IF(A29="","",IFERROR(AVERAGEIFS(nNOTA,nNIA,A29,nEVAL,CONFIG_METADATA!$B$4,nASIG,"Coro"),""))</f>
        <v/>
      </c>
      <c r="D29" t="str">
        <f>IF(A29="","",IFERROR(AVERAGEIFS(nNOTA,nNIA,A29,nEVAL,CONFIG_METADATA!$B$4,nASIG,"Conjunto"),""))</f>
        <v/>
      </c>
      <c r="E29" t="str" cm="1">
        <f t="array" ref="E29">IF(A29="","",IFERROR(AVERAGE(IF((nNIA=A29)*(nEVAL=CONFIG_METADATA!$B$4)*(nASIG&lt;&gt;"Lenguaje Musical")*(nASIG&lt;&gt;"Coro")*(nASIG&lt;&gt;"Conjunto"),nNOTA)),""))</f>
        <v/>
      </c>
      <c r="H29" t="str">
        <f>IF(G29="","",IFERROR(AVERAGEIFS(nNOTA,nNIA,G29,nEVAL,CONFIG_METADATA!$B$4,nASIG,"Lenguaje Musical"),""))</f>
        <v/>
      </c>
      <c r="I29" t="str">
        <f>IF(G29="","",IFERROR(AVERAGEIFS(nNOTA,nNIA,G29,nEVAL,CONFIG_METADATA!$B$4,nASIG,"Coro"),""))</f>
        <v/>
      </c>
      <c r="J29" t="str">
        <f>IF(G29="","",IFERROR(AVERAGEIFS(nNOTA,nNIA,G29,nEVAL,CONFIG_METADATA!$B$4,nASIG,"Conjunto"),""))</f>
        <v/>
      </c>
      <c r="K29" t="str" cm="1">
        <f t="array" ref="K29">IF(G29="","",IFERROR(AVERAGE(IF((nNIA=G29)*(nEVAL=CONFIG_METADATA!$B$4)*(nASIG&lt;&gt;"Lenguaje Musical")*(nASIG&lt;&gt;"Coro")*(nASIG&lt;&gt;"Conjunto"),nNOTA)),""))</f>
        <v/>
      </c>
      <c r="N29" t="str">
        <f>IF(M29="","",IFERROR(AVERAGEIFS(nNOTA,nNIA,M29,nEVAL,CONFIG_METADATA!$B$4,nASIG,"Lenguaje Musical"),""))</f>
        <v/>
      </c>
      <c r="O29" t="str">
        <f>IF(M29="","",IFERROR(AVERAGEIFS(nNOTA,nNIA,M29,nEVAL,CONFIG_METADATA!$B$4,nASIG,"Coro"),""))</f>
        <v/>
      </c>
      <c r="P29" t="str">
        <f>IF(M29="","",IFERROR(AVERAGEIFS(nNOTA,nNIA,M29,nEVAL,CONFIG_METADATA!$B$4,nASIG,"Conjunto"),""))</f>
        <v/>
      </c>
      <c r="Q29" t="str" cm="1">
        <f t="array" ref="Q29">IF(M29="","",IFERROR(AVERAGE(IF((nNIA=M29)*(nEVAL=CONFIG_METADATA!$B$4)*(nASIG&lt;&gt;"Lenguaje Musical")*(nASIG&lt;&gt;"Coro")*(nASIG&lt;&gt;"Conjunto"),nNOTA)),""))</f>
        <v/>
      </c>
      <c r="T29" t="str">
        <f>IF(S29="","",IFERROR(AVERAGEIFS(nNOTA,nNIA,S29,nEVAL,CONFIG_METADATA!$B$4,nASIG,"Lenguaje Musical"),""))</f>
        <v/>
      </c>
      <c r="U29" t="str">
        <f>IF(S29="","",IFERROR(AVERAGEIFS(nNOTA,nNIA,S29,nEVAL,CONFIG_METADATA!$B$4,nASIG,"Coro"),""))</f>
        <v/>
      </c>
      <c r="V29" t="str">
        <f>IF(S29="","",IFERROR(AVERAGEIFS(nNOTA,nNIA,S29,nEVAL,CONFIG_METADATA!$B$4,nASIG,"Conjunto"),""))</f>
        <v/>
      </c>
      <c r="W29" t="str" cm="1">
        <f t="array" ref="W29">IF(S29="","",IFERROR(AVERAGE(IF((nNIA=S29)*(nEVAL=CONFIG_METADATA!$B$4)*(nASIG&lt;&gt;"Lenguaje Musical")*(nASIG&lt;&gt;"Coro")*(nASIG&lt;&gt;"Conjunto"),nNOTA)),""))</f>
        <v/>
      </c>
    </row>
    <row r="30" spans="2:23" ht="15" customHeight="1" x14ac:dyDescent="0.2">
      <c r="B30" t="str">
        <f>IF(A30="","",IFERROR(AVERAGEIFS(nNOTA,nNIA,A30,nEVAL,CONFIG_METADATA!$B$4,nASIG,"Lenguaje Musical"),""))</f>
        <v/>
      </c>
      <c r="C30" t="str">
        <f>IF(A30="","",IFERROR(AVERAGEIFS(nNOTA,nNIA,A30,nEVAL,CONFIG_METADATA!$B$4,nASIG,"Coro"),""))</f>
        <v/>
      </c>
      <c r="D30" t="str">
        <f>IF(A30="","",IFERROR(AVERAGEIFS(nNOTA,nNIA,A30,nEVAL,CONFIG_METADATA!$B$4,nASIG,"Conjunto"),""))</f>
        <v/>
      </c>
      <c r="E30" t="str" cm="1">
        <f t="array" ref="E30">IF(A30="","",IFERROR(AVERAGE(IF((nNIA=A30)*(nEVAL=CONFIG_METADATA!$B$4)*(nASIG&lt;&gt;"Lenguaje Musical")*(nASIG&lt;&gt;"Coro")*(nASIG&lt;&gt;"Conjunto"),nNOTA)),""))</f>
        <v/>
      </c>
      <c r="H30" t="str">
        <f>IF(G30="","",IFERROR(AVERAGEIFS(nNOTA,nNIA,G30,nEVAL,CONFIG_METADATA!$B$4,nASIG,"Lenguaje Musical"),""))</f>
        <v/>
      </c>
      <c r="I30" t="str">
        <f>IF(G30="","",IFERROR(AVERAGEIFS(nNOTA,nNIA,G30,nEVAL,CONFIG_METADATA!$B$4,nASIG,"Coro"),""))</f>
        <v/>
      </c>
      <c r="J30" t="str">
        <f>IF(G30="","",IFERROR(AVERAGEIFS(nNOTA,nNIA,G30,nEVAL,CONFIG_METADATA!$B$4,nASIG,"Conjunto"),""))</f>
        <v/>
      </c>
      <c r="K30" t="str" cm="1">
        <f t="array" ref="K30">IF(G30="","",IFERROR(AVERAGE(IF((nNIA=G30)*(nEVAL=CONFIG_METADATA!$B$4)*(nASIG&lt;&gt;"Lenguaje Musical")*(nASIG&lt;&gt;"Coro")*(nASIG&lt;&gt;"Conjunto"),nNOTA)),""))</f>
        <v/>
      </c>
      <c r="N30" t="str">
        <f>IF(M30="","",IFERROR(AVERAGEIFS(nNOTA,nNIA,M30,nEVAL,CONFIG_METADATA!$B$4,nASIG,"Lenguaje Musical"),""))</f>
        <v/>
      </c>
      <c r="O30" t="str">
        <f>IF(M30="","",IFERROR(AVERAGEIFS(nNOTA,nNIA,M30,nEVAL,CONFIG_METADATA!$B$4,nASIG,"Coro"),""))</f>
        <v/>
      </c>
      <c r="P30" t="str">
        <f>IF(M30="","",IFERROR(AVERAGEIFS(nNOTA,nNIA,M30,nEVAL,CONFIG_METADATA!$B$4,nASIG,"Conjunto"),""))</f>
        <v/>
      </c>
      <c r="Q30" t="str" cm="1">
        <f t="array" ref="Q30">IF(M30="","",IFERROR(AVERAGE(IF((nNIA=M30)*(nEVAL=CONFIG_METADATA!$B$4)*(nASIG&lt;&gt;"Lenguaje Musical")*(nASIG&lt;&gt;"Coro")*(nASIG&lt;&gt;"Conjunto"),nNOTA)),""))</f>
        <v/>
      </c>
      <c r="T30" t="str">
        <f>IF(S30="","",IFERROR(AVERAGEIFS(nNOTA,nNIA,S30,nEVAL,CONFIG_METADATA!$B$4,nASIG,"Lenguaje Musical"),""))</f>
        <v/>
      </c>
      <c r="U30" t="str">
        <f>IF(S30="","",IFERROR(AVERAGEIFS(nNOTA,nNIA,S30,nEVAL,CONFIG_METADATA!$B$4,nASIG,"Coro"),""))</f>
        <v/>
      </c>
      <c r="V30" t="str">
        <f>IF(S30="","",IFERROR(AVERAGEIFS(nNOTA,nNIA,S30,nEVAL,CONFIG_METADATA!$B$4,nASIG,"Conjunto"),""))</f>
        <v/>
      </c>
      <c r="W30" t="str" cm="1">
        <f t="array" ref="W30">IF(S30="","",IFERROR(AVERAGE(IF((nNIA=S30)*(nEVAL=CONFIG_METADATA!$B$4)*(nASIG&lt;&gt;"Lenguaje Musical")*(nASIG&lt;&gt;"Coro")*(nASIG&lt;&gt;"Conjunto"),nNOTA)),""))</f>
        <v/>
      </c>
    </row>
    <row r="31" spans="2:23" ht="15" customHeight="1" x14ac:dyDescent="0.2">
      <c r="B31" t="str">
        <f>IF(A31="","",IFERROR(AVERAGEIFS(nNOTA,nNIA,A31,nEVAL,CONFIG_METADATA!$B$4,nASIG,"Lenguaje Musical"),""))</f>
        <v/>
      </c>
      <c r="C31" t="str">
        <f>IF(A31="","",IFERROR(AVERAGEIFS(nNOTA,nNIA,A31,nEVAL,CONFIG_METADATA!$B$4,nASIG,"Coro"),""))</f>
        <v/>
      </c>
      <c r="D31" t="str">
        <f>IF(A31="","",IFERROR(AVERAGEIFS(nNOTA,nNIA,A31,nEVAL,CONFIG_METADATA!$B$4,nASIG,"Conjunto"),""))</f>
        <v/>
      </c>
      <c r="E31" t="str" cm="1">
        <f t="array" ref="E31">IF(A31="","",IFERROR(AVERAGE(IF((nNIA=A31)*(nEVAL=CONFIG_METADATA!$B$4)*(nASIG&lt;&gt;"Lenguaje Musical")*(nASIG&lt;&gt;"Coro")*(nASIG&lt;&gt;"Conjunto"),nNOTA)),""))</f>
        <v/>
      </c>
      <c r="H31" t="str">
        <f>IF(G31="","",IFERROR(AVERAGEIFS(nNOTA,nNIA,G31,nEVAL,CONFIG_METADATA!$B$4,nASIG,"Lenguaje Musical"),""))</f>
        <v/>
      </c>
      <c r="I31" t="str">
        <f>IF(G31="","",IFERROR(AVERAGEIFS(nNOTA,nNIA,G31,nEVAL,CONFIG_METADATA!$B$4,nASIG,"Coro"),""))</f>
        <v/>
      </c>
      <c r="J31" t="str">
        <f>IF(G31="","",IFERROR(AVERAGEIFS(nNOTA,nNIA,G31,nEVAL,CONFIG_METADATA!$B$4,nASIG,"Conjunto"),""))</f>
        <v/>
      </c>
      <c r="K31" t="str" cm="1">
        <f t="array" ref="K31">IF(G31="","",IFERROR(AVERAGE(IF((nNIA=G31)*(nEVAL=CONFIG_METADATA!$B$4)*(nASIG&lt;&gt;"Lenguaje Musical")*(nASIG&lt;&gt;"Coro")*(nASIG&lt;&gt;"Conjunto"),nNOTA)),""))</f>
        <v/>
      </c>
      <c r="N31" t="str">
        <f>IF(M31="","",IFERROR(AVERAGEIFS(nNOTA,nNIA,M31,nEVAL,CONFIG_METADATA!$B$4,nASIG,"Lenguaje Musical"),""))</f>
        <v/>
      </c>
      <c r="O31" t="str">
        <f>IF(M31="","",IFERROR(AVERAGEIFS(nNOTA,nNIA,M31,nEVAL,CONFIG_METADATA!$B$4,nASIG,"Coro"),""))</f>
        <v/>
      </c>
      <c r="P31" t="str">
        <f>IF(M31="","",IFERROR(AVERAGEIFS(nNOTA,nNIA,M31,nEVAL,CONFIG_METADATA!$B$4,nASIG,"Conjunto"),""))</f>
        <v/>
      </c>
      <c r="Q31" t="str" cm="1">
        <f t="array" ref="Q31">IF(M31="","",IFERROR(AVERAGE(IF((nNIA=M31)*(nEVAL=CONFIG_METADATA!$B$4)*(nASIG&lt;&gt;"Lenguaje Musical")*(nASIG&lt;&gt;"Coro")*(nASIG&lt;&gt;"Conjunto"),nNOTA)),""))</f>
        <v/>
      </c>
      <c r="T31" t="str">
        <f>IF(S31="","",IFERROR(AVERAGEIFS(nNOTA,nNIA,S31,nEVAL,CONFIG_METADATA!$B$4,nASIG,"Lenguaje Musical"),""))</f>
        <v/>
      </c>
      <c r="U31" t="str">
        <f>IF(S31="","",IFERROR(AVERAGEIFS(nNOTA,nNIA,S31,nEVAL,CONFIG_METADATA!$B$4,nASIG,"Coro"),""))</f>
        <v/>
      </c>
      <c r="V31" t="str">
        <f>IF(S31="","",IFERROR(AVERAGEIFS(nNOTA,nNIA,S31,nEVAL,CONFIG_METADATA!$B$4,nASIG,"Conjunto"),""))</f>
        <v/>
      </c>
      <c r="W31" t="str" cm="1">
        <f t="array" ref="W31">IF(S31="","",IFERROR(AVERAGE(IF((nNIA=S31)*(nEVAL=CONFIG_METADATA!$B$4)*(nASIG&lt;&gt;"Lenguaje Musical")*(nASIG&lt;&gt;"Coro")*(nASIG&lt;&gt;"Conjunto"),nNOTA)),""))</f>
        <v/>
      </c>
    </row>
    <row r="32" spans="2:23" ht="15" customHeight="1" x14ac:dyDescent="0.2">
      <c r="B32" t="str">
        <f>IF(A32="","",IFERROR(AVERAGEIFS(nNOTA,nNIA,A32,nEVAL,CONFIG_METADATA!$B$4,nASIG,"Lenguaje Musical"),""))</f>
        <v/>
      </c>
      <c r="C32" t="str">
        <f>IF(A32="","",IFERROR(AVERAGEIFS(nNOTA,nNIA,A32,nEVAL,CONFIG_METADATA!$B$4,nASIG,"Coro"),""))</f>
        <v/>
      </c>
      <c r="D32" t="str">
        <f>IF(A32="","",IFERROR(AVERAGEIFS(nNOTA,nNIA,A32,nEVAL,CONFIG_METADATA!$B$4,nASIG,"Conjunto"),""))</f>
        <v/>
      </c>
      <c r="E32" t="str" cm="1">
        <f t="array" ref="E32">IF(A32="","",IFERROR(AVERAGE(IF((nNIA=A32)*(nEVAL=CONFIG_METADATA!$B$4)*(nASIG&lt;&gt;"Lenguaje Musical")*(nASIG&lt;&gt;"Coro")*(nASIG&lt;&gt;"Conjunto"),nNOTA)),""))</f>
        <v/>
      </c>
      <c r="H32" t="str">
        <f>IF(G32="","",IFERROR(AVERAGEIFS(nNOTA,nNIA,G32,nEVAL,CONFIG_METADATA!$B$4,nASIG,"Lenguaje Musical"),""))</f>
        <v/>
      </c>
      <c r="I32" t="str">
        <f>IF(G32="","",IFERROR(AVERAGEIFS(nNOTA,nNIA,G32,nEVAL,CONFIG_METADATA!$B$4,nASIG,"Coro"),""))</f>
        <v/>
      </c>
      <c r="J32" t="str">
        <f>IF(G32="","",IFERROR(AVERAGEIFS(nNOTA,nNIA,G32,nEVAL,CONFIG_METADATA!$B$4,nASIG,"Conjunto"),""))</f>
        <v/>
      </c>
      <c r="K32" t="str" cm="1">
        <f t="array" ref="K32">IF(G32="","",IFERROR(AVERAGE(IF((nNIA=G32)*(nEVAL=CONFIG_METADATA!$B$4)*(nASIG&lt;&gt;"Lenguaje Musical")*(nASIG&lt;&gt;"Coro")*(nASIG&lt;&gt;"Conjunto"),nNOTA)),""))</f>
        <v/>
      </c>
      <c r="N32" t="str">
        <f>IF(M32="","",IFERROR(AVERAGEIFS(nNOTA,nNIA,M32,nEVAL,CONFIG_METADATA!$B$4,nASIG,"Lenguaje Musical"),""))</f>
        <v/>
      </c>
      <c r="O32" t="str">
        <f>IF(M32="","",IFERROR(AVERAGEIFS(nNOTA,nNIA,M32,nEVAL,CONFIG_METADATA!$B$4,nASIG,"Coro"),""))</f>
        <v/>
      </c>
      <c r="P32" t="str">
        <f>IF(M32="","",IFERROR(AVERAGEIFS(nNOTA,nNIA,M32,nEVAL,CONFIG_METADATA!$B$4,nASIG,"Conjunto"),""))</f>
        <v/>
      </c>
      <c r="Q32" t="str" cm="1">
        <f t="array" ref="Q32">IF(M32="","",IFERROR(AVERAGE(IF((nNIA=M32)*(nEVAL=CONFIG_METADATA!$B$4)*(nASIG&lt;&gt;"Lenguaje Musical")*(nASIG&lt;&gt;"Coro")*(nASIG&lt;&gt;"Conjunto"),nNOTA)),""))</f>
        <v/>
      </c>
      <c r="T32" t="str">
        <f>IF(S32="","",IFERROR(AVERAGEIFS(nNOTA,nNIA,S32,nEVAL,CONFIG_METADATA!$B$4,nASIG,"Lenguaje Musical"),""))</f>
        <v/>
      </c>
      <c r="U32" t="str">
        <f>IF(S32="","",IFERROR(AVERAGEIFS(nNOTA,nNIA,S32,nEVAL,CONFIG_METADATA!$B$4,nASIG,"Coro"),""))</f>
        <v/>
      </c>
      <c r="V32" t="str">
        <f>IF(S32="","",IFERROR(AVERAGEIFS(nNOTA,nNIA,S32,nEVAL,CONFIG_METADATA!$B$4,nASIG,"Conjunto"),""))</f>
        <v/>
      </c>
      <c r="W32" t="str" cm="1">
        <f t="array" ref="W32">IF(S32="","",IFERROR(AVERAGE(IF((nNIA=S32)*(nEVAL=CONFIG_METADATA!$B$4)*(nASIG&lt;&gt;"Lenguaje Musical")*(nASIG&lt;&gt;"Coro")*(nASIG&lt;&gt;"Conjunto"),nNOTA)),""))</f>
        <v/>
      </c>
    </row>
    <row r="33" spans="2:23" ht="15" customHeight="1" x14ac:dyDescent="0.2">
      <c r="B33" t="str">
        <f>IF(A33="","",IFERROR(AVERAGEIFS(nNOTA,nNIA,A33,nEVAL,CONFIG_METADATA!$B$4,nASIG,"Lenguaje Musical"),""))</f>
        <v/>
      </c>
      <c r="C33" t="str">
        <f>IF(A33="","",IFERROR(AVERAGEIFS(nNOTA,nNIA,A33,nEVAL,CONFIG_METADATA!$B$4,nASIG,"Coro"),""))</f>
        <v/>
      </c>
      <c r="D33" t="str">
        <f>IF(A33="","",IFERROR(AVERAGEIFS(nNOTA,nNIA,A33,nEVAL,CONFIG_METADATA!$B$4,nASIG,"Conjunto"),""))</f>
        <v/>
      </c>
      <c r="E33" t="str" cm="1">
        <f t="array" ref="E33">IF(A33="","",IFERROR(AVERAGE(IF((nNIA=A33)*(nEVAL=CONFIG_METADATA!$B$4)*(nASIG&lt;&gt;"Lenguaje Musical")*(nASIG&lt;&gt;"Coro")*(nASIG&lt;&gt;"Conjunto"),nNOTA)),""))</f>
        <v/>
      </c>
      <c r="H33" t="str">
        <f>IF(G33="","",IFERROR(AVERAGEIFS(nNOTA,nNIA,G33,nEVAL,CONFIG_METADATA!$B$4,nASIG,"Lenguaje Musical"),""))</f>
        <v/>
      </c>
      <c r="I33" t="str">
        <f>IF(G33="","",IFERROR(AVERAGEIFS(nNOTA,nNIA,G33,nEVAL,CONFIG_METADATA!$B$4,nASIG,"Coro"),""))</f>
        <v/>
      </c>
      <c r="J33" t="str">
        <f>IF(G33="","",IFERROR(AVERAGEIFS(nNOTA,nNIA,G33,nEVAL,CONFIG_METADATA!$B$4,nASIG,"Conjunto"),""))</f>
        <v/>
      </c>
      <c r="K33" t="str" cm="1">
        <f t="array" ref="K33">IF(G33="","",IFERROR(AVERAGE(IF((nNIA=G33)*(nEVAL=CONFIG_METADATA!$B$4)*(nASIG&lt;&gt;"Lenguaje Musical")*(nASIG&lt;&gt;"Coro")*(nASIG&lt;&gt;"Conjunto"),nNOTA)),""))</f>
        <v/>
      </c>
      <c r="N33" t="str">
        <f>IF(M33="","",IFERROR(AVERAGEIFS(nNOTA,nNIA,M33,nEVAL,CONFIG_METADATA!$B$4,nASIG,"Lenguaje Musical"),""))</f>
        <v/>
      </c>
      <c r="O33" t="str">
        <f>IF(M33="","",IFERROR(AVERAGEIFS(nNOTA,nNIA,M33,nEVAL,CONFIG_METADATA!$B$4,nASIG,"Coro"),""))</f>
        <v/>
      </c>
      <c r="P33" t="str">
        <f>IF(M33="","",IFERROR(AVERAGEIFS(nNOTA,nNIA,M33,nEVAL,CONFIG_METADATA!$B$4,nASIG,"Conjunto"),""))</f>
        <v/>
      </c>
      <c r="Q33" t="str" cm="1">
        <f t="array" ref="Q33">IF(M33="","",IFERROR(AVERAGE(IF((nNIA=M33)*(nEVAL=CONFIG_METADATA!$B$4)*(nASIG&lt;&gt;"Lenguaje Musical")*(nASIG&lt;&gt;"Coro")*(nASIG&lt;&gt;"Conjunto"),nNOTA)),""))</f>
        <v/>
      </c>
      <c r="T33" t="str">
        <f>IF(S33="","",IFERROR(AVERAGEIFS(nNOTA,nNIA,S33,nEVAL,CONFIG_METADATA!$B$4,nASIG,"Lenguaje Musical"),""))</f>
        <v/>
      </c>
      <c r="U33" t="str">
        <f>IF(S33="","",IFERROR(AVERAGEIFS(nNOTA,nNIA,S33,nEVAL,CONFIG_METADATA!$B$4,nASIG,"Coro"),""))</f>
        <v/>
      </c>
      <c r="V33" t="str">
        <f>IF(S33="","",IFERROR(AVERAGEIFS(nNOTA,nNIA,S33,nEVAL,CONFIG_METADATA!$B$4,nASIG,"Conjunto"),""))</f>
        <v/>
      </c>
      <c r="W33" t="str" cm="1">
        <f t="array" ref="W33">IF(S33="","",IFERROR(AVERAGE(IF((nNIA=S33)*(nEVAL=CONFIG_METADATA!$B$4)*(nASIG&lt;&gt;"Lenguaje Musical")*(nASIG&lt;&gt;"Coro")*(nASIG&lt;&gt;"Conjunto"),nNOTA)),""))</f>
        <v/>
      </c>
    </row>
    <row r="34" spans="2:23" ht="15" customHeight="1" x14ac:dyDescent="0.2">
      <c r="B34" t="str">
        <f>IF(A34="","",IFERROR(AVERAGEIFS(nNOTA,nNIA,A34,nEVAL,CONFIG_METADATA!$B$4,nASIG,"Lenguaje Musical"),""))</f>
        <v/>
      </c>
      <c r="C34" t="str">
        <f>IF(A34="","",IFERROR(AVERAGEIFS(nNOTA,nNIA,A34,nEVAL,CONFIG_METADATA!$B$4,nASIG,"Coro"),""))</f>
        <v/>
      </c>
      <c r="D34" t="str">
        <f>IF(A34="","",IFERROR(AVERAGEIFS(nNOTA,nNIA,A34,nEVAL,CONFIG_METADATA!$B$4,nASIG,"Conjunto"),""))</f>
        <v/>
      </c>
      <c r="E34" t="str" cm="1">
        <f t="array" ref="E34">IF(A34="","",IFERROR(AVERAGE(IF((nNIA=A34)*(nEVAL=CONFIG_METADATA!$B$4)*(nASIG&lt;&gt;"Lenguaje Musical")*(nASIG&lt;&gt;"Coro")*(nASIG&lt;&gt;"Conjunto"),nNOTA)),""))</f>
        <v/>
      </c>
      <c r="H34" t="str">
        <f>IF(G34="","",IFERROR(AVERAGEIFS(nNOTA,nNIA,G34,nEVAL,CONFIG_METADATA!$B$4,nASIG,"Lenguaje Musical"),""))</f>
        <v/>
      </c>
      <c r="I34" t="str">
        <f>IF(G34="","",IFERROR(AVERAGEIFS(nNOTA,nNIA,G34,nEVAL,CONFIG_METADATA!$B$4,nASIG,"Coro"),""))</f>
        <v/>
      </c>
      <c r="J34" t="str">
        <f>IF(G34="","",IFERROR(AVERAGEIFS(nNOTA,nNIA,G34,nEVAL,CONFIG_METADATA!$B$4,nASIG,"Conjunto"),""))</f>
        <v/>
      </c>
      <c r="K34" t="str" cm="1">
        <f t="array" ref="K34">IF(G34="","",IFERROR(AVERAGE(IF((nNIA=G34)*(nEVAL=CONFIG_METADATA!$B$4)*(nASIG&lt;&gt;"Lenguaje Musical")*(nASIG&lt;&gt;"Coro")*(nASIG&lt;&gt;"Conjunto"),nNOTA)),""))</f>
        <v/>
      </c>
      <c r="N34" t="str">
        <f>IF(M34="","",IFERROR(AVERAGEIFS(nNOTA,nNIA,M34,nEVAL,CONFIG_METADATA!$B$4,nASIG,"Lenguaje Musical"),""))</f>
        <v/>
      </c>
      <c r="O34" t="str">
        <f>IF(M34="","",IFERROR(AVERAGEIFS(nNOTA,nNIA,M34,nEVAL,CONFIG_METADATA!$B$4,nASIG,"Coro"),""))</f>
        <v/>
      </c>
      <c r="P34" t="str">
        <f>IF(M34="","",IFERROR(AVERAGEIFS(nNOTA,nNIA,M34,nEVAL,CONFIG_METADATA!$B$4,nASIG,"Conjunto"),""))</f>
        <v/>
      </c>
      <c r="Q34" t="str" cm="1">
        <f t="array" ref="Q34">IF(M34="","",IFERROR(AVERAGE(IF((nNIA=M34)*(nEVAL=CONFIG_METADATA!$B$4)*(nASIG&lt;&gt;"Lenguaje Musical")*(nASIG&lt;&gt;"Coro")*(nASIG&lt;&gt;"Conjunto"),nNOTA)),""))</f>
        <v/>
      </c>
      <c r="T34" t="str">
        <f>IF(S34="","",IFERROR(AVERAGEIFS(nNOTA,nNIA,S34,nEVAL,CONFIG_METADATA!$B$4,nASIG,"Lenguaje Musical"),""))</f>
        <v/>
      </c>
      <c r="U34" t="str">
        <f>IF(S34="","",IFERROR(AVERAGEIFS(nNOTA,nNIA,S34,nEVAL,CONFIG_METADATA!$B$4,nASIG,"Coro"),""))</f>
        <v/>
      </c>
      <c r="V34" t="str">
        <f>IF(S34="","",IFERROR(AVERAGEIFS(nNOTA,nNIA,S34,nEVAL,CONFIG_METADATA!$B$4,nASIG,"Conjunto"),""))</f>
        <v/>
      </c>
      <c r="W34" t="str" cm="1">
        <f t="array" ref="W34">IF(S34="","",IFERROR(AVERAGE(IF((nNIA=S34)*(nEVAL=CONFIG_METADATA!$B$4)*(nASIG&lt;&gt;"Lenguaje Musical")*(nASIG&lt;&gt;"Coro")*(nASIG&lt;&gt;"Conjunto"),nNOTA)),""))</f>
        <v/>
      </c>
    </row>
    <row r="35" spans="2:23" ht="15" customHeight="1" x14ac:dyDescent="0.2">
      <c r="B35" t="str">
        <f>IF(A35="","",IFERROR(AVERAGEIFS(nNOTA,nNIA,A35,nEVAL,CONFIG_METADATA!$B$4,nASIG,"Lenguaje Musical"),""))</f>
        <v/>
      </c>
      <c r="C35" t="str">
        <f>IF(A35="","",IFERROR(AVERAGEIFS(nNOTA,nNIA,A35,nEVAL,CONFIG_METADATA!$B$4,nASIG,"Coro"),""))</f>
        <v/>
      </c>
      <c r="D35" t="str">
        <f>IF(A35="","",IFERROR(AVERAGEIFS(nNOTA,nNIA,A35,nEVAL,CONFIG_METADATA!$B$4,nASIG,"Conjunto"),""))</f>
        <v/>
      </c>
      <c r="E35" t="str" cm="1">
        <f t="array" ref="E35">IF(A35="","",IFERROR(AVERAGE(IF((nNIA=A35)*(nEVAL=CONFIG_METADATA!$B$4)*(nASIG&lt;&gt;"Lenguaje Musical")*(nASIG&lt;&gt;"Coro")*(nASIG&lt;&gt;"Conjunto"),nNOTA)),""))</f>
        <v/>
      </c>
      <c r="H35" t="str">
        <f>IF(G35="","",IFERROR(AVERAGEIFS(nNOTA,nNIA,G35,nEVAL,CONFIG_METADATA!$B$4,nASIG,"Lenguaje Musical"),""))</f>
        <v/>
      </c>
      <c r="I35" t="str">
        <f>IF(G35="","",IFERROR(AVERAGEIFS(nNOTA,nNIA,G35,nEVAL,CONFIG_METADATA!$B$4,nASIG,"Coro"),""))</f>
        <v/>
      </c>
      <c r="J35" t="str">
        <f>IF(G35="","",IFERROR(AVERAGEIFS(nNOTA,nNIA,G35,nEVAL,CONFIG_METADATA!$B$4,nASIG,"Conjunto"),""))</f>
        <v/>
      </c>
      <c r="K35" t="str" cm="1">
        <f t="array" ref="K35">IF(G35="","",IFERROR(AVERAGE(IF((nNIA=G35)*(nEVAL=CONFIG_METADATA!$B$4)*(nASIG&lt;&gt;"Lenguaje Musical")*(nASIG&lt;&gt;"Coro")*(nASIG&lt;&gt;"Conjunto"),nNOTA)),""))</f>
        <v/>
      </c>
      <c r="N35" t="str">
        <f>IF(M35="","",IFERROR(AVERAGEIFS(nNOTA,nNIA,M35,nEVAL,CONFIG_METADATA!$B$4,nASIG,"Lenguaje Musical"),""))</f>
        <v/>
      </c>
      <c r="O35" t="str">
        <f>IF(M35="","",IFERROR(AVERAGEIFS(nNOTA,nNIA,M35,nEVAL,CONFIG_METADATA!$B$4,nASIG,"Coro"),""))</f>
        <v/>
      </c>
      <c r="P35" t="str">
        <f>IF(M35="","",IFERROR(AVERAGEIFS(nNOTA,nNIA,M35,nEVAL,CONFIG_METADATA!$B$4,nASIG,"Conjunto"),""))</f>
        <v/>
      </c>
      <c r="Q35" t="str" cm="1">
        <f t="array" ref="Q35">IF(M35="","",IFERROR(AVERAGE(IF((nNIA=M35)*(nEVAL=CONFIG_METADATA!$B$4)*(nASIG&lt;&gt;"Lenguaje Musical")*(nASIG&lt;&gt;"Coro")*(nASIG&lt;&gt;"Conjunto"),nNOTA)),""))</f>
        <v/>
      </c>
      <c r="T35" t="str">
        <f>IF(S35="","",IFERROR(AVERAGEIFS(nNOTA,nNIA,S35,nEVAL,CONFIG_METADATA!$B$4,nASIG,"Lenguaje Musical"),""))</f>
        <v/>
      </c>
      <c r="U35" t="str">
        <f>IF(S35="","",IFERROR(AVERAGEIFS(nNOTA,nNIA,S35,nEVAL,CONFIG_METADATA!$B$4,nASIG,"Coro"),""))</f>
        <v/>
      </c>
      <c r="V35" t="str">
        <f>IF(S35="","",IFERROR(AVERAGEIFS(nNOTA,nNIA,S35,nEVAL,CONFIG_METADATA!$B$4,nASIG,"Conjunto"),""))</f>
        <v/>
      </c>
      <c r="W35" t="str" cm="1">
        <f t="array" ref="W35">IF(S35="","",IFERROR(AVERAGE(IF((nNIA=S35)*(nEVAL=CONFIG_METADATA!$B$4)*(nASIG&lt;&gt;"Lenguaje Musical")*(nASIG&lt;&gt;"Coro")*(nASIG&lt;&gt;"Conjunto"),nNOTA)),""))</f>
        <v/>
      </c>
    </row>
    <row r="36" spans="2:23" ht="15" customHeight="1" x14ac:dyDescent="0.2">
      <c r="B36" t="str">
        <f>IF(A36="","",IFERROR(AVERAGEIFS(nNOTA,nNIA,A36,nEVAL,CONFIG_METADATA!$B$4,nASIG,"Lenguaje Musical"),""))</f>
        <v/>
      </c>
      <c r="C36" t="str">
        <f>IF(A36="","",IFERROR(AVERAGEIFS(nNOTA,nNIA,A36,nEVAL,CONFIG_METADATA!$B$4,nASIG,"Coro"),""))</f>
        <v/>
      </c>
      <c r="D36" t="str">
        <f>IF(A36="","",IFERROR(AVERAGEIFS(nNOTA,nNIA,A36,nEVAL,CONFIG_METADATA!$B$4,nASIG,"Conjunto"),""))</f>
        <v/>
      </c>
      <c r="E36" t="str" cm="1">
        <f t="array" ref="E36">IF(A36="","",IFERROR(AVERAGE(IF((nNIA=A36)*(nEVAL=CONFIG_METADATA!$B$4)*(nASIG&lt;&gt;"Lenguaje Musical")*(nASIG&lt;&gt;"Coro")*(nASIG&lt;&gt;"Conjunto"),nNOTA)),""))</f>
        <v/>
      </c>
      <c r="H36" t="str">
        <f>IF(G36="","",IFERROR(AVERAGEIFS(nNOTA,nNIA,G36,nEVAL,CONFIG_METADATA!$B$4,nASIG,"Lenguaje Musical"),""))</f>
        <v/>
      </c>
      <c r="I36" t="str">
        <f>IF(G36="","",IFERROR(AVERAGEIFS(nNOTA,nNIA,G36,nEVAL,CONFIG_METADATA!$B$4,nASIG,"Coro"),""))</f>
        <v/>
      </c>
      <c r="J36" t="str">
        <f>IF(G36="","",IFERROR(AVERAGEIFS(nNOTA,nNIA,G36,nEVAL,CONFIG_METADATA!$B$4,nASIG,"Conjunto"),""))</f>
        <v/>
      </c>
      <c r="K36" t="str" cm="1">
        <f t="array" ref="K36">IF(G36="","",IFERROR(AVERAGE(IF((nNIA=G36)*(nEVAL=CONFIG_METADATA!$B$4)*(nASIG&lt;&gt;"Lenguaje Musical")*(nASIG&lt;&gt;"Coro")*(nASIG&lt;&gt;"Conjunto"),nNOTA)),""))</f>
        <v/>
      </c>
      <c r="N36" t="str">
        <f>IF(M36="","",IFERROR(AVERAGEIFS(nNOTA,nNIA,M36,nEVAL,CONFIG_METADATA!$B$4,nASIG,"Lenguaje Musical"),""))</f>
        <v/>
      </c>
      <c r="O36" t="str">
        <f>IF(M36="","",IFERROR(AVERAGEIFS(nNOTA,nNIA,M36,nEVAL,CONFIG_METADATA!$B$4,nASIG,"Coro"),""))</f>
        <v/>
      </c>
      <c r="P36" t="str">
        <f>IF(M36="","",IFERROR(AVERAGEIFS(nNOTA,nNIA,M36,nEVAL,CONFIG_METADATA!$B$4,nASIG,"Conjunto"),""))</f>
        <v/>
      </c>
      <c r="Q36" t="str" cm="1">
        <f t="array" ref="Q36">IF(M36="","",IFERROR(AVERAGE(IF((nNIA=M36)*(nEVAL=CONFIG_METADATA!$B$4)*(nASIG&lt;&gt;"Lenguaje Musical")*(nASIG&lt;&gt;"Coro")*(nASIG&lt;&gt;"Conjunto"),nNOTA)),""))</f>
        <v/>
      </c>
      <c r="T36" t="str">
        <f>IF(S36="","",IFERROR(AVERAGEIFS(nNOTA,nNIA,S36,nEVAL,CONFIG_METADATA!$B$4,nASIG,"Lenguaje Musical"),""))</f>
        <v/>
      </c>
      <c r="U36" t="str">
        <f>IF(S36="","",IFERROR(AVERAGEIFS(nNOTA,nNIA,S36,nEVAL,CONFIG_METADATA!$B$4,nASIG,"Coro"),""))</f>
        <v/>
      </c>
      <c r="V36" t="str">
        <f>IF(S36="","",IFERROR(AVERAGEIFS(nNOTA,nNIA,S36,nEVAL,CONFIG_METADATA!$B$4,nASIG,"Conjunto"),""))</f>
        <v/>
      </c>
      <c r="W36" t="str" cm="1">
        <f t="array" ref="W36">IF(S36="","",IFERROR(AVERAGE(IF((nNIA=S36)*(nEVAL=CONFIG_METADATA!$B$4)*(nASIG&lt;&gt;"Lenguaje Musical")*(nASIG&lt;&gt;"Coro")*(nASIG&lt;&gt;"Conjunto"),nNOTA)),""))</f>
        <v/>
      </c>
    </row>
    <row r="37" spans="2:23" ht="15" customHeight="1" x14ac:dyDescent="0.2">
      <c r="B37" t="str">
        <f>IF(A37="","",IFERROR(AVERAGEIFS(nNOTA,nNIA,A37,nEVAL,CONFIG_METADATA!$B$4,nASIG,"Lenguaje Musical"),""))</f>
        <v/>
      </c>
      <c r="C37" t="str">
        <f>IF(A37="","",IFERROR(AVERAGEIFS(nNOTA,nNIA,A37,nEVAL,CONFIG_METADATA!$B$4,nASIG,"Coro"),""))</f>
        <v/>
      </c>
      <c r="D37" t="str">
        <f>IF(A37="","",IFERROR(AVERAGEIFS(nNOTA,nNIA,A37,nEVAL,CONFIG_METADATA!$B$4,nASIG,"Conjunto"),""))</f>
        <v/>
      </c>
      <c r="E37" t="str" cm="1">
        <f t="array" ref="E37">IF(A37="","",IFERROR(AVERAGE(IF((nNIA=A37)*(nEVAL=CONFIG_METADATA!$B$4)*(nASIG&lt;&gt;"Lenguaje Musical")*(nASIG&lt;&gt;"Coro")*(nASIG&lt;&gt;"Conjunto"),nNOTA)),""))</f>
        <v/>
      </c>
      <c r="H37" t="str">
        <f>IF(G37="","",IFERROR(AVERAGEIFS(nNOTA,nNIA,G37,nEVAL,CONFIG_METADATA!$B$4,nASIG,"Lenguaje Musical"),""))</f>
        <v/>
      </c>
      <c r="I37" t="str">
        <f>IF(G37="","",IFERROR(AVERAGEIFS(nNOTA,nNIA,G37,nEVAL,CONFIG_METADATA!$B$4,nASIG,"Coro"),""))</f>
        <v/>
      </c>
      <c r="J37" t="str">
        <f>IF(G37="","",IFERROR(AVERAGEIFS(nNOTA,nNIA,G37,nEVAL,CONFIG_METADATA!$B$4,nASIG,"Conjunto"),""))</f>
        <v/>
      </c>
      <c r="K37" t="str" cm="1">
        <f t="array" ref="K37">IF(G37="","",IFERROR(AVERAGE(IF((nNIA=G37)*(nEVAL=CONFIG_METADATA!$B$4)*(nASIG&lt;&gt;"Lenguaje Musical")*(nASIG&lt;&gt;"Coro")*(nASIG&lt;&gt;"Conjunto"),nNOTA)),""))</f>
        <v/>
      </c>
      <c r="N37" t="str">
        <f>IF(M37="","",IFERROR(AVERAGEIFS(nNOTA,nNIA,M37,nEVAL,CONFIG_METADATA!$B$4,nASIG,"Lenguaje Musical"),""))</f>
        <v/>
      </c>
      <c r="O37" t="str">
        <f>IF(M37="","",IFERROR(AVERAGEIFS(nNOTA,nNIA,M37,nEVAL,CONFIG_METADATA!$B$4,nASIG,"Coro"),""))</f>
        <v/>
      </c>
      <c r="P37" t="str">
        <f>IF(M37="","",IFERROR(AVERAGEIFS(nNOTA,nNIA,M37,nEVAL,CONFIG_METADATA!$B$4,nASIG,"Conjunto"),""))</f>
        <v/>
      </c>
      <c r="Q37" t="str" cm="1">
        <f t="array" ref="Q37">IF(M37="","",IFERROR(AVERAGE(IF((nNIA=M37)*(nEVAL=CONFIG_METADATA!$B$4)*(nASIG&lt;&gt;"Lenguaje Musical")*(nASIG&lt;&gt;"Coro")*(nASIG&lt;&gt;"Conjunto"),nNOTA)),""))</f>
        <v/>
      </c>
      <c r="T37" t="str">
        <f>IF(S37="","",IFERROR(AVERAGEIFS(nNOTA,nNIA,S37,nEVAL,CONFIG_METADATA!$B$4,nASIG,"Lenguaje Musical"),""))</f>
        <v/>
      </c>
      <c r="U37" t="str">
        <f>IF(S37="","",IFERROR(AVERAGEIFS(nNOTA,nNIA,S37,nEVAL,CONFIG_METADATA!$B$4,nASIG,"Coro"),""))</f>
        <v/>
      </c>
      <c r="V37" t="str">
        <f>IF(S37="","",IFERROR(AVERAGEIFS(nNOTA,nNIA,S37,nEVAL,CONFIG_METADATA!$B$4,nASIG,"Conjunto"),""))</f>
        <v/>
      </c>
      <c r="W37" t="str" cm="1">
        <f t="array" ref="W37">IF(S37="","",IFERROR(AVERAGE(IF((nNIA=S37)*(nEVAL=CONFIG_METADATA!$B$4)*(nASIG&lt;&gt;"Lenguaje Musical")*(nASIG&lt;&gt;"Coro")*(nASIG&lt;&gt;"Conjunto"),nNOTA)),""))</f>
        <v/>
      </c>
    </row>
    <row r="38" spans="2:23" ht="15" customHeight="1" x14ac:dyDescent="0.2">
      <c r="B38" t="str">
        <f>IF(A38="","",IFERROR(AVERAGEIFS(nNOTA,nNIA,A38,nEVAL,CONFIG_METADATA!$B$4,nASIG,"Lenguaje Musical"),""))</f>
        <v/>
      </c>
      <c r="C38" t="str">
        <f>IF(A38="","",IFERROR(AVERAGEIFS(nNOTA,nNIA,A38,nEVAL,CONFIG_METADATA!$B$4,nASIG,"Coro"),""))</f>
        <v/>
      </c>
      <c r="D38" t="str">
        <f>IF(A38="","",IFERROR(AVERAGEIFS(nNOTA,nNIA,A38,nEVAL,CONFIG_METADATA!$B$4,nASIG,"Conjunto"),""))</f>
        <v/>
      </c>
      <c r="E38" t="str" cm="1">
        <f t="array" ref="E38">IF(A38="","",IFERROR(AVERAGE(IF((nNIA=A38)*(nEVAL=CONFIG_METADATA!$B$4)*(nASIG&lt;&gt;"Lenguaje Musical")*(nASIG&lt;&gt;"Coro")*(nASIG&lt;&gt;"Conjunto"),nNOTA)),""))</f>
        <v/>
      </c>
      <c r="H38" t="str">
        <f>IF(G38="","",IFERROR(AVERAGEIFS(nNOTA,nNIA,G38,nEVAL,CONFIG_METADATA!$B$4,nASIG,"Lenguaje Musical"),""))</f>
        <v/>
      </c>
      <c r="I38" t="str">
        <f>IF(G38="","",IFERROR(AVERAGEIFS(nNOTA,nNIA,G38,nEVAL,CONFIG_METADATA!$B$4,nASIG,"Coro"),""))</f>
        <v/>
      </c>
      <c r="J38" t="str">
        <f>IF(G38="","",IFERROR(AVERAGEIFS(nNOTA,nNIA,G38,nEVAL,CONFIG_METADATA!$B$4,nASIG,"Conjunto"),""))</f>
        <v/>
      </c>
      <c r="K38" t="str" cm="1">
        <f t="array" ref="K38">IF(G38="","",IFERROR(AVERAGE(IF((nNIA=G38)*(nEVAL=CONFIG_METADATA!$B$4)*(nASIG&lt;&gt;"Lenguaje Musical")*(nASIG&lt;&gt;"Coro")*(nASIG&lt;&gt;"Conjunto"),nNOTA)),""))</f>
        <v/>
      </c>
      <c r="N38" t="str">
        <f>IF(M38="","",IFERROR(AVERAGEIFS(nNOTA,nNIA,M38,nEVAL,CONFIG_METADATA!$B$4,nASIG,"Lenguaje Musical"),""))</f>
        <v/>
      </c>
      <c r="O38" t="str">
        <f>IF(M38="","",IFERROR(AVERAGEIFS(nNOTA,nNIA,M38,nEVAL,CONFIG_METADATA!$B$4,nASIG,"Coro"),""))</f>
        <v/>
      </c>
      <c r="P38" t="str">
        <f>IF(M38="","",IFERROR(AVERAGEIFS(nNOTA,nNIA,M38,nEVAL,CONFIG_METADATA!$B$4,nASIG,"Conjunto"),""))</f>
        <v/>
      </c>
      <c r="Q38" t="str" cm="1">
        <f t="array" ref="Q38">IF(M38="","",IFERROR(AVERAGE(IF((nNIA=M38)*(nEVAL=CONFIG_METADATA!$B$4)*(nASIG&lt;&gt;"Lenguaje Musical")*(nASIG&lt;&gt;"Coro")*(nASIG&lt;&gt;"Conjunto"),nNOTA)),""))</f>
        <v/>
      </c>
      <c r="T38" t="str">
        <f>IF(S38="","",IFERROR(AVERAGEIFS(nNOTA,nNIA,S38,nEVAL,CONFIG_METADATA!$B$4,nASIG,"Lenguaje Musical"),""))</f>
        <v/>
      </c>
      <c r="U38" t="str">
        <f>IF(S38="","",IFERROR(AVERAGEIFS(nNOTA,nNIA,S38,nEVAL,CONFIG_METADATA!$B$4,nASIG,"Coro"),""))</f>
        <v/>
      </c>
      <c r="V38" t="str">
        <f>IF(S38="","",IFERROR(AVERAGEIFS(nNOTA,nNIA,S38,nEVAL,CONFIG_METADATA!$B$4,nASIG,"Conjunto"),""))</f>
        <v/>
      </c>
      <c r="W38" t="str" cm="1">
        <f t="array" ref="W38">IF(S38="","",IFERROR(AVERAGE(IF((nNIA=S38)*(nEVAL=CONFIG_METADATA!$B$4)*(nASIG&lt;&gt;"Lenguaje Musical")*(nASIG&lt;&gt;"Coro")*(nASIG&lt;&gt;"Conjunto"),nNOTA)),""))</f>
        <v/>
      </c>
    </row>
    <row r="39" spans="2:23" ht="15" customHeight="1" x14ac:dyDescent="0.2">
      <c r="B39" t="str">
        <f>IF(A39="","",IFERROR(AVERAGEIFS(nNOTA,nNIA,A39,nEVAL,CONFIG_METADATA!$B$4,nASIG,"Lenguaje Musical"),""))</f>
        <v/>
      </c>
      <c r="C39" t="str">
        <f>IF(A39="","",IFERROR(AVERAGEIFS(nNOTA,nNIA,A39,nEVAL,CONFIG_METADATA!$B$4,nASIG,"Coro"),""))</f>
        <v/>
      </c>
      <c r="D39" t="str">
        <f>IF(A39="","",IFERROR(AVERAGEIFS(nNOTA,nNIA,A39,nEVAL,CONFIG_METADATA!$B$4,nASIG,"Conjunto"),""))</f>
        <v/>
      </c>
      <c r="E39" t="str" cm="1">
        <f t="array" ref="E39">IF(A39="","",IFERROR(AVERAGE(IF((nNIA=A39)*(nEVAL=CONFIG_METADATA!$B$4)*(nASIG&lt;&gt;"Lenguaje Musical")*(nASIG&lt;&gt;"Coro")*(nASIG&lt;&gt;"Conjunto"),nNOTA)),""))</f>
        <v/>
      </c>
      <c r="H39" t="str">
        <f>IF(G39="","",IFERROR(AVERAGEIFS(nNOTA,nNIA,G39,nEVAL,CONFIG_METADATA!$B$4,nASIG,"Lenguaje Musical"),""))</f>
        <v/>
      </c>
      <c r="I39" t="str">
        <f>IF(G39="","",IFERROR(AVERAGEIFS(nNOTA,nNIA,G39,nEVAL,CONFIG_METADATA!$B$4,nASIG,"Coro"),""))</f>
        <v/>
      </c>
      <c r="J39" t="str">
        <f>IF(G39="","",IFERROR(AVERAGEIFS(nNOTA,nNIA,G39,nEVAL,CONFIG_METADATA!$B$4,nASIG,"Conjunto"),""))</f>
        <v/>
      </c>
      <c r="K39" t="str" cm="1">
        <f t="array" ref="K39">IF(G39="","",IFERROR(AVERAGE(IF((nNIA=G39)*(nEVAL=CONFIG_METADATA!$B$4)*(nASIG&lt;&gt;"Lenguaje Musical")*(nASIG&lt;&gt;"Coro")*(nASIG&lt;&gt;"Conjunto"),nNOTA)),""))</f>
        <v/>
      </c>
      <c r="N39" t="str">
        <f>IF(M39="","",IFERROR(AVERAGEIFS(nNOTA,nNIA,M39,nEVAL,CONFIG_METADATA!$B$4,nASIG,"Lenguaje Musical"),""))</f>
        <v/>
      </c>
      <c r="O39" t="str">
        <f>IF(M39="","",IFERROR(AVERAGEIFS(nNOTA,nNIA,M39,nEVAL,CONFIG_METADATA!$B$4,nASIG,"Coro"),""))</f>
        <v/>
      </c>
      <c r="P39" t="str">
        <f>IF(M39="","",IFERROR(AVERAGEIFS(nNOTA,nNIA,M39,nEVAL,CONFIG_METADATA!$B$4,nASIG,"Conjunto"),""))</f>
        <v/>
      </c>
      <c r="Q39" t="str" cm="1">
        <f t="array" ref="Q39">IF(M39="","",IFERROR(AVERAGE(IF((nNIA=M39)*(nEVAL=CONFIG_METADATA!$B$4)*(nASIG&lt;&gt;"Lenguaje Musical")*(nASIG&lt;&gt;"Coro")*(nASIG&lt;&gt;"Conjunto"),nNOTA)),""))</f>
        <v/>
      </c>
      <c r="T39" t="str">
        <f>IF(S39="","",IFERROR(AVERAGEIFS(nNOTA,nNIA,S39,nEVAL,CONFIG_METADATA!$B$4,nASIG,"Lenguaje Musical"),""))</f>
        <v/>
      </c>
      <c r="U39" t="str">
        <f>IF(S39="","",IFERROR(AVERAGEIFS(nNOTA,nNIA,S39,nEVAL,CONFIG_METADATA!$B$4,nASIG,"Coro"),""))</f>
        <v/>
      </c>
      <c r="V39" t="str">
        <f>IF(S39="","",IFERROR(AVERAGEIFS(nNOTA,nNIA,S39,nEVAL,CONFIG_METADATA!$B$4,nASIG,"Conjunto"),""))</f>
        <v/>
      </c>
      <c r="W39" t="str" cm="1">
        <f t="array" ref="W39">IF(S39="","",IFERROR(AVERAGE(IF((nNIA=S39)*(nEVAL=CONFIG_METADATA!$B$4)*(nASIG&lt;&gt;"Lenguaje Musical")*(nASIG&lt;&gt;"Coro")*(nASIG&lt;&gt;"Conjunto"),nNOTA)),""))</f>
        <v/>
      </c>
    </row>
    <row r="40" spans="2:23" ht="15" customHeight="1" x14ac:dyDescent="0.2">
      <c r="B40" t="str">
        <f>IF(A40="","",IFERROR(AVERAGEIFS(nNOTA,nNIA,A40,nEVAL,CONFIG_METADATA!$B$4,nASIG,"Lenguaje Musical"),""))</f>
        <v/>
      </c>
      <c r="C40" t="str">
        <f>IF(A40="","",IFERROR(AVERAGEIFS(nNOTA,nNIA,A40,nEVAL,CONFIG_METADATA!$B$4,nASIG,"Coro"),""))</f>
        <v/>
      </c>
      <c r="D40" t="str">
        <f>IF(A40="","",IFERROR(AVERAGEIFS(nNOTA,nNIA,A40,nEVAL,CONFIG_METADATA!$B$4,nASIG,"Conjunto"),""))</f>
        <v/>
      </c>
      <c r="E40" t="str" cm="1">
        <f t="array" ref="E40">IF(A40="","",IFERROR(AVERAGE(IF((nNIA=A40)*(nEVAL=CONFIG_METADATA!$B$4)*(nASIG&lt;&gt;"Lenguaje Musical")*(nASIG&lt;&gt;"Coro")*(nASIG&lt;&gt;"Conjunto"),nNOTA)),""))</f>
        <v/>
      </c>
      <c r="H40" t="str">
        <f>IF(G40="","",IFERROR(AVERAGEIFS(nNOTA,nNIA,G40,nEVAL,CONFIG_METADATA!$B$4,nASIG,"Lenguaje Musical"),""))</f>
        <v/>
      </c>
      <c r="I40" t="str">
        <f>IF(G40="","",IFERROR(AVERAGEIFS(nNOTA,nNIA,G40,nEVAL,CONFIG_METADATA!$B$4,nASIG,"Coro"),""))</f>
        <v/>
      </c>
      <c r="J40" t="str">
        <f>IF(G40="","",IFERROR(AVERAGEIFS(nNOTA,nNIA,G40,nEVAL,CONFIG_METADATA!$B$4,nASIG,"Conjunto"),""))</f>
        <v/>
      </c>
      <c r="K40" t="str" cm="1">
        <f t="array" ref="K40">IF(G40="","",IFERROR(AVERAGE(IF((nNIA=G40)*(nEVAL=CONFIG_METADATA!$B$4)*(nASIG&lt;&gt;"Lenguaje Musical")*(nASIG&lt;&gt;"Coro")*(nASIG&lt;&gt;"Conjunto"),nNOTA)),""))</f>
        <v/>
      </c>
      <c r="N40" t="str">
        <f>IF(M40="","",IFERROR(AVERAGEIFS(nNOTA,nNIA,M40,nEVAL,CONFIG_METADATA!$B$4,nASIG,"Lenguaje Musical"),""))</f>
        <v/>
      </c>
      <c r="O40" t="str">
        <f>IF(M40="","",IFERROR(AVERAGEIFS(nNOTA,nNIA,M40,nEVAL,CONFIG_METADATA!$B$4,nASIG,"Coro"),""))</f>
        <v/>
      </c>
      <c r="P40" t="str">
        <f>IF(M40="","",IFERROR(AVERAGEIFS(nNOTA,nNIA,M40,nEVAL,CONFIG_METADATA!$B$4,nASIG,"Conjunto"),""))</f>
        <v/>
      </c>
      <c r="Q40" t="str" cm="1">
        <f t="array" ref="Q40">IF(M40="","",IFERROR(AVERAGE(IF((nNIA=M40)*(nEVAL=CONFIG_METADATA!$B$4)*(nASIG&lt;&gt;"Lenguaje Musical")*(nASIG&lt;&gt;"Coro")*(nASIG&lt;&gt;"Conjunto"),nNOTA)),""))</f>
        <v/>
      </c>
      <c r="T40" t="str">
        <f>IF(S40="","",IFERROR(AVERAGEIFS(nNOTA,nNIA,S40,nEVAL,CONFIG_METADATA!$B$4,nASIG,"Lenguaje Musical"),""))</f>
        <v/>
      </c>
      <c r="U40" t="str">
        <f>IF(S40="","",IFERROR(AVERAGEIFS(nNOTA,nNIA,S40,nEVAL,CONFIG_METADATA!$B$4,nASIG,"Coro"),""))</f>
        <v/>
      </c>
      <c r="V40" t="str">
        <f>IF(S40="","",IFERROR(AVERAGEIFS(nNOTA,nNIA,S40,nEVAL,CONFIG_METADATA!$B$4,nASIG,"Conjunto"),""))</f>
        <v/>
      </c>
      <c r="W40" t="str" cm="1">
        <f t="array" ref="W40">IF(S40="","",IFERROR(AVERAGE(IF((nNIA=S40)*(nEVAL=CONFIG_METADATA!$B$4)*(nASIG&lt;&gt;"Lenguaje Musical")*(nASIG&lt;&gt;"Coro")*(nASIG&lt;&gt;"Conjunto"),nNOTA)),""))</f>
        <v/>
      </c>
    </row>
    <row r="41" spans="2:23" ht="15" customHeight="1" x14ac:dyDescent="0.2">
      <c r="B41" t="str">
        <f>IF(A41="","",IFERROR(AVERAGEIFS(nNOTA,nNIA,A41,nEVAL,CONFIG_METADATA!$B$4,nASIG,"Lenguaje Musical"),""))</f>
        <v/>
      </c>
      <c r="C41" t="str">
        <f>IF(A41="","",IFERROR(AVERAGEIFS(nNOTA,nNIA,A41,nEVAL,CONFIG_METADATA!$B$4,nASIG,"Coro"),""))</f>
        <v/>
      </c>
      <c r="D41" t="str">
        <f>IF(A41="","",IFERROR(AVERAGEIFS(nNOTA,nNIA,A41,nEVAL,CONFIG_METADATA!$B$4,nASIG,"Conjunto"),""))</f>
        <v/>
      </c>
      <c r="E41" t="str" cm="1">
        <f t="array" ref="E41">IF(A41="","",IFERROR(AVERAGE(IF((nNIA=A41)*(nEVAL=CONFIG_METADATA!$B$4)*(nASIG&lt;&gt;"Lenguaje Musical")*(nASIG&lt;&gt;"Coro")*(nASIG&lt;&gt;"Conjunto"),nNOTA)),""))</f>
        <v/>
      </c>
      <c r="H41" t="str">
        <f>IF(G41="","",IFERROR(AVERAGEIFS(nNOTA,nNIA,G41,nEVAL,CONFIG_METADATA!$B$4,nASIG,"Lenguaje Musical"),""))</f>
        <v/>
      </c>
      <c r="I41" t="str">
        <f>IF(G41="","",IFERROR(AVERAGEIFS(nNOTA,nNIA,G41,nEVAL,CONFIG_METADATA!$B$4,nASIG,"Coro"),""))</f>
        <v/>
      </c>
      <c r="J41" t="str">
        <f>IF(G41="","",IFERROR(AVERAGEIFS(nNOTA,nNIA,G41,nEVAL,CONFIG_METADATA!$B$4,nASIG,"Conjunto"),""))</f>
        <v/>
      </c>
      <c r="K41" t="str" cm="1">
        <f t="array" ref="K41">IF(G41="","",IFERROR(AVERAGE(IF((nNIA=G41)*(nEVAL=CONFIG_METADATA!$B$4)*(nASIG&lt;&gt;"Lenguaje Musical")*(nASIG&lt;&gt;"Coro")*(nASIG&lt;&gt;"Conjunto"),nNOTA)),""))</f>
        <v/>
      </c>
      <c r="N41" t="str">
        <f>IF(M41="","",IFERROR(AVERAGEIFS(nNOTA,nNIA,M41,nEVAL,CONFIG_METADATA!$B$4,nASIG,"Lenguaje Musical"),""))</f>
        <v/>
      </c>
      <c r="O41" t="str">
        <f>IF(M41="","",IFERROR(AVERAGEIFS(nNOTA,nNIA,M41,nEVAL,CONFIG_METADATA!$B$4,nASIG,"Coro"),""))</f>
        <v/>
      </c>
      <c r="P41" t="str">
        <f>IF(M41="","",IFERROR(AVERAGEIFS(nNOTA,nNIA,M41,nEVAL,CONFIG_METADATA!$B$4,nASIG,"Conjunto"),""))</f>
        <v/>
      </c>
      <c r="Q41" t="str" cm="1">
        <f t="array" ref="Q41">IF(M41="","",IFERROR(AVERAGE(IF((nNIA=M41)*(nEVAL=CONFIG_METADATA!$B$4)*(nASIG&lt;&gt;"Lenguaje Musical")*(nASIG&lt;&gt;"Coro")*(nASIG&lt;&gt;"Conjunto"),nNOTA)),""))</f>
        <v/>
      </c>
      <c r="T41" t="str">
        <f>IF(S41="","",IFERROR(AVERAGEIFS(nNOTA,nNIA,S41,nEVAL,CONFIG_METADATA!$B$4,nASIG,"Lenguaje Musical"),""))</f>
        <v/>
      </c>
      <c r="U41" t="str">
        <f>IF(S41="","",IFERROR(AVERAGEIFS(nNOTA,nNIA,S41,nEVAL,CONFIG_METADATA!$B$4,nASIG,"Coro"),""))</f>
        <v/>
      </c>
      <c r="V41" t="str">
        <f>IF(S41="","",IFERROR(AVERAGEIFS(nNOTA,nNIA,S41,nEVAL,CONFIG_METADATA!$B$4,nASIG,"Conjunto"),""))</f>
        <v/>
      </c>
      <c r="W41" t="str" cm="1">
        <f t="array" ref="W41">IF(S41="","",IFERROR(AVERAGE(IF((nNIA=S41)*(nEVAL=CONFIG_METADATA!$B$4)*(nASIG&lt;&gt;"Lenguaje Musical")*(nASIG&lt;&gt;"Coro")*(nASIG&lt;&gt;"Conjunto"),nNOTA)),""))</f>
        <v/>
      </c>
    </row>
    <row r="42" spans="2:23" ht="15" customHeight="1" x14ac:dyDescent="0.2">
      <c r="B42" t="str">
        <f>IF(A42="","",IFERROR(AVERAGEIFS(nNOTA,nNIA,A42,nEVAL,CONFIG_METADATA!$B$4,nASIG,"Lenguaje Musical"),""))</f>
        <v/>
      </c>
      <c r="C42" t="str">
        <f>IF(A42="","",IFERROR(AVERAGEIFS(nNOTA,nNIA,A42,nEVAL,CONFIG_METADATA!$B$4,nASIG,"Coro"),""))</f>
        <v/>
      </c>
      <c r="D42" t="str">
        <f>IF(A42="","",IFERROR(AVERAGEIFS(nNOTA,nNIA,A42,nEVAL,CONFIG_METADATA!$B$4,nASIG,"Conjunto"),""))</f>
        <v/>
      </c>
      <c r="E42" t="str" cm="1">
        <f t="array" ref="E42">IF(A42="","",IFERROR(AVERAGE(IF((nNIA=A42)*(nEVAL=CONFIG_METADATA!$B$4)*(nASIG&lt;&gt;"Lenguaje Musical")*(nASIG&lt;&gt;"Coro")*(nASIG&lt;&gt;"Conjunto"),nNOTA)),""))</f>
        <v/>
      </c>
      <c r="H42" t="str">
        <f>IF(G42="","",IFERROR(AVERAGEIFS(nNOTA,nNIA,G42,nEVAL,CONFIG_METADATA!$B$4,nASIG,"Lenguaje Musical"),""))</f>
        <v/>
      </c>
      <c r="I42" t="str">
        <f>IF(G42="","",IFERROR(AVERAGEIFS(nNOTA,nNIA,G42,nEVAL,CONFIG_METADATA!$B$4,nASIG,"Coro"),""))</f>
        <v/>
      </c>
      <c r="J42" t="str">
        <f>IF(G42="","",IFERROR(AVERAGEIFS(nNOTA,nNIA,G42,nEVAL,CONFIG_METADATA!$B$4,nASIG,"Conjunto"),""))</f>
        <v/>
      </c>
      <c r="K42" t="str" cm="1">
        <f t="array" ref="K42">IF(G42="","",IFERROR(AVERAGE(IF((nNIA=G42)*(nEVAL=CONFIG_METADATA!$B$4)*(nASIG&lt;&gt;"Lenguaje Musical")*(nASIG&lt;&gt;"Coro")*(nASIG&lt;&gt;"Conjunto"),nNOTA)),""))</f>
        <v/>
      </c>
      <c r="N42" t="str">
        <f>IF(M42="","",IFERROR(AVERAGEIFS(nNOTA,nNIA,M42,nEVAL,CONFIG_METADATA!$B$4,nASIG,"Lenguaje Musical"),""))</f>
        <v/>
      </c>
      <c r="O42" t="str">
        <f>IF(M42="","",IFERROR(AVERAGEIFS(nNOTA,nNIA,M42,nEVAL,CONFIG_METADATA!$B$4,nASIG,"Coro"),""))</f>
        <v/>
      </c>
      <c r="P42" t="str">
        <f>IF(M42="","",IFERROR(AVERAGEIFS(nNOTA,nNIA,M42,nEVAL,CONFIG_METADATA!$B$4,nASIG,"Conjunto"),""))</f>
        <v/>
      </c>
      <c r="Q42" t="str" cm="1">
        <f t="array" ref="Q42">IF(M42="","",IFERROR(AVERAGE(IF((nNIA=M42)*(nEVAL=CONFIG_METADATA!$B$4)*(nASIG&lt;&gt;"Lenguaje Musical")*(nASIG&lt;&gt;"Coro")*(nASIG&lt;&gt;"Conjunto"),nNOTA)),""))</f>
        <v/>
      </c>
      <c r="T42" t="str">
        <f>IF(S42="","",IFERROR(AVERAGEIFS(nNOTA,nNIA,S42,nEVAL,CONFIG_METADATA!$B$4,nASIG,"Lenguaje Musical"),""))</f>
        <v/>
      </c>
      <c r="U42" t="str">
        <f>IF(S42="","",IFERROR(AVERAGEIFS(nNOTA,nNIA,S42,nEVAL,CONFIG_METADATA!$B$4,nASIG,"Coro"),""))</f>
        <v/>
      </c>
      <c r="V42" t="str">
        <f>IF(S42="","",IFERROR(AVERAGEIFS(nNOTA,nNIA,S42,nEVAL,CONFIG_METADATA!$B$4,nASIG,"Conjunto"),""))</f>
        <v/>
      </c>
      <c r="W42" t="str" cm="1">
        <f t="array" ref="W42">IF(S42="","",IFERROR(AVERAGE(IF((nNIA=S42)*(nEVAL=CONFIG_METADATA!$B$4)*(nASIG&lt;&gt;"Lenguaje Musical")*(nASIG&lt;&gt;"Coro")*(nASIG&lt;&gt;"Conjunto"),nNOTA)),""))</f>
        <v/>
      </c>
    </row>
    <row r="43" spans="2:23" ht="15" customHeight="1" x14ac:dyDescent="0.2">
      <c r="B43" t="str">
        <f>IF(A43="","",IFERROR(AVERAGEIFS(nNOTA,nNIA,A43,nEVAL,CONFIG_METADATA!$B$4,nASIG,"Lenguaje Musical"),""))</f>
        <v/>
      </c>
      <c r="C43" t="str">
        <f>IF(A43="","",IFERROR(AVERAGEIFS(nNOTA,nNIA,A43,nEVAL,CONFIG_METADATA!$B$4,nASIG,"Coro"),""))</f>
        <v/>
      </c>
      <c r="D43" t="str">
        <f>IF(A43="","",IFERROR(AVERAGEIFS(nNOTA,nNIA,A43,nEVAL,CONFIG_METADATA!$B$4,nASIG,"Conjunto"),""))</f>
        <v/>
      </c>
      <c r="E43" t="str" cm="1">
        <f t="array" ref="E43">IF(A43="","",IFERROR(AVERAGE(IF((nNIA=A43)*(nEVAL=CONFIG_METADATA!$B$4)*(nASIG&lt;&gt;"Lenguaje Musical")*(nASIG&lt;&gt;"Coro")*(nASIG&lt;&gt;"Conjunto"),nNOTA)),""))</f>
        <v/>
      </c>
      <c r="H43" t="str">
        <f>IF(G43="","",IFERROR(AVERAGEIFS(nNOTA,nNIA,G43,nEVAL,CONFIG_METADATA!$B$4,nASIG,"Lenguaje Musical"),""))</f>
        <v/>
      </c>
      <c r="I43" t="str">
        <f>IF(G43="","",IFERROR(AVERAGEIFS(nNOTA,nNIA,G43,nEVAL,CONFIG_METADATA!$B$4,nASIG,"Coro"),""))</f>
        <v/>
      </c>
      <c r="J43" t="str">
        <f>IF(G43="","",IFERROR(AVERAGEIFS(nNOTA,nNIA,G43,nEVAL,CONFIG_METADATA!$B$4,nASIG,"Conjunto"),""))</f>
        <v/>
      </c>
      <c r="K43" t="str" cm="1">
        <f t="array" ref="K43">IF(G43="","",IFERROR(AVERAGE(IF((nNIA=G43)*(nEVAL=CONFIG_METADATA!$B$4)*(nASIG&lt;&gt;"Lenguaje Musical")*(nASIG&lt;&gt;"Coro")*(nASIG&lt;&gt;"Conjunto"),nNOTA)),""))</f>
        <v/>
      </c>
      <c r="N43" t="str">
        <f>IF(M43="","",IFERROR(AVERAGEIFS(nNOTA,nNIA,M43,nEVAL,CONFIG_METADATA!$B$4,nASIG,"Lenguaje Musical"),""))</f>
        <v/>
      </c>
      <c r="O43" t="str">
        <f>IF(M43="","",IFERROR(AVERAGEIFS(nNOTA,nNIA,M43,nEVAL,CONFIG_METADATA!$B$4,nASIG,"Coro"),""))</f>
        <v/>
      </c>
      <c r="P43" t="str">
        <f>IF(M43="","",IFERROR(AVERAGEIFS(nNOTA,nNIA,M43,nEVAL,CONFIG_METADATA!$B$4,nASIG,"Conjunto"),""))</f>
        <v/>
      </c>
      <c r="Q43" t="str" cm="1">
        <f t="array" ref="Q43">IF(M43="","",IFERROR(AVERAGE(IF((nNIA=M43)*(nEVAL=CONFIG_METADATA!$B$4)*(nASIG&lt;&gt;"Lenguaje Musical")*(nASIG&lt;&gt;"Coro")*(nASIG&lt;&gt;"Conjunto"),nNOTA)),""))</f>
        <v/>
      </c>
      <c r="T43" t="str">
        <f>IF(S43="","",IFERROR(AVERAGEIFS(nNOTA,nNIA,S43,nEVAL,CONFIG_METADATA!$B$4,nASIG,"Lenguaje Musical"),""))</f>
        <v/>
      </c>
      <c r="U43" t="str">
        <f>IF(S43="","",IFERROR(AVERAGEIFS(nNOTA,nNIA,S43,nEVAL,CONFIG_METADATA!$B$4,nASIG,"Coro"),""))</f>
        <v/>
      </c>
      <c r="V43" t="str">
        <f>IF(S43="","",IFERROR(AVERAGEIFS(nNOTA,nNIA,S43,nEVAL,CONFIG_METADATA!$B$4,nASIG,"Conjunto"),""))</f>
        <v/>
      </c>
      <c r="W43" t="str" cm="1">
        <f t="array" ref="W43">IF(S43="","",IFERROR(AVERAGE(IF((nNIA=S43)*(nEVAL=CONFIG_METADATA!$B$4)*(nASIG&lt;&gt;"Lenguaje Musical")*(nASIG&lt;&gt;"Coro")*(nASIG&lt;&gt;"Conjunto"),nNOTA)),""))</f>
        <v/>
      </c>
    </row>
    <row r="44" spans="2:23" ht="15" customHeight="1" x14ac:dyDescent="0.2">
      <c r="B44" t="str">
        <f>IF(A44="","",IFERROR(AVERAGEIFS(nNOTA,nNIA,A44,nEVAL,CONFIG_METADATA!$B$4,nASIG,"Lenguaje Musical"),""))</f>
        <v/>
      </c>
      <c r="C44" t="str">
        <f>IF(A44="","",IFERROR(AVERAGEIFS(nNOTA,nNIA,A44,nEVAL,CONFIG_METADATA!$B$4,nASIG,"Coro"),""))</f>
        <v/>
      </c>
      <c r="D44" t="str">
        <f>IF(A44="","",IFERROR(AVERAGEIFS(nNOTA,nNIA,A44,nEVAL,CONFIG_METADATA!$B$4,nASIG,"Conjunto"),""))</f>
        <v/>
      </c>
      <c r="E44" t="str" cm="1">
        <f t="array" ref="E44">IF(A44="","",IFERROR(AVERAGE(IF((nNIA=A44)*(nEVAL=CONFIG_METADATA!$B$4)*(nASIG&lt;&gt;"Lenguaje Musical")*(nASIG&lt;&gt;"Coro")*(nASIG&lt;&gt;"Conjunto"),nNOTA)),""))</f>
        <v/>
      </c>
      <c r="H44" t="str">
        <f>IF(G44="","",IFERROR(AVERAGEIFS(nNOTA,nNIA,G44,nEVAL,CONFIG_METADATA!$B$4,nASIG,"Lenguaje Musical"),""))</f>
        <v/>
      </c>
      <c r="I44" t="str">
        <f>IF(G44="","",IFERROR(AVERAGEIFS(nNOTA,nNIA,G44,nEVAL,CONFIG_METADATA!$B$4,nASIG,"Coro"),""))</f>
        <v/>
      </c>
      <c r="J44" t="str">
        <f>IF(G44="","",IFERROR(AVERAGEIFS(nNOTA,nNIA,G44,nEVAL,CONFIG_METADATA!$B$4,nASIG,"Conjunto"),""))</f>
        <v/>
      </c>
      <c r="K44" t="str" cm="1">
        <f t="array" ref="K44">IF(G44="","",IFERROR(AVERAGE(IF((nNIA=G44)*(nEVAL=CONFIG_METADATA!$B$4)*(nASIG&lt;&gt;"Lenguaje Musical")*(nASIG&lt;&gt;"Coro")*(nASIG&lt;&gt;"Conjunto"),nNOTA)),""))</f>
        <v/>
      </c>
      <c r="N44" t="str">
        <f>IF(M44="","",IFERROR(AVERAGEIFS(nNOTA,nNIA,M44,nEVAL,CONFIG_METADATA!$B$4,nASIG,"Lenguaje Musical"),""))</f>
        <v/>
      </c>
      <c r="O44" t="str">
        <f>IF(M44="","",IFERROR(AVERAGEIFS(nNOTA,nNIA,M44,nEVAL,CONFIG_METADATA!$B$4,nASIG,"Coro"),""))</f>
        <v/>
      </c>
      <c r="P44" t="str">
        <f>IF(M44="","",IFERROR(AVERAGEIFS(nNOTA,nNIA,M44,nEVAL,CONFIG_METADATA!$B$4,nASIG,"Conjunto"),""))</f>
        <v/>
      </c>
      <c r="Q44" t="str" cm="1">
        <f t="array" ref="Q44">IF(M44="","",IFERROR(AVERAGE(IF((nNIA=M44)*(nEVAL=CONFIG_METADATA!$B$4)*(nASIG&lt;&gt;"Lenguaje Musical")*(nASIG&lt;&gt;"Coro")*(nASIG&lt;&gt;"Conjunto"),nNOTA)),""))</f>
        <v/>
      </c>
      <c r="T44" t="str">
        <f>IF(S44="","",IFERROR(AVERAGEIFS(nNOTA,nNIA,S44,nEVAL,CONFIG_METADATA!$B$4,nASIG,"Lenguaje Musical"),""))</f>
        <v/>
      </c>
      <c r="U44" t="str">
        <f>IF(S44="","",IFERROR(AVERAGEIFS(nNOTA,nNIA,S44,nEVAL,CONFIG_METADATA!$B$4,nASIG,"Coro"),""))</f>
        <v/>
      </c>
      <c r="V44" t="str">
        <f>IF(S44="","",IFERROR(AVERAGEIFS(nNOTA,nNIA,S44,nEVAL,CONFIG_METADATA!$B$4,nASIG,"Conjunto"),""))</f>
        <v/>
      </c>
      <c r="W44" t="str" cm="1">
        <f t="array" ref="W44">IF(S44="","",IFERROR(AVERAGE(IF((nNIA=S44)*(nEVAL=CONFIG_METADATA!$B$4)*(nASIG&lt;&gt;"Lenguaje Musical")*(nASIG&lt;&gt;"Coro")*(nASIG&lt;&gt;"Conjunto"),nNOTA)),""))</f>
        <v/>
      </c>
    </row>
    <row r="45" spans="2:23" ht="15" customHeight="1" x14ac:dyDescent="0.2">
      <c r="B45" t="str">
        <f>IF(A45="","",IFERROR(AVERAGEIFS(nNOTA,nNIA,A45,nEVAL,CONFIG_METADATA!$B$4,nASIG,"Lenguaje Musical"),""))</f>
        <v/>
      </c>
      <c r="C45" t="str">
        <f>IF(A45="","",IFERROR(AVERAGEIFS(nNOTA,nNIA,A45,nEVAL,CONFIG_METADATA!$B$4,nASIG,"Coro"),""))</f>
        <v/>
      </c>
      <c r="D45" t="str">
        <f>IF(A45="","",IFERROR(AVERAGEIFS(nNOTA,nNIA,A45,nEVAL,CONFIG_METADATA!$B$4,nASIG,"Conjunto"),""))</f>
        <v/>
      </c>
      <c r="E45" t="str" cm="1">
        <f t="array" ref="E45">IF(A45="","",IFERROR(AVERAGE(IF((nNIA=A45)*(nEVAL=CONFIG_METADATA!$B$4)*(nASIG&lt;&gt;"Lenguaje Musical")*(nASIG&lt;&gt;"Coro")*(nASIG&lt;&gt;"Conjunto"),nNOTA)),""))</f>
        <v/>
      </c>
      <c r="H45" t="str">
        <f>IF(G45="","",IFERROR(AVERAGEIFS(nNOTA,nNIA,G45,nEVAL,CONFIG_METADATA!$B$4,nASIG,"Lenguaje Musical"),""))</f>
        <v/>
      </c>
      <c r="I45" t="str">
        <f>IF(G45="","",IFERROR(AVERAGEIFS(nNOTA,nNIA,G45,nEVAL,CONFIG_METADATA!$B$4,nASIG,"Coro"),""))</f>
        <v/>
      </c>
      <c r="J45" t="str">
        <f>IF(G45="","",IFERROR(AVERAGEIFS(nNOTA,nNIA,G45,nEVAL,CONFIG_METADATA!$B$4,nASIG,"Conjunto"),""))</f>
        <v/>
      </c>
      <c r="K45" t="str" cm="1">
        <f t="array" ref="K45">IF(G45="","",IFERROR(AVERAGE(IF((nNIA=G45)*(nEVAL=CONFIG_METADATA!$B$4)*(nASIG&lt;&gt;"Lenguaje Musical")*(nASIG&lt;&gt;"Coro")*(nASIG&lt;&gt;"Conjunto"),nNOTA)),""))</f>
        <v/>
      </c>
      <c r="N45" t="str">
        <f>IF(M45="","",IFERROR(AVERAGEIFS(nNOTA,nNIA,M45,nEVAL,CONFIG_METADATA!$B$4,nASIG,"Lenguaje Musical"),""))</f>
        <v/>
      </c>
      <c r="O45" t="str">
        <f>IF(M45="","",IFERROR(AVERAGEIFS(nNOTA,nNIA,M45,nEVAL,CONFIG_METADATA!$B$4,nASIG,"Coro"),""))</f>
        <v/>
      </c>
      <c r="P45" t="str">
        <f>IF(M45="","",IFERROR(AVERAGEIFS(nNOTA,nNIA,M45,nEVAL,CONFIG_METADATA!$B$4,nASIG,"Conjunto"),""))</f>
        <v/>
      </c>
      <c r="Q45" t="str" cm="1">
        <f t="array" ref="Q45">IF(M45="","",IFERROR(AVERAGE(IF((nNIA=M45)*(nEVAL=CONFIG_METADATA!$B$4)*(nASIG&lt;&gt;"Lenguaje Musical")*(nASIG&lt;&gt;"Coro")*(nASIG&lt;&gt;"Conjunto"),nNOTA)),""))</f>
        <v/>
      </c>
      <c r="T45" t="str">
        <f>IF(S45="","",IFERROR(AVERAGEIFS(nNOTA,nNIA,S45,nEVAL,CONFIG_METADATA!$B$4,nASIG,"Lenguaje Musical"),""))</f>
        <v/>
      </c>
      <c r="U45" t="str">
        <f>IF(S45="","",IFERROR(AVERAGEIFS(nNOTA,nNIA,S45,nEVAL,CONFIG_METADATA!$B$4,nASIG,"Coro"),""))</f>
        <v/>
      </c>
      <c r="V45" t="str">
        <f>IF(S45="","",IFERROR(AVERAGEIFS(nNOTA,nNIA,S45,nEVAL,CONFIG_METADATA!$B$4,nASIG,"Conjunto"),""))</f>
        <v/>
      </c>
      <c r="W45" t="str" cm="1">
        <f t="array" ref="W45">IF(S45="","",IFERROR(AVERAGE(IF((nNIA=S45)*(nEVAL=CONFIG_METADATA!$B$4)*(nASIG&lt;&gt;"Lenguaje Musical")*(nASIG&lt;&gt;"Coro")*(nASIG&lt;&gt;"Conjunto"),nNOTA)),""))</f>
        <v/>
      </c>
    </row>
    <row r="46" spans="2:23" ht="15" customHeight="1" x14ac:dyDescent="0.2">
      <c r="B46" t="str">
        <f>IF(A46="","",IFERROR(AVERAGEIFS(nNOTA,nNIA,A46,nEVAL,CONFIG_METADATA!$B$4,nASIG,"Lenguaje Musical"),""))</f>
        <v/>
      </c>
      <c r="C46" t="str">
        <f>IF(A46="","",IFERROR(AVERAGEIFS(nNOTA,nNIA,A46,nEVAL,CONFIG_METADATA!$B$4,nASIG,"Coro"),""))</f>
        <v/>
      </c>
      <c r="D46" t="str">
        <f>IF(A46="","",IFERROR(AVERAGEIFS(nNOTA,nNIA,A46,nEVAL,CONFIG_METADATA!$B$4,nASIG,"Conjunto"),""))</f>
        <v/>
      </c>
      <c r="E46" t="str" cm="1">
        <f t="array" ref="E46">IF(A46="","",IFERROR(AVERAGE(IF((nNIA=A46)*(nEVAL=CONFIG_METADATA!$B$4)*(nASIG&lt;&gt;"Lenguaje Musical")*(nASIG&lt;&gt;"Coro")*(nASIG&lt;&gt;"Conjunto"),nNOTA)),""))</f>
        <v/>
      </c>
      <c r="H46" t="str">
        <f>IF(G46="","",IFERROR(AVERAGEIFS(nNOTA,nNIA,G46,nEVAL,CONFIG_METADATA!$B$4,nASIG,"Lenguaje Musical"),""))</f>
        <v/>
      </c>
      <c r="I46" t="str">
        <f>IF(G46="","",IFERROR(AVERAGEIFS(nNOTA,nNIA,G46,nEVAL,CONFIG_METADATA!$B$4,nASIG,"Coro"),""))</f>
        <v/>
      </c>
      <c r="J46" t="str">
        <f>IF(G46="","",IFERROR(AVERAGEIFS(nNOTA,nNIA,G46,nEVAL,CONFIG_METADATA!$B$4,nASIG,"Conjunto"),""))</f>
        <v/>
      </c>
      <c r="K46" t="str" cm="1">
        <f t="array" ref="K46">IF(G46="","",IFERROR(AVERAGE(IF((nNIA=G46)*(nEVAL=CONFIG_METADATA!$B$4)*(nASIG&lt;&gt;"Lenguaje Musical")*(nASIG&lt;&gt;"Coro")*(nASIG&lt;&gt;"Conjunto"),nNOTA)),""))</f>
        <v/>
      </c>
      <c r="N46" t="str">
        <f>IF(M46="","",IFERROR(AVERAGEIFS(nNOTA,nNIA,M46,nEVAL,CONFIG_METADATA!$B$4,nASIG,"Lenguaje Musical"),""))</f>
        <v/>
      </c>
      <c r="O46" t="str">
        <f>IF(M46="","",IFERROR(AVERAGEIFS(nNOTA,nNIA,M46,nEVAL,CONFIG_METADATA!$B$4,nASIG,"Coro"),""))</f>
        <v/>
      </c>
      <c r="P46" t="str">
        <f>IF(M46="","",IFERROR(AVERAGEIFS(nNOTA,nNIA,M46,nEVAL,CONFIG_METADATA!$B$4,nASIG,"Conjunto"),""))</f>
        <v/>
      </c>
      <c r="Q46" t="str" cm="1">
        <f t="array" ref="Q46">IF(M46="","",IFERROR(AVERAGE(IF((nNIA=M46)*(nEVAL=CONFIG_METADATA!$B$4)*(nASIG&lt;&gt;"Lenguaje Musical")*(nASIG&lt;&gt;"Coro")*(nASIG&lt;&gt;"Conjunto"),nNOTA)),""))</f>
        <v/>
      </c>
      <c r="T46" t="str">
        <f>IF(S46="","",IFERROR(AVERAGEIFS(nNOTA,nNIA,S46,nEVAL,CONFIG_METADATA!$B$4,nASIG,"Lenguaje Musical"),""))</f>
        <v/>
      </c>
      <c r="U46" t="str">
        <f>IF(S46="","",IFERROR(AVERAGEIFS(nNOTA,nNIA,S46,nEVAL,CONFIG_METADATA!$B$4,nASIG,"Coro"),""))</f>
        <v/>
      </c>
      <c r="V46" t="str">
        <f>IF(S46="","",IFERROR(AVERAGEIFS(nNOTA,nNIA,S46,nEVAL,CONFIG_METADATA!$B$4,nASIG,"Conjunto"),""))</f>
        <v/>
      </c>
      <c r="W46" t="str" cm="1">
        <f t="array" ref="W46">IF(S46="","",IFERROR(AVERAGE(IF((nNIA=S46)*(nEVAL=CONFIG_METADATA!$B$4)*(nASIG&lt;&gt;"Lenguaje Musical")*(nASIG&lt;&gt;"Coro")*(nASIG&lt;&gt;"Conjunto"),nNOTA)),""))</f>
        <v/>
      </c>
    </row>
    <row r="47" spans="2:23" ht="15" customHeight="1" x14ac:dyDescent="0.2">
      <c r="B47" t="str">
        <f>IF(A47="","",IFERROR(AVERAGEIFS(nNOTA,nNIA,A47,nEVAL,CONFIG_METADATA!$B$4,nASIG,"Lenguaje Musical"),""))</f>
        <v/>
      </c>
      <c r="C47" t="str">
        <f>IF(A47="","",IFERROR(AVERAGEIFS(nNOTA,nNIA,A47,nEVAL,CONFIG_METADATA!$B$4,nASIG,"Coro"),""))</f>
        <v/>
      </c>
      <c r="D47" t="str">
        <f>IF(A47="","",IFERROR(AVERAGEIFS(nNOTA,nNIA,A47,nEVAL,CONFIG_METADATA!$B$4,nASIG,"Conjunto"),""))</f>
        <v/>
      </c>
      <c r="E47" t="str" cm="1">
        <f t="array" ref="E47">IF(A47="","",IFERROR(AVERAGE(IF((nNIA=A47)*(nEVAL=CONFIG_METADATA!$B$4)*(nASIG&lt;&gt;"Lenguaje Musical")*(nASIG&lt;&gt;"Coro")*(nASIG&lt;&gt;"Conjunto"),nNOTA)),""))</f>
        <v/>
      </c>
      <c r="H47" t="str">
        <f>IF(G47="","",IFERROR(AVERAGEIFS(nNOTA,nNIA,G47,nEVAL,CONFIG_METADATA!$B$4,nASIG,"Lenguaje Musical"),""))</f>
        <v/>
      </c>
      <c r="I47" t="str">
        <f>IF(G47="","",IFERROR(AVERAGEIFS(nNOTA,nNIA,G47,nEVAL,CONFIG_METADATA!$B$4,nASIG,"Coro"),""))</f>
        <v/>
      </c>
      <c r="J47" t="str">
        <f>IF(G47="","",IFERROR(AVERAGEIFS(nNOTA,nNIA,G47,nEVAL,CONFIG_METADATA!$B$4,nASIG,"Conjunto"),""))</f>
        <v/>
      </c>
      <c r="K47" t="str" cm="1">
        <f t="array" ref="K47">IF(G47="","",IFERROR(AVERAGE(IF((nNIA=G47)*(nEVAL=CONFIG_METADATA!$B$4)*(nASIG&lt;&gt;"Lenguaje Musical")*(nASIG&lt;&gt;"Coro")*(nASIG&lt;&gt;"Conjunto"),nNOTA)),""))</f>
        <v/>
      </c>
      <c r="N47" t="str">
        <f>IF(M47="","",IFERROR(AVERAGEIFS(nNOTA,nNIA,M47,nEVAL,CONFIG_METADATA!$B$4,nASIG,"Lenguaje Musical"),""))</f>
        <v/>
      </c>
      <c r="O47" t="str">
        <f>IF(M47="","",IFERROR(AVERAGEIFS(nNOTA,nNIA,M47,nEVAL,CONFIG_METADATA!$B$4,nASIG,"Coro"),""))</f>
        <v/>
      </c>
      <c r="P47" t="str">
        <f>IF(M47="","",IFERROR(AVERAGEIFS(nNOTA,nNIA,M47,nEVAL,CONFIG_METADATA!$B$4,nASIG,"Conjunto"),""))</f>
        <v/>
      </c>
      <c r="Q47" t="str" cm="1">
        <f t="array" ref="Q47">IF(M47="","",IFERROR(AVERAGE(IF((nNIA=M47)*(nEVAL=CONFIG_METADATA!$B$4)*(nASIG&lt;&gt;"Lenguaje Musical")*(nASIG&lt;&gt;"Coro")*(nASIG&lt;&gt;"Conjunto"),nNOTA)),""))</f>
        <v/>
      </c>
      <c r="T47" t="str">
        <f>IF(S47="","",IFERROR(AVERAGEIFS(nNOTA,nNIA,S47,nEVAL,CONFIG_METADATA!$B$4,nASIG,"Lenguaje Musical"),""))</f>
        <v/>
      </c>
      <c r="U47" t="str">
        <f>IF(S47="","",IFERROR(AVERAGEIFS(nNOTA,nNIA,S47,nEVAL,CONFIG_METADATA!$B$4,nASIG,"Coro"),""))</f>
        <v/>
      </c>
      <c r="V47" t="str">
        <f>IF(S47="","",IFERROR(AVERAGEIFS(nNOTA,nNIA,S47,nEVAL,CONFIG_METADATA!$B$4,nASIG,"Conjunto"),""))</f>
        <v/>
      </c>
      <c r="W47" t="str" cm="1">
        <f t="array" ref="W47">IF(S47="","",IFERROR(AVERAGE(IF((nNIA=S47)*(nEVAL=CONFIG_METADATA!$B$4)*(nASIG&lt;&gt;"Lenguaje Musical")*(nASIG&lt;&gt;"Coro")*(nASIG&lt;&gt;"Conjunto"),nNOTA)),""))</f>
        <v/>
      </c>
    </row>
    <row r="48" spans="2:23" ht="15" customHeight="1" x14ac:dyDescent="0.2">
      <c r="B48" t="str">
        <f>IF(A48="","",IFERROR(AVERAGEIFS(nNOTA,nNIA,A48,nEVAL,CONFIG_METADATA!$B$4,nASIG,"Lenguaje Musical"),""))</f>
        <v/>
      </c>
      <c r="C48" t="str">
        <f>IF(A48="","",IFERROR(AVERAGEIFS(nNOTA,nNIA,A48,nEVAL,CONFIG_METADATA!$B$4,nASIG,"Coro"),""))</f>
        <v/>
      </c>
      <c r="D48" t="str">
        <f>IF(A48="","",IFERROR(AVERAGEIFS(nNOTA,nNIA,A48,nEVAL,CONFIG_METADATA!$B$4,nASIG,"Conjunto"),""))</f>
        <v/>
      </c>
      <c r="E48" t="str" cm="1">
        <f t="array" ref="E48">IF(A48="","",IFERROR(AVERAGE(IF((nNIA=A48)*(nEVAL=CONFIG_METADATA!$B$4)*(nASIG&lt;&gt;"Lenguaje Musical")*(nASIG&lt;&gt;"Coro")*(nASIG&lt;&gt;"Conjunto"),nNOTA)),""))</f>
        <v/>
      </c>
      <c r="H48" t="str">
        <f>IF(G48="","",IFERROR(AVERAGEIFS(nNOTA,nNIA,G48,nEVAL,CONFIG_METADATA!$B$4,nASIG,"Lenguaje Musical"),""))</f>
        <v/>
      </c>
      <c r="I48" t="str">
        <f>IF(G48="","",IFERROR(AVERAGEIFS(nNOTA,nNIA,G48,nEVAL,CONFIG_METADATA!$B$4,nASIG,"Coro"),""))</f>
        <v/>
      </c>
      <c r="J48" t="str">
        <f>IF(G48="","",IFERROR(AVERAGEIFS(nNOTA,nNIA,G48,nEVAL,CONFIG_METADATA!$B$4,nASIG,"Conjunto"),""))</f>
        <v/>
      </c>
      <c r="K48" t="str" cm="1">
        <f t="array" ref="K48">IF(G48="","",IFERROR(AVERAGE(IF((nNIA=G48)*(nEVAL=CONFIG_METADATA!$B$4)*(nASIG&lt;&gt;"Lenguaje Musical")*(nASIG&lt;&gt;"Coro")*(nASIG&lt;&gt;"Conjunto"),nNOTA)),""))</f>
        <v/>
      </c>
      <c r="N48" t="str">
        <f>IF(M48="","",IFERROR(AVERAGEIFS(nNOTA,nNIA,M48,nEVAL,CONFIG_METADATA!$B$4,nASIG,"Lenguaje Musical"),""))</f>
        <v/>
      </c>
      <c r="O48" t="str">
        <f>IF(M48="","",IFERROR(AVERAGEIFS(nNOTA,nNIA,M48,nEVAL,CONFIG_METADATA!$B$4,nASIG,"Coro"),""))</f>
        <v/>
      </c>
      <c r="P48" t="str">
        <f>IF(M48="","",IFERROR(AVERAGEIFS(nNOTA,nNIA,M48,nEVAL,CONFIG_METADATA!$B$4,nASIG,"Conjunto"),""))</f>
        <v/>
      </c>
      <c r="Q48" t="str" cm="1">
        <f t="array" ref="Q48">IF(M48="","",IFERROR(AVERAGE(IF((nNIA=M48)*(nEVAL=CONFIG_METADATA!$B$4)*(nASIG&lt;&gt;"Lenguaje Musical")*(nASIG&lt;&gt;"Coro")*(nASIG&lt;&gt;"Conjunto"),nNOTA)),""))</f>
        <v/>
      </c>
      <c r="T48" t="str">
        <f>IF(S48="","",IFERROR(AVERAGEIFS(nNOTA,nNIA,S48,nEVAL,CONFIG_METADATA!$B$4,nASIG,"Lenguaje Musical"),""))</f>
        <v/>
      </c>
      <c r="U48" t="str">
        <f>IF(S48="","",IFERROR(AVERAGEIFS(nNOTA,nNIA,S48,nEVAL,CONFIG_METADATA!$B$4,nASIG,"Coro"),""))</f>
        <v/>
      </c>
      <c r="V48" t="str">
        <f>IF(S48="","",IFERROR(AVERAGEIFS(nNOTA,nNIA,S48,nEVAL,CONFIG_METADATA!$B$4,nASIG,"Conjunto"),""))</f>
        <v/>
      </c>
      <c r="W48" t="str" cm="1">
        <f t="array" ref="W48">IF(S48="","",IFERROR(AVERAGE(IF((nNIA=S48)*(nEVAL=CONFIG_METADATA!$B$4)*(nASIG&lt;&gt;"Lenguaje Musical")*(nASIG&lt;&gt;"Coro")*(nASIG&lt;&gt;"Conjunto"),nNOTA)),""))</f>
        <v/>
      </c>
    </row>
    <row r="49" spans="2:23" ht="15" customHeight="1" x14ac:dyDescent="0.2">
      <c r="B49" t="str">
        <f>IF(A49="","",IFERROR(AVERAGEIFS(nNOTA,nNIA,A49,nEVAL,CONFIG_METADATA!$B$4,nASIG,"Lenguaje Musical"),""))</f>
        <v/>
      </c>
      <c r="C49" t="str">
        <f>IF(A49="","",IFERROR(AVERAGEIFS(nNOTA,nNIA,A49,nEVAL,CONFIG_METADATA!$B$4,nASIG,"Coro"),""))</f>
        <v/>
      </c>
      <c r="D49" t="str">
        <f>IF(A49="","",IFERROR(AVERAGEIFS(nNOTA,nNIA,A49,nEVAL,CONFIG_METADATA!$B$4,nASIG,"Conjunto"),""))</f>
        <v/>
      </c>
      <c r="E49" t="str" cm="1">
        <f t="array" ref="E49">IF(A49="","",IFERROR(AVERAGE(IF((nNIA=A49)*(nEVAL=CONFIG_METADATA!$B$4)*(nASIG&lt;&gt;"Lenguaje Musical")*(nASIG&lt;&gt;"Coro")*(nASIG&lt;&gt;"Conjunto"),nNOTA)),""))</f>
        <v/>
      </c>
      <c r="H49" t="str">
        <f>IF(G49="","",IFERROR(AVERAGEIFS(nNOTA,nNIA,G49,nEVAL,CONFIG_METADATA!$B$4,nASIG,"Lenguaje Musical"),""))</f>
        <v/>
      </c>
      <c r="I49" t="str">
        <f>IF(G49="","",IFERROR(AVERAGEIFS(nNOTA,nNIA,G49,nEVAL,CONFIG_METADATA!$B$4,nASIG,"Coro"),""))</f>
        <v/>
      </c>
      <c r="J49" t="str">
        <f>IF(G49="","",IFERROR(AVERAGEIFS(nNOTA,nNIA,G49,nEVAL,CONFIG_METADATA!$B$4,nASIG,"Conjunto"),""))</f>
        <v/>
      </c>
      <c r="K49" t="str" cm="1">
        <f t="array" ref="K49">IF(G49="","",IFERROR(AVERAGE(IF((nNIA=G49)*(nEVAL=CONFIG_METADATA!$B$4)*(nASIG&lt;&gt;"Lenguaje Musical")*(nASIG&lt;&gt;"Coro")*(nASIG&lt;&gt;"Conjunto"),nNOTA)),""))</f>
        <v/>
      </c>
      <c r="N49" t="str">
        <f>IF(M49="","",IFERROR(AVERAGEIFS(nNOTA,nNIA,M49,nEVAL,CONFIG_METADATA!$B$4,nASIG,"Lenguaje Musical"),""))</f>
        <v/>
      </c>
      <c r="O49" t="str">
        <f>IF(M49="","",IFERROR(AVERAGEIFS(nNOTA,nNIA,M49,nEVAL,CONFIG_METADATA!$B$4,nASIG,"Coro"),""))</f>
        <v/>
      </c>
      <c r="P49" t="str">
        <f>IF(M49="","",IFERROR(AVERAGEIFS(nNOTA,nNIA,M49,nEVAL,CONFIG_METADATA!$B$4,nASIG,"Conjunto"),""))</f>
        <v/>
      </c>
      <c r="Q49" t="str" cm="1">
        <f t="array" ref="Q49">IF(M49="","",IFERROR(AVERAGE(IF((nNIA=M49)*(nEVAL=CONFIG_METADATA!$B$4)*(nASIG&lt;&gt;"Lenguaje Musical")*(nASIG&lt;&gt;"Coro")*(nASIG&lt;&gt;"Conjunto"),nNOTA)),""))</f>
        <v/>
      </c>
      <c r="T49" t="str">
        <f>IF(S49="","",IFERROR(AVERAGEIFS(nNOTA,nNIA,S49,nEVAL,CONFIG_METADATA!$B$4,nASIG,"Lenguaje Musical"),""))</f>
        <v/>
      </c>
      <c r="U49" t="str">
        <f>IF(S49="","",IFERROR(AVERAGEIFS(nNOTA,nNIA,S49,nEVAL,CONFIG_METADATA!$B$4,nASIG,"Coro"),""))</f>
        <v/>
      </c>
      <c r="V49" t="str">
        <f>IF(S49="","",IFERROR(AVERAGEIFS(nNOTA,nNIA,S49,nEVAL,CONFIG_METADATA!$B$4,nASIG,"Conjunto"),""))</f>
        <v/>
      </c>
      <c r="W49" t="str" cm="1">
        <f t="array" ref="W49">IF(S49="","",IFERROR(AVERAGE(IF((nNIA=S49)*(nEVAL=CONFIG_METADATA!$B$4)*(nASIG&lt;&gt;"Lenguaje Musical")*(nASIG&lt;&gt;"Coro")*(nASIG&lt;&gt;"Conjunto"),nNOTA)),""))</f>
        <v/>
      </c>
    </row>
    <row r="50" spans="2:23" ht="15" customHeight="1" x14ac:dyDescent="0.2">
      <c r="B50" t="str">
        <f>IF(A50="","",IFERROR(AVERAGEIFS(nNOTA,nNIA,A50,nEVAL,CONFIG_METADATA!$B$4,nASIG,"Lenguaje Musical"),""))</f>
        <v/>
      </c>
      <c r="C50" t="str">
        <f>IF(A50="","",IFERROR(AVERAGEIFS(nNOTA,nNIA,A50,nEVAL,CONFIG_METADATA!$B$4,nASIG,"Coro"),""))</f>
        <v/>
      </c>
      <c r="D50" t="str">
        <f>IF(A50="","",IFERROR(AVERAGEIFS(nNOTA,nNIA,A50,nEVAL,CONFIG_METADATA!$B$4,nASIG,"Conjunto"),""))</f>
        <v/>
      </c>
      <c r="E50" t="str" cm="1">
        <f t="array" ref="E50">IF(A50="","",IFERROR(AVERAGE(IF((nNIA=A50)*(nEVAL=CONFIG_METADATA!$B$4)*(nASIG&lt;&gt;"Lenguaje Musical")*(nASIG&lt;&gt;"Coro")*(nASIG&lt;&gt;"Conjunto"),nNOTA)),""))</f>
        <v/>
      </c>
      <c r="H50" t="str">
        <f>IF(G50="","",IFERROR(AVERAGEIFS(nNOTA,nNIA,G50,nEVAL,CONFIG_METADATA!$B$4,nASIG,"Lenguaje Musical"),""))</f>
        <v/>
      </c>
      <c r="I50" t="str">
        <f>IF(G50="","",IFERROR(AVERAGEIFS(nNOTA,nNIA,G50,nEVAL,CONFIG_METADATA!$B$4,nASIG,"Coro"),""))</f>
        <v/>
      </c>
      <c r="J50" t="str">
        <f>IF(G50="","",IFERROR(AVERAGEIFS(nNOTA,nNIA,G50,nEVAL,CONFIG_METADATA!$B$4,nASIG,"Conjunto"),""))</f>
        <v/>
      </c>
      <c r="K50" t="str" cm="1">
        <f t="array" ref="K50">IF(G50="","",IFERROR(AVERAGE(IF((nNIA=G50)*(nEVAL=CONFIG_METADATA!$B$4)*(nASIG&lt;&gt;"Lenguaje Musical")*(nASIG&lt;&gt;"Coro")*(nASIG&lt;&gt;"Conjunto"),nNOTA)),""))</f>
        <v/>
      </c>
      <c r="N50" t="str">
        <f>IF(M50="","",IFERROR(AVERAGEIFS(nNOTA,nNIA,M50,nEVAL,CONFIG_METADATA!$B$4,nASIG,"Lenguaje Musical"),""))</f>
        <v/>
      </c>
      <c r="O50" t="str">
        <f>IF(M50="","",IFERROR(AVERAGEIFS(nNOTA,nNIA,M50,nEVAL,CONFIG_METADATA!$B$4,nASIG,"Coro"),""))</f>
        <v/>
      </c>
      <c r="P50" t="str">
        <f>IF(M50="","",IFERROR(AVERAGEIFS(nNOTA,nNIA,M50,nEVAL,CONFIG_METADATA!$B$4,nASIG,"Conjunto"),""))</f>
        <v/>
      </c>
      <c r="Q50" t="str" cm="1">
        <f t="array" ref="Q50">IF(M50="","",IFERROR(AVERAGE(IF((nNIA=M50)*(nEVAL=CONFIG_METADATA!$B$4)*(nASIG&lt;&gt;"Lenguaje Musical")*(nASIG&lt;&gt;"Coro")*(nASIG&lt;&gt;"Conjunto"),nNOTA)),""))</f>
        <v/>
      </c>
      <c r="T50" t="str">
        <f>IF(S50="","",IFERROR(AVERAGEIFS(nNOTA,nNIA,S50,nEVAL,CONFIG_METADATA!$B$4,nASIG,"Lenguaje Musical"),""))</f>
        <v/>
      </c>
      <c r="U50" t="str">
        <f>IF(S50="","",IFERROR(AVERAGEIFS(nNOTA,nNIA,S50,nEVAL,CONFIG_METADATA!$B$4,nASIG,"Coro"),""))</f>
        <v/>
      </c>
      <c r="V50" t="str">
        <f>IF(S50="","",IFERROR(AVERAGEIFS(nNOTA,nNIA,S50,nEVAL,CONFIG_METADATA!$B$4,nASIG,"Conjunto"),""))</f>
        <v/>
      </c>
      <c r="W50" t="str" cm="1">
        <f t="array" ref="W50">IF(S50="","",IFERROR(AVERAGE(IF((nNIA=S50)*(nEVAL=CONFIG_METADATA!$B$4)*(nASIG&lt;&gt;"Lenguaje Musical")*(nASIG&lt;&gt;"Coro")*(nASIG&lt;&gt;"Conjunto"),nNOTA)),""))</f>
        <v/>
      </c>
    </row>
    <row r="51" spans="2:23" ht="15" customHeight="1" x14ac:dyDescent="0.2">
      <c r="B51" t="str">
        <f>IF(A51="","",IFERROR(AVERAGEIFS(nNOTA,nNIA,A51,nEVAL,CONFIG_METADATA!$B$4,nASIG,"Lenguaje Musical"),""))</f>
        <v/>
      </c>
      <c r="C51" t="str">
        <f>IF(A51="","",IFERROR(AVERAGEIFS(nNOTA,nNIA,A51,nEVAL,CONFIG_METADATA!$B$4,nASIG,"Coro"),""))</f>
        <v/>
      </c>
      <c r="D51" t="str">
        <f>IF(A51="","",IFERROR(AVERAGEIFS(nNOTA,nNIA,A51,nEVAL,CONFIG_METADATA!$B$4,nASIG,"Conjunto"),""))</f>
        <v/>
      </c>
      <c r="E51" t="str" cm="1">
        <f t="array" ref="E51">IF(A51="","",IFERROR(AVERAGE(IF((nNIA=A51)*(nEVAL=CONFIG_METADATA!$B$4)*(nASIG&lt;&gt;"Lenguaje Musical")*(nASIG&lt;&gt;"Coro")*(nASIG&lt;&gt;"Conjunto"),nNOTA)),""))</f>
        <v/>
      </c>
      <c r="H51" t="str">
        <f>IF(G51="","",IFERROR(AVERAGEIFS(nNOTA,nNIA,G51,nEVAL,CONFIG_METADATA!$B$4,nASIG,"Lenguaje Musical"),""))</f>
        <v/>
      </c>
      <c r="I51" t="str">
        <f>IF(G51="","",IFERROR(AVERAGEIFS(nNOTA,nNIA,G51,nEVAL,CONFIG_METADATA!$B$4,nASIG,"Coro"),""))</f>
        <v/>
      </c>
      <c r="J51" t="str">
        <f>IF(G51="","",IFERROR(AVERAGEIFS(nNOTA,nNIA,G51,nEVAL,CONFIG_METADATA!$B$4,nASIG,"Conjunto"),""))</f>
        <v/>
      </c>
      <c r="K51" t="str" cm="1">
        <f t="array" ref="K51">IF(G51="","",IFERROR(AVERAGE(IF((nNIA=G51)*(nEVAL=CONFIG_METADATA!$B$4)*(nASIG&lt;&gt;"Lenguaje Musical")*(nASIG&lt;&gt;"Coro")*(nASIG&lt;&gt;"Conjunto"),nNOTA)),""))</f>
        <v/>
      </c>
      <c r="N51" t="str">
        <f>IF(M51="","",IFERROR(AVERAGEIFS(nNOTA,nNIA,M51,nEVAL,CONFIG_METADATA!$B$4,nASIG,"Lenguaje Musical"),""))</f>
        <v/>
      </c>
      <c r="O51" t="str">
        <f>IF(M51="","",IFERROR(AVERAGEIFS(nNOTA,nNIA,M51,nEVAL,CONFIG_METADATA!$B$4,nASIG,"Coro"),""))</f>
        <v/>
      </c>
      <c r="P51" t="str">
        <f>IF(M51="","",IFERROR(AVERAGEIFS(nNOTA,nNIA,M51,nEVAL,CONFIG_METADATA!$B$4,nASIG,"Conjunto"),""))</f>
        <v/>
      </c>
      <c r="Q51" t="str" cm="1">
        <f t="array" ref="Q51">IF(M51="","",IFERROR(AVERAGE(IF((nNIA=M51)*(nEVAL=CONFIG_METADATA!$B$4)*(nASIG&lt;&gt;"Lenguaje Musical")*(nASIG&lt;&gt;"Coro")*(nASIG&lt;&gt;"Conjunto"),nNOTA)),""))</f>
        <v/>
      </c>
      <c r="T51" t="str">
        <f>IF(S51="","",IFERROR(AVERAGEIFS(nNOTA,nNIA,S51,nEVAL,CONFIG_METADATA!$B$4,nASIG,"Lenguaje Musical"),""))</f>
        <v/>
      </c>
      <c r="U51" t="str">
        <f>IF(S51="","",IFERROR(AVERAGEIFS(nNOTA,nNIA,S51,nEVAL,CONFIG_METADATA!$B$4,nASIG,"Coro"),""))</f>
        <v/>
      </c>
      <c r="V51" t="str">
        <f>IF(S51="","",IFERROR(AVERAGEIFS(nNOTA,nNIA,S51,nEVAL,CONFIG_METADATA!$B$4,nASIG,"Conjunto"),""))</f>
        <v/>
      </c>
      <c r="W51" t="str" cm="1">
        <f t="array" ref="W51">IF(S51="","",IFERROR(AVERAGE(IF((nNIA=S51)*(nEVAL=CONFIG_METADATA!$B$4)*(nASIG&lt;&gt;"Lenguaje Musical")*(nASIG&lt;&gt;"Coro")*(nASIG&lt;&gt;"Conjunto"),nNOTA)),""))</f>
        <v/>
      </c>
    </row>
    <row r="52" spans="2:23" ht="15" customHeight="1" x14ac:dyDescent="0.2">
      <c r="B52" t="str">
        <f>IF(A52="","",IFERROR(AVERAGEIFS(nNOTA,nNIA,A52,nEVAL,CONFIG_METADATA!$B$4,nASIG,"Lenguaje Musical"),""))</f>
        <v/>
      </c>
      <c r="C52" t="str">
        <f>IF(A52="","",IFERROR(AVERAGEIFS(nNOTA,nNIA,A52,nEVAL,CONFIG_METADATA!$B$4,nASIG,"Coro"),""))</f>
        <v/>
      </c>
      <c r="D52" t="str">
        <f>IF(A52="","",IFERROR(AVERAGEIFS(nNOTA,nNIA,A52,nEVAL,CONFIG_METADATA!$B$4,nASIG,"Conjunto"),""))</f>
        <v/>
      </c>
      <c r="E52" t="str" cm="1">
        <f t="array" ref="E52">IF(A52="","",IFERROR(AVERAGE(IF((nNIA=A52)*(nEVAL=CONFIG_METADATA!$B$4)*(nASIG&lt;&gt;"Lenguaje Musical")*(nASIG&lt;&gt;"Coro")*(nASIG&lt;&gt;"Conjunto"),nNOTA)),""))</f>
        <v/>
      </c>
      <c r="H52" t="str">
        <f>IF(G52="","",IFERROR(AVERAGEIFS(nNOTA,nNIA,G52,nEVAL,CONFIG_METADATA!$B$4,nASIG,"Lenguaje Musical"),""))</f>
        <v/>
      </c>
      <c r="I52" t="str">
        <f>IF(G52="","",IFERROR(AVERAGEIFS(nNOTA,nNIA,G52,nEVAL,CONFIG_METADATA!$B$4,nASIG,"Coro"),""))</f>
        <v/>
      </c>
      <c r="J52" t="str">
        <f>IF(G52="","",IFERROR(AVERAGEIFS(nNOTA,nNIA,G52,nEVAL,CONFIG_METADATA!$B$4,nASIG,"Conjunto"),""))</f>
        <v/>
      </c>
      <c r="K52" t="str" cm="1">
        <f t="array" ref="K52">IF(G52="","",IFERROR(AVERAGE(IF((nNIA=G52)*(nEVAL=CONFIG_METADATA!$B$4)*(nASIG&lt;&gt;"Lenguaje Musical")*(nASIG&lt;&gt;"Coro")*(nASIG&lt;&gt;"Conjunto"),nNOTA)),""))</f>
        <v/>
      </c>
      <c r="N52" t="str">
        <f>IF(M52="","",IFERROR(AVERAGEIFS(nNOTA,nNIA,M52,nEVAL,CONFIG_METADATA!$B$4,nASIG,"Lenguaje Musical"),""))</f>
        <v/>
      </c>
      <c r="O52" t="str">
        <f>IF(M52="","",IFERROR(AVERAGEIFS(nNOTA,nNIA,M52,nEVAL,CONFIG_METADATA!$B$4,nASIG,"Coro"),""))</f>
        <v/>
      </c>
      <c r="P52" t="str">
        <f>IF(M52="","",IFERROR(AVERAGEIFS(nNOTA,nNIA,M52,nEVAL,CONFIG_METADATA!$B$4,nASIG,"Conjunto"),""))</f>
        <v/>
      </c>
      <c r="Q52" t="str" cm="1">
        <f t="array" ref="Q52">IF(M52="","",IFERROR(AVERAGE(IF((nNIA=M52)*(nEVAL=CONFIG_METADATA!$B$4)*(nASIG&lt;&gt;"Lenguaje Musical")*(nASIG&lt;&gt;"Coro")*(nASIG&lt;&gt;"Conjunto"),nNOTA)),""))</f>
        <v/>
      </c>
      <c r="T52" t="str">
        <f>IF(S52="","",IFERROR(AVERAGEIFS(nNOTA,nNIA,S52,nEVAL,CONFIG_METADATA!$B$4,nASIG,"Lenguaje Musical"),""))</f>
        <v/>
      </c>
      <c r="U52" t="str">
        <f>IF(S52="","",IFERROR(AVERAGEIFS(nNOTA,nNIA,S52,nEVAL,CONFIG_METADATA!$B$4,nASIG,"Coro"),""))</f>
        <v/>
      </c>
      <c r="V52" t="str">
        <f>IF(S52="","",IFERROR(AVERAGEIFS(nNOTA,nNIA,S52,nEVAL,CONFIG_METADATA!$B$4,nASIG,"Conjunto"),""))</f>
        <v/>
      </c>
      <c r="W52" t="str" cm="1">
        <f t="array" ref="W52">IF(S52="","",IFERROR(AVERAGE(IF((nNIA=S52)*(nEVAL=CONFIG_METADATA!$B$4)*(nASIG&lt;&gt;"Lenguaje Musical")*(nASIG&lt;&gt;"Coro")*(nASIG&lt;&gt;"Conjunto"),nNOTA)),""))</f>
        <v/>
      </c>
    </row>
    <row r="53" spans="2:23" ht="15" customHeight="1" x14ac:dyDescent="0.2">
      <c r="B53" t="str">
        <f>IF(A53="","",IFERROR(AVERAGEIFS(nNOTA,nNIA,A53,nEVAL,CONFIG_METADATA!$B$4,nASIG,"Lenguaje Musical"),""))</f>
        <v/>
      </c>
      <c r="C53" t="str">
        <f>IF(A53="","",IFERROR(AVERAGEIFS(nNOTA,nNIA,A53,nEVAL,CONFIG_METADATA!$B$4,nASIG,"Coro"),""))</f>
        <v/>
      </c>
      <c r="D53" t="str">
        <f>IF(A53="","",IFERROR(AVERAGEIFS(nNOTA,nNIA,A53,nEVAL,CONFIG_METADATA!$B$4,nASIG,"Conjunto"),""))</f>
        <v/>
      </c>
      <c r="E53" t="str" cm="1">
        <f t="array" ref="E53">IF(A53="","",IFERROR(AVERAGE(IF((nNIA=A53)*(nEVAL=CONFIG_METADATA!$B$4)*(nASIG&lt;&gt;"Lenguaje Musical")*(nASIG&lt;&gt;"Coro")*(nASIG&lt;&gt;"Conjunto"),nNOTA)),""))</f>
        <v/>
      </c>
      <c r="H53" t="str">
        <f>IF(G53="","",IFERROR(AVERAGEIFS(nNOTA,nNIA,G53,nEVAL,CONFIG_METADATA!$B$4,nASIG,"Lenguaje Musical"),""))</f>
        <v/>
      </c>
      <c r="I53" t="str">
        <f>IF(G53="","",IFERROR(AVERAGEIFS(nNOTA,nNIA,G53,nEVAL,CONFIG_METADATA!$B$4,nASIG,"Coro"),""))</f>
        <v/>
      </c>
      <c r="J53" t="str">
        <f>IF(G53="","",IFERROR(AVERAGEIFS(nNOTA,nNIA,G53,nEVAL,CONFIG_METADATA!$B$4,nASIG,"Conjunto"),""))</f>
        <v/>
      </c>
      <c r="K53" t="str" cm="1">
        <f t="array" ref="K53">IF(G53="","",IFERROR(AVERAGE(IF((nNIA=G53)*(nEVAL=CONFIG_METADATA!$B$4)*(nASIG&lt;&gt;"Lenguaje Musical")*(nASIG&lt;&gt;"Coro")*(nASIG&lt;&gt;"Conjunto"),nNOTA)),""))</f>
        <v/>
      </c>
      <c r="N53" t="str">
        <f>IF(M53="","",IFERROR(AVERAGEIFS(nNOTA,nNIA,M53,nEVAL,CONFIG_METADATA!$B$4,nASIG,"Lenguaje Musical"),""))</f>
        <v/>
      </c>
      <c r="O53" t="str">
        <f>IF(M53="","",IFERROR(AVERAGEIFS(nNOTA,nNIA,M53,nEVAL,CONFIG_METADATA!$B$4,nASIG,"Coro"),""))</f>
        <v/>
      </c>
      <c r="P53" t="str">
        <f>IF(M53="","",IFERROR(AVERAGEIFS(nNOTA,nNIA,M53,nEVAL,CONFIG_METADATA!$B$4,nASIG,"Conjunto"),""))</f>
        <v/>
      </c>
      <c r="Q53" t="str" cm="1">
        <f t="array" ref="Q53">IF(M53="","",IFERROR(AVERAGE(IF((nNIA=M53)*(nEVAL=CONFIG_METADATA!$B$4)*(nASIG&lt;&gt;"Lenguaje Musical")*(nASIG&lt;&gt;"Coro")*(nASIG&lt;&gt;"Conjunto"),nNOTA)),""))</f>
        <v/>
      </c>
      <c r="T53" t="str">
        <f>IF(S53="","",IFERROR(AVERAGEIFS(nNOTA,nNIA,S53,nEVAL,CONFIG_METADATA!$B$4,nASIG,"Lenguaje Musical"),""))</f>
        <v/>
      </c>
      <c r="U53" t="str">
        <f>IF(S53="","",IFERROR(AVERAGEIFS(nNOTA,nNIA,S53,nEVAL,CONFIG_METADATA!$B$4,nASIG,"Coro"),""))</f>
        <v/>
      </c>
      <c r="V53" t="str">
        <f>IF(S53="","",IFERROR(AVERAGEIFS(nNOTA,nNIA,S53,nEVAL,CONFIG_METADATA!$B$4,nASIG,"Conjunto"),""))</f>
        <v/>
      </c>
      <c r="W53" t="str" cm="1">
        <f t="array" ref="W53">IF(S53="","",IFERROR(AVERAGE(IF((nNIA=S53)*(nEVAL=CONFIG_METADATA!$B$4)*(nASIG&lt;&gt;"Lenguaje Musical")*(nASIG&lt;&gt;"Coro")*(nASIG&lt;&gt;"Conjunto"),nNOTA)),""))</f>
        <v/>
      </c>
    </row>
    <row r="54" spans="2:23" ht="15" customHeight="1" x14ac:dyDescent="0.2">
      <c r="B54" t="str">
        <f>IF(A54="","",IFERROR(AVERAGEIFS(nNOTA,nNIA,A54,nEVAL,CONFIG_METADATA!$B$4,nASIG,"Lenguaje Musical"),""))</f>
        <v/>
      </c>
      <c r="C54" t="str">
        <f>IF(A54="","",IFERROR(AVERAGEIFS(nNOTA,nNIA,A54,nEVAL,CONFIG_METADATA!$B$4,nASIG,"Coro"),""))</f>
        <v/>
      </c>
      <c r="D54" t="str">
        <f>IF(A54="","",IFERROR(AVERAGEIFS(nNOTA,nNIA,A54,nEVAL,CONFIG_METADATA!$B$4,nASIG,"Conjunto"),""))</f>
        <v/>
      </c>
      <c r="E54" t="str" cm="1">
        <f t="array" ref="E54">IF(A54="","",IFERROR(AVERAGE(IF((nNIA=A54)*(nEVAL=CONFIG_METADATA!$B$4)*(nASIG&lt;&gt;"Lenguaje Musical")*(nASIG&lt;&gt;"Coro")*(nASIG&lt;&gt;"Conjunto"),nNOTA)),""))</f>
        <v/>
      </c>
      <c r="H54" t="str">
        <f>IF(G54="","",IFERROR(AVERAGEIFS(nNOTA,nNIA,G54,nEVAL,CONFIG_METADATA!$B$4,nASIG,"Lenguaje Musical"),""))</f>
        <v/>
      </c>
      <c r="I54" t="str">
        <f>IF(G54="","",IFERROR(AVERAGEIFS(nNOTA,nNIA,G54,nEVAL,CONFIG_METADATA!$B$4,nASIG,"Coro"),""))</f>
        <v/>
      </c>
      <c r="J54" t="str">
        <f>IF(G54="","",IFERROR(AVERAGEIFS(nNOTA,nNIA,G54,nEVAL,CONFIG_METADATA!$B$4,nASIG,"Conjunto"),""))</f>
        <v/>
      </c>
      <c r="K54" t="str" cm="1">
        <f t="array" ref="K54">IF(G54="","",IFERROR(AVERAGE(IF((nNIA=G54)*(nEVAL=CONFIG_METADATA!$B$4)*(nASIG&lt;&gt;"Lenguaje Musical")*(nASIG&lt;&gt;"Coro")*(nASIG&lt;&gt;"Conjunto"),nNOTA)),""))</f>
        <v/>
      </c>
      <c r="N54" t="str">
        <f>IF(M54="","",IFERROR(AVERAGEIFS(nNOTA,nNIA,M54,nEVAL,CONFIG_METADATA!$B$4,nASIG,"Lenguaje Musical"),""))</f>
        <v/>
      </c>
      <c r="O54" t="str">
        <f>IF(M54="","",IFERROR(AVERAGEIFS(nNOTA,nNIA,M54,nEVAL,CONFIG_METADATA!$B$4,nASIG,"Coro"),""))</f>
        <v/>
      </c>
      <c r="P54" t="str">
        <f>IF(M54="","",IFERROR(AVERAGEIFS(nNOTA,nNIA,M54,nEVAL,CONFIG_METADATA!$B$4,nASIG,"Conjunto"),""))</f>
        <v/>
      </c>
      <c r="Q54" t="str" cm="1">
        <f t="array" ref="Q54">IF(M54="","",IFERROR(AVERAGE(IF((nNIA=M54)*(nEVAL=CONFIG_METADATA!$B$4)*(nASIG&lt;&gt;"Lenguaje Musical")*(nASIG&lt;&gt;"Coro")*(nASIG&lt;&gt;"Conjunto"),nNOTA)),""))</f>
        <v/>
      </c>
      <c r="T54" t="str">
        <f>IF(S54="","",IFERROR(AVERAGEIFS(nNOTA,nNIA,S54,nEVAL,CONFIG_METADATA!$B$4,nASIG,"Lenguaje Musical"),""))</f>
        <v/>
      </c>
      <c r="U54" t="str">
        <f>IF(S54="","",IFERROR(AVERAGEIFS(nNOTA,nNIA,S54,nEVAL,CONFIG_METADATA!$B$4,nASIG,"Coro"),""))</f>
        <v/>
      </c>
      <c r="V54" t="str">
        <f>IF(S54="","",IFERROR(AVERAGEIFS(nNOTA,nNIA,S54,nEVAL,CONFIG_METADATA!$B$4,nASIG,"Conjunto"),""))</f>
        <v/>
      </c>
      <c r="W54" t="str" cm="1">
        <f t="array" ref="W54">IF(S54="","",IFERROR(AVERAGE(IF((nNIA=S54)*(nEVAL=CONFIG_METADATA!$B$4)*(nASIG&lt;&gt;"Lenguaje Musical")*(nASIG&lt;&gt;"Coro")*(nASIG&lt;&gt;"Conjunto"),nNOTA)),""))</f>
        <v/>
      </c>
    </row>
    <row r="55" spans="2:23" ht="15" customHeight="1" x14ac:dyDescent="0.2">
      <c r="B55" t="str">
        <f>IF(A55="","",IFERROR(AVERAGEIFS(nNOTA,nNIA,A55,nEVAL,CONFIG_METADATA!$B$4,nASIG,"Lenguaje Musical"),""))</f>
        <v/>
      </c>
      <c r="C55" t="str">
        <f>IF(A55="","",IFERROR(AVERAGEIFS(nNOTA,nNIA,A55,nEVAL,CONFIG_METADATA!$B$4,nASIG,"Coro"),""))</f>
        <v/>
      </c>
      <c r="D55" t="str">
        <f>IF(A55="","",IFERROR(AVERAGEIFS(nNOTA,nNIA,A55,nEVAL,CONFIG_METADATA!$B$4,nASIG,"Conjunto"),""))</f>
        <v/>
      </c>
      <c r="E55" t="str" cm="1">
        <f t="array" ref="E55">IF(A55="","",IFERROR(AVERAGE(IF((nNIA=A55)*(nEVAL=CONFIG_METADATA!$B$4)*(nASIG&lt;&gt;"Lenguaje Musical")*(nASIG&lt;&gt;"Coro")*(nASIG&lt;&gt;"Conjunto"),nNOTA)),""))</f>
        <v/>
      </c>
      <c r="H55" t="str">
        <f>IF(G55="","",IFERROR(AVERAGEIFS(nNOTA,nNIA,G55,nEVAL,CONFIG_METADATA!$B$4,nASIG,"Lenguaje Musical"),""))</f>
        <v/>
      </c>
      <c r="I55" t="str">
        <f>IF(G55="","",IFERROR(AVERAGEIFS(nNOTA,nNIA,G55,nEVAL,CONFIG_METADATA!$B$4,nASIG,"Coro"),""))</f>
        <v/>
      </c>
      <c r="J55" t="str">
        <f>IF(G55="","",IFERROR(AVERAGEIFS(nNOTA,nNIA,G55,nEVAL,CONFIG_METADATA!$B$4,nASIG,"Conjunto"),""))</f>
        <v/>
      </c>
      <c r="K55" t="str" cm="1">
        <f t="array" ref="K55">IF(G55="","",IFERROR(AVERAGE(IF((nNIA=G55)*(nEVAL=CONFIG_METADATA!$B$4)*(nASIG&lt;&gt;"Lenguaje Musical")*(nASIG&lt;&gt;"Coro")*(nASIG&lt;&gt;"Conjunto"),nNOTA)),""))</f>
        <v/>
      </c>
      <c r="N55" t="str">
        <f>IF(M55="","",IFERROR(AVERAGEIFS(nNOTA,nNIA,M55,nEVAL,CONFIG_METADATA!$B$4,nASIG,"Lenguaje Musical"),""))</f>
        <v/>
      </c>
      <c r="O55" t="str">
        <f>IF(M55="","",IFERROR(AVERAGEIFS(nNOTA,nNIA,M55,nEVAL,CONFIG_METADATA!$B$4,nASIG,"Coro"),""))</f>
        <v/>
      </c>
      <c r="P55" t="str">
        <f>IF(M55="","",IFERROR(AVERAGEIFS(nNOTA,nNIA,M55,nEVAL,CONFIG_METADATA!$B$4,nASIG,"Conjunto"),""))</f>
        <v/>
      </c>
      <c r="Q55" t="str" cm="1">
        <f t="array" ref="Q55">IF(M55="","",IFERROR(AVERAGE(IF((nNIA=M55)*(nEVAL=CONFIG_METADATA!$B$4)*(nASIG&lt;&gt;"Lenguaje Musical")*(nASIG&lt;&gt;"Coro")*(nASIG&lt;&gt;"Conjunto"),nNOTA)),""))</f>
        <v/>
      </c>
      <c r="T55" t="str">
        <f>IF(S55="","",IFERROR(AVERAGEIFS(nNOTA,nNIA,S55,nEVAL,CONFIG_METADATA!$B$4,nASIG,"Lenguaje Musical"),""))</f>
        <v/>
      </c>
      <c r="U55" t="str">
        <f>IF(S55="","",IFERROR(AVERAGEIFS(nNOTA,nNIA,S55,nEVAL,CONFIG_METADATA!$B$4,nASIG,"Coro"),""))</f>
        <v/>
      </c>
      <c r="V55" t="str">
        <f>IF(S55="","",IFERROR(AVERAGEIFS(nNOTA,nNIA,S55,nEVAL,CONFIG_METADATA!$B$4,nASIG,"Conjunto"),""))</f>
        <v/>
      </c>
      <c r="W55" t="str" cm="1">
        <f t="array" ref="W55">IF(S55="","",IFERROR(AVERAGE(IF((nNIA=S55)*(nEVAL=CONFIG_METADATA!$B$4)*(nASIG&lt;&gt;"Lenguaje Musical")*(nASIG&lt;&gt;"Coro")*(nASIG&lt;&gt;"Conjunto"),nNOTA)),""))</f>
        <v/>
      </c>
    </row>
    <row r="56" spans="2:23" ht="15" customHeight="1" x14ac:dyDescent="0.2">
      <c r="B56" t="str">
        <f>IF(A56="","",IFERROR(AVERAGEIFS(nNOTA,nNIA,A56,nEVAL,CONFIG_METADATA!$B$4,nASIG,"Lenguaje Musical"),""))</f>
        <v/>
      </c>
      <c r="C56" t="str">
        <f>IF(A56="","",IFERROR(AVERAGEIFS(nNOTA,nNIA,A56,nEVAL,CONFIG_METADATA!$B$4,nASIG,"Coro"),""))</f>
        <v/>
      </c>
      <c r="D56" t="str">
        <f>IF(A56="","",IFERROR(AVERAGEIFS(nNOTA,nNIA,A56,nEVAL,CONFIG_METADATA!$B$4,nASIG,"Conjunto"),""))</f>
        <v/>
      </c>
      <c r="E56" t="str" cm="1">
        <f t="array" ref="E56">IF(A56="","",IFERROR(AVERAGE(IF((nNIA=A56)*(nEVAL=CONFIG_METADATA!$B$4)*(nASIG&lt;&gt;"Lenguaje Musical")*(nASIG&lt;&gt;"Coro")*(nASIG&lt;&gt;"Conjunto"),nNOTA)),""))</f>
        <v/>
      </c>
      <c r="H56" t="str">
        <f>IF(G56="","",IFERROR(AVERAGEIFS(nNOTA,nNIA,G56,nEVAL,CONFIG_METADATA!$B$4,nASIG,"Lenguaje Musical"),""))</f>
        <v/>
      </c>
      <c r="I56" t="str">
        <f>IF(G56="","",IFERROR(AVERAGEIFS(nNOTA,nNIA,G56,nEVAL,CONFIG_METADATA!$B$4,nASIG,"Coro"),""))</f>
        <v/>
      </c>
      <c r="J56" t="str">
        <f>IF(G56="","",IFERROR(AVERAGEIFS(nNOTA,nNIA,G56,nEVAL,CONFIG_METADATA!$B$4,nASIG,"Conjunto"),""))</f>
        <v/>
      </c>
      <c r="K56" t="str" cm="1">
        <f t="array" ref="K56">IF(G56="","",IFERROR(AVERAGE(IF((nNIA=G56)*(nEVAL=CONFIG_METADATA!$B$4)*(nASIG&lt;&gt;"Lenguaje Musical")*(nASIG&lt;&gt;"Coro")*(nASIG&lt;&gt;"Conjunto"),nNOTA)),""))</f>
        <v/>
      </c>
      <c r="N56" t="str">
        <f>IF(M56="","",IFERROR(AVERAGEIFS(nNOTA,nNIA,M56,nEVAL,CONFIG_METADATA!$B$4,nASIG,"Lenguaje Musical"),""))</f>
        <v/>
      </c>
      <c r="O56" t="str">
        <f>IF(M56="","",IFERROR(AVERAGEIFS(nNOTA,nNIA,M56,nEVAL,CONFIG_METADATA!$B$4,nASIG,"Coro"),""))</f>
        <v/>
      </c>
      <c r="P56" t="str">
        <f>IF(M56="","",IFERROR(AVERAGEIFS(nNOTA,nNIA,M56,nEVAL,CONFIG_METADATA!$B$4,nASIG,"Conjunto"),""))</f>
        <v/>
      </c>
      <c r="Q56" t="str" cm="1">
        <f t="array" ref="Q56">IF(M56="","",IFERROR(AVERAGE(IF((nNIA=M56)*(nEVAL=CONFIG_METADATA!$B$4)*(nASIG&lt;&gt;"Lenguaje Musical")*(nASIG&lt;&gt;"Coro")*(nASIG&lt;&gt;"Conjunto"),nNOTA)),""))</f>
        <v/>
      </c>
      <c r="T56" t="str">
        <f>IF(S56="","",IFERROR(AVERAGEIFS(nNOTA,nNIA,S56,nEVAL,CONFIG_METADATA!$B$4,nASIG,"Lenguaje Musical"),""))</f>
        <v/>
      </c>
      <c r="U56" t="str">
        <f>IF(S56="","",IFERROR(AVERAGEIFS(nNOTA,nNIA,S56,nEVAL,CONFIG_METADATA!$B$4,nASIG,"Coro"),""))</f>
        <v/>
      </c>
      <c r="V56" t="str">
        <f>IF(S56="","",IFERROR(AVERAGEIFS(nNOTA,nNIA,S56,nEVAL,CONFIG_METADATA!$B$4,nASIG,"Conjunto"),""))</f>
        <v/>
      </c>
      <c r="W56" t="str" cm="1">
        <f t="array" ref="W56">IF(S56="","",IFERROR(AVERAGE(IF((nNIA=S56)*(nEVAL=CONFIG_METADATA!$B$4)*(nASIG&lt;&gt;"Lenguaje Musical")*(nASIG&lt;&gt;"Coro")*(nASIG&lt;&gt;"Conjunto"),nNOTA)),""))</f>
        <v/>
      </c>
    </row>
    <row r="57" spans="2:23" ht="15" customHeight="1" x14ac:dyDescent="0.2">
      <c r="B57" t="str">
        <f>IF(A57="","",IFERROR(AVERAGEIFS(nNOTA,nNIA,A57,nEVAL,CONFIG_METADATA!$B$4,nASIG,"Lenguaje Musical"),""))</f>
        <v/>
      </c>
      <c r="C57" t="str">
        <f>IF(A57="","",IFERROR(AVERAGEIFS(nNOTA,nNIA,A57,nEVAL,CONFIG_METADATA!$B$4,nASIG,"Coro"),""))</f>
        <v/>
      </c>
      <c r="D57" t="str">
        <f>IF(A57="","",IFERROR(AVERAGEIFS(nNOTA,nNIA,A57,nEVAL,CONFIG_METADATA!$B$4,nASIG,"Conjunto"),""))</f>
        <v/>
      </c>
      <c r="E57" t="str" cm="1">
        <f t="array" ref="E57">IF(A57="","",IFERROR(AVERAGE(IF((nNIA=A57)*(nEVAL=CONFIG_METADATA!$B$4)*(nASIG&lt;&gt;"Lenguaje Musical")*(nASIG&lt;&gt;"Coro")*(nASIG&lt;&gt;"Conjunto"),nNOTA)),""))</f>
        <v/>
      </c>
      <c r="H57" t="str">
        <f>IF(G57="","",IFERROR(AVERAGEIFS(nNOTA,nNIA,G57,nEVAL,CONFIG_METADATA!$B$4,nASIG,"Lenguaje Musical"),""))</f>
        <v/>
      </c>
      <c r="I57" t="str">
        <f>IF(G57="","",IFERROR(AVERAGEIFS(nNOTA,nNIA,G57,nEVAL,CONFIG_METADATA!$B$4,nASIG,"Coro"),""))</f>
        <v/>
      </c>
      <c r="J57" t="str">
        <f>IF(G57="","",IFERROR(AVERAGEIFS(nNOTA,nNIA,G57,nEVAL,CONFIG_METADATA!$B$4,nASIG,"Conjunto"),""))</f>
        <v/>
      </c>
      <c r="K57" t="str" cm="1">
        <f t="array" ref="K57">IF(G57="","",IFERROR(AVERAGE(IF((nNIA=G57)*(nEVAL=CONFIG_METADATA!$B$4)*(nASIG&lt;&gt;"Lenguaje Musical")*(nASIG&lt;&gt;"Coro")*(nASIG&lt;&gt;"Conjunto"),nNOTA)),""))</f>
        <v/>
      </c>
      <c r="N57" t="str">
        <f>IF(M57="","",IFERROR(AVERAGEIFS(nNOTA,nNIA,M57,nEVAL,CONFIG_METADATA!$B$4,nASIG,"Lenguaje Musical"),""))</f>
        <v/>
      </c>
      <c r="O57" t="str">
        <f>IF(M57="","",IFERROR(AVERAGEIFS(nNOTA,nNIA,M57,nEVAL,CONFIG_METADATA!$B$4,nASIG,"Coro"),""))</f>
        <v/>
      </c>
      <c r="P57" t="str">
        <f>IF(M57="","",IFERROR(AVERAGEIFS(nNOTA,nNIA,M57,nEVAL,CONFIG_METADATA!$B$4,nASIG,"Conjunto"),""))</f>
        <v/>
      </c>
      <c r="Q57" t="str" cm="1">
        <f t="array" ref="Q57">IF(M57="","",IFERROR(AVERAGE(IF((nNIA=M57)*(nEVAL=CONFIG_METADATA!$B$4)*(nASIG&lt;&gt;"Lenguaje Musical")*(nASIG&lt;&gt;"Coro")*(nASIG&lt;&gt;"Conjunto"),nNOTA)),""))</f>
        <v/>
      </c>
      <c r="T57" t="str">
        <f>IF(S57="","",IFERROR(AVERAGEIFS(nNOTA,nNIA,S57,nEVAL,CONFIG_METADATA!$B$4,nASIG,"Lenguaje Musical"),""))</f>
        <v/>
      </c>
      <c r="U57" t="str">
        <f>IF(S57="","",IFERROR(AVERAGEIFS(nNOTA,nNIA,S57,nEVAL,CONFIG_METADATA!$B$4,nASIG,"Coro"),""))</f>
        <v/>
      </c>
      <c r="V57" t="str">
        <f>IF(S57="","",IFERROR(AVERAGEIFS(nNOTA,nNIA,S57,nEVAL,CONFIG_METADATA!$B$4,nASIG,"Conjunto"),""))</f>
        <v/>
      </c>
      <c r="W57" t="str" cm="1">
        <f t="array" ref="W57">IF(S57="","",IFERROR(AVERAGE(IF((nNIA=S57)*(nEVAL=CONFIG_METADATA!$B$4)*(nASIG&lt;&gt;"Lenguaje Musical")*(nASIG&lt;&gt;"Coro")*(nASIG&lt;&gt;"Conjunto"),nNOTA)),""))</f>
        <v/>
      </c>
    </row>
    <row r="58" spans="2:23" ht="15" customHeight="1" x14ac:dyDescent="0.2">
      <c r="B58" t="str">
        <f>IF(A58="","",IFERROR(AVERAGEIFS(nNOTA,nNIA,A58,nEVAL,CONFIG_METADATA!$B$4,nASIG,"Lenguaje Musical"),""))</f>
        <v/>
      </c>
      <c r="C58" t="str">
        <f>IF(A58="","",IFERROR(AVERAGEIFS(nNOTA,nNIA,A58,nEVAL,CONFIG_METADATA!$B$4,nASIG,"Coro"),""))</f>
        <v/>
      </c>
      <c r="D58" t="str">
        <f>IF(A58="","",IFERROR(AVERAGEIFS(nNOTA,nNIA,A58,nEVAL,CONFIG_METADATA!$B$4,nASIG,"Conjunto"),""))</f>
        <v/>
      </c>
      <c r="E58" t="str" cm="1">
        <f t="array" ref="E58">IF(A58="","",IFERROR(AVERAGE(IF((nNIA=A58)*(nEVAL=CONFIG_METADATA!$B$4)*(nASIG&lt;&gt;"Lenguaje Musical")*(nASIG&lt;&gt;"Coro")*(nASIG&lt;&gt;"Conjunto"),nNOTA)),""))</f>
        <v/>
      </c>
      <c r="H58" t="str">
        <f>IF(G58="","",IFERROR(AVERAGEIFS(nNOTA,nNIA,G58,nEVAL,CONFIG_METADATA!$B$4,nASIG,"Lenguaje Musical"),""))</f>
        <v/>
      </c>
      <c r="I58" t="str">
        <f>IF(G58="","",IFERROR(AVERAGEIFS(nNOTA,nNIA,G58,nEVAL,CONFIG_METADATA!$B$4,nASIG,"Coro"),""))</f>
        <v/>
      </c>
      <c r="J58" t="str">
        <f>IF(G58="","",IFERROR(AVERAGEIFS(nNOTA,nNIA,G58,nEVAL,CONFIG_METADATA!$B$4,nASIG,"Conjunto"),""))</f>
        <v/>
      </c>
      <c r="K58" t="str" cm="1">
        <f t="array" ref="K58">IF(G58="","",IFERROR(AVERAGE(IF((nNIA=G58)*(nEVAL=CONFIG_METADATA!$B$4)*(nASIG&lt;&gt;"Lenguaje Musical")*(nASIG&lt;&gt;"Coro")*(nASIG&lt;&gt;"Conjunto"),nNOTA)),""))</f>
        <v/>
      </c>
      <c r="N58" t="str">
        <f>IF(M58="","",IFERROR(AVERAGEIFS(nNOTA,nNIA,M58,nEVAL,CONFIG_METADATA!$B$4,nASIG,"Lenguaje Musical"),""))</f>
        <v/>
      </c>
      <c r="O58" t="str">
        <f>IF(M58="","",IFERROR(AVERAGEIFS(nNOTA,nNIA,M58,nEVAL,CONFIG_METADATA!$B$4,nASIG,"Coro"),""))</f>
        <v/>
      </c>
      <c r="P58" t="str">
        <f>IF(M58="","",IFERROR(AVERAGEIFS(nNOTA,nNIA,M58,nEVAL,CONFIG_METADATA!$B$4,nASIG,"Conjunto"),""))</f>
        <v/>
      </c>
      <c r="Q58" t="str" cm="1">
        <f t="array" ref="Q58">IF(M58="","",IFERROR(AVERAGE(IF((nNIA=M58)*(nEVAL=CONFIG_METADATA!$B$4)*(nASIG&lt;&gt;"Lenguaje Musical")*(nASIG&lt;&gt;"Coro")*(nASIG&lt;&gt;"Conjunto"),nNOTA)),""))</f>
        <v/>
      </c>
      <c r="T58" t="str">
        <f>IF(S58="","",IFERROR(AVERAGEIFS(nNOTA,nNIA,S58,nEVAL,CONFIG_METADATA!$B$4,nASIG,"Lenguaje Musical"),""))</f>
        <v/>
      </c>
      <c r="U58" t="str">
        <f>IF(S58="","",IFERROR(AVERAGEIFS(nNOTA,nNIA,S58,nEVAL,CONFIG_METADATA!$B$4,nASIG,"Coro"),""))</f>
        <v/>
      </c>
      <c r="V58" t="str">
        <f>IF(S58="","",IFERROR(AVERAGEIFS(nNOTA,nNIA,S58,nEVAL,CONFIG_METADATA!$B$4,nASIG,"Conjunto"),""))</f>
        <v/>
      </c>
      <c r="W58" t="str" cm="1">
        <f t="array" ref="W58">IF(S58="","",IFERROR(AVERAGE(IF((nNIA=S58)*(nEVAL=CONFIG_METADATA!$B$4)*(nASIG&lt;&gt;"Lenguaje Musical")*(nASIG&lt;&gt;"Coro")*(nASIG&lt;&gt;"Conjunto"),nNOTA)),""))</f>
        <v/>
      </c>
    </row>
    <row r="59" spans="2:23" ht="15" customHeight="1" x14ac:dyDescent="0.2">
      <c r="B59" t="str">
        <f>IF(A59="","",IFERROR(AVERAGEIFS(nNOTA,nNIA,A59,nEVAL,CONFIG_METADATA!$B$4,nASIG,"Lenguaje Musical"),""))</f>
        <v/>
      </c>
      <c r="C59" t="str">
        <f>IF(A59="","",IFERROR(AVERAGEIFS(nNOTA,nNIA,A59,nEVAL,CONFIG_METADATA!$B$4,nASIG,"Coro"),""))</f>
        <v/>
      </c>
      <c r="D59" t="str">
        <f>IF(A59="","",IFERROR(AVERAGEIFS(nNOTA,nNIA,A59,nEVAL,CONFIG_METADATA!$B$4,nASIG,"Conjunto"),""))</f>
        <v/>
      </c>
      <c r="E59" t="str" cm="1">
        <f t="array" ref="E59">IF(A59="","",IFERROR(AVERAGE(IF((nNIA=A59)*(nEVAL=CONFIG_METADATA!$B$4)*(nASIG&lt;&gt;"Lenguaje Musical")*(nASIG&lt;&gt;"Coro")*(nASIG&lt;&gt;"Conjunto"),nNOTA)),""))</f>
        <v/>
      </c>
      <c r="H59" t="str">
        <f>IF(G59="","",IFERROR(AVERAGEIFS(nNOTA,nNIA,G59,nEVAL,CONFIG_METADATA!$B$4,nASIG,"Lenguaje Musical"),""))</f>
        <v/>
      </c>
      <c r="I59" t="str">
        <f>IF(G59="","",IFERROR(AVERAGEIFS(nNOTA,nNIA,G59,nEVAL,CONFIG_METADATA!$B$4,nASIG,"Coro"),""))</f>
        <v/>
      </c>
      <c r="J59" t="str">
        <f>IF(G59="","",IFERROR(AVERAGEIFS(nNOTA,nNIA,G59,nEVAL,CONFIG_METADATA!$B$4,nASIG,"Conjunto"),""))</f>
        <v/>
      </c>
      <c r="K59" t="str" cm="1">
        <f t="array" ref="K59">IF(G59="","",IFERROR(AVERAGE(IF((nNIA=G59)*(nEVAL=CONFIG_METADATA!$B$4)*(nASIG&lt;&gt;"Lenguaje Musical")*(nASIG&lt;&gt;"Coro")*(nASIG&lt;&gt;"Conjunto"),nNOTA)),""))</f>
        <v/>
      </c>
      <c r="N59" t="str">
        <f>IF(M59="","",IFERROR(AVERAGEIFS(nNOTA,nNIA,M59,nEVAL,CONFIG_METADATA!$B$4,nASIG,"Lenguaje Musical"),""))</f>
        <v/>
      </c>
      <c r="O59" t="str">
        <f>IF(M59="","",IFERROR(AVERAGEIFS(nNOTA,nNIA,M59,nEVAL,CONFIG_METADATA!$B$4,nASIG,"Coro"),""))</f>
        <v/>
      </c>
      <c r="P59" t="str">
        <f>IF(M59="","",IFERROR(AVERAGEIFS(nNOTA,nNIA,M59,nEVAL,CONFIG_METADATA!$B$4,nASIG,"Conjunto"),""))</f>
        <v/>
      </c>
      <c r="Q59" t="str" cm="1">
        <f t="array" ref="Q59">IF(M59="","",IFERROR(AVERAGE(IF((nNIA=M59)*(nEVAL=CONFIG_METADATA!$B$4)*(nASIG&lt;&gt;"Lenguaje Musical")*(nASIG&lt;&gt;"Coro")*(nASIG&lt;&gt;"Conjunto"),nNOTA)),""))</f>
        <v/>
      </c>
      <c r="T59" t="str">
        <f>IF(S59="","",IFERROR(AVERAGEIFS(nNOTA,nNIA,S59,nEVAL,CONFIG_METADATA!$B$4,nASIG,"Lenguaje Musical"),""))</f>
        <v/>
      </c>
      <c r="U59" t="str">
        <f>IF(S59="","",IFERROR(AVERAGEIFS(nNOTA,nNIA,S59,nEVAL,CONFIG_METADATA!$B$4,nASIG,"Coro"),""))</f>
        <v/>
      </c>
      <c r="V59" t="str">
        <f>IF(S59="","",IFERROR(AVERAGEIFS(nNOTA,nNIA,S59,nEVAL,CONFIG_METADATA!$B$4,nASIG,"Conjunto"),""))</f>
        <v/>
      </c>
      <c r="W59" t="str" cm="1">
        <f t="array" ref="W59">IF(S59="","",IFERROR(AVERAGE(IF((nNIA=S59)*(nEVAL=CONFIG_METADATA!$B$4)*(nASIG&lt;&gt;"Lenguaje Musical")*(nASIG&lt;&gt;"Coro")*(nASIG&lt;&gt;"Conjunto"),nNOTA)),""))</f>
        <v/>
      </c>
    </row>
    <row r="60" spans="2:23" ht="15" customHeight="1" x14ac:dyDescent="0.2">
      <c r="B60" t="str">
        <f>IF(A60="","",IFERROR(AVERAGEIFS(nNOTA,nNIA,A60,nEVAL,CONFIG_METADATA!$B$4,nASIG,"Lenguaje Musical"),""))</f>
        <v/>
      </c>
      <c r="C60" t="str">
        <f>IF(A60="","",IFERROR(AVERAGEIFS(nNOTA,nNIA,A60,nEVAL,CONFIG_METADATA!$B$4,nASIG,"Coro"),""))</f>
        <v/>
      </c>
      <c r="D60" t="str">
        <f>IF(A60="","",IFERROR(AVERAGEIFS(nNOTA,nNIA,A60,nEVAL,CONFIG_METADATA!$B$4,nASIG,"Conjunto"),""))</f>
        <v/>
      </c>
      <c r="E60" t="str" cm="1">
        <f t="array" ref="E60">IF(A60="","",IFERROR(AVERAGE(IF((nNIA=A60)*(nEVAL=CONFIG_METADATA!$B$4)*(nASIG&lt;&gt;"Lenguaje Musical")*(nASIG&lt;&gt;"Coro")*(nASIG&lt;&gt;"Conjunto"),nNOTA)),""))</f>
        <v/>
      </c>
      <c r="H60" t="str">
        <f>IF(G60="","",IFERROR(AVERAGEIFS(nNOTA,nNIA,G60,nEVAL,CONFIG_METADATA!$B$4,nASIG,"Lenguaje Musical"),""))</f>
        <v/>
      </c>
      <c r="I60" t="str">
        <f>IF(G60="","",IFERROR(AVERAGEIFS(nNOTA,nNIA,G60,nEVAL,CONFIG_METADATA!$B$4,nASIG,"Coro"),""))</f>
        <v/>
      </c>
      <c r="J60" t="str">
        <f>IF(G60="","",IFERROR(AVERAGEIFS(nNOTA,nNIA,G60,nEVAL,CONFIG_METADATA!$B$4,nASIG,"Conjunto"),""))</f>
        <v/>
      </c>
      <c r="K60" t="str" cm="1">
        <f t="array" ref="K60">IF(G60="","",IFERROR(AVERAGE(IF((nNIA=G60)*(nEVAL=CONFIG_METADATA!$B$4)*(nASIG&lt;&gt;"Lenguaje Musical")*(nASIG&lt;&gt;"Coro")*(nASIG&lt;&gt;"Conjunto"),nNOTA)),""))</f>
        <v/>
      </c>
      <c r="N60" t="str">
        <f>IF(M60="","",IFERROR(AVERAGEIFS(nNOTA,nNIA,M60,nEVAL,CONFIG_METADATA!$B$4,nASIG,"Lenguaje Musical"),""))</f>
        <v/>
      </c>
      <c r="O60" t="str">
        <f>IF(M60="","",IFERROR(AVERAGEIFS(nNOTA,nNIA,M60,nEVAL,CONFIG_METADATA!$B$4,nASIG,"Coro"),""))</f>
        <v/>
      </c>
      <c r="P60" t="str">
        <f>IF(M60="","",IFERROR(AVERAGEIFS(nNOTA,nNIA,M60,nEVAL,CONFIG_METADATA!$B$4,nASIG,"Conjunto"),""))</f>
        <v/>
      </c>
      <c r="Q60" t="str" cm="1">
        <f t="array" ref="Q60">IF(M60="","",IFERROR(AVERAGE(IF((nNIA=M60)*(nEVAL=CONFIG_METADATA!$B$4)*(nASIG&lt;&gt;"Lenguaje Musical")*(nASIG&lt;&gt;"Coro")*(nASIG&lt;&gt;"Conjunto"),nNOTA)),""))</f>
        <v/>
      </c>
      <c r="T60" t="str">
        <f>IF(S60="","",IFERROR(AVERAGEIFS(nNOTA,nNIA,S60,nEVAL,CONFIG_METADATA!$B$4,nASIG,"Lenguaje Musical"),""))</f>
        <v/>
      </c>
      <c r="U60" t="str">
        <f>IF(S60="","",IFERROR(AVERAGEIFS(nNOTA,nNIA,S60,nEVAL,CONFIG_METADATA!$B$4,nASIG,"Coro"),""))</f>
        <v/>
      </c>
      <c r="V60" t="str">
        <f>IF(S60="","",IFERROR(AVERAGEIFS(nNOTA,nNIA,S60,nEVAL,CONFIG_METADATA!$B$4,nASIG,"Conjunto"),""))</f>
        <v/>
      </c>
      <c r="W60" t="str" cm="1">
        <f t="array" ref="W60">IF(S60="","",IFERROR(AVERAGE(IF((nNIA=S60)*(nEVAL=CONFIG_METADATA!$B$4)*(nASIG&lt;&gt;"Lenguaje Musical")*(nASIG&lt;&gt;"Coro")*(nASIG&lt;&gt;"Conjunto"),nNOTA)),""))</f>
        <v/>
      </c>
    </row>
    <row r="61" spans="2:23" ht="15" customHeight="1" x14ac:dyDescent="0.2">
      <c r="B61" t="str">
        <f>IF(A61="","",IFERROR(AVERAGEIFS(nNOTA,nNIA,A61,nEVAL,CONFIG_METADATA!$B$4,nASIG,"Lenguaje Musical"),""))</f>
        <v/>
      </c>
      <c r="C61" t="str">
        <f>IF(A61="","",IFERROR(AVERAGEIFS(nNOTA,nNIA,A61,nEVAL,CONFIG_METADATA!$B$4,nASIG,"Coro"),""))</f>
        <v/>
      </c>
      <c r="D61" t="str">
        <f>IF(A61="","",IFERROR(AVERAGEIFS(nNOTA,nNIA,A61,nEVAL,CONFIG_METADATA!$B$4,nASIG,"Conjunto"),""))</f>
        <v/>
      </c>
      <c r="E61" t="str" cm="1">
        <f t="array" ref="E61">IF(A61="","",IFERROR(AVERAGE(IF((nNIA=A61)*(nEVAL=CONFIG_METADATA!$B$4)*(nASIG&lt;&gt;"Lenguaje Musical")*(nASIG&lt;&gt;"Coro")*(nASIG&lt;&gt;"Conjunto"),nNOTA)),""))</f>
        <v/>
      </c>
      <c r="H61" t="str">
        <f>IF(G61="","",IFERROR(AVERAGEIFS(nNOTA,nNIA,G61,nEVAL,CONFIG_METADATA!$B$4,nASIG,"Lenguaje Musical"),""))</f>
        <v/>
      </c>
      <c r="I61" t="str">
        <f>IF(G61="","",IFERROR(AVERAGEIFS(nNOTA,nNIA,G61,nEVAL,CONFIG_METADATA!$B$4,nASIG,"Coro"),""))</f>
        <v/>
      </c>
      <c r="J61" t="str">
        <f>IF(G61="","",IFERROR(AVERAGEIFS(nNOTA,nNIA,G61,nEVAL,CONFIG_METADATA!$B$4,nASIG,"Conjunto"),""))</f>
        <v/>
      </c>
      <c r="K61" t="str" cm="1">
        <f t="array" ref="K61">IF(G61="","",IFERROR(AVERAGE(IF((nNIA=G61)*(nEVAL=CONFIG_METADATA!$B$4)*(nASIG&lt;&gt;"Lenguaje Musical")*(nASIG&lt;&gt;"Coro")*(nASIG&lt;&gt;"Conjunto"),nNOTA)),""))</f>
        <v/>
      </c>
      <c r="N61" t="str">
        <f>IF(M61="","",IFERROR(AVERAGEIFS(nNOTA,nNIA,M61,nEVAL,CONFIG_METADATA!$B$4,nASIG,"Lenguaje Musical"),""))</f>
        <v/>
      </c>
      <c r="O61" t="str">
        <f>IF(M61="","",IFERROR(AVERAGEIFS(nNOTA,nNIA,M61,nEVAL,CONFIG_METADATA!$B$4,nASIG,"Coro"),""))</f>
        <v/>
      </c>
      <c r="P61" t="str">
        <f>IF(M61="","",IFERROR(AVERAGEIFS(nNOTA,nNIA,M61,nEVAL,CONFIG_METADATA!$B$4,nASIG,"Conjunto"),""))</f>
        <v/>
      </c>
      <c r="Q61" t="str" cm="1">
        <f t="array" ref="Q61">IF(M61="","",IFERROR(AVERAGE(IF((nNIA=M61)*(nEVAL=CONFIG_METADATA!$B$4)*(nASIG&lt;&gt;"Lenguaje Musical")*(nASIG&lt;&gt;"Coro")*(nASIG&lt;&gt;"Conjunto"),nNOTA)),""))</f>
        <v/>
      </c>
      <c r="T61" t="str">
        <f>IF(S61="","",IFERROR(AVERAGEIFS(nNOTA,nNIA,S61,nEVAL,CONFIG_METADATA!$B$4,nASIG,"Lenguaje Musical"),""))</f>
        <v/>
      </c>
      <c r="U61" t="str">
        <f>IF(S61="","",IFERROR(AVERAGEIFS(nNOTA,nNIA,S61,nEVAL,CONFIG_METADATA!$B$4,nASIG,"Coro"),""))</f>
        <v/>
      </c>
      <c r="V61" t="str">
        <f>IF(S61="","",IFERROR(AVERAGEIFS(nNOTA,nNIA,S61,nEVAL,CONFIG_METADATA!$B$4,nASIG,"Conjunto"),""))</f>
        <v/>
      </c>
      <c r="W61" t="str" cm="1">
        <f t="array" ref="W61">IF(S61="","",IFERROR(AVERAGE(IF((nNIA=S61)*(nEVAL=CONFIG_METADATA!$B$4)*(nASIG&lt;&gt;"Lenguaje Musical")*(nASIG&lt;&gt;"Coro")*(nASIG&lt;&gt;"Conjunto"),nNOTA)),""))</f>
        <v/>
      </c>
    </row>
    <row r="62" spans="2:23" ht="15" customHeight="1" x14ac:dyDescent="0.2">
      <c r="B62" t="str">
        <f>IF(A62="","",IFERROR(AVERAGEIFS(nNOTA,nNIA,A62,nEVAL,CONFIG_METADATA!$B$4,nASIG,"Lenguaje Musical"),""))</f>
        <v/>
      </c>
      <c r="C62" t="str">
        <f>IF(A62="","",IFERROR(AVERAGEIFS(nNOTA,nNIA,A62,nEVAL,CONFIG_METADATA!$B$4,nASIG,"Coro"),""))</f>
        <v/>
      </c>
      <c r="D62" t="str">
        <f>IF(A62="","",IFERROR(AVERAGEIFS(nNOTA,nNIA,A62,nEVAL,CONFIG_METADATA!$B$4,nASIG,"Conjunto"),""))</f>
        <v/>
      </c>
      <c r="E62" t="str" cm="1">
        <f t="array" ref="E62">IF(A62="","",IFERROR(AVERAGE(IF((nNIA=A62)*(nEVAL=CONFIG_METADATA!$B$4)*(nASIG&lt;&gt;"Lenguaje Musical")*(nASIG&lt;&gt;"Coro")*(nASIG&lt;&gt;"Conjunto"),nNOTA)),""))</f>
        <v/>
      </c>
      <c r="H62" t="str">
        <f>IF(G62="","",IFERROR(AVERAGEIFS(nNOTA,nNIA,G62,nEVAL,CONFIG_METADATA!$B$4,nASIG,"Lenguaje Musical"),""))</f>
        <v/>
      </c>
      <c r="I62" t="str">
        <f>IF(G62="","",IFERROR(AVERAGEIFS(nNOTA,nNIA,G62,nEVAL,CONFIG_METADATA!$B$4,nASIG,"Coro"),""))</f>
        <v/>
      </c>
      <c r="J62" t="str">
        <f>IF(G62="","",IFERROR(AVERAGEIFS(nNOTA,nNIA,G62,nEVAL,CONFIG_METADATA!$B$4,nASIG,"Conjunto"),""))</f>
        <v/>
      </c>
      <c r="K62" t="str" cm="1">
        <f t="array" ref="K62">IF(G62="","",IFERROR(AVERAGE(IF((nNIA=G62)*(nEVAL=CONFIG_METADATA!$B$4)*(nASIG&lt;&gt;"Lenguaje Musical")*(nASIG&lt;&gt;"Coro")*(nASIG&lt;&gt;"Conjunto"),nNOTA)),""))</f>
        <v/>
      </c>
      <c r="N62" t="str">
        <f>IF(M62="","",IFERROR(AVERAGEIFS(nNOTA,nNIA,M62,nEVAL,CONFIG_METADATA!$B$4,nASIG,"Lenguaje Musical"),""))</f>
        <v/>
      </c>
      <c r="O62" t="str">
        <f>IF(M62="","",IFERROR(AVERAGEIFS(nNOTA,nNIA,M62,nEVAL,CONFIG_METADATA!$B$4,nASIG,"Coro"),""))</f>
        <v/>
      </c>
      <c r="P62" t="str">
        <f>IF(M62="","",IFERROR(AVERAGEIFS(nNOTA,nNIA,M62,nEVAL,CONFIG_METADATA!$B$4,nASIG,"Conjunto"),""))</f>
        <v/>
      </c>
      <c r="Q62" t="str" cm="1">
        <f t="array" ref="Q62">IF(M62="","",IFERROR(AVERAGE(IF((nNIA=M62)*(nEVAL=CONFIG_METADATA!$B$4)*(nASIG&lt;&gt;"Lenguaje Musical")*(nASIG&lt;&gt;"Coro")*(nASIG&lt;&gt;"Conjunto"),nNOTA)),""))</f>
        <v/>
      </c>
      <c r="T62" t="str">
        <f>IF(S62="","",IFERROR(AVERAGEIFS(nNOTA,nNIA,S62,nEVAL,CONFIG_METADATA!$B$4,nASIG,"Lenguaje Musical"),""))</f>
        <v/>
      </c>
      <c r="U62" t="str">
        <f>IF(S62="","",IFERROR(AVERAGEIFS(nNOTA,nNIA,S62,nEVAL,CONFIG_METADATA!$B$4,nASIG,"Coro"),""))</f>
        <v/>
      </c>
      <c r="V62" t="str">
        <f>IF(S62="","",IFERROR(AVERAGEIFS(nNOTA,nNIA,S62,nEVAL,CONFIG_METADATA!$B$4,nASIG,"Conjunto"),""))</f>
        <v/>
      </c>
      <c r="W62" t="str" cm="1">
        <f t="array" ref="W62">IF(S62="","",IFERROR(AVERAGE(IF((nNIA=S62)*(nEVAL=CONFIG_METADATA!$B$4)*(nASIG&lt;&gt;"Lenguaje Musical")*(nASIG&lt;&gt;"Coro")*(nASIG&lt;&gt;"Conjunto"),nNOTA)),""))</f>
        <v/>
      </c>
    </row>
    <row r="63" spans="2:23" ht="15" customHeight="1" x14ac:dyDescent="0.2">
      <c r="B63" t="str">
        <f>IF(A63="","",IFERROR(AVERAGEIFS(nNOTA,nNIA,A63,nEVAL,CONFIG_METADATA!$B$4,nASIG,"Lenguaje Musical"),""))</f>
        <v/>
      </c>
      <c r="C63" t="str">
        <f>IF(A63="","",IFERROR(AVERAGEIFS(nNOTA,nNIA,A63,nEVAL,CONFIG_METADATA!$B$4,nASIG,"Coro"),""))</f>
        <v/>
      </c>
      <c r="D63" t="str">
        <f>IF(A63="","",IFERROR(AVERAGEIFS(nNOTA,nNIA,A63,nEVAL,CONFIG_METADATA!$B$4,nASIG,"Conjunto"),""))</f>
        <v/>
      </c>
      <c r="E63" t="str" cm="1">
        <f t="array" ref="E63">IF(A63="","",IFERROR(AVERAGE(IF((nNIA=A63)*(nEVAL=CONFIG_METADATA!$B$4)*(nASIG&lt;&gt;"Lenguaje Musical")*(nASIG&lt;&gt;"Coro")*(nASIG&lt;&gt;"Conjunto"),nNOTA)),""))</f>
        <v/>
      </c>
      <c r="H63" t="str">
        <f>IF(G63="","",IFERROR(AVERAGEIFS(nNOTA,nNIA,G63,nEVAL,CONFIG_METADATA!$B$4,nASIG,"Lenguaje Musical"),""))</f>
        <v/>
      </c>
      <c r="I63" t="str">
        <f>IF(G63="","",IFERROR(AVERAGEIFS(nNOTA,nNIA,G63,nEVAL,CONFIG_METADATA!$B$4,nASIG,"Coro"),""))</f>
        <v/>
      </c>
      <c r="J63" t="str">
        <f>IF(G63="","",IFERROR(AVERAGEIFS(nNOTA,nNIA,G63,nEVAL,CONFIG_METADATA!$B$4,nASIG,"Conjunto"),""))</f>
        <v/>
      </c>
      <c r="K63" t="str" cm="1">
        <f t="array" ref="K63">IF(G63="","",IFERROR(AVERAGE(IF((nNIA=G63)*(nEVAL=CONFIG_METADATA!$B$4)*(nASIG&lt;&gt;"Lenguaje Musical")*(nASIG&lt;&gt;"Coro")*(nASIG&lt;&gt;"Conjunto"),nNOTA)),""))</f>
        <v/>
      </c>
      <c r="N63" t="str">
        <f>IF(M63="","",IFERROR(AVERAGEIFS(nNOTA,nNIA,M63,nEVAL,CONFIG_METADATA!$B$4,nASIG,"Lenguaje Musical"),""))</f>
        <v/>
      </c>
      <c r="O63" t="str">
        <f>IF(M63="","",IFERROR(AVERAGEIFS(nNOTA,nNIA,M63,nEVAL,CONFIG_METADATA!$B$4,nASIG,"Coro"),""))</f>
        <v/>
      </c>
      <c r="P63" t="str">
        <f>IF(M63="","",IFERROR(AVERAGEIFS(nNOTA,nNIA,M63,nEVAL,CONFIG_METADATA!$B$4,nASIG,"Conjunto"),""))</f>
        <v/>
      </c>
      <c r="Q63" t="str" cm="1">
        <f t="array" ref="Q63">IF(M63="","",IFERROR(AVERAGE(IF((nNIA=M63)*(nEVAL=CONFIG_METADATA!$B$4)*(nASIG&lt;&gt;"Lenguaje Musical")*(nASIG&lt;&gt;"Coro")*(nASIG&lt;&gt;"Conjunto"),nNOTA)),""))</f>
        <v/>
      </c>
      <c r="T63" t="str">
        <f>IF(S63="","",IFERROR(AVERAGEIFS(nNOTA,nNIA,S63,nEVAL,CONFIG_METADATA!$B$4,nASIG,"Lenguaje Musical"),""))</f>
        <v/>
      </c>
      <c r="U63" t="str">
        <f>IF(S63="","",IFERROR(AVERAGEIFS(nNOTA,nNIA,S63,nEVAL,CONFIG_METADATA!$B$4,nASIG,"Coro"),""))</f>
        <v/>
      </c>
      <c r="V63" t="str">
        <f>IF(S63="","",IFERROR(AVERAGEIFS(nNOTA,nNIA,S63,nEVAL,CONFIG_METADATA!$B$4,nASIG,"Conjunto"),""))</f>
        <v/>
      </c>
      <c r="W63" t="str" cm="1">
        <f t="array" ref="W63">IF(S63="","",IFERROR(AVERAGE(IF((nNIA=S63)*(nEVAL=CONFIG_METADATA!$B$4)*(nASIG&lt;&gt;"Lenguaje Musical")*(nASIG&lt;&gt;"Coro")*(nASIG&lt;&gt;"Conjunto"),nNOTA)),""))</f>
        <v/>
      </c>
    </row>
    <row r="64" spans="2:23" ht="15" customHeight="1" x14ac:dyDescent="0.2">
      <c r="B64" t="str">
        <f>IF(A64="","",IFERROR(AVERAGEIFS(nNOTA,nNIA,A64,nEVAL,CONFIG_METADATA!$B$4,nASIG,"Lenguaje Musical"),""))</f>
        <v/>
      </c>
      <c r="C64" t="str">
        <f>IF(A64="","",IFERROR(AVERAGEIFS(nNOTA,nNIA,A64,nEVAL,CONFIG_METADATA!$B$4,nASIG,"Coro"),""))</f>
        <v/>
      </c>
      <c r="D64" t="str">
        <f>IF(A64="","",IFERROR(AVERAGEIFS(nNOTA,nNIA,A64,nEVAL,CONFIG_METADATA!$B$4,nASIG,"Conjunto"),""))</f>
        <v/>
      </c>
      <c r="E64" t="str" cm="1">
        <f t="array" ref="E64">IF(A64="","",IFERROR(AVERAGE(IF((nNIA=A64)*(nEVAL=CONFIG_METADATA!$B$4)*(nASIG&lt;&gt;"Lenguaje Musical")*(nASIG&lt;&gt;"Coro")*(nASIG&lt;&gt;"Conjunto"),nNOTA)),""))</f>
        <v/>
      </c>
      <c r="H64" t="str">
        <f>IF(G64="","",IFERROR(AVERAGEIFS(nNOTA,nNIA,G64,nEVAL,CONFIG_METADATA!$B$4,nASIG,"Lenguaje Musical"),""))</f>
        <v/>
      </c>
      <c r="I64" t="str">
        <f>IF(G64="","",IFERROR(AVERAGEIFS(nNOTA,nNIA,G64,nEVAL,CONFIG_METADATA!$B$4,nASIG,"Coro"),""))</f>
        <v/>
      </c>
      <c r="J64" t="str">
        <f>IF(G64="","",IFERROR(AVERAGEIFS(nNOTA,nNIA,G64,nEVAL,CONFIG_METADATA!$B$4,nASIG,"Conjunto"),""))</f>
        <v/>
      </c>
      <c r="K64" t="str" cm="1">
        <f t="array" ref="K64">IF(G64="","",IFERROR(AVERAGE(IF((nNIA=G64)*(nEVAL=CONFIG_METADATA!$B$4)*(nASIG&lt;&gt;"Lenguaje Musical")*(nASIG&lt;&gt;"Coro")*(nASIG&lt;&gt;"Conjunto"),nNOTA)),""))</f>
        <v/>
      </c>
      <c r="N64" t="str">
        <f>IF(M64="","",IFERROR(AVERAGEIFS(nNOTA,nNIA,M64,nEVAL,CONFIG_METADATA!$B$4,nASIG,"Lenguaje Musical"),""))</f>
        <v/>
      </c>
      <c r="O64" t="str">
        <f>IF(M64="","",IFERROR(AVERAGEIFS(nNOTA,nNIA,M64,nEVAL,CONFIG_METADATA!$B$4,nASIG,"Coro"),""))</f>
        <v/>
      </c>
      <c r="P64" t="str">
        <f>IF(M64="","",IFERROR(AVERAGEIFS(nNOTA,nNIA,M64,nEVAL,CONFIG_METADATA!$B$4,nASIG,"Conjunto"),""))</f>
        <v/>
      </c>
      <c r="Q64" t="str" cm="1">
        <f t="array" ref="Q64">IF(M64="","",IFERROR(AVERAGE(IF((nNIA=M64)*(nEVAL=CONFIG_METADATA!$B$4)*(nASIG&lt;&gt;"Lenguaje Musical")*(nASIG&lt;&gt;"Coro")*(nASIG&lt;&gt;"Conjunto"),nNOTA)),""))</f>
        <v/>
      </c>
      <c r="T64" t="str">
        <f>IF(S64="","",IFERROR(AVERAGEIFS(nNOTA,nNIA,S64,nEVAL,CONFIG_METADATA!$B$4,nASIG,"Lenguaje Musical"),""))</f>
        <v/>
      </c>
      <c r="U64" t="str">
        <f>IF(S64="","",IFERROR(AVERAGEIFS(nNOTA,nNIA,S64,nEVAL,CONFIG_METADATA!$B$4,nASIG,"Coro"),""))</f>
        <v/>
      </c>
      <c r="V64" t="str">
        <f>IF(S64="","",IFERROR(AVERAGEIFS(nNOTA,nNIA,S64,nEVAL,CONFIG_METADATA!$B$4,nASIG,"Conjunto"),""))</f>
        <v/>
      </c>
      <c r="W64" t="str" cm="1">
        <f t="array" ref="W64">IF(S64="","",IFERROR(AVERAGE(IF((nNIA=S64)*(nEVAL=CONFIG_METADATA!$B$4)*(nASIG&lt;&gt;"Lenguaje Musical")*(nASIG&lt;&gt;"Coro")*(nASIG&lt;&gt;"Conjunto"),nNOTA)),""))</f>
        <v/>
      </c>
    </row>
    <row r="65" spans="2:23" ht="15" customHeight="1" x14ac:dyDescent="0.2">
      <c r="B65" t="str">
        <f>IF(A65="","",IFERROR(AVERAGEIFS(nNOTA,nNIA,A65,nEVAL,CONFIG_METADATA!$B$4,nASIG,"Lenguaje Musical"),""))</f>
        <v/>
      </c>
      <c r="C65" t="str">
        <f>IF(A65="","",IFERROR(AVERAGEIFS(nNOTA,nNIA,A65,nEVAL,CONFIG_METADATA!$B$4,nASIG,"Coro"),""))</f>
        <v/>
      </c>
      <c r="D65" t="str">
        <f>IF(A65="","",IFERROR(AVERAGEIFS(nNOTA,nNIA,A65,nEVAL,CONFIG_METADATA!$B$4,nASIG,"Conjunto"),""))</f>
        <v/>
      </c>
      <c r="E65" t="str" cm="1">
        <f t="array" ref="E65">IF(A65="","",IFERROR(AVERAGE(IF((nNIA=A65)*(nEVAL=CONFIG_METADATA!$B$4)*(nASIG&lt;&gt;"Lenguaje Musical")*(nASIG&lt;&gt;"Coro")*(nASIG&lt;&gt;"Conjunto"),nNOTA)),""))</f>
        <v/>
      </c>
      <c r="H65" t="str">
        <f>IF(G65="","",IFERROR(AVERAGEIFS(nNOTA,nNIA,G65,nEVAL,CONFIG_METADATA!$B$4,nASIG,"Lenguaje Musical"),""))</f>
        <v/>
      </c>
      <c r="I65" t="str">
        <f>IF(G65="","",IFERROR(AVERAGEIFS(nNOTA,nNIA,G65,nEVAL,CONFIG_METADATA!$B$4,nASIG,"Coro"),""))</f>
        <v/>
      </c>
      <c r="J65" t="str">
        <f>IF(G65="","",IFERROR(AVERAGEIFS(nNOTA,nNIA,G65,nEVAL,CONFIG_METADATA!$B$4,nASIG,"Conjunto"),""))</f>
        <v/>
      </c>
      <c r="K65" t="str" cm="1">
        <f t="array" ref="K65">IF(G65="","",IFERROR(AVERAGE(IF((nNIA=G65)*(nEVAL=CONFIG_METADATA!$B$4)*(nASIG&lt;&gt;"Lenguaje Musical")*(nASIG&lt;&gt;"Coro")*(nASIG&lt;&gt;"Conjunto"),nNOTA)),""))</f>
        <v/>
      </c>
      <c r="N65" t="str">
        <f>IF(M65="","",IFERROR(AVERAGEIFS(nNOTA,nNIA,M65,nEVAL,CONFIG_METADATA!$B$4,nASIG,"Lenguaje Musical"),""))</f>
        <v/>
      </c>
      <c r="O65" t="str">
        <f>IF(M65="","",IFERROR(AVERAGEIFS(nNOTA,nNIA,M65,nEVAL,CONFIG_METADATA!$B$4,nASIG,"Coro"),""))</f>
        <v/>
      </c>
      <c r="P65" t="str">
        <f>IF(M65="","",IFERROR(AVERAGEIFS(nNOTA,nNIA,M65,nEVAL,CONFIG_METADATA!$B$4,nASIG,"Conjunto"),""))</f>
        <v/>
      </c>
      <c r="Q65" t="str" cm="1">
        <f t="array" ref="Q65">IF(M65="","",IFERROR(AVERAGE(IF((nNIA=M65)*(nEVAL=CONFIG_METADATA!$B$4)*(nASIG&lt;&gt;"Lenguaje Musical")*(nASIG&lt;&gt;"Coro")*(nASIG&lt;&gt;"Conjunto"),nNOTA)),""))</f>
        <v/>
      </c>
      <c r="T65" t="str">
        <f>IF(S65="","",IFERROR(AVERAGEIFS(nNOTA,nNIA,S65,nEVAL,CONFIG_METADATA!$B$4,nASIG,"Lenguaje Musical"),""))</f>
        <v/>
      </c>
      <c r="U65" t="str">
        <f>IF(S65="","",IFERROR(AVERAGEIFS(nNOTA,nNIA,S65,nEVAL,CONFIG_METADATA!$B$4,nASIG,"Coro"),""))</f>
        <v/>
      </c>
      <c r="V65" t="str">
        <f>IF(S65="","",IFERROR(AVERAGEIFS(nNOTA,nNIA,S65,nEVAL,CONFIG_METADATA!$B$4,nASIG,"Conjunto"),""))</f>
        <v/>
      </c>
      <c r="W65" t="str" cm="1">
        <f t="array" ref="W65">IF(S65="","",IFERROR(AVERAGE(IF((nNIA=S65)*(nEVAL=CONFIG_METADATA!$B$4)*(nASIG&lt;&gt;"Lenguaje Musical")*(nASIG&lt;&gt;"Coro")*(nASIG&lt;&gt;"Conjunto"),nNOTA)),""))</f>
        <v/>
      </c>
    </row>
    <row r="66" spans="2:23" ht="15" customHeight="1" x14ac:dyDescent="0.2">
      <c r="B66" t="str">
        <f>IF(A66="","",IFERROR(AVERAGEIFS(nNOTA,nNIA,A66,nEVAL,CONFIG_METADATA!$B$4,nASIG,"Lenguaje Musical"),""))</f>
        <v/>
      </c>
      <c r="C66" t="str">
        <f>IF(A66="","",IFERROR(AVERAGEIFS(nNOTA,nNIA,A66,nEVAL,CONFIG_METADATA!$B$4,nASIG,"Coro"),""))</f>
        <v/>
      </c>
      <c r="D66" t="str">
        <f>IF(A66="","",IFERROR(AVERAGEIFS(nNOTA,nNIA,A66,nEVAL,CONFIG_METADATA!$B$4,nASIG,"Conjunto"),""))</f>
        <v/>
      </c>
      <c r="E66" t="str" cm="1">
        <f t="array" ref="E66">IF(A66="","",IFERROR(AVERAGE(IF((nNIA=A66)*(nEVAL=CONFIG_METADATA!$B$4)*(nASIG&lt;&gt;"Lenguaje Musical")*(nASIG&lt;&gt;"Coro")*(nASIG&lt;&gt;"Conjunto"),nNOTA)),""))</f>
        <v/>
      </c>
      <c r="H66" t="str">
        <f>IF(G66="","",IFERROR(AVERAGEIFS(nNOTA,nNIA,G66,nEVAL,CONFIG_METADATA!$B$4,nASIG,"Lenguaje Musical"),""))</f>
        <v/>
      </c>
      <c r="I66" t="str">
        <f>IF(G66="","",IFERROR(AVERAGEIFS(nNOTA,nNIA,G66,nEVAL,CONFIG_METADATA!$B$4,nASIG,"Coro"),""))</f>
        <v/>
      </c>
      <c r="J66" t="str">
        <f>IF(G66="","",IFERROR(AVERAGEIFS(nNOTA,nNIA,G66,nEVAL,CONFIG_METADATA!$B$4,nASIG,"Conjunto"),""))</f>
        <v/>
      </c>
      <c r="K66" t="str" cm="1">
        <f t="array" ref="K66">IF(G66="","",IFERROR(AVERAGE(IF((nNIA=G66)*(nEVAL=CONFIG_METADATA!$B$4)*(nASIG&lt;&gt;"Lenguaje Musical")*(nASIG&lt;&gt;"Coro")*(nASIG&lt;&gt;"Conjunto"),nNOTA)),""))</f>
        <v/>
      </c>
      <c r="N66" t="str">
        <f>IF(M66="","",IFERROR(AVERAGEIFS(nNOTA,nNIA,M66,nEVAL,CONFIG_METADATA!$B$4,nASIG,"Lenguaje Musical"),""))</f>
        <v/>
      </c>
      <c r="O66" t="str">
        <f>IF(M66="","",IFERROR(AVERAGEIFS(nNOTA,nNIA,M66,nEVAL,CONFIG_METADATA!$B$4,nASIG,"Coro"),""))</f>
        <v/>
      </c>
      <c r="P66" t="str">
        <f>IF(M66="","",IFERROR(AVERAGEIFS(nNOTA,nNIA,M66,nEVAL,CONFIG_METADATA!$B$4,nASIG,"Conjunto"),""))</f>
        <v/>
      </c>
      <c r="Q66" t="str" cm="1">
        <f t="array" ref="Q66">IF(M66="","",IFERROR(AVERAGE(IF((nNIA=M66)*(nEVAL=CONFIG_METADATA!$B$4)*(nASIG&lt;&gt;"Lenguaje Musical")*(nASIG&lt;&gt;"Coro")*(nASIG&lt;&gt;"Conjunto"),nNOTA)),""))</f>
        <v/>
      </c>
      <c r="T66" t="str">
        <f>IF(S66="","",IFERROR(AVERAGEIFS(nNOTA,nNIA,S66,nEVAL,CONFIG_METADATA!$B$4,nASIG,"Lenguaje Musical"),""))</f>
        <v/>
      </c>
      <c r="U66" t="str">
        <f>IF(S66="","",IFERROR(AVERAGEIFS(nNOTA,nNIA,S66,nEVAL,CONFIG_METADATA!$B$4,nASIG,"Coro"),""))</f>
        <v/>
      </c>
      <c r="V66" t="str">
        <f>IF(S66="","",IFERROR(AVERAGEIFS(nNOTA,nNIA,S66,nEVAL,CONFIG_METADATA!$B$4,nASIG,"Conjunto"),""))</f>
        <v/>
      </c>
      <c r="W66" t="str" cm="1">
        <f t="array" ref="W66">IF(S66="","",IFERROR(AVERAGE(IF((nNIA=S66)*(nEVAL=CONFIG_METADATA!$B$4)*(nASIG&lt;&gt;"Lenguaje Musical")*(nASIG&lt;&gt;"Coro")*(nASIG&lt;&gt;"Conjunto"),nNOTA)),""))</f>
        <v/>
      </c>
    </row>
    <row r="67" spans="2:23" ht="15" customHeight="1" x14ac:dyDescent="0.2">
      <c r="B67" t="str">
        <f>IF(A67="","",IFERROR(AVERAGEIFS(nNOTA,nNIA,A67,nEVAL,CONFIG_METADATA!$B$4,nASIG,"Lenguaje Musical"),""))</f>
        <v/>
      </c>
      <c r="C67" t="str">
        <f>IF(A67="","",IFERROR(AVERAGEIFS(nNOTA,nNIA,A67,nEVAL,CONFIG_METADATA!$B$4,nASIG,"Coro"),""))</f>
        <v/>
      </c>
      <c r="D67" t="str">
        <f>IF(A67="","",IFERROR(AVERAGEIFS(nNOTA,nNIA,A67,nEVAL,CONFIG_METADATA!$B$4,nASIG,"Conjunto"),""))</f>
        <v/>
      </c>
      <c r="E67" t="str" cm="1">
        <f t="array" ref="E67">IF(A67="","",IFERROR(AVERAGE(IF((nNIA=A67)*(nEVAL=CONFIG_METADATA!$B$4)*(nASIG&lt;&gt;"Lenguaje Musical")*(nASIG&lt;&gt;"Coro")*(nASIG&lt;&gt;"Conjunto"),nNOTA)),""))</f>
        <v/>
      </c>
      <c r="H67" t="str">
        <f>IF(G67="","",IFERROR(AVERAGEIFS(nNOTA,nNIA,G67,nEVAL,CONFIG_METADATA!$B$4,nASIG,"Lenguaje Musical"),""))</f>
        <v/>
      </c>
      <c r="I67" t="str">
        <f>IF(G67="","",IFERROR(AVERAGEIFS(nNOTA,nNIA,G67,nEVAL,CONFIG_METADATA!$B$4,nASIG,"Coro"),""))</f>
        <v/>
      </c>
      <c r="J67" t="str">
        <f>IF(G67="","",IFERROR(AVERAGEIFS(nNOTA,nNIA,G67,nEVAL,CONFIG_METADATA!$B$4,nASIG,"Conjunto"),""))</f>
        <v/>
      </c>
      <c r="K67" t="str" cm="1">
        <f t="array" ref="K67">IF(G67="","",IFERROR(AVERAGE(IF((nNIA=G67)*(nEVAL=CONFIG_METADATA!$B$4)*(nASIG&lt;&gt;"Lenguaje Musical")*(nASIG&lt;&gt;"Coro")*(nASIG&lt;&gt;"Conjunto"),nNOTA)),""))</f>
        <v/>
      </c>
      <c r="N67" t="str">
        <f>IF(M67="","",IFERROR(AVERAGEIFS(nNOTA,nNIA,M67,nEVAL,CONFIG_METADATA!$B$4,nASIG,"Lenguaje Musical"),""))</f>
        <v/>
      </c>
      <c r="O67" t="str">
        <f>IF(M67="","",IFERROR(AVERAGEIFS(nNOTA,nNIA,M67,nEVAL,CONFIG_METADATA!$B$4,nASIG,"Coro"),""))</f>
        <v/>
      </c>
      <c r="P67" t="str">
        <f>IF(M67="","",IFERROR(AVERAGEIFS(nNOTA,nNIA,M67,nEVAL,CONFIG_METADATA!$B$4,nASIG,"Conjunto"),""))</f>
        <v/>
      </c>
      <c r="Q67" t="str" cm="1">
        <f t="array" ref="Q67">IF(M67="","",IFERROR(AVERAGE(IF((nNIA=M67)*(nEVAL=CONFIG_METADATA!$B$4)*(nASIG&lt;&gt;"Lenguaje Musical")*(nASIG&lt;&gt;"Coro")*(nASIG&lt;&gt;"Conjunto"),nNOTA)),""))</f>
        <v/>
      </c>
      <c r="T67" t="str">
        <f>IF(S67="","",IFERROR(AVERAGEIFS(nNOTA,nNIA,S67,nEVAL,CONFIG_METADATA!$B$4,nASIG,"Lenguaje Musical"),""))</f>
        <v/>
      </c>
      <c r="U67" t="str">
        <f>IF(S67="","",IFERROR(AVERAGEIFS(nNOTA,nNIA,S67,nEVAL,CONFIG_METADATA!$B$4,nASIG,"Coro"),""))</f>
        <v/>
      </c>
      <c r="V67" t="str">
        <f>IF(S67="","",IFERROR(AVERAGEIFS(nNOTA,nNIA,S67,nEVAL,CONFIG_METADATA!$B$4,nASIG,"Conjunto"),""))</f>
        <v/>
      </c>
      <c r="W67" t="str" cm="1">
        <f t="array" ref="W67">IF(S67="","",IFERROR(AVERAGE(IF((nNIA=S67)*(nEVAL=CONFIG_METADATA!$B$4)*(nASIG&lt;&gt;"Lenguaje Musical")*(nASIG&lt;&gt;"Coro")*(nASIG&lt;&gt;"Conjunto"),nNOTA)),""))</f>
        <v/>
      </c>
    </row>
    <row r="68" spans="2:23" ht="15" customHeight="1" x14ac:dyDescent="0.2">
      <c r="B68" t="str">
        <f>IF(A68="","",IFERROR(AVERAGEIFS(nNOTA,nNIA,A68,nEVAL,CONFIG_METADATA!$B$4,nASIG,"Lenguaje Musical"),""))</f>
        <v/>
      </c>
      <c r="C68" t="str">
        <f>IF(A68="","",IFERROR(AVERAGEIFS(nNOTA,nNIA,A68,nEVAL,CONFIG_METADATA!$B$4,nASIG,"Coro"),""))</f>
        <v/>
      </c>
      <c r="D68" t="str">
        <f>IF(A68="","",IFERROR(AVERAGEIFS(nNOTA,nNIA,A68,nEVAL,CONFIG_METADATA!$B$4,nASIG,"Conjunto"),""))</f>
        <v/>
      </c>
      <c r="E68" t="str" cm="1">
        <f t="array" ref="E68">IF(A68="","",IFERROR(AVERAGE(IF((nNIA=A68)*(nEVAL=CONFIG_METADATA!$B$4)*(nASIG&lt;&gt;"Lenguaje Musical")*(nASIG&lt;&gt;"Coro")*(nASIG&lt;&gt;"Conjunto"),nNOTA)),""))</f>
        <v/>
      </c>
      <c r="H68" t="str">
        <f>IF(G68="","",IFERROR(AVERAGEIFS(nNOTA,nNIA,G68,nEVAL,CONFIG_METADATA!$B$4,nASIG,"Lenguaje Musical"),""))</f>
        <v/>
      </c>
      <c r="I68" t="str">
        <f>IF(G68="","",IFERROR(AVERAGEIFS(nNOTA,nNIA,G68,nEVAL,CONFIG_METADATA!$B$4,nASIG,"Coro"),""))</f>
        <v/>
      </c>
      <c r="J68" t="str">
        <f>IF(G68="","",IFERROR(AVERAGEIFS(nNOTA,nNIA,G68,nEVAL,CONFIG_METADATA!$B$4,nASIG,"Conjunto"),""))</f>
        <v/>
      </c>
      <c r="K68" t="str" cm="1">
        <f t="array" ref="K68">IF(G68="","",IFERROR(AVERAGE(IF((nNIA=G68)*(nEVAL=CONFIG_METADATA!$B$4)*(nASIG&lt;&gt;"Lenguaje Musical")*(nASIG&lt;&gt;"Coro")*(nASIG&lt;&gt;"Conjunto"),nNOTA)),""))</f>
        <v/>
      </c>
      <c r="N68" t="str">
        <f>IF(M68="","",IFERROR(AVERAGEIFS(nNOTA,nNIA,M68,nEVAL,CONFIG_METADATA!$B$4,nASIG,"Lenguaje Musical"),""))</f>
        <v/>
      </c>
      <c r="O68" t="str">
        <f>IF(M68="","",IFERROR(AVERAGEIFS(nNOTA,nNIA,M68,nEVAL,CONFIG_METADATA!$B$4,nASIG,"Coro"),""))</f>
        <v/>
      </c>
      <c r="P68" t="str">
        <f>IF(M68="","",IFERROR(AVERAGEIFS(nNOTA,nNIA,M68,nEVAL,CONFIG_METADATA!$B$4,nASIG,"Conjunto"),""))</f>
        <v/>
      </c>
      <c r="Q68" t="str" cm="1">
        <f t="array" ref="Q68">IF(M68="","",IFERROR(AVERAGE(IF((nNIA=M68)*(nEVAL=CONFIG_METADATA!$B$4)*(nASIG&lt;&gt;"Lenguaje Musical")*(nASIG&lt;&gt;"Coro")*(nASIG&lt;&gt;"Conjunto"),nNOTA)),""))</f>
        <v/>
      </c>
      <c r="T68" t="str">
        <f>IF(S68="","",IFERROR(AVERAGEIFS(nNOTA,nNIA,S68,nEVAL,CONFIG_METADATA!$B$4,nASIG,"Lenguaje Musical"),""))</f>
        <v/>
      </c>
      <c r="U68" t="str">
        <f>IF(S68="","",IFERROR(AVERAGEIFS(nNOTA,nNIA,S68,nEVAL,CONFIG_METADATA!$B$4,nASIG,"Coro"),""))</f>
        <v/>
      </c>
      <c r="V68" t="str">
        <f>IF(S68="","",IFERROR(AVERAGEIFS(nNOTA,nNIA,S68,nEVAL,CONFIG_METADATA!$B$4,nASIG,"Conjunto"),""))</f>
        <v/>
      </c>
      <c r="W68" t="str" cm="1">
        <f t="array" ref="W68">IF(S68="","",IFERROR(AVERAGE(IF((nNIA=S68)*(nEVAL=CONFIG_METADATA!$B$4)*(nASIG&lt;&gt;"Lenguaje Musical")*(nASIG&lt;&gt;"Coro")*(nASIG&lt;&gt;"Conjunto"),nNOTA)),""))</f>
        <v/>
      </c>
    </row>
    <row r="69" spans="2:23" ht="15" customHeight="1" x14ac:dyDescent="0.2">
      <c r="B69" t="str">
        <f>IF(A69="","",IFERROR(AVERAGEIFS(nNOTA,nNIA,A69,nEVAL,CONFIG_METADATA!$B$4,nASIG,"Lenguaje Musical"),""))</f>
        <v/>
      </c>
      <c r="C69" t="str">
        <f>IF(A69="","",IFERROR(AVERAGEIFS(nNOTA,nNIA,A69,nEVAL,CONFIG_METADATA!$B$4,nASIG,"Coro"),""))</f>
        <v/>
      </c>
      <c r="D69" t="str">
        <f>IF(A69="","",IFERROR(AVERAGEIFS(nNOTA,nNIA,A69,nEVAL,CONFIG_METADATA!$B$4,nASIG,"Conjunto"),""))</f>
        <v/>
      </c>
      <c r="E69" t="str" cm="1">
        <f t="array" ref="E69">IF(A69="","",IFERROR(AVERAGE(IF((nNIA=A69)*(nEVAL=CONFIG_METADATA!$B$4)*(nASIG&lt;&gt;"Lenguaje Musical")*(nASIG&lt;&gt;"Coro")*(nASIG&lt;&gt;"Conjunto"),nNOTA)),""))</f>
        <v/>
      </c>
      <c r="H69" t="str">
        <f>IF(G69="","",IFERROR(AVERAGEIFS(nNOTA,nNIA,G69,nEVAL,CONFIG_METADATA!$B$4,nASIG,"Lenguaje Musical"),""))</f>
        <v/>
      </c>
      <c r="I69" t="str">
        <f>IF(G69="","",IFERROR(AVERAGEIFS(nNOTA,nNIA,G69,nEVAL,CONFIG_METADATA!$B$4,nASIG,"Coro"),""))</f>
        <v/>
      </c>
      <c r="J69" t="str">
        <f>IF(G69="","",IFERROR(AVERAGEIFS(nNOTA,nNIA,G69,nEVAL,CONFIG_METADATA!$B$4,nASIG,"Conjunto"),""))</f>
        <v/>
      </c>
      <c r="K69" t="str" cm="1">
        <f t="array" ref="K69">IF(G69="","",IFERROR(AVERAGE(IF((nNIA=G69)*(nEVAL=CONFIG_METADATA!$B$4)*(nASIG&lt;&gt;"Lenguaje Musical")*(nASIG&lt;&gt;"Coro")*(nASIG&lt;&gt;"Conjunto"),nNOTA)),""))</f>
        <v/>
      </c>
      <c r="N69" t="str">
        <f>IF(M69="","",IFERROR(AVERAGEIFS(nNOTA,nNIA,M69,nEVAL,CONFIG_METADATA!$B$4,nASIG,"Lenguaje Musical"),""))</f>
        <v/>
      </c>
      <c r="O69" t="str">
        <f>IF(M69="","",IFERROR(AVERAGEIFS(nNOTA,nNIA,M69,nEVAL,CONFIG_METADATA!$B$4,nASIG,"Coro"),""))</f>
        <v/>
      </c>
      <c r="P69" t="str">
        <f>IF(M69="","",IFERROR(AVERAGEIFS(nNOTA,nNIA,M69,nEVAL,CONFIG_METADATA!$B$4,nASIG,"Conjunto"),""))</f>
        <v/>
      </c>
      <c r="Q69" t="str" cm="1">
        <f t="array" ref="Q69">IF(M69="","",IFERROR(AVERAGE(IF((nNIA=M69)*(nEVAL=CONFIG_METADATA!$B$4)*(nASIG&lt;&gt;"Lenguaje Musical")*(nASIG&lt;&gt;"Coro")*(nASIG&lt;&gt;"Conjunto"),nNOTA)),""))</f>
        <v/>
      </c>
      <c r="T69" t="str">
        <f>IF(S69="","",IFERROR(AVERAGEIFS(nNOTA,nNIA,S69,nEVAL,CONFIG_METADATA!$B$4,nASIG,"Lenguaje Musical"),""))</f>
        <v/>
      </c>
      <c r="U69" t="str">
        <f>IF(S69="","",IFERROR(AVERAGEIFS(nNOTA,nNIA,S69,nEVAL,CONFIG_METADATA!$B$4,nASIG,"Coro"),""))</f>
        <v/>
      </c>
      <c r="V69" t="str">
        <f>IF(S69="","",IFERROR(AVERAGEIFS(nNOTA,nNIA,S69,nEVAL,CONFIG_METADATA!$B$4,nASIG,"Conjunto"),""))</f>
        <v/>
      </c>
      <c r="W69" t="str" cm="1">
        <f t="array" ref="W69">IF(S69="","",IFERROR(AVERAGE(IF((nNIA=S69)*(nEVAL=CONFIG_METADATA!$B$4)*(nASIG&lt;&gt;"Lenguaje Musical")*(nASIG&lt;&gt;"Coro")*(nASIG&lt;&gt;"Conjunto"),nNOTA)),""))</f>
        <v/>
      </c>
    </row>
    <row r="70" spans="2:23" ht="15" customHeight="1" x14ac:dyDescent="0.2">
      <c r="B70" t="str">
        <f>IF(A70="","",IFERROR(AVERAGEIFS(nNOTA,nNIA,A70,nEVAL,CONFIG_METADATA!$B$4,nASIG,"Lenguaje Musical"),""))</f>
        <v/>
      </c>
      <c r="C70" t="str">
        <f>IF(A70="","",IFERROR(AVERAGEIFS(nNOTA,nNIA,A70,nEVAL,CONFIG_METADATA!$B$4,nASIG,"Coro"),""))</f>
        <v/>
      </c>
      <c r="D70" t="str">
        <f>IF(A70="","",IFERROR(AVERAGEIFS(nNOTA,nNIA,A70,nEVAL,CONFIG_METADATA!$B$4,nASIG,"Conjunto"),""))</f>
        <v/>
      </c>
      <c r="E70" t="str" cm="1">
        <f t="array" ref="E70">IF(A70="","",IFERROR(AVERAGE(IF((nNIA=A70)*(nEVAL=CONFIG_METADATA!$B$4)*(nASIG&lt;&gt;"Lenguaje Musical")*(nASIG&lt;&gt;"Coro")*(nASIG&lt;&gt;"Conjunto"),nNOTA)),""))</f>
        <v/>
      </c>
      <c r="H70" t="str">
        <f>IF(G70="","",IFERROR(AVERAGEIFS(nNOTA,nNIA,G70,nEVAL,CONFIG_METADATA!$B$4,nASIG,"Lenguaje Musical"),""))</f>
        <v/>
      </c>
      <c r="I70" t="str">
        <f>IF(G70="","",IFERROR(AVERAGEIFS(nNOTA,nNIA,G70,nEVAL,CONFIG_METADATA!$B$4,nASIG,"Coro"),""))</f>
        <v/>
      </c>
      <c r="J70" t="str">
        <f>IF(G70="","",IFERROR(AVERAGEIFS(nNOTA,nNIA,G70,nEVAL,CONFIG_METADATA!$B$4,nASIG,"Conjunto"),""))</f>
        <v/>
      </c>
      <c r="K70" t="str" cm="1">
        <f t="array" ref="K70">IF(G70="","",IFERROR(AVERAGE(IF((nNIA=G70)*(nEVAL=CONFIG_METADATA!$B$4)*(nASIG&lt;&gt;"Lenguaje Musical")*(nASIG&lt;&gt;"Coro")*(nASIG&lt;&gt;"Conjunto"),nNOTA)),""))</f>
        <v/>
      </c>
      <c r="N70" t="str">
        <f>IF(M70="","",IFERROR(AVERAGEIFS(nNOTA,nNIA,M70,nEVAL,CONFIG_METADATA!$B$4,nASIG,"Lenguaje Musical"),""))</f>
        <v/>
      </c>
      <c r="O70" t="str">
        <f>IF(M70="","",IFERROR(AVERAGEIFS(nNOTA,nNIA,M70,nEVAL,CONFIG_METADATA!$B$4,nASIG,"Coro"),""))</f>
        <v/>
      </c>
      <c r="P70" t="str">
        <f>IF(M70="","",IFERROR(AVERAGEIFS(nNOTA,nNIA,M70,nEVAL,CONFIG_METADATA!$B$4,nASIG,"Conjunto"),""))</f>
        <v/>
      </c>
      <c r="Q70" t="str" cm="1">
        <f t="array" ref="Q70">IF(M70="","",IFERROR(AVERAGE(IF((nNIA=M70)*(nEVAL=CONFIG_METADATA!$B$4)*(nASIG&lt;&gt;"Lenguaje Musical")*(nASIG&lt;&gt;"Coro")*(nASIG&lt;&gt;"Conjunto"),nNOTA)),""))</f>
        <v/>
      </c>
      <c r="T70" t="str">
        <f>IF(S70="","",IFERROR(AVERAGEIFS(nNOTA,nNIA,S70,nEVAL,CONFIG_METADATA!$B$4,nASIG,"Lenguaje Musical"),""))</f>
        <v/>
      </c>
      <c r="U70" t="str">
        <f>IF(S70="","",IFERROR(AVERAGEIFS(nNOTA,nNIA,S70,nEVAL,CONFIG_METADATA!$B$4,nASIG,"Coro"),""))</f>
        <v/>
      </c>
      <c r="V70" t="str">
        <f>IF(S70="","",IFERROR(AVERAGEIFS(nNOTA,nNIA,S70,nEVAL,CONFIG_METADATA!$B$4,nASIG,"Conjunto"),""))</f>
        <v/>
      </c>
      <c r="W70" t="str" cm="1">
        <f t="array" ref="W70">IF(S70="","",IFERROR(AVERAGE(IF((nNIA=S70)*(nEVAL=CONFIG_METADATA!$B$4)*(nASIG&lt;&gt;"Lenguaje Musical")*(nASIG&lt;&gt;"Coro")*(nASIG&lt;&gt;"Conjunto"),nNOTA)),""))</f>
        <v/>
      </c>
    </row>
    <row r="71" spans="2:23" ht="15" customHeight="1" x14ac:dyDescent="0.2">
      <c r="B71" t="str">
        <f>IF(A71="","",IFERROR(AVERAGEIFS(nNOTA,nNIA,A71,nEVAL,CONFIG_METADATA!$B$4,nASIG,"Lenguaje Musical"),""))</f>
        <v/>
      </c>
      <c r="C71" t="str">
        <f>IF(A71="","",IFERROR(AVERAGEIFS(nNOTA,nNIA,A71,nEVAL,CONFIG_METADATA!$B$4,nASIG,"Coro"),""))</f>
        <v/>
      </c>
      <c r="D71" t="str">
        <f>IF(A71="","",IFERROR(AVERAGEIFS(nNOTA,nNIA,A71,nEVAL,CONFIG_METADATA!$B$4,nASIG,"Conjunto"),""))</f>
        <v/>
      </c>
      <c r="E71" t="str" cm="1">
        <f t="array" ref="E71">IF(A71="","",IFERROR(AVERAGE(IF((nNIA=A71)*(nEVAL=CONFIG_METADATA!$B$4)*(nASIG&lt;&gt;"Lenguaje Musical")*(nASIG&lt;&gt;"Coro")*(nASIG&lt;&gt;"Conjunto"),nNOTA)),""))</f>
        <v/>
      </c>
      <c r="H71" t="str">
        <f>IF(G71="","",IFERROR(AVERAGEIFS(nNOTA,nNIA,G71,nEVAL,CONFIG_METADATA!$B$4,nASIG,"Lenguaje Musical"),""))</f>
        <v/>
      </c>
      <c r="I71" t="str">
        <f>IF(G71="","",IFERROR(AVERAGEIFS(nNOTA,nNIA,G71,nEVAL,CONFIG_METADATA!$B$4,nASIG,"Coro"),""))</f>
        <v/>
      </c>
      <c r="J71" t="str">
        <f>IF(G71="","",IFERROR(AVERAGEIFS(nNOTA,nNIA,G71,nEVAL,CONFIG_METADATA!$B$4,nASIG,"Conjunto"),""))</f>
        <v/>
      </c>
      <c r="K71" t="str" cm="1">
        <f t="array" ref="K71">IF(G71="","",IFERROR(AVERAGE(IF((nNIA=G71)*(nEVAL=CONFIG_METADATA!$B$4)*(nASIG&lt;&gt;"Lenguaje Musical")*(nASIG&lt;&gt;"Coro")*(nASIG&lt;&gt;"Conjunto"),nNOTA)),""))</f>
        <v/>
      </c>
      <c r="N71" t="str">
        <f>IF(M71="","",IFERROR(AVERAGEIFS(nNOTA,nNIA,M71,nEVAL,CONFIG_METADATA!$B$4,nASIG,"Lenguaje Musical"),""))</f>
        <v/>
      </c>
      <c r="O71" t="str">
        <f>IF(M71="","",IFERROR(AVERAGEIFS(nNOTA,nNIA,M71,nEVAL,CONFIG_METADATA!$B$4,nASIG,"Coro"),""))</f>
        <v/>
      </c>
      <c r="P71" t="str">
        <f>IF(M71="","",IFERROR(AVERAGEIFS(nNOTA,nNIA,M71,nEVAL,CONFIG_METADATA!$B$4,nASIG,"Conjunto"),""))</f>
        <v/>
      </c>
      <c r="Q71" t="str" cm="1">
        <f t="array" ref="Q71">IF(M71="","",IFERROR(AVERAGE(IF((nNIA=M71)*(nEVAL=CONFIG_METADATA!$B$4)*(nASIG&lt;&gt;"Lenguaje Musical")*(nASIG&lt;&gt;"Coro")*(nASIG&lt;&gt;"Conjunto"),nNOTA)),""))</f>
        <v/>
      </c>
      <c r="T71" t="str">
        <f>IF(S71="","",IFERROR(AVERAGEIFS(nNOTA,nNIA,S71,nEVAL,CONFIG_METADATA!$B$4,nASIG,"Lenguaje Musical"),""))</f>
        <v/>
      </c>
      <c r="U71" t="str">
        <f>IF(S71="","",IFERROR(AVERAGEIFS(nNOTA,nNIA,S71,nEVAL,CONFIG_METADATA!$B$4,nASIG,"Coro"),""))</f>
        <v/>
      </c>
      <c r="V71" t="str">
        <f>IF(S71="","",IFERROR(AVERAGEIFS(nNOTA,nNIA,S71,nEVAL,CONFIG_METADATA!$B$4,nASIG,"Conjunto"),""))</f>
        <v/>
      </c>
      <c r="W71" t="str" cm="1">
        <f t="array" ref="W71">IF(S71="","",IFERROR(AVERAGE(IF((nNIA=S71)*(nEVAL=CONFIG_METADATA!$B$4)*(nASIG&lt;&gt;"Lenguaje Musical")*(nASIG&lt;&gt;"Coro")*(nASIG&lt;&gt;"Conjunto"),nNOTA)),""))</f>
        <v/>
      </c>
    </row>
    <row r="72" spans="2:23" ht="15" customHeight="1" x14ac:dyDescent="0.2">
      <c r="B72" t="str">
        <f>IF(A72="","",IFERROR(AVERAGEIFS(nNOTA,nNIA,A72,nEVAL,CONFIG_METADATA!$B$4,nASIG,"Lenguaje Musical"),""))</f>
        <v/>
      </c>
      <c r="C72" t="str">
        <f>IF(A72="","",IFERROR(AVERAGEIFS(nNOTA,nNIA,A72,nEVAL,CONFIG_METADATA!$B$4,nASIG,"Coro"),""))</f>
        <v/>
      </c>
      <c r="D72" t="str">
        <f>IF(A72="","",IFERROR(AVERAGEIFS(nNOTA,nNIA,A72,nEVAL,CONFIG_METADATA!$B$4,nASIG,"Conjunto"),""))</f>
        <v/>
      </c>
      <c r="E72" t="str" cm="1">
        <f t="array" ref="E72">IF(A72="","",IFERROR(AVERAGE(IF((nNIA=A72)*(nEVAL=CONFIG_METADATA!$B$4)*(nASIG&lt;&gt;"Lenguaje Musical")*(nASIG&lt;&gt;"Coro")*(nASIG&lt;&gt;"Conjunto"),nNOTA)),""))</f>
        <v/>
      </c>
      <c r="H72" t="str">
        <f>IF(G72="","",IFERROR(AVERAGEIFS(nNOTA,nNIA,G72,nEVAL,CONFIG_METADATA!$B$4,nASIG,"Lenguaje Musical"),""))</f>
        <v/>
      </c>
      <c r="I72" t="str">
        <f>IF(G72="","",IFERROR(AVERAGEIFS(nNOTA,nNIA,G72,nEVAL,CONFIG_METADATA!$B$4,nASIG,"Coro"),""))</f>
        <v/>
      </c>
      <c r="J72" t="str">
        <f>IF(G72="","",IFERROR(AVERAGEIFS(nNOTA,nNIA,G72,nEVAL,CONFIG_METADATA!$B$4,nASIG,"Conjunto"),""))</f>
        <v/>
      </c>
      <c r="K72" t="str" cm="1">
        <f t="array" ref="K72">IF(G72="","",IFERROR(AVERAGE(IF((nNIA=G72)*(nEVAL=CONFIG_METADATA!$B$4)*(nASIG&lt;&gt;"Lenguaje Musical")*(nASIG&lt;&gt;"Coro")*(nASIG&lt;&gt;"Conjunto"),nNOTA)),""))</f>
        <v/>
      </c>
      <c r="N72" t="str">
        <f>IF(M72="","",IFERROR(AVERAGEIFS(nNOTA,nNIA,M72,nEVAL,CONFIG_METADATA!$B$4,nASIG,"Lenguaje Musical"),""))</f>
        <v/>
      </c>
      <c r="O72" t="str">
        <f>IF(M72="","",IFERROR(AVERAGEIFS(nNOTA,nNIA,M72,nEVAL,CONFIG_METADATA!$B$4,nASIG,"Coro"),""))</f>
        <v/>
      </c>
      <c r="P72" t="str">
        <f>IF(M72="","",IFERROR(AVERAGEIFS(nNOTA,nNIA,M72,nEVAL,CONFIG_METADATA!$B$4,nASIG,"Conjunto"),""))</f>
        <v/>
      </c>
      <c r="Q72" t="str" cm="1">
        <f t="array" ref="Q72">IF(M72="","",IFERROR(AVERAGE(IF((nNIA=M72)*(nEVAL=CONFIG_METADATA!$B$4)*(nASIG&lt;&gt;"Lenguaje Musical")*(nASIG&lt;&gt;"Coro")*(nASIG&lt;&gt;"Conjunto"),nNOTA)),""))</f>
        <v/>
      </c>
      <c r="T72" t="str">
        <f>IF(S72="","",IFERROR(AVERAGEIFS(nNOTA,nNIA,S72,nEVAL,CONFIG_METADATA!$B$4,nASIG,"Lenguaje Musical"),""))</f>
        <v/>
      </c>
      <c r="U72" t="str">
        <f>IF(S72="","",IFERROR(AVERAGEIFS(nNOTA,nNIA,S72,nEVAL,CONFIG_METADATA!$B$4,nASIG,"Coro"),""))</f>
        <v/>
      </c>
      <c r="V72" t="str">
        <f>IF(S72="","",IFERROR(AVERAGEIFS(nNOTA,nNIA,S72,nEVAL,CONFIG_METADATA!$B$4,nASIG,"Conjunto"),""))</f>
        <v/>
      </c>
      <c r="W72" t="str" cm="1">
        <f t="array" ref="W72">IF(S72="","",IFERROR(AVERAGE(IF((nNIA=S72)*(nEVAL=CONFIG_METADATA!$B$4)*(nASIG&lt;&gt;"Lenguaje Musical")*(nASIG&lt;&gt;"Coro")*(nASIG&lt;&gt;"Conjunto"),nNOTA)),""))</f>
        <v/>
      </c>
    </row>
    <row r="73" spans="2:23" ht="15" customHeight="1" x14ac:dyDescent="0.2">
      <c r="B73" t="str">
        <f>IF(A73="","",IFERROR(AVERAGEIFS(nNOTA,nNIA,A73,nEVAL,CONFIG_METADATA!$B$4,nASIG,"Lenguaje Musical"),""))</f>
        <v/>
      </c>
      <c r="C73" t="str">
        <f>IF(A73="","",IFERROR(AVERAGEIFS(nNOTA,nNIA,A73,nEVAL,CONFIG_METADATA!$B$4,nASIG,"Coro"),""))</f>
        <v/>
      </c>
      <c r="D73" t="str">
        <f>IF(A73="","",IFERROR(AVERAGEIFS(nNOTA,nNIA,A73,nEVAL,CONFIG_METADATA!$B$4,nASIG,"Conjunto"),""))</f>
        <v/>
      </c>
      <c r="E73" t="str" cm="1">
        <f t="array" ref="E73">IF(A73="","",IFERROR(AVERAGE(IF((nNIA=A73)*(nEVAL=CONFIG_METADATA!$B$4)*(nASIG&lt;&gt;"Lenguaje Musical")*(nASIG&lt;&gt;"Coro")*(nASIG&lt;&gt;"Conjunto"),nNOTA)),""))</f>
        <v/>
      </c>
      <c r="H73" t="str">
        <f>IF(G73="","",IFERROR(AVERAGEIFS(nNOTA,nNIA,G73,nEVAL,CONFIG_METADATA!$B$4,nASIG,"Lenguaje Musical"),""))</f>
        <v/>
      </c>
      <c r="I73" t="str">
        <f>IF(G73="","",IFERROR(AVERAGEIFS(nNOTA,nNIA,G73,nEVAL,CONFIG_METADATA!$B$4,nASIG,"Coro"),""))</f>
        <v/>
      </c>
      <c r="J73" t="str">
        <f>IF(G73="","",IFERROR(AVERAGEIFS(nNOTA,nNIA,G73,nEVAL,CONFIG_METADATA!$B$4,nASIG,"Conjunto"),""))</f>
        <v/>
      </c>
      <c r="K73" t="str" cm="1">
        <f t="array" ref="K73">IF(G73="","",IFERROR(AVERAGE(IF((nNIA=G73)*(nEVAL=CONFIG_METADATA!$B$4)*(nASIG&lt;&gt;"Lenguaje Musical")*(nASIG&lt;&gt;"Coro")*(nASIG&lt;&gt;"Conjunto"),nNOTA)),""))</f>
        <v/>
      </c>
      <c r="N73" t="str">
        <f>IF(M73="","",IFERROR(AVERAGEIFS(nNOTA,nNIA,M73,nEVAL,CONFIG_METADATA!$B$4,nASIG,"Lenguaje Musical"),""))</f>
        <v/>
      </c>
      <c r="O73" t="str">
        <f>IF(M73="","",IFERROR(AVERAGEIFS(nNOTA,nNIA,M73,nEVAL,CONFIG_METADATA!$B$4,nASIG,"Coro"),""))</f>
        <v/>
      </c>
      <c r="P73" t="str">
        <f>IF(M73="","",IFERROR(AVERAGEIFS(nNOTA,nNIA,M73,nEVAL,CONFIG_METADATA!$B$4,nASIG,"Conjunto"),""))</f>
        <v/>
      </c>
      <c r="Q73" t="str" cm="1">
        <f t="array" ref="Q73">IF(M73="","",IFERROR(AVERAGE(IF((nNIA=M73)*(nEVAL=CONFIG_METADATA!$B$4)*(nASIG&lt;&gt;"Lenguaje Musical")*(nASIG&lt;&gt;"Coro")*(nASIG&lt;&gt;"Conjunto"),nNOTA)),""))</f>
        <v/>
      </c>
      <c r="T73" t="str">
        <f>IF(S73="","",IFERROR(AVERAGEIFS(nNOTA,nNIA,S73,nEVAL,CONFIG_METADATA!$B$4,nASIG,"Lenguaje Musical"),""))</f>
        <v/>
      </c>
      <c r="U73" t="str">
        <f>IF(S73="","",IFERROR(AVERAGEIFS(nNOTA,nNIA,S73,nEVAL,CONFIG_METADATA!$B$4,nASIG,"Coro"),""))</f>
        <v/>
      </c>
      <c r="V73" t="str">
        <f>IF(S73="","",IFERROR(AVERAGEIFS(nNOTA,nNIA,S73,nEVAL,CONFIG_METADATA!$B$4,nASIG,"Conjunto"),""))</f>
        <v/>
      </c>
      <c r="W73" t="str" cm="1">
        <f t="array" ref="W73">IF(S73="","",IFERROR(AVERAGE(IF((nNIA=S73)*(nEVAL=CONFIG_METADATA!$B$4)*(nASIG&lt;&gt;"Lenguaje Musical")*(nASIG&lt;&gt;"Coro")*(nASIG&lt;&gt;"Conjunto"),nNOTA)),""))</f>
        <v/>
      </c>
    </row>
    <row r="74" spans="2:23" ht="15" customHeight="1" x14ac:dyDescent="0.2">
      <c r="B74" t="str">
        <f>IF(A74="","",IFERROR(AVERAGEIFS(nNOTA,nNIA,A74,nEVAL,CONFIG_METADATA!$B$4,nASIG,"Lenguaje Musical"),""))</f>
        <v/>
      </c>
      <c r="C74" t="str">
        <f>IF(A74="","",IFERROR(AVERAGEIFS(nNOTA,nNIA,A74,nEVAL,CONFIG_METADATA!$B$4,nASIG,"Coro"),""))</f>
        <v/>
      </c>
      <c r="D74" t="str">
        <f>IF(A74="","",IFERROR(AVERAGEIFS(nNOTA,nNIA,A74,nEVAL,CONFIG_METADATA!$B$4,nASIG,"Conjunto"),""))</f>
        <v/>
      </c>
      <c r="E74" t="str" cm="1">
        <f t="array" ref="E74">IF(A74="","",IFERROR(AVERAGE(IF((nNIA=A74)*(nEVAL=CONFIG_METADATA!$B$4)*(nASIG&lt;&gt;"Lenguaje Musical")*(nASIG&lt;&gt;"Coro")*(nASIG&lt;&gt;"Conjunto"),nNOTA)),""))</f>
        <v/>
      </c>
      <c r="H74" t="str">
        <f>IF(G74="","",IFERROR(AVERAGEIFS(nNOTA,nNIA,G74,nEVAL,CONFIG_METADATA!$B$4,nASIG,"Lenguaje Musical"),""))</f>
        <v/>
      </c>
      <c r="I74" t="str">
        <f>IF(G74="","",IFERROR(AVERAGEIFS(nNOTA,nNIA,G74,nEVAL,CONFIG_METADATA!$B$4,nASIG,"Coro"),""))</f>
        <v/>
      </c>
      <c r="J74" t="str">
        <f>IF(G74="","",IFERROR(AVERAGEIFS(nNOTA,nNIA,G74,nEVAL,CONFIG_METADATA!$B$4,nASIG,"Conjunto"),""))</f>
        <v/>
      </c>
      <c r="K74" t="str" cm="1">
        <f t="array" ref="K74">IF(G74="","",IFERROR(AVERAGE(IF((nNIA=G74)*(nEVAL=CONFIG_METADATA!$B$4)*(nASIG&lt;&gt;"Lenguaje Musical")*(nASIG&lt;&gt;"Coro")*(nASIG&lt;&gt;"Conjunto"),nNOTA)),""))</f>
        <v/>
      </c>
      <c r="N74" t="str">
        <f>IF(M74="","",IFERROR(AVERAGEIFS(nNOTA,nNIA,M74,nEVAL,CONFIG_METADATA!$B$4,nASIG,"Lenguaje Musical"),""))</f>
        <v/>
      </c>
      <c r="O74" t="str">
        <f>IF(M74="","",IFERROR(AVERAGEIFS(nNOTA,nNIA,M74,nEVAL,CONFIG_METADATA!$B$4,nASIG,"Coro"),""))</f>
        <v/>
      </c>
      <c r="P74" t="str">
        <f>IF(M74="","",IFERROR(AVERAGEIFS(nNOTA,nNIA,M74,nEVAL,CONFIG_METADATA!$B$4,nASIG,"Conjunto"),""))</f>
        <v/>
      </c>
      <c r="Q74" t="str" cm="1">
        <f t="array" ref="Q74">IF(M74="","",IFERROR(AVERAGE(IF((nNIA=M74)*(nEVAL=CONFIG_METADATA!$B$4)*(nASIG&lt;&gt;"Lenguaje Musical")*(nASIG&lt;&gt;"Coro")*(nASIG&lt;&gt;"Conjunto"),nNOTA)),""))</f>
        <v/>
      </c>
      <c r="T74" t="str">
        <f>IF(S74="","",IFERROR(AVERAGEIFS(nNOTA,nNIA,S74,nEVAL,CONFIG_METADATA!$B$4,nASIG,"Lenguaje Musical"),""))</f>
        <v/>
      </c>
      <c r="U74" t="str">
        <f>IF(S74="","",IFERROR(AVERAGEIFS(nNOTA,nNIA,S74,nEVAL,CONFIG_METADATA!$B$4,nASIG,"Coro"),""))</f>
        <v/>
      </c>
      <c r="V74" t="str">
        <f>IF(S74="","",IFERROR(AVERAGEIFS(nNOTA,nNIA,S74,nEVAL,CONFIG_METADATA!$B$4,nASIG,"Conjunto"),""))</f>
        <v/>
      </c>
      <c r="W74" t="str" cm="1">
        <f t="array" ref="W74">IF(S74="","",IFERROR(AVERAGE(IF((nNIA=S74)*(nEVAL=CONFIG_METADATA!$B$4)*(nASIG&lt;&gt;"Lenguaje Musical")*(nASIG&lt;&gt;"Coro")*(nASIG&lt;&gt;"Conjunto"),nNOTA)),""))</f>
        <v/>
      </c>
    </row>
    <row r="75" spans="2:23" ht="15" customHeight="1" x14ac:dyDescent="0.2">
      <c r="B75" t="str">
        <f>IF(A75="","",IFERROR(AVERAGEIFS(nNOTA,nNIA,A75,nEVAL,CONFIG_METADATA!$B$4,nASIG,"Lenguaje Musical"),""))</f>
        <v/>
      </c>
      <c r="C75" t="str">
        <f>IF(A75="","",IFERROR(AVERAGEIFS(nNOTA,nNIA,A75,nEVAL,CONFIG_METADATA!$B$4,nASIG,"Coro"),""))</f>
        <v/>
      </c>
      <c r="D75" t="str">
        <f>IF(A75="","",IFERROR(AVERAGEIFS(nNOTA,nNIA,A75,nEVAL,CONFIG_METADATA!$B$4,nASIG,"Conjunto"),""))</f>
        <v/>
      </c>
      <c r="E75" t="str" cm="1">
        <f t="array" ref="E75">IF(A75="","",IFERROR(AVERAGE(IF((nNIA=A75)*(nEVAL=CONFIG_METADATA!$B$4)*(nASIG&lt;&gt;"Lenguaje Musical")*(nASIG&lt;&gt;"Coro")*(nASIG&lt;&gt;"Conjunto"),nNOTA)),""))</f>
        <v/>
      </c>
      <c r="H75" t="str">
        <f>IF(G75="","",IFERROR(AVERAGEIFS(nNOTA,nNIA,G75,nEVAL,CONFIG_METADATA!$B$4,nASIG,"Lenguaje Musical"),""))</f>
        <v/>
      </c>
      <c r="I75" t="str">
        <f>IF(G75="","",IFERROR(AVERAGEIFS(nNOTA,nNIA,G75,nEVAL,CONFIG_METADATA!$B$4,nASIG,"Coro"),""))</f>
        <v/>
      </c>
      <c r="J75" t="str">
        <f>IF(G75="","",IFERROR(AVERAGEIFS(nNOTA,nNIA,G75,nEVAL,CONFIG_METADATA!$B$4,nASIG,"Conjunto"),""))</f>
        <v/>
      </c>
      <c r="K75" t="str" cm="1">
        <f t="array" ref="K75">IF(G75="","",IFERROR(AVERAGE(IF((nNIA=G75)*(nEVAL=CONFIG_METADATA!$B$4)*(nASIG&lt;&gt;"Lenguaje Musical")*(nASIG&lt;&gt;"Coro")*(nASIG&lt;&gt;"Conjunto"),nNOTA)),""))</f>
        <v/>
      </c>
      <c r="N75" t="str">
        <f>IF(M75="","",IFERROR(AVERAGEIFS(nNOTA,nNIA,M75,nEVAL,CONFIG_METADATA!$B$4,nASIG,"Lenguaje Musical"),""))</f>
        <v/>
      </c>
      <c r="O75" t="str">
        <f>IF(M75="","",IFERROR(AVERAGEIFS(nNOTA,nNIA,M75,nEVAL,CONFIG_METADATA!$B$4,nASIG,"Coro"),""))</f>
        <v/>
      </c>
      <c r="P75" t="str">
        <f>IF(M75="","",IFERROR(AVERAGEIFS(nNOTA,nNIA,M75,nEVAL,CONFIG_METADATA!$B$4,nASIG,"Conjunto"),""))</f>
        <v/>
      </c>
      <c r="Q75" t="str" cm="1">
        <f t="array" ref="Q75">IF(M75="","",IFERROR(AVERAGE(IF((nNIA=M75)*(nEVAL=CONFIG_METADATA!$B$4)*(nASIG&lt;&gt;"Lenguaje Musical")*(nASIG&lt;&gt;"Coro")*(nASIG&lt;&gt;"Conjunto"),nNOTA)),""))</f>
        <v/>
      </c>
      <c r="T75" t="str">
        <f>IF(S75="","",IFERROR(AVERAGEIFS(nNOTA,nNIA,S75,nEVAL,CONFIG_METADATA!$B$4,nASIG,"Lenguaje Musical"),""))</f>
        <v/>
      </c>
      <c r="U75" t="str">
        <f>IF(S75="","",IFERROR(AVERAGEIFS(nNOTA,nNIA,S75,nEVAL,CONFIG_METADATA!$B$4,nASIG,"Coro"),""))</f>
        <v/>
      </c>
      <c r="V75" t="str">
        <f>IF(S75="","",IFERROR(AVERAGEIFS(nNOTA,nNIA,S75,nEVAL,CONFIG_METADATA!$B$4,nASIG,"Conjunto"),""))</f>
        <v/>
      </c>
      <c r="W75" t="str" cm="1">
        <f t="array" ref="W75">IF(S75="","",IFERROR(AVERAGE(IF((nNIA=S75)*(nEVAL=CONFIG_METADATA!$B$4)*(nASIG&lt;&gt;"Lenguaje Musical")*(nASIG&lt;&gt;"Coro")*(nASIG&lt;&gt;"Conjunto"),nNOTA)),""))</f>
        <v/>
      </c>
    </row>
    <row r="76" spans="2:23" ht="15" customHeight="1" x14ac:dyDescent="0.2">
      <c r="B76" t="str">
        <f>IF(A76="","",IFERROR(AVERAGEIFS(nNOTA,nNIA,A76,nEVAL,CONFIG_METADATA!$B$4,nASIG,"Lenguaje Musical"),""))</f>
        <v/>
      </c>
      <c r="C76" t="str">
        <f>IF(A76="","",IFERROR(AVERAGEIFS(nNOTA,nNIA,A76,nEVAL,CONFIG_METADATA!$B$4,nASIG,"Coro"),""))</f>
        <v/>
      </c>
      <c r="D76" t="str">
        <f>IF(A76="","",IFERROR(AVERAGEIFS(nNOTA,nNIA,A76,nEVAL,CONFIG_METADATA!$B$4,nASIG,"Conjunto"),""))</f>
        <v/>
      </c>
      <c r="E76" t="str" cm="1">
        <f t="array" ref="E76">IF(A76="","",IFERROR(AVERAGE(IF((nNIA=A76)*(nEVAL=CONFIG_METADATA!$B$4)*(nASIG&lt;&gt;"Lenguaje Musical")*(nASIG&lt;&gt;"Coro")*(nASIG&lt;&gt;"Conjunto"),nNOTA)),""))</f>
        <v/>
      </c>
      <c r="H76" t="str">
        <f>IF(G76="","",IFERROR(AVERAGEIFS(nNOTA,nNIA,G76,nEVAL,CONFIG_METADATA!$B$4,nASIG,"Lenguaje Musical"),""))</f>
        <v/>
      </c>
      <c r="I76" t="str">
        <f>IF(G76="","",IFERROR(AVERAGEIFS(nNOTA,nNIA,G76,nEVAL,CONFIG_METADATA!$B$4,nASIG,"Coro"),""))</f>
        <v/>
      </c>
      <c r="J76" t="str">
        <f>IF(G76="","",IFERROR(AVERAGEIFS(nNOTA,nNIA,G76,nEVAL,CONFIG_METADATA!$B$4,nASIG,"Conjunto"),""))</f>
        <v/>
      </c>
      <c r="K76" t="str" cm="1">
        <f t="array" ref="K76">IF(G76="","",IFERROR(AVERAGE(IF((nNIA=G76)*(nEVAL=CONFIG_METADATA!$B$4)*(nASIG&lt;&gt;"Lenguaje Musical")*(nASIG&lt;&gt;"Coro")*(nASIG&lt;&gt;"Conjunto"),nNOTA)),""))</f>
        <v/>
      </c>
      <c r="N76" t="str">
        <f>IF(M76="","",IFERROR(AVERAGEIFS(nNOTA,nNIA,M76,nEVAL,CONFIG_METADATA!$B$4,nASIG,"Lenguaje Musical"),""))</f>
        <v/>
      </c>
      <c r="O76" t="str">
        <f>IF(M76="","",IFERROR(AVERAGEIFS(nNOTA,nNIA,M76,nEVAL,CONFIG_METADATA!$B$4,nASIG,"Coro"),""))</f>
        <v/>
      </c>
      <c r="P76" t="str">
        <f>IF(M76="","",IFERROR(AVERAGEIFS(nNOTA,nNIA,M76,nEVAL,CONFIG_METADATA!$B$4,nASIG,"Conjunto"),""))</f>
        <v/>
      </c>
      <c r="Q76" t="str" cm="1">
        <f t="array" ref="Q76">IF(M76="","",IFERROR(AVERAGE(IF((nNIA=M76)*(nEVAL=CONFIG_METADATA!$B$4)*(nASIG&lt;&gt;"Lenguaje Musical")*(nASIG&lt;&gt;"Coro")*(nASIG&lt;&gt;"Conjunto"),nNOTA)),""))</f>
        <v/>
      </c>
      <c r="T76" t="str">
        <f>IF(S76="","",IFERROR(AVERAGEIFS(nNOTA,nNIA,S76,nEVAL,CONFIG_METADATA!$B$4,nASIG,"Lenguaje Musical"),""))</f>
        <v/>
      </c>
      <c r="U76" t="str">
        <f>IF(S76="","",IFERROR(AVERAGEIFS(nNOTA,nNIA,S76,nEVAL,CONFIG_METADATA!$B$4,nASIG,"Coro"),""))</f>
        <v/>
      </c>
      <c r="V76" t="str">
        <f>IF(S76="","",IFERROR(AVERAGEIFS(nNOTA,nNIA,S76,nEVAL,CONFIG_METADATA!$B$4,nASIG,"Conjunto"),""))</f>
        <v/>
      </c>
      <c r="W76" t="str" cm="1">
        <f t="array" ref="W76">IF(S76="","",IFERROR(AVERAGE(IF((nNIA=S76)*(nEVAL=CONFIG_METADATA!$B$4)*(nASIG&lt;&gt;"Lenguaje Musical")*(nASIG&lt;&gt;"Coro")*(nASIG&lt;&gt;"Conjunto"),nNOTA)),""))</f>
        <v/>
      </c>
    </row>
    <row r="77" spans="2:23" ht="15" customHeight="1" x14ac:dyDescent="0.2">
      <c r="B77" t="str">
        <f>IF(A77="","",IFERROR(AVERAGEIFS(nNOTA,nNIA,A77,nEVAL,CONFIG_METADATA!$B$4,nASIG,"Lenguaje Musical"),""))</f>
        <v/>
      </c>
      <c r="C77" t="str">
        <f>IF(A77="","",IFERROR(AVERAGEIFS(nNOTA,nNIA,A77,nEVAL,CONFIG_METADATA!$B$4,nASIG,"Coro"),""))</f>
        <v/>
      </c>
      <c r="D77" t="str">
        <f>IF(A77="","",IFERROR(AVERAGEIFS(nNOTA,nNIA,A77,nEVAL,CONFIG_METADATA!$B$4,nASIG,"Conjunto"),""))</f>
        <v/>
      </c>
      <c r="E77" t="str" cm="1">
        <f t="array" ref="E77">IF(A77="","",IFERROR(AVERAGE(IF((nNIA=A77)*(nEVAL=CONFIG_METADATA!$B$4)*(nASIG&lt;&gt;"Lenguaje Musical")*(nASIG&lt;&gt;"Coro")*(nASIG&lt;&gt;"Conjunto"),nNOTA)),""))</f>
        <v/>
      </c>
      <c r="H77" t="str">
        <f>IF(G77="","",IFERROR(AVERAGEIFS(nNOTA,nNIA,G77,nEVAL,CONFIG_METADATA!$B$4,nASIG,"Lenguaje Musical"),""))</f>
        <v/>
      </c>
      <c r="I77" t="str">
        <f>IF(G77="","",IFERROR(AVERAGEIFS(nNOTA,nNIA,G77,nEVAL,CONFIG_METADATA!$B$4,nASIG,"Coro"),""))</f>
        <v/>
      </c>
      <c r="J77" t="str">
        <f>IF(G77="","",IFERROR(AVERAGEIFS(nNOTA,nNIA,G77,nEVAL,CONFIG_METADATA!$B$4,nASIG,"Conjunto"),""))</f>
        <v/>
      </c>
      <c r="K77" t="str" cm="1">
        <f t="array" ref="K77">IF(G77="","",IFERROR(AVERAGE(IF((nNIA=G77)*(nEVAL=CONFIG_METADATA!$B$4)*(nASIG&lt;&gt;"Lenguaje Musical")*(nASIG&lt;&gt;"Coro")*(nASIG&lt;&gt;"Conjunto"),nNOTA)),""))</f>
        <v/>
      </c>
      <c r="N77" t="str">
        <f>IF(M77="","",IFERROR(AVERAGEIFS(nNOTA,nNIA,M77,nEVAL,CONFIG_METADATA!$B$4,nASIG,"Lenguaje Musical"),""))</f>
        <v/>
      </c>
      <c r="O77" t="str">
        <f>IF(M77="","",IFERROR(AVERAGEIFS(nNOTA,nNIA,M77,nEVAL,CONFIG_METADATA!$B$4,nASIG,"Coro"),""))</f>
        <v/>
      </c>
      <c r="P77" t="str">
        <f>IF(M77="","",IFERROR(AVERAGEIFS(nNOTA,nNIA,M77,nEVAL,CONFIG_METADATA!$B$4,nASIG,"Conjunto"),""))</f>
        <v/>
      </c>
      <c r="Q77" t="str" cm="1">
        <f t="array" ref="Q77">IF(M77="","",IFERROR(AVERAGE(IF((nNIA=M77)*(nEVAL=CONFIG_METADATA!$B$4)*(nASIG&lt;&gt;"Lenguaje Musical")*(nASIG&lt;&gt;"Coro")*(nASIG&lt;&gt;"Conjunto"),nNOTA)),""))</f>
        <v/>
      </c>
      <c r="T77" t="str">
        <f>IF(S77="","",IFERROR(AVERAGEIFS(nNOTA,nNIA,S77,nEVAL,CONFIG_METADATA!$B$4,nASIG,"Lenguaje Musical"),""))</f>
        <v/>
      </c>
      <c r="U77" t="str">
        <f>IF(S77="","",IFERROR(AVERAGEIFS(nNOTA,nNIA,S77,nEVAL,CONFIG_METADATA!$B$4,nASIG,"Coro"),""))</f>
        <v/>
      </c>
      <c r="V77" t="str">
        <f>IF(S77="","",IFERROR(AVERAGEIFS(nNOTA,nNIA,S77,nEVAL,CONFIG_METADATA!$B$4,nASIG,"Conjunto"),""))</f>
        <v/>
      </c>
      <c r="W77" t="str" cm="1">
        <f t="array" ref="W77">IF(S77="","",IFERROR(AVERAGE(IF((nNIA=S77)*(nEVAL=CONFIG_METADATA!$B$4)*(nASIG&lt;&gt;"Lenguaje Musical")*(nASIG&lt;&gt;"Coro")*(nASIG&lt;&gt;"Conjunto"),nNOTA)),""))</f>
        <v/>
      </c>
    </row>
    <row r="78" spans="2:23" ht="15" customHeight="1" x14ac:dyDescent="0.2">
      <c r="B78" t="str">
        <f>IF(A78="","",IFERROR(AVERAGEIFS(nNOTA,nNIA,A78,nEVAL,CONFIG_METADATA!$B$4,nASIG,"Lenguaje Musical"),""))</f>
        <v/>
      </c>
      <c r="C78" t="str">
        <f>IF(A78="","",IFERROR(AVERAGEIFS(nNOTA,nNIA,A78,nEVAL,CONFIG_METADATA!$B$4,nASIG,"Coro"),""))</f>
        <v/>
      </c>
      <c r="D78" t="str">
        <f>IF(A78="","",IFERROR(AVERAGEIFS(nNOTA,nNIA,A78,nEVAL,CONFIG_METADATA!$B$4,nASIG,"Conjunto"),""))</f>
        <v/>
      </c>
      <c r="E78" t="str" cm="1">
        <f t="array" ref="E78">IF(A78="","",IFERROR(AVERAGE(IF((nNIA=A78)*(nEVAL=CONFIG_METADATA!$B$4)*(nASIG&lt;&gt;"Lenguaje Musical")*(nASIG&lt;&gt;"Coro")*(nASIG&lt;&gt;"Conjunto"),nNOTA)),""))</f>
        <v/>
      </c>
      <c r="H78" t="str">
        <f>IF(G78="","",IFERROR(AVERAGEIFS(nNOTA,nNIA,G78,nEVAL,CONFIG_METADATA!$B$4,nASIG,"Lenguaje Musical"),""))</f>
        <v/>
      </c>
      <c r="I78" t="str">
        <f>IF(G78="","",IFERROR(AVERAGEIFS(nNOTA,nNIA,G78,nEVAL,CONFIG_METADATA!$B$4,nASIG,"Coro"),""))</f>
        <v/>
      </c>
      <c r="J78" t="str">
        <f>IF(G78="","",IFERROR(AVERAGEIFS(nNOTA,nNIA,G78,nEVAL,CONFIG_METADATA!$B$4,nASIG,"Conjunto"),""))</f>
        <v/>
      </c>
      <c r="K78" t="str" cm="1">
        <f t="array" ref="K78">IF(G78="","",IFERROR(AVERAGE(IF((nNIA=G78)*(nEVAL=CONFIG_METADATA!$B$4)*(nASIG&lt;&gt;"Lenguaje Musical")*(nASIG&lt;&gt;"Coro")*(nASIG&lt;&gt;"Conjunto"),nNOTA)),""))</f>
        <v/>
      </c>
      <c r="N78" t="str">
        <f>IF(M78="","",IFERROR(AVERAGEIFS(nNOTA,nNIA,M78,nEVAL,CONFIG_METADATA!$B$4,nASIG,"Lenguaje Musical"),""))</f>
        <v/>
      </c>
      <c r="O78" t="str">
        <f>IF(M78="","",IFERROR(AVERAGEIFS(nNOTA,nNIA,M78,nEVAL,CONFIG_METADATA!$B$4,nASIG,"Coro"),""))</f>
        <v/>
      </c>
      <c r="P78" t="str">
        <f>IF(M78="","",IFERROR(AVERAGEIFS(nNOTA,nNIA,M78,nEVAL,CONFIG_METADATA!$B$4,nASIG,"Conjunto"),""))</f>
        <v/>
      </c>
      <c r="Q78" t="str" cm="1">
        <f t="array" ref="Q78">IF(M78="","",IFERROR(AVERAGE(IF((nNIA=M78)*(nEVAL=CONFIG_METADATA!$B$4)*(nASIG&lt;&gt;"Lenguaje Musical")*(nASIG&lt;&gt;"Coro")*(nASIG&lt;&gt;"Conjunto"),nNOTA)),""))</f>
        <v/>
      </c>
      <c r="T78" t="str">
        <f>IF(S78="","",IFERROR(AVERAGEIFS(nNOTA,nNIA,S78,nEVAL,CONFIG_METADATA!$B$4,nASIG,"Lenguaje Musical"),""))</f>
        <v/>
      </c>
      <c r="U78" t="str">
        <f>IF(S78="","",IFERROR(AVERAGEIFS(nNOTA,nNIA,S78,nEVAL,CONFIG_METADATA!$B$4,nASIG,"Coro"),""))</f>
        <v/>
      </c>
      <c r="V78" t="str">
        <f>IF(S78="","",IFERROR(AVERAGEIFS(nNOTA,nNIA,S78,nEVAL,CONFIG_METADATA!$B$4,nASIG,"Conjunto"),""))</f>
        <v/>
      </c>
      <c r="W78" t="str" cm="1">
        <f t="array" ref="W78">IF(S78="","",IFERROR(AVERAGE(IF((nNIA=S78)*(nEVAL=CONFIG_METADATA!$B$4)*(nASIG&lt;&gt;"Lenguaje Musical")*(nASIG&lt;&gt;"Coro")*(nASIG&lt;&gt;"Conjunto"),nNOTA)),""))</f>
        <v/>
      </c>
    </row>
    <row r="79" spans="2:23" ht="15" customHeight="1" x14ac:dyDescent="0.2">
      <c r="B79" t="str">
        <f>IF(A79="","",IFERROR(AVERAGEIFS(nNOTA,nNIA,A79,nEVAL,CONFIG_METADATA!$B$4,nASIG,"Lenguaje Musical"),""))</f>
        <v/>
      </c>
      <c r="C79" t="str">
        <f>IF(A79="","",IFERROR(AVERAGEIFS(nNOTA,nNIA,A79,nEVAL,CONFIG_METADATA!$B$4,nASIG,"Coro"),""))</f>
        <v/>
      </c>
      <c r="D79" t="str">
        <f>IF(A79="","",IFERROR(AVERAGEIFS(nNOTA,nNIA,A79,nEVAL,CONFIG_METADATA!$B$4,nASIG,"Conjunto"),""))</f>
        <v/>
      </c>
      <c r="E79" t="str" cm="1">
        <f t="array" ref="E79">IF(A79="","",IFERROR(AVERAGE(IF((nNIA=A79)*(nEVAL=CONFIG_METADATA!$B$4)*(nASIG&lt;&gt;"Lenguaje Musical")*(nASIG&lt;&gt;"Coro")*(nASIG&lt;&gt;"Conjunto"),nNOTA)),""))</f>
        <v/>
      </c>
      <c r="H79" t="str">
        <f>IF(G79="","",IFERROR(AVERAGEIFS(nNOTA,nNIA,G79,nEVAL,CONFIG_METADATA!$B$4,nASIG,"Lenguaje Musical"),""))</f>
        <v/>
      </c>
      <c r="I79" t="str">
        <f>IF(G79="","",IFERROR(AVERAGEIFS(nNOTA,nNIA,G79,nEVAL,CONFIG_METADATA!$B$4,nASIG,"Coro"),""))</f>
        <v/>
      </c>
      <c r="J79" t="str">
        <f>IF(G79="","",IFERROR(AVERAGEIFS(nNOTA,nNIA,G79,nEVAL,CONFIG_METADATA!$B$4,nASIG,"Conjunto"),""))</f>
        <v/>
      </c>
      <c r="K79" t="str" cm="1">
        <f t="array" ref="K79">IF(G79="","",IFERROR(AVERAGE(IF((nNIA=G79)*(nEVAL=CONFIG_METADATA!$B$4)*(nASIG&lt;&gt;"Lenguaje Musical")*(nASIG&lt;&gt;"Coro")*(nASIG&lt;&gt;"Conjunto"),nNOTA)),""))</f>
        <v/>
      </c>
      <c r="N79" t="str">
        <f>IF(M79="","",IFERROR(AVERAGEIFS(nNOTA,nNIA,M79,nEVAL,CONFIG_METADATA!$B$4,nASIG,"Lenguaje Musical"),""))</f>
        <v/>
      </c>
      <c r="O79" t="str">
        <f>IF(M79="","",IFERROR(AVERAGEIFS(nNOTA,nNIA,M79,nEVAL,CONFIG_METADATA!$B$4,nASIG,"Coro"),""))</f>
        <v/>
      </c>
      <c r="P79" t="str">
        <f>IF(M79="","",IFERROR(AVERAGEIFS(nNOTA,nNIA,M79,nEVAL,CONFIG_METADATA!$B$4,nASIG,"Conjunto"),""))</f>
        <v/>
      </c>
      <c r="Q79" t="str" cm="1">
        <f t="array" ref="Q79">IF(M79="","",IFERROR(AVERAGE(IF((nNIA=M79)*(nEVAL=CONFIG_METADATA!$B$4)*(nASIG&lt;&gt;"Lenguaje Musical")*(nASIG&lt;&gt;"Coro")*(nASIG&lt;&gt;"Conjunto"),nNOTA)),""))</f>
        <v/>
      </c>
      <c r="T79" t="str">
        <f>IF(S79="","",IFERROR(AVERAGEIFS(nNOTA,nNIA,S79,nEVAL,CONFIG_METADATA!$B$4,nASIG,"Lenguaje Musical"),""))</f>
        <v/>
      </c>
      <c r="U79" t="str">
        <f>IF(S79="","",IFERROR(AVERAGEIFS(nNOTA,nNIA,S79,nEVAL,CONFIG_METADATA!$B$4,nASIG,"Coro"),""))</f>
        <v/>
      </c>
      <c r="V79" t="str">
        <f>IF(S79="","",IFERROR(AVERAGEIFS(nNOTA,nNIA,S79,nEVAL,CONFIG_METADATA!$B$4,nASIG,"Conjunto"),""))</f>
        <v/>
      </c>
      <c r="W79" t="str" cm="1">
        <f t="array" ref="W79">IF(S79="","",IFERROR(AVERAGE(IF((nNIA=S79)*(nEVAL=CONFIG_METADATA!$B$4)*(nASIG&lt;&gt;"Lenguaje Musical")*(nASIG&lt;&gt;"Coro")*(nASIG&lt;&gt;"Conjunto"),nNOTA)),""))</f>
        <v/>
      </c>
    </row>
    <row r="80" spans="2:23" ht="15" customHeight="1" x14ac:dyDescent="0.2">
      <c r="B80" t="str">
        <f>IF(A80="","",IFERROR(AVERAGEIFS(nNOTA,nNIA,A80,nEVAL,CONFIG_METADATA!$B$4,nASIG,"Lenguaje Musical"),""))</f>
        <v/>
      </c>
      <c r="C80" t="str">
        <f>IF(A80="","",IFERROR(AVERAGEIFS(nNOTA,nNIA,A80,nEVAL,CONFIG_METADATA!$B$4,nASIG,"Coro"),""))</f>
        <v/>
      </c>
      <c r="D80" t="str">
        <f>IF(A80="","",IFERROR(AVERAGEIFS(nNOTA,nNIA,A80,nEVAL,CONFIG_METADATA!$B$4,nASIG,"Conjunto"),""))</f>
        <v/>
      </c>
      <c r="E80" t="str" cm="1">
        <f t="array" ref="E80">IF(A80="","",IFERROR(AVERAGE(IF((nNIA=A80)*(nEVAL=CONFIG_METADATA!$B$4)*(nASIG&lt;&gt;"Lenguaje Musical")*(nASIG&lt;&gt;"Coro")*(nASIG&lt;&gt;"Conjunto"),nNOTA)),""))</f>
        <v/>
      </c>
      <c r="H80" t="str">
        <f>IF(G80="","",IFERROR(AVERAGEIFS(nNOTA,nNIA,G80,nEVAL,CONFIG_METADATA!$B$4,nASIG,"Lenguaje Musical"),""))</f>
        <v/>
      </c>
      <c r="I80" t="str">
        <f>IF(G80="","",IFERROR(AVERAGEIFS(nNOTA,nNIA,G80,nEVAL,CONFIG_METADATA!$B$4,nASIG,"Coro"),""))</f>
        <v/>
      </c>
      <c r="J80" t="str">
        <f>IF(G80="","",IFERROR(AVERAGEIFS(nNOTA,nNIA,G80,nEVAL,CONFIG_METADATA!$B$4,nASIG,"Conjunto"),""))</f>
        <v/>
      </c>
      <c r="K80" t="str" cm="1">
        <f t="array" ref="K80">IF(G80="","",IFERROR(AVERAGE(IF((nNIA=G80)*(nEVAL=CONFIG_METADATA!$B$4)*(nASIG&lt;&gt;"Lenguaje Musical")*(nASIG&lt;&gt;"Coro")*(nASIG&lt;&gt;"Conjunto"),nNOTA)),""))</f>
        <v/>
      </c>
      <c r="N80" t="str">
        <f>IF(M80="","",IFERROR(AVERAGEIFS(nNOTA,nNIA,M80,nEVAL,CONFIG_METADATA!$B$4,nASIG,"Lenguaje Musical"),""))</f>
        <v/>
      </c>
      <c r="O80" t="str">
        <f>IF(M80="","",IFERROR(AVERAGEIFS(nNOTA,nNIA,M80,nEVAL,CONFIG_METADATA!$B$4,nASIG,"Coro"),""))</f>
        <v/>
      </c>
      <c r="P80" t="str">
        <f>IF(M80="","",IFERROR(AVERAGEIFS(nNOTA,nNIA,M80,nEVAL,CONFIG_METADATA!$B$4,nASIG,"Conjunto"),""))</f>
        <v/>
      </c>
      <c r="Q80" t="str" cm="1">
        <f t="array" ref="Q80">IF(M80="","",IFERROR(AVERAGE(IF((nNIA=M80)*(nEVAL=CONFIG_METADATA!$B$4)*(nASIG&lt;&gt;"Lenguaje Musical")*(nASIG&lt;&gt;"Coro")*(nASIG&lt;&gt;"Conjunto"),nNOTA)),""))</f>
        <v/>
      </c>
      <c r="T80" t="str">
        <f>IF(S80="","",IFERROR(AVERAGEIFS(nNOTA,nNIA,S80,nEVAL,CONFIG_METADATA!$B$4,nASIG,"Lenguaje Musical"),""))</f>
        <v/>
      </c>
      <c r="U80" t="str">
        <f>IF(S80="","",IFERROR(AVERAGEIFS(nNOTA,nNIA,S80,nEVAL,CONFIG_METADATA!$B$4,nASIG,"Coro"),""))</f>
        <v/>
      </c>
      <c r="V80" t="str">
        <f>IF(S80="","",IFERROR(AVERAGEIFS(nNOTA,nNIA,S80,nEVAL,CONFIG_METADATA!$B$4,nASIG,"Conjunto"),""))</f>
        <v/>
      </c>
      <c r="W80" t="str" cm="1">
        <f t="array" ref="W80">IF(S80="","",IFERROR(AVERAGE(IF((nNIA=S80)*(nEVAL=CONFIG_METADATA!$B$4)*(nASIG&lt;&gt;"Lenguaje Musical")*(nASIG&lt;&gt;"Coro")*(nASIG&lt;&gt;"Conjunto"),nNOTA)),""))</f>
        <v/>
      </c>
    </row>
    <row r="81" spans="2:23" ht="15" customHeight="1" x14ac:dyDescent="0.2">
      <c r="B81" t="str">
        <f>IF(A81="","",IFERROR(AVERAGEIFS(nNOTA,nNIA,A81,nEVAL,CONFIG_METADATA!$B$4,nASIG,"Lenguaje Musical"),""))</f>
        <v/>
      </c>
      <c r="C81" t="str">
        <f>IF(A81="","",IFERROR(AVERAGEIFS(nNOTA,nNIA,A81,nEVAL,CONFIG_METADATA!$B$4,nASIG,"Coro"),""))</f>
        <v/>
      </c>
      <c r="D81" t="str">
        <f>IF(A81="","",IFERROR(AVERAGEIFS(nNOTA,nNIA,A81,nEVAL,CONFIG_METADATA!$B$4,nASIG,"Conjunto"),""))</f>
        <v/>
      </c>
      <c r="E81" t="str" cm="1">
        <f t="array" ref="E81">IF(A81="","",IFERROR(AVERAGE(IF((nNIA=A81)*(nEVAL=CONFIG_METADATA!$B$4)*(nASIG&lt;&gt;"Lenguaje Musical")*(nASIG&lt;&gt;"Coro")*(nASIG&lt;&gt;"Conjunto"),nNOTA)),""))</f>
        <v/>
      </c>
      <c r="H81" t="str">
        <f>IF(G81="","",IFERROR(AVERAGEIFS(nNOTA,nNIA,G81,nEVAL,CONFIG_METADATA!$B$4,nASIG,"Lenguaje Musical"),""))</f>
        <v/>
      </c>
      <c r="I81" t="str">
        <f>IF(G81="","",IFERROR(AVERAGEIFS(nNOTA,nNIA,G81,nEVAL,CONFIG_METADATA!$B$4,nASIG,"Coro"),""))</f>
        <v/>
      </c>
      <c r="J81" t="str">
        <f>IF(G81="","",IFERROR(AVERAGEIFS(nNOTA,nNIA,G81,nEVAL,CONFIG_METADATA!$B$4,nASIG,"Conjunto"),""))</f>
        <v/>
      </c>
      <c r="K81" t="str" cm="1">
        <f t="array" ref="K81">IF(G81="","",IFERROR(AVERAGE(IF((nNIA=G81)*(nEVAL=CONFIG_METADATA!$B$4)*(nASIG&lt;&gt;"Lenguaje Musical")*(nASIG&lt;&gt;"Coro")*(nASIG&lt;&gt;"Conjunto"),nNOTA)),""))</f>
        <v/>
      </c>
      <c r="N81" t="str">
        <f>IF(M81="","",IFERROR(AVERAGEIFS(nNOTA,nNIA,M81,nEVAL,CONFIG_METADATA!$B$4,nASIG,"Lenguaje Musical"),""))</f>
        <v/>
      </c>
      <c r="O81" t="str">
        <f>IF(M81="","",IFERROR(AVERAGEIFS(nNOTA,nNIA,M81,nEVAL,CONFIG_METADATA!$B$4,nASIG,"Coro"),""))</f>
        <v/>
      </c>
      <c r="P81" t="str">
        <f>IF(M81="","",IFERROR(AVERAGEIFS(nNOTA,nNIA,M81,nEVAL,CONFIG_METADATA!$B$4,nASIG,"Conjunto"),""))</f>
        <v/>
      </c>
      <c r="Q81" t="str" cm="1">
        <f t="array" ref="Q81">IF(M81="","",IFERROR(AVERAGE(IF((nNIA=M81)*(nEVAL=CONFIG_METADATA!$B$4)*(nASIG&lt;&gt;"Lenguaje Musical")*(nASIG&lt;&gt;"Coro")*(nASIG&lt;&gt;"Conjunto"),nNOTA)),""))</f>
        <v/>
      </c>
      <c r="T81" t="str">
        <f>IF(S81="","",IFERROR(AVERAGEIFS(nNOTA,nNIA,S81,nEVAL,CONFIG_METADATA!$B$4,nASIG,"Lenguaje Musical"),""))</f>
        <v/>
      </c>
      <c r="U81" t="str">
        <f>IF(S81="","",IFERROR(AVERAGEIFS(nNOTA,nNIA,S81,nEVAL,CONFIG_METADATA!$B$4,nASIG,"Coro"),""))</f>
        <v/>
      </c>
      <c r="V81" t="str">
        <f>IF(S81="","",IFERROR(AVERAGEIFS(nNOTA,nNIA,S81,nEVAL,CONFIG_METADATA!$B$4,nASIG,"Conjunto"),""))</f>
        <v/>
      </c>
      <c r="W81" t="str" cm="1">
        <f t="array" ref="W81">IF(S81="","",IFERROR(AVERAGE(IF((nNIA=S81)*(nEVAL=CONFIG_METADATA!$B$4)*(nASIG&lt;&gt;"Lenguaje Musical")*(nASIG&lt;&gt;"Coro")*(nASIG&lt;&gt;"Conjunto"),nNOTA)),""))</f>
        <v/>
      </c>
    </row>
    <row r="82" spans="2:23" ht="15" customHeight="1" x14ac:dyDescent="0.2">
      <c r="B82" t="str">
        <f>IF(A82="","",IFERROR(AVERAGEIFS(nNOTA,nNIA,A82,nEVAL,CONFIG_METADATA!$B$4,nASIG,"Lenguaje Musical"),""))</f>
        <v/>
      </c>
      <c r="C82" t="str">
        <f>IF(A82="","",IFERROR(AVERAGEIFS(nNOTA,nNIA,A82,nEVAL,CONFIG_METADATA!$B$4,nASIG,"Coro"),""))</f>
        <v/>
      </c>
      <c r="D82" t="str">
        <f>IF(A82="","",IFERROR(AVERAGEIFS(nNOTA,nNIA,A82,nEVAL,CONFIG_METADATA!$B$4,nASIG,"Conjunto"),""))</f>
        <v/>
      </c>
      <c r="E82" t="str" cm="1">
        <f t="array" ref="E82">IF(A82="","",IFERROR(AVERAGE(IF((nNIA=A82)*(nEVAL=CONFIG_METADATA!$B$4)*(nASIG&lt;&gt;"Lenguaje Musical")*(nASIG&lt;&gt;"Coro")*(nASIG&lt;&gt;"Conjunto"),nNOTA)),""))</f>
        <v/>
      </c>
      <c r="H82" t="str">
        <f>IF(G82="","",IFERROR(AVERAGEIFS(nNOTA,nNIA,G82,nEVAL,CONFIG_METADATA!$B$4,nASIG,"Lenguaje Musical"),""))</f>
        <v/>
      </c>
      <c r="I82" t="str">
        <f>IF(G82="","",IFERROR(AVERAGEIFS(nNOTA,nNIA,G82,nEVAL,CONFIG_METADATA!$B$4,nASIG,"Coro"),""))</f>
        <v/>
      </c>
      <c r="J82" t="str">
        <f>IF(G82="","",IFERROR(AVERAGEIFS(nNOTA,nNIA,G82,nEVAL,CONFIG_METADATA!$B$4,nASIG,"Conjunto"),""))</f>
        <v/>
      </c>
      <c r="K82" t="str" cm="1">
        <f t="array" ref="K82">IF(G82="","",IFERROR(AVERAGE(IF((nNIA=G82)*(nEVAL=CONFIG_METADATA!$B$4)*(nASIG&lt;&gt;"Lenguaje Musical")*(nASIG&lt;&gt;"Coro")*(nASIG&lt;&gt;"Conjunto"),nNOTA)),""))</f>
        <v/>
      </c>
      <c r="N82" t="str">
        <f>IF(M82="","",IFERROR(AVERAGEIFS(nNOTA,nNIA,M82,nEVAL,CONFIG_METADATA!$B$4,nASIG,"Lenguaje Musical"),""))</f>
        <v/>
      </c>
      <c r="O82" t="str">
        <f>IF(M82="","",IFERROR(AVERAGEIFS(nNOTA,nNIA,M82,nEVAL,CONFIG_METADATA!$B$4,nASIG,"Coro"),""))</f>
        <v/>
      </c>
      <c r="P82" t="str">
        <f>IF(M82="","",IFERROR(AVERAGEIFS(nNOTA,nNIA,M82,nEVAL,CONFIG_METADATA!$B$4,nASIG,"Conjunto"),""))</f>
        <v/>
      </c>
      <c r="Q82" t="str" cm="1">
        <f t="array" ref="Q82">IF(M82="","",IFERROR(AVERAGE(IF((nNIA=M82)*(nEVAL=CONFIG_METADATA!$B$4)*(nASIG&lt;&gt;"Lenguaje Musical")*(nASIG&lt;&gt;"Coro")*(nASIG&lt;&gt;"Conjunto"),nNOTA)),""))</f>
        <v/>
      </c>
      <c r="T82" t="str">
        <f>IF(S82="","",IFERROR(AVERAGEIFS(nNOTA,nNIA,S82,nEVAL,CONFIG_METADATA!$B$4,nASIG,"Lenguaje Musical"),""))</f>
        <v/>
      </c>
      <c r="U82" t="str">
        <f>IF(S82="","",IFERROR(AVERAGEIFS(nNOTA,nNIA,S82,nEVAL,CONFIG_METADATA!$B$4,nASIG,"Coro"),""))</f>
        <v/>
      </c>
      <c r="V82" t="str">
        <f>IF(S82="","",IFERROR(AVERAGEIFS(nNOTA,nNIA,S82,nEVAL,CONFIG_METADATA!$B$4,nASIG,"Conjunto"),""))</f>
        <v/>
      </c>
      <c r="W82" t="str" cm="1">
        <f t="array" ref="W82">IF(S82="","",IFERROR(AVERAGE(IF((nNIA=S82)*(nEVAL=CONFIG_METADATA!$B$4)*(nASIG&lt;&gt;"Lenguaje Musical")*(nASIG&lt;&gt;"Coro")*(nASIG&lt;&gt;"Conjunto"),nNOTA)),""))</f>
        <v/>
      </c>
    </row>
    <row r="83" spans="2:23" ht="15" customHeight="1" x14ac:dyDescent="0.2">
      <c r="B83" t="str">
        <f>IF(A83="","",IFERROR(AVERAGEIFS(nNOTA,nNIA,A83,nEVAL,CONFIG_METADATA!$B$4,nASIG,"Lenguaje Musical"),""))</f>
        <v/>
      </c>
      <c r="C83" t="str">
        <f>IF(A83="","",IFERROR(AVERAGEIFS(nNOTA,nNIA,A83,nEVAL,CONFIG_METADATA!$B$4,nASIG,"Coro"),""))</f>
        <v/>
      </c>
      <c r="D83" t="str">
        <f>IF(A83="","",IFERROR(AVERAGEIFS(nNOTA,nNIA,A83,nEVAL,CONFIG_METADATA!$B$4,nASIG,"Conjunto"),""))</f>
        <v/>
      </c>
      <c r="E83" t="str" cm="1">
        <f t="array" ref="E83">IF(A83="","",IFERROR(AVERAGE(IF((nNIA=A83)*(nEVAL=CONFIG_METADATA!$B$4)*(nASIG&lt;&gt;"Lenguaje Musical")*(nASIG&lt;&gt;"Coro")*(nASIG&lt;&gt;"Conjunto"),nNOTA)),""))</f>
        <v/>
      </c>
      <c r="H83" t="str">
        <f>IF(G83="","",IFERROR(AVERAGEIFS(nNOTA,nNIA,G83,nEVAL,CONFIG_METADATA!$B$4,nASIG,"Lenguaje Musical"),""))</f>
        <v/>
      </c>
      <c r="I83" t="str">
        <f>IF(G83="","",IFERROR(AVERAGEIFS(nNOTA,nNIA,G83,nEVAL,CONFIG_METADATA!$B$4,nASIG,"Coro"),""))</f>
        <v/>
      </c>
      <c r="J83" t="str">
        <f>IF(G83="","",IFERROR(AVERAGEIFS(nNOTA,nNIA,G83,nEVAL,CONFIG_METADATA!$B$4,nASIG,"Conjunto"),""))</f>
        <v/>
      </c>
      <c r="K83" t="str" cm="1">
        <f t="array" ref="K83">IF(G83="","",IFERROR(AVERAGE(IF((nNIA=G83)*(nEVAL=CONFIG_METADATA!$B$4)*(nASIG&lt;&gt;"Lenguaje Musical")*(nASIG&lt;&gt;"Coro")*(nASIG&lt;&gt;"Conjunto"),nNOTA)),""))</f>
        <v/>
      </c>
      <c r="N83" t="str">
        <f>IF(M83="","",IFERROR(AVERAGEIFS(nNOTA,nNIA,M83,nEVAL,CONFIG_METADATA!$B$4,nASIG,"Lenguaje Musical"),""))</f>
        <v/>
      </c>
      <c r="O83" t="str">
        <f>IF(M83="","",IFERROR(AVERAGEIFS(nNOTA,nNIA,M83,nEVAL,CONFIG_METADATA!$B$4,nASIG,"Coro"),""))</f>
        <v/>
      </c>
      <c r="P83" t="str">
        <f>IF(M83="","",IFERROR(AVERAGEIFS(nNOTA,nNIA,M83,nEVAL,CONFIG_METADATA!$B$4,nASIG,"Conjunto"),""))</f>
        <v/>
      </c>
      <c r="Q83" t="str" cm="1">
        <f t="array" ref="Q83">IF(M83="","",IFERROR(AVERAGE(IF((nNIA=M83)*(nEVAL=CONFIG_METADATA!$B$4)*(nASIG&lt;&gt;"Lenguaje Musical")*(nASIG&lt;&gt;"Coro")*(nASIG&lt;&gt;"Conjunto"),nNOTA)),""))</f>
        <v/>
      </c>
      <c r="T83" t="str">
        <f>IF(S83="","",IFERROR(AVERAGEIFS(nNOTA,nNIA,S83,nEVAL,CONFIG_METADATA!$B$4,nASIG,"Lenguaje Musical"),""))</f>
        <v/>
      </c>
      <c r="U83" t="str">
        <f>IF(S83="","",IFERROR(AVERAGEIFS(nNOTA,nNIA,S83,nEVAL,CONFIG_METADATA!$B$4,nASIG,"Coro"),""))</f>
        <v/>
      </c>
      <c r="V83" t="str">
        <f>IF(S83="","",IFERROR(AVERAGEIFS(nNOTA,nNIA,S83,nEVAL,CONFIG_METADATA!$B$4,nASIG,"Conjunto"),""))</f>
        <v/>
      </c>
      <c r="W83" t="str" cm="1">
        <f t="array" ref="W83">IF(S83="","",IFERROR(AVERAGE(IF((nNIA=S83)*(nEVAL=CONFIG_METADATA!$B$4)*(nASIG&lt;&gt;"Lenguaje Musical")*(nASIG&lt;&gt;"Coro")*(nASIG&lt;&gt;"Conjunto"),nNOTA)),""))</f>
        <v/>
      </c>
    </row>
    <row r="84" spans="2:23" ht="15" customHeight="1" x14ac:dyDescent="0.2">
      <c r="B84" t="str">
        <f>IF(A84="","",IFERROR(AVERAGEIFS(nNOTA,nNIA,A84,nEVAL,CONFIG_METADATA!$B$4,nASIG,"Lenguaje Musical"),""))</f>
        <v/>
      </c>
      <c r="C84" t="str">
        <f>IF(A84="","",IFERROR(AVERAGEIFS(nNOTA,nNIA,A84,nEVAL,CONFIG_METADATA!$B$4,nASIG,"Coro"),""))</f>
        <v/>
      </c>
      <c r="D84" t="str">
        <f>IF(A84="","",IFERROR(AVERAGEIFS(nNOTA,nNIA,A84,nEVAL,CONFIG_METADATA!$B$4,nASIG,"Conjunto"),""))</f>
        <v/>
      </c>
      <c r="E84" t="str" cm="1">
        <f t="array" ref="E84">IF(A84="","",IFERROR(AVERAGE(IF((nNIA=A84)*(nEVAL=CONFIG_METADATA!$B$4)*(nASIG&lt;&gt;"Lenguaje Musical")*(nASIG&lt;&gt;"Coro")*(nASIG&lt;&gt;"Conjunto"),nNOTA)),""))</f>
        <v/>
      </c>
      <c r="H84" t="str">
        <f>IF(G84="","",IFERROR(AVERAGEIFS(nNOTA,nNIA,G84,nEVAL,CONFIG_METADATA!$B$4,nASIG,"Lenguaje Musical"),""))</f>
        <v/>
      </c>
      <c r="I84" t="str">
        <f>IF(G84="","",IFERROR(AVERAGEIFS(nNOTA,nNIA,G84,nEVAL,CONFIG_METADATA!$B$4,nASIG,"Coro"),""))</f>
        <v/>
      </c>
      <c r="J84" t="str">
        <f>IF(G84="","",IFERROR(AVERAGEIFS(nNOTA,nNIA,G84,nEVAL,CONFIG_METADATA!$B$4,nASIG,"Conjunto"),""))</f>
        <v/>
      </c>
      <c r="K84" t="str" cm="1">
        <f t="array" ref="K84">IF(G84="","",IFERROR(AVERAGE(IF((nNIA=G84)*(nEVAL=CONFIG_METADATA!$B$4)*(nASIG&lt;&gt;"Lenguaje Musical")*(nASIG&lt;&gt;"Coro")*(nASIG&lt;&gt;"Conjunto"),nNOTA)),""))</f>
        <v/>
      </c>
      <c r="N84" t="str">
        <f>IF(M84="","",IFERROR(AVERAGEIFS(nNOTA,nNIA,M84,nEVAL,CONFIG_METADATA!$B$4,nASIG,"Lenguaje Musical"),""))</f>
        <v/>
      </c>
      <c r="O84" t="str">
        <f>IF(M84="","",IFERROR(AVERAGEIFS(nNOTA,nNIA,M84,nEVAL,CONFIG_METADATA!$B$4,nASIG,"Coro"),""))</f>
        <v/>
      </c>
      <c r="P84" t="str">
        <f>IF(M84="","",IFERROR(AVERAGEIFS(nNOTA,nNIA,M84,nEVAL,CONFIG_METADATA!$B$4,nASIG,"Conjunto"),""))</f>
        <v/>
      </c>
      <c r="Q84" t="str" cm="1">
        <f t="array" ref="Q84">IF(M84="","",IFERROR(AVERAGE(IF((nNIA=M84)*(nEVAL=CONFIG_METADATA!$B$4)*(nASIG&lt;&gt;"Lenguaje Musical")*(nASIG&lt;&gt;"Coro")*(nASIG&lt;&gt;"Conjunto"),nNOTA)),""))</f>
        <v/>
      </c>
      <c r="T84" t="str">
        <f>IF(S84="","",IFERROR(AVERAGEIFS(nNOTA,nNIA,S84,nEVAL,CONFIG_METADATA!$B$4,nASIG,"Lenguaje Musical"),""))</f>
        <v/>
      </c>
      <c r="U84" t="str">
        <f>IF(S84="","",IFERROR(AVERAGEIFS(nNOTA,nNIA,S84,nEVAL,CONFIG_METADATA!$B$4,nASIG,"Coro"),""))</f>
        <v/>
      </c>
      <c r="V84" t="str">
        <f>IF(S84="","",IFERROR(AVERAGEIFS(nNOTA,nNIA,S84,nEVAL,CONFIG_METADATA!$B$4,nASIG,"Conjunto"),""))</f>
        <v/>
      </c>
      <c r="W84" t="str" cm="1">
        <f t="array" ref="W84">IF(S84="","",IFERROR(AVERAGE(IF((nNIA=S84)*(nEVAL=CONFIG_METADATA!$B$4)*(nASIG&lt;&gt;"Lenguaje Musical")*(nASIG&lt;&gt;"Coro")*(nASIG&lt;&gt;"Conjunto"),nNOTA)),""))</f>
        <v/>
      </c>
    </row>
    <row r="85" spans="2:23" ht="15" customHeight="1" x14ac:dyDescent="0.2">
      <c r="B85" t="str">
        <f>IF(A85="","",IFERROR(AVERAGEIFS(nNOTA,nNIA,A85,nEVAL,CONFIG_METADATA!$B$4,nASIG,"Lenguaje Musical"),""))</f>
        <v/>
      </c>
      <c r="C85" t="str">
        <f>IF(A85="","",IFERROR(AVERAGEIFS(nNOTA,nNIA,A85,nEVAL,CONFIG_METADATA!$B$4,nASIG,"Coro"),""))</f>
        <v/>
      </c>
      <c r="D85" t="str">
        <f>IF(A85="","",IFERROR(AVERAGEIFS(nNOTA,nNIA,A85,nEVAL,CONFIG_METADATA!$B$4,nASIG,"Conjunto"),""))</f>
        <v/>
      </c>
      <c r="E85" t="str" cm="1">
        <f t="array" ref="E85">IF(A85="","",IFERROR(AVERAGE(IF((nNIA=A85)*(nEVAL=CONFIG_METADATA!$B$4)*(nASIG&lt;&gt;"Lenguaje Musical")*(nASIG&lt;&gt;"Coro")*(nASIG&lt;&gt;"Conjunto"),nNOTA)),""))</f>
        <v/>
      </c>
      <c r="H85" t="str">
        <f>IF(G85="","",IFERROR(AVERAGEIFS(nNOTA,nNIA,G85,nEVAL,CONFIG_METADATA!$B$4,nASIG,"Lenguaje Musical"),""))</f>
        <v/>
      </c>
      <c r="I85" t="str">
        <f>IF(G85="","",IFERROR(AVERAGEIFS(nNOTA,nNIA,G85,nEVAL,CONFIG_METADATA!$B$4,nASIG,"Coro"),""))</f>
        <v/>
      </c>
      <c r="J85" t="str">
        <f>IF(G85="","",IFERROR(AVERAGEIFS(nNOTA,nNIA,G85,nEVAL,CONFIG_METADATA!$B$4,nASIG,"Conjunto"),""))</f>
        <v/>
      </c>
      <c r="K85" t="str" cm="1">
        <f t="array" ref="K85">IF(G85="","",IFERROR(AVERAGE(IF((nNIA=G85)*(nEVAL=CONFIG_METADATA!$B$4)*(nASIG&lt;&gt;"Lenguaje Musical")*(nASIG&lt;&gt;"Coro")*(nASIG&lt;&gt;"Conjunto"),nNOTA)),""))</f>
        <v/>
      </c>
      <c r="N85" t="str">
        <f>IF(M85="","",IFERROR(AVERAGEIFS(nNOTA,nNIA,M85,nEVAL,CONFIG_METADATA!$B$4,nASIG,"Lenguaje Musical"),""))</f>
        <v/>
      </c>
      <c r="O85" t="str">
        <f>IF(M85="","",IFERROR(AVERAGEIFS(nNOTA,nNIA,M85,nEVAL,CONFIG_METADATA!$B$4,nASIG,"Coro"),""))</f>
        <v/>
      </c>
      <c r="P85" t="str">
        <f>IF(M85="","",IFERROR(AVERAGEIFS(nNOTA,nNIA,M85,nEVAL,CONFIG_METADATA!$B$4,nASIG,"Conjunto"),""))</f>
        <v/>
      </c>
      <c r="Q85" t="str" cm="1">
        <f t="array" ref="Q85">IF(M85="","",IFERROR(AVERAGE(IF((nNIA=M85)*(nEVAL=CONFIG_METADATA!$B$4)*(nASIG&lt;&gt;"Lenguaje Musical")*(nASIG&lt;&gt;"Coro")*(nASIG&lt;&gt;"Conjunto"),nNOTA)),""))</f>
        <v/>
      </c>
      <c r="T85" t="str">
        <f>IF(S85="","",IFERROR(AVERAGEIFS(nNOTA,nNIA,S85,nEVAL,CONFIG_METADATA!$B$4,nASIG,"Lenguaje Musical"),""))</f>
        <v/>
      </c>
      <c r="U85" t="str">
        <f>IF(S85="","",IFERROR(AVERAGEIFS(nNOTA,nNIA,S85,nEVAL,CONFIG_METADATA!$B$4,nASIG,"Coro"),""))</f>
        <v/>
      </c>
      <c r="V85" t="str">
        <f>IF(S85="","",IFERROR(AVERAGEIFS(nNOTA,nNIA,S85,nEVAL,CONFIG_METADATA!$B$4,nASIG,"Conjunto"),""))</f>
        <v/>
      </c>
      <c r="W85" t="str" cm="1">
        <f t="array" ref="W85">IF(S85="","",IFERROR(AVERAGE(IF((nNIA=S85)*(nEVAL=CONFIG_METADATA!$B$4)*(nASIG&lt;&gt;"Lenguaje Musical")*(nASIG&lt;&gt;"Coro")*(nASIG&lt;&gt;"Conjunto"),nNOTA)),""))</f>
        <v/>
      </c>
    </row>
    <row r="86" spans="2:23" ht="15" customHeight="1" x14ac:dyDescent="0.2">
      <c r="B86" t="str">
        <f>IF(A86="","",IFERROR(AVERAGEIFS(nNOTA,nNIA,A86,nEVAL,CONFIG_METADATA!$B$4,nASIG,"Lenguaje Musical"),""))</f>
        <v/>
      </c>
      <c r="C86" t="str">
        <f>IF(A86="","",IFERROR(AVERAGEIFS(nNOTA,nNIA,A86,nEVAL,CONFIG_METADATA!$B$4,nASIG,"Coro"),""))</f>
        <v/>
      </c>
      <c r="D86" t="str">
        <f>IF(A86="","",IFERROR(AVERAGEIFS(nNOTA,nNIA,A86,nEVAL,CONFIG_METADATA!$B$4,nASIG,"Conjunto"),""))</f>
        <v/>
      </c>
      <c r="E86" t="str" cm="1">
        <f t="array" ref="E86">IF(A86="","",IFERROR(AVERAGE(IF((nNIA=A86)*(nEVAL=CONFIG_METADATA!$B$4)*(nASIG&lt;&gt;"Lenguaje Musical")*(nASIG&lt;&gt;"Coro")*(nASIG&lt;&gt;"Conjunto"),nNOTA)),""))</f>
        <v/>
      </c>
      <c r="H86" t="str">
        <f>IF(G86="","",IFERROR(AVERAGEIFS(nNOTA,nNIA,G86,nEVAL,CONFIG_METADATA!$B$4,nASIG,"Lenguaje Musical"),""))</f>
        <v/>
      </c>
      <c r="I86" t="str">
        <f>IF(G86="","",IFERROR(AVERAGEIFS(nNOTA,nNIA,G86,nEVAL,CONFIG_METADATA!$B$4,nASIG,"Coro"),""))</f>
        <v/>
      </c>
      <c r="J86" t="str">
        <f>IF(G86="","",IFERROR(AVERAGEIFS(nNOTA,nNIA,G86,nEVAL,CONFIG_METADATA!$B$4,nASIG,"Conjunto"),""))</f>
        <v/>
      </c>
      <c r="K86" t="str" cm="1">
        <f t="array" ref="K86">IF(G86="","",IFERROR(AVERAGE(IF((nNIA=G86)*(nEVAL=CONFIG_METADATA!$B$4)*(nASIG&lt;&gt;"Lenguaje Musical")*(nASIG&lt;&gt;"Coro")*(nASIG&lt;&gt;"Conjunto"),nNOTA)),""))</f>
        <v/>
      </c>
      <c r="N86" t="str">
        <f>IF(M86="","",IFERROR(AVERAGEIFS(nNOTA,nNIA,M86,nEVAL,CONFIG_METADATA!$B$4,nASIG,"Lenguaje Musical"),""))</f>
        <v/>
      </c>
      <c r="O86" t="str">
        <f>IF(M86="","",IFERROR(AVERAGEIFS(nNOTA,nNIA,M86,nEVAL,CONFIG_METADATA!$B$4,nASIG,"Coro"),""))</f>
        <v/>
      </c>
      <c r="P86" t="str">
        <f>IF(M86="","",IFERROR(AVERAGEIFS(nNOTA,nNIA,M86,nEVAL,CONFIG_METADATA!$B$4,nASIG,"Conjunto"),""))</f>
        <v/>
      </c>
      <c r="Q86" t="str" cm="1">
        <f t="array" ref="Q86">IF(M86="","",IFERROR(AVERAGE(IF((nNIA=M86)*(nEVAL=CONFIG_METADATA!$B$4)*(nASIG&lt;&gt;"Lenguaje Musical")*(nASIG&lt;&gt;"Coro")*(nASIG&lt;&gt;"Conjunto"),nNOTA)),""))</f>
        <v/>
      </c>
      <c r="T86" t="str">
        <f>IF(S86="","",IFERROR(AVERAGEIFS(nNOTA,nNIA,S86,nEVAL,CONFIG_METADATA!$B$4,nASIG,"Lenguaje Musical"),""))</f>
        <v/>
      </c>
      <c r="U86" t="str">
        <f>IF(S86="","",IFERROR(AVERAGEIFS(nNOTA,nNIA,S86,nEVAL,CONFIG_METADATA!$B$4,nASIG,"Coro"),""))</f>
        <v/>
      </c>
      <c r="V86" t="str">
        <f>IF(S86="","",IFERROR(AVERAGEIFS(nNOTA,nNIA,S86,nEVAL,CONFIG_METADATA!$B$4,nASIG,"Conjunto"),""))</f>
        <v/>
      </c>
      <c r="W86" t="str" cm="1">
        <f t="array" ref="W86">IF(S86="","",IFERROR(AVERAGE(IF((nNIA=S86)*(nEVAL=CONFIG_METADATA!$B$4)*(nASIG&lt;&gt;"Lenguaje Musical")*(nASIG&lt;&gt;"Coro")*(nASIG&lt;&gt;"Conjunto"),nNOTA)),""))</f>
        <v/>
      </c>
    </row>
    <row r="87" spans="2:23" ht="15" customHeight="1" x14ac:dyDescent="0.2">
      <c r="B87" t="str">
        <f>IF(A87="","",IFERROR(AVERAGEIFS(nNOTA,nNIA,A87,nEVAL,CONFIG_METADATA!$B$4,nASIG,"Lenguaje Musical"),""))</f>
        <v/>
      </c>
      <c r="C87" t="str">
        <f>IF(A87="","",IFERROR(AVERAGEIFS(nNOTA,nNIA,A87,nEVAL,CONFIG_METADATA!$B$4,nASIG,"Coro"),""))</f>
        <v/>
      </c>
      <c r="D87" t="str">
        <f>IF(A87="","",IFERROR(AVERAGEIFS(nNOTA,nNIA,A87,nEVAL,CONFIG_METADATA!$B$4,nASIG,"Conjunto"),""))</f>
        <v/>
      </c>
      <c r="E87" t="str" cm="1">
        <f t="array" ref="E87">IF(A87="","",IFERROR(AVERAGE(IF((nNIA=A87)*(nEVAL=CONFIG_METADATA!$B$4)*(nASIG&lt;&gt;"Lenguaje Musical")*(nASIG&lt;&gt;"Coro")*(nASIG&lt;&gt;"Conjunto"),nNOTA)),""))</f>
        <v/>
      </c>
      <c r="H87" t="str">
        <f>IF(G87="","",IFERROR(AVERAGEIFS(nNOTA,nNIA,G87,nEVAL,CONFIG_METADATA!$B$4,nASIG,"Lenguaje Musical"),""))</f>
        <v/>
      </c>
      <c r="I87" t="str">
        <f>IF(G87="","",IFERROR(AVERAGEIFS(nNOTA,nNIA,G87,nEVAL,CONFIG_METADATA!$B$4,nASIG,"Coro"),""))</f>
        <v/>
      </c>
      <c r="J87" t="str">
        <f>IF(G87="","",IFERROR(AVERAGEIFS(nNOTA,nNIA,G87,nEVAL,CONFIG_METADATA!$B$4,nASIG,"Conjunto"),""))</f>
        <v/>
      </c>
      <c r="K87" t="str" cm="1">
        <f t="array" ref="K87">IF(G87="","",IFERROR(AVERAGE(IF((nNIA=G87)*(nEVAL=CONFIG_METADATA!$B$4)*(nASIG&lt;&gt;"Lenguaje Musical")*(nASIG&lt;&gt;"Coro")*(nASIG&lt;&gt;"Conjunto"),nNOTA)),""))</f>
        <v/>
      </c>
      <c r="N87" t="str">
        <f>IF(M87="","",IFERROR(AVERAGEIFS(nNOTA,nNIA,M87,nEVAL,CONFIG_METADATA!$B$4,nASIG,"Lenguaje Musical"),""))</f>
        <v/>
      </c>
      <c r="O87" t="str">
        <f>IF(M87="","",IFERROR(AVERAGEIFS(nNOTA,nNIA,M87,nEVAL,CONFIG_METADATA!$B$4,nASIG,"Coro"),""))</f>
        <v/>
      </c>
      <c r="P87" t="str">
        <f>IF(M87="","",IFERROR(AVERAGEIFS(nNOTA,nNIA,M87,nEVAL,CONFIG_METADATA!$B$4,nASIG,"Conjunto"),""))</f>
        <v/>
      </c>
      <c r="Q87" t="str" cm="1">
        <f t="array" ref="Q87">IF(M87="","",IFERROR(AVERAGE(IF((nNIA=M87)*(nEVAL=CONFIG_METADATA!$B$4)*(nASIG&lt;&gt;"Lenguaje Musical")*(nASIG&lt;&gt;"Coro")*(nASIG&lt;&gt;"Conjunto"),nNOTA)),""))</f>
        <v/>
      </c>
      <c r="T87" t="str">
        <f>IF(S87="","",IFERROR(AVERAGEIFS(nNOTA,nNIA,S87,nEVAL,CONFIG_METADATA!$B$4,nASIG,"Lenguaje Musical"),""))</f>
        <v/>
      </c>
      <c r="U87" t="str">
        <f>IF(S87="","",IFERROR(AVERAGEIFS(nNOTA,nNIA,S87,nEVAL,CONFIG_METADATA!$B$4,nASIG,"Coro"),""))</f>
        <v/>
      </c>
      <c r="V87" t="str">
        <f>IF(S87="","",IFERROR(AVERAGEIFS(nNOTA,nNIA,S87,nEVAL,CONFIG_METADATA!$B$4,nASIG,"Conjunto"),""))</f>
        <v/>
      </c>
      <c r="W87" t="str" cm="1">
        <f t="array" ref="W87">IF(S87="","",IFERROR(AVERAGE(IF((nNIA=S87)*(nEVAL=CONFIG_METADATA!$B$4)*(nASIG&lt;&gt;"Lenguaje Musical")*(nASIG&lt;&gt;"Coro")*(nASIG&lt;&gt;"Conjunto"),nNOTA)),""))</f>
        <v/>
      </c>
    </row>
    <row r="88" spans="2:23" ht="15" customHeight="1" x14ac:dyDescent="0.2">
      <c r="B88" t="str">
        <f>IF(A88="","",IFERROR(AVERAGEIFS(nNOTA,nNIA,A88,nEVAL,CONFIG_METADATA!$B$4,nASIG,"Lenguaje Musical"),""))</f>
        <v/>
      </c>
      <c r="C88" t="str">
        <f>IF(A88="","",IFERROR(AVERAGEIFS(nNOTA,nNIA,A88,nEVAL,CONFIG_METADATA!$B$4,nASIG,"Coro"),""))</f>
        <v/>
      </c>
      <c r="D88" t="str">
        <f>IF(A88="","",IFERROR(AVERAGEIFS(nNOTA,nNIA,A88,nEVAL,CONFIG_METADATA!$B$4,nASIG,"Conjunto"),""))</f>
        <v/>
      </c>
      <c r="E88" t="str" cm="1">
        <f t="array" ref="E88">IF(A88="","",IFERROR(AVERAGE(IF((nNIA=A88)*(nEVAL=CONFIG_METADATA!$B$4)*(nASIG&lt;&gt;"Lenguaje Musical")*(nASIG&lt;&gt;"Coro")*(nASIG&lt;&gt;"Conjunto"),nNOTA)),""))</f>
        <v/>
      </c>
      <c r="H88" t="str">
        <f>IF(G88="","",IFERROR(AVERAGEIFS(nNOTA,nNIA,G88,nEVAL,CONFIG_METADATA!$B$4,nASIG,"Lenguaje Musical"),""))</f>
        <v/>
      </c>
      <c r="I88" t="str">
        <f>IF(G88="","",IFERROR(AVERAGEIFS(nNOTA,nNIA,G88,nEVAL,CONFIG_METADATA!$B$4,nASIG,"Coro"),""))</f>
        <v/>
      </c>
      <c r="J88" t="str">
        <f>IF(G88="","",IFERROR(AVERAGEIFS(nNOTA,nNIA,G88,nEVAL,CONFIG_METADATA!$B$4,nASIG,"Conjunto"),""))</f>
        <v/>
      </c>
      <c r="K88" t="str" cm="1">
        <f t="array" ref="K88">IF(G88="","",IFERROR(AVERAGE(IF((nNIA=G88)*(nEVAL=CONFIG_METADATA!$B$4)*(nASIG&lt;&gt;"Lenguaje Musical")*(nASIG&lt;&gt;"Coro")*(nASIG&lt;&gt;"Conjunto"),nNOTA)),""))</f>
        <v/>
      </c>
      <c r="N88" t="str">
        <f>IF(M88="","",IFERROR(AVERAGEIFS(nNOTA,nNIA,M88,nEVAL,CONFIG_METADATA!$B$4,nASIG,"Lenguaje Musical"),""))</f>
        <v/>
      </c>
      <c r="O88" t="str">
        <f>IF(M88="","",IFERROR(AVERAGEIFS(nNOTA,nNIA,M88,nEVAL,CONFIG_METADATA!$B$4,nASIG,"Coro"),""))</f>
        <v/>
      </c>
      <c r="P88" t="str">
        <f>IF(M88="","",IFERROR(AVERAGEIFS(nNOTA,nNIA,M88,nEVAL,CONFIG_METADATA!$B$4,nASIG,"Conjunto"),""))</f>
        <v/>
      </c>
      <c r="Q88" t="str" cm="1">
        <f t="array" ref="Q88">IF(M88="","",IFERROR(AVERAGE(IF((nNIA=M88)*(nEVAL=CONFIG_METADATA!$B$4)*(nASIG&lt;&gt;"Lenguaje Musical")*(nASIG&lt;&gt;"Coro")*(nASIG&lt;&gt;"Conjunto"),nNOTA)),""))</f>
        <v/>
      </c>
      <c r="T88" t="str">
        <f>IF(S88="","",IFERROR(AVERAGEIFS(nNOTA,nNIA,S88,nEVAL,CONFIG_METADATA!$B$4,nASIG,"Lenguaje Musical"),""))</f>
        <v/>
      </c>
      <c r="U88" t="str">
        <f>IF(S88="","",IFERROR(AVERAGEIFS(nNOTA,nNIA,S88,nEVAL,CONFIG_METADATA!$B$4,nASIG,"Coro"),""))</f>
        <v/>
      </c>
      <c r="V88" t="str">
        <f>IF(S88="","",IFERROR(AVERAGEIFS(nNOTA,nNIA,S88,nEVAL,CONFIG_METADATA!$B$4,nASIG,"Conjunto"),""))</f>
        <v/>
      </c>
      <c r="W88" t="str" cm="1">
        <f t="array" ref="W88">IF(S88="","",IFERROR(AVERAGE(IF((nNIA=S88)*(nEVAL=CONFIG_METADATA!$B$4)*(nASIG&lt;&gt;"Lenguaje Musical")*(nASIG&lt;&gt;"Coro")*(nASIG&lt;&gt;"Conjunto"),nNOTA)),""))</f>
        <v/>
      </c>
    </row>
    <row r="89" spans="2:23" ht="15" customHeight="1" x14ac:dyDescent="0.2">
      <c r="B89" t="str">
        <f>IF(A89="","",IFERROR(AVERAGEIFS(nNOTA,nNIA,A89,nEVAL,CONFIG_METADATA!$B$4,nASIG,"Lenguaje Musical"),""))</f>
        <v/>
      </c>
      <c r="C89" t="str">
        <f>IF(A89="","",IFERROR(AVERAGEIFS(nNOTA,nNIA,A89,nEVAL,CONFIG_METADATA!$B$4,nASIG,"Coro"),""))</f>
        <v/>
      </c>
      <c r="D89" t="str">
        <f>IF(A89="","",IFERROR(AVERAGEIFS(nNOTA,nNIA,A89,nEVAL,CONFIG_METADATA!$B$4,nASIG,"Conjunto"),""))</f>
        <v/>
      </c>
      <c r="E89" t="str" cm="1">
        <f t="array" ref="E89">IF(A89="","",IFERROR(AVERAGE(IF((nNIA=A89)*(nEVAL=CONFIG_METADATA!$B$4)*(nASIG&lt;&gt;"Lenguaje Musical")*(nASIG&lt;&gt;"Coro")*(nASIG&lt;&gt;"Conjunto"),nNOTA)),""))</f>
        <v/>
      </c>
      <c r="H89" t="str">
        <f>IF(G89="","",IFERROR(AVERAGEIFS(nNOTA,nNIA,G89,nEVAL,CONFIG_METADATA!$B$4,nASIG,"Lenguaje Musical"),""))</f>
        <v/>
      </c>
      <c r="I89" t="str">
        <f>IF(G89="","",IFERROR(AVERAGEIFS(nNOTA,nNIA,G89,nEVAL,CONFIG_METADATA!$B$4,nASIG,"Coro"),""))</f>
        <v/>
      </c>
      <c r="J89" t="str">
        <f>IF(G89="","",IFERROR(AVERAGEIFS(nNOTA,nNIA,G89,nEVAL,CONFIG_METADATA!$B$4,nASIG,"Conjunto"),""))</f>
        <v/>
      </c>
      <c r="K89" t="str" cm="1">
        <f t="array" ref="K89">IF(G89="","",IFERROR(AVERAGE(IF((nNIA=G89)*(nEVAL=CONFIG_METADATA!$B$4)*(nASIG&lt;&gt;"Lenguaje Musical")*(nASIG&lt;&gt;"Coro")*(nASIG&lt;&gt;"Conjunto"),nNOTA)),""))</f>
        <v/>
      </c>
      <c r="N89" t="str">
        <f>IF(M89="","",IFERROR(AVERAGEIFS(nNOTA,nNIA,M89,nEVAL,CONFIG_METADATA!$B$4,nASIG,"Lenguaje Musical"),""))</f>
        <v/>
      </c>
      <c r="O89" t="str">
        <f>IF(M89="","",IFERROR(AVERAGEIFS(nNOTA,nNIA,M89,nEVAL,CONFIG_METADATA!$B$4,nASIG,"Coro"),""))</f>
        <v/>
      </c>
      <c r="P89" t="str">
        <f>IF(M89="","",IFERROR(AVERAGEIFS(nNOTA,nNIA,M89,nEVAL,CONFIG_METADATA!$B$4,nASIG,"Conjunto"),""))</f>
        <v/>
      </c>
      <c r="Q89" t="str" cm="1">
        <f t="array" ref="Q89">IF(M89="","",IFERROR(AVERAGE(IF((nNIA=M89)*(nEVAL=CONFIG_METADATA!$B$4)*(nASIG&lt;&gt;"Lenguaje Musical")*(nASIG&lt;&gt;"Coro")*(nASIG&lt;&gt;"Conjunto"),nNOTA)),""))</f>
        <v/>
      </c>
      <c r="T89" t="str">
        <f>IF(S89="","",IFERROR(AVERAGEIFS(nNOTA,nNIA,S89,nEVAL,CONFIG_METADATA!$B$4,nASIG,"Lenguaje Musical"),""))</f>
        <v/>
      </c>
      <c r="U89" t="str">
        <f>IF(S89="","",IFERROR(AVERAGEIFS(nNOTA,nNIA,S89,nEVAL,CONFIG_METADATA!$B$4,nASIG,"Coro"),""))</f>
        <v/>
      </c>
      <c r="V89" t="str">
        <f>IF(S89="","",IFERROR(AVERAGEIFS(nNOTA,nNIA,S89,nEVAL,CONFIG_METADATA!$B$4,nASIG,"Conjunto"),""))</f>
        <v/>
      </c>
      <c r="W89" t="str" cm="1">
        <f t="array" ref="W89">IF(S89="","",IFERROR(AVERAGE(IF((nNIA=S89)*(nEVAL=CONFIG_METADATA!$B$4)*(nASIG&lt;&gt;"Lenguaje Musical")*(nASIG&lt;&gt;"Coro")*(nASIG&lt;&gt;"Conjunto"),nNOTA)),""))</f>
        <v/>
      </c>
    </row>
    <row r="90" spans="2:23" ht="15" customHeight="1" x14ac:dyDescent="0.2">
      <c r="B90" t="str">
        <f>IF(A90="","",IFERROR(AVERAGEIFS(nNOTA,nNIA,A90,nEVAL,CONFIG_METADATA!$B$4,nASIG,"Lenguaje Musical"),""))</f>
        <v/>
      </c>
      <c r="C90" t="str">
        <f>IF(A90="","",IFERROR(AVERAGEIFS(nNOTA,nNIA,A90,nEVAL,CONFIG_METADATA!$B$4,nASIG,"Coro"),""))</f>
        <v/>
      </c>
      <c r="D90" t="str">
        <f>IF(A90="","",IFERROR(AVERAGEIFS(nNOTA,nNIA,A90,nEVAL,CONFIG_METADATA!$B$4,nASIG,"Conjunto"),""))</f>
        <v/>
      </c>
      <c r="E90" t="str" cm="1">
        <f t="array" ref="E90">IF(A90="","",IFERROR(AVERAGE(IF((nNIA=A90)*(nEVAL=CONFIG_METADATA!$B$4)*(nASIG&lt;&gt;"Lenguaje Musical")*(nASIG&lt;&gt;"Coro")*(nASIG&lt;&gt;"Conjunto"),nNOTA)),""))</f>
        <v/>
      </c>
      <c r="H90" t="str">
        <f>IF(G90="","",IFERROR(AVERAGEIFS(nNOTA,nNIA,G90,nEVAL,CONFIG_METADATA!$B$4,nASIG,"Lenguaje Musical"),""))</f>
        <v/>
      </c>
      <c r="I90" t="str">
        <f>IF(G90="","",IFERROR(AVERAGEIFS(nNOTA,nNIA,G90,nEVAL,CONFIG_METADATA!$B$4,nASIG,"Coro"),""))</f>
        <v/>
      </c>
      <c r="J90" t="str">
        <f>IF(G90="","",IFERROR(AVERAGEIFS(nNOTA,nNIA,G90,nEVAL,CONFIG_METADATA!$B$4,nASIG,"Conjunto"),""))</f>
        <v/>
      </c>
      <c r="K90" t="str" cm="1">
        <f t="array" ref="K90">IF(G90="","",IFERROR(AVERAGE(IF((nNIA=G90)*(nEVAL=CONFIG_METADATA!$B$4)*(nASIG&lt;&gt;"Lenguaje Musical")*(nASIG&lt;&gt;"Coro")*(nASIG&lt;&gt;"Conjunto"),nNOTA)),""))</f>
        <v/>
      </c>
      <c r="N90" t="str">
        <f>IF(M90="","",IFERROR(AVERAGEIFS(nNOTA,nNIA,M90,nEVAL,CONFIG_METADATA!$B$4,nASIG,"Lenguaje Musical"),""))</f>
        <v/>
      </c>
      <c r="O90" t="str">
        <f>IF(M90="","",IFERROR(AVERAGEIFS(nNOTA,nNIA,M90,nEVAL,CONFIG_METADATA!$B$4,nASIG,"Coro"),""))</f>
        <v/>
      </c>
      <c r="P90" t="str">
        <f>IF(M90="","",IFERROR(AVERAGEIFS(nNOTA,nNIA,M90,nEVAL,CONFIG_METADATA!$B$4,nASIG,"Conjunto"),""))</f>
        <v/>
      </c>
      <c r="Q90" t="str" cm="1">
        <f t="array" ref="Q90">IF(M90="","",IFERROR(AVERAGE(IF((nNIA=M90)*(nEVAL=CONFIG_METADATA!$B$4)*(nASIG&lt;&gt;"Lenguaje Musical")*(nASIG&lt;&gt;"Coro")*(nASIG&lt;&gt;"Conjunto"),nNOTA)),""))</f>
        <v/>
      </c>
      <c r="T90" t="str">
        <f>IF(S90="","",IFERROR(AVERAGEIFS(nNOTA,nNIA,S90,nEVAL,CONFIG_METADATA!$B$4,nASIG,"Lenguaje Musical"),""))</f>
        <v/>
      </c>
      <c r="U90" t="str">
        <f>IF(S90="","",IFERROR(AVERAGEIFS(nNOTA,nNIA,S90,nEVAL,CONFIG_METADATA!$B$4,nASIG,"Coro"),""))</f>
        <v/>
      </c>
      <c r="V90" t="str">
        <f>IF(S90="","",IFERROR(AVERAGEIFS(nNOTA,nNIA,S90,nEVAL,CONFIG_METADATA!$B$4,nASIG,"Conjunto"),""))</f>
        <v/>
      </c>
      <c r="W90" t="str" cm="1">
        <f t="array" ref="W90">IF(S90="","",IFERROR(AVERAGE(IF((nNIA=S90)*(nEVAL=CONFIG_METADATA!$B$4)*(nASIG&lt;&gt;"Lenguaje Musical")*(nASIG&lt;&gt;"Coro")*(nASIG&lt;&gt;"Conjunto"),nNOTA)),""))</f>
        <v/>
      </c>
    </row>
    <row r="91" spans="2:23" ht="15" customHeight="1" x14ac:dyDescent="0.2">
      <c r="B91" t="str">
        <f>IF(A91="","",IFERROR(AVERAGEIFS(nNOTA,nNIA,A91,nEVAL,CONFIG_METADATA!$B$4,nASIG,"Lenguaje Musical"),""))</f>
        <v/>
      </c>
      <c r="C91" t="str">
        <f>IF(A91="","",IFERROR(AVERAGEIFS(nNOTA,nNIA,A91,nEVAL,CONFIG_METADATA!$B$4,nASIG,"Coro"),""))</f>
        <v/>
      </c>
      <c r="D91" t="str">
        <f>IF(A91="","",IFERROR(AVERAGEIFS(nNOTA,nNIA,A91,nEVAL,CONFIG_METADATA!$B$4,nASIG,"Conjunto"),""))</f>
        <v/>
      </c>
      <c r="E91" t="str" cm="1">
        <f t="array" ref="E91">IF(A91="","",IFERROR(AVERAGE(IF((nNIA=A91)*(nEVAL=CONFIG_METADATA!$B$4)*(nASIG&lt;&gt;"Lenguaje Musical")*(nASIG&lt;&gt;"Coro")*(nASIG&lt;&gt;"Conjunto"),nNOTA)),""))</f>
        <v/>
      </c>
      <c r="H91" t="str">
        <f>IF(G91="","",IFERROR(AVERAGEIFS(nNOTA,nNIA,G91,nEVAL,CONFIG_METADATA!$B$4,nASIG,"Lenguaje Musical"),""))</f>
        <v/>
      </c>
      <c r="I91" t="str">
        <f>IF(G91="","",IFERROR(AVERAGEIFS(nNOTA,nNIA,G91,nEVAL,CONFIG_METADATA!$B$4,nASIG,"Coro"),""))</f>
        <v/>
      </c>
      <c r="J91" t="str">
        <f>IF(G91="","",IFERROR(AVERAGEIFS(nNOTA,nNIA,G91,nEVAL,CONFIG_METADATA!$B$4,nASIG,"Conjunto"),""))</f>
        <v/>
      </c>
      <c r="K91" t="str" cm="1">
        <f t="array" ref="K91">IF(G91="","",IFERROR(AVERAGE(IF((nNIA=G91)*(nEVAL=CONFIG_METADATA!$B$4)*(nASIG&lt;&gt;"Lenguaje Musical")*(nASIG&lt;&gt;"Coro")*(nASIG&lt;&gt;"Conjunto"),nNOTA)),""))</f>
        <v/>
      </c>
      <c r="N91" t="str">
        <f>IF(M91="","",IFERROR(AVERAGEIFS(nNOTA,nNIA,M91,nEVAL,CONFIG_METADATA!$B$4,nASIG,"Lenguaje Musical"),""))</f>
        <v/>
      </c>
      <c r="O91" t="str">
        <f>IF(M91="","",IFERROR(AVERAGEIFS(nNOTA,nNIA,M91,nEVAL,CONFIG_METADATA!$B$4,nASIG,"Coro"),""))</f>
        <v/>
      </c>
      <c r="P91" t="str">
        <f>IF(M91="","",IFERROR(AVERAGEIFS(nNOTA,nNIA,M91,nEVAL,CONFIG_METADATA!$B$4,nASIG,"Conjunto"),""))</f>
        <v/>
      </c>
      <c r="Q91" t="str" cm="1">
        <f t="array" ref="Q91">IF(M91="","",IFERROR(AVERAGE(IF((nNIA=M91)*(nEVAL=CONFIG_METADATA!$B$4)*(nASIG&lt;&gt;"Lenguaje Musical")*(nASIG&lt;&gt;"Coro")*(nASIG&lt;&gt;"Conjunto"),nNOTA)),""))</f>
        <v/>
      </c>
      <c r="T91" t="str">
        <f>IF(S91="","",IFERROR(AVERAGEIFS(nNOTA,nNIA,S91,nEVAL,CONFIG_METADATA!$B$4,nASIG,"Lenguaje Musical"),""))</f>
        <v/>
      </c>
      <c r="U91" t="str">
        <f>IF(S91="","",IFERROR(AVERAGEIFS(nNOTA,nNIA,S91,nEVAL,CONFIG_METADATA!$B$4,nASIG,"Coro"),""))</f>
        <v/>
      </c>
      <c r="V91" t="str">
        <f>IF(S91="","",IFERROR(AVERAGEIFS(nNOTA,nNIA,S91,nEVAL,CONFIG_METADATA!$B$4,nASIG,"Conjunto"),""))</f>
        <v/>
      </c>
      <c r="W91" t="str" cm="1">
        <f t="array" ref="W91">IF(S91="","",IFERROR(AVERAGE(IF((nNIA=S91)*(nEVAL=CONFIG_METADATA!$B$4)*(nASIG&lt;&gt;"Lenguaje Musical")*(nASIG&lt;&gt;"Coro")*(nASIG&lt;&gt;"Conjunto"),nNOTA)),""))</f>
        <v/>
      </c>
    </row>
    <row r="92" spans="2:23" ht="15" customHeight="1" x14ac:dyDescent="0.2">
      <c r="B92" t="str">
        <f>IF(A92="","",IFERROR(AVERAGEIFS(nNOTA,nNIA,A92,nEVAL,CONFIG_METADATA!$B$4,nASIG,"Lenguaje Musical"),""))</f>
        <v/>
      </c>
      <c r="C92" t="str">
        <f>IF(A92="","",IFERROR(AVERAGEIFS(nNOTA,nNIA,A92,nEVAL,CONFIG_METADATA!$B$4,nASIG,"Coro"),""))</f>
        <v/>
      </c>
      <c r="D92" t="str">
        <f>IF(A92="","",IFERROR(AVERAGEIFS(nNOTA,nNIA,A92,nEVAL,CONFIG_METADATA!$B$4,nASIG,"Conjunto"),""))</f>
        <v/>
      </c>
      <c r="E92" t="str" cm="1">
        <f t="array" ref="E92">IF(A92="","",IFERROR(AVERAGE(IF((nNIA=A92)*(nEVAL=CONFIG_METADATA!$B$4)*(nASIG&lt;&gt;"Lenguaje Musical")*(nASIG&lt;&gt;"Coro")*(nASIG&lt;&gt;"Conjunto"),nNOTA)),""))</f>
        <v/>
      </c>
      <c r="H92" t="str">
        <f>IF(G92="","",IFERROR(AVERAGEIFS(nNOTA,nNIA,G92,nEVAL,CONFIG_METADATA!$B$4,nASIG,"Lenguaje Musical"),""))</f>
        <v/>
      </c>
      <c r="I92" t="str">
        <f>IF(G92="","",IFERROR(AVERAGEIFS(nNOTA,nNIA,G92,nEVAL,CONFIG_METADATA!$B$4,nASIG,"Coro"),""))</f>
        <v/>
      </c>
      <c r="J92" t="str">
        <f>IF(G92="","",IFERROR(AVERAGEIFS(nNOTA,nNIA,G92,nEVAL,CONFIG_METADATA!$B$4,nASIG,"Conjunto"),""))</f>
        <v/>
      </c>
      <c r="K92" t="str" cm="1">
        <f t="array" ref="K92">IF(G92="","",IFERROR(AVERAGE(IF((nNIA=G92)*(nEVAL=CONFIG_METADATA!$B$4)*(nASIG&lt;&gt;"Lenguaje Musical")*(nASIG&lt;&gt;"Coro")*(nASIG&lt;&gt;"Conjunto"),nNOTA)),""))</f>
        <v/>
      </c>
      <c r="N92" t="str">
        <f>IF(M92="","",IFERROR(AVERAGEIFS(nNOTA,nNIA,M92,nEVAL,CONFIG_METADATA!$B$4,nASIG,"Lenguaje Musical"),""))</f>
        <v/>
      </c>
      <c r="O92" t="str">
        <f>IF(M92="","",IFERROR(AVERAGEIFS(nNOTA,nNIA,M92,nEVAL,CONFIG_METADATA!$B$4,nASIG,"Coro"),""))</f>
        <v/>
      </c>
      <c r="P92" t="str">
        <f>IF(M92="","",IFERROR(AVERAGEIFS(nNOTA,nNIA,M92,nEVAL,CONFIG_METADATA!$B$4,nASIG,"Conjunto"),""))</f>
        <v/>
      </c>
      <c r="Q92" t="str" cm="1">
        <f t="array" ref="Q92">IF(M92="","",IFERROR(AVERAGE(IF((nNIA=M92)*(nEVAL=CONFIG_METADATA!$B$4)*(nASIG&lt;&gt;"Lenguaje Musical")*(nASIG&lt;&gt;"Coro")*(nASIG&lt;&gt;"Conjunto"),nNOTA)),""))</f>
        <v/>
      </c>
      <c r="T92" t="str">
        <f>IF(S92="","",IFERROR(AVERAGEIFS(nNOTA,nNIA,S92,nEVAL,CONFIG_METADATA!$B$4,nASIG,"Lenguaje Musical"),""))</f>
        <v/>
      </c>
      <c r="U92" t="str">
        <f>IF(S92="","",IFERROR(AVERAGEIFS(nNOTA,nNIA,S92,nEVAL,CONFIG_METADATA!$B$4,nASIG,"Coro"),""))</f>
        <v/>
      </c>
      <c r="V92" t="str">
        <f>IF(S92="","",IFERROR(AVERAGEIFS(nNOTA,nNIA,S92,nEVAL,CONFIG_METADATA!$B$4,nASIG,"Conjunto"),""))</f>
        <v/>
      </c>
      <c r="W92" t="str" cm="1">
        <f t="array" ref="W92">IF(S92="","",IFERROR(AVERAGE(IF((nNIA=S92)*(nEVAL=CONFIG_METADATA!$B$4)*(nASIG&lt;&gt;"Lenguaje Musical")*(nASIG&lt;&gt;"Coro")*(nASIG&lt;&gt;"Conjunto"),nNOTA)),""))</f>
        <v/>
      </c>
    </row>
    <row r="93" spans="2:23" ht="15" customHeight="1" x14ac:dyDescent="0.2">
      <c r="B93" t="str">
        <f>IF(A93="","",IFERROR(AVERAGEIFS(nNOTA,nNIA,A93,nEVAL,CONFIG_METADATA!$B$4,nASIG,"Lenguaje Musical"),""))</f>
        <v/>
      </c>
      <c r="C93" t="str">
        <f>IF(A93="","",IFERROR(AVERAGEIFS(nNOTA,nNIA,A93,nEVAL,CONFIG_METADATA!$B$4,nASIG,"Coro"),""))</f>
        <v/>
      </c>
      <c r="D93" t="str">
        <f>IF(A93="","",IFERROR(AVERAGEIFS(nNOTA,nNIA,A93,nEVAL,CONFIG_METADATA!$B$4,nASIG,"Conjunto"),""))</f>
        <v/>
      </c>
      <c r="E93" t="str" cm="1">
        <f t="array" ref="E93">IF(A93="","",IFERROR(AVERAGE(IF((nNIA=A93)*(nEVAL=CONFIG_METADATA!$B$4)*(nASIG&lt;&gt;"Lenguaje Musical")*(nASIG&lt;&gt;"Coro")*(nASIG&lt;&gt;"Conjunto"),nNOTA)),""))</f>
        <v/>
      </c>
      <c r="H93" t="str">
        <f>IF(G93="","",IFERROR(AVERAGEIFS(nNOTA,nNIA,G93,nEVAL,CONFIG_METADATA!$B$4,nASIG,"Lenguaje Musical"),""))</f>
        <v/>
      </c>
      <c r="I93" t="str">
        <f>IF(G93="","",IFERROR(AVERAGEIFS(nNOTA,nNIA,G93,nEVAL,CONFIG_METADATA!$B$4,nASIG,"Coro"),""))</f>
        <v/>
      </c>
      <c r="J93" t="str">
        <f>IF(G93="","",IFERROR(AVERAGEIFS(nNOTA,nNIA,G93,nEVAL,CONFIG_METADATA!$B$4,nASIG,"Conjunto"),""))</f>
        <v/>
      </c>
      <c r="K93" t="str" cm="1">
        <f t="array" ref="K93">IF(G93="","",IFERROR(AVERAGE(IF((nNIA=G93)*(nEVAL=CONFIG_METADATA!$B$4)*(nASIG&lt;&gt;"Lenguaje Musical")*(nASIG&lt;&gt;"Coro")*(nASIG&lt;&gt;"Conjunto"),nNOTA)),""))</f>
        <v/>
      </c>
      <c r="N93" t="str">
        <f>IF(M93="","",IFERROR(AVERAGEIFS(nNOTA,nNIA,M93,nEVAL,CONFIG_METADATA!$B$4,nASIG,"Lenguaje Musical"),""))</f>
        <v/>
      </c>
      <c r="O93" t="str">
        <f>IF(M93="","",IFERROR(AVERAGEIFS(nNOTA,nNIA,M93,nEVAL,CONFIG_METADATA!$B$4,nASIG,"Coro"),""))</f>
        <v/>
      </c>
      <c r="P93" t="str">
        <f>IF(M93="","",IFERROR(AVERAGEIFS(nNOTA,nNIA,M93,nEVAL,CONFIG_METADATA!$B$4,nASIG,"Conjunto"),""))</f>
        <v/>
      </c>
      <c r="Q93" t="str" cm="1">
        <f t="array" ref="Q93">IF(M93="","",IFERROR(AVERAGE(IF((nNIA=M93)*(nEVAL=CONFIG_METADATA!$B$4)*(nASIG&lt;&gt;"Lenguaje Musical")*(nASIG&lt;&gt;"Coro")*(nASIG&lt;&gt;"Conjunto"),nNOTA)),""))</f>
        <v/>
      </c>
      <c r="T93" t="str">
        <f>IF(S93="","",IFERROR(AVERAGEIFS(nNOTA,nNIA,S93,nEVAL,CONFIG_METADATA!$B$4,nASIG,"Lenguaje Musical"),""))</f>
        <v/>
      </c>
      <c r="U93" t="str">
        <f>IF(S93="","",IFERROR(AVERAGEIFS(nNOTA,nNIA,S93,nEVAL,CONFIG_METADATA!$B$4,nASIG,"Coro"),""))</f>
        <v/>
      </c>
      <c r="V93" t="str">
        <f>IF(S93="","",IFERROR(AVERAGEIFS(nNOTA,nNIA,S93,nEVAL,CONFIG_METADATA!$B$4,nASIG,"Conjunto"),""))</f>
        <v/>
      </c>
      <c r="W93" t="str" cm="1">
        <f t="array" ref="W93">IF(S93="","",IFERROR(AVERAGE(IF((nNIA=S93)*(nEVAL=CONFIG_METADATA!$B$4)*(nASIG&lt;&gt;"Lenguaje Musical")*(nASIG&lt;&gt;"Coro")*(nASIG&lt;&gt;"Conjunto"),nNOTA)),""))</f>
        <v/>
      </c>
    </row>
    <row r="94" spans="2:23" ht="15" customHeight="1" x14ac:dyDescent="0.2">
      <c r="B94" t="str">
        <f>IF(A94="","",IFERROR(AVERAGEIFS(nNOTA,nNIA,A94,nEVAL,CONFIG_METADATA!$B$4,nASIG,"Lenguaje Musical"),""))</f>
        <v/>
      </c>
      <c r="C94" t="str">
        <f>IF(A94="","",IFERROR(AVERAGEIFS(nNOTA,nNIA,A94,nEVAL,CONFIG_METADATA!$B$4,nASIG,"Coro"),""))</f>
        <v/>
      </c>
      <c r="D94" t="str">
        <f>IF(A94="","",IFERROR(AVERAGEIFS(nNOTA,nNIA,A94,nEVAL,CONFIG_METADATA!$B$4,nASIG,"Conjunto"),""))</f>
        <v/>
      </c>
      <c r="E94" t="str" cm="1">
        <f t="array" ref="E94">IF(A94="","",IFERROR(AVERAGE(IF((nNIA=A94)*(nEVAL=CONFIG_METADATA!$B$4)*(nASIG&lt;&gt;"Lenguaje Musical")*(nASIG&lt;&gt;"Coro")*(nASIG&lt;&gt;"Conjunto"),nNOTA)),""))</f>
        <v/>
      </c>
      <c r="H94" t="str">
        <f>IF(G94="","",IFERROR(AVERAGEIFS(nNOTA,nNIA,G94,nEVAL,CONFIG_METADATA!$B$4,nASIG,"Lenguaje Musical"),""))</f>
        <v/>
      </c>
      <c r="I94" t="str">
        <f>IF(G94="","",IFERROR(AVERAGEIFS(nNOTA,nNIA,G94,nEVAL,CONFIG_METADATA!$B$4,nASIG,"Coro"),""))</f>
        <v/>
      </c>
      <c r="J94" t="str">
        <f>IF(G94="","",IFERROR(AVERAGEIFS(nNOTA,nNIA,G94,nEVAL,CONFIG_METADATA!$B$4,nASIG,"Conjunto"),""))</f>
        <v/>
      </c>
      <c r="K94" t="str" cm="1">
        <f t="array" ref="K94">IF(G94="","",IFERROR(AVERAGE(IF((nNIA=G94)*(nEVAL=CONFIG_METADATA!$B$4)*(nASIG&lt;&gt;"Lenguaje Musical")*(nASIG&lt;&gt;"Coro")*(nASIG&lt;&gt;"Conjunto"),nNOTA)),""))</f>
        <v/>
      </c>
      <c r="N94" t="str">
        <f>IF(M94="","",IFERROR(AVERAGEIFS(nNOTA,nNIA,M94,nEVAL,CONFIG_METADATA!$B$4,nASIG,"Lenguaje Musical"),""))</f>
        <v/>
      </c>
      <c r="O94" t="str">
        <f>IF(M94="","",IFERROR(AVERAGEIFS(nNOTA,nNIA,M94,nEVAL,CONFIG_METADATA!$B$4,nASIG,"Coro"),""))</f>
        <v/>
      </c>
      <c r="P94" t="str">
        <f>IF(M94="","",IFERROR(AVERAGEIFS(nNOTA,nNIA,M94,nEVAL,CONFIG_METADATA!$B$4,nASIG,"Conjunto"),""))</f>
        <v/>
      </c>
      <c r="Q94" t="str" cm="1">
        <f t="array" ref="Q94">IF(M94="","",IFERROR(AVERAGE(IF((nNIA=M94)*(nEVAL=CONFIG_METADATA!$B$4)*(nASIG&lt;&gt;"Lenguaje Musical")*(nASIG&lt;&gt;"Coro")*(nASIG&lt;&gt;"Conjunto"),nNOTA)),""))</f>
        <v/>
      </c>
      <c r="T94" t="str">
        <f>IF(S94="","",IFERROR(AVERAGEIFS(nNOTA,nNIA,S94,nEVAL,CONFIG_METADATA!$B$4,nASIG,"Lenguaje Musical"),""))</f>
        <v/>
      </c>
      <c r="U94" t="str">
        <f>IF(S94="","",IFERROR(AVERAGEIFS(nNOTA,nNIA,S94,nEVAL,CONFIG_METADATA!$B$4,nASIG,"Coro"),""))</f>
        <v/>
      </c>
      <c r="V94" t="str">
        <f>IF(S94="","",IFERROR(AVERAGEIFS(nNOTA,nNIA,S94,nEVAL,CONFIG_METADATA!$B$4,nASIG,"Conjunto"),""))</f>
        <v/>
      </c>
      <c r="W94" t="str" cm="1">
        <f t="array" ref="W94">IF(S94="","",IFERROR(AVERAGE(IF((nNIA=S94)*(nEVAL=CONFIG_METADATA!$B$4)*(nASIG&lt;&gt;"Lenguaje Musical")*(nASIG&lt;&gt;"Coro")*(nASIG&lt;&gt;"Conjunto"),nNOTA)),""))</f>
        <v/>
      </c>
    </row>
    <row r="95" spans="2:23" ht="15" customHeight="1" x14ac:dyDescent="0.2">
      <c r="B95" t="str">
        <f>IF(A95="","",IFERROR(AVERAGEIFS(nNOTA,nNIA,A95,nEVAL,CONFIG_METADATA!$B$4,nASIG,"Lenguaje Musical"),""))</f>
        <v/>
      </c>
      <c r="C95" t="str">
        <f>IF(A95="","",IFERROR(AVERAGEIFS(nNOTA,nNIA,A95,nEVAL,CONFIG_METADATA!$B$4,nASIG,"Coro"),""))</f>
        <v/>
      </c>
      <c r="D95" t="str">
        <f>IF(A95="","",IFERROR(AVERAGEIFS(nNOTA,nNIA,A95,nEVAL,CONFIG_METADATA!$B$4,nASIG,"Conjunto"),""))</f>
        <v/>
      </c>
      <c r="E95" t="str" cm="1">
        <f t="array" ref="E95">IF(A95="","",IFERROR(AVERAGE(IF((nNIA=A95)*(nEVAL=CONFIG_METADATA!$B$4)*(nASIG&lt;&gt;"Lenguaje Musical")*(nASIG&lt;&gt;"Coro")*(nASIG&lt;&gt;"Conjunto"),nNOTA)),""))</f>
        <v/>
      </c>
      <c r="H95" t="str">
        <f>IF(G95="","",IFERROR(AVERAGEIFS(nNOTA,nNIA,G95,nEVAL,CONFIG_METADATA!$B$4,nASIG,"Lenguaje Musical"),""))</f>
        <v/>
      </c>
      <c r="I95" t="str">
        <f>IF(G95="","",IFERROR(AVERAGEIFS(nNOTA,nNIA,G95,nEVAL,CONFIG_METADATA!$B$4,nASIG,"Coro"),""))</f>
        <v/>
      </c>
      <c r="J95" t="str">
        <f>IF(G95="","",IFERROR(AVERAGEIFS(nNOTA,nNIA,G95,nEVAL,CONFIG_METADATA!$B$4,nASIG,"Conjunto"),""))</f>
        <v/>
      </c>
      <c r="K95" t="str" cm="1">
        <f t="array" ref="K95">IF(G95="","",IFERROR(AVERAGE(IF((nNIA=G95)*(nEVAL=CONFIG_METADATA!$B$4)*(nASIG&lt;&gt;"Lenguaje Musical")*(nASIG&lt;&gt;"Coro")*(nASIG&lt;&gt;"Conjunto"),nNOTA)),""))</f>
        <v/>
      </c>
      <c r="N95" t="str">
        <f>IF(M95="","",IFERROR(AVERAGEIFS(nNOTA,nNIA,M95,nEVAL,CONFIG_METADATA!$B$4,nASIG,"Lenguaje Musical"),""))</f>
        <v/>
      </c>
      <c r="O95" t="str">
        <f>IF(M95="","",IFERROR(AVERAGEIFS(nNOTA,nNIA,M95,nEVAL,CONFIG_METADATA!$B$4,nASIG,"Coro"),""))</f>
        <v/>
      </c>
      <c r="P95" t="str">
        <f>IF(M95="","",IFERROR(AVERAGEIFS(nNOTA,nNIA,M95,nEVAL,CONFIG_METADATA!$B$4,nASIG,"Conjunto"),""))</f>
        <v/>
      </c>
      <c r="Q95" t="str" cm="1">
        <f t="array" ref="Q95">IF(M95="","",IFERROR(AVERAGE(IF((nNIA=M95)*(nEVAL=CONFIG_METADATA!$B$4)*(nASIG&lt;&gt;"Lenguaje Musical")*(nASIG&lt;&gt;"Coro")*(nASIG&lt;&gt;"Conjunto"),nNOTA)),""))</f>
        <v/>
      </c>
      <c r="T95" t="str">
        <f>IF(S95="","",IFERROR(AVERAGEIFS(nNOTA,nNIA,S95,nEVAL,CONFIG_METADATA!$B$4,nASIG,"Lenguaje Musical"),""))</f>
        <v/>
      </c>
      <c r="U95" t="str">
        <f>IF(S95="","",IFERROR(AVERAGEIFS(nNOTA,nNIA,S95,nEVAL,CONFIG_METADATA!$B$4,nASIG,"Coro"),""))</f>
        <v/>
      </c>
      <c r="V95" t="str">
        <f>IF(S95="","",IFERROR(AVERAGEIFS(nNOTA,nNIA,S95,nEVAL,CONFIG_METADATA!$B$4,nASIG,"Conjunto"),""))</f>
        <v/>
      </c>
      <c r="W95" t="str" cm="1">
        <f t="array" ref="W95">IF(S95="","",IFERROR(AVERAGE(IF((nNIA=S95)*(nEVAL=CONFIG_METADATA!$B$4)*(nASIG&lt;&gt;"Lenguaje Musical")*(nASIG&lt;&gt;"Coro")*(nASIG&lt;&gt;"Conjunto"),nNOTA)),""))</f>
        <v/>
      </c>
    </row>
    <row r="96" spans="2:23" ht="15" customHeight="1" x14ac:dyDescent="0.2">
      <c r="B96" t="str">
        <f>IF(A96="","",IFERROR(AVERAGEIFS(nNOTA,nNIA,A96,nEVAL,CONFIG_METADATA!$B$4,nASIG,"Lenguaje Musical"),""))</f>
        <v/>
      </c>
      <c r="C96" t="str">
        <f>IF(A96="","",IFERROR(AVERAGEIFS(nNOTA,nNIA,A96,nEVAL,CONFIG_METADATA!$B$4,nASIG,"Coro"),""))</f>
        <v/>
      </c>
      <c r="D96" t="str">
        <f>IF(A96="","",IFERROR(AVERAGEIFS(nNOTA,nNIA,A96,nEVAL,CONFIG_METADATA!$B$4,nASIG,"Conjunto"),""))</f>
        <v/>
      </c>
      <c r="E96" t="str" cm="1">
        <f t="array" ref="E96">IF(A96="","",IFERROR(AVERAGE(IF((nNIA=A96)*(nEVAL=CONFIG_METADATA!$B$4)*(nASIG&lt;&gt;"Lenguaje Musical")*(nASIG&lt;&gt;"Coro")*(nASIG&lt;&gt;"Conjunto"),nNOTA)),""))</f>
        <v/>
      </c>
      <c r="H96" t="str">
        <f>IF(G96="","",IFERROR(AVERAGEIFS(nNOTA,nNIA,G96,nEVAL,CONFIG_METADATA!$B$4,nASIG,"Lenguaje Musical"),""))</f>
        <v/>
      </c>
      <c r="I96" t="str">
        <f>IF(G96="","",IFERROR(AVERAGEIFS(nNOTA,nNIA,G96,nEVAL,CONFIG_METADATA!$B$4,nASIG,"Coro"),""))</f>
        <v/>
      </c>
      <c r="J96" t="str">
        <f>IF(G96="","",IFERROR(AVERAGEIFS(nNOTA,nNIA,G96,nEVAL,CONFIG_METADATA!$B$4,nASIG,"Conjunto"),""))</f>
        <v/>
      </c>
      <c r="K96" t="str" cm="1">
        <f t="array" ref="K96">IF(G96="","",IFERROR(AVERAGE(IF((nNIA=G96)*(nEVAL=CONFIG_METADATA!$B$4)*(nASIG&lt;&gt;"Lenguaje Musical")*(nASIG&lt;&gt;"Coro")*(nASIG&lt;&gt;"Conjunto"),nNOTA)),""))</f>
        <v/>
      </c>
      <c r="N96" t="str">
        <f>IF(M96="","",IFERROR(AVERAGEIFS(nNOTA,nNIA,M96,nEVAL,CONFIG_METADATA!$B$4,nASIG,"Lenguaje Musical"),""))</f>
        <v/>
      </c>
      <c r="O96" t="str">
        <f>IF(M96="","",IFERROR(AVERAGEIFS(nNOTA,nNIA,M96,nEVAL,CONFIG_METADATA!$B$4,nASIG,"Coro"),""))</f>
        <v/>
      </c>
      <c r="P96" t="str">
        <f>IF(M96="","",IFERROR(AVERAGEIFS(nNOTA,nNIA,M96,nEVAL,CONFIG_METADATA!$B$4,nASIG,"Conjunto"),""))</f>
        <v/>
      </c>
      <c r="Q96" t="str" cm="1">
        <f t="array" ref="Q96">IF(M96="","",IFERROR(AVERAGE(IF((nNIA=M96)*(nEVAL=CONFIG_METADATA!$B$4)*(nASIG&lt;&gt;"Lenguaje Musical")*(nASIG&lt;&gt;"Coro")*(nASIG&lt;&gt;"Conjunto"),nNOTA)),""))</f>
        <v/>
      </c>
      <c r="T96" t="str">
        <f>IF(S96="","",IFERROR(AVERAGEIFS(nNOTA,nNIA,S96,nEVAL,CONFIG_METADATA!$B$4,nASIG,"Lenguaje Musical"),""))</f>
        <v/>
      </c>
      <c r="U96" t="str">
        <f>IF(S96="","",IFERROR(AVERAGEIFS(nNOTA,nNIA,S96,nEVAL,CONFIG_METADATA!$B$4,nASIG,"Coro"),""))</f>
        <v/>
      </c>
      <c r="V96" t="str">
        <f>IF(S96="","",IFERROR(AVERAGEIFS(nNOTA,nNIA,S96,nEVAL,CONFIG_METADATA!$B$4,nASIG,"Conjunto"),""))</f>
        <v/>
      </c>
      <c r="W96" t="str" cm="1">
        <f t="array" ref="W96">IF(S96="","",IFERROR(AVERAGE(IF((nNIA=S96)*(nEVAL=CONFIG_METADATA!$B$4)*(nASIG&lt;&gt;"Lenguaje Musical")*(nASIG&lt;&gt;"Coro")*(nASIG&lt;&gt;"Conjunto"),nNOTA)),""))</f>
        <v/>
      </c>
    </row>
    <row r="97" spans="2:23" ht="15" customHeight="1" x14ac:dyDescent="0.2">
      <c r="B97" t="str">
        <f>IF(A97="","",IFERROR(AVERAGEIFS(nNOTA,nNIA,A97,nEVAL,CONFIG_METADATA!$B$4,nASIG,"Lenguaje Musical"),""))</f>
        <v/>
      </c>
      <c r="C97" t="str">
        <f>IF(A97="","",IFERROR(AVERAGEIFS(nNOTA,nNIA,A97,nEVAL,CONFIG_METADATA!$B$4,nASIG,"Coro"),""))</f>
        <v/>
      </c>
      <c r="D97" t="str">
        <f>IF(A97="","",IFERROR(AVERAGEIFS(nNOTA,nNIA,A97,nEVAL,CONFIG_METADATA!$B$4,nASIG,"Conjunto"),""))</f>
        <v/>
      </c>
      <c r="E97" t="str" cm="1">
        <f t="array" ref="E97">IF(A97="","",IFERROR(AVERAGE(IF((nNIA=A97)*(nEVAL=CONFIG_METADATA!$B$4)*(nASIG&lt;&gt;"Lenguaje Musical")*(nASIG&lt;&gt;"Coro")*(nASIG&lt;&gt;"Conjunto"),nNOTA)),""))</f>
        <v/>
      </c>
      <c r="H97" t="str">
        <f>IF(G97="","",IFERROR(AVERAGEIFS(nNOTA,nNIA,G97,nEVAL,CONFIG_METADATA!$B$4,nASIG,"Lenguaje Musical"),""))</f>
        <v/>
      </c>
      <c r="I97" t="str">
        <f>IF(G97="","",IFERROR(AVERAGEIFS(nNOTA,nNIA,G97,nEVAL,CONFIG_METADATA!$B$4,nASIG,"Coro"),""))</f>
        <v/>
      </c>
      <c r="J97" t="str">
        <f>IF(G97="","",IFERROR(AVERAGEIFS(nNOTA,nNIA,G97,nEVAL,CONFIG_METADATA!$B$4,nASIG,"Conjunto"),""))</f>
        <v/>
      </c>
      <c r="K97" t="str" cm="1">
        <f t="array" ref="K97">IF(G97="","",IFERROR(AVERAGE(IF((nNIA=G97)*(nEVAL=CONFIG_METADATA!$B$4)*(nASIG&lt;&gt;"Lenguaje Musical")*(nASIG&lt;&gt;"Coro")*(nASIG&lt;&gt;"Conjunto"),nNOTA)),""))</f>
        <v/>
      </c>
      <c r="N97" t="str">
        <f>IF(M97="","",IFERROR(AVERAGEIFS(nNOTA,nNIA,M97,nEVAL,CONFIG_METADATA!$B$4,nASIG,"Lenguaje Musical"),""))</f>
        <v/>
      </c>
      <c r="O97" t="str">
        <f>IF(M97="","",IFERROR(AVERAGEIFS(nNOTA,nNIA,M97,nEVAL,CONFIG_METADATA!$B$4,nASIG,"Coro"),""))</f>
        <v/>
      </c>
      <c r="P97" t="str">
        <f>IF(M97="","",IFERROR(AVERAGEIFS(nNOTA,nNIA,M97,nEVAL,CONFIG_METADATA!$B$4,nASIG,"Conjunto"),""))</f>
        <v/>
      </c>
      <c r="Q97" t="str" cm="1">
        <f t="array" ref="Q97">IF(M97="","",IFERROR(AVERAGE(IF((nNIA=M97)*(nEVAL=CONFIG_METADATA!$B$4)*(nASIG&lt;&gt;"Lenguaje Musical")*(nASIG&lt;&gt;"Coro")*(nASIG&lt;&gt;"Conjunto"),nNOTA)),""))</f>
        <v/>
      </c>
      <c r="T97" t="str">
        <f>IF(S97="","",IFERROR(AVERAGEIFS(nNOTA,nNIA,S97,nEVAL,CONFIG_METADATA!$B$4,nASIG,"Lenguaje Musical"),""))</f>
        <v/>
      </c>
      <c r="U97" t="str">
        <f>IF(S97="","",IFERROR(AVERAGEIFS(nNOTA,nNIA,S97,nEVAL,CONFIG_METADATA!$B$4,nASIG,"Coro"),""))</f>
        <v/>
      </c>
      <c r="V97" t="str">
        <f>IF(S97="","",IFERROR(AVERAGEIFS(nNOTA,nNIA,S97,nEVAL,CONFIG_METADATA!$B$4,nASIG,"Conjunto"),""))</f>
        <v/>
      </c>
      <c r="W97" t="str" cm="1">
        <f t="array" ref="W97">IF(S97="","",IFERROR(AVERAGE(IF((nNIA=S97)*(nEVAL=CONFIG_METADATA!$B$4)*(nASIG&lt;&gt;"Lenguaje Musical")*(nASIG&lt;&gt;"Coro")*(nASIG&lt;&gt;"Conjunto"),nNOTA)),""))</f>
        <v/>
      </c>
    </row>
    <row r="98" spans="2:23" ht="15" customHeight="1" x14ac:dyDescent="0.2">
      <c r="B98" t="str">
        <f>IF(A98="","",IFERROR(AVERAGEIFS(nNOTA,nNIA,A98,nEVAL,CONFIG_METADATA!$B$4,nASIG,"Lenguaje Musical"),""))</f>
        <v/>
      </c>
      <c r="C98" t="str">
        <f>IF(A98="","",IFERROR(AVERAGEIFS(nNOTA,nNIA,A98,nEVAL,CONFIG_METADATA!$B$4,nASIG,"Coro"),""))</f>
        <v/>
      </c>
      <c r="D98" t="str">
        <f>IF(A98="","",IFERROR(AVERAGEIFS(nNOTA,nNIA,A98,nEVAL,CONFIG_METADATA!$B$4,nASIG,"Conjunto"),""))</f>
        <v/>
      </c>
      <c r="E98" t="str" cm="1">
        <f t="array" ref="E98">IF(A98="","",IFERROR(AVERAGE(IF((nNIA=A98)*(nEVAL=CONFIG_METADATA!$B$4)*(nASIG&lt;&gt;"Lenguaje Musical")*(nASIG&lt;&gt;"Coro")*(nASIG&lt;&gt;"Conjunto"),nNOTA)),""))</f>
        <v/>
      </c>
      <c r="H98" t="str">
        <f>IF(G98="","",IFERROR(AVERAGEIFS(nNOTA,nNIA,G98,nEVAL,CONFIG_METADATA!$B$4,nASIG,"Lenguaje Musical"),""))</f>
        <v/>
      </c>
      <c r="I98" t="str">
        <f>IF(G98="","",IFERROR(AVERAGEIFS(nNOTA,nNIA,G98,nEVAL,CONFIG_METADATA!$B$4,nASIG,"Coro"),""))</f>
        <v/>
      </c>
      <c r="J98" t="str">
        <f>IF(G98="","",IFERROR(AVERAGEIFS(nNOTA,nNIA,G98,nEVAL,CONFIG_METADATA!$B$4,nASIG,"Conjunto"),""))</f>
        <v/>
      </c>
      <c r="K98" t="str" cm="1">
        <f t="array" ref="K98">IF(G98="","",IFERROR(AVERAGE(IF((nNIA=G98)*(nEVAL=CONFIG_METADATA!$B$4)*(nASIG&lt;&gt;"Lenguaje Musical")*(nASIG&lt;&gt;"Coro")*(nASIG&lt;&gt;"Conjunto"),nNOTA)),""))</f>
        <v/>
      </c>
      <c r="N98" t="str">
        <f>IF(M98="","",IFERROR(AVERAGEIFS(nNOTA,nNIA,M98,nEVAL,CONFIG_METADATA!$B$4,nASIG,"Lenguaje Musical"),""))</f>
        <v/>
      </c>
      <c r="O98" t="str">
        <f>IF(M98="","",IFERROR(AVERAGEIFS(nNOTA,nNIA,M98,nEVAL,CONFIG_METADATA!$B$4,nASIG,"Coro"),""))</f>
        <v/>
      </c>
      <c r="P98" t="str">
        <f>IF(M98="","",IFERROR(AVERAGEIFS(nNOTA,nNIA,M98,nEVAL,CONFIG_METADATA!$B$4,nASIG,"Conjunto"),""))</f>
        <v/>
      </c>
      <c r="Q98" t="str" cm="1">
        <f t="array" ref="Q98">IF(M98="","",IFERROR(AVERAGE(IF((nNIA=M98)*(nEVAL=CONFIG_METADATA!$B$4)*(nASIG&lt;&gt;"Lenguaje Musical")*(nASIG&lt;&gt;"Coro")*(nASIG&lt;&gt;"Conjunto"),nNOTA)),""))</f>
        <v/>
      </c>
      <c r="T98" t="str">
        <f>IF(S98="","",IFERROR(AVERAGEIFS(nNOTA,nNIA,S98,nEVAL,CONFIG_METADATA!$B$4,nASIG,"Lenguaje Musical"),""))</f>
        <v/>
      </c>
      <c r="U98" t="str">
        <f>IF(S98="","",IFERROR(AVERAGEIFS(nNOTA,nNIA,S98,nEVAL,CONFIG_METADATA!$B$4,nASIG,"Coro"),""))</f>
        <v/>
      </c>
      <c r="V98" t="str">
        <f>IF(S98="","",IFERROR(AVERAGEIFS(nNOTA,nNIA,S98,nEVAL,CONFIG_METADATA!$B$4,nASIG,"Conjunto"),""))</f>
        <v/>
      </c>
      <c r="W98" t="str" cm="1">
        <f t="array" ref="W98">IF(S98="","",IFERROR(AVERAGE(IF((nNIA=S98)*(nEVAL=CONFIG_METADATA!$B$4)*(nASIG&lt;&gt;"Lenguaje Musical")*(nASIG&lt;&gt;"Coro")*(nASIG&lt;&gt;"Conjunto"),nNOTA)),""))</f>
        <v/>
      </c>
    </row>
    <row r="99" spans="2:23" ht="15" customHeight="1" x14ac:dyDescent="0.2">
      <c r="B99" t="str">
        <f>IF(A99="","",IFERROR(AVERAGEIFS(nNOTA,nNIA,A99,nEVAL,CONFIG_METADATA!$B$4,nASIG,"Lenguaje Musical"),""))</f>
        <v/>
      </c>
      <c r="C99" t="str">
        <f>IF(A99="","",IFERROR(AVERAGEIFS(nNOTA,nNIA,A99,nEVAL,CONFIG_METADATA!$B$4,nASIG,"Coro"),""))</f>
        <v/>
      </c>
      <c r="D99" t="str">
        <f>IF(A99="","",IFERROR(AVERAGEIFS(nNOTA,nNIA,A99,nEVAL,CONFIG_METADATA!$B$4,nASIG,"Conjunto"),""))</f>
        <v/>
      </c>
      <c r="E99" t="str" cm="1">
        <f t="array" ref="E99">IF(A99="","",IFERROR(AVERAGE(IF((nNIA=A99)*(nEVAL=CONFIG_METADATA!$B$4)*(nASIG&lt;&gt;"Lenguaje Musical")*(nASIG&lt;&gt;"Coro")*(nASIG&lt;&gt;"Conjunto"),nNOTA)),""))</f>
        <v/>
      </c>
      <c r="H99" t="str">
        <f>IF(G99="","",IFERROR(AVERAGEIFS(nNOTA,nNIA,G99,nEVAL,CONFIG_METADATA!$B$4,nASIG,"Lenguaje Musical"),""))</f>
        <v/>
      </c>
      <c r="I99" t="str">
        <f>IF(G99="","",IFERROR(AVERAGEIFS(nNOTA,nNIA,G99,nEVAL,CONFIG_METADATA!$B$4,nASIG,"Coro"),""))</f>
        <v/>
      </c>
      <c r="J99" t="str">
        <f>IF(G99="","",IFERROR(AVERAGEIFS(nNOTA,nNIA,G99,nEVAL,CONFIG_METADATA!$B$4,nASIG,"Conjunto"),""))</f>
        <v/>
      </c>
      <c r="K99" t="str" cm="1">
        <f t="array" ref="K99">IF(G99="","",IFERROR(AVERAGE(IF((nNIA=G99)*(nEVAL=CONFIG_METADATA!$B$4)*(nASIG&lt;&gt;"Lenguaje Musical")*(nASIG&lt;&gt;"Coro")*(nASIG&lt;&gt;"Conjunto"),nNOTA)),""))</f>
        <v/>
      </c>
      <c r="N99" t="str">
        <f>IF(M99="","",IFERROR(AVERAGEIFS(nNOTA,nNIA,M99,nEVAL,CONFIG_METADATA!$B$4,nASIG,"Lenguaje Musical"),""))</f>
        <v/>
      </c>
      <c r="O99" t="str">
        <f>IF(M99="","",IFERROR(AVERAGEIFS(nNOTA,nNIA,M99,nEVAL,CONFIG_METADATA!$B$4,nASIG,"Coro"),""))</f>
        <v/>
      </c>
      <c r="P99" t="str">
        <f>IF(M99="","",IFERROR(AVERAGEIFS(nNOTA,nNIA,M99,nEVAL,CONFIG_METADATA!$B$4,nASIG,"Conjunto"),""))</f>
        <v/>
      </c>
      <c r="Q99" t="str" cm="1">
        <f t="array" ref="Q99">IF(M99="","",IFERROR(AVERAGE(IF((nNIA=M99)*(nEVAL=CONFIG_METADATA!$B$4)*(nASIG&lt;&gt;"Lenguaje Musical")*(nASIG&lt;&gt;"Coro")*(nASIG&lt;&gt;"Conjunto"),nNOTA)),""))</f>
        <v/>
      </c>
      <c r="T99" t="str">
        <f>IF(S99="","",IFERROR(AVERAGEIFS(nNOTA,nNIA,S99,nEVAL,CONFIG_METADATA!$B$4,nASIG,"Lenguaje Musical"),""))</f>
        <v/>
      </c>
      <c r="U99" t="str">
        <f>IF(S99="","",IFERROR(AVERAGEIFS(nNOTA,nNIA,S99,nEVAL,CONFIG_METADATA!$B$4,nASIG,"Coro"),""))</f>
        <v/>
      </c>
      <c r="V99" t="str">
        <f>IF(S99="","",IFERROR(AVERAGEIFS(nNOTA,nNIA,S99,nEVAL,CONFIG_METADATA!$B$4,nASIG,"Conjunto"),""))</f>
        <v/>
      </c>
      <c r="W99" t="str" cm="1">
        <f t="array" ref="W99">IF(S99="","",IFERROR(AVERAGE(IF((nNIA=S99)*(nEVAL=CONFIG_METADATA!$B$4)*(nASIG&lt;&gt;"Lenguaje Musical")*(nASIG&lt;&gt;"Coro")*(nASIG&lt;&gt;"Conjunto"),nNOTA)),""))</f>
        <v/>
      </c>
    </row>
    <row r="100" spans="2:23" ht="15" customHeight="1" x14ac:dyDescent="0.2">
      <c r="B100" t="str">
        <f>IF(A100="","",IFERROR(AVERAGEIFS(nNOTA,nNIA,A100,nEVAL,CONFIG_METADATA!$B$4,nASIG,"Lenguaje Musical"),""))</f>
        <v/>
      </c>
      <c r="C100" t="str">
        <f>IF(A100="","",IFERROR(AVERAGEIFS(nNOTA,nNIA,A100,nEVAL,CONFIG_METADATA!$B$4,nASIG,"Coro"),""))</f>
        <v/>
      </c>
      <c r="D100" t="str">
        <f>IF(A100="","",IFERROR(AVERAGEIFS(nNOTA,nNIA,A100,nEVAL,CONFIG_METADATA!$B$4,nASIG,"Conjunto"),""))</f>
        <v/>
      </c>
      <c r="E100" t="str" cm="1">
        <f t="array" ref="E100">IF(A100="","",IFERROR(AVERAGE(IF((nNIA=A100)*(nEVAL=CONFIG_METADATA!$B$4)*(nASIG&lt;&gt;"Lenguaje Musical")*(nASIG&lt;&gt;"Coro")*(nASIG&lt;&gt;"Conjunto"),nNOTA)),""))</f>
        <v/>
      </c>
      <c r="H100" t="str">
        <f>IF(G100="","",IFERROR(AVERAGEIFS(nNOTA,nNIA,G100,nEVAL,CONFIG_METADATA!$B$4,nASIG,"Lenguaje Musical"),""))</f>
        <v/>
      </c>
      <c r="I100" t="str">
        <f>IF(G100="","",IFERROR(AVERAGEIFS(nNOTA,nNIA,G100,nEVAL,CONFIG_METADATA!$B$4,nASIG,"Coro"),""))</f>
        <v/>
      </c>
      <c r="J100" t="str">
        <f>IF(G100="","",IFERROR(AVERAGEIFS(nNOTA,nNIA,G100,nEVAL,CONFIG_METADATA!$B$4,nASIG,"Conjunto"),""))</f>
        <v/>
      </c>
      <c r="K100" t="str" cm="1">
        <f t="array" ref="K100">IF(G100="","",IFERROR(AVERAGE(IF((nNIA=G100)*(nEVAL=CONFIG_METADATA!$B$4)*(nASIG&lt;&gt;"Lenguaje Musical")*(nASIG&lt;&gt;"Coro")*(nASIG&lt;&gt;"Conjunto"),nNOTA)),""))</f>
        <v/>
      </c>
      <c r="N100" t="str">
        <f>IF(M100="","",IFERROR(AVERAGEIFS(nNOTA,nNIA,M100,nEVAL,CONFIG_METADATA!$B$4,nASIG,"Lenguaje Musical"),""))</f>
        <v/>
      </c>
      <c r="O100" t="str">
        <f>IF(M100="","",IFERROR(AVERAGEIFS(nNOTA,nNIA,M100,nEVAL,CONFIG_METADATA!$B$4,nASIG,"Coro"),""))</f>
        <v/>
      </c>
      <c r="P100" t="str">
        <f>IF(M100="","",IFERROR(AVERAGEIFS(nNOTA,nNIA,M100,nEVAL,CONFIG_METADATA!$B$4,nASIG,"Conjunto"),""))</f>
        <v/>
      </c>
      <c r="Q100" t="str" cm="1">
        <f t="array" ref="Q100">IF(M100="","",IFERROR(AVERAGE(IF((nNIA=M100)*(nEVAL=CONFIG_METADATA!$B$4)*(nASIG&lt;&gt;"Lenguaje Musical")*(nASIG&lt;&gt;"Coro")*(nASIG&lt;&gt;"Conjunto"),nNOTA)),""))</f>
        <v/>
      </c>
      <c r="T100" t="str">
        <f>IF(S100="","",IFERROR(AVERAGEIFS(nNOTA,nNIA,S100,nEVAL,CONFIG_METADATA!$B$4,nASIG,"Lenguaje Musical"),""))</f>
        <v/>
      </c>
      <c r="U100" t="str">
        <f>IF(S100="","",IFERROR(AVERAGEIFS(nNOTA,nNIA,S100,nEVAL,CONFIG_METADATA!$B$4,nASIG,"Coro"),""))</f>
        <v/>
      </c>
      <c r="V100" t="str">
        <f>IF(S100="","",IFERROR(AVERAGEIFS(nNOTA,nNIA,S100,nEVAL,CONFIG_METADATA!$B$4,nASIG,"Conjunto"),""))</f>
        <v/>
      </c>
      <c r="W100" t="str" cm="1">
        <f t="array" ref="W100">IF(S100="","",IFERROR(AVERAGE(IF((nNIA=S100)*(nEVAL=CONFIG_METADATA!$B$4)*(nASIG&lt;&gt;"Lenguaje Musical")*(nASIG&lt;&gt;"Coro")*(nASIG&lt;&gt;"Conjunto"),nNOTA)),""))</f>
        <v/>
      </c>
    </row>
    <row r="101" spans="2:23" ht="15" customHeight="1" x14ac:dyDescent="0.2">
      <c r="B101" t="str">
        <f>IF(A101="","",IFERROR(AVERAGEIFS(nNOTA,nNIA,A101,nEVAL,CONFIG_METADATA!$B$4,nASIG,"Lenguaje Musical"),""))</f>
        <v/>
      </c>
      <c r="C101" t="str">
        <f>IF(A101="","",IFERROR(AVERAGEIFS(nNOTA,nNIA,A101,nEVAL,CONFIG_METADATA!$B$4,nASIG,"Coro"),""))</f>
        <v/>
      </c>
      <c r="D101" t="str">
        <f>IF(A101="","",IFERROR(AVERAGEIFS(nNOTA,nNIA,A101,nEVAL,CONFIG_METADATA!$B$4,nASIG,"Conjunto"),""))</f>
        <v/>
      </c>
      <c r="E101" t="str" cm="1">
        <f t="array" ref="E101">IF(A101="","",IFERROR(AVERAGE(IF((nNIA=A101)*(nEVAL=CONFIG_METADATA!$B$4)*(nASIG&lt;&gt;"Lenguaje Musical")*(nASIG&lt;&gt;"Coro")*(nASIG&lt;&gt;"Conjunto"),nNOTA)),""))</f>
        <v/>
      </c>
      <c r="H101" t="str">
        <f>IF(G101="","",IFERROR(AVERAGEIFS(nNOTA,nNIA,G101,nEVAL,CONFIG_METADATA!$B$4,nASIG,"Lenguaje Musical"),""))</f>
        <v/>
      </c>
      <c r="I101" t="str">
        <f>IF(G101="","",IFERROR(AVERAGEIFS(nNOTA,nNIA,G101,nEVAL,CONFIG_METADATA!$B$4,nASIG,"Coro"),""))</f>
        <v/>
      </c>
      <c r="J101" t="str">
        <f>IF(G101="","",IFERROR(AVERAGEIFS(nNOTA,nNIA,G101,nEVAL,CONFIG_METADATA!$B$4,nASIG,"Conjunto"),""))</f>
        <v/>
      </c>
      <c r="K101" t="str" cm="1">
        <f t="array" ref="K101">IF(G101="","",IFERROR(AVERAGE(IF((nNIA=G101)*(nEVAL=CONFIG_METADATA!$B$4)*(nASIG&lt;&gt;"Lenguaje Musical")*(nASIG&lt;&gt;"Coro")*(nASIG&lt;&gt;"Conjunto"),nNOTA)),""))</f>
        <v/>
      </c>
      <c r="N101" t="str">
        <f>IF(M101="","",IFERROR(AVERAGEIFS(nNOTA,nNIA,M101,nEVAL,CONFIG_METADATA!$B$4,nASIG,"Lenguaje Musical"),""))</f>
        <v/>
      </c>
      <c r="O101" t="str">
        <f>IF(M101="","",IFERROR(AVERAGEIFS(nNOTA,nNIA,M101,nEVAL,CONFIG_METADATA!$B$4,nASIG,"Coro"),""))</f>
        <v/>
      </c>
      <c r="P101" t="str">
        <f>IF(M101="","",IFERROR(AVERAGEIFS(nNOTA,nNIA,M101,nEVAL,CONFIG_METADATA!$B$4,nASIG,"Conjunto"),""))</f>
        <v/>
      </c>
      <c r="Q101" t="str" cm="1">
        <f t="array" ref="Q101">IF(M101="","",IFERROR(AVERAGE(IF((nNIA=M101)*(nEVAL=CONFIG_METADATA!$B$4)*(nASIG&lt;&gt;"Lenguaje Musical")*(nASIG&lt;&gt;"Coro")*(nASIG&lt;&gt;"Conjunto"),nNOTA)),""))</f>
        <v/>
      </c>
      <c r="T101" t="str">
        <f>IF(S101="","",IFERROR(AVERAGEIFS(nNOTA,nNIA,S101,nEVAL,CONFIG_METADATA!$B$4,nASIG,"Lenguaje Musical"),""))</f>
        <v/>
      </c>
      <c r="U101" t="str">
        <f>IF(S101="","",IFERROR(AVERAGEIFS(nNOTA,nNIA,S101,nEVAL,CONFIG_METADATA!$B$4,nASIG,"Coro"),""))</f>
        <v/>
      </c>
      <c r="V101" t="str">
        <f>IF(S101="","",IFERROR(AVERAGEIFS(nNOTA,nNIA,S101,nEVAL,CONFIG_METADATA!$B$4,nASIG,"Conjunto"),""))</f>
        <v/>
      </c>
      <c r="W101" t="str" cm="1">
        <f t="array" ref="W101">IF(S101="","",IFERROR(AVERAGE(IF((nNIA=S101)*(nEVAL=CONFIG_METADATA!$B$4)*(nASIG&lt;&gt;"Lenguaje Musical")*(nASIG&lt;&gt;"Coro")*(nASIG&lt;&gt;"Conjunto"),nNOTA)),""))</f>
        <v/>
      </c>
    </row>
    <row r="102" spans="2:23" ht="15" customHeight="1" x14ac:dyDescent="0.2">
      <c r="B102" t="str">
        <f>IF(A102="","",IFERROR(AVERAGEIFS(nNOTA,nNIA,A102,nEVAL,CONFIG_METADATA!$B$4,nASIG,"Lenguaje Musical"),""))</f>
        <v/>
      </c>
      <c r="C102" t="str">
        <f>IF(A102="","",IFERROR(AVERAGEIFS(nNOTA,nNIA,A102,nEVAL,CONFIG_METADATA!$B$4,nASIG,"Coro"),""))</f>
        <v/>
      </c>
      <c r="D102" t="str">
        <f>IF(A102="","",IFERROR(AVERAGEIFS(nNOTA,nNIA,A102,nEVAL,CONFIG_METADATA!$B$4,nASIG,"Conjunto"),""))</f>
        <v/>
      </c>
      <c r="E102" t="str" cm="1">
        <f t="array" ref="E102">IF(A102="","",IFERROR(AVERAGE(IF((nNIA=A102)*(nEVAL=CONFIG_METADATA!$B$4)*(nASIG&lt;&gt;"Lenguaje Musical")*(nASIG&lt;&gt;"Coro")*(nASIG&lt;&gt;"Conjunto"),nNOTA)),""))</f>
        <v/>
      </c>
      <c r="H102" t="str">
        <f>IF(G102="","",IFERROR(AVERAGEIFS(nNOTA,nNIA,G102,nEVAL,CONFIG_METADATA!$B$4,nASIG,"Lenguaje Musical"),""))</f>
        <v/>
      </c>
      <c r="I102" t="str">
        <f>IF(G102="","",IFERROR(AVERAGEIFS(nNOTA,nNIA,G102,nEVAL,CONFIG_METADATA!$B$4,nASIG,"Coro"),""))</f>
        <v/>
      </c>
      <c r="J102" t="str">
        <f>IF(G102="","",IFERROR(AVERAGEIFS(nNOTA,nNIA,G102,nEVAL,CONFIG_METADATA!$B$4,nASIG,"Conjunto"),""))</f>
        <v/>
      </c>
      <c r="K102" t="str" cm="1">
        <f t="array" ref="K102">IF(G102="","",IFERROR(AVERAGE(IF((nNIA=G102)*(nEVAL=CONFIG_METADATA!$B$4)*(nASIG&lt;&gt;"Lenguaje Musical")*(nASIG&lt;&gt;"Coro")*(nASIG&lt;&gt;"Conjunto"),nNOTA)),""))</f>
        <v/>
      </c>
      <c r="N102" t="str">
        <f>IF(M102="","",IFERROR(AVERAGEIFS(nNOTA,nNIA,M102,nEVAL,CONFIG_METADATA!$B$4,nASIG,"Lenguaje Musical"),""))</f>
        <v/>
      </c>
      <c r="O102" t="str">
        <f>IF(M102="","",IFERROR(AVERAGEIFS(nNOTA,nNIA,M102,nEVAL,CONFIG_METADATA!$B$4,nASIG,"Coro"),""))</f>
        <v/>
      </c>
      <c r="P102" t="str">
        <f>IF(M102="","",IFERROR(AVERAGEIFS(nNOTA,nNIA,M102,nEVAL,CONFIG_METADATA!$B$4,nASIG,"Conjunto"),""))</f>
        <v/>
      </c>
      <c r="Q102" t="str" cm="1">
        <f t="array" ref="Q102">IF(M102="","",IFERROR(AVERAGE(IF((nNIA=M102)*(nEVAL=CONFIG_METADATA!$B$4)*(nASIG&lt;&gt;"Lenguaje Musical")*(nASIG&lt;&gt;"Coro")*(nASIG&lt;&gt;"Conjunto"),nNOTA)),""))</f>
        <v/>
      </c>
      <c r="T102" t="str">
        <f>IF(S102="","",IFERROR(AVERAGEIFS(nNOTA,nNIA,S102,nEVAL,CONFIG_METADATA!$B$4,nASIG,"Lenguaje Musical"),""))</f>
        <v/>
      </c>
      <c r="U102" t="str">
        <f>IF(S102="","",IFERROR(AVERAGEIFS(nNOTA,nNIA,S102,nEVAL,CONFIG_METADATA!$B$4,nASIG,"Coro"),""))</f>
        <v/>
      </c>
      <c r="V102" t="str">
        <f>IF(S102="","",IFERROR(AVERAGEIFS(nNOTA,nNIA,S102,nEVAL,CONFIG_METADATA!$B$4,nASIG,"Conjunto"),""))</f>
        <v/>
      </c>
      <c r="W102" t="str" cm="1">
        <f t="array" ref="W102">IF(S102="","",IFERROR(AVERAGE(IF((nNIA=S102)*(nEVAL=CONFIG_METADATA!$B$4)*(nASIG&lt;&gt;"Lenguaje Musical")*(nASIG&lt;&gt;"Coro")*(nASIG&lt;&gt;"Conjunto"),nNOTA)),""))</f>
        <v/>
      </c>
    </row>
    <row r="103" spans="2:23" ht="15" customHeight="1" x14ac:dyDescent="0.2">
      <c r="B103" t="str">
        <f>IF(A103="","",IFERROR(AVERAGEIFS(nNOTA,nNIA,A103,nEVAL,CONFIG_METADATA!$B$4,nASIG,"Lenguaje Musical"),""))</f>
        <v/>
      </c>
      <c r="C103" t="str">
        <f>IF(A103="","",IFERROR(AVERAGEIFS(nNOTA,nNIA,A103,nEVAL,CONFIG_METADATA!$B$4,nASIG,"Coro"),""))</f>
        <v/>
      </c>
      <c r="D103" t="str">
        <f>IF(A103="","",IFERROR(AVERAGEIFS(nNOTA,nNIA,A103,nEVAL,CONFIG_METADATA!$B$4,nASIG,"Conjunto"),""))</f>
        <v/>
      </c>
      <c r="E103" t="str" cm="1">
        <f t="array" ref="E103">IF(A103="","",IFERROR(AVERAGE(IF((nNIA=A103)*(nEVAL=CONFIG_METADATA!$B$4)*(nASIG&lt;&gt;"Lenguaje Musical")*(nASIG&lt;&gt;"Coro")*(nASIG&lt;&gt;"Conjunto"),nNOTA)),""))</f>
        <v/>
      </c>
      <c r="H103" t="str">
        <f>IF(G103="","",IFERROR(AVERAGEIFS(nNOTA,nNIA,G103,nEVAL,CONFIG_METADATA!$B$4,nASIG,"Lenguaje Musical"),""))</f>
        <v/>
      </c>
      <c r="I103" t="str">
        <f>IF(G103="","",IFERROR(AVERAGEIFS(nNOTA,nNIA,G103,nEVAL,CONFIG_METADATA!$B$4,nASIG,"Coro"),""))</f>
        <v/>
      </c>
      <c r="J103" t="str">
        <f>IF(G103="","",IFERROR(AVERAGEIFS(nNOTA,nNIA,G103,nEVAL,CONFIG_METADATA!$B$4,nASIG,"Conjunto"),""))</f>
        <v/>
      </c>
      <c r="K103" t="str" cm="1">
        <f t="array" ref="K103">IF(G103="","",IFERROR(AVERAGE(IF((nNIA=G103)*(nEVAL=CONFIG_METADATA!$B$4)*(nASIG&lt;&gt;"Lenguaje Musical")*(nASIG&lt;&gt;"Coro")*(nASIG&lt;&gt;"Conjunto"),nNOTA)),""))</f>
        <v/>
      </c>
      <c r="N103" t="str">
        <f>IF(M103="","",IFERROR(AVERAGEIFS(nNOTA,nNIA,M103,nEVAL,CONFIG_METADATA!$B$4,nASIG,"Lenguaje Musical"),""))</f>
        <v/>
      </c>
      <c r="O103" t="str">
        <f>IF(M103="","",IFERROR(AVERAGEIFS(nNOTA,nNIA,M103,nEVAL,CONFIG_METADATA!$B$4,nASIG,"Coro"),""))</f>
        <v/>
      </c>
      <c r="P103" t="str">
        <f>IF(M103="","",IFERROR(AVERAGEIFS(nNOTA,nNIA,M103,nEVAL,CONFIG_METADATA!$B$4,nASIG,"Conjunto"),""))</f>
        <v/>
      </c>
      <c r="Q103" t="str" cm="1">
        <f t="array" ref="Q103">IF(M103="","",IFERROR(AVERAGE(IF((nNIA=M103)*(nEVAL=CONFIG_METADATA!$B$4)*(nASIG&lt;&gt;"Lenguaje Musical")*(nASIG&lt;&gt;"Coro")*(nASIG&lt;&gt;"Conjunto"),nNOTA)),""))</f>
        <v/>
      </c>
      <c r="T103" t="str">
        <f>IF(S103="","",IFERROR(AVERAGEIFS(nNOTA,nNIA,S103,nEVAL,CONFIG_METADATA!$B$4,nASIG,"Lenguaje Musical"),""))</f>
        <v/>
      </c>
      <c r="U103" t="str">
        <f>IF(S103="","",IFERROR(AVERAGEIFS(nNOTA,nNIA,S103,nEVAL,CONFIG_METADATA!$B$4,nASIG,"Coro"),""))</f>
        <v/>
      </c>
      <c r="V103" t="str">
        <f>IF(S103="","",IFERROR(AVERAGEIFS(nNOTA,nNIA,S103,nEVAL,CONFIG_METADATA!$B$4,nASIG,"Conjunto"),""))</f>
        <v/>
      </c>
      <c r="W103" t="str" cm="1">
        <f t="array" ref="W103">IF(S103="","",IFERROR(AVERAGE(IF((nNIA=S103)*(nEVAL=CONFIG_METADATA!$B$4)*(nASIG&lt;&gt;"Lenguaje Musical")*(nASIG&lt;&gt;"Coro")*(nASIG&lt;&gt;"Conjunto"),nNOTA)),""))</f>
        <v/>
      </c>
    </row>
    <row r="104" spans="2:23" ht="15" customHeight="1" x14ac:dyDescent="0.2">
      <c r="B104" t="str">
        <f>IF(A104="","",IFERROR(AVERAGEIFS(nNOTA,nNIA,A104,nEVAL,CONFIG_METADATA!$B$4,nASIG,"Lenguaje Musical"),""))</f>
        <v/>
      </c>
      <c r="C104" t="str">
        <f>IF(A104="","",IFERROR(AVERAGEIFS(nNOTA,nNIA,A104,nEVAL,CONFIG_METADATA!$B$4,nASIG,"Coro"),""))</f>
        <v/>
      </c>
      <c r="D104" t="str">
        <f>IF(A104="","",IFERROR(AVERAGEIFS(nNOTA,nNIA,A104,nEVAL,CONFIG_METADATA!$B$4,nASIG,"Conjunto"),""))</f>
        <v/>
      </c>
      <c r="E104" t="str" cm="1">
        <f t="array" ref="E104">IF(A104="","",IFERROR(AVERAGE(IF((nNIA=A104)*(nEVAL=CONFIG_METADATA!$B$4)*(nASIG&lt;&gt;"Lenguaje Musical")*(nASIG&lt;&gt;"Coro")*(nASIG&lt;&gt;"Conjunto"),nNOTA)),""))</f>
        <v/>
      </c>
      <c r="H104" t="str">
        <f>IF(G104="","",IFERROR(AVERAGEIFS(nNOTA,nNIA,G104,nEVAL,CONFIG_METADATA!$B$4,nASIG,"Lenguaje Musical"),""))</f>
        <v/>
      </c>
      <c r="I104" t="str">
        <f>IF(G104="","",IFERROR(AVERAGEIFS(nNOTA,nNIA,G104,nEVAL,CONFIG_METADATA!$B$4,nASIG,"Coro"),""))</f>
        <v/>
      </c>
      <c r="J104" t="str">
        <f>IF(G104="","",IFERROR(AVERAGEIFS(nNOTA,nNIA,G104,nEVAL,CONFIG_METADATA!$B$4,nASIG,"Conjunto"),""))</f>
        <v/>
      </c>
      <c r="K104" t="str" cm="1">
        <f t="array" ref="K104">IF(G104="","",IFERROR(AVERAGE(IF((nNIA=G104)*(nEVAL=CONFIG_METADATA!$B$4)*(nASIG&lt;&gt;"Lenguaje Musical")*(nASIG&lt;&gt;"Coro")*(nASIG&lt;&gt;"Conjunto"),nNOTA)),""))</f>
        <v/>
      </c>
      <c r="N104" t="str">
        <f>IF(M104="","",IFERROR(AVERAGEIFS(nNOTA,nNIA,M104,nEVAL,CONFIG_METADATA!$B$4,nASIG,"Lenguaje Musical"),""))</f>
        <v/>
      </c>
      <c r="O104" t="str">
        <f>IF(M104="","",IFERROR(AVERAGEIFS(nNOTA,nNIA,M104,nEVAL,CONFIG_METADATA!$B$4,nASIG,"Coro"),""))</f>
        <v/>
      </c>
      <c r="P104" t="str">
        <f>IF(M104="","",IFERROR(AVERAGEIFS(nNOTA,nNIA,M104,nEVAL,CONFIG_METADATA!$B$4,nASIG,"Conjunto"),""))</f>
        <v/>
      </c>
      <c r="Q104" t="str" cm="1">
        <f t="array" ref="Q104">IF(M104="","",IFERROR(AVERAGE(IF((nNIA=M104)*(nEVAL=CONFIG_METADATA!$B$4)*(nASIG&lt;&gt;"Lenguaje Musical")*(nASIG&lt;&gt;"Coro")*(nASIG&lt;&gt;"Conjunto"),nNOTA)),""))</f>
        <v/>
      </c>
      <c r="T104" t="str">
        <f>IF(S104="","",IFERROR(AVERAGEIFS(nNOTA,nNIA,S104,nEVAL,CONFIG_METADATA!$B$4,nASIG,"Lenguaje Musical"),""))</f>
        <v/>
      </c>
      <c r="U104" t="str">
        <f>IF(S104="","",IFERROR(AVERAGEIFS(nNOTA,nNIA,S104,nEVAL,CONFIG_METADATA!$B$4,nASIG,"Coro"),""))</f>
        <v/>
      </c>
      <c r="V104" t="str">
        <f>IF(S104="","",IFERROR(AVERAGEIFS(nNOTA,nNIA,S104,nEVAL,CONFIG_METADATA!$B$4,nASIG,"Conjunto"),""))</f>
        <v/>
      </c>
      <c r="W104" t="str" cm="1">
        <f t="array" ref="W104">IF(S104="","",IFERROR(AVERAGE(IF((nNIA=S104)*(nEVAL=CONFIG_METADATA!$B$4)*(nASIG&lt;&gt;"Lenguaje Musical")*(nASIG&lt;&gt;"Coro")*(nASIG&lt;&gt;"Conjunto"),nNOTA)),""))</f>
        <v/>
      </c>
    </row>
    <row r="105" spans="2:23" ht="15" customHeight="1" x14ac:dyDescent="0.2">
      <c r="B105" t="str">
        <f>IF(A105="","",IFERROR(AVERAGEIFS(nNOTA,nNIA,A105,nEVAL,CONFIG_METADATA!$B$4,nASIG,"Lenguaje Musical"),""))</f>
        <v/>
      </c>
      <c r="C105" t="str">
        <f>IF(A105="","",IFERROR(AVERAGEIFS(nNOTA,nNIA,A105,nEVAL,CONFIG_METADATA!$B$4,nASIG,"Coro"),""))</f>
        <v/>
      </c>
      <c r="D105" t="str">
        <f>IF(A105="","",IFERROR(AVERAGEIFS(nNOTA,nNIA,A105,nEVAL,CONFIG_METADATA!$B$4,nASIG,"Conjunto"),""))</f>
        <v/>
      </c>
      <c r="E105" t="str" cm="1">
        <f t="array" ref="E105">IF(A105="","",IFERROR(AVERAGE(IF((nNIA=A105)*(nEVAL=CONFIG_METADATA!$B$4)*(nASIG&lt;&gt;"Lenguaje Musical")*(nASIG&lt;&gt;"Coro")*(nASIG&lt;&gt;"Conjunto"),nNOTA)),""))</f>
        <v/>
      </c>
      <c r="H105" t="str">
        <f>IF(G105="","",IFERROR(AVERAGEIFS(nNOTA,nNIA,G105,nEVAL,CONFIG_METADATA!$B$4,nASIG,"Lenguaje Musical"),""))</f>
        <v/>
      </c>
      <c r="I105" t="str">
        <f>IF(G105="","",IFERROR(AVERAGEIFS(nNOTA,nNIA,G105,nEVAL,CONFIG_METADATA!$B$4,nASIG,"Coro"),""))</f>
        <v/>
      </c>
      <c r="J105" t="str">
        <f>IF(G105="","",IFERROR(AVERAGEIFS(nNOTA,nNIA,G105,nEVAL,CONFIG_METADATA!$B$4,nASIG,"Conjunto"),""))</f>
        <v/>
      </c>
      <c r="K105" t="str" cm="1">
        <f t="array" ref="K105">IF(G105="","",IFERROR(AVERAGE(IF((nNIA=G105)*(nEVAL=CONFIG_METADATA!$B$4)*(nASIG&lt;&gt;"Lenguaje Musical")*(nASIG&lt;&gt;"Coro")*(nASIG&lt;&gt;"Conjunto"),nNOTA)),""))</f>
        <v/>
      </c>
      <c r="N105" t="str">
        <f>IF(M105="","",IFERROR(AVERAGEIFS(nNOTA,nNIA,M105,nEVAL,CONFIG_METADATA!$B$4,nASIG,"Lenguaje Musical"),""))</f>
        <v/>
      </c>
      <c r="O105" t="str">
        <f>IF(M105="","",IFERROR(AVERAGEIFS(nNOTA,nNIA,M105,nEVAL,CONFIG_METADATA!$B$4,nASIG,"Coro"),""))</f>
        <v/>
      </c>
      <c r="P105" t="str">
        <f>IF(M105="","",IFERROR(AVERAGEIFS(nNOTA,nNIA,M105,nEVAL,CONFIG_METADATA!$B$4,nASIG,"Conjunto"),""))</f>
        <v/>
      </c>
      <c r="Q105" t="str" cm="1">
        <f t="array" ref="Q105">IF(M105="","",IFERROR(AVERAGE(IF((nNIA=M105)*(nEVAL=CONFIG_METADATA!$B$4)*(nASIG&lt;&gt;"Lenguaje Musical")*(nASIG&lt;&gt;"Coro")*(nASIG&lt;&gt;"Conjunto"),nNOTA)),""))</f>
        <v/>
      </c>
      <c r="T105" t="str">
        <f>IF(S105="","",IFERROR(AVERAGEIFS(nNOTA,nNIA,S105,nEVAL,CONFIG_METADATA!$B$4,nASIG,"Lenguaje Musical"),""))</f>
        <v/>
      </c>
      <c r="U105" t="str">
        <f>IF(S105="","",IFERROR(AVERAGEIFS(nNOTA,nNIA,S105,nEVAL,CONFIG_METADATA!$B$4,nASIG,"Coro"),""))</f>
        <v/>
      </c>
      <c r="V105" t="str">
        <f>IF(S105="","",IFERROR(AVERAGEIFS(nNOTA,nNIA,S105,nEVAL,CONFIG_METADATA!$B$4,nASIG,"Conjunto"),""))</f>
        <v/>
      </c>
      <c r="W105" t="str" cm="1">
        <f t="array" ref="W105">IF(S105="","",IFERROR(AVERAGE(IF((nNIA=S105)*(nEVAL=CONFIG_METADATA!$B$4)*(nASIG&lt;&gt;"Lenguaje Musical")*(nASIG&lt;&gt;"Coro")*(nASIG&lt;&gt;"Conjunto"),nNOTA)),""))</f>
        <v/>
      </c>
    </row>
    <row r="106" spans="2:23" ht="15" customHeight="1" x14ac:dyDescent="0.2">
      <c r="B106" t="str">
        <f>IF(A106="","",IFERROR(AVERAGEIFS(nNOTA,nNIA,A106,nEVAL,CONFIG_METADATA!$B$4,nASIG,"Lenguaje Musical"),""))</f>
        <v/>
      </c>
      <c r="C106" t="str">
        <f>IF(A106="","",IFERROR(AVERAGEIFS(nNOTA,nNIA,A106,nEVAL,CONFIG_METADATA!$B$4,nASIG,"Coro"),""))</f>
        <v/>
      </c>
      <c r="D106" t="str">
        <f>IF(A106="","",IFERROR(AVERAGEIFS(nNOTA,nNIA,A106,nEVAL,CONFIG_METADATA!$B$4,nASIG,"Conjunto"),""))</f>
        <v/>
      </c>
      <c r="E106" t="str" cm="1">
        <f t="array" ref="E106">IF(A106="","",IFERROR(AVERAGE(IF((nNIA=A106)*(nEVAL=CONFIG_METADATA!$B$4)*(nASIG&lt;&gt;"Lenguaje Musical")*(nASIG&lt;&gt;"Coro")*(nASIG&lt;&gt;"Conjunto"),nNOTA)),""))</f>
        <v/>
      </c>
      <c r="H106" t="str">
        <f>IF(G106="","",IFERROR(AVERAGEIFS(nNOTA,nNIA,G106,nEVAL,CONFIG_METADATA!$B$4,nASIG,"Lenguaje Musical"),""))</f>
        <v/>
      </c>
      <c r="I106" t="str">
        <f>IF(G106="","",IFERROR(AVERAGEIFS(nNOTA,nNIA,G106,nEVAL,CONFIG_METADATA!$B$4,nASIG,"Coro"),""))</f>
        <v/>
      </c>
      <c r="J106" t="str">
        <f>IF(G106="","",IFERROR(AVERAGEIFS(nNOTA,nNIA,G106,nEVAL,CONFIG_METADATA!$B$4,nASIG,"Conjunto"),""))</f>
        <v/>
      </c>
      <c r="K106" t="str" cm="1">
        <f t="array" ref="K106">IF(G106="","",IFERROR(AVERAGE(IF((nNIA=G106)*(nEVAL=CONFIG_METADATA!$B$4)*(nASIG&lt;&gt;"Lenguaje Musical")*(nASIG&lt;&gt;"Coro")*(nASIG&lt;&gt;"Conjunto"),nNOTA)),""))</f>
        <v/>
      </c>
      <c r="N106" t="str">
        <f>IF(M106="","",IFERROR(AVERAGEIFS(nNOTA,nNIA,M106,nEVAL,CONFIG_METADATA!$B$4,nASIG,"Lenguaje Musical"),""))</f>
        <v/>
      </c>
      <c r="O106" t="str">
        <f>IF(M106="","",IFERROR(AVERAGEIFS(nNOTA,nNIA,M106,nEVAL,CONFIG_METADATA!$B$4,nASIG,"Coro"),""))</f>
        <v/>
      </c>
      <c r="P106" t="str">
        <f>IF(M106="","",IFERROR(AVERAGEIFS(nNOTA,nNIA,M106,nEVAL,CONFIG_METADATA!$B$4,nASIG,"Conjunto"),""))</f>
        <v/>
      </c>
      <c r="Q106" t="str" cm="1">
        <f t="array" ref="Q106">IF(M106="","",IFERROR(AVERAGE(IF((nNIA=M106)*(nEVAL=CONFIG_METADATA!$B$4)*(nASIG&lt;&gt;"Lenguaje Musical")*(nASIG&lt;&gt;"Coro")*(nASIG&lt;&gt;"Conjunto"),nNOTA)),""))</f>
        <v/>
      </c>
      <c r="T106" t="str">
        <f>IF(S106="","",IFERROR(AVERAGEIFS(nNOTA,nNIA,S106,nEVAL,CONFIG_METADATA!$B$4,nASIG,"Lenguaje Musical"),""))</f>
        <v/>
      </c>
      <c r="U106" t="str">
        <f>IF(S106="","",IFERROR(AVERAGEIFS(nNOTA,nNIA,S106,nEVAL,CONFIG_METADATA!$B$4,nASIG,"Coro"),""))</f>
        <v/>
      </c>
      <c r="V106" t="str">
        <f>IF(S106="","",IFERROR(AVERAGEIFS(nNOTA,nNIA,S106,nEVAL,CONFIG_METADATA!$B$4,nASIG,"Conjunto"),""))</f>
        <v/>
      </c>
      <c r="W106" t="str" cm="1">
        <f t="array" ref="W106">IF(S106="","",IFERROR(AVERAGE(IF((nNIA=S106)*(nEVAL=CONFIG_METADATA!$B$4)*(nASIG&lt;&gt;"Lenguaje Musical")*(nASIG&lt;&gt;"Coro")*(nASIG&lt;&gt;"Conjunto"),nNOTA)),""))</f>
        <v/>
      </c>
    </row>
    <row r="107" spans="2:23" x14ac:dyDescent="0.2">
      <c r="B107" t="str">
        <f>IF(A107="","",IFERROR(AVERAGEIFS(nNOTA,nNIA,A107,nEVAL,CONFIG_METADATA!$B$4,nASIG,"Lenguaje Musical"),""))</f>
        <v/>
      </c>
      <c r="C107" t="str">
        <f>IF(A107="","",IFERROR(AVERAGEIFS(nNOTA,nNIA,A107,nEVAL,CONFIG_METADATA!$B$4,nASIG,"Coro"),""))</f>
        <v/>
      </c>
      <c r="D107" t="str">
        <f>IF(A107="","",IFERROR(AVERAGEIFS(nNOTA,nNIA,A107,nEVAL,CONFIG_METADATA!$B$4,nASIG,"Conjunto"),""))</f>
        <v/>
      </c>
      <c r="E107" t="str" cm="1">
        <f t="array" ref="E107">IF(A107="","",IFERROR(AVERAGE(IF((nNIA=A107)*(nEVAL=CONFIG_METADATA!$B$4)*(nASIG&lt;&gt;"Lenguaje Musical")*(nASIG&lt;&gt;"Coro")*(nASIG&lt;&gt;"Conjunto"),nNOTA)),""))</f>
        <v/>
      </c>
      <c r="H107" t="str">
        <f>IF(G107="","",IFERROR(AVERAGEIFS(nNOTA,nNIA,G107,nEVAL,CONFIG_METADATA!$B$4,nASIG,"Lenguaje Musical"),""))</f>
        <v/>
      </c>
      <c r="I107" t="str">
        <f>IF(G107="","",IFERROR(AVERAGEIFS(nNOTA,nNIA,G107,nEVAL,CONFIG_METADATA!$B$4,nASIG,"Coro"),""))</f>
        <v/>
      </c>
      <c r="J107" t="str">
        <f>IF(G107="","",IFERROR(AVERAGEIFS(nNOTA,nNIA,G107,nEVAL,CONFIG_METADATA!$B$4,nASIG,"Conjunto"),""))</f>
        <v/>
      </c>
      <c r="K107" t="str" cm="1">
        <f t="array" ref="K107">IF(G107="","",IFERROR(AVERAGE(IF((nNIA=G107)*(nEVAL=CONFIG_METADATA!$B$4)*(nASIG&lt;&gt;"Lenguaje Musical")*(nASIG&lt;&gt;"Coro")*(nASIG&lt;&gt;"Conjunto"),nNOTA)),""))</f>
        <v/>
      </c>
      <c r="N107" t="str">
        <f>IF(M107="","",IFERROR(AVERAGEIFS(nNOTA,nNIA,M107,nEVAL,CONFIG_METADATA!$B$4,nASIG,"Lenguaje Musical"),""))</f>
        <v/>
      </c>
      <c r="O107" t="str">
        <f>IF(M107="","",IFERROR(AVERAGEIFS(nNOTA,nNIA,M107,nEVAL,CONFIG_METADATA!$B$4,nASIG,"Coro"),""))</f>
        <v/>
      </c>
      <c r="P107" t="str">
        <f>IF(M107="","",IFERROR(AVERAGEIFS(nNOTA,nNIA,M107,nEVAL,CONFIG_METADATA!$B$4,nASIG,"Conjunto"),""))</f>
        <v/>
      </c>
      <c r="Q107" t="str" cm="1">
        <f t="array" ref="Q107">IF(M107="","",IFERROR(AVERAGE(IF((nNIA=M107)*(nEVAL=CONFIG_METADATA!$B$4)*(nASIG&lt;&gt;"Lenguaje Musical")*(nASIG&lt;&gt;"Coro")*(nASIG&lt;&gt;"Conjunto"),nNOTA)),""))</f>
        <v/>
      </c>
      <c r="T107" t="str">
        <f>IF(S107="","",IFERROR(AVERAGEIFS(nNOTA,nNIA,S107,nEVAL,CONFIG_METADATA!$B$4,nASIG,"Lenguaje Musical"),""))</f>
        <v/>
      </c>
      <c r="U107" t="str">
        <f>IF(S107="","",IFERROR(AVERAGEIFS(nNOTA,nNIA,S107,nEVAL,CONFIG_METADATA!$B$4,nASIG,"Coro"),""))</f>
        <v/>
      </c>
      <c r="V107" t="str">
        <f>IF(S107="","",IFERROR(AVERAGEIFS(nNOTA,nNIA,S107,nEVAL,CONFIG_METADATA!$B$4,nASIG,"Conjunto"),""))</f>
        <v/>
      </c>
      <c r="W107" t="str" cm="1">
        <f t="array" ref="W107">IF(S107="","",IFERROR(AVERAGE(IF((nNIA=S107)*(nEVAL=CONFIG_METADATA!$B$4)*(nASIG&lt;&gt;"Lenguaje Musical")*(nASIG&lt;&gt;"Coro")*(nASIG&lt;&gt;"Conjunto"),nNOTA)),""))</f>
        <v/>
      </c>
    </row>
    <row r="108" spans="2:23" x14ac:dyDescent="0.2">
      <c r="B108" t="str">
        <f>IF(A108="","",IFERROR(AVERAGEIFS(nNOTA,nNIA,A108,nEVAL,CONFIG_METADATA!$B$4,nASIG,"Lenguaje Musical"),""))</f>
        <v/>
      </c>
      <c r="C108" t="str">
        <f>IF(A108="","",IFERROR(AVERAGEIFS(nNOTA,nNIA,A108,nEVAL,CONFIG_METADATA!$B$4,nASIG,"Coro"),""))</f>
        <v/>
      </c>
      <c r="D108" t="str">
        <f>IF(A108="","",IFERROR(AVERAGEIFS(nNOTA,nNIA,A108,nEVAL,CONFIG_METADATA!$B$4,nASIG,"Conjunto"),""))</f>
        <v/>
      </c>
      <c r="E108" t="str" cm="1">
        <f t="array" ref="E108">IF(A108="","",IFERROR(AVERAGE(IF((nNIA=A108)*(nEVAL=CONFIG_METADATA!$B$4)*(nASIG&lt;&gt;"Lenguaje Musical")*(nASIG&lt;&gt;"Coro")*(nASIG&lt;&gt;"Conjunto"),nNOTA)),""))</f>
        <v/>
      </c>
      <c r="H108" t="str">
        <f>IF(G108="","",IFERROR(AVERAGEIFS(nNOTA,nNIA,G108,nEVAL,CONFIG_METADATA!$B$4,nASIG,"Lenguaje Musical"),""))</f>
        <v/>
      </c>
      <c r="I108" t="str">
        <f>IF(G108="","",IFERROR(AVERAGEIFS(nNOTA,nNIA,G108,nEVAL,CONFIG_METADATA!$B$4,nASIG,"Coro"),""))</f>
        <v/>
      </c>
      <c r="J108" t="str">
        <f>IF(G108="","",IFERROR(AVERAGEIFS(nNOTA,nNIA,G108,nEVAL,CONFIG_METADATA!$B$4,nASIG,"Conjunto"),""))</f>
        <v/>
      </c>
      <c r="K108" t="str" cm="1">
        <f t="array" ref="K108">IF(G108="","",IFERROR(AVERAGE(IF((nNIA=G108)*(nEVAL=CONFIG_METADATA!$B$4)*(nASIG&lt;&gt;"Lenguaje Musical")*(nASIG&lt;&gt;"Coro")*(nASIG&lt;&gt;"Conjunto"),nNOTA)),""))</f>
        <v/>
      </c>
      <c r="N108" t="str">
        <f>IF(M108="","",IFERROR(AVERAGEIFS(nNOTA,nNIA,M108,nEVAL,CONFIG_METADATA!$B$4,nASIG,"Lenguaje Musical"),""))</f>
        <v/>
      </c>
      <c r="O108" t="str">
        <f>IF(M108="","",IFERROR(AVERAGEIFS(nNOTA,nNIA,M108,nEVAL,CONFIG_METADATA!$B$4,nASIG,"Coro"),""))</f>
        <v/>
      </c>
      <c r="P108" t="str">
        <f>IF(M108="","",IFERROR(AVERAGEIFS(nNOTA,nNIA,M108,nEVAL,CONFIG_METADATA!$B$4,nASIG,"Conjunto"),""))</f>
        <v/>
      </c>
      <c r="Q108" t="str" cm="1">
        <f t="array" ref="Q108">IF(M108="","",IFERROR(AVERAGE(IF((nNIA=M108)*(nEVAL=CONFIG_METADATA!$B$4)*(nASIG&lt;&gt;"Lenguaje Musical")*(nASIG&lt;&gt;"Coro")*(nASIG&lt;&gt;"Conjunto"),nNOTA)),""))</f>
        <v/>
      </c>
      <c r="T108" t="str">
        <f>IF(S108="","",IFERROR(AVERAGEIFS(nNOTA,nNIA,S108,nEVAL,CONFIG_METADATA!$B$4,nASIG,"Lenguaje Musical"),""))</f>
        <v/>
      </c>
      <c r="U108" t="str">
        <f>IF(S108="","",IFERROR(AVERAGEIFS(nNOTA,nNIA,S108,nEVAL,CONFIG_METADATA!$B$4,nASIG,"Coro"),""))</f>
        <v/>
      </c>
      <c r="V108" t="str">
        <f>IF(S108="","",IFERROR(AVERAGEIFS(nNOTA,nNIA,S108,nEVAL,CONFIG_METADATA!$B$4,nASIG,"Conjunto"),""))</f>
        <v/>
      </c>
      <c r="W108" t="str" cm="1">
        <f t="array" ref="W108">IF(S108="","",IFERROR(AVERAGE(IF((nNIA=S108)*(nEVAL=CONFIG_METADATA!$B$4)*(nASIG&lt;&gt;"Lenguaje Musical")*(nASIG&lt;&gt;"Coro")*(nASIG&lt;&gt;"Conjunto"),nNOTA)),""))</f>
        <v/>
      </c>
    </row>
    <row r="109" spans="2:23" x14ac:dyDescent="0.2">
      <c r="B109" t="str">
        <f>IF(A109="","",IFERROR(AVERAGEIFS(nNOTA,nNIA,A109,nEVAL,CONFIG_METADATA!$B$4,nASIG,"Lenguaje Musical"),""))</f>
        <v/>
      </c>
      <c r="C109" t="str">
        <f>IF(A109="","",IFERROR(AVERAGEIFS(nNOTA,nNIA,A109,nEVAL,CONFIG_METADATA!$B$4,nASIG,"Coro"),""))</f>
        <v/>
      </c>
      <c r="D109" t="str">
        <f>IF(A109="","",IFERROR(AVERAGEIFS(nNOTA,nNIA,A109,nEVAL,CONFIG_METADATA!$B$4,nASIG,"Conjunto"),""))</f>
        <v/>
      </c>
      <c r="E109" t="str" cm="1">
        <f t="array" ref="E109">IF(A109="","",IFERROR(AVERAGE(IF((nNIA=A109)*(nEVAL=CONFIG_METADATA!$B$4)*(nASIG&lt;&gt;"Lenguaje Musical")*(nASIG&lt;&gt;"Coro")*(nASIG&lt;&gt;"Conjunto"),nNOTA)),""))</f>
        <v/>
      </c>
      <c r="H109" t="str">
        <f>IF(G109="","",IFERROR(AVERAGEIFS(nNOTA,nNIA,G109,nEVAL,CONFIG_METADATA!$B$4,nASIG,"Lenguaje Musical"),""))</f>
        <v/>
      </c>
      <c r="I109" t="str">
        <f>IF(G109="","",IFERROR(AVERAGEIFS(nNOTA,nNIA,G109,nEVAL,CONFIG_METADATA!$B$4,nASIG,"Coro"),""))</f>
        <v/>
      </c>
      <c r="J109" t="str">
        <f>IF(G109="","",IFERROR(AVERAGEIFS(nNOTA,nNIA,G109,nEVAL,CONFIG_METADATA!$B$4,nASIG,"Conjunto"),""))</f>
        <v/>
      </c>
      <c r="K109" t="str" cm="1">
        <f t="array" ref="K109">IF(G109="","",IFERROR(AVERAGE(IF((nNIA=G109)*(nEVAL=CONFIG_METADATA!$B$4)*(nASIG&lt;&gt;"Lenguaje Musical")*(nASIG&lt;&gt;"Coro")*(nASIG&lt;&gt;"Conjunto"),nNOTA)),""))</f>
        <v/>
      </c>
      <c r="N109" t="str">
        <f>IF(M109="","",IFERROR(AVERAGEIFS(nNOTA,nNIA,M109,nEVAL,CONFIG_METADATA!$B$4,nASIG,"Lenguaje Musical"),""))</f>
        <v/>
      </c>
      <c r="O109" t="str">
        <f>IF(M109="","",IFERROR(AVERAGEIFS(nNOTA,nNIA,M109,nEVAL,CONFIG_METADATA!$B$4,nASIG,"Coro"),""))</f>
        <v/>
      </c>
      <c r="P109" t="str">
        <f>IF(M109="","",IFERROR(AVERAGEIFS(nNOTA,nNIA,M109,nEVAL,CONFIG_METADATA!$B$4,nASIG,"Conjunto"),""))</f>
        <v/>
      </c>
      <c r="Q109" t="str" cm="1">
        <f t="array" ref="Q109">IF(M109="","",IFERROR(AVERAGE(IF((nNIA=M109)*(nEVAL=CONFIG_METADATA!$B$4)*(nASIG&lt;&gt;"Lenguaje Musical")*(nASIG&lt;&gt;"Coro")*(nASIG&lt;&gt;"Conjunto"),nNOTA)),""))</f>
        <v/>
      </c>
      <c r="T109" t="str">
        <f>IF(S109="","",IFERROR(AVERAGEIFS(nNOTA,nNIA,S109,nEVAL,CONFIG_METADATA!$B$4,nASIG,"Lenguaje Musical"),""))</f>
        <v/>
      </c>
      <c r="U109" t="str">
        <f>IF(S109="","",IFERROR(AVERAGEIFS(nNOTA,nNIA,S109,nEVAL,CONFIG_METADATA!$B$4,nASIG,"Coro"),""))</f>
        <v/>
      </c>
      <c r="V109" t="str">
        <f>IF(S109="","",IFERROR(AVERAGEIFS(nNOTA,nNIA,S109,nEVAL,CONFIG_METADATA!$B$4,nASIG,"Conjunto"),""))</f>
        <v/>
      </c>
      <c r="W109" t="str" cm="1">
        <f t="array" ref="W109">IF(S109="","",IFERROR(AVERAGE(IF((nNIA=S109)*(nEVAL=CONFIG_METADATA!$B$4)*(nASIG&lt;&gt;"Lenguaje Musical")*(nASIG&lt;&gt;"Coro")*(nASIG&lt;&gt;"Conjunto"),nNOTA)),""))</f>
        <v/>
      </c>
    </row>
    <row r="110" spans="2:23" x14ac:dyDescent="0.2">
      <c r="B110" t="str">
        <f>IF(A110="","",IFERROR(AVERAGEIFS(nNOTA,nNIA,A110,nEVAL,CONFIG_METADATA!$B$4,nASIG,"Lenguaje Musical"),""))</f>
        <v/>
      </c>
      <c r="C110" t="str">
        <f>IF(A110="","",IFERROR(AVERAGEIFS(nNOTA,nNIA,A110,nEVAL,CONFIG_METADATA!$B$4,nASIG,"Coro"),""))</f>
        <v/>
      </c>
      <c r="D110" t="str">
        <f>IF(A110="","",IFERROR(AVERAGEIFS(nNOTA,nNIA,A110,nEVAL,CONFIG_METADATA!$B$4,nASIG,"Conjunto"),""))</f>
        <v/>
      </c>
      <c r="E110" t="str" cm="1">
        <f t="array" ref="E110">IF(A110="","",IFERROR(AVERAGE(IF((nNIA=A110)*(nEVAL=CONFIG_METADATA!$B$4)*(nASIG&lt;&gt;"Lenguaje Musical")*(nASIG&lt;&gt;"Coro")*(nASIG&lt;&gt;"Conjunto"),nNOTA)),""))</f>
        <v/>
      </c>
      <c r="H110" t="str">
        <f>IF(G110="","",IFERROR(AVERAGEIFS(nNOTA,nNIA,G110,nEVAL,CONFIG_METADATA!$B$4,nASIG,"Lenguaje Musical"),""))</f>
        <v/>
      </c>
      <c r="I110" t="str">
        <f>IF(G110="","",IFERROR(AVERAGEIFS(nNOTA,nNIA,G110,nEVAL,CONFIG_METADATA!$B$4,nASIG,"Coro"),""))</f>
        <v/>
      </c>
      <c r="J110" t="str">
        <f>IF(G110="","",IFERROR(AVERAGEIFS(nNOTA,nNIA,G110,nEVAL,CONFIG_METADATA!$B$4,nASIG,"Conjunto"),""))</f>
        <v/>
      </c>
      <c r="K110" t="str" cm="1">
        <f t="array" ref="K110">IF(G110="","",IFERROR(AVERAGE(IF((nNIA=G110)*(nEVAL=CONFIG_METADATA!$B$4)*(nASIG&lt;&gt;"Lenguaje Musical")*(nASIG&lt;&gt;"Coro")*(nASIG&lt;&gt;"Conjunto"),nNOTA)),""))</f>
        <v/>
      </c>
      <c r="N110" t="str">
        <f>IF(M110="","",IFERROR(AVERAGEIFS(nNOTA,nNIA,M110,nEVAL,CONFIG_METADATA!$B$4,nASIG,"Lenguaje Musical"),""))</f>
        <v/>
      </c>
      <c r="O110" t="str">
        <f>IF(M110="","",IFERROR(AVERAGEIFS(nNOTA,nNIA,M110,nEVAL,CONFIG_METADATA!$B$4,nASIG,"Coro"),""))</f>
        <v/>
      </c>
      <c r="P110" t="str">
        <f>IF(M110="","",IFERROR(AVERAGEIFS(nNOTA,nNIA,M110,nEVAL,CONFIG_METADATA!$B$4,nASIG,"Conjunto"),""))</f>
        <v/>
      </c>
      <c r="Q110" t="str" cm="1">
        <f t="array" ref="Q110">IF(M110="","",IFERROR(AVERAGE(IF((nNIA=M110)*(nEVAL=CONFIG_METADATA!$B$4)*(nASIG&lt;&gt;"Lenguaje Musical")*(nASIG&lt;&gt;"Coro")*(nASIG&lt;&gt;"Conjunto"),nNOTA)),""))</f>
        <v/>
      </c>
      <c r="T110" t="str">
        <f>IF(S110="","",IFERROR(AVERAGEIFS(nNOTA,nNIA,S110,nEVAL,CONFIG_METADATA!$B$4,nASIG,"Lenguaje Musical"),""))</f>
        <v/>
      </c>
      <c r="U110" t="str">
        <f>IF(S110="","",IFERROR(AVERAGEIFS(nNOTA,nNIA,S110,nEVAL,CONFIG_METADATA!$B$4,nASIG,"Coro"),""))</f>
        <v/>
      </c>
      <c r="V110" t="str">
        <f>IF(S110="","",IFERROR(AVERAGEIFS(nNOTA,nNIA,S110,nEVAL,CONFIG_METADATA!$B$4,nASIG,"Conjunto"),""))</f>
        <v/>
      </c>
      <c r="W110" t="str" cm="1">
        <f t="array" ref="W110">IF(S110="","",IFERROR(AVERAGE(IF((nNIA=S110)*(nEVAL=CONFIG_METADATA!$B$4)*(nASIG&lt;&gt;"Lenguaje Musical")*(nASIG&lt;&gt;"Coro")*(nASIG&lt;&gt;"Conjunto"),nNOTA)),""))</f>
        <v/>
      </c>
    </row>
    <row r="111" spans="2:23" x14ac:dyDescent="0.2">
      <c r="B111" t="str">
        <f>IF(A111="","",IFERROR(AVERAGEIFS(nNOTA,nNIA,A111,nEVAL,CONFIG_METADATA!$B$4,nASIG,"Lenguaje Musical"),""))</f>
        <v/>
      </c>
      <c r="C111" t="str">
        <f>IF(A111="","",IFERROR(AVERAGEIFS(nNOTA,nNIA,A111,nEVAL,CONFIG_METADATA!$B$4,nASIG,"Coro"),""))</f>
        <v/>
      </c>
      <c r="D111" t="str">
        <f>IF(A111="","",IFERROR(AVERAGEIFS(nNOTA,nNIA,A111,nEVAL,CONFIG_METADATA!$B$4,nASIG,"Conjunto"),""))</f>
        <v/>
      </c>
      <c r="E111" t="str" cm="1">
        <f t="array" ref="E111">IF(A111="","",IFERROR(AVERAGE(IF((nNIA=A111)*(nEVAL=CONFIG_METADATA!$B$4)*(nASIG&lt;&gt;"Lenguaje Musical")*(nASIG&lt;&gt;"Coro")*(nASIG&lt;&gt;"Conjunto"),nNOTA)),""))</f>
        <v/>
      </c>
      <c r="H111" t="str">
        <f>IF(G111="","",IFERROR(AVERAGEIFS(nNOTA,nNIA,G111,nEVAL,CONFIG_METADATA!$B$4,nASIG,"Lenguaje Musical"),""))</f>
        <v/>
      </c>
      <c r="I111" t="str">
        <f>IF(G111="","",IFERROR(AVERAGEIFS(nNOTA,nNIA,G111,nEVAL,CONFIG_METADATA!$B$4,nASIG,"Coro"),""))</f>
        <v/>
      </c>
      <c r="J111" t="str">
        <f>IF(G111="","",IFERROR(AVERAGEIFS(nNOTA,nNIA,G111,nEVAL,CONFIG_METADATA!$B$4,nASIG,"Conjunto"),""))</f>
        <v/>
      </c>
      <c r="K111" t="str" cm="1">
        <f t="array" ref="K111">IF(G111="","",IFERROR(AVERAGE(IF((nNIA=G111)*(nEVAL=CONFIG_METADATA!$B$4)*(nASIG&lt;&gt;"Lenguaje Musical")*(nASIG&lt;&gt;"Coro")*(nASIG&lt;&gt;"Conjunto"),nNOTA)),""))</f>
        <v/>
      </c>
      <c r="N111" t="str">
        <f>IF(M111="","",IFERROR(AVERAGEIFS(nNOTA,nNIA,M111,nEVAL,CONFIG_METADATA!$B$4,nASIG,"Lenguaje Musical"),""))</f>
        <v/>
      </c>
      <c r="O111" t="str">
        <f>IF(M111="","",IFERROR(AVERAGEIFS(nNOTA,nNIA,M111,nEVAL,CONFIG_METADATA!$B$4,nASIG,"Coro"),""))</f>
        <v/>
      </c>
      <c r="P111" t="str">
        <f>IF(M111="","",IFERROR(AVERAGEIFS(nNOTA,nNIA,M111,nEVAL,CONFIG_METADATA!$B$4,nASIG,"Conjunto"),""))</f>
        <v/>
      </c>
      <c r="Q111" t="str" cm="1">
        <f t="array" ref="Q111">IF(M111="","",IFERROR(AVERAGE(IF((nNIA=M111)*(nEVAL=CONFIG_METADATA!$B$4)*(nASIG&lt;&gt;"Lenguaje Musical")*(nASIG&lt;&gt;"Coro")*(nASIG&lt;&gt;"Conjunto"),nNOTA)),""))</f>
        <v/>
      </c>
      <c r="T111" t="str">
        <f>IF(S111="","",IFERROR(AVERAGEIFS(nNOTA,nNIA,S111,nEVAL,CONFIG_METADATA!$B$4,nASIG,"Lenguaje Musical"),""))</f>
        <v/>
      </c>
      <c r="U111" t="str">
        <f>IF(S111="","",IFERROR(AVERAGEIFS(nNOTA,nNIA,S111,nEVAL,CONFIG_METADATA!$B$4,nASIG,"Coro"),""))</f>
        <v/>
      </c>
      <c r="V111" t="str">
        <f>IF(S111="","",IFERROR(AVERAGEIFS(nNOTA,nNIA,S111,nEVAL,CONFIG_METADATA!$B$4,nASIG,"Conjunto"),""))</f>
        <v/>
      </c>
      <c r="W111" t="str" cm="1">
        <f t="array" ref="W111">IF(S111="","",IFERROR(AVERAGE(IF((nNIA=S111)*(nEVAL=CONFIG_METADATA!$B$4)*(nASIG&lt;&gt;"Lenguaje Musical")*(nASIG&lt;&gt;"Coro")*(nASIG&lt;&gt;"Conjunto"),nNOTA)),""))</f>
        <v/>
      </c>
    </row>
    <row r="112" spans="2:23" x14ac:dyDescent="0.2">
      <c r="B112" t="str">
        <f>IF(A112="","",IFERROR(AVERAGEIFS(nNOTA,nNIA,A112,nEVAL,CONFIG_METADATA!$B$4,nASIG,"Lenguaje Musical"),""))</f>
        <v/>
      </c>
      <c r="C112" t="str">
        <f>IF(A112="","",IFERROR(AVERAGEIFS(nNOTA,nNIA,A112,nEVAL,CONFIG_METADATA!$B$4,nASIG,"Coro"),""))</f>
        <v/>
      </c>
      <c r="D112" t="str">
        <f>IF(A112="","",IFERROR(AVERAGEIFS(nNOTA,nNIA,A112,nEVAL,CONFIG_METADATA!$B$4,nASIG,"Conjunto"),""))</f>
        <v/>
      </c>
      <c r="E112" t="str" cm="1">
        <f t="array" ref="E112">IF(A112="","",IFERROR(AVERAGE(IF((nNIA=A112)*(nEVAL=CONFIG_METADATA!$B$4)*(nASIG&lt;&gt;"Lenguaje Musical")*(nASIG&lt;&gt;"Coro")*(nASIG&lt;&gt;"Conjunto"),nNOTA)),""))</f>
        <v/>
      </c>
      <c r="H112" t="str">
        <f>IF(G112="","",IFERROR(AVERAGEIFS(nNOTA,nNIA,G112,nEVAL,CONFIG_METADATA!$B$4,nASIG,"Lenguaje Musical"),""))</f>
        <v/>
      </c>
      <c r="I112" t="str">
        <f>IF(G112="","",IFERROR(AVERAGEIFS(nNOTA,nNIA,G112,nEVAL,CONFIG_METADATA!$B$4,nASIG,"Coro"),""))</f>
        <v/>
      </c>
      <c r="J112" t="str">
        <f>IF(G112="","",IFERROR(AVERAGEIFS(nNOTA,nNIA,G112,nEVAL,CONFIG_METADATA!$B$4,nASIG,"Conjunto"),""))</f>
        <v/>
      </c>
      <c r="K112" t="str" cm="1">
        <f t="array" ref="K112">IF(G112="","",IFERROR(AVERAGE(IF((nNIA=G112)*(nEVAL=CONFIG_METADATA!$B$4)*(nASIG&lt;&gt;"Lenguaje Musical")*(nASIG&lt;&gt;"Coro")*(nASIG&lt;&gt;"Conjunto"),nNOTA)),""))</f>
        <v/>
      </c>
      <c r="N112" t="str">
        <f>IF(M112="","",IFERROR(AVERAGEIFS(nNOTA,nNIA,M112,nEVAL,CONFIG_METADATA!$B$4,nASIG,"Lenguaje Musical"),""))</f>
        <v/>
      </c>
      <c r="O112" t="str">
        <f>IF(M112="","",IFERROR(AVERAGEIFS(nNOTA,nNIA,M112,nEVAL,CONFIG_METADATA!$B$4,nASIG,"Coro"),""))</f>
        <v/>
      </c>
      <c r="P112" t="str">
        <f>IF(M112="","",IFERROR(AVERAGEIFS(nNOTA,nNIA,M112,nEVAL,CONFIG_METADATA!$B$4,nASIG,"Conjunto"),""))</f>
        <v/>
      </c>
      <c r="Q112" t="str" cm="1">
        <f t="array" ref="Q112">IF(M112="","",IFERROR(AVERAGE(IF((nNIA=M112)*(nEVAL=CONFIG_METADATA!$B$4)*(nASIG&lt;&gt;"Lenguaje Musical")*(nASIG&lt;&gt;"Coro")*(nASIG&lt;&gt;"Conjunto"),nNOTA)),""))</f>
        <v/>
      </c>
      <c r="T112" t="str">
        <f>IF(S112="","",IFERROR(AVERAGEIFS(nNOTA,nNIA,S112,nEVAL,CONFIG_METADATA!$B$4,nASIG,"Lenguaje Musical"),""))</f>
        <v/>
      </c>
      <c r="U112" t="str">
        <f>IF(S112="","",IFERROR(AVERAGEIFS(nNOTA,nNIA,S112,nEVAL,CONFIG_METADATA!$B$4,nASIG,"Coro"),""))</f>
        <v/>
      </c>
      <c r="V112" t="str">
        <f>IF(S112="","",IFERROR(AVERAGEIFS(nNOTA,nNIA,S112,nEVAL,CONFIG_METADATA!$B$4,nASIG,"Conjunto"),""))</f>
        <v/>
      </c>
      <c r="W112" t="str" cm="1">
        <f t="array" ref="W112">IF(S112="","",IFERROR(AVERAGE(IF((nNIA=S112)*(nEVAL=CONFIG_METADATA!$B$4)*(nASIG&lt;&gt;"Lenguaje Musical")*(nASIG&lt;&gt;"Coro")*(nASIG&lt;&gt;"Conjunto"),nNOTA)),""))</f>
        <v/>
      </c>
    </row>
    <row r="113" spans="2:23" x14ac:dyDescent="0.2">
      <c r="B113" t="str">
        <f>IF(A113="","",IFERROR(AVERAGEIFS(nNOTA,nNIA,A113,nEVAL,CONFIG_METADATA!$B$4,nASIG,"Lenguaje Musical"),""))</f>
        <v/>
      </c>
      <c r="C113" t="str">
        <f>IF(A113="","",IFERROR(AVERAGEIFS(nNOTA,nNIA,A113,nEVAL,CONFIG_METADATA!$B$4,nASIG,"Coro"),""))</f>
        <v/>
      </c>
      <c r="D113" t="str">
        <f>IF(A113="","",IFERROR(AVERAGEIFS(nNOTA,nNIA,A113,nEVAL,CONFIG_METADATA!$B$4,nASIG,"Conjunto"),""))</f>
        <v/>
      </c>
      <c r="E113" t="str" cm="1">
        <f t="array" ref="E113">IF(A113="","",IFERROR(AVERAGE(IF((nNIA=A113)*(nEVAL=CONFIG_METADATA!$B$4)*(nASIG&lt;&gt;"Lenguaje Musical")*(nASIG&lt;&gt;"Coro")*(nASIG&lt;&gt;"Conjunto"),nNOTA)),""))</f>
        <v/>
      </c>
      <c r="H113" t="str">
        <f>IF(G113="","",IFERROR(AVERAGEIFS(nNOTA,nNIA,G113,nEVAL,CONFIG_METADATA!$B$4,nASIG,"Lenguaje Musical"),""))</f>
        <v/>
      </c>
      <c r="I113" t="str">
        <f>IF(G113="","",IFERROR(AVERAGEIFS(nNOTA,nNIA,G113,nEVAL,CONFIG_METADATA!$B$4,nASIG,"Coro"),""))</f>
        <v/>
      </c>
      <c r="J113" t="str">
        <f>IF(G113="","",IFERROR(AVERAGEIFS(nNOTA,nNIA,G113,nEVAL,CONFIG_METADATA!$B$4,nASIG,"Conjunto"),""))</f>
        <v/>
      </c>
      <c r="K113" t="str" cm="1">
        <f t="array" ref="K113">IF(G113="","",IFERROR(AVERAGE(IF((nNIA=G113)*(nEVAL=CONFIG_METADATA!$B$4)*(nASIG&lt;&gt;"Lenguaje Musical")*(nASIG&lt;&gt;"Coro")*(nASIG&lt;&gt;"Conjunto"),nNOTA)),""))</f>
        <v/>
      </c>
      <c r="N113" t="str">
        <f>IF(M113="","",IFERROR(AVERAGEIFS(nNOTA,nNIA,M113,nEVAL,CONFIG_METADATA!$B$4,nASIG,"Lenguaje Musical"),""))</f>
        <v/>
      </c>
      <c r="O113" t="str">
        <f>IF(M113="","",IFERROR(AVERAGEIFS(nNOTA,nNIA,M113,nEVAL,CONFIG_METADATA!$B$4,nASIG,"Coro"),""))</f>
        <v/>
      </c>
      <c r="P113" t="str">
        <f>IF(M113="","",IFERROR(AVERAGEIFS(nNOTA,nNIA,M113,nEVAL,CONFIG_METADATA!$B$4,nASIG,"Conjunto"),""))</f>
        <v/>
      </c>
      <c r="Q113" t="str" cm="1">
        <f t="array" ref="Q113">IF(M113="","",IFERROR(AVERAGE(IF((nNIA=M113)*(nEVAL=CONFIG_METADATA!$B$4)*(nASIG&lt;&gt;"Lenguaje Musical")*(nASIG&lt;&gt;"Coro")*(nASIG&lt;&gt;"Conjunto"),nNOTA)),""))</f>
        <v/>
      </c>
      <c r="T113" t="str">
        <f>IF(S113="","",IFERROR(AVERAGEIFS(nNOTA,nNIA,S113,nEVAL,CONFIG_METADATA!$B$4,nASIG,"Lenguaje Musical"),""))</f>
        <v/>
      </c>
      <c r="U113" t="str">
        <f>IF(S113="","",IFERROR(AVERAGEIFS(nNOTA,nNIA,S113,nEVAL,CONFIG_METADATA!$B$4,nASIG,"Coro"),""))</f>
        <v/>
      </c>
      <c r="V113" t="str">
        <f>IF(S113="","",IFERROR(AVERAGEIFS(nNOTA,nNIA,S113,nEVAL,CONFIG_METADATA!$B$4,nASIG,"Conjunto"),""))</f>
        <v/>
      </c>
      <c r="W113" t="str" cm="1">
        <f t="array" ref="W113">IF(S113="","",IFERROR(AVERAGE(IF((nNIA=S113)*(nEVAL=CONFIG_METADATA!$B$4)*(nASIG&lt;&gt;"Lenguaje Musical")*(nASIG&lt;&gt;"Coro")*(nASIG&lt;&gt;"Conjunto"),nNOTA)),""))</f>
        <v/>
      </c>
    </row>
    <row r="114" spans="2:23" x14ac:dyDescent="0.2">
      <c r="B114" t="str">
        <f>IF(A114="","",IFERROR(AVERAGEIFS(nNOTA,nNIA,A114,nEVAL,CONFIG_METADATA!$B$4,nASIG,"Lenguaje Musical"),""))</f>
        <v/>
      </c>
      <c r="C114" t="str">
        <f>IF(A114="","",IFERROR(AVERAGEIFS(nNOTA,nNIA,A114,nEVAL,CONFIG_METADATA!$B$4,nASIG,"Coro"),""))</f>
        <v/>
      </c>
      <c r="D114" t="str">
        <f>IF(A114="","",IFERROR(AVERAGEIFS(nNOTA,nNIA,A114,nEVAL,CONFIG_METADATA!$B$4,nASIG,"Conjunto"),""))</f>
        <v/>
      </c>
      <c r="E114" t="str" cm="1">
        <f t="array" ref="E114">IF(A114="","",IFERROR(AVERAGE(IF((nNIA=A114)*(nEVAL=CONFIG_METADATA!$B$4)*(nASIG&lt;&gt;"Lenguaje Musical")*(nASIG&lt;&gt;"Coro")*(nASIG&lt;&gt;"Conjunto"),nNOTA)),""))</f>
        <v/>
      </c>
      <c r="H114" t="str">
        <f>IF(G114="","",IFERROR(AVERAGEIFS(nNOTA,nNIA,G114,nEVAL,CONFIG_METADATA!$B$4,nASIG,"Lenguaje Musical"),""))</f>
        <v/>
      </c>
      <c r="I114" t="str">
        <f>IF(G114="","",IFERROR(AVERAGEIFS(nNOTA,nNIA,G114,nEVAL,CONFIG_METADATA!$B$4,nASIG,"Coro"),""))</f>
        <v/>
      </c>
      <c r="J114" t="str">
        <f>IF(G114="","",IFERROR(AVERAGEIFS(nNOTA,nNIA,G114,nEVAL,CONFIG_METADATA!$B$4,nASIG,"Conjunto"),""))</f>
        <v/>
      </c>
      <c r="K114" t="str" cm="1">
        <f t="array" ref="K114">IF(G114="","",IFERROR(AVERAGE(IF((nNIA=G114)*(nEVAL=CONFIG_METADATA!$B$4)*(nASIG&lt;&gt;"Lenguaje Musical")*(nASIG&lt;&gt;"Coro")*(nASIG&lt;&gt;"Conjunto"),nNOTA)),""))</f>
        <v/>
      </c>
      <c r="N114" t="str">
        <f>IF(M114="","",IFERROR(AVERAGEIFS(nNOTA,nNIA,M114,nEVAL,CONFIG_METADATA!$B$4,nASIG,"Lenguaje Musical"),""))</f>
        <v/>
      </c>
      <c r="O114" t="str">
        <f>IF(M114="","",IFERROR(AVERAGEIFS(nNOTA,nNIA,M114,nEVAL,CONFIG_METADATA!$B$4,nASIG,"Coro"),""))</f>
        <v/>
      </c>
      <c r="P114" t="str">
        <f>IF(M114="","",IFERROR(AVERAGEIFS(nNOTA,nNIA,M114,nEVAL,CONFIG_METADATA!$B$4,nASIG,"Conjunto"),""))</f>
        <v/>
      </c>
      <c r="Q114" t="str" cm="1">
        <f t="array" ref="Q114">IF(M114="","",IFERROR(AVERAGE(IF((nNIA=M114)*(nEVAL=CONFIG_METADATA!$B$4)*(nASIG&lt;&gt;"Lenguaje Musical")*(nASIG&lt;&gt;"Coro")*(nASIG&lt;&gt;"Conjunto"),nNOTA)),""))</f>
        <v/>
      </c>
      <c r="T114" t="str">
        <f>IF(S114="","",IFERROR(AVERAGEIFS(nNOTA,nNIA,S114,nEVAL,CONFIG_METADATA!$B$4,nASIG,"Lenguaje Musical"),""))</f>
        <v/>
      </c>
      <c r="U114" t="str">
        <f>IF(S114="","",IFERROR(AVERAGEIFS(nNOTA,nNIA,S114,nEVAL,CONFIG_METADATA!$B$4,nASIG,"Coro"),""))</f>
        <v/>
      </c>
      <c r="V114" t="str">
        <f>IF(S114="","",IFERROR(AVERAGEIFS(nNOTA,nNIA,S114,nEVAL,CONFIG_METADATA!$B$4,nASIG,"Conjunto"),""))</f>
        <v/>
      </c>
      <c r="W114" t="str" cm="1">
        <f t="array" ref="W114">IF(S114="","",IFERROR(AVERAGE(IF((nNIA=S114)*(nEVAL=CONFIG_METADATA!$B$4)*(nASIG&lt;&gt;"Lenguaje Musical")*(nASIG&lt;&gt;"Coro")*(nASIG&lt;&gt;"Conjunto"),nNOTA)),""))</f>
        <v/>
      </c>
    </row>
    <row r="115" spans="2:23" x14ac:dyDescent="0.2">
      <c r="B115" t="str">
        <f>IF(A115="","",IFERROR(AVERAGEIFS(nNOTA,nNIA,A115,nEVAL,CONFIG_METADATA!$B$4,nASIG,"Lenguaje Musical"),""))</f>
        <v/>
      </c>
      <c r="C115" t="str">
        <f>IF(A115="","",IFERROR(AVERAGEIFS(nNOTA,nNIA,A115,nEVAL,CONFIG_METADATA!$B$4,nASIG,"Coro"),""))</f>
        <v/>
      </c>
      <c r="D115" t="str">
        <f>IF(A115="","",IFERROR(AVERAGEIFS(nNOTA,nNIA,A115,nEVAL,CONFIG_METADATA!$B$4,nASIG,"Conjunto"),""))</f>
        <v/>
      </c>
      <c r="E115" t="str" cm="1">
        <f t="array" ref="E115">IF(A115="","",IFERROR(AVERAGE(IF((nNIA=A115)*(nEVAL=CONFIG_METADATA!$B$4)*(nASIG&lt;&gt;"Lenguaje Musical")*(nASIG&lt;&gt;"Coro")*(nASIG&lt;&gt;"Conjunto"),nNOTA)),""))</f>
        <v/>
      </c>
      <c r="H115" t="str">
        <f>IF(G115="","",IFERROR(AVERAGEIFS(nNOTA,nNIA,G115,nEVAL,CONFIG_METADATA!$B$4,nASIG,"Lenguaje Musical"),""))</f>
        <v/>
      </c>
      <c r="I115" t="str">
        <f>IF(G115="","",IFERROR(AVERAGEIFS(nNOTA,nNIA,G115,nEVAL,CONFIG_METADATA!$B$4,nASIG,"Coro"),""))</f>
        <v/>
      </c>
      <c r="J115" t="str">
        <f>IF(G115="","",IFERROR(AVERAGEIFS(nNOTA,nNIA,G115,nEVAL,CONFIG_METADATA!$B$4,nASIG,"Conjunto"),""))</f>
        <v/>
      </c>
      <c r="K115" t="str" cm="1">
        <f t="array" ref="K115">IF(G115="","",IFERROR(AVERAGE(IF((nNIA=G115)*(nEVAL=CONFIG_METADATA!$B$4)*(nASIG&lt;&gt;"Lenguaje Musical")*(nASIG&lt;&gt;"Coro")*(nASIG&lt;&gt;"Conjunto"),nNOTA)),""))</f>
        <v/>
      </c>
      <c r="N115" t="str">
        <f>IF(M115="","",IFERROR(AVERAGEIFS(nNOTA,nNIA,M115,nEVAL,CONFIG_METADATA!$B$4,nASIG,"Lenguaje Musical"),""))</f>
        <v/>
      </c>
      <c r="O115" t="str">
        <f>IF(M115="","",IFERROR(AVERAGEIFS(nNOTA,nNIA,M115,nEVAL,CONFIG_METADATA!$B$4,nASIG,"Coro"),""))</f>
        <v/>
      </c>
      <c r="P115" t="str">
        <f>IF(M115="","",IFERROR(AVERAGEIFS(nNOTA,nNIA,M115,nEVAL,CONFIG_METADATA!$B$4,nASIG,"Conjunto"),""))</f>
        <v/>
      </c>
      <c r="Q115" t="str" cm="1">
        <f t="array" ref="Q115">IF(M115="","",IFERROR(AVERAGE(IF((nNIA=M115)*(nEVAL=CONFIG_METADATA!$B$4)*(nASIG&lt;&gt;"Lenguaje Musical")*(nASIG&lt;&gt;"Coro")*(nASIG&lt;&gt;"Conjunto"),nNOTA)),""))</f>
        <v/>
      </c>
      <c r="T115" t="str">
        <f>IF(S115="","",IFERROR(AVERAGEIFS(nNOTA,nNIA,S115,nEVAL,CONFIG_METADATA!$B$4,nASIG,"Lenguaje Musical"),""))</f>
        <v/>
      </c>
      <c r="U115" t="str">
        <f>IF(S115="","",IFERROR(AVERAGEIFS(nNOTA,nNIA,S115,nEVAL,CONFIG_METADATA!$B$4,nASIG,"Coro"),""))</f>
        <v/>
      </c>
      <c r="V115" t="str">
        <f>IF(S115="","",IFERROR(AVERAGEIFS(nNOTA,nNIA,S115,nEVAL,CONFIG_METADATA!$B$4,nASIG,"Conjunto"),""))</f>
        <v/>
      </c>
      <c r="W115" t="str" cm="1">
        <f t="array" ref="W115">IF(S115="","",IFERROR(AVERAGE(IF((nNIA=S115)*(nEVAL=CONFIG_METADATA!$B$4)*(nASIG&lt;&gt;"Lenguaje Musical")*(nASIG&lt;&gt;"Coro")*(nASIG&lt;&gt;"Conjunto"),nNOTA)),""))</f>
        <v/>
      </c>
    </row>
    <row r="116" spans="2:23" x14ac:dyDescent="0.2">
      <c r="B116" t="str">
        <f>IF(A116="","",IFERROR(AVERAGEIFS(nNOTA,nNIA,A116,nEVAL,CONFIG_METADATA!$B$4,nASIG,"Lenguaje Musical"),""))</f>
        <v/>
      </c>
      <c r="C116" t="str">
        <f>IF(A116="","",IFERROR(AVERAGEIFS(nNOTA,nNIA,A116,nEVAL,CONFIG_METADATA!$B$4,nASIG,"Coro"),""))</f>
        <v/>
      </c>
      <c r="D116" t="str">
        <f>IF(A116="","",IFERROR(AVERAGEIFS(nNOTA,nNIA,A116,nEVAL,CONFIG_METADATA!$B$4,nASIG,"Conjunto"),""))</f>
        <v/>
      </c>
      <c r="E116" t="str" cm="1">
        <f t="array" ref="E116">IF(A116="","",IFERROR(AVERAGE(IF((nNIA=A116)*(nEVAL=CONFIG_METADATA!$B$4)*(nASIG&lt;&gt;"Lenguaje Musical")*(nASIG&lt;&gt;"Coro")*(nASIG&lt;&gt;"Conjunto"),nNOTA)),""))</f>
        <v/>
      </c>
      <c r="H116" t="str">
        <f>IF(G116="","",IFERROR(AVERAGEIFS(nNOTA,nNIA,G116,nEVAL,CONFIG_METADATA!$B$4,nASIG,"Lenguaje Musical"),""))</f>
        <v/>
      </c>
      <c r="I116" t="str">
        <f>IF(G116="","",IFERROR(AVERAGEIFS(nNOTA,nNIA,G116,nEVAL,CONFIG_METADATA!$B$4,nASIG,"Coro"),""))</f>
        <v/>
      </c>
      <c r="J116" t="str">
        <f>IF(G116="","",IFERROR(AVERAGEIFS(nNOTA,nNIA,G116,nEVAL,CONFIG_METADATA!$B$4,nASIG,"Conjunto"),""))</f>
        <v/>
      </c>
      <c r="K116" t="str" cm="1">
        <f t="array" ref="K116">IF(G116="","",IFERROR(AVERAGE(IF((nNIA=G116)*(nEVAL=CONFIG_METADATA!$B$4)*(nASIG&lt;&gt;"Lenguaje Musical")*(nASIG&lt;&gt;"Coro")*(nASIG&lt;&gt;"Conjunto"),nNOTA)),""))</f>
        <v/>
      </c>
      <c r="N116" t="str">
        <f>IF(M116="","",IFERROR(AVERAGEIFS(nNOTA,nNIA,M116,nEVAL,CONFIG_METADATA!$B$4,nASIG,"Lenguaje Musical"),""))</f>
        <v/>
      </c>
      <c r="O116" t="str">
        <f>IF(M116="","",IFERROR(AVERAGEIFS(nNOTA,nNIA,M116,nEVAL,CONFIG_METADATA!$B$4,nASIG,"Coro"),""))</f>
        <v/>
      </c>
      <c r="P116" t="str">
        <f>IF(M116="","",IFERROR(AVERAGEIFS(nNOTA,nNIA,M116,nEVAL,CONFIG_METADATA!$B$4,nASIG,"Conjunto"),""))</f>
        <v/>
      </c>
      <c r="Q116" t="str" cm="1">
        <f t="array" ref="Q116">IF(M116="","",IFERROR(AVERAGE(IF((nNIA=M116)*(nEVAL=CONFIG_METADATA!$B$4)*(nASIG&lt;&gt;"Lenguaje Musical")*(nASIG&lt;&gt;"Coro")*(nASIG&lt;&gt;"Conjunto"),nNOTA)),""))</f>
        <v/>
      </c>
      <c r="T116" t="str">
        <f>IF(S116="","",IFERROR(AVERAGEIFS(nNOTA,nNIA,S116,nEVAL,CONFIG_METADATA!$B$4,nASIG,"Lenguaje Musical"),""))</f>
        <v/>
      </c>
      <c r="U116" t="str">
        <f>IF(S116="","",IFERROR(AVERAGEIFS(nNOTA,nNIA,S116,nEVAL,CONFIG_METADATA!$B$4,nASIG,"Coro"),""))</f>
        <v/>
      </c>
      <c r="V116" t="str">
        <f>IF(S116="","",IFERROR(AVERAGEIFS(nNOTA,nNIA,S116,nEVAL,CONFIG_METADATA!$B$4,nASIG,"Conjunto"),""))</f>
        <v/>
      </c>
      <c r="W116" t="str" cm="1">
        <f t="array" ref="W116">IF(S116="","",IFERROR(AVERAGE(IF((nNIA=S116)*(nEVAL=CONFIG_METADATA!$B$4)*(nASIG&lt;&gt;"Lenguaje Musical")*(nASIG&lt;&gt;"Coro")*(nASIG&lt;&gt;"Conjunto"),nNOTA)),""))</f>
        <v/>
      </c>
    </row>
    <row r="117" spans="2:23" x14ac:dyDescent="0.2">
      <c r="B117" t="str">
        <f>IF(A117="","",IFERROR(AVERAGEIFS(nNOTA,nNIA,A117,nEVAL,CONFIG_METADATA!$B$4,nASIG,"Lenguaje Musical"),""))</f>
        <v/>
      </c>
      <c r="C117" t="str">
        <f>IF(A117="","",IFERROR(AVERAGEIFS(nNOTA,nNIA,A117,nEVAL,CONFIG_METADATA!$B$4,nASIG,"Coro"),""))</f>
        <v/>
      </c>
      <c r="D117" t="str">
        <f>IF(A117="","",IFERROR(AVERAGEIFS(nNOTA,nNIA,A117,nEVAL,CONFIG_METADATA!$B$4,nASIG,"Conjunto"),""))</f>
        <v/>
      </c>
      <c r="E117" t="str" cm="1">
        <f t="array" ref="E117">IF(A117="","",IFERROR(AVERAGE(IF((nNIA=A117)*(nEVAL=CONFIG_METADATA!$B$4)*(nASIG&lt;&gt;"Lenguaje Musical")*(nASIG&lt;&gt;"Coro")*(nASIG&lt;&gt;"Conjunto"),nNOTA)),""))</f>
        <v/>
      </c>
      <c r="H117" t="str">
        <f>IF(G117="","",IFERROR(AVERAGEIFS(nNOTA,nNIA,G117,nEVAL,CONFIG_METADATA!$B$4,nASIG,"Lenguaje Musical"),""))</f>
        <v/>
      </c>
      <c r="I117" t="str">
        <f>IF(G117="","",IFERROR(AVERAGEIFS(nNOTA,nNIA,G117,nEVAL,CONFIG_METADATA!$B$4,nASIG,"Coro"),""))</f>
        <v/>
      </c>
      <c r="J117" t="str">
        <f>IF(G117="","",IFERROR(AVERAGEIFS(nNOTA,nNIA,G117,nEVAL,CONFIG_METADATA!$B$4,nASIG,"Conjunto"),""))</f>
        <v/>
      </c>
      <c r="K117" t="str" cm="1">
        <f t="array" ref="K117">IF(G117="","",IFERROR(AVERAGE(IF((nNIA=G117)*(nEVAL=CONFIG_METADATA!$B$4)*(nASIG&lt;&gt;"Lenguaje Musical")*(nASIG&lt;&gt;"Coro")*(nASIG&lt;&gt;"Conjunto"),nNOTA)),""))</f>
        <v/>
      </c>
      <c r="N117" t="str">
        <f>IF(M117="","",IFERROR(AVERAGEIFS(nNOTA,nNIA,M117,nEVAL,CONFIG_METADATA!$B$4,nASIG,"Lenguaje Musical"),""))</f>
        <v/>
      </c>
      <c r="O117" t="str">
        <f>IF(M117="","",IFERROR(AVERAGEIFS(nNOTA,nNIA,M117,nEVAL,CONFIG_METADATA!$B$4,nASIG,"Coro"),""))</f>
        <v/>
      </c>
      <c r="P117" t="str">
        <f>IF(M117="","",IFERROR(AVERAGEIFS(nNOTA,nNIA,M117,nEVAL,CONFIG_METADATA!$B$4,nASIG,"Conjunto"),""))</f>
        <v/>
      </c>
      <c r="Q117" t="str" cm="1">
        <f t="array" ref="Q117">IF(M117="","",IFERROR(AVERAGE(IF((nNIA=M117)*(nEVAL=CONFIG_METADATA!$B$4)*(nASIG&lt;&gt;"Lenguaje Musical")*(nASIG&lt;&gt;"Coro")*(nASIG&lt;&gt;"Conjunto"),nNOTA)),""))</f>
        <v/>
      </c>
      <c r="T117" t="str">
        <f>IF(S117="","",IFERROR(AVERAGEIFS(nNOTA,nNIA,S117,nEVAL,CONFIG_METADATA!$B$4,nASIG,"Lenguaje Musical"),""))</f>
        <v/>
      </c>
      <c r="U117" t="str">
        <f>IF(S117="","",IFERROR(AVERAGEIFS(nNOTA,nNIA,S117,nEVAL,CONFIG_METADATA!$B$4,nASIG,"Coro"),""))</f>
        <v/>
      </c>
      <c r="V117" t="str">
        <f>IF(S117="","",IFERROR(AVERAGEIFS(nNOTA,nNIA,S117,nEVAL,CONFIG_METADATA!$B$4,nASIG,"Conjunto"),""))</f>
        <v/>
      </c>
      <c r="W117" t="str" cm="1">
        <f t="array" ref="W117">IF(S117="","",IFERROR(AVERAGE(IF((nNIA=S117)*(nEVAL=CONFIG_METADATA!$B$4)*(nASIG&lt;&gt;"Lenguaje Musical")*(nASIG&lt;&gt;"Coro")*(nASIG&lt;&gt;"Conjunto"),nNOTA)),""))</f>
        <v/>
      </c>
    </row>
    <row r="118" spans="2:23" x14ac:dyDescent="0.2">
      <c r="B118" t="str">
        <f>IF(A118="","",IFERROR(AVERAGEIFS(nNOTA,nNIA,A118,nEVAL,CONFIG_METADATA!$B$4,nASIG,"Lenguaje Musical"),""))</f>
        <v/>
      </c>
      <c r="C118" t="str">
        <f>IF(A118="","",IFERROR(AVERAGEIFS(nNOTA,nNIA,A118,nEVAL,CONFIG_METADATA!$B$4,nASIG,"Coro"),""))</f>
        <v/>
      </c>
      <c r="D118" t="str">
        <f>IF(A118="","",IFERROR(AVERAGEIFS(nNOTA,nNIA,A118,nEVAL,CONFIG_METADATA!$B$4,nASIG,"Conjunto"),""))</f>
        <v/>
      </c>
      <c r="E118" t="str" cm="1">
        <f t="array" ref="E118">IF(A118="","",IFERROR(AVERAGE(IF((nNIA=A118)*(nEVAL=CONFIG_METADATA!$B$4)*(nASIG&lt;&gt;"Lenguaje Musical")*(nASIG&lt;&gt;"Coro")*(nASIG&lt;&gt;"Conjunto"),nNOTA)),""))</f>
        <v/>
      </c>
      <c r="H118" t="str">
        <f>IF(G118="","",IFERROR(AVERAGEIFS(nNOTA,nNIA,G118,nEVAL,CONFIG_METADATA!$B$4,nASIG,"Lenguaje Musical"),""))</f>
        <v/>
      </c>
      <c r="I118" t="str">
        <f>IF(G118="","",IFERROR(AVERAGEIFS(nNOTA,nNIA,G118,nEVAL,CONFIG_METADATA!$B$4,nASIG,"Coro"),""))</f>
        <v/>
      </c>
      <c r="J118" t="str">
        <f>IF(G118="","",IFERROR(AVERAGEIFS(nNOTA,nNIA,G118,nEVAL,CONFIG_METADATA!$B$4,nASIG,"Conjunto"),""))</f>
        <v/>
      </c>
      <c r="K118" t="str" cm="1">
        <f t="array" ref="K118">IF(G118="","",IFERROR(AVERAGE(IF((nNIA=G118)*(nEVAL=CONFIG_METADATA!$B$4)*(nASIG&lt;&gt;"Lenguaje Musical")*(nASIG&lt;&gt;"Coro")*(nASIG&lt;&gt;"Conjunto"),nNOTA)),""))</f>
        <v/>
      </c>
      <c r="N118" t="str">
        <f>IF(M118="","",IFERROR(AVERAGEIFS(nNOTA,nNIA,M118,nEVAL,CONFIG_METADATA!$B$4,nASIG,"Lenguaje Musical"),""))</f>
        <v/>
      </c>
      <c r="O118" t="str">
        <f>IF(M118="","",IFERROR(AVERAGEIFS(nNOTA,nNIA,M118,nEVAL,CONFIG_METADATA!$B$4,nASIG,"Coro"),""))</f>
        <v/>
      </c>
      <c r="P118" t="str">
        <f>IF(M118="","",IFERROR(AVERAGEIFS(nNOTA,nNIA,M118,nEVAL,CONFIG_METADATA!$B$4,nASIG,"Conjunto"),""))</f>
        <v/>
      </c>
      <c r="Q118" t="str" cm="1">
        <f t="array" ref="Q118">IF(M118="","",IFERROR(AVERAGE(IF((nNIA=M118)*(nEVAL=CONFIG_METADATA!$B$4)*(nASIG&lt;&gt;"Lenguaje Musical")*(nASIG&lt;&gt;"Coro")*(nASIG&lt;&gt;"Conjunto"),nNOTA)),""))</f>
        <v/>
      </c>
      <c r="T118" t="str">
        <f>IF(S118="","",IFERROR(AVERAGEIFS(nNOTA,nNIA,S118,nEVAL,CONFIG_METADATA!$B$4,nASIG,"Lenguaje Musical"),""))</f>
        <v/>
      </c>
      <c r="U118" t="str">
        <f>IF(S118="","",IFERROR(AVERAGEIFS(nNOTA,nNIA,S118,nEVAL,CONFIG_METADATA!$B$4,nASIG,"Coro"),""))</f>
        <v/>
      </c>
      <c r="V118" t="str">
        <f>IF(S118="","",IFERROR(AVERAGEIFS(nNOTA,nNIA,S118,nEVAL,CONFIG_METADATA!$B$4,nASIG,"Conjunto"),""))</f>
        <v/>
      </c>
      <c r="W118" t="str" cm="1">
        <f t="array" ref="W118">IF(S118="","",IFERROR(AVERAGE(IF((nNIA=S118)*(nEVAL=CONFIG_METADATA!$B$4)*(nASIG&lt;&gt;"Lenguaje Musical")*(nASIG&lt;&gt;"Coro")*(nASIG&lt;&gt;"Conjunto"),nNOTA)),""))</f>
        <v/>
      </c>
    </row>
    <row r="119" spans="2:23" x14ac:dyDescent="0.2">
      <c r="B119" t="str">
        <f>IF(A119="","",IFERROR(AVERAGEIFS(nNOTA,nNIA,A119,nEVAL,CONFIG_METADATA!$B$4,nASIG,"Lenguaje Musical"),""))</f>
        <v/>
      </c>
      <c r="C119" t="str">
        <f>IF(A119="","",IFERROR(AVERAGEIFS(nNOTA,nNIA,A119,nEVAL,CONFIG_METADATA!$B$4,nASIG,"Coro"),""))</f>
        <v/>
      </c>
      <c r="D119" t="str">
        <f>IF(A119="","",IFERROR(AVERAGEIFS(nNOTA,nNIA,A119,nEVAL,CONFIG_METADATA!$B$4,nASIG,"Conjunto"),""))</f>
        <v/>
      </c>
      <c r="E119" t="str" cm="1">
        <f t="array" ref="E119">IF(A119="","",IFERROR(AVERAGE(IF((nNIA=A119)*(nEVAL=CONFIG_METADATA!$B$4)*(nASIG&lt;&gt;"Lenguaje Musical")*(nASIG&lt;&gt;"Coro")*(nASIG&lt;&gt;"Conjunto"),nNOTA)),""))</f>
        <v/>
      </c>
      <c r="H119" t="str">
        <f>IF(G119="","",IFERROR(AVERAGEIFS(nNOTA,nNIA,G119,nEVAL,CONFIG_METADATA!$B$4,nASIG,"Lenguaje Musical"),""))</f>
        <v/>
      </c>
      <c r="I119" t="str">
        <f>IF(G119="","",IFERROR(AVERAGEIFS(nNOTA,nNIA,G119,nEVAL,CONFIG_METADATA!$B$4,nASIG,"Coro"),""))</f>
        <v/>
      </c>
      <c r="J119" t="str">
        <f>IF(G119="","",IFERROR(AVERAGEIFS(nNOTA,nNIA,G119,nEVAL,CONFIG_METADATA!$B$4,nASIG,"Conjunto"),""))</f>
        <v/>
      </c>
      <c r="K119" t="str" cm="1">
        <f t="array" ref="K119">IF(G119="","",IFERROR(AVERAGE(IF((nNIA=G119)*(nEVAL=CONFIG_METADATA!$B$4)*(nASIG&lt;&gt;"Lenguaje Musical")*(nASIG&lt;&gt;"Coro")*(nASIG&lt;&gt;"Conjunto"),nNOTA)),""))</f>
        <v/>
      </c>
      <c r="N119" t="str">
        <f>IF(M119="","",IFERROR(AVERAGEIFS(nNOTA,nNIA,M119,nEVAL,CONFIG_METADATA!$B$4,nASIG,"Lenguaje Musical"),""))</f>
        <v/>
      </c>
      <c r="O119" t="str">
        <f>IF(M119="","",IFERROR(AVERAGEIFS(nNOTA,nNIA,M119,nEVAL,CONFIG_METADATA!$B$4,nASIG,"Coro"),""))</f>
        <v/>
      </c>
      <c r="P119" t="str">
        <f>IF(M119="","",IFERROR(AVERAGEIFS(nNOTA,nNIA,M119,nEVAL,CONFIG_METADATA!$B$4,nASIG,"Conjunto"),""))</f>
        <v/>
      </c>
      <c r="Q119" t="str" cm="1">
        <f t="array" ref="Q119">IF(M119="","",IFERROR(AVERAGE(IF((nNIA=M119)*(nEVAL=CONFIG_METADATA!$B$4)*(nASIG&lt;&gt;"Lenguaje Musical")*(nASIG&lt;&gt;"Coro")*(nASIG&lt;&gt;"Conjunto"),nNOTA)),""))</f>
        <v/>
      </c>
      <c r="T119" t="str">
        <f>IF(S119="","",IFERROR(AVERAGEIFS(nNOTA,nNIA,S119,nEVAL,CONFIG_METADATA!$B$4,nASIG,"Lenguaje Musical"),""))</f>
        <v/>
      </c>
      <c r="U119" t="str">
        <f>IF(S119="","",IFERROR(AVERAGEIFS(nNOTA,nNIA,S119,nEVAL,CONFIG_METADATA!$B$4,nASIG,"Coro"),""))</f>
        <v/>
      </c>
      <c r="V119" t="str">
        <f>IF(S119="","",IFERROR(AVERAGEIFS(nNOTA,nNIA,S119,nEVAL,CONFIG_METADATA!$B$4,nASIG,"Conjunto"),""))</f>
        <v/>
      </c>
      <c r="W119" t="str" cm="1">
        <f t="array" ref="W119">IF(S119="","",IFERROR(AVERAGE(IF((nNIA=S119)*(nEVAL=CONFIG_METADATA!$B$4)*(nASIG&lt;&gt;"Lenguaje Musical")*(nASIG&lt;&gt;"Coro")*(nASIG&lt;&gt;"Conjunto"),nNOTA)),""))</f>
        <v/>
      </c>
    </row>
    <row r="120" spans="2:23" x14ac:dyDescent="0.2">
      <c r="B120" t="str">
        <f>IF(A120="","",IFERROR(AVERAGEIFS(nNOTA,nNIA,A120,nEVAL,CONFIG_METADATA!$B$4,nASIG,"Lenguaje Musical"),""))</f>
        <v/>
      </c>
      <c r="C120" t="str">
        <f>IF(A120="","",IFERROR(AVERAGEIFS(nNOTA,nNIA,A120,nEVAL,CONFIG_METADATA!$B$4,nASIG,"Coro"),""))</f>
        <v/>
      </c>
      <c r="D120" t="str">
        <f>IF(A120="","",IFERROR(AVERAGEIFS(nNOTA,nNIA,A120,nEVAL,CONFIG_METADATA!$B$4,nASIG,"Conjunto"),""))</f>
        <v/>
      </c>
      <c r="E120" t="str" cm="1">
        <f t="array" ref="E120">IF(A120="","",IFERROR(AVERAGE(IF((nNIA=A120)*(nEVAL=CONFIG_METADATA!$B$4)*(nASIG&lt;&gt;"Lenguaje Musical")*(nASIG&lt;&gt;"Coro")*(nASIG&lt;&gt;"Conjunto"),nNOTA)),""))</f>
        <v/>
      </c>
      <c r="H120" t="str">
        <f>IF(G120="","",IFERROR(AVERAGEIFS(nNOTA,nNIA,G120,nEVAL,CONFIG_METADATA!$B$4,nASIG,"Lenguaje Musical"),""))</f>
        <v/>
      </c>
      <c r="I120" t="str">
        <f>IF(G120="","",IFERROR(AVERAGEIFS(nNOTA,nNIA,G120,nEVAL,CONFIG_METADATA!$B$4,nASIG,"Coro"),""))</f>
        <v/>
      </c>
      <c r="J120" t="str">
        <f>IF(G120="","",IFERROR(AVERAGEIFS(nNOTA,nNIA,G120,nEVAL,CONFIG_METADATA!$B$4,nASIG,"Conjunto"),""))</f>
        <v/>
      </c>
      <c r="K120" t="str" cm="1">
        <f t="array" ref="K120">IF(G120="","",IFERROR(AVERAGE(IF((nNIA=G120)*(nEVAL=CONFIG_METADATA!$B$4)*(nASIG&lt;&gt;"Lenguaje Musical")*(nASIG&lt;&gt;"Coro")*(nASIG&lt;&gt;"Conjunto"),nNOTA)),""))</f>
        <v/>
      </c>
      <c r="N120" t="str">
        <f>IF(M120="","",IFERROR(AVERAGEIFS(nNOTA,nNIA,M120,nEVAL,CONFIG_METADATA!$B$4,nASIG,"Lenguaje Musical"),""))</f>
        <v/>
      </c>
      <c r="O120" t="str">
        <f>IF(M120="","",IFERROR(AVERAGEIFS(nNOTA,nNIA,M120,nEVAL,CONFIG_METADATA!$B$4,nASIG,"Coro"),""))</f>
        <v/>
      </c>
      <c r="P120" t="str">
        <f>IF(M120="","",IFERROR(AVERAGEIFS(nNOTA,nNIA,M120,nEVAL,CONFIG_METADATA!$B$4,nASIG,"Conjunto"),""))</f>
        <v/>
      </c>
      <c r="Q120" t="str" cm="1">
        <f t="array" ref="Q120">IF(M120="","",IFERROR(AVERAGE(IF((nNIA=M120)*(nEVAL=CONFIG_METADATA!$B$4)*(nASIG&lt;&gt;"Lenguaje Musical")*(nASIG&lt;&gt;"Coro")*(nASIG&lt;&gt;"Conjunto"),nNOTA)),""))</f>
        <v/>
      </c>
      <c r="T120" t="str">
        <f>IF(S120="","",IFERROR(AVERAGEIFS(nNOTA,nNIA,S120,nEVAL,CONFIG_METADATA!$B$4,nASIG,"Lenguaje Musical"),""))</f>
        <v/>
      </c>
      <c r="U120" t="str">
        <f>IF(S120="","",IFERROR(AVERAGEIFS(nNOTA,nNIA,S120,nEVAL,CONFIG_METADATA!$B$4,nASIG,"Coro"),""))</f>
        <v/>
      </c>
      <c r="V120" t="str">
        <f>IF(S120="","",IFERROR(AVERAGEIFS(nNOTA,nNIA,S120,nEVAL,CONFIG_METADATA!$B$4,nASIG,"Conjunto"),""))</f>
        <v/>
      </c>
      <c r="W120" t="str" cm="1">
        <f t="array" ref="W120">IF(S120="","",IFERROR(AVERAGE(IF((nNIA=S120)*(nEVAL=CONFIG_METADATA!$B$4)*(nASIG&lt;&gt;"Lenguaje Musical")*(nASIG&lt;&gt;"Coro")*(nASIG&lt;&gt;"Conjunto"),nNOTA)),""))</f>
        <v/>
      </c>
    </row>
    <row r="121" spans="2:23" x14ac:dyDescent="0.2">
      <c r="B121" t="str">
        <f>IF(A121="","",IFERROR(AVERAGEIFS(nNOTA,nNIA,A121,nEVAL,CONFIG_METADATA!$B$4,nASIG,"Lenguaje Musical"),""))</f>
        <v/>
      </c>
      <c r="C121" t="str">
        <f>IF(A121="","",IFERROR(AVERAGEIFS(nNOTA,nNIA,A121,nEVAL,CONFIG_METADATA!$B$4,nASIG,"Coro"),""))</f>
        <v/>
      </c>
      <c r="D121" t="str">
        <f>IF(A121="","",IFERROR(AVERAGEIFS(nNOTA,nNIA,A121,nEVAL,CONFIG_METADATA!$B$4,nASIG,"Conjunto"),""))</f>
        <v/>
      </c>
      <c r="E121" t="str" cm="1">
        <f t="array" ref="E121">IF(A121="","",IFERROR(AVERAGE(IF((nNIA=A121)*(nEVAL=CONFIG_METADATA!$B$4)*(nASIG&lt;&gt;"Lenguaje Musical")*(nASIG&lt;&gt;"Coro")*(nASIG&lt;&gt;"Conjunto"),nNOTA)),""))</f>
        <v/>
      </c>
      <c r="H121" t="str">
        <f>IF(G121="","",IFERROR(AVERAGEIFS(nNOTA,nNIA,G121,nEVAL,CONFIG_METADATA!$B$4,nASIG,"Lenguaje Musical"),""))</f>
        <v/>
      </c>
      <c r="I121" t="str">
        <f>IF(G121="","",IFERROR(AVERAGEIFS(nNOTA,nNIA,G121,nEVAL,CONFIG_METADATA!$B$4,nASIG,"Coro"),""))</f>
        <v/>
      </c>
      <c r="J121" t="str">
        <f>IF(G121="","",IFERROR(AVERAGEIFS(nNOTA,nNIA,G121,nEVAL,CONFIG_METADATA!$B$4,nASIG,"Conjunto"),""))</f>
        <v/>
      </c>
      <c r="K121" t="str" cm="1">
        <f t="array" ref="K121">IF(G121="","",IFERROR(AVERAGE(IF((nNIA=G121)*(nEVAL=CONFIG_METADATA!$B$4)*(nASIG&lt;&gt;"Lenguaje Musical")*(nASIG&lt;&gt;"Coro")*(nASIG&lt;&gt;"Conjunto"),nNOTA)),""))</f>
        <v/>
      </c>
      <c r="N121" t="str">
        <f>IF(M121="","",IFERROR(AVERAGEIFS(nNOTA,nNIA,M121,nEVAL,CONFIG_METADATA!$B$4,nASIG,"Lenguaje Musical"),""))</f>
        <v/>
      </c>
      <c r="O121" t="str">
        <f>IF(M121="","",IFERROR(AVERAGEIFS(nNOTA,nNIA,M121,nEVAL,CONFIG_METADATA!$B$4,nASIG,"Coro"),""))</f>
        <v/>
      </c>
      <c r="P121" t="str">
        <f>IF(M121="","",IFERROR(AVERAGEIFS(nNOTA,nNIA,M121,nEVAL,CONFIG_METADATA!$B$4,nASIG,"Conjunto"),""))</f>
        <v/>
      </c>
      <c r="Q121" t="str" cm="1">
        <f t="array" ref="Q121">IF(M121="","",IFERROR(AVERAGE(IF((nNIA=M121)*(nEVAL=CONFIG_METADATA!$B$4)*(nASIG&lt;&gt;"Lenguaje Musical")*(nASIG&lt;&gt;"Coro")*(nASIG&lt;&gt;"Conjunto"),nNOTA)),""))</f>
        <v/>
      </c>
      <c r="T121" t="str">
        <f>IF(S121="","",IFERROR(AVERAGEIFS(nNOTA,nNIA,S121,nEVAL,CONFIG_METADATA!$B$4,nASIG,"Lenguaje Musical"),""))</f>
        <v/>
      </c>
      <c r="U121" t="str">
        <f>IF(S121="","",IFERROR(AVERAGEIFS(nNOTA,nNIA,S121,nEVAL,CONFIG_METADATA!$B$4,nASIG,"Coro"),""))</f>
        <v/>
      </c>
      <c r="V121" t="str">
        <f>IF(S121="","",IFERROR(AVERAGEIFS(nNOTA,nNIA,S121,nEVAL,CONFIG_METADATA!$B$4,nASIG,"Conjunto"),""))</f>
        <v/>
      </c>
      <c r="W121" t="str" cm="1">
        <f t="array" ref="W121">IF(S121="","",IFERROR(AVERAGE(IF((nNIA=S121)*(nEVAL=CONFIG_METADATA!$B$4)*(nASIG&lt;&gt;"Lenguaje Musical")*(nASIG&lt;&gt;"Coro")*(nASIG&lt;&gt;"Conjunto"),nNOTA)),""))</f>
        <v/>
      </c>
    </row>
    <row r="122" spans="2:23" x14ac:dyDescent="0.2">
      <c r="B122" t="str">
        <f>IF(A122="","",IFERROR(AVERAGEIFS(nNOTA,nNIA,A122,nEVAL,CONFIG_METADATA!$B$4,nASIG,"Lenguaje Musical"),""))</f>
        <v/>
      </c>
      <c r="C122" t="str">
        <f>IF(A122="","",IFERROR(AVERAGEIFS(nNOTA,nNIA,A122,nEVAL,CONFIG_METADATA!$B$4,nASIG,"Coro"),""))</f>
        <v/>
      </c>
      <c r="D122" t="str">
        <f>IF(A122="","",IFERROR(AVERAGEIFS(nNOTA,nNIA,A122,nEVAL,CONFIG_METADATA!$B$4,nASIG,"Conjunto"),""))</f>
        <v/>
      </c>
      <c r="E122" t="str" cm="1">
        <f t="array" ref="E122">IF(A122="","",IFERROR(AVERAGE(IF((nNIA=A122)*(nEVAL=CONFIG_METADATA!$B$4)*(nASIG&lt;&gt;"Lenguaje Musical")*(nASIG&lt;&gt;"Coro")*(nASIG&lt;&gt;"Conjunto"),nNOTA)),""))</f>
        <v/>
      </c>
      <c r="H122" t="str">
        <f>IF(G122="","",IFERROR(AVERAGEIFS(nNOTA,nNIA,G122,nEVAL,CONFIG_METADATA!$B$4,nASIG,"Lenguaje Musical"),""))</f>
        <v/>
      </c>
      <c r="I122" t="str">
        <f>IF(G122="","",IFERROR(AVERAGEIFS(nNOTA,nNIA,G122,nEVAL,CONFIG_METADATA!$B$4,nASIG,"Coro"),""))</f>
        <v/>
      </c>
      <c r="J122" t="str">
        <f>IF(G122="","",IFERROR(AVERAGEIFS(nNOTA,nNIA,G122,nEVAL,CONFIG_METADATA!$B$4,nASIG,"Conjunto"),""))</f>
        <v/>
      </c>
      <c r="K122" t="str" cm="1">
        <f t="array" ref="K122">IF(G122="","",IFERROR(AVERAGE(IF((nNIA=G122)*(nEVAL=CONFIG_METADATA!$B$4)*(nASIG&lt;&gt;"Lenguaje Musical")*(nASIG&lt;&gt;"Coro")*(nASIG&lt;&gt;"Conjunto"),nNOTA)),""))</f>
        <v/>
      </c>
      <c r="N122" t="str">
        <f>IF(M122="","",IFERROR(AVERAGEIFS(nNOTA,nNIA,M122,nEVAL,CONFIG_METADATA!$B$4,nASIG,"Lenguaje Musical"),""))</f>
        <v/>
      </c>
      <c r="O122" t="str">
        <f>IF(M122="","",IFERROR(AVERAGEIFS(nNOTA,nNIA,M122,nEVAL,CONFIG_METADATA!$B$4,nASIG,"Coro"),""))</f>
        <v/>
      </c>
      <c r="P122" t="str">
        <f>IF(M122="","",IFERROR(AVERAGEIFS(nNOTA,nNIA,M122,nEVAL,CONFIG_METADATA!$B$4,nASIG,"Conjunto"),""))</f>
        <v/>
      </c>
      <c r="Q122" t="str" cm="1">
        <f t="array" ref="Q122">IF(M122="","",IFERROR(AVERAGE(IF((nNIA=M122)*(nEVAL=CONFIG_METADATA!$B$4)*(nASIG&lt;&gt;"Lenguaje Musical")*(nASIG&lt;&gt;"Coro")*(nASIG&lt;&gt;"Conjunto"),nNOTA)),""))</f>
        <v/>
      </c>
      <c r="T122" t="str">
        <f>IF(S122="","",IFERROR(AVERAGEIFS(nNOTA,nNIA,S122,nEVAL,CONFIG_METADATA!$B$4,nASIG,"Lenguaje Musical"),""))</f>
        <v/>
      </c>
      <c r="U122" t="str">
        <f>IF(S122="","",IFERROR(AVERAGEIFS(nNOTA,nNIA,S122,nEVAL,CONFIG_METADATA!$B$4,nASIG,"Coro"),""))</f>
        <v/>
      </c>
      <c r="V122" t="str">
        <f>IF(S122="","",IFERROR(AVERAGEIFS(nNOTA,nNIA,S122,nEVAL,CONFIG_METADATA!$B$4,nASIG,"Conjunto"),""))</f>
        <v/>
      </c>
      <c r="W122" t="str" cm="1">
        <f t="array" ref="W122">IF(S122="","",IFERROR(AVERAGE(IF((nNIA=S122)*(nEVAL=CONFIG_METADATA!$B$4)*(nASIG&lt;&gt;"Lenguaje Musical")*(nASIG&lt;&gt;"Coro")*(nASIG&lt;&gt;"Conjunto"),nNOTA)),""))</f>
        <v/>
      </c>
    </row>
    <row r="123" spans="2:23" x14ac:dyDescent="0.2">
      <c r="B123" t="str">
        <f>IF(A123="","",IFERROR(AVERAGEIFS(nNOTA,nNIA,A123,nEVAL,CONFIG_METADATA!$B$4,nASIG,"Lenguaje Musical"),""))</f>
        <v/>
      </c>
      <c r="C123" t="str">
        <f>IF(A123="","",IFERROR(AVERAGEIFS(nNOTA,nNIA,A123,nEVAL,CONFIG_METADATA!$B$4,nASIG,"Coro"),""))</f>
        <v/>
      </c>
      <c r="D123" t="str">
        <f>IF(A123="","",IFERROR(AVERAGEIFS(nNOTA,nNIA,A123,nEVAL,CONFIG_METADATA!$B$4,nASIG,"Conjunto"),""))</f>
        <v/>
      </c>
      <c r="E123" t="str" cm="1">
        <f t="array" ref="E123">IF(A123="","",IFERROR(AVERAGE(IF((nNIA=A123)*(nEVAL=CONFIG_METADATA!$B$4)*(nASIG&lt;&gt;"Lenguaje Musical")*(nASIG&lt;&gt;"Coro")*(nASIG&lt;&gt;"Conjunto"),nNOTA)),""))</f>
        <v/>
      </c>
      <c r="H123" t="str">
        <f>IF(G123="","",IFERROR(AVERAGEIFS(nNOTA,nNIA,G123,nEVAL,CONFIG_METADATA!$B$4,nASIG,"Lenguaje Musical"),""))</f>
        <v/>
      </c>
      <c r="I123" t="str">
        <f>IF(G123="","",IFERROR(AVERAGEIFS(nNOTA,nNIA,G123,nEVAL,CONFIG_METADATA!$B$4,nASIG,"Coro"),""))</f>
        <v/>
      </c>
      <c r="J123" t="str">
        <f>IF(G123="","",IFERROR(AVERAGEIFS(nNOTA,nNIA,G123,nEVAL,CONFIG_METADATA!$B$4,nASIG,"Conjunto"),""))</f>
        <v/>
      </c>
      <c r="K123" t="str" cm="1">
        <f t="array" ref="K123">IF(G123="","",IFERROR(AVERAGE(IF((nNIA=G123)*(nEVAL=CONFIG_METADATA!$B$4)*(nASIG&lt;&gt;"Lenguaje Musical")*(nASIG&lt;&gt;"Coro")*(nASIG&lt;&gt;"Conjunto"),nNOTA)),""))</f>
        <v/>
      </c>
      <c r="N123" t="str">
        <f>IF(M123="","",IFERROR(AVERAGEIFS(nNOTA,nNIA,M123,nEVAL,CONFIG_METADATA!$B$4,nASIG,"Lenguaje Musical"),""))</f>
        <v/>
      </c>
      <c r="O123" t="str">
        <f>IF(M123="","",IFERROR(AVERAGEIFS(nNOTA,nNIA,M123,nEVAL,CONFIG_METADATA!$B$4,nASIG,"Coro"),""))</f>
        <v/>
      </c>
      <c r="P123" t="str">
        <f>IF(M123="","",IFERROR(AVERAGEIFS(nNOTA,nNIA,M123,nEVAL,CONFIG_METADATA!$B$4,nASIG,"Conjunto"),""))</f>
        <v/>
      </c>
      <c r="Q123" t="str" cm="1">
        <f t="array" ref="Q123">IF(M123="","",IFERROR(AVERAGE(IF((nNIA=M123)*(nEVAL=CONFIG_METADATA!$B$4)*(nASIG&lt;&gt;"Lenguaje Musical")*(nASIG&lt;&gt;"Coro")*(nASIG&lt;&gt;"Conjunto"),nNOTA)),""))</f>
        <v/>
      </c>
      <c r="T123" t="str">
        <f>IF(S123="","",IFERROR(AVERAGEIFS(nNOTA,nNIA,S123,nEVAL,CONFIG_METADATA!$B$4,nASIG,"Lenguaje Musical"),""))</f>
        <v/>
      </c>
      <c r="U123" t="str">
        <f>IF(S123="","",IFERROR(AVERAGEIFS(nNOTA,nNIA,S123,nEVAL,CONFIG_METADATA!$B$4,nASIG,"Coro"),""))</f>
        <v/>
      </c>
      <c r="V123" t="str">
        <f>IF(S123="","",IFERROR(AVERAGEIFS(nNOTA,nNIA,S123,nEVAL,CONFIG_METADATA!$B$4,nASIG,"Conjunto"),""))</f>
        <v/>
      </c>
      <c r="W123" t="str" cm="1">
        <f t="array" ref="W123">IF(S123="","",IFERROR(AVERAGE(IF((nNIA=S123)*(nEVAL=CONFIG_METADATA!$B$4)*(nASIG&lt;&gt;"Lenguaje Musical")*(nASIG&lt;&gt;"Coro")*(nASIG&lt;&gt;"Conjunto"),nNOTA)),""))</f>
        <v/>
      </c>
    </row>
    <row r="124" spans="2:23" x14ac:dyDescent="0.2">
      <c r="B124" t="str">
        <f>IF(A124="","",IFERROR(AVERAGEIFS(nNOTA,nNIA,A124,nEVAL,CONFIG_METADATA!$B$4,nASIG,"Lenguaje Musical"),""))</f>
        <v/>
      </c>
      <c r="C124" t="str">
        <f>IF(A124="","",IFERROR(AVERAGEIFS(nNOTA,nNIA,A124,nEVAL,CONFIG_METADATA!$B$4,nASIG,"Coro"),""))</f>
        <v/>
      </c>
      <c r="D124" t="str">
        <f>IF(A124="","",IFERROR(AVERAGEIFS(nNOTA,nNIA,A124,nEVAL,CONFIG_METADATA!$B$4,nASIG,"Conjunto"),""))</f>
        <v/>
      </c>
      <c r="E124" t="str" cm="1">
        <f t="array" ref="E124">IF(A124="","",IFERROR(AVERAGE(IF((nNIA=A124)*(nEVAL=CONFIG_METADATA!$B$4)*(nASIG&lt;&gt;"Lenguaje Musical")*(nASIG&lt;&gt;"Coro")*(nASIG&lt;&gt;"Conjunto"),nNOTA)),""))</f>
        <v/>
      </c>
      <c r="H124" t="str">
        <f>IF(G124="","",IFERROR(AVERAGEIFS(nNOTA,nNIA,G124,nEVAL,CONFIG_METADATA!$B$4,nASIG,"Lenguaje Musical"),""))</f>
        <v/>
      </c>
      <c r="I124" t="str">
        <f>IF(G124="","",IFERROR(AVERAGEIFS(nNOTA,nNIA,G124,nEVAL,CONFIG_METADATA!$B$4,nASIG,"Coro"),""))</f>
        <v/>
      </c>
      <c r="J124" t="str">
        <f>IF(G124="","",IFERROR(AVERAGEIFS(nNOTA,nNIA,G124,nEVAL,CONFIG_METADATA!$B$4,nASIG,"Conjunto"),""))</f>
        <v/>
      </c>
      <c r="K124" t="str" cm="1">
        <f t="array" ref="K124">IF(G124="","",IFERROR(AVERAGE(IF((nNIA=G124)*(nEVAL=CONFIG_METADATA!$B$4)*(nASIG&lt;&gt;"Lenguaje Musical")*(nASIG&lt;&gt;"Coro")*(nASIG&lt;&gt;"Conjunto"),nNOTA)),""))</f>
        <v/>
      </c>
      <c r="N124" t="str">
        <f>IF(M124="","",IFERROR(AVERAGEIFS(nNOTA,nNIA,M124,nEVAL,CONFIG_METADATA!$B$4,nASIG,"Lenguaje Musical"),""))</f>
        <v/>
      </c>
      <c r="O124" t="str">
        <f>IF(M124="","",IFERROR(AVERAGEIFS(nNOTA,nNIA,M124,nEVAL,CONFIG_METADATA!$B$4,nASIG,"Coro"),""))</f>
        <v/>
      </c>
      <c r="P124" t="str">
        <f>IF(M124="","",IFERROR(AVERAGEIFS(nNOTA,nNIA,M124,nEVAL,CONFIG_METADATA!$B$4,nASIG,"Conjunto"),""))</f>
        <v/>
      </c>
      <c r="Q124" t="str" cm="1">
        <f t="array" ref="Q124">IF(M124="","",IFERROR(AVERAGE(IF((nNIA=M124)*(nEVAL=CONFIG_METADATA!$B$4)*(nASIG&lt;&gt;"Lenguaje Musical")*(nASIG&lt;&gt;"Coro")*(nASIG&lt;&gt;"Conjunto"),nNOTA)),""))</f>
        <v/>
      </c>
      <c r="T124" t="str">
        <f>IF(S124="","",IFERROR(AVERAGEIFS(nNOTA,nNIA,S124,nEVAL,CONFIG_METADATA!$B$4,nASIG,"Lenguaje Musical"),""))</f>
        <v/>
      </c>
      <c r="U124" t="str">
        <f>IF(S124="","",IFERROR(AVERAGEIFS(nNOTA,nNIA,S124,nEVAL,CONFIG_METADATA!$B$4,nASIG,"Coro"),""))</f>
        <v/>
      </c>
      <c r="V124" t="str">
        <f>IF(S124="","",IFERROR(AVERAGEIFS(nNOTA,nNIA,S124,nEVAL,CONFIG_METADATA!$B$4,nASIG,"Conjunto"),""))</f>
        <v/>
      </c>
      <c r="W124" t="str" cm="1">
        <f t="array" ref="W124">IF(S124="","",IFERROR(AVERAGE(IF((nNIA=S124)*(nEVAL=CONFIG_METADATA!$B$4)*(nASIG&lt;&gt;"Lenguaje Musical")*(nASIG&lt;&gt;"Coro")*(nASIG&lt;&gt;"Conjunto"),nNOTA)),""))</f>
        <v/>
      </c>
    </row>
    <row r="125" spans="2:23" x14ac:dyDescent="0.2">
      <c r="B125" t="str">
        <f>IF(A125="","",IFERROR(AVERAGEIFS(nNOTA,nNIA,A125,nEVAL,CONFIG_METADATA!$B$4,nASIG,"Lenguaje Musical"),""))</f>
        <v/>
      </c>
      <c r="C125" t="str">
        <f>IF(A125="","",IFERROR(AVERAGEIFS(nNOTA,nNIA,A125,nEVAL,CONFIG_METADATA!$B$4,nASIG,"Coro"),""))</f>
        <v/>
      </c>
      <c r="D125" t="str">
        <f>IF(A125="","",IFERROR(AVERAGEIFS(nNOTA,nNIA,A125,nEVAL,CONFIG_METADATA!$B$4,nASIG,"Conjunto"),""))</f>
        <v/>
      </c>
      <c r="E125" t="str" cm="1">
        <f t="array" ref="E125">IF(A125="","",IFERROR(AVERAGE(IF((nNIA=A125)*(nEVAL=CONFIG_METADATA!$B$4)*(nASIG&lt;&gt;"Lenguaje Musical")*(nASIG&lt;&gt;"Coro")*(nASIG&lt;&gt;"Conjunto"),nNOTA)),""))</f>
        <v/>
      </c>
      <c r="H125" t="str">
        <f>IF(G125="","",IFERROR(AVERAGEIFS(nNOTA,nNIA,G125,nEVAL,CONFIG_METADATA!$B$4,nASIG,"Lenguaje Musical"),""))</f>
        <v/>
      </c>
      <c r="I125" t="str">
        <f>IF(G125="","",IFERROR(AVERAGEIFS(nNOTA,nNIA,G125,nEVAL,CONFIG_METADATA!$B$4,nASIG,"Coro"),""))</f>
        <v/>
      </c>
      <c r="J125" t="str">
        <f>IF(G125="","",IFERROR(AVERAGEIFS(nNOTA,nNIA,G125,nEVAL,CONFIG_METADATA!$B$4,nASIG,"Conjunto"),""))</f>
        <v/>
      </c>
      <c r="K125" t="str" cm="1">
        <f t="array" ref="K125">IF(G125="","",IFERROR(AVERAGE(IF((nNIA=G125)*(nEVAL=CONFIG_METADATA!$B$4)*(nASIG&lt;&gt;"Lenguaje Musical")*(nASIG&lt;&gt;"Coro")*(nASIG&lt;&gt;"Conjunto"),nNOTA)),""))</f>
        <v/>
      </c>
      <c r="N125" t="str">
        <f>IF(M125="","",IFERROR(AVERAGEIFS(nNOTA,nNIA,M125,nEVAL,CONFIG_METADATA!$B$4,nASIG,"Lenguaje Musical"),""))</f>
        <v/>
      </c>
      <c r="O125" t="str">
        <f>IF(M125="","",IFERROR(AVERAGEIFS(nNOTA,nNIA,M125,nEVAL,CONFIG_METADATA!$B$4,nASIG,"Coro"),""))</f>
        <v/>
      </c>
      <c r="P125" t="str">
        <f>IF(M125="","",IFERROR(AVERAGEIFS(nNOTA,nNIA,M125,nEVAL,CONFIG_METADATA!$B$4,nASIG,"Conjunto"),""))</f>
        <v/>
      </c>
      <c r="Q125" t="str" cm="1">
        <f t="array" ref="Q125">IF(M125="","",IFERROR(AVERAGE(IF((nNIA=M125)*(nEVAL=CONFIG_METADATA!$B$4)*(nASIG&lt;&gt;"Lenguaje Musical")*(nASIG&lt;&gt;"Coro")*(nASIG&lt;&gt;"Conjunto"),nNOTA)),""))</f>
        <v/>
      </c>
      <c r="T125" t="str">
        <f>IF(S125="","",IFERROR(AVERAGEIFS(nNOTA,nNIA,S125,nEVAL,CONFIG_METADATA!$B$4,nASIG,"Lenguaje Musical"),""))</f>
        <v/>
      </c>
      <c r="U125" t="str">
        <f>IF(S125="","",IFERROR(AVERAGEIFS(nNOTA,nNIA,S125,nEVAL,CONFIG_METADATA!$B$4,nASIG,"Coro"),""))</f>
        <v/>
      </c>
      <c r="V125" t="str">
        <f>IF(S125="","",IFERROR(AVERAGEIFS(nNOTA,nNIA,S125,nEVAL,CONFIG_METADATA!$B$4,nASIG,"Conjunto"),""))</f>
        <v/>
      </c>
      <c r="W125" t="str" cm="1">
        <f t="array" ref="W125">IF(S125="","",IFERROR(AVERAGE(IF((nNIA=S125)*(nEVAL=CONFIG_METADATA!$B$4)*(nASIG&lt;&gt;"Lenguaje Musical")*(nASIG&lt;&gt;"Coro")*(nASIG&lt;&gt;"Conjunto"),nNOTA)),""))</f>
        <v/>
      </c>
    </row>
    <row r="126" spans="2:23" x14ac:dyDescent="0.2">
      <c r="B126" t="str">
        <f>IF(A126="","",IFERROR(AVERAGEIFS(nNOTA,nNIA,A126,nEVAL,CONFIG_METADATA!$B$4,nASIG,"Lenguaje Musical"),""))</f>
        <v/>
      </c>
      <c r="C126" t="str">
        <f>IF(A126="","",IFERROR(AVERAGEIFS(nNOTA,nNIA,A126,nEVAL,CONFIG_METADATA!$B$4,nASIG,"Coro"),""))</f>
        <v/>
      </c>
      <c r="D126" t="str">
        <f>IF(A126="","",IFERROR(AVERAGEIFS(nNOTA,nNIA,A126,nEVAL,CONFIG_METADATA!$B$4,nASIG,"Conjunto"),""))</f>
        <v/>
      </c>
      <c r="E126" t="str" cm="1">
        <f t="array" ref="E126">IF(A126="","",IFERROR(AVERAGE(IF((nNIA=A126)*(nEVAL=CONFIG_METADATA!$B$4)*(nASIG&lt;&gt;"Lenguaje Musical")*(nASIG&lt;&gt;"Coro")*(nASIG&lt;&gt;"Conjunto"),nNOTA)),""))</f>
        <v/>
      </c>
      <c r="H126" t="str">
        <f>IF(G126="","",IFERROR(AVERAGEIFS(nNOTA,nNIA,G126,nEVAL,CONFIG_METADATA!$B$4,nASIG,"Lenguaje Musical"),""))</f>
        <v/>
      </c>
      <c r="I126" t="str">
        <f>IF(G126="","",IFERROR(AVERAGEIFS(nNOTA,nNIA,G126,nEVAL,CONFIG_METADATA!$B$4,nASIG,"Coro"),""))</f>
        <v/>
      </c>
      <c r="J126" t="str">
        <f>IF(G126="","",IFERROR(AVERAGEIFS(nNOTA,nNIA,G126,nEVAL,CONFIG_METADATA!$B$4,nASIG,"Conjunto"),""))</f>
        <v/>
      </c>
      <c r="K126" t="str" cm="1">
        <f t="array" ref="K126">IF(G126="","",IFERROR(AVERAGE(IF((nNIA=G126)*(nEVAL=CONFIG_METADATA!$B$4)*(nASIG&lt;&gt;"Lenguaje Musical")*(nASIG&lt;&gt;"Coro")*(nASIG&lt;&gt;"Conjunto"),nNOTA)),""))</f>
        <v/>
      </c>
      <c r="N126" t="str">
        <f>IF(M126="","",IFERROR(AVERAGEIFS(nNOTA,nNIA,M126,nEVAL,CONFIG_METADATA!$B$4,nASIG,"Lenguaje Musical"),""))</f>
        <v/>
      </c>
      <c r="O126" t="str">
        <f>IF(M126="","",IFERROR(AVERAGEIFS(nNOTA,nNIA,M126,nEVAL,CONFIG_METADATA!$B$4,nASIG,"Coro"),""))</f>
        <v/>
      </c>
      <c r="P126" t="str">
        <f>IF(M126="","",IFERROR(AVERAGEIFS(nNOTA,nNIA,M126,nEVAL,CONFIG_METADATA!$B$4,nASIG,"Conjunto"),""))</f>
        <v/>
      </c>
      <c r="Q126" t="str" cm="1">
        <f t="array" ref="Q126">IF(M126="","",IFERROR(AVERAGE(IF((nNIA=M126)*(nEVAL=CONFIG_METADATA!$B$4)*(nASIG&lt;&gt;"Lenguaje Musical")*(nASIG&lt;&gt;"Coro")*(nASIG&lt;&gt;"Conjunto"),nNOTA)),""))</f>
        <v/>
      </c>
      <c r="T126" t="str">
        <f>IF(S126="","",IFERROR(AVERAGEIFS(nNOTA,nNIA,S126,nEVAL,CONFIG_METADATA!$B$4,nASIG,"Lenguaje Musical"),""))</f>
        <v/>
      </c>
      <c r="U126" t="str">
        <f>IF(S126="","",IFERROR(AVERAGEIFS(nNOTA,nNIA,S126,nEVAL,CONFIG_METADATA!$B$4,nASIG,"Coro"),""))</f>
        <v/>
      </c>
      <c r="V126" t="str">
        <f>IF(S126="","",IFERROR(AVERAGEIFS(nNOTA,nNIA,S126,nEVAL,CONFIG_METADATA!$B$4,nASIG,"Conjunto"),""))</f>
        <v/>
      </c>
      <c r="W126" t="str" cm="1">
        <f t="array" ref="W126">IF(S126="","",IFERROR(AVERAGE(IF((nNIA=S126)*(nEVAL=CONFIG_METADATA!$B$4)*(nASIG&lt;&gt;"Lenguaje Musical")*(nASIG&lt;&gt;"Coro")*(nASIG&lt;&gt;"Conjunto"),nNOTA)),""))</f>
        <v/>
      </c>
    </row>
    <row r="127" spans="2:23" x14ac:dyDescent="0.2">
      <c r="B127" t="str">
        <f>IF(A127="","",IFERROR(AVERAGEIFS(nNOTA,nNIA,A127,nEVAL,CONFIG_METADATA!$B$4,nASIG,"Lenguaje Musical"),""))</f>
        <v/>
      </c>
      <c r="C127" t="str">
        <f>IF(A127="","",IFERROR(AVERAGEIFS(nNOTA,nNIA,A127,nEVAL,CONFIG_METADATA!$B$4,nASIG,"Coro"),""))</f>
        <v/>
      </c>
      <c r="D127" t="str">
        <f>IF(A127="","",IFERROR(AVERAGEIFS(nNOTA,nNIA,A127,nEVAL,CONFIG_METADATA!$B$4,nASIG,"Conjunto"),""))</f>
        <v/>
      </c>
      <c r="E127" t="str" cm="1">
        <f t="array" ref="E127">IF(A127="","",IFERROR(AVERAGE(IF((nNIA=A127)*(nEVAL=CONFIG_METADATA!$B$4)*(nASIG&lt;&gt;"Lenguaje Musical")*(nASIG&lt;&gt;"Coro")*(nASIG&lt;&gt;"Conjunto"),nNOTA)),""))</f>
        <v/>
      </c>
      <c r="H127" t="str">
        <f>IF(G127="","",IFERROR(AVERAGEIFS(nNOTA,nNIA,G127,nEVAL,CONFIG_METADATA!$B$4,nASIG,"Lenguaje Musical"),""))</f>
        <v/>
      </c>
      <c r="I127" t="str">
        <f>IF(G127="","",IFERROR(AVERAGEIFS(nNOTA,nNIA,G127,nEVAL,CONFIG_METADATA!$B$4,nASIG,"Coro"),""))</f>
        <v/>
      </c>
      <c r="J127" t="str">
        <f>IF(G127="","",IFERROR(AVERAGEIFS(nNOTA,nNIA,G127,nEVAL,CONFIG_METADATA!$B$4,nASIG,"Conjunto"),""))</f>
        <v/>
      </c>
      <c r="K127" t="str" cm="1">
        <f t="array" ref="K127">IF(G127="","",IFERROR(AVERAGE(IF((nNIA=G127)*(nEVAL=CONFIG_METADATA!$B$4)*(nASIG&lt;&gt;"Lenguaje Musical")*(nASIG&lt;&gt;"Coro")*(nASIG&lt;&gt;"Conjunto"),nNOTA)),""))</f>
        <v/>
      </c>
      <c r="N127" t="str">
        <f>IF(M127="","",IFERROR(AVERAGEIFS(nNOTA,nNIA,M127,nEVAL,CONFIG_METADATA!$B$4,nASIG,"Lenguaje Musical"),""))</f>
        <v/>
      </c>
      <c r="O127" t="str">
        <f>IF(M127="","",IFERROR(AVERAGEIFS(nNOTA,nNIA,M127,nEVAL,CONFIG_METADATA!$B$4,nASIG,"Coro"),""))</f>
        <v/>
      </c>
      <c r="P127" t="str">
        <f>IF(M127="","",IFERROR(AVERAGEIFS(nNOTA,nNIA,M127,nEVAL,CONFIG_METADATA!$B$4,nASIG,"Conjunto"),""))</f>
        <v/>
      </c>
      <c r="Q127" t="str" cm="1">
        <f t="array" ref="Q127">IF(M127="","",IFERROR(AVERAGE(IF((nNIA=M127)*(nEVAL=CONFIG_METADATA!$B$4)*(nASIG&lt;&gt;"Lenguaje Musical")*(nASIG&lt;&gt;"Coro")*(nASIG&lt;&gt;"Conjunto"),nNOTA)),""))</f>
        <v/>
      </c>
      <c r="T127" t="str">
        <f>IF(S127="","",IFERROR(AVERAGEIFS(nNOTA,nNIA,S127,nEVAL,CONFIG_METADATA!$B$4,nASIG,"Lenguaje Musical"),""))</f>
        <v/>
      </c>
      <c r="U127" t="str">
        <f>IF(S127="","",IFERROR(AVERAGEIFS(nNOTA,nNIA,S127,nEVAL,CONFIG_METADATA!$B$4,nASIG,"Coro"),""))</f>
        <v/>
      </c>
      <c r="V127" t="str">
        <f>IF(S127="","",IFERROR(AVERAGEIFS(nNOTA,nNIA,S127,nEVAL,CONFIG_METADATA!$B$4,nASIG,"Conjunto"),""))</f>
        <v/>
      </c>
      <c r="W127" t="str" cm="1">
        <f t="array" ref="W127">IF(S127="","",IFERROR(AVERAGE(IF((nNIA=S127)*(nEVAL=CONFIG_METADATA!$B$4)*(nASIG&lt;&gt;"Lenguaje Musical")*(nASIG&lt;&gt;"Coro")*(nASIG&lt;&gt;"Conjunto"),nNOTA)),""))</f>
        <v/>
      </c>
    </row>
    <row r="128" spans="2:23" x14ac:dyDescent="0.2">
      <c r="B128" t="str">
        <f>IF(A128="","",IFERROR(AVERAGEIFS(nNOTA,nNIA,A128,nEVAL,CONFIG_METADATA!$B$4,nASIG,"Lenguaje Musical"),""))</f>
        <v/>
      </c>
      <c r="C128" t="str">
        <f>IF(A128="","",IFERROR(AVERAGEIFS(nNOTA,nNIA,A128,nEVAL,CONFIG_METADATA!$B$4,nASIG,"Coro"),""))</f>
        <v/>
      </c>
      <c r="D128" t="str">
        <f>IF(A128="","",IFERROR(AVERAGEIFS(nNOTA,nNIA,A128,nEVAL,CONFIG_METADATA!$B$4,nASIG,"Conjunto"),""))</f>
        <v/>
      </c>
      <c r="E128" t="str" cm="1">
        <f t="array" ref="E128">IF(A128="","",IFERROR(AVERAGE(IF((nNIA=A128)*(nEVAL=CONFIG_METADATA!$B$4)*(nASIG&lt;&gt;"Lenguaje Musical")*(nASIG&lt;&gt;"Coro")*(nASIG&lt;&gt;"Conjunto"),nNOTA)),""))</f>
        <v/>
      </c>
      <c r="H128" t="str">
        <f>IF(G128="","",IFERROR(AVERAGEIFS(nNOTA,nNIA,G128,nEVAL,CONFIG_METADATA!$B$4,nASIG,"Lenguaje Musical"),""))</f>
        <v/>
      </c>
      <c r="I128" t="str">
        <f>IF(G128="","",IFERROR(AVERAGEIFS(nNOTA,nNIA,G128,nEVAL,CONFIG_METADATA!$B$4,nASIG,"Coro"),""))</f>
        <v/>
      </c>
      <c r="J128" t="str">
        <f>IF(G128="","",IFERROR(AVERAGEIFS(nNOTA,nNIA,G128,nEVAL,CONFIG_METADATA!$B$4,nASIG,"Conjunto"),""))</f>
        <v/>
      </c>
      <c r="K128" t="str" cm="1">
        <f t="array" ref="K128">IF(G128="","",IFERROR(AVERAGE(IF((nNIA=G128)*(nEVAL=CONFIG_METADATA!$B$4)*(nASIG&lt;&gt;"Lenguaje Musical")*(nASIG&lt;&gt;"Coro")*(nASIG&lt;&gt;"Conjunto"),nNOTA)),""))</f>
        <v/>
      </c>
      <c r="N128" t="str">
        <f>IF(M128="","",IFERROR(AVERAGEIFS(nNOTA,nNIA,M128,nEVAL,CONFIG_METADATA!$B$4,nASIG,"Lenguaje Musical"),""))</f>
        <v/>
      </c>
      <c r="O128" t="str">
        <f>IF(M128="","",IFERROR(AVERAGEIFS(nNOTA,nNIA,M128,nEVAL,CONFIG_METADATA!$B$4,nASIG,"Coro"),""))</f>
        <v/>
      </c>
      <c r="P128" t="str">
        <f>IF(M128="","",IFERROR(AVERAGEIFS(nNOTA,nNIA,M128,nEVAL,CONFIG_METADATA!$B$4,nASIG,"Conjunto"),""))</f>
        <v/>
      </c>
      <c r="Q128" t="str" cm="1">
        <f t="array" ref="Q128">IF(M128="","",IFERROR(AVERAGE(IF((nNIA=M128)*(nEVAL=CONFIG_METADATA!$B$4)*(nASIG&lt;&gt;"Lenguaje Musical")*(nASIG&lt;&gt;"Coro")*(nASIG&lt;&gt;"Conjunto"),nNOTA)),""))</f>
        <v/>
      </c>
      <c r="T128" t="str">
        <f>IF(S128="","",IFERROR(AVERAGEIFS(nNOTA,nNIA,S128,nEVAL,CONFIG_METADATA!$B$4,nASIG,"Lenguaje Musical"),""))</f>
        <v/>
      </c>
      <c r="U128" t="str">
        <f>IF(S128="","",IFERROR(AVERAGEIFS(nNOTA,nNIA,S128,nEVAL,CONFIG_METADATA!$B$4,nASIG,"Coro"),""))</f>
        <v/>
      </c>
      <c r="V128" t="str">
        <f>IF(S128="","",IFERROR(AVERAGEIFS(nNOTA,nNIA,S128,nEVAL,CONFIG_METADATA!$B$4,nASIG,"Conjunto"),""))</f>
        <v/>
      </c>
      <c r="W128" t="str" cm="1">
        <f t="array" ref="W128">IF(S128="","",IFERROR(AVERAGE(IF((nNIA=S128)*(nEVAL=CONFIG_METADATA!$B$4)*(nASIG&lt;&gt;"Lenguaje Musical")*(nASIG&lt;&gt;"Coro")*(nASIG&lt;&gt;"Conjunto"),nNOTA)),""))</f>
        <v/>
      </c>
    </row>
    <row r="129" spans="2:23" x14ac:dyDescent="0.2">
      <c r="B129" t="str">
        <f>IF(A129="","",IFERROR(AVERAGEIFS(nNOTA,nNIA,A129,nEVAL,CONFIG_METADATA!$B$4,nASIG,"Lenguaje Musical"),""))</f>
        <v/>
      </c>
      <c r="C129" t="str">
        <f>IF(A129="","",IFERROR(AVERAGEIFS(nNOTA,nNIA,A129,nEVAL,CONFIG_METADATA!$B$4,nASIG,"Coro"),""))</f>
        <v/>
      </c>
      <c r="D129" t="str">
        <f>IF(A129="","",IFERROR(AVERAGEIFS(nNOTA,nNIA,A129,nEVAL,CONFIG_METADATA!$B$4,nASIG,"Conjunto"),""))</f>
        <v/>
      </c>
      <c r="E129" t="str" cm="1">
        <f t="array" ref="E129">IF(A129="","",IFERROR(AVERAGE(IF((nNIA=A129)*(nEVAL=CONFIG_METADATA!$B$4)*(nASIG&lt;&gt;"Lenguaje Musical")*(nASIG&lt;&gt;"Coro")*(nASIG&lt;&gt;"Conjunto"),nNOTA)),""))</f>
        <v/>
      </c>
      <c r="H129" t="str">
        <f>IF(G129="","",IFERROR(AVERAGEIFS(nNOTA,nNIA,G129,nEVAL,CONFIG_METADATA!$B$4,nASIG,"Lenguaje Musical"),""))</f>
        <v/>
      </c>
      <c r="I129" t="str">
        <f>IF(G129="","",IFERROR(AVERAGEIFS(nNOTA,nNIA,G129,nEVAL,CONFIG_METADATA!$B$4,nASIG,"Coro"),""))</f>
        <v/>
      </c>
      <c r="J129" t="str">
        <f>IF(G129="","",IFERROR(AVERAGEIFS(nNOTA,nNIA,G129,nEVAL,CONFIG_METADATA!$B$4,nASIG,"Conjunto"),""))</f>
        <v/>
      </c>
      <c r="K129" t="str" cm="1">
        <f t="array" ref="K129">IF(G129="","",IFERROR(AVERAGE(IF((nNIA=G129)*(nEVAL=CONFIG_METADATA!$B$4)*(nASIG&lt;&gt;"Lenguaje Musical")*(nASIG&lt;&gt;"Coro")*(nASIG&lt;&gt;"Conjunto"),nNOTA)),""))</f>
        <v/>
      </c>
      <c r="N129" t="str">
        <f>IF(M129="","",IFERROR(AVERAGEIFS(nNOTA,nNIA,M129,nEVAL,CONFIG_METADATA!$B$4,nASIG,"Lenguaje Musical"),""))</f>
        <v/>
      </c>
      <c r="O129" t="str">
        <f>IF(M129="","",IFERROR(AVERAGEIFS(nNOTA,nNIA,M129,nEVAL,CONFIG_METADATA!$B$4,nASIG,"Coro"),""))</f>
        <v/>
      </c>
      <c r="P129" t="str">
        <f>IF(M129="","",IFERROR(AVERAGEIFS(nNOTA,nNIA,M129,nEVAL,CONFIG_METADATA!$B$4,nASIG,"Conjunto"),""))</f>
        <v/>
      </c>
      <c r="Q129" t="str" cm="1">
        <f t="array" ref="Q129">IF(M129="","",IFERROR(AVERAGE(IF((nNIA=M129)*(nEVAL=CONFIG_METADATA!$B$4)*(nASIG&lt;&gt;"Lenguaje Musical")*(nASIG&lt;&gt;"Coro")*(nASIG&lt;&gt;"Conjunto"),nNOTA)),""))</f>
        <v/>
      </c>
      <c r="T129" t="str">
        <f>IF(S129="","",IFERROR(AVERAGEIFS(nNOTA,nNIA,S129,nEVAL,CONFIG_METADATA!$B$4,nASIG,"Lenguaje Musical"),""))</f>
        <v/>
      </c>
      <c r="U129" t="str">
        <f>IF(S129="","",IFERROR(AVERAGEIFS(nNOTA,nNIA,S129,nEVAL,CONFIG_METADATA!$B$4,nASIG,"Coro"),""))</f>
        <v/>
      </c>
      <c r="V129" t="str">
        <f>IF(S129="","",IFERROR(AVERAGEIFS(nNOTA,nNIA,S129,nEVAL,CONFIG_METADATA!$B$4,nASIG,"Conjunto"),""))</f>
        <v/>
      </c>
      <c r="W129" t="str" cm="1">
        <f t="array" ref="W129">IF(S129="","",IFERROR(AVERAGE(IF((nNIA=S129)*(nEVAL=CONFIG_METADATA!$B$4)*(nASIG&lt;&gt;"Lenguaje Musical")*(nASIG&lt;&gt;"Coro")*(nASIG&lt;&gt;"Conjunto"),nNOTA)),""))</f>
        <v/>
      </c>
    </row>
    <row r="130" spans="2:23" x14ac:dyDescent="0.2">
      <c r="B130" t="str">
        <f>IF(A130="","",IFERROR(AVERAGEIFS(nNOTA,nNIA,A130,nEVAL,CONFIG_METADATA!$B$4,nASIG,"Lenguaje Musical"),""))</f>
        <v/>
      </c>
      <c r="C130" t="str">
        <f>IF(A130="","",IFERROR(AVERAGEIFS(nNOTA,nNIA,A130,nEVAL,CONFIG_METADATA!$B$4,nASIG,"Coro"),""))</f>
        <v/>
      </c>
      <c r="D130" t="str">
        <f>IF(A130="","",IFERROR(AVERAGEIFS(nNOTA,nNIA,A130,nEVAL,CONFIG_METADATA!$B$4,nASIG,"Conjunto"),""))</f>
        <v/>
      </c>
      <c r="E130" t="str" cm="1">
        <f t="array" ref="E130">IF(A130="","",IFERROR(AVERAGE(IF((nNIA=A130)*(nEVAL=CONFIG_METADATA!$B$4)*(nASIG&lt;&gt;"Lenguaje Musical")*(nASIG&lt;&gt;"Coro")*(nASIG&lt;&gt;"Conjunto"),nNOTA)),""))</f>
        <v/>
      </c>
      <c r="H130" t="str">
        <f>IF(G130="","",IFERROR(AVERAGEIFS(nNOTA,nNIA,G130,nEVAL,CONFIG_METADATA!$B$4,nASIG,"Lenguaje Musical"),""))</f>
        <v/>
      </c>
      <c r="I130" t="str">
        <f>IF(G130="","",IFERROR(AVERAGEIFS(nNOTA,nNIA,G130,nEVAL,CONFIG_METADATA!$B$4,nASIG,"Coro"),""))</f>
        <v/>
      </c>
      <c r="J130" t="str">
        <f>IF(G130="","",IFERROR(AVERAGEIFS(nNOTA,nNIA,G130,nEVAL,CONFIG_METADATA!$B$4,nASIG,"Conjunto"),""))</f>
        <v/>
      </c>
      <c r="K130" t="str" cm="1">
        <f t="array" ref="K130">IF(G130="","",IFERROR(AVERAGE(IF((nNIA=G130)*(nEVAL=CONFIG_METADATA!$B$4)*(nASIG&lt;&gt;"Lenguaje Musical")*(nASIG&lt;&gt;"Coro")*(nASIG&lt;&gt;"Conjunto"),nNOTA)),""))</f>
        <v/>
      </c>
      <c r="N130" t="str">
        <f>IF(M130="","",IFERROR(AVERAGEIFS(nNOTA,nNIA,M130,nEVAL,CONFIG_METADATA!$B$4,nASIG,"Lenguaje Musical"),""))</f>
        <v/>
      </c>
      <c r="O130" t="str">
        <f>IF(M130="","",IFERROR(AVERAGEIFS(nNOTA,nNIA,M130,nEVAL,CONFIG_METADATA!$B$4,nASIG,"Coro"),""))</f>
        <v/>
      </c>
      <c r="P130" t="str">
        <f>IF(M130="","",IFERROR(AVERAGEIFS(nNOTA,nNIA,M130,nEVAL,CONFIG_METADATA!$B$4,nASIG,"Conjunto"),""))</f>
        <v/>
      </c>
      <c r="Q130" t="str" cm="1">
        <f t="array" ref="Q130">IF(M130="","",IFERROR(AVERAGE(IF((nNIA=M130)*(nEVAL=CONFIG_METADATA!$B$4)*(nASIG&lt;&gt;"Lenguaje Musical")*(nASIG&lt;&gt;"Coro")*(nASIG&lt;&gt;"Conjunto"),nNOTA)),""))</f>
        <v/>
      </c>
      <c r="T130" t="str">
        <f>IF(S130="","",IFERROR(AVERAGEIFS(nNOTA,nNIA,S130,nEVAL,CONFIG_METADATA!$B$4,nASIG,"Lenguaje Musical"),""))</f>
        <v/>
      </c>
      <c r="U130" t="str">
        <f>IF(S130="","",IFERROR(AVERAGEIFS(nNOTA,nNIA,S130,nEVAL,CONFIG_METADATA!$B$4,nASIG,"Coro"),""))</f>
        <v/>
      </c>
      <c r="V130" t="str">
        <f>IF(S130="","",IFERROR(AVERAGEIFS(nNOTA,nNIA,S130,nEVAL,CONFIG_METADATA!$B$4,nASIG,"Conjunto"),""))</f>
        <v/>
      </c>
      <c r="W130" t="str" cm="1">
        <f t="array" ref="W130">IF(S130="","",IFERROR(AVERAGE(IF((nNIA=S130)*(nEVAL=CONFIG_METADATA!$B$4)*(nASIG&lt;&gt;"Lenguaje Musical")*(nASIG&lt;&gt;"Coro")*(nASIG&lt;&gt;"Conjunto"),nNOTA)),""))</f>
        <v/>
      </c>
    </row>
    <row r="131" spans="2:23" x14ac:dyDescent="0.2">
      <c r="B131" t="str">
        <f>IF(A131="","",IFERROR(AVERAGEIFS(nNOTA,nNIA,A131,nEVAL,CONFIG_METADATA!$B$4,nASIG,"Lenguaje Musical"),""))</f>
        <v/>
      </c>
      <c r="C131" t="str">
        <f>IF(A131="","",IFERROR(AVERAGEIFS(nNOTA,nNIA,A131,nEVAL,CONFIG_METADATA!$B$4,nASIG,"Coro"),""))</f>
        <v/>
      </c>
      <c r="D131" t="str">
        <f>IF(A131="","",IFERROR(AVERAGEIFS(nNOTA,nNIA,A131,nEVAL,CONFIG_METADATA!$B$4,nASIG,"Conjunto"),""))</f>
        <v/>
      </c>
      <c r="E131" t="str" cm="1">
        <f t="array" ref="E131">IF(A131="","",IFERROR(AVERAGE(IF((nNIA=A131)*(nEVAL=CONFIG_METADATA!$B$4)*(nASIG&lt;&gt;"Lenguaje Musical")*(nASIG&lt;&gt;"Coro")*(nASIG&lt;&gt;"Conjunto"),nNOTA)),""))</f>
        <v/>
      </c>
      <c r="H131" t="str">
        <f>IF(G131="","",IFERROR(AVERAGEIFS(nNOTA,nNIA,G131,nEVAL,CONFIG_METADATA!$B$4,nASIG,"Lenguaje Musical"),""))</f>
        <v/>
      </c>
      <c r="I131" t="str">
        <f>IF(G131="","",IFERROR(AVERAGEIFS(nNOTA,nNIA,G131,nEVAL,CONFIG_METADATA!$B$4,nASIG,"Coro"),""))</f>
        <v/>
      </c>
      <c r="J131" t="str">
        <f>IF(G131="","",IFERROR(AVERAGEIFS(nNOTA,nNIA,G131,nEVAL,CONFIG_METADATA!$B$4,nASIG,"Conjunto"),""))</f>
        <v/>
      </c>
      <c r="K131" t="str" cm="1">
        <f t="array" ref="K131">IF(G131="","",IFERROR(AVERAGE(IF((nNIA=G131)*(nEVAL=CONFIG_METADATA!$B$4)*(nASIG&lt;&gt;"Lenguaje Musical")*(nASIG&lt;&gt;"Coro")*(nASIG&lt;&gt;"Conjunto"),nNOTA)),""))</f>
        <v/>
      </c>
      <c r="N131" t="str">
        <f>IF(M131="","",IFERROR(AVERAGEIFS(nNOTA,nNIA,M131,nEVAL,CONFIG_METADATA!$B$4,nASIG,"Lenguaje Musical"),""))</f>
        <v/>
      </c>
      <c r="O131" t="str">
        <f>IF(M131="","",IFERROR(AVERAGEIFS(nNOTA,nNIA,M131,nEVAL,CONFIG_METADATA!$B$4,nASIG,"Coro"),""))</f>
        <v/>
      </c>
      <c r="P131" t="str">
        <f>IF(M131="","",IFERROR(AVERAGEIFS(nNOTA,nNIA,M131,nEVAL,CONFIG_METADATA!$B$4,nASIG,"Conjunto"),""))</f>
        <v/>
      </c>
      <c r="Q131" t="str" cm="1">
        <f t="array" ref="Q131">IF(M131="","",IFERROR(AVERAGE(IF((nNIA=M131)*(nEVAL=CONFIG_METADATA!$B$4)*(nASIG&lt;&gt;"Lenguaje Musical")*(nASIG&lt;&gt;"Coro")*(nASIG&lt;&gt;"Conjunto"),nNOTA)),""))</f>
        <v/>
      </c>
      <c r="T131" t="str">
        <f>IF(S131="","",IFERROR(AVERAGEIFS(nNOTA,nNIA,S131,nEVAL,CONFIG_METADATA!$B$4,nASIG,"Lenguaje Musical"),""))</f>
        <v/>
      </c>
      <c r="U131" t="str">
        <f>IF(S131="","",IFERROR(AVERAGEIFS(nNOTA,nNIA,S131,nEVAL,CONFIG_METADATA!$B$4,nASIG,"Coro"),""))</f>
        <v/>
      </c>
      <c r="V131" t="str">
        <f>IF(S131="","",IFERROR(AVERAGEIFS(nNOTA,nNIA,S131,nEVAL,CONFIG_METADATA!$B$4,nASIG,"Conjunto"),""))</f>
        <v/>
      </c>
      <c r="W131" t="str" cm="1">
        <f t="array" ref="W131">IF(S131="","",IFERROR(AVERAGE(IF((nNIA=S131)*(nEVAL=CONFIG_METADATA!$B$4)*(nASIG&lt;&gt;"Lenguaje Musical")*(nASIG&lt;&gt;"Coro")*(nASIG&lt;&gt;"Conjunto"),nNOTA)),""))</f>
        <v/>
      </c>
    </row>
    <row r="132" spans="2:23" x14ac:dyDescent="0.2">
      <c r="B132" t="str">
        <f>IF(A132="","",IFERROR(AVERAGEIFS(nNOTA,nNIA,A132,nEVAL,CONFIG_METADATA!$B$4,nASIG,"Lenguaje Musical"),""))</f>
        <v/>
      </c>
      <c r="C132" t="str">
        <f>IF(A132="","",IFERROR(AVERAGEIFS(nNOTA,nNIA,A132,nEVAL,CONFIG_METADATA!$B$4,nASIG,"Coro"),""))</f>
        <v/>
      </c>
      <c r="D132" t="str">
        <f>IF(A132="","",IFERROR(AVERAGEIFS(nNOTA,nNIA,A132,nEVAL,CONFIG_METADATA!$B$4,nASIG,"Conjunto"),""))</f>
        <v/>
      </c>
      <c r="E132" t="str" cm="1">
        <f t="array" ref="E132">IF(A132="","",IFERROR(AVERAGE(IF((nNIA=A132)*(nEVAL=CONFIG_METADATA!$B$4)*(nASIG&lt;&gt;"Lenguaje Musical")*(nASIG&lt;&gt;"Coro")*(nASIG&lt;&gt;"Conjunto"),nNOTA)),""))</f>
        <v/>
      </c>
      <c r="H132" t="str">
        <f>IF(G132="","",IFERROR(AVERAGEIFS(nNOTA,nNIA,G132,nEVAL,CONFIG_METADATA!$B$4,nASIG,"Lenguaje Musical"),""))</f>
        <v/>
      </c>
      <c r="I132" t="str">
        <f>IF(G132="","",IFERROR(AVERAGEIFS(nNOTA,nNIA,G132,nEVAL,CONFIG_METADATA!$B$4,nASIG,"Coro"),""))</f>
        <v/>
      </c>
      <c r="J132" t="str">
        <f>IF(G132="","",IFERROR(AVERAGEIFS(nNOTA,nNIA,G132,nEVAL,CONFIG_METADATA!$B$4,nASIG,"Conjunto"),""))</f>
        <v/>
      </c>
      <c r="K132" t="str" cm="1">
        <f t="array" ref="K132">IF(G132="","",IFERROR(AVERAGE(IF((nNIA=G132)*(nEVAL=CONFIG_METADATA!$B$4)*(nASIG&lt;&gt;"Lenguaje Musical")*(nASIG&lt;&gt;"Coro")*(nASIG&lt;&gt;"Conjunto"),nNOTA)),""))</f>
        <v/>
      </c>
      <c r="N132" t="str">
        <f>IF(M132="","",IFERROR(AVERAGEIFS(nNOTA,nNIA,M132,nEVAL,CONFIG_METADATA!$B$4,nASIG,"Lenguaje Musical"),""))</f>
        <v/>
      </c>
      <c r="O132" t="str">
        <f>IF(M132="","",IFERROR(AVERAGEIFS(nNOTA,nNIA,M132,nEVAL,CONFIG_METADATA!$B$4,nASIG,"Coro"),""))</f>
        <v/>
      </c>
      <c r="P132" t="str">
        <f>IF(M132="","",IFERROR(AVERAGEIFS(nNOTA,nNIA,M132,nEVAL,CONFIG_METADATA!$B$4,nASIG,"Conjunto"),""))</f>
        <v/>
      </c>
      <c r="Q132" t="str" cm="1">
        <f t="array" ref="Q132">IF(M132="","",IFERROR(AVERAGE(IF((nNIA=M132)*(nEVAL=CONFIG_METADATA!$B$4)*(nASIG&lt;&gt;"Lenguaje Musical")*(nASIG&lt;&gt;"Coro")*(nASIG&lt;&gt;"Conjunto"),nNOTA)),""))</f>
        <v/>
      </c>
      <c r="T132" t="str">
        <f>IF(S132="","",IFERROR(AVERAGEIFS(nNOTA,nNIA,S132,nEVAL,CONFIG_METADATA!$B$4,nASIG,"Lenguaje Musical"),""))</f>
        <v/>
      </c>
      <c r="U132" t="str">
        <f>IF(S132="","",IFERROR(AVERAGEIFS(nNOTA,nNIA,S132,nEVAL,CONFIG_METADATA!$B$4,nASIG,"Coro"),""))</f>
        <v/>
      </c>
      <c r="V132" t="str">
        <f>IF(S132="","",IFERROR(AVERAGEIFS(nNOTA,nNIA,S132,nEVAL,CONFIG_METADATA!$B$4,nASIG,"Conjunto"),""))</f>
        <v/>
      </c>
      <c r="W132" t="str" cm="1">
        <f t="array" ref="W132">IF(S132="","",IFERROR(AVERAGE(IF((nNIA=S132)*(nEVAL=CONFIG_METADATA!$B$4)*(nASIG&lt;&gt;"Lenguaje Musical")*(nASIG&lt;&gt;"Coro")*(nASIG&lt;&gt;"Conjunto"),nNOTA)),""))</f>
        <v/>
      </c>
    </row>
    <row r="133" spans="2:23" x14ac:dyDescent="0.2">
      <c r="B133" t="str">
        <f>IF(A133="","",IFERROR(AVERAGEIFS(nNOTA,nNIA,A133,nEVAL,CONFIG_METADATA!$B$4,nASIG,"Lenguaje Musical"),""))</f>
        <v/>
      </c>
      <c r="C133" t="str">
        <f>IF(A133="","",IFERROR(AVERAGEIFS(nNOTA,nNIA,A133,nEVAL,CONFIG_METADATA!$B$4,nASIG,"Coro"),""))</f>
        <v/>
      </c>
      <c r="D133" t="str">
        <f>IF(A133="","",IFERROR(AVERAGEIFS(nNOTA,nNIA,A133,nEVAL,CONFIG_METADATA!$B$4,nASIG,"Conjunto"),""))</f>
        <v/>
      </c>
      <c r="E133" t="str" cm="1">
        <f t="array" ref="E133">IF(A133="","",IFERROR(AVERAGE(IF((nNIA=A133)*(nEVAL=CONFIG_METADATA!$B$4)*(nASIG&lt;&gt;"Lenguaje Musical")*(nASIG&lt;&gt;"Coro")*(nASIG&lt;&gt;"Conjunto"),nNOTA)),""))</f>
        <v/>
      </c>
      <c r="H133" t="str">
        <f>IF(G133="","",IFERROR(AVERAGEIFS(nNOTA,nNIA,G133,nEVAL,CONFIG_METADATA!$B$4,nASIG,"Lenguaje Musical"),""))</f>
        <v/>
      </c>
      <c r="I133" t="str">
        <f>IF(G133="","",IFERROR(AVERAGEIFS(nNOTA,nNIA,G133,nEVAL,CONFIG_METADATA!$B$4,nASIG,"Coro"),""))</f>
        <v/>
      </c>
      <c r="J133" t="str">
        <f>IF(G133="","",IFERROR(AVERAGEIFS(nNOTA,nNIA,G133,nEVAL,CONFIG_METADATA!$B$4,nASIG,"Conjunto"),""))</f>
        <v/>
      </c>
      <c r="K133" t="str" cm="1">
        <f t="array" ref="K133">IF(G133="","",IFERROR(AVERAGE(IF((nNIA=G133)*(nEVAL=CONFIG_METADATA!$B$4)*(nASIG&lt;&gt;"Lenguaje Musical")*(nASIG&lt;&gt;"Coro")*(nASIG&lt;&gt;"Conjunto"),nNOTA)),""))</f>
        <v/>
      </c>
      <c r="N133" t="str">
        <f>IF(M133="","",IFERROR(AVERAGEIFS(nNOTA,nNIA,M133,nEVAL,CONFIG_METADATA!$B$4,nASIG,"Lenguaje Musical"),""))</f>
        <v/>
      </c>
      <c r="O133" t="str">
        <f>IF(M133="","",IFERROR(AVERAGEIFS(nNOTA,nNIA,M133,nEVAL,CONFIG_METADATA!$B$4,nASIG,"Coro"),""))</f>
        <v/>
      </c>
      <c r="P133" t="str">
        <f>IF(M133="","",IFERROR(AVERAGEIFS(nNOTA,nNIA,M133,nEVAL,CONFIG_METADATA!$B$4,nASIG,"Conjunto"),""))</f>
        <v/>
      </c>
      <c r="Q133" t="str" cm="1">
        <f t="array" ref="Q133">IF(M133="","",IFERROR(AVERAGE(IF((nNIA=M133)*(nEVAL=CONFIG_METADATA!$B$4)*(nASIG&lt;&gt;"Lenguaje Musical")*(nASIG&lt;&gt;"Coro")*(nASIG&lt;&gt;"Conjunto"),nNOTA)),""))</f>
        <v/>
      </c>
      <c r="T133" t="str">
        <f>IF(S133="","",IFERROR(AVERAGEIFS(nNOTA,nNIA,S133,nEVAL,CONFIG_METADATA!$B$4,nASIG,"Lenguaje Musical"),""))</f>
        <v/>
      </c>
      <c r="U133" t="str">
        <f>IF(S133="","",IFERROR(AVERAGEIFS(nNOTA,nNIA,S133,nEVAL,CONFIG_METADATA!$B$4,nASIG,"Coro"),""))</f>
        <v/>
      </c>
      <c r="V133" t="str">
        <f>IF(S133="","",IFERROR(AVERAGEIFS(nNOTA,nNIA,S133,nEVAL,CONFIG_METADATA!$B$4,nASIG,"Conjunto"),""))</f>
        <v/>
      </c>
      <c r="W133" t="str" cm="1">
        <f t="array" ref="W133">IF(S133="","",IFERROR(AVERAGE(IF((nNIA=S133)*(nEVAL=CONFIG_METADATA!$B$4)*(nASIG&lt;&gt;"Lenguaje Musical")*(nASIG&lt;&gt;"Coro")*(nASIG&lt;&gt;"Conjunto"),nNOTA)),""))</f>
        <v/>
      </c>
    </row>
    <row r="134" spans="2:23" x14ac:dyDescent="0.2">
      <c r="B134" t="str">
        <f>IF(A134="","",IFERROR(AVERAGEIFS(nNOTA,nNIA,A134,nEVAL,CONFIG_METADATA!$B$4,nASIG,"Lenguaje Musical"),""))</f>
        <v/>
      </c>
      <c r="C134" t="str">
        <f>IF(A134="","",IFERROR(AVERAGEIFS(nNOTA,nNIA,A134,nEVAL,CONFIG_METADATA!$B$4,nASIG,"Coro"),""))</f>
        <v/>
      </c>
      <c r="D134" t="str">
        <f>IF(A134="","",IFERROR(AVERAGEIFS(nNOTA,nNIA,A134,nEVAL,CONFIG_METADATA!$B$4,nASIG,"Conjunto"),""))</f>
        <v/>
      </c>
      <c r="E134" t="str" cm="1">
        <f t="array" ref="E134">IF(A134="","",IFERROR(AVERAGE(IF((nNIA=A134)*(nEVAL=CONFIG_METADATA!$B$4)*(nASIG&lt;&gt;"Lenguaje Musical")*(nASIG&lt;&gt;"Coro")*(nASIG&lt;&gt;"Conjunto"),nNOTA)),""))</f>
        <v/>
      </c>
      <c r="H134" t="str">
        <f>IF(G134="","",IFERROR(AVERAGEIFS(nNOTA,nNIA,G134,nEVAL,CONFIG_METADATA!$B$4,nASIG,"Lenguaje Musical"),""))</f>
        <v/>
      </c>
      <c r="I134" t="str">
        <f>IF(G134="","",IFERROR(AVERAGEIFS(nNOTA,nNIA,G134,nEVAL,CONFIG_METADATA!$B$4,nASIG,"Coro"),""))</f>
        <v/>
      </c>
      <c r="J134" t="str">
        <f>IF(G134="","",IFERROR(AVERAGEIFS(nNOTA,nNIA,G134,nEVAL,CONFIG_METADATA!$B$4,nASIG,"Conjunto"),""))</f>
        <v/>
      </c>
      <c r="K134" t="str" cm="1">
        <f t="array" ref="K134">IF(G134="","",IFERROR(AVERAGE(IF((nNIA=G134)*(nEVAL=CONFIG_METADATA!$B$4)*(nASIG&lt;&gt;"Lenguaje Musical")*(nASIG&lt;&gt;"Coro")*(nASIG&lt;&gt;"Conjunto"),nNOTA)),""))</f>
        <v/>
      </c>
      <c r="N134" t="str">
        <f>IF(M134="","",IFERROR(AVERAGEIFS(nNOTA,nNIA,M134,nEVAL,CONFIG_METADATA!$B$4,nASIG,"Lenguaje Musical"),""))</f>
        <v/>
      </c>
      <c r="O134" t="str">
        <f>IF(M134="","",IFERROR(AVERAGEIFS(nNOTA,nNIA,M134,nEVAL,CONFIG_METADATA!$B$4,nASIG,"Coro"),""))</f>
        <v/>
      </c>
      <c r="P134" t="str">
        <f>IF(M134="","",IFERROR(AVERAGEIFS(nNOTA,nNIA,M134,nEVAL,CONFIG_METADATA!$B$4,nASIG,"Conjunto"),""))</f>
        <v/>
      </c>
      <c r="Q134" t="str" cm="1">
        <f t="array" ref="Q134">IF(M134="","",IFERROR(AVERAGE(IF((nNIA=M134)*(nEVAL=CONFIG_METADATA!$B$4)*(nASIG&lt;&gt;"Lenguaje Musical")*(nASIG&lt;&gt;"Coro")*(nASIG&lt;&gt;"Conjunto"),nNOTA)),""))</f>
        <v/>
      </c>
      <c r="T134" t="str">
        <f>IF(S134="","",IFERROR(AVERAGEIFS(nNOTA,nNIA,S134,nEVAL,CONFIG_METADATA!$B$4,nASIG,"Lenguaje Musical"),""))</f>
        <v/>
      </c>
      <c r="U134" t="str">
        <f>IF(S134="","",IFERROR(AVERAGEIFS(nNOTA,nNIA,S134,nEVAL,CONFIG_METADATA!$B$4,nASIG,"Coro"),""))</f>
        <v/>
      </c>
      <c r="V134" t="str">
        <f>IF(S134="","",IFERROR(AVERAGEIFS(nNOTA,nNIA,S134,nEVAL,CONFIG_METADATA!$B$4,nASIG,"Conjunto"),""))</f>
        <v/>
      </c>
      <c r="W134" t="str" cm="1">
        <f t="array" ref="W134">IF(S134="","",IFERROR(AVERAGE(IF((nNIA=S134)*(nEVAL=CONFIG_METADATA!$B$4)*(nASIG&lt;&gt;"Lenguaje Musical")*(nASIG&lt;&gt;"Coro")*(nASIG&lt;&gt;"Conjunto"),nNOTA)),""))</f>
        <v/>
      </c>
    </row>
    <row r="135" spans="2:23" x14ac:dyDescent="0.2">
      <c r="B135" t="str">
        <f>IF(A135="","",IFERROR(AVERAGEIFS(nNOTA,nNIA,A135,nEVAL,CONFIG_METADATA!$B$4,nASIG,"Lenguaje Musical"),""))</f>
        <v/>
      </c>
      <c r="C135" t="str">
        <f>IF(A135="","",IFERROR(AVERAGEIFS(nNOTA,nNIA,A135,nEVAL,CONFIG_METADATA!$B$4,nASIG,"Coro"),""))</f>
        <v/>
      </c>
      <c r="D135" t="str">
        <f>IF(A135="","",IFERROR(AVERAGEIFS(nNOTA,nNIA,A135,nEVAL,CONFIG_METADATA!$B$4,nASIG,"Conjunto"),""))</f>
        <v/>
      </c>
      <c r="E135" t="str" cm="1">
        <f t="array" ref="E135">IF(A135="","",IFERROR(AVERAGE(IF((nNIA=A135)*(nEVAL=CONFIG_METADATA!$B$4)*(nASIG&lt;&gt;"Lenguaje Musical")*(nASIG&lt;&gt;"Coro")*(nASIG&lt;&gt;"Conjunto"),nNOTA)),""))</f>
        <v/>
      </c>
      <c r="H135" t="str">
        <f>IF(G135="","",IFERROR(AVERAGEIFS(nNOTA,nNIA,G135,nEVAL,CONFIG_METADATA!$B$4,nASIG,"Lenguaje Musical"),""))</f>
        <v/>
      </c>
      <c r="I135" t="str">
        <f>IF(G135="","",IFERROR(AVERAGEIFS(nNOTA,nNIA,G135,nEVAL,CONFIG_METADATA!$B$4,nASIG,"Coro"),""))</f>
        <v/>
      </c>
      <c r="J135" t="str">
        <f>IF(G135="","",IFERROR(AVERAGEIFS(nNOTA,nNIA,G135,nEVAL,CONFIG_METADATA!$B$4,nASIG,"Conjunto"),""))</f>
        <v/>
      </c>
      <c r="K135" t="str" cm="1">
        <f t="array" ref="K135">IF(G135="","",IFERROR(AVERAGE(IF((nNIA=G135)*(nEVAL=CONFIG_METADATA!$B$4)*(nASIG&lt;&gt;"Lenguaje Musical")*(nASIG&lt;&gt;"Coro")*(nASIG&lt;&gt;"Conjunto"),nNOTA)),""))</f>
        <v/>
      </c>
      <c r="N135" t="str">
        <f>IF(M135="","",IFERROR(AVERAGEIFS(nNOTA,nNIA,M135,nEVAL,CONFIG_METADATA!$B$4,nASIG,"Lenguaje Musical"),""))</f>
        <v/>
      </c>
      <c r="O135" t="str">
        <f>IF(M135="","",IFERROR(AVERAGEIFS(nNOTA,nNIA,M135,nEVAL,CONFIG_METADATA!$B$4,nASIG,"Coro"),""))</f>
        <v/>
      </c>
      <c r="P135" t="str">
        <f>IF(M135="","",IFERROR(AVERAGEIFS(nNOTA,nNIA,M135,nEVAL,CONFIG_METADATA!$B$4,nASIG,"Conjunto"),""))</f>
        <v/>
      </c>
      <c r="Q135" t="str" cm="1">
        <f t="array" ref="Q135">IF(M135="","",IFERROR(AVERAGE(IF((nNIA=M135)*(nEVAL=CONFIG_METADATA!$B$4)*(nASIG&lt;&gt;"Lenguaje Musical")*(nASIG&lt;&gt;"Coro")*(nASIG&lt;&gt;"Conjunto"),nNOTA)),""))</f>
        <v/>
      </c>
      <c r="T135" t="str">
        <f>IF(S135="","",IFERROR(AVERAGEIFS(nNOTA,nNIA,S135,nEVAL,CONFIG_METADATA!$B$4,nASIG,"Lenguaje Musical"),""))</f>
        <v/>
      </c>
      <c r="U135" t="str">
        <f>IF(S135="","",IFERROR(AVERAGEIFS(nNOTA,nNIA,S135,nEVAL,CONFIG_METADATA!$B$4,nASIG,"Coro"),""))</f>
        <v/>
      </c>
      <c r="V135" t="str">
        <f>IF(S135="","",IFERROR(AVERAGEIFS(nNOTA,nNIA,S135,nEVAL,CONFIG_METADATA!$B$4,nASIG,"Conjunto"),""))</f>
        <v/>
      </c>
      <c r="W135" t="str" cm="1">
        <f t="array" ref="W135">IF(S135="","",IFERROR(AVERAGE(IF((nNIA=S135)*(nEVAL=CONFIG_METADATA!$B$4)*(nASIG&lt;&gt;"Lenguaje Musical")*(nASIG&lt;&gt;"Coro")*(nASIG&lt;&gt;"Conjunto"),nNOTA)),""))</f>
        <v/>
      </c>
    </row>
    <row r="136" spans="2:23" x14ac:dyDescent="0.2">
      <c r="B136" t="str">
        <f>IF(A136="","",IFERROR(AVERAGEIFS(nNOTA,nNIA,A136,nEVAL,CONFIG_METADATA!$B$4,nASIG,"Lenguaje Musical"),""))</f>
        <v/>
      </c>
      <c r="C136" t="str">
        <f>IF(A136="","",IFERROR(AVERAGEIFS(nNOTA,nNIA,A136,nEVAL,CONFIG_METADATA!$B$4,nASIG,"Coro"),""))</f>
        <v/>
      </c>
      <c r="D136" t="str">
        <f>IF(A136="","",IFERROR(AVERAGEIFS(nNOTA,nNIA,A136,nEVAL,CONFIG_METADATA!$B$4,nASIG,"Conjunto"),""))</f>
        <v/>
      </c>
      <c r="E136" t="str" cm="1">
        <f t="array" ref="E136">IF(A136="","",IFERROR(AVERAGE(IF((nNIA=A136)*(nEVAL=CONFIG_METADATA!$B$4)*(nASIG&lt;&gt;"Lenguaje Musical")*(nASIG&lt;&gt;"Coro")*(nASIG&lt;&gt;"Conjunto"),nNOTA)),""))</f>
        <v/>
      </c>
      <c r="H136" t="str">
        <f>IF(G136="","",IFERROR(AVERAGEIFS(nNOTA,nNIA,G136,nEVAL,CONFIG_METADATA!$B$4,nASIG,"Lenguaje Musical"),""))</f>
        <v/>
      </c>
      <c r="I136" t="str">
        <f>IF(G136="","",IFERROR(AVERAGEIFS(nNOTA,nNIA,G136,nEVAL,CONFIG_METADATA!$B$4,nASIG,"Coro"),""))</f>
        <v/>
      </c>
      <c r="J136" t="str">
        <f>IF(G136="","",IFERROR(AVERAGEIFS(nNOTA,nNIA,G136,nEVAL,CONFIG_METADATA!$B$4,nASIG,"Conjunto"),""))</f>
        <v/>
      </c>
      <c r="K136" t="str" cm="1">
        <f t="array" ref="K136">IF(G136="","",IFERROR(AVERAGE(IF((nNIA=G136)*(nEVAL=CONFIG_METADATA!$B$4)*(nASIG&lt;&gt;"Lenguaje Musical")*(nASIG&lt;&gt;"Coro")*(nASIG&lt;&gt;"Conjunto"),nNOTA)),""))</f>
        <v/>
      </c>
      <c r="N136" t="str">
        <f>IF(M136="","",IFERROR(AVERAGEIFS(nNOTA,nNIA,M136,nEVAL,CONFIG_METADATA!$B$4,nASIG,"Lenguaje Musical"),""))</f>
        <v/>
      </c>
      <c r="O136" t="str">
        <f>IF(M136="","",IFERROR(AVERAGEIFS(nNOTA,nNIA,M136,nEVAL,CONFIG_METADATA!$B$4,nASIG,"Coro"),""))</f>
        <v/>
      </c>
      <c r="P136" t="str">
        <f>IF(M136="","",IFERROR(AVERAGEIFS(nNOTA,nNIA,M136,nEVAL,CONFIG_METADATA!$B$4,nASIG,"Conjunto"),""))</f>
        <v/>
      </c>
      <c r="Q136" t="str" cm="1">
        <f t="array" ref="Q136">IF(M136="","",IFERROR(AVERAGE(IF((nNIA=M136)*(nEVAL=CONFIG_METADATA!$B$4)*(nASIG&lt;&gt;"Lenguaje Musical")*(nASIG&lt;&gt;"Coro")*(nASIG&lt;&gt;"Conjunto"),nNOTA)),""))</f>
        <v/>
      </c>
      <c r="T136" t="str">
        <f>IF(S136="","",IFERROR(AVERAGEIFS(nNOTA,nNIA,S136,nEVAL,CONFIG_METADATA!$B$4,nASIG,"Lenguaje Musical"),""))</f>
        <v/>
      </c>
      <c r="U136" t="str">
        <f>IF(S136="","",IFERROR(AVERAGEIFS(nNOTA,nNIA,S136,nEVAL,CONFIG_METADATA!$B$4,nASIG,"Coro"),""))</f>
        <v/>
      </c>
      <c r="V136" t="str">
        <f>IF(S136="","",IFERROR(AVERAGEIFS(nNOTA,nNIA,S136,nEVAL,CONFIG_METADATA!$B$4,nASIG,"Conjunto"),""))</f>
        <v/>
      </c>
      <c r="W136" t="str" cm="1">
        <f t="array" ref="W136">IF(S136="","",IFERROR(AVERAGE(IF((nNIA=S136)*(nEVAL=CONFIG_METADATA!$B$4)*(nASIG&lt;&gt;"Lenguaje Musical")*(nASIG&lt;&gt;"Coro")*(nASIG&lt;&gt;"Conjunto"),nNOTA)),""))</f>
        <v/>
      </c>
    </row>
    <row r="137" spans="2:23" x14ac:dyDescent="0.2">
      <c r="B137" t="str">
        <f>IF(A137="","",IFERROR(AVERAGEIFS(nNOTA,nNIA,A137,nEVAL,CONFIG_METADATA!$B$4,nASIG,"Lenguaje Musical"),""))</f>
        <v/>
      </c>
      <c r="C137" t="str">
        <f>IF(A137="","",IFERROR(AVERAGEIFS(nNOTA,nNIA,A137,nEVAL,CONFIG_METADATA!$B$4,nASIG,"Coro"),""))</f>
        <v/>
      </c>
      <c r="D137" t="str">
        <f>IF(A137="","",IFERROR(AVERAGEIFS(nNOTA,nNIA,A137,nEVAL,CONFIG_METADATA!$B$4,nASIG,"Conjunto"),""))</f>
        <v/>
      </c>
      <c r="E137" t="str" cm="1">
        <f t="array" ref="E137">IF(A137="","",IFERROR(AVERAGE(IF((nNIA=A137)*(nEVAL=CONFIG_METADATA!$B$4)*(nASIG&lt;&gt;"Lenguaje Musical")*(nASIG&lt;&gt;"Coro")*(nASIG&lt;&gt;"Conjunto"),nNOTA)),""))</f>
        <v/>
      </c>
      <c r="H137" t="str">
        <f>IF(G137="","",IFERROR(AVERAGEIFS(nNOTA,nNIA,G137,nEVAL,CONFIG_METADATA!$B$4,nASIG,"Lenguaje Musical"),""))</f>
        <v/>
      </c>
      <c r="I137" t="str">
        <f>IF(G137="","",IFERROR(AVERAGEIFS(nNOTA,nNIA,G137,nEVAL,CONFIG_METADATA!$B$4,nASIG,"Coro"),""))</f>
        <v/>
      </c>
      <c r="J137" t="str">
        <f>IF(G137="","",IFERROR(AVERAGEIFS(nNOTA,nNIA,G137,nEVAL,CONFIG_METADATA!$B$4,nASIG,"Conjunto"),""))</f>
        <v/>
      </c>
      <c r="K137" t="str" cm="1">
        <f t="array" ref="K137">IF(G137="","",IFERROR(AVERAGE(IF((nNIA=G137)*(nEVAL=CONFIG_METADATA!$B$4)*(nASIG&lt;&gt;"Lenguaje Musical")*(nASIG&lt;&gt;"Coro")*(nASIG&lt;&gt;"Conjunto"),nNOTA)),""))</f>
        <v/>
      </c>
      <c r="N137" t="str">
        <f>IF(M137="","",IFERROR(AVERAGEIFS(nNOTA,nNIA,M137,nEVAL,CONFIG_METADATA!$B$4,nASIG,"Lenguaje Musical"),""))</f>
        <v/>
      </c>
      <c r="O137" t="str">
        <f>IF(M137="","",IFERROR(AVERAGEIFS(nNOTA,nNIA,M137,nEVAL,CONFIG_METADATA!$B$4,nASIG,"Coro"),""))</f>
        <v/>
      </c>
      <c r="P137" t="str">
        <f>IF(M137="","",IFERROR(AVERAGEIFS(nNOTA,nNIA,M137,nEVAL,CONFIG_METADATA!$B$4,nASIG,"Conjunto"),""))</f>
        <v/>
      </c>
      <c r="Q137" t="str" cm="1">
        <f t="array" ref="Q137">IF(M137="","",IFERROR(AVERAGE(IF((nNIA=M137)*(nEVAL=CONFIG_METADATA!$B$4)*(nASIG&lt;&gt;"Lenguaje Musical")*(nASIG&lt;&gt;"Coro")*(nASIG&lt;&gt;"Conjunto"),nNOTA)),""))</f>
        <v/>
      </c>
      <c r="T137" t="str">
        <f>IF(S137="","",IFERROR(AVERAGEIFS(nNOTA,nNIA,S137,nEVAL,CONFIG_METADATA!$B$4,nASIG,"Lenguaje Musical"),""))</f>
        <v/>
      </c>
      <c r="U137" t="str">
        <f>IF(S137="","",IFERROR(AVERAGEIFS(nNOTA,nNIA,S137,nEVAL,CONFIG_METADATA!$B$4,nASIG,"Coro"),""))</f>
        <v/>
      </c>
      <c r="V137" t="str">
        <f>IF(S137="","",IFERROR(AVERAGEIFS(nNOTA,nNIA,S137,nEVAL,CONFIG_METADATA!$B$4,nASIG,"Conjunto"),""))</f>
        <v/>
      </c>
      <c r="W137" t="str" cm="1">
        <f t="array" ref="W137">IF(S137="","",IFERROR(AVERAGE(IF((nNIA=S137)*(nEVAL=CONFIG_METADATA!$B$4)*(nASIG&lt;&gt;"Lenguaje Musical")*(nASIG&lt;&gt;"Coro")*(nASIG&lt;&gt;"Conjunto"),nNOTA)),""))</f>
        <v/>
      </c>
    </row>
    <row r="138" spans="2:23" x14ac:dyDescent="0.2">
      <c r="B138" t="str">
        <f>IF(A138="","",IFERROR(AVERAGEIFS(nNOTA,nNIA,A138,nEVAL,CONFIG_METADATA!$B$4,nASIG,"Lenguaje Musical"),""))</f>
        <v/>
      </c>
      <c r="C138" t="str">
        <f>IF(A138="","",IFERROR(AVERAGEIFS(nNOTA,nNIA,A138,nEVAL,CONFIG_METADATA!$B$4,nASIG,"Coro"),""))</f>
        <v/>
      </c>
      <c r="D138" t="str">
        <f>IF(A138="","",IFERROR(AVERAGEIFS(nNOTA,nNIA,A138,nEVAL,CONFIG_METADATA!$B$4,nASIG,"Conjunto"),""))</f>
        <v/>
      </c>
      <c r="E138" t="str" cm="1">
        <f t="array" ref="E138">IF(A138="","",IFERROR(AVERAGE(IF((nNIA=A138)*(nEVAL=CONFIG_METADATA!$B$4)*(nASIG&lt;&gt;"Lenguaje Musical")*(nASIG&lt;&gt;"Coro")*(nASIG&lt;&gt;"Conjunto"),nNOTA)),""))</f>
        <v/>
      </c>
      <c r="H138" t="str">
        <f>IF(G138="","",IFERROR(AVERAGEIFS(nNOTA,nNIA,G138,nEVAL,CONFIG_METADATA!$B$4,nASIG,"Lenguaje Musical"),""))</f>
        <v/>
      </c>
      <c r="I138" t="str">
        <f>IF(G138="","",IFERROR(AVERAGEIFS(nNOTA,nNIA,G138,nEVAL,CONFIG_METADATA!$B$4,nASIG,"Coro"),""))</f>
        <v/>
      </c>
      <c r="J138" t="str">
        <f>IF(G138="","",IFERROR(AVERAGEIFS(nNOTA,nNIA,G138,nEVAL,CONFIG_METADATA!$B$4,nASIG,"Conjunto"),""))</f>
        <v/>
      </c>
      <c r="K138" t="str" cm="1">
        <f t="array" ref="K138">IF(G138="","",IFERROR(AVERAGE(IF((nNIA=G138)*(nEVAL=CONFIG_METADATA!$B$4)*(nASIG&lt;&gt;"Lenguaje Musical")*(nASIG&lt;&gt;"Coro")*(nASIG&lt;&gt;"Conjunto"),nNOTA)),""))</f>
        <v/>
      </c>
      <c r="N138" t="str">
        <f>IF(M138="","",IFERROR(AVERAGEIFS(nNOTA,nNIA,M138,nEVAL,CONFIG_METADATA!$B$4,nASIG,"Lenguaje Musical"),""))</f>
        <v/>
      </c>
      <c r="O138" t="str">
        <f>IF(M138="","",IFERROR(AVERAGEIFS(nNOTA,nNIA,M138,nEVAL,CONFIG_METADATA!$B$4,nASIG,"Coro"),""))</f>
        <v/>
      </c>
      <c r="P138" t="str">
        <f>IF(M138="","",IFERROR(AVERAGEIFS(nNOTA,nNIA,M138,nEVAL,CONFIG_METADATA!$B$4,nASIG,"Conjunto"),""))</f>
        <v/>
      </c>
      <c r="Q138" t="str" cm="1">
        <f t="array" ref="Q138">IF(M138="","",IFERROR(AVERAGE(IF((nNIA=M138)*(nEVAL=CONFIG_METADATA!$B$4)*(nASIG&lt;&gt;"Lenguaje Musical")*(nASIG&lt;&gt;"Coro")*(nASIG&lt;&gt;"Conjunto"),nNOTA)),""))</f>
        <v/>
      </c>
      <c r="T138" t="str">
        <f>IF(S138="","",IFERROR(AVERAGEIFS(nNOTA,nNIA,S138,nEVAL,CONFIG_METADATA!$B$4,nASIG,"Lenguaje Musical"),""))</f>
        <v/>
      </c>
      <c r="U138" t="str">
        <f>IF(S138="","",IFERROR(AVERAGEIFS(nNOTA,nNIA,S138,nEVAL,CONFIG_METADATA!$B$4,nASIG,"Coro"),""))</f>
        <v/>
      </c>
      <c r="V138" t="str">
        <f>IF(S138="","",IFERROR(AVERAGEIFS(nNOTA,nNIA,S138,nEVAL,CONFIG_METADATA!$B$4,nASIG,"Conjunto"),""))</f>
        <v/>
      </c>
      <c r="W138" t="str" cm="1">
        <f t="array" ref="W138">IF(S138="","",IFERROR(AVERAGE(IF((nNIA=S138)*(nEVAL=CONFIG_METADATA!$B$4)*(nASIG&lt;&gt;"Lenguaje Musical")*(nASIG&lt;&gt;"Coro")*(nASIG&lt;&gt;"Conjunto"),nNOTA)),""))</f>
        <v/>
      </c>
    </row>
    <row r="139" spans="2:23" x14ac:dyDescent="0.2">
      <c r="B139" t="str">
        <f>IF(A139="","",IFERROR(AVERAGEIFS(nNOTA,nNIA,A139,nEVAL,CONFIG_METADATA!$B$4,nASIG,"Lenguaje Musical"),""))</f>
        <v/>
      </c>
      <c r="C139" t="str">
        <f>IF(A139="","",IFERROR(AVERAGEIFS(nNOTA,nNIA,A139,nEVAL,CONFIG_METADATA!$B$4,nASIG,"Coro"),""))</f>
        <v/>
      </c>
      <c r="D139" t="str">
        <f>IF(A139="","",IFERROR(AVERAGEIFS(nNOTA,nNIA,A139,nEVAL,CONFIG_METADATA!$B$4,nASIG,"Conjunto"),""))</f>
        <v/>
      </c>
      <c r="E139" t="str" cm="1">
        <f t="array" ref="E139">IF(A139="","",IFERROR(AVERAGE(IF((nNIA=A139)*(nEVAL=CONFIG_METADATA!$B$4)*(nASIG&lt;&gt;"Lenguaje Musical")*(nASIG&lt;&gt;"Coro")*(nASIG&lt;&gt;"Conjunto"),nNOTA)),""))</f>
        <v/>
      </c>
      <c r="H139" t="str">
        <f>IF(G139="","",IFERROR(AVERAGEIFS(nNOTA,nNIA,G139,nEVAL,CONFIG_METADATA!$B$4,nASIG,"Lenguaje Musical"),""))</f>
        <v/>
      </c>
      <c r="I139" t="str">
        <f>IF(G139="","",IFERROR(AVERAGEIFS(nNOTA,nNIA,G139,nEVAL,CONFIG_METADATA!$B$4,nASIG,"Coro"),""))</f>
        <v/>
      </c>
      <c r="J139" t="str">
        <f>IF(G139="","",IFERROR(AVERAGEIFS(nNOTA,nNIA,G139,nEVAL,CONFIG_METADATA!$B$4,nASIG,"Conjunto"),""))</f>
        <v/>
      </c>
      <c r="K139" t="str" cm="1">
        <f t="array" ref="K139">IF(G139="","",IFERROR(AVERAGE(IF((nNIA=G139)*(nEVAL=CONFIG_METADATA!$B$4)*(nASIG&lt;&gt;"Lenguaje Musical")*(nASIG&lt;&gt;"Coro")*(nASIG&lt;&gt;"Conjunto"),nNOTA)),""))</f>
        <v/>
      </c>
      <c r="N139" t="str">
        <f>IF(M139="","",IFERROR(AVERAGEIFS(nNOTA,nNIA,M139,nEVAL,CONFIG_METADATA!$B$4,nASIG,"Lenguaje Musical"),""))</f>
        <v/>
      </c>
      <c r="O139" t="str">
        <f>IF(M139="","",IFERROR(AVERAGEIFS(nNOTA,nNIA,M139,nEVAL,CONFIG_METADATA!$B$4,nASIG,"Coro"),""))</f>
        <v/>
      </c>
      <c r="P139" t="str">
        <f>IF(M139="","",IFERROR(AVERAGEIFS(nNOTA,nNIA,M139,nEVAL,CONFIG_METADATA!$B$4,nASIG,"Conjunto"),""))</f>
        <v/>
      </c>
      <c r="Q139" t="str" cm="1">
        <f t="array" ref="Q139">IF(M139="","",IFERROR(AVERAGE(IF((nNIA=M139)*(nEVAL=CONFIG_METADATA!$B$4)*(nASIG&lt;&gt;"Lenguaje Musical")*(nASIG&lt;&gt;"Coro")*(nASIG&lt;&gt;"Conjunto"),nNOTA)),""))</f>
        <v/>
      </c>
      <c r="T139" t="str">
        <f>IF(S139="","",IFERROR(AVERAGEIFS(nNOTA,nNIA,S139,nEVAL,CONFIG_METADATA!$B$4,nASIG,"Lenguaje Musical"),""))</f>
        <v/>
      </c>
      <c r="U139" t="str">
        <f>IF(S139="","",IFERROR(AVERAGEIFS(nNOTA,nNIA,S139,nEVAL,CONFIG_METADATA!$B$4,nASIG,"Coro"),""))</f>
        <v/>
      </c>
      <c r="V139" t="str">
        <f>IF(S139="","",IFERROR(AVERAGEIFS(nNOTA,nNIA,S139,nEVAL,CONFIG_METADATA!$B$4,nASIG,"Conjunto"),""))</f>
        <v/>
      </c>
      <c r="W139" t="str" cm="1">
        <f t="array" ref="W139">IF(S139="","",IFERROR(AVERAGE(IF((nNIA=S139)*(nEVAL=CONFIG_METADATA!$B$4)*(nASIG&lt;&gt;"Lenguaje Musical")*(nASIG&lt;&gt;"Coro")*(nASIG&lt;&gt;"Conjunto"),nNOTA)),""))</f>
        <v/>
      </c>
    </row>
    <row r="140" spans="2:23" x14ac:dyDescent="0.2">
      <c r="B140" t="str">
        <f>IF(A140="","",IFERROR(AVERAGEIFS(nNOTA,nNIA,A140,nEVAL,CONFIG_METADATA!$B$4,nASIG,"Lenguaje Musical"),""))</f>
        <v/>
      </c>
      <c r="C140" t="str">
        <f>IF(A140="","",IFERROR(AVERAGEIFS(nNOTA,nNIA,A140,nEVAL,CONFIG_METADATA!$B$4,nASIG,"Coro"),""))</f>
        <v/>
      </c>
      <c r="D140" t="str">
        <f>IF(A140="","",IFERROR(AVERAGEIFS(nNOTA,nNIA,A140,nEVAL,CONFIG_METADATA!$B$4,nASIG,"Conjunto"),""))</f>
        <v/>
      </c>
      <c r="E140" t="str" cm="1">
        <f t="array" ref="E140">IF(A140="","",IFERROR(AVERAGE(IF((nNIA=A140)*(nEVAL=CONFIG_METADATA!$B$4)*(nASIG&lt;&gt;"Lenguaje Musical")*(nASIG&lt;&gt;"Coro")*(nASIG&lt;&gt;"Conjunto"),nNOTA)),""))</f>
        <v/>
      </c>
      <c r="H140" t="str">
        <f>IF(G140="","",IFERROR(AVERAGEIFS(nNOTA,nNIA,G140,nEVAL,CONFIG_METADATA!$B$4,nASIG,"Lenguaje Musical"),""))</f>
        <v/>
      </c>
      <c r="I140" t="str">
        <f>IF(G140="","",IFERROR(AVERAGEIFS(nNOTA,nNIA,G140,nEVAL,CONFIG_METADATA!$B$4,nASIG,"Coro"),""))</f>
        <v/>
      </c>
      <c r="J140" t="str">
        <f>IF(G140="","",IFERROR(AVERAGEIFS(nNOTA,nNIA,G140,nEVAL,CONFIG_METADATA!$B$4,nASIG,"Conjunto"),""))</f>
        <v/>
      </c>
      <c r="K140" t="str" cm="1">
        <f t="array" ref="K140">IF(G140="","",IFERROR(AVERAGE(IF((nNIA=G140)*(nEVAL=CONFIG_METADATA!$B$4)*(nASIG&lt;&gt;"Lenguaje Musical")*(nASIG&lt;&gt;"Coro")*(nASIG&lt;&gt;"Conjunto"),nNOTA)),""))</f>
        <v/>
      </c>
      <c r="N140" t="str">
        <f>IF(M140="","",IFERROR(AVERAGEIFS(nNOTA,nNIA,M140,nEVAL,CONFIG_METADATA!$B$4,nASIG,"Lenguaje Musical"),""))</f>
        <v/>
      </c>
      <c r="O140" t="str">
        <f>IF(M140="","",IFERROR(AVERAGEIFS(nNOTA,nNIA,M140,nEVAL,CONFIG_METADATA!$B$4,nASIG,"Coro"),""))</f>
        <v/>
      </c>
      <c r="P140" t="str">
        <f>IF(M140="","",IFERROR(AVERAGEIFS(nNOTA,nNIA,M140,nEVAL,CONFIG_METADATA!$B$4,nASIG,"Conjunto"),""))</f>
        <v/>
      </c>
      <c r="Q140" t="str" cm="1">
        <f t="array" ref="Q140">IF(M140="","",IFERROR(AVERAGE(IF((nNIA=M140)*(nEVAL=CONFIG_METADATA!$B$4)*(nASIG&lt;&gt;"Lenguaje Musical")*(nASIG&lt;&gt;"Coro")*(nASIG&lt;&gt;"Conjunto"),nNOTA)),""))</f>
        <v/>
      </c>
      <c r="T140" t="str">
        <f>IF(S140="","",IFERROR(AVERAGEIFS(nNOTA,nNIA,S140,nEVAL,CONFIG_METADATA!$B$4,nASIG,"Lenguaje Musical"),""))</f>
        <v/>
      </c>
      <c r="U140" t="str">
        <f>IF(S140="","",IFERROR(AVERAGEIFS(nNOTA,nNIA,S140,nEVAL,CONFIG_METADATA!$B$4,nASIG,"Coro"),""))</f>
        <v/>
      </c>
      <c r="V140" t="str">
        <f>IF(S140="","",IFERROR(AVERAGEIFS(nNOTA,nNIA,S140,nEVAL,CONFIG_METADATA!$B$4,nASIG,"Conjunto"),""))</f>
        <v/>
      </c>
      <c r="W140" t="str" cm="1">
        <f t="array" ref="W140">IF(S140="","",IFERROR(AVERAGE(IF((nNIA=S140)*(nEVAL=CONFIG_METADATA!$B$4)*(nASIG&lt;&gt;"Lenguaje Musical")*(nASIG&lt;&gt;"Coro")*(nASIG&lt;&gt;"Conjunto"),nNOTA)),""))</f>
        <v/>
      </c>
    </row>
    <row r="141" spans="2:23" x14ac:dyDescent="0.2">
      <c r="B141" t="str">
        <f>IF(A141="","",IFERROR(AVERAGEIFS(nNOTA,nNIA,A141,nEVAL,CONFIG_METADATA!$B$4,nASIG,"Lenguaje Musical"),""))</f>
        <v/>
      </c>
      <c r="C141" t="str">
        <f>IF(A141="","",IFERROR(AVERAGEIFS(nNOTA,nNIA,A141,nEVAL,CONFIG_METADATA!$B$4,nASIG,"Coro"),""))</f>
        <v/>
      </c>
      <c r="D141" t="str">
        <f>IF(A141="","",IFERROR(AVERAGEIFS(nNOTA,nNIA,A141,nEVAL,CONFIG_METADATA!$B$4,nASIG,"Conjunto"),""))</f>
        <v/>
      </c>
      <c r="E141" t="str" cm="1">
        <f t="array" ref="E141">IF(A141="","",IFERROR(AVERAGE(IF((nNIA=A141)*(nEVAL=CONFIG_METADATA!$B$4)*(nASIG&lt;&gt;"Lenguaje Musical")*(nASIG&lt;&gt;"Coro")*(nASIG&lt;&gt;"Conjunto"),nNOTA)),""))</f>
        <v/>
      </c>
      <c r="H141" t="str">
        <f>IF(G141="","",IFERROR(AVERAGEIFS(nNOTA,nNIA,G141,nEVAL,CONFIG_METADATA!$B$4,nASIG,"Lenguaje Musical"),""))</f>
        <v/>
      </c>
      <c r="I141" t="str">
        <f>IF(G141="","",IFERROR(AVERAGEIFS(nNOTA,nNIA,G141,nEVAL,CONFIG_METADATA!$B$4,nASIG,"Coro"),""))</f>
        <v/>
      </c>
      <c r="J141" t="str">
        <f>IF(G141="","",IFERROR(AVERAGEIFS(nNOTA,nNIA,G141,nEVAL,CONFIG_METADATA!$B$4,nASIG,"Conjunto"),""))</f>
        <v/>
      </c>
      <c r="K141" t="str" cm="1">
        <f t="array" ref="K141">IF(G141="","",IFERROR(AVERAGE(IF((nNIA=G141)*(nEVAL=CONFIG_METADATA!$B$4)*(nASIG&lt;&gt;"Lenguaje Musical")*(nASIG&lt;&gt;"Coro")*(nASIG&lt;&gt;"Conjunto"),nNOTA)),""))</f>
        <v/>
      </c>
      <c r="N141" t="str">
        <f>IF(M141="","",IFERROR(AVERAGEIFS(nNOTA,nNIA,M141,nEVAL,CONFIG_METADATA!$B$4,nASIG,"Lenguaje Musical"),""))</f>
        <v/>
      </c>
      <c r="O141" t="str">
        <f>IF(M141="","",IFERROR(AVERAGEIFS(nNOTA,nNIA,M141,nEVAL,CONFIG_METADATA!$B$4,nASIG,"Coro"),""))</f>
        <v/>
      </c>
      <c r="P141" t="str">
        <f>IF(M141="","",IFERROR(AVERAGEIFS(nNOTA,nNIA,M141,nEVAL,CONFIG_METADATA!$B$4,nASIG,"Conjunto"),""))</f>
        <v/>
      </c>
      <c r="Q141" t="str" cm="1">
        <f t="array" ref="Q141">IF(M141="","",IFERROR(AVERAGE(IF((nNIA=M141)*(nEVAL=CONFIG_METADATA!$B$4)*(nASIG&lt;&gt;"Lenguaje Musical")*(nASIG&lt;&gt;"Coro")*(nASIG&lt;&gt;"Conjunto"),nNOTA)),""))</f>
        <v/>
      </c>
      <c r="T141" t="str">
        <f>IF(S141="","",IFERROR(AVERAGEIFS(nNOTA,nNIA,S141,nEVAL,CONFIG_METADATA!$B$4,nASIG,"Lenguaje Musical"),""))</f>
        <v/>
      </c>
      <c r="U141" t="str">
        <f>IF(S141="","",IFERROR(AVERAGEIFS(nNOTA,nNIA,S141,nEVAL,CONFIG_METADATA!$B$4,nASIG,"Coro"),""))</f>
        <v/>
      </c>
      <c r="V141" t="str">
        <f>IF(S141="","",IFERROR(AVERAGEIFS(nNOTA,nNIA,S141,nEVAL,CONFIG_METADATA!$B$4,nASIG,"Conjunto"),""))</f>
        <v/>
      </c>
      <c r="W141" t="str" cm="1">
        <f t="array" ref="W141">IF(S141="","",IFERROR(AVERAGE(IF((nNIA=S141)*(nEVAL=CONFIG_METADATA!$B$4)*(nASIG&lt;&gt;"Lenguaje Musical")*(nASIG&lt;&gt;"Coro")*(nASIG&lt;&gt;"Conjunto"),nNOTA)),""))</f>
        <v/>
      </c>
    </row>
    <row r="142" spans="2:23" x14ac:dyDescent="0.2">
      <c r="B142" t="str">
        <f>IF(A142="","",IFERROR(AVERAGEIFS(nNOTA,nNIA,A142,nEVAL,CONFIG_METADATA!$B$4,nASIG,"Lenguaje Musical"),""))</f>
        <v/>
      </c>
      <c r="C142" t="str">
        <f>IF(A142="","",IFERROR(AVERAGEIFS(nNOTA,nNIA,A142,nEVAL,CONFIG_METADATA!$B$4,nASIG,"Coro"),""))</f>
        <v/>
      </c>
      <c r="D142" t="str">
        <f>IF(A142="","",IFERROR(AVERAGEIFS(nNOTA,nNIA,A142,nEVAL,CONFIG_METADATA!$B$4,nASIG,"Conjunto"),""))</f>
        <v/>
      </c>
      <c r="E142" t="str" cm="1">
        <f t="array" ref="E142">IF(A142="","",IFERROR(AVERAGE(IF((nNIA=A142)*(nEVAL=CONFIG_METADATA!$B$4)*(nASIG&lt;&gt;"Lenguaje Musical")*(nASIG&lt;&gt;"Coro")*(nASIG&lt;&gt;"Conjunto"),nNOTA)),""))</f>
        <v/>
      </c>
      <c r="H142" t="str">
        <f>IF(G142="","",IFERROR(AVERAGEIFS(nNOTA,nNIA,G142,nEVAL,CONFIG_METADATA!$B$4,nASIG,"Lenguaje Musical"),""))</f>
        <v/>
      </c>
      <c r="I142" t="str">
        <f>IF(G142="","",IFERROR(AVERAGEIFS(nNOTA,nNIA,G142,nEVAL,CONFIG_METADATA!$B$4,nASIG,"Coro"),""))</f>
        <v/>
      </c>
      <c r="J142" t="str">
        <f>IF(G142="","",IFERROR(AVERAGEIFS(nNOTA,nNIA,G142,nEVAL,CONFIG_METADATA!$B$4,nASIG,"Conjunto"),""))</f>
        <v/>
      </c>
      <c r="K142" t="str" cm="1">
        <f t="array" ref="K142">IF(G142="","",IFERROR(AVERAGE(IF((nNIA=G142)*(nEVAL=CONFIG_METADATA!$B$4)*(nASIG&lt;&gt;"Lenguaje Musical")*(nASIG&lt;&gt;"Coro")*(nASIG&lt;&gt;"Conjunto"),nNOTA)),""))</f>
        <v/>
      </c>
      <c r="N142" t="str">
        <f>IF(M142="","",IFERROR(AVERAGEIFS(nNOTA,nNIA,M142,nEVAL,CONFIG_METADATA!$B$4,nASIG,"Lenguaje Musical"),""))</f>
        <v/>
      </c>
      <c r="O142" t="str">
        <f>IF(M142="","",IFERROR(AVERAGEIFS(nNOTA,nNIA,M142,nEVAL,CONFIG_METADATA!$B$4,nASIG,"Coro"),""))</f>
        <v/>
      </c>
      <c r="P142" t="str">
        <f>IF(M142="","",IFERROR(AVERAGEIFS(nNOTA,nNIA,M142,nEVAL,CONFIG_METADATA!$B$4,nASIG,"Conjunto"),""))</f>
        <v/>
      </c>
      <c r="Q142" t="str" cm="1">
        <f t="array" ref="Q142">IF(M142="","",IFERROR(AVERAGE(IF((nNIA=M142)*(nEVAL=CONFIG_METADATA!$B$4)*(nASIG&lt;&gt;"Lenguaje Musical")*(nASIG&lt;&gt;"Coro")*(nASIG&lt;&gt;"Conjunto"),nNOTA)),""))</f>
        <v/>
      </c>
      <c r="T142" t="str">
        <f>IF(S142="","",IFERROR(AVERAGEIFS(nNOTA,nNIA,S142,nEVAL,CONFIG_METADATA!$B$4,nASIG,"Lenguaje Musical"),""))</f>
        <v/>
      </c>
      <c r="U142" t="str">
        <f>IF(S142="","",IFERROR(AVERAGEIFS(nNOTA,nNIA,S142,nEVAL,CONFIG_METADATA!$B$4,nASIG,"Coro"),""))</f>
        <v/>
      </c>
      <c r="V142" t="str">
        <f>IF(S142="","",IFERROR(AVERAGEIFS(nNOTA,nNIA,S142,nEVAL,CONFIG_METADATA!$B$4,nASIG,"Conjunto"),""))</f>
        <v/>
      </c>
      <c r="W142" t="str" cm="1">
        <f t="array" ref="W142">IF(S142="","",IFERROR(AVERAGE(IF((nNIA=S142)*(nEVAL=CONFIG_METADATA!$B$4)*(nASIG&lt;&gt;"Lenguaje Musical")*(nASIG&lt;&gt;"Coro")*(nASIG&lt;&gt;"Conjunto"),nNOTA)),""))</f>
        <v/>
      </c>
    </row>
    <row r="143" spans="2:23" x14ac:dyDescent="0.2">
      <c r="B143" t="str">
        <f>IF(A143="","",IFERROR(AVERAGEIFS(nNOTA,nNIA,A143,nEVAL,CONFIG_METADATA!$B$4,nASIG,"Lenguaje Musical"),""))</f>
        <v/>
      </c>
      <c r="C143" t="str">
        <f>IF(A143="","",IFERROR(AVERAGEIFS(nNOTA,nNIA,A143,nEVAL,CONFIG_METADATA!$B$4,nASIG,"Coro"),""))</f>
        <v/>
      </c>
      <c r="D143" t="str">
        <f>IF(A143="","",IFERROR(AVERAGEIFS(nNOTA,nNIA,A143,nEVAL,CONFIG_METADATA!$B$4,nASIG,"Conjunto"),""))</f>
        <v/>
      </c>
      <c r="E143" t="str" cm="1">
        <f t="array" ref="E143">IF(A143="","",IFERROR(AVERAGE(IF((nNIA=A143)*(nEVAL=CONFIG_METADATA!$B$4)*(nASIG&lt;&gt;"Lenguaje Musical")*(nASIG&lt;&gt;"Coro")*(nASIG&lt;&gt;"Conjunto"),nNOTA)),""))</f>
        <v/>
      </c>
      <c r="H143" t="str">
        <f>IF(G143="","",IFERROR(AVERAGEIFS(nNOTA,nNIA,G143,nEVAL,CONFIG_METADATA!$B$4,nASIG,"Lenguaje Musical"),""))</f>
        <v/>
      </c>
      <c r="I143" t="str">
        <f>IF(G143="","",IFERROR(AVERAGEIFS(nNOTA,nNIA,G143,nEVAL,CONFIG_METADATA!$B$4,nASIG,"Coro"),""))</f>
        <v/>
      </c>
      <c r="J143" t="str">
        <f>IF(G143="","",IFERROR(AVERAGEIFS(nNOTA,nNIA,G143,nEVAL,CONFIG_METADATA!$B$4,nASIG,"Conjunto"),""))</f>
        <v/>
      </c>
      <c r="K143" t="str" cm="1">
        <f t="array" ref="K143">IF(G143="","",IFERROR(AVERAGE(IF((nNIA=G143)*(nEVAL=CONFIG_METADATA!$B$4)*(nASIG&lt;&gt;"Lenguaje Musical")*(nASIG&lt;&gt;"Coro")*(nASIG&lt;&gt;"Conjunto"),nNOTA)),""))</f>
        <v/>
      </c>
      <c r="N143" t="str">
        <f>IF(M143="","",IFERROR(AVERAGEIFS(nNOTA,nNIA,M143,nEVAL,CONFIG_METADATA!$B$4,nASIG,"Lenguaje Musical"),""))</f>
        <v/>
      </c>
      <c r="O143" t="str">
        <f>IF(M143="","",IFERROR(AVERAGEIFS(nNOTA,nNIA,M143,nEVAL,CONFIG_METADATA!$B$4,nASIG,"Coro"),""))</f>
        <v/>
      </c>
      <c r="P143" t="str">
        <f>IF(M143="","",IFERROR(AVERAGEIFS(nNOTA,nNIA,M143,nEVAL,CONFIG_METADATA!$B$4,nASIG,"Conjunto"),""))</f>
        <v/>
      </c>
      <c r="Q143" t="str" cm="1">
        <f t="array" ref="Q143">IF(M143="","",IFERROR(AVERAGE(IF((nNIA=M143)*(nEVAL=CONFIG_METADATA!$B$4)*(nASIG&lt;&gt;"Lenguaje Musical")*(nASIG&lt;&gt;"Coro")*(nASIG&lt;&gt;"Conjunto"),nNOTA)),""))</f>
        <v/>
      </c>
      <c r="T143" t="str">
        <f>IF(S143="","",IFERROR(AVERAGEIFS(nNOTA,nNIA,S143,nEVAL,CONFIG_METADATA!$B$4,nASIG,"Lenguaje Musical"),""))</f>
        <v/>
      </c>
      <c r="U143" t="str">
        <f>IF(S143="","",IFERROR(AVERAGEIFS(nNOTA,nNIA,S143,nEVAL,CONFIG_METADATA!$B$4,nASIG,"Coro"),""))</f>
        <v/>
      </c>
      <c r="V143" t="str">
        <f>IF(S143="","",IFERROR(AVERAGEIFS(nNOTA,nNIA,S143,nEVAL,CONFIG_METADATA!$B$4,nASIG,"Conjunto"),""))</f>
        <v/>
      </c>
      <c r="W143" t="str" cm="1">
        <f t="array" ref="W143">IF(S143="","",IFERROR(AVERAGE(IF((nNIA=S143)*(nEVAL=CONFIG_METADATA!$B$4)*(nASIG&lt;&gt;"Lenguaje Musical")*(nASIG&lt;&gt;"Coro")*(nASIG&lt;&gt;"Conjunto"),nNOTA)),""))</f>
        <v/>
      </c>
    </row>
    <row r="144" spans="2:23" x14ac:dyDescent="0.2">
      <c r="B144" t="str">
        <f>IF(A144="","",IFERROR(AVERAGEIFS(nNOTA,nNIA,A144,nEVAL,CONFIG_METADATA!$B$4,nASIG,"Lenguaje Musical"),""))</f>
        <v/>
      </c>
      <c r="C144" t="str">
        <f>IF(A144="","",IFERROR(AVERAGEIFS(nNOTA,nNIA,A144,nEVAL,CONFIG_METADATA!$B$4,nASIG,"Coro"),""))</f>
        <v/>
      </c>
      <c r="D144" t="str">
        <f>IF(A144="","",IFERROR(AVERAGEIFS(nNOTA,nNIA,A144,nEVAL,CONFIG_METADATA!$B$4,nASIG,"Conjunto"),""))</f>
        <v/>
      </c>
      <c r="E144" t="str" cm="1">
        <f t="array" ref="E144">IF(A144="","",IFERROR(AVERAGE(IF((nNIA=A144)*(nEVAL=CONFIG_METADATA!$B$4)*(nASIG&lt;&gt;"Lenguaje Musical")*(nASIG&lt;&gt;"Coro")*(nASIG&lt;&gt;"Conjunto"),nNOTA)),""))</f>
        <v/>
      </c>
      <c r="H144" t="str">
        <f>IF(G144="","",IFERROR(AVERAGEIFS(nNOTA,nNIA,G144,nEVAL,CONFIG_METADATA!$B$4,nASIG,"Lenguaje Musical"),""))</f>
        <v/>
      </c>
      <c r="I144" t="str">
        <f>IF(G144="","",IFERROR(AVERAGEIFS(nNOTA,nNIA,G144,nEVAL,CONFIG_METADATA!$B$4,nASIG,"Coro"),""))</f>
        <v/>
      </c>
      <c r="J144" t="str">
        <f>IF(G144="","",IFERROR(AVERAGEIFS(nNOTA,nNIA,G144,nEVAL,CONFIG_METADATA!$B$4,nASIG,"Conjunto"),""))</f>
        <v/>
      </c>
      <c r="K144" t="str" cm="1">
        <f t="array" ref="K144">IF(G144="","",IFERROR(AVERAGE(IF((nNIA=G144)*(nEVAL=CONFIG_METADATA!$B$4)*(nASIG&lt;&gt;"Lenguaje Musical")*(nASIG&lt;&gt;"Coro")*(nASIG&lt;&gt;"Conjunto"),nNOTA)),""))</f>
        <v/>
      </c>
      <c r="N144" t="str">
        <f>IF(M144="","",IFERROR(AVERAGEIFS(nNOTA,nNIA,M144,nEVAL,CONFIG_METADATA!$B$4,nASIG,"Lenguaje Musical"),""))</f>
        <v/>
      </c>
      <c r="O144" t="str">
        <f>IF(M144="","",IFERROR(AVERAGEIFS(nNOTA,nNIA,M144,nEVAL,CONFIG_METADATA!$B$4,nASIG,"Coro"),""))</f>
        <v/>
      </c>
      <c r="P144" t="str">
        <f>IF(M144="","",IFERROR(AVERAGEIFS(nNOTA,nNIA,M144,nEVAL,CONFIG_METADATA!$B$4,nASIG,"Conjunto"),""))</f>
        <v/>
      </c>
      <c r="Q144" t="str" cm="1">
        <f t="array" ref="Q144">IF(M144="","",IFERROR(AVERAGE(IF((nNIA=M144)*(nEVAL=CONFIG_METADATA!$B$4)*(nASIG&lt;&gt;"Lenguaje Musical")*(nASIG&lt;&gt;"Coro")*(nASIG&lt;&gt;"Conjunto"),nNOTA)),""))</f>
        <v/>
      </c>
      <c r="T144" t="str">
        <f>IF(S144="","",IFERROR(AVERAGEIFS(nNOTA,nNIA,S144,nEVAL,CONFIG_METADATA!$B$4,nASIG,"Lenguaje Musical"),""))</f>
        <v/>
      </c>
      <c r="U144" t="str">
        <f>IF(S144="","",IFERROR(AVERAGEIFS(nNOTA,nNIA,S144,nEVAL,CONFIG_METADATA!$B$4,nASIG,"Coro"),""))</f>
        <v/>
      </c>
      <c r="V144" t="str">
        <f>IF(S144="","",IFERROR(AVERAGEIFS(nNOTA,nNIA,S144,nEVAL,CONFIG_METADATA!$B$4,nASIG,"Conjunto"),""))</f>
        <v/>
      </c>
      <c r="W144" t="str" cm="1">
        <f t="array" ref="W144">IF(S144="","",IFERROR(AVERAGE(IF((nNIA=S144)*(nEVAL=CONFIG_METADATA!$B$4)*(nASIG&lt;&gt;"Lenguaje Musical")*(nASIG&lt;&gt;"Coro")*(nASIG&lt;&gt;"Conjunto"),nNOTA)),""))</f>
        <v/>
      </c>
    </row>
    <row r="145" spans="2:23" x14ac:dyDescent="0.2">
      <c r="B145" t="str">
        <f>IF(A145="","",IFERROR(AVERAGEIFS(nNOTA,nNIA,A145,nEVAL,CONFIG_METADATA!$B$4,nASIG,"Lenguaje Musical"),""))</f>
        <v/>
      </c>
      <c r="C145" t="str">
        <f>IF(A145="","",IFERROR(AVERAGEIFS(nNOTA,nNIA,A145,nEVAL,CONFIG_METADATA!$B$4,nASIG,"Coro"),""))</f>
        <v/>
      </c>
      <c r="D145" t="str">
        <f>IF(A145="","",IFERROR(AVERAGEIFS(nNOTA,nNIA,A145,nEVAL,CONFIG_METADATA!$B$4,nASIG,"Conjunto"),""))</f>
        <v/>
      </c>
      <c r="E145" t="str" cm="1">
        <f t="array" ref="E145">IF(A145="","",IFERROR(AVERAGE(IF((nNIA=A145)*(nEVAL=CONFIG_METADATA!$B$4)*(nASIG&lt;&gt;"Lenguaje Musical")*(nASIG&lt;&gt;"Coro")*(nASIG&lt;&gt;"Conjunto"),nNOTA)),""))</f>
        <v/>
      </c>
      <c r="H145" t="str">
        <f>IF(G145="","",IFERROR(AVERAGEIFS(nNOTA,nNIA,G145,nEVAL,CONFIG_METADATA!$B$4,nASIG,"Lenguaje Musical"),""))</f>
        <v/>
      </c>
      <c r="I145" t="str">
        <f>IF(G145="","",IFERROR(AVERAGEIFS(nNOTA,nNIA,G145,nEVAL,CONFIG_METADATA!$B$4,nASIG,"Coro"),""))</f>
        <v/>
      </c>
      <c r="J145" t="str">
        <f>IF(G145="","",IFERROR(AVERAGEIFS(nNOTA,nNIA,G145,nEVAL,CONFIG_METADATA!$B$4,nASIG,"Conjunto"),""))</f>
        <v/>
      </c>
      <c r="K145" t="str" cm="1">
        <f t="array" ref="K145">IF(G145="","",IFERROR(AVERAGE(IF((nNIA=G145)*(nEVAL=CONFIG_METADATA!$B$4)*(nASIG&lt;&gt;"Lenguaje Musical")*(nASIG&lt;&gt;"Coro")*(nASIG&lt;&gt;"Conjunto"),nNOTA)),""))</f>
        <v/>
      </c>
      <c r="N145" t="str">
        <f>IF(M145="","",IFERROR(AVERAGEIFS(nNOTA,nNIA,M145,nEVAL,CONFIG_METADATA!$B$4,nASIG,"Lenguaje Musical"),""))</f>
        <v/>
      </c>
      <c r="O145" t="str">
        <f>IF(M145="","",IFERROR(AVERAGEIFS(nNOTA,nNIA,M145,nEVAL,CONFIG_METADATA!$B$4,nASIG,"Coro"),""))</f>
        <v/>
      </c>
      <c r="P145" t="str">
        <f>IF(M145="","",IFERROR(AVERAGEIFS(nNOTA,nNIA,M145,nEVAL,CONFIG_METADATA!$B$4,nASIG,"Conjunto"),""))</f>
        <v/>
      </c>
      <c r="Q145" t="str" cm="1">
        <f t="array" ref="Q145">IF(M145="","",IFERROR(AVERAGE(IF((nNIA=M145)*(nEVAL=CONFIG_METADATA!$B$4)*(nASIG&lt;&gt;"Lenguaje Musical")*(nASIG&lt;&gt;"Coro")*(nASIG&lt;&gt;"Conjunto"),nNOTA)),""))</f>
        <v/>
      </c>
      <c r="T145" t="str">
        <f>IF(S145="","",IFERROR(AVERAGEIFS(nNOTA,nNIA,S145,nEVAL,CONFIG_METADATA!$B$4,nASIG,"Lenguaje Musical"),""))</f>
        <v/>
      </c>
      <c r="U145" t="str">
        <f>IF(S145="","",IFERROR(AVERAGEIFS(nNOTA,nNIA,S145,nEVAL,CONFIG_METADATA!$B$4,nASIG,"Coro"),""))</f>
        <v/>
      </c>
      <c r="V145" t="str">
        <f>IF(S145="","",IFERROR(AVERAGEIFS(nNOTA,nNIA,S145,nEVAL,CONFIG_METADATA!$B$4,nASIG,"Conjunto"),""))</f>
        <v/>
      </c>
      <c r="W145" t="str" cm="1">
        <f t="array" ref="W145">IF(S145="","",IFERROR(AVERAGE(IF((nNIA=S145)*(nEVAL=CONFIG_METADATA!$B$4)*(nASIG&lt;&gt;"Lenguaje Musical")*(nASIG&lt;&gt;"Coro")*(nASIG&lt;&gt;"Conjunto"),nNOTA)),""))</f>
        <v/>
      </c>
    </row>
    <row r="146" spans="2:23" x14ac:dyDescent="0.2">
      <c r="B146" t="str">
        <f>IF(A146="","",IFERROR(AVERAGEIFS(nNOTA,nNIA,A146,nEVAL,CONFIG_METADATA!$B$4,nASIG,"Lenguaje Musical"),""))</f>
        <v/>
      </c>
      <c r="C146" t="str">
        <f>IF(A146="","",IFERROR(AVERAGEIFS(nNOTA,nNIA,A146,nEVAL,CONFIG_METADATA!$B$4,nASIG,"Coro"),""))</f>
        <v/>
      </c>
      <c r="D146" t="str">
        <f>IF(A146="","",IFERROR(AVERAGEIFS(nNOTA,nNIA,A146,nEVAL,CONFIG_METADATA!$B$4,nASIG,"Conjunto"),""))</f>
        <v/>
      </c>
      <c r="E146" t="str" cm="1">
        <f t="array" ref="E146">IF(A146="","",IFERROR(AVERAGE(IF((nNIA=A146)*(nEVAL=CONFIG_METADATA!$B$4)*(nASIG&lt;&gt;"Lenguaje Musical")*(nASIG&lt;&gt;"Coro")*(nASIG&lt;&gt;"Conjunto"),nNOTA)),""))</f>
        <v/>
      </c>
      <c r="H146" t="str">
        <f>IF(G146="","",IFERROR(AVERAGEIFS(nNOTA,nNIA,G146,nEVAL,CONFIG_METADATA!$B$4,nASIG,"Lenguaje Musical"),""))</f>
        <v/>
      </c>
      <c r="I146" t="str">
        <f>IF(G146="","",IFERROR(AVERAGEIFS(nNOTA,nNIA,G146,nEVAL,CONFIG_METADATA!$B$4,nASIG,"Coro"),""))</f>
        <v/>
      </c>
      <c r="J146" t="str">
        <f>IF(G146="","",IFERROR(AVERAGEIFS(nNOTA,nNIA,G146,nEVAL,CONFIG_METADATA!$B$4,nASIG,"Conjunto"),""))</f>
        <v/>
      </c>
      <c r="K146" t="str" cm="1">
        <f t="array" ref="K146">IF(G146="","",IFERROR(AVERAGE(IF((nNIA=G146)*(nEVAL=CONFIG_METADATA!$B$4)*(nASIG&lt;&gt;"Lenguaje Musical")*(nASIG&lt;&gt;"Coro")*(nASIG&lt;&gt;"Conjunto"),nNOTA)),""))</f>
        <v/>
      </c>
      <c r="N146" t="str">
        <f>IF(M146="","",IFERROR(AVERAGEIFS(nNOTA,nNIA,M146,nEVAL,CONFIG_METADATA!$B$4,nASIG,"Lenguaje Musical"),""))</f>
        <v/>
      </c>
      <c r="O146" t="str">
        <f>IF(M146="","",IFERROR(AVERAGEIFS(nNOTA,nNIA,M146,nEVAL,CONFIG_METADATA!$B$4,nASIG,"Coro"),""))</f>
        <v/>
      </c>
      <c r="P146" t="str">
        <f>IF(M146="","",IFERROR(AVERAGEIFS(nNOTA,nNIA,M146,nEVAL,CONFIG_METADATA!$B$4,nASIG,"Conjunto"),""))</f>
        <v/>
      </c>
      <c r="Q146" t="str" cm="1">
        <f t="array" ref="Q146">IF(M146="","",IFERROR(AVERAGE(IF((nNIA=M146)*(nEVAL=CONFIG_METADATA!$B$4)*(nASIG&lt;&gt;"Lenguaje Musical")*(nASIG&lt;&gt;"Coro")*(nASIG&lt;&gt;"Conjunto"),nNOTA)),""))</f>
        <v/>
      </c>
      <c r="T146" t="str">
        <f>IF(S146="","",IFERROR(AVERAGEIFS(nNOTA,nNIA,S146,nEVAL,CONFIG_METADATA!$B$4,nASIG,"Lenguaje Musical"),""))</f>
        <v/>
      </c>
      <c r="U146" t="str">
        <f>IF(S146="","",IFERROR(AVERAGEIFS(nNOTA,nNIA,S146,nEVAL,CONFIG_METADATA!$B$4,nASIG,"Coro"),""))</f>
        <v/>
      </c>
      <c r="V146" t="str">
        <f>IF(S146="","",IFERROR(AVERAGEIFS(nNOTA,nNIA,S146,nEVAL,CONFIG_METADATA!$B$4,nASIG,"Conjunto"),""))</f>
        <v/>
      </c>
      <c r="W146" t="str" cm="1">
        <f t="array" ref="W146">IF(S146="","",IFERROR(AVERAGE(IF((nNIA=S146)*(nEVAL=CONFIG_METADATA!$B$4)*(nASIG&lt;&gt;"Lenguaje Musical")*(nASIG&lt;&gt;"Coro")*(nASIG&lt;&gt;"Conjunto"),nNOTA)),""))</f>
        <v/>
      </c>
    </row>
    <row r="147" spans="2:23" x14ac:dyDescent="0.2">
      <c r="B147" t="str">
        <f>IF(A147="","",IFERROR(AVERAGEIFS(nNOTA,nNIA,A147,nEVAL,CONFIG_METADATA!$B$4,nASIG,"Lenguaje Musical"),""))</f>
        <v/>
      </c>
      <c r="C147" t="str">
        <f>IF(A147="","",IFERROR(AVERAGEIFS(nNOTA,nNIA,A147,nEVAL,CONFIG_METADATA!$B$4,nASIG,"Coro"),""))</f>
        <v/>
      </c>
      <c r="D147" t="str">
        <f>IF(A147="","",IFERROR(AVERAGEIFS(nNOTA,nNIA,A147,nEVAL,CONFIG_METADATA!$B$4,nASIG,"Conjunto"),""))</f>
        <v/>
      </c>
      <c r="E147" t="str" cm="1">
        <f t="array" ref="E147">IF(A147="","",IFERROR(AVERAGE(IF((nNIA=A147)*(nEVAL=CONFIG_METADATA!$B$4)*(nASIG&lt;&gt;"Lenguaje Musical")*(nASIG&lt;&gt;"Coro")*(nASIG&lt;&gt;"Conjunto"),nNOTA)),""))</f>
        <v/>
      </c>
      <c r="H147" t="str">
        <f>IF(G147="","",IFERROR(AVERAGEIFS(nNOTA,nNIA,G147,nEVAL,CONFIG_METADATA!$B$4,nASIG,"Lenguaje Musical"),""))</f>
        <v/>
      </c>
      <c r="I147" t="str">
        <f>IF(G147="","",IFERROR(AVERAGEIFS(nNOTA,nNIA,G147,nEVAL,CONFIG_METADATA!$B$4,nASIG,"Coro"),""))</f>
        <v/>
      </c>
      <c r="J147" t="str">
        <f>IF(G147="","",IFERROR(AVERAGEIFS(nNOTA,nNIA,G147,nEVAL,CONFIG_METADATA!$B$4,nASIG,"Conjunto"),""))</f>
        <v/>
      </c>
      <c r="K147" t="str" cm="1">
        <f t="array" ref="K147">IF(G147="","",IFERROR(AVERAGE(IF((nNIA=G147)*(nEVAL=CONFIG_METADATA!$B$4)*(nASIG&lt;&gt;"Lenguaje Musical")*(nASIG&lt;&gt;"Coro")*(nASIG&lt;&gt;"Conjunto"),nNOTA)),""))</f>
        <v/>
      </c>
      <c r="N147" t="str">
        <f>IF(M147="","",IFERROR(AVERAGEIFS(nNOTA,nNIA,M147,nEVAL,CONFIG_METADATA!$B$4,nASIG,"Lenguaje Musical"),""))</f>
        <v/>
      </c>
      <c r="O147" t="str">
        <f>IF(M147="","",IFERROR(AVERAGEIFS(nNOTA,nNIA,M147,nEVAL,CONFIG_METADATA!$B$4,nASIG,"Coro"),""))</f>
        <v/>
      </c>
      <c r="P147" t="str">
        <f>IF(M147="","",IFERROR(AVERAGEIFS(nNOTA,nNIA,M147,nEVAL,CONFIG_METADATA!$B$4,nASIG,"Conjunto"),""))</f>
        <v/>
      </c>
      <c r="Q147" t="str" cm="1">
        <f t="array" ref="Q147">IF(M147="","",IFERROR(AVERAGE(IF((nNIA=M147)*(nEVAL=CONFIG_METADATA!$B$4)*(nASIG&lt;&gt;"Lenguaje Musical")*(nASIG&lt;&gt;"Coro")*(nASIG&lt;&gt;"Conjunto"),nNOTA)),""))</f>
        <v/>
      </c>
      <c r="T147" t="str">
        <f>IF(S147="","",IFERROR(AVERAGEIFS(nNOTA,nNIA,S147,nEVAL,CONFIG_METADATA!$B$4,nASIG,"Lenguaje Musical"),""))</f>
        <v/>
      </c>
      <c r="U147" t="str">
        <f>IF(S147="","",IFERROR(AVERAGEIFS(nNOTA,nNIA,S147,nEVAL,CONFIG_METADATA!$B$4,nASIG,"Coro"),""))</f>
        <v/>
      </c>
      <c r="V147" t="str">
        <f>IF(S147="","",IFERROR(AVERAGEIFS(nNOTA,nNIA,S147,nEVAL,CONFIG_METADATA!$B$4,nASIG,"Conjunto"),""))</f>
        <v/>
      </c>
      <c r="W147" t="str" cm="1">
        <f t="array" ref="W147">IF(S147="","",IFERROR(AVERAGE(IF((nNIA=S147)*(nEVAL=CONFIG_METADATA!$B$4)*(nASIG&lt;&gt;"Lenguaje Musical")*(nASIG&lt;&gt;"Coro")*(nASIG&lt;&gt;"Conjunto"),nNOTA)),""))</f>
        <v/>
      </c>
    </row>
    <row r="148" spans="2:23" x14ac:dyDescent="0.2">
      <c r="B148" t="str">
        <f>IF(A148="","",IFERROR(AVERAGEIFS(nNOTA,nNIA,A148,nEVAL,CONFIG_METADATA!$B$4,nASIG,"Lenguaje Musical"),""))</f>
        <v/>
      </c>
      <c r="C148" t="str">
        <f>IF(A148="","",IFERROR(AVERAGEIFS(nNOTA,nNIA,A148,nEVAL,CONFIG_METADATA!$B$4,nASIG,"Coro"),""))</f>
        <v/>
      </c>
      <c r="D148" t="str">
        <f>IF(A148="","",IFERROR(AVERAGEIFS(nNOTA,nNIA,A148,nEVAL,CONFIG_METADATA!$B$4,nASIG,"Conjunto"),""))</f>
        <v/>
      </c>
      <c r="E148" t="str" cm="1">
        <f t="array" ref="E148">IF(A148="","",IFERROR(AVERAGE(IF((nNIA=A148)*(nEVAL=CONFIG_METADATA!$B$4)*(nASIG&lt;&gt;"Lenguaje Musical")*(nASIG&lt;&gt;"Coro")*(nASIG&lt;&gt;"Conjunto"),nNOTA)),""))</f>
        <v/>
      </c>
      <c r="H148" t="str">
        <f>IF(G148="","",IFERROR(AVERAGEIFS(nNOTA,nNIA,G148,nEVAL,CONFIG_METADATA!$B$4,nASIG,"Lenguaje Musical"),""))</f>
        <v/>
      </c>
      <c r="I148" t="str">
        <f>IF(G148="","",IFERROR(AVERAGEIFS(nNOTA,nNIA,G148,nEVAL,CONFIG_METADATA!$B$4,nASIG,"Coro"),""))</f>
        <v/>
      </c>
      <c r="J148" t="str">
        <f>IF(G148="","",IFERROR(AVERAGEIFS(nNOTA,nNIA,G148,nEVAL,CONFIG_METADATA!$B$4,nASIG,"Conjunto"),""))</f>
        <v/>
      </c>
      <c r="K148" t="str" cm="1">
        <f t="array" ref="K148">IF(G148="","",IFERROR(AVERAGE(IF((nNIA=G148)*(nEVAL=CONFIG_METADATA!$B$4)*(nASIG&lt;&gt;"Lenguaje Musical")*(nASIG&lt;&gt;"Coro")*(nASIG&lt;&gt;"Conjunto"),nNOTA)),""))</f>
        <v/>
      </c>
      <c r="N148" t="str">
        <f>IF(M148="","",IFERROR(AVERAGEIFS(nNOTA,nNIA,M148,nEVAL,CONFIG_METADATA!$B$4,nASIG,"Lenguaje Musical"),""))</f>
        <v/>
      </c>
      <c r="O148" t="str">
        <f>IF(M148="","",IFERROR(AVERAGEIFS(nNOTA,nNIA,M148,nEVAL,CONFIG_METADATA!$B$4,nASIG,"Coro"),""))</f>
        <v/>
      </c>
      <c r="P148" t="str">
        <f>IF(M148="","",IFERROR(AVERAGEIFS(nNOTA,nNIA,M148,nEVAL,CONFIG_METADATA!$B$4,nASIG,"Conjunto"),""))</f>
        <v/>
      </c>
      <c r="Q148" t="str" cm="1">
        <f t="array" ref="Q148">IF(M148="","",IFERROR(AVERAGE(IF((nNIA=M148)*(nEVAL=CONFIG_METADATA!$B$4)*(nASIG&lt;&gt;"Lenguaje Musical")*(nASIG&lt;&gt;"Coro")*(nASIG&lt;&gt;"Conjunto"),nNOTA)),""))</f>
        <v/>
      </c>
      <c r="T148" t="str">
        <f>IF(S148="","",IFERROR(AVERAGEIFS(nNOTA,nNIA,S148,nEVAL,CONFIG_METADATA!$B$4,nASIG,"Lenguaje Musical"),""))</f>
        <v/>
      </c>
      <c r="U148" t="str">
        <f>IF(S148="","",IFERROR(AVERAGEIFS(nNOTA,nNIA,S148,nEVAL,CONFIG_METADATA!$B$4,nASIG,"Coro"),""))</f>
        <v/>
      </c>
      <c r="V148" t="str">
        <f>IF(S148="","",IFERROR(AVERAGEIFS(nNOTA,nNIA,S148,nEVAL,CONFIG_METADATA!$B$4,nASIG,"Conjunto"),""))</f>
        <v/>
      </c>
      <c r="W148" t="str" cm="1">
        <f t="array" ref="W148">IF(S148="","",IFERROR(AVERAGE(IF((nNIA=S148)*(nEVAL=CONFIG_METADATA!$B$4)*(nASIG&lt;&gt;"Lenguaje Musical")*(nASIG&lt;&gt;"Coro")*(nASIG&lt;&gt;"Conjunto"),nNOTA)),""))</f>
        <v/>
      </c>
    </row>
    <row r="149" spans="2:23" x14ac:dyDescent="0.2">
      <c r="B149" t="str">
        <f>IF(A149="","",IFERROR(AVERAGEIFS(nNOTA,nNIA,A149,nEVAL,CONFIG_METADATA!$B$4,nASIG,"Lenguaje Musical"),""))</f>
        <v/>
      </c>
      <c r="C149" t="str">
        <f>IF(A149="","",IFERROR(AVERAGEIFS(nNOTA,nNIA,A149,nEVAL,CONFIG_METADATA!$B$4,nASIG,"Coro"),""))</f>
        <v/>
      </c>
      <c r="D149" t="str">
        <f>IF(A149="","",IFERROR(AVERAGEIFS(nNOTA,nNIA,A149,nEVAL,CONFIG_METADATA!$B$4,nASIG,"Conjunto"),""))</f>
        <v/>
      </c>
      <c r="E149" t="str" cm="1">
        <f t="array" ref="E149">IF(A149="","",IFERROR(AVERAGE(IF((nNIA=A149)*(nEVAL=CONFIG_METADATA!$B$4)*(nASIG&lt;&gt;"Lenguaje Musical")*(nASIG&lt;&gt;"Coro")*(nASIG&lt;&gt;"Conjunto"),nNOTA)),""))</f>
        <v/>
      </c>
      <c r="H149" t="str">
        <f>IF(G149="","",IFERROR(AVERAGEIFS(nNOTA,nNIA,G149,nEVAL,CONFIG_METADATA!$B$4,nASIG,"Lenguaje Musical"),""))</f>
        <v/>
      </c>
      <c r="I149" t="str">
        <f>IF(G149="","",IFERROR(AVERAGEIFS(nNOTA,nNIA,G149,nEVAL,CONFIG_METADATA!$B$4,nASIG,"Coro"),""))</f>
        <v/>
      </c>
      <c r="J149" t="str">
        <f>IF(G149="","",IFERROR(AVERAGEIFS(nNOTA,nNIA,G149,nEVAL,CONFIG_METADATA!$B$4,nASIG,"Conjunto"),""))</f>
        <v/>
      </c>
      <c r="K149" t="str" cm="1">
        <f t="array" ref="K149">IF(G149="","",IFERROR(AVERAGE(IF((nNIA=G149)*(nEVAL=CONFIG_METADATA!$B$4)*(nASIG&lt;&gt;"Lenguaje Musical")*(nASIG&lt;&gt;"Coro")*(nASIG&lt;&gt;"Conjunto"),nNOTA)),""))</f>
        <v/>
      </c>
      <c r="N149" t="str">
        <f>IF(M149="","",IFERROR(AVERAGEIFS(nNOTA,nNIA,M149,nEVAL,CONFIG_METADATA!$B$4,nASIG,"Lenguaje Musical"),""))</f>
        <v/>
      </c>
      <c r="O149" t="str">
        <f>IF(M149="","",IFERROR(AVERAGEIFS(nNOTA,nNIA,M149,nEVAL,CONFIG_METADATA!$B$4,nASIG,"Coro"),""))</f>
        <v/>
      </c>
      <c r="P149" t="str">
        <f>IF(M149="","",IFERROR(AVERAGEIFS(nNOTA,nNIA,M149,nEVAL,CONFIG_METADATA!$B$4,nASIG,"Conjunto"),""))</f>
        <v/>
      </c>
      <c r="Q149" t="str" cm="1">
        <f t="array" ref="Q149">IF(M149="","",IFERROR(AVERAGE(IF((nNIA=M149)*(nEVAL=CONFIG_METADATA!$B$4)*(nASIG&lt;&gt;"Lenguaje Musical")*(nASIG&lt;&gt;"Coro")*(nASIG&lt;&gt;"Conjunto"),nNOTA)),""))</f>
        <v/>
      </c>
      <c r="T149" t="str">
        <f>IF(S149="","",IFERROR(AVERAGEIFS(nNOTA,nNIA,S149,nEVAL,CONFIG_METADATA!$B$4,nASIG,"Lenguaje Musical"),""))</f>
        <v/>
      </c>
      <c r="U149" t="str">
        <f>IF(S149="","",IFERROR(AVERAGEIFS(nNOTA,nNIA,S149,nEVAL,CONFIG_METADATA!$B$4,nASIG,"Coro"),""))</f>
        <v/>
      </c>
      <c r="V149" t="str">
        <f>IF(S149="","",IFERROR(AVERAGEIFS(nNOTA,nNIA,S149,nEVAL,CONFIG_METADATA!$B$4,nASIG,"Conjunto"),""))</f>
        <v/>
      </c>
      <c r="W149" t="str" cm="1">
        <f t="array" ref="W149">IF(S149="","",IFERROR(AVERAGE(IF((nNIA=S149)*(nEVAL=CONFIG_METADATA!$B$4)*(nASIG&lt;&gt;"Lenguaje Musical")*(nASIG&lt;&gt;"Coro")*(nASIG&lt;&gt;"Conjunto"),nNOTA)),""))</f>
        <v/>
      </c>
    </row>
    <row r="150" spans="2:23" x14ac:dyDescent="0.2">
      <c r="B150" t="str">
        <f>IF(A150="","",IFERROR(AVERAGEIFS(nNOTA,nNIA,A150,nEVAL,CONFIG_METADATA!$B$4,nASIG,"Lenguaje Musical"),""))</f>
        <v/>
      </c>
      <c r="C150" t="str">
        <f>IF(A150="","",IFERROR(AVERAGEIFS(nNOTA,nNIA,A150,nEVAL,CONFIG_METADATA!$B$4,nASIG,"Coro"),""))</f>
        <v/>
      </c>
      <c r="D150" t="str">
        <f>IF(A150="","",IFERROR(AVERAGEIFS(nNOTA,nNIA,A150,nEVAL,CONFIG_METADATA!$B$4,nASIG,"Conjunto"),""))</f>
        <v/>
      </c>
      <c r="E150" t="str" cm="1">
        <f t="array" ref="E150">IF(A150="","",IFERROR(AVERAGE(IF((nNIA=A150)*(nEVAL=CONFIG_METADATA!$B$4)*(nASIG&lt;&gt;"Lenguaje Musical")*(nASIG&lt;&gt;"Coro")*(nASIG&lt;&gt;"Conjunto"),nNOTA)),""))</f>
        <v/>
      </c>
      <c r="H150" t="str">
        <f>IF(G150="","",IFERROR(AVERAGEIFS(nNOTA,nNIA,G150,nEVAL,CONFIG_METADATA!$B$4,nASIG,"Lenguaje Musical"),""))</f>
        <v/>
      </c>
      <c r="I150" t="str">
        <f>IF(G150="","",IFERROR(AVERAGEIFS(nNOTA,nNIA,G150,nEVAL,CONFIG_METADATA!$B$4,nASIG,"Coro"),""))</f>
        <v/>
      </c>
      <c r="J150" t="str">
        <f>IF(G150="","",IFERROR(AVERAGEIFS(nNOTA,nNIA,G150,nEVAL,CONFIG_METADATA!$B$4,nASIG,"Conjunto"),""))</f>
        <v/>
      </c>
      <c r="K150" t="str" cm="1">
        <f t="array" ref="K150">IF(G150="","",IFERROR(AVERAGE(IF((nNIA=G150)*(nEVAL=CONFIG_METADATA!$B$4)*(nASIG&lt;&gt;"Lenguaje Musical")*(nASIG&lt;&gt;"Coro")*(nASIG&lt;&gt;"Conjunto"),nNOTA)),""))</f>
        <v/>
      </c>
      <c r="N150" t="str">
        <f>IF(M150="","",IFERROR(AVERAGEIFS(nNOTA,nNIA,M150,nEVAL,CONFIG_METADATA!$B$4,nASIG,"Lenguaje Musical"),""))</f>
        <v/>
      </c>
      <c r="O150" t="str">
        <f>IF(M150="","",IFERROR(AVERAGEIFS(nNOTA,nNIA,M150,nEVAL,CONFIG_METADATA!$B$4,nASIG,"Coro"),""))</f>
        <v/>
      </c>
      <c r="P150" t="str">
        <f>IF(M150="","",IFERROR(AVERAGEIFS(nNOTA,nNIA,M150,nEVAL,CONFIG_METADATA!$B$4,nASIG,"Conjunto"),""))</f>
        <v/>
      </c>
      <c r="Q150" t="str" cm="1">
        <f t="array" ref="Q150">IF(M150="","",IFERROR(AVERAGE(IF((nNIA=M150)*(nEVAL=CONFIG_METADATA!$B$4)*(nASIG&lt;&gt;"Lenguaje Musical")*(nASIG&lt;&gt;"Coro")*(nASIG&lt;&gt;"Conjunto"),nNOTA)),""))</f>
        <v/>
      </c>
      <c r="T150" t="str">
        <f>IF(S150="","",IFERROR(AVERAGEIFS(nNOTA,nNIA,S150,nEVAL,CONFIG_METADATA!$B$4,nASIG,"Lenguaje Musical"),""))</f>
        <v/>
      </c>
      <c r="U150" t="str">
        <f>IF(S150="","",IFERROR(AVERAGEIFS(nNOTA,nNIA,S150,nEVAL,CONFIG_METADATA!$B$4,nASIG,"Coro"),""))</f>
        <v/>
      </c>
      <c r="V150" t="str">
        <f>IF(S150="","",IFERROR(AVERAGEIFS(nNOTA,nNIA,S150,nEVAL,CONFIG_METADATA!$B$4,nASIG,"Conjunto"),""))</f>
        <v/>
      </c>
      <c r="W150" t="str" cm="1">
        <f t="array" ref="W150">IF(S150="","",IFERROR(AVERAGE(IF((nNIA=S150)*(nEVAL=CONFIG_METADATA!$B$4)*(nASIG&lt;&gt;"Lenguaje Musical")*(nASIG&lt;&gt;"Coro")*(nASIG&lt;&gt;"Conjunto"),nNOTA)),""))</f>
        <v/>
      </c>
    </row>
    <row r="151" spans="2:23" x14ac:dyDescent="0.2">
      <c r="B151" t="str">
        <f>IF(A151="","",IFERROR(AVERAGEIFS(nNOTA,nNIA,A151,nEVAL,CONFIG_METADATA!$B$4,nASIG,"Lenguaje Musical"),""))</f>
        <v/>
      </c>
      <c r="C151" t="str">
        <f>IF(A151="","",IFERROR(AVERAGEIFS(nNOTA,nNIA,A151,nEVAL,CONFIG_METADATA!$B$4,nASIG,"Coro"),""))</f>
        <v/>
      </c>
      <c r="D151" t="str">
        <f>IF(A151="","",IFERROR(AVERAGEIFS(nNOTA,nNIA,A151,nEVAL,CONFIG_METADATA!$B$4,nASIG,"Conjunto"),""))</f>
        <v/>
      </c>
      <c r="E151" t="str" cm="1">
        <f t="array" ref="E151">IF(A151="","",IFERROR(AVERAGE(IF((nNIA=A151)*(nEVAL=CONFIG_METADATA!$B$4)*(nASIG&lt;&gt;"Lenguaje Musical")*(nASIG&lt;&gt;"Coro")*(nASIG&lt;&gt;"Conjunto"),nNOTA)),""))</f>
        <v/>
      </c>
      <c r="H151" t="str">
        <f>IF(G151="","",IFERROR(AVERAGEIFS(nNOTA,nNIA,G151,nEVAL,CONFIG_METADATA!$B$4,nASIG,"Lenguaje Musical"),""))</f>
        <v/>
      </c>
      <c r="I151" t="str">
        <f>IF(G151="","",IFERROR(AVERAGEIFS(nNOTA,nNIA,G151,nEVAL,CONFIG_METADATA!$B$4,nASIG,"Coro"),""))</f>
        <v/>
      </c>
      <c r="J151" t="str">
        <f>IF(G151="","",IFERROR(AVERAGEIFS(nNOTA,nNIA,G151,nEVAL,CONFIG_METADATA!$B$4,nASIG,"Conjunto"),""))</f>
        <v/>
      </c>
      <c r="K151" t="str" cm="1">
        <f t="array" ref="K151">IF(G151="","",IFERROR(AVERAGE(IF((nNIA=G151)*(nEVAL=CONFIG_METADATA!$B$4)*(nASIG&lt;&gt;"Lenguaje Musical")*(nASIG&lt;&gt;"Coro")*(nASIG&lt;&gt;"Conjunto"),nNOTA)),""))</f>
        <v/>
      </c>
      <c r="N151" t="str">
        <f>IF(M151="","",IFERROR(AVERAGEIFS(nNOTA,nNIA,M151,nEVAL,CONFIG_METADATA!$B$4,nASIG,"Lenguaje Musical"),""))</f>
        <v/>
      </c>
      <c r="O151" t="str">
        <f>IF(M151="","",IFERROR(AVERAGEIFS(nNOTA,nNIA,M151,nEVAL,CONFIG_METADATA!$B$4,nASIG,"Coro"),""))</f>
        <v/>
      </c>
      <c r="P151" t="str">
        <f>IF(M151="","",IFERROR(AVERAGEIFS(nNOTA,nNIA,M151,nEVAL,CONFIG_METADATA!$B$4,nASIG,"Conjunto"),""))</f>
        <v/>
      </c>
      <c r="Q151" t="str" cm="1">
        <f t="array" ref="Q151">IF(M151="","",IFERROR(AVERAGE(IF((nNIA=M151)*(nEVAL=CONFIG_METADATA!$B$4)*(nASIG&lt;&gt;"Lenguaje Musical")*(nASIG&lt;&gt;"Coro")*(nASIG&lt;&gt;"Conjunto"),nNOTA)),""))</f>
        <v/>
      </c>
      <c r="T151" t="str">
        <f>IF(S151="","",IFERROR(AVERAGEIFS(nNOTA,nNIA,S151,nEVAL,CONFIG_METADATA!$B$4,nASIG,"Lenguaje Musical"),""))</f>
        <v/>
      </c>
      <c r="U151" t="str">
        <f>IF(S151="","",IFERROR(AVERAGEIFS(nNOTA,nNIA,S151,nEVAL,CONFIG_METADATA!$B$4,nASIG,"Coro"),""))</f>
        <v/>
      </c>
      <c r="V151" t="str">
        <f>IF(S151="","",IFERROR(AVERAGEIFS(nNOTA,nNIA,S151,nEVAL,CONFIG_METADATA!$B$4,nASIG,"Conjunto"),""))</f>
        <v/>
      </c>
      <c r="W151" t="str" cm="1">
        <f t="array" ref="W151">IF(S151="","",IFERROR(AVERAGE(IF((nNIA=S151)*(nEVAL=CONFIG_METADATA!$B$4)*(nASIG&lt;&gt;"Lenguaje Musical")*(nASIG&lt;&gt;"Coro")*(nASIG&lt;&gt;"Conjunto"),nNOTA)),""))</f>
        <v/>
      </c>
    </row>
    <row r="152" spans="2:23" x14ac:dyDescent="0.2">
      <c r="B152" t="str">
        <f>IF(A152="","",IFERROR(AVERAGEIFS(nNOTA,nNIA,A152,nEVAL,CONFIG_METADATA!$B$4,nASIG,"Lenguaje Musical"),""))</f>
        <v/>
      </c>
      <c r="C152" t="str">
        <f>IF(A152="","",IFERROR(AVERAGEIFS(nNOTA,nNIA,A152,nEVAL,CONFIG_METADATA!$B$4,nASIG,"Coro"),""))</f>
        <v/>
      </c>
      <c r="D152" t="str">
        <f>IF(A152="","",IFERROR(AVERAGEIFS(nNOTA,nNIA,A152,nEVAL,CONFIG_METADATA!$B$4,nASIG,"Conjunto"),""))</f>
        <v/>
      </c>
      <c r="E152" t="str" cm="1">
        <f t="array" ref="E152">IF(A152="","",IFERROR(AVERAGE(IF((nNIA=A152)*(nEVAL=CONFIG_METADATA!$B$4)*(nASIG&lt;&gt;"Lenguaje Musical")*(nASIG&lt;&gt;"Coro")*(nASIG&lt;&gt;"Conjunto"),nNOTA)),""))</f>
        <v/>
      </c>
      <c r="H152" t="str">
        <f>IF(G152="","",IFERROR(AVERAGEIFS(nNOTA,nNIA,G152,nEVAL,CONFIG_METADATA!$B$4,nASIG,"Lenguaje Musical"),""))</f>
        <v/>
      </c>
      <c r="I152" t="str">
        <f>IF(G152="","",IFERROR(AVERAGEIFS(nNOTA,nNIA,G152,nEVAL,CONFIG_METADATA!$B$4,nASIG,"Coro"),""))</f>
        <v/>
      </c>
      <c r="J152" t="str">
        <f>IF(G152="","",IFERROR(AVERAGEIFS(nNOTA,nNIA,G152,nEVAL,CONFIG_METADATA!$B$4,nASIG,"Conjunto"),""))</f>
        <v/>
      </c>
      <c r="K152" t="str" cm="1">
        <f t="array" ref="K152">IF(G152="","",IFERROR(AVERAGE(IF((nNIA=G152)*(nEVAL=CONFIG_METADATA!$B$4)*(nASIG&lt;&gt;"Lenguaje Musical")*(nASIG&lt;&gt;"Coro")*(nASIG&lt;&gt;"Conjunto"),nNOTA)),""))</f>
        <v/>
      </c>
      <c r="N152" t="str">
        <f>IF(M152="","",IFERROR(AVERAGEIFS(nNOTA,nNIA,M152,nEVAL,CONFIG_METADATA!$B$4,nASIG,"Lenguaje Musical"),""))</f>
        <v/>
      </c>
      <c r="O152" t="str">
        <f>IF(M152="","",IFERROR(AVERAGEIFS(nNOTA,nNIA,M152,nEVAL,CONFIG_METADATA!$B$4,nASIG,"Coro"),""))</f>
        <v/>
      </c>
      <c r="P152" t="str">
        <f>IF(M152="","",IFERROR(AVERAGEIFS(nNOTA,nNIA,M152,nEVAL,CONFIG_METADATA!$B$4,nASIG,"Conjunto"),""))</f>
        <v/>
      </c>
      <c r="Q152" t="str" cm="1">
        <f t="array" ref="Q152">IF(M152="","",IFERROR(AVERAGE(IF((nNIA=M152)*(nEVAL=CONFIG_METADATA!$B$4)*(nASIG&lt;&gt;"Lenguaje Musical")*(nASIG&lt;&gt;"Coro")*(nASIG&lt;&gt;"Conjunto"),nNOTA)),""))</f>
        <v/>
      </c>
      <c r="T152" t="str">
        <f>IF(S152="","",IFERROR(AVERAGEIFS(nNOTA,nNIA,S152,nEVAL,CONFIG_METADATA!$B$4,nASIG,"Lenguaje Musical"),""))</f>
        <v/>
      </c>
      <c r="U152" t="str">
        <f>IF(S152="","",IFERROR(AVERAGEIFS(nNOTA,nNIA,S152,nEVAL,CONFIG_METADATA!$B$4,nASIG,"Coro"),""))</f>
        <v/>
      </c>
      <c r="V152" t="str">
        <f>IF(S152="","",IFERROR(AVERAGEIFS(nNOTA,nNIA,S152,nEVAL,CONFIG_METADATA!$B$4,nASIG,"Conjunto"),""))</f>
        <v/>
      </c>
      <c r="W152" t="str" cm="1">
        <f t="array" ref="W152">IF(S152="","",IFERROR(AVERAGE(IF((nNIA=S152)*(nEVAL=CONFIG_METADATA!$B$4)*(nASIG&lt;&gt;"Lenguaje Musical")*(nASIG&lt;&gt;"Coro")*(nASIG&lt;&gt;"Conjunto"),nNOTA)),""))</f>
        <v/>
      </c>
    </row>
    <row r="153" spans="2:23" x14ac:dyDescent="0.2">
      <c r="B153" t="str">
        <f>IF(A153="","",IFERROR(AVERAGEIFS(nNOTA,nNIA,A153,nEVAL,CONFIG_METADATA!$B$4,nASIG,"Lenguaje Musical"),""))</f>
        <v/>
      </c>
      <c r="C153" t="str">
        <f>IF(A153="","",IFERROR(AVERAGEIFS(nNOTA,nNIA,A153,nEVAL,CONFIG_METADATA!$B$4,nASIG,"Coro"),""))</f>
        <v/>
      </c>
      <c r="D153" t="str">
        <f>IF(A153="","",IFERROR(AVERAGEIFS(nNOTA,nNIA,A153,nEVAL,CONFIG_METADATA!$B$4,nASIG,"Conjunto"),""))</f>
        <v/>
      </c>
      <c r="E153" t="str" cm="1">
        <f t="array" ref="E153">IF(A153="","",IFERROR(AVERAGE(IF((nNIA=A153)*(nEVAL=CONFIG_METADATA!$B$4)*(nASIG&lt;&gt;"Lenguaje Musical")*(nASIG&lt;&gt;"Coro")*(nASIG&lt;&gt;"Conjunto"),nNOTA)),""))</f>
        <v/>
      </c>
      <c r="H153" t="str">
        <f>IF(G153="","",IFERROR(AVERAGEIFS(nNOTA,nNIA,G153,nEVAL,CONFIG_METADATA!$B$4,nASIG,"Lenguaje Musical"),""))</f>
        <v/>
      </c>
      <c r="I153" t="str">
        <f>IF(G153="","",IFERROR(AVERAGEIFS(nNOTA,nNIA,G153,nEVAL,CONFIG_METADATA!$B$4,nASIG,"Coro"),""))</f>
        <v/>
      </c>
      <c r="J153" t="str">
        <f>IF(G153="","",IFERROR(AVERAGEIFS(nNOTA,nNIA,G153,nEVAL,CONFIG_METADATA!$B$4,nASIG,"Conjunto"),""))</f>
        <v/>
      </c>
      <c r="K153" t="str" cm="1">
        <f t="array" ref="K153">IF(G153="","",IFERROR(AVERAGE(IF((nNIA=G153)*(nEVAL=CONFIG_METADATA!$B$4)*(nASIG&lt;&gt;"Lenguaje Musical")*(nASIG&lt;&gt;"Coro")*(nASIG&lt;&gt;"Conjunto"),nNOTA)),""))</f>
        <v/>
      </c>
      <c r="N153" t="str">
        <f>IF(M153="","",IFERROR(AVERAGEIFS(nNOTA,nNIA,M153,nEVAL,CONFIG_METADATA!$B$4,nASIG,"Lenguaje Musical"),""))</f>
        <v/>
      </c>
      <c r="O153" t="str">
        <f>IF(M153="","",IFERROR(AVERAGEIFS(nNOTA,nNIA,M153,nEVAL,CONFIG_METADATA!$B$4,nASIG,"Coro"),""))</f>
        <v/>
      </c>
      <c r="P153" t="str">
        <f>IF(M153="","",IFERROR(AVERAGEIFS(nNOTA,nNIA,M153,nEVAL,CONFIG_METADATA!$B$4,nASIG,"Conjunto"),""))</f>
        <v/>
      </c>
      <c r="Q153" t="str" cm="1">
        <f t="array" ref="Q153">IF(M153="","",IFERROR(AVERAGE(IF((nNIA=M153)*(nEVAL=CONFIG_METADATA!$B$4)*(nASIG&lt;&gt;"Lenguaje Musical")*(nASIG&lt;&gt;"Coro")*(nASIG&lt;&gt;"Conjunto"),nNOTA)),""))</f>
        <v/>
      </c>
      <c r="T153" t="str">
        <f>IF(S153="","",IFERROR(AVERAGEIFS(nNOTA,nNIA,S153,nEVAL,CONFIG_METADATA!$B$4,nASIG,"Lenguaje Musical"),""))</f>
        <v/>
      </c>
      <c r="U153" t="str">
        <f>IF(S153="","",IFERROR(AVERAGEIFS(nNOTA,nNIA,S153,nEVAL,CONFIG_METADATA!$B$4,nASIG,"Coro"),""))</f>
        <v/>
      </c>
      <c r="V153" t="str">
        <f>IF(S153="","",IFERROR(AVERAGEIFS(nNOTA,nNIA,S153,nEVAL,CONFIG_METADATA!$B$4,nASIG,"Conjunto"),""))</f>
        <v/>
      </c>
      <c r="W153" t="str" cm="1">
        <f t="array" ref="W153">IF(S153="","",IFERROR(AVERAGE(IF((nNIA=S153)*(nEVAL=CONFIG_METADATA!$B$4)*(nASIG&lt;&gt;"Lenguaje Musical")*(nASIG&lt;&gt;"Coro")*(nASIG&lt;&gt;"Conjunto"),nNOTA)),""))</f>
        <v/>
      </c>
    </row>
    <row r="154" spans="2:23" x14ac:dyDescent="0.2">
      <c r="B154" t="str">
        <f>IF(A154="","",IFERROR(AVERAGEIFS(nNOTA,nNIA,A154,nEVAL,CONFIG_METADATA!$B$4,nASIG,"Lenguaje Musical"),""))</f>
        <v/>
      </c>
      <c r="C154" t="str">
        <f>IF(A154="","",IFERROR(AVERAGEIFS(nNOTA,nNIA,A154,nEVAL,CONFIG_METADATA!$B$4,nASIG,"Coro"),""))</f>
        <v/>
      </c>
      <c r="D154" t="str">
        <f>IF(A154="","",IFERROR(AVERAGEIFS(nNOTA,nNIA,A154,nEVAL,CONFIG_METADATA!$B$4,nASIG,"Conjunto"),""))</f>
        <v/>
      </c>
      <c r="E154" t="str" cm="1">
        <f t="array" ref="E154">IF(A154="","",IFERROR(AVERAGE(IF((nNIA=A154)*(nEVAL=CONFIG_METADATA!$B$4)*(nASIG&lt;&gt;"Lenguaje Musical")*(nASIG&lt;&gt;"Coro")*(nASIG&lt;&gt;"Conjunto"),nNOTA)),""))</f>
        <v/>
      </c>
      <c r="H154" t="str">
        <f>IF(G154="","",IFERROR(AVERAGEIFS(nNOTA,nNIA,G154,nEVAL,CONFIG_METADATA!$B$4,nASIG,"Lenguaje Musical"),""))</f>
        <v/>
      </c>
      <c r="I154" t="str">
        <f>IF(G154="","",IFERROR(AVERAGEIFS(nNOTA,nNIA,G154,nEVAL,CONFIG_METADATA!$B$4,nASIG,"Coro"),""))</f>
        <v/>
      </c>
      <c r="J154" t="str">
        <f>IF(G154="","",IFERROR(AVERAGEIFS(nNOTA,nNIA,G154,nEVAL,CONFIG_METADATA!$B$4,nASIG,"Conjunto"),""))</f>
        <v/>
      </c>
      <c r="K154" t="str" cm="1">
        <f t="array" ref="K154">IF(G154="","",IFERROR(AVERAGE(IF((nNIA=G154)*(nEVAL=CONFIG_METADATA!$B$4)*(nASIG&lt;&gt;"Lenguaje Musical")*(nASIG&lt;&gt;"Coro")*(nASIG&lt;&gt;"Conjunto"),nNOTA)),""))</f>
        <v/>
      </c>
      <c r="N154" t="str">
        <f>IF(M154="","",IFERROR(AVERAGEIFS(nNOTA,nNIA,M154,nEVAL,CONFIG_METADATA!$B$4,nASIG,"Lenguaje Musical"),""))</f>
        <v/>
      </c>
      <c r="O154" t="str">
        <f>IF(M154="","",IFERROR(AVERAGEIFS(nNOTA,nNIA,M154,nEVAL,CONFIG_METADATA!$B$4,nASIG,"Coro"),""))</f>
        <v/>
      </c>
      <c r="P154" t="str">
        <f>IF(M154="","",IFERROR(AVERAGEIFS(nNOTA,nNIA,M154,nEVAL,CONFIG_METADATA!$B$4,nASIG,"Conjunto"),""))</f>
        <v/>
      </c>
      <c r="Q154" t="str" cm="1">
        <f t="array" ref="Q154">IF(M154="","",IFERROR(AVERAGE(IF((nNIA=M154)*(nEVAL=CONFIG_METADATA!$B$4)*(nASIG&lt;&gt;"Lenguaje Musical")*(nASIG&lt;&gt;"Coro")*(nASIG&lt;&gt;"Conjunto"),nNOTA)),""))</f>
        <v/>
      </c>
      <c r="T154" t="str">
        <f>IF(S154="","",IFERROR(AVERAGEIFS(nNOTA,nNIA,S154,nEVAL,CONFIG_METADATA!$B$4,nASIG,"Lenguaje Musical"),""))</f>
        <v/>
      </c>
      <c r="U154" t="str">
        <f>IF(S154="","",IFERROR(AVERAGEIFS(nNOTA,nNIA,S154,nEVAL,CONFIG_METADATA!$B$4,nASIG,"Coro"),""))</f>
        <v/>
      </c>
      <c r="V154" t="str">
        <f>IF(S154="","",IFERROR(AVERAGEIFS(nNOTA,nNIA,S154,nEVAL,CONFIG_METADATA!$B$4,nASIG,"Conjunto"),""))</f>
        <v/>
      </c>
      <c r="W154" t="str" cm="1">
        <f t="array" ref="W154">IF(S154="","",IFERROR(AVERAGE(IF((nNIA=S154)*(nEVAL=CONFIG_METADATA!$B$4)*(nASIG&lt;&gt;"Lenguaje Musical")*(nASIG&lt;&gt;"Coro")*(nASIG&lt;&gt;"Conjunto"),nNOTA)),""))</f>
        <v/>
      </c>
    </row>
    <row r="155" spans="2:23" x14ac:dyDescent="0.2">
      <c r="B155" t="str">
        <f>IF(A155="","",IFERROR(AVERAGEIFS(nNOTA,nNIA,A155,nEVAL,CONFIG_METADATA!$B$4,nASIG,"Lenguaje Musical"),""))</f>
        <v/>
      </c>
      <c r="C155" t="str">
        <f>IF(A155="","",IFERROR(AVERAGEIFS(nNOTA,nNIA,A155,nEVAL,CONFIG_METADATA!$B$4,nASIG,"Coro"),""))</f>
        <v/>
      </c>
      <c r="D155" t="str">
        <f>IF(A155="","",IFERROR(AVERAGEIFS(nNOTA,nNIA,A155,nEVAL,CONFIG_METADATA!$B$4,nASIG,"Conjunto"),""))</f>
        <v/>
      </c>
      <c r="E155" t="str" cm="1">
        <f t="array" ref="E155">IF(A155="","",IFERROR(AVERAGE(IF((nNIA=A155)*(nEVAL=CONFIG_METADATA!$B$4)*(nASIG&lt;&gt;"Lenguaje Musical")*(nASIG&lt;&gt;"Coro")*(nASIG&lt;&gt;"Conjunto"),nNOTA)),""))</f>
        <v/>
      </c>
      <c r="H155" t="str">
        <f>IF(G155="","",IFERROR(AVERAGEIFS(nNOTA,nNIA,G155,nEVAL,CONFIG_METADATA!$B$4,nASIG,"Lenguaje Musical"),""))</f>
        <v/>
      </c>
      <c r="I155" t="str">
        <f>IF(G155="","",IFERROR(AVERAGEIFS(nNOTA,nNIA,G155,nEVAL,CONFIG_METADATA!$B$4,nASIG,"Coro"),""))</f>
        <v/>
      </c>
      <c r="J155" t="str">
        <f>IF(G155="","",IFERROR(AVERAGEIFS(nNOTA,nNIA,G155,nEVAL,CONFIG_METADATA!$B$4,nASIG,"Conjunto"),""))</f>
        <v/>
      </c>
      <c r="K155" t="str" cm="1">
        <f t="array" ref="K155">IF(G155="","",IFERROR(AVERAGE(IF((nNIA=G155)*(nEVAL=CONFIG_METADATA!$B$4)*(nASIG&lt;&gt;"Lenguaje Musical")*(nASIG&lt;&gt;"Coro")*(nASIG&lt;&gt;"Conjunto"),nNOTA)),""))</f>
        <v/>
      </c>
      <c r="N155" t="str">
        <f>IF(M155="","",IFERROR(AVERAGEIFS(nNOTA,nNIA,M155,nEVAL,CONFIG_METADATA!$B$4,nASIG,"Lenguaje Musical"),""))</f>
        <v/>
      </c>
      <c r="O155" t="str">
        <f>IF(M155="","",IFERROR(AVERAGEIFS(nNOTA,nNIA,M155,nEVAL,CONFIG_METADATA!$B$4,nASIG,"Coro"),""))</f>
        <v/>
      </c>
      <c r="P155" t="str">
        <f>IF(M155="","",IFERROR(AVERAGEIFS(nNOTA,nNIA,M155,nEVAL,CONFIG_METADATA!$B$4,nASIG,"Conjunto"),""))</f>
        <v/>
      </c>
      <c r="Q155" t="str" cm="1">
        <f t="array" ref="Q155">IF(M155="","",IFERROR(AVERAGE(IF((nNIA=M155)*(nEVAL=CONFIG_METADATA!$B$4)*(nASIG&lt;&gt;"Lenguaje Musical")*(nASIG&lt;&gt;"Coro")*(nASIG&lt;&gt;"Conjunto"),nNOTA)),""))</f>
        <v/>
      </c>
      <c r="T155" t="str">
        <f>IF(S155="","",IFERROR(AVERAGEIFS(nNOTA,nNIA,S155,nEVAL,CONFIG_METADATA!$B$4,nASIG,"Lenguaje Musical"),""))</f>
        <v/>
      </c>
      <c r="U155" t="str">
        <f>IF(S155="","",IFERROR(AVERAGEIFS(nNOTA,nNIA,S155,nEVAL,CONFIG_METADATA!$B$4,nASIG,"Coro"),""))</f>
        <v/>
      </c>
      <c r="V155" t="str">
        <f>IF(S155="","",IFERROR(AVERAGEIFS(nNOTA,nNIA,S155,nEVAL,CONFIG_METADATA!$B$4,nASIG,"Conjunto"),""))</f>
        <v/>
      </c>
      <c r="W155" t="str" cm="1">
        <f t="array" ref="W155">IF(S155="","",IFERROR(AVERAGE(IF((nNIA=S155)*(nEVAL=CONFIG_METADATA!$B$4)*(nASIG&lt;&gt;"Lenguaje Musical")*(nASIG&lt;&gt;"Coro")*(nASIG&lt;&gt;"Conjunto"),nNOTA)),""))</f>
        <v/>
      </c>
    </row>
    <row r="156" spans="2:23" x14ac:dyDescent="0.2">
      <c r="B156" t="str">
        <f>IF(A156="","",IFERROR(AVERAGEIFS(nNOTA,nNIA,A156,nEVAL,CONFIG_METADATA!$B$4,nASIG,"Lenguaje Musical"),""))</f>
        <v/>
      </c>
      <c r="C156" t="str">
        <f>IF(A156="","",IFERROR(AVERAGEIFS(nNOTA,nNIA,A156,nEVAL,CONFIG_METADATA!$B$4,nASIG,"Coro"),""))</f>
        <v/>
      </c>
      <c r="D156" t="str">
        <f>IF(A156="","",IFERROR(AVERAGEIFS(nNOTA,nNIA,A156,nEVAL,CONFIG_METADATA!$B$4,nASIG,"Conjunto"),""))</f>
        <v/>
      </c>
      <c r="E156" t="str" cm="1">
        <f t="array" ref="E156">IF(A156="","",IFERROR(AVERAGE(IF((nNIA=A156)*(nEVAL=CONFIG_METADATA!$B$4)*(nASIG&lt;&gt;"Lenguaje Musical")*(nASIG&lt;&gt;"Coro")*(nASIG&lt;&gt;"Conjunto"),nNOTA)),""))</f>
        <v/>
      </c>
      <c r="H156" t="str">
        <f>IF(G156="","",IFERROR(AVERAGEIFS(nNOTA,nNIA,G156,nEVAL,CONFIG_METADATA!$B$4,nASIG,"Lenguaje Musical"),""))</f>
        <v/>
      </c>
      <c r="I156" t="str">
        <f>IF(G156="","",IFERROR(AVERAGEIFS(nNOTA,nNIA,G156,nEVAL,CONFIG_METADATA!$B$4,nASIG,"Coro"),""))</f>
        <v/>
      </c>
      <c r="J156" t="str">
        <f>IF(G156="","",IFERROR(AVERAGEIFS(nNOTA,nNIA,G156,nEVAL,CONFIG_METADATA!$B$4,nASIG,"Conjunto"),""))</f>
        <v/>
      </c>
      <c r="K156" t="str" cm="1">
        <f t="array" ref="K156">IF(G156="","",IFERROR(AVERAGE(IF((nNIA=G156)*(nEVAL=CONFIG_METADATA!$B$4)*(nASIG&lt;&gt;"Lenguaje Musical")*(nASIG&lt;&gt;"Coro")*(nASIG&lt;&gt;"Conjunto"),nNOTA)),""))</f>
        <v/>
      </c>
      <c r="N156" t="str">
        <f>IF(M156="","",IFERROR(AVERAGEIFS(nNOTA,nNIA,M156,nEVAL,CONFIG_METADATA!$B$4,nASIG,"Lenguaje Musical"),""))</f>
        <v/>
      </c>
      <c r="O156" t="str">
        <f>IF(M156="","",IFERROR(AVERAGEIFS(nNOTA,nNIA,M156,nEVAL,CONFIG_METADATA!$B$4,nASIG,"Coro"),""))</f>
        <v/>
      </c>
      <c r="P156" t="str">
        <f>IF(M156="","",IFERROR(AVERAGEIFS(nNOTA,nNIA,M156,nEVAL,CONFIG_METADATA!$B$4,nASIG,"Conjunto"),""))</f>
        <v/>
      </c>
      <c r="Q156" t="str" cm="1">
        <f t="array" ref="Q156">IF(M156="","",IFERROR(AVERAGE(IF((nNIA=M156)*(nEVAL=CONFIG_METADATA!$B$4)*(nASIG&lt;&gt;"Lenguaje Musical")*(nASIG&lt;&gt;"Coro")*(nASIG&lt;&gt;"Conjunto"),nNOTA)),""))</f>
        <v/>
      </c>
      <c r="T156" t="str">
        <f>IF(S156="","",IFERROR(AVERAGEIFS(nNOTA,nNIA,S156,nEVAL,CONFIG_METADATA!$B$4,nASIG,"Lenguaje Musical"),""))</f>
        <v/>
      </c>
      <c r="U156" t="str">
        <f>IF(S156="","",IFERROR(AVERAGEIFS(nNOTA,nNIA,S156,nEVAL,CONFIG_METADATA!$B$4,nASIG,"Coro"),""))</f>
        <v/>
      </c>
      <c r="V156" t="str">
        <f>IF(S156="","",IFERROR(AVERAGEIFS(nNOTA,nNIA,S156,nEVAL,CONFIG_METADATA!$B$4,nASIG,"Conjunto"),""))</f>
        <v/>
      </c>
      <c r="W156" t="str" cm="1">
        <f t="array" ref="W156">IF(S156="","",IFERROR(AVERAGE(IF((nNIA=S156)*(nEVAL=CONFIG_METADATA!$B$4)*(nASIG&lt;&gt;"Lenguaje Musical")*(nASIG&lt;&gt;"Coro")*(nASIG&lt;&gt;"Conjunto"),nNOTA)),""))</f>
        <v/>
      </c>
    </row>
    <row r="157" spans="2:23" x14ac:dyDescent="0.2">
      <c r="B157" t="str">
        <f>IF(A157="","",IFERROR(AVERAGEIFS(nNOTA,nNIA,A157,nEVAL,CONFIG_METADATA!$B$4,nASIG,"Lenguaje Musical"),""))</f>
        <v/>
      </c>
      <c r="C157" t="str">
        <f>IF(A157="","",IFERROR(AVERAGEIFS(nNOTA,nNIA,A157,nEVAL,CONFIG_METADATA!$B$4,nASIG,"Coro"),""))</f>
        <v/>
      </c>
      <c r="D157" t="str">
        <f>IF(A157="","",IFERROR(AVERAGEIFS(nNOTA,nNIA,A157,nEVAL,CONFIG_METADATA!$B$4,nASIG,"Conjunto"),""))</f>
        <v/>
      </c>
      <c r="E157" t="str" cm="1">
        <f t="array" ref="E157">IF(A157="","",IFERROR(AVERAGE(IF((nNIA=A157)*(nEVAL=CONFIG_METADATA!$B$4)*(nASIG&lt;&gt;"Lenguaje Musical")*(nASIG&lt;&gt;"Coro")*(nASIG&lt;&gt;"Conjunto"),nNOTA)),""))</f>
        <v/>
      </c>
      <c r="H157" t="str">
        <f>IF(G157="","",IFERROR(AVERAGEIFS(nNOTA,nNIA,G157,nEVAL,CONFIG_METADATA!$B$4,nASIG,"Lenguaje Musical"),""))</f>
        <v/>
      </c>
      <c r="I157" t="str">
        <f>IF(G157="","",IFERROR(AVERAGEIFS(nNOTA,nNIA,G157,nEVAL,CONFIG_METADATA!$B$4,nASIG,"Coro"),""))</f>
        <v/>
      </c>
      <c r="J157" t="str">
        <f>IF(G157="","",IFERROR(AVERAGEIFS(nNOTA,nNIA,G157,nEVAL,CONFIG_METADATA!$B$4,nASIG,"Conjunto"),""))</f>
        <v/>
      </c>
      <c r="K157" t="str" cm="1">
        <f t="array" ref="K157">IF(G157="","",IFERROR(AVERAGE(IF((nNIA=G157)*(nEVAL=CONFIG_METADATA!$B$4)*(nASIG&lt;&gt;"Lenguaje Musical")*(nASIG&lt;&gt;"Coro")*(nASIG&lt;&gt;"Conjunto"),nNOTA)),""))</f>
        <v/>
      </c>
      <c r="N157" t="str">
        <f>IF(M157="","",IFERROR(AVERAGEIFS(nNOTA,nNIA,M157,nEVAL,CONFIG_METADATA!$B$4,nASIG,"Lenguaje Musical"),""))</f>
        <v/>
      </c>
      <c r="O157" t="str">
        <f>IF(M157="","",IFERROR(AVERAGEIFS(nNOTA,nNIA,M157,nEVAL,CONFIG_METADATA!$B$4,nASIG,"Coro"),""))</f>
        <v/>
      </c>
      <c r="P157" t="str">
        <f>IF(M157="","",IFERROR(AVERAGEIFS(nNOTA,nNIA,M157,nEVAL,CONFIG_METADATA!$B$4,nASIG,"Conjunto"),""))</f>
        <v/>
      </c>
      <c r="Q157" t="str" cm="1">
        <f t="array" ref="Q157">IF(M157="","",IFERROR(AVERAGE(IF((nNIA=M157)*(nEVAL=CONFIG_METADATA!$B$4)*(nASIG&lt;&gt;"Lenguaje Musical")*(nASIG&lt;&gt;"Coro")*(nASIG&lt;&gt;"Conjunto"),nNOTA)),""))</f>
        <v/>
      </c>
      <c r="T157" t="str">
        <f>IF(S157="","",IFERROR(AVERAGEIFS(nNOTA,nNIA,S157,nEVAL,CONFIG_METADATA!$B$4,nASIG,"Lenguaje Musical"),""))</f>
        <v/>
      </c>
      <c r="U157" t="str">
        <f>IF(S157="","",IFERROR(AVERAGEIFS(nNOTA,nNIA,S157,nEVAL,CONFIG_METADATA!$B$4,nASIG,"Coro"),""))</f>
        <v/>
      </c>
      <c r="V157" t="str">
        <f>IF(S157="","",IFERROR(AVERAGEIFS(nNOTA,nNIA,S157,nEVAL,CONFIG_METADATA!$B$4,nASIG,"Conjunto"),""))</f>
        <v/>
      </c>
      <c r="W157" t="str" cm="1">
        <f t="array" ref="W157">IF(S157="","",IFERROR(AVERAGE(IF((nNIA=S157)*(nEVAL=CONFIG_METADATA!$B$4)*(nASIG&lt;&gt;"Lenguaje Musical")*(nASIG&lt;&gt;"Coro")*(nASIG&lt;&gt;"Conjunto"),nNOTA)),""))</f>
        <v/>
      </c>
    </row>
    <row r="158" spans="2:23" x14ac:dyDescent="0.2">
      <c r="B158" t="str">
        <f>IF(A158="","",IFERROR(AVERAGEIFS(nNOTA,nNIA,A158,nEVAL,CONFIG_METADATA!$B$4,nASIG,"Lenguaje Musical"),""))</f>
        <v/>
      </c>
      <c r="C158" t="str">
        <f>IF(A158="","",IFERROR(AVERAGEIFS(nNOTA,nNIA,A158,nEVAL,CONFIG_METADATA!$B$4,nASIG,"Coro"),""))</f>
        <v/>
      </c>
      <c r="D158" t="str">
        <f>IF(A158="","",IFERROR(AVERAGEIFS(nNOTA,nNIA,A158,nEVAL,CONFIG_METADATA!$B$4,nASIG,"Conjunto"),""))</f>
        <v/>
      </c>
      <c r="E158" t="str" cm="1">
        <f t="array" ref="E158">IF(A158="","",IFERROR(AVERAGE(IF((nNIA=A158)*(nEVAL=CONFIG_METADATA!$B$4)*(nASIG&lt;&gt;"Lenguaje Musical")*(nASIG&lt;&gt;"Coro")*(nASIG&lt;&gt;"Conjunto"),nNOTA)),""))</f>
        <v/>
      </c>
      <c r="H158" t="str">
        <f>IF(G158="","",IFERROR(AVERAGEIFS(nNOTA,nNIA,G158,nEVAL,CONFIG_METADATA!$B$4,nASIG,"Lenguaje Musical"),""))</f>
        <v/>
      </c>
      <c r="I158" t="str">
        <f>IF(G158="","",IFERROR(AVERAGEIFS(nNOTA,nNIA,G158,nEVAL,CONFIG_METADATA!$B$4,nASIG,"Coro"),""))</f>
        <v/>
      </c>
      <c r="J158" t="str">
        <f>IF(G158="","",IFERROR(AVERAGEIFS(nNOTA,nNIA,G158,nEVAL,CONFIG_METADATA!$B$4,nASIG,"Conjunto"),""))</f>
        <v/>
      </c>
      <c r="K158" t="str" cm="1">
        <f t="array" ref="K158">IF(G158="","",IFERROR(AVERAGE(IF((nNIA=G158)*(nEVAL=CONFIG_METADATA!$B$4)*(nASIG&lt;&gt;"Lenguaje Musical")*(nASIG&lt;&gt;"Coro")*(nASIG&lt;&gt;"Conjunto"),nNOTA)),""))</f>
        <v/>
      </c>
      <c r="N158" t="str">
        <f>IF(M158="","",IFERROR(AVERAGEIFS(nNOTA,nNIA,M158,nEVAL,CONFIG_METADATA!$B$4,nASIG,"Lenguaje Musical"),""))</f>
        <v/>
      </c>
      <c r="O158" t="str">
        <f>IF(M158="","",IFERROR(AVERAGEIFS(nNOTA,nNIA,M158,nEVAL,CONFIG_METADATA!$B$4,nASIG,"Coro"),""))</f>
        <v/>
      </c>
      <c r="P158" t="str">
        <f>IF(M158="","",IFERROR(AVERAGEIFS(nNOTA,nNIA,M158,nEVAL,CONFIG_METADATA!$B$4,nASIG,"Conjunto"),""))</f>
        <v/>
      </c>
      <c r="Q158" t="str" cm="1">
        <f t="array" ref="Q158">IF(M158="","",IFERROR(AVERAGE(IF((nNIA=M158)*(nEVAL=CONFIG_METADATA!$B$4)*(nASIG&lt;&gt;"Lenguaje Musical")*(nASIG&lt;&gt;"Coro")*(nASIG&lt;&gt;"Conjunto"),nNOTA)),""))</f>
        <v/>
      </c>
      <c r="T158" t="str">
        <f>IF(S158="","",IFERROR(AVERAGEIFS(nNOTA,nNIA,S158,nEVAL,CONFIG_METADATA!$B$4,nASIG,"Lenguaje Musical"),""))</f>
        <v/>
      </c>
      <c r="U158" t="str">
        <f>IF(S158="","",IFERROR(AVERAGEIFS(nNOTA,nNIA,S158,nEVAL,CONFIG_METADATA!$B$4,nASIG,"Coro"),""))</f>
        <v/>
      </c>
      <c r="V158" t="str">
        <f>IF(S158="","",IFERROR(AVERAGEIFS(nNOTA,nNIA,S158,nEVAL,CONFIG_METADATA!$B$4,nASIG,"Conjunto"),""))</f>
        <v/>
      </c>
      <c r="W158" t="str" cm="1">
        <f t="array" ref="W158">IF(S158="","",IFERROR(AVERAGE(IF((nNIA=S158)*(nEVAL=CONFIG_METADATA!$B$4)*(nASIG&lt;&gt;"Lenguaje Musical")*(nASIG&lt;&gt;"Coro")*(nASIG&lt;&gt;"Conjunto"),nNOTA)),""))</f>
        <v/>
      </c>
    </row>
    <row r="159" spans="2:23" x14ac:dyDescent="0.2">
      <c r="B159" t="str">
        <f>IF(A159="","",IFERROR(AVERAGEIFS(nNOTA,nNIA,A159,nEVAL,CONFIG_METADATA!$B$4,nASIG,"Lenguaje Musical"),""))</f>
        <v/>
      </c>
      <c r="C159" t="str">
        <f>IF(A159="","",IFERROR(AVERAGEIFS(nNOTA,nNIA,A159,nEVAL,CONFIG_METADATA!$B$4,nASIG,"Coro"),""))</f>
        <v/>
      </c>
      <c r="D159" t="str">
        <f>IF(A159="","",IFERROR(AVERAGEIFS(nNOTA,nNIA,A159,nEVAL,CONFIG_METADATA!$B$4,nASIG,"Conjunto"),""))</f>
        <v/>
      </c>
      <c r="E159" t="str" cm="1">
        <f t="array" ref="E159">IF(A159="","",IFERROR(AVERAGE(IF((nNIA=A159)*(nEVAL=CONFIG_METADATA!$B$4)*(nASIG&lt;&gt;"Lenguaje Musical")*(nASIG&lt;&gt;"Coro")*(nASIG&lt;&gt;"Conjunto"),nNOTA)),""))</f>
        <v/>
      </c>
      <c r="H159" t="str">
        <f>IF(G159="","",IFERROR(AVERAGEIFS(nNOTA,nNIA,G159,nEVAL,CONFIG_METADATA!$B$4,nASIG,"Lenguaje Musical"),""))</f>
        <v/>
      </c>
      <c r="I159" t="str">
        <f>IF(G159="","",IFERROR(AVERAGEIFS(nNOTA,nNIA,G159,nEVAL,CONFIG_METADATA!$B$4,nASIG,"Coro"),""))</f>
        <v/>
      </c>
      <c r="J159" t="str">
        <f>IF(G159="","",IFERROR(AVERAGEIFS(nNOTA,nNIA,G159,nEVAL,CONFIG_METADATA!$B$4,nASIG,"Conjunto"),""))</f>
        <v/>
      </c>
      <c r="K159" t="str" cm="1">
        <f t="array" ref="K159">IF(G159="","",IFERROR(AVERAGE(IF((nNIA=G159)*(nEVAL=CONFIG_METADATA!$B$4)*(nASIG&lt;&gt;"Lenguaje Musical")*(nASIG&lt;&gt;"Coro")*(nASIG&lt;&gt;"Conjunto"),nNOTA)),""))</f>
        <v/>
      </c>
      <c r="N159" t="str">
        <f>IF(M159="","",IFERROR(AVERAGEIFS(nNOTA,nNIA,M159,nEVAL,CONFIG_METADATA!$B$4,nASIG,"Lenguaje Musical"),""))</f>
        <v/>
      </c>
      <c r="O159" t="str">
        <f>IF(M159="","",IFERROR(AVERAGEIFS(nNOTA,nNIA,M159,nEVAL,CONFIG_METADATA!$B$4,nASIG,"Coro"),""))</f>
        <v/>
      </c>
      <c r="P159" t="str">
        <f>IF(M159="","",IFERROR(AVERAGEIFS(nNOTA,nNIA,M159,nEVAL,CONFIG_METADATA!$B$4,nASIG,"Conjunto"),""))</f>
        <v/>
      </c>
      <c r="Q159" t="str" cm="1">
        <f t="array" ref="Q159">IF(M159="","",IFERROR(AVERAGE(IF((nNIA=M159)*(nEVAL=CONFIG_METADATA!$B$4)*(nASIG&lt;&gt;"Lenguaje Musical")*(nASIG&lt;&gt;"Coro")*(nASIG&lt;&gt;"Conjunto"),nNOTA)),""))</f>
        <v/>
      </c>
      <c r="T159" t="str">
        <f>IF(S159="","",IFERROR(AVERAGEIFS(nNOTA,nNIA,S159,nEVAL,CONFIG_METADATA!$B$4,nASIG,"Lenguaje Musical"),""))</f>
        <v/>
      </c>
      <c r="U159" t="str">
        <f>IF(S159="","",IFERROR(AVERAGEIFS(nNOTA,nNIA,S159,nEVAL,CONFIG_METADATA!$B$4,nASIG,"Coro"),""))</f>
        <v/>
      </c>
      <c r="V159" t="str">
        <f>IF(S159="","",IFERROR(AVERAGEIFS(nNOTA,nNIA,S159,nEVAL,CONFIG_METADATA!$B$4,nASIG,"Conjunto"),""))</f>
        <v/>
      </c>
      <c r="W159" t="str" cm="1">
        <f t="array" ref="W159">IF(S159="","",IFERROR(AVERAGE(IF((nNIA=S159)*(nEVAL=CONFIG_METADATA!$B$4)*(nASIG&lt;&gt;"Lenguaje Musical")*(nASIG&lt;&gt;"Coro")*(nASIG&lt;&gt;"Conjunto"),nNOTA)),""))</f>
        <v/>
      </c>
    </row>
    <row r="160" spans="2:23" x14ac:dyDescent="0.2">
      <c r="B160" t="str">
        <f>IF(A160="","",IFERROR(AVERAGEIFS(nNOTA,nNIA,A160,nEVAL,CONFIG_METADATA!$B$4,nASIG,"Lenguaje Musical"),""))</f>
        <v/>
      </c>
      <c r="C160" t="str">
        <f>IF(A160="","",IFERROR(AVERAGEIFS(nNOTA,nNIA,A160,nEVAL,CONFIG_METADATA!$B$4,nASIG,"Coro"),""))</f>
        <v/>
      </c>
      <c r="D160" t="str">
        <f>IF(A160="","",IFERROR(AVERAGEIFS(nNOTA,nNIA,A160,nEVAL,CONFIG_METADATA!$B$4,nASIG,"Conjunto"),""))</f>
        <v/>
      </c>
      <c r="E160" t="str" cm="1">
        <f t="array" ref="E160">IF(A160="","",IFERROR(AVERAGE(IF((nNIA=A160)*(nEVAL=CONFIG_METADATA!$B$4)*(nASIG&lt;&gt;"Lenguaje Musical")*(nASIG&lt;&gt;"Coro")*(nASIG&lt;&gt;"Conjunto"),nNOTA)),""))</f>
        <v/>
      </c>
      <c r="H160" t="str">
        <f>IF(G160="","",IFERROR(AVERAGEIFS(nNOTA,nNIA,G160,nEVAL,CONFIG_METADATA!$B$4,nASIG,"Lenguaje Musical"),""))</f>
        <v/>
      </c>
      <c r="I160" t="str">
        <f>IF(G160="","",IFERROR(AVERAGEIFS(nNOTA,nNIA,G160,nEVAL,CONFIG_METADATA!$B$4,nASIG,"Coro"),""))</f>
        <v/>
      </c>
      <c r="J160" t="str">
        <f>IF(G160="","",IFERROR(AVERAGEIFS(nNOTA,nNIA,G160,nEVAL,CONFIG_METADATA!$B$4,nASIG,"Conjunto"),""))</f>
        <v/>
      </c>
      <c r="K160" t="str" cm="1">
        <f t="array" ref="K160">IF(G160="","",IFERROR(AVERAGE(IF((nNIA=G160)*(nEVAL=CONFIG_METADATA!$B$4)*(nASIG&lt;&gt;"Lenguaje Musical")*(nASIG&lt;&gt;"Coro")*(nASIG&lt;&gt;"Conjunto"),nNOTA)),""))</f>
        <v/>
      </c>
      <c r="N160" t="str">
        <f>IF(M160="","",IFERROR(AVERAGEIFS(nNOTA,nNIA,M160,nEVAL,CONFIG_METADATA!$B$4,nASIG,"Lenguaje Musical"),""))</f>
        <v/>
      </c>
      <c r="O160" t="str">
        <f>IF(M160="","",IFERROR(AVERAGEIFS(nNOTA,nNIA,M160,nEVAL,CONFIG_METADATA!$B$4,nASIG,"Coro"),""))</f>
        <v/>
      </c>
      <c r="P160" t="str">
        <f>IF(M160="","",IFERROR(AVERAGEIFS(nNOTA,nNIA,M160,nEVAL,CONFIG_METADATA!$B$4,nASIG,"Conjunto"),""))</f>
        <v/>
      </c>
      <c r="Q160" t="str" cm="1">
        <f t="array" ref="Q160">IF(M160="","",IFERROR(AVERAGE(IF((nNIA=M160)*(nEVAL=CONFIG_METADATA!$B$4)*(nASIG&lt;&gt;"Lenguaje Musical")*(nASIG&lt;&gt;"Coro")*(nASIG&lt;&gt;"Conjunto"),nNOTA)),""))</f>
        <v/>
      </c>
      <c r="T160" t="str">
        <f>IF(S160="","",IFERROR(AVERAGEIFS(nNOTA,nNIA,S160,nEVAL,CONFIG_METADATA!$B$4,nASIG,"Lenguaje Musical"),""))</f>
        <v/>
      </c>
      <c r="U160" t="str">
        <f>IF(S160="","",IFERROR(AVERAGEIFS(nNOTA,nNIA,S160,nEVAL,CONFIG_METADATA!$B$4,nASIG,"Coro"),""))</f>
        <v/>
      </c>
      <c r="V160" t="str">
        <f>IF(S160="","",IFERROR(AVERAGEIFS(nNOTA,nNIA,S160,nEVAL,CONFIG_METADATA!$B$4,nASIG,"Conjunto"),""))</f>
        <v/>
      </c>
      <c r="W160" t="str" cm="1">
        <f t="array" ref="W160">IF(S160="","",IFERROR(AVERAGE(IF((nNIA=S160)*(nEVAL=CONFIG_METADATA!$B$4)*(nASIG&lt;&gt;"Lenguaje Musical")*(nASIG&lt;&gt;"Coro")*(nASIG&lt;&gt;"Conjunto"),nNOTA)),""))</f>
        <v/>
      </c>
    </row>
    <row r="161" spans="2:23" x14ac:dyDescent="0.2">
      <c r="B161" t="str">
        <f>IF(A161="","",IFERROR(AVERAGEIFS(nNOTA,nNIA,A161,nEVAL,CONFIG_METADATA!$B$4,nASIG,"Lenguaje Musical"),""))</f>
        <v/>
      </c>
      <c r="C161" t="str">
        <f>IF(A161="","",IFERROR(AVERAGEIFS(nNOTA,nNIA,A161,nEVAL,CONFIG_METADATA!$B$4,nASIG,"Coro"),""))</f>
        <v/>
      </c>
      <c r="D161" t="str">
        <f>IF(A161="","",IFERROR(AVERAGEIFS(nNOTA,nNIA,A161,nEVAL,CONFIG_METADATA!$B$4,nASIG,"Conjunto"),""))</f>
        <v/>
      </c>
      <c r="E161" t="str" cm="1">
        <f t="array" ref="E161">IF(A161="","",IFERROR(AVERAGE(IF((nNIA=A161)*(nEVAL=CONFIG_METADATA!$B$4)*(nASIG&lt;&gt;"Lenguaje Musical")*(nASIG&lt;&gt;"Coro")*(nASIG&lt;&gt;"Conjunto"),nNOTA)),""))</f>
        <v/>
      </c>
      <c r="H161" t="str">
        <f>IF(G161="","",IFERROR(AVERAGEIFS(nNOTA,nNIA,G161,nEVAL,CONFIG_METADATA!$B$4,nASIG,"Lenguaje Musical"),""))</f>
        <v/>
      </c>
      <c r="I161" t="str">
        <f>IF(G161="","",IFERROR(AVERAGEIFS(nNOTA,nNIA,G161,nEVAL,CONFIG_METADATA!$B$4,nASIG,"Coro"),""))</f>
        <v/>
      </c>
      <c r="J161" t="str">
        <f>IF(G161="","",IFERROR(AVERAGEIFS(nNOTA,nNIA,G161,nEVAL,CONFIG_METADATA!$B$4,nASIG,"Conjunto"),""))</f>
        <v/>
      </c>
      <c r="K161" t="str" cm="1">
        <f t="array" ref="K161">IF(G161="","",IFERROR(AVERAGE(IF((nNIA=G161)*(nEVAL=CONFIG_METADATA!$B$4)*(nASIG&lt;&gt;"Lenguaje Musical")*(nASIG&lt;&gt;"Coro")*(nASIG&lt;&gt;"Conjunto"),nNOTA)),""))</f>
        <v/>
      </c>
      <c r="N161" t="str">
        <f>IF(M161="","",IFERROR(AVERAGEIFS(nNOTA,nNIA,M161,nEVAL,CONFIG_METADATA!$B$4,nASIG,"Lenguaje Musical"),""))</f>
        <v/>
      </c>
      <c r="O161" t="str">
        <f>IF(M161="","",IFERROR(AVERAGEIFS(nNOTA,nNIA,M161,nEVAL,CONFIG_METADATA!$B$4,nASIG,"Coro"),""))</f>
        <v/>
      </c>
      <c r="P161" t="str">
        <f>IF(M161="","",IFERROR(AVERAGEIFS(nNOTA,nNIA,M161,nEVAL,CONFIG_METADATA!$B$4,nASIG,"Conjunto"),""))</f>
        <v/>
      </c>
      <c r="Q161" t="str" cm="1">
        <f t="array" ref="Q161">IF(M161="","",IFERROR(AVERAGE(IF((nNIA=M161)*(nEVAL=CONFIG_METADATA!$B$4)*(nASIG&lt;&gt;"Lenguaje Musical")*(nASIG&lt;&gt;"Coro")*(nASIG&lt;&gt;"Conjunto"),nNOTA)),""))</f>
        <v/>
      </c>
      <c r="T161" t="str">
        <f>IF(S161="","",IFERROR(AVERAGEIFS(nNOTA,nNIA,S161,nEVAL,CONFIG_METADATA!$B$4,nASIG,"Lenguaje Musical"),""))</f>
        <v/>
      </c>
      <c r="U161" t="str">
        <f>IF(S161="","",IFERROR(AVERAGEIFS(nNOTA,nNIA,S161,nEVAL,CONFIG_METADATA!$B$4,nASIG,"Coro"),""))</f>
        <v/>
      </c>
      <c r="V161" t="str">
        <f>IF(S161="","",IFERROR(AVERAGEIFS(nNOTA,nNIA,S161,nEVAL,CONFIG_METADATA!$B$4,nASIG,"Conjunto"),""))</f>
        <v/>
      </c>
      <c r="W161" t="str" cm="1">
        <f t="array" ref="W161">IF(S161="","",IFERROR(AVERAGE(IF((nNIA=S161)*(nEVAL=CONFIG_METADATA!$B$4)*(nASIG&lt;&gt;"Lenguaje Musical")*(nASIG&lt;&gt;"Coro")*(nASIG&lt;&gt;"Conjunto"),nNOTA)),""))</f>
        <v/>
      </c>
    </row>
    <row r="162" spans="2:23" x14ac:dyDescent="0.2">
      <c r="B162" t="str">
        <f>IF(A162="","",IFERROR(AVERAGEIFS(nNOTA,nNIA,A162,nEVAL,CONFIG_METADATA!$B$4,nASIG,"Lenguaje Musical"),""))</f>
        <v/>
      </c>
      <c r="C162" t="str">
        <f>IF(A162="","",IFERROR(AVERAGEIFS(nNOTA,nNIA,A162,nEVAL,CONFIG_METADATA!$B$4,nASIG,"Coro"),""))</f>
        <v/>
      </c>
      <c r="D162" t="str">
        <f>IF(A162="","",IFERROR(AVERAGEIFS(nNOTA,nNIA,A162,nEVAL,CONFIG_METADATA!$B$4,nASIG,"Conjunto"),""))</f>
        <v/>
      </c>
      <c r="E162" t="str" cm="1">
        <f t="array" ref="E162">IF(A162="","",IFERROR(AVERAGE(IF((nNIA=A162)*(nEVAL=CONFIG_METADATA!$B$4)*(nASIG&lt;&gt;"Lenguaje Musical")*(nASIG&lt;&gt;"Coro")*(nASIG&lt;&gt;"Conjunto"),nNOTA)),""))</f>
        <v/>
      </c>
      <c r="H162" t="str">
        <f>IF(G162="","",IFERROR(AVERAGEIFS(nNOTA,nNIA,G162,nEVAL,CONFIG_METADATA!$B$4,nASIG,"Lenguaje Musical"),""))</f>
        <v/>
      </c>
      <c r="I162" t="str">
        <f>IF(G162="","",IFERROR(AVERAGEIFS(nNOTA,nNIA,G162,nEVAL,CONFIG_METADATA!$B$4,nASIG,"Coro"),""))</f>
        <v/>
      </c>
      <c r="J162" t="str">
        <f>IF(G162="","",IFERROR(AVERAGEIFS(nNOTA,nNIA,G162,nEVAL,CONFIG_METADATA!$B$4,nASIG,"Conjunto"),""))</f>
        <v/>
      </c>
      <c r="K162" t="str" cm="1">
        <f t="array" ref="K162">IF(G162="","",IFERROR(AVERAGE(IF((nNIA=G162)*(nEVAL=CONFIG_METADATA!$B$4)*(nASIG&lt;&gt;"Lenguaje Musical")*(nASIG&lt;&gt;"Coro")*(nASIG&lt;&gt;"Conjunto"),nNOTA)),""))</f>
        <v/>
      </c>
      <c r="N162" t="str">
        <f>IF(M162="","",IFERROR(AVERAGEIFS(nNOTA,nNIA,M162,nEVAL,CONFIG_METADATA!$B$4,nASIG,"Lenguaje Musical"),""))</f>
        <v/>
      </c>
      <c r="O162" t="str">
        <f>IF(M162="","",IFERROR(AVERAGEIFS(nNOTA,nNIA,M162,nEVAL,CONFIG_METADATA!$B$4,nASIG,"Coro"),""))</f>
        <v/>
      </c>
      <c r="P162" t="str">
        <f>IF(M162="","",IFERROR(AVERAGEIFS(nNOTA,nNIA,M162,nEVAL,CONFIG_METADATA!$B$4,nASIG,"Conjunto"),""))</f>
        <v/>
      </c>
      <c r="Q162" t="str" cm="1">
        <f t="array" ref="Q162">IF(M162="","",IFERROR(AVERAGE(IF((nNIA=M162)*(nEVAL=CONFIG_METADATA!$B$4)*(nASIG&lt;&gt;"Lenguaje Musical")*(nASIG&lt;&gt;"Coro")*(nASIG&lt;&gt;"Conjunto"),nNOTA)),""))</f>
        <v/>
      </c>
      <c r="T162" t="str">
        <f>IF(S162="","",IFERROR(AVERAGEIFS(nNOTA,nNIA,S162,nEVAL,CONFIG_METADATA!$B$4,nASIG,"Lenguaje Musical"),""))</f>
        <v/>
      </c>
      <c r="U162" t="str">
        <f>IF(S162="","",IFERROR(AVERAGEIFS(nNOTA,nNIA,S162,nEVAL,CONFIG_METADATA!$B$4,nASIG,"Coro"),""))</f>
        <v/>
      </c>
      <c r="V162" t="str">
        <f>IF(S162="","",IFERROR(AVERAGEIFS(nNOTA,nNIA,S162,nEVAL,CONFIG_METADATA!$B$4,nASIG,"Conjunto"),""))</f>
        <v/>
      </c>
      <c r="W162" t="str" cm="1">
        <f t="array" ref="W162">IF(S162="","",IFERROR(AVERAGE(IF((nNIA=S162)*(nEVAL=CONFIG_METADATA!$B$4)*(nASIG&lt;&gt;"Lenguaje Musical")*(nASIG&lt;&gt;"Coro")*(nASIG&lt;&gt;"Conjunto"),nNOTA)),""))</f>
        <v/>
      </c>
    </row>
    <row r="163" spans="2:23" x14ac:dyDescent="0.2">
      <c r="B163" t="str">
        <f>IF(A163="","",IFERROR(AVERAGEIFS(nNOTA,nNIA,A163,nEVAL,CONFIG_METADATA!$B$4,nASIG,"Lenguaje Musical"),""))</f>
        <v/>
      </c>
      <c r="C163" t="str">
        <f>IF(A163="","",IFERROR(AVERAGEIFS(nNOTA,nNIA,A163,nEVAL,CONFIG_METADATA!$B$4,nASIG,"Coro"),""))</f>
        <v/>
      </c>
      <c r="D163" t="str">
        <f>IF(A163="","",IFERROR(AVERAGEIFS(nNOTA,nNIA,A163,nEVAL,CONFIG_METADATA!$B$4,nASIG,"Conjunto"),""))</f>
        <v/>
      </c>
      <c r="E163" t="str" cm="1">
        <f t="array" ref="E163">IF(A163="","",IFERROR(AVERAGE(IF((nNIA=A163)*(nEVAL=CONFIG_METADATA!$B$4)*(nASIG&lt;&gt;"Lenguaje Musical")*(nASIG&lt;&gt;"Coro")*(nASIG&lt;&gt;"Conjunto"),nNOTA)),""))</f>
        <v/>
      </c>
      <c r="H163" t="str">
        <f>IF(G163="","",IFERROR(AVERAGEIFS(nNOTA,nNIA,G163,nEVAL,CONFIG_METADATA!$B$4,nASIG,"Lenguaje Musical"),""))</f>
        <v/>
      </c>
      <c r="I163" t="str">
        <f>IF(G163="","",IFERROR(AVERAGEIFS(nNOTA,nNIA,G163,nEVAL,CONFIG_METADATA!$B$4,nASIG,"Coro"),""))</f>
        <v/>
      </c>
      <c r="J163" t="str">
        <f>IF(G163="","",IFERROR(AVERAGEIFS(nNOTA,nNIA,G163,nEVAL,CONFIG_METADATA!$B$4,nASIG,"Conjunto"),""))</f>
        <v/>
      </c>
      <c r="K163" t="str" cm="1">
        <f t="array" ref="K163">IF(G163="","",IFERROR(AVERAGE(IF((nNIA=G163)*(nEVAL=CONFIG_METADATA!$B$4)*(nASIG&lt;&gt;"Lenguaje Musical")*(nASIG&lt;&gt;"Coro")*(nASIG&lt;&gt;"Conjunto"),nNOTA)),""))</f>
        <v/>
      </c>
      <c r="N163" t="str">
        <f>IF(M163="","",IFERROR(AVERAGEIFS(nNOTA,nNIA,M163,nEVAL,CONFIG_METADATA!$B$4,nASIG,"Lenguaje Musical"),""))</f>
        <v/>
      </c>
      <c r="O163" t="str">
        <f>IF(M163="","",IFERROR(AVERAGEIFS(nNOTA,nNIA,M163,nEVAL,CONFIG_METADATA!$B$4,nASIG,"Coro"),""))</f>
        <v/>
      </c>
      <c r="P163" t="str">
        <f>IF(M163="","",IFERROR(AVERAGEIFS(nNOTA,nNIA,M163,nEVAL,CONFIG_METADATA!$B$4,nASIG,"Conjunto"),""))</f>
        <v/>
      </c>
      <c r="Q163" t="str" cm="1">
        <f t="array" ref="Q163">IF(M163="","",IFERROR(AVERAGE(IF((nNIA=M163)*(nEVAL=CONFIG_METADATA!$B$4)*(nASIG&lt;&gt;"Lenguaje Musical")*(nASIG&lt;&gt;"Coro")*(nASIG&lt;&gt;"Conjunto"),nNOTA)),""))</f>
        <v/>
      </c>
      <c r="T163" t="str">
        <f>IF(S163="","",IFERROR(AVERAGEIFS(nNOTA,nNIA,S163,nEVAL,CONFIG_METADATA!$B$4,nASIG,"Lenguaje Musical"),""))</f>
        <v/>
      </c>
      <c r="U163" t="str">
        <f>IF(S163="","",IFERROR(AVERAGEIFS(nNOTA,nNIA,S163,nEVAL,CONFIG_METADATA!$B$4,nASIG,"Coro"),""))</f>
        <v/>
      </c>
      <c r="V163" t="str">
        <f>IF(S163="","",IFERROR(AVERAGEIFS(nNOTA,nNIA,S163,nEVAL,CONFIG_METADATA!$B$4,nASIG,"Conjunto"),""))</f>
        <v/>
      </c>
      <c r="W163" t="str" cm="1">
        <f t="array" ref="W163">IF(S163="","",IFERROR(AVERAGE(IF((nNIA=S163)*(nEVAL=CONFIG_METADATA!$B$4)*(nASIG&lt;&gt;"Lenguaje Musical")*(nASIG&lt;&gt;"Coro")*(nASIG&lt;&gt;"Conjunto"),nNOTA)),""))</f>
        <v/>
      </c>
    </row>
    <row r="164" spans="2:23" x14ac:dyDescent="0.2">
      <c r="B164" t="str">
        <f>IF(A164="","",IFERROR(AVERAGEIFS(nNOTA,nNIA,A164,nEVAL,CONFIG_METADATA!$B$4,nASIG,"Lenguaje Musical"),""))</f>
        <v/>
      </c>
      <c r="C164" t="str">
        <f>IF(A164="","",IFERROR(AVERAGEIFS(nNOTA,nNIA,A164,nEVAL,CONFIG_METADATA!$B$4,nASIG,"Coro"),""))</f>
        <v/>
      </c>
      <c r="D164" t="str">
        <f>IF(A164="","",IFERROR(AVERAGEIFS(nNOTA,nNIA,A164,nEVAL,CONFIG_METADATA!$B$4,nASIG,"Conjunto"),""))</f>
        <v/>
      </c>
      <c r="E164" t="str" cm="1">
        <f t="array" ref="E164">IF(A164="","",IFERROR(AVERAGE(IF((nNIA=A164)*(nEVAL=CONFIG_METADATA!$B$4)*(nASIG&lt;&gt;"Lenguaje Musical")*(nASIG&lt;&gt;"Coro")*(nASIG&lt;&gt;"Conjunto"),nNOTA)),""))</f>
        <v/>
      </c>
      <c r="H164" t="str">
        <f>IF(G164="","",IFERROR(AVERAGEIFS(nNOTA,nNIA,G164,nEVAL,CONFIG_METADATA!$B$4,nASIG,"Lenguaje Musical"),""))</f>
        <v/>
      </c>
      <c r="I164" t="str">
        <f>IF(G164="","",IFERROR(AVERAGEIFS(nNOTA,nNIA,G164,nEVAL,CONFIG_METADATA!$B$4,nASIG,"Coro"),""))</f>
        <v/>
      </c>
      <c r="J164" t="str">
        <f>IF(G164="","",IFERROR(AVERAGEIFS(nNOTA,nNIA,G164,nEVAL,CONFIG_METADATA!$B$4,nASIG,"Conjunto"),""))</f>
        <v/>
      </c>
      <c r="K164" t="str" cm="1">
        <f t="array" ref="K164">IF(G164="","",IFERROR(AVERAGE(IF((nNIA=G164)*(nEVAL=CONFIG_METADATA!$B$4)*(nASIG&lt;&gt;"Lenguaje Musical")*(nASIG&lt;&gt;"Coro")*(nASIG&lt;&gt;"Conjunto"),nNOTA)),""))</f>
        <v/>
      </c>
      <c r="N164" t="str">
        <f>IF(M164="","",IFERROR(AVERAGEIFS(nNOTA,nNIA,M164,nEVAL,CONFIG_METADATA!$B$4,nASIG,"Lenguaje Musical"),""))</f>
        <v/>
      </c>
      <c r="O164" t="str">
        <f>IF(M164="","",IFERROR(AVERAGEIFS(nNOTA,nNIA,M164,nEVAL,CONFIG_METADATA!$B$4,nASIG,"Coro"),""))</f>
        <v/>
      </c>
      <c r="P164" t="str">
        <f>IF(M164="","",IFERROR(AVERAGEIFS(nNOTA,nNIA,M164,nEVAL,CONFIG_METADATA!$B$4,nASIG,"Conjunto"),""))</f>
        <v/>
      </c>
      <c r="Q164" t="str" cm="1">
        <f t="array" ref="Q164">IF(M164="","",IFERROR(AVERAGE(IF((nNIA=M164)*(nEVAL=CONFIG_METADATA!$B$4)*(nASIG&lt;&gt;"Lenguaje Musical")*(nASIG&lt;&gt;"Coro")*(nASIG&lt;&gt;"Conjunto"),nNOTA)),""))</f>
        <v/>
      </c>
      <c r="T164" t="str">
        <f>IF(S164="","",IFERROR(AVERAGEIFS(nNOTA,nNIA,S164,nEVAL,CONFIG_METADATA!$B$4,nASIG,"Lenguaje Musical"),""))</f>
        <v/>
      </c>
      <c r="U164" t="str">
        <f>IF(S164="","",IFERROR(AVERAGEIFS(nNOTA,nNIA,S164,nEVAL,CONFIG_METADATA!$B$4,nASIG,"Coro"),""))</f>
        <v/>
      </c>
      <c r="V164" t="str">
        <f>IF(S164="","",IFERROR(AVERAGEIFS(nNOTA,nNIA,S164,nEVAL,CONFIG_METADATA!$B$4,nASIG,"Conjunto"),""))</f>
        <v/>
      </c>
      <c r="W164" t="str" cm="1">
        <f t="array" ref="W164">IF(S164="","",IFERROR(AVERAGE(IF((nNIA=S164)*(nEVAL=CONFIG_METADATA!$B$4)*(nASIG&lt;&gt;"Lenguaje Musical")*(nASIG&lt;&gt;"Coro")*(nASIG&lt;&gt;"Conjunto"),nNOTA)),""))</f>
        <v/>
      </c>
    </row>
    <row r="165" spans="2:23" x14ac:dyDescent="0.2">
      <c r="B165" t="str">
        <f>IF(A165="","",IFERROR(AVERAGEIFS(nNOTA,nNIA,A165,nEVAL,CONFIG_METADATA!$B$4,nASIG,"Lenguaje Musical"),""))</f>
        <v/>
      </c>
      <c r="C165" t="str">
        <f>IF(A165="","",IFERROR(AVERAGEIFS(nNOTA,nNIA,A165,nEVAL,CONFIG_METADATA!$B$4,nASIG,"Coro"),""))</f>
        <v/>
      </c>
      <c r="D165" t="str">
        <f>IF(A165="","",IFERROR(AVERAGEIFS(nNOTA,nNIA,A165,nEVAL,CONFIG_METADATA!$B$4,nASIG,"Conjunto"),""))</f>
        <v/>
      </c>
      <c r="E165" t="str" cm="1">
        <f t="array" ref="E165">IF(A165="","",IFERROR(AVERAGE(IF((nNIA=A165)*(nEVAL=CONFIG_METADATA!$B$4)*(nASIG&lt;&gt;"Lenguaje Musical")*(nASIG&lt;&gt;"Coro")*(nASIG&lt;&gt;"Conjunto"),nNOTA)),""))</f>
        <v/>
      </c>
      <c r="H165" t="str">
        <f>IF(G165="","",IFERROR(AVERAGEIFS(nNOTA,nNIA,G165,nEVAL,CONFIG_METADATA!$B$4,nASIG,"Lenguaje Musical"),""))</f>
        <v/>
      </c>
      <c r="I165" t="str">
        <f>IF(G165="","",IFERROR(AVERAGEIFS(nNOTA,nNIA,G165,nEVAL,CONFIG_METADATA!$B$4,nASIG,"Coro"),""))</f>
        <v/>
      </c>
      <c r="J165" t="str">
        <f>IF(G165="","",IFERROR(AVERAGEIFS(nNOTA,nNIA,G165,nEVAL,CONFIG_METADATA!$B$4,nASIG,"Conjunto"),""))</f>
        <v/>
      </c>
      <c r="K165" t="str" cm="1">
        <f t="array" ref="K165">IF(G165="","",IFERROR(AVERAGE(IF((nNIA=G165)*(nEVAL=CONFIG_METADATA!$B$4)*(nASIG&lt;&gt;"Lenguaje Musical")*(nASIG&lt;&gt;"Coro")*(nASIG&lt;&gt;"Conjunto"),nNOTA)),""))</f>
        <v/>
      </c>
      <c r="N165" t="str">
        <f>IF(M165="","",IFERROR(AVERAGEIFS(nNOTA,nNIA,M165,nEVAL,CONFIG_METADATA!$B$4,nASIG,"Lenguaje Musical"),""))</f>
        <v/>
      </c>
      <c r="O165" t="str">
        <f>IF(M165="","",IFERROR(AVERAGEIFS(nNOTA,nNIA,M165,nEVAL,CONFIG_METADATA!$B$4,nASIG,"Coro"),""))</f>
        <v/>
      </c>
      <c r="P165" t="str">
        <f>IF(M165="","",IFERROR(AVERAGEIFS(nNOTA,nNIA,M165,nEVAL,CONFIG_METADATA!$B$4,nASIG,"Conjunto"),""))</f>
        <v/>
      </c>
      <c r="Q165" t="str" cm="1">
        <f t="array" ref="Q165">IF(M165="","",IFERROR(AVERAGE(IF((nNIA=M165)*(nEVAL=CONFIG_METADATA!$B$4)*(nASIG&lt;&gt;"Lenguaje Musical")*(nASIG&lt;&gt;"Coro")*(nASIG&lt;&gt;"Conjunto"),nNOTA)),""))</f>
        <v/>
      </c>
      <c r="T165" t="str">
        <f>IF(S165="","",IFERROR(AVERAGEIFS(nNOTA,nNIA,S165,nEVAL,CONFIG_METADATA!$B$4,nASIG,"Lenguaje Musical"),""))</f>
        <v/>
      </c>
      <c r="U165" t="str">
        <f>IF(S165="","",IFERROR(AVERAGEIFS(nNOTA,nNIA,S165,nEVAL,CONFIG_METADATA!$B$4,nASIG,"Coro"),""))</f>
        <v/>
      </c>
      <c r="V165" t="str">
        <f>IF(S165="","",IFERROR(AVERAGEIFS(nNOTA,nNIA,S165,nEVAL,CONFIG_METADATA!$B$4,nASIG,"Conjunto"),""))</f>
        <v/>
      </c>
      <c r="W165" t="str" cm="1">
        <f t="array" ref="W165">IF(S165="","",IFERROR(AVERAGE(IF((nNIA=S165)*(nEVAL=CONFIG_METADATA!$B$4)*(nASIG&lt;&gt;"Lenguaje Musical")*(nASIG&lt;&gt;"Coro")*(nASIG&lt;&gt;"Conjunto"),nNOTA)),""))</f>
        <v/>
      </c>
    </row>
    <row r="166" spans="2:23" x14ac:dyDescent="0.2">
      <c r="B166" t="str">
        <f>IF(A166="","",IFERROR(AVERAGEIFS(nNOTA,nNIA,A166,nEVAL,CONFIG_METADATA!$B$4,nASIG,"Lenguaje Musical"),""))</f>
        <v/>
      </c>
      <c r="C166" t="str">
        <f>IF(A166="","",IFERROR(AVERAGEIFS(nNOTA,nNIA,A166,nEVAL,CONFIG_METADATA!$B$4,nASIG,"Coro"),""))</f>
        <v/>
      </c>
      <c r="D166" t="str">
        <f>IF(A166="","",IFERROR(AVERAGEIFS(nNOTA,nNIA,A166,nEVAL,CONFIG_METADATA!$B$4,nASIG,"Conjunto"),""))</f>
        <v/>
      </c>
      <c r="E166" t="str" cm="1">
        <f t="array" ref="E166">IF(A166="","",IFERROR(AVERAGE(IF((nNIA=A166)*(nEVAL=CONFIG_METADATA!$B$4)*(nASIG&lt;&gt;"Lenguaje Musical")*(nASIG&lt;&gt;"Coro")*(nASIG&lt;&gt;"Conjunto"),nNOTA)),""))</f>
        <v/>
      </c>
      <c r="H166" t="str">
        <f>IF(G166="","",IFERROR(AVERAGEIFS(nNOTA,nNIA,G166,nEVAL,CONFIG_METADATA!$B$4,nASIG,"Lenguaje Musical"),""))</f>
        <v/>
      </c>
      <c r="I166" t="str">
        <f>IF(G166="","",IFERROR(AVERAGEIFS(nNOTA,nNIA,G166,nEVAL,CONFIG_METADATA!$B$4,nASIG,"Coro"),""))</f>
        <v/>
      </c>
      <c r="J166" t="str">
        <f>IF(G166="","",IFERROR(AVERAGEIFS(nNOTA,nNIA,G166,nEVAL,CONFIG_METADATA!$B$4,nASIG,"Conjunto"),""))</f>
        <v/>
      </c>
      <c r="K166" t="str" cm="1">
        <f t="array" ref="K166">IF(G166="","",IFERROR(AVERAGE(IF((nNIA=G166)*(nEVAL=CONFIG_METADATA!$B$4)*(nASIG&lt;&gt;"Lenguaje Musical")*(nASIG&lt;&gt;"Coro")*(nASIG&lt;&gt;"Conjunto"),nNOTA)),""))</f>
        <v/>
      </c>
      <c r="N166" t="str">
        <f>IF(M166="","",IFERROR(AVERAGEIFS(nNOTA,nNIA,M166,nEVAL,CONFIG_METADATA!$B$4,nASIG,"Lenguaje Musical"),""))</f>
        <v/>
      </c>
      <c r="O166" t="str">
        <f>IF(M166="","",IFERROR(AVERAGEIFS(nNOTA,nNIA,M166,nEVAL,CONFIG_METADATA!$B$4,nASIG,"Coro"),""))</f>
        <v/>
      </c>
      <c r="P166" t="str">
        <f>IF(M166="","",IFERROR(AVERAGEIFS(nNOTA,nNIA,M166,nEVAL,CONFIG_METADATA!$B$4,nASIG,"Conjunto"),""))</f>
        <v/>
      </c>
      <c r="Q166" t="str" cm="1">
        <f t="array" ref="Q166">IF(M166="","",IFERROR(AVERAGE(IF((nNIA=M166)*(nEVAL=CONFIG_METADATA!$B$4)*(nASIG&lt;&gt;"Lenguaje Musical")*(nASIG&lt;&gt;"Coro")*(nASIG&lt;&gt;"Conjunto"),nNOTA)),""))</f>
        <v/>
      </c>
      <c r="T166" t="str">
        <f>IF(S166="","",IFERROR(AVERAGEIFS(nNOTA,nNIA,S166,nEVAL,CONFIG_METADATA!$B$4,nASIG,"Lenguaje Musical"),""))</f>
        <v/>
      </c>
      <c r="U166" t="str">
        <f>IF(S166="","",IFERROR(AVERAGEIFS(nNOTA,nNIA,S166,nEVAL,CONFIG_METADATA!$B$4,nASIG,"Coro"),""))</f>
        <v/>
      </c>
      <c r="V166" t="str">
        <f>IF(S166="","",IFERROR(AVERAGEIFS(nNOTA,nNIA,S166,nEVAL,CONFIG_METADATA!$B$4,nASIG,"Conjunto"),""))</f>
        <v/>
      </c>
      <c r="W166" t="str" cm="1">
        <f t="array" ref="W166">IF(S166="","",IFERROR(AVERAGE(IF((nNIA=S166)*(nEVAL=CONFIG_METADATA!$B$4)*(nASIG&lt;&gt;"Lenguaje Musical")*(nASIG&lt;&gt;"Coro")*(nASIG&lt;&gt;"Conjunto"),nNOTA)),""))</f>
        <v/>
      </c>
    </row>
    <row r="167" spans="2:23" x14ac:dyDescent="0.2">
      <c r="B167" t="str">
        <f>IF(A167="","",IFERROR(AVERAGEIFS(nNOTA,nNIA,A167,nEVAL,CONFIG_METADATA!$B$4,nASIG,"Lenguaje Musical"),""))</f>
        <v/>
      </c>
      <c r="C167" t="str">
        <f>IF(A167="","",IFERROR(AVERAGEIFS(nNOTA,nNIA,A167,nEVAL,CONFIG_METADATA!$B$4,nASIG,"Coro"),""))</f>
        <v/>
      </c>
      <c r="D167" t="str">
        <f>IF(A167="","",IFERROR(AVERAGEIFS(nNOTA,nNIA,A167,nEVAL,CONFIG_METADATA!$B$4,nASIG,"Conjunto"),""))</f>
        <v/>
      </c>
      <c r="E167" t="str" cm="1">
        <f t="array" ref="E167">IF(A167="","",IFERROR(AVERAGE(IF((nNIA=A167)*(nEVAL=CONFIG_METADATA!$B$4)*(nASIG&lt;&gt;"Lenguaje Musical")*(nASIG&lt;&gt;"Coro")*(nASIG&lt;&gt;"Conjunto"),nNOTA)),""))</f>
        <v/>
      </c>
      <c r="H167" t="str">
        <f>IF(G167="","",IFERROR(AVERAGEIFS(nNOTA,nNIA,G167,nEVAL,CONFIG_METADATA!$B$4,nASIG,"Lenguaje Musical"),""))</f>
        <v/>
      </c>
      <c r="I167" t="str">
        <f>IF(G167="","",IFERROR(AVERAGEIFS(nNOTA,nNIA,G167,nEVAL,CONFIG_METADATA!$B$4,nASIG,"Coro"),""))</f>
        <v/>
      </c>
      <c r="J167" t="str">
        <f>IF(G167="","",IFERROR(AVERAGEIFS(nNOTA,nNIA,G167,nEVAL,CONFIG_METADATA!$B$4,nASIG,"Conjunto"),""))</f>
        <v/>
      </c>
      <c r="K167" t="str" cm="1">
        <f t="array" ref="K167">IF(G167="","",IFERROR(AVERAGE(IF((nNIA=G167)*(nEVAL=CONFIG_METADATA!$B$4)*(nASIG&lt;&gt;"Lenguaje Musical")*(nASIG&lt;&gt;"Coro")*(nASIG&lt;&gt;"Conjunto"),nNOTA)),""))</f>
        <v/>
      </c>
      <c r="N167" t="str">
        <f>IF(M167="","",IFERROR(AVERAGEIFS(nNOTA,nNIA,M167,nEVAL,CONFIG_METADATA!$B$4,nASIG,"Lenguaje Musical"),""))</f>
        <v/>
      </c>
      <c r="O167" t="str">
        <f>IF(M167="","",IFERROR(AVERAGEIFS(nNOTA,nNIA,M167,nEVAL,CONFIG_METADATA!$B$4,nASIG,"Coro"),""))</f>
        <v/>
      </c>
      <c r="P167" t="str">
        <f>IF(M167="","",IFERROR(AVERAGEIFS(nNOTA,nNIA,M167,nEVAL,CONFIG_METADATA!$B$4,nASIG,"Conjunto"),""))</f>
        <v/>
      </c>
      <c r="Q167" t="str" cm="1">
        <f t="array" ref="Q167">IF(M167="","",IFERROR(AVERAGE(IF((nNIA=M167)*(nEVAL=CONFIG_METADATA!$B$4)*(nASIG&lt;&gt;"Lenguaje Musical")*(nASIG&lt;&gt;"Coro")*(nASIG&lt;&gt;"Conjunto"),nNOTA)),""))</f>
        <v/>
      </c>
      <c r="T167" t="str">
        <f>IF(S167="","",IFERROR(AVERAGEIFS(nNOTA,nNIA,S167,nEVAL,CONFIG_METADATA!$B$4,nASIG,"Lenguaje Musical"),""))</f>
        <v/>
      </c>
      <c r="U167" t="str">
        <f>IF(S167="","",IFERROR(AVERAGEIFS(nNOTA,nNIA,S167,nEVAL,CONFIG_METADATA!$B$4,nASIG,"Coro"),""))</f>
        <v/>
      </c>
      <c r="V167" t="str">
        <f>IF(S167="","",IFERROR(AVERAGEIFS(nNOTA,nNIA,S167,nEVAL,CONFIG_METADATA!$B$4,nASIG,"Conjunto"),""))</f>
        <v/>
      </c>
      <c r="W167" t="str" cm="1">
        <f t="array" ref="W167">IF(S167="","",IFERROR(AVERAGE(IF((nNIA=S167)*(nEVAL=CONFIG_METADATA!$B$4)*(nASIG&lt;&gt;"Lenguaje Musical")*(nASIG&lt;&gt;"Coro")*(nASIG&lt;&gt;"Conjunto"),nNOTA)),""))</f>
        <v/>
      </c>
    </row>
    <row r="168" spans="2:23" x14ac:dyDescent="0.2">
      <c r="B168" t="str">
        <f>IF(A168="","",IFERROR(AVERAGEIFS(nNOTA,nNIA,A168,nEVAL,CONFIG_METADATA!$B$4,nASIG,"Lenguaje Musical"),""))</f>
        <v/>
      </c>
      <c r="C168" t="str">
        <f>IF(A168="","",IFERROR(AVERAGEIFS(nNOTA,nNIA,A168,nEVAL,CONFIG_METADATA!$B$4,nASIG,"Coro"),""))</f>
        <v/>
      </c>
      <c r="D168" t="str">
        <f>IF(A168="","",IFERROR(AVERAGEIFS(nNOTA,nNIA,A168,nEVAL,CONFIG_METADATA!$B$4,nASIG,"Conjunto"),""))</f>
        <v/>
      </c>
      <c r="E168" t="str" cm="1">
        <f t="array" ref="E168">IF(A168="","",IFERROR(AVERAGE(IF((nNIA=A168)*(nEVAL=CONFIG_METADATA!$B$4)*(nASIG&lt;&gt;"Lenguaje Musical")*(nASIG&lt;&gt;"Coro")*(nASIG&lt;&gt;"Conjunto"),nNOTA)),""))</f>
        <v/>
      </c>
      <c r="H168" t="str">
        <f>IF(G168="","",IFERROR(AVERAGEIFS(nNOTA,nNIA,G168,nEVAL,CONFIG_METADATA!$B$4,nASIG,"Lenguaje Musical"),""))</f>
        <v/>
      </c>
      <c r="I168" t="str">
        <f>IF(G168="","",IFERROR(AVERAGEIFS(nNOTA,nNIA,G168,nEVAL,CONFIG_METADATA!$B$4,nASIG,"Coro"),""))</f>
        <v/>
      </c>
      <c r="J168" t="str">
        <f>IF(G168="","",IFERROR(AVERAGEIFS(nNOTA,nNIA,G168,nEVAL,CONFIG_METADATA!$B$4,nASIG,"Conjunto"),""))</f>
        <v/>
      </c>
      <c r="K168" t="str" cm="1">
        <f t="array" ref="K168">IF(G168="","",IFERROR(AVERAGE(IF((nNIA=G168)*(nEVAL=CONFIG_METADATA!$B$4)*(nASIG&lt;&gt;"Lenguaje Musical")*(nASIG&lt;&gt;"Coro")*(nASIG&lt;&gt;"Conjunto"),nNOTA)),""))</f>
        <v/>
      </c>
      <c r="N168" t="str">
        <f>IF(M168="","",IFERROR(AVERAGEIFS(nNOTA,nNIA,M168,nEVAL,CONFIG_METADATA!$B$4,nASIG,"Lenguaje Musical"),""))</f>
        <v/>
      </c>
      <c r="O168" t="str">
        <f>IF(M168="","",IFERROR(AVERAGEIFS(nNOTA,nNIA,M168,nEVAL,CONFIG_METADATA!$B$4,nASIG,"Coro"),""))</f>
        <v/>
      </c>
      <c r="P168" t="str">
        <f>IF(M168="","",IFERROR(AVERAGEIFS(nNOTA,nNIA,M168,nEVAL,CONFIG_METADATA!$B$4,nASIG,"Conjunto"),""))</f>
        <v/>
      </c>
      <c r="Q168" t="str" cm="1">
        <f t="array" ref="Q168">IF(M168="","",IFERROR(AVERAGE(IF((nNIA=M168)*(nEVAL=CONFIG_METADATA!$B$4)*(nASIG&lt;&gt;"Lenguaje Musical")*(nASIG&lt;&gt;"Coro")*(nASIG&lt;&gt;"Conjunto"),nNOTA)),""))</f>
        <v/>
      </c>
      <c r="T168" t="str">
        <f>IF(S168="","",IFERROR(AVERAGEIFS(nNOTA,nNIA,S168,nEVAL,CONFIG_METADATA!$B$4,nASIG,"Lenguaje Musical"),""))</f>
        <v/>
      </c>
      <c r="U168" t="str">
        <f>IF(S168="","",IFERROR(AVERAGEIFS(nNOTA,nNIA,S168,nEVAL,CONFIG_METADATA!$B$4,nASIG,"Coro"),""))</f>
        <v/>
      </c>
      <c r="V168" t="str">
        <f>IF(S168="","",IFERROR(AVERAGEIFS(nNOTA,nNIA,S168,nEVAL,CONFIG_METADATA!$B$4,nASIG,"Conjunto"),""))</f>
        <v/>
      </c>
      <c r="W168" t="str" cm="1">
        <f t="array" ref="W168">IF(S168="","",IFERROR(AVERAGE(IF((nNIA=S168)*(nEVAL=CONFIG_METADATA!$B$4)*(nASIG&lt;&gt;"Lenguaje Musical")*(nASIG&lt;&gt;"Coro")*(nASIG&lt;&gt;"Conjunto"),nNOTA)),""))</f>
        <v/>
      </c>
    </row>
    <row r="169" spans="2:23" x14ac:dyDescent="0.2">
      <c r="B169" t="str">
        <f>IF(A169="","",IFERROR(AVERAGEIFS(nNOTA,nNIA,A169,nEVAL,CONFIG_METADATA!$B$4,nASIG,"Lenguaje Musical"),""))</f>
        <v/>
      </c>
      <c r="C169" t="str">
        <f>IF(A169="","",IFERROR(AVERAGEIFS(nNOTA,nNIA,A169,nEVAL,CONFIG_METADATA!$B$4,nASIG,"Coro"),""))</f>
        <v/>
      </c>
      <c r="D169" t="str">
        <f>IF(A169="","",IFERROR(AVERAGEIFS(nNOTA,nNIA,A169,nEVAL,CONFIG_METADATA!$B$4,nASIG,"Conjunto"),""))</f>
        <v/>
      </c>
      <c r="E169" t="str" cm="1">
        <f t="array" ref="E169">IF(A169="","",IFERROR(AVERAGE(IF((nNIA=A169)*(nEVAL=CONFIG_METADATA!$B$4)*(nASIG&lt;&gt;"Lenguaje Musical")*(nASIG&lt;&gt;"Coro")*(nASIG&lt;&gt;"Conjunto"),nNOTA)),""))</f>
        <v/>
      </c>
      <c r="H169" t="str">
        <f>IF(G169="","",IFERROR(AVERAGEIFS(nNOTA,nNIA,G169,nEVAL,CONFIG_METADATA!$B$4,nASIG,"Lenguaje Musical"),""))</f>
        <v/>
      </c>
      <c r="I169" t="str">
        <f>IF(G169="","",IFERROR(AVERAGEIFS(nNOTA,nNIA,G169,nEVAL,CONFIG_METADATA!$B$4,nASIG,"Coro"),""))</f>
        <v/>
      </c>
      <c r="J169" t="str">
        <f>IF(G169="","",IFERROR(AVERAGEIFS(nNOTA,nNIA,G169,nEVAL,CONFIG_METADATA!$B$4,nASIG,"Conjunto"),""))</f>
        <v/>
      </c>
      <c r="K169" t="str" cm="1">
        <f t="array" ref="K169">IF(G169="","",IFERROR(AVERAGE(IF((nNIA=G169)*(nEVAL=CONFIG_METADATA!$B$4)*(nASIG&lt;&gt;"Lenguaje Musical")*(nASIG&lt;&gt;"Coro")*(nASIG&lt;&gt;"Conjunto"),nNOTA)),""))</f>
        <v/>
      </c>
      <c r="N169" t="str">
        <f>IF(M169="","",IFERROR(AVERAGEIFS(nNOTA,nNIA,M169,nEVAL,CONFIG_METADATA!$B$4,nASIG,"Lenguaje Musical"),""))</f>
        <v/>
      </c>
      <c r="O169" t="str">
        <f>IF(M169="","",IFERROR(AVERAGEIFS(nNOTA,nNIA,M169,nEVAL,CONFIG_METADATA!$B$4,nASIG,"Coro"),""))</f>
        <v/>
      </c>
      <c r="P169" t="str">
        <f>IF(M169="","",IFERROR(AVERAGEIFS(nNOTA,nNIA,M169,nEVAL,CONFIG_METADATA!$B$4,nASIG,"Conjunto"),""))</f>
        <v/>
      </c>
      <c r="Q169" t="str" cm="1">
        <f t="array" ref="Q169">IF(M169="","",IFERROR(AVERAGE(IF((nNIA=M169)*(nEVAL=CONFIG_METADATA!$B$4)*(nASIG&lt;&gt;"Lenguaje Musical")*(nASIG&lt;&gt;"Coro")*(nASIG&lt;&gt;"Conjunto"),nNOTA)),""))</f>
        <v/>
      </c>
      <c r="T169" t="str">
        <f>IF(S169="","",IFERROR(AVERAGEIFS(nNOTA,nNIA,S169,nEVAL,CONFIG_METADATA!$B$4,nASIG,"Lenguaje Musical"),""))</f>
        <v/>
      </c>
      <c r="U169" t="str">
        <f>IF(S169="","",IFERROR(AVERAGEIFS(nNOTA,nNIA,S169,nEVAL,CONFIG_METADATA!$B$4,nASIG,"Coro"),""))</f>
        <v/>
      </c>
      <c r="V169" t="str">
        <f>IF(S169="","",IFERROR(AVERAGEIFS(nNOTA,nNIA,S169,nEVAL,CONFIG_METADATA!$B$4,nASIG,"Conjunto"),""))</f>
        <v/>
      </c>
      <c r="W169" t="str" cm="1">
        <f t="array" ref="W169">IF(S169="","",IFERROR(AVERAGE(IF((nNIA=S169)*(nEVAL=CONFIG_METADATA!$B$4)*(nASIG&lt;&gt;"Lenguaje Musical")*(nASIG&lt;&gt;"Coro")*(nASIG&lt;&gt;"Conjunto"),nNOTA)),""))</f>
        <v/>
      </c>
    </row>
    <row r="170" spans="2:23" x14ac:dyDescent="0.2">
      <c r="B170" t="str">
        <f>IF(A170="","",IFERROR(AVERAGEIFS(nNOTA,nNIA,A170,nEVAL,CONFIG_METADATA!$B$4,nASIG,"Lenguaje Musical"),""))</f>
        <v/>
      </c>
      <c r="C170" t="str">
        <f>IF(A170="","",IFERROR(AVERAGEIFS(nNOTA,nNIA,A170,nEVAL,CONFIG_METADATA!$B$4,nASIG,"Coro"),""))</f>
        <v/>
      </c>
      <c r="D170" t="str">
        <f>IF(A170="","",IFERROR(AVERAGEIFS(nNOTA,nNIA,A170,nEVAL,CONFIG_METADATA!$B$4,nASIG,"Conjunto"),""))</f>
        <v/>
      </c>
      <c r="E170" t="str" cm="1">
        <f t="array" ref="E170">IF(A170="","",IFERROR(AVERAGE(IF((nNIA=A170)*(nEVAL=CONFIG_METADATA!$B$4)*(nASIG&lt;&gt;"Lenguaje Musical")*(nASIG&lt;&gt;"Coro")*(nASIG&lt;&gt;"Conjunto"),nNOTA)),""))</f>
        <v/>
      </c>
      <c r="H170" t="str">
        <f>IF(G170="","",IFERROR(AVERAGEIFS(nNOTA,nNIA,G170,nEVAL,CONFIG_METADATA!$B$4,nASIG,"Lenguaje Musical"),""))</f>
        <v/>
      </c>
      <c r="I170" t="str">
        <f>IF(G170="","",IFERROR(AVERAGEIFS(nNOTA,nNIA,G170,nEVAL,CONFIG_METADATA!$B$4,nASIG,"Coro"),""))</f>
        <v/>
      </c>
      <c r="J170" t="str">
        <f>IF(G170="","",IFERROR(AVERAGEIFS(nNOTA,nNIA,G170,nEVAL,CONFIG_METADATA!$B$4,nASIG,"Conjunto"),""))</f>
        <v/>
      </c>
      <c r="K170" t="str" cm="1">
        <f t="array" ref="K170">IF(G170="","",IFERROR(AVERAGE(IF((nNIA=G170)*(nEVAL=CONFIG_METADATA!$B$4)*(nASIG&lt;&gt;"Lenguaje Musical")*(nASIG&lt;&gt;"Coro")*(nASIG&lt;&gt;"Conjunto"),nNOTA)),""))</f>
        <v/>
      </c>
      <c r="N170" t="str">
        <f>IF(M170="","",IFERROR(AVERAGEIFS(nNOTA,nNIA,M170,nEVAL,CONFIG_METADATA!$B$4,nASIG,"Lenguaje Musical"),""))</f>
        <v/>
      </c>
      <c r="O170" t="str">
        <f>IF(M170="","",IFERROR(AVERAGEIFS(nNOTA,nNIA,M170,nEVAL,CONFIG_METADATA!$B$4,nASIG,"Coro"),""))</f>
        <v/>
      </c>
      <c r="P170" t="str">
        <f>IF(M170="","",IFERROR(AVERAGEIFS(nNOTA,nNIA,M170,nEVAL,CONFIG_METADATA!$B$4,nASIG,"Conjunto"),""))</f>
        <v/>
      </c>
      <c r="Q170" t="str" cm="1">
        <f t="array" ref="Q170">IF(M170="","",IFERROR(AVERAGE(IF((nNIA=M170)*(nEVAL=CONFIG_METADATA!$B$4)*(nASIG&lt;&gt;"Lenguaje Musical")*(nASIG&lt;&gt;"Coro")*(nASIG&lt;&gt;"Conjunto"),nNOTA)),""))</f>
        <v/>
      </c>
      <c r="T170" t="str">
        <f>IF(S170="","",IFERROR(AVERAGEIFS(nNOTA,nNIA,S170,nEVAL,CONFIG_METADATA!$B$4,nASIG,"Lenguaje Musical"),""))</f>
        <v/>
      </c>
      <c r="U170" t="str">
        <f>IF(S170="","",IFERROR(AVERAGEIFS(nNOTA,nNIA,S170,nEVAL,CONFIG_METADATA!$B$4,nASIG,"Coro"),""))</f>
        <v/>
      </c>
      <c r="V170" t="str">
        <f>IF(S170="","",IFERROR(AVERAGEIFS(nNOTA,nNIA,S170,nEVAL,CONFIG_METADATA!$B$4,nASIG,"Conjunto"),""))</f>
        <v/>
      </c>
      <c r="W170" t="str" cm="1">
        <f t="array" ref="W170">IF(S170="","",IFERROR(AVERAGE(IF((nNIA=S170)*(nEVAL=CONFIG_METADATA!$B$4)*(nASIG&lt;&gt;"Lenguaje Musical")*(nASIG&lt;&gt;"Coro")*(nASIG&lt;&gt;"Conjunto"),nNOTA)),""))</f>
        <v/>
      </c>
    </row>
    <row r="171" spans="2:23" x14ac:dyDescent="0.2">
      <c r="B171" t="str">
        <f>IF(A171="","",IFERROR(AVERAGEIFS(nNOTA,nNIA,A171,nEVAL,CONFIG_METADATA!$B$4,nASIG,"Lenguaje Musical"),""))</f>
        <v/>
      </c>
      <c r="C171" t="str">
        <f>IF(A171="","",IFERROR(AVERAGEIFS(nNOTA,nNIA,A171,nEVAL,CONFIG_METADATA!$B$4,nASIG,"Coro"),""))</f>
        <v/>
      </c>
      <c r="D171" t="str">
        <f>IF(A171="","",IFERROR(AVERAGEIFS(nNOTA,nNIA,A171,nEVAL,CONFIG_METADATA!$B$4,nASIG,"Conjunto"),""))</f>
        <v/>
      </c>
      <c r="E171" t="str" cm="1">
        <f t="array" ref="E171">IF(A171="","",IFERROR(AVERAGE(IF((nNIA=A171)*(nEVAL=CONFIG_METADATA!$B$4)*(nASIG&lt;&gt;"Lenguaje Musical")*(nASIG&lt;&gt;"Coro")*(nASIG&lt;&gt;"Conjunto"),nNOTA)),""))</f>
        <v/>
      </c>
      <c r="H171" t="str">
        <f>IF(G171="","",IFERROR(AVERAGEIFS(nNOTA,nNIA,G171,nEVAL,CONFIG_METADATA!$B$4,nASIG,"Lenguaje Musical"),""))</f>
        <v/>
      </c>
      <c r="I171" t="str">
        <f>IF(G171="","",IFERROR(AVERAGEIFS(nNOTA,nNIA,G171,nEVAL,CONFIG_METADATA!$B$4,nASIG,"Coro"),""))</f>
        <v/>
      </c>
      <c r="J171" t="str">
        <f>IF(G171="","",IFERROR(AVERAGEIFS(nNOTA,nNIA,G171,nEVAL,CONFIG_METADATA!$B$4,nASIG,"Conjunto"),""))</f>
        <v/>
      </c>
      <c r="K171" t="str" cm="1">
        <f t="array" ref="K171">IF(G171="","",IFERROR(AVERAGE(IF((nNIA=G171)*(nEVAL=CONFIG_METADATA!$B$4)*(nASIG&lt;&gt;"Lenguaje Musical")*(nASIG&lt;&gt;"Coro")*(nASIG&lt;&gt;"Conjunto"),nNOTA)),""))</f>
        <v/>
      </c>
      <c r="N171" t="str">
        <f>IF(M171="","",IFERROR(AVERAGEIFS(nNOTA,nNIA,M171,nEVAL,CONFIG_METADATA!$B$4,nASIG,"Lenguaje Musical"),""))</f>
        <v/>
      </c>
      <c r="O171" t="str">
        <f>IF(M171="","",IFERROR(AVERAGEIFS(nNOTA,nNIA,M171,nEVAL,CONFIG_METADATA!$B$4,nASIG,"Coro"),""))</f>
        <v/>
      </c>
      <c r="P171" t="str">
        <f>IF(M171="","",IFERROR(AVERAGEIFS(nNOTA,nNIA,M171,nEVAL,CONFIG_METADATA!$B$4,nASIG,"Conjunto"),""))</f>
        <v/>
      </c>
      <c r="Q171" t="str" cm="1">
        <f t="array" ref="Q171">IF(M171="","",IFERROR(AVERAGE(IF((nNIA=M171)*(nEVAL=CONFIG_METADATA!$B$4)*(nASIG&lt;&gt;"Lenguaje Musical")*(nASIG&lt;&gt;"Coro")*(nASIG&lt;&gt;"Conjunto"),nNOTA)),""))</f>
        <v/>
      </c>
      <c r="T171" t="str">
        <f>IF(S171="","",IFERROR(AVERAGEIFS(nNOTA,nNIA,S171,nEVAL,CONFIG_METADATA!$B$4,nASIG,"Lenguaje Musical"),""))</f>
        <v/>
      </c>
      <c r="U171" t="str">
        <f>IF(S171="","",IFERROR(AVERAGEIFS(nNOTA,nNIA,S171,nEVAL,CONFIG_METADATA!$B$4,nASIG,"Coro"),""))</f>
        <v/>
      </c>
      <c r="V171" t="str">
        <f>IF(S171="","",IFERROR(AVERAGEIFS(nNOTA,nNIA,S171,nEVAL,CONFIG_METADATA!$B$4,nASIG,"Conjunto"),""))</f>
        <v/>
      </c>
      <c r="W171" t="str" cm="1">
        <f t="array" ref="W171">IF(S171="","",IFERROR(AVERAGE(IF((nNIA=S171)*(nEVAL=CONFIG_METADATA!$B$4)*(nASIG&lt;&gt;"Lenguaje Musical")*(nASIG&lt;&gt;"Coro")*(nASIG&lt;&gt;"Conjunto"),nNOTA)),""))</f>
        <v/>
      </c>
    </row>
    <row r="172" spans="2:23" x14ac:dyDescent="0.2">
      <c r="B172" t="str">
        <f>IF(A172="","",IFERROR(AVERAGEIFS(nNOTA,nNIA,A172,nEVAL,CONFIG_METADATA!$B$4,nASIG,"Lenguaje Musical"),""))</f>
        <v/>
      </c>
      <c r="C172" t="str">
        <f>IF(A172="","",IFERROR(AVERAGEIFS(nNOTA,nNIA,A172,nEVAL,CONFIG_METADATA!$B$4,nASIG,"Coro"),""))</f>
        <v/>
      </c>
      <c r="D172" t="str">
        <f>IF(A172="","",IFERROR(AVERAGEIFS(nNOTA,nNIA,A172,nEVAL,CONFIG_METADATA!$B$4,nASIG,"Conjunto"),""))</f>
        <v/>
      </c>
      <c r="E172" t="str" cm="1">
        <f t="array" ref="E172">IF(A172="","",IFERROR(AVERAGE(IF((nNIA=A172)*(nEVAL=CONFIG_METADATA!$B$4)*(nASIG&lt;&gt;"Lenguaje Musical")*(nASIG&lt;&gt;"Coro")*(nASIG&lt;&gt;"Conjunto"),nNOTA)),""))</f>
        <v/>
      </c>
      <c r="H172" t="str">
        <f>IF(G172="","",IFERROR(AVERAGEIFS(nNOTA,nNIA,G172,nEVAL,CONFIG_METADATA!$B$4,nASIG,"Lenguaje Musical"),""))</f>
        <v/>
      </c>
      <c r="I172" t="str">
        <f>IF(G172="","",IFERROR(AVERAGEIFS(nNOTA,nNIA,G172,nEVAL,CONFIG_METADATA!$B$4,nASIG,"Coro"),""))</f>
        <v/>
      </c>
      <c r="J172" t="str">
        <f>IF(G172="","",IFERROR(AVERAGEIFS(nNOTA,nNIA,G172,nEVAL,CONFIG_METADATA!$B$4,nASIG,"Conjunto"),""))</f>
        <v/>
      </c>
      <c r="K172" t="str" cm="1">
        <f t="array" ref="K172">IF(G172="","",IFERROR(AVERAGE(IF((nNIA=G172)*(nEVAL=CONFIG_METADATA!$B$4)*(nASIG&lt;&gt;"Lenguaje Musical")*(nASIG&lt;&gt;"Coro")*(nASIG&lt;&gt;"Conjunto"),nNOTA)),""))</f>
        <v/>
      </c>
      <c r="N172" t="str">
        <f>IF(M172="","",IFERROR(AVERAGEIFS(nNOTA,nNIA,M172,nEVAL,CONFIG_METADATA!$B$4,nASIG,"Lenguaje Musical"),""))</f>
        <v/>
      </c>
      <c r="O172" t="str">
        <f>IF(M172="","",IFERROR(AVERAGEIFS(nNOTA,nNIA,M172,nEVAL,CONFIG_METADATA!$B$4,nASIG,"Coro"),""))</f>
        <v/>
      </c>
      <c r="P172" t="str">
        <f>IF(M172="","",IFERROR(AVERAGEIFS(nNOTA,nNIA,M172,nEVAL,CONFIG_METADATA!$B$4,nASIG,"Conjunto"),""))</f>
        <v/>
      </c>
      <c r="Q172" t="str" cm="1">
        <f t="array" ref="Q172">IF(M172="","",IFERROR(AVERAGE(IF((nNIA=M172)*(nEVAL=CONFIG_METADATA!$B$4)*(nASIG&lt;&gt;"Lenguaje Musical")*(nASIG&lt;&gt;"Coro")*(nASIG&lt;&gt;"Conjunto"),nNOTA)),""))</f>
        <v/>
      </c>
      <c r="T172" t="str">
        <f>IF(S172="","",IFERROR(AVERAGEIFS(nNOTA,nNIA,S172,nEVAL,CONFIG_METADATA!$B$4,nASIG,"Lenguaje Musical"),""))</f>
        <v/>
      </c>
      <c r="U172" t="str">
        <f>IF(S172="","",IFERROR(AVERAGEIFS(nNOTA,nNIA,S172,nEVAL,CONFIG_METADATA!$B$4,nASIG,"Coro"),""))</f>
        <v/>
      </c>
      <c r="V172" t="str">
        <f>IF(S172="","",IFERROR(AVERAGEIFS(nNOTA,nNIA,S172,nEVAL,CONFIG_METADATA!$B$4,nASIG,"Conjunto"),""))</f>
        <v/>
      </c>
      <c r="W172" t="str" cm="1">
        <f t="array" ref="W172">IF(S172="","",IFERROR(AVERAGE(IF((nNIA=S172)*(nEVAL=CONFIG_METADATA!$B$4)*(nASIG&lt;&gt;"Lenguaje Musical")*(nASIG&lt;&gt;"Coro")*(nASIG&lt;&gt;"Conjunto"),nNOTA)),""))</f>
        <v/>
      </c>
    </row>
    <row r="173" spans="2:23" x14ac:dyDescent="0.2">
      <c r="B173" t="str">
        <f>IF(A173="","",IFERROR(AVERAGEIFS(nNOTA,nNIA,A173,nEVAL,CONFIG_METADATA!$B$4,nASIG,"Lenguaje Musical"),""))</f>
        <v/>
      </c>
      <c r="C173" t="str">
        <f>IF(A173="","",IFERROR(AVERAGEIFS(nNOTA,nNIA,A173,nEVAL,CONFIG_METADATA!$B$4,nASIG,"Coro"),""))</f>
        <v/>
      </c>
      <c r="D173" t="str">
        <f>IF(A173="","",IFERROR(AVERAGEIFS(nNOTA,nNIA,A173,nEVAL,CONFIG_METADATA!$B$4,nASIG,"Conjunto"),""))</f>
        <v/>
      </c>
      <c r="E173" t="str" cm="1">
        <f t="array" ref="E173">IF(A173="","",IFERROR(AVERAGE(IF((nNIA=A173)*(nEVAL=CONFIG_METADATA!$B$4)*(nASIG&lt;&gt;"Lenguaje Musical")*(nASIG&lt;&gt;"Coro")*(nASIG&lt;&gt;"Conjunto"),nNOTA)),""))</f>
        <v/>
      </c>
      <c r="H173" t="str">
        <f>IF(G173="","",IFERROR(AVERAGEIFS(nNOTA,nNIA,G173,nEVAL,CONFIG_METADATA!$B$4,nASIG,"Lenguaje Musical"),""))</f>
        <v/>
      </c>
      <c r="I173" t="str">
        <f>IF(G173="","",IFERROR(AVERAGEIFS(nNOTA,nNIA,G173,nEVAL,CONFIG_METADATA!$B$4,nASIG,"Coro"),""))</f>
        <v/>
      </c>
      <c r="J173" t="str">
        <f>IF(G173="","",IFERROR(AVERAGEIFS(nNOTA,nNIA,G173,nEVAL,CONFIG_METADATA!$B$4,nASIG,"Conjunto"),""))</f>
        <v/>
      </c>
      <c r="K173" t="str" cm="1">
        <f t="array" ref="K173">IF(G173="","",IFERROR(AVERAGE(IF((nNIA=G173)*(nEVAL=CONFIG_METADATA!$B$4)*(nASIG&lt;&gt;"Lenguaje Musical")*(nASIG&lt;&gt;"Coro")*(nASIG&lt;&gt;"Conjunto"),nNOTA)),""))</f>
        <v/>
      </c>
      <c r="N173" t="str">
        <f>IF(M173="","",IFERROR(AVERAGEIFS(nNOTA,nNIA,M173,nEVAL,CONFIG_METADATA!$B$4,nASIG,"Lenguaje Musical"),""))</f>
        <v/>
      </c>
      <c r="O173" t="str">
        <f>IF(M173="","",IFERROR(AVERAGEIFS(nNOTA,nNIA,M173,nEVAL,CONFIG_METADATA!$B$4,nASIG,"Coro"),""))</f>
        <v/>
      </c>
      <c r="P173" t="str">
        <f>IF(M173="","",IFERROR(AVERAGEIFS(nNOTA,nNIA,M173,nEVAL,CONFIG_METADATA!$B$4,nASIG,"Conjunto"),""))</f>
        <v/>
      </c>
      <c r="Q173" t="str" cm="1">
        <f t="array" ref="Q173">IF(M173="","",IFERROR(AVERAGE(IF((nNIA=M173)*(nEVAL=CONFIG_METADATA!$B$4)*(nASIG&lt;&gt;"Lenguaje Musical")*(nASIG&lt;&gt;"Coro")*(nASIG&lt;&gt;"Conjunto"),nNOTA)),""))</f>
        <v/>
      </c>
      <c r="T173" t="str">
        <f>IF(S173="","",IFERROR(AVERAGEIFS(nNOTA,nNIA,S173,nEVAL,CONFIG_METADATA!$B$4,nASIG,"Lenguaje Musical"),""))</f>
        <v/>
      </c>
      <c r="U173" t="str">
        <f>IF(S173="","",IFERROR(AVERAGEIFS(nNOTA,nNIA,S173,nEVAL,CONFIG_METADATA!$B$4,nASIG,"Coro"),""))</f>
        <v/>
      </c>
      <c r="V173" t="str">
        <f>IF(S173="","",IFERROR(AVERAGEIFS(nNOTA,nNIA,S173,nEVAL,CONFIG_METADATA!$B$4,nASIG,"Conjunto"),""))</f>
        <v/>
      </c>
      <c r="W173" t="str" cm="1">
        <f t="array" ref="W173">IF(S173="","",IFERROR(AVERAGE(IF((nNIA=S173)*(nEVAL=CONFIG_METADATA!$B$4)*(nASIG&lt;&gt;"Lenguaje Musical")*(nASIG&lt;&gt;"Coro")*(nASIG&lt;&gt;"Conjunto"),nNOTA)),""))</f>
        <v/>
      </c>
    </row>
    <row r="174" spans="2:23" x14ac:dyDescent="0.2">
      <c r="B174" t="str">
        <f>IF(A174="","",IFERROR(AVERAGEIFS(nNOTA,nNIA,A174,nEVAL,CONFIG_METADATA!$B$4,nASIG,"Lenguaje Musical"),""))</f>
        <v/>
      </c>
      <c r="C174" t="str">
        <f>IF(A174="","",IFERROR(AVERAGEIFS(nNOTA,nNIA,A174,nEVAL,CONFIG_METADATA!$B$4,nASIG,"Coro"),""))</f>
        <v/>
      </c>
      <c r="D174" t="str">
        <f>IF(A174="","",IFERROR(AVERAGEIFS(nNOTA,nNIA,A174,nEVAL,CONFIG_METADATA!$B$4,nASIG,"Conjunto"),""))</f>
        <v/>
      </c>
      <c r="E174" t="str" cm="1">
        <f t="array" ref="E174">IF(A174="","",IFERROR(AVERAGE(IF((nNIA=A174)*(nEVAL=CONFIG_METADATA!$B$4)*(nASIG&lt;&gt;"Lenguaje Musical")*(nASIG&lt;&gt;"Coro")*(nASIG&lt;&gt;"Conjunto"),nNOTA)),""))</f>
        <v/>
      </c>
      <c r="H174" t="str">
        <f>IF(G174="","",IFERROR(AVERAGEIFS(nNOTA,nNIA,G174,nEVAL,CONFIG_METADATA!$B$4,nASIG,"Lenguaje Musical"),""))</f>
        <v/>
      </c>
      <c r="I174" t="str">
        <f>IF(G174="","",IFERROR(AVERAGEIFS(nNOTA,nNIA,G174,nEVAL,CONFIG_METADATA!$B$4,nASIG,"Coro"),""))</f>
        <v/>
      </c>
      <c r="J174" t="str">
        <f>IF(G174="","",IFERROR(AVERAGEIFS(nNOTA,nNIA,G174,nEVAL,CONFIG_METADATA!$B$4,nASIG,"Conjunto"),""))</f>
        <v/>
      </c>
      <c r="K174" t="str" cm="1">
        <f t="array" ref="K174">IF(G174="","",IFERROR(AVERAGE(IF((nNIA=G174)*(nEVAL=CONFIG_METADATA!$B$4)*(nASIG&lt;&gt;"Lenguaje Musical")*(nASIG&lt;&gt;"Coro")*(nASIG&lt;&gt;"Conjunto"),nNOTA)),""))</f>
        <v/>
      </c>
      <c r="N174" t="str">
        <f>IF(M174="","",IFERROR(AVERAGEIFS(nNOTA,nNIA,M174,nEVAL,CONFIG_METADATA!$B$4,nASIG,"Lenguaje Musical"),""))</f>
        <v/>
      </c>
      <c r="O174" t="str">
        <f>IF(M174="","",IFERROR(AVERAGEIFS(nNOTA,nNIA,M174,nEVAL,CONFIG_METADATA!$B$4,nASIG,"Coro"),""))</f>
        <v/>
      </c>
      <c r="P174" t="str">
        <f>IF(M174="","",IFERROR(AVERAGEIFS(nNOTA,nNIA,M174,nEVAL,CONFIG_METADATA!$B$4,nASIG,"Conjunto"),""))</f>
        <v/>
      </c>
      <c r="Q174" t="str" cm="1">
        <f t="array" ref="Q174">IF(M174="","",IFERROR(AVERAGE(IF((nNIA=M174)*(nEVAL=CONFIG_METADATA!$B$4)*(nASIG&lt;&gt;"Lenguaje Musical")*(nASIG&lt;&gt;"Coro")*(nASIG&lt;&gt;"Conjunto"),nNOTA)),""))</f>
        <v/>
      </c>
      <c r="T174" t="str">
        <f>IF(S174="","",IFERROR(AVERAGEIFS(nNOTA,nNIA,S174,nEVAL,CONFIG_METADATA!$B$4,nASIG,"Lenguaje Musical"),""))</f>
        <v/>
      </c>
      <c r="U174" t="str">
        <f>IF(S174="","",IFERROR(AVERAGEIFS(nNOTA,nNIA,S174,nEVAL,CONFIG_METADATA!$B$4,nASIG,"Coro"),""))</f>
        <v/>
      </c>
      <c r="V174" t="str">
        <f>IF(S174="","",IFERROR(AVERAGEIFS(nNOTA,nNIA,S174,nEVAL,CONFIG_METADATA!$B$4,nASIG,"Conjunto"),""))</f>
        <v/>
      </c>
      <c r="W174" t="str" cm="1">
        <f t="array" ref="W174">IF(S174="","",IFERROR(AVERAGE(IF((nNIA=S174)*(nEVAL=CONFIG_METADATA!$B$4)*(nASIG&lt;&gt;"Lenguaje Musical")*(nASIG&lt;&gt;"Coro")*(nASIG&lt;&gt;"Conjunto"),nNOTA)),""))</f>
        <v/>
      </c>
    </row>
    <row r="175" spans="2:23" x14ac:dyDescent="0.2">
      <c r="B175" t="str">
        <f>IF(A175="","",IFERROR(AVERAGEIFS(nNOTA,nNIA,A175,nEVAL,CONFIG_METADATA!$B$4,nASIG,"Lenguaje Musical"),""))</f>
        <v/>
      </c>
      <c r="C175" t="str">
        <f>IF(A175="","",IFERROR(AVERAGEIFS(nNOTA,nNIA,A175,nEVAL,CONFIG_METADATA!$B$4,nASIG,"Coro"),""))</f>
        <v/>
      </c>
      <c r="D175" t="str">
        <f>IF(A175="","",IFERROR(AVERAGEIFS(nNOTA,nNIA,A175,nEVAL,CONFIG_METADATA!$B$4,nASIG,"Conjunto"),""))</f>
        <v/>
      </c>
      <c r="E175" t="str" cm="1">
        <f t="array" ref="E175">IF(A175="","",IFERROR(AVERAGE(IF((nNIA=A175)*(nEVAL=CONFIG_METADATA!$B$4)*(nASIG&lt;&gt;"Lenguaje Musical")*(nASIG&lt;&gt;"Coro")*(nASIG&lt;&gt;"Conjunto"),nNOTA)),""))</f>
        <v/>
      </c>
      <c r="H175" t="str">
        <f>IF(G175="","",IFERROR(AVERAGEIFS(nNOTA,nNIA,G175,nEVAL,CONFIG_METADATA!$B$4,nASIG,"Lenguaje Musical"),""))</f>
        <v/>
      </c>
      <c r="I175" t="str">
        <f>IF(G175="","",IFERROR(AVERAGEIFS(nNOTA,nNIA,G175,nEVAL,CONFIG_METADATA!$B$4,nASIG,"Coro"),""))</f>
        <v/>
      </c>
      <c r="J175" t="str">
        <f>IF(G175="","",IFERROR(AVERAGEIFS(nNOTA,nNIA,G175,nEVAL,CONFIG_METADATA!$B$4,nASIG,"Conjunto"),""))</f>
        <v/>
      </c>
      <c r="K175" t="str" cm="1">
        <f t="array" ref="K175">IF(G175="","",IFERROR(AVERAGE(IF((nNIA=G175)*(nEVAL=CONFIG_METADATA!$B$4)*(nASIG&lt;&gt;"Lenguaje Musical")*(nASIG&lt;&gt;"Coro")*(nASIG&lt;&gt;"Conjunto"),nNOTA)),""))</f>
        <v/>
      </c>
      <c r="N175" t="str">
        <f>IF(M175="","",IFERROR(AVERAGEIFS(nNOTA,nNIA,M175,nEVAL,CONFIG_METADATA!$B$4,nASIG,"Lenguaje Musical"),""))</f>
        <v/>
      </c>
      <c r="O175" t="str">
        <f>IF(M175="","",IFERROR(AVERAGEIFS(nNOTA,nNIA,M175,nEVAL,CONFIG_METADATA!$B$4,nASIG,"Coro"),""))</f>
        <v/>
      </c>
      <c r="P175" t="str">
        <f>IF(M175="","",IFERROR(AVERAGEIFS(nNOTA,nNIA,M175,nEVAL,CONFIG_METADATA!$B$4,nASIG,"Conjunto"),""))</f>
        <v/>
      </c>
      <c r="Q175" t="str" cm="1">
        <f t="array" ref="Q175">IF(M175="","",IFERROR(AVERAGE(IF((nNIA=M175)*(nEVAL=CONFIG_METADATA!$B$4)*(nASIG&lt;&gt;"Lenguaje Musical")*(nASIG&lt;&gt;"Coro")*(nASIG&lt;&gt;"Conjunto"),nNOTA)),""))</f>
        <v/>
      </c>
      <c r="T175" t="str">
        <f>IF(S175="","",IFERROR(AVERAGEIFS(nNOTA,nNIA,S175,nEVAL,CONFIG_METADATA!$B$4,nASIG,"Lenguaje Musical"),""))</f>
        <v/>
      </c>
      <c r="U175" t="str">
        <f>IF(S175="","",IFERROR(AVERAGEIFS(nNOTA,nNIA,S175,nEVAL,CONFIG_METADATA!$B$4,nASIG,"Coro"),""))</f>
        <v/>
      </c>
      <c r="V175" t="str">
        <f>IF(S175="","",IFERROR(AVERAGEIFS(nNOTA,nNIA,S175,nEVAL,CONFIG_METADATA!$B$4,nASIG,"Conjunto"),""))</f>
        <v/>
      </c>
      <c r="W175" t="str" cm="1">
        <f t="array" ref="W175">IF(S175="","",IFERROR(AVERAGE(IF((nNIA=S175)*(nEVAL=CONFIG_METADATA!$B$4)*(nASIG&lt;&gt;"Lenguaje Musical")*(nASIG&lt;&gt;"Coro")*(nASIG&lt;&gt;"Conjunto"),nNOTA)),""))</f>
        <v/>
      </c>
    </row>
    <row r="176" spans="2:23" x14ac:dyDescent="0.2">
      <c r="B176" t="str">
        <f>IF(A176="","",IFERROR(AVERAGEIFS(nNOTA,nNIA,A176,nEVAL,CONFIG_METADATA!$B$4,nASIG,"Lenguaje Musical"),""))</f>
        <v/>
      </c>
      <c r="C176" t="str">
        <f>IF(A176="","",IFERROR(AVERAGEIFS(nNOTA,nNIA,A176,nEVAL,CONFIG_METADATA!$B$4,nASIG,"Coro"),""))</f>
        <v/>
      </c>
      <c r="D176" t="str">
        <f>IF(A176="","",IFERROR(AVERAGEIFS(nNOTA,nNIA,A176,nEVAL,CONFIG_METADATA!$B$4,nASIG,"Conjunto"),""))</f>
        <v/>
      </c>
      <c r="E176" t="str" cm="1">
        <f t="array" ref="E176">IF(A176="","",IFERROR(AVERAGE(IF((nNIA=A176)*(nEVAL=CONFIG_METADATA!$B$4)*(nASIG&lt;&gt;"Lenguaje Musical")*(nASIG&lt;&gt;"Coro")*(nASIG&lt;&gt;"Conjunto"),nNOTA)),""))</f>
        <v/>
      </c>
      <c r="H176" t="str">
        <f>IF(G176="","",IFERROR(AVERAGEIFS(nNOTA,nNIA,G176,nEVAL,CONFIG_METADATA!$B$4,nASIG,"Lenguaje Musical"),""))</f>
        <v/>
      </c>
      <c r="I176" t="str">
        <f>IF(G176="","",IFERROR(AVERAGEIFS(nNOTA,nNIA,G176,nEVAL,CONFIG_METADATA!$B$4,nASIG,"Coro"),""))</f>
        <v/>
      </c>
      <c r="J176" t="str">
        <f>IF(G176="","",IFERROR(AVERAGEIFS(nNOTA,nNIA,G176,nEVAL,CONFIG_METADATA!$B$4,nASIG,"Conjunto"),""))</f>
        <v/>
      </c>
      <c r="K176" t="str" cm="1">
        <f t="array" ref="K176">IF(G176="","",IFERROR(AVERAGE(IF((nNIA=G176)*(nEVAL=CONFIG_METADATA!$B$4)*(nASIG&lt;&gt;"Lenguaje Musical")*(nASIG&lt;&gt;"Coro")*(nASIG&lt;&gt;"Conjunto"),nNOTA)),""))</f>
        <v/>
      </c>
      <c r="N176" t="str">
        <f>IF(M176="","",IFERROR(AVERAGEIFS(nNOTA,nNIA,M176,nEVAL,CONFIG_METADATA!$B$4,nASIG,"Lenguaje Musical"),""))</f>
        <v/>
      </c>
      <c r="O176" t="str">
        <f>IF(M176="","",IFERROR(AVERAGEIFS(nNOTA,nNIA,M176,nEVAL,CONFIG_METADATA!$B$4,nASIG,"Coro"),""))</f>
        <v/>
      </c>
      <c r="P176" t="str">
        <f>IF(M176="","",IFERROR(AVERAGEIFS(nNOTA,nNIA,M176,nEVAL,CONFIG_METADATA!$B$4,nASIG,"Conjunto"),""))</f>
        <v/>
      </c>
      <c r="Q176" t="str" cm="1">
        <f t="array" ref="Q176">IF(M176="","",IFERROR(AVERAGE(IF((nNIA=M176)*(nEVAL=CONFIG_METADATA!$B$4)*(nASIG&lt;&gt;"Lenguaje Musical")*(nASIG&lt;&gt;"Coro")*(nASIG&lt;&gt;"Conjunto"),nNOTA)),""))</f>
        <v/>
      </c>
      <c r="T176" t="str">
        <f>IF(S176="","",IFERROR(AVERAGEIFS(nNOTA,nNIA,S176,nEVAL,CONFIG_METADATA!$B$4,nASIG,"Lenguaje Musical"),""))</f>
        <v/>
      </c>
      <c r="U176" t="str">
        <f>IF(S176="","",IFERROR(AVERAGEIFS(nNOTA,nNIA,S176,nEVAL,CONFIG_METADATA!$B$4,nASIG,"Coro"),""))</f>
        <v/>
      </c>
      <c r="V176" t="str">
        <f>IF(S176="","",IFERROR(AVERAGEIFS(nNOTA,nNIA,S176,nEVAL,CONFIG_METADATA!$B$4,nASIG,"Conjunto"),""))</f>
        <v/>
      </c>
      <c r="W176" t="str" cm="1">
        <f t="array" ref="W176">IF(S176="","",IFERROR(AVERAGE(IF((nNIA=S176)*(nEVAL=CONFIG_METADATA!$B$4)*(nASIG&lt;&gt;"Lenguaje Musical")*(nASIG&lt;&gt;"Coro")*(nASIG&lt;&gt;"Conjunto"),nNOTA)),""))</f>
        <v/>
      </c>
    </row>
    <row r="177" spans="2:23" x14ac:dyDescent="0.2">
      <c r="B177" t="str">
        <f>IF(A177="","",IFERROR(AVERAGEIFS(nNOTA,nNIA,A177,nEVAL,CONFIG_METADATA!$B$4,nASIG,"Lenguaje Musical"),""))</f>
        <v/>
      </c>
      <c r="C177" t="str">
        <f>IF(A177="","",IFERROR(AVERAGEIFS(nNOTA,nNIA,A177,nEVAL,CONFIG_METADATA!$B$4,nASIG,"Coro"),""))</f>
        <v/>
      </c>
      <c r="D177" t="str">
        <f>IF(A177="","",IFERROR(AVERAGEIFS(nNOTA,nNIA,A177,nEVAL,CONFIG_METADATA!$B$4,nASIG,"Conjunto"),""))</f>
        <v/>
      </c>
      <c r="E177" t="str" cm="1">
        <f t="array" ref="E177">IF(A177="","",IFERROR(AVERAGE(IF((nNIA=A177)*(nEVAL=CONFIG_METADATA!$B$4)*(nASIG&lt;&gt;"Lenguaje Musical")*(nASIG&lt;&gt;"Coro")*(nASIG&lt;&gt;"Conjunto"),nNOTA)),""))</f>
        <v/>
      </c>
      <c r="H177" t="str">
        <f>IF(G177="","",IFERROR(AVERAGEIFS(nNOTA,nNIA,G177,nEVAL,CONFIG_METADATA!$B$4,nASIG,"Lenguaje Musical"),""))</f>
        <v/>
      </c>
      <c r="I177" t="str">
        <f>IF(G177="","",IFERROR(AVERAGEIFS(nNOTA,nNIA,G177,nEVAL,CONFIG_METADATA!$B$4,nASIG,"Coro"),""))</f>
        <v/>
      </c>
      <c r="J177" t="str">
        <f>IF(G177="","",IFERROR(AVERAGEIFS(nNOTA,nNIA,G177,nEVAL,CONFIG_METADATA!$B$4,nASIG,"Conjunto"),""))</f>
        <v/>
      </c>
      <c r="K177" t="str" cm="1">
        <f t="array" ref="K177">IF(G177="","",IFERROR(AVERAGE(IF((nNIA=G177)*(nEVAL=CONFIG_METADATA!$B$4)*(nASIG&lt;&gt;"Lenguaje Musical")*(nASIG&lt;&gt;"Coro")*(nASIG&lt;&gt;"Conjunto"),nNOTA)),""))</f>
        <v/>
      </c>
      <c r="N177" t="str">
        <f>IF(M177="","",IFERROR(AVERAGEIFS(nNOTA,nNIA,M177,nEVAL,CONFIG_METADATA!$B$4,nASIG,"Lenguaje Musical"),""))</f>
        <v/>
      </c>
      <c r="O177" t="str">
        <f>IF(M177="","",IFERROR(AVERAGEIFS(nNOTA,nNIA,M177,nEVAL,CONFIG_METADATA!$B$4,nASIG,"Coro"),""))</f>
        <v/>
      </c>
      <c r="P177" t="str">
        <f>IF(M177="","",IFERROR(AVERAGEIFS(nNOTA,nNIA,M177,nEVAL,CONFIG_METADATA!$B$4,nASIG,"Conjunto"),""))</f>
        <v/>
      </c>
      <c r="Q177" t="str" cm="1">
        <f t="array" ref="Q177">IF(M177="","",IFERROR(AVERAGE(IF((nNIA=M177)*(nEVAL=CONFIG_METADATA!$B$4)*(nASIG&lt;&gt;"Lenguaje Musical")*(nASIG&lt;&gt;"Coro")*(nASIG&lt;&gt;"Conjunto"),nNOTA)),""))</f>
        <v/>
      </c>
      <c r="T177" t="str">
        <f>IF(S177="","",IFERROR(AVERAGEIFS(nNOTA,nNIA,S177,nEVAL,CONFIG_METADATA!$B$4,nASIG,"Lenguaje Musical"),""))</f>
        <v/>
      </c>
      <c r="U177" t="str">
        <f>IF(S177="","",IFERROR(AVERAGEIFS(nNOTA,nNIA,S177,nEVAL,CONFIG_METADATA!$B$4,nASIG,"Coro"),""))</f>
        <v/>
      </c>
      <c r="V177" t="str">
        <f>IF(S177="","",IFERROR(AVERAGEIFS(nNOTA,nNIA,S177,nEVAL,CONFIG_METADATA!$B$4,nASIG,"Conjunto"),""))</f>
        <v/>
      </c>
      <c r="W177" t="str" cm="1">
        <f t="array" ref="W177">IF(S177="","",IFERROR(AVERAGE(IF((nNIA=S177)*(nEVAL=CONFIG_METADATA!$B$4)*(nASIG&lt;&gt;"Lenguaje Musical")*(nASIG&lt;&gt;"Coro")*(nASIG&lt;&gt;"Conjunto"),nNOTA)),""))</f>
        <v/>
      </c>
    </row>
    <row r="178" spans="2:23" x14ac:dyDescent="0.2">
      <c r="B178" t="str">
        <f>IF(A178="","",IFERROR(AVERAGEIFS(nNOTA,nNIA,A178,nEVAL,CONFIG_METADATA!$B$4,nASIG,"Lenguaje Musical"),""))</f>
        <v/>
      </c>
      <c r="C178" t="str">
        <f>IF(A178="","",IFERROR(AVERAGEIFS(nNOTA,nNIA,A178,nEVAL,CONFIG_METADATA!$B$4,nASIG,"Coro"),""))</f>
        <v/>
      </c>
      <c r="D178" t="str">
        <f>IF(A178="","",IFERROR(AVERAGEIFS(nNOTA,nNIA,A178,nEVAL,CONFIG_METADATA!$B$4,nASIG,"Conjunto"),""))</f>
        <v/>
      </c>
      <c r="E178" t="str" cm="1">
        <f t="array" ref="E178">IF(A178="","",IFERROR(AVERAGE(IF((nNIA=A178)*(nEVAL=CONFIG_METADATA!$B$4)*(nASIG&lt;&gt;"Lenguaje Musical")*(nASIG&lt;&gt;"Coro")*(nASIG&lt;&gt;"Conjunto"),nNOTA)),""))</f>
        <v/>
      </c>
      <c r="H178" t="str">
        <f>IF(G178="","",IFERROR(AVERAGEIFS(nNOTA,nNIA,G178,nEVAL,CONFIG_METADATA!$B$4,nASIG,"Lenguaje Musical"),""))</f>
        <v/>
      </c>
      <c r="I178" t="str">
        <f>IF(G178="","",IFERROR(AVERAGEIFS(nNOTA,nNIA,G178,nEVAL,CONFIG_METADATA!$B$4,nASIG,"Coro"),""))</f>
        <v/>
      </c>
      <c r="J178" t="str">
        <f>IF(G178="","",IFERROR(AVERAGEIFS(nNOTA,nNIA,G178,nEVAL,CONFIG_METADATA!$B$4,nASIG,"Conjunto"),""))</f>
        <v/>
      </c>
      <c r="K178" t="str" cm="1">
        <f t="array" ref="K178">IF(G178="","",IFERROR(AVERAGE(IF((nNIA=G178)*(nEVAL=CONFIG_METADATA!$B$4)*(nASIG&lt;&gt;"Lenguaje Musical")*(nASIG&lt;&gt;"Coro")*(nASIG&lt;&gt;"Conjunto"),nNOTA)),""))</f>
        <v/>
      </c>
      <c r="N178" t="str">
        <f>IF(M178="","",IFERROR(AVERAGEIFS(nNOTA,nNIA,M178,nEVAL,CONFIG_METADATA!$B$4,nASIG,"Lenguaje Musical"),""))</f>
        <v/>
      </c>
      <c r="O178" t="str">
        <f>IF(M178="","",IFERROR(AVERAGEIFS(nNOTA,nNIA,M178,nEVAL,CONFIG_METADATA!$B$4,nASIG,"Coro"),""))</f>
        <v/>
      </c>
      <c r="P178" t="str">
        <f>IF(M178="","",IFERROR(AVERAGEIFS(nNOTA,nNIA,M178,nEVAL,CONFIG_METADATA!$B$4,nASIG,"Conjunto"),""))</f>
        <v/>
      </c>
      <c r="Q178" t="str" cm="1">
        <f t="array" ref="Q178">IF(M178="","",IFERROR(AVERAGE(IF((nNIA=M178)*(nEVAL=CONFIG_METADATA!$B$4)*(nASIG&lt;&gt;"Lenguaje Musical")*(nASIG&lt;&gt;"Coro")*(nASIG&lt;&gt;"Conjunto"),nNOTA)),""))</f>
        <v/>
      </c>
      <c r="T178" t="str">
        <f>IF(S178="","",IFERROR(AVERAGEIFS(nNOTA,nNIA,S178,nEVAL,CONFIG_METADATA!$B$4,nASIG,"Lenguaje Musical"),""))</f>
        <v/>
      </c>
      <c r="U178" t="str">
        <f>IF(S178="","",IFERROR(AVERAGEIFS(nNOTA,nNIA,S178,nEVAL,CONFIG_METADATA!$B$4,nASIG,"Coro"),""))</f>
        <v/>
      </c>
      <c r="V178" t="str">
        <f>IF(S178="","",IFERROR(AVERAGEIFS(nNOTA,nNIA,S178,nEVAL,CONFIG_METADATA!$B$4,nASIG,"Conjunto"),""))</f>
        <v/>
      </c>
      <c r="W178" t="str" cm="1">
        <f t="array" ref="W178">IF(S178="","",IFERROR(AVERAGE(IF((nNIA=S178)*(nEVAL=CONFIG_METADATA!$B$4)*(nASIG&lt;&gt;"Lenguaje Musical")*(nASIG&lt;&gt;"Coro")*(nASIG&lt;&gt;"Conjunto"),nNOTA)),""))</f>
        <v/>
      </c>
    </row>
    <row r="179" spans="2:23" x14ac:dyDescent="0.2">
      <c r="B179" t="str">
        <f>IF(A179="","",IFERROR(AVERAGEIFS(nNOTA,nNIA,A179,nEVAL,CONFIG_METADATA!$B$4,nASIG,"Lenguaje Musical"),""))</f>
        <v/>
      </c>
      <c r="C179" t="str">
        <f>IF(A179="","",IFERROR(AVERAGEIFS(nNOTA,nNIA,A179,nEVAL,CONFIG_METADATA!$B$4,nASIG,"Coro"),""))</f>
        <v/>
      </c>
      <c r="D179" t="str">
        <f>IF(A179="","",IFERROR(AVERAGEIFS(nNOTA,nNIA,A179,nEVAL,CONFIG_METADATA!$B$4,nASIG,"Conjunto"),""))</f>
        <v/>
      </c>
      <c r="E179" t="str" cm="1">
        <f t="array" ref="E179">IF(A179="","",IFERROR(AVERAGE(IF((nNIA=A179)*(nEVAL=CONFIG_METADATA!$B$4)*(nASIG&lt;&gt;"Lenguaje Musical")*(nASIG&lt;&gt;"Coro")*(nASIG&lt;&gt;"Conjunto"),nNOTA)),""))</f>
        <v/>
      </c>
      <c r="H179" t="str">
        <f>IF(G179="","",IFERROR(AVERAGEIFS(nNOTA,nNIA,G179,nEVAL,CONFIG_METADATA!$B$4,nASIG,"Lenguaje Musical"),""))</f>
        <v/>
      </c>
      <c r="I179" t="str">
        <f>IF(G179="","",IFERROR(AVERAGEIFS(nNOTA,nNIA,G179,nEVAL,CONFIG_METADATA!$B$4,nASIG,"Coro"),""))</f>
        <v/>
      </c>
      <c r="J179" t="str">
        <f>IF(G179="","",IFERROR(AVERAGEIFS(nNOTA,nNIA,G179,nEVAL,CONFIG_METADATA!$B$4,nASIG,"Conjunto"),""))</f>
        <v/>
      </c>
      <c r="K179" t="str" cm="1">
        <f t="array" ref="K179">IF(G179="","",IFERROR(AVERAGE(IF((nNIA=G179)*(nEVAL=CONFIG_METADATA!$B$4)*(nASIG&lt;&gt;"Lenguaje Musical")*(nASIG&lt;&gt;"Coro")*(nASIG&lt;&gt;"Conjunto"),nNOTA)),""))</f>
        <v/>
      </c>
      <c r="N179" t="str">
        <f>IF(M179="","",IFERROR(AVERAGEIFS(nNOTA,nNIA,M179,nEVAL,CONFIG_METADATA!$B$4,nASIG,"Lenguaje Musical"),""))</f>
        <v/>
      </c>
      <c r="O179" t="str">
        <f>IF(M179="","",IFERROR(AVERAGEIFS(nNOTA,nNIA,M179,nEVAL,CONFIG_METADATA!$B$4,nASIG,"Coro"),""))</f>
        <v/>
      </c>
      <c r="P179" t="str">
        <f>IF(M179="","",IFERROR(AVERAGEIFS(nNOTA,nNIA,M179,nEVAL,CONFIG_METADATA!$B$4,nASIG,"Conjunto"),""))</f>
        <v/>
      </c>
      <c r="Q179" t="str" cm="1">
        <f t="array" ref="Q179">IF(M179="","",IFERROR(AVERAGE(IF((nNIA=M179)*(nEVAL=CONFIG_METADATA!$B$4)*(nASIG&lt;&gt;"Lenguaje Musical")*(nASIG&lt;&gt;"Coro")*(nASIG&lt;&gt;"Conjunto"),nNOTA)),""))</f>
        <v/>
      </c>
      <c r="T179" t="str">
        <f>IF(S179="","",IFERROR(AVERAGEIFS(nNOTA,nNIA,S179,nEVAL,CONFIG_METADATA!$B$4,nASIG,"Lenguaje Musical"),""))</f>
        <v/>
      </c>
      <c r="U179" t="str">
        <f>IF(S179="","",IFERROR(AVERAGEIFS(nNOTA,nNIA,S179,nEVAL,CONFIG_METADATA!$B$4,nASIG,"Coro"),""))</f>
        <v/>
      </c>
      <c r="V179" t="str">
        <f>IF(S179="","",IFERROR(AVERAGEIFS(nNOTA,nNIA,S179,nEVAL,CONFIG_METADATA!$B$4,nASIG,"Conjunto"),""))</f>
        <v/>
      </c>
      <c r="W179" t="str" cm="1">
        <f t="array" ref="W179">IF(S179="","",IFERROR(AVERAGE(IF((nNIA=S179)*(nEVAL=CONFIG_METADATA!$B$4)*(nASIG&lt;&gt;"Lenguaje Musical")*(nASIG&lt;&gt;"Coro")*(nASIG&lt;&gt;"Conjunto"),nNOTA)),""))</f>
        <v/>
      </c>
    </row>
    <row r="180" spans="2:23" x14ac:dyDescent="0.2">
      <c r="B180" t="str">
        <f>IF(A180="","",IFERROR(AVERAGEIFS(nNOTA,nNIA,A180,nEVAL,CONFIG_METADATA!$B$4,nASIG,"Lenguaje Musical"),""))</f>
        <v/>
      </c>
      <c r="C180" t="str">
        <f>IF(A180="","",IFERROR(AVERAGEIFS(nNOTA,nNIA,A180,nEVAL,CONFIG_METADATA!$B$4,nASIG,"Coro"),""))</f>
        <v/>
      </c>
      <c r="D180" t="str">
        <f>IF(A180="","",IFERROR(AVERAGEIFS(nNOTA,nNIA,A180,nEVAL,CONFIG_METADATA!$B$4,nASIG,"Conjunto"),""))</f>
        <v/>
      </c>
      <c r="E180" t="str" cm="1">
        <f t="array" ref="E180">IF(A180="","",IFERROR(AVERAGE(IF((nNIA=A180)*(nEVAL=CONFIG_METADATA!$B$4)*(nASIG&lt;&gt;"Lenguaje Musical")*(nASIG&lt;&gt;"Coro")*(nASIG&lt;&gt;"Conjunto"),nNOTA)),""))</f>
        <v/>
      </c>
      <c r="H180" t="str">
        <f>IF(G180="","",IFERROR(AVERAGEIFS(nNOTA,nNIA,G180,nEVAL,CONFIG_METADATA!$B$4,nASIG,"Lenguaje Musical"),""))</f>
        <v/>
      </c>
      <c r="I180" t="str">
        <f>IF(G180="","",IFERROR(AVERAGEIFS(nNOTA,nNIA,G180,nEVAL,CONFIG_METADATA!$B$4,nASIG,"Coro"),""))</f>
        <v/>
      </c>
      <c r="J180" t="str">
        <f>IF(G180="","",IFERROR(AVERAGEIFS(nNOTA,nNIA,G180,nEVAL,CONFIG_METADATA!$B$4,nASIG,"Conjunto"),""))</f>
        <v/>
      </c>
      <c r="K180" t="str" cm="1">
        <f t="array" ref="K180">IF(G180="","",IFERROR(AVERAGE(IF((nNIA=G180)*(nEVAL=CONFIG_METADATA!$B$4)*(nASIG&lt;&gt;"Lenguaje Musical")*(nASIG&lt;&gt;"Coro")*(nASIG&lt;&gt;"Conjunto"),nNOTA)),""))</f>
        <v/>
      </c>
      <c r="N180" t="str">
        <f>IF(M180="","",IFERROR(AVERAGEIFS(nNOTA,nNIA,M180,nEVAL,CONFIG_METADATA!$B$4,nASIG,"Lenguaje Musical"),""))</f>
        <v/>
      </c>
      <c r="O180" t="str">
        <f>IF(M180="","",IFERROR(AVERAGEIFS(nNOTA,nNIA,M180,nEVAL,CONFIG_METADATA!$B$4,nASIG,"Coro"),""))</f>
        <v/>
      </c>
      <c r="P180" t="str">
        <f>IF(M180="","",IFERROR(AVERAGEIFS(nNOTA,nNIA,M180,nEVAL,CONFIG_METADATA!$B$4,nASIG,"Conjunto"),""))</f>
        <v/>
      </c>
      <c r="Q180" t="str" cm="1">
        <f t="array" ref="Q180">IF(M180="","",IFERROR(AVERAGE(IF((nNIA=M180)*(nEVAL=CONFIG_METADATA!$B$4)*(nASIG&lt;&gt;"Lenguaje Musical")*(nASIG&lt;&gt;"Coro")*(nASIG&lt;&gt;"Conjunto"),nNOTA)),""))</f>
        <v/>
      </c>
      <c r="T180" t="str">
        <f>IF(S180="","",IFERROR(AVERAGEIFS(nNOTA,nNIA,S180,nEVAL,CONFIG_METADATA!$B$4,nASIG,"Lenguaje Musical"),""))</f>
        <v/>
      </c>
      <c r="U180" t="str">
        <f>IF(S180="","",IFERROR(AVERAGEIFS(nNOTA,nNIA,S180,nEVAL,CONFIG_METADATA!$B$4,nASIG,"Coro"),""))</f>
        <v/>
      </c>
      <c r="V180" t="str">
        <f>IF(S180="","",IFERROR(AVERAGEIFS(nNOTA,nNIA,S180,nEVAL,CONFIG_METADATA!$B$4,nASIG,"Conjunto"),""))</f>
        <v/>
      </c>
      <c r="W180" t="str" cm="1">
        <f t="array" ref="W180">IF(S180="","",IFERROR(AVERAGE(IF((nNIA=S180)*(nEVAL=CONFIG_METADATA!$B$4)*(nASIG&lt;&gt;"Lenguaje Musical")*(nASIG&lt;&gt;"Coro")*(nASIG&lt;&gt;"Conjunto"),nNOTA)),""))</f>
        <v/>
      </c>
    </row>
    <row r="181" spans="2:23" x14ac:dyDescent="0.2">
      <c r="B181" t="str">
        <f>IF(A181="","",IFERROR(AVERAGEIFS(nNOTA,nNIA,A181,nEVAL,CONFIG_METADATA!$B$4,nASIG,"Lenguaje Musical"),""))</f>
        <v/>
      </c>
      <c r="C181" t="str">
        <f>IF(A181="","",IFERROR(AVERAGEIFS(nNOTA,nNIA,A181,nEVAL,CONFIG_METADATA!$B$4,nASIG,"Coro"),""))</f>
        <v/>
      </c>
      <c r="D181" t="str">
        <f>IF(A181="","",IFERROR(AVERAGEIFS(nNOTA,nNIA,A181,nEVAL,CONFIG_METADATA!$B$4,nASIG,"Conjunto"),""))</f>
        <v/>
      </c>
      <c r="E181" t="str" cm="1">
        <f t="array" ref="E181">IF(A181="","",IFERROR(AVERAGE(IF((nNIA=A181)*(nEVAL=CONFIG_METADATA!$B$4)*(nASIG&lt;&gt;"Lenguaje Musical")*(nASIG&lt;&gt;"Coro")*(nASIG&lt;&gt;"Conjunto"),nNOTA)),""))</f>
        <v/>
      </c>
      <c r="H181" t="str">
        <f>IF(G181="","",IFERROR(AVERAGEIFS(nNOTA,nNIA,G181,nEVAL,CONFIG_METADATA!$B$4,nASIG,"Lenguaje Musical"),""))</f>
        <v/>
      </c>
      <c r="I181" t="str">
        <f>IF(G181="","",IFERROR(AVERAGEIFS(nNOTA,nNIA,G181,nEVAL,CONFIG_METADATA!$B$4,nASIG,"Coro"),""))</f>
        <v/>
      </c>
      <c r="J181" t="str">
        <f>IF(G181="","",IFERROR(AVERAGEIFS(nNOTA,nNIA,G181,nEVAL,CONFIG_METADATA!$B$4,nASIG,"Conjunto"),""))</f>
        <v/>
      </c>
      <c r="K181" t="str" cm="1">
        <f t="array" ref="K181">IF(G181="","",IFERROR(AVERAGE(IF((nNIA=G181)*(nEVAL=CONFIG_METADATA!$B$4)*(nASIG&lt;&gt;"Lenguaje Musical")*(nASIG&lt;&gt;"Coro")*(nASIG&lt;&gt;"Conjunto"),nNOTA)),""))</f>
        <v/>
      </c>
      <c r="N181" t="str">
        <f>IF(M181="","",IFERROR(AVERAGEIFS(nNOTA,nNIA,M181,nEVAL,CONFIG_METADATA!$B$4,nASIG,"Lenguaje Musical"),""))</f>
        <v/>
      </c>
      <c r="O181" t="str">
        <f>IF(M181="","",IFERROR(AVERAGEIFS(nNOTA,nNIA,M181,nEVAL,CONFIG_METADATA!$B$4,nASIG,"Coro"),""))</f>
        <v/>
      </c>
      <c r="P181" t="str">
        <f>IF(M181="","",IFERROR(AVERAGEIFS(nNOTA,nNIA,M181,nEVAL,CONFIG_METADATA!$B$4,nASIG,"Conjunto"),""))</f>
        <v/>
      </c>
      <c r="Q181" t="str" cm="1">
        <f t="array" ref="Q181">IF(M181="","",IFERROR(AVERAGE(IF((nNIA=M181)*(nEVAL=CONFIG_METADATA!$B$4)*(nASIG&lt;&gt;"Lenguaje Musical")*(nASIG&lt;&gt;"Coro")*(nASIG&lt;&gt;"Conjunto"),nNOTA)),""))</f>
        <v/>
      </c>
      <c r="T181" t="str">
        <f>IF(S181="","",IFERROR(AVERAGEIFS(nNOTA,nNIA,S181,nEVAL,CONFIG_METADATA!$B$4,nASIG,"Lenguaje Musical"),""))</f>
        <v/>
      </c>
      <c r="U181" t="str">
        <f>IF(S181="","",IFERROR(AVERAGEIFS(nNOTA,nNIA,S181,nEVAL,CONFIG_METADATA!$B$4,nASIG,"Coro"),""))</f>
        <v/>
      </c>
      <c r="V181" t="str">
        <f>IF(S181="","",IFERROR(AVERAGEIFS(nNOTA,nNIA,S181,nEVAL,CONFIG_METADATA!$B$4,nASIG,"Conjunto"),""))</f>
        <v/>
      </c>
      <c r="W181" t="str" cm="1">
        <f t="array" ref="W181">IF(S181="","",IFERROR(AVERAGE(IF((nNIA=S181)*(nEVAL=CONFIG_METADATA!$B$4)*(nASIG&lt;&gt;"Lenguaje Musical")*(nASIG&lt;&gt;"Coro")*(nASIG&lt;&gt;"Conjunto"),nNOTA)),""))</f>
        <v/>
      </c>
    </row>
    <row r="182" spans="2:23" x14ac:dyDescent="0.2">
      <c r="B182" t="str">
        <f>IF(A182="","",IFERROR(AVERAGEIFS(nNOTA,nNIA,A182,nEVAL,CONFIG_METADATA!$B$4,nASIG,"Lenguaje Musical"),""))</f>
        <v/>
      </c>
      <c r="C182" t="str">
        <f>IF(A182="","",IFERROR(AVERAGEIFS(nNOTA,nNIA,A182,nEVAL,CONFIG_METADATA!$B$4,nASIG,"Coro"),""))</f>
        <v/>
      </c>
      <c r="D182" t="str">
        <f>IF(A182="","",IFERROR(AVERAGEIFS(nNOTA,nNIA,A182,nEVAL,CONFIG_METADATA!$B$4,nASIG,"Conjunto"),""))</f>
        <v/>
      </c>
      <c r="E182" t="str" cm="1">
        <f t="array" ref="E182">IF(A182="","",IFERROR(AVERAGE(IF((nNIA=A182)*(nEVAL=CONFIG_METADATA!$B$4)*(nASIG&lt;&gt;"Lenguaje Musical")*(nASIG&lt;&gt;"Coro")*(nASIG&lt;&gt;"Conjunto"),nNOTA)),""))</f>
        <v/>
      </c>
      <c r="H182" t="str">
        <f>IF(G182="","",IFERROR(AVERAGEIFS(nNOTA,nNIA,G182,nEVAL,CONFIG_METADATA!$B$4,nASIG,"Lenguaje Musical"),""))</f>
        <v/>
      </c>
      <c r="I182" t="str">
        <f>IF(G182="","",IFERROR(AVERAGEIFS(nNOTA,nNIA,G182,nEVAL,CONFIG_METADATA!$B$4,nASIG,"Coro"),""))</f>
        <v/>
      </c>
      <c r="J182" t="str">
        <f>IF(G182="","",IFERROR(AVERAGEIFS(nNOTA,nNIA,G182,nEVAL,CONFIG_METADATA!$B$4,nASIG,"Conjunto"),""))</f>
        <v/>
      </c>
      <c r="K182" t="str" cm="1">
        <f t="array" ref="K182">IF(G182="","",IFERROR(AVERAGE(IF((nNIA=G182)*(nEVAL=CONFIG_METADATA!$B$4)*(nASIG&lt;&gt;"Lenguaje Musical")*(nASIG&lt;&gt;"Coro")*(nASIG&lt;&gt;"Conjunto"),nNOTA)),""))</f>
        <v/>
      </c>
      <c r="N182" t="str">
        <f>IF(M182="","",IFERROR(AVERAGEIFS(nNOTA,nNIA,M182,nEVAL,CONFIG_METADATA!$B$4,nASIG,"Lenguaje Musical"),""))</f>
        <v/>
      </c>
      <c r="O182" t="str">
        <f>IF(M182="","",IFERROR(AVERAGEIFS(nNOTA,nNIA,M182,nEVAL,CONFIG_METADATA!$B$4,nASIG,"Coro"),""))</f>
        <v/>
      </c>
      <c r="P182" t="str">
        <f>IF(M182="","",IFERROR(AVERAGEIFS(nNOTA,nNIA,M182,nEVAL,CONFIG_METADATA!$B$4,nASIG,"Conjunto"),""))</f>
        <v/>
      </c>
      <c r="Q182" t="str" cm="1">
        <f t="array" ref="Q182">IF(M182="","",IFERROR(AVERAGE(IF((nNIA=M182)*(nEVAL=CONFIG_METADATA!$B$4)*(nASIG&lt;&gt;"Lenguaje Musical")*(nASIG&lt;&gt;"Coro")*(nASIG&lt;&gt;"Conjunto"),nNOTA)),""))</f>
        <v/>
      </c>
      <c r="T182" t="str">
        <f>IF(S182="","",IFERROR(AVERAGEIFS(nNOTA,nNIA,S182,nEVAL,CONFIG_METADATA!$B$4,nASIG,"Lenguaje Musical"),""))</f>
        <v/>
      </c>
      <c r="U182" t="str">
        <f>IF(S182="","",IFERROR(AVERAGEIFS(nNOTA,nNIA,S182,nEVAL,CONFIG_METADATA!$B$4,nASIG,"Coro"),""))</f>
        <v/>
      </c>
      <c r="V182" t="str">
        <f>IF(S182="","",IFERROR(AVERAGEIFS(nNOTA,nNIA,S182,nEVAL,CONFIG_METADATA!$B$4,nASIG,"Conjunto"),""))</f>
        <v/>
      </c>
      <c r="W182" t="str" cm="1">
        <f t="array" ref="W182">IF(S182="","",IFERROR(AVERAGE(IF((nNIA=S182)*(nEVAL=CONFIG_METADATA!$B$4)*(nASIG&lt;&gt;"Lenguaje Musical")*(nASIG&lt;&gt;"Coro")*(nASIG&lt;&gt;"Conjunto"),nNOTA)),""))</f>
        <v/>
      </c>
    </row>
    <row r="183" spans="2:23" x14ac:dyDescent="0.2">
      <c r="B183" t="str">
        <f>IF(A183="","",IFERROR(AVERAGEIFS(nNOTA,nNIA,A183,nEVAL,CONFIG_METADATA!$B$4,nASIG,"Lenguaje Musical"),""))</f>
        <v/>
      </c>
      <c r="C183" t="str">
        <f>IF(A183="","",IFERROR(AVERAGEIFS(nNOTA,nNIA,A183,nEVAL,CONFIG_METADATA!$B$4,nASIG,"Coro"),""))</f>
        <v/>
      </c>
      <c r="D183" t="str">
        <f>IF(A183="","",IFERROR(AVERAGEIFS(nNOTA,nNIA,A183,nEVAL,CONFIG_METADATA!$B$4,nASIG,"Conjunto"),""))</f>
        <v/>
      </c>
      <c r="E183" t="str" cm="1">
        <f t="array" ref="E183">IF(A183="","",IFERROR(AVERAGE(IF((nNIA=A183)*(nEVAL=CONFIG_METADATA!$B$4)*(nASIG&lt;&gt;"Lenguaje Musical")*(nASIG&lt;&gt;"Coro")*(nASIG&lt;&gt;"Conjunto"),nNOTA)),""))</f>
        <v/>
      </c>
      <c r="H183" t="str">
        <f>IF(G183="","",IFERROR(AVERAGEIFS(nNOTA,nNIA,G183,nEVAL,CONFIG_METADATA!$B$4,nASIG,"Lenguaje Musical"),""))</f>
        <v/>
      </c>
      <c r="I183" t="str">
        <f>IF(G183="","",IFERROR(AVERAGEIFS(nNOTA,nNIA,G183,nEVAL,CONFIG_METADATA!$B$4,nASIG,"Coro"),""))</f>
        <v/>
      </c>
      <c r="J183" t="str">
        <f>IF(G183="","",IFERROR(AVERAGEIFS(nNOTA,nNIA,G183,nEVAL,CONFIG_METADATA!$B$4,nASIG,"Conjunto"),""))</f>
        <v/>
      </c>
      <c r="K183" t="str" cm="1">
        <f t="array" ref="K183">IF(G183="","",IFERROR(AVERAGE(IF((nNIA=G183)*(nEVAL=CONFIG_METADATA!$B$4)*(nASIG&lt;&gt;"Lenguaje Musical")*(nASIG&lt;&gt;"Coro")*(nASIG&lt;&gt;"Conjunto"),nNOTA)),""))</f>
        <v/>
      </c>
      <c r="N183" t="str">
        <f>IF(M183="","",IFERROR(AVERAGEIFS(nNOTA,nNIA,M183,nEVAL,CONFIG_METADATA!$B$4,nASIG,"Lenguaje Musical"),""))</f>
        <v/>
      </c>
      <c r="O183" t="str">
        <f>IF(M183="","",IFERROR(AVERAGEIFS(nNOTA,nNIA,M183,nEVAL,CONFIG_METADATA!$B$4,nASIG,"Coro"),""))</f>
        <v/>
      </c>
      <c r="P183" t="str">
        <f>IF(M183="","",IFERROR(AVERAGEIFS(nNOTA,nNIA,M183,nEVAL,CONFIG_METADATA!$B$4,nASIG,"Conjunto"),""))</f>
        <v/>
      </c>
      <c r="Q183" t="str" cm="1">
        <f t="array" ref="Q183">IF(M183="","",IFERROR(AVERAGE(IF((nNIA=M183)*(nEVAL=CONFIG_METADATA!$B$4)*(nASIG&lt;&gt;"Lenguaje Musical")*(nASIG&lt;&gt;"Coro")*(nASIG&lt;&gt;"Conjunto"),nNOTA)),""))</f>
        <v/>
      </c>
      <c r="T183" t="str">
        <f>IF(S183="","",IFERROR(AVERAGEIFS(nNOTA,nNIA,S183,nEVAL,CONFIG_METADATA!$B$4,nASIG,"Lenguaje Musical"),""))</f>
        <v/>
      </c>
      <c r="U183" t="str">
        <f>IF(S183="","",IFERROR(AVERAGEIFS(nNOTA,nNIA,S183,nEVAL,CONFIG_METADATA!$B$4,nASIG,"Coro"),""))</f>
        <v/>
      </c>
      <c r="V183" t="str">
        <f>IF(S183="","",IFERROR(AVERAGEIFS(nNOTA,nNIA,S183,nEVAL,CONFIG_METADATA!$B$4,nASIG,"Conjunto"),""))</f>
        <v/>
      </c>
      <c r="W183" t="str" cm="1">
        <f t="array" ref="W183">IF(S183="","",IFERROR(AVERAGE(IF((nNIA=S183)*(nEVAL=CONFIG_METADATA!$B$4)*(nASIG&lt;&gt;"Lenguaje Musical")*(nASIG&lt;&gt;"Coro")*(nASIG&lt;&gt;"Conjunto"),nNOTA)),""))</f>
        <v/>
      </c>
    </row>
    <row r="184" spans="2:23" x14ac:dyDescent="0.2">
      <c r="B184" t="str">
        <f>IF(A184="","",IFERROR(AVERAGEIFS(nNOTA,nNIA,A184,nEVAL,CONFIG_METADATA!$B$4,nASIG,"Lenguaje Musical"),""))</f>
        <v/>
      </c>
      <c r="C184" t="str">
        <f>IF(A184="","",IFERROR(AVERAGEIFS(nNOTA,nNIA,A184,nEVAL,CONFIG_METADATA!$B$4,nASIG,"Coro"),""))</f>
        <v/>
      </c>
      <c r="D184" t="str">
        <f>IF(A184="","",IFERROR(AVERAGEIFS(nNOTA,nNIA,A184,nEVAL,CONFIG_METADATA!$B$4,nASIG,"Conjunto"),""))</f>
        <v/>
      </c>
      <c r="E184" t="str" cm="1">
        <f t="array" ref="E184">IF(A184="","",IFERROR(AVERAGE(IF((nNIA=A184)*(nEVAL=CONFIG_METADATA!$B$4)*(nASIG&lt;&gt;"Lenguaje Musical")*(nASIG&lt;&gt;"Coro")*(nASIG&lt;&gt;"Conjunto"),nNOTA)),""))</f>
        <v/>
      </c>
      <c r="H184" t="str">
        <f>IF(G184="","",IFERROR(AVERAGEIFS(nNOTA,nNIA,G184,nEVAL,CONFIG_METADATA!$B$4,nASIG,"Lenguaje Musical"),""))</f>
        <v/>
      </c>
      <c r="I184" t="str">
        <f>IF(G184="","",IFERROR(AVERAGEIFS(nNOTA,nNIA,G184,nEVAL,CONFIG_METADATA!$B$4,nASIG,"Coro"),""))</f>
        <v/>
      </c>
      <c r="J184" t="str">
        <f>IF(G184="","",IFERROR(AVERAGEIFS(nNOTA,nNIA,G184,nEVAL,CONFIG_METADATA!$B$4,nASIG,"Conjunto"),""))</f>
        <v/>
      </c>
      <c r="K184" t="str" cm="1">
        <f t="array" ref="K184">IF(G184="","",IFERROR(AVERAGE(IF((nNIA=G184)*(nEVAL=CONFIG_METADATA!$B$4)*(nASIG&lt;&gt;"Lenguaje Musical")*(nASIG&lt;&gt;"Coro")*(nASIG&lt;&gt;"Conjunto"),nNOTA)),""))</f>
        <v/>
      </c>
      <c r="N184" t="str">
        <f>IF(M184="","",IFERROR(AVERAGEIFS(nNOTA,nNIA,M184,nEVAL,CONFIG_METADATA!$B$4,nASIG,"Lenguaje Musical"),""))</f>
        <v/>
      </c>
      <c r="O184" t="str">
        <f>IF(M184="","",IFERROR(AVERAGEIFS(nNOTA,nNIA,M184,nEVAL,CONFIG_METADATA!$B$4,nASIG,"Coro"),""))</f>
        <v/>
      </c>
      <c r="P184" t="str">
        <f>IF(M184="","",IFERROR(AVERAGEIFS(nNOTA,nNIA,M184,nEVAL,CONFIG_METADATA!$B$4,nASIG,"Conjunto"),""))</f>
        <v/>
      </c>
      <c r="Q184" t="str" cm="1">
        <f t="array" ref="Q184">IF(M184="","",IFERROR(AVERAGE(IF((nNIA=M184)*(nEVAL=CONFIG_METADATA!$B$4)*(nASIG&lt;&gt;"Lenguaje Musical")*(nASIG&lt;&gt;"Coro")*(nASIG&lt;&gt;"Conjunto"),nNOTA)),""))</f>
        <v/>
      </c>
      <c r="T184" t="str">
        <f>IF(S184="","",IFERROR(AVERAGEIFS(nNOTA,nNIA,S184,nEVAL,CONFIG_METADATA!$B$4,nASIG,"Lenguaje Musical"),""))</f>
        <v/>
      </c>
      <c r="U184" t="str">
        <f>IF(S184="","",IFERROR(AVERAGEIFS(nNOTA,nNIA,S184,nEVAL,CONFIG_METADATA!$B$4,nASIG,"Coro"),""))</f>
        <v/>
      </c>
      <c r="V184" t="str">
        <f>IF(S184="","",IFERROR(AVERAGEIFS(nNOTA,nNIA,S184,nEVAL,CONFIG_METADATA!$B$4,nASIG,"Conjunto"),""))</f>
        <v/>
      </c>
      <c r="W184" t="str" cm="1">
        <f t="array" ref="W184">IF(S184="","",IFERROR(AVERAGE(IF((nNIA=S184)*(nEVAL=CONFIG_METADATA!$B$4)*(nASIG&lt;&gt;"Lenguaje Musical")*(nASIG&lt;&gt;"Coro")*(nASIG&lt;&gt;"Conjunto"),nNOTA)),""))</f>
        <v/>
      </c>
    </row>
    <row r="185" spans="2:23" x14ac:dyDescent="0.2">
      <c r="B185" t="str">
        <f>IF(A185="","",IFERROR(AVERAGEIFS(nNOTA,nNIA,A185,nEVAL,CONFIG_METADATA!$B$4,nASIG,"Lenguaje Musical"),""))</f>
        <v/>
      </c>
      <c r="C185" t="str">
        <f>IF(A185="","",IFERROR(AVERAGEIFS(nNOTA,nNIA,A185,nEVAL,CONFIG_METADATA!$B$4,nASIG,"Coro"),""))</f>
        <v/>
      </c>
      <c r="D185" t="str">
        <f>IF(A185="","",IFERROR(AVERAGEIFS(nNOTA,nNIA,A185,nEVAL,CONFIG_METADATA!$B$4,nASIG,"Conjunto"),""))</f>
        <v/>
      </c>
      <c r="E185" t="str" cm="1">
        <f t="array" ref="E185">IF(A185="","",IFERROR(AVERAGE(IF((nNIA=A185)*(nEVAL=CONFIG_METADATA!$B$4)*(nASIG&lt;&gt;"Lenguaje Musical")*(nASIG&lt;&gt;"Coro")*(nASIG&lt;&gt;"Conjunto"),nNOTA)),""))</f>
        <v/>
      </c>
      <c r="H185" t="str">
        <f>IF(G185="","",IFERROR(AVERAGEIFS(nNOTA,nNIA,G185,nEVAL,CONFIG_METADATA!$B$4,nASIG,"Lenguaje Musical"),""))</f>
        <v/>
      </c>
      <c r="I185" t="str">
        <f>IF(G185="","",IFERROR(AVERAGEIFS(nNOTA,nNIA,G185,nEVAL,CONFIG_METADATA!$B$4,nASIG,"Coro"),""))</f>
        <v/>
      </c>
      <c r="J185" t="str">
        <f>IF(G185="","",IFERROR(AVERAGEIFS(nNOTA,nNIA,G185,nEVAL,CONFIG_METADATA!$B$4,nASIG,"Conjunto"),""))</f>
        <v/>
      </c>
      <c r="K185" t="str" cm="1">
        <f t="array" ref="K185">IF(G185="","",IFERROR(AVERAGE(IF((nNIA=G185)*(nEVAL=CONFIG_METADATA!$B$4)*(nASIG&lt;&gt;"Lenguaje Musical")*(nASIG&lt;&gt;"Coro")*(nASIG&lt;&gt;"Conjunto"),nNOTA)),""))</f>
        <v/>
      </c>
      <c r="N185" t="str">
        <f>IF(M185="","",IFERROR(AVERAGEIFS(nNOTA,nNIA,M185,nEVAL,CONFIG_METADATA!$B$4,nASIG,"Lenguaje Musical"),""))</f>
        <v/>
      </c>
      <c r="O185" t="str">
        <f>IF(M185="","",IFERROR(AVERAGEIFS(nNOTA,nNIA,M185,nEVAL,CONFIG_METADATA!$B$4,nASIG,"Coro"),""))</f>
        <v/>
      </c>
      <c r="P185" t="str">
        <f>IF(M185="","",IFERROR(AVERAGEIFS(nNOTA,nNIA,M185,nEVAL,CONFIG_METADATA!$B$4,nASIG,"Conjunto"),""))</f>
        <v/>
      </c>
      <c r="Q185" t="str" cm="1">
        <f t="array" ref="Q185">IF(M185="","",IFERROR(AVERAGE(IF((nNIA=M185)*(nEVAL=CONFIG_METADATA!$B$4)*(nASIG&lt;&gt;"Lenguaje Musical")*(nASIG&lt;&gt;"Coro")*(nASIG&lt;&gt;"Conjunto"),nNOTA)),""))</f>
        <v/>
      </c>
      <c r="T185" t="str">
        <f>IF(S185="","",IFERROR(AVERAGEIFS(nNOTA,nNIA,S185,nEVAL,CONFIG_METADATA!$B$4,nASIG,"Lenguaje Musical"),""))</f>
        <v/>
      </c>
      <c r="U185" t="str">
        <f>IF(S185="","",IFERROR(AVERAGEIFS(nNOTA,nNIA,S185,nEVAL,CONFIG_METADATA!$B$4,nASIG,"Coro"),""))</f>
        <v/>
      </c>
      <c r="V185" t="str">
        <f>IF(S185="","",IFERROR(AVERAGEIFS(nNOTA,nNIA,S185,nEVAL,CONFIG_METADATA!$B$4,nASIG,"Conjunto"),""))</f>
        <v/>
      </c>
      <c r="W185" t="str" cm="1">
        <f t="array" ref="W185">IF(S185="","",IFERROR(AVERAGE(IF((nNIA=S185)*(nEVAL=CONFIG_METADATA!$B$4)*(nASIG&lt;&gt;"Lenguaje Musical")*(nASIG&lt;&gt;"Coro")*(nASIG&lt;&gt;"Conjunto"),nNOTA)),""))</f>
        <v/>
      </c>
    </row>
    <row r="186" spans="2:23" x14ac:dyDescent="0.2">
      <c r="B186" t="str">
        <f>IF(A186="","",IFERROR(AVERAGEIFS(nNOTA,nNIA,A186,nEVAL,CONFIG_METADATA!$B$4,nASIG,"Lenguaje Musical"),""))</f>
        <v/>
      </c>
      <c r="C186" t="str">
        <f>IF(A186="","",IFERROR(AVERAGEIFS(nNOTA,nNIA,A186,nEVAL,CONFIG_METADATA!$B$4,nASIG,"Coro"),""))</f>
        <v/>
      </c>
      <c r="D186" t="str">
        <f>IF(A186="","",IFERROR(AVERAGEIFS(nNOTA,nNIA,A186,nEVAL,CONFIG_METADATA!$B$4,nASIG,"Conjunto"),""))</f>
        <v/>
      </c>
      <c r="E186" t="str" cm="1">
        <f t="array" ref="E186">IF(A186="","",IFERROR(AVERAGE(IF((nNIA=A186)*(nEVAL=CONFIG_METADATA!$B$4)*(nASIG&lt;&gt;"Lenguaje Musical")*(nASIG&lt;&gt;"Coro")*(nASIG&lt;&gt;"Conjunto"),nNOTA)),""))</f>
        <v/>
      </c>
      <c r="H186" t="str">
        <f>IF(G186="","",IFERROR(AVERAGEIFS(nNOTA,nNIA,G186,nEVAL,CONFIG_METADATA!$B$4,nASIG,"Lenguaje Musical"),""))</f>
        <v/>
      </c>
      <c r="I186" t="str">
        <f>IF(G186="","",IFERROR(AVERAGEIFS(nNOTA,nNIA,G186,nEVAL,CONFIG_METADATA!$B$4,nASIG,"Coro"),""))</f>
        <v/>
      </c>
      <c r="J186" t="str">
        <f>IF(G186="","",IFERROR(AVERAGEIFS(nNOTA,nNIA,G186,nEVAL,CONFIG_METADATA!$B$4,nASIG,"Conjunto"),""))</f>
        <v/>
      </c>
      <c r="K186" t="str" cm="1">
        <f t="array" ref="K186">IF(G186="","",IFERROR(AVERAGE(IF((nNIA=G186)*(nEVAL=CONFIG_METADATA!$B$4)*(nASIG&lt;&gt;"Lenguaje Musical")*(nASIG&lt;&gt;"Coro")*(nASIG&lt;&gt;"Conjunto"),nNOTA)),""))</f>
        <v/>
      </c>
      <c r="N186" t="str">
        <f>IF(M186="","",IFERROR(AVERAGEIFS(nNOTA,nNIA,M186,nEVAL,CONFIG_METADATA!$B$4,nASIG,"Lenguaje Musical"),""))</f>
        <v/>
      </c>
      <c r="O186" t="str">
        <f>IF(M186="","",IFERROR(AVERAGEIFS(nNOTA,nNIA,M186,nEVAL,CONFIG_METADATA!$B$4,nASIG,"Coro"),""))</f>
        <v/>
      </c>
      <c r="P186" t="str">
        <f>IF(M186="","",IFERROR(AVERAGEIFS(nNOTA,nNIA,M186,nEVAL,CONFIG_METADATA!$B$4,nASIG,"Conjunto"),""))</f>
        <v/>
      </c>
      <c r="Q186" t="str" cm="1">
        <f t="array" ref="Q186">IF(M186="","",IFERROR(AVERAGE(IF((nNIA=M186)*(nEVAL=CONFIG_METADATA!$B$4)*(nASIG&lt;&gt;"Lenguaje Musical")*(nASIG&lt;&gt;"Coro")*(nASIG&lt;&gt;"Conjunto"),nNOTA)),""))</f>
        <v/>
      </c>
      <c r="T186" t="str">
        <f>IF(S186="","",IFERROR(AVERAGEIFS(nNOTA,nNIA,S186,nEVAL,CONFIG_METADATA!$B$4,nASIG,"Lenguaje Musical"),""))</f>
        <v/>
      </c>
      <c r="U186" t="str">
        <f>IF(S186="","",IFERROR(AVERAGEIFS(nNOTA,nNIA,S186,nEVAL,CONFIG_METADATA!$B$4,nASIG,"Coro"),""))</f>
        <v/>
      </c>
      <c r="V186" t="str">
        <f>IF(S186="","",IFERROR(AVERAGEIFS(nNOTA,nNIA,S186,nEVAL,CONFIG_METADATA!$B$4,nASIG,"Conjunto"),""))</f>
        <v/>
      </c>
      <c r="W186" t="str" cm="1">
        <f t="array" ref="W186">IF(S186="","",IFERROR(AVERAGE(IF((nNIA=S186)*(nEVAL=CONFIG_METADATA!$B$4)*(nASIG&lt;&gt;"Lenguaje Musical")*(nASIG&lt;&gt;"Coro")*(nASIG&lt;&gt;"Conjunto"),nNOTA)),""))</f>
        <v/>
      </c>
    </row>
    <row r="187" spans="2:23" x14ac:dyDescent="0.2">
      <c r="B187" t="str">
        <f>IF(A187="","",IFERROR(AVERAGEIFS(nNOTA,nNIA,A187,nEVAL,CONFIG_METADATA!$B$4,nASIG,"Lenguaje Musical"),""))</f>
        <v/>
      </c>
      <c r="C187" t="str">
        <f>IF(A187="","",IFERROR(AVERAGEIFS(nNOTA,nNIA,A187,nEVAL,CONFIG_METADATA!$B$4,nASIG,"Coro"),""))</f>
        <v/>
      </c>
      <c r="D187" t="str">
        <f>IF(A187="","",IFERROR(AVERAGEIFS(nNOTA,nNIA,A187,nEVAL,CONFIG_METADATA!$B$4,nASIG,"Conjunto"),""))</f>
        <v/>
      </c>
      <c r="E187" t="str" cm="1">
        <f t="array" ref="E187">IF(A187="","",IFERROR(AVERAGE(IF((nNIA=A187)*(nEVAL=CONFIG_METADATA!$B$4)*(nASIG&lt;&gt;"Lenguaje Musical")*(nASIG&lt;&gt;"Coro")*(nASIG&lt;&gt;"Conjunto"),nNOTA)),""))</f>
        <v/>
      </c>
      <c r="H187" t="str">
        <f>IF(G187="","",IFERROR(AVERAGEIFS(nNOTA,nNIA,G187,nEVAL,CONFIG_METADATA!$B$4,nASIG,"Lenguaje Musical"),""))</f>
        <v/>
      </c>
      <c r="I187" t="str">
        <f>IF(G187="","",IFERROR(AVERAGEIFS(nNOTA,nNIA,G187,nEVAL,CONFIG_METADATA!$B$4,nASIG,"Coro"),""))</f>
        <v/>
      </c>
      <c r="J187" t="str">
        <f>IF(G187="","",IFERROR(AVERAGEIFS(nNOTA,nNIA,G187,nEVAL,CONFIG_METADATA!$B$4,nASIG,"Conjunto"),""))</f>
        <v/>
      </c>
      <c r="K187" t="str" cm="1">
        <f t="array" ref="K187">IF(G187="","",IFERROR(AVERAGE(IF((nNIA=G187)*(nEVAL=CONFIG_METADATA!$B$4)*(nASIG&lt;&gt;"Lenguaje Musical")*(nASIG&lt;&gt;"Coro")*(nASIG&lt;&gt;"Conjunto"),nNOTA)),""))</f>
        <v/>
      </c>
      <c r="N187" t="str">
        <f>IF(M187="","",IFERROR(AVERAGEIFS(nNOTA,nNIA,M187,nEVAL,CONFIG_METADATA!$B$4,nASIG,"Lenguaje Musical"),""))</f>
        <v/>
      </c>
      <c r="O187" t="str">
        <f>IF(M187="","",IFERROR(AVERAGEIFS(nNOTA,nNIA,M187,nEVAL,CONFIG_METADATA!$B$4,nASIG,"Coro"),""))</f>
        <v/>
      </c>
      <c r="P187" t="str">
        <f>IF(M187="","",IFERROR(AVERAGEIFS(nNOTA,nNIA,M187,nEVAL,CONFIG_METADATA!$B$4,nASIG,"Conjunto"),""))</f>
        <v/>
      </c>
      <c r="Q187" t="str" cm="1">
        <f t="array" ref="Q187">IF(M187="","",IFERROR(AVERAGE(IF((nNIA=M187)*(nEVAL=CONFIG_METADATA!$B$4)*(nASIG&lt;&gt;"Lenguaje Musical")*(nASIG&lt;&gt;"Coro")*(nASIG&lt;&gt;"Conjunto"),nNOTA)),""))</f>
        <v/>
      </c>
      <c r="T187" t="str">
        <f>IF(S187="","",IFERROR(AVERAGEIFS(nNOTA,nNIA,S187,nEVAL,CONFIG_METADATA!$B$4,nASIG,"Lenguaje Musical"),""))</f>
        <v/>
      </c>
      <c r="U187" t="str">
        <f>IF(S187="","",IFERROR(AVERAGEIFS(nNOTA,nNIA,S187,nEVAL,CONFIG_METADATA!$B$4,nASIG,"Coro"),""))</f>
        <v/>
      </c>
      <c r="V187" t="str">
        <f>IF(S187="","",IFERROR(AVERAGEIFS(nNOTA,nNIA,S187,nEVAL,CONFIG_METADATA!$B$4,nASIG,"Conjunto"),""))</f>
        <v/>
      </c>
      <c r="W187" t="str" cm="1">
        <f t="array" ref="W187">IF(S187="","",IFERROR(AVERAGE(IF((nNIA=S187)*(nEVAL=CONFIG_METADATA!$B$4)*(nASIG&lt;&gt;"Lenguaje Musical")*(nASIG&lt;&gt;"Coro")*(nASIG&lt;&gt;"Conjunto"),nNOTA)),""))</f>
        <v/>
      </c>
    </row>
    <row r="188" spans="2:23" x14ac:dyDescent="0.2">
      <c r="B188" t="str">
        <f>IF(A188="","",IFERROR(AVERAGEIFS(nNOTA,nNIA,A188,nEVAL,CONFIG_METADATA!$B$4,nASIG,"Lenguaje Musical"),""))</f>
        <v/>
      </c>
      <c r="C188" t="str">
        <f>IF(A188="","",IFERROR(AVERAGEIFS(nNOTA,nNIA,A188,nEVAL,CONFIG_METADATA!$B$4,nASIG,"Coro"),""))</f>
        <v/>
      </c>
      <c r="D188" t="str">
        <f>IF(A188="","",IFERROR(AVERAGEIFS(nNOTA,nNIA,A188,nEVAL,CONFIG_METADATA!$B$4,nASIG,"Conjunto"),""))</f>
        <v/>
      </c>
      <c r="E188" t="str" cm="1">
        <f t="array" ref="E188">IF(A188="","",IFERROR(AVERAGE(IF((nNIA=A188)*(nEVAL=CONFIG_METADATA!$B$4)*(nASIG&lt;&gt;"Lenguaje Musical")*(nASIG&lt;&gt;"Coro")*(nASIG&lt;&gt;"Conjunto"),nNOTA)),""))</f>
        <v/>
      </c>
      <c r="H188" t="str">
        <f>IF(G188="","",IFERROR(AVERAGEIFS(nNOTA,nNIA,G188,nEVAL,CONFIG_METADATA!$B$4,nASIG,"Lenguaje Musical"),""))</f>
        <v/>
      </c>
      <c r="I188" t="str">
        <f>IF(G188="","",IFERROR(AVERAGEIFS(nNOTA,nNIA,G188,nEVAL,CONFIG_METADATA!$B$4,nASIG,"Coro"),""))</f>
        <v/>
      </c>
      <c r="J188" t="str">
        <f>IF(G188="","",IFERROR(AVERAGEIFS(nNOTA,nNIA,G188,nEVAL,CONFIG_METADATA!$B$4,nASIG,"Conjunto"),""))</f>
        <v/>
      </c>
      <c r="K188" t="str" cm="1">
        <f t="array" ref="K188">IF(G188="","",IFERROR(AVERAGE(IF((nNIA=G188)*(nEVAL=CONFIG_METADATA!$B$4)*(nASIG&lt;&gt;"Lenguaje Musical")*(nASIG&lt;&gt;"Coro")*(nASIG&lt;&gt;"Conjunto"),nNOTA)),""))</f>
        <v/>
      </c>
      <c r="N188" t="str">
        <f>IF(M188="","",IFERROR(AVERAGEIFS(nNOTA,nNIA,M188,nEVAL,CONFIG_METADATA!$B$4,nASIG,"Lenguaje Musical"),""))</f>
        <v/>
      </c>
      <c r="O188" t="str">
        <f>IF(M188="","",IFERROR(AVERAGEIFS(nNOTA,nNIA,M188,nEVAL,CONFIG_METADATA!$B$4,nASIG,"Coro"),""))</f>
        <v/>
      </c>
      <c r="P188" t="str">
        <f>IF(M188="","",IFERROR(AVERAGEIFS(nNOTA,nNIA,M188,nEVAL,CONFIG_METADATA!$B$4,nASIG,"Conjunto"),""))</f>
        <v/>
      </c>
      <c r="Q188" t="str" cm="1">
        <f t="array" ref="Q188">IF(M188="","",IFERROR(AVERAGE(IF((nNIA=M188)*(nEVAL=CONFIG_METADATA!$B$4)*(nASIG&lt;&gt;"Lenguaje Musical")*(nASIG&lt;&gt;"Coro")*(nASIG&lt;&gt;"Conjunto"),nNOTA)),""))</f>
        <v/>
      </c>
      <c r="T188" t="str">
        <f>IF(S188="","",IFERROR(AVERAGEIFS(nNOTA,nNIA,S188,nEVAL,CONFIG_METADATA!$B$4,nASIG,"Lenguaje Musical"),""))</f>
        <v/>
      </c>
      <c r="U188" t="str">
        <f>IF(S188="","",IFERROR(AVERAGEIFS(nNOTA,nNIA,S188,nEVAL,CONFIG_METADATA!$B$4,nASIG,"Coro"),""))</f>
        <v/>
      </c>
      <c r="V188" t="str">
        <f>IF(S188="","",IFERROR(AVERAGEIFS(nNOTA,nNIA,S188,nEVAL,CONFIG_METADATA!$B$4,nASIG,"Conjunto"),""))</f>
        <v/>
      </c>
      <c r="W188" t="str" cm="1">
        <f t="array" ref="W188">IF(S188="","",IFERROR(AVERAGE(IF((nNIA=S188)*(nEVAL=CONFIG_METADATA!$B$4)*(nASIG&lt;&gt;"Lenguaje Musical")*(nASIG&lt;&gt;"Coro")*(nASIG&lt;&gt;"Conjunto"),nNOTA)),""))</f>
        <v/>
      </c>
    </row>
    <row r="189" spans="2:23" x14ac:dyDescent="0.2">
      <c r="B189" t="str">
        <f>IF(A189="","",IFERROR(AVERAGEIFS(nNOTA,nNIA,A189,nEVAL,CONFIG_METADATA!$B$4,nASIG,"Lenguaje Musical"),""))</f>
        <v/>
      </c>
      <c r="C189" t="str">
        <f>IF(A189="","",IFERROR(AVERAGEIFS(nNOTA,nNIA,A189,nEVAL,CONFIG_METADATA!$B$4,nASIG,"Coro"),""))</f>
        <v/>
      </c>
      <c r="D189" t="str">
        <f>IF(A189="","",IFERROR(AVERAGEIFS(nNOTA,nNIA,A189,nEVAL,CONFIG_METADATA!$B$4,nASIG,"Conjunto"),""))</f>
        <v/>
      </c>
      <c r="E189" t="str" cm="1">
        <f t="array" ref="E189">IF(A189="","",IFERROR(AVERAGE(IF((nNIA=A189)*(nEVAL=CONFIG_METADATA!$B$4)*(nASIG&lt;&gt;"Lenguaje Musical")*(nASIG&lt;&gt;"Coro")*(nASIG&lt;&gt;"Conjunto"),nNOTA)),""))</f>
        <v/>
      </c>
      <c r="H189" t="str">
        <f>IF(G189="","",IFERROR(AVERAGEIFS(nNOTA,nNIA,G189,nEVAL,CONFIG_METADATA!$B$4,nASIG,"Lenguaje Musical"),""))</f>
        <v/>
      </c>
      <c r="I189" t="str">
        <f>IF(G189="","",IFERROR(AVERAGEIFS(nNOTA,nNIA,G189,nEVAL,CONFIG_METADATA!$B$4,nASIG,"Coro"),""))</f>
        <v/>
      </c>
      <c r="J189" t="str">
        <f>IF(G189="","",IFERROR(AVERAGEIFS(nNOTA,nNIA,G189,nEVAL,CONFIG_METADATA!$B$4,nASIG,"Conjunto"),""))</f>
        <v/>
      </c>
      <c r="K189" t="str" cm="1">
        <f t="array" ref="K189">IF(G189="","",IFERROR(AVERAGE(IF((nNIA=G189)*(nEVAL=CONFIG_METADATA!$B$4)*(nASIG&lt;&gt;"Lenguaje Musical")*(nASIG&lt;&gt;"Coro")*(nASIG&lt;&gt;"Conjunto"),nNOTA)),""))</f>
        <v/>
      </c>
      <c r="N189" t="str">
        <f>IF(M189="","",IFERROR(AVERAGEIFS(nNOTA,nNIA,M189,nEVAL,CONFIG_METADATA!$B$4,nASIG,"Lenguaje Musical"),""))</f>
        <v/>
      </c>
      <c r="O189" t="str">
        <f>IF(M189="","",IFERROR(AVERAGEIFS(nNOTA,nNIA,M189,nEVAL,CONFIG_METADATA!$B$4,nASIG,"Coro"),""))</f>
        <v/>
      </c>
      <c r="P189" t="str">
        <f>IF(M189="","",IFERROR(AVERAGEIFS(nNOTA,nNIA,M189,nEVAL,CONFIG_METADATA!$B$4,nASIG,"Conjunto"),""))</f>
        <v/>
      </c>
      <c r="Q189" t="str" cm="1">
        <f t="array" ref="Q189">IF(M189="","",IFERROR(AVERAGE(IF((nNIA=M189)*(nEVAL=CONFIG_METADATA!$B$4)*(nASIG&lt;&gt;"Lenguaje Musical")*(nASIG&lt;&gt;"Coro")*(nASIG&lt;&gt;"Conjunto"),nNOTA)),""))</f>
        <v/>
      </c>
      <c r="T189" t="str">
        <f>IF(S189="","",IFERROR(AVERAGEIFS(nNOTA,nNIA,S189,nEVAL,CONFIG_METADATA!$B$4,nASIG,"Lenguaje Musical"),""))</f>
        <v/>
      </c>
      <c r="U189" t="str">
        <f>IF(S189="","",IFERROR(AVERAGEIFS(nNOTA,nNIA,S189,nEVAL,CONFIG_METADATA!$B$4,nASIG,"Coro"),""))</f>
        <v/>
      </c>
      <c r="V189" t="str">
        <f>IF(S189="","",IFERROR(AVERAGEIFS(nNOTA,nNIA,S189,nEVAL,CONFIG_METADATA!$B$4,nASIG,"Conjunto"),""))</f>
        <v/>
      </c>
      <c r="W189" t="str" cm="1">
        <f t="array" ref="W189">IF(S189="","",IFERROR(AVERAGE(IF((nNIA=S189)*(nEVAL=CONFIG_METADATA!$B$4)*(nASIG&lt;&gt;"Lenguaje Musical")*(nASIG&lt;&gt;"Coro")*(nASIG&lt;&gt;"Conjunto"),nNOTA)),""))</f>
        <v/>
      </c>
    </row>
    <row r="190" spans="2:23" x14ac:dyDescent="0.2">
      <c r="B190" t="str">
        <f>IF(A190="","",IFERROR(AVERAGEIFS(nNOTA,nNIA,A190,nEVAL,CONFIG_METADATA!$B$4,nASIG,"Lenguaje Musical"),""))</f>
        <v/>
      </c>
      <c r="C190" t="str">
        <f>IF(A190="","",IFERROR(AVERAGEIFS(nNOTA,nNIA,A190,nEVAL,CONFIG_METADATA!$B$4,nASIG,"Coro"),""))</f>
        <v/>
      </c>
      <c r="D190" t="str">
        <f>IF(A190="","",IFERROR(AVERAGEIFS(nNOTA,nNIA,A190,nEVAL,CONFIG_METADATA!$B$4,nASIG,"Conjunto"),""))</f>
        <v/>
      </c>
      <c r="E190" t="str" cm="1">
        <f t="array" ref="E190">IF(A190="","",IFERROR(AVERAGE(IF((nNIA=A190)*(nEVAL=CONFIG_METADATA!$B$4)*(nASIG&lt;&gt;"Lenguaje Musical")*(nASIG&lt;&gt;"Coro")*(nASIG&lt;&gt;"Conjunto"),nNOTA)),""))</f>
        <v/>
      </c>
      <c r="H190" t="str">
        <f>IF(G190="","",IFERROR(AVERAGEIFS(nNOTA,nNIA,G190,nEVAL,CONFIG_METADATA!$B$4,nASIG,"Lenguaje Musical"),""))</f>
        <v/>
      </c>
      <c r="I190" t="str">
        <f>IF(G190="","",IFERROR(AVERAGEIFS(nNOTA,nNIA,G190,nEVAL,CONFIG_METADATA!$B$4,nASIG,"Coro"),""))</f>
        <v/>
      </c>
      <c r="J190" t="str">
        <f>IF(G190="","",IFERROR(AVERAGEIFS(nNOTA,nNIA,G190,nEVAL,CONFIG_METADATA!$B$4,nASIG,"Conjunto"),""))</f>
        <v/>
      </c>
      <c r="K190" t="str" cm="1">
        <f t="array" ref="K190">IF(G190="","",IFERROR(AVERAGE(IF((nNIA=G190)*(nEVAL=CONFIG_METADATA!$B$4)*(nASIG&lt;&gt;"Lenguaje Musical")*(nASIG&lt;&gt;"Coro")*(nASIG&lt;&gt;"Conjunto"),nNOTA)),""))</f>
        <v/>
      </c>
      <c r="N190" t="str">
        <f>IF(M190="","",IFERROR(AVERAGEIFS(nNOTA,nNIA,M190,nEVAL,CONFIG_METADATA!$B$4,nASIG,"Lenguaje Musical"),""))</f>
        <v/>
      </c>
      <c r="O190" t="str">
        <f>IF(M190="","",IFERROR(AVERAGEIFS(nNOTA,nNIA,M190,nEVAL,CONFIG_METADATA!$B$4,nASIG,"Coro"),""))</f>
        <v/>
      </c>
      <c r="P190" t="str">
        <f>IF(M190="","",IFERROR(AVERAGEIFS(nNOTA,nNIA,M190,nEVAL,CONFIG_METADATA!$B$4,nASIG,"Conjunto"),""))</f>
        <v/>
      </c>
      <c r="Q190" t="str" cm="1">
        <f t="array" ref="Q190">IF(M190="","",IFERROR(AVERAGE(IF((nNIA=M190)*(nEVAL=CONFIG_METADATA!$B$4)*(nASIG&lt;&gt;"Lenguaje Musical")*(nASIG&lt;&gt;"Coro")*(nASIG&lt;&gt;"Conjunto"),nNOTA)),""))</f>
        <v/>
      </c>
      <c r="T190" t="str">
        <f>IF(S190="","",IFERROR(AVERAGEIFS(nNOTA,nNIA,S190,nEVAL,CONFIG_METADATA!$B$4,nASIG,"Lenguaje Musical"),""))</f>
        <v/>
      </c>
      <c r="U190" t="str">
        <f>IF(S190="","",IFERROR(AVERAGEIFS(nNOTA,nNIA,S190,nEVAL,CONFIG_METADATA!$B$4,nASIG,"Coro"),""))</f>
        <v/>
      </c>
      <c r="V190" t="str">
        <f>IF(S190="","",IFERROR(AVERAGEIFS(nNOTA,nNIA,S190,nEVAL,CONFIG_METADATA!$B$4,nASIG,"Conjunto"),""))</f>
        <v/>
      </c>
      <c r="W190" t="str" cm="1">
        <f t="array" ref="W190">IF(S190="","",IFERROR(AVERAGE(IF((nNIA=S190)*(nEVAL=CONFIG_METADATA!$B$4)*(nASIG&lt;&gt;"Lenguaje Musical")*(nASIG&lt;&gt;"Coro")*(nASIG&lt;&gt;"Conjunto"),nNOTA)),""))</f>
        <v/>
      </c>
    </row>
    <row r="191" spans="2:23" x14ac:dyDescent="0.2">
      <c r="B191" t="str">
        <f>IF(A191="","",IFERROR(AVERAGEIFS(nNOTA,nNIA,A191,nEVAL,CONFIG_METADATA!$B$4,nASIG,"Lenguaje Musical"),""))</f>
        <v/>
      </c>
      <c r="C191" t="str">
        <f>IF(A191="","",IFERROR(AVERAGEIFS(nNOTA,nNIA,A191,nEVAL,CONFIG_METADATA!$B$4,nASIG,"Coro"),""))</f>
        <v/>
      </c>
      <c r="D191" t="str">
        <f>IF(A191="","",IFERROR(AVERAGEIFS(nNOTA,nNIA,A191,nEVAL,CONFIG_METADATA!$B$4,nASIG,"Conjunto"),""))</f>
        <v/>
      </c>
      <c r="E191" t="str" cm="1">
        <f t="array" ref="E191">IF(A191="","",IFERROR(AVERAGE(IF((nNIA=A191)*(nEVAL=CONFIG_METADATA!$B$4)*(nASIG&lt;&gt;"Lenguaje Musical")*(nASIG&lt;&gt;"Coro")*(nASIG&lt;&gt;"Conjunto"),nNOTA)),""))</f>
        <v/>
      </c>
      <c r="H191" t="str">
        <f>IF(G191="","",IFERROR(AVERAGEIFS(nNOTA,nNIA,G191,nEVAL,CONFIG_METADATA!$B$4,nASIG,"Lenguaje Musical"),""))</f>
        <v/>
      </c>
      <c r="I191" t="str">
        <f>IF(G191="","",IFERROR(AVERAGEIFS(nNOTA,nNIA,G191,nEVAL,CONFIG_METADATA!$B$4,nASIG,"Coro"),""))</f>
        <v/>
      </c>
      <c r="J191" t="str">
        <f>IF(G191="","",IFERROR(AVERAGEIFS(nNOTA,nNIA,G191,nEVAL,CONFIG_METADATA!$B$4,nASIG,"Conjunto"),""))</f>
        <v/>
      </c>
      <c r="K191" t="str" cm="1">
        <f t="array" ref="K191">IF(G191="","",IFERROR(AVERAGE(IF((nNIA=G191)*(nEVAL=CONFIG_METADATA!$B$4)*(nASIG&lt;&gt;"Lenguaje Musical")*(nASIG&lt;&gt;"Coro")*(nASIG&lt;&gt;"Conjunto"),nNOTA)),""))</f>
        <v/>
      </c>
      <c r="N191" t="str">
        <f>IF(M191="","",IFERROR(AVERAGEIFS(nNOTA,nNIA,M191,nEVAL,CONFIG_METADATA!$B$4,nASIG,"Lenguaje Musical"),""))</f>
        <v/>
      </c>
      <c r="O191" t="str">
        <f>IF(M191="","",IFERROR(AVERAGEIFS(nNOTA,nNIA,M191,nEVAL,CONFIG_METADATA!$B$4,nASIG,"Coro"),""))</f>
        <v/>
      </c>
      <c r="P191" t="str">
        <f>IF(M191="","",IFERROR(AVERAGEIFS(nNOTA,nNIA,M191,nEVAL,CONFIG_METADATA!$B$4,nASIG,"Conjunto"),""))</f>
        <v/>
      </c>
      <c r="Q191" t="str" cm="1">
        <f t="array" ref="Q191">IF(M191="","",IFERROR(AVERAGE(IF((nNIA=M191)*(nEVAL=CONFIG_METADATA!$B$4)*(nASIG&lt;&gt;"Lenguaje Musical")*(nASIG&lt;&gt;"Coro")*(nASIG&lt;&gt;"Conjunto"),nNOTA)),""))</f>
        <v/>
      </c>
      <c r="T191" t="str">
        <f>IF(S191="","",IFERROR(AVERAGEIFS(nNOTA,nNIA,S191,nEVAL,CONFIG_METADATA!$B$4,nASIG,"Lenguaje Musical"),""))</f>
        <v/>
      </c>
      <c r="U191" t="str">
        <f>IF(S191="","",IFERROR(AVERAGEIFS(nNOTA,nNIA,S191,nEVAL,CONFIG_METADATA!$B$4,nASIG,"Coro"),""))</f>
        <v/>
      </c>
      <c r="V191" t="str">
        <f>IF(S191="","",IFERROR(AVERAGEIFS(nNOTA,nNIA,S191,nEVAL,CONFIG_METADATA!$B$4,nASIG,"Conjunto"),""))</f>
        <v/>
      </c>
      <c r="W191" t="str" cm="1">
        <f t="array" ref="W191">IF(S191="","",IFERROR(AVERAGE(IF((nNIA=S191)*(nEVAL=CONFIG_METADATA!$B$4)*(nASIG&lt;&gt;"Lenguaje Musical")*(nASIG&lt;&gt;"Coro")*(nASIG&lt;&gt;"Conjunto"),nNOTA)),""))</f>
        <v/>
      </c>
    </row>
    <row r="192" spans="2:23" x14ac:dyDescent="0.2">
      <c r="B192" t="str">
        <f>IF(A192="","",IFERROR(AVERAGEIFS(nNOTA,nNIA,A192,nEVAL,CONFIG_METADATA!$B$4,nASIG,"Lenguaje Musical"),""))</f>
        <v/>
      </c>
      <c r="C192" t="str">
        <f>IF(A192="","",IFERROR(AVERAGEIFS(nNOTA,nNIA,A192,nEVAL,CONFIG_METADATA!$B$4,nASIG,"Coro"),""))</f>
        <v/>
      </c>
      <c r="D192" t="str">
        <f>IF(A192="","",IFERROR(AVERAGEIFS(nNOTA,nNIA,A192,nEVAL,CONFIG_METADATA!$B$4,nASIG,"Conjunto"),""))</f>
        <v/>
      </c>
      <c r="E192" t="str" cm="1">
        <f t="array" ref="E192">IF(A192="","",IFERROR(AVERAGE(IF((nNIA=A192)*(nEVAL=CONFIG_METADATA!$B$4)*(nASIG&lt;&gt;"Lenguaje Musical")*(nASIG&lt;&gt;"Coro")*(nASIG&lt;&gt;"Conjunto"),nNOTA)),""))</f>
        <v/>
      </c>
      <c r="H192" t="str">
        <f>IF(G192="","",IFERROR(AVERAGEIFS(nNOTA,nNIA,G192,nEVAL,CONFIG_METADATA!$B$4,nASIG,"Lenguaje Musical"),""))</f>
        <v/>
      </c>
      <c r="I192" t="str">
        <f>IF(G192="","",IFERROR(AVERAGEIFS(nNOTA,nNIA,G192,nEVAL,CONFIG_METADATA!$B$4,nASIG,"Coro"),""))</f>
        <v/>
      </c>
      <c r="J192" t="str">
        <f>IF(G192="","",IFERROR(AVERAGEIFS(nNOTA,nNIA,G192,nEVAL,CONFIG_METADATA!$B$4,nASIG,"Conjunto"),""))</f>
        <v/>
      </c>
      <c r="K192" t="str" cm="1">
        <f t="array" ref="K192">IF(G192="","",IFERROR(AVERAGE(IF((nNIA=G192)*(nEVAL=CONFIG_METADATA!$B$4)*(nASIG&lt;&gt;"Lenguaje Musical")*(nASIG&lt;&gt;"Coro")*(nASIG&lt;&gt;"Conjunto"),nNOTA)),""))</f>
        <v/>
      </c>
      <c r="N192" t="str">
        <f>IF(M192="","",IFERROR(AVERAGEIFS(nNOTA,nNIA,M192,nEVAL,CONFIG_METADATA!$B$4,nASIG,"Lenguaje Musical"),""))</f>
        <v/>
      </c>
      <c r="O192" t="str">
        <f>IF(M192="","",IFERROR(AVERAGEIFS(nNOTA,nNIA,M192,nEVAL,CONFIG_METADATA!$B$4,nASIG,"Coro"),""))</f>
        <v/>
      </c>
      <c r="P192" t="str">
        <f>IF(M192="","",IFERROR(AVERAGEIFS(nNOTA,nNIA,M192,nEVAL,CONFIG_METADATA!$B$4,nASIG,"Conjunto"),""))</f>
        <v/>
      </c>
      <c r="Q192" t="str" cm="1">
        <f t="array" ref="Q192">IF(M192="","",IFERROR(AVERAGE(IF((nNIA=M192)*(nEVAL=CONFIG_METADATA!$B$4)*(nASIG&lt;&gt;"Lenguaje Musical")*(nASIG&lt;&gt;"Coro")*(nASIG&lt;&gt;"Conjunto"),nNOTA)),""))</f>
        <v/>
      </c>
      <c r="T192" t="str">
        <f>IF(S192="","",IFERROR(AVERAGEIFS(nNOTA,nNIA,S192,nEVAL,CONFIG_METADATA!$B$4,nASIG,"Lenguaje Musical"),""))</f>
        <v/>
      </c>
      <c r="U192" t="str">
        <f>IF(S192="","",IFERROR(AVERAGEIFS(nNOTA,nNIA,S192,nEVAL,CONFIG_METADATA!$B$4,nASIG,"Coro"),""))</f>
        <v/>
      </c>
      <c r="V192" t="str">
        <f>IF(S192="","",IFERROR(AVERAGEIFS(nNOTA,nNIA,S192,nEVAL,CONFIG_METADATA!$B$4,nASIG,"Conjunto"),""))</f>
        <v/>
      </c>
      <c r="W192" t="str" cm="1">
        <f t="array" ref="W192">IF(S192="","",IFERROR(AVERAGE(IF((nNIA=S192)*(nEVAL=CONFIG_METADATA!$B$4)*(nASIG&lt;&gt;"Lenguaje Musical")*(nASIG&lt;&gt;"Coro")*(nASIG&lt;&gt;"Conjunto"),nNOTA)),""))</f>
        <v/>
      </c>
    </row>
    <row r="193" spans="2:23" x14ac:dyDescent="0.2">
      <c r="B193" t="str">
        <f>IF(A193="","",IFERROR(AVERAGEIFS(nNOTA,nNIA,A193,nEVAL,CONFIG_METADATA!$B$4,nASIG,"Lenguaje Musical"),""))</f>
        <v/>
      </c>
      <c r="C193" t="str">
        <f>IF(A193="","",IFERROR(AVERAGEIFS(nNOTA,nNIA,A193,nEVAL,CONFIG_METADATA!$B$4,nASIG,"Coro"),""))</f>
        <v/>
      </c>
      <c r="D193" t="str">
        <f>IF(A193="","",IFERROR(AVERAGEIFS(nNOTA,nNIA,A193,nEVAL,CONFIG_METADATA!$B$4,nASIG,"Conjunto"),""))</f>
        <v/>
      </c>
      <c r="E193" t="str" cm="1">
        <f t="array" ref="E193">IF(A193="","",IFERROR(AVERAGE(IF((nNIA=A193)*(nEVAL=CONFIG_METADATA!$B$4)*(nASIG&lt;&gt;"Lenguaje Musical")*(nASIG&lt;&gt;"Coro")*(nASIG&lt;&gt;"Conjunto"),nNOTA)),""))</f>
        <v/>
      </c>
      <c r="H193" t="str">
        <f>IF(G193="","",IFERROR(AVERAGEIFS(nNOTA,nNIA,G193,nEVAL,CONFIG_METADATA!$B$4,nASIG,"Lenguaje Musical"),""))</f>
        <v/>
      </c>
      <c r="I193" t="str">
        <f>IF(G193="","",IFERROR(AVERAGEIFS(nNOTA,nNIA,G193,nEVAL,CONFIG_METADATA!$B$4,nASIG,"Coro"),""))</f>
        <v/>
      </c>
      <c r="J193" t="str">
        <f>IF(G193="","",IFERROR(AVERAGEIFS(nNOTA,nNIA,G193,nEVAL,CONFIG_METADATA!$B$4,nASIG,"Conjunto"),""))</f>
        <v/>
      </c>
      <c r="K193" t="str" cm="1">
        <f t="array" ref="K193">IF(G193="","",IFERROR(AVERAGE(IF((nNIA=G193)*(nEVAL=CONFIG_METADATA!$B$4)*(nASIG&lt;&gt;"Lenguaje Musical")*(nASIG&lt;&gt;"Coro")*(nASIG&lt;&gt;"Conjunto"),nNOTA)),""))</f>
        <v/>
      </c>
      <c r="N193" t="str">
        <f>IF(M193="","",IFERROR(AVERAGEIFS(nNOTA,nNIA,M193,nEVAL,CONFIG_METADATA!$B$4,nASIG,"Lenguaje Musical"),""))</f>
        <v/>
      </c>
      <c r="O193" t="str">
        <f>IF(M193="","",IFERROR(AVERAGEIFS(nNOTA,nNIA,M193,nEVAL,CONFIG_METADATA!$B$4,nASIG,"Coro"),""))</f>
        <v/>
      </c>
      <c r="P193" t="str">
        <f>IF(M193="","",IFERROR(AVERAGEIFS(nNOTA,nNIA,M193,nEVAL,CONFIG_METADATA!$B$4,nASIG,"Conjunto"),""))</f>
        <v/>
      </c>
      <c r="Q193" t="str" cm="1">
        <f t="array" ref="Q193">IF(M193="","",IFERROR(AVERAGE(IF((nNIA=M193)*(nEVAL=CONFIG_METADATA!$B$4)*(nASIG&lt;&gt;"Lenguaje Musical")*(nASIG&lt;&gt;"Coro")*(nASIG&lt;&gt;"Conjunto"),nNOTA)),""))</f>
        <v/>
      </c>
      <c r="T193" t="str">
        <f>IF(S193="","",IFERROR(AVERAGEIFS(nNOTA,nNIA,S193,nEVAL,CONFIG_METADATA!$B$4,nASIG,"Lenguaje Musical"),""))</f>
        <v/>
      </c>
      <c r="U193" t="str">
        <f>IF(S193="","",IFERROR(AVERAGEIFS(nNOTA,nNIA,S193,nEVAL,CONFIG_METADATA!$B$4,nASIG,"Coro"),""))</f>
        <v/>
      </c>
      <c r="V193" t="str">
        <f>IF(S193="","",IFERROR(AVERAGEIFS(nNOTA,nNIA,S193,nEVAL,CONFIG_METADATA!$B$4,nASIG,"Conjunto"),""))</f>
        <v/>
      </c>
      <c r="W193" t="str" cm="1">
        <f t="array" ref="W193">IF(S193="","",IFERROR(AVERAGE(IF((nNIA=S193)*(nEVAL=CONFIG_METADATA!$B$4)*(nASIG&lt;&gt;"Lenguaje Musical")*(nASIG&lt;&gt;"Coro")*(nASIG&lt;&gt;"Conjunto"),nNOTA)),""))</f>
        <v/>
      </c>
    </row>
    <row r="194" spans="2:23" x14ac:dyDescent="0.2">
      <c r="B194" t="str">
        <f>IF(A194="","",IFERROR(AVERAGEIFS(nNOTA,nNIA,A194,nEVAL,CONFIG_METADATA!$B$4,nASIG,"Lenguaje Musical"),""))</f>
        <v/>
      </c>
      <c r="C194" t="str">
        <f>IF(A194="","",IFERROR(AVERAGEIFS(nNOTA,nNIA,A194,nEVAL,CONFIG_METADATA!$B$4,nASIG,"Coro"),""))</f>
        <v/>
      </c>
      <c r="D194" t="str">
        <f>IF(A194="","",IFERROR(AVERAGEIFS(nNOTA,nNIA,A194,nEVAL,CONFIG_METADATA!$B$4,nASIG,"Conjunto"),""))</f>
        <v/>
      </c>
      <c r="E194" t="str" cm="1">
        <f t="array" ref="E194">IF(A194="","",IFERROR(AVERAGE(IF((nNIA=A194)*(nEVAL=CONFIG_METADATA!$B$4)*(nASIG&lt;&gt;"Lenguaje Musical")*(nASIG&lt;&gt;"Coro")*(nASIG&lt;&gt;"Conjunto"),nNOTA)),""))</f>
        <v/>
      </c>
      <c r="H194" t="str">
        <f>IF(G194="","",IFERROR(AVERAGEIFS(nNOTA,nNIA,G194,nEVAL,CONFIG_METADATA!$B$4,nASIG,"Lenguaje Musical"),""))</f>
        <v/>
      </c>
      <c r="I194" t="str">
        <f>IF(G194="","",IFERROR(AVERAGEIFS(nNOTA,nNIA,G194,nEVAL,CONFIG_METADATA!$B$4,nASIG,"Coro"),""))</f>
        <v/>
      </c>
      <c r="J194" t="str">
        <f>IF(G194="","",IFERROR(AVERAGEIFS(nNOTA,nNIA,G194,nEVAL,CONFIG_METADATA!$B$4,nASIG,"Conjunto"),""))</f>
        <v/>
      </c>
      <c r="K194" t="str" cm="1">
        <f t="array" ref="K194">IF(G194="","",IFERROR(AVERAGE(IF((nNIA=G194)*(nEVAL=CONFIG_METADATA!$B$4)*(nASIG&lt;&gt;"Lenguaje Musical")*(nASIG&lt;&gt;"Coro")*(nASIG&lt;&gt;"Conjunto"),nNOTA)),""))</f>
        <v/>
      </c>
      <c r="N194" t="str">
        <f>IF(M194="","",IFERROR(AVERAGEIFS(nNOTA,nNIA,M194,nEVAL,CONFIG_METADATA!$B$4,nASIG,"Lenguaje Musical"),""))</f>
        <v/>
      </c>
      <c r="O194" t="str">
        <f>IF(M194="","",IFERROR(AVERAGEIFS(nNOTA,nNIA,M194,nEVAL,CONFIG_METADATA!$B$4,nASIG,"Coro"),""))</f>
        <v/>
      </c>
      <c r="P194" t="str">
        <f>IF(M194="","",IFERROR(AVERAGEIFS(nNOTA,nNIA,M194,nEVAL,CONFIG_METADATA!$B$4,nASIG,"Conjunto"),""))</f>
        <v/>
      </c>
      <c r="Q194" t="str" cm="1">
        <f t="array" ref="Q194">IF(M194="","",IFERROR(AVERAGE(IF((nNIA=M194)*(nEVAL=CONFIG_METADATA!$B$4)*(nASIG&lt;&gt;"Lenguaje Musical")*(nASIG&lt;&gt;"Coro")*(nASIG&lt;&gt;"Conjunto"),nNOTA)),""))</f>
        <v/>
      </c>
      <c r="T194" t="str">
        <f>IF(S194="","",IFERROR(AVERAGEIFS(nNOTA,nNIA,S194,nEVAL,CONFIG_METADATA!$B$4,nASIG,"Lenguaje Musical"),""))</f>
        <v/>
      </c>
      <c r="U194" t="str">
        <f>IF(S194="","",IFERROR(AVERAGEIFS(nNOTA,nNIA,S194,nEVAL,CONFIG_METADATA!$B$4,nASIG,"Coro"),""))</f>
        <v/>
      </c>
      <c r="V194" t="str">
        <f>IF(S194="","",IFERROR(AVERAGEIFS(nNOTA,nNIA,S194,nEVAL,CONFIG_METADATA!$B$4,nASIG,"Conjunto"),""))</f>
        <v/>
      </c>
      <c r="W194" t="str" cm="1">
        <f t="array" ref="W194">IF(S194="","",IFERROR(AVERAGE(IF((nNIA=S194)*(nEVAL=CONFIG_METADATA!$B$4)*(nASIG&lt;&gt;"Lenguaje Musical")*(nASIG&lt;&gt;"Coro")*(nASIG&lt;&gt;"Conjunto"),nNOTA)),""))</f>
        <v/>
      </c>
    </row>
    <row r="195" spans="2:23" x14ac:dyDescent="0.2">
      <c r="B195" t="str">
        <f>IF(A195="","",IFERROR(AVERAGEIFS(nNOTA,nNIA,A195,nEVAL,CONFIG_METADATA!$B$4,nASIG,"Lenguaje Musical"),""))</f>
        <v/>
      </c>
      <c r="C195" t="str">
        <f>IF(A195="","",IFERROR(AVERAGEIFS(nNOTA,nNIA,A195,nEVAL,CONFIG_METADATA!$B$4,nASIG,"Coro"),""))</f>
        <v/>
      </c>
      <c r="D195" t="str">
        <f>IF(A195="","",IFERROR(AVERAGEIFS(nNOTA,nNIA,A195,nEVAL,CONFIG_METADATA!$B$4,nASIG,"Conjunto"),""))</f>
        <v/>
      </c>
      <c r="E195" t="str" cm="1">
        <f t="array" ref="E195">IF(A195="","",IFERROR(AVERAGE(IF((nNIA=A195)*(nEVAL=CONFIG_METADATA!$B$4)*(nASIG&lt;&gt;"Lenguaje Musical")*(nASIG&lt;&gt;"Coro")*(nASIG&lt;&gt;"Conjunto"),nNOTA)),""))</f>
        <v/>
      </c>
      <c r="H195" t="str">
        <f>IF(G195="","",IFERROR(AVERAGEIFS(nNOTA,nNIA,G195,nEVAL,CONFIG_METADATA!$B$4,nASIG,"Lenguaje Musical"),""))</f>
        <v/>
      </c>
      <c r="I195" t="str">
        <f>IF(G195="","",IFERROR(AVERAGEIFS(nNOTA,nNIA,G195,nEVAL,CONFIG_METADATA!$B$4,nASIG,"Coro"),""))</f>
        <v/>
      </c>
      <c r="J195" t="str">
        <f>IF(G195="","",IFERROR(AVERAGEIFS(nNOTA,nNIA,G195,nEVAL,CONFIG_METADATA!$B$4,nASIG,"Conjunto"),""))</f>
        <v/>
      </c>
      <c r="K195" t="str" cm="1">
        <f t="array" ref="K195">IF(G195="","",IFERROR(AVERAGE(IF((nNIA=G195)*(nEVAL=CONFIG_METADATA!$B$4)*(nASIG&lt;&gt;"Lenguaje Musical")*(nASIG&lt;&gt;"Coro")*(nASIG&lt;&gt;"Conjunto"),nNOTA)),""))</f>
        <v/>
      </c>
      <c r="N195" t="str">
        <f>IF(M195="","",IFERROR(AVERAGEIFS(nNOTA,nNIA,M195,nEVAL,CONFIG_METADATA!$B$4,nASIG,"Lenguaje Musical"),""))</f>
        <v/>
      </c>
      <c r="O195" t="str">
        <f>IF(M195="","",IFERROR(AVERAGEIFS(nNOTA,nNIA,M195,nEVAL,CONFIG_METADATA!$B$4,nASIG,"Coro"),""))</f>
        <v/>
      </c>
      <c r="P195" t="str">
        <f>IF(M195="","",IFERROR(AVERAGEIFS(nNOTA,nNIA,M195,nEVAL,CONFIG_METADATA!$B$4,nASIG,"Conjunto"),""))</f>
        <v/>
      </c>
      <c r="Q195" t="str" cm="1">
        <f t="array" ref="Q195">IF(M195="","",IFERROR(AVERAGE(IF((nNIA=M195)*(nEVAL=CONFIG_METADATA!$B$4)*(nASIG&lt;&gt;"Lenguaje Musical")*(nASIG&lt;&gt;"Coro")*(nASIG&lt;&gt;"Conjunto"),nNOTA)),""))</f>
        <v/>
      </c>
      <c r="T195" t="str">
        <f>IF(S195="","",IFERROR(AVERAGEIFS(nNOTA,nNIA,S195,nEVAL,CONFIG_METADATA!$B$4,nASIG,"Lenguaje Musical"),""))</f>
        <v/>
      </c>
      <c r="U195" t="str">
        <f>IF(S195="","",IFERROR(AVERAGEIFS(nNOTA,nNIA,S195,nEVAL,CONFIG_METADATA!$B$4,nASIG,"Coro"),""))</f>
        <v/>
      </c>
      <c r="V195" t="str">
        <f>IF(S195="","",IFERROR(AVERAGEIFS(nNOTA,nNIA,S195,nEVAL,CONFIG_METADATA!$B$4,nASIG,"Conjunto"),""))</f>
        <v/>
      </c>
      <c r="W195" t="str" cm="1">
        <f t="array" ref="W195">IF(S195="","",IFERROR(AVERAGE(IF((nNIA=S195)*(nEVAL=CONFIG_METADATA!$B$4)*(nASIG&lt;&gt;"Lenguaje Musical")*(nASIG&lt;&gt;"Coro")*(nASIG&lt;&gt;"Conjunto"),nNOTA)),""))</f>
        <v/>
      </c>
    </row>
    <row r="196" spans="2:23" x14ac:dyDescent="0.2">
      <c r="B196" t="str">
        <f>IF(A196="","",IFERROR(AVERAGEIFS(nNOTA,nNIA,A196,nEVAL,CONFIG_METADATA!$B$4,nASIG,"Lenguaje Musical"),""))</f>
        <v/>
      </c>
      <c r="C196" t="str">
        <f>IF(A196="","",IFERROR(AVERAGEIFS(nNOTA,nNIA,A196,nEVAL,CONFIG_METADATA!$B$4,nASIG,"Coro"),""))</f>
        <v/>
      </c>
      <c r="D196" t="str">
        <f>IF(A196="","",IFERROR(AVERAGEIFS(nNOTA,nNIA,A196,nEVAL,CONFIG_METADATA!$B$4,nASIG,"Conjunto"),""))</f>
        <v/>
      </c>
      <c r="E196" t="str" cm="1">
        <f t="array" ref="E196">IF(A196="","",IFERROR(AVERAGE(IF((nNIA=A196)*(nEVAL=CONFIG_METADATA!$B$4)*(nASIG&lt;&gt;"Lenguaje Musical")*(nASIG&lt;&gt;"Coro")*(nASIG&lt;&gt;"Conjunto"),nNOTA)),""))</f>
        <v/>
      </c>
      <c r="H196" t="str">
        <f>IF(G196="","",IFERROR(AVERAGEIFS(nNOTA,nNIA,G196,nEVAL,CONFIG_METADATA!$B$4,nASIG,"Lenguaje Musical"),""))</f>
        <v/>
      </c>
      <c r="I196" t="str">
        <f>IF(G196="","",IFERROR(AVERAGEIFS(nNOTA,nNIA,G196,nEVAL,CONFIG_METADATA!$B$4,nASIG,"Coro"),""))</f>
        <v/>
      </c>
      <c r="J196" t="str">
        <f>IF(G196="","",IFERROR(AVERAGEIFS(nNOTA,nNIA,G196,nEVAL,CONFIG_METADATA!$B$4,nASIG,"Conjunto"),""))</f>
        <v/>
      </c>
      <c r="K196" t="str" cm="1">
        <f t="array" ref="K196">IF(G196="","",IFERROR(AVERAGE(IF((nNIA=G196)*(nEVAL=CONFIG_METADATA!$B$4)*(nASIG&lt;&gt;"Lenguaje Musical")*(nASIG&lt;&gt;"Coro")*(nASIG&lt;&gt;"Conjunto"),nNOTA)),""))</f>
        <v/>
      </c>
      <c r="N196" t="str">
        <f>IF(M196="","",IFERROR(AVERAGEIFS(nNOTA,nNIA,M196,nEVAL,CONFIG_METADATA!$B$4,nASIG,"Lenguaje Musical"),""))</f>
        <v/>
      </c>
      <c r="O196" t="str">
        <f>IF(M196="","",IFERROR(AVERAGEIFS(nNOTA,nNIA,M196,nEVAL,CONFIG_METADATA!$B$4,nASIG,"Coro"),""))</f>
        <v/>
      </c>
      <c r="P196" t="str">
        <f>IF(M196="","",IFERROR(AVERAGEIFS(nNOTA,nNIA,M196,nEVAL,CONFIG_METADATA!$B$4,nASIG,"Conjunto"),""))</f>
        <v/>
      </c>
      <c r="Q196" t="str" cm="1">
        <f t="array" ref="Q196">IF(M196="","",IFERROR(AVERAGE(IF((nNIA=M196)*(nEVAL=CONFIG_METADATA!$B$4)*(nASIG&lt;&gt;"Lenguaje Musical")*(nASIG&lt;&gt;"Coro")*(nASIG&lt;&gt;"Conjunto"),nNOTA)),""))</f>
        <v/>
      </c>
      <c r="T196" t="str">
        <f>IF(S196="","",IFERROR(AVERAGEIFS(nNOTA,nNIA,S196,nEVAL,CONFIG_METADATA!$B$4,nASIG,"Lenguaje Musical"),""))</f>
        <v/>
      </c>
      <c r="U196" t="str">
        <f>IF(S196="","",IFERROR(AVERAGEIFS(nNOTA,nNIA,S196,nEVAL,CONFIG_METADATA!$B$4,nASIG,"Coro"),""))</f>
        <v/>
      </c>
      <c r="V196" t="str">
        <f>IF(S196="","",IFERROR(AVERAGEIFS(nNOTA,nNIA,S196,nEVAL,CONFIG_METADATA!$B$4,nASIG,"Conjunto"),""))</f>
        <v/>
      </c>
      <c r="W196" t="str" cm="1">
        <f t="array" ref="W196">IF(S196="","",IFERROR(AVERAGE(IF((nNIA=S196)*(nEVAL=CONFIG_METADATA!$B$4)*(nASIG&lt;&gt;"Lenguaje Musical")*(nASIG&lt;&gt;"Coro")*(nASIG&lt;&gt;"Conjunto"),nNOTA)),""))</f>
        <v/>
      </c>
    </row>
    <row r="197" spans="2:23" x14ac:dyDescent="0.2">
      <c r="B197" t="str">
        <f>IF(A197="","",IFERROR(AVERAGEIFS(nNOTA,nNIA,A197,nEVAL,CONFIG_METADATA!$B$4,nASIG,"Lenguaje Musical"),""))</f>
        <v/>
      </c>
      <c r="C197" t="str">
        <f>IF(A197="","",IFERROR(AVERAGEIFS(nNOTA,nNIA,A197,nEVAL,CONFIG_METADATA!$B$4,nASIG,"Coro"),""))</f>
        <v/>
      </c>
      <c r="D197" t="str">
        <f>IF(A197="","",IFERROR(AVERAGEIFS(nNOTA,nNIA,A197,nEVAL,CONFIG_METADATA!$B$4,nASIG,"Conjunto"),""))</f>
        <v/>
      </c>
      <c r="E197" t="str" cm="1">
        <f t="array" ref="E197">IF(A197="","",IFERROR(AVERAGE(IF((nNIA=A197)*(nEVAL=CONFIG_METADATA!$B$4)*(nASIG&lt;&gt;"Lenguaje Musical")*(nASIG&lt;&gt;"Coro")*(nASIG&lt;&gt;"Conjunto"),nNOTA)),""))</f>
        <v/>
      </c>
      <c r="H197" t="str">
        <f>IF(G197="","",IFERROR(AVERAGEIFS(nNOTA,nNIA,G197,nEVAL,CONFIG_METADATA!$B$4,nASIG,"Lenguaje Musical"),""))</f>
        <v/>
      </c>
      <c r="I197" t="str">
        <f>IF(G197="","",IFERROR(AVERAGEIFS(nNOTA,nNIA,G197,nEVAL,CONFIG_METADATA!$B$4,nASIG,"Coro"),""))</f>
        <v/>
      </c>
      <c r="J197" t="str">
        <f>IF(G197="","",IFERROR(AVERAGEIFS(nNOTA,nNIA,G197,nEVAL,CONFIG_METADATA!$B$4,nASIG,"Conjunto"),""))</f>
        <v/>
      </c>
      <c r="K197" t="str" cm="1">
        <f t="array" ref="K197">IF(G197="","",IFERROR(AVERAGE(IF((nNIA=G197)*(nEVAL=CONFIG_METADATA!$B$4)*(nASIG&lt;&gt;"Lenguaje Musical")*(nASIG&lt;&gt;"Coro")*(nASIG&lt;&gt;"Conjunto"),nNOTA)),""))</f>
        <v/>
      </c>
      <c r="N197" t="str">
        <f>IF(M197="","",IFERROR(AVERAGEIFS(nNOTA,nNIA,M197,nEVAL,CONFIG_METADATA!$B$4,nASIG,"Lenguaje Musical"),""))</f>
        <v/>
      </c>
      <c r="O197" t="str">
        <f>IF(M197="","",IFERROR(AVERAGEIFS(nNOTA,nNIA,M197,nEVAL,CONFIG_METADATA!$B$4,nASIG,"Coro"),""))</f>
        <v/>
      </c>
      <c r="P197" t="str">
        <f>IF(M197="","",IFERROR(AVERAGEIFS(nNOTA,nNIA,M197,nEVAL,CONFIG_METADATA!$B$4,nASIG,"Conjunto"),""))</f>
        <v/>
      </c>
      <c r="Q197" t="str" cm="1">
        <f t="array" ref="Q197">IF(M197="","",IFERROR(AVERAGE(IF((nNIA=M197)*(nEVAL=CONFIG_METADATA!$B$4)*(nASIG&lt;&gt;"Lenguaje Musical")*(nASIG&lt;&gt;"Coro")*(nASIG&lt;&gt;"Conjunto"),nNOTA)),""))</f>
        <v/>
      </c>
      <c r="T197" t="str">
        <f>IF(S197="","",IFERROR(AVERAGEIFS(nNOTA,nNIA,S197,nEVAL,CONFIG_METADATA!$B$4,nASIG,"Lenguaje Musical"),""))</f>
        <v/>
      </c>
      <c r="U197" t="str">
        <f>IF(S197="","",IFERROR(AVERAGEIFS(nNOTA,nNIA,S197,nEVAL,CONFIG_METADATA!$B$4,nASIG,"Coro"),""))</f>
        <v/>
      </c>
      <c r="V197" t="str">
        <f>IF(S197="","",IFERROR(AVERAGEIFS(nNOTA,nNIA,S197,nEVAL,CONFIG_METADATA!$B$4,nASIG,"Conjunto"),""))</f>
        <v/>
      </c>
      <c r="W197" t="str" cm="1">
        <f t="array" ref="W197">IF(S197="","",IFERROR(AVERAGE(IF((nNIA=S197)*(nEVAL=CONFIG_METADATA!$B$4)*(nASIG&lt;&gt;"Lenguaje Musical")*(nASIG&lt;&gt;"Coro")*(nASIG&lt;&gt;"Conjunto"),nNOTA)),""))</f>
        <v/>
      </c>
    </row>
    <row r="198" spans="2:23" x14ac:dyDescent="0.2">
      <c r="B198" t="str">
        <f>IF(A198="","",IFERROR(AVERAGEIFS(nNOTA,nNIA,A198,nEVAL,CONFIG_METADATA!$B$4,nASIG,"Lenguaje Musical"),""))</f>
        <v/>
      </c>
      <c r="C198" t="str">
        <f>IF(A198="","",IFERROR(AVERAGEIFS(nNOTA,nNIA,A198,nEVAL,CONFIG_METADATA!$B$4,nASIG,"Coro"),""))</f>
        <v/>
      </c>
      <c r="D198" t="str">
        <f>IF(A198="","",IFERROR(AVERAGEIFS(nNOTA,nNIA,A198,nEVAL,CONFIG_METADATA!$B$4,nASIG,"Conjunto"),""))</f>
        <v/>
      </c>
      <c r="E198" t="str" cm="1">
        <f t="array" ref="E198">IF(A198="","",IFERROR(AVERAGE(IF((nNIA=A198)*(nEVAL=CONFIG_METADATA!$B$4)*(nASIG&lt;&gt;"Lenguaje Musical")*(nASIG&lt;&gt;"Coro")*(nASIG&lt;&gt;"Conjunto"),nNOTA)),""))</f>
        <v/>
      </c>
      <c r="H198" t="str">
        <f>IF(G198="","",IFERROR(AVERAGEIFS(nNOTA,nNIA,G198,nEVAL,CONFIG_METADATA!$B$4,nASIG,"Lenguaje Musical"),""))</f>
        <v/>
      </c>
      <c r="I198" t="str">
        <f>IF(G198="","",IFERROR(AVERAGEIFS(nNOTA,nNIA,G198,nEVAL,CONFIG_METADATA!$B$4,nASIG,"Coro"),""))</f>
        <v/>
      </c>
      <c r="J198" t="str">
        <f>IF(G198="","",IFERROR(AVERAGEIFS(nNOTA,nNIA,G198,nEVAL,CONFIG_METADATA!$B$4,nASIG,"Conjunto"),""))</f>
        <v/>
      </c>
      <c r="K198" t="str" cm="1">
        <f t="array" ref="K198">IF(G198="","",IFERROR(AVERAGE(IF((nNIA=G198)*(nEVAL=CONFIG_METADATA!$B$4)*(nASIG&lt;&gt;"Lenguaje Musical")*(nASIG&lt;&gt;"Coro")*(nASIG&lt;&gt;"Conjunto"),nNOTA)),""))</f>
        <v/>
      </c>
      <c r="N198" t="str">
        <f>IF(M198="","",IFERROR(AVERAGEIFS(nNOTA,nNIA,M198,nEVAL,CONFIG_METADATA!$B$4,nASIG,"Lenguaje Musical"),""))</f>
        <v/>
      </c>
      <c r="O198" t="str">
        <f>IF(M198="","",IFERROR(AVERAGEIFS(nNOTA,nNIA,M198,nEVAL,CONFIG_METADATA!$B$4,nASIG,"Coro"),""))</f>
        <v/>
      </c>
      <c r="P198" t="str">
        <f>IF(M198="","",IFERROR(AVERAGEIFS(nNOTA,nNIA,M198,nEVAL,CONFIG_METADATA!$B$4,nASIG,"Conjunto"),""))</f>
        <v/>
      </c>
      <c r="Q198" t="str" cm="1">
        <f t="array" ref="Q198">IF(M198="","",IFERROR(AVERAGE(IF((nNIA=M198)*(nEVAL=CONFIG_METADATA!$B$4)*(nASIG&lt;&gt;"Lenguaje Musical")*(nASIG&lt;&gt;"Coro")*(nASIG&lt;&gt;"Conjunto"),nNOTA)),""))</f>
        <v/>
      </c>
      <c r="T198" t="str">
        <f>IF(S198="","",IFERROR(AVERAGEIFS(nNOTA,nNIA,S198,nEVAL,CONFIG_METADATA!$B$4,nASIG,"Lenguaje Musical"),""))</f>
        <v/>
      </c>
      <c r="U198" t="str">
        <f>IF(S198="","",IFERROR(AVERAGEIFS(nNOTA,nNIA,S198,nEVAL,CONFIG_METADATA!$B$4,nASIG,"Coro"),""))</f>
        <v/>
      </c>
      <c r="V198" t="str">
        <f>IF(S198="","",IFERROR(AVERAGEIFS(nNOTA,nNIA,S198,nEVAL,CONFIG_METADATA!$B$4,nASIG,"Conjunto"),""))</f>
        <v/>
      </c>
      <c r="W198" t="str" cm="1">
        <f t="array" ref="W198">IF(S198="","",IFERROR(AVERAGE(IF((nNIA=S198)*(nEVAL=CONFIG_METADATA!$B$4)*(nASIG&lt;&gt;"Lenguaje Musical")*(nASIG&lt;&gt;"Coro")*(nASIG&lt;&gt;"Conjunto"),nNOTA)),""))</f>
        <v/>
      </c>
    </row>
    <row r="199" spans="2:23" x14ac:dyDescent="0.2">
      <c r="B199" t="str">
        <f>IF(A199="","",IFERROR(AVERAGEIFS(nNOTA,nNIA,A199,nEVAL,CONFIG_METADATA!$B$4,nASIG,"Lenguaje Musical"),""))</f>
        <v/>
      </c>
      <c r="C199" t="str">
        <f>IF(A199="","",IFERROR(AVERAGEIFS(nNOTA,nNIA,A199,nEVAL,CONFIG_METADATA!$B$4,nASIG,"Coro"),""))</f>
        <v/>
      </c>
      <c r="D199" t="str">
        <f>IF(A199="","",IFERROR(AVERAGEIFS(nNOTA,nNIA,A199,nEVAL,CONFIG_METADATA!$B$4,nASIG,"Conjunto"),""))</f>
        <v/>
      </c>
      <c r="E199" t="str" cm="1">
        <f t="array" ref="E199">IF(A199="","",IFERROR(AVERAGE(IF((nNIA=A199)*(nEVAL=CONFIG_METADATA!$B$4)*(nASIG&lt;&gt;"Lenguaje Musical")*(nASIG&lt;&gt;"Coro")*(nASIG&lt;&gt;"Conjunto"),nNOTA)),""))</f>
        <v/>
      </c>
      <c r="H199" t="str">
        <f>IF(G199="","",IFERROR(AVERAGEIFS(nNOTA,nNIA,G199,nEVAL,CONFIG_METADATA!$B$4,nASIG,"Lenguaje Musical"),""))</f>
        <v/>
      </c>
      <c r="I199" t="str">
        <f>IF(G199="","",IFERROR(AVERAGEIFS(nNOTA,nNIA,G199,nEVAL,CONFIG_METADATA!$B$4,nASIG,"Coro"),""))</f>
        <v/>
      </c>
      <c r="J199" t="str">
        <f>IF(G199="","",IFERROR(AVERAGEIFS(nNOTA,nNIA,G199,nEVAL,CONFIG_METADATA!$B$4,nASIG,"Conjunto"),""))</f>
        <v/>
      </c>
      <c r="K199" t="str" cm="1">
        <f t="array" ref="K199">IF(G199="","",IFERROR(AVERAGE(IF((nNIA=G199)*(nEVAL=CONFIG_METADATA!$B$4)*(nASIG&lt;&gt;"Lenguaje Musical")*(nASIG&lt;&gt;"Coro")*(nASIG&lt;&gt;"Conjunto"),nNOTA)),""))</f>
        <v/>
      </c>
      <c r="N199" t="str">
        <f>IF(M199="","",IFERROR(AVERAGEIFS(nNOTA,nNIA,M199,nEVAL,CONFIG_METADATA!$B$4,nASIG,"Lenguaje Musical"),""))</f>
        <v/>
      </c>
      <c r="O199" t="str">
        <f>IF(M199="","",IFERROR(AVERAGEIFS(nNOTA,nNIA,M199,nEVAL,CONFIG_METADATA!$B$4,nASIG,"Coro"),""))</f>
        <v/>
      </c>
      <c r="P199" t="str">
        <f>IF(M199="","",IFERROR(AVERAGEIFS(nNOTA,nNIA,M199,nEVAL,CONFIG_METADATA!$B$4,nASIG,"Conjunto"),""))</f>
        <v/>
      </c>
      <c r="Q199" t="str" cm="1">
        <f t="array" ref="Q199">IF(M199="","",IFERROR(AVERAGE(IF((nNIA=M199)*(nEVAL=CONFIG_METADATA!$B$4)*(nASIG&lt;&gt;"Lenguaje Musical")*(nASIG&lt;&gt;"Coro")*(nASIG&lt;&gt;"Conjunto"),nNOTA)),""))</f>
        <v/>
      </c>
      <c r="T199" t="str">
        <f>IF(S199="","",IFERROR(AVERAGEIFS(nNOTA,nNIA,S199,nEVAL,CONFIG_METADATA!$B$4,nASIG,"Lenguaje Musical"),""))</f>
        <v/>
      </c>
      <c r="U199" t="str">
        <f>IF(S199="","",IFERROR(AVERAGEIFS(nNOTA,nNIA,S199,nEVAL,CONFIG_METADATA!$B$4,nASIG,"Coro"),""))</f>
        <v/>
      </c>
      <c r="V199" t="str">
        <f>IF(S199="","",IFERROR(AVERAGEIFS(nNOTA,nNIA,S199,nEVAL,CONFIG_METADATA!$B$4,nASIG,"Conjunto"),""))</f>
        <v/>
      </c>
      <c r="W199" t="str" cm="1">
        <f t="array" ref="W199">IF(S199="","",IFERROR(AVERAGE(IF((nNIA=S199)*(nEVAL=CONFIG_METADATA!$B$4)*(nASIG&lt;&gt;"Lenguaje Musical")*(nASIG&lt;&gt;"Coro")*(nASIG&lt;&gt;"Conjunto"),nNOTA)),""))</f>
        <v/>
      </c>
    </row>
    <row r="200" spans="2:23" x14ac:dyDescent="0.2">
      <c r="B200" t="str">
        <f>IF(A200="","",IFERROR(AVERAGEIFS(nNOTA,nNIA,A200,nEVAL,CONFIG_METADATA!$B$4,nASIG,"Lenguaje Musical"),""))</f>
        <v/>
      </c>
      <c r="C200" t="str">
        <f>IF(A200="","",IFERROR(AVERAGEIFS(nNOTA,nNIA,A200,nEVAL,CONFIG_METADATA!$B$4,nASIG,"Coro"),""))</f>
        <v/>
      </c>
      <c r="D200" t="str">
        <f>IF(A200="","",IFERROR(AVERAGEIFS(nNOTA,nNIA,A200,nEVAL,CONFIG_METADATA!$B$4,nASIG,"Conjunto"),""))</f>
        <v/>
      </c>
      <c r="E200" t="str" cm="1">
        <f t="array" ref="E200">IF(A200="","",IFERROR(AVERAGE(IF((nNIA=A200)*(nEVAL=CONFIG_METADATA!$B$4)*(nASIG&lt;&gt;"Lenguaje Musical")*(nASIG&lt;&gt;"Coro")*(nASIG&lt;&gt;"Conjunto"),nNOTA)),""))</f>
        <v/>
      </c>
      <c r="H200" t="str">
        <f>IF(G200="","",IFERROR(AVERAGEIFS(nNOTA,nNIA,G200,nEVAL,CONFIG_METADATA!$B$4,nASIG,"Lenguaje Musical"),""))</f>
        <v/>
      </c>
      <c r="I200" t="str">
        <f>IF(G200="","",IFERROR(AVERAGEIFS(nNOTA,nNIA,G200,nEVAL,CONFIG_METADATA!$B$4,nASIG,"Coro"),""))</f>
        <v/>
      </c>
      <c r="J200" t="str">
        <f>IF(G200="","",IFERROR(AVERAGEIFS(nNOTA,nNIA,G200,nEVAL,CONFIG_METADATA!$B$4,nASIG,"Conjunto"),""))</f>
        <v/>
      </c>
      <c r="K200" t="str" cm="1">
        <f t="array" ref="K200">IF(G200="","",IFERROR(AVERAGE(IF((nNIA=G200)*(nEVAL=CONFIG_METADATA!$B$4)*(nASIG&lt;&gt;"Lenguaje Musical")*(nASIG&lt;&gt;"Coro")*(nASIG&lt;&gt;"Conjunto"),nNOTA)),""))</f>
        <v/>
      </c>
      <c r="N200" t="str">
        <f>IF(M200="","",IFERROR(AVERAGEIFS(nNOTA,nNIA,M200,nEVAL,CONFIG_METADATA!$B$4,nASIG,"Lenguaje Musical"),""))</f>
        <v/>
      </c>
      <c r="O200" t="str">
        <f>IF(M200="","",IFERROR(AVERAGEIFS(nNOTA,nNIA,M200,nEVAL,CONFIG_METADATA!$B$4,nASIG,"Coro"),""))</f>
        <v/>
      </c>
      <c r="P200" t="str">
        <f>IF(M200="","",IFERROR(AVERAGEIFS(nNOTA,nNIA,M200,nEVAL,CONFIG_METADATA!$B$4,nASIG,"Conjunto"),""))</f>
        <v/>
      </c>
      <c r="Q200" t="str" cm="1">
        <f t="array" ref="Q200">IF(M200="","",IFERROR(AVERAGE(IF((nNIA=M200)*(nEVAL=CONFIG_METADATA!$B$4)*(nASIG&lt;&gt;"Lenguaje Musical")*(nASIG&lt;&gt;"Coro")*(nASIG&lt;&gt;"Conjunto"),nNOTA)),""))</f>
        <v/>
      </c>
      <c r="T200" t="str">
        <f>IF(S200="","",IFERROR(AVERAGEIFS(nNOTA,nNIA,S200,nEVAL,CONFIG_METADATA!$B$4,nASIG,"Lenguaje Musical"),""))</f>
        <v/>
      </c>
      <c r="U200" t="str">
        <f>IF(S200="","",IFERROR(AVERAGEIFS(nNOTA,nNIA,S200,nEVAL,CONFIG_METADATA!$B$4,nASIG,"Coro"),""))</f>
        <v/>
      </c>
      <c r="V200" t="str">
        <f>IF(S200="","",IFERROR(AVERAGEIFS(nNOTA,nNIA,S200,nEVAL,CONFIG_METADATA!$B$4,nASIG,"Conjunto"),""))</f>
        <v/>
      </c>
      <c r="W200" t="str" cm="1">
        <f t="array" ref="W200">IF(S200="","",IFERROR(AVERAGE(IF((nNIA=S200)*(nEVAL=CONFIG_METADATA!$B$4)*(nASIG&lt;&gt;"Lenguaje Musical")*(nASIG&lt;&gt;"Coro")*(nASIG&lt;&gt;"Conjunto"),nNOTA)),""))</f>
        <v/>
      </c>
    </row>
    <row r="201" spans="2:23" x14ac:dyDescent="0.2">
      <c r="B201" t="str">
        <f>IF(A201="","",IFERROR(AVERAGEIFS(nNOTA,nNIA,A201,nEVAL,CONFIG_METADATA!$B$4,nASIG,"Lenguaje Musical"),""))</f>
        <v/>
      </c>
      <c r="C201" t="str">
        <f>IF(A201="","",IFERROR(AVERAGEIFS(nNOTA,nNIA,A201,nEVAL,CONFIG_METADATA!$B$4,nASIG,"Coro"),""))</f>
        <v/>
      </c>
      <c r="D201" t="str">
        <f>IF(A201="","",IFERROR(AVERAGEIFS(nNOTA,nNIA,A201,nEVAL,CONFIG_METADATA!$B$4,nASIG,"Conjunto"),""))</f>
        <v/>
      </c>
      <c r="E201" t="str" cm="1">
        <f t="array" ref="E201">IF(A201="","",IFERROR(AVERAGE(IF((nNIA=A201)*(nEVAL=CONFIG_METADATA!$B$4)*(nASIG&lt;&gt;"Lenguaje Musical")*(nASIG&lt;&gt;"Coro")*(nASIG&lt;&gt;"Conjunto"),nNOTA)),""))</f>
        <v/>
      </c>
      <c r="H201" t="str">
        <f>IF(G201="","",IFERROR(AVERAGEIFS(nNOTA,nNIA,G201,nEVAL,CONFIG_METADATA!$B$4,nASIG,"Lenguaje Musical"),""))</f>
        <v/>
      </c>
      <c r="I201" t="str">
        <f>IF(G201="","",IFERROR(AVERAGEIFS(nNOTA,nNIA,G201,nEVAL,CONFIG_METADATA!$B$4,nASIG,"Coro"),""))</f>
        <v/>
      </c>
      <c r="J201" t="str">
        <f>IF(G201="","",IFERROR(AVERAGEIFS(nNOTA,nNIA,G201,nEVAL,CONFIG_METADATA!$B$4,nASIG,"Conjunto"),""))</f>
        <v/>
      </c>
      <c r="K201" t="str" cm="1">
        <f t="array" ref="K201">IF(G201="","",IFERROR(AVERAGE(IF((nNIA=G201)*(nEVAL=CONFIG_METADATA!$B$4)*(nASIG&lt;&gt;"Lenguaje Musical")*(nASIG&lt;&gt;"Coro")*(nASIG&lt;&gt;"Conjunto"),nNOTA)),""))</f>
        <v/>
      </c>
      <c r="N201" t="str">
        <f>IF(M201="","",IFERROR(AVERAGEIFS(nNOTA,nNIA,M201,nEVAL,CONFIG_METADATA!$B$4,nASIG,"Lenguaje Musical"),""))</f>
        <v/>
      </c>
      <c r="O201" t="str">
        <f>IF(M201="","",IFERROR(AVERAGEIFS(nNOTA,nNIA,M201,nEVAL,CONFIG_METADATA!$B$4,nASIG,"Coro"),""))</f>
        <v/>
      </c>
      <c r="P201" t="str">
        <f>IF(M201="","",IFERROR(AVERAGEIFS(nNOTA,nNIA,M201,nEVAL,CONFIG_METADATA!$B$4,nASIG,"Conjunto"),""))</f>
        <v/>
      </c>
      <c r="Q201" t="str" cm="1">
        <f t="array" ref="Q201">IF(M201="","",IFERROR(AVERAGE(IF((nNIA=M201)*(nEVAL=CONFIG_METADATA!$B$4)*(nASIG&lt;&gt;"Lenguaje Musical")*(nASIG&lt;&gt;"Coro")*(nASIG&lt;&gt;"Conjunto"),nNOTA)),""))</f>
        <v/>
      </c>
      <c r="T201" t="str">
        <f>IF(S201="","",IFERROR(AVERAGEIFS(nNOTA,nNIA,S201,nEVAL,CONFIG_METADATA!$B$4,nASIG,"Lenguaje Musical"),""))</f>
        <v/>
      </c>
      <c r="U201" t="str">
        <f>IF(S201="","",IFERROR(AVERAGEIFS(nNOTA,nNIA,S201,nEVAL,CONFIG_METADATA!$B$4,nASIG,"Coro"),""))</f>
        <v/>
      </c>
      <c r="V201" t="str">
        <f>IF(S201="","",IFERROR(AVERAGEIFS(nNOTA,nNIA,S201,nEVAL,CONFIG_METADATA!$B$4,nASIG,"Conjunto"),""))</f>
        <v/>
      </c>
      <c r="W201" t="str" cm="1">
        <f t="array" ref="W201">IF(S201="","",IFERROR(AVERAGE(IF((nNIA=S201)*(nEVAL=CONFIG_METADATA!$B$4)*(nASIG&lt;&gt;"Lenguaje Musical")*(nASIG&lt;&gt;"Coro")*(nASIG&lt;&gt;"Conjunto"),nNOTA)),""))</f>
        <v/>
      </c>
    </row>
    <row r="202" spans="2:23" x14ac:dyDescent="0.2">
      <c r="B202" t="str">
        <f>IF(A202="","",IFERROR(AVERAGEIFS(nNOTA,nNIA,A202,nEVAL,CONFIG_METADATA!$B$4,nASIG,"Lenguaje Musical"),""))</f>
        <v/>
      </c>
      <c r="C202" t="str">
        <f>IF(A202="","",IFERROR(AVERAGEIFS(nNOTA,nNIA,A202,nEVAL,CONFIG_METADATA!$B$4,nASIG,"Coro"),""))</f>
        <v/>
      </c>
      <c r="D202" t="str">
        <f>IF(A202="","",IFERROR(AVERAGEIFS(nNOTA,nNIA,A202,nEVAL,CONFIG_METADATA!$B$4,nASIG,"Conjunto"),""))</f>
        <v/>
      </c>
      <c r="E202" t="str" cm="1">
        <f t="array" ref="E202">IF(A202="","",IFERROR(AVERAGE(IF((nNIA=A202)*(nEVAL=CONFIG_METADATA!$B$4)*(nASIG&lt;&gt;"Lenguaje Musical")*(nASIG&lt;&gt;"Coro")*(nASIG&lt;&gt;"Conjunto"),nNOTA)),""))</f>
        <v/>
      </c>
      <c r="H202" t="str">
        <f>IF(G202="","",IFERROR(AVERAGEIFS(nNOTA,nNIA,G202,nEVAL,CONFIG_METADATA!$B$4,nASIG,"Lenguaje Musical"),""))</f>
        <v/>
      </c>
      <c r="I202" t="str">
        <f>IF(G202="","",IFERROR(AVERAGEIFS(nNOTA,nNIA,G202,nEVAL,CONFIG_METADATA!$B$4,nASIG,"Coro"),""))</f>
        <v/>
      </c>
      <c r="J202" t="str">
        <f>IF(G202="","",IFERROR(AVERAGEIFS(nNOTA,nNIA,G202,nEVAL,CONFIG_METADATA!$B$4,nASIG,"Conjunto"),""))</f>
        <v/>
      </c>
      <c r="K202" t="str" cm="1">
        <f t="array" ref="K202">IF(G202="","",IFERROR(AVERAGE(IF((nNIA=G202)*(nEVAL=CONFIG_METADATA!$B$4)*(nASIG&lt;&gt;"Lenguaje Musical")*(nASIG&lt;&gt;"Coro")*(nASIG&lt;&gt;"Conjunto"),nNOTA)),""))</f>
        <v/>
      </c>
      <c r="N202" t="str">
        <f>IF(M202="","",IFERROR(AVERAGEIFS(nNOTA,nNIA,M202,nEVAL,CONFIG_METADATA!$B$4,nASIG,"Lenguaje Musical"),""))</f>
        <v/>
      </c>
      <c r="O202" t="str">
        <f>IF(M202="","",IFERROR(AVERAGEIFS(nNOTA,nNIA,M202,nEVAL,CONFIG_METADATA!$B$4,nASIG,"Coro"),""))</f>
        <v/>
      </c>
      <c r="P202" t="str">
        <f>IF(M202="","",IFERROR(AVERAGEIFS(nNOTA,nNIA,M202,nEVAL,CONFIG_METADATA!$B$4,nASIG,"Conjunto"),""))</f>
        <v/>
      </c>
      <c r="Q202" t="str" cm="1">
        <f t="array" ref="Q202">IF(M202="","",IFERROR(AVERAGE(IF((nNIA=M202)*(nEVAL=CONFIG_METADATA!$B$4)*(nASIG&lt;&gt;"Lenguaje Musical")*(nASIG&lt;&gt;"Coro")*(nASIG&lt;&gt;"Conjunto"),nNOTA)),""))</f>
        <v/>
      </c>
      <c r="T202" t="str">
        <f>IF(S202="","",IFERROR(AVERAGEIFS(nNOTA,nNIA,S202,nEVAL,CONFIG_METADATA!$B$4,nASIG,"Lenguaje Musical"),""))</f>
        <v/>
      </c>
      <c r="U202" t="str">
        <f>IF(S202="","",IFERROR(AVERAGEIFS(nNOTA,nNIA,S202,nEVAL,CONFIG_METADATA!$B$4,nASIG,"Coro"),""))</f>
        <v/>
      </c>
      <c r="V202" t="str">
        <f>IF(S202="","",IFERROR(AVERAGEIFS(nNOTA,nNIA,S202,nEVAL,CONFIG_METADATA!$B$4,nASIG,"Conjunto"),""))</f>
        <v/>
      </c>
      <c r="W202" t="str" cm="1">
        <f t="array" ref="W202">IF(S202="","",IFERROR(AVERAGE(IF((nNIA=S202)*(nEVAL=CONFIG_METADATA!$B$4)*(nASIG&lt;&gt;"Lenguaje Musical")*(nASIG&lt;&gt;"Coro")*(nASIG&lt;&gt;"Conjunto"),nNOTA)),""))</f>
        <v/>
      </c>
    </row>
    <row r="203" spans="2:23" x14ac:dyDescent="0.2">
      <c r="B203" t="str">
        <f>IF(A203="","",IFERROR(AVERAGEIFS(nNOTA,nNIA,A203,nEVAL,CONFIG_METADATA!$B$4,nASIG,"Lenguaje Musical"),""))</f>
        <v/>
      </c>
      <c r="C203" t="str">
        <f>IF(A203="","",IFERROR(AVERAGEIFS(nNOTA,nNIA,A203,nEVAL,CONFIG_METADATA!$B$4,nASIG,"Coro"),""))</f>
        <v/>
      </c>
      <c r="D203" t="str">
        <f>IF(A203="","",IFERROR(AVERAGEIFS(nNOTA,nNIA,A203,nEVAL,CONFIG_METADATA!$B$4,nASIG,"Conjunto"),""))</f>
        <v/>
      </c>
      <c r="E203" t="str" cm="1">
        <f t="array" ref="E203">IF(A203="","",IFERROR(AVERAGE(IF((nNIA=A203)*(nEVAL=CONFIG_METADATA!$B$4)*(nASIG&lt;&gt;"Lenguaje Musical")*(nASIG&lt;&gt;"Coro")*(nASIG&lt;&gt;"Conjunto"),nNOTA)),""))</f>
        <v/>
      </c>
      <c r="H203" t="str">
        <f>IF(G203="","",IFERROR(AVERAGEIFS(nNOTA,nNIA,G203,nEVAL,CONFIG_METADATA!$B$4,nASIG,"Lenguaje Musical"),""))</f>
        <v/>
      </c>
      <c r="I203" t="str">
        <f>IF(G203="","",IFERROR(AVERAGEIFS(nNOTA,nNIA,G203,nEVAL,CONFIG_METADATA!$B$4,nASIG,"Coro"),""))</f>
        <v/>
      </c>
      <c r="J203" t="str">
        <f>IF(G203="","",IFERROR(AVERAGEIFS(nNOTA,nNIA,G203,nEVAL,CONFIG_METADATA!$B$4,nASIG,"Conjunto"),""))</f>
        <v/>
      </c>
      <c r="K203" t="str" cm="1">
        <f t="array" ref="K203">IF(G203="","",IFERROR(AVERAGE(IF((nNIA=G203)*(nEVAL=CONFIG_METADATA!$B$4)*(nASIG&lt;&gt;"Lenguaje Musical")*(nASIG&lt;&gt;"Coro")*(nASIG&lt;&gt;"Conjunto"),nNOTA)),""))</f>
        <v/>
      </c>
      <c r="N203" t="str">
        <f>IF(M203="","",IFERROR(AVERAGEIFS(nNOTA,nNIA,M203,nEVAL,CONFIG_METADATA!$B$4,nASIG,"Lenguaje Musical"),""))</f>
        <v/>
      </c>
      <c r="O203" t="str">
        <f>IF(M203="","",IFERROR(AVERAGEIFS(nNOTA,nNIA,M203,nEVAL,CONFIG_METADATA!$B$4,nASIG,"Coro"),""))</f>
        <v/>
      </c>
      <c r="P203" t="str">
        <f>IF(M203="","",IFERROR(AVERAGEIFS(nNOTA,nNIA,M203,nEVAL,CONFIG_METADATA!$B$4,nASIG,"Conjunto"),""))</f>
        <v/>
      </c>
      <c r="Q203" t="str" cm="1">
        <f t="array" ref="Q203">IF(M203="","",IFERROR(AVERAGE(IF((nNIA=M203)*(nEVAL=CONFIG_METADATA!$B$4)*(nASIG&lt;&gt;"Lenguaje Musical")*(nASIG&lt;&gt;"Coro")*(nASIG&lt;&gt;"Conjunto"),nNOTA)),""))</f>
        <v/>
      </c>
      <c r="T203" t="str">
        <f>IF(S203="","",IFERROR(AVERAGEIFS(nNOTA,nNIA,S203,nEVAL,CONFIG_METADATA!$B$4,nASIG,"Lenguaje Musical"),""))</f>
        <v/>
      </c>
      <c r="U203" t="str">
        <f>IF(S203="","",IFERROR(AVERAGEIFS(nNOTA,nNIA,S203,nEVAL,CONFIG_METADATA!$B$4,nASIG,"Coro"),""))</f>
        <v/>
      </c>
      <c r="V203" t="str">
        <f>IF(S203="","",IFERROR(AVERAGEIFS(nNOTA,nNIA,S203,nEVAL,CONFIG_METADATA!$B$4,nASIG,"Conjunto"),""))</f>
        <v/>
      </c>
      <c r="W203" t="str" cm="1">
        <f t="array" ref="W203">IF(S203="","",IFERROR(AVERAGE(IF((nNIA=S203)*(nEVAL=CONFIG_METADATA!$B$4)*(nASIG&lt;&gt;"Lenguaje Musical")*(nASIG&lt;&gt;"Coro")*(nASIG&lt;&gt;"Conjunto"),nNOTA)),""))</f>
        <v/>
      </c>
    </row>
    <row r="204" spans="2:23" x14ac:dyDescent="0.2">
      <c r="B204" t="str">
        <f>IF(A204="","",IFERROR(AVERAGEIFS(nNOTA,nNIA,A204,nEVAL,CONFIG_METADATA!$B$4,nASIG,"Lenguaje Musical"),""))</f>
        <v/>
      </c>
      <c r="C204" t="str">
        <f>IF(A204="","",IFERROR(AVERAGEIFS(nNOTA,nNIA,A204,nEVAL,CONFIG_METADATA!$B$4,nASIG,"Coro"),""))</f>
        <v/>
      </c>
      <c r="D204" t="str">
        <f>IF(A204="","",IFERROR(AVERAGEIFS(nNOTA,nNIA,A204,nEVAL,CONFIG_METADATA!$B$4,nASIG,"Conjunto"),""))</f>
        <v/>
      </c>
      <c r="E204" t="str" cm="1">
        <f t="array" ref="E204">IF(A204="","",IFERROR(AVERAGE(IF((nNIA=A204)*(nEVAL=CONFIG_METADATA!$B$4)*(nASIG&lt;&gt;"Lenguaje Musical")*(nASIG&lt;&gt;"Coro")*(nASIG&lt;&gt;"Conjunto"),nNOTA)),""))</f>
        <v/>
      </c>
      <c r="H204" t="str">
        <f>IF(G204="","",IFERROR(AVERAGEIFS(nNOTA,nNIA,G204,nEVAL,CONFIG_METADATA!$B$4,nASIG,"Lenguaje Musical"),""))</f>
        <v/>
      </c>
      <c r="I204" t="str">
        <f>IF(G204="","",IFERROR(AVERAGEIFS(nNOTA,nNIA,G204,nEVAL,CONFIG_METADATA!$B$4,nASIG,"Coro"),""))</f>
        <v/>
      </c>
      <c r="J204" t="str">
        <f>IF(G204="","",IFERROR(AVERAGEIFS(nNOTA,nNIA,G204,nEVAL,CONFIG_METADATA!$B$4,nASIG,"Conjunto"),""))</f>
        <v/>
      </c>
      <c r="K204" t="str" cm="1">
        <f t="array" ref="K204">IF(G204="","",IFERROR(AVERAGE(IF((nNIA=G204)*(nEVAL=CONFIG_METADATA!$B$4)*(nASIG&lt;&gt;"Lenguaje Musical")*(nASIG&lt;&gt;"Coro")*(nASIG&lt;&gt;"Conjunto"),nNOTA)),""))</f>
        <v/>
      </c>
      <c r="N204" t="str">
        <f>IF(M204="","",IFERROR(AVERAGEIFS(nNOTA,nNIA,M204,nEVAL,CONFIG_METADATA!$B$4,nASIG,"Lenguaje Musical"),""))</f>
        <v/>
      </c>
      <c r="O204" t="str">
        <f>IF(M204="","",IFERROR(AVERAGEIFS(nNOTA,nNIA,M204,nEVAL,CONFIG_METADATA!$B$4,nASIG,"Coro"),""))</f>
        <v/>
      </c>
      <c r="P204" t="str">
        <f>IF(M204="","",IFERROR(AVERAGEIFS(nNOTA,nNIA,M204,nEVAL,CONFIG_METADATA!$B$4,nASIG,"Conjunto"),""))</f>
        <v/>
      </c>
      <c r="Q204" t="str" cm="1">
        <f t="array" ref="Q204">IF(M204="","",IFERROR(AVERAGE(IF((nNIA=M204)*(nEVAL=CONFIG_METADATA!$B$4)*(nASIG&lt;&gt;"Lenguaje Musical")*(nASIG&lt;&gt;"Coro")*(nASIG&lt;&gt;"Conjunto"),nNOTA)),""))</f>
        <v/>
      </c>
      <c r="T204" t="str">
        <f>IF(S204="","",IFERROR(AVERAGEIFS(nNOTA,nNIA,S204,nEVAL,CONFIG_METADATA!$B$4,nASIG,"Lenguaje Musical"),""))</f>
        <v/>
      </c>
      <c r="U204" t="str">
        <f>IF(S204="","",IFERROR(AVERAGEIFS(nNOTA,nNIA,S204,nEVAL,CONFIG_METADATA!$B$4,nASIG,"Coro"),""))</f>
        <v/>
      </c>
      <c r="V204" t="str">
        <f>IF(S204="","",IFERROR(AVERAGEIFS(nNOTA,nNIA,S204,nEVAL,CONFIG_METADATA!$B$4,nASIG,"Conjunto"),""))</f>
        <v/>
      </c>
      <c r="W204" t="str" cm="1">
        <f t="array" ref="W204">IF(S204="","",IFERROR(AVERAGE(IF((nNIA=S204)*(nEVAL=CONFIG_METADATA!$B$4)*(nASIG&lt;&gt;"Lenguaje Musical")*(nASIG&lt;&gt;"Coro")*(nASIG&lt;&gt;"Conjunto"),nNOTA)),""))</f>
        <v/>
      </c>
    </row>
    <row r="205" spans="2:23" x14ac:dyDescent="0.2">
      <c r="B205" t="str">
        <f>IF(A205="","",IFERROR(AVERAGEIFS(nNOTA,nNIA,A205,nEVAL,CONFIG_METADATA!$B$4,nASIG,"Lenguaje Musical"),""))</f>
        <v/>
      </c>
      <c r="C205" t="str">
        <f>IF(A205="","",IFERROR(AVERAGEIFS(nNOTA,nNIA,A205,nEVAL,CONFIG_METADATA!$B$4,nASIG,"Coro"),""))</f>
        <v/>
      </c>
      <c r="D205" t="str">
        <f>IF(A205="","",IFERROR(AVERAGEIFS(nNOTA,nNIA,A205,nEVAL,CONFIG_METADATA!$B$4,nASIG,"Conjunto"),""))</f>
        <v/>
      </c>
      <c r="E205" t="str" cm="1">
        <f t="array" ref="E205">IF(A205="","",IFERROR(AVERAGE(IF((nNIA=A205)*(nEVAL=CONFIG_METADATA!$B$4)*(nASIG&lt;&gt;"Lenguaje Musical")*(nASIG&lt;&gt;"Coro")*(nASIG&lt;&gt;"Conjunto"),nNOTA)),""))</f>
        <v/>
      </c>
      <c r="H205" t="str">
        <f>IF(G205="","",IFERROR(AVERAGEIFS(nNOTA,nNIA,G205,nEVAL,CONFIG_METADATA!$B$4,nASIG,"Lenguaje Musical"),""))</f>
        <v/>
      </c>
      <c r="I205" t="str">
        <f>IF(G205="","",IFERROR(AVERAGEIFS(nNOTA,nNIA,G205,nEVAL,CONFIG_METADATA!$B$4,nASIG,"Coro"),""))</f>
        <v/>
      </c>
      <c r="J205" t="str">
        <f>IF(G205="","",IFERROR(AVERAGEIFS(nNOTA,nNIA,G205,nEVAL,CONFIG_METADATA!$B$4,nASIG,"Conjunto"),""))</f>
        <v/>
      </c>
      <c r="K205" t="str" cm="1">
        <f t="array" ref="K205">IF(G205="","",IFERROR(AVERAGE(IF((nNIA=G205)*(nEVAL=CONFIG_METADATA!$B$4)*(nASIG&lt;&gt;"Lenguaje Musical")*(nASIG&lt;&gt;"Coro")*(nASIG&lt;&gt;"Conjunto"),nNOTA)),""))</f>
        <v/>
      </c>
      <c r="N205" t="str">
        <f>IF(M205="","",IFERROR(AVERAGEIFS(nNOTA,nNIA,M205,nEVAL,CONFIG_METADATA!$B$4,nASIG,"Lenguaje Musical"),""))</f>
        <v/>
      </c>
      <c r="O205" t="str">
        <f>IF(M205="","",IFERROR(AVERAGEIFS(nNOTA,nNIA,M205,nEVAL,CONFIG_METADATA!$B$4,nASIG,"Coro"),""))</f>
        <v/>
      </c>
      <c r="P205" t="str">
        <f>IF(M205="","",IFERROR(AVERAGEIFS(nNOTA,nNIA,M205,nEVAL,CONFIG_METADATA!$B$4,nASIG,"Conjunto"),""))</f>
        <v/>
      </c>
      <c r="Q205" t="str" cm="1">
        <f t="array" ref="Q205">IF(M205="","",IFERROR(AVERAGE(IF((nNIA=M205)*(nEVAL=CONFIG_METADATA!$B$4)*(nASIG&lt;&gt;"Lenguaje Musical")*(nASIG&lt;&gt;"Coro")*(nASIG&lt;&gt;"Conjunto"),nNOTA)),""))</f>
        <v/>
      </c>
      <c r="T205" t="str">
        <f>IF(S205="","",IFERROR(AVERAGEIFS(nNOTA,nNIA,S205,nEVAL,CONFIG_METADATA!$B$4,nASIG,"Lenguaje Musical"),""))</f>
        <v/>
      </c>
      <c r="U205" t="str">
        <f>IF(S205="","",IFERROR(AVERAGEIFS(nNOTA,nNIA,S205,nEVAL,CONFIG_METADATA!$B$4,nASIG,"Coro"),""))</f>
        <v/>
      </c>
      <c r="V205" t="str">
        <f>IF(S205="","",IFERROR(AVERAGEIFS(nNOTA,nNIA,S205,nEVAL,CONFIG_METADATA!$B$4,nASIG,"Conjunto"),""))</f>
        <v/>
      </c>
      <c r="W205" t="str" cm="1">
        <f t="array" ref="W205">IF(S205="","",IFERROR(AVERAGE(IF((nNIA=S205)*(nEVAL=CONFIG_METADATA!$B$4)*(nASIG&lt;&gt;"Lenguaje Musical")*(nASIG&lt;&gt;"Coro")*(nASIG&lt;&gt;"Conjunto"),nNOTA)),""))</f>
        <v/>
      </c>
    </row>
    <row r="206" spans="2:23" x14ac:dyDescent="0.2">
      <c r="B206" t="str">
        <f>IF(A206="","",IFERROR(AVERAGEIFS(nNOTA,nNIA,A206,nEVAL,CONFIG_METADATA!$B$4,nASIG,"Lenguaje Musical"),""))</f>
        <v/>
      </c>
      <c r="C206" t="str">
        <f>IF(A206="","",IFERROR(AVERAGEIFS(nNOTA,nNIA,A206,nEVAL,CONFIG_METADATA!$B$4,nASIG,"Coro"),""))</f>
        <v/>
      </c>
      <c r="D206" t="str">
        <f>IF(A206="","",IFERROR(AVERAGEIFS(nNOTA,nNIA,A206,nEVAL,CONFIG_METADATA!$B$4,nASIG,"Conjunto"),""))</f>
        <v/>
      </c>
      <c r="E206" t="str" cm="1">
        <f t="array" ref="E206">IF(A206="","",IFERROR(AVERAGE(IF((nNIA=A206)*(nEVAL=CONFIG_METADATA!$B$4)*(nASIG&lt;&gt;"Lenguaje Musical")*(nASIG&lt;&gt;"Coro")*(nASIG&lt;&gt;"Conjunto"),nNOTA)),""))</f>
        <v/>
      </c>
      <c r="H206" t="str">
        <f>IF(G206="","",IFERROR(AVERAGEIFS(nNOTA,nNIA,G206,nEVAL,CONFIG_METADATA!$B$4,nASIG,"Lenguaje Musical"),""))</f>
        <v/>
      </c>
      <c r="I206" t="str">
        <f>IF(G206="","",IFERROR(AVERAGEIFS(nNOTA,nNIA,G206,nEVAL,CONFIG_METADATA!$B$4,nASIG,"Coro"),""))</f>
        <v/>
      </c>
      <c r="J206" t="str">
        <f>IF(G206="","",IFERROR(AVERAGEIFS(nNOTA,nNIA,G206,nEVAL,CONFIG_METADATA!$B$4,nASIG,"Conjunto"),""))</f>
        <v/>
      </c>
      <c r="K206" t="str" cm="1">
        <f t="array" ref="K206">IF(G206="","",IFERROR(AVERAGE(IF((nNIA=G206)*(nEVAL=CONFIG_METADATA!$B$4)*(nASIG&lt;&gt;"Lenguaje Musical")*(nASIG&lt;&gt;"Coro")*(nASIG&lt;&gt;"Conjunto"),nNOTA)),""))</f>
        <v/>
      </c>
      <c r="N206" t="str">
        <f>IF(M206="","",IFERROR(AVERAGEIFS(nNOTA,nNIA,M206,nEVAL,CONFIG_METADATA!$B$4,nASIG,"Lenguaje Musical"),""))</f>
        <v/>
      </c>
      <c r="O206" t="str">
        <f>IF(M206="","",IFERROR(AVERAGEIFS(nNOTA,nNIA,M206,nEVAL,CONFIG_METADATA!$B$4,nASIG,"Coro"),""))</f>
        <v/>
      </c>
      <c r="P206" t="str">
        <f>IF(M206="","",IFERROR(AVERAGEIFS(nNOTA,nNIA,M206,nEVAL,CONFIG_METADATA!$B$4,nASIG,"Conjunto"),""))</f>
        <v/>
      </c>
      <c r="Q206" t="str" cm="1">
        <f t="array" ref="Q206">IF(M206="","",IFERROR(AVERAGE(IF((nNIA=M206)*(nEVAL=CONFIG_METADATA!$B$4)*(nASIG&lt;&gt;"Lenguaje Musical")*(nASIG&lt;&gt;"Coro")*(nASIG&lt;&gt;"Conjunto"),nNOTA)),""))</f>
        <v/>
      </c>
      <c r="T206" t="str">
        <f>IF(S206="","",IFERROR(AVERAGEIFS(nNOTA,nNIA,S206,nEVAL,CONFIG_METADATA!$B$4,nASIG,"Lenguaje Musical"),""))</f>
        <v/>
      </c>
      <c r="U206" t="str">
        <f>IF(S206="","",IFERROR(AVERAGEIFS(nNOTA,nNIA,S206,nEVAL,CONFIG_METADATA!$B$4,nASIG,"Coro"),""))</f>
        <v/>
      </c>
      <c r="V206" t="str">
        <f>IF(S206="","",IFERROR(AVERAGEIFS(nNOTA,nNIA,S206,nEVAL,CONFIG_METADATA!$B$4,nASIG,"Conjunto"),""))</f>
        <v/>
      </c>
      <c r="W206" t="str" cm="1">
        <f t="array" ref="W206">IF(S206="","",IFERROR(AVERAGE(IF((nNIA=S206)*(nEVAL=CONFIG_METADATA!$B$4)*(nASIG&lt;&gt;"Lenguaje Musical")*(nASIG&lt;&gt;"Coro")*(nASIG&lt;&gt;"Conjunto"),nNOTA)),""))</f>
        <v/>
      </c>
    </row>
    <row r="207" spans="2:23" x14ac:dyDescent="0.2">
      <c r="B207" t="str">
        <f>IF(A207="","",IFERROR(AVERAGEIFS(nNOTA,nNIA,A207,nEVAL,CONFIG_METADATA!$B$4,nASIG,"Lenguaje Musical"),""))</f>
        <v/>
      </c>
      <c r="C207" t="str">
        <f>IF(A207="","",IFERROR(AVERAGEIFS(nNOTA,nNIA,A207,nEVAL,CONFIG_METADATA!$B$4,nASIG,"Coro"),""))</f>
        <v/>
      </c>
      <c r="D207" t="str">
        <f>IF(A207="","",IFERROR(AVERAGEIFS(nNOTA,nNIA,A207,nEVAL,CONFIG_METADATA!$B$4,nASIG,"Conjunto"),""))</f>
        <v/>
      </c>
      <c r="E207" t="str" cm="1">
        <f t="array" ref="E207">IF(A207="","",IFERROR(AVERAGE(IF((nNIA=A207)*(nEVAL=CONFIG_METADATA!$B$4)*(nASIG&lt;&gt;"Lenguaje Musical")*(nASIG&lt;&gt;"Coro")*(nASIG&lt;&gt;"Conjunto"),nNOTA)),""))</f>
        <v/>
      </c>
      <c r="H207" t="str">
        <f>IF(G207="","",IFERROR(AVERAGEIFS(nNOTA,nNIA,G207,nEVAL,CONFIG_METADATA!$B$4,nASIG,"Lenguaje Musical"),""))</f>
        <v/>
      </c>
      <c r="I207" t="str">
        <f>IF(G207="","",IFERROR(AVERAGEIFS(nNOTA,nNIA,G207,nEVAL,CONFIG_METADATA!$B$4,nASIG,"Coro"),""))</f>
        <v/>
      </c>
      <c r="J207" t="str">
        <f>IF(G207="","",IFERROR(AVERAGEIFS(nNOTA,nNIA,G207,nEVAL,CONFIG_METADATA!$B$4,nASIG,"Conjunto"),""))</f>
        <v/>
      </c>
      <c r="K207" t="str" cm="1">
        <f t="array" ref="K207">IF(G207="","",IFERROR(AVERAGE(IF((nNIA=G207)*(nEVAL=CONFIG_METADATA!$B$4)*(nASIG&lt;&gt;"Lenguaje Musical")*(nASIG&lt;&gt;"Coro")*(nASIG&lt;&gt;"Conjunto"),nNOTA)),""))</f>
        <v/>
      </c>
      <c r="N207" t="str">
        <f>IF(M207="","",IFERROR(AVERAGEIFS(nNOTA,nNIA,M207,nEVAL,CONFIG_METADATA!$B$4,nASIG,"Lenguaje Musical"),""))</f>
        <v/>
      </c>
      <c r="O207" t="str">
        <f>IF(M207="","",IFERROR(AVERAGEIFS(nNOTA,nNIA,M207,nEVAL,CONFIG_METADATA!$B$4,nASIG,"Coro"),""))</f>
        <v/>
      </c>
      <c r="P207" t="str">
        <f>IF(M207="","",IFERROR(AVERAGEIFS(nNOTA,nNIA,M207,nEVAL,CONFIG_METADATA!$B$4,nASIG,"Conjunto"),""))</f>
        <v/>
      </c>
      <c r="Q207" t="str" cm="1">
        <f t="array" ref="Q207">IF(M207="","",IFERROR(AVERAGE(IF((nNIA=M207)*(nEVAL=CONFIG_METADATA!$B$4)*(nASIG&lt;&gt;"Lenguaje Musical")*(nASIG&lt;&gt;"Coro")*(nASIG&lt;&gt;"Conjunto"),nNOTA)),""))</f>
        <v/>
      </c>
      <c r="T207" t="str">
        <f>IF(S207="","",IFERROR(AVERAGEIFS(nNOTA,nNIA,S207,nEVAL,CONFIG_METADATA!$B$4,nASIG,"Lenguaje Musical"),""))</f>
        <v/>
      </c>
      <c r="U207" t="str">
        <f>IF(S207="","",IFERROR(AVERAGEIFS(nNOTA,nNIA,S207,nEVAL,CONFIG_METADATA!$B$4,nASIG,"Coro"),""))</f>
        <v/>
      </c>
      <c r="V207" t="str">
        <f>IF(S207="","",IFERROR(AVERAGEIFS(nNOTA,nNIA,S207,nEVAL,CONFIG_METADATA!$B$4,nASIG,"Conjunto"),""))</f>
        <v/>
      </c>
      <c r="W207" t="str" cm="1">
        <f t="array" ref="W207">IF(S207="","",IFERROR(AVERAGE(IF((nNIA=S207)*(nEVAL=CONFIG_METADATA!$B$4)*(nASIG&lt;&gt;"Lenguaje Musical")*(nASIG&lt;&gt;"Coro")*(nASIG&lt;&gt;"Conjunto"),nNOTA)),""))</f>
        <v/>
      </c>
    </row>
    <row r="208" spans="2:23" x14ac:dyDescent="0.2">
      <c r="B208" t="str">
        <f>IF(A208="","",IFERROR(AVERAGEIFS(nNOTA,nNIA,A208,nEVAL,CONFIG_METADATA!$B$4,nASIG,"Lenguaje Musical"),""))</f>
        <v/>
      </c>
      <c r="C208" t="str">
        <f>IF(A208="","",IFERROR(AVERAGEIFS(nNOTA,nNIA,A208,nEVAL,CONFIG_METADATA!$B$4,nASIG,"Coro"),""))</f>
        <v/>
      </c>
      <c r="D208" t="str">
        <f>IF(A208="","",IFERROR(AVERAGEIFS(nNOTA,nNIA,A208,nEVAL,CONFIG_METADATA!$B$4,nASIG,"Conjunto"),""))</f>
        <v/>
      </c>
      <c r="E208" t="str" cm="1">
        <f t="array" ref="E208">IF(A208="","",IFERROR(AVERAGE(IF((nNIA=A208)*(nEVAL=CONFIG_METADATA!$B$4)*(nASIG&lt;&gt;"Lenguaje Musical")*(nASIG&lt;&gt;"Coro")*(nASIG&lt;&gt;"Conjunto"),nNOTA)),""))</f>
        <v/>
      </c>
      <c r="H208" t="str">
        <f>IF(G208="","",IFERROR(AVERAGEIFS(nNOTA,nNIA,G208,nEVAL,CONFIG_METADATA!$B$4,nASIG,"Lenguaje Musical"),""))</f>
        <v/>
      </c>
      <c r="I208" t="str">
        <f>IF(G208="","",IFERROR(AVERAGEIFS(nNOTA,nNIA,G208,nEVAL,CONFIG_METADATA!$B$4,nASIG,"Coro"),""))</f>
        <v/>
      </c>
      <c r="J208" t="str">
        <f>IF(G208="","",IFERROR(AVERAGEIFS(nNOTA,nNIA,G208,nEVAL,CONFIG_METADATA!$B$4,nASIG,"Conjunto"),""))</f>
        <v/>
      </c>
      <c r="K208" t="str" cm="1">
        <f t="array" ref="K208">IF(G208="","",IFERROR(AVERAGE(IF((nNIA=G208)*(nEVAL=CONFIG_METADATA!$B$4)*(nASIG&lt;&gt;"Lenguaje Musical")*(nASIG&lt;&gt;"Coro")*(nASIG&lt;&gt;"Conjunto"),nNOTA)),""))</f>
        <v/>
      </c>
      <c r="N208" t="str">
        <f>IF(M208="","",IFERROR(AVERAGEIFS(nNOTA,nNIA,M208,nEVAL,CONFIG_METADATA!$B$4,nASIG,"Lenguaje Musical"),""))</f>
        <v/>
      </c>
      <c r="O208" t="str">
        <f>IF(M208="","",IFERROR(AVERAGEIFS(nNOTA,nNIA,M208,nEVAL,CONFIG_METADATA!$B$4,nASIG,"Coro"),""))</f>
        <v/>
      </c>
      <c r="P208" t="str">
        <f>IF(M208="","",IFERROR(AVERAGEIFS(nNOTA,nNIA,M208,nEVAL,CONFIG_METADATA!$B$4,nASIG,"Conjunto"),""))</f>
        <v/>
      </c>
      <c r="Q208" t="str" cm="1">
        <f t="array" ref="Q208">IF(M208="","",IFERROR(AVERAGE(IF((nNIA=M208)*(nEVAL=CONFIG_METADATA!$B$4)*(nASIG&lt;&gt;"Lenguaje Musical")*(nASIG&lt;&gt;"Coro")*(nASIG&lt;&gt;"Conjunto"),nNOTA)),""))</f>
        <v/>
      </c>
      <c r="T208" t="str">
        <f>IF(S208="","",IFERROR(AVERAGEIFS(nNOTA,nNIA,S208,nEVAL,CONFIG_METADATA!$B$4,nASIG,"Lenguaje Musical"),""))</f>
        <v/>
      </c>
      <c r="U208" t="str">
        <f>IF(S208="","",IFERROR(AVERAGEIFS(nNOTA,nNIA,S208,nEVAL,CONFIG_METADATA!$B$4,nASIG,"Coro"),""))</f>
        <v/>
      </c>
      <c r="V208" t="str">
        <f>IF(S208="","",IFERROR(AVERAGEIFS(nNOTA,nNIA,S208,nEVAL,CONFIG_METADATA!$B$4,nASIG,"Conjunto"),""))</f>
        <v/>
      </c>
      <c r="W208" t="str" cm="1">
        <f t="array" ref="W208">IF(S208="","",IFERROR(AVERAGE(IF((nNIA=S208)*(nEVAL=CONFIG_METADATA!$B$4)*(nASIG&lt;&gt;"Lenguaje Musical")*(nASIG&lt;&gt;"Coro")*(nASIG&lt;&gt;"Conjunto"),nNOTA)),""))</f>
        <v/>
      </c>
    </row>
    <row r="209" spans="2:23" x14ac:dyDescent="0.2">
      <c r="B209" t="str">
        <f>IF(A209="","",IFERROR(AVERAGEIFS(nNOTA,nNIA,A209,nEVAL,CONFIG_METADATA!$B$4,nASIG,"Lenguaje Musical"),""))</f>
        <v/>
      </c>
      <c r="C209" t="str">
        <f>IF(A209="","",IFERROR(AVERAGEIFS(nNOTA,nNIA,A209,nEVAL,CONFIG_METADATA!$B$4,nASIG,"Coro"),""))</f>
        <v/>
      </c>
      <c r="D209" t="str">
        <f>IF(A209="","",IFERROR(AVERAGEIFS(nNOTA,nNIA,A209,nEVAL,CONFIG_METADATA!$B$4,nASIG,"Conjunto"),""))</f>
        <v/>
      </c>
      <c r="E209" t="str" cm="1">
        <f t="array" ref="E209">IF(A209="","",IFERROR(AVERAGE(IF((nNIA=A209)*(nEVAL=CONFIG_METADATA!$B$4)*(nASIG&lt;&gt;"Lenguaje Musical")*(nASIG&lt;&gt;"Coro")*(nASIG&lt;&gt;"Conjunto"),nNOTA)),""))</f>
        <v/>
      </c>
      <c r="H209" t="str">
        <f>IF(G209="","",IFERROR(AVERAGEIFS(nNOTA,nNIA,G209,nEVAL,CONFIG_METADATA!$B$4,nASIG,"Lenguaje Musical"),""))</f>
        <v/>
      </c>
      <c r="I209" t="str">
        <f>IF(G209="","",IFERROR(AVERAGEIFS(nNOTA,nNIA,G209,nEVAL,CONFIG_METADATA!$B$4,nASIG,"Coro"),""))</f>
        <v/>
      </c>
      <c r="J209" t="str">
        <f>IF(G209="","",IFERROR(AVERAGEIFS(nNOTA,nNIA,G209,nEVAL,CONFIG_METADATA!$B$4,nASIG,"Conjunto"),""))</f>
        <v/>
      </c>
      <c r="K209" t="str" cm="1">
        <f t="array" ref="K209">IF(G209="","",IFERROR(AVERAGE(IF((nNIA=G209)*(nEVAL=CONFIG_METADATA!$B$4)*(nASIG&lt;&gt;"Lenguaje Musical")*(nASIG&lt;&gt;"Coro")*(nASIG&lt;&gt;"Conjunto"),nNOTA)),""))</f>
        <v/>
      </c>
      <c r="N209" t="str">
        <f>IF(M209="","",IFERROR(AVERAGEIFS(nNOTA,nNIA,M209,nEVAL,CONFIG_METADATA!$B$4,nASIG,"Lenguaje Musical"),""))</f>
        <v/>
      </c>
      <c r="O209" t="str">
        <f>IF(M209="","",IFERROR(AVERAGEIFS(nNOTA,nNIA,M209,nEVAL,CONFIG_METADATA!$B$4,nASIG,"Coro"),""))</f>
        <v/>
      </c>
      <c r="P209" t="str">
        <f>IF(M209="","",IFERROR(AVERAGEIFS(nNOTA,nNIA,M209,nEVAL,CONFIG_METADATA!$B$4,nASIG,"Conjunto"),""))</f>
        <v/>
      </c>
      <c r="Q209" t="str" cm="1">
        <f t="array" ref="Q209">IF(M209="","",IFERROR(AVERAGE(IF((nNIA=M209)*(nEVAL=CONFIG_METADATA!$B$4)*(nASIG&lt;&gt;"Lenguaje Musical")*(nASIG&lt;&gt;"Coro")*(nASIG&lt;&gt;"Conjunto"),nNOTA)),""))</f>
        <v/>
      </c>
      <c r="T209" t="str">
        <f>IF(S209="","",IFERROR(AVERAGEIFS(nNOTA,nNIA,S209,nEVAL,CONFIG_METADATA!$B$4,nASIG,"Lenguaje Musical"),""))</f>
        <v/>
      </c>
      <c r="U209" t="str">
        <f>IF(S209="","",IFERROR(AVERAGEIFS(nNOTA,nNIA,S209,nEVAL,CONFIG_METADATA!$B$4,nASIG,"Coro"),""))</f>
        <v/>
      </c>
      <c r="V209" t="str">
        <f>IF(S209="","",IFERROR(AVERAGEIFS(nNOTA,nNIA,S209,nEVAL,CONFIG_METADATA!$B$4,nASIG,"Conjunto"),""))</f>
        <v/>
      </c>
      <c r="W209" t="str" cm="1">
        <f t="array" ref="W209">IF(S209="","",IFERROR(AVERAGE(IF((nNIA=S209)*(nEVAL=CONFIG_METADATA!$B$4)*(nASIG&lt;&gt;"Lenguaje Musical")*(nASIG&lt;&gt;"Coro")*(nASIG&lt;&gt;"Conjunto"),nNOTA)),""))</f>
        <v/>
      </c>
    </row>
    <row r="210" spans="2:23" x14ac:dyDescent="0.2">
      <c r="B210" t="str">
        <f>IF(A210="","",IFERROR(AVERAGEIFS(nNOTA,nNIA,A210,nEVAL,CONFIG_METADATA!$B$4,nASIG,"Lenguaje Musical"),""))</f>
        <v/>
      </c>
      <c r="C210" t="str">
        <f>IF(A210="","",IFERROR(AVERAGEIFS(nNOTA,nNIA,A210,nEVAL,CONFIG_METADATA!$B$4,nASIG,"Coro"),""))</f>
        <v/>
      </c>
      <c r="D210" t="str">
        <f>IF(A210="","",IFERROR(AVERAGEIFS(nNOTA,nNIA,A210,nEVAL,CONFIG_METADATA!$B$4,nASIG,"Conjunto"),""))</f>
        <v/>
      </c>
      <c r="E210" t="str" cm="1">
        <f t="array" ref="E210">IF(A210="","",IFERROR(AVERAGE(IF((nNIA=A210)*(nEVAL=CONFIG_METADATA!$B$4)*(nASIG&lt;&gt;"Lenguaje Musical")*(nASIG&lt;&gt;"Coro")*(nASIG&lt;&gt;"Conjunto"),nNOTA)),""))</f>
        <v/>
      </c>
      <c r="H210" t="str">
        <f>IF(G210="","",IFERROR(AVERAGEIFS(nNOTA,nNIA,G210,nEVAL,CONFIG_METADATA!$B$4,nASIG,"Lenguaje Musical"),""))</f>
        <v/>
      </c>
      <c r="I210" t="str">
        <f>IF(G210="","",IFERROR(AVERAGEIFS(nNOTA,nNIA,G210,nEVAL,CONFIG_METADATA!$B$4,nASIG,"Coro"),""))</f>
        <v/>
      </c>
      <c r="J210" t="str">
        <f>IF(G210="","",IFERROR(AVERAGEIFS(nNOTA,nNIA,G210,nEVAL,CONFIG_METADATA!$B$4,nASIG,"Conjunto"),""))</f>
        <v/>
      </c>
      <c r="K210" t="str" cm="1">
        <f t="array" ref="K210">IF(G210="","",IFERROR(AVERAGE(IF((nNIA=G210)*(nEVAL=CONFIG_METADATA!$B$4)*(nASIG&lt;&gt;"Lenguaje Musical")*(nASIG&lt;&gt;"Coro")*(nASIG&lt;&gt;"Conjunto"),nNOTA)),""))</f>
        <v/>
      </c>
      <c r="N210" t="str">
        <f>IF(M210="","",IFERROR(AVERAGEIFS(nNOTA,nNIA,M210,nEVAL,CONFIG_METADATA!$B$4,nASIG,"Lenguaje Musical"),""))</f>
        <v/>
      </c>
      <c r="O210" t="str">
        <f>IF(M210="","",IFERROR(AVERAGEIFS(nNOTA,nNIA,M210,nEVAL,CONFIG_METADATA!$B$4,nASIG,"Coro"),""))</f>
        <v/>
      </c>
      <c r="P210" t="str">
        <f>IF(M210="","",IFERROR(AVERAGEIFS(nNOTA,nNIA,M210,nEVAL,CONFIG_METADATA!$B$4,nASIG,"Conjunto"),""))</f>
        <v/>
      </c>
      <c r="Q210" t="str" cm="1">
        <f t="array" ref="Q210">IF(M210="","",IFERROR(AVERAGE(IF((nNIA=M210)*(nEVAL=CONFIG_METADATA!$B$4)*(nASIG&lt;&gt;"Lenguaje Musical")*(nASIG&lt;&gt;"Coro")*(nASIG&lt;&gt;"Conjunto"),nNOTA)),""))</f>
        <v/>
      </c>
      <c r="T210" t="str">
        <f>IF(S210="","",IFERROR(AVERAGEIFS(nNOTA,nNIA,S210,nEVAL,CONFIG_METADATA!$B$4,nASIG,"Lenguaje Musical"),""))</f>
        <v/>
      </c>
      <c r="U210" t="str">
        <f>IF(S210="","",IFERROR(AVERAGEIFS(nNOTA,nNIA,S210,nEVAL,CONFIG_METADATA!$B$4,nASIG,"Coro"),""))</f>
        <v/>
      </c>
      <c r="V210" t="str">
        <f>IF(S210="","",IFERROR(AVERAGEIFS(nNOTA,nNIA,S210,nEVAL,CONFIG_METADATA!$B$4,nASIG,"Conjunto"),""))</f>
        <v/>
      </c>
      <c r="W210" t="str" cm="1">
        <f t="array" ref="W210">IF(S210="","",IFERROR(AVERAGE(IF((nNIA=S210)*(nEVAL=CONFIG_METADATA!$B$4)*(nASIG&lt;&gt;"Lenguaje Musical")*(nASIG&lt;&gt;"Coro")*(nASIG&lt;&gt;"Conjunto"),nNOTA)),""))</f>
        <v/>
      </c>
    </row>
    <row r="211" spans="2:23" x14ac:dyDescent="0.2">
      <c r="B211" t="str">
        <f>IF(A211="","",IFERROR(AVERAGEIFS(nNOTA,nNIA,A211,nEVAL,CONFIG_METADATA!$B$4,nASIG,"Lenguaje Musical"),""))</f>
        <v/>
      </c>
      <c r="C211" t="str">
        <f>IF(A211="","",IFERROR(AVERAGEIFS(nNOTA,nNIA,A211,nEVAL,CONFIG_METADATA!$B$4,nASIG,"Coro"),""))</f>
        <v/>
      </c>
      <c r="D211" t="str">
        <f>IF(A211="","",IFERROR(AVERAGEIFS(nNOTA,nNIA,A211,nEVAL,CONFIG_METADATA!$B$4,nASIG,"Conjunto"),""))</f>
        <v/>
      </c>
      <c r="E211" t="str" cm="1">
        <f t="array" ref="E211">IF(A211="","",IFERROR(AVERAGE(IF((nNIA=A211)*(nEVAL=CONFIG_METADATA!$B$4)*(nASIG&lt;&gt;"Lenguaje Musical")*(nASIG&lt;&gt;"Coro")*(nASIG&lt;&gt;"Conjunto"),nNOTA)),""))</f>
        <v/>
      </c>
      <c r="H211" t="str">
        <f>IF(G211="","",IFERROR(AVERAGEIFS(nNOTA,nNIA,G211,nEVAL,CONFIG_METADATA!$B$4,nASIG,"Lenguaje Musical"),""))</f>
        <v/>
      </c>
      <c r="I211" t="str">
        <f>IF(G211="","",IFERROR(AVERAGEIFS(nNOTA,nNIA,G211,nEVAL,CONFIG_METADATA!$B$4,nASIG,"Coro"),""))</f>
        <v/>
      </c>
      <c r="J211" t="str">
        <f>IF(G211="","",IFERROR(AVERAGEIFS(nNOTA,nNIA,G211,nEVAL,CONFIG_METADATA!$B$4,nASIG,"Conjunto"),""))</f>
        <v/>
      </c>
      <c r="K211" t="str" cm="1">
        <f t="array" ref="K211">IF(G211="","",IFERROR(AVERAGE(IF((nNIA=G211)*(nEVAL=CONFIG_METADATA!$B$4)*(nASIG&lt;&gt;"Lenguaje Musical")*(nASIG&lt;&gt;"Coro")*(nASIG&lt;&gt;"Conjunto"),nNOTA)),""))</f>
        <v/>
      </c>
      <c r="N211" t="str">
        <f>IF(M211="","",IFERROR(AVERAGEIFS(nNOTA,nNIA,M211,nEVAL,CONFIG_METADATA!$B$4,nASIG,"Lenguaje Musical"),""))</f>
        <v/>
      </c>
      <c r="O211" t="str">
        <f>IF(M211="","",IFERROR(AVERAGEIFS(nNOTA,nNIA,M211,nEVAL,CONFIG_METADATA!$B$4,nASIG,"Coro"),""))</f>
        <v/>
      </c>
      <c r="P211" t="str">
        <f>IF(M211="","",IFERROR(AVERAGEIFS(nNOTA,nNIA,M211,nEVAL,CONFIG_METADATA!$B$4,nASIG,"Conjunto"),""))</f>
        <v/>
      </c>
      <c r="Q211" t="str">
        <f>IF(M211="","",IFERROR(AVERAGEIFS(nNOTA,nNIA,M211,nEVAL,CONFIG_METADATA!$B$4,nASIG,"&lt;&gt;Lenguaje Musical",nASIG,"&lt;&gt;Coro",nASIG,"&lt;&gt;Conjunto"),""))</f>
        <v/>
      </c>
      <c r="T211" t="str">
        <f>IF(S211="","",IFERROR(AVERAGEIFS(nNOTA,nNIA,S211,nEVAL,CONFIG_METADATA!$B$4,nASIG,"Lenguaje Musical"),""))</f>
        <v/>
      </c>
      <c r="U211" t="str">
        <f>IF(S211="","",IFERROR(AVERAGEIFS(nNOTA,nNIA,S211,nEVAL,CONFIG_METADATA!$B$4,nASIG,"Coro"),""))</f>
        <v/>
      </c>
      <c r="V211" t="str">
        <f>IF(S211="","",IFERROR(AVERAGEIFS(nNOTA,nNIA,S211,nEVAL,CONFIG_METADATA!$B$4,nASIG,"Conjunto"),""))</f>
        <v/>
      </c>
      <c r="W211" t="str" cm="1">
        <f t="array" ref="W211">IF(S211="","",IFERROR(AVERAGE(IF((nNIA=S211)*(nEVAL=CONFIG_METADATA!$B$4)*(nASIG&lt;&gt;"Lenguaje Musical")*(nASIG&lt;&gt;"Coro")*(nASIG&lt;&gt;"Conjunto"),nNOTA)),""))</f>
        <v/>
      </c>
    </row>
    <row r="212" spans="2:23" x14ac:dyDescent="0.2">
      <c r="B212" t="str">
        <f>IF(A212="","",IFERROR(AVERAGEIFS(nNOTA,nNIA,A212,nEVAL,CONFIG_METADATA!$B$4,nASIG,"Lenguaje Musical"),""))</f>
        <v/>
      </c>
      <c r="C212" t="str">
        <f>IF(A212="","",IFERROR(AVERAGEIFS(nNOTA,nNIA,A212,nEVAL,CONFIG_METADATA!$B$4,nASIG,"Coro"),""))</f>
        <v/>
      </c>
      <c r="D212" t="str">
        <f>IF(A212="","",IFERROR(AVERAGEIFS(nNOTA,nNIA,A212,nEVAL,CONFIG_METADATA!$B$4,nASIG,"Conjunto"),""))</f>
        <v/>
      </c>
      <c r="E212" t="str" cm="1">
        <f t="array" ref="E212">IF(A212="","",IFERROR(AVERAGE(IF((nNIA=A212)*(nEVAL=CONFIG_METADATA!$B$4)*(nASIG&lt;&gt;"Lenguaje Musical")*(nASIG&lt;&gt;"Coro")*(nASIG&lt;&gt;"Conjunto"),nNOTA)),""))</f>
        <v/>
      </c>
      <c r="H212" t="str">
        <f>IF(G212="","",IFERROR(AVERAGEIFS(nNOTA,nNIA,G212,nEVAL,CONFIG_METADATA!$B$4,nASIG,"Lenguaje Musical"),""))</f>
        <v/>
      </c>
      <c r="I212" t="str">
        <f>IF(G212="","",IFERROR(AVERAGEIFS(nNOTA,nNIA,G212,nEVAL,CONFIG_METADATA!$B$4,nASIG,"Coro"),""))</f>
        <v/>
      </c>
      <c r="J212" t="str">
        <f>IF(G212="","",IFERROR(AVERAGEIFS(nNOTA,nNIA,G212,nEVAL,CONFIG_METADATA!$B$4,nASIG,"Conjunto"),""))</f>
        <v/>
      </c>
      <c r="K212" t="str" cm="1">
        <f t="array" ref="K212">IF(G212="","",IFERROR(AVERAGE(IF((nNIA=G212)*(nEVAL=CONFIG_METADATA!$B$4)*(nASIG&lt;&gt;"Lenguaje Musical")*(nASIG&lt;&gt;"Coro")*(nASIG&lt;&gt;"Conjunto"),nNOTA)),""))</f>
        <v/>
      </c>
      <c r="N212" t="str">
        <f>IF(M212="","",IFERROR(AVERAGEIFS(nNOTA,nNIA,M212,nEVAL,CONFIG_METADATA!$B$4,nASIG,"Lenguaje Musical"),""))</f>
        <v/>
      </c>
      <c r="O212" t="str">
        <f>IF(M212="","",IFERROR(AVERAGEIFS(nNOTA,nNIA,M212,nEVAL,CONFIG_METADATA!$B$4,nASIG,"Coro"),""))</f>
        <v/>
      </c>
      <c r="P212" t="str">
        <f>IF(M212="","",IFERROR(AVERAGEIFS(nNOTA,nNIA,M212,nEVAL,CONFIG_METADATA!$B$4,nASIG,"Conjunto"),""))</f>
        <v/>
      </c>
      <c r="Q212" t="str">
        <f>IF(M212="","",IFERROR(AVERAGEIFS(nNOTA,nNIA,M212,nEVAL,CONFIG_METADATA!$B$4,nASIG,"&lt;&gt;Lenguaje Musical",nASIG,"&lt;&gt;Coro",nASIG,"&lt;&gt;Conjunto"),""))</f>
        <v/>
      </c>
      <c r="T212" t="str">
        <f>IF(S212="","",IFERROR(AVERAGEIFS(nNOTA,nNIA,S212,nEVAL,CONFIG_METADATA!$B$4,nASIG,"Lenguaje Musical"),""))</f>
        <v/>
      </c>
      <c r="U212" t="str">
        <f>IF(S212="","",IFERROR(AVERAGEIFS(nNOTA,nNIA,S212,nEVAL,CONFIG_METADATA!$B$4,nASIG,"Coro"),""))</f>
        <v/>
      </c>
      <c r="V212" t="str">
        <f>IF(S212="","",IFERROR(AVERAGEIFS(nNOTA,nNIA,S212,nEVAL,CONFIG_METADATA!$B$4,nASIG,"Conjunto"),""))</f>
        <v/>
      </c>
      <c r="W212" t="str" cm="1">
        <f t="array" ref="W212">IF(S212="","",IFERROR(AVERAGE(IF((nNIA=S212)*(nEVAL=CONFIG_METADATA!$B$4)*(nASIG&lt;&gt;"Lenguaje Musical")*(nASIG&lt;&gt;"Coro")*(nASIG&lt;&gt;"Conjunto"),nNOTA)),""))</f>
        <v/>
      </c>
    </row>
    <row r="213" spans="2:23" x14ac:dyDescent="0.2">
      <c r="B213" t="str">
        <f>IF(A213="","",IFERROR(AVERAGEIFS(nNOTA,nNIA,A213,nEVAL,CONFIG_METADATA!$B$4,nASIG,"Lenguaje Musical"),""))</f>
        <v/>
      </c>
      <c r="C213" t="str">
        <f>IF(A213="","",IFERROR(AVERAGEIFS(nNOTA,nNIA,A213,nEVAL,CONFIG_METADATA!$B$4,nASIG,"Coro"),""))</f>
        <v/>
      </c>
      <c r="D213" t="str">
        <f>IF(A213="","",IFERROR(AVERAGEIFS(nNOTA,nNIA,A213,nEVAL,CONFIG_METADATA!$B$4,nASIG,"Conjunto"),""))</f>
        <v/>
      </c>
      <c r="E213" t="str" cm="1">
        <f t="array" ref="E213">IF(A213="","",IFERROR(AVERAGE(IF((nNIA=A213)*(nEVAL=CONFIG_METADATA!$B$4)*(nASIG&lt;&gt;"Lenguaje Musical")*(nASIG&lt;&gt;"Coro")*(nASIG&lt;&gt;"Conjunto"),nNOTA)),""))</f>
        <v/>
      </c>
      <c r="H213" t="str">
        <f>IF(G213="","",IFERROR(AVERAGEIFS(nNOTA,nNIA,G213,nEVAL,CONFIG_METADATA!$B$4,nASIG,"Lenguaje Musical"),""))</f>
        <v/>
      </c>
      <c r="I213" t="str">
        <f>IF(G213="","",IFERROR(AVERAGEIFS(nNOTA,nNIA,G213,nEVAL,CONFIG_METADATA!$B$4,nASIG,"Coro"),""))</f>
        <v/>
      </c>
      <c r="J213" t="str">
        <f>IF(G213="","",IFERROR(AVERAGEIFS(nNOTA,nNIA,G213,nEVAL,CONFIG_METADATA!$B$4,nASIG,"Conjunto"),""))</f>
        <v/>
      </c>
      <c r="K213" t="str" cm="1">
        <f t="array" ref="K213">IF(G213="","",IFERROR(AVERAGE(IF((nNIA=G213)*(nEVAL=CONFIG_METADATA!$B$4)*(nASIG&lt;&gt;"Lenguaje Musical")*(nASIG&lt;&gt;"Coro")*(nASIG&lt;&gt;"Conjunto"),nNOTA)),""))</f>
        <v/>
      </c>
      <c r="N213" t="str">
        <f>IF(M213="","",IFERROR(AVERAGEIFS(nNOTA,nNIA,M213,nEVAL,CONFIG_METADATA!$B$4,nASIG,"Lenguaje Musical"),""))</f>
        <v/>
      </c>
      <c r="O213" t="str">
        <f>IF(M213="","",IFERROR(AVERAGEIFS(nNOTA,nNIA,M213,nEVAL,CONFIG_METADATA!$B$4,nASIG,"Coro"),""))</f>
        <v/>
      </c>
      <c r="P213" t="str">
        <f>IF(M213="","",IFERROR(AVERAGEIFS(nNOTA,nNIA,M213,nEVAL,CONFIG_METADATA!$B$4,nASIG,"Conjunto"),""))</f>
        <v/>
      </c>
      <c r="Q213" t="str">
        <f>IF(M213="","",IFERROR(AVERAGEIFS(nNOTA,nNIA,M213,nEVAL,CONFIG_METADATA!$B$4,nASIG,"&lt;&gt;Lenguaje Musical",nASIG,"&lt;&gt;Coro",nASIG,"&lt;&gt;Conjunto"),""))</f>
        <v/>
      </c>
      <c r="T213" t="str">
        <f>IF(S213="","",IFERROR(AVERAGEIFS(nNOTA,nNIA,S213,nEVAL,CONFIG_METADATA!$B$4,nASIG,"Lenguaje Musical"),""))</f>
        <v/>
      </c>
      <c r="U213" t="str">
        <f>IF(S213="","",IFERROR(AVERAGEIFS(nNOTA,nNIA,S213,nEVAL,CONFIG_METADATA!$B$4,nASIG,"Coro"),""))</f>
        <v/>
      </c>
      <c r="V213" t="str">
        <f>IF(S213="","",IFERROR(AVERAGEIFS(nNOTA,nNIA,S213,nEVAL,CONFIG_METADATA!$B$4,nASIG,"Conjunto"),""))</f>
        <v/>
      </c>
      <c r="W213" t="str" cm="1">
        <f t="array" ref="W213">IF(S213="","",IFERROR(AVERAGE(IF((nNIA=S213)*(nEVAL=CONFIG_METADATA!$B$4)*(nASIG&lt;&gt;"Lenguaje Musical")*(nASIG&lt;&gt;"Coro")*(nASIG&lt;&gt;"Conjunto"),nNOTA)),""))</f>
        <v/>
      </c>
    </row>
    <row r="214" spans="2:23" x14ac:dyDescent="0.2">
      <c r="B214" t="str">
        <f>IF(A214="","",IFERROR(AVERAGEIFS(nNOTA,nNIA,A214,nEVAL,CONFIG_METADATA!$B$4,nASIG,"Lenguaje Musical"),""))</f>
        <v/>
      </c>
      <c r="C214" t="str">
        <f>IF(A214="","",IFERROR(AVERAGEIFS(nNOTA,nNIA,A214,nEVAL,CONFIG_METADATA!$B$4,nASIG,"Coro"),""))</f>
        <v/>
      </c>
      <c r="D214" t="str">
        <f>IF(A214="","",IFERROR(AVERAGEIFS(nNOTA,nNIA,A214,nEVAL,CONFIG_METADATA!$B$4,nASIG,"Conjunto"),""))</f>
        <v/>
      </c>
      <c r="E214" t="str" cm="1">
        <f t="array" ref="E214">IF(A214="","",IFERROR(AVERAGE(IF((nNIA=A214)*(nEVAL=CONFIG_METADATA!$B$4)*(nASIG&lt;&gt;"Lenguaje Musical")*(nASIG&lt;&gt;"Coro")*(nASIG&lt;&gt;"Conjunto"),nNOTA)),""))</f>
        <v/>
      </c>
      <c r="H214" t="str">
        <f>IF(G214="","",IFERROR(AVERAGEIFS(nNOTA,nNIA,G214,nEVAL,CONFIG_METADATA!$B$4,nASIG,"Lenguaje Musical"),""))</f>
        <v/>
      </c>
      <c r="I214" t="str">
        <f>IF(G214="","",IFERROR(AVERAGEIFS(nNOTA,nNIA,G214,nEVAL,CONFIG_METADATA!$B$4,nASIG,"Coro"),""))</f>
        <v/>
      </c>
      <c r="J214" t="str">
        <f>IF(G214="","",IFERROR(AVERAGEIFS(nNOTA,nNIA,G214,nEVAL,CONFIG_METADATA!$B$4,nASIG,"Conjunto"),""))</f>
        <v/>
      </c>
      <c r="K214" t="str" cm="1">
        <f t="array" ref="K214">IF(G214="","",IFERROR(AVERAGE(IF((nNIA=G214)*(nEVAL=CONFIG_METADATA!$B$4)*(nASIG&lt;&gt;"Lenguaje Musical")*(nASIG&lt;&gt;"Coro")*(nASIG&lt;&gt;"Conjunto"),nNOTA)),""))</f>
        <v/>
      </c>
      <c r="N214" t="str">
        <f>IF(M214="","",IFERROR(AVERAGEIFS(nNOTA,nNIA,M214,nEVAL,CONFIG_METADATA!$B$4,nASIG,"Lenguaje Musical"),""))</f>
        <v/>
      </c>
      <c r="O214" t="str">
        <f>IF(M214="","",IFERROR(AVERAGEIFS(nNOTA,nNIA,M214,nEVAL,CONFIG_METADATA!$B$4,nASIG,"Coro"),""))</f>
        <v/>
      </c>
      <c r="P214" t="str">
        <f>IF(M214="","",IFERROR(AVERAGEIFS(nNOTA,nNIA,M214,nEVAL,CONFIG_METADATA!$B$4,nASIG,"Conjunto"),""))</f>
        <v/>
      </c>
      <c r="Q214" t="str">
        <f>IF(M214="","",IFERROR(AVERAGEIFS(nNOTA,nNIA,M214,nEVAL,CONFIG_METADATA!$B$4,nASIG,"&lt;&gt;Lenguaje Musical",nASIG,"&lt;&gt;Coro",nASIG,"&lt;&gt;Conjunto"),""))</f>
        <v/>
      </c>
      <c r="T214" t="str">
        <f>IF(S214="","",IFERROR(AVERAGEIFS(nNOTA,nNIA,S214,nEVAL,CONFIG_METADATA!$B$4,nASIG,"Lenguaje Musical"),""))</f>
        <v/>
      </c>
      <c r="U214" t="str">
        <f>IF(S214="","",IFERROR(AVERAGEIFS(nNOTA,nNIA,S214,nEVAL,CONFIG_METADATA!$B$4,nASIG,"Coro"),""))</f>
        <v/>
      </c>
      <c r="V214" t="str">
        <f>IF(S214="","",IFERROR(AVERAGEIFS(nNOTA,nNIA,S214,nEVAL,CONFIG_METADATA!$B$4,nASIG,"Conjunto"),""))</f>
        <v/>
      </c>
      <c r="W214" t="str" cm="1">
        <f t="array" ref="W214">IF(S214="","",IFERROR(AVERAGE(IF((nNIA=S214)*(nEVAL=CONFIG_METADATA!$B$4)*(nASIG&lt;&gt;"Lenguaje Musical")*(nASIG&lt;&gt;"Coro")*(nASIG&lt;&gt;"Conjunto"),nNOTA)),""))</f>
        <v/>
      </c>
    </row>
    <row r="215" spans="2:23" x14ac:dyDescent="0.2">
      <c r="B215" t="str">
        <f>IF(A215="","",IFERROR(AVERAGEIFS(nNOTA,nNIA,A215,nEVAL,CONFIG_METADATA!$B$4,nASIG,"Lenguaje Musical"),""))</f>
        <v/>
      </c>
      <c r="C215" t="str">
        <f>IF(A215="","",IFERROR(AVERAGEIFS(nNOTA,nNIA,A215,nEVAL,CONFIG_METADATA!$B$4,nASIG,"Coro"),""))</f>
        <v/>
      </c>
      <c r="D215" t="str">
        <f>IF(A215="","",IFERROR(AVERAGEIFS(nNOTA,nNIA,A215,nEVAL,CONFIG_METADATA!$B$4,nASIG,"Conjunto"),""))</f>
        <v/>
      </c>
      <c r="E215" t="str" cm="1">
        <f t="array" ref="E215">IF(A215="","",IFERROR(AVERAGE(IF((nNIA=A215)*(nEVAL=CONFIG_METADATA!$B$4)*(nASIG&lt;&gt;"Lenguaje Musical")*(nASIG&lt;&gt;"Coro")*(nASIG&lt;&gt;"Conjunto"),nNOTA)),""))</f>
        <v/>
      </c>
      <c r="H215" t="str">
        <f>IF(G215="","",IFERROR(AVERAGEIFS(nNOTA,nNIA,G215,nEVAL,CONFIG_METADATA!$B$4,nASIG,"Lenguaje Musical"),""))</f>
        <v/>
      </c>
      <c r="I215" t="str">
        <f>IF(G215="","",IFERROR(AVERAGEIFS(nNOTA,nNIA,G215,nEVAL,CONFIG_METADATA!$B$4,nASIG,"Coro"),""))</f>
        <v/>
      </c>
      <c r="J215" t="str">
        <f>IF(G215="","",IFERROR(AVERAGEIFS(nNOTA,nNIA,G215,nEVAL,CONFIG_METADATA!$B$4,nASIG,"Conjunto"),""))</f>
        <v/>
      </c>
      <c r="K215" t="str" cm="1">
        <f t="array" ref="K215">IF(G215="","",IFERROR(AVERAGE(IF((nNIA=G215)*(nEVAL=CONFIG_METADATA!$B$4)*(nASIG&lt;&gt;"Lenguaje Musical")*(nASIG&lt;&gt;"Coro")*(nASIG&lt;&gt;"Conjunto"),nNOTA)),""))</f>
        <v/>
      </c>
      <c r="N215" t="str">
        <f>IF(M215="","",IFERROR(AVERAGEIFS(nNOTA,nNIA,M215,nEVAL,CONFIG_METADATA!$B$4,nASIG,"Lenguaje Musical"),""))</f>
        <v/>
      </c>
      <c r="O215" t="str">
        <f>IF(M215="","",IFERROR(AVERAGEIFS(nNOTA,nNIA,M215,nEVAL,CONFIG_METADATA!$B$4,nASIG,"Coro"),""))</f>
        <v/>
      </c>
      <c r="P215" t="str">
        <f>IF(M215="","",IFERROR(AVERAGEIFS(nNOTA,nNIA,M215,nEVAL,CONFIG_METADATA!$B$4,nASIG,"Conjunto"),""))</f>
        <v/>
      </c>
      <c r="Q215" t="str">
        <f>IF(M215="","",IFERROR(AVERAGEIFS(nNOTA,nNIA,M215,nEVAL,CONFIG_METADATA!$B$4,nASIG,"&lt;&gt;Lenguaje Musical",nASIG,"&lt;&gt;Coro",nASIG,"&lt;&gt;Conjunto"),""))</f>
        <v/>
      </c>
      <c r="T215" t="str">
        <f>IF(S215="","",IFERROR(AVERAGEIFS(nNOTA,nNIA,S215,nEVAL,CONFIG_METADATA!$B$4,nASIG,"Lenguaje Musical"),""))</f>
        <v/>
      </c>
      <c r="U215" t="str">
        <f>IF(S215="","",IFERROR(AVERAGEIFS(nNOTA,nNIA,S215,nEVAL,CONFIG_METADATA!$B$4,nASIG,"Coro"),""))</f>
        <v/>
      </c>
      <c r="V215" t="str">
        <f>IF(S215="","",IFERROR(AVERAGEIFS(nNOTA,nNIA,S215,nEVAL,CONFIG_METADATA!$B$4,nASIG,"Conjunto"),""))</f>
        <v/>
      </c>
      <c r="W215" t="str" cm="1">
        <f t="array" ref="W215">IF(S215="","",IFERROR(AVERAGE(IF((nNIA=S215)*(nEVAL=CONFIG_METADATA!$B$4)*(nASIG&lt;&gt;"Lenguaje Musical")*(nASIG&lt;&gt;"Coro")*(nASIG&lt;&gt;"Conjunto"),nNOTA)),""))</f>
        <v/>
      </c>
    </row>
    <row r="216" spans="2:23" x14ac:dyDescent="0.2">
      <c r="B216" t="str">
        <f>IF(A216="","",IFERROR(AVERAGEIFS(nNOTA,nNIA,A216,nEVAL,CONFIG_METADATA!$B$4,nASIG,"Lenguaje Musical"),""))</f>
        <v/>
      </c>
      <c r="C216" t="str">
        <f>IF(A216="","",IFERROR(AVERAGEIFS(nNOTA,nNIA,A216,nEVAL,CONFIG_METADATA!$B$4,nASIG,"Coro"),""))</f>
        <v/>
      </c>
      <c r="D216" t="str">
        <f>IF(A216="","",IFERROR(AVERAGEIFS(nNOTA,nNIA,A216,nEVAL,CONFIG_METADATA!$B$4,nASIG,"Conjunto"),""))</f>
        <v/>
      </c>
      <c r="E216" t="str" cm="1">
        <f t="array" ref="E216">IF(A216="","",IFERROR(AVERAGE(IF((nNIA=A216)*(nEVAL=CONFIG_METADATA!$B$4)*(nASIG&lt;&gt;"Lenguaje Musical")*(nASIG&lt;&gt;"Coro")*(nASIG&lt;&gt;"Conjunto"),nNOTA)),""))</f>
        <v/>
      </c>
      <c r="H216" t="str">
        <f>IF(G216="","",IFERROR(AVERAGEIFS(nNOTA,nNIA,G216,nEVAL,CONFIG_METADATA!$B$4,nASIG,"Lenguaje Musical"),""))</f>
        <v/>
      </c>
      <c r="I216" t="str">
        <f>IF(G216="","",IFERROR(AVERAGEIFS(nNOTA,nNIA,G216,nEVAL,CONFIG_METADATA!$B$4,nASIG,"Coro"),""))</f>
        <v/>
      </c>
      <c r="J216" t="str">
        <f>IF(G216="","",IFERROR(AVERAGEIFS(nNOTA,nNIA,G216,nEVAL,CONFIG_METADATA!$B$4,nASIG,"Conjunto"),""))</f>
        <v/>
      </c>
      <c r="K216" t="str" cm="1">
        <f t="array" ref="K216">IF(G216="","",IFERROR(AVERAGE(IF((nNIA=G216)*(nEVAL=CONFIG_METADATA!$B$4)*(nASIG&lt;&gt;"Lenguaje Musical")*(nASIG&lt;&gt;"Coro")*(nASIG&lt;&gt;"Conjunto"),nNOTA)),""))</f>
        <v/>
      </c>
      <c r="N216" t="str">
        <f>IF(M216="","",IFERROR(AVERAGEIFS(nNOTA,nNIA,M216,nEVAL,CONFIG_METADATA!$B$4,nASIG,"Lenguaje Musical"),""))</f>
        <v/>
      </c>
      <c r="O216" t="str">
        <f>IF(M216="","",IFERROR(AVERAGEIFS(nNOTA,nNIA,M216,nEVAL,CONFIG_METADATA!$B$4,nASIG,"Coro"),""))</f>
        <v/>
      </c>
      <c r="P216" t="str">
        <f>IF(M216="","",IFERROR(AVERAGEIFS(nNOTA,nNIA,M216,nEVAL,CONFIG_METADATA!$B$4,nASIG,"Conjunto"),""))</f>
        <v/>
      </c>
      <c r="Q216" t="str">
        <f>IF(M216="","",IFERROR(AVERAGEIFS(nNOTA,nNIA,M216,nEVAL,CONFIG_METADATA!$B$4,nASIG,"&lt;&gt;Lenguaje Musical",nASIG,"&lt;&gt;Coro",nASIG,"&lt;&gt;Conjunto"),""))</f>
        <v/>
      </c>
      <c r="T216" t="str">
        <f>IF(S216="","",IFERROR(AVERAGEIFS(nNOTA,nNIA,S216,nEVAL,CONFIG_METADATA!$B$4,nASIG,"Lenguaje Musical"),""))</f>
        <v/>
      </c>
      <c r="U216" t="str">
        <f>IF(S216="","",IFERROR(AVERAGEIFS(nNOTA,nNIA,S216,nEVAL,CONFIG_METADATA!$B$4,nASIG,"Coro"),""))</f>
        <v/>
      </c>
      <c r="V216" t="str">
        <f>IF(S216="","",IFERROR(AVERAGEIFS(nNOTA,nNIA,S216,nEVAL,CONFIG_METADATA!$B$4,nASIG,"Conjunto"),""))</f>
        <v/>
      </c>
      <c r="W216" t="str" cm="1">
        <f t="array" ref="W216">IF(S216="","",IFERROR(AVERAGE(IF((nNIA=S216)*(nEVAL=CONFIG_METADATA!$B$4)*(nASIG&lt;&gt;"Lenguaje Musical")*(nASIG&lt;&gt;"Coro")*(nASIG&lt;&gt;"Conjunto"),nNOTA)),""))</f>
        <v/>
      </c>
    </row>
    <row r="217" spans="2:23" x14ac:dyDescent="0.2">
      <c r="B217" t="str">
        <f>IF(A217="","",IFERROR(AVERAGEIFS(nNOTA,nNIA,A217,nEVAL,CONFIG_METADATA!$B$4,nASIG,"Lenguaje Musical"),""))</f>
        <v/>
      </c>
      <c r="C217" t="str">
        <f>IF(A217="","",IFERROR(AVERAGEIFS(nNOTA,nNIA,A217,nEVAL,CONFIG_METADATA!$B$4,nASIG,"Coro"),""))</f>
        <v/>
      </c>
      <c r="D217" t="str">
        <f>IF(A217="","",IFERROR(AVERAGEIFS(nNOTA,nNIA,A217,nEVAL,CONFIG_METADATA!$B$4,nASIG,"Conjunto"),""))</f>
        <v/>
      </c>
      <c r="E217" t="str" cm="1">
        <f t="array" ref="E217">IF(A217="","",IFERROR(AVERAGE(IF((nNIA=A217)*(nEVAL=CONFIG_METADATA!$B$4)*(nASIG&lt;&gt;"Lenguaje Musical")*(nASIG&lt;&gt;"Coro")*(nASIG&lt;&gt;"Conjunto"),nNOTA)),""))</f>
        <v/>
      </c>
      <c r="H217" t="str">
        <f>IF(G217="","",IFERROR(AVERAGEIFS(nNOTA,nNIA,G217,nEVAL,CONFIG_METADATA!$B$4,nASIG,"Lenguaje Musical"),""))</f>
        <v/>
      </c>
      <c r="I217" t="str">
        <f>IF(G217="","",IFERROR(AVERAGEIFS(nNOTA,nNIA,G217,nEVAL,CONFIG_METADATA!$B$4,nASIG,"Coro"),""))</f>
        <v/>
      </c>
      <c r="J217" t="str">
        <f>IF(G217="","",IFERROR(AVERAGEIFS(nNOTA,nNIA,G217,nEVAL,CONFIG_METADATA!$B$4,nASIG,"Conjunto"),""))</f>
        <v/>
      </c>
      <c r="K217" t="str" cm="1">
        <f t="array" ref="K217">IF(G217="","",IFERROR(AVERAGE(IF((nNIA=G217)*(nEVAL=CONFIG_METADATA!$B$4)*(nASIG&lt;&gt;"Lenguaje Musical")*(nASIG&lt;&gt;"Coro")*(nASIG&lt;&gt;"Conjunto"),nNOTA)),""))</f>
        <v/>
      </c>
      <c r="N217" t="str">
        <f>IF(M217="","",IFERROR(AVERAGEIFS(nNOTA,nNIA,M217,nEVAL,CONFIG_METADATA!$B$4,nASIG,"Lenguaje Musical"),""))</f>
        <v/>
      </c>
      <c r="O217" t="str">
        <f>IF(M217="","",IFERROR(AVERAGEIFS(nNOTA,nNIA,M217,nEVAL,CONFIG_METADATA!$B$4,nASIG,"Coro"),""))</f>
        <v/>
      </c>
      <c r="P217" t="str">
        <f>IF(M217="","",IFERROR(AVERAGEIFS(nNOTA,nNIA,M217,nEVAL,CONFIG_METADATA!$B$4,nASIG,"Conjunto"),""))</f>
        <v/>
      </c>
      <c r="Q217" t="str">
        <f>IF(M217="","",IFERROR(AVERAGEIFS(nNOTA,nNIA,M217,nEVAL,CONFIG_METADATA!$B$4,nASIG,"&lt;&gt;Lenguaje Musical",nASIG,"&lt;&gt;Coro",nASIG,"&lt;&gt;Conjunto"),""))</f>
        <v/>
      </c>
      <c r="T217" t="str">
        <f>IF(S217="","",IFERROR(AVERAGEIFS(nNOTA,nNIA,S217,nEVAL,CONFIG_METADATA!$B$4,nASIG,"Lenguaje Musical"),""))</f>
        <v/>
      </c>
      <c r="U217" t="str">
        <f>IF(S217="","",IFERROR(AVERAGEIFS(nNOTA,nNIA,S217,nEVAL,CONFIG_METADATA!$B$4,nASIG,"Coro"),""))</f>
        <v/>
      </c>
      <c r="V217" t="str">
        <f>IF(S217="","",IFERROR(AVERAGEIFS(nNOTA,nNIA,S217,nEVAL,CONFIG_METADATA!$B$4,nASIG,"Conjunto"),""))</f>
        <v/>
      </c>
      <c r="W217" t="str" cm="1">
        <f t="array" ref="W217">IF(S217="","",IFERROR(AVERAGE(IF((nNIA=S217)*(nEVAL=CONFIG_METADATA!$B$4)*(nASIG&lt;&gt;"Lenguaje Musical")*(nASIG&lt;&gt;"Coro")*(nASIG&lt;&gt;"Conjunto"),nNOTA)),""))</f>
        <v/>
      </c>
    </row>
    <row r="218" spans="2:23" x14ac:dyDescent="0.2">
      <c r="B218" t="str">
        <f>IF(A218="","",IFERROR(AVERAGEIFS(nNOTA,nNIA,A218,nEVAL,CONFIG_METADATA!$B$4,nASIG,"Lenguaje Musical"),""))</f>
        <v/>
      </c>
      <c r="C218" t="str">
        <f>IF(A218="","",IFERROR(AVERAGEIFS(nNOTA,nNIA,A218,nEVAL,CONFIG_METADATA!$B$4,nASIG,"Coro"),""))</f>
        <v/>
      </c>
      <c r="D218" t="str">
        <f>IF(A218="","",IFERROR(AVERAGEIFS(nNOTA,nNIA,A218,nEVAL,CONFIG_METADATA!$B$4,nASIG,"Conjunto"),""))</f>
        <v/>
      </c>
      <c r="E218" t="str" cm="1">
        <f t="array" ref="E218">IF(A218="","",IFERROR(AVERAGE(IF((nNIA=A218)*(nEVAL=CONFIG_METADATA!$B$4)*(nASIG&lt;&gt;"Lenguaje Musical")*(nASIG&lt;&gt;"Coro")*(nASIG&lt;&gt;"Conjunto"),nNOTA)),""))</f>
        <v/>
      </c>
      <c r="H218" t="str">
        <f>IF(G218="","",IFERROR(AVERAGEIFS(nNOTA,nNIA,G218,nEVAL,CONFIG_METADATA!$B$4,nASIG,"Lenguaje Musical"),""))</f>
        <v/>
      </c>
      <c r="I218" t="str">
        <f>IF(G218="","",IFERROR(AVERAGEIFS(nNOTA,nNIA,G218,nEVAL,CONFIG_METADATA!$B$4,nASIG,"Coro"),""))</f>
        <v/>
      </c>
      <c r="J218" t="str">
        <f>IF(G218="","",IFERROR(AVERAGEIFS(nNOTA,nNIA,G218,nEVAL,CONFIG_METADATA!$B$4,nASIG,"Conjunto"),""))</f>
        <v/>
      </c>
      <c r="K218" t="str" cm="1">
        <f t="array" ref="K218">IF(G218="","",IFERROR(AVERAGE(IF((nNIA=G218)*(nEVAL=CONFIG_METADATA!$B$4)*(nASIG&lt;&gt;"Lenguaje Musical")*(nASIG&lt;&gt;"Coro")*(nASIG&lt;&gt;"Conjunto"),nNOTA)),""))</f>
        <v/>
      </c>
      <c r="N218" t="str">
        <f>IF(M218="","",IFERROR(AVERAGEIFS(nNOTA,nNIA,M218,nEVAL,CONFIG_METADATA!$B$4,nASIG,"Lenguaje Musical"),""))</f>
        <v/>
      </c>
      <c r="O218" t="str">
        <f>IF(M218="","",IFERROR(AVERAGEIFS(nNOTA,nNIA,M218,nEVAL,CONFIG_METADATA!$B$4,nASIG,"Coro"),""))</f>
        <v/>
      </c>
      <c r="P218" t="str">
        <f>IF(M218="","",IFERROR(AVERAGEIFS(nNOTA,nNIA,M218,nEVAL,CONFIG_METADATA!$B$4,nASIG,"Conjunto"),""))</f>
        <v/>
      </c>
      <c r="Q218" t="str">
        <f>IF(M218="","",IFERROR(AVERAGEIFS(nNOTA,nNIA,M218,nEVAL,CONFIG_METADATA!$B$4,nASIG,"&lt;&gt;Lenguaje Musical",nASIG,"&lt;&gt;Coro",nASIG,"&lt;&gt;Conjunto"),""))</f>
        <v/>
      </c>
      <c r="T218" t="str">
        <f>IF(S218="","",IFERROR(AVERAGEIFS(nNOTA,nNIA,S218,nEVAL,CONFIG_METADATA!$B$4,nASIG,"Lenguaje Musical"),""))</f>
        <v/>
      </c>
      <c r="U218" t="str">
        <f>IF(S218="","",IFERROR(AVERAGEIFS(nNOTA,nNIA,S218,nEVAL,CONFIG_METADATA!$B$4,nASIG,"Coro"),""))</f>
        <v/>
      </c>
      <c r="V218" t="str">
        <f>IF(S218="","",IFERROR(AVERAGEIFS(nNOTA,nNIA,S218,nEVAL,CONFIG_METADATA!$B$4,nASIG,"Conjunto"),""))</f>
        <v/>
      </c>
      <c r="W218" t="str" cm="1">
        <f t="array" ref="W218">IF(S218="","",IFERROR(AVERAGE(IF((nNIA=S218)*(nEVAL=CONFIG_METADATA!$B$4)*(nASIG&lt;&gt;"Lenguaje Musical")*(nASIG&lt;&gt;"Coro")*(nASIG&lt;&gt;"Conjunto"),nNOTA)),""))</f>
        <v/>
      </c>
    </row>
    <row r="219" spans="2:23" x14ac:dyDescent="0.2">
      <c r="B219" t="str">
        <f>IF(A219="","",IFERROR(AVERAGEIFS(nNOTA,nNIA,A219,nEVAL,CONFIG_METADATA!$B$4,nASIG,"Lenguaje Musical"),""))</f>
        <v/>
      </c>
      <c r="C219" t="str">
        <f>IF(A219="","",IFERROR(AVERAGEIFS(nNOTA,nNIA,A219,nEVAL,CONFIG_METADATA!$B$4,nASIG,"Coro"),""))</f>
        <v/>
      </c>
      <c r="D219" t="str">
        <f>IF(A219="","",IFERROR(AVERAGEIFS(nNOTA,nNIA,A219,nEVAL,CONFIG_METADATA!$B$4,nASIG,"Conjunto"),""))</f>
        <v/>
      </c>
      <c r="E219" t="str" cm="1">
        <f t="array" ref="E219">IF(A219="","",IFERROR(AVERAGE(IF((nNIA=A219)*(nEVAL=CONFIG_METADATA!$B$4)*(nASIG&lt;&gt;"Lenguaje Musical")*(nASIG&lt;&gt;"Coro")*(nASIG&lt;&gt;"Conjunto"),nNOTA)),""))</f>
        <v/>
      </c>
      <c r="H219" t="str">
        <f>IF(G219="","",IFERROR(AVERAGEIFS(nNOTA,nNIA,G219,nEVAL,CONFIG_METADATA!$B$4,nASIG,"Lenguaje Musical"),""))</f>
        <v/>
      </c>
      <c r="I219" t="str">
        <f>IF(G219="","",IFERROR(AVERAGEIFS(nNOTA,nNIA,G219,nEVAL,CONFIG_METADATA!$B$4,nASIG,"Coro"),""))</f>
        <v/>
      </c>
      <c r="J219" t="str">
        <f>IF(G219="","",IFERROR(AVERAGEIFS(nNOTA,nNIA,G219,nEVAL,CONFIG_METADATA!$B$4,nASIG,"Conjunto"),""))</f>
        <v/>
      </c>
      <c r="K219" t="str" cm="1">
        <f t="array" ref="K219">IF(G219="","",IFERROR(AVERAGE(IF((nNIA=G219)*(nEVAL=CONFIG_METADATA!$B$4)*(nASIG&lt;&gt;"Lenguaje Musical")*(nASIG&lt;&gt;"Coro")*(nASIG&lt;&gt;"Conjunto"),nNOTA)),""))</f>
        <v/>
      </c>
      <c r="N219" t="str">
        <f>IF(M219="","",IFERROR(AVERAGEIFS(nNOTA,nNIA,M219,nEVAL,CONFIG_METADATA!$B$4,nASIG,"Lenguaje Musical"),""))</f>
        <v/>
      </c>
      <c r="O219" t="str">
        <f>IF(M219="","",IFERROR(AVERAGEIFS(nNOTA,nNIA,M219,nEVAL,CONFIG_METADATA!$B$4,nASIG,"Coro"),""))</f>
        <v/>
      </c>
      <c r="P219" t="str">
        <f>IF(M219="","",IFERROR(AVERAGEIFS(nNOTA,nNIA,M219,nEVAL,CONFIG_METADATA!$B$4,nASIG,"Conjunto"),""))</f>
        <v/>
      </c>
      <c r="Q219" t="str">
        <f>IF(M219="","",IFERROR(AVERAGEIFS(nNOTA,nNIA,M219,nEVAL,CONFIG_METADATA!$B$4,nASIG,"&lt;&gt;Lenguaje Musical",nASIG,"&lt;&gt;Coro",nASIG,"&lt;&gt;Conjunto"),""))</f>
        <v/>
      </c>
      <c r="T219" t="str">
        <f>IF(S219="","",IFERROR(AVERAGEIFS(nNOTA,nNIA,S219,nEVAL,CONFIG_METADATA!$B$4,nASIG,"Lenguaje Musical"),""))</f>
        <v/>
      </c>
      <c r="U219" t="str">
        <f>IF(S219="","",IFERROR(AVERAGEIFS(nNOTA,nNIA,S219,nEVAL,CONFIG_METADATA!$B$4,nASIG,"Coro"),""))</f>
        <v/>
      </c>
      <c r="V219" t="str">
        <f>IF(S219="","",IFERROR(AVERAGEIFS(nNOTA,nNIA,S219,nEVAL,CONFIG_METADATA!$B$4,nASIG,"Conjunto"),""))</f>
        <v/>
      </c>
      <c r="W219" t="str" cm="1">
        <f t="array" ref="W219">IF(S219="","",IFERROR(AVERAGE(IF((nNIA=S219)*(nEVAL=CONFIG_METADATA!$B$4)*(nASIG&lt;&gt;"Lenguaje Musical")*(nASIG&lt;&gt;"Coro")*(nASIG&lt;&gt;"Conjunto"),nNOTA)),""))</f>
        <v/>
      </c>
    </row>
    <row r="220" spans="2:23" x14ac:dyDescent="0.2">
      <c r="B220" t="str">
        <f>IF(A220="","",IFERROR(AVERAGEIFS(nNOTA,nNIA,A220,nEVAL,CONFIG_METADATA!$B$4,nASIG,"Lenguaje Musical"),""))</f>
        <v/>
      </c>
      <c r="C220" t="str">
        <f>IF(A220="","",IFERROR(AVERAGEIFS(nNOTA,nNIA,A220,nEVAL,CONFIG_METADATA!$B$4,nASIG,"Coro"),""))</f>
        <v/>
      </c>
      <c r="D220" t="str">
        <f>IF(A220="","",IFERROR(AVERAGEIFS(nNOTA,nNIA,A220,nEVAL,CONFIG_METADATA!$B$4,nASIG,"Conjunto"),""))</f>
        <v/>
      </c>
      <c r="E220" t="str" cm="1">
        <f t="array" ref="E220">IF(A220="","",IFERROR(AVERAGE(IF((nNIA=A220)*(nEVAL=CONFIG_METADATA!$B$4)*(nASIG&lt;&gt;"Lenguaje Musical")*(nASIG&lt;&gt;"Coro")*(nASIG&lt;&gt;"Conjunto"),nNOTA)),""))</f>
        <v/>
      </c>
      <c r="H220" t="str">
        <f>IF(G220="","",IFERROR(AVERAGEIFS(nNOTA,nNIA,G220,nEVAL,CONFIG_METADATA!$B$4,nASIG,"Lenguaje Musical"),""))</f>
        <v/>
      </c>
      <c r="I220" t="str">
        <f>IF(G220="","",IFERROR(AVERAGEIFS(nNOTA,nNIA,G220,nEVAL,CONFIG_METADATA!$B$4,nASIG,"Coro"),""))</f>
        <v/>
      </c>
      <c r="J220" t="str">
        <f>IF(G220="","",IFERROR(AVERAGEIFS(nNOTA,nNIA,G220,nEVAL,CONFIG_METADATA!$B$4,nASIG,"Conjunto"),""))</f>
        <v/>
      </c>
      <c r="K220" t="str" cm="1">
        <f t="array" ref="K220">IF(G220="","",IFERROR(AVERAGE(IF((nNIA=G220)*(nEVAL=CONFIG_METADATA!$B$4)*(nASIG&lt;&gt;"Lenguaje Musical")*(nASIG&lt;&gt;"Coro")*(nASIG&lt;&gt;"Conjunto"),nNOTA)),""))</f>
        <v/>
      </c>
      <c r="N220" t="str">
        <f>IF(M220="","",IFERROR(AVERAGEIFS(nNOTA,nNIA,M220,nEVAL,CONFIG_METADATA!$B$4,nASIG,"Lenguaje Musical"),""))</f>
        <v/>
      </c>
      <c r="O220" t="str">
        <f>IF(M220="","",IFERROR(AVERAGEIFS(nNOTA,nNIA,M220,nEVAL,CONFIG_METADATA!$B$4,nASIG,"Coro"),""))</f>
        <v/>
      </c>
      <c r="P220" t="str">
        <f>IF(M220="","",IFERROR(AVERAGEIFS(nNOTA,nNIA,M220,nEVAL,CONFIG_METADATA!$B$4,nASIG,"Conjunto"),""))</f>
        <v/>
      </c>
      <c r="Q220" t="str">
        <f>IF(M220="","",IFERROR(AVERAGEIFS(nNOTA,nNIA,M220,nEVAL,CONFIG_METADATA!$B$4,nASIG,"&lt;&gt;Lenguaje Musical",nASIG,"&lt;&gt;Coro",nASIG,"&lt;&gt;Conjunto"),""))</f>
        <v/>
      </c>
      <c r="T220" t="str">
        <f>IF(S220="","",IFERROR(AVERAGEIFS(nNOTA,nNIA,S220,nEVAL,CONFIG_METADATA!$B$4,nASIG,"Lenguaje Musical"),""))</f>
        <v/>
      </c>
      <c r="U220" t="str">
        <f>IF(S220="","",IFERROR(AVERAGEIFS(nNOTA,nNIA,S220,nEVAL,CONFIG_METADATA!$B$4,nASIG,"Coro"),""))</f>
        <v/>
      </c>
      <c r="V220" t="str">
        <f>IF(S220="","",IFERROR(AVERAGEIFS(nNOTA,nNIA,S220,nEVAL,CONFIG_METADATA!$B$4,nASIG,"Conjunto"),""))</f>
        <v/>
      </c>
      <c r="W220" t="str" cm="1">
        <f t="array" ref="W220">IF(S220="","",IFERROR(AVERAGE(IF((nNIA=S220)*(nEVAL=CONFIG_METADATA!$B$4)*(nASIG&lt;&gt;"Lenguaje Musical")*(nASIG&lt;&gt;"Coro")*(nASIG&lt;&gt;"Conjunto"),nNOTA)),""))</f>
        <v/>
      </c>
    </row>
    <row r="221" spans="2:23" x14ac:dyDescent="0.2">
      <c r="B221" t="str">
        <f>IF(A221="","",IFERROR(AVERAGEIFS(nNOTA,nNIA,A221,nEVAL,CONFIG_METADATA!$B$4,nASIG,"Lenguaje Musical"),""))</f>
        <v/>
      </c>
      <c r="C221" t="str">
        <f>IF(A221="","",IFERROR(AVERAGEIFS(nNOTA,nNIA,A221,nEVAL,CONFIG_METADATA!$B$4,nASIG,"Coro"),""))</f>
        <v/>
      </c>
      <c r="D221" t="str">
        <f>IF(A221="","",IFERROR(AVERAGEIFS(nNOTA,nNIA,A221,nEVAL,CONFIG_METADATA!$B$4,nASIG,"Conjunto"),""))</f>
        <v/>
      </c>
      <c r="E221" t="str" cm="1">
        <f t="array" ref="E221">IF(A221="","",IFERROR(AVERAGE(IF((nNIA=A221)*(nEVAL=CONFIG_METADATA!$B$4)*(nASIG&lt;&gt;"Lenguaje Musical")*(nASIG&lt;&gt;"Coro")*(nASIG&lt;&gt;"Conjunto"),nNOTA)),""))</f>
        <v/>
      </c>
      <c r="H221" t="str">
        <f>IF(G221="","",IFERROR(AVERAGEIFS(nNOTA,nNIA,G221,nEVAL,CONFIG_METADATA!$B$4,nASIG,"Lenguaje Musical"),""))</f>
        <v/>
      </c>
      <c r="I221" t="str">
        <f>IF(G221="","",IFERROR(AVERAGEIFS(nNOTA,nNIA,G221,nEVAL,CONFIG_METADATA!$B$4,nASIG,"Coro"),""))</f>
        <v/>
      </c>
      <c r="J221" t="str">
        <f>IF(G221="","",IFERROR(AVERAGEIFS(nNOTA,nNIA,G221,nEVAL,CONFIG_METADATA!$B$4,nASIG,"Conjunto"),""))</f>
        <v/>
      </c>
      <c r="K221" t="str" cm="1">
        <f t="array" ref="K221">IF(G221="","",IFERROR(AVERAGE(IF((nNIA=G221)*(nEVAL=CONFIG_METADATA!$B$4)*(nASIG&lt;&gt;"Lenguaje Musical")*(nASIG&lt;&gt;"Coro")*(nASIG&lt;&gt;"Conjunto"),nNOTA)),""))</f>
        <v/>
      </c>
      <c r="N221" t="str">
        <f>IF(M221="","",IFERROR(AVERAGEIFS(nNOTA,nNIA,M221,nEVAL,CONFIG_METADATA!$B$4,nASIG,"Lenguaje Musical"),""))</f>
        <v/>
      </c>
      <c r="O221" t="str">
        <f>IF(M221="","",IFERROR(AVERAGEIFS(nNOTA,nNIA,M221,nEVAL,CONFIG_METADATA!$B$4,nASIG,"Coro"),""))</f>
        <v/>
      </c>
      <c r="P221" t="str">
        <f>IF(M221="","",IFERROR(AVERAGEIFS(nNOTA,nNIA,M221,nEVAL,CONFIG_METADATA!$B$4,nASIG,"Conjunto"),""))</f>
        <v/>
      </c>
      <c r="Q221" t="str">
        <f>IF(M221="","",IFERROR(AVERAGEIFS(nNOTA,nNIA,M221,nEVAL,CONFIG_METADATA!$B$4,nASIG,"&lt;&gt;Lenguaje Musical",nASIG,"&lt;&gt;Coro",nASIG,"&lt;&gt;Conjunto"),""))</f>
        <v/>
      </c>
      <c r="T221" t="str">
        <f>IF(S221="","",IFERROR(AVERAGEIFS(nNOTA,nNIA,S221,nEVAL,CONFIG_METADATA!$B$4,nASIG,"Lenguaje Musical"),""))</f>
        <v/>
      </c>
      <c r="U221" t="str">
        <f>IF(S221="","",IFERROR(AVERAGEIFS(nNOTA,nNIA,S221,nEVAL,CONFIG_METADATA!$B$4,nASIG,"Coro"),""))</f>
        <v/>
      </c>
      <c r="V221" t="str">
        <f>IF(S221="","",IFERROR(AVERAGEIFS(nNOTA,nNIA,S221,nEVAL,CONFIG_METADATA!$B$4,nASIG,"Conjunto"),""))</f>
        <v/>
      </c>
      <c r="W221" t="str" cm="1">
        <f t="array" ref="W221">IF(S221="","",IFERROR(AVERAGE(IF((nNIA=S221)*(nEVAL=CONFIG_METADATA!$B$4)*(nASIG&lt;&gt;"Lenguaje Musical")*(nASIG&lt;&gt;"Coro")*(nASIG&lt;&gt;"Conjunto"),nNOTA)),""))</f>
        <v/>
      </c>
    </row>
    <row r="222" spans="2:23" x14ac:dyDescent="0.2">
      <c r="B222" t="str">
        <f>IF(A222="","",IFERROR(AVERAGEIFS(nNOTA,nNIA,A222,nEVAL,CONFIG_METADATA!$B$4,nASIG,"Lenguaje Musical"),""))</f>
        <v/>
      </c>
      <c r="C222" t="str">
        <f>IF(A222="","",IFERROR(AVERAGEIFS(nNOTA,nNIA,A222,nEVAL,CONFIG_METADATA!$B$4,nASIG,"Coro"),""))</f>
        <v/>
      </c>
      <c r="D222" t="str">
        <f>IF(A222="","",IFERROR(AVERAGEIFS(nNOTA,nNIA,A222,nEVAL,CONFIG_METADATA!$B$4,nASIG,"Conjunto"),""))</f>
        <v/>
      </c>
      <c r="E222" t="str" cm="1">
        <f t="array" ref="E222">IF(A222="","",IFERROR(AVERAGE(IF((nNIA=A222)*(nEVAL=CONFIG_METADATA!$B$4)*(nASIG&lt;&gt;"Lenguaje Musical")*(nASIG&lt;&gt;"Coro")*(nASIG&lt;&gt;"Conjunto"),nNOTA)),""))</f>
        <v/>
      </c>
      <c r="H222" t="str">
        <f>IF(G222="","",IFERROR(AVERAGEIFS(nNOTA,nNIA,G222,nEVAL,CONFIG_METADATA!$B$4,nASIG,"Lenguaje Musical"),""))</f>
        <v/>
      </c>
      <c r="I222" t="str">
        <f>IF(G222="","",IFERROR(AVERAGEIFS(nNOTA,nNIA,G222,nEVAL,CONFIG_METADATA!$B$4,nASIG,"Coro"),""))</f>
        <v/>
      </c>
      <c r="J222" t="str">
        <f>IF(G222="","",IFERROR(AVERAGEIFS(nNOTA,nNIA,G222,nEVAL,CONFIG_METADATA!$B$4,nASIG,"Conjunto"),""))</f>
        <v/>
      </c>
      <c r="K222" t="str" cm="1">
        <f t="array" ref="K222">IF(G222="","",IFERROR(AVERAGE(IF((nNIA=G222)*(nEVAL=CONFIG_METADATA!$B$4)*(nASIG&lt;&gt;"Lenguaje Musical")*(nASIG&lt;&gt;"Coro")*(nASIG&lt;&gt;"Conjunto"),nNOTA)),""))</f>
        <v/>
      </c>
      <c r="N222" t="str">
        <f>IF(M222="","",IFERROR(AVERAGEIFS(nNOTA,nNIA,M222,nEVAL,CONFIG_METADATA!$B$4,nASIG,"Lenguaje Musical"),""))</f>
        <v/>
      </c>
      <c r="O222" t="str">
        <f>IF(M222="","",IFERROR(AVERAGEIFS(nNOTA,nNIA,M222,nEVAL,CONFIG_METADATA!$B$4,nASIG,"Coro"),""))</f>
        <v/>
      </c>
      <c r="P222" t="str">
        <f>IF(M222="","",IFERROR(AVERAGEIFS(nNOTA,nNIA,M222,nEVAL,CONFIG_METADATA!$B$4,nASIG,"Conjunto"),""))</f>
        <v/>
      </c>
      <c r="Q222" t="str">
        <f>IF(M222="","",IFERROR(AVERAGEIFS(nNOTA,nNIA,M222,nEVAL,CONFIG_METADATA!$B$4,nASIG,"&lt;&gt;Lenguaje Musical",nASIG,"&lt;&gt;Coro",nASIG,"&lt;&gt;Conjunto"),""))</f>
        <v/>
      </c>
      <c r="T222" t="str">
        <f>IF(S222="","",IFERROR(AVERAGEIFS(nNOTA,nNIA,S222,nEVAL,CONFIG_METADATA!$B$4,nASIG,"Lenguaje Musical"),""))</f>
        <v/>
      </c>
      <c r="U222" t="str">
        <f>IF(S222="","",IFERROR(AVERAGEIFS(nNOTA,nNIA,S222,nEVAL,CONFIG_METADATA!$B$4,nASIG,"Coro"),""))</f>
        <v/>
      </c>
      <c r="V222" t="str">
        <f>IF(S222="","",IFERROR(AVERAGEIFS(nNOTA,nNIA,S222,nEVAL,CONFIG_METADATA!$B$4,nASIG,"Conjunto"),""))</f>
        <v/>
      </c>
      <c r="W222" t="str" cm="1">
        <f t="array" ref="W222">IF(S222="","",IFERROR(AVERAGE(IF((nNIA=S222)*(nEVAL=CONFIG_METADATA!$B$4)*(nASIG&lt;&gt;"Lenguaje Musical")*(nASIG&lt;&gt;"Coro")*(nASIG&lt;&gt;"Conjunto"),nNOTA)),""))</f>
        <v/>
      </c>
    </row>
    <row r="223" spans="2:23" x14ac:dyDescent="0.2">
      <c r="B223" t="str">
        <f>IF(A223="","",IFERROR(AVERAGEIFS(nNOTA,nNIA,A223,nEVAL,CONFIG_METADATA!$B$4,nASIG,"Lenguaje Musical"),""))</f>
        <v/>
      </c>
      <c r="C223" t="str">
        <f>IF(A223="","",IFERROR(AVERAGEIFS(nNOTA,nNIA,A223,nEVAL,CONFIG_METADATA!$B$4,nASIG,"Coro"),""))</f>
        <v/>
      </c>
      <c r="D223" t="str">
        <f>IF(A223="","",IFERROR(AVERAGEIFS(nNOTA,nNIA,A223,nEVAL,CONFIG_METADATA!$B$4,nASIG,"Conjunto"),""))</f>
        <v/>
      </c>
      <c r="E223" t="str" cm="1">
        <f t="array" ref="E223">IF(A223="","",IFERROR(AVERAGE(IF((nNIA=A223)*(nEVAL=CONFIG_METADATA!$B$4)*(nASIG&lt;&gt;"Lenguaje Musical")*(nASIG&lt;&gt;"Coro")*(nASIG&lt;&gt;"Conjunto"),nNOTA)),""))</f>
        <v/>
      </c>
      <c r="H223" t="str">
        <f>IF(G223="","",IFERROR(AVERAGEIFS(nNOTA,nNIA,G223,nEVAL,CONFIG_METADATA!$B$4,nASIG,"Lenguaje Musical"),""))</f>
        <v/>
      </c>
      <c r="I223" t="str">
        <f>IF(G223="","",IFERROR(AVERAGEIFS(nNOTA,nNIA,G223,nEVAL,CONFIG_METADATA!$B$4,nASIG,"Coro"),""))</f>
        <v/>
      </c>
      <c r="J223" t="str">
        <f>IF(G223="","",IFERROR(AVERAGEIFS(nNOTA,nNIA,G223,nEVAL,CONFIG_METADATA!$B$4,nASIG,"Conjunto"),""))</f>
        <v/>
      </c>
      <c r="K223" t="str" cm="1">
        <f t="array" ref="K223">IF(G223="","",IFERROR(AVERAGE(IF((nNIA=G223)*(nEVAL=CONFIG_METADATA!$B$4)*(nASIG&lt;&gt;"Lenguaje Musical")*(nASIG&lt;&gt;"Coro")*(nASIG&lt;&gt;"Conjunto"),nNOTA)),""))</f>
        <v/>
      </c>
      <c r="N223" t="str">
        <f>IF(M223="","",IFERROR(AVERAGEIFS(nNOTA,nNIA,M223,nEVAL,CONFIG_METADATA!$B$4,nASIG,"Lenguaje Musical"),""))</f>
        <v/>
      </c>
      <c r="O223" t="str">
        <f>IF(M223="","",IFERROR(AVERAGEIFS(nNOTA,nNIA,M223,nEVAL,CONFIG_METADATA!$B$4,nASIG,"Coro"),""))</f>
        <v/>
      </c>
      <c r="P223" t="str">
        <f>IF(M223="","",IFERROR(AVERAGEIFS(nNOTA,nNIA,M223,nEVAL,CONFIG_METADATA!$B$4,nASIG,"Conjunto"),""))</f>
        <v/>
      </c>
      <c r="Q223" t="str">
        <f>IF(M223="","",IFERROR(AVERAGEIFS(nNOTA,nNIA,M223,nEVAL,CONFIG_METADATA!$B$4,nASIG,"&lt;&gt;Lenguaje Musical",nASIG,"&lt;&gt;Coro",nASIG,"&lt;&gt;Conjunto"),""))</f>
        <v/>
      </c>
      <c r="T223" t="str">
        <f>IF(S223="","",IFERROR(AVERAGEIFS(nNOTA,nNIA,S223,nEVAL,CONFIG_METADATA!$B$4,nASIG,"Lenguaje Musical"),""))</f>
        <v/>
      </c>
      <c r="U223" t="str">
        <f>IF(S223="","",IFERROR(AVERAGEIFS(nNOTA,nNIA,S223,nEVAL,CONFIG_METADATA!$B$4,nASIG,"Coro"),""))</f>
        <v/>
      </c>
      <c r="V223" t="str">
        <f>IF(S223="","",IFERROR(AVERAGEIFS(nNOTA,nNIA,S223,nEVAL,CONFIG_METADATA!$B$4,nASIG,"Conjunto"),""))</f>
        <v/>
      </c>
      <c r="W223" t="str" cm="1">
        <f t="array" ref="W223">IF(S223="","",IFERROR(AVERAGE(IF((nNIA=S223)*(nEVAL=CONFIG_METADATA!$B$4)*(nASIG&lt;&gt;"Lenguaje Musical")*(nASIG&lt;&gt;"Coro")*(nASIG&lt;&gt;"Conjunto"),nNOTA)),""))</f>
        <v/>
      </c>
    </row>
    <row r="224" spans="2:23" x14ac:dyDescent="0.2">
      <c r="B224" t="str">
        <f>IF(A224="","",IFERROR(AVERAGEIFS(nNOTA,nNIA,A224,nEVAL,CONFIG_METADATA!$B$4,nASIG,"Lenguaje Musical"),""))</f>
        <v/>
      </c>
      <c r="C224" t="str">
        <f>IF(A224="","",IFERROR(AVERAGEIFS(nNOTA,nNIA,A224,nEVAL,CONFIG_METADATA!$B$4,nASIG,"Coro"),""))</f>
        <v/>
      </c>
      <c r="D224" t="str">
        <f>IF(A224="","",IFERROR(AVERAGEIFS(nNOTA,nNIA,A224,nEVAL,CONFIG_METADATA!$B$4,nASIG,"Conjunto"),""))</f>
        <v/>
      </c>
      <c r="E224" t="str" cm="1">
        <f t="array" ref="E224">IF(A224="","",IFERROR(AVERAGE(IF((nNIA=A224)*(nEVAL=CONFIG_METADATA!$B$4)*(nASIG&lt;&gt;"Lenguaje Musical")*(nASIG&lt;&gt;"Coro")*(nASIG&lt;&gt;"Conjunto"),nNOTA)),""))</f>
        <v/>
      </c>
      <c r="H224" t="str">
        <f>IF(G224="","",IFERROR(AVERAGEIFS(nNOTA,nNIA,G224,nEVAL,CONFIG_METADATA!$B$4,nASIG,"Lenguaje Musical"),""))</f>
        <v/>
      </c>
      <c r="I224" t="str">
        <f>IF(G224="","",IFERROR(AVERAGEIFS(nNOTA,nNIA,G224,nEVAL,CONFIG_METADATA!$B$4,nASIG,"Coro"),""))</f>
        <v/>
      </c>
      <c r="J224" t="str">
        <f>IF(G224="","",IFERROR(AVERAGEIFS(nNOTA,nNIA,G224,nEVAL,CONFIG_METADATA!$B$4,nASIG,"Conjunto"),""))</f>
        <v/>
      </c>
      <c r="K224" t="str" cm="1">
        <f t="array" ref="K224">IF(G224="","",IFERROR(AVERAGE(IF((nNIA=G224)*(nEVAL=CONFIG_METADATA!$B$4)*(nASIG&lt;&gt;"Lenguaje Musical")*(nASIG&lt;&gt;"Coro")*(nASIG&lt;&gt;"Conjunto"),nNOTA)),""))</f>
        <v/>
      </c>
      <c r="N224" t="str">
        <f>IF(M224="","",IFERROR(AVERAGEIFS(nNOTA,nNIA,M224,nEVAL,CONFIG_METADATA!$B$4,nASIG,"Lenguaje Musical"),""))</f>
        <v/>
      </c>
      <c r="O224" t="str">
        <f>IF(M224="","",IFERROR(AVERAGEIFS(nNOTA,nNIA,M224,nEVAL,CONFIG_METADATA!$B$4,nASIG,"Coro"),""))</f>
        <v/>
      </c>
      <c r="P224" t="str">
        <f>IF(M224="","",IFERROR(AVERAGEIFS(nNOTA,nNIA,M224,nEVAL,CONFIG_METADATA!$B$4,nASIG,"Conjunto"),""))</f>
        <v/>
      </c>
      <c r="Q224" t="str">
        <f>IF(M224="","",IFERROR(AVERAGEIFS(nNOTA,nNIA,M224,nEVAL,CONFIG_METADATA!$B$4,nASIG,"&lt;&gt;Lenguaje Musical",nASIG,"&lt;&gt;Coro",nASIG,"&lt;&gt;Conjunto"),""))</f>
        <v/>
      </c>
      <c r="T224" t="str">
        <f>IF(S224="","",IFERROR(AVERAGEIFS(nNOTA,nNIA,S224,nEVAL,CONFIG_METADATA!$B$4,nASIG,"Lenguaje Musical"),""))</f>
        <v/>
      </c>
      <c r="U224" t="str">
        <f>IF(S224="","",IFERROR(AVERAGEIFS(nNOTA,nNIA,S224,nEVAL,CONFIG_METADATA!$B$4,nASIG,"Coro"),""))</f>
        <v/>
      </c>
      <c r="V224" t="str">
        <f>IF(S224="","",IFERROR(AVERAGEIFS(nNOTA,nNIA,S224,nEVAL,CONFIG_METADATA!$B$4,nASIG,"Conjunto"),""))</f>
        <v/>
      </c>
      <c r="W224" t="str" cm="1">
        <f t="array" ref="W224">IF(S224="","",IFERROR(AVERAGE(IF((nNIA=S224)*(nEVAL=CONFIG_METADATA!$B$4)*(nASIG&lt;&gt;"Lenguaje Musical")*(nASIG&lt;&gt;"Coro")*(nASIG&lt;&gt;"Conjunto"),nNOTA)),""))</f>
        <v/>
      </c>
    </row>
    <row r="225" spans="2:23" x14ac:dyDescent="0.2">
      <c r="B225" t="str">
        <f>IF(A225="","",IFERROR(AVERAGEIFS(nNOTA,nNIA,A225,nEVAL,CONFIG_METADATA!$B$4,nASIG,"Lenguaje Musical"),""))</f>
        <v/>
      </c>
      <c r="C225" t="str">
        <f>IF(A225="","",IFERROR(AVERAGEIFS(nNOTA,nNIA,A225,nEVAL,CONFIG_METADATA!$B$4,nASIG,"Coro"),""))</f>
        <v/>
      </c>
      <c r="D225" t="str">
        <f>IF(A225="","",IFERROR(AVERAGEIFS(nNOTA,nNIA,A225,nEVAL,CONFIG_METADATA!$B$4,nASIG,"Conjunto"),""))</f>
        <v/>
      </c>
      <c r="E225" t="str" cm="1">
        <f t="array" ref="E225">IF(A225="","",IFERROR(AVERAGE(IF((nNIA=A225)*(nEVAL=CONFIG_METADATA!$B$4)*(nASIG&lt;&gt;"Lenguaje Musical")*(nASIG&lt;&gt;"Coro")*(nASIG&lt;&gt;"Conjunto"),nNOTA)),""))</f>
        <v/>
      </c>
      <c r="H225" t="str">
        <f>IF(G225="","",IFERROR(AVERAGEIFS(nNOTA,nNIA,G225,nEVAL,CONFIG_METADATA!$B$4,nASIG,"Lenguaje Musical"),""))</f>
        <v/>
      </c>
      <c r="I225" t="str">
        <f>IF(G225="","",IFERROR(AVERAGEIFS(nNOTA,nNIA,G225,nEVAL,CONFIG_METADATA!$B$4,nASIG,"Coro"),""))</f>
        <v/>
      </c>
      <c r="J225" t="str">
        <f>IF(G225="","",IFERROR(AVERAGEIFS(nNOTA,nNIA,G225,nEVAL,CONFIG_METADATA!$B$4,nASIG,"Conjunto"),""))</f>
        <v/>
      </c>
      <c r="K225" t="str" cm="1">
        <f t="array" ref="K225">IF(G225="","",IFERROR(AVERAGE(IF((nNIA=G225)*(nEVAL=CONFIG_METADATA!$B$4)*(nASIG&lt;&gt;"Lenguaje Musical")*(nASIG&lt;&gt;"Coro")*(nASIG&lt;&gt;"Conjunto"),nNOTA)),""))</f>
        <v/>
      </c>
      <c r="N225" t="str">
        <f>IF(M225="","",IFERROR(AVERAGEIFS(nNOTA,nNIA,M225,nEVAL,CONFIG_METADATA!$B$4,nASIG,"Lenguaje Musical"),""))</f>
        <v/>
      </c>
      <c r="O225" t="str">
        <f>IF(M225="","",IFERROR(AVERAGEIFS(nNOTA,nNIA,M225,nEVAL,CONFIG_METADATA!$B$4,nASIG,"Coro"),""))</f>
        <v/>
      </c>
      <c r="P225" t="str">
        <f>IF(M225="","",IFERROR(AVERAGEIFS(nNOTA,nNIA,M225,nEVAL,CONFIG_METADATA!$B$4,nASIG,"Conjunto"),""))</f>
        <v/>
      </c>
      <c r="Q225" t="str">
        <f>IF(M225="","",IFERROR(AVERAGEIFS(nNOTA,nNIA,M225,nEVAL,CONFIG_METADATA!$B$4,nASIG,"&lt;&gt;Lenguaje Musical",nASIG,"&lt;&gt;Coro",nASIG,"&lt;&gt;Conjunto"),""))</f>
        <v/>
      </c>
      <c r="T225" t="str">
        <f>IF(S225="","",IFERROR(AVERAGEIFS(nNOTA,nNIA,S225,nEVAL,CONFIG_METADATA!$B$4,nASIG,"Lenguaje Musical"),""))</f>
        <v/>
      </c>
      <c r="U225" t="str">
        <f>IF(S225="","",IFERROR(AVERAGEIFS(nNOTA,nNIA,S225,nEVAL,CONFIG_METADATA!$B$4,nASIG,"Coro"),""))</f>
        <v/>
      </c>
      <c r="V225" t="str">
        <f>IF(S225="","",IFERROR(AVERAGEIFS(nNOTA,nNIA,S225,nEVAL,CONFIG_METADATA!$B$4,nASIG,"Conjunto"),""))</f>
        <v/>
      </c>
      <c r="W225" t="str" cm="1">
        <f t="array" ref="W225">IF(S225="","",IFERROR(AVERAGE(IF((nNIA=S225)*(nEVAL=CONFIG_METADATA!$B$4)*(nASIG&lt;&gt;"Lenguaje Musical")*(nASIG&lt;&gt;"Coro")*(nASIG&lt;&gt;"Conjunto"),nNOTA)),""))</f>
        <v/>
      </c>
    </row>
    <row r="226" spans="2:23" x14ac:dyDescent="0.2">
      <c r="B226" t="str">
        <f>IF(A226="","",IFERROR(AVERAGEIFS(nNOTA,nNIA,A226,nEVAL,CONFIG_METADATA!$B$4,nASIG,"Lenguaje Musical"),""))</f>
        <v/>
      </c>
      <c r="C226" t="str">
        <f>IF(A226="","",IFERROR(AVERAGEIFS(nNOTA,nNIA,A226,nEVAL,CONFIG_METADATA!$B$4,nASIG,"Coro"),""))</f>
        <v/>
      </c>
      <c r="D226" t="str">
        <f>IF(A226="","",IFERROR(AVERAGEIFS(nNOTA,nNIA,A226,nEVAL,CONFIG_METADATA!$B$4,nASIG,"Conjunto"),""))</f>
        <v/>
      </c>
      <c r="E226" t="str" cm="1">
        <f t="array" ref="E226">IF(A226="","",IFERROR(AVERAGE(IF((nNIA=A226)*(nEVAL=CONFIG_METADATA!$B$4)*(nASIG&lt;&gt;"Lenguaje Musical")*(nASIG&lt;&gt;"Coro")*(nASIG&lt;&gt;"Conjunto"),nNOTA)),""))</f>
        <v/>
      </c>
      <c r="H226" t="str">
        <f>IF(G226="","",IFERROR(AVERAGEIFS(nNOTA,nNIA,G226,nEVAL,CONFIG_METADATA!$B$4,nASIG,"Lenguaje Musical"),""))</f>
        <v/>
      </c>
      <c r="I226" t="str">
        <f>IF(G226="","",IFERROR(AVERAGEIFS(nNOTA,nNIA,G226,nEVAL,CONFIG_METADATA!$B$4,nASIG,"Coro"),""))</f>
        <v/>
      </c>
      <c r="J226" t="str">
        <f>IF(G226="","",IFERROR(AVERAGEIFS(nNOTA,nNIA,G226,nEVAL,CONFIG_METADATA!$B$4,nASIG,"Conjunto"),""))</f>
        <v/>
      </c>
      <c r="K226" t="str" cm="1">
        <f t="array" ref="K226">IF(G226="","",IFERROR(AVERAGE(IF((nNIA=G226)*(nEVAL=CONFIG_METADATA!$B$4)*(nASIG&lt;&gt;"Lenguaje Musical")*(nASIG&lt;&gt;"Coro")*(nASIG&lt;&gt;"Conjunto"),nNOTA)),""))</f>
        <v/>
      </c>
      <c r="N226" t="str">
        <f>IF(M226="","",IFERROR(AVERAGEIFS(nNOTA,nNIA,M226,nEVAL,CONFIG_METADATA!$B$4,nASIG,"Lenguaje Musical"),""))</f>
        <v/>
      </c>
      <c r="O226" t="str">
        <f>IF(M226="","",IFERROR(AVERAGEIFS(nNOTA,nNIA,M226,nEVAL,CONFIG_METADATA!$B$4,nASIG,"Coro"),""))</f>
        <v/>
      </c>
      <c r="P226" t="str">
        <f>IF(M226="","",IFERROR(AVERAGEIFS(nNOTA,nNIA,M226,nEVAL,CONFIG_METADATA!$B$4,nASIG,"Conjunto"),""))</f>
        <v/>
      </c>
      <c r="Q226" t="str">
        <f>IF(M226="","",IFERROR(AVERAGEIFS(nNOTA,nNIA,M226,nEVAL,CONFIG_METADATA!$B$4,nASIG,"&lt;&gt;Lenguaje Musical",nASIG,"&lt;&gt;Coro",nASIG,"&lt;&gt;Conjunto"),""))</f>
        <v/>
      </c>
      <c r="T226" t="str">
        <f>IF(S226="","",IFERROR(AVERAGEIFS(nNOTA,nNIA,S226,nEVAL,CONFIG_METADATA!$B$4,nASIG,"Lenguaje Musical"),""))</f>
        <v/>
      </c>
      <c r="U226" t="str">
        <f>IF(S226="","",IFERROR(AVERAGEIFS(nNOTA,nNIA,S226,nEVAL,CONFIG_METADATA!$B$4,nASIG,"Coro"),""))</f>
        <v/>
      </c>
      <c r="V226" t="str">
        <f>IF(S226="","",IFERROR(AVERAGEIFS(nNOTA,nNIA,S226,nEVAL,CONFIG_METADATA!$B$4,nASIG,"Conjunto"),""))</f>
        <v/>
      </c>
      <c r="W226" t="str" cm="1">
        <f t="array" ref="W226">IF(S226="","",IFERROR(AVERAGE(IF((nNIA=S226)*(nEVAL=CONFIG_METADATA!$B$4)*(nASIG&lt;&gt;"Lenguaje Musical")*(nASIG&lt;&gt;"Coro")*(nASIG&lt;&gt;"Conjunto"),nNOTA)),""))</f>
        <v/>
      </c>
    </row>
    <row r="227" spans="2:23" x14ac:dyDescent="0.2">
      <c r="B227" t="str">
        <f>IF(A227="","",IFERROR(AVERAGEIFS(nNOTA,nNIA,A227,nEVAL,CONFIG_METADATA!$B$4,nASIG,"Lenguaje Musical"),""))</f>
        <v/>
      </c>
      <c r="C227" t="str">
        <f>IF(A227="","",IFERROR(AVERAGEIFS(nNOTA,nNIA,A227,nEVAL,CONFIG_METADATA!$B$4,nASIG,"Coro"),""))</f>
        <v/>
      </c>
      <c r="D227" t="str">
        <f>IF(A227="","",IFERROR(AVERAGEIFS(nNOTA,nNIA,A227,nEVAL,CONFIG_METADATA!$B$4,nASIG,"Conjunto"),""))</f>
        <v/>
      </c>
      <c r="E227" t="str" cm="1">
        <f t="array" ref="E227">IF(A227="","",IFERROR(AVERAGE(IF((nNIA=A227)*(nEVAL=CONFIG_METADATA!$B$4)*(nASIG&lt;&gt;"Lenguaje Musical")*(nASIG&lt;&gt;"Coro")*(nASIG&lt;&gt;"Conjunto"),nNOTA)),""))</f>
        <v/>
      </c>
      <c r="H227" t="str">
        <f>IF(G227="","",IFERROR(AVERAGEIFS(nNOTA,nNIA,G227,nEVAL,CONFIG_METADATA!$B$4,nASIG,"Lenguaje Musical"),""))</f>
        <v/>
      </c>
      <c r="I227" t="str">
        <f>IF(G227="","",IFERROR(AVERAGEIFS(nNOTA,nNIA,G227,nEVAL,CONFIG_METADATA!$B$4,nASIG,"Coro"),""))</f>
        <v/>
      </c>
      <c r="J227" t="str">
        <f>IF(G227="","",IFERROR(AVERAGEIFS(nNOTA,nNIA,G227,nEVAL,CONFIG_METADATA!$B$4,nASIG,"Conjunto"),""))</f>
        <v/>
      </c>
      <c r="K227" t="str" cm="1">
        <f t="array" ref="K227">IF(G227="","",IFERROR(AVERAGE(IF((nNIA=G227)*(nEVAL=CONFIG_METADATA!$B$4)*(nASIG&lt;&gt;"Lenguaje Musical")*(nASIG&lt;&gt;"Coro")*(nASIG&lt;&gt;"Conjunto"),nNOTA)),""))</f>
        <v/>
      </c>
      <c r="N227" t="str">
        <f>IF(M227="","",IFERROR(AVERAGEIFS(nNOTA,nNIA,M227,nEVAL,CONFIG_METADATA!$B$4,nASIG,"Lenguaje Musical"),""))</f>
        <v/>
      </c>
      <c r="O227" t="str">
        <f>IF(M227="","",IFERROR(AVERAGEIFS(nNOTA,nNIA,M227,nEVAL,CONFIG_METADATA!$B$4,nASIG,"Coro"),""))</f>
        <v/>
      </c>
      <c r="P227" t="str">
        <f>IF(M227="","",IFERROR(AVERAGEIFS(nNOTA,nNIA,M227,nEVAL,CONFIG_METADATA!$B$4,nASIG,"Conjunto"),""))</f>
        <v/>
      </c>
      <c r="Q227" t="str">
        <f>IF(M227="","",IFERROR(AVERAGEIFS(nNOTA,nNIA,M227,nEVAL,CONFIG_METADATA!$B$4,nASIG,"&lt;&gt;Lenguaje Musical",nASIG,"&lt;&gt;Coro",nASIG,"&lt;&gt;Conjunto"),""))</f>
        <v/>
      </c>
      <c r="T227" t="str">
        <f>IF(S227="","",IFERROR(AVERAGEIFS(nNOTA,nNIA,S227,nEVAL,CONFIG_METADATA!$B$4,nASIG,"Lenguaje Musical"),""))</f>
        <v/>
      </c>
      <c r="U227" t="str">
        <f>IF(S227="","",IFERROR(AVERAGEIFS(nNOTA,nNIA,S227,nEVAL,CONFIG_METADATA!$B$4,nASIG,"Coro"),""))</f>
        <v/>
      </c>
      <c r="V227" t="str">
        <f>IF(S227="","",IFERROR(AVERAGEIFS(nNOTA,nNIA,S227,nEVAL,CONFIG_METADATA!$B$4,nASIG,"Conjunto"),""))</f>
        <v/>
      </c>
      <c r="W227" t="str" cm="1">
        <f t="array" ref="W227">IF(S227="","",IFERROR(AVERAGE(IF((nNIA=S227)*(nEVAL=CONFIG_METADATA!$B$4)*(nASIG&lt;&gt;"Lenguaje Musical")*(nASIG&lt;&gt;"Coro")*(nASIG&lt;&gt;"Conjunto"),nNOTA)),""))</f>
        <v/>
      </c>
    </row>
    <row r="228" spans="2:23" x14ac:dyDescent="0.2">
      <c r="B228" t="str">
        <f>IF(A228="","",IFERROR(AVERAGEIFS(nNOTA,nNIA,A228,nEVAL,CONFIG_METADATA!$B$4,nASIG,"Lenguaje Musical"),""))</f>
        <v/>
      </c>
      <c r="C228" t="str">
        <f>IF(A228="","",IFERROR(AVERAGEIFS(nNOTA,nNIA,A228,nEVAL,CONFIG_METADATA!$B$4,nASIG,"Coro"),""))</f>
        <v/>
      </c>
      <c r="D228" t="str">
        <f>IF(A228="","",IFERROR(AVERAGEIFS(nNOTA,nNIA,A228,nEVAL,CONFIG_METADATA!$B$4,nASIG,"Conjunto"),""))</f>
        <v/>
      </c>
      <c r="E228" t="str" cm="1">
        <f t="array" ref="E228">IF(A228="","",IFERROR(AVERAGE(IF((nNIA=A228)*(nEVAL=CONFIG_METADATA!$B$4)*(nASIG&lt;&gt;"Lenguaje Musical")*(nASIG&lt;&gt;"Coro")*(nASIG&lt;&gt;"Conjunto"),nNOTA)),""))</f>
        <v/>
      </c>
      <c r="H228" t="str">
        <f>IF(G228="","",IFERROR(AVERAGEIFS(nNOTA,nNIA,G228,nEVAL,CONFIG_METADATA!$B$4,nASIG,"Lenguaje Musical"),""))</f>
        <v/>
      </c>
      <c r="I228" t="str">
        <f>IF(G228="","",IFERROR(AVERAGEIFS(nNOTA,nNIA,G228,nEVAL,CONFIG_METADATA!$B$4,nASIG,"Coro"),""))</f>
        <v/>
      </c>
      <c r="J228" t="str">
        <f>IF(G228="","",IFERROR(AVERAGEIFS(nNOTA,nNIA,G228,nEVAL,CONFIG_METADATA!$B$4,nASIG,"Conjunto"),""))</f>
        <v/>
      </c>
      <c r="K228" t="str" cm="1">
        <f t="array" ref="K228">IF(G228="","",IFERROR(AVERAGE(IF((nNIA=G228)*(nEVAL=CONFIG_METADATA!$B$4)*(nASIG&lt;&gt;"Lenguaje Musical")*(nASIG&lt;&gt;"Coro")*(nASIG&lt;&gt;"Conjunto"),nNOTA)),""))</f>
        <v/>
      </c>
      <c r="N228" t="str">
        <f>IF(M228="","",IFERROR(AVERAGEIFS(nNOTA,nNIA,M228,nEVAL,CONFIG_METADATA!$B$4,nASIG,"Lenguaje Musical"),""))</f>
        <v/>
      </c>
      <c r="O228" t="str">
        <f>IF(M228="","",IFERROR(AVERAGEIFS(nNOTA,nNIA,M228,nEVAL,CONFIG_METADATA!$B$4,nASIG,"Coro"),""))</f>
        <v/>
      </c>
      <c r="P228" t="str">
        <f>IF(M228="","",IFERROR(AVERAGEIFS(nNOTA,nNIA,M228,nEVAL,CONFIG_METADATA!$B$4,nASIG,"Conjunto"),""))</f>
        <v/>
      </c>
      <c r="Q228" t="str">
        <f>IF(M228="","",IFERROR(AVERAGEIFS(nNOTA,nNIA,M228,nEVAL,CONFIG_METADATA!$B$4,nASIG,"&lt;&gt;Lenguaje Musical",nASIG,"&lt;&gt;Coro",nASIG,"&lt;&gt;Conjunto"),""))</f>
        <v/>
      </c>
      <c r="T228" t="str">
        <f>IF(S228="","",IFERROR(AVERAGEIFS(nNOTA,nNIA,S228,nEVAL,CONFIG_METADATA!$B$4,nASIG,"Lenguaje Musical"),""))</f>
        <v/>
      </c>
      <c r="U228" t="str">
        <f>IF(S228="","",IFERROR(AVERAGEIFS(nNOTA,nNIA,S228,nEVAL,CONFIG_METADATA!$B$4,nASIG,"Coro"),""))</f>
        <v/>
      </c>
      <c r="V228" t="str">
        <f>IF(S228="","",IFERROR(AVERAGEIFS(nNOTA,nNIA,S228,nEVAL,CONFIG_METADATA!$B$4,nASIG,"Conjunto"),""))</f>
        <v/>
      </c>
      <c r="W228" t="str" cm="1">
        <f t="array" ref="W228">IF(S228="","",IFERROR(AVERAGE(IF((nNIA=S228)*(nEVAL=CONFIG_METADATA!$B$4)*(nASIG&lt;&gt;"Lenguaje Musical")*(nASIG&lt;&gt;"Coro")*(nASIG&lt;&gt;"Conjunto"),nNOTA)),""))</f>
        <v/>
      </c>
    </row>
    <row r="229" spans="2:23" x14ac:dyDescent="0.2">
      <c r="B229" t="str">
        <f>IF(A229="","",IFERROR(AVERAGEIFS(nNOTA,nNIA,A229,nEVAL,CONFIG_METADATA!$B$4,nASIG,"Lenguaje Musical"),""))</f>
        <v/>
      </c>
      <c r="C229" t="str">
        <f>IF(A229="","",IFERROR(AVERAGEIFS(nNOTA,nNIA,A229,nEVAL,CONFIG_METADATA!$B$4,nASIG,"Coro"),""))</f>
        <v/>
      </c>
      <c r="D229" t="str">
        <f>IF(A229="","",IFERROR(AVERAGEIFS(nNOTA,nNIA,A229,nEVAL,CONFIG_METADATA!$B$4,nASIG,"Conjunto"),""))</f>
        <v/>
      </c>
      <c r="E229" t="str" cm="1">
        <f t="array" ref="E229">IF(A229="","",IFERROR(AVERAGE(IF((nNIA=A229)*(nEVAL=CONFIG_METADATA!$B$4)*(nASIG&lt;&gt;"Lenguaje Musical")*(nASIG&lt;&gt;"Coro")*(nASIG&lt;&gt;"Conjunto"),nNOTA)),""))</f>
        <v/>
      </c>
      <c r="H229" t="str">
        <f>IF(G229="","",IFERROR(AVERAGEIFS(nNOTA,nNIA,G229,nEVAL,CONFIG_METADATA!$B$4,nASIG,"Lenguaje Musical"),""))</f>
        <v/>
      </c>
      <c r="I229" t="str">
        <f>IF(G229="","",IFERROR(AVERAGEIFS(nNOTA,nNIA,G229,nEVAL,CONFIG_METADATA!$B$4,nASIG,"Coro"),""))</f>
        <v/>
      </c>
      <c r="J229" t="str">
        <f>IF(G229="","",IFERROR(AVERAGEIFS(nNOTA,nNIA,G229,nEVAL,CONFIG_METADATA!$B$4,nASIG,"Conjunto"),""))</f>
        <v/>
      </c>
      <c r="K229" t="str" cm="1">
        <f t="array" ref="K229">IF(G229="","",IFERROR(AVERAGE(IF((nNIA=G229)*(nEVAL=CONFIG_METADATA!$B$4)*(nASIG&lt;&gt;"Lenguaje Musical")*(nASIG&lt;&gt;"Coro")*(nASIG&lt;&gt;"Conjunto"),nNOTA)),""))</f>
        <v/>
      </c>
      <c r="N229" t="str">
        <f>IF(M229="","",IFERROR(AVERAGEIFS(nNOTA,nNIA,M229,nEVAL,CONFIG_METADATA!$B$4,nASIG,"Lenguaje Musical"),""))</f>
        <v/>
      </c>
      <c r="O229" t="str">
        <f>IF(M229="","",IFERROR(AVERAGEIFS(nNOTA,nNIA,M229,nEVAL,CONFIG_METADATA!$B$4,nASIG,"Coro"),""))</f>
        <v/>
      </c>
      <c r="P229" t="str">
        <f>IF(M229="","",IFERROR(AVERAGEIFS(nNOTA,nNIA,M229,nEVAL,CONFIG_METADATA!$B$4,nASIG,"Conjunto"),""))</f>
        <v/>
      </c>
      <c r="Q229" t="str">
        <f>IF(M229="","",IFERROR(AVERAGEIFS(nNOTA,nNIA,M229,nEVAL,CONFIG_METADATA!$B$4,nASIG,"&lt;&gt;Lenguaje Musical",nASIG,"&lt;&gt;Coro",nASIG,"&lt;&gt;Conjunto"),""))</f>
        <v/>
      </c>
      <c r="T229" t="str">
        <f>IF(S229="","",IFERROR(AVERAGEIFS(nNOTA,nNIA,S229,nEVAL,CONFIG_METADATA!$B$4,nASIG,"Lenguaje Musical"),""))</f>
        <v/>
      </c>
      <c r="U229" t="str">
        <f>IF(S229="","",IFERROR(AVERAGEIFS(nNOTA,nNIA,S229,nEVAL,CONFIG_METADATA!$B$4,nASIG,"Coro"),""))</f>
        <v/>
      </c>
      <c r="V229" t="str">
        <f>IF(S229="","",IFERROR(AVERAGEIFS(nNOTA,nNIA,S229,nEVAL,CONFIG_METADATA!$B$4,nASIG,"Conjunto"),""))</f>
        <v/>
      </c>
      <c r="W229" t="str" cm="1">
        <f t="array" ref="W229">IF(S229="","",IFERROR(AVERAGE(IF((nNIA=S229)*(nEVAL=CONFIG_METADATA!$B$4)*(nASIG&lt;&gt;"Lenguaje Musical")*(nASIG&lt;&gt;"Coro")*(nASIG&lt;&gt;"Conjunto"),nNOTA)),""))</f>
        <v/>
      </c>
    </row>
    <row r="230" spans="2:23" x14ac:dyDescent="0.2">
      <c r="B230" t="str">
        <f>IF(A230="","",IFERROR(AVERAGEIFS(nNOTA,nNIA,A230,nEVAL,CONFIG_METADATA!$B$4,nASIG,"Lenguaje Musical"),""))</f>
        <v/>
      </c>
      <c r="C230" t="str">
        <f>IF(A230="","",IFERROR(AVERAGEIFS(nNOTA,nNIA,A230,nEVAL,CONFIG_METADATA!$B$4,nASIG,"Coro"),""))</f>
        <v/>
      </c>
      <c r="D230" t="str">
        <f>IF(A230="","",IFERROR(AVERAGEIFS(nNOTA,nNIA,A230,nEVAL,CONFIG_METADATA!$B$4,nASIG,"Conjunto"),""))</f>
        <v/>
      </c>
      <c r="E230" t="str" cm="1">
        <f t="array" ref="E230">IF(A230="","",IFERROR(AVERAGE(IF((nNIA=A230)*(nEVAL=CONFIG_METADATA!$B$4)*(nASIG&lt;&gt;"Lenguaje Musical")*(nASIG&lt;&gt;"Coro")*(nASIG&lt;&gt;"Conjunto"),nNOTA)),""))</f>
        <v/>
      </c>
      <c r="H230" t="str">
        <f>IF(G230="","",IFERROR(AVERAGEIFS(nNOTA,nNIA,G230,nEVAL,CONFIG_METADATA!$B$4,nASIG,"Lenguaje Musical"),""))</f>
        <v/>
      </c>
      <c r="I230" t="str">
        <f>IF(G230="","",IFERROR(AVERAGEIFS(nNOTA,nNIA,G230,nEVAL,CONFIG_METADATA!$B$4,nASIG,"Coro"),""))</f>
        <v/>
      </c>
      <c r="J230" t="str">
        <f>IF(G230="","",IFERROR(AVERAGEIFS(nNOTA,nNIA,G230,nEVAL,CONFIG_METADATA!$B$4,nASIG,"Conjunto"),""))</f>
        <v/>
      </c>
      <c r="K230" t="str" cm="1">
        <f t="array" ref="K230">IF(G230="","",IFERROR(AVERAGE(IF((nNIA=G230)*(nEVAL=CONFIG_METADATA!$B$4)*(nASIG&lt;&gt;"Lenguaje Musical")*(nASIG&lt;&gt;"Coro")*(nASIG&lt;&gt;"Conjunto"),nNOTA)),""))</f>
        <v/>
      </c>
      <c r="N230" t="str">
        <f>IF(M230="","",IFERROR(AVERAGEIFS(nNOTA,nNIA,M230,nEVAL,CONFIG_METADATA!$B$4,nASIG,"Lenguaje Musical"),""))</f>
        <v/>
      </c>
      <c r="O230" t="str">
        <f>IF(M230="","",IFERROR(AVERAGEIFS(nNOTA,nNIA,M230,nEVAL,CONFIG_METADATA!$B$4,nASIG,"Coro"),""))</f>
        <v/>
      </c>
      <c r="P230" t="str">
        <f>IF(M230="","",IFERROR(AVERAGEIFS(nNOTA,nNIA,M230,nEVAL,CONFIG_METADATA!$B$4,nASIG,"Conjunto"),""))</f>
        <v/>
      </c>
      <c r="Q230" t="str">
        <f>IF(M230="","",IFERROR(AVERAGEIFS(nNOTA,nNIA,M230,nEVAL,CONFIG_METADATA!$B$4,nASIG,"&lt;&gt;Lenguaje Musical",nASIG,"&lt;&gt;Coro",nASIG,"&lt;&gt;Conjunto"),""))</f>
        <v/>
      </c>
      <c r="T230" t="str">
        <f>IF(S230="","",IFERROR(AVERAGEIFS(nNOTA,nNIA,S230,nEVAL,CONFIG_METADATA!$B$4,nASIG,"Lenguaje Musical"),""))</f>
        <v/>
      </c>
      <c r="U230" t="str">
        <f>IF(S230="","",IFERROR(AVERAGEIFS(nNOTA,nNIA,S230,nEVAL,CONFIG_METADATA!$B$4,nASIG,"Coro"),""))</f>
        <v/>
      </c>
      <c r="V230" t="str">
        <f>IF(S230="","",IFERROR(AVERAGEIFS(nNOTA,nNIA,S230,nEVAL,CONFIG_METADATA!$B$4,nASIG,"Conjunto"),""))</f>
        <v/>
      </c>
      <c r="W230" t="str" cm="1">
        <f t="array" ref="W230">IF(S230="","",IFERROR(AVERAGE(IF((nNIA=S230)*(nEVAL=CONFIG_METADATA!$B$4)*(nASIG&lt;&gt;"Lenguaje Musical")*(nASIG&lt;&gt;"Coro")*(nASIG&lt;&gt;"Conjunto"),nNOTA)),""))</f>
        <v/>
      </c>
    </row>
    <row r="231" spans="2:23" x14ac:dyDescent="0.2">
      <c r="B231" t="str">
        <f>IF(A231="","",IFERROR(AVERAGEIFS(nNOTA,nNIA,A231,nEVAL,CONFIG_METADATA!$B$4,nASIG,"Lenguaje Musical"),""))</f>
        <v/>
      </c>
      <c r="C231" t="str">
        <f>IF(A231="","",IFERROR(AVERAGEIFS(nNOTA,nNIA,A231,nEVAL,CONFIG_METADATA!$B$4,nASIG,"Coro"),""))</f>
        <v/>
      </c>
      <c r="D231" t="str">
        <f>IF(A231="","",IFERROR(AVERAGEIFS(nNOTA,nNIA,A231,nEVAL,CONFIG_METADATA!$B$4,nASIG,"Conjunto"),""))</f>
        <v/>
      </c>
      <c r="E231" t="str" cm="1">
        <f t="array" ref="E231">IF(A231="","",IFERROR(AVERAGE(IF((nNIA=A231)*(nEVAL=CONFIG_METADATA!$B$4)*(nASIG&lt;&gt;"Lenguaje Musical")*(nASIG&lt;&gt;"Coro")*(nASIG&lt;&gt;"Conjunto"),nNOTA)),""))</f>
        <v/>
      </c>
      <c r="H231" t="str">
        <f>IF(G231="","",IFERROR(AVERAGEIFS(nNOTA,nNIA,G231,nEVAL,CONFIG_METADATA!$B$4,nASIG,"Lenguaje Musical"),""))</f>
        <v/>
      </c>
      <c r="I231" t="str">
        <f>IF(G231="","",IFERROR(AVERAGEIFS(nNOTA,nNIA,G231,nEVAL,CONFIG_METADATA!$B$4,nASIG,"Coro"),""))</f>
        <v/>
      </c>
      <c r="J231" t="str">
        <f>IF(G231="","",IFERROR(AVERAGEIFS(nNOTA,nNIA,G231,nEVAL,CONFIG_METADATA!$B$4,nASIG,"Conjunto"),""))</f>
        <v/>
      </c>
      <c r="K231" t="str" cm="1">
        <f t="array" ref="K231">IF(G231="","",IFERROR(AVERAGE(IF((nNIA=G231)*(nEVAL=CONFIG_METADATA!$B$4)*(nASIG&lt;&gt;"Lenguaje Musical")*(nASIG&lt;&gt;"Coro")*(nASIG&lt;&gt;"Conjunto"),nNOTA)),""))</f>
        <v/>
      </c>
      <c r="N231" t="str">
        <f>IF(M231="","",IFERROR(AVERAGEIFS(nNOTA,nNIA,M231,nEVAL,CONFIG_METADATA!$B$4,nASIG,"Lenguaje Musical"),""))</f>
        <v/>
      </c>
      <c r="O231" t="str">
        <f>IF(M231="","",IFERROR(AVERAGEIFS(nNOTA,nNIA,M231,nEVAL,CONFIG_METADATA!$B$4,nASIG,"Coro"),""))</f>
        <v/>
      </c>
      <c r="P231" t="str">
        <f>IF(M231="","",IFERROR(AVERAGEIFS(nNOTA,nNIA,M231,nEVAL,CONFIG_METADATA!$B$4,nASIG,"Conjunto"),""))</f>
        <v/>
      </c>
      <c r="Q231" t="str">
        <f>IF(M231="","",IFERROR(AVERAGEIFS(nNOTA,nNIA,M231,nEVAL,CONFIG_METADATA!$B$4,nASIG,"&lt;&gt;Lenguaje Musical",nASIG,"&lt;&gt;Coro",nASIG,"&lt;&gt;Conjunto"),""))</f>
        <v/>
      </c>
      <c r="T231" t="str">
        <f>IF(S231="","",IFERROR(AVERAGEIFS(nNOTA,nNIA,S231,nEVAL,CONFIG_METADATA!$B$4,nASIG,"Lenguaje Musical"),""))</f>
        <v/>
      </c>
      <c r="U231" t="str">
        <f>IF(S231="","",IFERROR(AVERAGEIFS(nNOTA,nNIA,S231,nEVAL,CONFIG_METADATA!$B$4,nASIG,"Coro"),""))</f>
        <v/>
      </c>
      <c r="V231" t="str">
        <f>IF(S231="","",IFERROR(AVERAGEIFS(nNOTA,nNIA,S231,nEVAL,CONFIG_METADATA!$B$4,nASIG,"Conjunto"),""))</f>
        <v/>
      </c>
      <c r="W231" t="str" cm="1">
        <f t="array" ref="W231">IF(S231="","",IFERROR(AVERAGE(IF((nNIA=S231)*(nEVAL=CONFIG_METADATA!$B$4)*(nASIG&lt;&gt;"Lenguaje Musical")*(nASIG&lt;&gt;"Coro")*(nASIG&lt;&gt;"Conjunto"),nNOTA)),""))</f>
        <v/>
      </c>
    </row>
    <row r="232" spans="2:23" x14ac:dyDescent="0.2">
      <c r="B232" t="str">
        <f>IF(A232="","",IFERROR(AVERAGEIFS(nNOTA,nNIA,A232,nEVAL,CONFIG_METADATA!$B$4,nASIG,"Lenguaje Musical"),""))</f>
        <v/>
      </c>
      <c r="C232" t="str">
        <f>IF(A232="","",IFERROR(AVERAGEIFS(nNOTA,nNIA,A232,nEVAL,CONFIG_METADATA!$B$4,nASIG,"Coro"),""))</f>
        <v/>
      </c>
      <c r="D232" t="str">
        <f>IF(A232="","",IFERROR(AVERAGEIFS(nNOTA,nNIA,A232,nEVAL,CONFIG_METADATA!$B$4,nASIG,"Conjunto"),""))</f>
        <v/>
      </c>
      <c r="E232" t="str" cm="1">
        <f t="array" ref="E232">IF(A232="","",IFERROR(AVERAGE(IF((nNIA=A232)*(nEVAL=CONFIG_METADATA!$B$4)*(nASIG&lt;&gt;"Lenguaje Musical")*(nASIG&lt;&gt;"Coro")*(nASIG&lt;&gt;"Conjunto"),nNOTA)),""))</f>
        <v/>
      </c>
      <c r="H232" t="str">
        <f>IF(G232="","",IFERROR(AVERAGEIFS(nNOTA,nNIA,G232,nEVAL,CONFIG_METADATA!$B$4,nASIG,"Lenguaje Musical"),""))</f>
        <v/>
      </c>
      <c r="I232" t="str">
        <f>IF(G232="","",IFERROR(AVERAGEIFS(nNOTA,nNIA,G232,nEVAL,CONFIG_METADATA!$B$4,nASIG,"Coro"),""))</f>
        <v/>
      </c>
      <c r="J232" t="str">
        <f>IF(G232="","",IFERROR(AVERAGEIFS(nNOTA,nNIA,G232,nEVAL,CONFIG_METADATA!$B$4,nASIG,"Conjunto"),""))</f>
        <v/>
      </c>
      <c r="K232" t="str" cm="1">
        <f t="array" ref="K232">IF(G232="","",IFERROR(AVERAGE(IF((nNIA=G232)*(nEVAL=CONFIG_METADATA!$B$4)*(nASIG&lt;&gt;"Lenguaje Musical")*(nASIG&lt;&gt;"Coro")*(nASIG&lt;&gt;"Conjunto"),nNOTA)),""))</f>
        <v/>
      </c>
      <c r="N232" t="str">
        <f>IF(M232="","",IFERROR(AVERAGEIFS(nNOTA,nNIA,M232,nEVAL,CONFIG_METADATA!$B$4,nASIG,"Lenguaje Musical"),""))</f>
        <v/>
      </c>
      <c r="O232" t="str">
        <f>IF(M232="","",IFERROR(AVERAGEIFS(nNOTA,nNIA,M232,nEVAL,CONFIG_METADATA!$B$4,nASIG,"Coro"),""))</f>
        <v/>
      </c>
      <c r="P232" t="str">
        <f>IF(M232="","",IFERROR(AVERAGEIFS(nNOTA,nNIA,M232,nEVAL,CONFIG_METADATA!$B$4,nASIG,"Conjunto"),""))</f>
        <v/>
      </c>
      <c r="Q232" t="str">
        <f>IF(M232="","",IFERROR(AVERAGEIFS(nNOTA,nNIA,M232,nEVAL,CONFIG_METADATA!$B$4,nASIG,"&lt;&gt;Lenguaje Musical",nASIG,"&lt;&gt;Coro",nASIG,"&lt;&gt;Conjunto"),""))</f>
        <v/>
      </c>
      <c r="T232" t="str">
        <f>IF(S232="","",IFERROR(AVERAGEIFS(nNOTA,nNIA,S232,nEVAL,CONFIG_METADATA!$B$4,nASIG,"Lenguaje Musical"),""))</f>
        <v/>
      </c>
      <c r="U232" t="str">
        <f>IF(S232="","",IFERROR(AVERAGEIFS(nNOTA,nNIA,S232,nEVAL,CONFIG_METADATA!$B$4,nASIG,"Coro"),""))</f>
        <v/>
      </c>
      <c r="V232" t="str">
        <f>IF(S232="","",IFERROR(AVERAGEIFS(nNOTA,nNIA,S232,nEVAL,CONFIG_METADATA!$B$4,nASIG,"Conjunto"),""))</f>
        <v/>
      </c>
      <c r="W232" t="str" cm="1">
        <f t="array" ref="W232">IF(S232="","",IFERROR(AVERAGE(IF((nNIA=S232)*(nEVAL=CONFIG_METADATA!$B$4)*(nASIG&lt;&gt;"Lenguaje Musical")*(nASIG&lt;&gt;"Coro")*(nASIG&lt;&gt;"Conjunto"),nNOTA)),""))</f>
        <v/>
      </c>
    </row>
    <row r="233" spans="2:23" x14ac:dyDescent="0.2">
      <c r="B233" t="str">
        <f>IF(A233="","",IFERROR(AVERAGEIFS(nNOTA,nNIA,A233,nEVAL,CONFIG_METADATA!$B$4,nASIG,"Lenguaje Musical"),""))</f>
        <v/>
      </c>
      <c r="C233" t="str">
        <f>IF(A233="","",IFERROR(AVERAGEIFS(nNOTA,nNIA,A233,nEVAL,CONFIG_METADATA!$B$4,nASIG,"Coro"),""))</f>
        <v/>
      </c>
      <c r="D233" t="str">
        <f>IF(A233="","",IFERROR(AVERAGEIFS(nNOTA,nNIA,A233,nEVAL,CONFIG_METADATA!$B$4,nASIG,"Conjunto"),""))</f>
        <v/>
      </c>
      <c r="E233" t="str" cm="1">
        <f t="array" ref="E233">IF(A233="","",IFERROR(AVERAGE(IF((nNIA=A233)*(nEVAL=CONFIG_METADATA!$B$4)*(nASIG&lt;&gt;"Lenguaje Musical")*(nASIG&lt;&gt;"Coro")*(nASIG&lt;&gt;"Conjunto"),nNOTA)),""))</f>
        <v/>
      </c>
      <c r="H233" t="str">
        <f>IF(G233="","",IFERROR(AVERAGEIFS(nNOTA,nNIA,G233,nEVAL,CONFIG_METADATA!$B$4,nASIG,"Lenguaje Musical"),""))</f>
        <v/>
      </c>
      <c r="I233" t="str">
        <f>IF(G233="","",IFERROR(AVERAGEIFS(nNOTA,nNIA,G233,nEVAL,CONFIG_METADATA!$B$4,nASIG,"Coro"),""))</f>
        <v/>
      </c>
      <c r="J233" t="str">
        <f>IF(G233="","",IFERROR(AVERAGEIFS(nNOTA,nNIA,G233,nEVAL,CONFIG_METADATA!$B$4,nASIG,"Conjunto"),""))</f>
        <v/>
      </c>
      <c r="K233" t="str" cm="1">
        <f t="array" ref="K233">IF(G233="","",IFERROR(AVERAGE(IF((nNIA=G233)*(nEVAL=CONFIG_METADATA!$B$4)*(nASIG&lt;&gt;"Lenguaje Musical")*(nASIG&lt;&gt;"Coro")*(nASIG&lt;&gt;"Conjunto"),nNOTA)),""))</f>
        <v/>
      </c>
      <c r="N233" t="str">
        <f>IF(M233="","",IFERROR(AVERAGEIFS(nNOTA,nNIA,M233,nEVAL,CONFIG_METADATA!$B$4,nASIG,"Lenguaje Musical"),""))</f>
        <v/>
      </c>
      <c r="O233" t="str">
        <f>IF(M233="","",IFERROR(AVERAGEIFS(nNOTA,nNIA,M233,nEVAL,CONFIG_METADATA!$B$4,nASIG,"Coro"),""))</f>
        <v/>
      </c>
      <c r="P233" t="str">
        <f>IF(M233="","",IFERROR(AVERAGEIFS(nNOTA,nNIA,M233,nEVAL,CONFIG_METADATA!$B$4,nASIG,"Conjunto"),""))</f>
        <v/>
      </c>
      <c r="Q233" t="str">
        <f>IF(M233="","",IFERROR(AVERAGEIFS(nNOTA,nNIA,M233,nEVAL,CONFIG_METADATA!$B$4,nASIG,"&lt;&gt;Lenguaje Musical",nASIG,"&lt;&gt;Coro",nASIG,"&lt;&gt;Conjunto"),""))</f>
        <v/>
      </c>
      <c r="T233" t="str">
        <f>IF(S233="","",IFERROR(AVERAGEIFS(nNOTA,nNIA,S233,nEVAL,CONFIG_METADATA!$B$4,nASIG,"Lenguaje Musical"),""))</f>
        <v/>
      </c>
      <c r="U233" t="str">
        <f>IF(S233="","",IFERROR(AVERAGEIFS(nNOTA,nNIA,S233,nEVAL,CONFIG_METADATA!$B$4,nASIG,"Coro"),""))</f>
        <v/>
      </c>
      <c r="V233" t="str">
        <f>IF(S233="","",IFERROR(AVERAGEIFS(nNOTA,nNIA,S233,nEVAL,CONFIG_METADATA!$B$4,nASIG,"Conjunto"),""))</f>
        <v/>
      </c>
      <c r="W233" t="str" cm="1">
        <f t="array" ref="W233">IF(S233="","",IFERROR(AVERAGE(IF((nNIA=S233)*(nEVAL=CONFIG_METADATA!$B$4)*(nASIG&lt;&gt;"Lenguaje Musical")*(nASIG&lt;&gt;"Coro")*(nASIG&lt;&gt;"Conjunto"),nNOTA)),""))</f>
        <v/>
      </c>
    </row>
    <row r="234" spans="2:23" x14ac:dyDescent="0.2">
      <c r="B234" t="str">
        <f>IF(A234="","",IFERROR(AVERAGEIFS(nNOTA,nNIA,A234,nEVAL,CONFIG_METADATA!$B$4,nASIG,"Lenguaje Musical"),""))</f>
        <v/>
      </c>
      <c r="C234" t="str">
        <f>IF(A234="","",IFERROR(AVERAGEIFS(nNOTA,nNIA,A234,nEVAL,CONFIG_METADATA!$B$4,nASIG,"Coro"),""))</f>
        <v/>
      </c>
      <c r="D234" t="str">
        <f>IF(A234="","",IFERROR(AVERAGEIFS(nNOTA,nNIA,A234,nEVAL,CONFIG_METADATA!$B$4,nASIG,"Conjunto"),""))</f>
        <v/>
      </c>
      <c r="E234" t="str" cm="1">
        <f t="array" ref="E234">IF(A234="","",IFERROR(AVERAGE(IF((nNIA=A234)*(nEVAL=CONFIG_METADATA!$B$4)*(nASIG&lt;&gt;"Lenguaje Musical")*(nASIG&lt;&gt;"Coro")*(nASIG&lt;&gt;"Conjunto"),nNOTA)),""))</f>
        <v/>
      </c>
      <c r="H234" t="str">
        <f>IF(G234="","",IFERROR(AVERAGEIFS(nNOTA,nNIA,G234,nEVAL,CONFIG_METADATA!$B$4,nASIG,"Lenguaje Musical"),""))</f>
        <v/>
      </c>
      <c r="I234" t="str">
        <f>IF(G234="","",IFERROR(AVERAGEIFS(nNOTA,nNIA,G234,nEVAL,CONFIG_METADATA!$B$4,nASIG,"Coro"),""))</f>
        <v/>
      </c>
      <c r="J234" t="str">
        <f>IF(G234="","",IFERROR(AVERAGEIFS(nNOTA,nNIA,G234,nEVAL,CONFIG_METADATA!$B$4,nASIG,"Conjunto"),""))</f>
        <v/>
      </c>
      <c r="K234" t="str" cm="1">
        <f t="array" ref="K234">IF(G234="","",IFERROR(AVERAGE(IF((nNIA=G234)*(nEVAL=CONFIG_METADATA!$B$4)*(nASIG&lt;&gt;"Lenguaje Musical")*(nASIG&lt;&gt;"Coro")*(nASIG&lt;&gt;"Conjunto"),nNOTA)),""))</f>
        <v/>
      </c>
      <c r="N234" t="str">
        <f>IF(M234="","",IFERROR(AVERAGEIFS(nNOTA,nNIA,M234,nEVAL,CONFIG_METADATA!$B$4,nASIG,"Lenguaje Musical"),""))</f>
        <v/>
      </c>
      <c r="O234" t="str">
        <f>IF(M234="","",IFERROR(AVERAGEIFS(nNOTA,nNIA,M234,nEVAL,CONFIG_METADATA!$B$4,nASIG,"Coro"),""))</f>
        <v/>
      </c>
      <c r="P234" t="str">
        <f>IF(M234="","",IFERROR(AVERAGEIFS(nNOTA,nNIA,M234,nEVAL,CONFIG_METADATA!$B$4,nASIG,"Conjunto"),""))</f>
        <v/>
      </c>
      <c r="Q234" t="str">
        <f>IF(M234="","",IFERROR(AVERAGEIFS(nNOTA,nNIA,M234,nEVAL,CONFIG_METADATA!$B$4,nASIG,"&lt;&gt;Lenguaje Musical",nASIG,"&lt;&gt;Coro",nASIG,"&lt;&gt;Conjunto"),""))</f>
        <v/>
      </c>
      <c r="T234" t="str">
        <f>IF(S234="","",IFERROR(AVERAGEIFS(nNOTA,nNIA,S234,nEVAL,CONFIG_METADATA!$B$4,nASIG,"Lenguaje Musical"),""))</f>
        <v/>
      </c>
      <c r="U234" t="str">
        <f>IF(S234="","",IFERROR(AVERAGEIFS(nNOTA,nNIA,S234,nEVAL,CONFIG_METADATA!$B$4,nASIG,"Coro"),""))</f>
        <v/>
      </c>
      <c r="V234" t="str">
        <f>IF(S234="","",IFERROR(AVERAGEIFS(nNOTA,nNIA,S234,nEVAL,CONFIG_METADATA!$B$4,nASIG,"Conjunto"),""))</f>
        <v/>
      </c>
      <c r="W234" t="str" cm="1">
        <f t="array" ref="W234">IF(S234="","",IFERROR(AVERAGE(IF((nNIA=S234)*(nEVAL=CONFIG_METADATA!$B$4)*(nASIG&lt;&gt;"Lenguaje Musical")*(nASIG&lt;&gt;"Coro")*(nASIG&lt;&gt;"Conjunto"),nNOTA)),""))</f>
        <v/>
      </c>
    </row>
    <row r="235" spans="2:23" x14ac:dyDescent="0.2">
      <c r="B235" t="str">
        <f>IF(A235="","",IFERROR(AVERAGEIFS(nNOTA,nNIA,A235,nEVAL,CONFIG_METADATA!$B$4,nASIG,"Lenguaje Musical"),""))</f>
        <v/>
      </c>
      <c r="C235" t="str">
        <f>IF(A235="","",IFERROR(AVERAGEIFS(nNOTA,nNIA,A235,nEVAL,CONFIG_METADATA!$B$4,nASIG,"Coro"),""))</f>
        <v/>
      </c>
      <c r="D235" t="str">
        <f>IF(A235="","",IFERROR(AVERAGEIFS(nNOTA,nNIA,A235,nEVAL,CONFIG_METADATA!$B$4,nASIG,"Conjunto"),""))</f>
        <v/>
      </c>
      <c r="E235" t="str" cm="1">
        <f t="array" ref="E235">IF(A235="","",IFERROR(AVERAGE(IF((nNIA=A235)*(nEVAL=CONFIG_METADATA!$B$4)*(nASIG&lt;&gt;"Lenguaje Musical")*(nASIG&lt;&gt;"Coro")*(nASIG&lt;&gt;"Conjunto"),nNOTA)),""))</f>
        <v/>
      </c>
      <c r="H235" t="str">
        <f>IF(G235="","",IFERROR(AVERAGEIFS(nNOTA,nNIA,G235,nEVAL,CONFIG_METADATA!$B$4,nASIG,"Lenguaje Musical"),""))</f>
        <v/>
      </c>
      <c r="I235" t="str">
        <f>IF(G235="","",IFERROR(AVERAGEIFS(nNOTA,nNIA,G235,nEVAL,CONFIG_METADATA!$B$4,nASIG,"Coro"),""))</f>
        <v/>
      </c>
      <c r="J235" t="str">
        <f>IF(G235="","",IFERROR(AVERAGEIFS(nNOTA,nNIA,G235,nEVAL,CONFIG_METADATA!$B$4,nASIG,"Conjunto"),""))</f>
        <v/>
      </c>
      <c r="K235" t="str" cm="1">
        <f t="array" ref="K235">IF(G235="","",IFERROR(AVERAGE(IF((nNIA=G235)*(nEVAL=CONFIG_METADATA!$B$4)*(nASIG&lt;&gt;"Lenguaje Musical")*(nASIG&lt;&gt;"Coro")*(nASIG&lt;&gt;"Conjunto"),nNOTA)),""))</f>
        <v/>
      </c>
      <c r="N235" t="str">
        <f>IF(M235="","",IFERROR(AVERAGEIFS(nNOTA,nNIA,M235,nEVAL,CONFIG_METADATA!$B$4,nASIG,"Lenguaje Musical"),""))</f>
        <v/>
      </c>
      <c r="O235" t="str">
        <f>IF(M235="","",IFERROR(AVERAGEIFS(nNOTA,nNIA,M235,nEVAL,CONFIG_METADATA!$B$4,nASIG,"Coro"),""))</f>
        <v/>
      </c>
      <c r="P235" t="str">
        <f>IF(M235="","",IFERROR(AVERAGEIFS(nNOTA,nNIA,M235,nEVAL,CONFIG_METADATA!$B$4,nASIG,"Conjunto"),""))</f>
        <v/>
      </c>
      <c r="Q235" t="str">
        <f>IF(M235="","",IFERROR(AVERAGEIFS(nNOTA,nNIA,M235,nEVAL,CONFIG_METADATA!$B$4,nASIG,"&lt;&gt;Lenguaje Musical",nASIG,"&lt;&gt;Coro",nASIG,"&lt;&gt;Conjunto"),""))</f>
        <v/>
      </c>
      <c r="T235" t="str">
        <f>IF(S235="","",IFERROR(AVERAGEIFS(nNOTA,nNIA,S235,nEVAL,CONFIG_METADATA!$B$4,nASIG,"Lenguaje Musical"),""))</f>
        <v/>
      </c>
      <c r="U235" t="str">
        <f>IF(S235="","",IFERROR(AVERAGEIFS(nNOTA,nNIA,S235,nEVAL,CONFIG_METADATA!$B$4,nASIG,"Coro"),""))</f>
        <v/>
      </c>
      <c r="V235" t="str">
        <f>IF(S235="","",IFERROR(AVERAGEIFS(nNOTA,nNIA,S235,nEVAL,CONFIG_METADATA!$B$4,nASIG,"Conjunto"),""))</f>
        <v/>
      </c>
      <c r="W235" t="str" cm="1">
        <f t="array" ref="W235">IF(S235="","",IFERROR(AVERAGE(IF((nNIA=S235)*(nEVAL=CONFIG_METADATA!$B$4)*(nASIG&lt;&gt;"Lenguaje Musical")*(nASIG&lt;&gt;"Coro")*(nASIG&lt;&gt;"Conjunto"),nNOTA)),""))</f>
        <v/>
      </c>
    </row>
    <row r="236" spans="2:23" x14ac:dyDescent="0.2">
      <c r="B236" t="str">
        <f>IF(A236="","",IFERROR(AVERAGEIFS(nNOTA,nNIA,A236,nEVAL,CONFIG_METADATA!$B$4,nASIG,"Lenguaje Musical"),""))</f>
        <v/>
      </c>
      <c r="C236" t="str">
        <f>IF(A236="","",IFERROR(AVERAGEIFS(nNOTA,nNIA,A236,nEVAL,CONFIG_METADATA!$B$4,nASIG,"Coro"),""))</f>
        <v/>
      </c>
      <c r="D236" t="str">
        <f>IF(A236="","",IFERROR(AVERAGEIFS(nNOTA,nNIA,A236,nEVAL,CONFIG_METADATA!$B$4,nASIG,"Conjunto"),""))</f>
        <v/>
      </c>
      <c r="E236" t="str" cm="1">
        <f t="array" ref="E236">IF(A236="","",IFERROR(AVERAGE(IF((nNIA=A236)*(nEVAL=CONFIG_METADATA!$B$4)*(nASIG&lt;&gt;"Lenguaje Musical")*(nASIG&lt;&gt;"Coro")*(nASIG&lt;&gt;"Conjunto"),nNOTA)),""))</f>
        <v/>
      </c>
      <c r="H236" t="str">
        <f>IF(G236="","",IFERROR(AVERAGEIFS(nNOTA,nNIA,G236,nEVAL,CONFIG_METADATA!$B$4,nASIG,"Lenguaje Musical"),""))</f>
        <v/>
      </c>
      <c r="I236" t="str">
        <f>IF(G236="","",IFERROR(AVERAGEIFS(nNOTA,nNIA,G236,nEVAL,CONFIG_METADATA!$B$4,nASIG,"Coro"),""))</f>
        <v/>
      </c>
      <c r="J236" t="str">
        <f>IF(G236="","",IFERROR(AVERAGEIFS(nNOTA,nNIA,G236,nEVAL,CONFIG_METADATA!$B$4,nASIG,"Conjunto"),""))</f>
        <v/>
      </c>
      <c r="K236" t="str" cm="1">
        <f t="array" ref="K236">IF(G236="","",IFERROR(AVERAGE(IF((nNIA=G236)*(nEVAL=CONFIG_METADATA!$B$4)*(nASIG&lt;&gt;"Lenguaje Musical")*(nASIG&lt;&gt;"Coro")*(nASIG&lt;&gt;"Conjunto"),nNOTA)),""))</f>
        <v/>
      </c>
      <c r="N236" t="str">
        <f>IF(M236="","",IFERROR(AVERAGEIFS(nNOTA,nNIA,M236,nEVAL,CONFIG_METADATA!$B$4,nASIG,"Lenguaje Musical"),""))</f>
        <v/>
      </c>
      <c r="O236" t="str">
        <f>IF(M236="","",IFERROR(AVERAGEIFS(nNOTA,nNIA,M236,nEVAL,CONFIG_METADATA!$B$4,nASIG,"Coro"),""))</f>
        <v/>
      </c>
      <c r="P236" t="str">
        <f>IF(M236="","",IFERROR(AVERAGEIFS(nNOTA,nNIA,M236,nEVAL,CONFIG_METADATA!$B$4,nASIG,"Conjunto"),""))</f>
        <v/>
      </c>
      <c r="Q236" t="str">
        <f>IF(M236="","",IFERROR(AVERAGEIFS(nNOTA,nNIA,M236,nEVAL,CONFIG_METADATA!$B$4,nASIG,"&lt;&gt;Lenguaje Musical",nASIG,"&lt;&gt;Coro",nASIG,"&lt;&gt;Conjunto"),""))</f>
        <v/>
      </c>
      <c r="T236" t="str">
        <f>IF(S236="","",IFERROR(AVERAGEIFS(nNOTA,nNIA,S236,nEVAL,CONFIG_METADATA!$B$4,nASIG,"Lenguaje Musical"),""))</f>
        <v/>
      </c>
      <c r="U236" t="str">
        <f>IF(S236="","",IFERROR(AVERAGEIFS(nNOTA,nNIA,S236,nEVAL,CONFIG_METADATA!$B$4,nASIG,"Coro"),""))</f>
        <v/>
      </c>
      <c r="V236" t="str">
        <f>IF(S236="","",IFERROR(AVERAGEIFS(nNOTA,nNIA,S236,nEVAL,CONFIG_METADATA!$B$4,nASIG,"Conjunto"),""))</f>
        <v/>
      </c>
      <c r="W236" t="str" cm="1">
        <f t="array" ref="W236">IF(S236="","",IFERROR(AVERAGE(IF((nNIA=S236)*(nEVAL=CONFIG_METADATA!$B$4)*(nASIG&lt;&gt;"Lenguaje Musical")*(nASIG&lt;&gt;"Coro")*(nASIG&lt;&gt;"Conjunto"),nNOTA)),""))</f>
        <v/>
      </c>
    </row>
    <row r="237" spans="2:23" x14ac:dyDescent="0.2">
      <c r="B237" t="str">
        <f>IF(A237="","",IFERROR(AVERAGEIFS(nNOTA,nNIA,A237,nEVAL,CONFIG_METADATA!$B$4,nASIG,"Lenguaje Musical"),""))</f>
        <v/>
      </c>
      <c r="C237" t="str">
        <f>IF(A237="","",IFERROR(AVERAGEIFS(nNOTA,nNIA,A237,nEVAL,CONFIG_METADATA!$B$4,nASIG,"Coro"),""))</f>
        <v/>
      </c>
      <c r="D237" t="str">
        <f>IF(A237="","",IFERROR(AVERAGEIFS(nNOTA,nNIA,A237,nEVAL,CONFIG_METADATA!$B$4,nASIG,"Conjunto"),""))</f>
        <v/>
      </c>
      <c r="E237" t="str" cm="1">
        <f t="array" ref="E237">IF(A237="","",IFERROR(AVERAGE(IF((nNIA=A237)*(nEVAL=CONFIG_METADATA!$B$4)*(nASIG&lt;&gt;"Lenguaje Musical")*(nASIG&lt;&gt;"Coro")*(nASIG&lt;&gt;"Conjunto"),nNOTA)),""))</f>
        <v/>
      </c>
      <c r="H237" t="str">
        <f>IF(G237="","",IFERROR(AVERAGEIFS(nNOTA,nNIA,G237,nEVAL,CONFIG_METADATA!$B$4,nASIG,"Lenguaje Musical"),""))</f>
        <v/>
      </c>
      <c r="I237" t="str">
        <f>IF(G237="","",IFERROR(AVERAGEIFS(nNOTA,nNIA,G237,nEVAL,CONFIG_METADATA!$B$4,nASIG,"Coro"),""))</f>
        <v/>
      </c>
      <c r="J237" t="str">
        <f>IF(G237="","",IFERROR(AVERAGEIFS(nNOTA,nNIA,G237,nEVAL,CONFIG_METADATA!$B$4,nASIG,"Conjunto"),""))</f>
        <v/>
      </c>
      <c r="K237" t="str" cm="1">
        <f t="array" ref="K237">IF(G237="","",IFERROR(AVERAGE(IF((nNIA=G237)*(nEVAL=CONFIG_METADATA!$B$4)*(nASIG&lt;&gt;"Lenguaje Musical")*(nASIG&lt;&gt;"Coro")*(nASIG&lt;&gt;"Conjunto"),nNOTA)),""))</f>
        <v/>
      </c>
      <c r="N237" t="str">
        <f>IF(M237="","",IFERROR(AVERAGEIFS(nNOTA,nNIA,M237,nEVAL,CONFIG_METADATA!$B$4,nASIG,"Lenguaje Musical"),""))</f>
        <v/>
      </c>
      <c r="O237" t="str">
        <f>IF(M237="","",IFERROR(AVERAGEIFS(nNOTA,nNIA,M237,nEVAL,CONFIG_METADATA!$B$4,nASIG,"Coro"),""))</f>
        <v/>
      </c>
      <c r="P237" t="str">
        <f>IF(M237="","",IFERROR(AVERAGEIFS(nNOTA,nNIA,M237,nEVAL,CONFIG_METADATA!$B$4,nASIG,"Conjunto"),""))</f>
        <v/>
      </c>
      <c r="Q237" t="str">
        <f>IF(M237="","",IFERROR(AVERAGEIFS(nNOTA,nNIA,M237,nEVAL,CONFIG_METADATA!$B$4,nASIG,"&lt;&gt;Lenguaje Musical",nASIG,"&lt;&gt;Coro",nASIG,"&lt;&gt;Conjunto"),""))</f>
        <v/>
      </c>
      <c r="T237" t="str">
        <f>IF(S237="","",IFERROR(AVERAGEIFS(nNOTA,nNIA,S237,nEVAL,CONFIG_METADATA!$B$4,nASIG,"Lenguaje Musical"),""))</f>
        <v/>
      </c>
      <c r="U237" t="str">
        <f>IF(S237="","",IFERROR(AVERAGEIFS(nNOTA,nNIA,S237,nEVAL,CONFIG_METADATA!$B$4,nASIG,"Coro"),""))</f>
        <v/>
      </c>
      <c r="V237" t="str">
        <f>IF(S237="","",IFERROR(AVERAGEIFS(nNOTA,nNIA,S237,nEVAL,CONFIG_METADATA!$B$4,nASIG,"Conjunto"),""))</f>
        <v/>
      </c>
      <c r="W237" t="str" cm="1">
        <f t="array" ref="W237">IF(S237="","",IFERROR(AVERAGE(IF((nNIA=S237)*(nEVAL=CONFIG_METADATA!$B$4)*(nASIG&lt;&gt;"Lenguaje Musical")*(nASIG&lt;&gt;"Coro")*(nASIG&lt;&gt;"Conjunto"),nNOTA)),""))</f>
        <v/>
      </c>
    </row>
    <row r="238" spans="2:23" x14ac:dyDescent="0.2">
      <c r="B238" t="str">
        <f>IF(A238="","",IFERROR(AVERAGEIFS(nNOTA,nNIA,A238,nEVAL,CONFIG_METADATA!$B$4,nASIG,"Lenguaje Musical"),""))</f>
        <v/>
      </c>
      <c r="C238" t="str">
        <f>IF(A238="","",IFERROR(AVERAGEIFS(nNOTA,nNIA,A238,nEVAL,CONFIG_METADATA!$B$4,nASIG,"Coro"),""))</f>
        <v/>
      </c>
      <c r="D238" t="str">
        <f>IF(A238="","",IFERROR(AVERAGEIFS(nNOTA,nNIA,A238,nEVAL,CONFIG_METADATA!$B$4,nASIG,"Conjunto"),""))</f>
        <v/>
      </c>
      <c r="E238" t="str" cm="1">
        <f t="array" ref="E238">IF(A238="","",IFERROR(AVERAGE(IF((nNIA=A238)*(nEVAL=CONFIG_METADATA!$B$4)*(nASIG&lt;&gt;"Lenguaje Musical")*(nASIG&lt;&gt;"Coro")*(nASIG&lt;&gt;"Conjunto"),nNOTA)),""))</f>
        <v/>
      </c>
      <c r="H238" t="str">
        <f>IF(G238="","",IFERROR(AVERAGEIFS(nNOTA,nNIA,G238,nEVAL,CONFIG_METADATA!$B$4,nASIG,"Lenguaje Musical"),""))</f>
        <v/>
      </c>
      <c r="I238" t="str">
        <f>IF(G238="","",IFERROR(AVERAGEIFS(nNOTA,nNIA,G238,nEVAL,CONFIG_METADATA!$B$4,nASIG,"Coro"),""))</f>
        <v/>
      </c>
      <c r="J238" t="str">
        <f>IF(G238="","",IFERROR(AVERAGEIFS(nNOTA,nNIA,G238,nEVAL,CONFIG_METADATA!$B$4,nASIG,"Conjunto"),""))</f>
        <v/>
      </c>
      <c r="K238" t="str" cm="1">
        <f t="array" ref="K238">IF(G238="","",IFERROR(AVERAGE(IF((nNIA=G238)*(nEVAL=CONFIG_METADATA!$B$4)*(nASIG&lt;&gt;"Lenguaje Musical")*(nASIG&lt;&gt;"Coro")*(nASIG&lt;&gt;"Conjunto"),nNOTA)),""))</f>
        <v/>
      </c>
      <c r="N238" t="str">
        <f>IF(M238="","",IFERROR(AVERAGEIFS(nNOTA,nNIA,M238,nEVAL,CONFIG_METADATA!$B$4,nASIG,"Lenguaje Musical"),""))</f>
        <v/>
      </c>
      <c r="O238" t="str">
        <f>IF(M238="","",IFERROR(AVERAGEIFS(nNOTA,nNIA,M238,nEVAL,CONFIG_METADATA!$B$4,nASIG,"Coro"),""))</f>
        <v/>
      </c>
      <c r="P238" t="str">
        <f>IF(M238="","",IFERROR(AVERAGEIFS(nNOTA,nNIA,M238,nEVAL,CONFIG_METADATA!$B$4,nASIG,"Conjunto"),""))</f>
        <v/>
      </c>
      <c r="Q238" t="str">
        <f>IF(M238="","",IFERROR(AVERAGEIFS(nNOTA,nNIA,M238,nEVAL,CONFIG_METADATA!$B$4,nASIG,"&lt;&gt;Lenguaje Musical",nASIG,"&lt;&gt;Coro",nASIG,"&lt;&gt;Conjunto"),""))</f>
        <v/>
      </c>
      <c r="T238" t="str">
        <f>IF(S238="","",IFERROR(AVERAGEIFS(nNOTA,nNIA,S238,nEVAL,CONFIG_METADATA!$B$4,nASIG,"Lenguaje Musical"),""))</f>
        <v/>
      </c>
      <c r="U238" t="str">
        <f>IF(S238="","",IFERROR(AVERAGEIFS(nNOTA,nNIA,S238,nEVAL,CONFIG_METADATA!$B$4,nASIG,"Coro"),""))</f>
        <v/>
      </c>
      <c r="V238" t="str">
        <f>IF(S238="","",IFERROR(AVERAGEIFS(nNOTA,nNIA,S238,nEVAL,CONFIG_METADATA!$B$4,nASIG,"Conjunto"),""))</f>
        <v/>
      </c>
      <c r="W238" t="str" cm="1">
        <f t="array" ref="W238">IF(S238="","",IFERROR(AVERAGE(IF((nNIA=S238)*(nEVAL=CONFIG_METADATA!$B$4)*(nASIG&lt;&gt;"Lenguaje Musical")*(nASIG&lt;&gt;"Coro")*(nASIG&lt;&gt;"Conjunto"),nNOTA)),""))</f>
        <v/>
      </c>
    </row>
    <row r="239" spans="2:23" x14ac:dyDescent="0.2">
      <c r="B239" t="str">
        <f>IF(A239="","",IFERROR(AVERAGEIFS(nNOTA,nNIA,A239,nEVAL,CONFIG_METADATA!$B$4,nASIG,"Lenguaje Musical"),""))</f>
        <v/>
      </c>
      <c r="C239" t="str">
        <f>IF(A239="","",IFERROR(AVERAGEIFS(nNOTA,nNIA,A239,nEVAL,CONFIG_METADATA!$B$4,nASIG,"Coro"),""))</f>
        <v/>
      </c>
      <c r="D239" t="str">
        <f>IF(A239="","",IFERROR(AVERAGEIFS(nNOTA,nNIA,A239,nEVAL,CONFIG_METADATA!$B$4,nASIG,"Conjunto"),""))</f>
        <v/>
      </c>
      <c r="E239" t="str" cm="1">
        <f t="array" ref="E239">IF(A239="","",IFERROR(AVERAGE(IF((nNIA=A239)*(nEVAL=CONFIG_METADATA!$B$4)*(nASIG&lt;&gt;"Lenguaje Musical")*(nASIG&lt;&gt;"Coro")*(nASIG&lt;&gt;"Conjunto"),nNOTA)),""))</f>
        <v/>
      </c>
      <c r="H239" t="str">
        <f>IF(G239="","",IFERROR(AVERAGEIFS(nNOTA,nNIA,G239,nEVAL,CONFIG_METADATA!$B$4,nASIG,"Lenguaje Musical"),""))</f>
        <v/>
      </c>
      <c r="I239" t="str">
        <f>IF(G239="","",IFERROR(AVERAGEIFS(nNOTA,nNIA,G239,nEVAL,CONFIG_METADATA!$B$4,nASIG,"Coro"),""))</f>
        <v/>
      </c>
      <c r="J239" t="str">
        <f>IF(G239="","",IFERROR(AVERAGEIFS(nNOTA,nNIA,G239,nEVAL,CONFIG_METADATA!$B$4,nASIG,"Conjunto"),""))</f>
        <v/>
      </c>
      <c r="K239" t="str" cm="1">
        <f t="array" ref="K239">IF(G239="","",IFERROR(AVERAGE(IF((nNIA=G239)*(nEVAL=CONFIG_METADATA!$B$4)*(nASIG&lt;&gt;"Lenguaje Musical")*(nASIG&lt;&gt;"Coro")*(nASIG&lt;&gt;"Conjunto"),nNOTA)),""))</f>
        <v/>
      </c>
      <c r="N239" t="str">
        <f>IF(M239="","",IFERROR(AVERAGEIFS(nNOTA,nNIA,M239,nEVAL,CONFIG_METADATA!$B$4,nASIG,"Lenguaje Musical"),""))</f>
        <v/>
      </c>
      <c r="O239" t="str">
        <f>IF(M239="","",IFERROR(AVERAGEIFS(nNOTA,nNIA,M239,nEVAL,CONFIG_METADATA!$B$4,nASIG,"Coro"),""))</f>
        <v/>
      </c>
      <c r="P239" t="str">
        <f>IF(M239="","",IFERROR(AVERAGEIFS(nNOTA,nNIA,M239,nEVAL,CONFIG_METADATA!$B$4,nASIG,"Conjunto"),""))</f>
        <v/>
      </c>
      <c r="Q239" t="str">
        <f>IF(M239="","",IFERROR(AVERAGEIFS(nNOTA,nNIA,M239,nEVAL,CONFIG_METADATA!$B$4,nASIG,"&lt;&gt;Lenguaje Musical",nASIG,"&lt;&gt;Coro",nASIG,"&lt;&gt;Conjunto"),""))</f>
        <v/>
      </c>
      <c r="T239" t="str">
        <f>IF(S239="","",IFERROR(AVERAGEIFS(nNOTA,nNIA,S239,nEVAL,CONFIG_METADATA!$B$4,nASIG,"Lenguaje Musical"),""))</f>
        <v/>
      </c>
      <c r="U239" t="str">
        <f>IF(S239="","",IFERROR(AVERAGEIFS(nNOTA,nNIA,S239,nEVAL,CONFIG_METADATA!$B$4,nASIG,"Coro"),""))</f>
        <v/>
      </c>
      <c r="V239" t="str">
        <f>IF(S239="","",IFERROR(AVERAGEIFS(nNOTA,nNIA,S239,nEVAL,CONFIG_METADATA!$B$4,nASIG,"Conjunto"),""))</f>
        <v/>
      </c>
      <c r="W239" t="str" cm="1">
        <f t="array" ref="W239">IF(S239="","",IFERROR(AVERAGE(IF((nNIA=S239)*(nEVAL=CONFIG_METADATA!$B$4)*(nASIG&lt;&gt;"Lenguaje Musical")*(nASIG&lt;&gt;"Coro")*(nASIG&lt;&gt;"Conjunto"),nNOTA)),""))</f>
        <v/>
      </c>
    </row>
    <row r="240" spans="2:23" x14ac:dyDescent="0.2">
      <c r="B240" t="str">
        <f>IF(A240="","",IFERROR(AVERAGEIFS(nNOTA,nNIA,A240,nEVAL,CONFIG_METADATA!$B$4,nASIG,"Lenguaje Musical"),""))</f>
        <v/>
      </c>
      <c r="C240" t="str">
        <f>IF(A240="","",IFERROR(AVERAGEIFS(nNOTA,nNIA,A240,nEVAL,CONFIG_METADATA!$B$4,nASIG,"Coro"),""))</f>
        <v/>
      </c>
      <c r="D240" t="str">
        <f>IF(A240="","",IFERROR(AVERAGEIFS(nNOTA,nNIA,A240,nEVAL,CONFIG_METADATA!$B$4,nASIG,"Conjunto"),""))</f>
        <v/>
      </c>
      <c r="E240" t="str" cm="1">
        <f t="array" ref="E240">IF(A240="","",IFERROR(AVERAGE(IF((nNIA=A240)*(nEVAL=CONFIG_METADATA!$B$4)*(nASIG&lt;&gt;"Lenguaje Musical")*(nASIG&lt;&gt;"Coro")*(nASIG&lt;&gt;"Conjunto"),nNOTA)),""))</f>
        <v/>
      </c>
      <c r="H240" t="str">
        <f>IF(G240="","",IFERROR(AVERAGEIFS(nNOTA,nNIA,G240,nEVAL,CONFIG_METADATA!$B$4,nASIG,"Lenguaje Musical"),""))</f>
        <v/>
      </c>
      <c r="I240" t="str">
        <f>IF(G240="","",IFERROR(AVERAGEIFS(nNOTA,nNIA,G240,nEVAL,CONFIG_METADATA!$B$4,nASIG,"Coro"),""))</f>
        <v/>
      </c>
      <c r="J240" t="str">
        <f>IF(G240="","",IFERROR(AVERAGEIFS(nNOTA,nNIA,G240,nEVAL,CONFIG_METADATA!$B$4,nASIG,"Conjunto"),""))</f>
        <v/>
      </c>
      <c r="K240" t="str" cm="1">
        <f t="array" ref="K240">IF(G240="","",IFERROR(AVERAGE(IF((nNIA=G240)*(nEVAL=CONFIG_METADATA!$B$4)*(nASIG&lt;&gt;"Lenguaje Musical")*(nASIG&lt;&gt;"Coro")*(nASIG&lt;&gt;"Conjunto"),nNOTA)),""))</f>
        <v/>
      </c>
      <c r="N240" t="str">
        <f>IF(M240="","",IFERROR(AVERAGEIFS(nNOTA,nNIA,M240,nEVAL,CONFIG_METADATA!$B$4,nASIG,"Lenguaje Musical"),""))</f>
        <v/>
      </c>
      <c r="O240" t="str">
        <f>IF(M240="","",IFERROR(AVERAGEIFS(nNOTA,nNIA,M240,nEVAL,CONFIG_METADATA!$B$4,nASIG,"Coro"),""))</f>
        <v/>
      </c>
      <c r="P240" t="str">
        <f>IF(M240="","",IFERROR(AVERAGEIFS(nNOTA,nNIA,M240,nEVAL,CONFIG_METADATA!$B$4,nASIG,"Conjunto"),""))</f>
        <v/>
      </c>
      <c r="Q240" t="str">
        <f>IF(M240="","",IFERROR(AVERAGEIFS(nNOTA,nNIA,M240,nEVAL,CONFIG_METADATA!$B$4,nASIG,"&lt;&gt;Lenguaje Musical",nASIG,"&lt;&gt;Coro",nASIG,"&lt;&gt;Conjunto"),""))</f>
        <v/>
      </c>
      <c r="T240" t="str">
        <f>IF(S240="","",IFERROR(AVERAGEIFS(nNOTA,nNIA,S240,nEVAL,CONFIG_METADATA!$B$4,nASIG,"Lenguaje Musical"),""))</f>
        <v/>
      </c>
      <c r="U240" t="str">
        <f>IF(S240="","",IFERROR(AVERAGEIFS(nNOTA,nNIA,S240,nEVAL,CONFIG_METADATA!$B$4,nASIG,"Coro"),""))</f>
        <v/>
      </c>
      <c r="V240" t="str">
        <f>IF(S240="","",IFERROR(AVERAGEIFS(nNOTA,nNIA,S240,nEVAL,CONFIG_METADATA!$B$4,nASIG,"Conjunto"),""))</f>
        <v/>
      </c>
      <c r="W240" t="str" cm="1">
        <f t="array" ref="W240">IF(S240="","",IFERROR(AVERAGE(IF((nNIA=S240)*(nEVAL=CONFIG_METADATA!$B$4)*(nASIG&lt;&gt;"Lenguaje Musical")*(nASIG&lt;&gt;"Coro")*(nASIG&lt;&gt;"Conjunto"),nNOTA)),""))</f>
        <v/>
      </c>
    </row>
    <row r="241" spans="2:23" x14ac:dyDescent="0.2">
      <c r="B241" t="str">
        <f>IF(A241="","",IFERROR(AVERAGEIFS(nNOTA,nNIA,A241,nEVAL,CONFIG_METADATA!$B$4,nASIG,"Lenguaje Musical"),""))</f>
        <v/>
      </c>
      <c r="C241" t="str">
        <f>IF(A241="","",IFERROR(AVERAGEIFS(nNOTA,nNIA,A241,nEVAL,CONFIG_METADATA!$B$4,nASIG,"Coro"),""))</f>
        <v/>
      </c>
      <c r="D241" t="str">
        <f>IF(A241="","",IFERROR(AVERAGEIFS(nNOTA,nNIA,A241,nEVAL,CONFIG_METADATA!$B$4,nASIG,"Conjunto"),""))</f>
        <v/>
      </c>
      <c r="E241" t="str" cm="1">
        <f t="array" ref="E241">IF(A241="","",IFERROR(AVERAGE(IF((nNIA=A241)*(nEVAL=CONFIG_METADATA!$B$4)*(nASIG&lt;&gt;"Lenguaje Musical")*(nASIG&lt;&gt;"Coro")*(nASIG&lt;&gt;"Conjunto"),nNOTA)),""))</f>
        <v/>
      </c>
      <c r="H241" t="str">
        <f>IF(G241="","",IFERROR(AVERAGEIFS(nNOTA,nNIA,G241,nEVAL,CONFIG_METADATA!$B$4,nASIG,"Lenguaje Musical"),""))</f>
        <v/>
      </c>
      <c r="I241" t="str">
        <f>IF(G241="","",IFERROR(AVERAGEIFS(nNOTA,nNIA,G241,nEVAL,CONFIG_METADATA!$B$4,nASIG,"Coro"),""))</f>
        <v/>
      </c>
      <c r="J241" t="str">
        <f>IF(G241="","",IFERROR(AVERAGEIFS(nNOTA,nNIA,G241,nEVAL,CONFIG_METADATA!$B$4,nASIG,"Conjunto"),""))</f>
        <v/>
      </c>
      <c r="K241" t="str" cm="1">
        <f t="array" ref="K241">IF(G241="","",IFERROR(AVERAGE(IF((nNIA=G241)*(nEVAL=CONFIG_METADATA!$B$4)*(nASIG&lt;&gt;"Lenguaje Musical")*(nASIG&lt;&gt;"Coro")*(nASIG&lt;&gt;"Conjunto"),nNOTA)),""))</f>
        <v/>
      </c>
      <c r="N241" t="str">
        <f>IF(M241="","",IFERROR(AVERAGEIFS(nNOTA,nNIA,M241,nEVAL,CONFIG_METADATA!$B$4,nASIG,"Lenguaje Musical"),""))</f>
        <v/>
      </c>
      <c r="O241" t="str">
        <f>IF(M241="","",IFERROR(AVERAGEIFS(nNOTA,nNIA,M241,nEVAL,CONFIG_METADATA!$B$4,nASIG,"Coro"),""))</f>
        <v/>
      </c>
      <c r="P241" t="str">
        <f>IF(M241="","",IFERROR(AVERAGEIFS(nNOTA,nNIA,M241,nEVAL,CONFIG_METADATA!$B$4,nASIG,"Conjunto"),""))</f>
        <v/>
      </c>
      <c r="Q241" t="str">
        <f>IF(M241="","",IFERROR(AVERAGEIFS(nNOTA,nNIA,M241,nEVAL,CONFIG_METADATA!$B$4,nASIG,"&lt;&gt;Lenguaje Musical",nASIG,"&lt;&gt;Coro",nASIG,"&lt;&gt;Conjunto"),""))</f>
        <v/>
      </c>
      <c r="T241" t="str">
        <f>IF(S241="","",IFERROR(AVERAGEIFS(nNOTA,nNIA,S241,nEVAL,CONFIG_METADATA!$B$4,nASIG,"Lenguaje Musical"),""))</f>
        <v/>
      </c>
      <c r="U241" t="str">
        <f>IF(S241="","",IFERROR(AVERAGEIFS(nNOTA,nNIA,S241,nEVAL,CONFIG_METADATA!$B$4,nASIG,"Coro"),""))</f>
        <v/>
      </c>
      <c r="V241" t="str">
        <f>IF(S241="","",IFERROR(AVERAGEIFS(nNOTA,nNIA,S241,nEVAL,CONFIG_METADATA!$B$4,nASIG,"Conjunto"),""))</f>
        <v/>
      </c>
      <c r="W241" t="str" cm="1">
        <f t="array" ref="W241">IF(S241="","",IFERROR(AVERAGE(IF((nNIA=S241)*(nEVAL=CONFIG_METADATA!$B$4)*(nASIG&lt;&gt;"Lenguaje Musical")*(nASIG&lt;&gt;"Coro")*(nASIG&lt;&gt;"Conjunto"),nNOTA)),""))</f>
        <v/>
      </c>
    </row>
    <row r="242" spans="2:23" x14ac:dyDescent="0.2">
      <c r="B242" t="str">
        <f>IF(A242="","",IFERROR(AVERAGEIFS(nNOTA,nNIA,A242,nEVAL,CONFIG_METADATA!$B$4,nASIG,"Lenguaje Musical"),""))</f>
        <v/>
      </c>
      <c r="C242" t="str">
        <f>IF(A242="","",IFERROR(AVERAGEIFS(nNOTA,nNIA,A242,nEVAL,CONFIG_METADATA!$B$4,nASIG,"Coro"),""))</f>
        <v/>
      </c>
      <c r="D242" t="str">
        <f>IF(A242="","",IFERROR(AVERAGEIFS(nNOTA,nNIA,A242,nEVAL,CONFIG_METADATA!$B$4,nASIG,"Conjunto"),""))</f>
        <v/>
      </c>
      <c r="E242" t="str" cm="1">
        <f t="array" ref="E242">IF(A242="","",IFERROR(AVERAGE(IF((nNIA=A242)*(nEVAL=CONFIG_METADATA!$B$4)*(nASIG&lt;&gt;"Lenguaje Musical")*(nASIG&lt;&gt;"Coro")*(nASIG&lt;&gt;"Conjunto"),nNOTA)),""))</f>
        <v/>
      </c>
      <c r="H242" t="str">
        <f>IF(G242="","",IFERROR(AVERAGEIFS(nNOTA,nNIA,G242,nEVAL,CONFIG_METADATA!$B$4,nASIG,"Lenguaje Musical"),""))</f>
        <v/>
      </c>
      <c r="I242" t="str">
        <f>IF(G242="","",IFERROR(AVERAGEIFS(nNOTA,nNIA,G242,nEVAL,CONFIG_METADATA!$B$4,nASIG,"Coro"),""))</f>
        <v/>
      </c>
      <c r="J242" t="str">
        <f>IF(G242="","",IFERROR(AVERAGEIFS(nNOTA,nNIA,G242,nEVAL,CONFIG_METADATA!$B$4,nASIG,"Conjunto"),""))</f>
        <v/>
      </c>
      <c r="K242" t="str" cm="1">
        <f t="array" ref="K242">IF(G242="","",IFERROR(AVERAGE(IF((nNIA=G242)*(nEVAL=CONFIG_METADATA!$B$4)*(nASIG&lt;&gt;"Lenguaje Musical")*(nASIG&lt;&gt;"Coro")*(nASIG&lt;&gt;"Conjunto"),nNOTA)),""))</f>
        <v/>
      </c>
      <c r="N242" t="str">
        <f>IF(M242="","",IFERROR(AVERAGEIFS(nNOTA,nNIA,M242,nEVAL,CONFIG_METADATA!$B$4,nASIG,"Lenguaje Musical"),""))</f>
        <v/>
      </c>
      <c r="O242" t="str">
        <f>IF(M242="","",IFERROR(AVERAGEIFS(nNOTA,nNIA,M242,nEVAL,CONFIG_METADATA!$B$4,nASIG,"Coro"),""))</f>
        <v/>
      </c>
      <c r="P242" t="str">
        <f>IF(M242="","",IFERROR(AVERAGEIFS(nNOTA,nNIA,M242,nEVAL,CONFIG_METADATA!$B$4,nASIG,"Conjunto"),""))</f>
        <v/>
      </c>
      <c r="Q242" t="str">
        <f>IF(M242="","",IFERROR(AVERAGEIFS(nNOTA,nNIA,M242,nEVAL,CONFIG_METADATA!$B$4,nASIG,"&lt;&gt;Lenguaje Musical",nASIG,"&lt;&gt;Coro",nASIG,"&lt;&gt;Conjunto"),""))</f>
        <v/>
      </c>
      <c r="T242" t="str">
        <f>IF(S242="","",IFERROR(AVERAGEIFS(nNOTA,nNIA,S242,nEVAL,CONFIG_METADATA!$B$4,nASIG,"Lenguaje Musical"),""))</f>
        <v/>
      </c>
      <c r="U242" t="str">
        <f>IF(S242="","",IFERROR(AVERAGEIFS(nNOTA,nNIA,S242,nEVAL,CONFIG_METADATA!$B$4,nASIG,"Coro"),""))</f>
        <v/>
      </c>
      <c r="V242" t="str">
        <f>IF(S242="","",IFERROR(AVERAGEIFS(nNOTA,nNIA,S242,nEVAL,CONFIG_METADATA!$B$4,nASIG,"Conjunto"),""))</f>
        <v/>
      </c>
      <c r="W242" t="str" cm="1">
        <f t="array" ref="W242">IF(S242="","",IFERROR(AVERAGE(IF((nNIA=S242)*(nEVAL=CONFIG_METADATA!$B$4)*(nASIG&lt;&gt;"Lenguaje Musical")*(nASIG&lt;&gt;"Coro")*(nASIG&lt;&gt;"Conjunto"),nNOTA)),""))</f>
        <v/>
      </c>
    </row>
    <row r="243" spans="2:23" x14ac:dyDescent="0.2">
      <c r="B243" t="str">
        <f>IF(A243="","",IFERROR(AVERAGEIFS(nNOTA,nNIA,A243,nEVAL,CONFIG_METADATA!$B$4,nASIG,"Lenguaje Musical"),""))</f>
        <v/>
      </c>
      <c r="C243" t="str">
        <f>IF(A243="","",IFERROR(AVERAGEIFS(nNOTA,nNIA,A243,nEVAL,CONFIG_METADATA!$B$4,nASIG,"Coro"),""))</f>
        <v/>
      </c>
      <c r="D243" t="str">
        <f>IF(A243="","",IFERROR(AVERAGEIFS(nNOTA,nNIA,A243,nEVAL,CONFIG_METADATA!$B$4,nASIG,"Conjunto"),""))</f>
        <v/>
      </c>
      <c r="E243" t="str" cm="1">
        <f t="array" ref="E243">IF(A243="","",IFERROR(AVERAGE(IF((nNIA=A243)*(nEVAL=CONFIG_METADATA!$B$4)*(nASIG&lt;&gt;"Lenguaje Musical")*(nASIG&lt;&gt;"Coro")*(nASIG&lt;&gt;"Conjunto"),nNOTA)),""))</f>
        <v/>
      </c>
      <c r="H243" t="str">
        <f>IF(G243="","",IFERROR(AVERAGEIFS(nNOTA,nNIA,G243,nEVAL,CONFIG_METADATA!$B$4,nASIG,"Lenguaje Musical"),""))</f>
        <v/>
      </c>
      <c r="I243" t="str">
        <f>IF(G243="","",IFERROR(AVERAGEIFS(nNOTA,nNIA,G243,nEVAL,CONFIG_METADATA!$B$4,nASIG,"Coro"),""))</f>
        <v/>
      </c>
      <c r="J243" t="str">
        <f>IF(G243="","",IFERROR(AVERAGEIFS(nNOTA,nNIA,G243,nEVAL,CONFIG_METADATA!$B$4,nASIG,"Conjunto"),""))</f>
        <v/>
      </c>
      <c r="K243" t="str" cm="1">
        <f t="array" ref="K243">IF(G243="","",IFERROR(AVERAGE(IF((nNIA=G243)*(nEVAL=CONFIG_METADATA!$B$4)*(nASIG&lt;&gt;"Lenguaje Musical")*(nASIG&lt;&gt;"Coro")*(nASIG&lt;&gt;"Conjunto"),nNOTA)),""))</f>
        <v/>
      </c>
      <c r="N243" t="str">
        <f>IF(M243="","",IFERROR(AVERAGEIFS(nNOTA,nNIA,M243,nEVAL,CONFIG_METADATA!$B$4,nASIG,"Lenguaje Musical"),""))</f>
        <v/>
      </c>
      <c r="O243" t="str">
        <f>IF(M243="","",IFERROR(AVERAGEIFS(nNOTA,nNIA,M243,nEVAL,CONFIG_METADATA!$B$4,nASIG,"Coro"),""))</f>
        <v/>
      </c>
      <c r="P243" t="str">
        <f>IF(M243="","",IFERROR(AVERAGEIFS(nNOTA,nNIA,M243,nEVAL,CONFIG_METADATA!$B$4,nASIG,"Conjunto"),""))</f>
        <v/>
      </c>
      <c r="Q243" t="str">
        <f>IF(M243="","",IFERROR(AVERAGEIFS(nNOTA,nNIA,M243,nEVAL,CONFIG_METADATA!$B$4,nASIG,"&lt;&gt;Lenguaje Musical",nASIG,"&lt;&gt;Coro",nASIG,"&lt;&gt;Conjunto"),""))</f>
        <v/>
      </c>
      <c r="T243" t="str">
        <f>IF(S243="","",IFERROR(AVERAGEIFS(nNOTA,nNIA,S243,nEVAL,CONFIG_METADATA!$B$4,nASIG,"Lenguaje Musical"),""))</f>
        <v/>
      </c>
      <c r="U243" t="str">
        <f>IF(S243="","",IFERROR(AVERAGEIFS(nNOTA,nNIA,S243,nEVAL,CONFIG_METADATA!$B$4,nASIG,"Coro"),""))</f>
        <v/>
      </c>
      <c r="V243" t="str">
        <f>IF(S243="","",IFERROR(AVERAGEIFS(nNOTA,nNIA,S243,nEVAL,CONFIG_METADATA!$B$4,nASIG,"Conjunto"),""))</f>
        <v/>
      </c>
      <c r="W243" t="str" cm="1">
        <f t="array" ref="W243">IF(S243="","",IFERROR(AVERAGE(IF((nNIA=S243)*(nEVAL=CONFIG_METADATA!$B$4)*(nASIG&lt;&gt;"Lenguaje Musical")*(nASIG&lt;&gt;"Coro")*(nASIG&lt;&gt;"Conjunto"),nNOTA)),""))</f>
        <v/>
      </c>
    </row>
    <row r="244" spans="2:23" x14ac:dyDescent="0.2">
      <c r="B244" t="str">
        <f>IF(A244="","",IFERROR(AVERAGEIFS(nNOTA,nNIA,A244,nEVAL,CONFIG_METADATA!$B$4,nASIG,"Lenguaje Musical"),""))</f>
        <v/>
      </c>
      <c r="C244" t="str">
        <f>IF(A244="","",IFERROR(AVERAGEIFS(nNOTA,nNIA,A244,nEVAL,CONFIG_METADATA!$B$4,nASIG,"Coro"),""))</f>
        <v/>
      </c>
      <c r="D244" t="str">
        <f>IF(A244="","",IFERROR(AVERAGEIFS(nNOTA,nNIA,A244,nEVAL,CONFIG_METADATA!$B$4,nASIG,"Conjunto"),""))</f>
        <v/>
      </c>
      <c r="E244" t="str" cm="1">
        <f t="array" ref="E244">IF(A244="","",IFERROR(AVERAGE(IF((nNIA=A244)*(nEVAL=CONFIG_METADATA!$B$4)*(nASIG&lt;&gt;"Lenguaje Musical")*(nASIG&lt;&gt;"Coro")*(nASIG&lt;&gt;"Conjunto"),nNOTA)),""))</f>
        <v/>
      </c>
      <c r="H244" t="str">
        <f>IF(G244="","",IFERROR(AVERAGEIFS(nNOTA,nNIA,G244,nEVAL,CONFIG_METADATA!$B$4,nASIG,"Lenguaje Musical"),""))</f>
        <v/>
      </c>
      <c r="I244" t="str">
        <f>IF(G244="","",IFERROR(AVERAGEIFS(nNOTA,nNIA,G244,nEVAL,CONFIG_METADATA!$B$4,nASIG,"Coro"),""))</f>
        <v/>
      </c>
      <c r="J244" t="str">
        <f>IF(G244="","",IFERROR(AVERAGEIFS(nNOTA,nNIA,G244,nEVAL,CONFIG_METADATA!$B$4,nASIG,"Conjunto"),""))</f>
        <v/>
      </c>
      <c r="K244" t="str" cm="1">
        <f t="array" ref="K244">IF(G244="","",IFERROR(AVERAGE(IF((nNIA=G244)*(nEVAL=CONFIG_METADATA!$B$4)*(nASIG&lt;&gt;"Lenguaje Musical")*(nASIG&lt;&gt;"Coro")*(nASIG&lt;&gt;"Conjunto"),nNOTA)),""))</f>
        <v/>
      </c>
      <c r="N244" t="str">
        <f>IF(M244="","",IFERROR(AVERAGEIFS(nNOTA,nNIA,M244,nEVAL,CONFIG_METADATA!$B$4,nASIG,"Lenguaje Musical"),""))</f>
        <v/>
      </c>
      <c r="O244" t="str">
        <f>IF(M244="","",IFERROR(AVERAGEIFS(nNOTA,nNIA,M244,nEVAL,CONFIG_METADATA!$B$4,nASIG,"Coro"),""))</f>
        <v/>
      </c>
      <c r="P244" t="str">
        <f>IF(M244="","",IFERROR(AVERAGEIFS(nNOTA,nNIA,M244,nEVAL,CONFIG_METADATA!$B$4,nASIG,"Conjunto"),""))</f>
        <v/>
      </c>
      <c r="Q244" t="str">
        <f>IF(M244="","",IFERROR(AVERAGEIFS(nNOTA,nNIA,M244,nEVAL,CONFIG_METADATA!$B$4,nASIG,"&lt;&gt;Lenguaje Musical",nASIG,"&lt;&gt;Coro",nASIG,"&lt;&gt;Conjunto"),""))</f>
        <v/>
      </c>
      <c r="T244" t="str">
        <f>IF(S244="","",IFERROR(AVERAGEIFS(nNOTA,nNIA,S244,nEVAL,CONFIG_METADATA!$B$4,nASIG,"Lenguaje Musical"),""))</f>
        <v/>
      </c>
      <c r="U244" t="str">
        <f>IF(S244="","",IFERROR(AVERAGEIFS(nNOTA,nNIA,S244,nEVAL,CONFIG_METADATA!$B$4,nASIG,"Coro"),""))</f>
        <v/>
      </c>
      <c r="V244" t="str">
        <f>IF(S244="","",IFERROR(AVERAGEIFS(nNOTA,nNIA,S244,nEVAL,CONFIG_METADATA!$B$4,nASIG,"Conjunto"),""))</f>
        <v/>
      </c>
      <c r="W244" t="str" cm="1">
        <f t="array" ref="W244">IF(S244="","",IFERROR(AVERAGE(IF((nNIA=S244)*(nEVAL=CONFIG_METADATA!$B$4)*(nASIG&lt;&gt;"Lenguaje Musical")*(nASIG&lt;&gt;"Coro")*(nASIG&lt;&gt;"Conjunto"),nNOTA)),""))</f>
        <v/>
      </c>
    </row>
    <row r="245" spans="2:23" x14ac:dyDescent="0.2">
      <c r="B245" t="str">
        <f>IF(A245="","",IFERROR(AVERAGEIFS(nNOTA,nNIA,A245,nEVAL,CONFIG_METADATA!$B$4,nASIG,"Lenguaje Musical"),""))</f>
        <v/>
      </c>
      <c r="C245" t="str">
        <f>IF(A245="","",IFERROR(AVERAGEIFS(nNOTA,nNIA,A245,nEVAL,CONFIG_METADATA!$B$4,nASIG,"Coro"),""))</f>
        <v/>
      </c>
      <c r="D245" t="str">
        <f>IF(A245="","",IFERROR(AVERAGEIFS(nNOTA,nNIA,A245,nEVAL,CONFIG_METADATA!$B$4,nASIG,"Conjunto"),""))</f>
        <v/>
      </c>
      <c r="E245" t="str" cm="1">
        <f t="array" ref="E245">IF(A245="","",IFERROR(AVERAGE(IF((nNIA=A245)*(nEVAL=CONFIG_METADATA!$B$4)*(nASIG&lt;&gt;"Lenguaje Musical")*(nASIG&lt;&gt;"Coro")*(nASIG&lt;&gt;"Conjunto"),nNOTA)),""))</f>
        <v/>
      </c>
      <c r="H245" t="str">
        <f>IF(G245="","",IFERROR(AVERAGEIFS(nNOTA,nNIA,G245,nEVAL,CONFIG_METADATA!$B$4,nASIG,"Lenguaje Musical"),""))</f>
        <v/>
      </c>
      <c r="I245" t="str">
        <f>IF(G245="","",IFERROR(AVERAGEIFS(nNOTA,nNIA,G245,nEVAL,CONFIG_METADATA!$B$4,nASIG,"Coro"),""))</f>
        <v/>
      </c>
      <c r="J245" t="str">
        <f>IF(G245="","",IFERROR(AVERAGEIFS(nNOTA,nNIA,G245,nEVAL,CONFIG_METADATA!$B$4,nASIG,"Conjunto"),""))</f>
        <v/>
      </c>
      <c r="K245" t="str" cm="1">
        <f t="array" ref="K245">IF(G245="","",IFERROR(AVERAGE(IF((nNIA=G245)*(nEVAL=CONFIG_METADATA!$B$4)*(nASIG&lt;&gt;"Lenguaje Musical")*(nASIG&lt;&gt;"Coro")*(nASIG&lt;&gt;"Conjunto"),nNOTA)),""))</f>
        <v/>
      </c>
      <c r="N245" t="str">
        <f>IF(M245="","",IFERROR(AVERAGEIFS(nNOTA,nNIA,M245,nEVAL,CONFIG_METADATA!$B$4,nASIG,"Lenguaje Musical"),""))</f>
        <v/>
      </c>
      <c r="O245" t="str">
        <f>IF(M245="","",IFERROR(AVERAGEIFS(nNOTA,nNIA,M245,nEVAL,CONFIG_METADATA!$B$4,nASIG,"Coro"),""))</f>
        <v/>
      </c>
      <c r="P245" t="str">
        <f>IF(M245="","",IFERROR(AVERAGEIFS(nNOTA,nNIA,M245,nEVAL,CONFIG_METADATA!$B$4,nASIG,"Conjunto"),""))</f>
        <v/>
      </c>
      <c r="Q245" t="str">
        <f>IF(M245="","",IFERROR(AVERAGEIFS(nNOTA,nNIA,M245,nEVAL,CONFIG_METADATA!$B$4,nASIG,"&lt;&gt;Lenguaje Musical",nASIG,"&lt;&gt;Coro",nASIG,"&lt;&gt;Conjunto"),""))</f>
        <v/>
      </c>
      <c r="T245" t="str">
        <f>IF(S245="","",IFERROR(AVERAGEIFS(nNOTA,nNIA,S245,nEVAL,CONFIG_METADATA!$B$4,nASIG,"Lenguaje Musical"),""))</f>
        <v/>
      </c>
      <c r="U245" t="str">
        <f>IF(S245="","",IFERROR(AVERAGEIFS(nNOTA,nNIA,S245,nEVAL,CONFIG_METADATA!$B$4,nASIG,"Coro"),""))</f>
        <v/>
      </c>
      <c r="V245" t="str">
        <f>IF(S245="","",IFERROR(AVERAGEIFS(nNOTA,nNIA,S245,nEVAL,CONFIG_METADATA!$B$4,nASIG,"Conjunto"),""))</f>
        <v/>
      </c>
      <c r="W245" t="str" cm="1">
        <f t="array" ref="W245">IF(S245="","",IFERROR(AVERAGE(IF((nNIA=S245)*(nEVAL=CONFIG_METADATA!$B$4)*(nASIG&lt;&gt;"Lenguaje Musical")*(nASIG&lt;&gt;"Coro")*(nASIG&lt;&gt;"Conjunto"),nNOTA)),""))</f>
        <v/>
      </c>
    </row>
    <row r="246" spans="2:23" x14ac:dyDescent="0.2">
      <c r="B246" t="str">
        <f>IF(A246="","",IFERROR(AVERAGEIFS(nNOTA,nNIA,A246,nEVAL,CONFIG_METADATA!$B$4,nASIG,"Lenguaje Musical"),""))</f>
        <v/>
      </c>
      <c r="C246" t="str">
        <f>IF(A246="","",IFERROR(AVERAGEIFS(nNOTA,nNIA,A246,nEVAL,CONFIG_METADATA!$B$4,nASIG,"Coro"),""))</f>
        <v/>
      </c>
      <c r="D246" t="str">
        <f>IF(A246="","",IFERROR(AVERAGEIFS(nNOTA,nNIA,A246,nEVAL,CONFIG_METADATA!$B$4,nASIG,"Conjunto"),""))</f>
        <v/>
      </c>
      <c r="E246" t="str" cm="1">
        <f t="array" ref="E246">IF(A246="","",IFERROR(AVERAGE(IF((nNIA=A246)*(nEVAL=CONFIG_METADATA!$B$4)*(nASIG&lt;&gt;"Lenguaje Musical")*(nASIG&lt;&gt;"Coro")*(nASIG&lt;&gt;"Conjunto"),nNOTA)),""))</f>
        <v/>
      </c>
      <c r="H246" t="str">
        <f>IF(G246="","",IFERROR(AVERAGEIFS(nNOTA,nNIA,G246,nEVAL,CONFIG_METADATA!$B$4,nASIG,"Lenguaje Musical"),""))</f>
        <v/>
      </c>
      <c r="I246" t="str">
        <f>IF(G246="","",IFERROR(AVERAGEIFS(nNOTA,nNIA,G246,nEVAL,CONFIG_METADATA!$B$4,nASIG,"Coro"),""))</f>
        <v/>
      </c>
      <c r="J246" t="str">
        <f>IF(G246="","",IFERROR(AVERAGEIFS(nNOTA,nNIA,G246,nEVAL,CONFIG_METADATA!$B$4,nASIG,"Conjunto"),""))</f>
        <v/>
      </c>
      <c r="K246" t="str" cm="1">
        <f t="array" ref="K246">IF(G246="","",IFERROR(AVERAGE(IF((nNIA=G246)*(nEVAL=CONFIG_METADATA!$B$4)*(nASIG&lt;&gt;"Lenguaje Musical")*(nASIG&lt;&gt;"Coro")*(nASIG&lt;&gt;"Conjunto"),nNOTA)),""))</f>
        <v/>
      </c>
      <c r="N246" t="str">
        <f>IF(M246="","",IFERROR(AVERAGEIFS(nNOTA,nNIA,M246,nEVAL,CONFIG_METADATA!$B$4,nASIG,"Lenguaje Musical"),""))</f>
        <v/>
      </c>
      <c r="O246" t="str">
        <f>IF(M246="","",IFERROR(AVERAGEIFS(nNOTA,nNIA,M246,nEVAL,CONFIG_METADATA!$B$4,nASIG,"Coro"),""))</f>
        <v/>
      </c>
      <c r="P246" t="str">
        <f>IF(M246="","",IFERROR(AVERAGEIFS(nNOTA,nNIA,M246,nEVAL,CONFIG_METADATA!$B$4,nASIG,"Conjunto"),""))</f>
        <v/>
      </c>
      <c r="Q246" t="str">
        <f>IF(M246="","",IFERROR(AVERAGEIFS(nNOTA,nNIA,M246,nEVAL,CONFIG_METADATA!$B$4,nASIG,"&lt;&gt;Lenguaje Musical",nASIG,"&lt;&gt;Coro",nASIG,"&lt;&gt;Conjunto"),""))</f>
        <v/>
      </c>
      <c r="T246" t="str">
        <f>IF(S246="","",IFERROR(AVERAGEIFS(nNOTA,nNIA,S246,nEVAL,CONFIG_METADATA!$B$4,nASIG,"Lenguaje Musical"),""))</f>
        <v/>
      </c>
      <c r="U246" t="str">
        <f>IF(S246="","",IFERROR(AVERAGEIFS(nNOTA,nNIA,S246,nEVAL,CONFIG_METADATA!$B$4,nASIG,"Coro"),""))</f>
        <v/>
      </c>
      <c r="V246" t="str">
        <f>IF(S246="","",IFERROR(AVERAGEIFS(nNOTA,nNIA,S246,nEVAL,CONFIG_METADATA!$B$4,nASIG,"Conjunto"),""))</f>
        <v/>
      </c>
      <c r="W246" t="str" cm="1">
        <f t="array" ref="W246">IF(S246="","",IFERROR(AVERAGE(IF((nNIA=S246)*(nEVAL=CONFIG_METADATA!$B$4)*(nASIG&lt;&gt;"Lenguaje Musical")*(nASIG&lt;&gt;"Coro")*(nASIG&lt;&gt;"Conjunto"),nNOTA)),""))</f>
        <v/>
      </c>
    </row>
    <row r="247" spans="2:23" x14ac:dyDescent="0.2">
      <c r="B247" t="str">
        <f>IF(A247="","",IFERROR(AVERAGEIFS(nNOTA,nNIA,A247,nEVAL,CONFIG_METADATA!$B$4,nASIG,"Lenguaje Musical"),""))</f>
        <v/>
      </c>
      <c r="C247" t="str">
        <f>IF(A247="","",IFERROR(AVERAGEIFS(nNOTA,nNIA,A247,nEVAL,CONFIG_METADATA!$B$4,nASIG,"Coro"),""))</f>
        <v/>
      </c>
      <c r="D247" t="str">
        <f>IF(A247="","",IFERROR(AVERAGEIFS(nNOTA,nNIA,A247,nEVAL,CONFIG_METADATA!$B$4,nASIG,"Conjunto"),""))</f>
        <v/>
      </c>
      <c r="E247" t="str" cm="1">
        <f t="array" ref="E247">IF(A247="","",IFERROR(AVERAGE(IF((nNIA=A247)*(nEVAL=CONFIG_METADATA!$B$4)*(nASIG&lt;&gt;"Lenguaje Musical")*(nASIG&lt;&gt;"Coro")*(nASIG&lt;&gt;"Conjunto"),nNOTA)),""))</f>
        <v/>
      </c>
      <c r="H247" t="str">
        <f>IF(G247="","",IFERROR(AVERAGEIFS(nNOTA,nNIA,G247,nEVAL,CONFIG_METADATA!$B$4,nASIG,"Lenguaje Musical"),""))</f>
        <v/>
      </c>
      <c r="I247" t="str">
        <f>IF(G247="","",IFERROR(AVERAGEIFS(nNOTA,nNIA,G247,nEVAL,CONFIG_METADATA!$B$4,nASIG,"Coro"),""))</f>
        <v/>
      </c>
      <c r="J247" t="str">
        <f>IF(G247="","",IFERROR(AVERAGEIFS(nNOTA,nNIA,G247,nEVAL,CONFIG_METADATA!$B$4,nASIG,"Conjunto"),""))</f>
        <v/>
      </c>
      <c r="K247" t="str" cm="1">
        <f t="array" ref="K247">IF(G247="","",IFERROR(AVERAGE(IF((nNIA=G247)*(nEVAL=CONFIG_METADATA!$B$4)*(nASIG&lt;&gt;"Lenguaje Musical")*(nASIG&lt;&gt;"Coro")*(nASIG&lt;&gt;"Conjunto"),nNOTA)),""))</f>
        <v/>
      </c>
      <c r="N247" t="str">
        <f>IF(M247="","",IFERROR(AVERAGEIFS(nNOTA,nNIA,M247,nEVAL,CONFIG_METADATA!$B$4,nASIG,"Lenguaje Musical"),""))</f>
        <v/>
      </c>
      <c r="O247" t="str">
        <f>IF(M247="","",IFERROR(AVERAGEIFS(nNOTA,nNIA,M247,nEVAL,CONFIG_METADATA!$B$4,nASIG,"Coro"),""))</f>
        <v/>
      </c>
      <c r="P247" t="str">
        <f>IF(M247="","",IFERROR(AVERAGEIFS(nNOTA,nNIA,M247,nEVAL,CONFIG_METADATA!$B$4,nASIG,"Conjunto"),""))</f>
        <v/>
      </c>
      <c r="Q247" t="str">
        <f>IF(M247="","",IFERROR(AVERAGEIFS(nNOTA,nNIA,M247,nEVAL,CONFIG_METADATA!$B$4,nASIG,"&lt;&gt;Lenguaje Musical",nASIG,"&lt;&gt;Coro",nASIG,"&lt;&gt;Conjunto"),""))</f>
        <v/>
      </c>
      <c r="T247" t="str">
        <f>IF(S247="","",IFERROR(AVERAGEIFS(nNOTA,nNIA,S247,nEVAL,CONFIG_METADATA!$B$4,nASIG,"Lenguaje Musical"),""))</f>
        <v/>
      </c>
      <c r="U247" t="str">
        <f>IF(S247="","",IFERROR(AVERAGEIFS(nNOTA,nNIA,S247,nEVAL,CONFIG_METADATA!$B$4,nASIG,"Coro"),""))</f>
        <v/>
      </c>
      <c r="V247" t="str">
        <f>IF(S247="","",IFERROR(AVERAGEIFS(nNOTA,nNIA,S247,nEVAL,CONFIG_METADATA!$B$4,nASIG,"Conjunto"),""))</f>
        <v/>
      </c>
      <c r="W247" t="str" cm="1">
        <f t="array" ref="W247">IF(S247="","",IFERROR(AVERAGE(IF((nNIA=S247)*(nEVAL=CONFIG_METADATA!$B$4)*(nASIG&lt;&gt;"Lenguaje Musical")*(nASIG&lt;&gt;"Coro")*(nASIG&lt;&gt;"Conjunto"),nNOTA)),""))</f>
        <v/>
      </c>
    </row>
    <row r="248" spans="2:23" x14ac:dyDescent="0.2">
      <c r="B248" t="str">
        <f>IF(A248="","",IFERROR(AVERAGEIFS(nNOTA,nNIA,A248,nEVAL,CONFIG_METADATA!$B$4,nASIG,"Lenguaje Musical"),""))</f>
        <v/>
      </c>
      <c r="C248" t="str">
        <f>IF(A248="","",IFERROR(AVERAGEIFS(nNOTA,nNIA,A248,nEVAL,CONFIG_METADATA!$B$4,nASIG,"Coro"),""))</f>
        <v/>
      </c>
      <c r="D248" t="str">
        <f>IF(A248="","",IFERROR(AVERAGEIFS(nNOTA,nNIA,A248,nEVAL,CONFIG_METADATA!$B$4,nASIG,"Conjunto"),""))</f>
        <v/>
      </c>
      <c r="E248" t="str" cm="1">
        <f t="array" ref="E248">IF(A248="","",IFERROR(AVERAGE(IF((nNIA=A248)*(nEVAL=CONFIG_METADATA!$B$4)*(nASIG&lt;&gt;"Lenguaje Musical")*(nASIG&lt;&gt;"Coro")*(nASIG&lt;&gt;"Conjunto"),nNOTA)),""))</f>
        <v/>
      </c>
      <c r="H248" t="str">
        <f>IF(G248="","",IFERROR(AVERAGEIFS(nNOTA,nNIA,G248,nEVAL,CONFIG_METADATA!$B$4,nASIG,"Lenguaje Musical"),""))</f>
        <v/>
      </c>
      <c r="I248" t="str">
        <f>IF(G248="","",IFERROR(AVERAGEIFS(nNOTA,nNIA,G248,nEVAL,CONFIG_METADATA!$B$4,nASIG,"Coro"),""))</f>
        <v/>
      </c>
      <c r="J248" t="str">
        <f>IF(G248="","",IFERROR(AVERAGEIFS(nNOTA,nNIA,G248,nEVAL,CONFIG_METADATA!$B$4,nASIG,"Conjunto"),""))</f>
        <v/>
      </c>
      <c r="K248" t="str" cm="1">
        <f t="array" ref="K248">IF(G248="","",IFERROR(AVERAGE(IF((nNIA=G248)*(nEVAL=CONFIG_METADATA!$B$4)*(nASIG&lt;&gt;"Lenguaje Musical")*(nASIG&lt;&gt;"Coro")*(nASIG&lt;&gt;"Conjunto"),nNOTA)),""))</f>
        <v/>
      </c>
      <c r="N248" t="str">
        <f>IF(M248="","",IFERROR(AVERAGEIFS(nNOTA,nNIA,M248,nEVAL,CONFIG_METADATA!$B$4,nASIG,"Lenguaje Musical"),""))</f>
        <v/>
      </c>
      <c r="O248" t="str">
        <f>IF(M248="","",IFERROR(AVERAGEIFS(nNOTA,nNIA,M248,nEVAL,CONFIG_METADATA!$B$4,nASIG,"Coro"),""))</f>
        <v/>
      </c>
      <c r="P248" t="str">
        <f>IF(M248="","",IFERROR(AVERAGEIFS(nNOTA,nNIA,M248,nEVAL,CONFIG_METADATA!$B$4,nASIG,"Conjunto"),""))</f>
        <v/>
      </c>
      <c r="Q248" t="str">
        <f>IF(M248="","",IFERROR(AVERAGEIFS(nNOTA,nNIA,M248,nEVAL,CONFIG_METADATA!$B$4,nASIG,"&lt;&gt;Lenguaje Musical",nASIG,"&lt;&gt;Coro",nASIG,"&lt;&gt;Conjunto"),""))</f>
        <v/>
      </c>
      <c r="T248" t="str">
        <f>IF(S248="","",IFERROR(AVERAGEIFS(nNOTA,nNIA,S248,nEVAL,CONFIG_METADATA!$B$4,nASIG,"Lenguaje Musical"),""))</f>
        <v/>
      </c>
      <c r="U248" t="str">
        <f>IF(S248="","",IFERROR(AVERAGEIFS(nNOTA,nNIA,S248,nEVAL,CONFIG_METADATA!$B$4,nASIG,"Coro"),""))</f>
        <v/>
      </c>
      <c r="V248" t="str">
        <f>IF(S248="","",IFERROR(AVERAGEIFS(nNOTA,nNIA,S248,nEVAL,CONFIG_METADATA!$B$4,nASIG,"Conjunto"),""))</f>
        <v/>
      </c>
      <c r="W248" t="str" cm="1">
        <f t="array" ref="W248">IF(S248="","",IFERROR(AVERAGE(IF((nNIA=S248)*(nEVAL=CONFIG_METADATA!$B$4)*(nASIG&lt;&gt;"Lenguaje Musical")*(nASIG&lt;&gt;"Coro")*(nASIG&lt;&gt;"Conjunto"),nNOTA)),""))</f>
        <v/>
      </c>
    </row>
    <row r="249" spans="2:23" x14ac:dyDescent="0.2">
      <c r="B249" t="str">
        <f>IF(A249="","",IFERROR(AVERAGEIFS(nNOTA,nNIA,A249,nEVAL,CONFIG_METADATA!$B$4,nASIG,"Lenguaje Musical"),""))</f>
        <v/>
      </c>
      <c r="C249" t="str">
        <f>IF(A249="","",IFERROR(AVERAGEIFS(nNOTA,nNIA,A249,nEVAL,CONFIG_METADATA!$B$4,nASIG,"Coro"),""))</f>
        <v/>
      </c>
      <c r="D249" t="str">
        <f>IF(A249="","",IFERROR(AVERAGEIFS(nNOTA,nNIA,A249,nEVAL,CONFIG_METADATA!$B$4,nASIG,"Conjunto"),""))</f>
        <v/>
      </c>
      <c r="E249" t="str" cm="1">
        <f t="array" ref="E249">IF(A249="","",IFERROR(AVERAGE(IF((nNIA=A249)*(nEVAL=CONFIG_METADATA!$B$4)*(nASIG&lt;&gt;"Lenguaje Musical")*(nASIG&lt;&gt;"Coro")*(nASIG&lt;&gt;"Conjunto"),nNOTA)),""))</f>
        <v/>
      </c>
      <c r="H249" t="str">
        <f>IF(G249="","",IFERROR(AVERAGEIFS(nNOTA,nNIA,G249,nEVAL,CONFIG_METADATA!$B$4,nASIG,"Lenguaje Musical"),""))</f>
        <v/>
      </c>
      <c r="I249" t="str">
        <f>IF(G249="","",IFERROR(AVERAGEIFS(nNOTA,nNIA,G249,nEVAL,CONFIG_METADATA!$B$4,nASIG,"Coro"),""))</f>
        <v/>
      </c>
      <c r="J249" t="str">
        <f>IF(G249="","",IFERROR(AVERAGEIFS(nNOTA,nNIA,G249,nEVAL,CONFIG_METADATA!$B$4,nASIG,"Conjunto"),""))</f>
        <v/>
      </c>
      <c r="K249" t="str" cm="1">
        <f t="array" ref="K249">IF(G249="","",IFERROR(AVERAGE(IF((nNIA=G249)*(nEVAL=CONFIG_METADATA!$B$4)*(nASIG&lt;&gt;"Lenguaje Musical")*(nASIG&lt;&gt;"Coro")*(nASIG&lt;&gt;"Conjunto"),nNOTA)),""))</f>
        <v/>
      </c>
      <c r="N249" t="str">
        <f>IF(M249="","",IFERROR(AVERAGEIFS(nNOTA,nNIA,M249,nEVAL,CONFIG_METADATA!$B$4,nASIG,"Lenguaje Musical"),""))</f>
        <v/>
      </c>
      <c r="O249" t="str">
        <f>IF(M249="","",IFERROR(AVERAGEIFS(nNOTA,nNIA,M249,nEVAL,CONFIG_METADATA!$B$4,nASIG,"Coro"),""))</f>
        <v/>
      </c>
      <c r="P249" t="str">
        <f>IF(M249="","",IFERROR(AVERAGEIFS(nNOTA,nNIA,M249,nEVAL,CONFIG_METADATA!$B$4,nASIG,"Conjunto"),""))</f>
        <v/>
      </c>
      <c r="Q249" t="str">
        <f>IF(M249="","",IFERROR(AVERAGEIFS(nNOTA,nNIA,M249,nEVAL,CONFIG_METADATA!$B$4,nASIG,"&lt;&gt;Lenguaje Musical",nASIG,"&lt;&gt;Coro",nASIG,"&lt;&gt;Conjunto"),""))</f>
        <v/>
      </c>
      <c r="T249" t="str">
        <f>IF(S249="","",IFERROR(AVERAGEIFS(nNOTA,nNIA,S249,nEVAL,CONFIG_METADATA!$B$4,nASIG,"Lenguaje Musical"),""))</f>
        <v/>
      </c>
      <c r="U249" t="str">
        <f>IF(S249="","",IFERROR(AVERAGEIFS(nNOTA,nNIA,S249,nEVAL,CONFIG_METADATA!$B$4,nASIG,"Coro"),""))</f>
        <v/>
      </c>
      <c r="V249" t="str">
        <f>IF(S249="","",IFERROR(AVERAGEIFS(nNOTA,nNIA,S249,nEVAL,CONFIG_METADATA!$B$4,nASIG,"Conjunto"),""))</f>
        <v/>
      </c>
      <c r="W249" t="str" cm="1">
        <f t="array" ref="W249">IF(S249="","",IFERROR(AVERAGE(IF((nNIA=S249)*(nEVAL=CONFIG_METADATA!$B$4)*(nASIG&lt;&gt;"Lenguaje Musical")*(nASIG&lt;&gt;"Coro")*(nASIG&lt;&gt;"Conjunto"),nNOTA)),""))</f>
        <v/>
      </c>
    </row>
    <row r="250" spans="2:23" x14ac:dyDescent="0.2">
      <c r="B250" t="str">
        <f>IF(A250="","",IFERROR(AVERAGEIFS(nNOTA,nNIA,A250,nEVAL,CONFIG_METADATA!$B$4,nASIG,"Lenguaje Musical"),""))</f>
        <v/>
      </c>
      <c r="C250" t="str">
        <f>IF(A250="","",IFERROR(AVERAGEIFS(nNOTA,nNIA,A250,nEVAL,CONFIG_METADATA!$B$4,nASIG,"Coro"),""))</f>
        <v/>
      </c>
      <c r="D250" t="str">
        <f>IF(A250="","",IFERROR(AVERAGEIFS(nNOTA,nNIA,A250,nEVAL,CONFIG_METADATA!$B$4,nASIG,"Conjunto"),""))</f>
        <v/>
      </c>
      <c r="E250" t="str" cm="1">
        <f t="array" ref="E250">IF(A250="","",IFERROR(AVERAGE(IF((nNIA=A250)*(nEVAL=CONFIG_METADATA!$B$4)*(nASIG&lt;&gt;"Lenguaje Musical")*(nASIG&lt;&gt;"Coro")*(nASIG&lt;&gt;"Conjunto"),nNOTA)),""))</f>
        <v/>
      </c>
      <c r="H250" t="str">
        <f>IF(G250="","",IFERROR(AVERAGEIFS(nNOTA,nNIA,G250,nEVAL,CONFIG_METADATA!$B$4,nASIG,"Lenguaje Musical"),""))</f>
        <v/>
      </c>
      <c r="I250" t="str">
        <f>IF(G250="","",IFERROR(AVERAGEIFS(nNOTA,nNIA,G250,nEVAL,CONFIG_METADATA!$B$4,nASIG,"Coro"),""))</f>
        <v/>
      </c>
      <c r="J250" t="str">
        <f>IF(G250="","",IFERROR(AVERAGEIFS(nNOTA,nNIA,G250,nEVAL,CONFIG_METADATA!$B$4,nASIG,"Conjunto"),""))</f>
        <v/>
      </c>
      <c r="K250" t="str" cm="1">
        <f t="array" ref="K250">IF(G250="","",IFERROR(AVERAGE(IF((nNIA=G250)*(nEVAL=CONFIG_METADATA!$B$4)*(nASIG&lt;&gt;"Lenguaje Musical")*(nASIG&lt;&gt;"Coro")*(nASIG&lt;&gt;"Conjunto"),nNOTA)),""))</f>
        <v/>
      </c>
      <c r="N250" t="str">
        <f>IF(M250="","",IFERROR(AVERAGEIFS(nNOTA,nNIA,M250,nEVAL,CONFIG_METADATA!$B$4,nASIG,"Lenguaje Musical"),""))</f>
        <v/>
      </c>
      <c r="O250" t="str">
        <f>IF(M250="","",IFERROR(AVERAGEIFS(nNOTA,nNIA,M250,nEVAL,CONFIG_METADATA!$B$4,nASIG,"Coro"),""))</f>
        <v/>
      </c>
      <c r="P250" t="str">
        <f>IF(M250="","",IFERROR(AVERAGEIFS(nNOTA,nNIA,M250,nEVAL,CONFIG_METADATA!$B$4,nASIG,"Conjunto"),""))</f>
        <v/>
      </c>
      <c r="Q250" t="str">
        <f>IF(M250="","",IFERROR(AVERAGEIFS(nNOTA,nNIA,M250,nEVAL,CONFIG_METADATA!$B$4,nASIG,"&lt;&gt;Lenguaje Musical",nASIG,"&lt;&gt;Coro",nASIG,"&lt;&gt;Conjunto"),""))</f>
        <v/>
      </c>
      <c r="T250" t="str">
        <f>IF(S250="","",IFERROR(AVERAGEIFS(nNOTA,nNIA,S250,nEVAL,CONFIG_METADATA!$B$4,nASIG,"Lenguaje Musical"),""))</f>
        <v/>
      </c>
      <c r="U250" t="str">
        <f>IF(S250="","",IFERROR(AVERAGEIFS(nNOTA,nNIA,S250,nEVAL,CONFIG_METADATA!$B$4,nASIG,"Coro"),""))</f>
        <v/>
      </c>
      <c r="V250" t="str">
        <f>IF(S250="","",IFERROR(AVERAGEIFS(nNOTA,nNIA,S250,nEVAL,CONFIG_METADATA!$B$4,nASIG,"Conjunto"),""))</f>
        <v/>
      </c>
      <c r="W250" t="str" cm="1">
        <f t="array" ref="W250">IF(S250="","",IFERROR(AVERAGE(IF((nNIA=S250)*(nEVAL=CONFIG_METADATA!$B$4)*(nASIG&lt;&gt;"Lenguaje Musical")*(nASIG&lt;&gt;"Coro")*(nASIG&lt;&gt;"Conjunto"),nNOTA)),""))</f>
        <v/>
      </c>
    </row>
    <row r="251" spans="2:23" x14ac:dyDescent="0.2">
      <c r="B251" t="str">
        <f>IF(A251="","",IFERROR(AVERAGEIFS(nNOTA,nNIA,A251,nEVAL,CONFIG_METADATA!$B$4,nASIG,"Lenguaje Musical"),""))</f>
        <v/>
      </c>
      <c r="C251" t="str">
        <f>IF(A251="","",IFERROR(AVERAGEIFS(nNOTA,nNIA,A251,nEVAL,CONFIG_METADATA!$B$4,nASIG,"Coro"),""))</f>
        <v/>
      </c>
      <c r="D251" t="str">
        <f>IF(A251="","",IFERROR(AVERAGEIFS(nNOTA,nNIA,A251,nEVAL,CONFIG_METADATA!$B$4,nASIG,"Conjunto"),""))</f>
        <v/>
      </c>
      <c r="E251" t="str" cm="1">
        <f t="array" ref="E251">IF(A251="","",IFERROR(AVERAGE(IF((nNIA=A251)*(nEVAL=CONFIG_METADATA!$B$4)*(nASIG&lt;&gt;"Lenguaje Musical")*(nASIG&lt;&gt;"Coro")*(nASIG&lt;&gt;"Conjunto"),nNOTA)),""))</f>
        <v/>
      </c>
      <c r="H251" t="str">
        <f>IF(G251="","",IFERROR(AVERAGEIFS(nNOTA,nNIA,G251,nEVAL,CONFIG_METADATA!$B$4,nASIG,"Lenguaje Musical"),""))</f>
        <v/>
      </c>
      <c r="I251" t="str">
        <f>IF(G251="","",IFERROR(AVERAGEIFS(nNOTA,nNIA,G251,nEVAL,CONFIG_METADATA!$B$4,nASIG,"Coro"),""))</f>
        <v/>
      </c>
      <c r="J251" t="str">
        <f>IF(G251="","",IFERROR(AVERAGEIFS(nNOTA,nNIA,G251,nEVAL,CONFIG_METADATA!$B$4,nASIG,"Conjunto"),""))</f>
        <v/>
      </c>
      <c r="K251" t="str" cm="1">
        <f t="array" ref="K251">IF(G251="","",IFERROR(AVERAGE(IF((nNIA=G251)*(nEVAL=CONFIG_METADATA!$B$4)*(nASIG&lt;&gt;"Lenguaje Musical")*(nASIG&lt;&gt;"Coro")*(nASIG&lt;&gt;"Conjunto"),nNOTA)),""))</f>
        <v/>
      </c>
      <c r="N251" t="str">
        <f>IF(M251="","",IFERROR(AVERAGEIFS(nNOTA,nNIA,M251,nEVAL,CONFIG_METADATA!$B$4,nASIG,"Lenguaje Musical"),""))</f>
        <v/>
      </c>
      <c r="O251" t="str">
        <f>IF(M251="","",IFERROR(AVERAGEIFS(nNOTA,nNIA,M251,nEVAL,CONFIG_METADATA!$B$4,nASIG,"Coro"),""))</f>
        <v/>
      </c>
      <c r="P251" t="str">
        <f>IF(M251="","",IFERROR(AVERAGEIFS(nNOTA,nNIA,M251,nEVAL,CONFIG_METADATA!$B$4,nASIG,"Conjunto"),""))</f>
        <v/>
      </c>
      <c r="Q251" t="str">
        <f>IF(M251="","",IFERROR(AVERAGEIFS(nNOTA,nNIA,M251,nEVAL,CONFIG_METADATA!$B$4,nASIG,"&lt;&gt;Lenguaje Musical",nASIG,"&lt;&gt;Coro",nASIG,"&lt;&gt;Conjunto"),""))</f>
        <v/>
      </c>
      <c r="T251" t="str">
        <f>IF(S251="","",IFERROR(AVERAGEIFS(nNOTA,nNIA,S251,nEVAL,CONFIG_METADATA!$B$4,nASIG,"Lenguaje Musical"),""))</f>
        <v/>
      </c>
      <c r="U251" t="str">
        <f>IF(S251="","",IFERROR(AVERAGEIFS(nNOTA,nNIA,S251,nEVAL,CONFIG_METADATA!$B$4,nASIG,"Coro"),""))</f>
        <v/>
      </c>
      <c r="V251" t="str">
        <f>IF(S251="","",IFERROR(AVERAGEIFS(nNOTA,nNIA,S251,nEVAL,CONFIG_METADATA!$B$4,nASIG,"Conjunto"),""))</f>
        <v/>
      </c>
      <c r="W251" t="str" cm="1">
        <f t="array" ref="W251">IF(S251="","",IFERROR(AVERAGE(IF((nNIA=S251)*(nEVAL=CONFIG_METADATA!$B$4)*(nASIG&lt;&gt;"Lenguaje Musical")*(nASIG&lt;&gt;"Coro")*(nASIG&lt;&gt;"Conjunto"),nNOTA)),""))</f>
        <v/>
      </c>
    </row>
    <row r="252" spans="2:23" x14ac:dyDescent="0.2">
      <c r="B252" t="str">
        <f>IF(A252="","",IFERROR(AVERAGEIFS(nNOTA,nNIA,A252,nEVAL,CONFIG_METADATA!$B$4,nASIG,"Lenguaje Musical"),""))</f>
        <v/>
      </c>
      <c r="C252" t="str">
        <f>IF(A252="","",IFERROR(AVERAGEIFS(nNOTA,nNIA,A252,nEVAL,CONFIG_METADATA!$B$4,nASIG,"Coro"),""))</f>
        <v/>
      </c>
      <c r="D252" t="str">
        <f>IF(A252="","",IFERROR(AVERAGEIFS(nNOTA,nNIA,A252,nEVAL,CONFIG_METADATA!$B$4,nASIG,"Conjunto"),""))</f>
        <v/>
      </c>
      <c r="E252" t="str" cm="1">
        <f t="array" ref="E252">IF(A252="","",IFERROR(AVERAGE(IF((nNIA=A252)*(nEVAL=CONFIG_METADATA!$B$4)*(nASIG&lt;&gt;"Lenguaje Musical")*(nASIG&lt;&gt;"Coro")*(nASIG&lt;&gt;"Conjunto"),nNOTA)),""))</f>
        <v/>
      </c>
      <c r="H252" t="str">
        <f>IF(G252="","",IFERROR(AVERAGEIFS(nNOTA,nNIA,G252,nEVAL,CONFIG_METADATA!$B$4,nASIG,"Lenguaje Musical"),""))</f>
        <v/>
      </c>
      <c r="I252" t="str">
        <f>IF(G252="","",IFERROR(AVERAGEIFS(nNOTA,nNIA,G252,nEVAL,CONFIG_METADATA!$B$4,nASIG,"Coro"),""))</f>
        <v/>
      </c>
      <c r="J252" t="str">
        <f>IF(G252="","",IFERROR(AVERAGEIFS(nNOTA,nNIA,G252,nEVAL,CONFIG_METADATA!$B$4,nASIG,"Conjunto"),""))</f>
        <v/>
      </c>
      <c r="K252" t="str" cm="1">
        <f t="array" ref="K252">IF(G252="","",IFERROR(AVERAGE(IF((nNIA=G252)*(nEVAL=CONFIG_METADATA!$B$4)*(nASIG&lt;&gt;"Lenguaje Musical")*(nASIG&lt;&gt;"Coro")*(nASIG&lt;&gt;"Conjunto"),nNOTA)),""))</f>
        <v/>
      </c>
      <c r="N252" t="str">
        <f>IF(M252="","",IFERROR(AVERAGEIFS(nNOTA,nNIA,M252,nEVAL,CONFIG_METADATA!$B$4,nASIG,"Lenguaje Musical"),""))</f>
        <v/>
      </c>
      <c r="O252" t="str">
        <f>IF(M252="","",IFERROR(AVERAGEIFS(nNOTA,nNIA,M252,nEVAL,CONFIG_METADATA!$B$4,nASIG,"Coro"),""))</f>
        <v/>
      </c>
      <c r="P252" t="str">
        <f>IF(M252="","",IFERROR(AVERAGEIFS(nNOTA,nNIA,M252,nEVAL,CONFIG_METADATA!$B$4,nASIG,"Conjunto"),""))</f>
        <v/>
      </c>
      <c r="Q252" t="str">
        <f>IF(M252="","",IFERROR(AVERAGEIFS(nNOTA,nNIA,M252,nEVAL,CONFIG_METADATA!$B$4,nASIG,"&lt;&gt;Lenguaje Musical",nASIG,"&lt;&gt;Coro",nASIG,"&lt;&gt;Conjunto"),""))</f>
        <v/>
      </c>
      <c r="T252" t="str">
        <f>IF(S252="","",IFERROR(AVERAGEIFS(nNOTA,nNIA,S252,nEVAL,CONFIG_METADATA!$B$4,nASIG,"Lenguaje Musical"),""))</f>
        <v/>
      </c>
      <c r="U252" t="str">
        <f>IF(S252="","",IFERROR(AVERAGEIFS(nNOTA,nNIA,S252,nEVAL,CONFIG_METADATA!$B$4,nASIG,"Coro"),""))</f>
        <v/>
      </c>
      <c r="V252" t="str">
        <f>IF(S252="","",IFERROR(AVERAGEIFS(nNOTA,nNIA,S252,nEVAL,CONFIG_METADATA!$B$4,nASIG,"Conjunto"),""))</f>
        <v/>
      </c>
      <c r="W252" t="str" cm="1">
        <f t="array" ref="W252">IF(S252="","",IFERROR(AVERAGE(IF((nNIA=S252)*(nEVAL=CONFIG_METADATA!$B$4)*(nASIG&lt;&gt;"Lenguaje Musical")*(nASIG&lt;&gt;"Coro")*(nASIG&lt;&gt;"Conjunto"),nNOTA)),""))</f>
        <v/>
      </c>
    </row>
    <row r="253" spans="2:23" x14ac:dyDescent="0.2">
      <c r="B253" t="str">
        <f>IF(A253="","",IFERROR(AVERAGEIFS(nNOTA,nNIA,A253,nEVAL,CONFIG_METADATA!$B$4,nASIG,"Lenguaje Musical"),""))</f>
        <v/>
      </c>
      <c r="C253" t="str">
        <f>IF(A253="","",IFERROR(AVERAGEIFS(nNOTA,nNIA,A253,nEVAL,CONFIG_METADATA!$B$4,nASIG,"Coro"),""))</f>
        <v/>
      </c>
      <c r="D253" t="str">
        <f>IF(A253="","",IFERROR(AVERAGEIFS(nNOTA,nNIA,A253,nEVAL,CONFIG_METADATA!$B$4,nASIG,"Conjunto"),""))</f>
        <v/>
      </c>
      <c r="E253" t="str" cm="1">
        <f t="array" ref="E253">IF(A253="","",IFERROR(AVERAGE(IF((nNIA=A253)*(nEVAL=CONFIG_METADATA!$B$4)*(nASIG&lt;&gt;"Lenguaje Musical")*(nASIG&lt;&gt;"Coro")*(nASIG&lt;&gt;"Conjunto"),nNOTA)),""))</f>
        <v/>
      </c>
      <c r="H253" t="str">
        <f>IF(G253="","",IFERROR(AVERAGEIFS(nNOTA,nNIA,G253,nEVAL,CONFIG_METADATA!$B$4,nASIG,"Lenguaje Musical"),""))</f>
        <v/>
      </c>
      <c r="I253" t="str">
        <f>IF(G253="","",IFERROR(AVERAGEIFS(nNOTA,nNIA,G253,nEVAL,CONFIG_METADATA!$B$4,nASIG,"Coro"),""))</f>
        <v/>
      </c>
      <c r="J253" t="str">
        <f>IF(G253="","",IFERROR(AVERAGEIFS(nNOTA,nNIA,G253,nEVAL,CONFIG_METADATA!$B$4,nASIG,"Conjunto"),""))</f>
        <v/>
      </c>
      <c r="K253" t="str" cm="1">
        <f t="array" ref="K253">IF(G253="","",IFERROR(AVERAGE(IF((nNIA=G253)*(nEVAL=CONFIG_METADATA!$B$4)*(nASIG&lt;&gt;"Lenguaje Musical")*(nASIG&lt;&gt;"Coro")*(nASIG&lt;&gt;"Conjunto"),nNOTA)),""))</f>
        <v/>
      </c>
      <c r="N253" t="str">
        <f>IF(M253="","",IFERROR(AVERAGEIFS(nNOTA,nNIA,M253,nEVAL,CONFIG_METADATA!$B$4,nASIG,"Lenguaje Musical"),""))</f>
        <v/>
      </c>
      <c r="O253" t="str">
        <f>IF(M253="","",IFERROR(AVERAGEIFS(nNOTA,nNIA,M253,nEVAL,CONFIG_METADATA!$B$4,nASIG,"Coro"),""))</f>
        <v/>
      </c>
      <c r="P253" t="str">
        <f>IF(M253="","",IFERROR(AVERAGEIFS(nNOTA,nNIA,M253,nEVAL,CONFIG_METADATA!$B$4,nASIG,"Conjunto"),""))</f>
        <v/>
      </c>
      <c r="Q253" t="str">
        <f>IF(M253="","",IFERROR(AVERAGEIFS(nNOTA,nNIA,M253,nEVAL,CONFIG_METADATA!$B$4,nASIG,"&lt;&gt;Lenguaje Musical",nASIG,"&lt;&gt;Coro",nASIG,"&lt;&gt;Conjunto"),""))</f>
        <v/>
      </c>
      <c r="T253" t="str">
        <f>IF(S253="","",IFERROR(AVERAGEIFS(nNOTA,nNIA,S253,nEVAL,CONFIG_METADATA!$B$4,nASIG,"Lenguaje Musical"),""))</f>
        <v/>
      </c>
      <c r="U253" t="str">
        <f>IF(S253="","",IFERROR(AVERAGEIFS(nNOTA,nNIA,S253,nEVAL,CONFIG_METADATA!$B$4,nASIG,"Coro"),""))</f>
        <v/>
      </c>
      <c r="V253" t="str">
        <f>IF(S253="","",IFERROR(AVERAGEIFS(nNOTA,nNIA,S253,nEVAL,CONFIG_METADATA!$B$4,nASIG,"Conjunto"),""))</f>
        <v/>
      </c>
      <c r="W253" t="str" cm="1">
        <f t="array" ref="W253">IF(S253="","",IFERROR(AVERAGE(IF((nNIA=S253)*(nEVAL=CONFIG_METADATA!$B$4)*(nASIG&lt;&gt;"Lenguaje Musical")*(nASIG&lt;&gt;"Coro")*(nASIG&lt;&gt;"Conjunto"),nNOTA)),""))</f>
        <v/>
      </c>
    </row>
    <row r="254" spans="2:23" x14ac:dyDescent="0.2">
      <c r="B254" t="str">
        <f>IF(A254="","",IFERROR(AVERAGEIFS(nNOTA,nNIA,A254,nEVAL,CONFIG_METADATA!$B$4,nASIG,"Lenguaje Musical"),""))</f>
        <v/>
      </c>
      <c r="C254" t="str">
        <f>IF(A254="","",IFERROR(AVERAGEIFS(nNOTA,nNIA,A254,nEVAL,CONFIG_METADATA!$B$4,nASIG,"Coro"),""))</f>
        <v/>
      </c>
      <c r="D254" t="str">
        <f>IF(A254="","",IFERROR(AVERAGEIFS(nNOTA,nNIA,A254,nEVAL,CONFIG_METADATA!$B$4,nASIG,"Conjunto"),""))</f>
        <v/>
      </c>
      <c r="E254" t="str" cm="1">
        <f t="array" ref="E254">IF(A254="","",IFERROR(AVERAGE(IF((nNIA=A254)*(nEVAL=CONFIG_METADATA!$B$4)*(nASIG&lt;&gt;"Lenguaje Musical")*(nASIG&lt;&gt;"Coro")*(nASIG&lt;&gt;"Conjunto"),nNOTA)),""))</f>
        <v/>
      </c>
      <c r="H254" t="str">
        <f>IF(G254="","",IFERROR(AVERAGEIFS(nNOTA,nNIA,G254,nEVAL,CONFIG_METADATA!$B$4,nASIG,"Lenguaje Musical"),""))</f>
        <v/>
      </c>
      <c r="I254" t="str">
        <f>IF(G254="","",IFERROR(AVERAGEIFS(nNOTA,nNIA,G254,nEVAL,CONFIG_METADATA!$B$4,nASIG,"Coro"),""))</f>
        <v/>
      </c>
      <c r="J254" t="str">
        <f>IF(G254="","",IFERROR(AVERAGEIFS(nNOTA,nNIA,G254,nEVAL,CONFIG_METADATA!$B$4,nASIG,"Conjunto"),""))</f>
        <v/>
      </c>
      <c r="K254" t="str" cm="1">
        <f t="array" ref="K254">IF(G254="","",IFERROR(AVERAGE(IF((nNIA=G254)*(nEVAL=CONFIG_METADATA!$B$4)*(nASIG&lt;&gt;"Lenguaje Musical")*(nASIG&lt;&gt;"Coro")*(nASIG&lt;&gt;"Conjunto"),nNOTA)),""))</f>
        <v/>
      </c>
      <c r="N254" t="str">
        <f>IF(M254="","",IFERROR(AVERAGEIFS(nNOTA,nNIA,M254,nEVAL,CONFIG_METADATA!$B$4,nASIG,"Lenguaje Musical"),""))</f>
        <v/>
      </c>
      <c r="O254" t="str">
        <f>IF(M254="","",IFERROR(AVERAGEIFS(nNOTA,nNIA,M254,nEVAL,CONFIG_METADATA!$B$4,nASIG,"Coro"),""))</f>
        <v/>
      </c>
      <c r="P254" t="str">
        <f>IF(M254="","",IFERROR(AVERAGEIFS(nNOTA,nNIA,M254,nEVAL,CONFIG_METADATA!$B$4,nASIG,"Conjunto"),""))</f>
        <v/>
      </c>
      <c r="Q254" t="str">
        <f>IF(M254="","",IFERROR(AVERAGEIFS(nNOTA,nNIA,M254,nEVAL,CONFIG_METADATA!$B$4,nASIG,"&lt;&gt;Lenguaje Musical",nASIG,"&lt;&gt;Coro",nASIG,"&lt;&gt;Conjunto"),""))</f>
        <v/>
      </c>
      <c r="T254" t="str">
        <f>IF(S254="","",IFERROR(AVERAGEIFS(nNOTA,nNIA,S254,nEVAL,CONFIG_METADATA!$B$4,nASIG,"Lenguaje Musical"),""))</f>
        <v/>
      </c>
      <c r="U254" t="str">
        <f>IF(S254="","",IFERROR(AVERAGEIFS(nNOTA,nNIA,S254,nEVAL,CONFIG_METADATA!$B$4,nASIG,"Coro"),""))</f>
        <v/>
      </c>
      <c r="V254" t="str">
        <f>IF(S254="","",IFERROR(AVERAGEIFS(nNOTA,nNIA,S254,nEVAL,CONFIG_METADATA!$B$4,nASIG,"Conjunto"),""))</f>
        <v/>
      </c>
      <c r="W254" t="str" cm="1">
        <f t="array" ref="W254">IF(S254="","",IFERROR(AVERAGE(IF((nNIA=S254)*(nEVAL=CONFIG_METADATA!$B$4)*(nASIG&lt;&gt;"Lenguaje Musical")*(nASIG&lt;&gt;"Coro")*(nASIG&lt;&gt;"Conjunto"),nNOTA)),""))</f>
        <v/>
      </c>
    </row>
    <row r="255" spans="2:23" x14ac:dyDescent="0.2">
      <c r="B255" t="str">
        <f>IF(A255="","",IFERROR(AVERAGEIFS(nNOTA,nNIA,A255,nEVAL,CONFIG_METADATA!$B$4,nASIG,"Lenguaje Musical"),""))</f>
        <v/>
      </c>
      <c r="C255" t="str">
        <f>IF(A255="","",IFERROR(AVERAGEIFS(nNOTA,nNIA,A255,nEVAL,CONFIG_METADATA!$B$4,nASIG,"Coro"),""))</f>
        <v/>
      </c>
      <c r="D255" t="str">
        <f>IF(A255="","",IFERROR(AVERAGEIFS(nNOTA,nNIA,A255,nEVAL,CONFIG_METADATA!$B$4,nASIG,"Conjunto"),""))</f>
        <v/>
      </c>
      <c r="E255" t="str" cm="1">
        <f t="array" ref="E255">IF(A255="","",IFERROR(AVERAGE(IF((nNIA=A255)*(nEVAL=CONFIG_METADATA!$B$4)*(nASIG&lt;&gt;"Lenguaje Musical")*(nASIG&lt;&gt;"Coro")*(nASIG&lt;&gt;"Conjunto"),nNOTA)),""))</f>
        <v/>
      </c>
      <c r="H255" t="str">
        <f>IF(G255="","",IFERROR(AVERAGEIFS(nNOTA,nNIA,G255,nEVAL,CONFIG_METADATA!$B$4,nASIG,"Lenguaje Musical"),""))</f>
        <v/>
      </c>
      <c r="I255" t="str">
        <f>IF(G255="","",IFERROR(AVERAGEIFS(nNOTA,nNIA,G255,nEVAL,CONFIG_METADATA!$B$4,nASIG,"Coro"),""))</f>
        <v/>
      </c>
      <c r="J255" t="str">
        <f>IF(G255="","",IFERROR(AVERAGEIFS(nNOTA,nNIA,G255,nEVAL,CONFIG_METADATA!$B$4,nASIG,"Conjunto"),""))</f>
        <v/>
      </c>
      <c r="K255" t="str" cm="1">
        <f t="array" ref="K255">IF(G255="","",IFERROR(AVERAGE(IF((nNIA=G255)*(nEVAL=CONFIG_METADATA!$B$4)*(nASIG&lt;&gt;"Lenguaje Musical")*(nASIG&lt;&gt;"Coro")*(nASIG&lt;&gt;"Conjunto"),nNOTA)),""))</f>
        <v/>
      </c>
      <c r="N255" t="str">
        <f>IF(M255="","",IFERROR(AVERAGEIFS(nNOTA,nNIA,M255,nEVAL,CONFIG_METADATA!$B$4,nASIG,"Lenguaje Musical"),""))</f>
        <v/>
      </c>
      <c r="O255" t="str">
        <f>IF(M255="","",IFERROR(AVERAGEIFS(nNOTA,nNIA,M255,nEVAL,CONFIG_METADATA!$B$4,nASIG,"Coro"),""))</f>
        <v/>
      </c>
      <c r="P255" t="str">
        <f>IF(M255="","",IFERROR(AVERAGEIFS(nNOTA,nNIA,M255,nEVAL,CONFIG_METADATA!$B$4,nASIG,"Conjunto"),""))</f>
        <v/>
      </c>
      <c r="Q255" t="str">
        <f>IF(M255="","",IFERROR(AVERAGEIFS(nNOTA,nNIA,M255,nEVAL,CONFIG_METADATA!$B$4,nASIG,"&lt;&gt;Lenguaje Musical",nASIG,"&lt;&gt;Coro",nASIG,"&lt;&gt;Conjunto"),""))</f>
        <v/>
      </c>
      <c r="T255" t="str">
        <f>IF(S255="","",IFERROR(AVERAGEIFS(nNOTA,nNIA,S255,nEVAL,CONFIG_METADATA!$B$4,nASIG,"Lenguaje Musical"),""))</f>
        <v/>
      </c>
      <c r="U255" t="str">
        <f>IF(S255="","",IFERROR(AVERAGEIFS(nNOTA,nNIA,S255,nEVAL,CONFIG_METADATA!$B$4,nASIG,"Coro"),""))</f>
        <v/>
      </c>
      <c r="V255" t="str">
        <f>IF(S255="","",IFERROR(AVERAGEIFS(nNOTA,nNIA,S255,nEVAL,CONFIG_METADATA!$B$4,nASIG,"Conjunto"),""))</f>
        <v/>
      </c>
      <c r="W255" t="str" cm="1">
        <f t="array" ref="W255">IF(S255="","",IFERROR(AVERAGE(IF((nNIA=S255)*(nEVAL=CONFIG_METADATA!$B$4)*(nASIG&lt;&gt;"Lenguaje Musical")*(nASIG&lt;&gt;"Coro")*(nASIG&lt;&gt;"Conjunto"),nNOTA)),""))</f>
        <v/>
      </c>
    </row>
    <row r="256" spans="2:23" x14ac:dyDescent="0.2">
      <c r="B256" t="str">
        <f>IF(A256="","",IFERROR(AVERAGEIFS(nNOTA,nNIA,A256,nEVAL,CONFIG_METADATA!$B$4,nASIG,"Lenguaje Musical"),""))</f>
        <v/>
      </c>
      <c r="C256" t="str">
        <f>IF(A256="","",IFERROR(AVERAGEIFS(nNOTA,nNIA,A256,nEVAL,CONFIG_METADATA!$B$4,nASIG,"Coro"),""))</f>
        <v/>
      </c>
      <c r="D256" t="str">
        <f>IF(A256="","",IFERROR(AVERAGEIFS(nNOTA,nNIA,A256,nEVAL,CONFIG_METADATA!$B$4,nASIG,"Conjunto"),""))</f>
        <v/>
      </c>
      <c r="E256" t="str" cm="1">
        <f t="array" ref="E256">IF(A256="","",IFERROR(AVERAGE(IF((nNIA=A256)*(nEVAL=CONFIG_METADATA!$B$4)*(nASIG&lt;&gt;"Lenguaje Musical")*(nASIG&lt;&gt;"Coro")*(nASIG&lt;&gt;"Conjunto"),nNOTA)),""))</f>
        <v/>
      </c>
      <c r="H256" t="str">
        <f>IF(G256="","",IFERROR(AVERAGEIFS(nNOTA,nNIA,G256,nEVAL,CONFIG_METADATA!$B$4,nASIG,"Lenguaje Musical"),""))</f>
        <v/>
      </c>
      <c r="I256" t="str">
        <f>IF(G256="","",IFERROR(AVERAGEIFS(nNOTA,nNIA,G256,nEVAL,CONFIG_METADATA!$B$4,nASIG,"Coro"),""))</f>
        <v/>
      </c>
      <c r="J256" t="str">
        <f>IF(G256="","",IFERROR(AVERAGEIFS(nNOTA,nNIA,G256,nEVAL,CONFIG_METADATA!$B$4,nASIG,"Conjunto"),""))</f>
        <v/>
      </c>
      <c r="K256" t="str" cm="1">
        <f t="array" ref="K256">IF(G256="","",IFERROR(AVERAGE(IF((nNIA=G256)*(nEVAL=CONFIG_METADATA!$B$4)*(nASIG&lt;&gt;"Lenguaje Musical")*(nASIG&lt;&gt;"Coro")*(nASIG&lt;&gt;"Conjunto"),nNOTA)),""))</f>
        <v/>
      </c>
      <c r="N256" t="str">
        <f>IF(M256="","",IFERROR(AVERAGEIFS(nNOTA,nNIA,M256,nEVAL,CONFIG_METADATA!$B$4,nASIG,"Lenguaje Musical"),""))</f>
        <v/>
      </c>
      <c r="O256" t="str">
        <f>IF(M256="","",IFERROR(AVERAGEIFS(nNOTA,nNIA,M256,nEVAL,CONFIG_METADATA!$B$4,nASIG,"Coro"),""))</f>
        <v/>
      </c>
      <c r="P256" t="str">
        <f>IF(M256="","",IFERROR(AVERAGEIFS(nNOTA,nNIA,M256,nEVAL,CONFIG_METADATA!$B$4,nASIG,"Conjunto"),""))</f>
        <v/>
      </c>
      <c r="Q256" t="str">
        <f>IF(M256="","",IFERROR(AVERAGEIFS(nNOTA,nNIA,M256,nEVAL,CONFIG_METADATA!$B$4,nASIG,"&lt;&gt;Lenguaje Musical",nASIG,"&lt;&gt;Coro",nASIG,"&lt;&gt;Conjunto"),""))</f>
        <v/>
      </c>
      <c r="T256" t="str">
        <f>IF(S256="","",IFERROR(AVERAGEIFS(nNOTA,nNIA,S256,nEVAL,CONFIG_METADATA!$B$4,nASIG,"Lenguaje Musical"),""))</f>
        <v/>
      </c>
      <c r="U256" t="str">
        <f>IF(S256="","",IFERROR(AVERAGEIFS(nNOTA,nNIA,S256,nEVAL,CONFIG_METADATA!$B$4,nASIG,"Coro"),""))</f>
        <v/>
      </c>
      <c r="V256" t="str">
        <f>IF(S256="","",IFERROR(AVERAGEIFS(nNOTA,nNIA,S256,nEVAL,CONFIG_METADATA!$B$4,nASIG,"Conjunto"),""))</f>
        <v/>
      </c>
      <c r="W256" t="str" cm="1">
        <f t="array" ref="W256">IF(S256="","",IFERROR(AVERAGE(IF((nNIA=S256)*(nEVAL=CONFIG_METADATA!$B$4)*(nASIG&lt;&gt;"Lenguaje Musical")*(nASIG&lt;&gt;"Coro")*(nASIG&lt;&gt;"Conjunto"),nNOTA)),""))</f>
        <v/>
      </c>
    </row>
    <row r="257" spans="2:23" x14ac:dyDescent="0.2">
      <c r="B257" t="str">
        <f>IF(A257="","",IFERROR(AVERAGEIFS(nNOTA,nNIA,A257,nEVAL,CONFIG_METADATA!$B$4,nASIG,"Lenguaje Musical"),""))</f>
        <v/>
      </c>
      <c r="C257" t="str">
        <f>IF(A257="","",IFERROR(AVERAGEIFS(nNOTA,nNIA,A257,nEVAL,CONFIG_METADATA!$B$4,nASIG,"Coro"),""))</f>
        <v/>
      </c>
      <c r="D257" t="str">
        <f>IF(A257="","",IFERROR(AVERAGEIFS(nNOTA,nNIA,A257,nEVAL,CONFIG_METADATA!$B$4,nASIG,"Conjunto"),""))</f>
        <v/>
      </c>
      <c r="E257" t="str" cm="1">
        <f t="array" ref="E257">IF(A257="","",IFERROR(AVERAGE(IF((nNIA=A257)*(nEVAL=CONFIG_METADATA!$B$4)*(nASIG&lt;&gt;"Lenguaje Musical")*(nASIG&lt;&gt;"Coro")*(nASIG&lt;&gt;"Conjunto"),nNOTA)),""))</f>
        <v/>
      </c>
      <c r="H257" t="str">
        <f>IF(G257="","",IFERROR(AVERAGEIFS(nNOTA,nNIA,G257,nEVAL,CONFIG_METADATA!$B$4,nASIG,"Lenguaje Musical"),""))</f>
        <v/>
      </c>
      <c r="I257" t="str">
        <f>IF(G257="","",IFERROR(AVERAGEIFS(nNOTA,nNIA,G257,nEVAL,CONFIG_METADATA!$B$4,nASIG,"Coro"),""))</f>
        <v/>
      </c>
      <c r="J257" t="str">
        <f>IF(G257="","",IFERROR(AVERAGEIFS(nNOTA,nNIA,G257,nEVAL,CONFIG_METADATA!$B$4,nASIG,"Conjunto"),""))</f>
        <v/>
      </c>
      <c r="K257" t="str" cm="1">
        <f t="array" ref="K257">IF(G257="","",IFERROR(AVERAGE(IF((nNIA=G257)*(nEVAL=CONFIG_METADATA!$B$4)*(nASIG&lt;&gt;"Lenguaje Musical")*(nASIG&lt;&gt;"Coro")*(nASIG&lt;&gt;"Conjunto"),nNOTA)),""))</f>
        <v/>
      </c>
      <c r="N257" t="str">
        <f>IF(M257="","",IFERROR(AVERAGEIFS(nNOTA,nNIA,M257,nEVAL,CONFIG_METADATA!$B$4,nASIG,"Lenguaje Musical"),""))</f>
        <v/>
      </c>
      <c r="O257" t="str">
        <f>IF(M257="","",IFERROR(AVERAGEIFS(nNOTA,nNIA,M257,nEVAL,CONFIG_METADATA!$B$4,nASIG,"Coro"),""))</f>
        <v/>
      </c>
      <c r="P257" t="str">
        <f>IF(M257="","",IFERROR(AVERAGEIFS(nNOTA,nNIA,M257,nEVAL,CONFIG_METADATA!$B$4,nASIG,"Conjunto"),""))</f>
        <v/>
      </c>
      <c r="Q257" t="str">
        <f>IF(M257="","",IFERROR(AVERAGEIFS(nNOTA,nNIA,M257,nEVAL,CONFIG_METADATA!$B$4,nASIG,"&lt;&gt;Lenguaje Musical",nASIG,"&lt;&gt;Coro",nASIG,"&lt;&gt;Conjunto"),""))</f>
        <v/>
      </c>
      <c r="T257" t="str">
        <f>IF(S257="","",IFERROR(AVERAGEIFS(nNOTA,nNIA,S257,nEVAL,CONFIG_METADATA!$B$4,nASIG,"Lenguaje Musical"),""))</f>
        <v/>
      </c>
      <c r="U257" t="str">
        <f>IF(S257="","",IFERROR(AVERAGEIFS(nNOTA,nNIA,S257,nEVAL,CONFIG_METADATA!$B$4,nASIG,"Coro"),""))</f>
        <v/>
      </c>
      <c r="V257" t="str">
        <f>IF(S257="","",IFERROR(AVERAGEIFS(nNOTA,nNIA,S257,nEVAL,CONFIG_METADATA!$B$4,nASIG,"Conjunto"),""))</f>
        <v/>
      </c>
      <c r="W257" t="str" cm="1">
        <f t="array" ref="W257">IF(S257="","",IFERROR(AVERAGE(IF((nNIA=S257)*(nEVAL=CONFIG_METADATA!$B$4)*(nASIG&lt;&gt;"Lenguaje Musical")*(nASIG&lt;&gt;"Coro")*(nASIG&lt;&gt;"Conjunto"),nNOTA)),""))</f>
        <v/>
      </c>
    </row>
    <row r="258" spans="2:23" x14ac:dyDescent="0.2">
      <c r="B258" t="str">
        <f>IF(A258="","",IFERROR(AVERAGEIFS(nNOTA,nNIA,A258,nEVAL,CONFIG_METADATA!$B$4,nASIG,"Lenguaje Musical"),""))</f>
        <v/>
      </c>
      <c r="C258" t="str">
        <f>IF(A258="","",IFERROR(AVERAGEIFS(nNOTA,nNIA,A258,nEVAL,CONFIG_METADATA!$B$4,nASIG,"Coro"),""))</f>
        <v/>
      </c>
      <c r="D258" t="str">
        <f>IF(A258="","",IFERROR(AVERAGEIFS(nNOTA,nNIA,A258,nEVAL,CONFIG_METADATA!$B$4,nASIG,"Conjunto"),""))</f>
        <v/>
      </c>
      <c r="E258" t="str" cm="1">
        <f t="array" ref="E258">IF(A258="","",IFERROR(AVERAGE(IF((nNIA=A258)*(nEVAL=CONFIG_METADATA!$B$4)*(nASIG&lt;&gt;"Lenguaje Musical")*(nASIG&lt;&gt;"Coro")*(nASIG&lt;&gt;"Conjunto"),nNOTA)),""))</f>
        <v/>
      </c>
      <c r="H258" t="str">
        <f>IF(G258="","",IFERROR(AVERAGEIFS(nNOTA,nNIA,G258,nEVAL,CONFIG_METADATA!$B$4,nASIG,"Lenguaje Musical"),""))</f>
        <v/>
      </c>
      <c r="I258" t="str">
        <f>IF(G258="","",IFERROR(AVERAGEIFS(nNOTA,nNIA,G258,nEVAL,CONFIG_METADATA!$B$4,nASIG,"Coro"),""))</f>
        <v/>
      </c>
      <c r="J258" t="str">
        <f>IF(G258="","",IFERROR(AVERAGEIFS(nNOTA,nNIA,G258,nEVAL,CONFIG_METADATA!$B$4,nASIG,"Conjunto"),""))</f>
        <v/>
      </c>
      <c r="K258" t="str" cm="1">
        <f t="array" ref="K258">IF(G258="","",IFERROR(AVERAGE(IF((nNIA=G258)*(nEVAL=CONFIG_METADATA!$B$4)*(nASIG&lt;&gt;"Lenguaje Musical")*(nASIG&lt;&gt;"Coro")*(nASIG&lt;&gt;"Conjunto"),nNOTA)),""))</f>
        <v/>
      </c>
      <c r="N258" t="str">
        <f>IF(M258="","",IFERROR(AVERAGEIFS(nNOTA,nNIA,M258,nEVAL,CONFIG_METADATA!$B$4,nASIG,"Lenguaje Musical"),""))</f>
        <v/>
      </c>
      <c r="O258" t="str">
        <f>IF(M258="","",IFERROR(AVERAGEIFS(nNOTA,nNIA,M258,nEVAL,CONFIG_METADATA!$B$4,nASIG,"Coro"),""))</f>
        <v/>
      </c>
      <c r="P258" t="str">
        <f>IF(M258="","",IFERROR(AVERAGEIFS(nNOTA,nNIA,M258,nEVAL,CONFIG_METADATA!$B$4,nASIG,"Conjunto"),""))</f>
        <v/>
      </c>
      <c r="Q258" t="str">
        <f>IF(M258="","",IFERROR(AVERAGEIFS(nNOTA,nNIA,M258,nEVAL,CONFIG_METADATA!$B$4,nASIG,"&lt;&gt;Lenguaje Musical",nASIG,"&lt;&gt;Coro",nASIG,"&lt;&gt;Conjunto"),""))</f>
        <v/>
      </c>
      <c r="T258" t="str">
        <f>IF(S258="","",IFERROR(AVERAGEIFS(nNOTA,nNIA,S258,nEVAL,CONFIG_METADATA!$B$4,nASIG,"Lenguaje Musical"),""))</f>
        <v/>
      </c>
      <c r="U258" t="str">
        <f>IF(S258="","",IFERROR(AVERAGEIFS(nNOTA,nNIA,S258,nEVAL,CONFIG_METADATA!$B$4,nASIG,"Coro"),""))</f>
        <v/>
      </c>
      <c r="V258" t="str">
        <f>IF(S258="","",IFERROR(AVERAGEIFS(nNOTA,nNIA,S258,nEVAL,CONFIG_METADATA!$B$4,nASIG,"Conjunto"),""))</f>
        <v/>
      </c>
      <c r="W258" t="str" cm="1">
        <f t="array" ref="W258">IF(S258="","",IFERROR(AVERAGE(IF((nNIA=S258)*(nEVAL=CONFIG_METADATA!$B$4)*(nASIG&lt;&gt;"Lenguaje Musical")*(nASIG&lt;&gt;"Coro")*(nASIG&lt;&gt;"Conjunto"),nNOTA)),""))</f>
        <v/>
      </c>
    </row>
    <row r="259" spans="2:23" x14ac:dyDescent="0.2">
      <c r="B259" t="str">
        <f>IF(A259="","",IFERROR(AVERAGEIFS(nNOTA,nNIA,A259,nEVAL,CONFIG_METADATA!$B$4,nASIG,"Lenguaje Musical"),""))</f>
        <v/>
      </c>
      <c r="C259" t="str">
        <f>IF(A259="","",IFERROR(AVERAGEIFS(nNOTA,nNIA,A259,nEVAL,CONFIG_METADATA!$B$4,nASIG,"Coro"),""))</f>
        <v/>
      </c>
      <c r="D259" t="str">
        <f>IF(A259="","",IFERROR(AVERAGEIFS(nNOTA,nNIA,A259,nEVAL,CONFIG_METADATA!$B$4,nASIG,"Conjunto"),""))</f>
        <v/>
      </c>
      <c r="E259" t="str" cm="1">
        <f t="array" ref="E259">IF(A259="","",IFERROR(AVERAGE(IF((nNIA=A259)*(nEVAL=CONFIG_METADATA!$B$4)*(nASIG&lt;&gt;"Lenguaje Musical")*(nASIG&lt;&gt;"Coro")*(nASIG&lt;&gt;"Conjunto"),nNOTA)),""))</f>
        <v/>
      </c>
      <c r="H259" t="str">
        <f>IF(G259="","",IFERROR(AVERAGEIFS(nNOTA,nNIA,G259,nEVAL,CONFIG_METADATA!$B$4,nASIG,"Lenguaje Musical"),""))</f>
        <v/>
      </c>
      <c r="I259" t="str">
        <f>IF(G259="","",IFERROR(AVERAGEIFS(nNOTA,nNIA,G259,nEVAL,CONFIG_METADATA!$B$4,nASIG,"Coro"),""))</f>
        <v/>
      </c>
      <c r="J259" t="str">
        <f>IF(G259="","",IFERROR(AVERAGEIFS(nNOTA,nNIA,G259,nEVAL,CONFIG_METADATA!$B$4,nASIG,"Conjunto"),""))</f>
        <v/>
      </c>
      <c r="K259" t="str" cm="1">
        <f t="array" ref="K259">IF(G259="","",IFERROR(AVERAGE(IF((nNIA=G259)*(nEVAL=CONFIG_METADATA!$B$4)*(nASIG&lt;&gt;"Lenguaje Musical")*(nASIG&lt;&gt;"Coro")*(nASIG&lt;&gt;"Conjunto"),nNOTA)),""))</f>
        <v/>
      </c>
      <c r="N259" t="str">
        <f>IF(M259="","",IFERROR(AVERAGEIFS(nNOTA,nNIA,M259,nEVAL,CONFIG_METADATA!$B$4,nASIG,"Lenguaje Musical"),""))</f>
        <v/>
      </c>
      <c r="O259" t="str">
        <f>IF(M259="","",IFERROR(AVERAGEIFS(nNOTA,nNIA,M259,nEVAL,CONFIG_METADATA!$B$4,nASIG,"Coro"),""))</f>
        <v/>
      </c>
      <c r="P259" t="str">
        <f>IF(M259="","",IFERROR(AVERAGEIFS(nNOTA,nNIA,M259,nEVAL,CONFIG_METADATA!$B$4,nASIG,"Conjunto"),""))</f>
        <v/>
      </c>
      <c r="Q259" t="str">
        <f>IF(M259="","",IFERROR(AVERAGEIFS(nNOTA,nNIA,M259,nEVAL,CONFIG_METADATA!$B$4,nASIG,"&lt;&gt;Lenguaje Musical",nASIG,"&lt;&gt;Coro",nASIG,"&lt;&gt;Conjunto"),""))</f>
        <v/>
      </c>
      <c r="T259" t="str">
        <f>IF(S259="","",IFERROR(AVERAGEIFS(nNOTA,nNIA,S259,nEVAL,CONFIG_METADATA!$B$4,nASIG,"Lenguaje Musical"),""))</f>
        <v/>
      </c>
      <c r="U259" t="str">
        <f>IF(S259="","",IFERROR(AVERAGEIFS(nNOTA,nNIA,S259,nEVAL,CONFIG_METADATA!$B$4,nASIG,"Coro"),""))</f>
        <v/>
      </c>
      <c r="V259" t="str">
        <f>IF(S259="","",IFERROR(AVERAGEIFS(nNOTA,nNIA,S259,nEVAL,CONFIG_METADATA!$B$4,nASIG,"Conjunto"),""))</f>
        <v/>
      </c>
      <c r="W259" t="str" cm="1">
        <f t="array" ref="W259">IF(S259="","",IFERROR(AVERAGE(IF((nNIA=S259)*(nEVAL=CONFIG_METADATA!$B$4)*(nASIG&lt;&gt;"Lenguaje Musical")*(nASIG&lt;&gt;"Coro")*(nASIG&lt;&gt;"Conjunto"),nNOTA)),""))</f>
        <v/>
      </c>
    </row>
    <row r="260" spans="2:23" x14ac:dyDescent="0.2">
      <c r="B260" t="str">
        <f>IF(A260="","",IFERROR(AVERAGEIFS(nNOTA,nNIA,A260,nEVAL,CONFIG_METADATA!$B$4,nASIG,"Lenguaje Musical"),""))</f>
        <v/>
      </c>
      <c r="C260" t="str">
        <f>IF(A260="","",IFERROR(AVERAGEIFS(nNOTA,nNIA,A260,nEVAL,CONFIG_METADATA!$B$4,nASIG,"Coro"),""))</f>
        <v/>
      </c>
      <c r="D260" t="str">
        <f>IF(A260="","",IFERROR(AVERAGEIFS(nNOTA,nNIA,A260,nEVAL,CONFIG_METADATA!$B$4,nASIG,"Conjunto"),""))</f>
        <v/>
      </c>
      <c r="E260" t="str" cm="1">
        <f t="array" ref="E260">IF(A260="","",IFERROR(AVERAGE(IF((nNIA=A260)*(nEVAL=CONFIG_METADATA!$B$4)*(nASIG&lt;&gt;"Lenguaje Musical")*(nASIG&lt;&gt;"Coro")*(nASIG&lt;&gt;"Conjunto"),nNOTA)),""))</f>
        <v/>
      </c>
      <c r="H260" t="str">
        <f>IF(G260="","",IFERROR(AVERAGEIFS(nNOTA,nNIA,G260,nEVAL,CONFIG_METADATA!$B$4,nASIG,"Lenguaje Musical"),""))</f>
        <v/>
      </c>
      <c r="I260" t="str">
        <f>IF(G260="","",IFERROR(AVERAGEIFS(nNOTA,nNIA,G260,nEVAL,CONFIG_METADATA!$B$4,nASIG,"Coro"),""))</f>
        <v/>
      </c>
      <c r="J260" t="str">
        <f>IF(G260="","",IFERROR(AVERAGEIFS(nNOTA,nNIA,G260,nEVAL,CONFIG_METADATA!$B$4,nASIG,"Conjunto"),""))</f>
        <v/>
      </c>
      <c r="K260" t="str" cm="1">
        <f t="array" ref="K260">IF(G260="","",IFERROR(AVERAGE(IF((nNIA=G260)*(nEVAL=CONFIG_METADATA!$B$4)*(nASIG&lt;&gt;"Lenguaje Musical")*(nASIG&lt;&gt;"Coro")*(nASIG&lt;&gt;"Conjunto"),nNOTA)),""))</f>
        <v/>
      </c>
      <c r="N260" t="str">
        <f>IF(M260="","",IFERROR(AVERAGEIFS(nNOTA,nNIA,M260,nEVAL,CONFIG_METADATA!$B$4,nASIG,"Lenguaje Musical"),""))</f>
        <v/>
      </c>
      <c r="O260" t="str">
        <f>IF(M260="","",IFERROR(AVERAGEIFS(nNOTA,nNIA,M260,nEVAL,CONFIG_METADATA!$B$4,nASIG,"Coro"),""))</f>
        <v/>
      </c>
      <c r="P260" t="str">
        <f>IF(M260="","",IFERROR(AVERAGEIFS(nNOTA,nNIA,M260,nEVAL,CONFIG_METADATA!$B$4,nASIG,"Conjunto"),""))</f>
        <v/>
      </c>
      <c r="Q260" t="str">
        <f>IF(M260="","",IFERROR(AVERAGEIFS(nNOTA,nNIA,M260,nEVAL,CONFIG_METADATA!$B$4,nASIG,"&lt;&gt;Lenguaje Musical",nASIG,"&lt;&gt;Coro",nASIG,"&lt;&gt;Conjunto"),""))</f>
        <v/>
      </c>
      <c r="T260" t="str">
        <f>IF(S260="","",IFERROR(AVERAGEIFS(nNOTA,nNIA,S260,nEVAL,CONFIG_METADATA!$B$4,nASIG,"Lenguaje Musical"),""))</f>
        <v/>
      </c>
      <c r="U260" t="str">
        <f>IF(S260="","",IFERROR(AVERAGEIFS(nNOTA,nNIA,S260,nEVAL,CONFIG_METADATA!$B$4,nASIG,"Coro"),""))</f>
        <v/>
      </c>
      <c r="V260" t="str">
        <f>IF(S260="","",IFERROR(AVERAGEIFS(nNOTA,nNIA,S260,nEVAL,CONFIG_METADATA!$B$4,nASIG,"Conjunto"),""))</f>
        <v/>
      </c>
      <c r="W260" t="str" cm="1">
        <f t="array" ref="W260">IF(S260="","",IFERROR(AVERAGE(IF((nNIA=S260)*(nEVAL=CONFIG_METADATA!$B$4)*(nASIG&lt;&gt;"Lenguaje Musical")*(nASIG&lt;&gt;"Coro")*(nASIG&lt;&gt;"Conjunto"),nNOTA)),""))</f>
        <v/>
      </c>
    </row>
    <row r="261" spans="2:23" x14ac:dyDescent="0.2">
      <c r="B261" t="str">
        <f>IF(A261="","",IFERROR(AVERAGEIFS(nNOTA,nNIA,A261,nEVAL,CONFIG_METADATA!$B$4,nASIG,"Lenguaje Musical"),""))</f>
        <v/>
      </c>
      <c r="C261" t="str">
        <f>IF(A261="","",IFERROR(AVERAGEIFS(nNOTA,nNIA,A261,nEVAL,CONFIG_METADATA!$B$4,nASIG,"Coro"),""))</f>
        <v/>
      </c>
      <c r="D261" t="str">
        <f>IF(A261="","",IFERROR(AVERAGEIFS(nNOTA,nNIA,A261,nEVAL,CONFIG_METADATA!$B$4,nASIG,"Conjunto"),""))</f>
        <v/>
      </c>
      <c r="E261" t="str" cm="1">
        <f t="array" ref="E261">IF(A261="","",IFERROR(AVERAGE(IF((nNIA=A261)*(nEVAL=CONFIG_METADATA!$B$4)*(nASIG&lt;&gt;"Lenguaje Musical")*(nASIG&lt;&gt;"Coro")*(nASIG&lt;&gt;"Conjunto"),nNOTA)),""))</f>
        <v/>
      </c>
      <c r="H261" t="str">
        <f>IF(G261="","",IFERROR(AVERAGEIFS(nNOTA,nNIA,G261,nEVAL,CONFIG_METADATA!$B$4,nASIG,"Lenguaje Musical"),""))</f>
        <v/>
      </c>
      <c r="I261" t="str">
        <f>IF(G261="","",IFERROR(AVERAGEIFS(nNOTA,nNIA,G261,nEVAL,CONFIG_METADATA!$B$4,nASIG,"Coro"),""))</f>
        <v/>
      </c>
      <c r="J261" t="str">
        <f>IF(G261="","",IFERROR(AVERAGEIFS(nNOTA,nNIA,G261,nEVAL,CONFIG_METADATA!$B$4,nASIG,"Conjunto"),""))</f>
        <v/>
      </c>
      <c r="K261" t="str" cm="1">
        <f t="array" ref="K261">IF(G261="","",IFERROR(AVERAGE(IF((nNIA=G261)*(nEVAL=CONFIG_METADATA!$B$4)*(nASIG&lt;&gt;"Lenguaje Musical")*(nASIG&lt;&gt;"Coro")*(nASIG&lt;&gt;"Conjunto"),nNOTA)),""))</f>
        <v/>
      </c>
      <c r="N261" t="str">
        <f>IF(M261="","",IFERROR(AVERAGEIFS(nNOTA,nNIA,M261,nEVAL,CONFIG_METADATA!$B$4,nASIG,"Lenguaje Musical"),""))</f>
        <v/>
      </c>
      <c r="O261" t="str">
        <f>IF(M261="","",IFERROR(AVERAGEIFS(nNOTA,nNIA,M261,nEVAL,CONFIG_METADATA!$B$4,nASIG,"Coro"),""))</f>
        <v/>
      </c>
      <c r="P261" t="str">
        <f>IF(M261="","",IFERROR(AVERAGEIFS(nNOTA,nNIA,M261,nEVAL,CONFIG_METADATA!$B$4,nASIG,"Conjunto"),""))</f>
        <v/>
      </c>
      <c r="Q261" t="str">
        <f>IF(M261="","",IFERROR(AVERAGEIFS(nNOTA,nNIA,M261,nEVAL,CONFIG_METADATA!$B$4,nASIG,"&lt;&gt;Lenguaje Musical",nASIG,"&lt;&gt;Coro",nASIG,"&lt;&gt;Conjunto"),""))</f>
        <v/>
      </c>
      <c r="T261" t="str">
        <f>IF(S261="","",IFERROR(AVERAGEIFS(nNOTA,nNIA,S261,nEVAL,CONFIG_METADATA!$B$4,nASIG,"Lenguaje Musical"),""))</f>
        <v/>
      </c>
      <c r="U261" t="str">
        <f>IF(S261="","",IFERROR(AVERAGEIFS(nNOTA,nNIA,S261,nEVAL,CONFIG_METADATA!$B$4,nASIG,"Coro"),""))</f>
        <v/>
      </c>
      <c r="V261" t="str">
        <f>IF(S261="","",IFERROR(AVERAGEIFS(nNOTA,nNIA,S261,nEVAL,CONFIG_METADATA!$B$4,nASIG,"Conjunto"),""))</f>
        <v/>
      </c>
      <c r="W261" t="str" cm="1">
        <f t="array" ref="W261">IF(S261="","",IFERROR(AVERAGE(IF((nNIA=S261)*(nEVAL=CONFIG_METADATA!$B$4)*(nASIG&lt;&gt;"Lenguaje Musical")*(nASIG&lt;&gt;"Coro")*(nASIG&lt;&gt;"Conjunto"),nNOTA)),""))</f>
        <v/>
      </c>
    </row>
    <row r="262" spans="2:23" x14ac:dyDescent="0.2">
      <c r="B262" t="str">
        <f>IF(A262="","",IFERROR(AVERAGEIFS(nNOTA,nNIA,A262,nEVAL,CONFIG_METADATA!$B$4,nASIG,"Lenguaje Musical"),""))</f>
        <v/>
      </c>
      <c r="C262" t="str">
        <f>IF(A262="","",IFERROR(AVERAGEIFS(nNOTA,nNIA,A262,nEVAL,CONFIG_METADATA!$B$4,nASIG,"Coro"),""))</f>
        <v/>
      </c>
      <c r="D262" t="str">
        <f>IF(A262="","",IFERROR(AVERAGEIFS(nNOTA,nNIA,A262,nEVAL,CONFIG_METADATA!$B$4,nASIG,"Conjunto"),""))</f>
        <v/>
      </c>
      <c r="E262" t="str" cm="1">
        <f t="array" ref="E262">IF(A262="","",IFERROR(AVERAGE(IF((nNIA=A262)*(nEVAL=CONFIG_METADATA!$B$4)*(nASIG&lt;&gt;"Lenguaje Musical")*(nASIG&lt;&gt;"Coro")*(nASIG&lt;&gt;"Conjunto"),nNOTA)),""))</f>
        <v/>
      </c>
      <c r="H262" t="str">
        <f>IF(G262="","",IFERROR(AVERAGEIFS(nNOTA,nNIA,G262,nEVAL,CONFIG_METADATA!$B$4,nASIG,"Lenguaje Musical"),""))</f>
        <v/>
      </c>
      <c r="I262" t="str">
        <f>IF(G262="","",IFERROR(AVERAGEIFS(nNOTA,nNIA,G262,nEVAL,CONFIG_METADATA!$B$4,nASIG,"Coro"),""))</f>
        <v/>
      </c>
      <c r="J262" t="str">
        <f>IF(G262="","",IFERROR(AVERAGEIFS(nNOTA,nNIA,G262,nEVAL,CONFIG_METADATA!$B$4,nASIG,"Conjunto"),""))</f>
        <v/>
      </c>
      <c r="K262" t="str" cm="1">
        <f t="array" ref="K262">IF(G262="","",IFERROR(AVERAGE(IF((nNIA=G262)*(nEVAL=CONFIG_METADATA!$B$4)*(nASIG&lt;&gt;"Lenguaje Musical")*(nASIG&lt;&gt;"Coro")*(nASIG&lt;&gt;"Conjunto"),nNOTA)),""))</f>
        <v/>
      </c>
      <c r="N262" t="str">
        <f>IF(M262="","",IFERROR(AVERAGEIFS(nNOTA,nNIA,M262,nEVAL,CONFIG_METADATA!$B$4,nASIG,"Lenguaje Musical"),""))</f>
        <v/>
      </c>
      <c r="O262" t="str">
        <f>IF(M262="","",IFERROR(AVERAGEIFS(nNOTA,nNIA,M262,nEVAL,CONFIG_METADATA!$B$4,nASIG,"Coro"),""))</f>
        <v/>
      </c>
      <c r="P262" t="str">
        <f>IF(M262="","",IFERROR(AVERAGEIFS(nNOTA,nNIA,M262,nEVAL,CONFIG_METADATA!$B$4,nASIG,"Conjunto"),""))</f>
        <v/>
      </c>
      <c r="Q262" t="str">
        <f>IF(M262="","",IFERROR(AVERAGEIFS(nNOTA,nNIA,M262,nEVAL,CONFIG_METADATA!$B$4,nASIG,"&lt;&gt;Lenguaje Musical",nASIG,"&lt;&gt;Coro",nASIG,"&lt;&gt;Conjunto"),""))</f>
        <v/>
      </c>
      <c r="T262" t="str">
        <f>IF(S262="","",IFERROR(AVERAGEIFS(nNOTA,nNIA,S262,nEVAL,CONFIG_METADATA!$B$4,nASIG,"Lenguaje Musical"),""))</f>
        <v/>
      </c>
      <c r="U262" t="str">
        <f>IF(S262="","",IFERROR(AVERAGEIFS(nNOTA,nNIA,S262,nEVAL,CONFIG_METADATA!$B$4,nASIG,"Coro"),""))</f>
        <v/>
      </c>
      <c r="V262" t="str">
        <f>IF(S262="","",IFERROR(AVERAGEIFS(nNOTA,nNIA,S262,nEVAL,CONFIG_METADATA!$B$4,nASIG,"Conjunto"),""))</f>
        <v/>
      </c>
      <c r="W262" t="str" cm="1">
        <f t="array" ref="W262">IF(S262="","",IFERROR(AVERAGE(IF((nNIA=S262)*(nEVAL=CONFIG_METADATA!$B$4)*(nASIG&lt;&gt;"Lenguaje Musical")*(nASIG&lt;&gt;"Coro")*(nASIG&lt;&gt;"Conjunto"),nNOTA)),""))</f>
        <v/>
      </c>
    </row>
    <row r="263" spans="2:23" x14ac:dyDescent="0.2">
      <c r="B263" t="str">
        <f>IF(A263="","",IFERROR(AVERAGEIFS(nNOTA,nNIA,A263,nEVAL,CONFIG_METADATA!$B$4,nASIG,"Lenguaje Musical"),""))</f>
        <v/>
      </c>
      <c r="C263" t="str">
        <f>IF(A263="","",IFERROR(AVERAGEIFS(nNOTA,nNIA,A263,nEVAL,CONFIG_METADATA!$B$4,nASIG,"Coro"),""))</f>
        <v/>
      </c>
      <c r="D263" t="str">
        <f>IF(A263="","",IFERROR(AVERAGEIFS(nNOTA,nNIA,A263,nEVAL,CONFIG_METADATA!$B$4,nASIG,"Conjunto"),""))</f>
        <v/>
      </c>
      <c r="E263" t="str" cm="1">
        <f t="array" ref="E263">IF(A263="","",IFERROR(AVERAGE(IF((nNIA=A263)*(nEVAL=CONFIG_METADATA!$B$4)*(nASIG&lt;&gt;"Lenguaje Musical")*(nASIG&lt;&gt;"Coro")*(nASIG&lt;&gt;"Conjunto"),nNOTA)),""))</f>
        <v/>
      </c>
      <c r="H263" t="str">
        <f>IF(G263="","",IFERROR(AVERAGEIFS(nNOTA,nNIA,G263,nEVAL,CONFIG_METADATA!$B$4,nASIG,"Lenguaje Musical"),""))</f>
        <v/>
      </c>
      <c r="I263" t="str">
        <f>IF(G263="","",IFERROR(AVERAGEIFS(nNOTA,nNIA,G263,nEVAL,CONFIG_METADATA!$B$4,nASIG,"Coro"),""))</f>
        <v/>
      </c>
      <c r="J263" t="str">
        <f>IF(G263="","",IFERROR(AVERAGEIFS(nNOTA,nNIA,G263,nEVAL,CONFIG_METADATA!$B$4,nASIG,"Conjunto"),""))</f>
        <v/>
      </c>
      <c r="K263" t="str" cm="1">
        <f t="array" ref="K263">IF(G263="","",IFERROR(AVERAGE(IF((nNIA=G263)*(nEVAL=CONFIG_METADATA!$B$4)*(nASIG&lt;&gt;"Lenguaje Musical")*(nASIG&lt;&gt;"Coro")*(nASIG&lt;&gt;"Conjunto"),nNOTA)),""))</f>
        <v/>
      </c>
      <c r="N263" t="str">
        <f>IF(M263="","",IFERROR(AVERAGEIFS(nNOTA,nNIA,M263,nEVAL,CONFIG_METADATA!$B$4,nASIG,"Lenguaje Musical"),""))</f>
        <v/>
      </c>
      <c r="O263" t="str">
        <f>IF(M263="","",IFERROR(AVERAGEIFS(nNOTA,nNIA,M263,nEVAL,CONFIG_METADATA!$B$4,nASIG,"Coro"),""))</f>
        <v/>
      </c>
      <c r="P263" t="str">
        <f>IF(M263="","",IFERROR(AVERAGEIFS(nNOTA,nNIA,M263,nEVAL,CONFIG_METADATA!$B$4,nASIG,"Conjunto"),""))</f>
        <v/>
      </c>
      <c r="Q263" t="str">
        <f>IF(M263="","",IFERROR(AVERAGEIFS(nNOTA,nNIA,M263,nEVAL,CONFIG_METADATA!$B$4,nASIG,"&lt;&gt;Lenguaje Musical",nASIG,"&lt;&gt;Coro",nASIG,"&lt;&gt;Conjunto"),""))</f>
        <v/>
      </c>
      <c r="T263" t="str">
        <f>IF(S263="","",IFERROR(AVERAGEIFS(nNOTA,nNIA,S263,nEVAL,CONFIG_METADATA!$B$4,nASIG,"Lenguaje Musical"),""))</f>
        <v/>
      </c>
      <c r="U263" t="str">
        <f>IF(S263="","",IFERROR(AVERAGEIFS(nNOTA,nNIA,S263,nEVAL,CONFIG_METADATA!$B$4,nASIG,"Coro"),""))</f>
        <v/>
      </c>
      <c r="V263" t="str">
        <f>IF(S263="","",IFERROR(AVERAGEIFS(nNOTA,nNIA,S263,nEVAL,CONFIG_METADATA!$B$4,nASIG,"Conjunto"),""))</f>
        <v/>
      </c>
      <c r="W263" t="str" cm="1">
        <f t="array" ref="W263">IF(S263="","",IFERROR(AVERAGE(IF((nNIA=S263)*(nEVAL=CONFIG_METADATA!$B$4)*(nASIG&lt;&gt;"Lenguaje Musical")*(nASIG&lt;&gt;"Coro")*(nASIG&lt;&gt;"Conjunto"),nNOTA)),""))</f>
        <v/>
      </c>
    </row>
    <row r="264" spans="2:23" x14ac:dyDescent="0.2">
      <c r="B264" t="str">
        <f>IF(A264="","",IFERROR(AVERAGEIFS(nNOTA,nNIA,A264,nEVAL,CONFIG_METADATA!$B$4,nASIG,"Lenguaje Musical"),""))</f>
        <v/>
      </c>
      <c r="C264" t="str">
        <f>IF(A264="","",IFERROR(AVERAGEIFS(nNOTA,nNIA,A264,nEVAL,CONFIG_METADATA!$B$4,nASIG,"Coro"),""))</f>
        <v/>
      </c>
      <c r="D264" t="str">
        <f>IF(A264="","",IFERROR(AVERAGEIFS(nNOTA,nNIA,A264,nEVAL,CONFIG_METADATA!$B$4,nASIG,"Conjunto"),""))</f>
        <v/>
      </c>
      <c r="E264" t="str" cm="1">
        <f t="array" ref="E264">IF(A264="","",IFERROR(AVERAGE(IF((nNIA=A264)*(nEVAL=CONFIG_METADATA!$B$4)*(nASIG&lt;&gt;"Lenguaje Musical")*(nASIG&lt;&gt;"Coro")*(nASIG&lt;&gt;"Conjunto"),nNOTA)),""))</f>
        <v/>
      </c>
      <c r="H264" t="str">
        <f>IF(G264="","",IFERROR(AVERAGEIFS(nNOTA,nNIA,G264,nEVAL,CONFIG_METADATA!$B$4,nASIG,"Lenguaje Musical"),""))</f>
        <v/>
      </c>
      <c r="I264" t="str">
        <f>IF(G264="","",IFERROR(AVERAGEIFS(nNOTA,nNIA,G264,nEVAL,CONFIG_METADATA!$B$4,nASIG,"Coro"),""))</f>
        <v/>
      </c>
      <c r="J264" t="str">
        <f>IF(G264="","",IFERROR(AVERAGEIFS(nNOTA,nNIA,G264,nEVAL,CONFIG_METADATA!$B$4,nASIG,"Conjunto"),""))</f>
        <v/>
      </c>
      <c r="K264" t="str" cm="1">
        <f t="array" ref="K264">IF(G264="","",IFERROR(AVERAGE(IF((nNIA=G264)*(nEVAL=CONFIG_METADATA!$B$4)*(nASIG&lt;&gt;"Lenguaje Musical")*(nASIG&lt;&gt;"Coro")*(nASIG&lt;&gt;"Conjunto"),nNOTA)),""))</f>
        <v/>
      </c>
      <c r="N264" t="str">
        <f>IF(M264="","",IFERROR(AVERAGEIFS(nNOTA,nNIA,M264,nEVAL,CONFIG_METADATA!$B$4,nASIG,"Lenguaje Musical"),""))</f>
        <v/>
      </c>
      <c r="O264" t="str">
        <f>IF(M264="","",IFERROR(AVERAGEIFS(nNOTA,nNIA,M264,nEVAL,CONFIG_METADATA!$B$4,nASIG,"Coro"),""))</f>
        <v/>
      </c>
      <c r="P264" t="str">
        <f>IF(M264="","",IFERROR(AVERAGEIFS(nNOTA,nNIA,M264,nEVAL,CONFIG_METADATA!$B$4,nASIG,"Conjunto"),""))</f>
        <v/>
      </c>
      <c r="Q264" t="str">
        <f>IF(M264="","",IFERROR(AVERAGEIFS(nNOTA,nNIA,M264,nEVAL,CONFIG_METADATA!$B$4,nASIG,"&lt;&gt;Lenguaje Musical",nASIG,"&lt;&gt;Coro",nASIG,"&lt;&gt;Conjunto"),""))</f>
        <v/>
      </c>
      <c r="T264" t="str">
        <f>IF(S264="","",IFERROR(AVERAGEIFS(nNOTA,nNIA,S264,nEVAL,CONFIG_METADATA!$B$4,nASIG,"Lenguaje Musical"),""))</f>
        <v/>
      </c>
      <c r="U264" t="str">
        <f>IF(S264="","",IFERROR(AVERAGEIFS(nNOTA,nNIA,S264,nEVAL,CONFIG_METADATA!$B$4,nASIG,"Coro"),""))</f>
        <v/>
      </c>
      <c r="V264" t="str">
        <f>IF(S264="","",IFERROR(AVERAGEIFS(nNOTA,nNIA,S264,nEVAL,CONFIG_METADATA!$B$4,nASIG,"Conjunto"),""))</f>
        <v/>
      </c>
      <c r="W264" t="str" cm="1">
        <f t="array" ref="W264">IF(S264="","",IFERROR(AVERAGE(IF((nNIA=S264)*(nEVAL=CONFIG_METADATA!$B$4)*(nASIG&lt;&gt;"Lenguaje Musical")*(nASIG&lt;&gt;"Coro")*(nASIG&lt;&gt;"Conjunto"),nNOTA)),""))</f>
        <v/>
      </c>
    </row>
    <row r="265" spans="2:23" x14ac:dyDescent="0.2">
      <c r="B265" t="str">
        <f>IF(A265="","",IFERROR(AVERAGEIFS(nNOTA,nNIA,A265,nEVAL,CONFIG_METADATA!$B$4,nASIG,"Lenguaje Musical"),""))</f>
        <v/>
      </c>
      <c r="C265" t="str">
        <f>IF(A265="","",IFERROR(AVERAGEIFS(nNOTA,nNIA,A265,nEVAL,CONFIG_METADATA!$B$4,nASIG,"Coro"),""))</f>
        <v/>
      </c>
      <c r="D265" t="str">
        <f>IF(A265="","",IFERROR(AVERAGEIFS(nNOTA,nNIA,A265,nEVAL,CONFIG_METADATA!$B$4,nASIG,"Conjunto"),""))</f>
        <v/>
      </c>
      <c r="E265" t="str" cm="1">
        <f t="array" ref="E265">IF(A265="","",IFERROR(AVERAGE(IF((nNIA=A265)*(nEVAL=CONFIG_METADATA!$B$4)*(nASIG&lt;&gt;"Lenguaje Musical")*(nASIG&lt;&gt;"Coro")*(nASIG&lt;&gt;"Conjunto"),nNOTA)),""))</f>
        <v/>
      </c>
      <c r="H265" t="str">
        <f>IF(G265="","",IFERROR(AVERAGEIFS(nNOTA,nNIA,G265,nEVAL,CONFIG_METADATA!$B$4,nASIG,"Lenguaje Musical"),""))</f>
        <v/>
      </c>
      <c r="I265" t="str">
        <f>IF(G265="","",IFERROR(AVERAGEIFS(nNOTA,nNIA,G265,nEVAL,CONFIG_METADATA!$B$4,nASIG,"Coro"),""))</f>
        <v/>
      </c>
      <c r="J265" t="str">
        <f>IF(G265="","",IFERROR(AVERAGEIFS(nNOTA,nNIA,G265,nEVAL,CONFIG_METADATA!$B$4,nASIG,"Conjunto"),""))</f>
        <v/>
      </c>
      <c r="K265" t="str" cm="1">
        <f t="array" ref="K265">IF(G265="","",IFERROR(AVERAGE(IF((nNIA=G265)*(nEVAL=CONFIG_METADATA!$B$4)*(nASIG&lt;&gt;"Lenguaje Musical")*(nASIG&lt;&gt;"Coro")*(nASIG&lt;&gt;"Conjunto"),nNOTA)),""))</f>
        <v/>
      </c>
      <c r="N265" t="str">
        <f>IF(M265="","",IFERROR(AVERAGEIFS(nNOTA,nNIA,M265,nEVAL,CONFIG_METADATA!$B$4,nASIG,"Lenguaje Musical"),""))</f>
        <v/>
      </c>
      <c r="O265" t="str">
        <f>IF(M265="","",IFERROR(AVERAGEIFS(nNOTA,nNIA,M265,nEVAL,CONFIG_METADATA!$B$4,nASIG,"Coro"),""))</f>
        <v/>
      </c>
      <c r="P265" t="str">
        <f>IF(M265="","",IFERROR(AVERAGEIFS(nNOTA,nNIA,M265,nEVAL,CONFIG_METADATA!$B$4,nASIG,"Conjunto"),""))</f>
        <v/>
      </c>
      <c r="Q265" t="str">
        <f>IF(M265="","",IFERROR(AVERAGEIFS(nNOTA,nNIA,M265,nEVAL,CONFIG_METADATA!$B$4,nASIG,"&lt;&gt;Lenguaje Musical",nASIG,"&lt;&gt;Coro",nASIG,"&lt;&gt;Conjunto"),""))</f>
        <v/>
      </c>
      <c r="T265" t="str">
        <f>IF(S265="","",IFERROR(AVERAGEIFS(nNOTA,nNIA,S265,nEVAL,CONFIG_METADATA!$B$4,nASIG,"Lenguaje Musical"),""))</f>
        <v/>
      </c>
      <c r="U265" t="str">
        <f>IF(S265="","",IFERROR(AVERAGEIFS(nNOTA,nNIA,S265,nEVAL,CONFIG_METADATA!$B$4,nASIG,"Coro"),""))</f>
        <v/>
      </c>
      <c r="V265" t="str">
        <f>IF(S265="","",IFERROR(AVERAGEIFS(nNOTA,nNIA,S265,nEVAL,CONFIG_METADATA!$B$4,nASIG,"Conjunto"),""))</f>
        <v/>
      </c>
      <c r="W265" t="str" cm="1">
        <f t="array" ref="W265">IF(S265="","",IFERROR(AVERAGE(IF((nNIA=S265)*(nEVAL=CONFIG_METADATA!$B$4)*(nASIG&lt;&gt;"Lenguaje Musical")*(nASIG&lt;&gt;"Coro")*(nASIG&lt;&gt;"Conjunto"),nNOTA)),""))</f>
        <v/>
      </c>
    </row>
    <row r="266" spans="2:23" x14ac:dyDescent="0.2">
      <c r="B266" t="str">
        <f>IF(A266="","",IFERROR(AVERAGEIFS(nNOTA,nNIA,A266,nEVAL,CONFIG_METADATA!$B$4,nASIG,"Lenguaje Musical"),""))</f>
        <v/>
      </c>
      <c r="C266" t="str">
        <f>IF(A266="","",IFERROR(AVERAGEIFS(nNOTA,nNIA,A266,nEVAL,CONFIG_METADATA!$B$4,nASIG,"Coro"),""))</f>
        <v/>
      </c>
      <c r="D266" t="str">
        <f>IF(A266="","",IFERROR(AVERAGEIFS(nNOTA,nNIA,A266,nEVAL,CONFIG_METADATA!$B$4,nASIG,"Conjunto"),""))</f>
        <v/>
      </c>
      <c r="E266" t="str" cm="1">
        <f t="array" ref="E266">IF(A266="","",IFERROR(AVERAGE(IF((nNIA=A266)*(nEVAL=CONFIG_METADATA!$B$4)*(nASIG&lt;&gt;"Lenguaje Musical")*(nASIG&lt;&gt;"Coro")*(nASIG&lt;&gt;"Conjunto"),nNOTA)),""))</f>
        <v/>
      </c>
      <c r="H266" t="str">
        <f>IF(G266="","",IFERROR(AVERAGEIFS(nNOTA,nNIA,G266,nEVAL,CONFIG_METADATA!$B$4,nASIG,"Lenguaje Musical"),""))</f>
        <v/>
      </c>
      <c r="I266" t="str">
        <f>IF(G266="","",IFERROR(AVERAGEIFS(nNOTA,nNIA,G266,nEVAL,CONFIG_METADATA!$B$4,nASIG,"Coro"),""))</f>
        <v/>
      </c>
      <c r="J266" t="str">
        <f>IF(G266="","",IFERROR(AVERAGEIFS(nNOTA,nNIA,G266,nEVAL,CONFIG_METADATA!$B$4,nASIG,"Conjunto"),""))</f>
        <v/>
      </c>
      <c r="K266" t="str" cm="1">
        <f t="array" ref="K266">IF(G266="","",IFERROR(AVERAGE(IF((nNIA=G266)*(nEVAL=CONFIG_METADATA!$B$4)*(nASIG&lt;&gt;"Lenguaje Musical")*(nASIG&lt;&gt;"Coro")*(nASIG&lt;&gt;"Conjunto"),nNOTA)),""))</f>
        <v/>
      </c>
      <c r="N266" t="str">
        <f>IF(M266="","",IFERROR(AVERAGEIFS(nNOTA,nNIA,M266,nEVAL,CONFIG_METADATA!$B$4,nASIG,"Lenguaje Musical"),""))</f>
        <v/>
      </c>
      <c r="O266" t="str">
        <f>IF(M266="","",IFERROR(AVERAGEIFS(nNOTA,nNIA,M266,nEVAL,CONFIG_METADATA!$B$4,nASIG,"Coro"),""))</f>
        <v/>
      </c>
      <c r="P266" t="str">
        <f>IF(M266="","",IFERROR(AVERAGEIFS(nNOTA,nNIA,M266,nEVAL,CONFIG_METADATA!$B$4,nASIG,"Conjunto"),""))</f>
        <v/>
      </c>
      <c r="Q266" t="str">
        <f>IF(M266="","",IFERROR(AVERAGEIFS(nNOTA,nNIA,M266,nEVAL,CONFIG_METADATA!$B$4,nASIG,"&lt;&gt;Lenguaje Musical",nASIG,"&lt;&gt;Coro",nASIG,"&lt;&gt;Conjunto"),""))</f>
        <v/>
      </c>
      <c r="T266" t="str">
        <f>IF(S266="","",IFERROR(AVERAGEIFS(nNOTA,nNIA,S266,nEVAL,CONFIG_METADATA!$B$4,nASIG,"Lenguaje Musical"),""))</f>
        <v/>
      </c>
      <c r="U266" t="str">
        <f>IF(S266="","",IFERROR(AVERAGEIFS(nNOTA,nNIA,S266,nEVAL,CONFIG_METADATA!$B$4,nASIG,"Coro"),""))</f>
        <v/>
      </c>
      <c r="V266" t="str">
        <f>IF(S266="","",IFERROR(AVERAGEIFS(nNOTA,nNIA,S266,nEVAL,CONFIG_METADATA!$B$4,nASIG,"Conjunto"),""))</f>
        <v/>
      </c>
      <c r="W266" t="str" cm="1">
        <f t="array" ref="W266">IF(S266="","",IFERROR(AVERAGE(IF((nNIA=S266)*(nEVAL=CONFIG_METADATA!$B$4)*(nASIG&lt;&gt;"Lenguaje Musical")*(nASIG&lt;&gt;"Coro")*(nASIG&lt;&gt;"Conjunto"),nNOTA)),""))</f>
        <v/>
      </c>
    </row>
    <row r="267" spans="2:23" x14ac:dyDescent="0.2">
      <c r="B267" t="str">
        <f>IF(A267="","",IFERROR(AVERAGEIFS(nNOTA,nNIA,A267,nEVAL,CONFIG_METADATA!$B$4,nASIG,"Lenguaje Musical"),""))</f>
        <v/>
      </c>
      <c r="C267" t="str">
        <f>IF(A267="","",IFERROR(AVERAGEIFS(nNOTA,nNIA,A267,nEVAL,CONFIG_METADATA!$B$4,nASIG,"Coro"),""))</f>
        <v/>
      </c>
      <c r="D267" t="str">
        <f>IF(A267="","",IFERROR(AVERAGEIFS(nNOTA,nNIA,A267,nEVAL,CONFIG_METADATA!$B$4,nASIG,"Conjunto"),""))</f>
        <v/>
      </c>
      <c r="E267" t="str" cm="1">
        <f t="array" ref="E267">IF(A267="","",IFERROR(AVERAGE(IF((nNIA=A267)*(nEVAL=CONFIG_METADATA!$B$4)*(nASIG&lt;&gt;"Lenguaje Musical")*(nASIG&lt;&gt;"Coro")*(nASIG&lt;&gt;"Conjunto"),nNOTA)),""))</f>
        <v/>
      </c>
      <c r="H267" t="str">
        <f>IF(G267="","",IFERROR(AVERAGEIFS(nNOTA,nNIA,G267,nEVAL,CONFIG_METADATA!$B$4,nASIG,"Lenguaje Musical"),""))</f>
        <v/>
      </c>
      <c r="I267" t="str">
        <f>IF(G267="","",IFERROR(AVERAGEIFS(nNOTA,nNIA,G267,nEVAL,CONFIG_METADATA!$B$4,nASIG,"Coro"),""))</f>
        <v/>
      </c>
      <c r="J267" t="str">
        <f>IF(G267="","",IFERROR(AVERAGEIFS(nNOTA,nNIA,G267,nEVAL,CONFIG_METADATA!$B$4,nASIG,"Conjunto"),""))</f>
        <v/>
      </c>
      <c r="K267" t="str" cm="1">
        <f t="array" ref="K267">IF(G267="","",IFERROR(AVERAGE(IF((nNIA=G267)*(nEVAL=CONFIG_METADATA!$B$4)*(nASIG&lt;&gt;"Lenguaje Musical")*(nASIG&lt;&gt;"Coro")*(nASIG&lt;&gt;"Conjunto"),nNOTA)),""))</f>
        <v/>
      </c>
      <c r="N267" t="str">
        <f>IF(M267="","",IFERROR(AVERAGEIFS(nNOTA,nNIA,M267,nEVAL,CONFIG_METADATA!$B$4,nASIG,"Lenguaje Musical"),""))</f>
        <v/>
      </c>
      <c r="O267" t="str">
        <f>IF(M267="","",IFERROR(AVERAGEIFS(nNOTA,nNIA,M267,nEVAL,CONFIG_METADATA!$B$4,nASIG,"Coro"),""))</f>
        <v/>
      </c>
      <c r="P267" t="str">
        <f>IF(M267="","",IFERROR(AVERAGEIFS(nNOTA,nNIA,M267,nEVAL,CONFIG_METADATA!$B$4,nASIG,"Conjunto"),""))</f>
        <v/>
      </c>
      <c r="Q267" t="str">
        <f>IF(M267="","",IFERROR(AVERAGEIFS(nNOTA,nNIA,M267,nEVAL,CONFIG_METADATA!$B$4,nASIG,"&lt;&gt;Lenguaje Musical",nASIG,"&lt;&gt;Coro",nASIG,"&lt;&gt;Conjunto"),""))</f>
        <v/>
      </c>
      <c r="T267" t="str">
        <f>IF(S267="","",IFERROR(AVERAGEIFS(nNOTA,nNIA,S267,nEVAL,CONFIG_METADATA!$B$4,nASIG,"Lenguaje Musical"),""))</f>
        <v/>
      </c>
      <c r="U267" t="str">
        <f>IF(S267="","",IFERROR(AVERAGEIFS(nNOTA,nNIA,S267,nEVAL,CONFIG_METADATA!$B$4,nASIG,"Coro"),""))</f>
        <v/>
      </c>
      <c r="V267" t="str">
        <f>IF(S267="","",IFERROR(AVERAGEIFS(nNOTA,nNIA,S267,nEVAL,CONFIG_METADATA!$B$4,nASIG,"Conjunto"),""))</f>
        <v/>
      </c>
      <c r="W267" t="str" cm="1">
        <f t="array" ref="W267">IF(S267="","",IFERROR(AVERAGE(IF((nNIA=S267)*(nEVAL=CONFIG_METADATA!$B$4)*(nASIG&lt;&gt;"Lenguaje Musical")*(nASIG&lt;&gt;"Coro")*(nASIG&lt;&gt;"Conjunto"),nNOTA)),""))</f>
        <v/>
      </c>
    </row>
    <row r="268" spans="2:23" x14ac:dyDescent="0.2">
      <c r="B268" t="str">
        <f>IF(A268="","",IFERROR(AVERAGEIFS(nNOTA,nNIA,A268,nEVAL,CONFIG_METADATA!$B$4,nASIG,"Lenguaje Musical"),""))</f>
        <v/>
      </c>
      <c r="C268" t="str">
        <f>IF(A268="","",IFERROR(AVERAGEIFS(nNOTA,nNIA,A268,nEVAL,CONFIG_METADATA!$B$4,nASIG,"Coro"),""))</f>
        <v/>
      </c>
      <c r="D268" t="str">
        <f>IF(A268="","",IFERROR(AVERAGEIFS(nNOTA,nNIA,A268,nEVAL,CONFIG_METADATA!$B$4,nASIG,"Conjunto"),""))</f>
        <v/>
      </c>
      <c r="E268" t="str" cm="1">
        <f t="array" ref="E268">IF(A268="","",IFERROR(AVERAGE(IF((nNIA=A268)*(nEVAL=CONFIG_METADATA!$B$4)*(nASIG&lt;&gt;"Lenguaje Musical")*(nASIG&lt;&gt;"Coro")*(nASIG&lt;&gt;"Conjunto"),nNOTA)),""))</f>
        <v/>
      </c>
      <c r="H268" t="str">
        <f>IF(G268="","",IFERROR(AVERAGEIFS(nNOTA,nNIA,G268,nEVAL,CONFIG_METADATA!$B$4,nASIG,"Lenguaje Musical"),""))</f>
        <v/>
      </c>
      <c r="I268" t="str">
        <f>IF(G268="","",IFERROR(AVERAGEIFS(nNOTA,nNIA,G268,nEVAL,CONFIG_METADATA!$B$4,nASIG,"Coro"),""))</f>
        <v/>
      </c>
      <c r="J268" t="str">
        <f>IF(G268="","",IFERROR(AVERAGEIFS(nNOTA,nNIA,G268,nEVAL,CONFIG_METADATA!$B$4,nASIG,"Conjunto"),""))</f>
        <v/>
      </c>
      <c r="K268" t="str" cm="1">
        <f t="array" ref="K268">IF(G268="","",IFERROR(AVERAGE(IF((nNIA=G268)*(nEVAL=CONFIG_METADATA!$B$4)*(nASIG&lt;&gt;"Lenguaje Musical")*(nASIG&lt;&gt;"Coro")*(nASIG&lt;&gt;"Conjunto"),nNOTA)),""))</f>
        <v/>
      </c>
      <c r="N268" t="str">
        <f>IF(M268="","",IFERROR(AVERAGEIFS(nNOTA,nNIA,M268,nEVAL,CONFIG_METADATA!$B$4,nASIG,"Lenguaje Musical"),""))</f>
        <v/>
      </c>
      <c r="O268" t="str">
        <f>IF(M268="","",IFERROR(AVERAGEIFS(nNOTA,nNIA,M268,nEVAL,CONFIG_METADATA!$B$4,nASIG,"Coro"),""))</f>
        <v/>
      </c>
      <c r="P268" t="str">
        <f>IF(M268="","",IFERROR(AVERAGEIFS(nNOTA,nNIA,M268,nEVAL,CONFIG_METADATA!$B$4,nASIG,"Conjunto"),""))</f>
        <v/>
      </c>
      <c r="Q268" t="str">
        <f>IF(M268="","",IFERROR(AVERAGEIFS(nNOTA,nNIA,M268,nEVAL,CONFIG_METADATA!$B$4,nASIG,"&lt;&gt;Lenguaje Musical",nASIG,"&lt;&gt;Coro",nASIG,"&lt;&gt;Conjunto"),""))</f>
        <v/>
      </c>
      <c r="T268" t="str">
        <f>IF(S268="","",IFERROR(AVERAGEIFS(nNOTA,nNIA,S268,nEVAL,CONFIG_METADATA!$B$4,nASIG,"Lenguaje Musical"),""))</f>
        <v/>
      </c>
      <c r="U268" t="str">
        <f>IF(S268="","",IFERROR(AVERAGEIFS(nNOTA,nNIA,S268,nEVAL,CONFIG_METADATA!$B$4,nASIG,"Coro"),""))</f>
        <v/>
      </c>
      <c r="V268" t="str">
        <f>IF(S268="","",IFERROR(AVERAGEIFS(nNOTA,nNIA,S268,nEVAL,CONFIG_METADATA!$B$4,nASIG,"Conjunto"),""))</f>
        <v/>
      </c>
      <c r="W268" t="str" cm="1">
        <f t="array" ref="W268">IF(S268="","",IFERROR(AVERAGE(IF((nNIA=S268)*(nEVAL=CONFIG_METADATA!$B$4)*(nASIG&lt;&gt;"Lenguaje Musical")*(nASIG&lt;&gt;"Coro")*(nASIG&lt;&gt;"Conjunto"),nNOTA)),""))</f>
        <v/>
      </c>
    </row>
    <row r="269" spans="2:23" x14ac:dyDescent="0.2">
      <c r="B269" t="str">
        <f>IF(A269="","",IFERROR(AVERAGEIFS(nNOTA,nNIA,A269,nEVAL,CONFIG_METADATA!$B$4,nASIG,"Lenguaje Musical"),""))</f>
        <v/>
      </c>
      <c r="C269" t="str">
        <f>IF(A269="","",IFERROR(AVERAGEIFS(nNOTA,nNIA,A269,nEVAL,CONFIG_METADATA!$B$4,nASIG,"Coro"),""))</f>
        <v/>
      </c>
      <c r="D269" t="str">
        <f>IF(A269="","",IFERROR(AVERAGEIFS(nNOTA,nNIA,A269,nEVAL,CONFIG_METADATA!$B$4,nASIG,"Conjunto"),""))</f>
        <v/>
      </c>
      <c r="E269" t="str" cm="1">
        <f t="array" ref="E269">IF(A269="","",IFERROR(AVERAGE(IF((nNIA=A269)*(nEVAL=CONFIG_METADATA!$B$4)*(nASIG&lt;&gt;"Lenguaje Musical")*(nASIG&lt;&gt;"Coro")*(nASIG&lt;&gt;"Conjunto"),nNOTA)),""))</f>
        <v/>
      </c>
      <c r="H269" t="str">
        <f>IF(G269="","",IFERROR(AVERAGEIFS(nNOTA,nNIA,G269,nEVAL,CONFIG_METADATA!$B$4,nASIG,"Lenguaje Musical"),""))</f>
        <v/>
      </c>
      <c r="I269" t="str">
        <f>IF(G269="","",IFERROR(AVERAGEIFS(nNOTA,nNIA,G269,nEVAL,CONFIG_METADATA!$B$4,nASIG,"Coro"),""))</f>
        <v/>
      </c>
      <c r="J269" t="str">
        <f>IF(G269="","",IFERROR(AVERAGEIFS(nNOTA,nNIA,G269,nEVAL,CONFIG_METADATA!$B$4,nASIG,"Conjunto"),""))</f>
        <v/>
      </c>
      <c r="K269" t="str" cm="1">
        <f t="array" ref="K269">IF(G269="","",IFERROR(AVERAGE(IF((nNIA=G269)*(nEVAL=CONFIG_METADATA!$B$4)*(nASIG&lt;&gt;"Lenguaje Musical")*(nASIG&lt;&gt;"Coro")*(nASIG&lt;&gt;"Conjunto"),nNOTA)),""))</f>
        <v/>
      </c>
      <c r="N269" t="str">
        <f>IF(M269="","",IFERROR(AVERAGEIFS(nNOTA,nNIA,M269,nEVAL,CONFIG_METADATA!$B$4,nASIG,"Lenguaje Musical"),""))</f>
        <v/>
      </c>
      <c r="O269" t="str">
        <f>IF(M269="","",IFERROR(AVERAGEIFS(nNOTA,nNIA,M269,nEVAL,CONFIG_METADATA!$B$4,nASIG,"Coro"),""))</f>
        <v/>
      </c>
      <c r="P269" t="str">
        <f>IF(M269="","",IFERROR(AVERAGEIFS(nNOTA,nNIA,M269,nEVAL,CONFIG_METADATA!$B$4,nASIG,"Conjunto"),""))</f>
        <v/>
      </c>
      <c r="Q269" t="str">
        <f>IF(M269="","",IFERROR(AVERAGEIFS(nNOTA,nNIA,M269,nEVAL,CONFIG_METADATA!$B$4,nASIG,"&lt;&gt;Lenguaje Musical",nASIG,"&lt;&gt;Coro",nASIG,"&lt;&gt;Conjunto"),""))</f>
        <v/>
      </c>
      <c r="T269" t="str">
        <f>IF(S269="","",IFERROR(AVERAGEIFS(nNOTA,nNIA,S269,nEVAL,CONFIG_METADATA!$B$4,nASIG,"Lenguaje Musical"),""))</f>
        <v/>
      </c>
      <c r="U269" t="str">
        <f>IF(S269="","",IFERROR(AVERAGEIFS(nNOTA,nNIA,S269,nEVAL,CONFIG_METADATA!$B$4,nASIG,"Coro"),""))</f>
        <v/>
      </c>
      <c r="V269" t="str">
        <f>IF(S269="","",IFERROR(AVERAGEIFS(nNOTA,nNIA,S269,nEVAL,CONFIG_METADATA!$B$4,nASIG,"Conjunto"),""))</f>
        <v/>
      </c>
      <c r="W269" t="str" cm="1">
        <f t="array" ref="W269">IF(S269="","",IFERROR(AVERAGE(IF((nNIA=S269)*(nEVAL=CONFIG_METADATA!$B$4)*(nASIG&lt;&gt;"Lenguaje Musical")*(nASIG&lt;&gt;"Coro")*(nASIG&lt;&gt;"Conjunto"),nNOTA)),""))</f>
        <v/>
      </c>
    </row>
    <row r="270" spans="2:23" x14ac:dyDescent="0.2">
      <c r="B270" t="str">
        <f>IF(A270="","",IFERROR(AVERAGEIFS(nNOTA,nNIA,A270,nEVAL,CONFIG_METADATA!$B$4,nASIG,"Lenguaje Musical"),""))</f>
        <v/>
      </c>
      <c r="C270" t="str">
        <f>IF(A270="","",IFERROR(AVERAGEIFS(nNOTA,nNIA,A270,nEVAL,CONFIG_METADATA!$B$4,nASIG,"Coro"),""))</f>
        <v/>
      </c>
      <c r="D270" t="str">
        <f>IF(A270="","",IFERROR(AVERAGEIFS(nNOTA,nNIA,A270,nEVAL,CONFIG_METADATA!$B$4,nASIG,"Conjunto"),""))</f>
        <v/>
      </c>
      <c r="E270" t="str" cm="1">
        <f t="array" ref="E270">IF(A270="","",IFERROR(AVERAGE(IF((nNIA=A270)*(nEVAL=CONFIG_METADATA!$B$4)*(nASIG&lt;&gt;"Lenguaje Musical")*(nASIG&lt;&gt;"Coro")*(nASIG&lt;&gt;"Conjunto"),nNOTA)),""))</f>
        <v/>
      </c>
      <c r="H270" t="str">
        <f>IF(G270="","",IFERROR(AVERAGEIFS(nNOTA,nNIA,G270,nEVAL,CONFIG_METADATA!$B$4,nASIG,"Lenguaje Musical"),""))</f>
        <v/>
      </c>
      <c r="I270" t="str">
        <f>IF(G270="","",IFERROR(AVERAGEIFS(nNOTA,nNIA,G270,nEVAL,CONFIG_METADATA!$B$4,nASIG,"Coro"),""))</f>
        <v/>
      </c>
      <c r="J270" t="str">
        <f>IF(G270="","",IFERROR(AVERAGEIFS(nNOTA,nNIA,G270,nEVAL,CONFIG_METADATA!$B$4,nASIG,"Conjunto"),""))</f>
        <v/>
      </c>
      <c r="K270" t="str" cm="1">
        <f t="array" ref="K270">IF(G270="","",IFERROR(AVERAGE(IF((nNIA=G270)*(nEVAL=CONFIG_METADATA!$B$4)*(nASIG&lt;&gt;"Lenguaje Musical")*(nASIG&lt;&gt;"Coro")*(nASIG&lt;&gt;"Conjunto"),nNOTA)),""))</f>
        <v/>
      </c>
      <c r="N270" t="str">
        <f>IF(M270="","",IFERROR(AVERAGEIFS(nNOTA,nNIA,M270,nEVAL,CONFIG_METADATA!$B$4,nASIG,"Lenguaje Musical"),""))</f>
        <v/>
      </c>
      <c r="O270" t="str">
        <f>IF(M270="","",IFERROR(AVERAGEIFS(nNOTA,nNIA,M270,nEVAL,CONFIG_METADATA!$B$4,nASIG,"Coro"),""))</f>
        <v/>
      </c>
      <c r="P270" t="str">
        <f>IF(M270="","",IFERROR(AVERAGEIFS(nNOTA,nNIA,M270,nEVAL,CONFIG_METADATA!$B$4,nASIG,"Conjunto"),""))</f>
        <v/>
      </c>
      <c r="Q270" t="str">
        <f>IF(M270="","",IFERROR(AVERAGEIFS(nNOTA,nNIA,M270,nEVAL,CONFIG_METADATA!$B$4,nASIG,"&lt;&gt;Lenguaje Musical",nASIG,"&lt;&gt;Coro",nASIG,"&lt;&gt;Conjunto"),""))</f>
        <v/>
      </c>
      <c r="T270" t="str">
        <f>IF(S270="","",IFERROR(AVERAGEIFS(nNOTA,nNIA,S270,nEVAL,CONFIG_METADATA!$B$4,nASIG,"Lenguaje Musical"),""))</f>
        <v/>
      </c>
      <c r="U270" t="str">
        <f>IF(S270="","",IFERROR(AVERAGEIFS(nNOTA,nNIA,S270,nEVAL,CONFIG_METADATA!$B$4,nASIG,"Coro"),""))</f>
        <v/>
      </c>
      <c r="V270" t="str">
        <f>IF(S270="","",IFERROR(AVERAGEIFS(nNOTA,nNIA,S270,nEVAL,CONFIG_METADATA!$B$4,nASIG,"Conjunto"),""))</f>
        <v/>
      </c>
      <c r="W270" t="str" cm="1">
        <f t="array" ref="W270">IF(S270="","",IFERROR(AVERAGE(IF((nNIA=S270)*(nEVAL=CONFIG_METADATA!$B$4)*(nASIG&lt;&gt;"Lenguaje Musical")*(nASIG&lt;&gt;"Coro")*(nASIG&lt;&gt;"Conjunto"),nNOTA)),""))</f>
        <v/>
      </c>
    </row>
    <row r="271" spans="2:23" x14ac:dyDescent="0.2">
      <c r="B271" t="str">
        <f>IF(A271="","",IFERROR(AVERAGEIFS(nNOTA,nNIA,A271,nEVAL,CONFIG_METADATA!$B$4,nASIG,"Lenguaje Musical"),""))</f>
        <v/>
      </c>
      <c r="C271" t="str">
        <f>IF(A271="","",IFERROR(AVERAGEIFS(nNOTA,nNIA,A271,nEVAL,CONFIG_METADATA!$B$4,nASIG,"Coro"),""))</f>
        <v/>
      </c>
      <c r="D271" t="str">
        <f>IF(A271="","",IFERROR(AVERAGEIFS(nNOTA,nNIA,A271,nEVAL,CONFIG_METADATA!$B$4,nASIG,"Conjunto"),""))</f>
        <v/>
      </c>
      <c r="E271" t="str" cm="1">
        <f t="array" ref="E271">IF(A271="","",IFERROR(AVERAGE(IF((nNIA=A271)*(nEVAL=CONFIG_METADATA!$B$4)*(nASIG&lt;&gt;"Lenguaje Musical")*(nASIG&lt;&gt;"Coro")*(nASIG&lt;&gt;"Conjunto"),nNOTA)),""))</f>
        <v/>
      </c>
      <c r="H271" t="str">
        <f>IF(G271="","",IFERROR(AVERAGEIFS(nNOTA,nNIA,G271,nEVAL,CONFIG_METADATA!$B$4,nASIG,"Lenguaje Musical"),""))</f>
        <v/>
      </c>
      <c r="I271" t="str">
        <f>IF(G271="","",IFERROR(AVERAGEIFS(nNOTA,nNIA,G271,nEVAL,CONFIG_METADATA!$B$4,nASIG,"Coro"),""))</f>
        <v/>
      </c>
      <c r="J271" t="str">
        <f>IF(G271="","",IFERROR(AVERAGEIFS(nNOTA,nNIA,G271,nEVAL,CONFIG_METADATA!$B$4,nASIG,"Conjunto"),""))</f>
        <v/>
      </c>
      <c r="K271" t="str" cm="1">
        <f t="array" ref="K271">IF(G271="","",IFERROR(AVERAGE(IF((nNIA=G271)*(nEVAL=CONFIG_METADATA!$B$4)*(nASIG&lt;&gt;"Lenguaje Musical")*(nASIG&lt;&gt;"Coro")*(nASIG&lt;&gt;"Conjunto"),nNOTA)),""))</f>
        <v/>
      </c>
      <c r="N271" t="str">
        <f>IF(M271="","",IFERROR(AVERAGEIFS(nNOTA,nNIA,M271,nEVAL,CONFIG_METADATA!$B$4,nASIG,"Lenguaje Musical"),""))</f>
        <v/>
      </c>
      <c r="O271" t="str">
        <f>IF(M271="","",IFERROR(AVERAGEIFS(nNOTA,nNIA,M271,nEVAL,CONFIG_METADATA!$B$4,nASIG,"Coro"),""))</f>
        <v/>
      </c>
      <c r="P271" t="str">
        <f>IF(M271="","",IFERROR(AVERAGEIFS(nNOTA,nNIA,M271,nEVAL,CONFIG_METADATA!$B$4,nASIG,"Conjunto"),""))</f>
        <v/>
      </c>
      <c r="Q271" t="str">
        <f>IF(M271="","",IFERROR(AVERAGEIFS(nNOTA,nNIA,M271,nEVAL,CONFIG_METADATA!$B$4,nASIG,"&lt;&gt;Lenguaje Musical",nASIG,"&lt;&gt;Coro",nASIG,"&lt;&gt;Conjunto"),""))</f>
        <v/>
      </c>
      <c r="T271" t="str">
        <f>IF(S271="","",IFERROR(AVERAGEIFS(nNOTA,nNIA,S271,nEVAL,CONFIG_METADATA!$B$4,nASIG,"Lenguaje Musical"),""))</f>
        <v/>
      </c>
      <c r="U271" t="str">
        <f>IF(S271="","",IFERROR(AVERAGEIFS(nNOTA,nNIA,S271,nEVAL,CONFIG_METADATA!$B$4,nASIG,"Coro"),""))</f>
        <v/>
      </c>
      <c r="V271" t="str">
        <f>IF(S271="","",IFERROR(AVERAGEIFS(nNOTA,nNIA,S271,nEVAL,CONFIG_METADATA!$B$4,nASIG,"Conjunto"),""))</f>
        <v/>
      </c>
      <c r="W271" t="str" cm="1">
        <f t="array" ref="W271">IF(S271="","",IFERROR(AVERAGE(IF((nNIA=S271)*(nEVAL=CONFIG_METADATA!$B$4)*(nASIG&lt;&gt;"Lenguaje Musical")*(nASIG&lt;&gt;"Coro")*(nASIG&lt;&gt;"Conjunto"),nNOTA)),""))</f>
        <v/>
      </c>
    </row>
    <row r="272" spans="2:23" x14ac:dyDescent="0.2">
      <c r="B272" t="str">
        <f>IF(A272="","",IFERROR(AVERAGEIFS(nNOTA,nNIA,A272,nEVAL,CONFIG_METADATA!$B$4,nASIG,"Lenguaje Musical"),""))</f>
        <v/>
      </c>
      <c r="C272" t="str">
        <f>IF(A272="","",IFERROR(AVERAGEIFS(nNOTA,nNIA,A272,nEVAL,CONFIG_METADATA!$B$4,nASIG,"Coro"),""))</f>
        <v/>
      </c>
      <c r="D272" t="str">
        <f>IF(A272="","",IFERROR(AVERAGEIFS(nNOTA,nNIA,A272,nEVAL,CONFIG_METADATA!$B$4,nASIG,"Conjunto"),""))</f>
        <v/>
      </c>
      <c r="E272" t="str" cm="1">
        <f t="array" ref="E272">IF(A272="","",IFERROR(AVERAGE(IF((nNIA=A272)*(nEVAL=CONFIG_METADATA!$B$4)*(nASIG&lt;&gt;"Lenguaje Musical")*(nASIG&lt;&gt;"Coro")*(nASIG&lt;&gt;"Conjunto"),nNOTA)),""))</f>
        <v/>
      </c>
      <c r="H272" t="str">
        <f>IF(G272="","",IFERROR(AVERAGEIFS(nNOTA,nNIA,G272,nEVAL,CONFIG_METADATA!$B$4,nASIG,"Lenguaje Musical"),""))</f>
        <v/>
      </c>
      <c r="I272" t="str">
        <f>IF(G272="","",IFERROR(AVERAGEIFS(nNOTA,nNIA,G272,nEVAL,CONFIG_METADATA!$B$4,nASIG,"Coro"),""))</f>
        <v/>
      </c>
      <c r="J272" t="str">
        <f>IF(G272="","",IFERROR(AVERAGEIFS(nNOTA,nNIA,G272,nEVAL,CONFIG_METADATA!$B$4,nASIG,"Conjunto"),""))</f>
        <v/>
      </c>
      <c r="K272" t="str" cm="1">
        <f t="array" ref="K272">IF(G272="","",IFERROR(AVERAGE(IF((nNIA=G272)*(nEVAL=CONFIG_METADATA!$B$4)*(nASIG&lt;&gt;"Lenguaje Musical")*(nASIG&lt;&gt;"Coro")*(nASIG&lt;&gt;"Conjunto"),nNOTA)),""))</f>
        <v/>
      </c>
      <c r="N272" t="str">
        <f>IF(M272="","",IFERROR(AVERAGEIFS(nNOTA,nNIA,M272,nEVAL,CONFIG_METADATA!$B$4,nASIG,"Lenguaje Musical"),""))</f>
        <v/>
      </c>
      <c r="O272" t="str">
        <f>IF(M272="","",IFERROR(AVERAGEIFS(nNOTA,nNIA,M272,nEVAL,CONFIG_METADATA!$B$4,nASIG,"Coro"),""))</f>
        <v/>
      </c>
      <c r="P272" t="str">
        <f>IF(M272="","",IFERROR(AVERAGEIFS(nNOTA,nNIA,M272,nEVAL,CONFIG_METADATA!$B$4,nASIG,"Conjunto"),""))</f>
        <v/>
      </c>
      <c r="Q272" t="str">
        <f>IF(M272="","",IFERROR(AVERAGEIFS(nNOTA,nNIA,M272,nEVAL,CONFIG_METADATA!$B$4,nASIG,"&lt;&gt;Lenguaje Musical",nASIG,"&lt;&gt;Coro",nASIG,"&lt;&gt;Conjunto"),""))</f>
        <v/>
      </c>
      <c r="T272" t="str">
        <f>IF(S272="","",IFERROR(AVERAGEIFS(nNOTA,nNIA,S272,nEVAL,CONFIG_METADATA!$B$4,nASIG,"Lenguaje Musical"),""))</f>
        <v/>
      </c>
      <c r="U272" t="str">
        <f>IF(S272="","",IFERROR(AVERAGEIFS(nNOTA,nNIA,S272,nEVAL,CONFIG_METADATA!$B$4,nASIG,"Coro"),""))</f>
        <v/>
      </c>
      <c r="V272" t="str">
        <f>IF(S272="","",IFERROR(AVERAGEIFS(nNOTA,nNIA,S272,nEVAL,CONFIG_METADATA!$B$4,nASIG,"Conjunto"),""))</f>
        <v/>
      </c>
      <c r="W272" t="str" cm="1">
        <f t="array" ref="W272">IF(S272="","",IFERROR(AVERAGE(IF((nNIA=S272)*(nEVAL=CONFIG_METADATA!$B$4)*(nASIG&lt;&gt;"Lenguaje Musical")*(nASIG&lt;&gt;"Coro")*(nASIG&lt;&gt;"Conjunto"),nNOTA)),""))</f>
        <v/>
      </c>
    </row>
    <row r="273" spans="2:23" x14ac:dyDescent="0.2">
      <c r="B273" t="str">
        <f>IF(A273="","",IFERROR(AVERAGEIFS(nNOTA,nNIA,A273,nEVAL,CONFIG_METADATA!$B$4,nASIG,"Lenguaje Musical"),""))</f>
        <v/>
      </c>
      <c r="C273" t="str">
        <f>IF(A273="","",IFERROR(AVERAGEIFS(nNOTA,nNIA,A273,nEVAL,CONFIG_METADATA!$B$4,nASIG,"Coro"),""))</f>
        <v/>
      </c>
      <c r="D273" t="str">
        <f>IF(A273="","",IFERROR(AVERAGEIFS(nNOTA,nNIA,A273,nEVAL,CONFIG_METADATA!$B$4,nASIG,"Conjunto"),""))</f>
        <v/>
      </c>
      <c r="E273" t="str" cm="1">
        <f t="array" ref="E273">IF(A273="","",IFERROR(AVERAGE(IF((nNIA=A273)*(nEVAL=CONFIG_METADATA!$B$4)*(nASIG&lt;&gt;"Lenguaje Musical")*(nASIG&lt;&gt;"Coro")*(nASIG&lt;&gt;"Conjunto"),nNOTA)),""))</f>
        <v/>
      </c>
      <c r="H273" t="str">
        <f>IF(G273="","",IFERROR(AVERAGEIFS(nNOTA,nNIA,G273,nEVAL,CONFIG_METADATA!$B$4,nASIG,"Lenguaje Musical"),""))</f>
        <v/>
      </c>
      <c r="I273" t="str">
        <f>IF(G273="","",IFERROR(AVERAGEIFS(nNOTA,nNIA,G273,nEVAL,CONFIG_METADATA!$B$4,nASIG,"Coro"),""))</f>
        <v/>
      </c>
      <c r="J273" t="str">
        <f>IF(G273="","",IFERROR(AVERAGEIFS(nNOTA,nNIA,G273,nEVAL,CONFIG_METADATA!$B$4,nASIG,"Conjunto"),""))</f>
        <v/>
      </c>
      <c r="K273" t="str" cm="1">
        <f t="array" ref="K273">IF(G273="","",IFERROR(AVERAGE(IF((nNIA=G273)*(nEVAL=CONFIG_METADATA!$B$4)*(nASIG&lt;&gt;"Lenguaje Musical")*(nASIG&lt;&gt;"Coro")*(nASIG&lt;&gt;"Conjunto"),nNOTA)),""))</f>
        <v/>
      </c>
      <c r="N273" t="str">
        <f>IF(M273="","",IFERROR(AVERAGEIFS(nNOTA,nNIA,M273,nEVAL,CONFIG_METADATA!$B$4,nASIG,"Lenguaje Musical"),""))</f>
        <v/>
      </c>
      <c r="O273" t="str">
        <f>IF(M273="","",IFERROR(AVERAGEIFS(nNOTA,nNIA,M273,nEVAL,CONFIG_METADATA!$B$4,nASIG,"Coro"),""))</f>
        <v/>
      </c>
      <c r="P273" t="str">
        <f>IF(M273="","",IFERROR(AVERAGEIFS(nNOTA,nNIA,M273,nEVAL,CONFIG_METADATA!$B$4,nASIG,"Conjunto"),""))</f>
        <v/>
      </c>
      <c r="Q273" t="str">
        <f>IF(M273="","",IFERROR(AVERAGEIFS(nNOTA,nNIA,M273,nEVAL,CONFIG_METADATA!$B$4,nASIG,"&lt;&gt;Lenguaje Musical",nASIG,"&lt;&gt;Coro",nASIG,"&lt;&gt;Conjunto"),""))</f>
        <v/>
      </c>
      <c r="T273" t="str">
        <f>IF(S273="","",IFERROR(AVERAGEIFS(nNOTA,nNIA,S273,nEVAL,CONFIG_METADATA!$B$4,nASIG,"Lenguaje Musical"),""))</f>
        <v/>
      </c>
      <c r="U273" t="str">
        <f>IF(S273="","",IFERROR(AVERAGEIFS(nNOTA,nNIA,S273,nEVAL,CONFIG_METADATA!$B$4,nASIG,"Coro"),""))</f>
        <v/>
      </c>
      <c r="V273" t="str">
        <f>IF(S273="","",IFERROR(AVERAGEIFS(nNOTA,nNIA,S273,nEVAL,CONFIG_METADATA!$B$4,nASIG,"Conjunto"),""))</f>
        <v/>
      </c>
      <c r="W273" t="str" cm="1">
        <f t="array" ref="W273">IF(S273="","",IFERROR(AVERAGE(IF((nNIA=S273)*(nEVAL=CONFIG_METADATA!$B$4)*(nASIG&lt;&gt;"Lenguaje Musical")*(nASIG&lt;&gt;"Coro")*(nASIG&lt;&gt;"Conjunto"),nNOTA)),""))</f>
        <v/>
      </c>
    </row>
    <row r="274" spans="2:23" x14ac:dyDescent="0.2">
      <c r="B274" t="str">
        <f>IF(A274="","",IFERROR(AVERAGEIFS(nNOTA,nNIA,A274,nEVAL,CONFIG_METADATA!$B$4,nASIG,"Lenguaje Musical"),""))</f>
        <v/>
      </c>
      <c r="C274" t="str">
        <f>IF(A274="","",IFERROR(AVERAGEIFS(nNOTA,nNIA,A274,nEVAL,CONFIG_METADATA!$B$4,nASIG,"Coro"),""))</f>
        <v/>
      </c>
      <c r="D274" t="str">
        <f>IF(A274="","",IFERROR(AVERAGEIFS(nNOTA,nNIA,A274,nEVAL,CONFIG_METADATA!$B$4,nASIG,"Conjunto"),""))</f>
        <v/>
      </c>
      <c r="E274" t="str" cm="1">
        <f t="array" ref="E274">IF(A274="","",IFERROR(AVERAGE(IF((nNIA=A274)*(nEVAL=CONFIG_METADATA!$B$4)*(nASIG&lt;&gt;"Lenguaje Musical")*(nASIG&lt;&gt;"Coro")*(nASIG&lt;&gt;"Conjunto"),nNOTA)),""))</f>
        <v/>
      </c>
      <c r="H274" t="str">
        <f>IF(G274="","",IFERROR(AVERAGEIFS(nNOTA,nNIA,G274,nEVAL,CONFIG_METADATA!$B$4,nASIG,"Lenguaje Musical"),""))</f>
        <v/>
      </c>
      <c r="I274" t="str">
        <f>IF(G274="","",IFERROR(AVERAGEIFS(nNOTA,nNIA,G274,nEVAL,CONFIG_METADATA!$B$4,nASIG,"Coro"),""))</f>
        <v/>
      </c>
      <c r="J274" t="str">
        <f>IF(G274="","",IFERROR(AVERAGEIFS(nNOTA,nNIA,G274,nEVAL,CONFIG_METADATA!$B$4,nASIG,"Conjunto"),""))</f>
        <v/>
      </c>
      <c r="K274" t="str" cm="1">
        <f t="array" ref="K274">IF(G274="","",IFERROR(AVERAGE(IF((nNIA=G274)*(nEVAL=CONFIG_METADATA!$B$4)*(nASIG&lt;&gt;"Lenguaje Musical")*(nASIG&lt;&gt;"Coro")*(nASIG&lt;&gt;"Conjunto"),nNOTA)),""))</f>
        <v/>
      </c>
      <c r="N274" t="str">
        <f>IF(M274="","",IFERROR(AVERAGEIFS(nNOTA,nNIA,M274,nEVAL,CONFIG_METADATA!$B$4,nASIG,"Lenguaje Musical"),""))</f>
        <v/>
      </c>
      <c r="O274" t="str">
        <f>IF(M274="","",IFERROR(AVERAGEIFS(nNOTA,nNIA,M274,nEVAL,CONFIG_METADATA!$B$4,nASIG,"Coro"),""))</f>
        <v/>
      </c>
      <c r="P274" t="str">
        <f>IF(M274="","",IFERROR(AVERAGEIFS(nNOTA,nNIA,M274,nEVAL,CONFIG_METADATA!$B$4,nASIG,"Conjunto"),""))</f>
        <v/>
      </c>
      <c r="Q274" t="str">
        <f>IF(M274="","",IFERROR(AVERAGEIFS(nNOTA,nNIA,M274,nEVAL,CONFIG_METADATA!$B$4,nASIG,"&lt;&gt;Lenguaje Musical",nASIG,"&lt;&gt;Coro",nASIG,"&lt;&gt;Conjunto"),""))</f>
        <v/>
      </c>
      <c r="T274" t="str">
        <f>IF(S274="","",IFERROR(AVERAGEIFS(nNOTA,nNIA,S274,nEVAL,CONFIG_METADATA!$B$4,nASIG,"Lenguaje Musical"),""))</f>
        <v/>
      </c>
      <c r="U274" t="str">
        <f>IF(S274="","",IFERROR(AVERAGEIFS(nNOTA,nNIA,S274,nEVAL,CONFIG_METADATA!$B$4,nASIG,"Coro"),""))</f>
        <v/>
      </c>
      <c r="V274" t="str">
        <f>IF(S274="","",IFERROR(AVERAGEIFS(nNOTA,nNIA,S274,nEVAL,CONFIG_METADATA!$B$4,nASIG,"Conjunto"),""))</f>
        <v/>
      </c>
      <c r="W274" t="str" cm="1">
        <f t="array" ref="W274">IF(S274="","",IFERROR(AVERAGE(IF((nNIA=S274)*(nEVAL=CONFIG_METADATA!$B$4)*(nASIG&lt;&gt;"Lenguaje Musical")*(nASIG&lt;&gt;"Coro")*(nASIG&lt;&gt;"Conjunto"),nNOTA)),""))</f>
        <v/>
      </c>
    </row>
    <row r="275" spans="2:23" x14ac:dyDescent="0.2">
      <c r="B275" t="str">
        <f>IF(A275="","",IFERROR(AVERAGEIFS(nNOTA,nNIA,A275,nEVAL,CONFIG_METADATA!$B$4,nASIG,"Lenguaje Musical"),""))</f>
        <v/>
      </c>
      <c r="C275" t="str">
        <f>IF(A275="","",IFERROR(AVERAGEIFS(nNOTA,nNIA,A275,nEVAL,CONFIG_METADATA!$B$4,nASIG,"Coro"),""))</f>
        <v/>
      </c>
      <c r="D275" t="str">
        <f>IF(A275="","",IFERROR(AVERAGEIFS(nNOTA,nNIA,A275,nEVAL,CONFIG_METADATA!$B$4,nASIG,"Conjunto"),""))</f>
        <v/>
      </c>
      <c r="E275" t="str" cm="1">
        <f t="array" ref="E275">IF(A275="","",IFERROR(AVERAGE(IF((nNIA=A275)*(nEVAL=CONFIG_METADATA!$B$4)*(nASIG&lt;&gt;"Lenguaje Musical")*(nASIG&lt;&gt;"Coro")*(nASIG&lt;&gt;"Conjunto"),nNOTA)),""))</f>
        <v/>
      </c>
      <c r="H275" t="str">
        <f>IF(G275="","",IFERROR(AVERAGEIFS(nNOTA,nNIA,G275,nEVAL,CONFIG_METADATA!$B$4,nASIG,"Lenguaje Musical"),""))</f>
        <v/>
      </c>
      <c r="I275" t="str">
        <f>IF(G275="","",IFERROR(AVERAGEIFS(nNOTA,nNIA,G275,nEVAL,CONFIG_METADATA!$B$4,nASIG,"Coro"),""))</f>
        <v/>
      </c>
      <c r="J275" t="str">
        <f>IF(G275="","",IFERROR(AVERAGEIFS(nNOTA,nNIA,G275,nEVAL,CONFIG_METADATA!$B$4,nASIG,"Conjunto"),""))</f>
        <v/>
      </c>
      <c r="K275" t="str" cm="1">
        <f t="array" ref="K275">IF(G275="","",IFERROR(AVERAGE(IF((nNIA=G275)*(nEVAL=CONFIG_METADATA!$B$4)*(nASIG&lt;&gt;"Lenguaje Musical")*(nASIG&lt;&gt;"Coro")*(nASIG&lt;&gt;"Conjunto"),nNOTA)),""))</f>
        <v/>
      </c>
      <c r="N275" t="str">
        <f>IF(M275="","",IFERROR(AVERAGEIFS(nNOTA,nNIA,M275,nEVAL,CONFIG_METADATA!$B$4,nASIG,"Lenguaje Musical"),""))</f>
        <v/>
      </c>
      <c r="O275" t="str">
        <f>IF(M275="","",IFERROR(AVERAGEIFS(nNOTA,nNIA,M275,nEVAL,CONFIG_METADATA!$B$4,nASIG,"Coro"),""))</f>
        <v/>
      </c>
      <c r="P275" t="str">
        <f>IF(M275="","",IFERROR(AVERAGEIFS(nNOTA,nNIA,M275,nEVAL,CONFIG_METADATA!$B$4,nASIG,"Conjunto"),""))</f>
        <v/>
      </c>
      <c r="Q275" t="str">
        <f>IF(M275="","",IFERROR(AVERAGEIFS(nNOTA,nNIA,M275,nEVAL,CONFIG_METADATA!$B$4,nASIG,"&lt;&gt;Lenguaje Musical",nASIG,"&lt;&gt;Coro",nASIG,"&lt;&gt;Conjunto"),""))</f>
        <v/>
      </c>
      <c r="T275" t="str">
        <f>IF(S275="","",IFERROR(AVERAGEIFS(nNOTA,nNIA,S275,nEVAL,CONFIG_METADATA!$B$4,nASIG,"Lenguaje Musical"),""))</f>
        <v/>
      </c>
      <c r="U275" t="str">
        <f>IF(S275="","",IFERROR(AVERAGEIFS(nNOTA,nNIA,S275,nEVAL,CONFIG_METADATA!$B$4,nASIG,"Coro"),""))</f>
        <v/>
      </c>
      <c r="V275" t="str">
        <f>IF(S275="","",IFERROR(AVERAGEIFS(nNOTA,nNIA,S275,nEVAL,CONFIG_METADATA!$B$4,nASIG,"Conjunto"),""))</f>
        <v/>
      </c>
      <c r="W275" t="str" cm="1">
        <f t="array" ref="W275">IF(S275="","",IFERROR(AVERAGE(IF((nNIA=S275)*(nEVAL=CONFIG_METADATA!$B$4)*(nASIG&lt;&gt;"Lenguaje Musical")*(nASIG&lt;&gt;"Coro")*(nASIG&lt;&gt;"Conjunto"),nNOTA)),""))</f>
        <v/>
      </c>
    </row>
    <row r="276" spans="2:23" x14ac:dyDescent="0.2">
      <c r="B276" t="str">
        <f>IF(A276="","",IFERROR(AVERAGEIFS(nNOTA,nNIA,A276,nEVAL,CONFIG_METADATA!$B$4,nASIG,"Lenguaje Musical"),""))</f>
        <v/>
      </c>
      <c r="C276" t="str">
        <f>IF(A276="","",IFERROR(AVERAGEIFS(nNOTA,nNIA,A276,nEVAL,CONFIG_METADATA!$B$4,nASIG,"Coro"),""))</f>
        <v/>
      </c>
      <c r="D276" t="str">
        <f>IF(A276="","",IFERROR(AVERAGEIFS(nNOTA,nNIA,A276,nEVAL,CONFIG_METADATA!$B$4,nASIG,"Conjunto"),""))</f>
        <v/>
      </c>
      <c r="E276" t="str" cm="1">
        <f t="array" ref="E276">IF(A276="","",IFERROR(AVERAGE(IF((nNIA=A276)*(nEVAL=CONFIG_METADATA!$B$4)*(nASIG&lt;&gt;"Lenguaje Musical")*(nASIG&lt;&gt;"Coro")*(nASIG&lt;&gt;"Conjunto"),nNOTA)),""))</f>
        <v/>
      </c>
      <c r="H276" t="str">
        <f>IF(G276="","",IFERROR(AVERAGEIFS(nNOTA,nNIA,G276,nEVAL,CONFIG_METADATA!$B$4,nASIG,"Lenguaje Musical"),""))</f>
        <v/>
      </c>
      <c r="I276" t="str">
        <f>IF(G276="","",IFERROR(AVERAGEIFS(nNOTA,nNIA,G276,nEVAL,CONFIG_METADATA!$B$4,nASIG,"Coro"),""))</f>
        <v/>
      </c>
      <c r="J276" t="str">
        <f>IF(G276="","",IFERROR(AVERAGEIFS(nNOTA,nNIA,G276,nEVAL,CONFIG_METADATA!$B$4,nASIG,"Conjunto"),""))</f>
        <v/>
      </c>
      <c r="K276" t="str" cm="1">
        <f t="array" ref="K276">IF(G276="","",IFERROR(AVERAGE(IF((nNIA=G276)*(nEVAL=CONFIG_METADATA!$B$4)*(nASIG&lt;&gt;"Lenguaje Musical")*(nASIG&lt;&gt;"Coro")*(nASIG&lt;&gt;"Conjunto"),nNOTA)),""))</f>
        <v/>
      </c>
      <c r="N276" t="str">
        <f>IF(M276="","",IFERROR(AVERAGEIFS(nNOTA,nNIA,M276,nEVAL,CONFIG_METADATA!$B$4,nASIG,"Lenguaje Musical"),""))</f>
        <v/>
      </c>
      <c r="O276" t="str">
        <f>IF(M276="","",IFERROR(AVERAGEIFS(nNOTA,nNIA,M276,nEVAL,CONFIG_METADATA!$B$4,nASIG,"Coro"),""))</f>
        <v/>
      </c>
      <c r="P276" t="str">
        <f>IF(M276="","",IFERROR(AVERAGEIFS(nNOTA,nNIA,M276,nEVAL,CONFIG_METADATA!$B$4,nASIG,"Conjunto"),""))</f>
        <v/>
      </c>
      <c r="Q276" t="str">
        <f>IF(M276="","",IFERROR(AVERAGEIFS(nNOTA,nNIA,M276,nEVAL,CONFIG_METADATA!$B$4,nASIG,"&lt;&gt;Lenguaje Musical",nASIG,"&lt;&gt;Coro",nASIG,"&lt;&gt;Conjunto"),""))</f>
        <v/>
      </c>
      <c r="T276" t="str">
        <f>IF(S276="","",IFERROR(AVERAGEIFS(nNOTA,nNIA,S276,nEVAL,CONFIG_METADATA!$B$4,nASIG,"Lenguaje Musical"),""))</f>
        <v/>
      </c>
      <c r="U276" t="str">
        <f>IF(S276="","",IFERROR(AVERAGEIFS(nNOTA,nNIA,S276,nEVAL,CONFIG_METADATA!$B$4,nASIG,"Coro"),""))</f>
        <v/>
      </c>
      <c r="V276" t="str">
        <f>IF(S276="","",IFERROR(AVERAGEIFS(nNOTA,nNIA,S276,nEVAL,CONFIG_METADATA!$B$4,nASIG,"Conjunto"),""))</f>
        <v/>
      </c>
      <c r="W276" t="str" cm="1">
        <f t="array" ref="W276">IF(S276="","",IFERROR(AVERAGE(IF((nNIA=S276)*(nEVAL=CONFIG_METADATA!$B$4)*(nASIG&lt;&gt;"Lenguaje Musical")*(nASIG&lt;&gt;"Coro")*(nASIG&lt;&gt;"Conjunto"),nNOTA)),""))</f>
        <v/>
      </c>
    </row>
    <row r="277" spans="2:23" x14ac:dyDescent="0.2">
      <c r="B277" t="str">
        <f>IF(A277="","",IFERROR(AVERAGEIFS(nNOTA,nNIA,A277,nEVAL,CONFIG_METADATA!$B$4,nASIG,"Lenguaje Musical"),""))</f>
        <v/>
      </c>
      <c r="C277" t="str">
        <f>IF(A277="","",IFERROR(AVERAGEIFS(nNOTA,nNIA,A277,nEVAL,CONFIG_METADATA!$B$4,nASIG,"Coro"),""))</f>
        <v/>
      </c>
      <c r="D277" t="str">
        <f>IF(A277="","",IFERROR(AVERAGEIFS(nNOTA,nNIA,A277,nEVAL,CONFIG_METADATA!$B$4,nASIG,"Conjunto"),""))</f>
        <v/>
      </c>
      <c r="E277" t="str" cm="1">
        <f t="array" ref="E277">IF(A277="","",IFERROR(AVERAGE(IF((nNIA=A277)*(nEVAL=CONFIG_METADATA!$B$4)*(nASIG&lt;&gt;"Lenguaje Musical")*(nASIG&lt;&gt;"Coro")*(nASIG&lt;&gt;"Conjunto"),nNOTA)),""))</f>
        <v/>
      </c>
      <c r="H277" t="str">
        <f>IF(G277="","",IFERROR(AVERAGEIFS(nNOTA,nNIA,G277,nEVAL,CONFIG_METADATA!$B$4,nASIG,"Lenguaje Musical"),""))</f>
        <v/>
      </c>
      <c r="I277" t="str">
        <f>IF(G277="","",IFERROR(AVERAGEIFS(nNOTA,nNIA,G277,nEVAL,CONFIG_METADATA!$B$4,nASIG,"Coro"),""))</f>
        <v/>
      </c>
      <c r="J277" t="str">
        <f>IF(G277="","",IFERROR(AVERAGEIFS(nNOTA,nNIA,G277,nEVAL,CONFIG_METADATA!$B$4,nASIG,"Conjunto"),""))</f>
        <v/>
      </c>
      <c r="K277" t="str" cm="1">
        <f t="array" ref="K277">IF(G277="","",IFERROR(AVERAGE(IF((nNIA=G277)*(nEVAL=CONFIG_METADATA!$B$4)*(nASIG&lt;&gt;"Lenguaje Musical")*(nASIG&lt;&gt;"Coro")*(nASIG&lt;&gt;"Conjunto"),nNOTA)),""))</f>
        <v/>
      </c>
      <c r="N277" t="str">
        <f>IF(M277="","",IFERROR(AVERAGEIFS(nNOTA,nNIA,M277,nEVAL,CONFIG_METADATA!$B$4,nASIG,"Lenguaje Musical"),""))</f>
        <v/>
      </c>
      <c r="O277" t="str">
        <f>IF(M277="","",IFERROR(AVERAGEIFS(nNOTA,nNIA,M277,nEVAL,CONFIG_METADATA!$B$4,nASIG,"Coro"),""))</f>
        <v/>
      </c>
      <c r="P277" t="str">
        <f>IF(M277="","",IFERROR(AVERAGEIFS(nNOTA,nNIA,M277,nEVAL,CONFIG_METADATA!$B$4,nASIG,"Conjunto"),""))</f>
        <v/>
      </c>
      <c r="Q277" t="str">
        <f>IF(M277="","",IFERROR(AVERAGEIFS(nNOTA,nNIA,M277,nEVAL,CONFIG_METADATA!$B$4,nASIG,"&lt;&gt;Lenguaje Musical",nASIG,"&lt;&gt;Coro",nASIG,"&lt;&gt;Conjunto"),""))</f>
        <v/>
      </c>
      <c r="T277" t="str">
        <f>IF(S277="","",IFERROR(AVERAGEIFS(nNOTA,nNIA,S277,nEVAL,CONFIG_METADATA!$B$4,nASIG,"Lenguaje Musical"),""))</f>
        <v/>
      </c>
      <c r="U277" t="str">
        <f>IF(S277="","",IFERROR(AVERAGEIFS(nNOTA,nNIA,S277,nEVAL,CONFIG_METADATA!$B$4,nASIG,"Coro"),""))</f>
        <v/>
      </c>
      <c r="V277" t="str">
        <f>IF(S277="","",IFERROR(AVERAGEIFS(nNOTA,nNIA,S277,nEVAL,CONFIG_METADATA!$B$4,nASIG,"Conjunto"),""))</f>
        <v/>
      </c>
      <c r="W277" t="str" cm="1">
        <f t="array" ref="W277">IF(S277="","",IFERROR(AVERAGE(IF((nNIA=S277)*(nEVAL=CONFIG_METADATA!$B$4)*(nASIG&lt;&gt;"Lenguaje Musical")*(nASIG&lt;&gt;"Coro")*(nASIG&lt;&gt;"Conjunto"),nNOTA)),""))</f>
        <v/>
      </c>
    </row>
    <row r="278" spans="2:23" x14ac:dyDescent="0.2">
      <c r="B278" t="str">
        <f>IF(A278="","",IFERROR(AVERAGEIFS(nNOTA,nNIA,A278,nEVAL,CONFIG_METADATA!$B$4,nASIG,"Lenguaje Musical"),""))</f>
        <v/>
      </c>
      <c r="C278" t="str">
        <f>IF(A278="","",IFERROR(AVERAGEIFS(nNOTA,nNIA,A278,nEVAL,CONFIG_METADATA!$B$4,nASIG,"Coro"),""))</f>
        <v/>
      </c>
      <c r="D278" t="str">
        <f>IF(A278="","",IFERROR(AVERAGEIFS(nNOTA,nNIA,A278,nEVAL,CONFIG_METADATA!$B$4,nASIG,"Conjunto"),""))</f>
        <v/>
      </c>
      <c r="E278" t="str" cm="1">
        <f t="array" ref="E278">IF(A278="","",IFERROR(AVERAGE(IF((nNIA=A278)*(nEVAL=CONFIG_METADATA!$B$4)*(nASIG&lt;&gt;"Lenguaje Musical")*(nASIG&lt;&gt;"Coro")*(nASIG&lt;&gt;"Conjunto"),nNOTA)),""))</f>
        <v/>
      </c>
      <c r="H278" t="str">
        <f>IF(G278="","",IFERROR(AVERAGEIFS(nNOTA,nNIA,G278,nEVAL,CONFIG_METADATA!$B$4,nASIG,"Lenguaje Musical"),""))</f>
        <v/>
      </c>
      <c r="I278" t="str">
        <f>IF(G278="","",IFERROR(AVERAGEIFS(nNOTA,nNIA,G278,nEVAL,CONFIG_METADATA!$B$4,nASIG,"Coro"),""))</f>
        <v/>
      </c>
      <c r="J278" t="str">
        <f>IF(G278="","",IFERROR(AVERAGEIFS(nNOTA,nNIA,G278,nEVAL,CONFIG_METADATA!$B$4,nASIG,"Conjunto"),""))</f>
        <v/>
      </c>
      <c r="K278" t="str" cm="1">
        <f t="array" ref="K278">IF(G278="","",IFERROR(AVERAGE(IF((nNIA=G278)*(nEVAL=CONFIG_METADATA!$B$4)*(nASIG&lt;&gt;"Lenguaje Musical")*(nASIG&lt;&gt;"Coro")*(nASIG&lt;&gt;"Conjunto"),nNOTA)),""))</f>
        <v/>
      </c>
      <c r="N278" t="str">
        <f>IF(M278="","",IFERROR(AVERAGEIFS(nNOTA,nNIA,M278,nEVAL,CONFIG_METADATA!$B$4,nASIG,"Lenguaje Musical"),""))</f>
        <v/>
      </c>
      <c r="O278" t="str">
        <f>IF(M278="","",IFERROR(AVERAGEIFS(nNOTA,nNIA,M278,nEVAL,CONFIG_METADATA!$B$4,nASIG,"Coro"),""))</f>
        <v/>
      </c>
      <c r="P278" t="str">
        <f>IF(M278="","",IFERROR(AVERAGEIFS(nNOTA,nNIA,M278,nEVAL,CONFIG_METADATA!$B$4,nASIG,"Conjunto"),""))</f>
        <v/>
      </c>
      <c r="Q278" t="str">
        <f>IF(M278="","",IFERROR(AVERAGEIFS(nNOTA,nNIA,M278,nEVAL,CONFIG_METADATA!$B$4,nASIG,"&lt;&gt;Lenguaje Musical",nASIG,"&lt;&gt;Coro",nASIG,"&lt;&gt;Conjunto"),""))</f>
        <v/>
      </c>
      <c r="T278" t="str">
        <f>IF(S278="","",IFERROR(AVERAGEIFS(nNOTA,nNIA,S278,nEVAL,CONFIG_METADATA!$B$4,nASIG,"Lenguaje Musical"),""))</f>
        <v/>
      </c>
      <c r="U278" t="str">
        <f>IF(S278="","",IFERROR(AVERAGEIFS(nNOTA,nNIA,S278,nEVAL,CONFIG_METADATA!$B$4,nASIG,"Coro"),""))</f>
        <v/>
      </c>
      <c r="V278" t="str">
        <f>IF(S278="","",IFERROR(AVERAGEIFS(nNOTA,nNIA,S278,nEVAL,CONFIG_METADATA!$B$4,nASIG,"Conjunto"),""))</f>
        <v/>
      </c>
      <c r="W278" t="str" cm="1">
        <f t="array" ref="W278">IF(S278="","",IFERROR(AVERAGE(IF((nNIA=S278)*(nEVAL=CONFIG_METADATA!$B$4)*(nASIG&lt;&gt;"Lenguaje Musical")*(nASIG&lt;&gt;"Coro")*(nASIG&lt;&gt;"Conjunto"),nNOTA)),""))</f>
        <v/>
      </c>
    </row>
    <row r="279" spans="2:23" x14ac:dyDescent="0.2">
      <c r="B279" t="str">
        <f>IF(A279="","",IFERROR(AVERAGEIFS(nNOTA,nNIA,A279,nEVAL,CONFIG_METADATA!$B$4,nASIG,"Lenguaje Musical"),""))</f>
        <v/>
      </c>
      <c r="C279" t="str">
        <f>IF(A279="","",IFERROR(AVERAGEIFS(nNOTA,nNIA,A279,nEVAL,CONFIG_METADATA!$B$4,nASIG,"Coro"),""))</f>
        <v/>
      </c>
      <c r="D279" t="str">
        <f>IF(A279="","",IFERROR(AVERAGEIFS(nNOTA,nNIA,A279,nEVAL,CONFIG_METADATA!$B$4,nASIG,"Conjunto"),""))</f>
        <v/>
      </c>
      <c r="E279" t="str" cm="1">
        <f t="array" ref="E279">IF(A279="","",IFERROR(AVERAGE(IF((nNIA=A279)*(nEVAL=CONFIG_METADATA!$B$4)*(nASIG&lt;&gt;"Lenguaje Musical")*(nASIG&lt;&gt;"Coro")*(nASIG&lt;&gt;"Conjunto"),nNOTA)),""))</f>
        <v/>
      </c>
      <c r="H279" t="str">
        <f>IF(G279="","",IFERROR(AVERAGEIFS(nNOTA,nNIA,G279,nEVAL,CONFIG_METADATA!$B$4,nASIG,"Lenguaje Musical"),""))</f>
        <v/>
      </c>
      <c r="I279" t="str">
        <f>IF(G279="","",IFERROR(AVERAGEIFS(nNOTA,nNIA,G279,nEVAL,CONFIG_METADATA!$B$4,nASIG,"Coro"),""))</f>
        <v/>
      </c>
      <c r="J279" t="str">
        <f>IF(G279="","",IFERROR(AVERAGEIFS(nNOTA,nNIA,G279,nEVAL,CONFIG_METADATA!$B$4,nASIG,"Conjunto"),""))</f>
        <v/>
      </c>
      <c r="K279" t="str" cm="1">
        <f t="array" ref="K279">IF(G279="","",IFERROR(AVERAGE(IF((nNIA=G279)*(nEVAL=CONFIG_METADATA!$B$4)*(nASIG&lt;&gt;"Lenguaje Musical")*(nASIG&lt;&gt;"Coro")*(nASIG&lt;&gt;"Conjunto"),nNOTA)),""))</f>
        <v/>
      </c>
      <c r="N279" t="str">
        <f>IF(M279="","",IFERROR(AVERAGEIFS(nNOTA,nNIA,M279,nEVAL,CONFIG_METADATA!$B$4,nASIG,"Lenguaje Musical"),""))</f>
        <v/>
      </c>
      <c r="O279" t="str">
        <f>IF(M279="","",IFERROR(AVERAGEIFS(nNOTA,nNIA,M279,nEVAL,CONFIG_METADATA!$B$4,nASIG,"Coro"),""))</f>
        <v/>
      </c>
      <c r="P279" t="str">
        <f>IF(M279="","",IFERROR(AVERAGEIFS(nNOTA,nNIA,M279,nEVAL,CONFIG_METADATA!$B$4,nASIG,"Conjunto"),""))</f>
        <v/>
      </c>
      <c r="Q279" t="str">
        <f>IF(M279="","",IFERROR(AVERAGEIFS(nNOTA,nNIA,M279,nEVAL,CONFIG_METADATA!$B$4,nASIG,"&lt;&gt;Lenguaje Musical",nASIG,"&lt;&gt;Coro",nASIG,"&lt;&gt;Conjunto"),""))</f>
        <v/>
      </c>
      <c r="T279" t="str">
        <f>IF(S279="","",IFERROR(AVERAGEIFS(nNOTA,nNIA,S279,nEVAL,CONFIG_METADATA!$B$4,nASIG,"Lenguaje Musical"),""))</f>
        <v/>
      </c>
      <c r="U279" t="str">
        <f>IF(S279="","",IFERROR(AVERAGEIFS(nNOTA,nNIA,S279,nEVAL,CONFIG_METADATA!$B$4,nASIG,"Coro"),""))</f>
        <v/>
      </c>
      <c r="V279" t="str">
        <f>IF(S279="","",IFERROR(AVERAGEIFS(nNOTA,nNIA,S279,nEVAL,CONFIG_METADATA!$B$4,nASIG,"Conjunto"),""))</f>
        <v/>
      </c>
      <c r="W279" t="str" cm="1">
        <f t="array" ref="W279">IF(S279="","",IFERROR(AVERAGE(IF((nNIA=S279)*(nEVAL=CONFIG_METADATA!$B$4)*(nASIG&lt;&gt;"Lenguaje Musical")*(nASIG&lt;&gt;"Coro")*(nASIG&lt;&gt;"Conjunto"),nNOTA)),""))</f>
        <v/>
      </c>
    </row>
    <row r="280" spans="2:23" x14ac:dyDescent="0.2">
      <c r="B280" t="str">
        <f>IF(A280="","",IFERROR(AVERAGEIFS(nNOTA,nNIA,A280,nEVAL,CONFIG_METADATA!$B$4,nASIG,"Lenguaje Musical"),""))</f>
        <v/>
      </c>
      <c r="C280" t="str">
        <f>IF(A280="","",IFERROR(AVERAGEIFS(nNOTA,nNIA,A280,nEVAL,CONFIG_METADATA!$B$4,nASIG,"Coro"),""))</f>
        <v/>
      </c>
      <c r="D280" t="str">
        <f>IF(A280="","",IFERROR(AVERAGEIFS(nNOTA,nNIA,A280,nEVAL,CONFIG_METADATA!$B$4,nASIG,"Conjunto"),""))</f>
        <v/>
      </c>
      <c r="E280" t="str" cm="1">
        <f t="array" ref="E280">IF(A280="","",IFERROR(AVERAGE(IF((nNIA=A280)*(nEVAL=CONFIG_METADATA!$B$4)*(nASIG&lt;&gt;"Lenguaje Musical")*(nASIG&lt;&gt;"Coro")*(nASIG&lt;&gt;"Conjunto"),nNOTA)),""))</f>
        <v/>
      </c>
      <c r="H280" t="str">
        <f>IF(G280="","",IFERROR(AVERAGEIFS(nNOTA,nNIA,G280,nEVAL,CONFIG_METADATA!$B$4,nASIG,"Lenguaje Musical"),""))</f>
        <v/>
      </c>
      <c r="I280" t="str">
        <f>IF(G280="","",IFERROR(AVERAGEIFS(nNOTA,nNIA,G280,nEVAL,CONFIG_METADATA!$B$4,nASIG,"Coro"),""))</f>
        <v/>
      </c>
      <c r="J280" t="str">
        <f>IF(G280="","",IFERROR(AVERAGEIFS(nNOTA,nNIA,G280,nEVAL,CONFIG_METADATA!$B$4,nASIG,"Conjunto"),""))</f>
        <v/>
      </c>
      <c r="K280" t="str" cm="1">
        <f t="array" ref="K280">IF(G280="","",IFERROR(AVERAGE(IF((nNIA=G280)*(nEVAL=CONFIG_METADATA!$B$4)*(nASIG&lt;&gt;"Lenguaje Musical")*(nASIG&lt;&gt;"Coro")*(nASIG&lt;&gt;"Conjunto"),nNOTA)),""))</f>
        <v/>
      </c>
      <c r="N280" t="str">
        <f>IF(M280="","",IFERROR(AVERAGEIFS(nNOTA,nNIA,M280,nEVAL,CONFIG_METADATA!$B$4,nASIG,"Lenguaje Musical"),""))</f>
        <v/>
      </c>
      <c r="O280" t="str">
        <f>IF(M280="","",IFERROR(AVERAGEIFS(nNOTA,nNIA,M280,nEVAL,CONFIG_METADATA!$B$4,nASIG,"Coro"),""))</f>
        <v/>
      </c>
      <c r="P280" t="str">
        <f>IF(M280="","",IFERROR(AVERAGEIFS(nNOTA,nNIA,M280,nEVAL,CONFIG_METADATA!$B$4,nASIG,"Conjunto"),""))</f>
        <v/>
      </c>
      <c r="Q280" t="str">
        <f>IF(M280="","",IFERROR(AVERAGEIFS(nNOTA,nNIA,M280,nEVAL,CONFIG_METADATA!$B$4,nASIG,"&lt;&gt;Lenguaje Musical",nASIG,"&lt;&gt;Coro",nASIG,"&lt;&gt;Conjunto"),""))</f>
        <v/>
      </c>
      <c r="T280" t="str">
        <f>IF(S280="","",IFERROR(AVERAGEIFS(nNOTA,nNIA,S280,nEVAL,CONFIG_METADATA!$B$4,nASIG,"Lenguaje Musical"),""))</f>
        <v/>
      </c>
      <c r="U280" t="str">
        <f>IF(S280="","",IFERROR(AVERAGEIFS(nNOTA,nNIA,S280,nEVAL,CONFIG_METADATA!$B$4,nASIG,"Coro"),""))</f>
        <v/>
      </c>
      <c r="V280" t="str">
        <f>IF(S280="","",IFERROR(AVERAGEIFS(nNOTA,nNIA,S280,nEVAL,CONFIG_METADATA!$B$4,nASIG,"Conjunto"),""))</f>
        <v/>
      </c>
      <c r="W280" t="str" cm="1">
        <f t="array" ref="W280">IF(S280="","",IFERROR(AVERAGE(IF((nNIA=S280)*(nEVAL=CONFIG_METADATA!$B$4)*(nASIG&lt;&gt;"Lenguaje Musical")*(nASIG&lt;&gt;"Coro")*(nASIG&lt;&gt;"Conjunto"),nNOTA)),""))</f>
        <v/>
      </c>
    </row>
    <row r="281" spans="2:23" x14ac:dyDescent="0.2">
      <c r="B281" t="str">
        <f>IF(A281="","",IFERROR(AVERAGEIFS(nNOTA,nNIA,A281,nEVAL,CONFIG_METADATA!$B$4,nASIG,"Lenguaje Musical"),""))</f>
        <v/>
      </c>
      <c r="C281" t="str">
        <f>IF(A281="","",IFERROR(AVERAGEIFS(nNOTA,nNIA,A281,nEVAL,CONFIG_METADATA!$B$4,nASIG,"Coro"),""))</f>
        <v/>
      </c>
      <c r="D281" t="str">
        <f>IF(A281="","",IFERROR(AVERAGEIFS(nNOTA,nNIA,A281,nEVAL,CONFIG_METADATA!$B$4,nASIG,"Conjunto"),""))</f>
        <v/>
      </c>
      <c r="E281" t="str" cm="1">
        <f t="array" ref="E281">IF(A281="","",IFERROR(AVERAGE(IF((nNIA=A281)*(nEVAL=CONFIG_METADATA!$B$4)*(nASIG&lt;&gt;"Lenguaje Musical")*(nASIG&lt;&gt;"Coro")*(nASIG&lt;&gt;"Conjunto"),nNOTA)),""))</f>
        <v/>
      </c>
      <c r="H281" t="str">
        <f>IF(G281="","",IFERROR(AVERAGEIFS(nNOTA,nNIA,G281,nEVAL,CONFIG_METADATA!$B$4,nASIG,"Lenguaje Musical"),""))</f>
        <v/>
      </c>
      <c r="I281" t="str">
        <f>IF(G281="","",IFERROR(AVERAGEIFS(nNOTA,nNIA,G281,nEVAL,CONFIG_METADATA!$B$4,nASIG,"Coro"),""))</f>
        <v/>
      </c>
      <c r="J281" t="str">
        <f>IF(G281="","",IFERROR(AVERAGEIFS(nNOTA,nNIA,G281,nEVAL,CONFIG_METADATA!$B$4,nASIG,"Conjunto"),""))</f>
        <v/>
      </c>
      <c r="K281" t="str" cm="1">
        <f t="array" ref="K281">IF(G281="","",IFERROR(AVERAGE(IF((nNIA=G281)*(nEVAL=CONFIG_METADATA!$B$4)*(nASIG&lt;&gt;"Lenguaje Musical")*(nASIG&lt;&gt;"Coro")*(nASIG&lt;&gt;"Conjunto"),nNOTA)),""))</f>
        <v/>
      </c>
      <c r="N281" t="str">
        <f>IF(M281="","",IFERROR(AVERAGEIFS(nNOTA,nNIA,M281,nEVAL,CONFIG_METADATA!$B$4,nASIG,"Lenguaje Musical"),""))</f>
        <v/>
      </c>
      <c r="O281" t="str">
        <f>IF(M281="","",IFERROR(AVERAGEIFS(nNOTA,nNIA,M281,nEVAL,CONFIG_METADATA!$B$4,nASIG,"Coro"),""))</f>
        <v/>
      </c>
      <c r="P281" t="str">
        <f>IF(M281="","",IFERROR(AVERAGEIFS(nNOTA,nNIA,M281,nEVAL,CONFIG_METADATA!$B$4,nASIG,"Conjunto"),""))</f>
        <v/>
      </c>
      <c r="Q281" t="str">
        <f>IF(M281="","",IFERROR(AVERAGEIFS(nNOTA,nNIA,M281,nEVAL,CONFIG_METADATA!$B$4,nASIG,"&lt;&gt;Lenguaje Musical",nASIG,"&lt;&gt;Coro",nASIG,"&lt;&gt;Conjunto"),""))</f>
        <v/>
      </c>
      <c r="T281" t="str">
        <f>IF(S281="","",IFERROR(AVERAGEIFS(nNOTA,nNIA,S281,nEVAL,CONFIG_METADATA!$B$4,nASIG,"Lenguaje Musical"),""))</f>
        <v/>
      </c>
      <c r="U281" t="str">
        <f>IF(S281="","",IFERROR(AVERAGEIFS(nNOTA,nNIA,S281,nEVAL,CONFIG_METADATA!$B$4,nASIG,"Coro"),""))</f>
        <v/>
      </c>
      <c r="V281" t="str">
        <f>IF(S281="","",IFERROR(AVERAGEIFS(nNOTA,nNIA,S281,nEVAL,CONFIG_METADATA!$B$4,nASIG,"Conjunto"),""))</f>
        <v/>
      </c>
      <c r="W281" t="str" cm="1">
        <f t="array" ref="W281">IF(S281="","",IFERROR(AVERAGE(IF((nNIA=S281)*(nEVAL=CONFIG_METADATA!$B$4)*(nASIG&lt;&gt;"Lenguaje Musical")*(nASIG&lt;&gt;"Coro")*(nASIG&lt;&gt;"Conjunto"),nNOTA)),""))</f>
        <v/>
      </c>
    </row>
    <row r="282" spans="2:23" x14ac:dyDescent="0.2">
      <c r="B282" t="str">
        <f>IF(A282="","",IFERROR(AVERAGEIFS(nNOTA,nNIA,A282,nEVAL,CONFIG_METADATA!$B$4,nASIG,"Lenguaje Musical"),""))</f>
        <v/>
      </c>
      <c r="C282" t="str">
        <f>IF(A282="","",IFERROR(AVERAGEIFS(nNOTA,nNIA,A282,nEVAL,CONFIG_METADATA!$B$4,nASIG,"Coro"),""))</f>
        <v/>
      </c>
      <c r="D282" t="str">
        <f>IF(A282="","",IFERROR(AVERAGEIFS(nNOTA,nNIA,A282,nEVAL,CONFIG_METADATA!$B$4,nASIG,"Conjunto"),""))</f>
        <v/>
      </c>
      <c r="E282" t="str" cm="1">
        <f t="array" ref="E282">IF(A282="","",IFERROR(AVERAGE(IF((nNIA=A282)*(nEVAL=CONFIG_METADATA!$B$4)*(nASIG&lt;&gt;"Lenguaje Musical")*(nASIG&lt;&gt;"Coro")*(nASIG&lt;&gt;"Conjunto"),nNOTA)),""))</f>
        <v/>
      </c>
      <c r="H282" t="str">
        <f>IF(G282="","",IFERROR(AVERAGEIFS(nNOTA,nNIA,G282,nEVAL,CONFIG_METADATA!$B$4,nASIG,"Lenguaje Musical"),""))</f>
        <v/>
      </c>
      <c r="I282" t="str">
        <f>IF(G282="","",IFERROR(AVERAGEIFS(nNOTA,nNIA,G282,nEVAL,CONFIG_METADATA!$B$4,nASIG,"Coro"),""))</f>
        <v/>
      </c>
      <c r="J282" t="str">
        <f>IF(G282="","",IFERROR(AVERAGEIFS(nNOTA,nNIA,G282,nEVAL,CONFIG_METADATA!$B$4,nASIG,"Conjunto"),""))</f>
        <v/>
      </c>
      <c r="K282" t="str" cm="1">
        <f t="array" ref="K282">IF(G282="","",IFERROR(AVERAGE(IF((nNIA=G282)*(nEVAL=CONFIG_METADATA!$B$4)*(nASIG&lt;&gt;"Lenguaje Musical")*(nASIG&lt;&gt;"Coro")*(nASIG&lt;&gt;"Conjunto"),nNOTA)),""))</f>
        <v/>
      </c>
      <c r="N282" t="str">
        <f>IF(M282="","",IFERROR(AVERAGEIFS(nNOTA,nNIA,M282,nEVAL,CONFIG_METADATA!$B$4,nASIG,"Lenguaje Musical"),""))</f>
        <v/>
      </c>
      <c r="O282" t="str">
        <f>IF(M282="","",IFERROR(AVERAGEIFS(nNOTA,nNIA,M282,nEVAL,CONFIG_METADATA!$B$4,nASIG,"Coro"),""))</f>
        <v/>
      </c>
      <c r="P282" t="str">
        <f>IF(M282="","",IFERROR(AVERAGEIFS(nNOTA,nNIA,M282,nEVAL,CONFIG_METADATA!$B$4,nASIG,"Conjunto"),""))</f>
        <v/>
      </c>
      <c r="Q282" t="str">
        <f>IF(M282="","",IFERROR(AVERAGEIFS(nNOTA,nNIA,M282,nEVAL,CONFIG_METADATA!$B$4,nASIG,"&lt;&gt;Lenguaje Musical",nASIG,"&lt;&gt;Coro",nASIG,"&lt;&gt;Conjunto"),""))</f>
        <v/>
      </c>
      <c r="T282" t="str">
        <f>IF(S282="","",IFERROR(AVERAGEIFS(nNOTA,nNIA,S282,nEVAL,CONFIG_METADATA!$B$4,nASIG,"Lenguaje Musical"),""))</f>
        <v/>
      </c>
      <c r="U282" t="str">
        <f>IF(S282="","",IFERROR(AVERAGEIFS(nNOTA,nNIA,S282,nEVAL,CONFIG_METADATA!$B$4,nASIG,"Coro"),""))</f>
        <v/>
      </c>
      <c r="V282" t="str">
        <f>IF(S282="","",IFERROR(AVERAGEIFS(nNOTA,nNIA,S282,nEVAL,CONFIG_METADATA!$B$4,nASIG,"Conjunto"),""))</f>
        <v/>
      </c>
      <c r="W282" t="str" cm="1">
        <f t="array" ref="W282">IF(S282="","",IFERROR(AVERAGE(IF((nNIA=S282)*(nEVAL=CONFIG_METADATA!$B$4)*(nASIG&lt;&gt;"Lenguaje Musical")*(nASIG&lt;&gt;"Coro")*(nASIG&lt;&gt;"Conjunto"),nNOTA)),""))</f>
        <v/>
      </c>
    </row>
    <row r="283" spans="2:23" x14ac:dyDescent="0.2">
      <c r="B283" t="str">
        <f>IF(A283="","",IFERROR(AVERAGEIFS(nNOTA,nNIA,A283,nEVAL,CONFIG_METADATA!$B$4,nASIG,"Lenguaje Musical"),""))</f>
        <v/>
      </c>
      <c r="C283" t="str">
        <f>IF(A283="","",IFERROR(AVERAGEIFS(nNOTA,nNIA,A283,nEVAL,CONFIG_METADATA!$B$4,nASIG,"Coro"),""))</f>
        <v/>
      </c>
      <c r="D283" t="str">
        <f>IF(A283="","",IFERROR(AVERAGEIFS(nNOTA,nNIA,A283,nEVAL,CONFIG_METADATA!$B$4,nASIG,"Conjunto"),""))</f>
        <v/>
      </c>
      <c r="E283" t="str" cm="1">
        <f t="array" ref="E283">IF(A283="","",IFERROR(AVERAGE(IF((nNIA=A283)*(nEVAL=CONFIG_METADATA!$B$4)*(nASIG&lt;&gt;"Lenguaje Musical")*(nASIG&lt;&gt;"Coro")*(nASIG&lt;&gt;"Conjunto"),nNOTA)),""))</f>
        <v/>
      </c>
      <c r="H283" t="str">
        <f>IF(G283="","",IFERROR(AVERAGEIFS(nNOTA,nNIA,G283,nEVAL,CONFIG_METADATA!$B$4,nASIG,"Lenguaje Musical"),""))</f>
        <v/>
      </c>
      <c r="I283" t="str">
        <f>IF(G283="","",IFERROR(AVERAGEIFS(nNOTA,nNIA,G283,nEVAL,CONFIG_METADATA!$B$4,nASIG,"Coro"),""))</f>
        <v/>
      </c>
      <c r="J283" t="str">
        <f>IF(G283="","",IFERROR(AVERAGEIFS(nNOTA,nNIA,G283,nEVAL,CONFIG_METADATA!$B$4,nASIG,"Conjunto"),""))</f>
        <v/>
      </c>
      <c r="K283" t="str" cm="1">
        <f t="array" ref="K283">IF(G283="","",IFERROR(AVERAGE(IF((nNIA=G283)*(nEVAL=CONFIG_METADATA!$B$4)*(nASIG&lt;&gt;"Lenguaje Musical")*(nASIG&lt;&gt;"Coro")*(nASIG&lt;&gt;"Conjunto"),nNOTA)),""))</f>
        <v/>
      </c>
      <c r="N283" t="str">
        <f>IF(M283="","",IFERROR(AVERAGEIFS(nNOTA,nNIA,M283,nEVAL,CONFIG_METADATA!$B$4,nASIG,"Lenguaje Musical"),""))</f>
        <v/>
      </c>
      <c r="O283" t="str">
        <f>IF(M283="","",IFERROR(AVERAGEIFS(nNOTA,nNIA,M283,nEVAL,CONFIG_METADATA!$B$4,nASIG,"Coro"),""))</f>
        <v/>
      </c>
      <c r="P283" t="str">
        <f>IF(M283="","",IFERROR(AVERAGEIFS(nNOTA,nNIA,M283,nEVAL,CONFIG_METADATA!$B$4,nASIG,"Conjunto"),""))</f>
        <v/>
      </c>
      <c r="Q283" t="str">
        <f>IF(M283="","",IFERROR(AVERAGEIFS(nNOTA,nNIA,M283,nEVAL,CONFIG_METADATA!$B$4,nASIG,"&lt;&gt;Lenguaje Musical",nASIG,"&lt;&gt;Coro",nASIG,"&lt;&gt;Conjunto"),""))</f>
        <v/>
      </c>
      <c r="T283" t="str">
        <f>IF(S283="","",IFERROR(AVERAGEIFS(nNOTA,nNIA,S283,nEVAL,CONFIG_METADATA!$B$4,nASIG,"Lenguaje Musical"),""))</f>
        <v/>
      </c>
      <c r="U283" t="str">
        <f>IF(S283="","",IFERROR(AVERAGEIFS(nNOTA,nNIA,S283,nEVAL,CONFIG_METADATA!$B$4,nASIG,"Coro"),""))</f>
        <v/>
      </c>
      <c r="V283" t="str">
        <f>IF(S283="","",IFERROR(AVERAGEIFS(nNOTA,nNIA,S283,nEVAL,CONFIG_METADATA!$B$4,nASIG,"Conjunto"),""))</f>
        <v/>
      </c>
      <c r="W283" t="str" cm="1">
        <f t="array" ref="W283">IF(S283="","",IFERROR(AVERAGE(IF((nNIA=S283)*(nEVAL=CONFIG_METADATA!$B$4)*(nASIG&lt;&gt;"Lenguaje Musical")*(nASIG&lt;&gt;"Coro")*(nASIG&lt;&gt;"Conjunto"),nNOTA)),""))</f>
        <v/>
      </c>
    </row>
    <row r="284" spans="2:23" x14ac:dyDescent="0.2">
      <c r="B284" t="str">
        <f>IF(A284="","",IFERROR(AVERAGEIFS(nNOTA,nNIA,A284,nEVAL,CONFIG_METADATA!$B$4,nASIG,"Lenguaje Musical"),""))</f>
        <v/>
      </c>
      <c r="C284" t="str">
        <f>IF(A284="","",IFERROR(AVERAGEIFS(nNOTA,nNIA,A284,nEVAL,CONFIG_METADATA!$B$4,nASIG,"Coro"),""))</f>
        <v/>
      </c>
      <c r="D284" t="str">
        <f>IF(A284="","",IFERROR(AVERAGEIFS(nNOTA,nNIA,A284,nEVAL,CONFIG_METADATA!$B$4,nASIG,"Conjunto"),""))</f>
        <v/>
      </c>
      <c r="E284" t="str" cm="1">
        <f t="array" ref="E284">IF(A284="","",IFERROR(AVERAGE(IF((nNIA=A284)*(nEVAL=CONFIG_METADATA!$B$4)*(nASIG&lt;&gt;"Lenguaje Musical")*(nASIG&lt;&gt;"Coro")*(nASIG&lt;&gt;"Conjunto"),nNOTA)),""))</f>
        <v/>
      </c>
      <c r="H284" t="str">
        <f>IF(G284="","",IFERROR(AVERAGEIFS(nNOTA,nNIA,G284,nEVAL,CONFIG_METADATA!$B$4,nASIG,"Lenguaje Musical"),""))</f>
        <v/>
      </c>
      <c r="I284" t="str">
        <f>IF(G284="","",IFERROR(AVERAGEIFS(nNOTA,nNIA,G284,nEVAL,CONFIG_METADATA!$B$4,nASIG,"Coro"),""))</f>
        <v/>
      </c>
      <c r="J284" t="str">
        <f>IF(G284="","",IFERROR(AVERAGEIFS(nNOTA,nNIA,G284,nEVAL,CONFIG_METADATA!$B$4,nASIG,"Conjunto"),""))</f>
        <v/>
      </c>
      <c r="K284" t="str" cm="1">
        <f t="array" ref="K284">IF(G284="","",IFERROR(AVERAGE(IF((nNIA=G284)*(nEVAL=CONFIG_METADATA!$B$4)*(nASIG&lt;&gt;"Lenguaje Musical")*(nASIG&lt;&gt;"Coro")*(nASIG&lt;&gt;"Conjunto"),nNOTA)),""))</f>
        <v/>
      </c>
      <c r="N284" t="str">
        <f>IF(M284="","",IFERROR(AVERAGEIFS(nNOTA,nNIA,M284,nEVAL,CONFIG_METADATA!$B$4,nASIG,"Lenguaje Musical"),""))</f>
        <v/>
      </c>
      <c r="O284" t="str">
        <f>IF(M284="","",IFERROR(AVERAGEIFS(nNOTA,nNIA,M284,nEVAL,CONFIG_METADATA!$B$4,nASIG,"Coro"),""))</f>
        <v/>
      </c>
      <c r="P284" t="str">
        <f>IF(M284="","",IFERROR(AVERAGEIFS(nNOTA,nNIA,M284,nEVAL,CONFIG_METADATA!$B$4,nASIG,"Conjunto"),""))</f>
        <v/>
      </c>
      <c r="Q284" t="str">
        <f>IF(M284="","",IFERROR(AVERAGEIFS(nNOTA,nNIA,M284,nEVAL,CONFIG_METADATA!$B$4,nASIG,"&lt;&gt;Lenguaje Musical",nASIG,"&lt;&gt;Coro",nASIG,"&lt;&gt;Conjunto"),""))</f>
        <v/>
      </c>
      <c r="T284" t="str">
        <f>IF(S284="","",IFERROR(AVERAGEIFS(nNOTA,nNIA,S284,nEVAL,CONFIG_METADATA!$B$4,nASIG,"Lenguaje Musical"),""))</f>
        <v/>
      </c>
      <c r="U284" t="str">
        <f>IF(S284="","",IFERROR(AVERAGEIFS(nNOTA,nNIA,S284,nEVAL,CONFIG_METADATA!$B$4,nASIG,"Coro"),""))</f>
        <v/>
      </c>
      <c r="V284" t="str">
        <f>IF(S284="","",IFERROR(AVERAGEIFS(nNOTA,nNIA,S284,nEVAL,CONFIG_METADATA!$B$4,nASIG,"Conjunto"),""))</f>
        <v/>
      </c>
      <c r="W284" t="str" cm="1">
        <f t="array" ref="W284">IF(S284="","",IFERROR(AVERAGE(IF((nNIA=S284)*(nEVAL=CONFIG_METADATA!$B$4)*(nASIG&lt;&gt;"Lenguaje Musical")*(nASIG&lt;&gt;"Coro")*(nASIG&lt;&gt;"Conjunto"),nNOTA)),""))</f>
        <v/>
      </c>
    </row>
    <row r="285" spans="2:23" x14ac:dyDescent="0.2">
      <c r="B285" t="str">
        <f>IF(A285="","",IFERROR(AVERAGEIFS(nNOTA,nNIA,A285,nEVAL,CONFIG_METADATA!$B$4,nASIG,"Lenguaje Musical"),""))</f>
        <v/>
      </c>
      <c r="C285" t="str">
        <f>IF(A285="","",IFERROR(AVERAGEIFS(nNOTA,nNIA,A285,nEVAL,CONFIG_METADATA!$B$4,nASIG,"Coro"),""))</f>
        <v/>
      </c>
      <c r="D285" t="str">
        <f>IF(A285="","",IFERROR(AVERAGEIFS(nNOTA,nNIA,A285,nEVAL,CONFIG_METADATA!$B$4,nASIG,"Conjunto"),""))</f>
        <v/>
      </c>
      <c r="E285" t="str" cm="1">
        <f t="array" ref="E285">IF(A285="","",IFERROR(AVERAGE(IF((nNIA=A285)*(nEVAL=CONFIG_METADATA!$B$4)*(nASIG&lt;&gt;"Lenguaje Musical")*(nASIG&lt;&gt;"Coro")*(nASIG&lt;&gt;"Conjunto"),nNOTA)),""))</f>
        <v/>
      </c>
      <c r="H285" t="str">
        <f>IF(G285="","",IFERROR(AVERAGEIFS(nNOTA,nNIA,G285,nEVAL,CONFIG_METADATA!$B$4,nASIG,"Lenguaje Musical"),""))</f>
        <v/>
      </c>
      <c r="I285" t="str">
        <f>IF(G285="","",IFERROR(AVERAGEIFS(nNOTA,nNIA,G285,nEVAL,CONFIG_METADATA!$B$4,nASIG,"Coro"),""))</f>
        <v/>
      </c>
      <c r="J285" t="str">
        <f>IF(G285="","",IFERROR(AVERAGEIFS(nNOTA,nNIA,G285,nEVAL,CONFIG_METADATA!$B$4,nASIG,"Conjunto"),""))</f>
        <v/>
      </c>
      <c r="K285" t="str" cm="1">
        <f t="array" ref="K285">IF(G285="","",IFERROR(AVERAGE(IF((nNIA=G285)*(nEVAL=CONFIG_METADATA!$B$4)*(nASIG&lt;&gt;"Lenguaje Musical")*(nASIG&lt;&gt;"Coro")*(nASIG&lt;&gt;"Conjunto"),nNOTA)),""))</f>
        <v/>
      </c>
      <c r="N285" t="str">
        <f>IF(M285="","",IFERROR(AVERAGEIFS(nNOTA,nNIA,M285,nEVAL,CONFIG_METADATA!$B$4,nASIG,"Lenguaje Musical"),""))</f>
        <v/>
      </c>
      <c r="O285" t="str">
        <f>IF(M285="","",IFERROR(AVERAGEIFS(nNOTA,nNIA,M285,nEVAL,CONFIG_METADATA!$B$4,nASIG,"Coro"),""))</f>
        <v/>
      </c>
      <c r="P285" t="str">
        <f>IF(M285="","",IFERROR(AVERAGEIFS(nNOTA,nNIA,M285,nEVAL,CONFIG_METADATA!$B$4,nASIG,"Conjunto"),""))</f>
        <v/>
      </c>
      <c r="Q285" t="str">
        <f>IF(M285="","",IFERROR(AVERAGEIFS(nNOTA,nNIA,M285,nEVAL,CONFIG_METADATA!$B$4,nASIG,"&lt;&gt;Lenguaje Musical",nASIG,"&lt;&gt;Coro",nASIG,"&lt;&gt;Conjunto"),""))</f>
        <v/>
      </c>
      <c r="T285" t="str">
        <f>IF(S285="","",IFERROR(AVERAGEIFS(nNOTA,nNIA,S285,nEVAL,CONFIG_METADATA!$B$4,nASIG,"Lenguaje Musical"),""))</f>
        <v/>
      </c>
      <c r="U285" t="str">
        <f>IF(S285="","",IFERROR(AVERAGEIFS(nNOTA,nNIA,S285,nEVAL,CONFIG_METADATA!$B$4,nASIG,"Coro"),""))</f>
        <v/>
      </c>
      <c r="V285" t="str">
        <f>IF(S285="","",IFERROR(AVERAGEIFS(nNOTA,nNIA,S285,nEVAL,CONFIG_METADATA!$B$4,nASIG,"Conjunto"),""))</f>
        <v/>
      </c>
      <c r="W285" t="str" cm="1">
        <f t="array" ref="W285">IF(S285="","",IFERROR(AVERAGE(IF((nNIA=S285)*(nEVAL=CONFIG_METADATA!$B$4)*(nASIG&lt;&gt;"Lenguaje Musical")*(nASIG&lt;&gt;"Coro")*(nASIG&lt;&gt;"Conjunto"),nNOTA)),""))</f>
        <v/>
      </c>
    </row>
    <row r="286" spans="2:23" x14ac:dyDescent="0.2">
      <c r="B286" t="str">
        <f>IF(A286="","",IFERROR(AVERAGEIFS(nNOTA,nNIA,A286,nEVAL,CONFIG_METADATA!$B$4,nASIG,"Lenguaje Musical"),""))</f>
        <v/>
      </c>
      <c r="C286" t="str">
        <f>IF(A286="","",IFERROR(AVERAGEIFS(nNOTA,nNIA,A286,nEVAL,CONFIG_METADATA!$B$4,nASIG,"Coro"),""))</f>
        <v/>
      </c>
      <c r="D286" t="str">
        <f>IF(A286="","",IFERROR(AVERAGEIFS(nNOTA,nNIA,A286,nEVAL,CONFIG_METADATA!$B$4,nASIG,"Conjunto"),""))</f>
        <v/>
      </c>
      <c r="E286" t="str" cm="1">
        <f t="array" ref="E286">IF(A286="","",IFERROR(AVERAGE(IF((nNIA=A286)*(nEVAL=CONFIG_METADATA!$B$4)*(nASIG&lt;&gt;"Lenguaje Musical")*(nASIG&lt;&gt;"Coro")*(nASIG&lt;&gt;"Conjunto"),nNOTA)),""))</f>
        <v/>
      </c>
      <c r="H286" t="str">
        <f>IF(G286="","",IFERROR(AVERAGEIFS(nNOTA,nNIA,G286,nEVAL,CONFIG_METADATA!$B$4,nASIG,"Lenguaje Musical"),""))</f>
        <v/>
      </c>
      <c r="I286" t="str">
        <f>IF(G286="","",IFERROR(AVERAGEIFS(nNOTA,nNIA,G286,nEVAL,CONFIG_METADATA!$B$4,nASIG,"Coro"),""))</f>
        <v/>
      </c>
      <c r="J286" t="str">
        <f>IF(G286="","",IFERROR(AVERAGEIFS(nNOTA,nNIA,G286,nEVAL,CONFIG_METADATA!$B$4,nASIG,"Conjunto"),""))</f>
        <v/>
      </c>
      <c r="K286" t="str" cm="1">
        <f t="array" ref="K286">IF(G286="","",IFERROR(AVERAGE(IF((nNIA=G286)*(nEVAL=CONFIG_METADATA!$B$4)*(nASIG&lt;&gt;"Lenguaje Musical")*(nASIG&lt;&gt;"Coro")*(nASIG&lt;&gt;"Conjunto"),nNOTA)),""))</f>
        <v/>
      </c>
      <c r="N286" t="str">
        <f>IF(M286="","",IFERROR(AVERAGEIFS(nNOTA,nNIA,M286,nEVAL,CONFIG_METADATA!$B$4,nASIG,"Lenguaje Musical"),""))</f>
        <v/>
      </c>
      <c r="O286" t="str">
        <f>IF(M286="","",IFERROR(AVERAGEIFS(nNOTA,nNIA,M286,nEVAL,CONFIG_METADATA!$B$4,nASIG,"Coro"),""))</f>
        <v/>
      </c>
      <c r="P286" t="str">
        <f>IF(M286="","",IFERROR(AVERAGEIFS(nNOTA,nNIA,M286,nEVAL,CONFIG_METADATA!$B$4,nASIG,"Conjunto"),""))</f>
        <v/>
      </c>
      <c r="Q286" t="str">
        <f>IF(M286="","",IFERROR(AVERAGEIFS(nNOTA,nNIA,M286,nEVAL,CONFIG_METADATA!$B$4,nASIG,"&lt;&gt;Lenguaje Musical",nASIG,"&lt;&gt;Coro",nASIG,"&lt;&gt;Conjunto"),""))</f>
        <v/>
      </c>
      <c r="T286" t="str">
        <f>IF(S286="","",IFERROR(AVERAGEIFS(nNOTA,nNIA,S286,nEVAL,CONFIG_METADATA!$B$4,nASIG,"Lenguaje Musical"),""))</f>
        <v/>
      </c>
      <c r="U286" t="str">
        <f>IF(S286="","",IFERROR(AVERAGEIFS(nNOTA,nNIA,S286,nEVAL,CONFIG_METADATA!$B$4,nASIG,"Coro"),""))</f>
        <v/>
      </c>
      <c r="V286" t="str">
        <f>IF(S286="","",IFERROR(AVERAGEIFS(nNOTA,nNIA,S286,nEVAL,CONFIG_METADATA!$B$4,nASIG,"Conjunto"),""))</f>
        <v/>
      </c>
      <c r="W286" t="str" cm="1">
        <f t="array" ref="W286">IF(S286="","",IFERROR(AVERAGE(IF((nNIA=S286)*(nEVAL=CONFIG_METADATA!$B$4)*(nASIG&lt;&gt;"Lenguaje Musical")*(nASIG&lt;&gt;"Coro")*(nASIG&lt;&gt;"Conjunto"),nNOTA)),""))</f>
        <v/>
      </c>
    </row>
    <row r="287" spans="2:23" x14ac:dyDescent="0.2">
      <c r="B287" t="str">
        <f>IF(A287="","",IFERROR(AVERAGEIFS(nNOTA,nNIA,A287,nEVAL,CONFIG_METADATA!$B$4,nASIG,"Lenguaje Musical"),""))</f>
        <v/>
      </c>
      <c r="C287" t="str">
        <f>IF(A287="","",IFERROR(AVERAGEIFS(nNOTA,nNIA,A287,nEVAL,CONFIG_METADATA!$B$4,nASIG,"Coro"),""))</f>
        <v/>
      </c>
      <c r="D287" t="str">
        <f>IF(A287="","",IFERROR(AVERAGEIFS(nNOTA,nNIA,A287,nEVAL,CONFIG_METADATA!$B$4,nASIG,"Conjunto"),""))</f>
        <v/>
      </c>
      <c r="E287" t="str" cm="1">
        <f t="array" ref="E287">IF(A287="","",IFERROR(AVERAGE(IF((nNIA=A287)*(nEVAL=CONFIG_METADATA!$B$4)*(nASIG&lt;&gt;"Lenguaje Musical")*(nASIG&lt;&gt;"Coro")*(nASIG&lt;&gt;"Conjunto"),nNOTA)),""))</f>
        <v/>
      </c>
      <c r="H287" t="str">
        <f>IF(G287="","",IFERROR(AVERAGEIFS(nNOTA,nNIA,G287,nEVAL,CONFIG_METADATA!$B$4,nASIG,"Lenguaje Musical"),""))</f>
        <v/>
      </c>
      <c r="I287" t="str">
        <f>IF(G287="","",IFERROR(AVERAGEIFS(nNOTA,nNIA,G287,nEVAL,CONFIG_METADATA!$B$4,nASIG,"Coro"),""))</f>
        <v/>
      </c>
      <c r="J287" t="str">
        <f>IF(G287="","",IFERROR(AVERAGEIFS(nNOTA,nNIA,G287,nEVAL,CONFIG_METADATA!$B$4,nASIG,"Conjunto"),""))</f>
        <v/>
      </c>
      <c r="K287" t="str" cm="1">
        <f t="array" ref="K287">IF(G287="","",IFERROR(AVERAGE(IF((nNIA=G287)*(nEVAL=CONFIG_METADATA!$B$4)*(nASIG&lt;&gt;"Lenguaje Musical")*(nASIG&lt;&gt;"Coro")*(nASIG&lt;&gt;"Conjunto"),nNOTA)),""))</f>
        <v/>
      </c>
      <c r="N287" t="str">
        <f>IF(M287="","",IFERROR(AVERAGEIFS(nNOTA,nNIA,M287,nEVAL,CONFIG_METADATA!$B$4,nASIG,"Lenguaje Musical"),""))</f>
        <v/>
      </c>
      <c r="O287" t="str">
        <f>IF(M287="","",IFERROR(AVERAGEIFS(nNOTA,nNIA,M287,nEVAL,CONFIG_METADATA!$B$4,nASIG,"Coro"),""))</f>
        <v/>
      </c>
      <c r="P287" t="str">
        <f>IF(M287="","",IFERROR(AVERAGEIFS(nNOTA,nNIA,M287,nEVAL,CONFIG_METADATA!$B$4,nASIG,"Conjunto"),""))</f>
        <v/>
      </c>
      <c r="Q287" t="str">
        <f>IF(M287="","",IFERROR(AVERAGEIFS(nNOTA,nNIA,M287,nEVAL,CONFIG_METADATA!$B$4,nASIG,"&lt;&gt;Lenguaje Musical",nASIG,"&lt;&gt;Coro",nASIG,"&lt;&gt;Conjunto"),""))</f>
        <v/>
      </c>
      <c r="T287" t="str">
        <f>IF(S287="","",IFERROR(AVERAGEIFS(nNOTA,nNIA,S287,nEVAL,CONFIG_METADATA!$B$4,nASIG,"Lenguaje Musical"),""))</f>
        <v/>
      </c>
      <c r="U287" t="str">
        <f>IF(S287="","",IFERROR(AVERAGEIFS(nNOTA,nNIA,S287,nEVAL,CONFIG_METADATA!$B$4,nASIG,"Coro"),""))</f>
        <v/>
      </c>
      <c r="V287" t="str">
        <f>IF(S287="","",IFERROR(AVERAGEIFS(nNOTA,nNIA,S287,nEVAL,CONFIG_METADATA!$B$4,nASIG,"Conjunto"),""))</f>
        <v/>
      </c>
      <c r="W287" t="str" cm="1">
        <f t="array" ref="W287">IF(S287="","",IFERROR(AVERAGE(IF((nNIA=S287)*(nEVAL=CONFIG_METADATA!$B$4)*(nASIG&lt;&gt;"Lenguaje Musical")*(nASIG&lt;&gt;"Coro")*(nASIG&lt;&gt;"Conjunto"),nNOTA)),""))</f>
        <v/>
      </c>
    </row>
    <row r="288" spans="2:23" x14ac:dyDescent="0.2">
      <c r="B288" t="str">
        <f>IF(A288="","",IFERROR(AVERAGEIFS(nNOTA,nNIA,A288,nEVAL,CONFIG_METADATA!$B$4,nASIG,"Lenguaje Musical"),""))</f>
        <v/>
      </c>
      <c r="C288" t="str">
        <f>IF(A288="","",IFERROR(AVERAGEIFS(nNOTA,nNIA,A288,nEVAL,CONFIG_METADATA!$B$4,nASIG,"Coro"),""))</f>
        <v/>
      </c>
      <c r="D288" t="str">
        <f>IF(A288="","",IFERROR(AVERAGEIFS(nNOTA,nNIA,A288,nEVAL,CONFIG_METADATA!$B$4,nASIG,"Conjunto"),""))</f>
        <v/>
      </c>
      <c r="E288" t="str">
        <f>IF(A288="","",IFERROR(AVERAGEIFS(nNOTA,nNIA,A288,nEVAL,CONFIG_METADATA!$B$4,nASIG,"&lt;&gt;Lenguaje Musical",nASIG,"&lt;&gt;Coro",nASIG,"&lt;&gt;Conjunto"),""))</f>
        <v/>
      </c>
      <c r="H288" t="str">
        <f>IF(G288="","",IFERROR(AVERAGEIFS(nNOTA,nNIA,G288,nEVAL,CONFIG_METADATA!$B$4,nASIG,"Lenguaje Musical"),""))</f>
        <v/>
      </c>
      <c r="I288" t="str">
        <f>IF(G288="","",IFERROR(AVERAGEIFS(nNOTA,nNIA,G288,nEVAL,CONFIG_METADATA!$B$4,nASIG,"Coro"),""))</f>
        <v/>
      </c>
      <c r="J288" t="str">
        <f>IF(G288="","",IFERROR(AVERAGEIFS(nNOTA,nNIA,G288,nEVAL,CONFIG_METADATA!$B$4,nASIG,"Conjunto"),""))</f>
        <v/>
      </c>
      <c r="K288" t="str" cm="1">
        <f t="array" ref="K288">IF(G288="","",IFERROR(AVERAGE(IF((nNIA=G288)*(nEVAL=CONFIG_METADATA!$B$4)*(nASIG&lt;&gt;"Lenguaje Musical")*(nASIG&lt;&gt;"Coro")*(nASIG&lt;&gt;"Conjunto"),nNOTA)),""))</f>
        <v/>
      </c>
      <c r="N288" t="str">
        <f>IF(M288="","",IFERROR(AVERAGEIFS(nNOTA,nNIA,M288,nEVAL,CONFIG_METADATA!$B$4,nASIG,"Lenguaje Musical"),""))</f>
        <v/>
      </c>
      <c r="O288" t="str">
        <f>IF(M288="","",IFERROR(AVERAGEIFS(nNOTA,nNIA,M288,nEVAL,CONFIG_METADATA!$B$4,nASIG,"Coro"),""))</f>
        <v/>
      </c>
      <c r="P288" t="str">
        <f>IF(M288="","",IFERROR(AVERAGEIFS(nNOTA,nNIA,M288,nEVAL,CONFIG_METADATA!$B$4,nASIG,"Conjunto"),""))</f>
        <v/>
      </c>
      <c r="Q288" t="str">
        <f>IF(M288="","",IFERROR(AVERAGEIFS(nNOTA,nNIA,M288,nEVAL,CONFIG_METADATA!$B$4,nASIG,"&lt;&gt;Lenguaje Musical",nASIG,"&lt;&gt;Coro",nASIG,"&lt;&gt;Conjunto"),""))</f>
        <v/>
      </c>
      <c r="T288" t="str">
        <f>IF(S288="","",IFERROR(AVERAGEIFS(nNOTA,nNIA,S288,nEVAL,CONFIG_METADATA!$B$4,nASIG,"Lenguaje Musical"),""))</f>
        <v/>
      </c>
      <c r="U288" t="str">
        <f>IF(S288="","",IFERROR(AVERAGEIFS(nNOTA,nNIA,S288,nEVAL,CONFIG_METADATA!$B$4,nASIG,"Coro"),""))</f>
        <v/>
      </c>
      <c r="V288" t="str">
        <f>IF(S288="","",IFERROR(AVERAGEIFS(nNOTA,nNIA,S288,nEVAL,CONFIG_METADATA!$B$4,nASIG,"Conjunto"),""))</f>
        <v/>
      </c>
      <c r="W288" t="str" cm="1">
        <f t="array" ref="W288">IF(S288="","",IFERROR(AVERAGE(IF((nNIA=S288)*(nEVAL=CONFIG_METADATA!$B$4)*(nASIG&lt;&gt;"Lenguaje Musical")*(nASIG&lt;&gt;"Coro")*(nASIG&lt;&gt;"Conjunto"),nNOTA)),""))</f>
        <v/>
      </c>
    </row>
    <row r="289" spans="2:23" x14ac:dyDescent="0.2">
      <c r="B289" t="str">
        <f>IF(A289="","",IFERROR(AVERAGEIFS(nNOTA,nNIA,A289,nEVAL,CONFIG_METADATA!$B$4,nASIG,"Lenguaje Musical"),""))</f>
        <v/>
      </c>
      <c r="C289" t="str">
        <f>IF(A289="","",IFERROR(AVERAGEIFS(nNOTA,nNIA,A289,nEVAL,CONFIG_METADATA!$B$4,nASIG,"Coro"),""))</f>
        <v/>
      </c>
      <c r="D289" t="str">
        <f>IF(A289="","",IFERROR(AVERAGEIFS(nNOTA,nNIA,A289,nEVAL,CONFIG_METADATA!$B$4,nASIG,"Conjunto"),""))</f>
        <v/>
      </c>
      <c r="E289" t="str">
        <f>IF(A289="","",IFERROR(AVERAGEIFS(nNOTA,nNIA,A289,nEVAL,CONFIG_METADATA!$B$4,nASIG,"&lt;&gt;Lenguaje Musical",nASIG,"&lt;&gt;Coro",nASIG,"&lt;&gt;Conjunto"),""))</f>
        <v/>
      </c>
      <c r="H289" t="str">
        <f>IF(G289="","",IFERROR(AVERAGEIFS(nNOTA,nNIA,G289,nEVAL,CONFIG_METADATA!$B$4,nASIG,"Lenguaje Musical"),""))</f>
        <v/>
      </c>
      <c r="I289" t="str">
        <f>IF(G289="","",IFERROR(AVERAGEIFS(nNOTA,nNIA,G289,nEVAL,CONFIG_METADATA!$B$4,nASIG,"Coro"),""))</f>
        <v/>
      </c>
      <c r="J289" t="str">
        <f>IF(G289="","",IFERROR(AVERAGEIFS(nNOTA,nNIA,G289,nEVAL,CONFIG_METADATA!$B$4,nASIG,"Conjunto"),""))</f>
        <v/>
      </c>
      <c r="K289" t="str" cm="1">
        <f t="array" ref="K289">IF(G289="","",IFERROR(AVERAGE(IF((nNIA=G289)*(nEVAL=CONFIG_METADATA!$B$4)*(nASIG&lt;&gt;"Lenguaje Musical")*(nASIG&lt;&gt;"Coro")*(nASIG&lt;&gt;"Conjunto"),nNOTA)),""))</f>
        <v/>
      </c>
      <c r="N289" t="str">
        <f>IF(M289="","",IFERROR(AVERAGEIFS(nNOTA,nNIA,M289,nEVAL,CONFIG_METADATA!$B$4,nASIG,"Lenguaje Musical"),""))</f>
        <v/>
      </c>
      <c r="O289" t="str">
        <f>IF(M289="","",IFERROR(AVERAGEIFS(nNOTA,nNIA,M289,nEVAL,CONFIG_METADATA!$B$4,nASIG,"Coro"),""))</f>
        <v/>
      </c>
      <c r="P289" t="str">
        <f>IF(M289="","",IFERROR(AVERAGEIFS(nNOTA,nNIA,M289,nEVAL,CONFIG_METADATA!$B$4,nASIG,"Conjunto"),""))</f>
        <v/>
      </c>
      <c r="Q289" t="str">
        <f>IF(M289="","",IFERROR(AVERAGEIFS(nNOTA,nNIA,M289,nEVAL,CONFIG_METADATA!$B$4,nASIG,"&lt;&gt;Lenguaje Musical",nASIG,"&lt;&gt;Coro",nASIG,"&lt;&gt;Conjunto"),""))</f>
        <v/>
      </c>
      <c r="T289" t="str">
        <f>IF(S289="","",IFERROR(AVERAGEIFS(nNOTA,nNIA,S289,nEVAL,CONFIG_METADATA!$B$4,nASIG,"Lenguaje Musical"),""))</f>
        <v/>
      </c>
      <c r="U289" t="str">
        <f>IF(S289="","",IFERROR(AVERAGEIFS(nNOTA,nNIA,S289,nEVAL,CONFIG_METADATA!$B$4,nASIG,"Coro"),""))</f>
        <v/>
      </c>
      <c r="V289" t="str">
        <f>IF(S289="","",IFERROR(AVERAGEIFS(nNOTA,nNIA,S289,nEVAL,CONFIG_METADATA!$B$4,nASIG,"Conjunto"),""))</f>
        <v/>
      </c>
      <c r="W289" t="str" cm="1">
        <f t="array" ref="W289">IF(S289="","",IFERROR(AVERAGE(IF((nNIA=S289)*(nEVAL=CONFIG_METADATA!$B$4)*(nASIG&lt;&gt;"Lenguaje Musical")*(nASIG&lt;&gt;"Coro")*(nASIG&lt;&gt;"Conjunto"),nNOTA)),""))</f>
        <v/>
      </c>
    </row>
    <row r="290" spans="2:23" x14ac:dyDescent="0.2">
      <c r="B290" t="str">
        <f>IF(A290="","",IFERROR(AVERAGEIFS(nNOTA,nNIA,A290,nEVAL,CONFIG_METADATA!$B$4,nASIG,"Lenguaje Musical"),""))</f>
        <v/>
      </c>
      <c r="C290" t="str">
        <f>IF(A290="","",IFERROR(AVERAGEIFS(nNOTA,nNIA,A290,nEVAL,CONFIG_METADATA!$B$4,nASIG,"Coro"),""))</f>
        <v/>
      </c>
      <c r="D290" t="str">
        <f>IF(A290="","",IFERROR(AVERAGEIFS(nNOTA,nNIA,A290,nEVAL,CONFIG_METADATA!$B$4,nASIG,"Conjunto"),""))</f>
        <v/>
      </c>
      <c r="E290" t="str">
        <f>IF(A290="","",IFERROR(AVERAGEIFS(nNOTA,nNIA,A290,nEVAL,CONFIG_METADATA!$B$4,nASIG,"&lt;&gt;Lenguaje Musical",nASIG,"&lt;&gt;Coro",nASIG,"&lt;&gt;Conjunto"),""))</f>
        <v/>
      </c>
      <c r="H290" t="str">
        <f>IF(G290="","",IFERROR(AVERAGEIFS(nNOTA,nNIA,G290,nEVAL,CONFIG_METADATA!$B$4,nASIG,"Lenguaje Musical"),""))</f>
        <v/>
      </c>
      <c r="I290" t="str">
        <f>IF(G290="","",IFERROR(AVERAGEIFS(nNOTA,nNIA,G290,nEVAL,CONFIG_METADATA!$B$4,nASIG,"Coro"),""))</f>
        <v/>
      </c>
      <c r="J290" t="str">
        <f>IF(G290="","",IFERROR(AVERAGEIFS(nNOTA,nNIA,G290,nEVAL,CONFIG_METADATA!$B$4,nASIG,"Conjunto"),""))</f>
        <v/>
      </c>
      <c r="K290" t="str" cm="1">
        <f t="array" ref="K290">IF(G290="","",IFERROR(AVERAGE(IF((nNIA=G290)*(nEVAL=CONFIG_METADATA!$B$4)*(nASIG&lt;&gt;"Lenguaje Musical")*(nASIG&lt;&gt;"Coro")*(nASIG&lt;&gt;"Conjunto"),nNOTA)),""))</f>
        <v/>
      </c>
      <c r="N290" t="str">
        <f>IF(M290="","",IFERROR(AVERAGEIFS(nNOTA,nNIA,M290,nEVAL,CONFIG_METADATA!$B$4,nASIG,"Lenguaje Musical"),""))</f>
        <v/>
      </c>
      <c r="O290" t="str">
        <f>IF(M290="","",IFERROR(AVERAGEIFS(nNOTA,nNIA,M290,nEVAL,CONFIG_METADATA!$B$4,nASIG,"Coro"),""))</f>
        <v/>
      </c>
      <c r="P290" t="str">
        <f>IF(M290="","",IFERROR(AVERAGEIFS(nNOTA,nNIA,M290,nEVAL,CONFIG_METADATA!$B$4,nASIG,"Conjunto"),""))</f>
        <v/>
      </c>
      <c r="Q290" t="str">
        <f>IF(M290="","",IFERROR(AVERAGEIFS(nNOTA,nNIA,M290,nEVAL,CONFIG_METADATA!$B$4,nASIG,"&lt;&gt;Lenguaje Musical",nASIG,"&lt;&gt;Coro",nASIG,"&lt;&gt;Conjunto"),""))</f>
        <v/>
      </c>
      <c r="T290" t="str">
        <f>IF(S290="","",IFERROR(AVERAGEIFS(nNOTA,nNIA,S290,nEVAL,CONFIG_METADATA!$B$4,nASIG,"Lenguaje Musical"),""))</f>
        <v/>
      </c>
      <c r="U290" t="str">
        <f>IF(S290="","",IFERROR(AVERAGEIFS(nNOTA,nNIA,S290,nEVAL,CONFIG_METADATA!$B$4,nASIG,"Coro"),""))</f>
        <v/>
      </c>
      <c r="V290" t="str">
        <f>IF(S290="","",IFERROR(AVERAGEIFS(nNOTA,nNIA,S290,nEVAL,CONFIG_METADATA!$B$4,nASIG,"Conjunto"),""))</f>
        <v/>
      </c>
      <c r="W290" t="str" cm="1">
        <f t="array" ref="W290">IF(S290="","",IFERROR(AVERAGE(IF((nNIA=S290)*(nEVAL=CONFIG_METADATA!$B$4)*(nASIG&lt;&gt;"Lenguaje Musical")*(nASIG&lt;&gt;"Coro")*(nASIG&lt;&gt;"Conjunto"),nNOTA)),""))</f>
        <v/>
      </c>
    </row>
    <row r="291" spans="2:23" x14ac:dyDescent="0.2">
      <c r="B291" t="str">
        <f>IF(A291="","",IFERROR(AVERAGEIFS(nNOTA,nNIA,A291,nEVAL,CONFIG_METADATA!$B$4,nASIG,"Lenguaje Musical"),""))</f>
        <v/>
      </c>
      <c r="C291" t="str">
        <f>IF(A291="","",IFERROR(AVERAGEIFS(nNOTA,nNIA,A291,nEVAL,CONFIG_METADATA!$B$4,nASIG,"Coro"),""))</f>
        <v/>
      </c>
      <c r="D291" t="str">
        <f>IF(A291="","",IFERROR(AVERAGEIFS(nNOTA,nNIA,A291,nEVAL,CONFIG_METADATA!$B$4,nASIG,"Conjunto"),""))</f>
        <v/>
      </c>
      <c r="E291" t="str">
        <f>IF(A291="","",IFERROR(AVERAGEIFS(nNOTA,nNIA,A291,nEVAL,CONFIG_METADATA!$B$4,nASIG,"&lt;&gt;Lenguaje Musical",nASIG,"&lt;&gt;Coro",nASIG,"&lt;&gt;Conjunto"),""))</f>
        <v/>
      </c>
      <c r="H291" t="str">
        <f>IF(G291="","",IFERROR(AVERAGEIFS(nNOTA,nNIA,G291,nEVAL,CONFIG_METADATA!$B$4,nASIG,"Lenguaje Musical"),""))</f>
        <v/>
      </c>
      <c r="I291" t="str">
        <f>IF(G291="","",IFERROR(AVERAGEIFS(nNOTA,nNIA,G291,nEVAL,CONFIG_METADATA!$B$4,nASIG,"Coro"),""))</f>
        <v/>
      </c>
      <c r="J291" t="str">
        <f>IF(G291="","",IFERROR(AVERAGEIFS(nNOTA,nNIA,G291,nEVAL,CONFIG_METADATA!$B$4,nASIG,"Conjunto"),""))</f>
        <v/>
      </c>
      <c r="K291" t="str" cm="1">
        <f t="array" ref="K291">IF(G291="","",IFERROR(AVERAGE(IF((nNIA=G291)*(nEVAL=CONFIG_METADATA!$B$4)*(nASIG&lt;&gt;"Lenguaje Musical")*(nASIG&lt;&gt;"Coro")*(nASIG&lt;&gt;"Conjunto"),nNOTA)),""))</f>
        <v/>
      </c>
      <c r="N291" t="str">
        <f>IF(M291="","",IFERROR(AVERAGEIFS(nNOTA,nNIA,M291,nEVAL,CONFIG_METADATA!$B$4,nASIG,"Lenguaje Musical"),""))</f>
        <v/>
      </c>
      <c r="O291" t="str">
        <f>IF(M291="","",IFERROR(AVERAGEIFS(nNOTA,nNIA,M291,nEVAL,CONFIG_METADATA!$B$4,nASIG,"Coro"),""))</f>
        <v/>
      </c>
      <c r="P291" t="str">
        <f>IF(M291="","",IFERROR(AVERAGEIFS(nNOTA,nNIA,M291,nEVAL,CONFIG_METADATA!$B$4,nASIG,"Conjunto"),""))</f>
        <v/>
      </c>
      <c r="Q291" t="str">
        <f>IF(M291="","",IFERROR(AVERAGEIFS(nNOTA,nNIA,M291,nEVAL,CONFIG_METADATA!$B$4,nASIG,"&lt;&gt;Lenguaje Musical",nASIG,"&lt;&gt;Coro",nASIG,"&lt;&gt;Conjunto"),""))</f>
        <v/>
      </c>
      <c r="T291" t="str">
        <f>IF(S291="","",IFERROR(AVERAGEIFS(nNOTA,nNIA,S291,nEVAL,CONFIG_METADATA!$B$4,nASIG,"Lenguaje Musical"),""))</f>
        <v/>
      </c>
      <c r="U291" t="str">
        <f>IF(S291="","",IFERROR(AVERAGEIFS(nNOTA,nNIA,S291,nEVAL,CONFIG_METADATA!$B$4,nASIG,"Coro"),""))</f>
        <v/>
      </c>
      <c r="V291" t="str">
        <f>IF(S291="","",IFERROR(AVERAGEIFS(nNOTA,nNIA,S291,nEVAL,CONFIG_METADATA!$B$4,nASIG,"Conjunto"),""))</f>
        <v/>
      </c>
      <c r="W291" t="str" cm="1">
        <f t="array" ref="W291">IF(S291="","",IFERROR(AVERAGE(IF((nNIA=S291)*(nEVAL=CONFIG_METADATA!$B$4)*(nASIG&lt;&gt;"Lenguaje Musical")*(nASIG&lt;&gt;"Coro")*(nASIG&lt;&gt;"Conjunto"),nNOTA)),""))</f>
        <v/>
      </c>
    </row>
    <row r="292" spans="2:23" x14ac:dyDescent="0.2">
      <c r="B292" t="str">
        <f>IF(A292="","",IFERROR(AVERAGEIFS(nNOTA,nNIA,A292,nEVAL,CONFIG_METADATA!$B$4,nASIG,"Lenguaje Musical"),""))</f>
        <v/>
      </c>
      <c r="C292" t="str">
        <f>IF(A292="","",IFERROR(AVERAGEIFS(nNOTA,nNIA,A292,nEVAL,CONFIG_METADATA!$B$4,nASIG,"Coro"),""))</f>
        <v/>
      </c>
      <c r="D292" t="str">
        <f>IF(A292="","",IFERROR(AVERAGEIFS(nNOTA,nNIA,A292,nEVAL,CONFIG_METADATA!$B$4,nASIG,"Conjunto"),""))</f>
        <v/>
      </c>
      <c r="E292" t="str">
        <f>IF(A292="","",IFERROR(AVERAGEIFS(nNOTA,nNIA,A292,nEVAL,CONFIG_METADATA!$B$4,nASIG,"&lt;&gt;Lenguaje Musical",nASIG,"&lt;&gt;Coro",nASIG,"&lt;&gt;Conjunto"),""))</f>
        <v/>
      </c>
      <c r="H292" t="str">
        <f>IF(G292="","",IFERROR(AVERAGEIFS(nNOTA,nNIA,G292,nEVAL,CONFIG_METADATA!$B$4,nASIG,"Lenguaje Musical"),""))</f>
        <v/>
      </c>
      <c r="I292" t="str">
        <f>IF(G292="","",IFERROR(AVERAGEIFS(nNOTA,nNIA,G292,nEVAL,CONFIG_METADATA!$B$4,nASIG,"Coro"),""))</f>
        <v/>
      </c>
      <c r="J292" t="str">
        <f>IF(G292="","",IFERROR(AVERAGEIFS(nNOTA,nNIA,G292,nEVAL,CONFIG_METADATA!$B$4,nASIG,"Conjunto"),""))</f>
        <v/>
      </c>
      <c r="K292" t="str" cm="1">
        <f t="array" ref="K292">IF(G292="","",IFERROR(AVERAGE(IF((nNIA=G292)*(nEVAL=CONFIG_METADATA!$B$4)*(nASIG&lt;&gt;"Lenguaje Musical")*(nASIG&lt;&gt;"Coro")*(nASIG&lt;&gt;"Conjunto"),nNOTA)),""))</f>
        <v/>
      </c>
      <c r="N292" t="str">
        <f>IF(M292="","",IFERROR(AVERAGEIFS(nNOTA,nNIA,M292,nEVAL,CONFIG_METADATA!$B$4,nASIG,"Lenguaje Musical"),""))</f>
        <v/>
      </c>
      <c r="O292" t="str">
        <f>IF(M292="","",IFERROR(AVERAGEIFS(nNOTA,nNIA,M292,nEVAL,CONFIG_METADATA!$B$4,nASIG,"Coro"),""))</f>
        <v/>
      </c>
      <c r="P292" t="str">
        <f>IF(M292="","",IFERROR(AVERAGEIFS(nNOTA,nNIA,M292,nEVAL,CONFIG_METADATA!$B$4,nASIG,"Conjunto"),""))</f>
        <v/>
      </c>
      <c r="Q292" t="str">
        <f>IF(M292="","",IFERROR(AVERAGEIFS(nNOTA,nNIA,M292,nEVAL,CONFIG_METADATA!$B$4,nASIG,"&lt;&gt;Lenguaje Musical",nASIG,"&lt;&gt;Coro",nASIG,"&lt;&gt;Conjunto"),""))</f>
        <v/>
      </c>
      <c r="T292" t="str">
        <f>IF(S292="","",IFERROR(AVERAGEIFS(nNOTA,nNIA,S292,nEVAL,CONFIG_METADATA!$B$4,nASIG,"Lenguaje Musical"),""))</f>
        <v/>
      </c>
      <c r="U292" t="str">
        <f>IF(S292="","",IFERROR(AVERAGEIFS(nNOTA,nNIA,S292,nEVAL,CONFIG_METADATA!$B$4,nASIG,"Coro"),""))</f>
        <v/>
      </c>
      <c r="V292" t="str">
        <f>IF(S292="","",IFERROR(AVERAGEIFS(nNOTA,nNIA,S292,nEVAL,CONFIG_METADATA!$B$4,nASIG,"Conjunto"),""))</f>
        <v/>
      </c>
      <c r="W292" t="str" cm="1">
        <f t="array" ref="W292">IF(S292="","",IFERROR(AVERAGE(IF((nNIA=S292)*(nEVAL=CONFIG_METADATA!$B$4)*(nASIG&lt;&gt;"Lenguaje Musical")*(nASIG&lt;&gt;"Coro")*(nASIG&lt;&gt;"Conjunto"),nNOTA)),""))</f>
        <v/>
      </c>
    </row>
    <row r="293" spans="2:23" x14ac:dyDescent="0.2">
      <c r="B293" t="str">
        <f>IF(A293="","",IFERROR(AVERAGEIFS(nNOTA,nNIA,A293,nEVAL,CONFIG_METADATA!$B$4,nASIG,"Lenguaje Musical"),""))</f>
        <v/>
      </c>
      <c r="C293" t="str">
        <f>IF(A293="","",IFERROR(AVERAGEIFS(nNOTA,nNIA,A293,nEVAL,CONFIG_METADATA!$B$4,nASIG,"Coro"),""))</f>
        <v/>
      </c>
      <c r="D293" t="str">
        <f>IF(A293="","",IFERROR(AVERAGEIFS(nNOTA,nNIA,A293,nEVAL,CONFIG_METADATA!$B$4,nASIG,"Conjunto"),""))</f>
        <v/>
      </c>
      <c r="E293" t="str">
        <f>IF(A293="","",IFERROR(AVERAGEIFS(nNOTA,nNIA,A293,nEVAL,CONFIG_METADATA!$B$4,nASIG,"&lt;&gt;Lenguaje Musical",nASIG,"&lt;&gt;Coro",nASIG,"&lt;&gt;Conjunto"),""))</f>
        <v/>
      </c>
      <c r="H293" t="str">
        <f>IF(G293="","",IFERROR(AVERAGEIFS(nNOTA,nNIA,G293,nEVAL,CONFIG_METADATA!$B$4,nASIG,"Lenguaje Musical"),""))</f>
        <v/>
      </c>
      <c r="I293" t="str">
        <f>IF(G293="","",IFERROR(AVERAGEIFS(nNOTA,nNIA,G293,nEVAL,CONFIG_METADATA!$B$4,nASIG,"Coro"),""))</f>
        <v/>
      </c>
      <c r="J293" t="str">
        <f>IF(G293="","",IFERROR(AVERAGEIFS(nNOTA,nNIA,G293,nEVAL,CONFIG_METADATA!$B$4,nASIG,"Conjunto"),""))</f>
        <v/>
      </c>
      <c r="K293" t="str" cm="1">
        <f t="array" ref="K293">IF(G293="","",IFERROR(AVERAGE(IF((nNIA=G293)*(nEVAL=CONFIG_METADATA!$B$4)*(nASIG&lt;&gt;"Lenguaje Musical")*(nASIG&lt;&gt;"Coro")*(nASIG&lt;&gt;"Conjunto"),nNOTA)),""))</f>
        <v/>
      </c>
      <c r="N293" t="str">
        <f>IF(M293="","",IFERROR(AVERAGEIFS(nNOTA,nNIA,M293,nEVAL,CONFIG_METADATA!$B$4,nASIG,"Lenguaje Musical"),""))</f>
        <v/>
      </c>
      <c r="O293" t="str">
        <f>IF(M293="","",IFERROR(AVERAGEIFS(nNOTA,nNIA,M293,nEVAL,CONFIG_METADATA!$B$4,nASIG,"Coro"),""))</f>
        <v/>
      </c>
      <c r="P293" t="str">
        <f>IF(M293="","",IFERROR(AVERAGEIFS(nNOTA,nNIA,M293,nEVAL,CONFIG_METADATA!$B$4,nASIG,"Conjunto"),""))</f>
        <v/>
      </c>
      <c r="Q293" t="str">
        <f>IF(M293="","",IFERROR(AVERAGEIFS(nNOTA,nNIA,M293,nEVAL,CONFIG_METADATA!$B$4,nASIG,"&lt;&gt;Lenguaje Musical",nASIG,"&lt;&gt;Coro",nASIG,"&lt;&gt;Conjunto"),""))</f>
        <v/>
      </c>
      <c r="T293" t="str">
        <f>IF(S293="","",IFERROR(AVERAGEIFS(nNOTA,nNIA,S293,nEVAL,CONFIG_METADATA!$B$4,nASIG,"Lenguaje Musical"),""))</f>
        <v/>
      </c>
      <c r="U293" t="str">
        <f>IF(S293="","",IFERROR(AVERAGEIFS(nNOTA,nNIA,S293,nEVAL,CONFIG_METADATA!$B$4,nASIG,"Coro"),""))</f>
        <v/>
      </c>
      <c r="V293" t="str">
        <f>IF(S293="","",IFERROR(AVERAGEIFS(nNOTA,nNIA,S293,nEVAL,CONFIG_METADATA!$B$4,nASIG,"Conjunto"),""))</f>
        <v/>
      </c>
      <c r="W293" t="str" cm="1">
        <f t="array" ref="W293">IF(S293="","",IFERROR(AVERAGE(IF((nNIA=S293)*(nEVAL=CONFIG_METADATA!$B$4)*(nASIG&lt;&gt;"Lenguaje Musical")*(nASIG&lt;&gt;"Coro")*(nASIG&lt;&gt;"Conjunto"),nNOTA)),""))</f>
        <v/>
      </c>
    </row>
    <row r="294" spans="2:23" x14ac:dyDescent="0.2">
      <c r="B294" t="str">
        <f>IF(A294="","",IFERROR(AVERAGEIFS(nNOTA,nNIA,A294,nEVAL,CONFIG_METADATA!$B$4,nASIG,"Lenguaje Musical"),""))</f>
        <v/>
      </c>
      <c r="C294" t="str">
        <f>IF(A294="","",IFERROR(AVERAGEIFS(nNOTA,nNIA,A294,nEVAL,CONFIG_METADATA!$B$4,nASIG,"Coro"),""))</f>
        <v/>
      </c>
      <c r="D294" t="str">
        <f>IF(A294="","",IFERROR(AVERAGEIFS(nNOTA,nNIA,A294,nEVAL,CONFIG_METADATA!$B$4,nASIG,"Conjunto"),""))</f>
        <v/>
      </c>
      <c r="E294" t="str">
        <f>IF(A294="","",IFERROR(AVERAGEIFS(nNOTA,nNIA,A294,nEVAL,CONFIG_METADATA!$B$4,nASIG,"&lt;&gt;Lenguaje Musical",nASIG,"&lt;&gt;Coro",nASIG,"&lt;&gt;Conjunto"),""))</f>
        <v/>
      </c>
      <c r="H294" t="str">
        <f>IF(G294="","",IFERROR(AVERAGEIFS(nNOTA,nNIA,G294,nEVAL,CONFIG_METADATA!$B$4,nASIG,"Lenguaje Musical"),""))</f>
        <v/>
      </c>
      <c r="I294" t="str">
        <f>IF(G294="","",IFERROR(AVERAGEIFS(nNOTA,nNIA,G294,nEVAL,CONFIG_METADATA!$B$4,nASIG,"Coro"),""))</f>
        <v/>
      </c>
      <c r="J294" t="str">
        <f>IF(G294="","",IFERROR(AVERAGEIFS(nNOTA,nNIA,G294,nEVAL,CONFIG_METADATA!$B$4,nASIG,"Conjunto"),""))</f>
        <v/>
      </c>
      <c r="K294" t="str" cm="1">
        <f t="array" ref="K294">IF(G294="","",IFERROR(AVERAGE(IF((nNIA=G294)*(nEVAL=CONFIG_METADATA!$B$4)*(nASIG&lt;&gt;"Lenguaje Musical")*(nASIG&lt;&gt;"Coro")*(nASIG&lt;&gt;"Conjunto"),nNOTA)),""))</f>
        <v/>
      </c>
      <c r="N294" t="str">
        <f>IF(M294="","",IFERROR(AVERAGEIFS(nNOTA,nNIA,M294,nEVAL,CONFIG_METADATA!$B$4,nASIG,"Lenguaje Musical"),""))</f>
        <v/>
      </c>
      <c r="O294" t="str">
        <f>IF(M294="","",IFERROR(AVERAGEIFS(nNOTA,nNIA,M294,nEVAL,CONFIG_METADATA!$B$4,nASIG,"Coro"),""))</f>
        <v/>
      </c>
      <c r="P294" t="str">
        <f>IF(M294="","",IFERROR(AVERAGEIFS(nNOTA,nNIA,M294,nEVAL,CONFIG_METADATA!$B$4,nASIG,"Conjunto"),""))</f>
        <v/>
      </c>
      <c r="Q294" t="str">
        <f>IF(M294="","",IFERROR(AVERAGEIFS(nNOTA,nNIA,M294,nEVAL,CONFIG_METADATA!$B$4,nASIG,"&lt;&gt;Lenguaje Musical",nASIG,"&lt;&gt;Coro",nASIG,"&lt;&gt;Conjunto"),""))</f>
        <v/>
      </c>
      <c r="T294" t="str">
        <f>IF(S294="","",IFERROR(AVERAGEIFS(nNOTA,nNIA,S294,nEVAL,CONFIG_METADATA!$B$4,nASIG,"Lenguaje Musical"),""))</f>
        <v/>
      </c>
      <c r="U294" t="str">
        <f>IF(S294="","",IFERROR(AVERAGEIFS(nNOTA,nNIA,S294,nEVAL,CONFIG_METADATA!$B$4,nASIG,"Coro"),""))</f>
        <v/>
      </c>
      <c r="V294" t="str">
        <f>IF(S294="","",IFERROR(AVERAGEIFS(nNOTA,nNIA,S294,nEVAL,CONFIG_METADATA!$B$4,nASIG,"Conjunto"),""))</f>
        <v/>
      </c>
      <c r="W294" t="str" cm="1">
        <f t="array" ref="W294">IF(S294="","",IFERROR(AVERAGE(IF((nNIA=S294)*(nEVAL=CONFIG_METADATA!$B$4)*(nASIG&lt;&gt;"Lenguaje Musical")*(nASIG&lt;&gt;"Coro")*(nASIG&lt;&gt;"Conjunto"),nNOTA)),""))</f>
        <v/>
      </c>
    </row>
    <row r="295" spans="2:23" x14ac:dyDescent="0.2">
      <c r="B295" t="str">
        <f>IF(A295="","",IFERROR(AVERAGEIFS(nNOTA,nNIA,A295,nEVAL,CONFIG_METADATA!$B$4,nASIG,"Lenguaje Musical"),""))</f>
        <v/>
      </c>
      <c r="C295" t="str">
        <f>IF(A295="","",IFERROR(AVERAGEIFS(nNOTA,nNIA,A295,nEVAL,CONFIG_METADATA!$B$4,nASIG,"Coro"),""))</f>
        <v/>
      </c>
      <c r="D295" t="str">
        <f>IF(A295="","",IFERROR(AVERAGEIFS(nNOTA,nNIA,A295,nEVAL,CONFIG_METADATA!$B$4,nASIG,"Conjunto"),""))</f>
        <v/>
      </c>
      <c r="E295" t="str">
        <f>IF(A295="","",IFERROR(AVERAGEIFS(nNOTA,nNIA,A295,nEVAL,CONFIG_METADATA!$B$4,nASIG,"&lt;&gt;Lenguaje Musical",nASIG,"&lt;&gt;Coro",nASIG,"&lt;&gt;Conjunto"),""))</f>
        <v/>
      </c>
      <c r="H295" t="str">
        <f>IF(G295="","",IFERROR(AVERAGEIFS(nNOTA,nNIA,G295,nEVAL,CONFIG_METADATA!$B$4,nASIG,"Lenguaje Musical"),""))</f>
        <v/>
      </c>
      <c r="I295" t="str">
        <f>IF(G295="","",IFERROR(AVERAGEIFS(nNOTA,nNIA,G295,nEVAL,CONFIG_METADATA!$B$4,nASIG,"Coro"),""))</f>
        <v/>
      </c>
      <c r="J295" t="str">
        <f>IF(G295="","",IFERROR(AVERAGEIFS(nNOTA,nNIA,G295,nEVAL,CONFIG_METADATA!$B$4,nASIG,"Conjunto"),""))</f>
        <v/>
      </c>
      <c r="K295" t="str" cm="1">
        <f t="array" ref="K295">IF(G295="","",IFERROR(AVERAGE(IF((nNIA=G295)*(nEVAL=CONFIG_METADATA!$B$4)*(nASIG&lt;&gt;"Lenguaje Musical")*(nASIG&lt;&gt;"Coro")*(nASIG&lt;&gt;"Conjunto"),nNOTA)),""))</f>
        <v/>
      </c>
      <c r="N295" t="str">
        <f>IF(M295="","",IFERROR(AVERAGEIFS(nNOTA,nNIA,M295,nEVAL,CONFIG_METADATA!$B$4,nASIG,"Lenguaje Musical"),""))</f>
        <v/>
      </c>
      <c r="O295" t="str">
        <f>IF(M295="","",IFERROR(AVERAGEIFS(nNOTA,nNIA,M295,nEVAL,CONFIG_METADATA!$B$4,nASIG,"Coro"),""))</f>
        <v/>
      </c>
      <c r="P295" t="str">
        <f>IF(M295="","",IFERROR(AVERAGEIFS(nNOTA,nNIA,M295,nEVAL,CONFIG_METADATA!$B$4,nASIG,"Conjunto"),""))</f>
        <v/>
      </c>
      <c r="Q295" t="str">
        <f>IF(M295="","",IFERROR(AVERAGEIFS(nNOTA,nNIA,M295,nEVAL,CONFIG_METADATA!$B$4,nASIG,"&lt;&gt;Lenguaje Musical",nASIG,"&lt;&gt;Coro",nASIG,"&lt;&gt;Conjunto"),""))</f>
        <v/>
      </c>
      <c r="T295" t="str">
        <f>IF(S295="","",IFERROR(AVERAGEIFS(nNOTA,nNIA,S295,nEVAL,CONFIG_METADATA!$B$4,nASIG,"Lenguaje Musical"),""))</f>
        <v/>
      </c>
      <c r="U295" t="str">
        <f>IF(S295="","",IFERROR(AVERAGEIFS(nNOTA,nNIA,S295,nEVAL,CONFIG_METADATA!$B$4,nASIG,"Coro"),""))</f>
        <v/>
      </c>
      <c r="V295" t="str">
        <f>IF(S295="","",IFERROR(AVERAGEIFS(nNOTA,nNIA,S295,nEVAL,CONFIG_METADATA!$B$4,nASIG,"Conjunto"),""))</f>
        <v/>
      </c>
      <c r="W295" t="str" cm="1">
        <f t="array" ref="W295">IF(S295="","",IFERROR(AVERAGE(IF((nNIA=S295)*(nEVAL=CONFIG_METADATA!$B$4)*(nASIG&lt;&gt;"Lenguaje Musical")*(nASIG&lt;&gt;"Coro")*(nASIG&lt;&gt;"Conjunto"),nNOTA)),""))</f>
        <v/>
      </c>
    </row>
    <row r="296" spans="2:23" x14ac:dyDescent="0.2">
      <c r="B296" t="str">
        <f>IF(A296="","",IFERROR(AVERAGEIFS(nNOTA,nNIA,A296,nEVAL,CONFIG_METADATA!$B$4,nASIG,"Lenguaje Musical"),""))</f>
        <v/>
      </c>
      <c r="C296" t="str">
        <f>IF(A296="","",IFERROR(AVERAGEIFS(nNOTA,nNIA,A296,nEVAL,CONFIG_METADATA!$B$4,nASIG,"Coro"),""))</f>
        <v/>
      </c>
      <c r="D296" t="str">
        <f>IF(A296="","",IFERROR(AVERAGEIFS(nNOTA,nNIA,A296,nEVAL,CONFIG_METADATA!$B$4,nASIG,"Conjunto"),""))</f>
        <v/>
      </c>
      <c r="E296" t="str">
        <f>IF(A296="","",IFERROR(AVERAGEIFS(nNOTA,nNIA,A296,nEVAL,CONFIG_METADATA!$B$4,nASIG,"&lt;&gt;Lenguaje Musical",nASIG,"&lt;&gt;Coro",nASIG,"&lt;&gt;Conjunto"),""))</f>
        <v/>
      </c>
      <c r="H296" t="str">
        <f>IF(G296="","",IFERROR(AVERAGEIFS(nNOTA,nNIA,G296,nEVAL,CONFIG_METADATA!$B$4,nASIG,"Lenguaje Musical"),""))</f>
        <v/>
      </c>
      <c r="I296" t="str">
        <f>IF(G296="","",IFERROR(AVERAGEIFS(nNOTA,nNIA,G296,nEVAL,CONFIG_METADATA!$B$4,nASIG,"Coro"),""))</f>
        <v/>
      </c>
      <c r="J296" t="str">
        <f>IF(G296="","",IFERROR(AVERAGEIFS(nNOTA,nNIA,G296,nEVAL,CONFIG_METADATA!$B$4,nASIG,"Conjunto"),""))</f>
        <v/>
      </c>
      <c r="K296" t="str" cm="1">
        <f t="array" ref="K296">IF(G296="","",IFERROR(AVERAGE(IF((nNIA=G296)*(nEVAL=CONFIG_METADATA!$B$4)*(nASIG&lt;&gt;"Lenguaje Musical")*(nASIG&lt;&gt;"Coro")*(nASIG&lt;&gt;"Conjunto"),nNOTA)),""))</f>
        <v/>
      </c>
      <c r="N296" t="str">
        <f>IF(M296="","",IFERROR(AVERAGEIFS(nNOTA,nNIA,M296,nEVAL,CONFIG_METADATA!$B$4,nASIG,"Lenguaje Musical"),""))</f>
        <v/>
      </c>
      <c r="O296" t="str">
        <f>IF(M296="","",IFERROR(AVERAGEIFS(nNOTA,nNIA,M296,nEVAL,CONFIG_METADATA!$B$4,nASIG,"Coro"),""))</f>
        <v/>
      </c>
      <c r="P296" t="str">
        <f>IF(M296="","",IFERROR(AVERAGEIFS(nNOTA,nNIA,M296,nEVAL,CONFIG_METADATA!$B$4,nASIG,"Conjunto"),""))</f>
        <v/>
      </c>
      <c r="Q296" t="str">
        <f>IF(M296="","",IFERROR(AVERAGEIFS(nNOTA,nNIA,M296,nEVAL,CONFIG_METADATA!$B$4,nASIG,"&lt;&gt;Lenguaje Musical",nASIG,"&lt;&gt;Coro",nASIG,"&lt;&gt;Conjunto"),""))</f>
        <v/>
      </c>
      <c r="T296" t="str">
        <f>IF(S296="","",IFERROR(AVERAGEIFS(nNOTA,nNIA,S296,nEVAL,CONFIG_METADATA!$B$4,nASIG,"Lenguaje Musical"),""))</f>
        <v/>
      </c>
      <c r="U296" t="str">
        <f>IF(S296="","",IFERROR(AVERAGEIFS(nNOTA,nNIA,S296,nEVAL,CONFIG_METADATA!$B$4,nASIG,"Coro"),""))</f>
        <v/>
      </c>
      <c r="V296" t="str">
        <f>IF(S296="","",IFERROR(AVERAGEIFS(nNOTA,nNIA,S296,nEVAL,CONFIG_METADATA!$B$4,nASIG,"Conjunto"),""))</f>
        <v/>
      </c>
      <c r="W296" t="str" cm="1">
        <f t="array" ref="W296">IF(S296="","",IFERROR(AVERAGE(IF((nNIA=S296)*(nEVAL=CONFIG_METADATA!$B$4)*(nASIG&lt;&gt;"Lenguaje Musical")*(nASIG&lt;&gt;"Coro")*(nASIG&lt;&gt;"Conjunto"),nNOTA)),""))</f>
        <v/>
      </c>
    </row>
    <row r="297" spans="2:23" x14ac:dyDescent="0.2">
      <c r="B297" t="str">
        <f>IF(A297="","",IFERROR(AVERAGEIFS(nNOTA,nNIA,A297,nEVAL,CONFIG_METADATA!$B$4,nASIG,"Lenguaje Musical"),""))</f>
        <v/>
      </c>
      <c r="C297" t="str">
        <f>IF(A297="","",IFERROR(AVERAGEIFS(nNOTA,nNIA,A297,nEVAL,CONFIG_METADATA!$B$4,nASIG,"Coro"),""))</f>
        <v/>
      </c>
      <c r="D297" t="str">
        <f>IF(A297="","",IFERROR(AVERAGEIFS(nNOTA,nNIA,A297,nEVAL,CONFIG_METADATA!$B$4,nASIG,"Conjunto"),""))</f>
        <v/>
      </c>
      <c r="E297" t="str">
        <f>IF(A297="","",IFERROR(AVERAGEIFS(nNOTA,nNIA,A297,nEVAL,CONFIG_METADATA!$B$4,nASIG,"&lt;&gt;Lenguaje Musical",nASIG,"&lt;&gt;Coro",nASIG,"&lt;&gt;Conjunto"),""))</f>
        <v/>
      </c>
      <c r="H297" t="str">
        <f>IF(G297="","",IFERROR(AVERAGEIFS(nNOTA,nNIA,G297,nEVAL,CONFIG_METADATA!$B$4,nASIG,"Lenguaje Musical"),""))</f>
        <v/>
      </c>
      <c r="I297" t="str">
        <f>IF(G297="","",IFERROR(AVERAGEIFS(nNOTA,nNIA,G297,nEVAL,CONFIG_METADATA!$B$4,nASIG,"Coro"),""))</f>
        <v/>
      </c>
      <c r="J297" t="str">
        <f>IF(G297="","",IFERROR(AVERAGEIFS(nNOTA,nNIA,G297,nEVAL,CONFIG_METADATA!$B$4,nASIG,"Conjunto"),""))</f>
        <v/>
      </c>
      <c r="K297" t="str" cm="1">
        <f t="array" ref="K297">IF(G297="","",IFERROR(AVERAGE(IF((nNIA=G297)*(nEVAL=CONFIG_METADATA!$B$4)*(nASIG&lt;&gt;"Lenguaje Musical")*(nASIG&lt;&gt;"Coro")*(nASIG&lt;&gt;"Conjunto"),nNOTA)),""))</f>
        <v/>
      </c>
      <c r="N297" t="str">
        <f>IF(M297="","",IFERROR(AVERAGEIFS(nNOTA,nNIA,M297,nEVAL,CONFIG_METADATA!$B$4,nASIG,"Lenguaje Musical"),""))</f>
        <v/>
      </c>
      <c r="O297" t="str">
        <f>IF(M297="","",IFERROR(AVERAGEIFS(nNOTA,nNIA,M297,nEVAL,CONFIG_METADATA!$B$4,nASIG,"Coro"),""))</f>
        <v/>
      </c>
      <c r="P297" t="str">
        <f>IF(M297="","",IFERROR(AVERAGEIFS(nNOTA,nNIA,M297,nEVAL,CONFIG_METADATA!$B$4,nASIG,"Conjunto"),""))</f>
        <v/>
      </c>
      <c r="Q297" t="str">
        <f>IF(M297="","",IFERROR(AVERAGEIFS(nNOTA,nNIA,M297,nEVAL,CONFIG_METADATA!$B$4,nASIG,"&lt;&gt;Lenguaje Musical",nASIG,"&lt;&gt;Coro",nASIG,"&lt;&gt;Conjunto"),""))</f>
        <v/>
      </c>
      <c r="T297" t="str">
        <f>IF(S297="","",IFERROR(AVERAGEIFS(nNOTA,nNIA,S297,nEVAL,CONFIG_METADATA!$B$4,nASIG,"Lenguaje Musical"),""))</f>
        <v/>
      </c>
      <c r="U297" t="str">
        <f>IF(S297="","",IFERROR(AVERAGEIFS(nNOTA,nNIA,S297,nEVAL,CONFIG_METADATA!$B$4,nASIG,"Coro"),""))</f>
        <v/>
      </c>
      <c r="V297" t="str">
        <f>IF(S297="","",IFERROR(AVERAGEIFS(nNOTA,nNIA,S297,nEVAL,CONFIG_METADATA!$B$4,nASIG,"Conjunto"),""))</f>
        <v/>
      </c>
      <c r="W297" t="str" cm="1">
        <f t="array" ref="W297">IF(S297="","",IFERROR(AVERAGE(IF((nNIA=S297)*(nEVAL=CONFIG_METADATA!$B$4)*(nASIG&lt;&gt;"Lenguaje Musical")*(nASIG&lt;&gt;"Coro")*(nASIG&lt;&gt;"Conjunto"),nNOTA)),""))</f>
        <v/>
      </c>
    </row>
    <row r="298" spans="2:23" x14ac:dyDescent="0.2">
      <c r="B298" t="str">
        <f>IF(A298="","",IFERROR(AVERAGEIFS(nNOTA,nNIA,A298,nEVAL,CONFIG_METADATA!$B$4,nASIG,"Lenguaje Musical"),""))</f>
        <v/>
      </c>
      <c r="C298" t="str">
        <f>IF(A298="","",IFERROR(AVERAGEIFS(nNOTA,nNIA,A298,nEVAL,CONFIG_METADATA!$B$4,nASIG,"Coro"),""))</f>
        <v/>
      </c>
      <c r="D298" t="str">
        <f>IF(A298="","",IFERROR(AVERAGEIFS(nNOTA,nNIA,A298,nEVAL,CONFIG_METADATA!$B$4,nASIG,"Conjunto"),""))</f>
        <v/>
      </c>
      <c r="E298" t="str">
        <f>IF(A298="","",IFERROR(AVERAGEIFS(nNOTA,nNIA,A298,nEVAL,CONFIG_METADATA!$B$4,nASIG,"&lt;&gt;Lenguaje Musical",nASIG,"&lt;&gt;Coro",nASIG,"&lt;&gt;Conjunto"),""))</f>
        <v/>
      </c>
      <c r="H298" t="str">
        <f>IF(G298="","",IFERROR(AVERAGEIFS(nNOTA,nNIA,G298,nEVAL,CONFIG_METADATA!$B$4,nASIG,"Lenguaje Musical"),""))</f>
        <v/>
      </c>
      <c r="I298" t="str">
        <f>IF(G298="","",IFERROR(AVERAGEIFS(nNOTA,nNIA,G298,nEVAL,CONFIG_METADATA!$B$4,nASIG,"Coro"),""))</f>
        <v/>
      </c>
      <c r="J298" t="str">
        <f>IF(G298="","",IFERROR(AVERAGEIFS(nNOTA,nNIA,G298,nEVAL,CONFIG_METADATA!$B$4,nASIG,"Conjunto"),""))</f>
        <v/>
      </c>
      <c r="K298" t="str" cm="1">
        <f t="array" ref="K298">IF(G298="","",IFERROR(AVERAGE(IF((nNIA=G298)*(nEVAL=CONFIG_METADATA!$B$4)*(nASIG&lt;&gt;"Lenguaje Musical")*(nASIG&lt;&gt;"Coro")*(nASIG&lt;&gt;"Conjunto"),nNOTA)),""))</f>
        <v/>
      </c>
      <c r="N298" t="str">
        <f>IF(M298="","",IFERROR(AVERAGEIFS(nNOTA,nNIA,M298,nEVAL,CONFIG_METADATA!$B$4,nASIG,"Lenguaje Musical"),""))</f>
        <v/>
      </c>
      <c r="O298" t="str">
        <f>IF(M298="","",IFERROR(AVERAGEIFS(nNOTA,nNIA,M298,nEVAL,CONFIG_METADATA!$B$4,nASIG,"Coro"),""))</f>
        <v/>
      </c>
      <c r="P298" t="str">
        <f>IF(M298="","",IFERROR(AVERAGEIFS(nNOTA,nNIA,M298,nEVAL,CONFIG_METADATA!$B$4,nASIG,"Conjunto"),""))</f>
        <v/>
      </c>
      <c r="Q298" t="str">
        <f>IF(M298="","",IFERROR(AVERAGEIFS(nNOTA,nNIA,M298,nEVAL,CONFIG_METADATA!$B$4,nASIG,"&lt;&gt;Lenguaje Musical",nASIG,"&lt;&gt;Coro",nASIG,"&lt;&gt;Conjunto"),""))</f>
        <v/>
      </c>
      <c r="T298" t="str">
        <f>IF(S298="","",IFERROR(AVERAGEIFS(nNOTA,nNIA,S298,nEVAL,CONFIG_METADATA!$B$4,nASIG,"Lenguaje Musical"),""))</f>
        <v/>
      </c>
      <c r="U298" t="str">
        <f>IF(S298="","",IFERROR(AVERAGEIFS(nNOTA,nNIA,S298,nEVAL,CONFIG_METADATA!$B$4,nASIG,"Coro"),""))</f>
        <v/>
      </c>
      <c r="V298" t="str">
        <f>IF(S298="","",IFERROR(AVERAGEIFS(nNOTA,nNIA,S298,nEVAL,CONFIG_METADATA!$B$4,nASIG,"Conjunto"),""))</f>
        <v/>
      </c>
      <c r="W298" t="str" cm="1">
        <f t="array" ref="W298">IF(S298="","",IFERROR(AVERAGE(IF((nNIA=S298)*(nEVAL=CONFIG_METADATA!$B$4)*(nASIG&lt;&gt;"Lenguaje Musical")*(nASIG&lt;&gt;"Coro")*(nASIG&lt;&gt;"Conjunto"),nNOTA)),""))</f>
        <v/>
      </c>
    </row>
    <row r="299" spans="2:23" x14ac:dyDescent="0.2">
      <c r="B299" t="str">
        <f>IF(A299="","",IFERROR(AVERAGEIFS(nNOTA,nNIA,A299,nEVAL,CONFIG_METADATA!$B$4,nASIG,"Lenguaje Musical"),""))</f>
        <v/>
      </c>
      <c r="C299" t="str">
        <f>IF(A299="","",IFERROR(AVERAGEIFS(nNOTA,nNIA,A299,nEVAL,CONFIG_METADATA!$B$4,nASIG,"Coro"),""))</f>
        <v/>
      </c>
      <c r="D299" t="str">
        <f>IF(A299="","",IFERROR(AVERAGEIFS(nNOTA,nNIA,A299,nEVAL,CONFIG_METADATA!$B$4,nASIG,"Conjunto"),""))</f>
        <v/>
      </c>
      <c r="E299" t="str">
        <f>IF(A299="","",IFERROR(AVERAGEIFS(nNOTA,nNIA,A299,nEVAL,CONFIG_METADATA!$B$4,nASIG,"&lt;&gt;Lenguaje Musical",nASIG,"&lt;&gt;Coro",nASIG,"&lt;&gt;Conjunto"),""))</f>
        <v/>
      </c>
      <c r="H299" t="str">
        <f>IF(G299="","",IFERROR(AVERAGEIFS(nNOTA,nNIA,G299,nEVAL,CONFIG_METADATA!$B$4,nASIG,"Lenguaje Musical"),""))</f>
        <v/>
      </c>
      <c r="I299" t="str">
        <f>IF(G299="","",IFERROR(AVERAGEIFS(nNOTA,nNIA,G299,nEVAL,CONFIG_METADATA!$B$4,nASIG,"Coro"),""))</f>
        <v/>
      </c>
      <c r="J299" t="str">
        <f>IF(G299="","",IFERROR(AVERAGEIFS(nNOTA,nNIA,G299,nEVAL,CONFIG_METADATA!$B$4,nASIG,"Conjunto"),""))</f>
        <v/>
      </c>
      <c r="K299" t="str" cm="1">
        <f t="array" ref="K299">IF(G299="","",IFERROR(AVERAGE(IF((nNIA=G299)*(nEVAL=CONFIG_METADATA!$B$4)*(nASIG&lt;&gt;"Lenguaje Musical")*(nASIG&lt;&gt;"Coro")*(nASIG&lt;&gt;"Conjunto"),nNOTA)),""))</f>
        <v/>
      </c>
      <c r="N299" t="str">
        <f>IF(M299="","",IFERROR(AVERAGEIFS(nNOTA,nNIA,M299,nEVAL,CONFIG_METADATA!$B$4,nASIG,"Lenguaje Musical"),""))</f>
        <v/>
      </c>
      <c r="O299" t="str">
        <f>IF(M299="","",IFERROR(AVERAGEIFS(nNOTA,nNIA,M299,nEVAL,CONFIG_METADATA!$B$4,nASIG,"Coro"),""))</f>
        <v/>
      </c>
      <c r="P299" t="str">
        <f>IF(M299="","",IFERROR(AVERAGEIFS(nNOTA,nNIA,M299,nEVAL,CONFIG_METADATA!$B$4,nASIG,"Conjunto"),""))</f>
        <v/>
      </c>
      <c r="Q299" t="str">
        <f>IF(M299="","",IFERROR(AVERAGEIFS(nNOTA,nNIA,M299,nEVAL,CONFIG_METADATA!$B$4,nASIG,"&lt;&gt;Lenguaje Musical",nASIG,"&lt;&gt;Coro",nASIG,"&lt;&gt;Conjunto"),""))</f>
        <v/>
      </c>
      <c r="T299" t="str">
        <f>IF(S299="","",IFERROR(AVERAGEIFS(nNOTA,nNIA,S299,nEVAL,CONFIG_METADATA!$B$4,nASIG,"Lenguaje Musical"),""))</f>
        <v/>
      </c>
      <c r="U299" t="str">
        <f>IF(S299="","",IFERROR(AVERAGEIFS(nNOTA,nNIA,S299,nEVAL,CONFIG_METADATA!$B$4,nASIG,"Coro"),""))</f>
        <v/>
      </c>
      <c r="V299" t="str">
        <f>IF(S299="","",IFERROR(AVERAGEIFS(nNOTA,nNIA,S299,nEVAL,CONFIG_METADATA!$B$4,nASIG,"Conjunto"),""))</f>
        <v/>
      </c>
      <c r="W299" t="str" cm="1">
        <f t="array" ref="W299">IF(S299="","",IFERROR(AVERAGE(IF((nNIA=S299)*(nEVAL=CONFIG_METADATA!$B$4)*(nASIG&lt;&gt;"Lenguaje Musical")*(nASIG&lt;&gt;"Coro")*(nASIG&lt;&gt;"Conjunto"),nNOTA)),""))</f>
        <v/>
      </c>
    </row>
    <row r="300" spans="2:23" x14ac:dyDescent="0.2">
      <c r="B300" t="str">
        <f>IF(A300="","",IFERROR(AVERAGEIFS(nNOTA,nNIA,A300,nEVAL,CONFIG_METADATA!$B$4,nASIG,"Lenguaje Musical"),""))</f>
        <v/>
      </c>
      <c r="C300" t="str">
        <f>IF(A300="","",IFERROR(AVERAGEIFS(nNOTA,nNIA,A300,nEVAL,CONFIG_METADATA!$B$4,nASIG,"Coro"),""))</f>
        <v/>
      </c>
      <c r="D300" t="str">
        <f>IF(A300="","",IFERROR(AVERAGEIFS(nNOTA,nNIA,A300,nEVAL,CONFIG_METADATA!$B$4,nASIG,"Conjunto"),""))</f>
        <v/>
      </c>
      <c r="E300" t="str">
        <f>IF(A300="","",IFERROR(AVERAGEIFS(nNOTA,nNIA,A300,nEVAL,CONFIG_METADATA!$B$4,nASIG,"&lt;&gt;Lenguaje Musical",nASIG,"&lt;&gt;Coro",nASIG,"&lt;&gt;Conjunto"),""))</f>
        <v/>
      </c>
      <c r="H300" t="str">
        <f>IF(G300="","",IFERROR(AVERAGEIFS(nNOTA,nNIA,G300,nEVAL,CONFIG_METADATA!$B$4,nASIG,"Lenguaje Musical"),""))</f>
        <v/>
      </c>
      <c r="I300" t="str">
        <f>IF(G300="","",IFERROR(AVERAGEIFS(nNOTA,nNIA,G300,nEVAL,CONFIG_METADATA!$B$4,nASIG,"Coro"),""))</f>
        <v/>
      </c>
      <c r="J300" t="str">
        <f>IF(G300="","",IFERROR(AVERAGEIFS(nNOTA,nNIA,G300,nEVAL,CONFIG_METADATA!$B$4,nASIG,"Conjunto"),""))</f>
        <v/>
      </c>
      <c r="K300" t="str" cm="1">
        <f t="array" ref="K300">IF(G300="","",IFERROR(AVERAGE(IF((nNIA=G300)*(nEVAL=CONFIG_METADATA!$B$4)*(nASIG&lt;&gt;"Lenguaje Musical")*(nASIG&lt;&gt;"Coro")*(nASIG&lt;&gt;"Conjunto"),nNOTA)),""))</f>
        <v/>
      </c>
      <c r="N300" t="str">
        <f>IF(M300="","",IFERROR(AVERAGEIFS(nNOTA,nNIA,M300,nEVAL,CONFIG_METADATA!$B$4,nASIG,"Lenguaje Musical"),""))</f>
        <v/>
      </c>
      <c r="O300" t="str">
        <f>IF(M300="","",IFERROR(AVERAGEIFS(nNOTA,nNIA,M300,nEVAL,CONFIG_METADATA!$B$4,nASIG,"Coro"),""))</f>
        <v/>
      </c>
      <c r="P300" t="str">
        <f>IF(M300="","",IFERROR(AVERAGEIFS(nNOTA,nNIA,M300,nEVAL,CONFIG_METADATA!$B$4,nASIG,"Conjunto"),""))</f>
        <v/>
      </c>
      <c r="Q300" t="str">
        <f>IF(M300="","",IFERROR(AVERAGEIFS(nNOTA,nNIA,M300,nEVAL,CONFIG_METADATA!$B$4,nASIG,"&lt;&gt;Lenguaje Musical",nASIG,"&lt;&gt;Coro",nASIG,"&lt;&gt;Conjunto"),""))</f>
        <v/>
      </c>
      <c r="T300" t="str">
        <f>IF(S300="","",IFERROR(AVERAGEIFS(nNOTA,nNIA,S300,nEVAL,CONFIG_METADATA!$B$4,nASIG,"Lenguaje Musical"),""))</f>
        <v/>
      </c>
      <c r="U300" t="str">
        <f>IF(S300="","",IFERROR(AVERAGEIFS(nNOTA,nNIA,S300,nEVAL,CONFIG_METADATA!$B$4,nASIG,"Coro"),""))</f>
        <v/>
      </c>
      <c r="V300" t="str">
        <f>IF(S300="","",IFERROR(AVERAGEIFS(nNOTA,nNIA,S300,nEVAL,CONFIG_METADATA!$B$4,nASIG,"Conjunto"),""))</f>
        <v/>
      </c>
      <c r="W300" t="str" cm="1">
        <f t="array" ref="W300">IF(S300="","",IFERROR(AVERAGE(IF((nNIA=S300)*(nEVAL=CONFIG_METADATA!$B$4)*(nASIG&lt;&gt;"Lenguaje Musical")*(nASIG&lt;&gt;"Coro")*(nASIG&lt;&gt;"Conjunto"),nNOTA)),""))</f>
        <v/>
      </c>
    </row>
    <row r="301" spans="2:23" x14ac:dyDescent="0.2">
      <c r="B301" t="str">
        <f>IF(A301="","",IFERROR(AVERAGEIFS(nNOTA,nNIA,A301,nEVAL,CONFIG_METADATA!$B$4,nASIG,"Lenguaje Musical"),""))</f>
        <v/>
      </c>
      <c r="C301" t="str">
        <f>IF(A301="","",IFERROR(AVERAGEIFS(nNOTA,nNIA,A301,nEVAL,CONFIG_METADATA!$B$4,nASIG,"Coro"),""))</f>
        <v/>
      </c>
      <c r="D301" t="str">
        <f>IF(A301="","",IFERROR(AVERAGEIFS(nNOTA,nNIA,A301,nEVAL,CONFIG_METADATA!$B$4,nASIG,"Conjunto"),""))</f>
        <v/>
      </c>
      <c r="E301" t="str">
        <f>IF(A301="","",IFERROR(AVERAGEIFS(nNOTA,nNIA,A301,nEVAL,CONFIG_METADATA!$B$4,nASIG,"&lt;&gt;Lenguaje Musical",nASIG,"&lt;&gt;Coro",nASIG,"&lt;&gt;Conjunto"),""))</f>
        <v/>
      </c>
      <c r="H301" t="str">
        <f>IF(G301="","",IFERROR(AVERAGEIFS(nNOTA,nNIA,G301,nEVAL,CONFIG_METADATA!$B$4,nASIG,"Lenguaje Musical"),""))</f>
        <v/>
      </c>
      <c r="I301" t="str">
        <f>IF(G301="","",IFERROR(AVERAGEIFS(nNOTA,nNIA,G301,nEVAL,CONFIG_METADATA!$B$4,nASIG,"Coro"),""))</f>
        <v/>
      </c>
      <c r="J301" t="str">
        <f>IF(G301="","",IFERROR(AVERAGEIFS(nNOTA,nNIA,G301,nEVAL,CONFIG_METADATA!$B$4,nASIG,"Conjunto"),""))</f>
        <v/>
      </c>
      <c r="K301" t="str" cm="1">
        <f t="array" ref="K301">IF(G301="","",IFERROR(AVERAGE(IF((nNIA=G301)*(nEVAL=CONFIG_METADATA!$B$4)*(nASIG&lt;&gt;"Lenguaje Musical")*(nASIG&lt;&gt;"Coro")*(nASIG&lt;&gt;"Conjunto"),nNOTA)),""))</f>
        <v/>
      </c>
      <c r="N301" t="str">
        <f>IF(M301="","",IFERROR(AVERAGEIFS(nNOTA,nNIA,M301,nEVAL,CONFIG_METADATA!$B$4,nASIG,"Lenguaje Musical"),""))</f>
        <v/>
      </c>
      <c r="O301" t="str">
        <f>IF(M301="","",IFERROR(AVERAGEIFS(nNOTA,nNIA,M301,nEVAL,CONFIG_METADATA!$B$4,nASIG,"Coro"),""))</f>
        <v/>
      </c>
      <c r="P301" t="str">
        <f>IF(M301="","",IFERROR(AVERAGEIFS(nNOTA,nNIA,M301,nEVAL,CONFIG_METADATA!$B$4,nASIG,"Conjunto"),""))</f>
        <v/>
      </c>
      <c r="Q301" t="str">
        <f>IF(M301="","",IFERROR(AVERAGEIFS(nNOTA,nNIA,M301,nEVAL,CONFIG_METADATA!$B$4,nASIG,"&lt;&gt;Lenguaje Musical",nASIG,"&lt;&gt;Coro",nASIG,"&lt;&gt;Conjunto"),""))</f>
        <v/>
      </c>
      <c r="T301" t="str">
        <f>IF(S301="","",IFERROR(AVERAGEIFS(nNOTA,nNIA,S301,nEVAL,CONFIG_METADATA!$B$4,nASIG,"Lenguaje Musical"),""))</f>
        <v/>
      </c>
      <c r="U301" t="str">
        <f>IF(S301="","",IFERROR(AVERAGEIFS(nNOTA,nNIA,S301,nEVAL,CONFIG_METADATA!$B$4,nASIG,"Coro"),""))</f>
        <v/>
      </c>
      <c r="V301" t="str">
        <f>IF(S301="","",IFERROR(AVERAGEIFS(nNOTA,nNIA,S301,nEVAL,CONFIG_METADATA!$B$4,nASIG,"Conjunto"),""))</f>
        <v/>
      </c>
      <c r="W301" t="str" cm="1">
        <f t="array" ref="W301">IF(S301="","",IFERROR(AVERAGE(IF((nNIA=S301)*(nEVAL=CONFIG_METADATA!$B$4)*(nASIG&lt;&gt;"Lenguaje Musical")*(nASIG&lt;&gt;"Coro")*(nASIG&lt;&gt;"Conjunto"),nNOTA)),""))</f>
        <v/>
      </c>
    </row>
    <row r="302" spans="2:23" x14ac:dyDescent="0.2">
      <c r="B302" t="str">
        <f>IF(A302="","",IFERROR(AVERAGEIFS(nNOTA,nNIA,A302,nEVAL,CONFIG_METADATA!$B$4,nASIG,"Lenguaje Musical"),""))</f>
        <v/>
      </c>
      <c r="C302" t="str">
        <f>IF(A302="","",IFERROR(AVERAGEIFS(nNOTA,nNIA,A302,nEVAL,CONFIG_METADATA!$B$4,nASIG,"Coro"),""))</f>
        <v/>
      </c>
      <c r="D302" t="str">
        <f>IF(A302="","",IFERROR(AVERAGEIFS(nNOTA,nNIA,A302,nEVAL,CONFIG_METADATA!$B$4,nASIG,"Conjunto"),""))</f>
        <v/>
      </c>
      <c r="E302" t="str">
        <f>IF(A302="","",IFERROR(AVERAGEIFS(nNOTA,nNIA,A302,nEVAL,CONFIG_METADATA!$B$4,nASIG,"&lt;&gt;Lenguaje Musical",nASIG,"&lt;&gt;Coro",nASIG,"&lt;&gt;Conjunto"),""))</f>
        <v/>
      </c>
      <c r="H302" t="str">
        <f>IF(G302="","",IFERROR(AVERAGEIFS(nNOTA,nNIA,G302,nEVAL,CONFIG_METADATA!$B$4,nASIG,"Lenguaje Musical"),""))</f>
        <v/>
      </c>
      <c r="I302" t="str">
        <f>IF(G302="","",IFERROR(AVERAGEIFS(nNOTA,nNIA,G302,nEVAL,CONFIG_METADATA!$B$4,nASIG,"Coro"),""))</f>
        <v/>
      </c>
      <c r="J302" t="str">
        <f>IF(G302="","",IFERROR(AVERAGEIFS(nNOTA,nNIA,G302,nEVAL,CONFIG_METADATA!$B$4,nASIG,"Conjunto"),""))</f>
        <v/>
      </c>
      <c r="K302" t="str" cm="1">
        <f t="array" ref="K302">IF(G302="","",IFERROR(AVERAGE(IF((nNIA=G302)*(nEVAL=CONFIG_METADATA!$B$4)*(nASIG&lt;&gt;"Lenguaje Musical")*(nASIG&lt;&gt;"Coro")*(nASIG&lt;&gt;"Conjunto"),nNOTA)),""))</f>
        <v/>
      </c>
      <c r="N302" t="str">
        <f>IF(M302="","",IFERROR(AVERAGEIFS(nNOTA,nNIA,M302,nEVAL,CONFIG_METADATA!$B$4,nASIG,"Lenguaje Musical"),""))</f>
        <v/>
      </c>
      <c r="O302" t="str">
        <f>IF(M302="","",IFERROR(AVERAGEIFS(nNOTA,nNIA,M302,nEVAL,CONFIG_METADATA!$B$4,nASIG,"Coro"),""))</f>
        <v/>
      </c>
      <c r="P302" t="str">
        <f>IF(M302="","",IFERROR(AVERAGEIFS(nNOTA,nNIA,M302,nEVAL,CONFIG_METADATA!$B$4,nASIG,"Conjunto"),""))</f>
        <v/>
      </c>
      <c r="Q302" t="str">
        <f>IF(M302="","",IFERROR(AVERAGEIFS(nNOTA,nNIA,M302,nEVAL,CONFIG_METADATA!$B$4,nASIG,"&lt;&gt;Lenguaje Musical",nASIG,"&lt;&gt;Coro",nASIG,"&lt;&gt;Conjunto"),""))</f>
        <v/>
      </c>
      <c r="T302" t="str">
        <f>IF(S302="","",IFERROR(AVERAGEIFS(nNOTA,nNIA,S302,nEVAL,CONFIG_METADATA!$B$4,nASIG,"Lenguaje Musical"),""))</f>
        <v/>
      </c>
      <c r="U302" t="str">
        <f>IF(S302="","",IFERROR(AVERAGEIFS(nNOTA,nNIA,S302,nEVAL,CONFIG_METADATA!$B$4,nASIG,"Coro"),""))</f>
        <v/>
      </c>
      <c r="V302" t="str">
        <f>IF(S302="","",IFERROR(AVERAGEIFS(nNOTA,nNIA,S302,nEVAL,CONFIG_METADATA!$B$4,nASIG,"Conjunto"),""))</f>
        <v/>
      </c>
      <c r="W302" t="str" cm="1">
        <f t="array" ref="W302">IF(S302="","",IFERROR(AVERAGE(IF((nNIA=S302)*(nEVAL=CONFIG_METADATA!$B$4)*(nASIG&lt;&gt;"Lenguaje Musical")*(nASIG&lt;&gt;"Coro")*(nASIG&lt;&gt;"Conjunto"),nNOTA)),""))</f>
        <v/>
      </c>
    </row>
    <row r="303" spans="2:23" x14ac:dyDescent="0.2">
      <c r="B303" t="str">
        <f>IF(A303="","",IFERROR(AVERAGEIFS(nNOTA,nNIA,A303,nEVAL,CONFIG_METADATA!$B$4,nASIG,"Lenguaje Musical"),""))</f>
        <v/>
      </c>
      <c r="C303" t="str">
        <f>IF(A303="","",IFERROR(AVERAGEIFS(nNOTA,nNIA,A303,nEVAL,CONFIG_METADATA!$B$4,nASIG,"Coro"),""))</f>
        <v/>
      </c>
      <c r="D303" t="str">
        <f>IF(A303="","",IFERROR(AVERAGEIFS(nNOTA,nNIA,A303,nEVAL,CONFIG_METADATA!$B$4,nASIG,"Conjunto"),""))</f>
        <v/>
      </c>
      <c r="E303" t="str">
        <f>IF(A303="","",IFERROR(AVERAGEIFS(nNOTA,nNIA,A303,nEVAL,CONFIG_METADATA!$B$4,nASIG,"&lt;&gt;Lenguaje Musical",nASIG,"&lt;&gt;Coro",nASIG,"&lt;&gt;Conjunto"),""))</f>
        <v/>
      </c>
      <c r="H303" t="str">
        <f>IF(G303="","",IFERROR(AVERAGEIFS(nNOTA,nNIA,G303,nEVAL,CONFIG_METADATA!$B$4,nASIG,"Lenguaje Musical"),""))</f>
        <v/>
      </c>
      <c r="I303" t="str">
        <f>IF(G303="","",IFERROR(AVERAGEIFS(nNOTA,nNIA,G303,nEVAL,CONFIG_METADATA!$B$4,nASIG,"Coro"),""))</f>
        <v/>
      </c>
      <c r="J303" t="str">
        <f>IF(G303="","",IFERROR(AVERAGEIFS(nNOTA,nNIA,G303,nEVAL,CONFIG_METADATA!$B$4,nASIG,"Conjunto"),""))</f>
        <v/>
      </c>
      <c r="K303" t="str" cm="1">
        <f t="array" ref="K303">IF(G303="","",IFERROR(AVERAGE(IF((nNIA=G303)*(nEVAL=CONFIG_METADATA!$B$4)*(nASIG&lt;&gt;"Lenguaje Musical")*(nASIG&lt;&gt;"Coro")*(nASIG&lt;&gt;"Conjunto"),nNOTA)),""))</f>
        <v/>
      </c>
      <c r="N303" t="str">
        <f>IF(M303="","",IFERROR(AVERAGEIFS(nNOTA,nNIA,M303,nEVAL,CONFIG_METADATA!$B$4,nASIG,"Lenguaje Musical"),""))</f>
        <v/>
      </c>
      <c r="O303" t="str">
        <f>IF(M303="","",IFERROR(AVERAGEIFS(nNOTA,nNIA,M303,nEVAL,CONFIG_METADATA!$B$4,nASIG,"Coro"),""))</f>
        <v/>
      </c>
      <c r="P303" t="str">
        <f>IF(M303="","",IFERROR(AVERAGEIFS(nNOTA,nNIA,M303,nEVAL,CONFIG_METADATA!$B$4,nASIG,"Conjunto"),""))</f>
        <v/>
      </c>
      <c r="Q303" t="str">
        <f>IF(M303="","",IFERROR(AVERAGEIFS(nNOTA,nNIA,M303,nEVAL,CONFIG_METADATA!$B$4,nASIG,"&lt;&gt;Lenguaje Musical",nASIG,"&lt;&gt;Coro",nASIG,"&lt;&gt;Conjunto"),""))</f>
        <v/>
      </c>
      <c r="T303" t="str">
        <f>IF(S303="","",IFERROR(AVERAGEIFS(nNOTA,nNIA,S303,nEVAL,CONFIG_METADATA!$B$4,nASIG,"Lenguaje Musical"),""))</f>
        <v/>
      </c>
      <c r="U303" t="str">
        <f>IF(S303="","",IFERROR(AVERAGEIFS(nNOTA,nNIA,S303,nEVAL,CONFIG_METADATA!$B$4,nASIG,"Coro"),""))</f>
        <v/>
      </c>
      <c r="V303" t="str">
        <f>IF(S303="","",IFERROR(AVERAGEIFS(nNOTA,nNIA,S303,nEVAL,CONFIG_METADATA!$B$4,nASIG,"Conjunto"),""))</f>
        <v/>
      </c>
      <c r="W303" t="str" cm="1">
        <f t="array" ref="W303">IF(S303="","",IFERROR(AVERAGE(IF((nNIA=S303)*(nEVAL=CONFIG_METADATA!$B$4)*(nASIG&lt;&gt;"Lenguaje Musical")*(nASIG&lt;&gt;"Coro")*(nASIG&lt;&gt;"Conjunto"),nNOTA)),""))</f>
        <v/>
      </c>
    </row>
    <row r="304" spans="2:23" x14ac:dyDescent="0.2">
      <c r="B304" t="str">
        <f>IF(A304="","",IFERROR(AVERAGEIFS(nNOTA,nNIA,A304,nEVAL,CONFIG_METADATA!$B$4,nASIG,"Lenguaje Musical"),""))</f>
        <v/>
      </c>
      <c r="C304" t="str">
        <f>IF(A304="","",IFERROR(AVERAGEIFS(nNOTA,nNIA,A304,nEVAL,CONFIG_METADATA!$B$4,nASIG,"Coro"),""))</f>
        <v/>
      </c>
      <c r="D304" t="str">
        <f>IF(A304="","",IFERROR(AVERAGEIFS(nNOTA,nNIA,A304,nEVAL,CONFIG_METADATA!$B$4,nASIG,"Conjunto"),""))</f>
        <v/>
      </c>
      <c r="E304" t="str">
        <f>IF(A304="","",IFERROR(AVERAGEIFS(nNOTA,nNIA,A304,nEVAL,CONFIG_METADATA!$B$4,nASIG,"&lt;&gt;Lenguaje Musical",nASIG,"&lt;&gt;Coro",nASIG,"&lt;&gt;Conjunto"),""))</f>
        <v/>
      </c>
      <c r="H304" t="str">
        <f>IF(G304="","",IFERROR(AVERAGEIFS(nNOTA,nNIA,G304,nEVAL,CONFIG_METADATA!$B$4,nASIG,"Lenguaje Musical"),""))</f>
        <v/>
      </c>
      <c r="I304" t="str">
        <f>IF(G304="","",IFERROR(AVERAGEIFS(nNOTA,nNIA,G304,nEVAL,CONFIG_METADATA!$B$4,nASIG,"Coro"),""))</f>
        <v/>
      </c>
      <c r="J304" t="str">
        <f>IF(G304="","",IFERROR(AVERAGEIFS(nNOTA,nNIA,G304,nEVAL,CONFIG_METADATA!$B$4,nASIG,"Conjunto"),""))</f>
        <v/>
      </c>
      <c r="K304" t="str" cm="1">
        <f t="array" ref="K304">IF(G304="","",IFERROR(AVERAGE(IF((nNIA=G304)*(nEVAL=CONFIG_METADATA!$B$4)*(nASIG&lt;&gt;"Lenguaje Musical")*(nASIG&lt;&gt;"Coro")*(nASIG&lt;&gt;"Conjunto"),nNOTA)),""))</f>
        <v/>
      </c>
      <c r="N304" t="str">
        <f>IF(M304="","",IFERROR(AVERAGEIFS(nNOTA,nNIA,M304,nEVAL,CONFIG_METADATA!$B$4,nASIG,"Lenguaje Musical"),""))</f>
        <v/>
      </c>
      <c r="O304" t="str">
        <f>IF(M304="","",IFERROR(AVERAGEIFS(nNOTA,nNIA,M304,nEVAL,CONFIG_METADATA!$B$4,nASIG,"Coro"),""))</f>
        <v/>
      </c>
      <c r="P304" t="str">
        <f>IF(M304="","",IFERROR(AVERAGEIFS(nNOTA,nNIA,M304,nEVAL,CONFIG_METADATA!$B$4,nASIG,"Conjunto"),""))</f>
        <v/>
      </c>
      <c r="Q304" t="str">
        <f>IF(M304="","",IFERROR(AVERAGEIFS(nNOTA,nNIA,M304,nEVAL,CONFIG_METADATA!$B$4,nASIG,"&lt;&gt;Lenguaje Musical",nASIG,"&lt;&gt;Coro",nASIG,"&lt;&gt;Conjunto"),""))</f>
        <v/>
      </c>
      <c r="T304" t="str">
        <f>IF(S304="","",IFERROR(AVERAGEIFS(nNOTA,nNIA,S304,nEVAL,CONFIG_METADATA!$B$4,nASIG,"Lenguaje Musical"),""))</f>
        <v/>
      </c>
      <c r="U304" t="str">
        <f>IF(S304="","",IFERROR(AVERAGEIFS(nNOTA,nNIA,S304,nEVAL,CONFIG_METADATA!$B$4,nASIG,"Coro"),""))</f>
        <v/>
      </c>
      <c r="V304" t="str">
        <f>IF(S304="","",IFERROR(AVERAGEIFS(nNOTA,nNIA,S304,nEVAL,CONFIG_METADATA!$B$4,nASIG,"Conjunto"),""))</f>
        <v/>
      </c>
      <c r="W304" t="str" cm="1">
        <f t="array" ref="W304">IF(S304="","",IFERROR(AVERAGE(IF((nNIA=S304)*(nEVAL=CONFIG_METADATA!$B$4)*(nASIG&lt;&gt;"Lenguaje Musical")*(nASIG&lt;&gt;"Coro")*(nASIG&lt;&gt;"Conjunto"),nNOTA)),""))</f>
        <v/>
      </c>
    </row>
    <row r="305" spans="2:23" x14ac:dyDescent="0.2">
      <c r="B305" t="str">
        <f>IF(A305="","",IFERROR(AVERAGEIFS(nNOTA,nNIA,A305,nEVAL,CONFIG_METADATA!$B$4,nASIG,"Lenguaje Musical"),""))</f>
        <v/>
      </c>
      <c r="C305" t="str">
        <f>IF(A305="","",IFERROR(AVERAGEIFS(nNOTA,nNIA,A305,nEVAL,CONFIG_METADATA!$B$4,nASIG,"Coro"),""))</f>
        <v/>
      </c>
      <c r="D305" t="str">
        <f>IF(A305="","",IFERROR(AVERAGEIFS(nNOTA,nNIA,A305,nEVAL,CONFIG_METADATA!$B$4,nASIG,"Conjunto"),""))</f>
        <v/>
      </c>
      <c r="E305" t="str">
        <f>IF(A305="","",IFERROR(AVERAGEIFS(nNOTA,nNIA,A305,nEVAL,CONFIG_METADATA!$B$4,nASIG,"&lt;&gt;Lenguaje Musical",nASIG,"&lt;&gt;Coro",nASIG,"&lt;&gt;Conjunto"),""))</f>
        <v/>
      </c>
      <c r="H305" t="str">
        <f>IF(G305="","",IFERROR(AVERAGEIFS(nNOTA,nNIA,G305,nEVAL,CONFIG_METADATA!$B$4,nASIG,"Lenguaje Musical"),""))</f>
        <v/>
      </c>
      <c r="I305" t="str">
        <f>IF(G305="","",IFERROR(AVERAGEIFS(nNOTA,nNIA,G305,nEVAL,CONFIG_METADATA!$B$4,nASIG,"Coro"),""))</f>
        <v/>
      </c>
      <c r="J305" t="str">
        <f>IF(G305="","",IFERROR(AVERAGEIFS(nNOTA,nNIA,G305,nEVAL,CONFIG_METADATA!$B$4,nASIG,"Conjunto"),""))</f>
        <v/>
      </c>
      <c r="K305" t="str" cm="1">
        <f t="array" ref="K305">IF(G305="","",IFERROR(AVERAGE(IF((nNIA=G305)*(nEVAL=CONFIG_METADATA!$B$4)*(nASIG&lt;&gt;"Lenguaje Musical")*(nASIG&lt;&gt;"Coro")*(nASIG&lt;&gt;"Conjunto"),nNOTA)),""))</f>
        <v/>
      </c>
      <c r="N305" t="str">
        <f>IF(M305="","",IFERROR(AVERAGEIFS(nNOTA,nNIA,M305,nEVAL,CONFIG_METADATA!$B$4,nASIG,"Lenguaje Musical"),""))</f>
        <v/>
      </c>
      <c r="O305" t="str">
        <f>IF(M305="","",IFERROR(AVERAGEIFS(nNOTA,nNIA,M305,nEVAL,CONFIG_METADATA!$B$4,nASIG,"Coro"),""))</f>
        <v/>
      </c>
      <c r="P305" t="str">
        <f>IF(M305="","",IFERROR(AVERAGEIFS(nNOTA,nNIA,M305,nEVAL,CONFIG_METADATA!$B$4,nASIG,"Conjunto"),""))</f>
        <v/>
      </c>
      <c r="Q305" t="str">
        <f>IF(M305="","",IFERROR(AVERAGEIFS(nNOTA,nNIA,M305,nEVAL,CONFIG_METADATA!$B$4,nASIG,"&lt;&gt;Lenguaje Musical",nASIG,"&lt;&gt;Coro",nASIG,"&lt;&gt;Conjunto"),""))</f>
        <v/>
      </c>
      <c r="T305" t="str">
        <f>IF(S305="","",IFERROR(AVERAGEIFS(nNOTA,nNIA,S305,nEVAL,CONFIG_METADATA!$B$4,nASIG,"Lenguaje Musical"),""))</f>
        <v/>
      </c>
      <c r="U305" t="str">
        <f>IF(S305="","",IFERROR(AVERAGEIFS(nNOTA,nNIA,S305,nEVAL,CONFIG_METADATA!$B$4,nASIG,"Coro"),""))</f>
        <v/>
      </c>
      <c r="V305" t="str">
        <f>IF(S305="","",IFERROR(AVERAGEIFS(nNOTA,nNIA,S305,nEVAL,CONFIG_METADATA!$B$4,nASIG,"Conjunto"),""))</f>
        <v/>
      </c>
      <c r="W305" t="str" cm="1">
        <f t="array" ref="W305">IF(S305="","",IFERROR(AVERAGE(IF((nNIA=S305)*(nEVAL=CONFIG_METADATA!$B$4)*(nASIG&lt;&gt;"Lenguaje Musical")*(nASIG&lt;&gt;"Coro")*(nASIG&lt;&gt;"Conjunto"),nNOTA)),""))</f>
        <v/>
      </c>
    </row>
    <row r="306" spans="2:23" x14ac:dyDescent="0.2">
      <c r="B306" t="str">
        <f>IF(A306="","",IFERROR(AVERAGEIFS(nNOTA,nNIA,A306,nEVAL,CONFIG_METADATA!$B$4,nASIG,"Lenguaje Musical"),""))</f>
        <v/>
      </c>
      <c r="C306" t="str">
        <f>IF(A306="","",IFERROR(AVERAGEIFS(nNOTA,nNIA,A306,nEVAL,CONFIG_METADATA!$B$4,nASIG,"Coro"),""))</f>
        <v/>
      </c>
      <c r="D306" t="str">
        <f>IF(A306="","",IFERROR(AVERAGEIFS(nNOTA,nNIA,A306,nEVAL,CONFIG_METADATA!$B$4,nASIG,"Conjunto"),""))</f>
        <v/>
      </c>
      <c r="E306" t="str">
        <f>IF(A306="","",IFERROR(AVERAGEIFS(nNOTA,nNIA,A306,nEVAL,CONFIG_METADATA!$B$4,nASIG,"&lt;&gt;Lenguaje Musical",nASIG,"&lt;&gt;Coro",nASIG,"&lt;&gt;Conjunto"),""))</f>
        <v/>
      </c>
      <c r="H306" t="str">
        <f>IF(G306="","",IFERROR(AVERAGEIFS(nNOTA,nNIA,G306,nEVAL,CONFIG_METADATA!$B$4,nASIG,"Lenguaje Musical"),""))</f>
        <v/>
      </c>
      <c r="I306" t="str">
        <f>IF(G306="","",IFERROR(AVERAGEIFS(nNOTA,nNIA,G306,nEVAL,CONFIG_METADATA!$B$4,nASIG,"Coro"),""))</f>
        <v/>
      </c>
      <c r="J306" t="str">
        <f>IF(G306="","",IFERROR(AVERAGEIFS(nNOTA,nNIA,G306,nEVAL,CONFIG_METADATA!$B$4,nASIG,"Conjunto"),""))</f>
        <v/>
      </c>
      <c r="K306" t="str" cm="1">
        <f t="array" ref="K306">IF(G306="","",IFERROR(AVERAGE(IF((nNIA=G306)*(nEVAL=CONFIG_METADATA!$B$4)*(nASIG&lt;&gt;"Lenguaje Musical")*(nASIG&lt;&gt;"Coro")*(nASIG&lt;&gt;"Conjunto"),nNOTA)),""))</f>
        <v/>
      </c>
      <c r="N306" t="str">
        <f>IF(M306="","",IFERROR(AVERAGEIFS(nNOTA,nNIA,M306,nEVAL,CONFIG_METADATA!$B$4,nASIG,"Lenguaje Musical"),""))</f>
        <v/>
      </c>
      <c r="O306" t="str">
        <f>IF(M306="","",IFERROR(AVERAGEIFS(nNOTA,nNIA,M306,nEVAL,CONFIG_METADATA!$B$4,nASIG,"Coro"),""))</f>
        <v/>
      </c>
      <c r="P306" t="str">
        <f>IF(M306="","",IFERROR(AVERAGEIFS(nNOTA,nNIA,M306,nEVAL,CONFIG_METADATA!$B$4,nASIG,"Conjunto"),""))</f>
        <v/>
      </c>
      <c r="Q306" t="str">
        <f>IF(M306="","",IFERROR(AVERAGEIFS(nNOTA,nNIA,M306,nEVAL,CONFIG_METADATA!$B$4,nASIG,"&lt;&gt;Lenguaje Musical",nASIG,"&lt;&gt;Coro",nASIG,"&lt;&gt;Conjunto"),""))</f>
        <v/>
      </c>
      <c r="T306" t="str">
        <f>IF(S306="","",IFERROR(AVERAGEIFS(nNOTA,nNIA,S306,nEVAL,CONFIG_METADATA!$B$4,nASIG,"Lenguaje Musical"),""))</f>
        <v/>
      </c>
      <c r="U306" t="str">
        <f>IF(S306="","",IFERROR(AVERAGEIFS(nNOTA,nNIA,S306,nEVAL,CONFIG_METADATA!$B$4,nASIG,"Coro"),""))</f>
        <v/>
      </c>
      <c r="V306" t="str">
        <f>IF(S306="","",IFERROR(AVERAGEIFS(nNOTA,nNIA,S306,nEVAL,CONFIG_METADATA!$B$4,nASIG,"Conjunto"),""))</f>
        <v/>
      </c>
      <c r="W306" t="str" cm="1">
        <f t="array" ref="W306">IF(S306="","",IFERROR(AVERAGE(IF((nNIA=S306)*(nEVAL=CONFIG_METADATA!$B$4)*(nASIG&lt;&gt;"Lenguaje Musical")*(nASIG&lt;&gt;"Coro")*(nASIG&lt;&gt;"Conjunto"),nNOTA)),""))</f>
        <v/>
      </c>
    </row>
    <row r="307" spans="2:23" x14ac:dyDescent="0.2">
      <c r="B307" t="str">
        <f>IF(A307="","",IFERROR(AVERAGEIFS(nNOTA,nNIA,A307,nEVAL,CONFIG_METADATA!$B$4,nASIG,"Lenguaje Musical"),""))</f>
        <v/>
      </c>
      <c r="C307" t="str">
        <f>IF(A307="","",IFERROR(AVERAGEIFS(nNOTA,nNIA,A307,nEVAL,CONFIG_METADATA!$B$4,nASIG,"Coro"),""))</f>
        <v/>
      </c>
      <c r="D307" t="str">
        <f>IF(A307="","",IFERROR(AVERAGEIFS(nNOTA,nNIA,A307,nEVAL,CONFIG_METADATA!$B$4,nASIG,"Conjunto"),""))</f>
        <v/>
      </c>
      <c r="E307" t="str">
        <f>IF(A307="","",IFERROR(AVERAGEIFS(nNOTA,nNIA,A307,nEVAL,CONFIG_METADATA!$B$4,nASIG,"&lt;&gt;Lenguaje Musical",nASIG,"&lt;&gt;Coro",nASIG,"&lt;&gt;Conjunto"),""))</f>
        <v/>
      </c>
      <c r="H307" t="str">
        <f>IF(G307="","",IFERROR(AVERAGEIFS(nNOTA,nNIA,G307,nEVAL,CONFIG_METADATA!$B$4,nASIG,"Lenguaje Musical"),""))</f>
        <v/>
      </c>
      <c r="I307" t="str">
        <f>IF(G307="","",IFERROR(AVERAGEIFS(nNOTA,nNIA,G307,nEVAL,CONFIG_METADATA!$B$4,nASIG,"Coro"),""))</f>
        <v/>
      </c>
      <c r="J307" t="str">
        <f>IF(G307="","",IFERROR(AVERAGEIFS(nNOTA,nNIA,G307,nEVAL,CONFIG_METADATA!$B$4,nASIG,"Conjunto"),""))</f>
        <v/>
      </c>
      <c r="K307" t="str" cm="1">
        <f t="array" ref="K307">IF(G307="","",IFERROR(AVERAGE(IF((nNIA=G307)*(nEVAL=CONFIG_METADATA!$B$4)*(nASIG&lt;&gt;"Lenguaje Musical")*(nASIG&lt;&gt;"Coro")*(nASIG&lt;&gt;"Conjunto"),nNOTA)),""))</f>
        <v/>
      </c>
      <c r="N307" t="str">
        <f>IF(M307="","",IFERROR(AVERAGEIFS(nNOTA,nNIA,M307,nEVAL,CONFIG_METADATA!$B$4,nASIG,"Lenguaje Musical"),""))</f>
        <v/>
      </c>
      <c r="O307" t="str">
        <f>IF(M307="","",IFERROR(AVERAGEIFS(nNOTA,nNIA,M307,nEVAL,CONFIG_METADATA!$B$4,nASIG,"Coro"),""))</f>
        <v/>
      </c>
      <c r="P307" t="str">
        <f>IF(M307="","",IFERROR(AVERAGEIFS(nNOTA,nNIA,M307,nEVAL,CONFIG_METADATA!$B$4,nASIG,"Conjunto"),""))</f>
        <v/>
      </c>
      <c r="Q307" t="str">
        <f>IF(M307="","",IFERROR(AVERAGEIFS(nNOTA,nNIA,M307,nEVAL,CONFIG_METADATA!$B$4,nASIG,"&lt;&gt;Lenguaje Musical",nASIG,"&lt;&gt;Coro",nASIG,"&lt;&gt;Conjunto"),""))</f>
        <v/>
      </c>
      <c r="T307" t="str">
        <f>IF(S307="","",IFERROR(AVERAGEIFS(nNOTA,nNIA,S307,nEVAL,CONFIG_METADATA!$B$4,nASIG,"Lenguaje Musical"),""))</f>
        <v/>
      </c>
      <c r="U307" t="str">
        <f>IF(S307="","",IFERROR(AVERAGEIFS(nNOTA,nNIA,S307,nEVAL,CONFIG_METADATA!$B$4,nASIG,"Coro"),""))</f>
        <v/>
      </c>
      <c r="V307" t="str">
        <f>IF(S307="","",IFERROR(AVERAGEIFS(nNOTA,nNIA,S307,nEVAL,CONFIG_METADATA!$B$4,nASIG,"Conjunto"),""))</f>
        <v/>
      </c>
      <c r="W307" t="str" cm="1">
        <f t="array" ref="W307">IF(S307="","",IFERROR(AVERAGE(IF((nNIA=S307)*(nEVAL=CONFIG_METADATA!$B$4)*(nASIG&lt;&gt;"Lenguaje Musical")*(nASIG&lt;&gt;"Coro")*(nASIG&lt;&gt;"Conjunto"),nNOTA)),""))</f>
        <v/>
      </c>
    </row>
    <row r="308" spans="2:23" x14ac:dyDescent="0.2">
      <c r="B308" t="str">
        <f>IF(A308="","",IFERROR(AVERAGEIFS(nNOTA,nNIA,A308,nEVAL,CONFIG_METADATA!$B$4,nASIG,"Lenguaje Musical"),""))</f>
        <v/>
      </c>
      <c r="C308" t="str">
        <f>IF(A308="","",IFERROR(AVERAGEIFS(nNOTA,nNIA,A308,nEVAL,CONFIG_METADATA!$B$4,nASIG,"Coro"),""))</f>
        <v/>
      </c>
      <c r="D308" t="str">
        <f>IF(A308="","",IFERROR(AVERAGEIFS(nNOTA,nNIA,A308,nEVAL,CONFIG_METADATA!$B$4,nASIG,"Conjunto"),""))</f>
        <v/>
      </c>
      <c r="E308" t="str">
        <f>IF(A308="","",IFERROR(AVERAGEIFS(nNOTA,nNIA,A308,nEVAL,CONFIG_METADATA!$B$4,nASIG,"&lt;&gt;Lenguaje Musical",nASIG,"&lt;&gt;Coro",nASIG,"&lt;&gt;Conjunto"),""))</f>
        <v/>
      </c>
      <c r="H308" t="str">
        <f>IF(G308="","",IFERROR(AVERAGEIFS(nNOTA,nNIA,G308,nEVAL,CONFIG_METADATA!$B$4,nASIG,"Lenguaje Musical"),""))</f>
        <v/>
      </c>
      <c r="I308" t="str">
        <f>IF(G308="","",IFERROR(AVERAGEIFS(nNOTA,nNIA,G308,nEVAL,CONFIG_METADATA!$B$4,nASIG,"Coro"),""))</f>
        <v/>
      </c>
      <c r="J308" t="str">
        <f>IF(G308="","",IFERROR(AVERAGEIFS(nNOTA,nNIA,G308,nEVAL,CONFIG_METADATA!$B$4,nASIG,"Conjunto"),""))</f>
        <v/>
      </c>
      <c r="K308" t="str" cm="1">
        <f t="array" ref="K308">IF(G308="","",IFERROR(AVERAGE(IF((nNIA=G308)*(nEVAL=CONFIG_METADATA!$B$4)*(nASIG&lt;&gt;"Lenguaje Musical")*(nASIG&lt;&gt;"Coro")*(nASIG&lt;&gt;"Conjunto"),nNOTA)),""))</f>
        <v/>
      </c>
      <c r="N308" t="str">
        <f>IF(M308="","",IFERROR(AVERAGEIFS(nNOTA,nNIA,M308,nEVAL,CONFIG_METADATA!$B$4,nASIG,"Lenguaje Musical"),""))</f>
        <v/>
      </c>
      <c r="O308" t="str">
        <f>IF(M308="","",IFERROR(AVERAGEIFS(nNOTA,nNIA,M308,nEVAL,CONFIG_METADATA!$B$4,nASIG,"Coro"),""))</f>
        <v/>
      </c>
      <c r="P308" t="str">
        <f>IF(M308="","",IFERROR(AVERAGEIFS(nNOTA,nNIA,M308,nEVAL,CONFIG_METADATA!$B$4,nASIG,"Conjunto"),""))</f>
        <v/>
      </c>
      <c r="Q308" t="str">
        <f>IF(M308="","",IFERROR(AVERAGEIFS(nNOTA,nNIA,M308,nEVAL,CONFIG_METADATA!$B$4,nASIG,"&lt;&gt;Lenguaje Musical",nASIG,"&lt;&gt;Coro",nASIG,"&lt;&gt;Conjunto"),""))</f>
        <v/>
      </c>
      <c r="T308" t="str">
        <f>IF(S308="","",IFERROR(AVERAGEIFS(nNOTA,nNIA,S308,nEVAL,CONFIG_METADATA!$B$4,nASIG,"Lenguaje Musical"),""))</f>
        <v/>
      </c>
      <c r="U308" t="str">
        <f>IF(S308="","",IFERROR(AVERAGEIFS(nNOTA,nNIA,S308,nEVAL,CONFIG_METADATA!$B$4,nASIG,"Coro"),""))</f>
        <v/>
      </c>
      <c r="V308" t="str">
        <f>IF(S308="","",IFERROR(AVERAGEIFS(nNOTA,nNIA,S308,nEVAL,CONFIG_METADATA!$B$4,nASIG,"Conjunto"),""))</f>
        <v/>
      </c>
      <c r="W308" t="str" cm="1">
        <f t="array" ref="W308">IF(S308="","",IFERROR(AVERAGE(IF((nNIA=S308)*(nEVAL=CONFIG_METADATA!$B$4)*(nASIG&lt;&gt;"Lenguaje Musical")*(nASIG&lt;&gt;"Coro")*(nASIG&lt;&gt;"Conjunto"),nNOTA)),""))</f>
        <v/>
      </c>
    </row>
    <row r="309" spans="2:23" x14ac:dyDescent="0.2">
      <c r="B309" t="str">
        <f>IF(A309="","",IFERROR(AVERAGEIFS(nNOTA,nNIA,A309,nEVAL,CONFIG_METADATA!$B$4,nASIG,"Lenguaje Musical"),""))</f>
        <v/>
      </c>
      <c r="C309" t="str">
        <f>IF(A309="","",IFERROR(AVERAGEIFS(nNOTA,nNIA,A309,nEVAL,CONFIG_METADATA!$B$4,nASIG,"Coro"),""))</f>
        <v/>
      </c>
      <c r="D309" t="str">
        <f>IF(A309="","",IFERROR(AVERAGEIFS(nNOTA,nNIA,A309,nEVAL,CONFIG_METADATA!$B$4,nASIG,"Conjunto"),""))</f>
        <v/>
      </c>
      <c r="E309" t="str">
        <f>IF(A309="","",IFERROR(AVERAGEIFS(nNOTA,nNIA,A309,nEVAL,CONFIG_METADATA!$B$4,nASIG,"&lt;&gt;Lenguaje Musical",nASIG,"&lt;&gt;Coro",nASIG,"&lt;&gt;Conjunto"),""))</f>
        <v/>
      </c>
      <c r="H309" t="str">
        <f>IF(G309="","",IFERROR(AVERAGEIFS(nNOTA,nNIA,G309,nEVAL,CONFIG_METADATA!$B$4,nASIG,"Lenguaje Musical"),""))</f>
        <v/>
      </c>
      <c r="I309" t="str">
        <f>IF(G309="","",IFERROR(AVERAGEIFS(nNOTA,nNIA,G309,nEVAL,CONFIG_METADATA!$B$4,nASIG,"Coro"),""))</f>
        <v/>
      </c>
      <c r="J309" t="str">
        <f>IF(G309="","",IFERROR(AVERAGEIFS(nNOTA,nNIA,G309,nEVAL,CONFIG_METADATA!$B$4,nASIG,"Conjunto"),""))</f>
        <v/>
      </c>
      <c r="K309" t="str" cm="1">
        <f t="array" ref="K309">IF(G309="","",IFERROR(AVERAGE(IF((nNIA=G309)*(nEVAL=CONFIG_METADATA!$B$4)*(nASIG&lt;&gt;"Lenguaje Musical")*(nASIG&lt;&gt;"Coro")*(nASIG&lt;&gt;"Conjunto"),nNOTA)),""))</f>
        <v/>
      </c>
      <c r="N309" t="str">
        <f>IF(M309="","",IFERROR(AVERAGEIFS(nNOTA,nNIA,M309,nEVAL,CONFIG_METADATA!$B$4,nASIG,"Lenguaje Musical"),""))</f>
        <v/>
      </c>
      <c r="O309" t="str">
        <f>IF(M309="","",IFERROR(AVERAGEIFS(nNOTA,nNIA,M309,nEVAL,CONFIG_METADATA!$B$4,nASIG,"Coro"),""))</f>
        <v/>
      </c>
      <c r="P309" t="str">
        <f>IF(M309="","",IFERROR(AVERAGEIFS(nNOTA,nNIA,M309,nEVAL,CONFIG_METADATA!$B$4,nASIG,"Conjunto"),""))</f>
        <v/>
      </c>
      <c r="Q309" t="str">
        <f>IF(M309="","",IFERROR(AVERAGEIFS(nNOTA,nNIA,M309,nEVAL,CONFIG_METADATA!$B$4,nASIG,"&lt;&gt;Lenguaje Musical",nASIG,"&lt;&gt;Coro",nASIG,"&lt;&gt;Conjunto"),""))</f>
        <v/>
      </c>
      <c r="T309" t="str">
        <f>IF(S309="","",IFERROR(AVERAGEIFS(nNOTA,nNIA,S309,nEVAL,CONFIG_METADATA!$B$4,nASIG,"Lenguaje Musical"),""))</f>
        <v/>
      </c>
      <c r="U309" t="str">
        <f>IF(S309="","",IFERROR(AVERAGEIFS(nNOTA,nNIA,S309,nEVAL,CONFIG_METADATA!$B$4,nASIG,"Coro"),""))</f>
        <v/>
      </c>
      <c r="V309" t="str">
        <f>IF(S309="","",IFERROR(AVERAGEIFS(nNOTA,nNIA,S309,nEVAL,CONFIG_METADATA!$B$4,nASIG,"Conjunto"),""))</f>
        <v/>
      </c>
      <c r="W309" t="str" cm="1">
        <f t="array" ref="W309">IF(S309="","",IFERROR(AVERAGE(IF((nNIA=S309)*(nEVAL=CONFIG_METADATA!$B$4)*(nASIG&lt;&gt;"Lenguaje Musical")*(nASIG&lt;&gt;"Coro")*(nASIG&lt;&gt;"Conjunto"),nNOTA)),""))</f>
        <v/>
      </c>
    </row>
    <row r="310" spans="2:23" x14ac:dyDescent="0.2">
      <c r="B310" t="str">
        <f>IF(A310="","",IFERROR(AVERAGEIFS(nNOTA,nNIA,A310,nEVAL,CONFIG_METADATA!$B$4,nASIG,"Lenguaje Musical"),""))</f>
        <v/>
      </c>
      <c r="C310" t="str">
        <f>IF(A310="","",IFERROR(AVERAGEIFS(nNOTA,nNIA,A310,nEVAL,CONFIG_METADATA!$B$4,nASIG,"Coro"),""))</f>
        <v/>
      </c>
      <c r="D310" t="str">
        <f>IF(A310="","",IFERROR(AVERAGEIFS(nNOTA,nNIA,A310,nEVAL,CONFIG_METADATA!$B$4,nASIG,"Conjunto"),""))</f>
        <v/>
      </c>
      <c r="E310" t="str">
        <f>IF(A310="","",IFERROR(AVERAGEIFS(nNOTA,nNIA,A310,nEVAL,CONFIG_METADATA!$B$4,nASIG,"&lt;&gt;Lenguaje Musical",nASIG,"&lt;&gt;Coro",nASIG,"&lt;&gt;Conjunto"),""))</f>
        <v/>
      </c>
      <c r="H310" t="str">
        <f>IF(G310="","",IFERROR(AVERAGEIFS(nNOTA,nNIA,G310,nEVAL,CONFIG_METADATA!$B$4,nASIG,"Lenguaje Musical"),""))</f>
        <v/>
      </c>
      <c r="I310" t="str">
        <f>IF(G310="","",IFERROR(AVERAGEIFS(nNOTA,nNIA,G310,nEVAL,CONFIG_METADATA!$B$4,nASIG,"Coro"),""))</f>
        <v/>
      </c>
      <c r="J310" t="str">
        <f>IF(G310="","",IFERROR(AVERAGEIFS(nNOTA,nNIA,G310,nEVAL,CONFIG_METADATA!$B$4,nASIG,"Conjunto"),""))</f>
        <v/>
      </c>
      <c r="K310" t="str" cm="1">
        <f t="array" ref="K310">IF(G310="","",IFERROR(AVERAGE(IF((nNIA=G310)*(nEVAL=CONFIG_METADATA!$B$4)*(nASIG&lt;&gt;"Lenguaje Musical")*(nASIG&lt;&gt;"Coro")*(nASIG&lt;&gt;"Conjunto"),nNOTA)),""))</f>
        <v/>
      </c>
      <c r="N310" t="str">
        <f>IF(M310="","",IFERROR(AVERAGEIFS(nNOTA,nNIA,M310,nEVAL,CONFIG_METADATA!$B$4,nASIG,"Lenguaje Musical"),""))</f>
        <v/>
      </c>
      <c r="O310" t="str">
        <f>IF(M310="","",IFERROR(AVERAGEIFS(nNOTA,nNIA,M310,nEVAL,CONFIG_METADATA!$B$4,nASIG,"Coro"),""))</f>
        <v/>
      </c>
      <c r="P310" t="str">
        <f>IF(M310="","",IFERROR(AVERAGEIFS(nNOTA,nNIA,M310,nEVAL,CONFIG_METADATA!$B$4,nASIG,"Conjunto"),""))</f>
        <v/>
      </c>
      <c r="Q310" t="str">
        <f>IF(M310="","",IFERROR(AVERAGEIFS(nNOTA,nNIA,M310,nEVAL,CONFIG_METADATA!$B$4,nASIG,"&lt;&gt;Lenguaje Musical",nASIG,"&lt;&gt;Coro",nASIG,"&lt;&gt;Conjunto"),""))</f>
        <v/>
      </c>
      <c r="T310" t="str">
        <f>IF(S310="","",IFERROR(AVERAGEIFS(nNOTA,nNIA,S310,nEVAL,CONFIG_METADATA!$B$4,nASIG,"Lenguaje Musical"),""))</f>
        <v/>
      </c>
      <c r="U310" t="str">
        <f>IF(S310="","",IFERROR(AVERAGEIFS(nNOTA,nNIA,S310,nEVAL,CONFIG_METADATA!$B$4,nASIG,"Coro"),""))</f>
        <v/>
      </c>
      <c r="V310" t="str">
        <f>IF(S310="","",IFERROR(AVERAGEIFS(nNOTA,nNIA,S310,nEVAL,CONFIG_METADATA!$B$4,nASIG,"Conjunto"),""))</f>
        <v/>
      </c>
      <c r="W310" t="str" cm="1">
        <f t="array" ref="W310">IF(S310="","",IFERROR(AVERAGE(IF((nNIA=S310)*(nEVAL=CONFIG_METADATA!$B$4)*(nASIG&lt;&gt;"Lenguaje Musical")*(nASIG&lt;&gt;"Coro")*(nASIG&lt;&gt;"Conjunto"),nNOTA)),""))</f>
        <v/>
      </c>
    </row>
    <row r="311" spans="2:23" x14ac:dyDescent="0.2">
      <c r="B311" t="str">
        <f>IF(A311="","",IFERROR(AVERAGEIFS(nNOTA,nNIA,A311,nEVAL,CONFIG_METADATA!$B$4,nASIG,"Lenguaje Musical"),""))</f>
        <v/>
      </c>
      <c r="C311" t="str">
        <f>IF(A311="","",IFERROR(AVERAGEIFS(nNOTA,nNIA,A311,nEVAL,CONFIG_METADATA!$B$4,nASIG,"Coro"),""))</f>
        <v/>
      </c>
      <c r="D311" t="str">
        <f>IF(A311="","",IFERROR(AVERAGEIFS(nNOTA,nNIA,A311,nEVAL,CONFIG_METADATA!$B$4,nASIG,"Conjunto"),""))</f>
        <v/>
      </c>
      <c r="E311" t="str">
        <f>IF(A311="","",IFERROR(AVERAGEIFS(nNOTA,nNIA,A311,nEVAL,CONFIG_METADATA!$B$4,nASIG,"&lt;&gt;Lenguaje Musical",nASIG,"&lt;&gt;Coro",nASIG,"&lt;&gt;Conjunto"),""))</f>
        <v/>
      </c>
      <c r="H311" t="str">
        <f>IF(G311="","",IFERROR(AVERAGEIFS(nNOTA,nNIA,G311,nEVAL,CONFIG_METADATA!$B$4,nASIG,"Lenguaje Musical"),""))</f>
        <v/>
      </c>
      <c r="I311" t="str">
        <f>IF(G311="","",IFERROR(AVERAGEIFS(nNOTA,nNIA,G311,nEVAL,CONFIG_METADATA!$B$4,nASIG,"Coro"),""))</f>
        <v/>
      </c>
      <c r="J311" t="str">
        <f>IF(G311="","",IFERROR(AVERAGEIFS(nNOTA,nNIA,G311,nEVAL,CONFIG_METADATA!$B$4,nASIG,"Conjunto"),""))</f>
        <v/>
      </c>
      <c r="K311" t="str" cm="1">
        <f t="array" ref="K311">IF(G311="","",IFERROR(AVERAGE(IF((nNIA=G311)*(nEVAL=CONFIG_METADATA!$B$4)*(nASIG&lt;&gt;"Lenguaje Musical")*(nASIG&lt;&gt;"Coro")*(nASIG&lt;&gt;"Conjunto"),nNOTA)),""))</f>
        <v/>
      </c>
      <c r="N311" t="str">
        <f>IF(M311="","",IFERROR(AVERAGEIFS(nNOTA,nNIA,M311,nEVAL,CONFIG_METADATA!$B$4,nASIG,"Lenguaje Musical"),""))</f>
        <v/>
      </c>
      <c r="O311" t="str">
        <f>IF(M311="","",IFERROR(AVERAGEIFS(nNOTA,nNIA,M311,nEVAL,CONFIG_METADATA!$B$4,nASIG,"Coro"),""))</f>
        <v/>
      </c>
      <c r="P311" t="str">
        <f>IF(M311="","",IFERROR(AVERAGEIFS(nNOTA,nNIA,M311,nEVAL,CONFIG_METADATA!$B$4,nASIG,"Conjunto"),""))</f>
        <v/>
      </c>
      <c r="Q311" t="str">
        <f>IF(M311="","",IFERROR(AVERAGEIFS(nNOTA,nNIA,M311,nEVAL,CONFIG_METADATA!$B$4,nASIG,"&lt;&gt;Lenguaje Musical",nASIG,"&lt;&gt;Coro",nASIG,"&lt;&gt;Conjunto"),""))</f>
        <v/>
      </c>
      <c r="T311" t="str">
        <f>IF(S311="","",IFERROR(AVERAGEIFS(nNOTA,nNIA,S311,nEVAL,CONFIG_METADATA!$B$4,nASIG,"Lenguaje Musical"),""))</f>
        <v/>
      </c>
      <c r="U311" t="str">
        <f>IF(S311="","",IFERROR(AVERAGEIFS(nNOTA,nNIA,S311,nEVAL,CONFIG_METADATA!$B$4,nASIG,"Coro"),""))</f>
        <v/>
      </c>
      <c r="V311" t="str">
        <f>IF(S311="","",IFERROR(AVERAGEIFS(nNOTA,nNIA,S311,nEVAL,CONFIG_METADATA!$B$4,nASIG,"Conjunto"),""))</f>
        <v/>
      </c>
      <c r="W311" t="str" cm="1">
        <f t="array" ref="W311">IF(S311="","",IFERROR(AVERAGE(IF((nNIA=S311)*(nEVAL=CONFIG_METADATA!$B$4)*(nASIG&lt;&gt;"Lenguaje Musical")*(nASIG&lt;&gt;"Coro")*(nASIG&lt;&gt;"Conjunto"),nNOTA)),""))</f>
        <v/>
      </c>
    </row>
    <row r="312" spans="2:23" x14ac:dyDescent="0.2">
      <c r="B312" t="str">
        <f>IF(A312="","",IFERROR(AVERAGEIFS(nNOTA,nNIA,A312,nEVAL,CONFIG_METADATA!$B$4,nASIG,"Lenguaje Musical"),""))</f>
        <v/>
      </c>
      <c r="C312" t="str">
        <f>IF(A312="","",IFERROR(AVERAGEIFS(nNOTA,nNIA,A312,nEVAL,CONFIG_METADATA!$B$4,nASIG,"Coro"),""))</f>
        <v/>
      </c>
      <c r="D312" t="str">
        <f>IF(A312="","",IFERROR(AVERAGEIFS(nNOTA,nNIA,A312,nEVAL,CONFIG_METADATA!$B$4,nASIG,"Conjunto"),""))</f>
        <v/>
      </c>
      <c r="E312" t="str">
        <f>IF(A312="","",IFERROR(AVERAGEIFS(nNOTA,nNIA,A312,nEVAL,CONFIG_METADATA!$B$4,nASIG,"&lt;&gt;Lenguaje Musical",nASIG,"&lt;&gt;Coro",nASIG,"&lt;&gt;Conjunto"),""))</f>
        <v/>
      </c>
      <c r="H312" t="str">
        <f>IF(G312="","",IFERROR(AVERAGEIFS(nNOTA,nNIA,G312,nEVAL,CONFIG_METADATA!$B$4,nASIG,"Lenguaje Musical"),""))</f>
        <v/>
      </c>
      <c r="I312" t="str">
        <f>IF(G312="","",IFERROR(AVERAGEIFS(nNOTA,nNIA,G312,nEVAL,CONFIG_METADATA!$B$4,nASIG,"Coro"),""))</f>
        <v/>
      </c>
      <c r="J312" t="str">
        <f>IF(G312="","",IFERROR(AVERAGEIFS(nNOTA,nNIA,G312,nEVAL,CONFIG_METADATA!$B$4,nASIG,"Conjunto"),""))</f>
        <v/>
      </c>
      <c r="K312" t="str" cm="1">
        <f t="array" ref="K312">IF(G312="","",IFERROR(AVERAGE(IF((nNIA=G312)*(nEVAL=CONFIG_METADATA!$B$4)*(nASIG&lt;&gt;"Lenguaje Musical")*(nASIG&lt;&gt;"Coro")*(nASIG&lt;&gt;"Conjunto"),nNOTA)),""))</f>
        <v/>
      </c>
      <c r="N312" t="str">
        <f>IF(M312="","",IFERROR(AVERAGEIFS(nNOTA,nNIA,M312,nEVAL,CONFIG_METADATA!$B$4,nASIG,"Lenguaje Musical"),""))</f>
        <v/>
      </c>
      <c r="O312" t="str">
        <f>IF(M312="","",IFERROR(AVERAGEIFS(nNOTA,nNIA,M312,nEVAL,CONFIG_METADATA!$B$4,nASIG,"Coro"),""))</f>
        <v/>
      </c>
      <c r="P312" t="str">
        <f>IF(M312="","",IFERROR(AVERAGEIFS(nNOTA,nNIA,M312,nEVAL,CONFIG_METADATA!$B$4,nASIG,"Conjunto"),""))</f>
        <v/>
      </c>
      <c r="Q312" t="str">
        <f>IF(M312="","",IFERROR(AVERAGEIFS(nNOTA,nNIA,M312,nEVAL,CONFIG_METADATA!$B$4,nASIG,"&lt;&gt;Lenguaje Musical",nASIG,"&lt;&gt;Coro",nASIG,"&lt;&gt;Conjunto"),""))</f>
        <v/>
      </c>
      <c r="T312" t="str">
        <f>IF(S312="","",IFERROR(AVERAGEIFS(nNOTA,nNIA,S312,nEVAL,CONFIG_METADATA!$B$4,nASIG,"Lenguaje Musical"),""))</f>
        <v/>
      </c>
      <c r="U312" t="str">
        <f>IF(S312="","",IFERROR(AVERAGEIFS(nNOTA,nNIA,S312,nEVAL,CONFIG_METADATA!$B$4,nASIG,"Coro"),""))</f>
        <v/>
      </c>
      <c r="V312" t="str">
        <f>IF(S312="","",IFERROR(AVERAGEIFS(nNOTA,nNIA,S312,nEVAL,CONFIG_METADATA!$B$4,nASIG,"Conjunto"),""))</f>
        <v/>
      </c>
      <c r="W312" t="str" cm="1">
        <f t="array" ref="W312">IF(S312="","",IFERROR(AVERAGE(IF((nNIA=S312)*(nEVAL=CONFIG_METADATA!$B$4)*(nASIG&lt;&gt;"Lenguaje Musical")*(nASIG&lt;&gt;"Coro")*(nASIG&lt;&gt;"Conjunto"),nNOTA)),""))</f>
        <v/>
      </c>
    </row>
    <row r="313" spans="2:23" x14ac:dyDescent="0.2">
      <c r="B313" t="str">
        <f>IF(A313="","",IFERROR(AVERAGEIFS(nNOTA,nNIA,A313,nEVAL,CONFIG_METADATA!$B$4,nASIG,"Lenguaje Musical"),""))</f>
        <v/>
      </c>
      <c r="C313" t="str">
        <f>IF(A313="","",IFERROR(AVERAGEIFS(nNOTA,nNIA,A313,nEVAL,CONFIG_METADATA!$B$4,nASIG,"Coro"),""))</f>
        <v/>
      </c>
      <c r="D313" t="str">
        <f>IF(A313="","",IFERROR(AVERAGEIFS(nNOTA,nNIA,A313,nEVAL,CONFIG_METADATA!$B$4,nASIG,"Conjunto"),""))</f>
        <v/>
      </c>
      <c r="E313" t="str">
        <f>IF(A313="","",IFERROR(AVERAGEIFS(nNOTA,nNIA,A313,nEVAL,CONFIG_METADATA!$B$4,nASIG,"&lt;&gt;Lenguaje Musical",nASIG,"&lt;&gt;Coro",nASIG,"&lt;&gt;Conjunto"),""))</f>
        <v/>
      </c>
      <c r="H313" t="str">
        <f>IF(G313="","",IFERROR(AVERAGEIFS(nNOTA,nNIA,G313,nEVAL,CONFIG_METADATA!$B$4,nASIG,"Lenguaje Musical"),""))</f>
        <v/>
      </c>
      <c r="I313" t="str">
        <f>IF(G313="","",IFERROR(AVERAGEIFS(nNOTA,nNIA,G313,nEVAL,CONFIG_METADATA!$B$4,nASIG,"Coro"),""))</f>
        <v/>
      </c>
      <c r="J313" t="str">
        <f>IF(G313="","",IFERROR(AVERAGEIFS(nNOTA,nNIA,G313,nEVAL,CONFIG_METADATA!$B$4,nASIG,"Conjunto"),""))</f>
        <v/>
      </c>
      <c r="K313" t="str" cm="1">
        <f t="array" ref="K313">IF(G313="","",IFERROR(AVERAGE(IF((nNIA=G313)*(nEVAL=CONFIG_METADATA!$B$4)*(nASIG&lt;&gt;"Lenguaje Musical")*(nASIG&lt;&gt;"Coro")*(nASIG&lt;&gt;"Conjunto"),nNOTA)),""))</f>
        <v/>
      </c>
      <c r="N313" t="str">
        <f>IF(M313="","",IFERROR(AVERAGEIFS(nNOTA,nNIA,M313,nEVAL,CONFIG_METADATA!$B$4,nASIG,"Lenguaje Musical"),""))</f>
        <v/>
      </c>
      <c r="O313" t="str">
        <f>IF(M313="","",IFERROR(AVERAGEIFS(nNOTA,nNIA,M313,nEVAL,CONFIG_METADATA!$B$4,nASIG,"Coro"),""))</f>
        <v/>
      </c>
      <c r="P313" t="str">
        <f>IF(M313="","",IFERROR(AVERAGEIFS(nNOTA,nNIA,M313,nEVAL,CONFIG_METADATA!$B$4,nASIG,"Conjunto"),""))</f>
        <v/>
      </c>
      <c r="Q313" t="str">
        <f>IF(M313="","",IFERROR(AVERAGEIFS(nNOTA,nNIA,M313,nEVAL,CONFIG_METADATA!$B$4,nASIG,"&lt;&gt;Lenguaje Musical",nASIG,"&lt;&gt;Coro",nASIG,"&lt;&gt;Conjunto"),""))</f>
        <v/>
      </c>
      <c r="T313" t="str">
        <f>IF(S313="","",IFERROR(AVERAGEIFS(nNOTA,nNIA,S313,nEVAL,CONFIG_METADATA!$B$4,nASIG,"Lenguaje Musical"),""))</f>
        <v/>
      </c>
      <c r="U313" t="str">
        <f>IF(S313="","",IFERROR(AVERAGEIFS(nNOTA,nNIA,S313,nEVAL,CONFIG_METADATA!$B$4,nASIG,"Coro"),""))</f>
        <v/>
      </c>
      <c r="V313" t="str">
        <f>IF(S313="","",IFERROR(AVERAGEIFS(nNOTA,nNIA,S313,nEVAL,CONFIG_METADATA!$B$4,nASIG,"Conjunto"),""))</f>
        <v/>
      </c>
      <c r="W313" t="str" cm="1">
        <f t="array" ref="W313">IF(S313="","",IFERROR(AVERAGE(IF((nNIA=S313)*(nEVAL=CONFIG_METADATA!$B$4)*(nASIG&lt;&gt;"Lenguaje Musical")*(nASIG&lt;&gt;"Coro")*(nASIG&lt;&gt;"Conjunto"),nNOTA)),""))</f>
        <v/>
      </c>
    </row>
    <row r="314" spans="2:23" x14ac:dyDescent="0.2">
      <c r="B314" t="str">
        <f>IF(A314="","",IFERROR(AVERAGEIFS(nNOTA,nNIA,A314,nEVAL,CONFIG_METADATA!$B$4,nASIG,"Lenguaje Musical"),""))</f>
        <v/>
      </c>
      <c r="C314" t="str">
        <f>IF(A314="","",IFERROR(AVERAGEIFS(nNOTA,nNIA,A314,nEVAL,CONFIG_METADATA!$B$4,nASIG,"Coro"),""))</f>
        <v/>
      </c>
      <c r="D314" t="str">
        <f>IF(A314="","",IFERROR(AVERAGEIFS(nNOTA,nNIA,A314,nEVAL,CONFIG_METADATA!$B$4,nASIG,"Conjunto"),""))</f>
        <v/>
      </c>
      <c r="E314" t="str">
        <f>IF(A314="","",IFERROR(AVERAGEIFS(nNOTA,nNIA,A314,nEVAL,CONFIG_METADATA!$B$4,nASIG,"&lt;&gt;Lenguaje Musical",nASIG,"&lt;&gt;Coro",nASIG,"&lt;&gt;Conjunto"),""))</f>
        <v/>
      </c>
      <c r="H314" t="str">
        <f>IF(G314="","",IFERROR(AVERAGEIFS(nNOTA,nNIA,G314,nEVAL,CONFIG_METADATA!$B$4,nASIG,"Lenguaje Musical"),""))</f>
        <v/>
      </c>
      <c r="I314" t="str">
        <f>IF(G314="","",IFERROR(AVERAGEIFS(nNOTA,nNIA,G314,nEVAL,CONFIG_METADATA!$B$4,nASIG,"Coro"),""))</f>
        <v/>
      </c>
      <c r="J314" t="str">
        <f>IF(G314="","",IFERROR(AVERAGEIFS(nNOTA,nNIA,G314,nEVAL,CONFIG_METADATA!$B$4,nASIG,"Conjunto"),""))</f>
        <v/>
      </c>
      <c r="K314" t="str" cm="1">
        <f t="array" ref="K314">IF(G314="","",IFERROR(AVERAGE(IF((nNIA=G314)*(nEVAL=CONFIG_METADATA!$B$4)*(nASIG&lt;&gt;"Lenguaje Musical")*(nASIG&lt;&gt;"Coro")*(nASIG&lt;&gt;"Conjunto"),nNOTA)),""))</f>
        <v/>
      </c>
      <c r="N314" t="str">
        <f>IF(M314="","",IFERROR(AVERAGEIFS(nNOTA,nNIA,M314,nEVAL,CONFIG_METADATA!$B$4,nASIG,"Lenguaje Musical"),""))</f>
        <v/>
      </c>
      <c r="O314" t="str">
        <f>IF(M314="","",IFERROR(AVERAGEIFS(nNOTA,nNIA,M314,nEVAL,CONFIG_METADATA!$B$4,nASIG,"Coro"),""))</f>
        <v/>
      </c>
      <c r="P314" t="str">
        <f>IF(M314="","",IFERROR(AVERAGEIFS(nNOTA,nNIA,M314,nEVAL,CONFIG_METADATA!$B$4,nASIG,"Conjunto"),""))</f>
        <v/>
      </c>
      <c r="Q314" t="str">
        <f>IF(M314="","",IFERROR(AVERAGEIFS(nNOTA,nNIA,M314,nEVAL,CONFIG_METADATA!$B$4,nASIG,"&lt;&gt;Lenguaje Musical",nASIG,"&lt;&gt;Coro",nASIG,"&lt;&gt;Conjunto"),""))</f>
        <v/>
      </c>
      <c r="T314" t="str">
        <f>IF(S314="","",IFERROR(AVERAGEIFS(nNOTA,nNIA,S314,nEVAL,CONFIG_METADATA!$B$4,nASIG,"Lenguaje Musical"),""))</f>
        <v/>
      </c>
      <c r="U314" t="str">
        <f>IF(S314="","",IFERROR(AVERAGEIFS(nNOTA,nNIA,S314,nEVAL,CONFIG_METADATA!$B$4,nASIG,"Coro"),""))</f>
        <v/>
      </c>
      <c r="V314" t="str">
        <f>IF(S314="","",IFERROR(AVERAGEIFS(nNOTA,nNIA,S314,nEVAL,CONFIG_METADATA!$B$4,nASIG,"Conjunto"),""))</f>
        <v/>
      </c>
      <c r="W314" t="str" cm="1">
        <f t="array" ref="W314">IF(S314="","",IFERROR(AVERAGE(IF((nNIA=S314)*(nEVAL=CONFIG_METADATA!$B$4)*(nASIG&lt;&gt;"Lenguaje Musical")*(nASIG&lt;&gt;"Coro")*(nASIG&lt;&gt;"Conjunto"),nNOTA)),""))</f>
        <v/>
      </c>
    </row>
    <row r="315" spans="2:23" x14ac:dyDescent="0.2">
      <c r="B315" t="str">
        <f>IF(A315="","",IFERROR(AVERAGEIFS(nNOTA,nNIA,A315,nEVAL,CONFIG_METADATA!$B$4,nASIG,"Lenguaje Musical"),""))</f>
        <v/>
      </c>
      <c r="C315" t="str">
        <f>IF(A315="","",IFERROR(AVERAGEIFS(nNOTA,nNIA,A315,nEVAL,CONFIG_METADATA!$B$4,nASIG,"Coro"),""))</f>
        <v/>
      </c>
      <c r="D315" t="str">
        <f>IF(A315="","",IFERROR(AVERAGEIFS(nNOTA,nNIA,A315,nEVAL,CONFIG_METADATA!$B$4,nASIG,"Conjunto"),""))</f>
        <v/>
      </c>
      <c r="E315" t="str">
        <f>IF(A315="","",IFERROR(AVERAGEIFS(nNOTA,nNIA,A315,nEVAL,CONFIG_METADATA!$B$4,nASIG,"&lt;&gt;Lenguaje Musical",nASIG,"&lt;&gt;Coro",nASIG,"&lt;&gt;Conjunto"),""))</f>
        <v/>
      </c>
      <c r="H315" t="str">
        <f>IF(G315="","",IFERROR(AVERAGEIFS(nNOTA,nNIA,G315,nEVAL,CONFIG_METADATA!$B$4,nASIG,"Lenguaje Musical"),""))</f>
        <v/>
      </c>
      <c r="I315" t="str">
        <f>IF(G315="","",IFERROR(AVERAGEIFS(nNOTA,nNIA,G315,nEVAL,CONFIG_METADATA!$B$4,nASIG,"Coro"),""))</f>
        <v/>
      </c>
      <c r="J315" t="str">
        <f>IF(G315="","",IFERROR(AVERAGEIFS(nNOTA,nNIA,G315,nEVAL,CONFIG_METADATA!$B$4,nASIG,"Conjunto"),""))</f>
        <v/>
      </c>
      <c r="K315" t="str" cm="1">
        <f t="array" ref="K315">IF(G315="","",IFERROR(AVERAGE(IF((nNIA=G315)*(nEVAL=CONFIG_METADATA!$B$4)*(nASIG&lt;&gt;"Lenguaje Musical")*(nASIG&lt;&gt;"Coro")*(nASIG&lt;&gt;"Conjunto"),nNOTA)),""))</f>
        <v/>
      </c>
      <c r="N315" t="str">
        <f>IF(M315="","",IFERROR(AVERAGEIFS(nNOTA,nNIA,M315,nEVAL,CONFIG_METADATA!$B$4,nASIG,"Lenguaje Musical"),""))</f>
        <v/>
      </c>
      <c r="O315" t="str">
        <f>IF(M315="","",IFERROR(AVERAGEIFS(nNOTA,nNIA,M315,nEVAL,CONFIG_METADATA!$B$4,nASIG,"Coro"),""))</f>
        <v/>
      </c>
      <c r="P315" t="str">
        <f>IF(M315="","",IFERROR(AVERAGEIFS(nNOTA,nNIA,M315,nEVAL,CONFIG_METADATA!$B$4,nASIG,"Conjunto"),""))</f>
        <v/>
      </c>
      <c r="Q315" t="str">
        <f>IF(M315="","",IFERROR(AVERAGEIFS(nNOTA,nNIA,M315,nEVAL,CONFIG_METADATA!$B$4,nASIG,"&lt;&gt;Lenguaje Musical",nASIG,"&lt;&gt;Coro",nASIG,"&lt;&gt;Conjunto"),""))</f>
        <v/>
      </c>
      <c r="T315" t="str">
        <f>IF(S315="","",IFERROR(AVERAGEIFS(nNOTA,nNIA,S315,nEVAL,CONFIG_METADATA!$B$4,nASIG,"Lenguaje Musical"),""))</f>
        <v/>
      </c>
      <c r="U315" t="str">
        <f>IF(S315="","",IFERROR(AVERAGEIFS(nNOTA,nNIA,S315,nEVAL,CONFIG_METADATA!$B$4,nASIG,"Coro"),""))</f>
        <v/>
      </c>
      <c r="V315" t="str">
        <f>IF(S315="","",IFERROR(AVERAGEIFS(nNOTA,nNIA,S315,nEVAL,CONFIG_METADATA!$B$4,nASIG,"Conjunto"),""))</f>
        <v/>
      </c>
      <c r="W315" t="str" cm="1">
        <f t="array" ref="W315">IF(S315="","",IFERROR(AVERAGE(IF((nNIA=S315)*(nEVAL=CONFIG_METADATA!$B$4)*(nASIG&lt;&gt;"Lenguaje Musical")*(nASIG&lt;&gt;"Coro")*(nASIG&lt;&gt;"Conjunto"),nNOTA)),""))</f>
        <v/>
      </c>
    </row>
    <row r="316" spans="2:23" x14ac:dyDescent="0.2">
      <c r="B316" t="str">
        <f>IF(A316="","",IFERROR(AVERAGEIFS(nNOTA,nNIA,A316,nEVAL,CONFIG_METADATA!$B$4,nASIG,"Lenguaje Musical"),""))</f>
        <v/>
      </c>
      <c r="C316" t="str">
        <f>IF(A316="","",IFERROR(AVERAGEIFS(nNOTA,nNIA,A316,nEVAL,CONFIG_METADATA!$B$4,nASIG,"Coro"),""))</f>
        <v/>
      </c>
      <c r="D316" t="str">
        <f>IF(A316="","",IFERROR(AVERAGEIFS(nNOTA,nNIA,A316,nEVAL,CONFIG_METADATA!$B$4,nASIG,"Conjunto"),""))</f>
        <v/>
      </c>
      <c r="E316" t="str">
        <f>IF(A316="","",IFERROR(AVERAGEIFS(nNOTA,nNIA,A316,nEVAL,CONFIG_METADATA!$B$4,nASIG,"&lt;&gt;Lenguaje Musical",nASIG,"&lt;&gt;Coro",nASIG,"&lt;&gt;Conjunto"),""))</f>
        <v/>
      </c>
      <c r="H316" t="str">
        <f>IF(G316="","",IFERROR(AVERAGEIFS(nNOTA,nNIA,G316,nEVAL,CONFIG_METADATA!$B$4,nASIG,"Lenguaje Musical"),""))</f>
        <v/>
      </c>
      <c r="I316" t="str">
        <f>IF(G316="","",IFERROR(AVERAGEIFS(nNOTA,nNIA,G316,nEVAL,CONFIG_METADATA!$B$4,nASIG,"Coro"),""))</f>
        <v/>
      </c>
      <c r="J316" t="str">
        <f>IF(G316="","",IFERROR(AVERAGEIFS(nNOTA,nNIA,G316,nEVAL,CONFIG_METADATA!$B$4,nASIG,"Conjunto"),""))</f>
        <v/>
      </c>
      <c r="K316" t="str" cm="1">
        <f t="array" ref="K316">IF(G316="","",IFERROR(AVERAGE(IF((nNIA=G316)*(nEVAL=CONFIG_METADATA!$B$4)*(nASIG&lt;&gt;"Lenguaje Musical")*(nASIG&lt;&gt;"Coro")*(nASIG&lt;&gt;"Conjunto"),nNOTA)),""))</f>
        <v/>
      </c>
      <c r="N316" t="str">
        <f>IF(M316="","",IFERROR(AVERAGEIFS(nNOTA,nNIA,M316,nEVAL,CONFIG_METADATA!$B$4,nASIG,"Lenguaje Musical"),""))</f>
        <v/>
      </c>
      <c r="O316" t="str">
        <f>IF(M316="","",IFERROR(AVERAGEIFS(nNOTA,nNIA,M316,nEVAL,CONFIG_METADATA!$B$4,nASIG,"Coro"),""))</f>
        <v/>
      </c>
      <c r="P316" t="str">
        <f>IF(M316="","",IFERROR(AVERAGEIFS(nNOTA,nNIA,M316,nEVAL,CONFIG_METADATA!$B$4,nASIG,"Conjunto"),""))</f>
        <v/>
      </c>
      <c r="Q316" t="str">
        <f>IF(M316="","",IFERROR(AVERAGEIFS(nNOTA,nNIA,M316,nEVAL,CONFIG_METADATA!$B$4,nASIG,"&lt;&gt;Lenguaje Musical",nASIG,"&lt;&gt;Coro",nASIG,"&lt;&gt;Conjunto"),""))</f>
        <v/>
      </c>
      <c r="T316" t="str">
        <f>IF(S316="","",IFERROR(AVERAGEIFS(nNOTA,nNIA,S316,nEVAL,CONFIG_METADATA!$B$4,nASIG,"Lenguaje Musical"),""))</f>
        <v/>
      </c>
      <c r="U316" t="str">
        <f>IF(S316="","",IFERROR(AVERAGEIFS(nNOTA,nNIA,S316,nEVAL,CONFIG_METADATA!$B$4,nASIG,"Coro"),""))</f>
        <v/>
      </c>
      <c r="V316" t="str">
        <f>IF(S316="","",IFERROR(AVERAGEIFS(nNOTA,nNIA,S316,nEVAL,CONFIG_METADATA!$B$4,nASIG,"Conjunto"),""))</f>
        <v/>
      </c>
      <c r="W316" t="str" cm="1">
        <f t="array" ref="W316">IF(S316="","",IFERROR(AVERAGE(IF((nNIA=S316)*(nEVAL=CONFIG_METADATA!$B$4)*(nASIG&lt;&gt;"Lenguaje Musical")*(nASIG&lt;&gt;"Coro")*(nASIG&lt;&gt;"Conjunto"),nNOTA)),""))</f>
        <v/>
      </c>
    </row>
    <row r="317" spans="2:23" x14ac:dyDescent="0.2">
      <c r="B317" t="str">
        <f>IF(A317="","",IFERROR(AVERAGEIFS(nNOTA,nNIA,A317,nEVAL,CONFIG_METADATA!$B$4,nASIG,"Lenguaje Musical"),""))</f>
        <v/>
      </c>
      <c r="C317" t="str">
        <f>IF(A317="","",IFERROR(AVERAGEIFS(nNOTA,nNIA,A317,nEVAL,CONFIG_METADATA!$B$4,nASIG,"Coro"),""))</f>
        <v/>
      </c>
      <c r="D317" t="str">
        <f>IF(A317="","",IFERROR(AVERAGEIFS(nNOTA,nNIA,A317,nEVAL,CONFIG_METADATA!$B$4,nASIG,"Conjunto"),""))</f>
        <v/>
      </c>
      <c r="E317" t="str">
        <f>IF(A317="","",IFERROR(AVERAGEIFS(nNOTA,nNIA,A317,nEVAL,CONFIG_METADATA!$B$4,nASIG,"&lt;&gt;Lenguaje Musical",nASIG,"&lt;&gt;Coro",nASIG,"&lt;&gt;Conjunto"),""))</f>
        <v/>
      </c>
      <c r="H317" t="str">
        <f>IF(G317="","",IFERROR(AVERAGEIFS(nNOTA,nNIA,G317,nEVAL,CONFIG_METADATA!$B$4,nASIG,"Lenguaje Musical"),""))</f>
        <v/>
      </c>
      <c r="I317" t="str">
        <f>IF(G317="","",IFERROR(AVERAGEIFS(nNOTA,nNIA,G317,nEVAL,CONFIG_METADATA!$B$4,nASIG,"Coro"),""))</f>
        <v/>
      </c>
      <c r="J317" t="str">
        <f>IF(G317="","",IFERROR(AVERAGEIFS(nNOTA,nNIA,G317,nEVAL,CONFIG_METADATA!$B$4,nASIG,"Conjunto"),""))</f>
        <v/>
      </c>
      <c r="K317" t="str" cm="1">
        <f t="array" ref="K317">IF(G317="","",IFERROR(AVERAGE(IF((nNIA=G317)*(nEVAL=CONFIG_METADATA!$B$4)*(nASIG&lt;&gt;"Lenguaje Musical")*(nASIG&lt;&gt;"Coro")*(nASIG&lt;&gt;"Conjunto"),nNOTA)),""))</f>
        <v/>
      </c>
      <c r="N317" t="str">
        <f>IF(M317="","",IFERROR(AVERAGEIFS(nNOTA,nNIA,M317,nEVAL,CONFIG_METADATA!$B$4,nASIG,"Lenguaje Musical"),""))</f>
        <v/>
      </c>
      <c r="O317" t="str">
        <f>IF(M317="","",IFERROR(AVERAGEIFS(nNOTA,nNIA,M317,nEVAL,CONFIG_METADATA!$B$4,nASIG,"Coro"),""))</f>
        <v/>
      </c>
      <c r="P317" t="str">
        <f>IF(M317="","",IFERROR(AVERAGEIFS(nNOTA,nNIA,M317,nEVAL,CONFIG_METADATA!$B$4,nASIG,"Conjunto"),""))</f>
        <v/>
      </c>
      <c r="Q317" t="str">
        <f>IF(M317="","",IFERROR(AVERAGEIFS(nNOTA,nNIA,M317,nEVAL,CONFIG_METADATA!$B$4,nASIG,"&lt;&gt;Lenguaje Musical",nASIG,"&lt;&gt;Coro",nASIG,"&lt;&gt;Conjunto"),""))</f>
        <v/>
      </c>
      <c r="T317" t="str">
        <f>IF(S317="","",IFERROR(AVERAGEIFS(nNOTA,nNIA,S317,nEVAL,CONFIG_METADATA!$B$4,nASIG,"Lenguaje Musical"),""))</f>
        <v/>
      </c>
      <c r="U317" t="str">
        <f>IF(S317="","",IFERROR(AVERAGEIFS(nNOTA,nNIA,S317,nEVAL,CONFIG_METADATA!$B$4,nASIG,"Coro"),""))</f>
        <v/>
      </c>
      <c r="V317" t="str">
        <f>IF(S317="","",IFERROR(AVERAGEIFS(nNOTA,nNIA,S317,nEVAL,CONFIG_METADATA!$B$4,nASIG,"Conjunto"),""))</f>
        <v/>
      </c>
      <c r="W317" t="str" cm="1">
        <f t="array" ref="W317">IF(S317="","",IFERROR(AVERAGE(IF((nNIA=S317)*(nEVAL=CONFIG_METADATA!$B$4)*(nASIG&lt;&gt;"Lenguaje Musical")*(nASIG&lt;&gt;"Coro")*(nASIG&lt;&gt;"Conjunto"),nNOTA)),""))</f>
        <v/>
      </c>
    </row>
    <row r="318" spans="2:23" x14ac:dyDescent="0.2">
      <c r="B318" t="str">
        <f>IF(A318="","",IFERROR(AVERAGEIFS(nNOTA,nNIA,A318,nEVAL,CONFIG_METADATA!$B$4,nASIG,"Lenguaje Musical"),""))</f>
        <v/>
      </c>
      <c r="C318" t="str">
        <f>IF(A318="","",IFERROR(AVERAGEIFS(nNOTA,nNIA,A318,nEVAL,CONFIG_METADATA!$B$4,nASIG,"Coro"),""))</f>
        <v/>
      </c>
      <c r="D318" t="str">
        <f>IF(A318="","",IFERROR(AVERAGEIFS(nNOTA,nNIA,A318,nEVAL,CONFIG_METADATA!$B$4,nASIG,"Conjunto"),""))</f>
        <v/>
      </c>
      <c r="E318" t="str">
        <f>IF(A318="","",IFERROR(AVERAGEIFS(nNOTA,nNIA,A318,nEVAL,CONFIG_METADATA!$B$4,nASIG,"&lt;&gt;Lenguaje Musical",nASIG,"&lt;&gt;Coro",nASIG,"&lt;&gt;Conjunto"),""))</f>
        <v/>
      </c>
      <c r="H318" t="str">
        <f>IF(G318="","",IFERROR(AVERAGEIFS(nNOTA,nNIA,G318,nEVAL,CONFIG_METADATA!$B$4,nASIG,"Lenguaje Musical"),""))</f>
        <v/>
      </c>
      <c r="I318" t="str">
        <f>IF(G318="","",IFERROR(AVERAGEIFS(nNOTA,nNIA,G318,nEVAL,CONFIG_METADATA!$B$4,nASIG,"Coro"),""))</f>
        <v/>
      </c>
      <c r="J318" t="str">
        <f>IF(G318="","",IFERROR(AVERAGEIFS(nNOTA,nNIA,G318,nEVAL,CONFIG_METADATA!$B$4,nASIG,"Conjunto"),""))</f>
        <v/>
      </c>
      <c r="K318" t="str" cm="1">
        <f t="array" ref="K318">IF(G318="","",IFERROR(AVERAGE(IF((nNIA=G318)*(nEVAL=CONFIG_METADATA!$B$4)*(nASIG&lt;&gt;"Lenguaje Musical")*(nASIG&lt;&gt;"Coro")*(nASIG&lt;&gt;"Conjunto"),nNOTA)),""))</f>
        <v/>
      </c>
      <c r="N318" t="str">
        <f>IF(M318="","",IFERROR(AVERAGEIFS(nNOTA,nNIA,M318,nEVAL,CONFIG_METADATA!$B$4,nASIG,"Lenguaje Musical"),""))</f>
        <v/>
      </c>
      <c r="O318" t="str">
        <f>IF(M318="","",IFERROR(AVERAGEIFS(nNOTA,nNIA,M318,nEVAL,CONFIG_METADATA!$B$4,nASIG,"Coro"),""))</f>
        <v/>
      </c>
      <c r="P318" t="str">
        <f>IF(M318="","",IFERROR(AVERAGEIFS(nNOTA,nNIA,M318,nEVAL,CONFIG_METADATA!$B$4,nASIG,"Conjunto"),""))</f>
        <v/>
      </c>
      <c r="Q318" t="str">
        <f>IF(M318="","",IFERROR(AVERAGEIFS(nNOTA,nNIA,M318,nEVAL,CONFIG_METADATA!$B$4,nASIG,"&lt;&gt;Lenguaje Musical",nASIG,"&lt;&gt;Coro",nASIG,"&lt;&gt;Conjunto"),""))</f>
        <v/>
      </c>
      <c r="T318" t="str">
        <f>IF(S318="","",IFERROR(AVERAGEIFS(nNOTA,nNIA,S318,nEVAL,CONFIG_METADATA!$B$4,nASIG,"Lenguaje Musical"),""))</f>
        <v/>
      </c>
      <c r="U318" t="str">
        <f>IF(S318="","",IFERROR(AVERAGEIFS(nNOTA,nNIA,S318,nEVAL,CONFIG_METADATA!$B$4,nASIG,"Coro"),""))</f>
        <v/>
      </c>
      <c r="V318" t="str">
        <f>IF(S318="","",IFERROR(AVERAGEIFS(nNOTA,nNIA,S318,nEVAL,CONFIG_METADATA!$B$4,nASIG,"Conjunto"),""))</f>
        <v/>
      </c>
      <c r="W318" t="str" cm="1">
        <f t="array" ref="W318">IF(S318="","",IFERROR(AVERAGE(IF((nNIA=S318)*(nEVAL=CONFIG_METADATA!$B$4)*(nASIG&lt;&gt;"Lenguaje Musical")*(nASIG&lt;&gt;"Coro")*(nASIG&lt;&gt;"Conjunto"),nNOTA)),""))</f>
        <v/>
      </c>
    </row>
    <row r="319" spans="2:23" x14ac:dyDescent="0.2">
      <c r="B319" t="str">
        <f>IF(A319="","",IFERROR(AVERAGEIFS(nNOTA,nNIA,A319,nEVAL,CONFIG_METADATA!$B$4,nASIG,"Lenguaje Musical"),""))</f>
        <v/>
      </c>
      <c r="C319" t="str">
        <f>IF(A319="","",IFERROR(AVERAGEIFS(nNOTA,nNIA,A319,nEVAL,CONFIG_METADATA!$B$4,nASIG,"Coro"),""))</f>
        <v/>
      </c>
      <c r="D319" t="str">
        <f>IF(A319="","",IFERROR(AVERAGEIFS(nNOTA,nNIA,A319,nEVAL,CONFIG_METADATA!$B$4,nASIG,"Conjunto"),""))</f>
        <v/>
      </c>
      <c r="E319" t="str">
        <f>IF(A319="","",IFERROR(AVERAGEIFS(nNOTA,nNIA,A319,nEVAL,CONFIG_METADATA!$B$4,nASIG,"&lt;&gt;Lenguaje Musical",nASIG,"&lt;&gt;Coro",nASIG,"&lt;&gt;Conjunto"),""))</f>
        <v/>
      </c>
      <c r="H319" t="str">
        <f>IF(G319="","",IFERROR(AVERAGEIFS(nNOTA,nNIA,G319,nEVAL,CONFIG_METADATA!$B$4,nASIG,"Lenguaje Musical"),""))</f>
        <v/>
      </c>
      <c r="I319" t="str">
        <f>IF(G319="","",IFERROR(AVERAGEIFS(nNOTA,nNIA,G319,nEVAL,CONFIG_METADATA!$B$4,nASIG,"Coro"),""))</f>
        <v/>
      </c>
      <c r="J319" t="str">
        <f>IF(G319="","",IFERROR(AVERAGEIFS(nNOTA,nNIA,G319,nEVAL,CONFIG_METADATA!$B$4,nASIG,"Conjunto"),""))</f>
        <v/>
      </c>
      <c r="K319" t="str" cm="1">
        <f t="array" ref="K319">IF(G319="","",IFERROR(AVERAGE(IF((nNIA=G319)*(nEVAL=CONFIG_METADATA!$B$4)*(nASIG&lt;&gt;"Lenguaje Musical")*(nASIG&lt;&gt;"Coro")*(nASIG&lt;&gt;"Conjunto"),nNOTA)),""))</f>
        <v/>
      </c>
      <c r="N319" t="str">
        <f>IF(M319="","",IFERROR(AVERAGEIFS(nNOTA,nNIA,M319,nEVAL,CONFIG_METADATA!$B$4,nASIG,"Lenguaje Musical"),""))</f>
        <v/>
      </c>
      <c r="O319" t="str">
        <f>IF(M319="","",IFERROR(AVERAGEIFS(nNOTA,nNIA,M319,nEVAL,CONFIG_METADATA!$B$4,nASIG,"Coro"),""))</f>
        <v/>
      </c>
      <c r="P319" t="str">
        <f>IF(M319="","",IFERROR(AVERAGEIFS(nNOTA,nNIA,M319,nEVAL,CONFIG_METADATA!$B$4,nASIG,"Conjunto"),""))</f>
        <v/>
      </c>
      <c r="Q319" t="str">
        <f>IF(M319="","",IFERROR(AVERAGEIFS(nNOTA,nNIA,M319,nEVAL,CONFIG_METADATA!$B$4,nASIG,"&lt;&gt;Lenguaje Musical",nASIG,"&lt;&gt;Coro",nASIG,"&lt;&gt;Conjunto"),""))</f>
        <v/>
      </c>
      <c r="T319" t="str">
        <f>IF(S319="","",IFERROR(AVERAGEIFS(nNOTA,nNIA,S319,nEVAL,CONFIG_METADATA!$B$4,nASIG,"Lenguaje Musical"),""))</f>
        <v/>
      </c>
      <c r="U319" t="str">
        <f>IF(S319="","",IFERROR(AVERAGEIFS(nNOTA,nNIA,S319,nEVAL,CONFIG_METADATA!$B$4,nASIG,"Coro"),""))</f>
        <v/>
      </c>
      <c r="V319" t="str">
        <f>IF(S319="","",IFERROR(AVERAGEIFS(nNOTA,nNIA,S319,nEVAL,CONFIG_METADATA!$B$4,nASIG,"Conjunto"),""))</f>
        <v/>
      </c>
      <c r="W319" t="str" cm="1">
        <f t="array" ref="W319">IF(S319="","",IFERROR(AVERAGE(IF((nNIA=S319)*(nEVAL=CONFIG_METADATA!$B$4)*(nASIG&lt;&gt;"Lenguaje Musical")*(nASIG&lt;&gt;"Coro")*(nASIG&lt;&gt;"Conjunto"),nNOTA)),""))</f>
        <v/>
      </c>
    </row>
    <row r="320" spans="2:23" x14ac:dyDescent="0.2">
      <c r="B320" t="str">
        <f>IF(A320="","",IFERROR(AVERAGEIFS(nNOTA,nNIA,A320,nEVAL,CONFIG_METADATA!$B$4,nASIG,"Lenguaje Musical"),""))</f>
        <v/>
      </c>
      <c r="C320" t="str">
        <f>IF(A320="","",IFERROR(AVERAGEIFS(nNOTA,nNIA,A320,nEVAL,CONFIG_METADATA!$B$4,nASIG,"Coro"),""))</f>
        <v/>
      </c>
      <c r="D320" t="str">
        <f>IF(A320="","",IFERROR(AVERAGEIFS(nNOTA,nNIA,A320,nEVAL,CONFIG_METADATA!$B$4,nASIG,"Conjunto"),""))</f>
        <v/>
      </c>
      <c r="E320" t="str">
        <f>IF(A320="","",IFERROR(AVERAGEIFS(nNOTA,nNIA,A320,nEVAL,CONFIG_METADATA!$B$4,nASIG,"&lt;&gt;Lenguaje Musical",nASIG,"&lt;&gt;Coro",nASIG,"&lt;&gt;Conjunto"),""))</f>
        <v/>
      </c>
      <c r="H320" t="str">
        <f>IF(G320="","",IFERROR(AVERAGEIFS(nNOTA,nNIA,G320,nEVAL,CONFIG_METADATA!$B$4,nASIG,"Lenguaje Musical"),""))</f>
        <v/>
      </c>
      <c r="I320" t="str">
        <f>IF(G320="","",IFERROR(AVERAGEIFS(nNOTA,nNIA,G320,nEVAL,CONFIG_METADATA!$B$4,nASIG,"Coro"),""))</f>
        <v/>
      </c>
      <c r="J320" t="str">
        <f>IF(G320="","",IFERROR(AVERAGEIFS(nNOTA,nNIA,G320,nEVAL,CONFIG_METADATA!$B$4,nASIG,"Conjunto"),""))</f>
        <v/>
      </c>
      <c r="K320" t="str" cm="1">
        <f t="array" ref="K320">IF(G320="","",IFERROR(AVERAGE(IF((nNIA=G320)*(nEVAL=CONFIG_METADATA!$B$4)*(nASIG&lt;&gt;"Lenguaje Musical")*(nASIG&lt;&gt;"Coro")*(nASIG&lt;&gt;"Conjunto"),nNOTA)),""))</f>
        <v/>
      </c>
      <c r="N320" t="str">
        <f>IF(M320="","",IFERROR(AVERAGEIFS(nNOTA,nNIA,M320,nEVAL,CONFIG_METADATA!$B$4,nASIG,"Lenguaje Musical"),""))</f>
        <v/>
      </c>
      <c r="O320" t="str">
        <f>IF(M320="","",IFERROR(AVERAGEIFS(nNOTA,nNIA,M320,nEVAL,CONFIG_METADATA!$B$4,nASIG,"Coro"),""))</f>
        <v/>
      </c>
      <c r="P320" t="str">
        <f>IF(M320="","",IFERROR(AVERAGEIFS(nNOTA,nNIA,M320,nEVAL,CONFIG_METADATA!$B$4,nASIG,"Conjunto"),""))</f>
        <v/>
      </c>
      <c r="Q320" t="str">
        <f>IF(M320="","",IFERROR(AVERAGEIFS(nNOTA,nNIA,M320,nEVAL,CONFIG_METADATA!$B$4,nASIG,"&lt;&gt;Lenguaje Musical",nASIG,"&lt;&gt;Coro",nASIG,"&lt;&gt;Conjunto"),""))</f>
        <v/>
      </c>
      <c r="T320" t="str">
        <f>IF(S320="","",IFERROR(AVERAGEIFS(nNOTA,nNIA,S320,nEVAL,CONFIG_METADATA!$B$4,nASIG,"Lenguaje Musical"),""))</f>
        <v/>
      </c>
      <c r="U320" t="str">
        <f>IF(S320="","",IFERROR(AVERAGEIFS(nNOTA,nNIA,S320,nEVAL,CONFIG_METADATA!$B$4,nASIG,"Coro"),""))</f>
        <v/>
      </c>
      <c r="V320" t="str">
        <f>IF(S320="","",IFERROR(AVERAGEIFS(nNOTA,nNIA,S320,nEVAL,CONFIG_METADATA!$B$4,nASIG,"Conjunto"),""))</f>
        <v/>
      </c>
      <c r="W320" t="str" cm="1">
        <f t="array" ref="W320">IF(S320="","",IFERROR(AVERAGE(IF((nNIA=S320)*(nEVAL=CONFIG_METADATA!$B$4)*(nASIG&lt;&gt;"Lenguaje Musical")*(nASIG&lt;&gt;"Coro")*(nASIG&lt;&gt;"Conjunto"),nNOTA)),""))</f>
        <v/>
      </c>
    </row>
    <row r="321" spans="2:23" x14ac:dyDescent="0.2">
      <c r="B321" t="str">
        <f>IF(A321="","",IFERROR(AVERAGEIFS(nNOTA,nNIA,A321,nEVAL,CONFIG_METADATA!$B$4,nASIG,"Lenguaje Musical"),""))</f>
        <v/>
      </c>
      <c r="C321" t="str">
        <f>IF(A321="","",IFERROR(AVERAGEIFS(nNOTA,nNIA,A321,nEVAL,CONFIG_METADATA!$B$4,nASIG,"Coro"),""))</f>
        <v/>
      </c>
      <c r="D321" t="str">
        <f>IF(A321="","",IFERROR(AVERAGEIFS(nNOTA,nNIA,A321,nEVAL,CONFIG_METADATA!$B$4,nASIG,"Conjunto"),""))</f>
        <v/>
      </c>
      <c r="E321" t="str">
        <f>IF(A321="","",IFERROR(AVERAGEIFS(nNOTA,nNIA,A321,nEVAL,CONFIG_METADATA!$B$4,nASIG,"&lt;&gt;Lenguaje Musical",nASIG,"&lt;&gt;Coro",nASIG,"&lt;&gt;Conjunto"),""))</f>
        <v/>
      </c>
      <c r="H321" t="str">
        <f>IF(G321="","",IFERROR(AVERAGEIFS(nNOTA,nNIA,G321,nEVAL,CONFIG_METADATA!$B$4,nASIG,"Lenguaje Musical"),""))</f>
        <v/>
      </c>
      <c r="I321" t="str">
        <f>IF(G321="","",IFERROR(AVERAGEIFS(nNOTA,nNIA,G321,nEVAL,CONFIG_METADATA!$B$4,nASIG,"Coro"),""))</f>
        <v/>
      </c>
      <c r="J321" t="str">
        <f>IF(G321="","",IFERROR(AVERAGEIFS(nNOTA,nNIA,G321,nEVAL,CONFIG_METADATA!$B$4,nASIG,"Conjunto"),""))</f>
        <v/>
      </c>
      <c r="K321" t="str" cm="1">
        <f t="array" ref="K321">IF(G321="","",IFERROR(AVERAGE(IF((nNIA=G321)*(nEVAL=CONFIG_METADATA!$B$4)*(nASIG&lt;&gt;"Lenguaje Musical")*(nASIG&lt;&gt;"Coro")*(nASIG&lt;&gt;"Conjunto"),nNOTA)),""))</f>
        <v/>
      </c>
      <c r="N321" t="str">
        <f>IF(M321="","",IFERROR(AVERAGEIFS(nNOTA,nNIA,M321,nEVAL,CONFIG_METADATA!$B$4,nASIG,"Lenguaje Musical"),""))</f>
        <v/>
      </c>
      <c r="O321" t="str">
        <f>IF(M321="","",IFERROR(AVERAGEIFS(nNOTA,nNIA,M321,nEVAL,CONFIG_METADATA!$B$4,nASIG,"Coro"),""))</f>
        <v/>
      </c>
      <c r="P321" t="str">
        <f>IF(M321="","",IFERROR(AVERAGEIFS(nNOTA,nNIA,M321,nEVAL,CONFIG_METADATA!$B$4,nASIG,"Conjunto"),""))</f>
        <v/>
      </c>
      <c r="Q321" t="str">
        <f>IF(M321="","",IFERROR(AVERAGEIFS(nNOTA,nNIA,M321,nEVAL,CONFIG_METADATA!$B$4,nASIG,"&lt;&gt;Lenguaje Musical",nASIG,"&lt;&gt;Coro",nASIG,"&lt;&gt;Conjunto"),""))</f>
        <v/>
      </c>
      <c r="T321" t="str">
        <f>IF(S321="","",IFERROR(AVERAGEIFS(nNOTA,nNIA,S321,nEVAL,CONFIG_METADATA!$B$4,nASIG,"Lenguaje Musical"),""))</f>
        <v/>
      </c>
      <c r="U321" t="str">
        <f>IF(S321="","",IFERROR(AVERAGEIFS(nNOTA,nNIA,S321,nEVAL,CONFIG_METADATA!$B$4,nASIG,"Coro"),""))</f>
        <v/>
      </c>
      <c r="V321" t="str">
        <f>IF(S321="","",IFERROR(AVERAGEIFS(nNOTA,nNIA,S321,nEVAL,CONFIG_METADATA!$B$4,nASIG,"Conjunto"),""))</f>
        <v/>
      </c>
      <c r="W321" t="str" cm="1">
        <f t="array" ref="W321">IF(S321="","",IFERROR(AVERAGE(IF((nNIA=S321)*(nEVAL=CONFIG_METADATA!$B$4)*(nASIG&lt;&gt;"Lenguaje Musical")*(nASIG&lt;&gt;"Coro")*(nASIG&lt;&gt;"Conjunto"),nNOTA)),""))</f>
        <v/>
      </c>
    </row>
    <row r="322" spans="2:23" x14ac:dyDescent="0.2">
      <c r="B322" t="str">
        <f>IF(A322="","",IFERROR(AVERAGEIFS(nNOTA,nNIA,A322,nEVAL,CONFIG_METADATA!$B$4,nASIG,"Lenguaje Musical"),""))</f>
        <v/>
      </c>
      <c r="C322" t="str">
        <f>IF(A322="","",IFERROR(AVERAGEIFS(nNOTA,nNIA,A322,nEVAL,CONFIG_METADATA!$B$4,nASIG,"Coro"),""))</f>
        <v/>
      </c>
      <c r="D322" t="str">
        <f>IF(A322="","",IFERROR(AVERAGEIFS(nNOTA,nNIA,A322,nEVAL,CONFIG_METADATA!$B$4,nASIG,"Conjunto"),""))</f>
        <v/>
      </c>
      <c r="E322" t="str">
        <f>IF(A322="","",IFERROR(AVERAGEIFS(nNOTA,nNIA,A322,nEVAL,CONFIG_METADATA!$B$4,nASIG,"&lt;&gt;Lenguaje Musical",nASIG,"&lt;&gt;Coro",nASIG,"&lt;&gt;Conjunto"),""))</f>
        <v/>
      </c>
      <c r="H322" t="str">
        <f>IF(G322="","",IFERROR(AVERAGEIFS(nNOTA,nNIA,G322,nEVAL,CONFIG_METADATA!$B$4,nASIG,"Lenguaje Musical"),""))</f>
        <v/>
      </c>
      <c r="I322" t="str">
        <f>IF(G322="","",IFERROR(AVERAGEIFS(nNOTA,nNIA,G322,nEVAL,CONFIG_METADATA!$B$4,nASIG,"Coro"),""))</f>
        <v/>
      </c>
      <c r="J322" t="str">
        <f>IF(G322="","",IFERROR(AVERAGEIFS(nNOTA,nNIA,G322,nEVAL,CONFIG_METADATA!$B$4,nASIG,"Conjunto"),""))</f>
        <v/>
      </c>
      <c r="K322" t="str" cm="1">
        <f t="array" ref="K322">IF(G322="","",IFERROR(AVERAGE(IF((nNIA=G322)*(nEVAL=CONFIG_METADATA!$B$4)*(nASIG&lt;&gt;"Lenguaje Musical")*(nASIG&lt;&gt;"Coro")*(nASIG&lt;&gt;"Conjunto"),nNOTA)),""))</f>
        <v/>
      </c>
      <c r="N322" t="str">
        <f>IF(M322="","",IFERROR(AVERAGEIFS(nNOTA,nNIA,M322,nEVAL,CONFIG_METADATA!$B$4,nASIG,"Lenguaje Musical"),""))</f>
        <v/>
      </c>
      <c r="O322" t="str">
        <f>IF(M322="","",IFERROR(AVERAGEIFS(nNOTA,nNIA,M322,nEVAL,CONFIG_METADATA!$B$4,nASIG,"Coro"),""))</f>
        <v/>
      </c>
      <c r="P322" t="str">
        <f>IF(M322="","",IFERROR(AVERAGEIFS(nNOTA,nNIA,M322,nEVAL,CONFIG_METADATA!$B$4,nASIG,"Conjunto"),""))</f>
        <v/>
      </c>
      <c r="Q322" t="str">
        <f>IF(M322="","",IFERROR(AVERAGEIFS(nNOTA,nNIA,M322,nEVAL,CONFIG_METADATA!$B$4,nASIG,"&lt;&gt;Lenguaje Musical",nASIG,"&lt;&gt;Coro",nASIG,"&lt;&gt;Conjunto"),""))</f>
        <v/>
      </c>
      <c r="T322" t="str">
        <f>IF(S322="","",IFERROR(AVERAGEIFS(nNOTA,nNIA,S322,nEVAL,CONFIG_METADATA!$B$4,nASIG,"Lenguaje Musical"),""))</f>
        <v/>
      </c>
      <c r="U322" t="str">
        <f>IF(S322="","",IFERROR(AVERAGEIFS(nNOTA,nNIA,S322,nEVAL,CONFIG_METADATA!$B$4,nASIG,"Coro"),""))</f>
        <v/>
      </c>
      <c r="V322" t="str">
        <f>IF(S322="","",IFERROR(AVERAGEIFS(nNOTA,nNIA,S322,nEVAL,CONFIG_METADATA!$B$4,nASIG,"Conjunto"),""))</f>
        <v/>
      </c>
      <c r="W322" t="str" cm="1">
        <f t="array" ref="W322">IF(S322="","",IFERROR(AVERAGE(IF((nNIA=S322)*(nEVAL=CONFIG_METADATA!$B$4)*(nASIG&lt;&gt;"Lenguaje Musical")*(nASIG&lt;&gt;"Coro")*(nASIG&lt;&gt;"Conjunto"),nNOTA)),""))</f>
        <v/>
      </c>
    </row>
    <row r="323" spans="2:23" x14ac:dyDescent="0.2">
      <c r="B323" t="str">
        <f>IF(A323="","",IFERROR(AVERAGEIFS(nNOTA,nNIA,A323,nEVAL,CONFIG_METADATA!$B$4,nASIG,"Lenguaje Musical"),""))</f>
        <v/>
      </c>
      <c r="C323" t="str">
        <f>IF(A323="","",IFERROR(AVERAGEIFS(nNOTA,nNIA,A323,nEVAL,CONFIG_METADATA!$B$4,nASIG,"Coro"),""))</f>
        <v/>
      </c>
      <c r="D323" t="str">
        <f>IF(A323="","",IFERROR(AVERAGEIFS(nNOTA,nNIA,A323,nEVAL,CONFIG_METADATA!$B$4,nASIG,"Conjunto"),""))</f>
        <v/>
      </c>
      <c r="E323" t="str">
        <f>IF(A323="","",IFERROR(AVERAGEIFS(nNOTA,nNIA,A323,nEVAL,CONFIG_METADATA!$B$4,nASIG,"&lt;&gt;Lenguaje Musical",nASIG,"&lt;&gt;Coro",nASIG,"&lt;&gt;Conjunto"),""))</f>
        <v/>
      </c>
      <c r="H323" t="str">
        <f>IF(G323="","",IFERROR(AVERAGEIFS(nNOTA,nNIA,G323,nEVAL,CONFIG_METADATA!$B$4,nASIG,"Lenguaje Musical"),""))</f>
        <v/>
      </c>
      <c r="I323" t="str">
        <f>IF(G323="","",IFERROR(AVERAGEIFS(nNOTA,nNIA,G323,nEVAL,CONFIG_METADATA!$B$4,nASIG,"Coro"),""))</f>
        <v/>
      </c>
      <c r="J323" t="str">
        <f>IF(G323="","",IFERROR(AVERAGEIFS(nNOTA,nNIA,G323,nEVAL,CONFIG_METADATA!$B$4,nASIG,"Conjunto"),""))</f>
        <v/>
      </c>
      <c r="K323" t="str" cm="1">
        <f t="array" ref="K323">IF(G323="","",IFERROR(AVERAGE(IF((nNIA=G323)*(nEVAL=CONFIG_METADATA!$B$4)*(nASIG&lt;&gt;"Lenguaje Musical")*(nASIG&lt;&gt;"Coro")*(nASIG&lt;&gt;"Conjunto"),nNOTA)),""))</f>
        <v/>
      </c>
      <c r="N323" t="str">
        <f>IF(M323="","",IFERROR(AVERAGEIFS(nNOTA,nNIA,M323,nEVAL,CONFIG_METADATA!$B$4,nASIG,"Lenguaje Musical"),""))</f>
        <v/>
      </c>
      <c r="O323" t="str">
        <f>IF(M323="","",IFERROR(AVERAGEIFS(nNOTA,nNIA,M323,nEVAL,CONFIG_METADATA!$B$4,nASIG,"Coro"),""))</f>
        <v/>
      </c>
      <c r="P323" t="str">
        <f>IF(M323="","",IFERROR(AVERAGEIFS(nNOTA,nNIA,M323,nEVAL,CONFIG_METADATA!$B$4,nASIG,"Conjunto"),""))</f>
        <v/>
      </c>
      <c r="Q323" t="str">
        <f>IF(M323="","",IFERROR(AVERAGEIFS(nNOTA,nNIA,M323,nEVAL,CONFIG_METADATA!$B$4,nASIG,"&lt;&gt;Lenguaje Musical",nASIG,"&lt;&gt;Coro",nASIG,"&lt;&gt;Conjunto"),""))</f>
        <v/>
      </c>
      <c r="T323" t="str">
        <f>IF(S323="","",IFERROR(AVERAGEIFS(nNOTA,nNIA,S323,nEVAL,CONFIG_METADATA!$B$4,nASIG,"Lenguaje Musical"),""))</f>
        <v/>
      </c>
      <c r="U323" t="str">
        <f>IF(S323="","",IFERROR(AVERAGEIFS(nNOTA,nNIA,S323,nEVAL,CONFIG_METADATA!$B$4,nASIG,"Coro"),""))</f>
        <v/>
      </c>
      <c r="V323" t="str">
        <f>IF(S323="","",IFERROR(AVERAGEIFS(nNOTA,nNIA,S323,nEVAL,CONFIG_METADATA!$B$4,nASIG,"Conjunto"),""))</f>
        <v/>
      </c>
      <c r="W323" t="str" cm="1">
        <f t="array" ref="W323">IF(S323="","",IFERROR(AVERAGE(IF((nNIA=S323)*(nEVAL=CONFIG_METADATA!$B$4)*(nASIG&lt;&gt;"Lenguaje Musical")*(nASIG&lt;&gt;"Coro")*(nASIG&lt;&gt;"Conjunto"),nNOTA)),""))</f>
        <v/>
      </c>
    </row>
    <row r="324" spans="2:23" x14ac:dyDescent="0.2">
      <c r="B324" t="str">
        <f>IF(A324="","",IFERROR(AVERAGEIFS(nNOTA,nNIA,A324,nEVAL,CONFIG_METADATA!$B$4,nASIG,"Lenguaje Musical"),""))</f>
        <v/>
      </c>
      <c r="C324" t="str">
        <f>IF(A324="","",IFERROR(AVERAGEIFS(nNOTA,nNIA,A324,nEVAL,CONFIG_METADATA!$B$4,nASIG,"Coro"),""))</f>
        <v/>
      </c>
      <c r="D324" t="str">
        <f>IF(A324="","",IFERROR(AVERAGEIFS(nNOTA,nNIA,A324,nEVAL,CONFIG_METADATA!$B$4,nASIG,"Conjunto"),""))</f>
        <v/>
      </c>
      <c r="E324" t="str">
        <f>IF(A324="","",IFERROR(AVERAGEIFS(nNOTA,nNIA,A324,nEVAL,CONFIG_METADATA!$B$4,nASIG,"&lt;&gt;Lenguaje Musical",nASIG,"&lt;&gt;Coro",nASIG,"&lt;&gt;Conjunto"),""))</f>
        <v/>
      </c>
      <c r="H324" t="str">
        <f>IF(G324="","",IFERROR(AVERAGEIFS(nNOTA,nNIA,G324,nEVAL,CONFIG_METADATA!$B$4,nASIG,"Lenguaje Musical"),""))</f>
        <v/>
      </c>
      <c r="I324" t="str">
        <f>IF(G324="","",IFERROR(AVERAGEIFS(nNOTA,nNIA,G324,nEVAL,CONFIG_METADATA!$B$4,nASIG,"Coro"),""))</f>
        <v/>
      </c>
      <c r="J324" t="str">
        <f>IF(G324="","",IFERROR(AVERAGEIFS(nNOTA,nNIA,G324,nEVAL,CONFIG_METADATA!$B$4,nASIG,"Conjunto"),""))</f>
        <v/>
      </c>
      <c r="K324" t="str" cm="1">
        <f t="array" ref="K324">IF(G324="","",IFERROR(AVERAGE(IF((nNIA=G324)*(nEVAL=CONFIG_METADATA!$B$4)*(nASIG&lt;&gt;"Lenguaje Musical")*(nASIG&lt;&gt;"Coro")*(nASIG&lt;&gt;"Conjunto"),nNOTA)),""))</f>
        <v/>
      </c>
      <c r="N324" t="str">
        <f>IF(M324="","",IFERROR(AVERAGEIFS(nNOTA,nNIA,M324,nEVAL,CONFIG_METADATA!$B$4,nASIG,"Lenguaje Musical"),""))</f>
        <v/>
      </c>
      <c r="O324" t="str">
        <f>IF(M324="","",IFERROR(AVERAGEIFS(nNOTA,nNIA,M324,nEVAL,CONFIG_METADATA!$B$4,nASIG,"Coro"),""))</f>
        <v/>
      </c>
      <c r="P324" t="str">
        <f>IF(M324="","",IFERROR(AVERAGEIFS(nNOTA,nNIA,M324,nEVAL,CONFIG_METADATA!$B$4,nASIG,"Conjunto"),""))</f>
        <v/>
      </c>
      <c r="Q324" t="str">
        <f>IF(M324="","",IFERROR(AVERAGEIFS(nNOTA,nNIA,M324,nEVAL,CONFIG_METADATA!$B$4,nASIG,"&lt;&gt;Lenguaje Musical",nASIG,"&lt;&gt;Coro",nASIG,"&lt;&gt;Conjunto"),""))</f>
        <v/>
      </c>
      <c r="T324" t="str">
        <f>IF(S324="","",IFERROR(AVERAGEIFS(nNOTA,nNIA,S324,nEVAL,CONFIG_METADATA!$B$4,nASIG,"Lenguaje Musical"),""))</f>
        <v/>
      </c>
      <c r="U324" t="str">
        <f>IF(S324="","",IFERROR(AVERAGEIFS(nNOTA,nNIA,S324,nEVAL,CONFIG_METADATA!$B$4,nASIG,"Coro"),""))</f>
        <v/>
      </c>
      <c r="V324" t="str">
        <f>IF(S324="","",IFERROR(AVERAGEIFS(nNOTA,nNIA,S324,nEVAL,CONFIG_METADATA!$B$4,nASIG,"Conjunto"),""))</f>
        <v/>
      </c>
      <c r="W324" t="str" cm="1">
        <f t="array" ref="W324">IF(S324="","",IFERROR(AVERAGE(IF((nNIA=S324)*(nEVAL=CONFIG_METADATA!$B$4)*(nASIG&lt;&gt;"Lenguaje Musical")*(nASIG&lt;&gt;"Coro")*(nASIG&lt;&gt;"Conjunto"),nNOTA)),""))</f>
        <v/>
      </c>
    </row>
    <row r="325" spans="2:23" x14ac:dyDescent="0.2">
      <c r="B325" t="str">
        <f>IF(A325="","",IFERROR(AVERAGEIFS(nNOTA,nNIA,A325,nEVAL,CONFIG_METADATA!$B$4,nASIG,"Lenguaje Musical"),""))</f>
        <v/>
      </c>
      <c r="C325" t="str">
        <f>IF(A325="","",IFERROR(AVERAGEIFS(nNOTA,nNIA,A325,nEVAL,CONFIG_METADATA!$B$4,nASIG,"Coro"),""))</f>
        <v/>
      </c>
      <c r="D325" t="str">
        <f>IF(A325="","",IFERROR(AVERAGEIFS(nNOTA,nNIA,A325,nEVAL,CONFIG_METADATA!$B$4,nASIG,"Conjunto"),""))</f>
        <v/>
      </c>
      <c r="E325" t="str">
        <f>IF(A325="","",IFERROR(AVERAGEIFS(nNOTA,nNIA,A325,nEVAL,CONFIG_METADATA!$B$4,nASIG,"&lt;&gt;Lenguaje Musical",nASIG,"&lt;&gt;Coro",nASIG,"&lt;&gt;Conjunto"),""))</f>
        <v/>
      </c>
      <c r="H325" t="str">
        <f>IF(G325="","",IFERROR(AVERAGEIFS(nNOTA,nNIA,G325,nEVAL,CONFIG_METADATA!$B$4,nASIG,"Lenguaje Musical"),""))</f>
        <v/>
      </c>
      <c r="I325" t="str">
        <f>IF(G325="","",IFERROR(AVERAGEIFS(nNOTA,nNIA,G325,nEVAL,CONFIG_METADATA!$B$4,nASIG,"Coro"),""))</f>
        <v/>
      </c>
      <c r="J325" t="str">
        <f>IF(G325="","",IFERROR(AVERAGEIFS(nNOTA,nNIA,G325,nEVAL,CONFIG_METADATA!$B$4,nASIG,"Conjunto"),""))</f>
        <v/>
      </c>
      <c r="K325" t="str" cm="1">
        <f t="array" ref="K325">IF(G325="","",IFERROR(AVERAGE(IF((nNIA=G325)*(nEVAL=CONFIG_METADATA!$B$4)*(nASIG&lt;&gt;"Lenguaje Musical")*(nASIG&lt;&gt;"Coro")*(nASIG&lt;&gt;"Conjunto"),nNOTA)),""))</f>
        <v/>
      </c>
      <c r="N325" t="str">
        <f>IF(M325="","",IFERROR(AVERAGEIFS(nNOTA,nNIA,M325,nEVAL,CONFIG_METADATA!$B$4,nASIG,"Lenguaje Musical"),""))</f>
        <v/>
      </c>
      <c r="O325" t="str">
        <f>IF(M325="","",IFERROR(AVERAGEIFS(nNOTA,nNIA,M325,nEVAL,CONFIG_METADATA!$B$4,nASIG,"Coro"),""))</f>
        <v/>
      </c>
      <c r="P325" t="str">
        <f>IF(M325="","",IFERROR(AVERAGEIFS(nNOTA,nNIA,M325,nEVAL,CONFIG_METADATA!$B$4,nASIG,"Conjunto"),""))</f>
        <v/>
      </c>
      <c r="Q325" t="str">
        <f>IF(M325="","",IFERROR(AVERAGEIFS(nNOTA,nNIA,M325,nEVAL,CONFIG_METADATA!$B$4,nASIG,"&lt;&gt;Lenguaje Musical",nASIG,"&lt;&gt;Coro",nASIG,"&lt;&gt;Conjunto"),""))</f>
        <v/>
      </c>
      <c r="T325" t="str">
        <f>IF(S325="","",IFERROR(AVERAGEIFS(nNOTA,nNIA,S325,nEVAL,CONFIG_METADATA!$B$4,nASIG,"Lenguaje Musical"),""))</f>
        <v/>
      </c>
      <c r="U325" t="str">
        <f>IF(S325="","",IFERROR(AVERAGEIFS(nNOTA,nNIA,S325,nEVAL,CONFIG_METADATA!$B$4,nASIG,"Coro"),""))</f>
        <v/>
      </c>
      <c r="V325" t="str">
        <f>IF(S325="","",IFERROR(AVERAGEIFS(nNOTA,nNIA,S325,nEVAL,CONFIG_METADATA!$B$4,nASIG,"Conjunto"),""))</f>
        <v/>
      </c>
      <c r="W325" t="str" cm="1">
        <f t="array" ref="W325">IF(S325="","",IFERROR(AVERAGE(IF((nNIA=S325)*(nEVAL=CONFIG_METADATA!$B$4)*(nASIG&lt;&gt;"Lenguaje Musical")*(nASIG&lt;&gt;"Coro")*(nASIG&lt;&gt;"Conjunto"),nNOTA)),""))</f>
        <v/>
      </c>
    </row>
    <row r="326" spans="2:23" x14ac:dyDescent="0.2">
      <c r="B326" t="str">
        <f>IF(A326="","",IFERROR(AVERAGEIFS(nNOTA,nNIA,A326,nEVAL,CONFIG_METADATA!$B$4,nASIG,"Lenguaje Musical"),""))</f>
        <v/>
      </c>
      <c r="C326" t="str">
        <f>IF(A326="","",IFERROR(AVERAGEIFS(nNOTA,nNIA,A326,nEVAL,CONFIG_METADATA!$B$4,nASIG,"Coro"),""))</f>
        <v/>
      </c>
      <c r="D326" t="str">
        <f>IF(A326="","",IFERROR(AVERAGEIFS(nNOTA,nNIA,A326,nEVAL,CONFIG_METADATA!$B$4,nASIG,"Conjunto"),""))</f>
        <v/>
      </c>
      <c r="E326" t="str">
        <f>IF(A326="","",IFERROR(AVERAGEIFS(nNOTA,nNIA,A326,nEVAL,CONFIG_METADATA!$B$4,nASIG,"&lt;&gt;Lenguaje Musical",nASIG,"&lt;&gt;Coro",nASIG,"&lt;&gt;Conjunto"),""))</f>
        <v/>
      </c>
      <c r="H326" t="str">
        <f>IF(G326="","",IFERROR(AVERAGEIFS(nNOTA,nNIA,G326,nEVAL,CONFIG_METADATA!$B$4,nASIG,"Lenguaje Musical"),""))</f>
        <v/>
      </c>
      <c r="I326" t="str">
        <f>IF(G326="","",IFERROR(AVERAGEIFS(nNOTA,nNIA,G326,nEVAL,CONFIG_METADATA!$B$4,nASIG,"Coro"),""))</f>
        <v/>
      </c>
      <c r="J326" t="str">
        <f>IF(G326="","",IFERROR(AVERAGEIFS(nNOTA,nNIA,G326,nEVAL,CONFIG_METADATA!$B$4,nASIG,"Conjunto"),""))</f>
        <v/>
      </c>
      <c r="K326" t="str" cm="1">
        <f t="array" ref="K326">IF(G326="","",IFERROR(AVERAGE(IF((nNIA=G326)*(nEVAL=CONFIG_METADATA!$B$4)*(nASIG&lt;&gt;"Lenguaje Musical")*(nASIG&lt;&gt;"Coro")*(nASIG&lt;&gt;"Conjunto"),nNOTA)),""))</f>
        <v/>
      </c>
      <c r="N326" t="str">
        <f>IF(M326="","",IFERROR(AVERAGEIFS(nNOTA,nNIA,M326,nEVAL,CONFIG_METADATA!$B$4,nASIG,"Lenguaje Musical"),""))</f>
        <v/>
      </c>
      <c r="O326" t="str">
        <f>IF(M326="","",IFERROR(AVERAGEIFS(nNOTA,nNIA,M326,nEVAL,CONFIG_METADATA!$B$4,nASIG,"Coro"),""))</f>
        <v/>
      </c>
      <c r="P326" t="str">
        <f>IF(M326="","",IFERROR(AVERAGEIFS(nNOTA,nNIA,M326,nEVAL,CONFIG_METADATA!$B$4,nASIG,"Conjunto"),""))</f>
        <v/>
      </c>
      <c r="Q326" t="str">
        <f>IF(M326="","",IFERROR(AVERAGEIFS(nNOTA,nNIA,M326,nEVAL,CONFIG_METADATA!$B$4,nASIG,"&lt;&gt;Lenguaje Musical",nASIG,"&lt;&gt;Coro",nASIG,"&lt;&gt;Conjunto"),""))</f>
        <v/>
      </c>
      <c r="T326" t="str">
        <f>IF(S326="","",IFERROR(AVERAGEIFS(nNOTA,nNIA,S326,nEVAL,CONFIG_METADATA!$B$4,nASIG,"Lenguaje Musical"),""))</f>
        <v/>
      </c>
      <c r="U326" t="str">
        <f>IF(S326="","",IFERROR(AVERAGEIFS(nNOTA,nNIA,S326,nEVAL,CONFIG_METADATA!$B$4,nASIG,"Coro"),""))</f>
        <v/>
      </c>
      <c r="V326" t="str">
        <f>IF(S326="","",IFERROR(AVERAGEIFS(nNOTA,nNIA,S326,nEVAL,CONFIG_METADATA!$B$4,nASIG,"Conjunto"),""))</f>
        <v/>
      </c>
      <c r="W326" t="str" cm="1">
        <f t="array" ref="W326">IF(S326="","",IFERROR(AVERAGE(IF((nNIA=S326)*(nEVAL=CONFIG_METADATA!$B$4)*(nASIG&lt;&gt;"Lenguaje Musical")*(nASIG&lt;&gt;"Coro")*(nASIG&lt;&gt;"Conjunto"),nNOTA)),""))</f>
        <v/>
      </c>
    </row>
    <row r="327" spans="2:23" x14ac:dyDescent="0.2">
      <c r="B327" t="str">
        <f>IF(A327="","",IFERROR(AVERAGEIFS(nNOTA,nNIA,A327,nEVAL,CONFIG_METADATA!$B$4,nASIG,"Lenguaje Musical"),""))</f>
        <v/>
      </c>
      <c r="C327" t="str">
        <f>IF(A327="","",IFERROR(AVERAGEIFS(nNOTA,nNIA,A327,nEVAL,CONFIG_METADATA!$B$4,nASIG,"Coro"),""))</f>
        <v/>
      </c>
      <c r="D327" t="str">
        <f>IF(A327="","",IFERROR(AVERAGEIFS(nNOTA,nNIA,A327,nEVAL,CONFIG_METADATA!$B$4,nASIG,"Conjunto"),""))</f>
        <v/>
      </c>
      <c r="E327" t="str">
        <f>IF(A327="","",IFERROR(AVERAGEIFS(nNOTA,nNIA,A327,nEVAL,CONFIG_METADATA!$B$4,nASIG,"&lt;&gt;Lenguaje Musical",nASIG,"&lt;&gt;Coro",nASIG,"&lt;&gt;Conjunto"),""))</f>
        <v/>
      </c>
      <c r="H327" t="str">
        <f>IF(G327="","",IFERROR(AVERAGEIFS(nNOTA,nNIA,G327,nEVAL,CONFIG_METADATA!$B$4,nASIG,"Lenguaje Musical"),""))</f>
        <v/>
      </c>
      <c r="I327" t="str">
        <f>IF(G327="","",IFERROR(AVERAGEIFS(nNOTA,nNIA,G327,nEVAL,CONFIG_METADATA!$B$4,nASIG,"Coro"),""))</f>
        <v/>
      </c>
      <c r="J327" t="str">
        <f>IF(G327="","",IFERROR(AVERAGEIFS(nNOTA,nNIA,G327,nEVAL,CONFIG_METADATA!$B$4,nASIG,"Conjunto"),""))</f>
        <v/>
      </c>
      <c r="K327" t="str" cm="1">
        <f t="array" ref="K327">IF(G327="","",IFERROR(AVERAGE(IF((nNIA=G327)*(nEVAL=CONFIG_METADATA!$B$4)*(nASIG&lt;&gt;"Lenguaje Musical")*(nASIG&lt;&gt;"Coro")*(nASIG&lt;&gt;"Conjunto"),nNOTA)),""))</f>
        <v/>
      </c>
      <c r="N327" t="str">
        <f>IF(M327="","",IFERROR(AVERAGEIFS(nNOTA,nNIA,M327,nEVAL,CONFIG_METADATA!$B$4,nASIG,"Lenguaje Musical"),""))</f>
        <v/>
      </c>
      <c r="O327" t="str">
        <f>IF(M327="","",IFERROR(AVERAGEIFS(nNOTA,nNIA,M327,nEVAL,CONFIG_METADATA!$B$4,nASIG,"Coro"),""))</f>
        <v/>
      </c>
      <c r="P327" t="str">
        <f>IF(M327="","",IFERROR(AVERAGEIFS(nNOTA,nNIA,M327,nEVAL,CONFIG_METADATA!$B$4,nASIG,"Conjunto"),""))</f>
        <v/>
      </c>
      <c r="Q327" t="str">
        <f>IF(M327="","",IFERROR(AVERAGEIFS(nNOTA,nNIA,M327,nEVAL,CONFIG_METADATA!$B$4,nASIG,"&lt;&gt;Lenguaje Musical",nASIG,"&lt;&gt;Coro",nASIG,"&lt;&gt;Conjunto"),""))</f>
        <v/>
      </c>
      <c r="T327" t="str">
        <f>IF(S327="","",IFERROR(AVERAGEIFS(nNOTA,nNIA,S327,nEVAL,CONFIG_METADATA!$B$4,nASIG,"Lenguaje Musical"),""))</f>
        <v/>
      </c>
      <c r="U327" t="str">
        <f>IF(S327="","",IFERROR(AVERAGEIFS(nNOTA,nNIA,S327,nEVAL,CONFIG_METADATA!$B$4,nASIG,"Coro"),""))</f>
        <v/>
      </c>
      <c r="V327" t="str">
        <f>IF(S327="","",IFERROR(AVERAGEIFS(nNOTA,nNIA,S327,nEVAL,CONFIG_METADATA!$B$4,nASIG,"Conjunto"),""))</f>
        <v/>
      </c>
      <c r="W327" t="str" cm="1">
        <f t="array" ref="W327">IF(S327="","",IFERROR(AVERAGE(IF((nNIA=S327)*(nEVAL=CONFIG_METADATA!$B$4)*(nASIG&lt;&gt;"Lenguaje Musical")*(nASIG&lt;&gt;"Coro")*(nASIG&lt;&gt;"Conjunto"),nNOTA)),""))</f>
        <v/>
      </c>
    </row>
    <row r="328" spans="2:23" x14ac:dyDescent="0.2">
      <c r="B328" t="str">
        <f>IF(A328="","",IFERROR(AVERAGEIFS(nNOTA,nNIA,A328,nEVAL,CONFIG_METADATA!$B$4,nASIG,"Lenguaje Musical"),""))</f>
        <v/>
      </c>
      <c r="C328" t="str">
        <f>IF(A328="","",IFERROR(AVERAGEIFS(nNOTA,nNIA,A328,nEVAL,CONFIG_METADATA!$B$4,nASIG,"Coro"),""))</f>
        <v/>
      </c>
      <c r="D328" t="str">
        <f>IF(A328="","",IFERROR(AVERAGEIFS(nNOTA,nNIA,A328,nEVAL,CONFIG_METADATA!$B$4,nASIG,"Conjunto"),""))</f>
        <v/>
      </c>
      <c r="E328" t="str">
        <f>IF(A328="","",IFERROR(AVERAGEIFS(nNOTA,nNIA,A328,nEVAL,CONFIG_METADATA!$B$4,nASIG,"&lt;&gt;Lenguaje Musical",nASIG,"&lt;&gt;Coro",nASIG,"&lt;&gt;Conjunto"),""))</f>
        <v/>
      </c>
      <c r="H328" t="str">
        <f>IF(G328="","",IFERROR(AVERAGEIFS(nNOTA,nNIA,G328,nEVAL,CONFIG_METADATA!$B$4,nASIG,"Lenguaje Musical"),""))</f>
        <v/>
      </c>
      <c r="I328" t="str">
        <f>IF(G328="","",IFERROR(AVERAGEIFS(nNOTA,nNIA,G328,nEVAL,CONFIG_METADATA!$B$4,nASIG,"Coro"),""))</f>
        <v/>
      </c>
      <c r="J328" t="str">
        <f>IF(G328="","",IFERROR(AVERAGEIFS(nNOTA,nNIA,G328,nEVAL,CONFIG_METADATA!$B$4,nASIG,"Conjunto"),""))</f>
        <v/>
      </c>
      <c r="K328" t="str" cm="1">
        <f t="array" ref="K328">IF(G328="","",IFERROR(AVERAGE(IF((nNIA=G328)*(nEVAL=CONFIG_METADATA!$B$4)*(nASIG&lt;&gt;"Lenguaje Musical")*(nASIG&lt;&gt;"Coro")*(nASIG&lt;&gt;"Conjunto"),nNOTA)),""))</f>
        <v/>
      </c>
      <c r="N328" t="str">
        <f>IF(M328="","",IFERROR(AVERAGEIFS(nNOTA,nNIA,M328,nEVAL,CONFIG_METADATA!$B$4,nASIG,"Lenguaje Musical"),""))</f>
        <v/>
      </c>
      <c r="O328" t="str">
        <f>IF(M328="","",IFERROR(AVERAGEIFS(nNOTA,nNIA,M328,nEVAL,CONFIG_METADATA!$B$4,nASIG,"Coro"),""))</f>
        <v/>
      </c>
      <c r="P328" t="str">
        <f>IF(M328="","",IFERROR(AVERAGEIFS(nNOTA,nNIA,M328,nEVAL,CONFIG_METADATA!$B$4,nASIG,"Conjunto"),""))</f>
        <v/>
      </c>
      <c r="Q328" t="str">
        <f>IF(M328="","",IFERROR(AVERAGEIFS(nNOTA,nNIA,M328,nEVAL,CONFIG_METADATA!$B$4,nASIG,"&lt;&gt;Lenguaje Musical",nASIG,"&lt;&gt;Coro",nASIG,"&lt;&gt;Conjunto"),""))</f>
        <v/>
      </c>
      <c r="T328" t="str">
        <f>IF(S328="","",IFERROR(AVERAGEIFS(nNOTA,nNIA,S328,nEVAL,CONFIG_METADATA!$B$4,nASIG,"Lenguaje Musical"),""))</f>
        <v/>
      </c>
      <c r="U328" t="str">
        <f>IF(S328="","",IFERROR(AVERAGEIFS(nNOTA,nNIA,S328,nEVAL,CONFIG_METADATA!$B$4,nASIG,"Coro"),""))</f>
        <v/>
      </c>
      <c r="V328" t="str">
        <f>IF(S328="","",IFERROR(AVERAGEIFS(nNOTA,nNIA,S328,nEVAL,CONFIG_METADATA!$B$4,nASIG,"Conjunto"),""))</f>
        <v/>
      </c>
      <c r="W328" t="str" cm="1">
        <f t="array" ref="W328">IF(S328="","",IFERROR(AVERAGE(IF((nNIA=S328)*(nEVAL=CONFIG_METADATA!$B$4)*(nASIG&lt;&gt;"Lenguaje Musical")*(nASIG&lt;&gt;"Coro")*(nASIG&lt;&gt;"Conjunto"),nNOTA)),""))</f>
        <v/>
      </c>
    </row>
    <row r="329" spans="2:23" x14ac:dyDescent="0.2">
      <c r="B329" t="str">
        <f>IF(A329="","",IFERROR(AVERAGEIFS(nNOTA,nNIA,A329,nEVAL,CONFIG_METADATA!$B$4,nASIG,"Lenguaje Musical"),""))</f>
        <v/>
      </c>
      <c r="C329" t="str">
        <f>IF(A329="","",IFERROR(AVERAGEIFS(nNOTA,nNIA,A329,nEVAL,CONFIG_METADATA!$B$4,nASIG,"Coro"),""))</f>
        <v/>
      </c>
      <c r="D329" t="str">
        <f>IF(A329="","",IFERROR(AVERAGEIFS(nNOTA,nNIA,A329,nEVAL,CONFIG_METADATA!$B$4,nASIG,"Conjunto"),""))</f>
        <v/>
      </c>
      <c r="E329" t="str">
        <f>IF(A329="","",IFERROR(AVERAGEIFS(nNOTA,nNIA,A329,nEVAL,CONFIG_METADATA!$B$4,nASIG,"&lt;&gt;Lenguaje Musical",nASIG,"&lt;&gt;Coro",nASIG,"&lt;&gt;Conjunto"),""))</f>
        <v/>
      </c>
      <c r="H329" t="str">
        <f>IF(G329="","",IFERROR(AVERAGEIFS(nNOTA,nNIA,G329,nEVAL,CONFIG_METADATA!$B$4,nASIG,"Lenguaje Musical"),""))</f>
        <v/>
      </c>
      <c r="I329" t="str">
        <f>IF(G329="","",IFERROR(AVERAGEIFS(nNOTA,nNIA,G329,nEVAL,CONFIG_METADATA!$B$4,nASIG,"Coro"),""))</f>
        <v/>
      </c>
      <c r="J329" t="str">
        <f>IF(G329="","",IFERROR(AVERAGEIFS(nNOTA,nNIA,G329,nEVAL,CONFIG_METADATA!$B$4,nASIG,"Conjunto"),""))</f>
        <v/>
      </c>
      <c r="K329" t="str" cm="1">
        <f t="array" ref="K329">IF(G329="","",IFERROR(AVERAGE(IF((nNIA=G329)*(nEVAL=CONFIG_METADATA!$B$4)*(nASIG&lt;&gt;"Lenguaje Musical")*(nASIG&lt;&gt;"Coro")*(nASIG&lt;&gt;"Conjunto"),nNOTA)),""))</f>
        <v/>
      </c>
      <c r="N329" t="str">
        <f>IF(M329="","",IFERROR(AVERAGEIFS(nNOTA,nNIA,M329,nEVAL,CONFIG_METADATA!$B$4,nASIG,"Lenguaje Musical"),""))</f>
        <v/>
      </c>
      <c r="O329" t="str">
        <f>IF(M329="","",IFERROR(AVERAGEIFS(nNOTA,nNIA,M329,nEVAL,CONFIG_METADATA!$B$4,nASIG,"Coro"),""))</f>
        <v/>
      </c>
      <c r="P329" t="str">
        <f>IF(M329="","",IFERROR(AVERAGEIFS(nNOTA,nNIA,M329,nEVAL,CONFIG_METADATA!$B$4,nASIG,"Conjunto"),""))</f>
        <v/>
      </c>
      <c r="Q329" t="str">
        <f>IF(M329="","",IFERROR(AVERAGEIFS(nNOTA,nNIA,M329,nEVAL,CONFIG_METADATA!$B$4,nASIG,"&lt;&gt;Lenguaje Musical",nASIG,"&lt;&gt;Coro",nASIG,"&lt;&gt;Conjunto"),""))</f>
        <v/>
      </c>
      <c r="T329" t="str">
        <f>IF(S329="","",IFERROR(AVERAGEIFS(nNOTA,nNIA,S329,nEVAL,CONFIG_METADATA!$B$4,nASIG,"Lenguaje Musical"),""))</f>
        <v/>
      </c>
      <c r="U329" t="str">
        <f>IF(S329="","",IFERROR(AVERAGEIFS(nNOTA,nNIA,S329,nEVAL,CONFIG_METADATA!$B$4,nASIG,"Coro"),""))</f>
        <v/>
      </c>
      <c r="V329" t="str">
        <f>IF(S329="","",IFERROR(AVERAGEIFS(nNOTA,nNIA,S329,nEVAL,CONFIG_METADATA!$B$4,nASIG,"Conjunto"),""))</f>
        <v/>
      </c>
      <c r="W329" t="str" cm="1">
        <f t="array" ref="W329">IF(S329="","",IFERROR(AVERAGE(IF((nNIA=S329)*(nEVAL=CONFIG_METADATA!$B$4)*(nASIG&lt;&gt;"Lenguaje Musical")*(nASIG&lt;&gt;"Coro")*(nASIG&lt;&gt;"Conjunto"),nNOTA)),""))</f>
        <v/>
      </c>
    </row>
    <row r="330" spans="2:23" x14ac:dyDescent="0.2">
      <c r="B330" t="str">
        <f>IF(A330="","",IFERROR(AVERAGEIFS(nNOTA,nNIA,A330,nEVAL,CONFIG_METADATA!$B$4,nASIG,"Lenguaje Musical"),""))</f>
        <v/>
      </c>
      <c r="C330" t="str">
        <f>IF(A330="","",IFERROR(AVERAGEIFS(nNOTA,nNIA,A330,nEVAL,CONFIG_METADATA!$B$4,nASIG,"Coro"),""))</f>
        <v/>
      </c>
      <c r="D330" t="str">
        <f>IF(A330="","",IFERROR(AVERAGEIFS(nNOTA,nNIA,A330,nEVAL,CONFIG_METADATA!$B$4,nASIG,"Conjunto"),""))</f>
        <v/>
      </c>
      <c r="E330" t="str">
        <f>IF(A330="","",IFERROR(AVERAGEIFS(nNOTA,nNIA,A330,nEVAL,CONFIG_METADATA!$B$4,nASIG,"&lt;&gt;Lenguaje Musical",nASIG,"&lt;&gt;Coro",nASIG,"&lt;&gt;Conjunto"),""))</f>
        <v/>
      </c>
      <c r="H330" t="str">
        <f>IF(G330="","",IFERROR(AVERAGEIFS(nNOTA,nNIA,G330,nEVAL,CONFIG_METADATA!$B$4,nASIG,"Lenguaje Musical"),""))</f>
        <v/>
      </c>
      <c r="I330" t="str">
        <f>IF(G330="","",IFERROR(AVERAGEIFS(nNOTA,nNIA,G330,nEVAL,CONFIG_METADATA!$B$4,nASIG,"Coro"),""))</f>
        <v/>
      </c>
      <c r="J330" t="str">
        <f>IF(G330="","",IFERROR(AVERAGEIFS(nNOTA,nNIA,G330,nEVAL,CONFIG_METADATA!$B$4,nASIG,"Conjunto"),""))</f>
        <v/>
      </c>
      <c r="K330" t="str" cm="1">
        <f t="array" ref="K330">IF(G330="","",IFERROR(AVERAGE(IF((nNIA=G330)*(nEVAL=CONFIG_METADATA!$B$4)*(nASIG&lt;&gt;"Lenguaje Musical")*(nASIG&lt;&gt;"Coro")*(nASIG&lt;&gt;"Conjunto"),nNOTA)),""))</f>
        <v/>
      </c>
      <c r="N330" t="str">
        <f>IF(M330="","",IFERROR(AVERAGEIFS(nNOTA,nNIA,M330,nEVAL,CONFIG_METADATA!$B$4,nASIG,"Lenguaje Musical"),""))</f>
        <v/>
      </c>
      <c r="O330" t="str">
        <f>IF(M330="","",IFERROR(AVERAGEIFS(nNOTA,nNIA,M330,nEVAL,CONFIG_METADATA!$B$4,nASIG,"Coro"),""))</f>
        <v/>
      </c>
      <c r="P330" t="str">
        <f>IF(M330="","",IFERROR(AVERAGEIFS(nNOTA,nNIA,M330,nEVAL,CONFIG_METADATA!$B$4,nASIG,"Conjunto"),""))</f>
        <v/>
      </c>
      <c r="Q330" t="str">
        <f>IF(M330="","",IFERROR(AVERAGEIFS(nNOTA,nNIA,M330,nEVAL,CONFIG_METADATA!$B$4,nASIG,"&lt;&gt;Lenguaje Musical",nASIG,"&lt;&gt;Coro",nASIG,"&lt;&gt;Conjunto"),""))</f>
        <v/>
      </c>
      <c r="T330" t="str">
        <f>IF(S330="","",IFERROR(AVERAGEIFS(nNOTA,nNIA,S330,nEVAL,CONFIG_METADATA!$B$4,nASIG,"Lenguaje Musical"),""))</f>
        <v/>
      </c>
      <c r="U330" t="str">
        <f>IF(S330="","",IFERROR(AVERAGEIFS(nNOTA,nNIA,S330,nEVAL,CONFIG_METADATA!$B$4,nASIG,"Coro"),""))</f>
        <v/>
      </c>
      <c r="V330" t="str">
        <f>IF(S330="","",IFERROR(AVERAGEIFS(nNOTA,nNIA,S330,nEVAL,CONFIG_METADATA!$B$4,nASIG,"Conjunto"),""))</f>
        <v/>
      </c>
      <c r="W330" t="str" cm="1">
        <f t="array" ref="W330">IF(S330="","",IFERROR(AVERAGE(IF((nNIA=S330)*(nEVAL=CONFIG_METADATA!$B$4)*(nASIG&lt;&gt;"Lenguaje Musical")*(nASIG&lt;&gt;"Coro")*(nASIG&lt;&gt;"Conjunto"),nNOTA)),""))</f>
        <v/>
      </c>
    </row>
    <row r="331" spans="2:23" x14ac:dyDescent="0.2">
      <c r="B331" t="str">
        <f>IF(A331="","",IFERROR(AVERAGEIFS(nNOTA,nNIA,A331,nEVAL,CONFIG_METADATA!$B$4,nASIG,"Lenguaje Musical"),""))</f>
        <v/>
      </c>
      <c r="C331" t="str">
        <f>IF(A331="","",IFERROR(AVERAGEIFS(nNOTA,nNIA,A331,nEVAL,CONFIG_METADATA!$B$4,nASIG,"Coro"),""))</f>
        <v/>
      </c>
      <c r="D331" t="str">
        <f>IF(A331="","",IFERROR(AVERAGEIFS(nNOTA,nNIA,A331,nEVAL,CONFIG_METADATA!$B$4,nASIG,"Conjunto"),""))</f>
        <v/>
      </c>
      <c r="E331" t="str">
        <f>IF(A331="","",IFERROR(AVERAGEIFS(nNOTA,nNIA,A331,nEVAL,CONFIG_METADATA!$B$4,nASIG,"&lt;&gt;Lenguaje Musical",nASIG,"&lt;&gt;Coro",nASIG,"&lt;&gt;Conjunto"),""))</f>
        <v/>
      </c>
      <c r="H331" t="str">
        <f>IF(G331="","",IFERROR(AVERAGEIFS(nNOTA,nNIA,G331,nEVAL,CONFIG_METADATA!$B$4,nASIG,"Lenguaje Musical"),""))</f>
        <v/>
      </c>
      <c r="I331" t="str">
        <f>IF(G331="","",IFERROR(AVERAGEIFS(nNOTA,nNIA,G331,nEVAL,CONFIG_METADATA!$B$4,nASIG,"Coro"),""))</f>
        <v/>
      </c>
      <c r="J331" t="str">
        <f>IF(G331="","",IFERROR(AVERAGEIFS(nNOTA,nNIA,G331,nEVAL,CONFIG_METADATA!$B$4,nASIG,"Conjunto"),""))</f>
        <v/>
      </c>
      <c r="K331" t="str" cm="1">
        <f t="array" ref="K331">IF(G331="","",IFERROR(AVERAGE(IF((nNIA=G331)*(nEVAL=CONFIG_METADATA!$B$4)*(nASIG&lt;&gt;"Lenguaje Musical")*(nASIG&lt;&gt;"Coro")*(nASIG&lt;&gt;"Conjunto"),nNOTA)),""))</f>
        <v/>
      </c>
      <c r="N331" t="str">
        <f>IF(M331="","",IFERROR(AVERAGEIFS(nNOTA,nNIA,M331,nEVAL,CONFIG_METADATA!$B$4,nASIG,"Lenguaje Musical"),""))</f>
        <v/>
      </c>
      <c r="O331" t="str">
        <f>IF(M331="","",IFERROR(AVERAGEIFS(nNOTA,nNIA,M331,nEVAL,CONFIG_METADATA!$B$4,nASIG,"Coro"),""))</f>
        <v/>
      </c>
      <c r="P331" t="str">
        <f>IF(M331="","",IFERROR(AVERAGEIFS(nNOTA,nNIA,M331,nEVAL,CONFIG_METADATA!$B$4,nASIG,"Conjunto"),""))</f>
        <v/>
      </c>
      <c r="Q331" t="str">
        <f>IF(M331="","",IFERROR(AVERAGEIFS(nNOTA,nNIA,M331,nEVAL,CONFIG_METADATA!$B$4,nASIG,"&lt;&gt;Lenguaje Musical",nASIG,"&lt;&gt;Coro",nASIG,"&lt;&gt;Conjunto"),""))</f>
        <v/>
      </c>
      <c r="T331" t="str">
        <f>IF(S331="","",IFERROR(AVERAGEIFS(nNOTA,nNIA,S331,nEVAL,CONFIG_METADATA!$B$4,nASIG,"Lenguaje Musical"),""))</f>
        <v/>
      </c>
      <c r="U331" t="str">
        <f>IF(S331="","",IFERROR(AVERAGEIFS(nNOTA,nNIA,S331,nEVAL,CONFIG_METADATA!$B$4,nASIG,"Coro"),""))</f>
        <v/>
      </c>
      <c r="V331" t="str">
        <f>IF(S331="","",IFERROR(AVERAGEIFS(nNOTA,nNIA,S331,nEVAL,CONFIG_METADATA!$B$4,nASIG,"Conjunto"),""))</f>
        <v/>
      </c>
      <c r="W331" t="str" cm="1">
        <f t="array" ref="W331">IF(S331="","",IFERROR(AVERAGE(IF((nNIA=S331)*(nEVAL=CONFIG_METADATA!$B$4)*(nASIG&lt;&gt;"Lenguaje Musical")*(nASIG&lt;&gt;"Coro")*(nASIG&lt;&gt;"Conjunto"),nNOTA)),""))</f>
        <v/>
      </c>
    </row>
    <row r="332" spans="2:23" x14ac:dyDescent="0.2">
      <c r="B332" t="str">
        <f>IF(A332="","",IFERROR(AVERAGEIFS(nNOTA,nNIA,A332,nEVAL,CONFIG_METADATA!$B$4,nASIG,"Lenguaje Musical"),""))</f>
        <v/>
      </c>
      <c r="C332" t="str">
        <f>IF(A332="","",IFERROR(AVERAGEIFS(nNOTA,nNIA,A332,nEVAL,CONFIG_METADATA!$B$4,nASIG,"Coro"),""))</f>
        <v/>
      </c>
      <c r="D332" t="str">
        <f>IF(A332="","",IFERROR(AVERAGEIFS(nNOTA,nNIA,A332,nEVAL,CONFIG_METADATA!$B$4,nASIG,"Conjunto"),""))</f>
        <v/>
      </c>
      <c r="E332" t="str">
        <f>IF(A332="","",IFERROR(AVERAGEIFS(nNOTA,nNIA,A332,nEVAL,CONFIG_METADATA!$B$4,nASIG,"&lt;&gt;Lenguaje Musical",nASIG,"&lt;&gt;Coro",nASIG,"&lt;&gt;Conjunto"),""))</f>
        <v/>
      </c>
      <c r="H332" t="str">
        <f>IF(G332="","",IFERROR(AVERAGEIFS(nNOTA,nNIA,G332,nEVAL,CONFIG_METADATA!$B$4,nASIG,"Lenguaje Musical"),""))</f>
        <v/>
      </c>
      <c r="I332" t="str">
        <f>IF(G332="","",IFERROR(AVERAGEIFS(nNOTA,nNIA,G332,nEVAL,CONFIG_METADATA!$B$4,nASIG,"Coro"),""))</f>
        <v/>
      </c>
      <c r="J332" t="str">
        <f>IF(G332="","",IFERROR(AVERAGEIFS(nNOTA,nNIA,G332,nEVAL,CONFIG_METADATA!$B$4,nASIG,"Conjunto"),""))</f>
        <v/>
      </c>
      <c r="K332" t="str" cm="1">
        <f t="array" ref="K332">IF(G332="","",IFERROR(AVERAGE(IF((nNIA=G332)*(nEVAL=CONFIG_METADATA!$B$4)*(nASIG&lt;&gt;"Lenguaje Musical")*(nASIG&lt;&gt;"Coro")*(nASIG&lt;&gt;"Conjunto"),nNOTA)),""))</f>
        <v/>
      </c>
      <c r="N332" t="str">
        <f>IF(M332="","",IFERROR(AVERAGEIFS(nNOTA,nNIA,M332,nEVAL,CONFIG_METADATA!$B$4,nASIG,"Lenguaje Musical"),""))</f>
        <v/>
      </c>
      <c r="O332" t="str">
        <f>IF(M332="","",IFERROR(AVERAGEIFS(nNOTA,nNIA,M332,nEVAL,CONFIG_METADATA!$B$4,nASIG,"Coro"),""))</f>
        <v/>
      </c>
      <c r="P332" t="str">
        <f>IF(M332="","",IFERROR(AVERAGEIFS(nNOTA,nNIA,M332,nEVAL,CONFIG_METADATA!$B$4,nASIG,"Conjunto"),""))</f>
        <v/>
      </c>
      <c r="Q332" t="str">
        <f>IF(M332="","",IFERROR(AVERAGEIFS(nNOTA,nNIA,M332,nEVAL,CONFIG_METADATA!$B$4,nASIG,"&lt;&gt;Lenguaje Musical",nASIG,"&lt;&gt;Coro",nASIG,"&lt;&gt;Conjunto"),""))</f>
        <v/>
      </c>
      <c r="T332" t="str">
        <f>IF(S332="","",IFERROR(AVERAGEIFS(nNOTA,nNIA,S332,nEVAL,CONFIG_METADATA!$B$4,nASIG,"Lenguaje Musical"),""))</f>
        <v/>
      </c>
      <c r="U332" t="str">
        <f>IF(S332="","",IFERROR(AVERAGEIFS(nNOTA,nNIA,S332,nEVAL,CONFIG_METADATA!$B$4,nASIG,"Coro"),""))</f>
        <v/>
      </c>
      <c r="V332" t="str">
        <f>IF(S332="","",IFERROR(AVERAGEIFS(nNOTA,nNIA,S332,nEVAL,CONFIG_METADATA!$B$4,nASIG,"Conjunto"),""))</f>
        <v/>
      </c>
      <c r="W332" t="str" cm="1">
        <f t="array" ref="W332">IF(S332="","",IFERROR(AVERAGE(IF((nNIA=S332)*(nEVAL=CONFIG_METADATA!$B$4)*(nASIG&lt;&gt;"Lenguaje Musical")*(nASIG&lt;&gt;"Coro")*(nASIG&lt;&gt;"Conjunto"),nNOTA)),""))</f>
        <v/>
      </c>
    </row>
    <row r="333" spans="2:23" x14ac:dyDescent="0.2">
      <c r="B333" t="str">
        <f>IF(A333="","",IFERROR(AVERAGEIFS(nNOTA,nNIA,A333,nEVAL,CONFIG_METADATA!$B$4,nASIG,"Lenguaje Musical"),""))</f>
        <v/>
      </c>
      <c r="C333" t="str">
        <f>IF(A333="","",IFERROR(AVERAGEIFS(nNOTA,nNIA,A333,nEVAL,CONFIG_METADATA!$B$4,nASIG,"Coro"),""))</f>
        <v/>
      </c>
      <c r="D333" t="str">
        <f>IF(A333="","",IFERROR(AVERAGEIFS(nNOTA,nNIA,A333,nEVAL,CONFIG_METADATA!$B$4,nASIG,"Conjunto"),""))</f>
        <v/>
      </c>
      <c r="E333" t="str">
        <f>IF(A333="","",IFERROR(AVERAGEIFS(nNOTA,nNIA,A333,nEVAL,CONFIG_METADATA!$B$4,nASIG,"&lt;&gt;Lenguaje Musical",nASIG,"&lt;&gt;Coro",nASIG,"&lt;&gt;Conjunto"),""))</f>
        <v/>
      </c>
      <c r="H333" t="str">
        <f>IF(G333="","",IFERROR(AVERAGEIFS(nNOTA,nNIA,G333,nEVAL,CONFIG_METADATA!$B$4,nASIG,"Lenguaje Musical"),""))</f>
        <v/>
      </c>
      <c r="I333" t="str">
        <f>IF(G333="","",IFERROR(AVERAGEIFS(nNOTA,nNIA,G333,nEVAL,CONFIG_METADATA!$B$4,nASIG,"Coro"),""))</f>
        <v/>
      </c>
      <c r="J333" t="str">
        <f>IF(G333="","",IFERROR(AVERAGEIFS(nNOTA,nNIA,G333,nEVAL,CONFIG_METADATA!$B$4,nASIG,"Conjunto"),""))</f>
        <v/>
      </c>
      <c r="K333" t="str" cm="1">
        <f t="array" ref="K333">IF(G333="","",IFERROR(AVERAGE(IF((nNIA=G333)*(nEVAL=CONFIG_METADATA!$B$4)*(nASIG&lt;&gt;"Lenguaje Musical")*(nASIG&lt;&gt;"Coro")*(nASIG&lt;&gt;"Conjunto"),nNOTA)),""))</f>
        <v/>
      </c>
      <c r="N333" t="str">
        <f>IF(M333="","",IFERROR(AVERAGEIFS(nNOTA,nNIA,M333,nEVAL,CONFIG_METADATA!$B$4,nASIG,"Lenguaje Musical"),""))</f>
        <v/>
      </c>
      <c r="O333" t="str">
        <f>IF(M333="","",IFERROR(AVERAGEIFS(nNOTA,nNIA,M333,nEVAL,CONFIG_METADATA!$B$4,nASIG,"Coro"),""))</f>
        <v/>
      </c>
      <c r="P333" t="str">
        <f>IF(M333="","",IFERROR(AVERAGEIFS(nNOTA,nNIA,M333,nEVAL,CONFIG_METADATA!$B$4,nASIG,"Conjunto"),""))</f>
        <v/>
      </c>
      <c r="Q333" t="str">
        <f>IF(M333="","",IFERROR(AVERAGEIFS(nNOTA,nNIA,M333,nEVAL,CONFIG_METADATA!$B$4,nASIG,"&lt;&gt;Lenguaje Musical",nASIG,"&lt;&gt;Coro",nASIG,"&lt;&gt;Conjunto"),""))</f>
        <v/>
      </c>
      <c r="T333" t="str">
        <f>IF(S333="","",IFERROR(AVERAGEIFS(nNOTA,nNIA,S333,nEVAL,CONFIG_METADATA!$B$4,nASIG,"Lenguaje Musical"),""))</f>
        <v/>
      </c>
      <c r="U333" t="str">
        <f>IF(S333="","",IFERROR(AVERAGEIFS(nNOTA,nNIA,S333,nEVAL,CONFIG_METADATA!$B$4,nASIG,"Coro"),""))</f>
        <v/>
      </c>
      <c r="V333" t="str">
        <f>IF(S333="","",IFERROR(AVERAGEIFS(nNOTA,nNIA,S333,nEVAL,CONFIG_METADATA!$B$4,nASIG,"Conjunto"),""))</f>
        <v/>
      </c>
      <c r="W333" t="str" cm="1">
        <f t="array" ref="W333">IF(S333="","",IFERROR(AVERAGE(IF((nNIA=S333)*(nEVAL=CONFIG_METADATA!$B$4)*(nASIG&lt;&gt;"Lenguaje Musical")*(nASIG&lt;&gt;"Coro")*(nASIG&lt;&gt;"Conjunto"),nNOTA)),""))</f>
        <v/>
      </c>
    </row>
    <row r="334" spans="2:23" x14ac:dyDescent="0.2">
      <c r="B334" t="str">
        <f>IF(A334="","",IFERROR(AVERAGEIFS(nNOTA,nNIA,A334,nEVAL,CONFIG_METADATA!$B$4,nASIG,"Lenguaje Musical"),""))</f>
        <v/>
      </c>
      <c r="C334" t="str">
        <f>IF(A334="","",IFERROR(AVERAGEIFS(nNOTA,nNIA,A334,nEVAL,CONFIG_METADATA!$B$4,nASIG,"Coro"),""))</f>
        <v/>
      </c>
      <c r="D334" t="str">
        <f>IF(A334="","",IFERROR(AVERAGEIFS(nNOTA,nNIA,A334,nEVAL,CONFIG_METADATA!$B$4,nASIG,"Conjunto"),""))</f>
        <v/>
      </c>
      <c r="E334" t="str">
        <f>IF(A334="","",IFERROR(AVERAGEIFS(nNOTA,nNIA,A334,nEVAL,CONFIG_METADATA!$B$4,nASIG,"&lt;&gt;Lenguaje Musical",nASIG,"&lt;&gt;Coro",nASIG,"&lt;&gt;Conjunto"),""))</f>
        <v/>
      </c>
      <c r="H334" t="str">
        <f>IF(G334="","",IFERROR(AVERAGEIFS(nNOTA,nNIA,G334,nEVAL,CONFIG_METADATA!$B$4,nASIG,"Lenguaje Musical"),""))</f>
        <v/>
      </c>
      <c r="I334" t="str">
        <f>IF(G334="","",IFERROR(AVERAGEIFS(nNOTA,nNIA,G334,nEVAL,CONFIG_METADATA!$B$4,nASIG,"Coro"),""))</f>
        <v/>
      </c>
      <c r="J334" t="str">
        <f>IF(G334="","",IFERROR(AVERAGEIFS(nNOTA,nNIA,G334,nEVAL,CONFIG_METADATA!$B$4,nASIG,"Conjunto"),""))</f>
        <v/>
      </c>
      <c r="K334" t="str" cm="1">
        <f t="array" ref="K334">IF(G334="","",IFERROR(AVERAGE(IF((nNIA=G334)*(nEVAL=CONFIG_METADATA!$B$4)*(nASIG&lt;&gt;"Lenguaje Musical")*(nASIG&lt;&gt;"Coro")*(nASIG&lt;&gt;"Conjunto"),nNOTA)),""))</f>
        <v/>
      </c>
      <c r="N334" t="str">
        <f>IF(M334="","",IFERROR(AVERAGEIFS(nNOTA,nNIA,M334,nEVAL,CONFIG_METADATA!$B$4,nASIG,"Lenguaje Musical"),""))</f>
        <v/>
      </c>
      <c r="O334" t="str">
        <f>IF(M334="","",IFERROR(AVERAGEIFS(nNOTA,nNIA,M334,nEVAL,CONFIG_METADATA!$B$4,nASIG,"Coro"),""))</f>
        <v/>
      </c>
      <c r="P334" t="str">
        <f>IF(M334="","",IFERROR(AVERAGEIFS(nNOTA,nNIA,M334,nEVAL,CONFIG_METADATA!$B$4,nASIG,"Conjunto"),""))</f>
        <v/>
      </c>
      <c r="Q334" t="str">
        <f>IF(M334="","",IFERROR(AVERAGEIFS(nNOTA,nNIA,M334,nEVAL,CONFIG_METADATA!$B$4,nASIG,"&lt;&gt;Lenguaje Musical",nASIG,"&lt;&gt;Coro",nASIG,"&lt;&gt;Conjunto"),""))</f>
        <v/>
      </c>
      <c r="T334" t="str">
        <f>IF(S334="","",IFERROR(AVERAGEIFS(nNOTA,nNIA,S334,nEVAL,CONFIG_METADATA!$B$4,nASIG,"Lenguaje Musical"),""))</f>
        <v/>
      </c>
      <c r="U334" t="str">
        <f>IF(S334="","",IFERROR(AVERAGEIFS(nNOTA,nNIA,S334,nEVAL,CONFIG_METADATA!$B$4,nASIG,"Coro"),""))</f>
        <v/>
      </c>
      <c r="V334" t="str">
        <f>IF(S334="","",IFERROR(AVERAGEIFS(nNOTA,nNIA,S334,nEVAL,CONFIG_METADATA!$B$4,nASIG,"Conjunto"),""))</f>
        <v/>
      </c>
      <c r="W334" t="str" cm="1">
        <f t="array" ref="W334">IF(S334="","",IFERROR(AVERAGE(IF((nNIA=S334)*(nEVAL=CONFIG_METADATA!$B$4)*(nASIG&lt;&gt;"Lenguaje Musical")*(nASIG&lt;&gt;"Coro")*(nASIG&lt;&gt;"Conjunto"),nNOTA)),""))</f>
        <v/>
      </c>
    </row>
    <row r="335" spans="2:23" x14ac:dyDescent="0.2">
      <c r="B335" t="str">
        <f>IF(A335="","",IFERROR(AVERAGEIFS(nNOTA,nNIA,A335,nEVAL,CONFIG_METADATA!$B$4,nASIG,"Lenguaje Musical"),""))</f>
        <v/>
      </c>
      <c r="C335" t="str">
        <f>IF(A335="","",IFERROR(AVERAGEIFS(nNOTA,nNIA,A335,nEVAL,CONFIG_METADATA!$B$4,nASIG,"Coro"),""))</f>
        <v/>
      </c>
      <c r="D335" t="str">
        <f>IF(A335="","",IFERROR(AVERAGEIFS(nNOTA,nNIA,A335,nEVAL,CONFIG_METADATA!$B$4,nASIG,"Conjunto"),""))</f>
        <v/>
      </c>
      <c r="E335" t="str">
        <f>IF(A335="","",IFERROR(AVERAGEIFS(nNOTA,nNIA,A335,nEVAL,CONFIG_METADATA!$B$4,nASIG,"&lt;&gt;Lenguaje Musical",nASIG,"&lt;&gt;Coro",nASIG,"&lt;&gt;Conjunto"),""))</f>
        <v/>
      </c>
      <c r="H335" t="str">
        <f>IF(G335="","",IFERROR(AVERAGEIFS(nNOTA,nNIA,G335,nEVAL,CONFIG_METADATA!$B$4,nASIG,"Lenguaje Musical"),""))</f>
        <v/>
      </c>
      <c r="I335" t="str">
        <f>IF(G335="","",IFERROR(AVERAGEIFS(nNOTA,nNIA,G335,nEVAL,CONFIG_METADATA!$B$4,nASIG,"Coro"),""))</f>
        <v/>
      </c>
      <c r="J335" t="str">
        <f>IF(G335="","",IFERROR(AVERAGEIFS(nNOTA,nNIA,G335,nEVAL,CONFIG_METADATA!$B$4,nASIG,"Conjunto"),""))</f>
        <v/>
      </c>
      <c r="K335" t="str" cm="1">
        <f t="array" ref="K335">IF(G335="","",IFERROR(AVERAGE(IF((nNIA=G335)*(nEVAL=CONFIG_METADATA!$B$4)*(nASIG&lt;&gt;"Lenguaje Musical")*(nASIG&lt;&gt;"Coro")*(nASIG&lt;&gt;"Conjunto"),nNOTA)),""))</f>
        <v/>
      </c>
      <c r="N335" t="str">
        <f>IF(M335="","",IFERROR(AVERAGEIFS(nNOTA,nNIA,M335,nEVAL,CONFIG_METADATA!$B$4,nASIG,"Lenguaje Musical"),""))</f>
        <v/>
      </c>
      <c r="O335" t="str">
        <f>IF(M335="","",IFERROR(AVERAGEIFS(nNOTA,nNIA,M335,nEVAL,CONFIG_METADATA!$B$4,nASIG,"Coro"),""))</f>
        <v/>
      </c>
      <c r="P335" t="str">
        <f>IF(M335="","",IFERROR(AVERAGEIFS(nNOTA,nNIA,M335,nEVAL,CONFIG_METADATA!$B$4,nASIG,"Conjunto"),""))</f>
        <v/>
      </c>
      <c r="Q335" t="str">
        <f>IF(M335="","",IFERROR(AVERAGEIFS(nNOTA,nNIA,M335,nEVAL,CONFIG_METADATA!$B$4,nASIG,"&lt;&gt;Lenguaje Musical",nASIG,"&lt;&gt;Coro",nASIG,"&lt;&gt;Conjunto"),""))</f>
        <v/>
      </c>
      <c r="T335" t="str">
        <f>IF(S335="","",IFERROR(AVERAGEIFS(nNOTA,nNIA,S335,nEVAL,CONFIG_METADATA!$B$4,nASIG,"Lenguaje Musical"),""))</f>
        <v/>
      </c>
      <c r="U335" t="str">
        <f>IF(S335="","",IFERROR(AVERAGEIFS(nNOTA,nNIA,S335,nEVAL,CONFIG_METADATA!$B$4,nASIG,"Coro"),""))</f>
        <v/>
      </c>
      <c r="V335" t="str">
        <f>IF(S335="","",IFERROR(AVERAGEIFS(nNOTA,nNIA,S335,nEVAL,CONFIG_METADATA!$B$4,nASIG,"Conjunto"),""))</f>
        <v/>
      </c>
      <c r="W335" t="str" cm="1">
        <f t="array" ref="W335">IF(S335="","",IFERROR(AVERAGE(IF((nNIA=S335)*(nEVAL=CONFIG_METADATA!$B$4)*(nASIG&lt;&gt;"Lenguaje Musical")*(nASIG&lt;&gt;"Coro")*(nASIG&lt;&gt;"Conjunto"),nNOTA)),""))</f>
        <v/>
      </c>
    </row>
    <row r="336" spans="2:23" x14ac:dyDescent="0.2">
      <c r="B336" t="str">
        <f>IF(A336="","",IFERROR(AVERAGEIFS(nNOTA,nNIA,A336,nEVAL,CONFIG_METADATA!$B$4,nASIG,"Lenguaje Musical"),""))</f>
        <v/>
      </c>
      <c r="C336" t="str">
        <f>IF(A336="","",IFERROR(AVERAGEIFS(nNOTA,nNIA,A336,nEVAL,CONFIG_METADATA!$B$4,nASIG,"Coro"),""))</f>
        <v/>
      </c>
      <c r="D336" t="str">
        <f>IF(A336="","",IFERROR(AVERAGEIFS(nNOTA,nNIA,A336,nEVAL,CONFIG_METADATA!$B$4,nASIG,"Conjunto"),""))</f>
        <v/>
      </c>
      <c r="E336" t="str">
        <f>IF(A336="","",IFERROR(AVERAGEIFS(nNOTA,nNIA,A336,nEVAL,CONFIG_METADATA!$B$4,nASIG,"&lt;&gt;Lenguaje Musical",nASIG,"&lt;&gt;Coro",nASIG,"&lt;&gt;Conjunto"),""))</f>
        <v/>
      </c>
      <c r="H336" t="str">
        <f>IF(G336="","",IFERROR(AVERAGEIFS(nNOTA,nNIA,G336,nEVAL,CONFIG_METADATA!$B$4,nASIG,"Lenguaje Musical"),""))</f>
        <v/>
      </c>
      <c r="I336" t="str">
        <f>IF(G336="","",IFERROR(AVERAGEIFS(nNOTA,nNIA,G336,nEVAL,CONFIG_METADATA!$B$4,nASIG,"Coro"),""))</f>
        <v/>
      </c>
      <c r="J336" t="str">
        <f>IF(G336="","",IFERROR(AVERAGEIFS(nNOTA,nNIA,G336,nEVAL,CONFIG_METADATA!$B$4,nASIG,"Conjunto"),""))</f>
        <v/>
      </c>
      <c r="K336" t="str" cm="1">
        <f t="array" ref="K336">IF(G336="","",IFERROR(AVERAGE(IF((nNIA=G336)*(nEVAL=CONFIG_METADATA!$B$4)*(nASIG&lt;&gt;"Lenguaje Musical")*(nASIG&lt;&gt;"Coro")*(nASIG&lt;&gt;"Conjunto"),nNOTA)),""))</f>
        <v/>
      </c>
      <c r="N336" t="str">
        <f>IF(M336="","",IFERROR(AVERAGEIFS(nNOTA,nNIA,M336,nEVAL,CONFIG_METADATA!$B$4,nASIG,"Lenguaje Musical"),""))</f>
        <v/>
      </c>
      <c r="O336" t="str">
        <f>IF(M336="","",IFERROR(AVERAGEIFS(nNOTA,nNIA,M336,nEVAL,CONFIG_METADATA!$B$4,nASIG,"Coro"),""))</f>
        <v/>
      </c>
      <c r="P336" t="str">
        <f>IF(M336="","",IFERROR(AVERAGEIFS(nNOTA,nNIA,M336,nEVAL,CONFIG_METADATA!$B$4,nASIG,"Conjunto"),""))</f>
        <v/>
      </c>
      <c r="Q336" t="str">
        <f>IF(M336="","",IFERROR(AVERAGEIFS(nNOTA,nNIA,M336,nEVAL,CONFIG_METADATA!$B$4,nASIG,"&lt;&gt;Lenguaje Musical",nASIG,"&lt;&gt;Coro",nASIG,"&lt;&gt;Conjunto"),""))</f>
        <v/>
      </c>
      <c r="T336" t="str">
        <f>IF(S336="","",IFERROR(AVERAGEIFS(nNOTA,nNIA,S336,nEVAL,CONFIG_METADATA!$B$4,nASIG,"Lenguaje Musical"),""))</f>
        <v/>
      </c>
      <c r="U336" t="str">
        <f>IF(S336="","",IFERROR(AVERAGEIFS(nNOTA,nNIA,S336,nEVAL,CONFIG_METADATA!$B$4,nASIG,"Coro"),""))</f>
        <v/>
      </c>
      <c r="V336" t="str">
        <f>IF(S336="","",IFERROR(AVERAGEIFS(nNOTA,nNIA,S336,nEVAL,CONFIG_METADATA!$B$4,nASIG,"Conjunto"),""))</f>
        <v/>
      </c>
      <c r="W336" t="str" cm="1">
        <f t="array" ref="W336">IF(S336="","",IFERROR(AVERAGE(IF((nNIA=S336)*(nEVAL=CONFIG_METADATA!$B$4)*(nASIG&lt;&gt;"Lenguaje Musical")*(nASIG&lt;&gt;"Coro")*(nASIG&lt;&gt;"Conjunto"),nNOTA)),""))</f>
        <v/>
      </c>
    </row>
    <row r="337" spans="2:23" x14ac:dyDescent="0.2">
      <c r="B337" t="str">
        <f>IF(A337="","",IFERROR(AVERAGEIFS(nNOTA,nNIA,A337,nEVAL,CONFIG_METADATA!$B$4,nASIG,"Lenguaje Musical"),""))</f>
        <v/>
      </c>
      <c r="C337" t="str">
        <f>IF(A337="","",IFERROR(AVERAGEIFS(nNOTA,nNIA,A337,nEVAL,CONFIG_METADATA!$B$4,nASIG,"Coro"),""))</f>
        <v/>
      </c>
      <c r="D337" t="str">
        <f>IF(A337="","",IFERROR(AVERAGEIFS(nNOTA,nNIA,A337,nEVAL,CONFIG_METADATA!$B$4,nASIG,"Conjunto"),""))</f>
        <v/>
      </c>
      <c r="E337" t="str">
        <f>IF(A337="","",IFERROR(AVERAGEIFS(nNOTA,nNIA,A337,nEVAL,CONFIG_METADATA!$B$4,nASIG,"&lt;&gt;Lenguaje Musical",nASIG,"&lt;&gt;Coro",nASIG,"&lt;&gt;Conjunto"),""))</f>
        <v/>
      </c>
      <c r="H337" t="str">
        <f>IF(G337="","",IFERROR(AVERAGEIFS(nNOTA,nNIA,G337,nEVAL,CONFIG_METADATA!$B$4,nASIG,"Lenguaje Musical"),""))</f>
        <v/>
      </c>
      <c r="I337" t="str">
        <f>IF(G337="","",IFERROR(AVERAGEIFS(nNOTA,nNIA,G337,nEVAL,CONFIG_METADATA!$B$4,nASIG,"Coro"),""))</f>
        <v/>
      </c>
      <c r="J337" t="str">
        <f>IF(G337="","",IFERROR(AVERAGEIFS(nNOTA,nNIA,G337,nEVAL,CONFIG_METADATA!$B$4,nASIG,"Conjunto"),""))</f>
        <v/>
      </c>
      <c r="K337" t="str" cm="1">
        <f t="array" ref="K337">IF(G337="","",IFERROR(AVERAGE(IF((nNIA=G337)*(nEVAL=CONFIG_METADATA!$B$4)*(nASIG&lt;&gt;"Lenguaje Musical")*(nASIG&lt;&gt;"Coro")*(nASIG&lt;&gt;"Conjunto"),nNOTA)),""))</f>
        <v/>
      </c>
      <c r="N337" t="str">
        <f>IF(M337="","",IFERROR(AVERAGEIFS(nNOTA,nNIA,M337,nEVAL,CONFIG_METADATA!$B$4,nASIG,"Lenguaje Musical"),""))</f>
        <v/>
      </c>
      <c r="O337" t="str">
        <f>IF(M337="","",IFERROR(AVERAGEIFS(nNOTA,nNIA,M337,nEVAL,CONFIG_METADATA!$B$4,nASIG,"Coro"),""))</f>
        <v/>
      </c>
      <c r="P337" t="str">
        <f>IF(M337="","",IFERROR(AVERAGEIFS(nNOTA,nNIA,M337,nEVAL,CONFIG_METADATA!$B$4,nASIG,"Conjunto"),""))</f>
        <v/>
      </c>
      <c r="Q337" t="str">
        <f>IF(M337="","",IFERROR(AVERAGEIFS(nNOTA,nNIA,M337,nEVAL,CONFIG_METADATA!$B$4,nASIG,"&lt;&gt;Lenguaje Musical",nASIG,"&lt;&gt;Coro",nASIG,"&lt;&gt;Conjunto"),""))</f>
        <v/>
      </c>
      <c r="T337" t="str">
        <f>IF(S337="","",IFERROR(AVERAGEIFS(nNOTA,nNIA,S337,nEVAL,CONFIG_METADATA!$B$4,nASIG,"Lenguaje Musical"),""))</f>
        <v/>
      </c>
      <c r="U337" t="str">
        <f>IF(S337="","",IFERROR(AVERAGEIFS(nNOTA,nNIA,S337,nEVAL,CONFIG_METADATA!$B$4,nASIG,"Coro"),""))</f>
        <v/>
      </c>
      <c r="V337" t="str">
        <f>IF(S337="","",IFERROR(AVERAGEIFS(nNOTA,nNIA,S337,nEVAL,CONFIG_METADATA!$B$4,nASIG,"Conjunto"),""))</f>
        <v/>
      </c>
      <c r="W337" t="str" cm="1">
        <f t="array" ref="W337">IF(S337="","",IFERROR(AVERAGE(IF((nNIA=S337)*(nEVAL=CONFIG_METADATA!$B$4)*(nASIG&lt;&gt;"Lenguaje Musical")*(nASIG&lt;&gt;"Coro")*(nASIG&lt;&gt;"Conjunto"),nNOTA)),""))</f>
        <v/>
      </c>
    </row>
    <row r="338" spans="2:23" x14ac:dyDescent="0.2">
      <c r="B338" t="str">
        <f>IF(A338="","",IFERROR(AVERAGEIFS(nNOTA,nNIA,A338,nEVAL,CONFIG_METADATA!$B$4,nASIG,"Lenguaje Musical"),""))</f>
        <v/>
      </c>
      <c r="C338" t="str">
        <f>IF(A338="","",IFERROR(AVERAGEIFS(nNOTA,nNIA,A338,nEVAL,CONFIG_METADATA!$B$4,nASIG,"Coro"),""))</f>
        <v/>
      </c>
      <c r="D338" t="str">
        <f>IF(A338="","",IFERROR(AVERAGEIFS(nNOTA,nNIA,A338,nEVAL,CONFIG_METADATA!$B$4,nASIG,"Conjunto"),""))</f>
        <v/>
      </c>
      <c r="E338" t="str">
        <f>IF(A338="","",IFERROR(AVERAGEIFS(nNOTA,nNIA,A338,nEVAL,CONFIG_METADATA!$B$4,nASIG,"&lt;&gt;Lenguaje Musical",nASIG,"&lt;&gt;Coro",nASIG,"&lt;&gt;Conjunto"),""))</f>
        <v/>
      </c>
      <c r="H338" t="str">
        <f>IF(G338="","",IFERROR(AVERAGEIFS(nNOTA,nNIA,G338,nEVAL,CONFIG_METADATA!$B$4,nASIG,"Lenguaje Musical"),""))</f>
        <v/>
      </c>
      <c r="I338" t="str">
        <f>IF(G338="","",IFERROR(AVERAGEIFS(nNOTA,nNIA,G338,nEVAL,CONFIG_METADATA!$B$4,nASIG,"Coro"),""))</f>
        <v/>
      </c>
      <c r="J338" t="str">
        <f>IF(G338="","",IFERROR(AVERAGEIFS(nNOTA,nNIA,G338,nEVAL,CONFIG_METADATA!$B$4,nASIG,"Conjunto"),""))</f>
        <v/>
      </c>
      <c r="K338" t="str" cm="1">
        <f t="array" ref="K338">IF(G338="","",IFERROR(AVERAGE(IF((nNIA=G338)*(nEVAL=CONFIG_METADATA!$B$4)*(nASIG&lt;&gt;"Lenguaje Musical")*(nASIG&lt;&gt;"Coro")*(nASIG&lt;&gt;"Conjunto"),nNOTA)),""))</f>
        <v/>
      </c>
      <c r="N338" t="str">
        <f>IF(M338="","",IFERROR(AVERAGEIFS(nNOTA,nNIA,M338,nEVAL,CONFIG_METADATA!$B$4,nASIG,"Lenguaje Musical"),""))</f>
        <v/>
      </c>
      <c r="O338" t="str">
        <f>IF(M338="","",IFERROR(AVERAGEIFS(nNOTA,nNIA,M338,nEVAL,CONFIG_METADATA!$B$4,nASIG,"Coro"),""))</f>
        <v/>
      </c>
      <c r="P338" t="str">
        <f>IF(M338="","",IFERROR(AVERAGEIFS(nNOTA,nNIA,M338,nEVAL,CONFIG_METADATA!$B$4,nASIG,"Conjunto"),""))</f>
        <v/>
      </c>
      <c r="Q338" t="str">
        <f>IF(M338="","",IFERROR(AVERAGEIFS(nNOTA,nNIA,M338,nEVAL,CONFIG_METADATA!$B$4,nASIG,"&lt;&gt;Lenguaje Musical",nASIG,"&lt;&gt;Coro",nASIG,"&lt;&gt;Conjunto"),""))</f>
        <v/>
      </c>
      <c r="T338" t="str">
        <f>IF(S338="","",IFERROR(AVERAGEIFS(nNOTA,nNIA,S338,nEVAL,CONFIG_METADATA!$B$4,nASIG,"Lenguaje Musical"),""))</f>
        <v/>
      </c>
      <c r="U338" t="str">
        <f>IF(S338="","",IFERROR(AVERAGEIFS(nNOTA,nNIA,S338,nEVAL,CONFIG_METADATA!$B$4,nASIG,"Coro"),""))</f>
        <v/>
      </c>
      <c r="V338" t="str">
        <f>IF(S338="","",IFERROR(AVERAGEIFS(nNOTA,nNIA,S338,nEVAL,CONFIG_METADATA!$B$4,nASIG,"Conjunto"),""))</f>
        <v/>
      </c>
      <c r="W338" t="str" cm="1">
        <f t="array" ref="W338">IF(S338="","",IFERROR(AVERAGE(IF((nNIA=S338)*(nEVAL=CONFIG_METADATA!$B$4)*(nASIG&lt;&gt;"Lenguaje Musical")*(nASIG&lt;&gt;"Coro")*(nASIG&lt;&gt;"Conjunto"),nNOTA)),""))</f>
        <v/>
      </c>
    </row>
    <row r="339" spans="2:23" x14ac:dyDescent="0.2">
      <c r="B339" t="str">
        <f>IF(A339="","",IFERROR(AVERAGEIFS(nNOTA,nNIA,A339,nEVAL,CONFIG_METADATA!$B$4,nASIG,"Lenguaje Musical"),""))</f>
        <v/>
      </c>
      <c r="C339" t="str">
        <f>IF(A339="","",IFERROR(AVERAGEIFS(nNOTA,nNIA,A339,nEVAL,CONFIG_METADATA!$B$4,nASIG,"Coro"),""))</f>
        <v/>
      </c>
      <c r="D339" t="str">
        <f>IF(A339="","",IFERROR(AVERAGEIFS(nNOTA,nNIA,A339,nEVAL,CONFIG_METADATA!$B$4,nASIG,"Conjunto"),""))</f>
        <v/>
      </c>
      <c r="E339" t="str">
        <f>IF(A339="","",IFERROR(AVERAGEIFS(nNOTA,nNIA,A339,nEVAL,CONFIG_METADATA!$B$4,nASIG,"&lt;&gt;Lenguaje Musical",nASIG,"&lt;&gt;Coro",nASIG,"&lt;&gt;Conjunto"),""))</f>
        <v/>
      </c>
      <c r="H339" t="str">
        <f>IF(G339="","",IFERROR(AVERAGEIFS(nNOTA,nNIA,G339,nEVAL,CONFIG_METADATA!$B$4,nASIG,"Lenguaje Musical"),""))</f>
        <v/>
      </c>
      <c r="I339" t="str">
        <f>IF(G339="","",IFERROR(AVERAGEIFS(nNOTA,nNIA,G339,nEVAL,CONFIG_METADATA!$B$4,nASIG,"Coro"),""))</f>
        <v/>
      </c>
      <c r="J339" t="str">
        <f>IF(G339="","",IFERROR(AVERAGEIFS(nNOTA,nNIA,G339,nEVAL,CONFIG_METADATA!$B$4,nASIG,"Conjunto"),""))</f>
        <v/>
      </c>
      <c r="K339" t="str" cm="1">
        <f t="array" ref="K339">IF(G339="","",IFERROR(AVERAGE(IF((nNIA=G339)*(nEVAL=CONFIG_METADATA!$B$4)*(nASIG&lt;&gt;"Lenguaje Musical")*(nASIG&lt;&gt;"Coro")*(nASIG&lt;&gt;"Conjunto"),nNOTA)),""))</f>
        <v/>
      </c>
      <c r="N339" t="str">
        <f>IF(M339="","",IFERROR(AVERAGEIFS(nNOTA,nNIA,M339,nEVAL,CONFIG_METADATA!$B$4,nASIG,"Lenguaje Musical"),""))</f>
        <v/>
      </c>
      <c r="O339" t="str">
        <f>IF(M339="","",IFERROR(AVERAGEIFS(nNOTA,nNIA,M339,nEVAL,CONFIG_METADATA!$B$4,nASIG,"Coro"),""))</f>
        <v/>
      </c>
      <c r="P339" t="str">
        <f>IF(M339="","",IFERROR(AVERAGEIFS(nNOTA,nNIA,M339,nEVAL,CONFIG_METADATA!$B$4,nASIG,"Conjunto"),""))</f>
        <v/>
      </c>
      <c r="Q339" t="str">
        <f>IF(M339="","",IFERROR(AVERAGEIFS(nNOTA,nNIA,M339,nEVAL,CONFIG_METADATA!$B$4,nASIG,"&lt;&gt;Lenguaje Musical",nASIG,"&lt;&gt;Coro",nASIG,"&lt;&gt;Conjunto"),""))</f>
        <v/>
      </c>
      <c r="T339" t="str">
        <f>IF(S339="","",IFERROR(AVERAGEIFS(nNOTA,nNIA,S339,nEVAL,CONFIG_METADATA!$B$4,nASIG,"Lenguaje Musical"),""))</f>
        <v/>
      </c>
      <c r="U339" t="str">
        <f>IF(S339="","",IFERROR(AVERAGEIFS(nNOTA,nNIA,S339,nEVAL,CONFIG_METADATA!$B$4,nASIG,"Coro"),""))</f>
        <v/>
      </c>
      <c r="V339" t="str">
        <f>IF(S339="","",IFERROR(AVERAGEIFS(nNOTA,nNIA,S339,nEVAL,CONFIG_METADATA!$B$4,nASIG,"Conjunto"),""))</f>
        <v/>
      </c>
      <c r="W339" t="str" cm="1">
        <f t="array" ref="W339">IF(S339="","",IFERROR(AVERAGE(IF((nNIA=S339)*(nEVAL=CONFIG_METADATA!$B$4)*(nASIG&lt;&gt;"Lenguaje Musical")*(nASIG&lt;&gt;"Coro")*(nASIG&lt;&gt;"Conjunto"),nNOTA)),""))</f>
        <v/>
      </c>
    </row>
    <row r="340" spans="2:23" x14ac:dyDescent="0.2">
      <c r="B340" t="str">
        <f>IF(A340="","",IFERROR(AVERAGEIFS(nNOTA,nNIA,A340,nEVAL,CONFIG_METADATA!$B$4,nASIG,"Lenguaje Musical"),""))</f>
        <v/>
      </c>
      <c r="C340" t="str">
        <f>IF(A340="","",IFERROR(AVERAGEIFS(nNOTA,nNIA,A340,nEVAL,CONFIG_METADATA!$B$4,nASIG,"Coro"),""))</f>
        <v/>
      </c>
      <c r="D340" t="str">
        <f>IF(A340="","",IFERROR(AVERAGEIFS(nNOTA,nNIA,A340,nEVAL,CONFIG_METADATA!$B$4,nASIG,"Conjunto"),""))</f>
        <v/>
      </c>
      <c r="E340" t="str">
        <f>IF(A340="","",IFERROR(AVERAGEIFS(nNOTA,nNIA,A340,nEVAL,CONFIG_METADATA!$B$4,nASIG,"&lt;&gt;Lenguaje Musical",nASIG,"&lt;&gt;Coro",nASIG,"&lt;&gt;Conjunto"),""))</f>
        <v/>
      </c>
      <c r="H340" t="str">
        <f>IF(G340="","",IFERROR(AVERAGEIFS(nNOTA,nNIA,G340,nEVAL,CONFIG_METADATA!$B$4,nASIG,"Lenguaje Musical"),""))</f>
        <v/>
      </c>
      <c r="I340" t="str">
        <f>IF(G340="","",IFERROR(AVERAGEIFS(nNOTA,nNIA,G340,nEVAL,CONFIG_METADATA!$B$4,nASIG,"Coro"),""))</f>
        <v/>
      </c>
      <c r="J340" t="str">
        <f>IF(G340="","",IFERROR(AVERAGEIFS(nNOTA,nNIA,G340,nEVAL,CONFIG_METADATA!$B$4,nASIG,"Conjunto"),""))</f>
        <v/>
      </c>
      <c r="K340" t="str" cm="1">
        <f t="array" ref="K340">IF(G340="","",IFERROR(AVERAGE(IF((nNIA=G340)*(nEVAL=CONFIG_METADATA!$B$4)*(nASIG&lt;&gt;"Lenguaje Musical")*(nASIG&lt;&gt;"Coro")*(nASIG&lt;&gt;"Conjunto"),nNOTA)),""))</f>
        <v/>
      </c>
      <c r="N340" t="str">
        <f>IF(M340="","",IFERROR(AVERAGEIFS(nNOTA,nNIA,M340,nEVAL,CONFIG_METADATA!$B$4,nASIG,"Lenguaje Musical"),""))</f>
        <v/>
      </c>
      <c r="O340" t="str">
        <f>IF(M340="","",IFERROR(AVERAGEIFS(nNOTA,nNIA,M340,nEVAL,CONFIG_METADATA!$B$4,nASIG,"Coro"),""))</f>
        <v/>
      </c>
      <c r="P340" t="str">
        <f>IF(M340="","",IFERROR(AVERAGEIFS(nNOTA,nNIA,M340,nEVAL,CONFIG_METADATA!$B$4,nASIG,"Conjunto"),""))</f>
        <v/>
      </c>
      <c r="Q340" t="str">
        <f>IF(M340="","",IFERROR(AVERAGEIFS(nNOTA,nNIA,M340,nEVAL,CONFIG_METADATA!$B$4,nASIG,"&lt;&gt;Lenguaje Musical",nASIG,"&lt;&gt;Coro",nASIG,"&lt;&gt;Conjunto"),""))</f>
        <v/>
      </c>
      <c r="T340" t="str">
        <f>IF(S340="","",IFERROR(AVERAGEIFS(nNOTA,nNIA,S340,nEVAL,CONFIG_METADATA!$B$4,nASIG,"Lenguaje Musical"),""))</f>
        <v/>
      </c>
      <c r="U340" t="str">
        <f>IF(S340="","",IFERROR(AVERAGEIFS(nNOTA,nNIA,S340,nEVAL,CONFIG_METADATA!$B$4,nASIG,"Coro"),""))</f>
        <v/>
      </c>
      <c r="V340" t="str">
        <f>IF(S340="","",IFERROR(AVERAGEIFS(nNOTA,nNIA,S340,nEVAL,CONFIG_METADATA!$B$4,nASIG,"Conjunto"),""))</f>
        <v/>
      </c>
      <c r="W340" t="str" cm="1">
        <f t="array" ref="W340">IF(S340="","",IFERROR(AVERAGE(IF((nNIA=S340)*(nEVAL=CONFIG_METADATA!$B$4)*(nASIG&lt;&gt;"Lenguaje Musical")*(nASIG&lt;&gt;"Coro")*(nASIG&lt;&gt;"Conjunto"),nNOTA)),""))</f>
        <v/>
      </c>
    </row>
    <row r="341" spans="2:23" x14ac:dyDescent="0.2">
      <c r="B341" t="str">
        <f>IF(A341="","",IFERROR(AVERAGEIFS(nNOTA,nNIA,A341,nEVAL,CONFIG_METADATA!$B$4,nASIG,"Lenguaje Musical"),""))</f>
        <v/>
      </c>
      <c r="C341" t="str">
        <f>IF(A341="","",IFERROR(AVERAGEIFS(nNOTA,nNIA,A341,nEVAL,CONFIG_METADATA!$B$4,nASIG,"Coro"),""))</f>
        <v/>
      </c>
      <c r="D341" t="str">
        <f>IF(A341="","",IFERROR(AVERAGEIFS(nNOTA,nNIA,A341,nEVAL,CONFIG_METADATA!$B$4,nASIG,"Conjunto"),""))</f>
        <v/>
      </c>
      <c r="E341" t="str">
        <f>IF(A341="","",IFERROR(AVERAGEIFS(nNOTA,nNIA,A341,nEVAL,CONFIG_METADATA!$B$4,nASIG,"&lt;&gt;Lenguaje Musical",nASIG,"&lt;&gt;Coro",nASIG,"&lt;&gt;Conjunto"),""))</f>
        <v/>
      </c>
      <c r="H341" t="str">
        <f>IF(G341="","",IFERROR(AVERAGEIFS(nNOTA,nNIA,G341,nEVAL,CONFIG_METADATA!$B$4,nASIG,"Lenguaje Musical"),""))</f>
        <v/>
      </c>
      <c r="I341" t="str">
        <f>IF(G341="","",IFERROR(AVERAGEIFS(nNOTA,nNIA,G341,nEVAL,CONFIG_METADATA!$B$4,nASIG,"Coro"),""))</f>
        <v/>
      </c>
      <c r="J341" t="str">
        <f>IF(G341="","",IFERROR(AVERAGEIFS(nNOTA,nNIA,G341,nEVAL,CONFIG_METADATA!$B$4,nASIG,"Conjunto"),""))</f>
        <v/>
      </c>
      <c r="K341" t="str" cm="1">
        <f t="array" ref="K341">IF(G341="","",IFERROR(AVERAGE(IF((nNIA=G341)*(nEVAL=CONFIG_METADATA!$B$4)*(nASIG&lt;&gt;"Lenguaje Musical")*(nASIG&lt;&gt;"Coro")*(nASIG&lt;&gt;"Conjunto"),nNOTA)),""))</f>
        <v/>
      </c>
      <c r="N341" t="str">
        <f>IF(M341="","",IFERROR(AVERAGEIFS(nNOTA,nNIA,M341,nEVAL,CONFIG_METADATA!$B$4,nASIG,"Lenguaje Musical"),""))</f>
        <v/>
      </c>
      <c r="O341" t="str">
        <f>IF(M341="","",IFERROR(AVERAGEIFS(nNOTA,nNIA,M341,nEVAL,CONFIG_METADATA!$B$4,nASIG,"Coro"),""))</f>
        <v/>
      </c>
      <c r="P341" t="str">
        <f>IF(M341="","",IFERROR(AVERAGEIFS(nNOTA,nNIA,M341,nEVAL,CONFIG_METADATA!$B$4,nASIG,"Conjunto"),""))</f>
        <v/>
      </c>
      <c r="Q341" t="str">
        <f>IF(M341="","",IFERROR(AVERAGEIFS(nNOTA,nNIA,M341,nEVAL,CONFIG_METADATA!$B$4,nASIG,"&lt;&gt;Lenguaje Musical",nASIG,"&lt;&gt;Coro",nASIG,"&lt;&gt;Conjunto"),""))</f>
        <v/>
      </c>
      <c r="T341" t="str">
        <f>IF(S341="","",IFERROR(AVERAGEIFS(nNOTA,nNIA,S341,nEVAL,CONFIG_METADATA!$B$4,nASIG,"Lenguaje Musical"),""))</f>
        <v/>
      </c>
      <c r="U341" t="str">
        <f>IF(S341="","",IFERROR(AVERAGEIFS(nNOTA,nNIA,S341,nEVAL,CONFIG_METADATA!$B$4,nASIG,"Coro"),""))</f>
        <v/>
      </c>
      <c r="V341" t="str">
        <f>IF(S341="","",IFERROR(AVERAGEIFS(nNOTA,nNIA,S341,nEVAL,CONFIG_METADATA!$B$4,nASIG,"Conjunto"),""))</f>
        <v/>
      </c>
      <c r="W341" t="str" cm="1">
        <f t="array" ref="W341">IF(S341="","",IFERROR(AVERAGE(IF((nNIA=S341)*(nEVAL=CONFIG_METADATA!$B$4)*(nASIG&lt;&gt;"Lenguaje Musical")*(nASIG&lt;&gt;"Coro")*(nASIG&lt;&gt;"Conjunto"),nNOTA)),""))</f>
        <v/>
      </c>
    </row>
    <row r="342" spans="2:23" x14ac:dyDescent="0.2">
      <c r="B342" t="str">
        <f>IF(A342="","",IFERROR(AVERAGEIFS(nNOTA,nNIA,A342,nEVAL,CONFIG_METADATA!$B$4,nASIG,"Lenguaje Musical"),""))</f>
        <v/>
      </c>
      <c r="C342" t="str">
        <f>IF(A342="","",IFERROR(AVERAGEIFS(nNOTA,nNIA,A342,nEVAL,CONFIG_METADATA!$B$4,nASIG,"Coro"),""))</f>
        <v/>
      </c>
      <c r="D342" t="str">
        <f>IF(A342="","",IFERROR(AVERAGEIFS(nNOTA,nNIA,A342,nEVAL,CONFIG_METADATA!$B$4,nASIG,"Conjunto"),""))</f>
        <v/>
      </c>
      <c r="E342" t="str">
        <f>IF(A342="","",IFERROR(AVERAGEIFS(nNOTA,nNIA,A342,nEVAL,CONFIG_METADATA!$B$4,nASIG,"&lt;&gt;Lenguaje Musical",nASIG,"&lt;&gt;Coro",nASIG,"&lt;&gt;Conjunto"),""))</f>
        <v/>
      </c>
      <c r="H342" t="str">
        <f>IF(G342="","",IFERROR(AVERAGEIFS(nNOTA,nNIA,G342,nEVAL,CONFIG_METADATA!$B$4,nASIG,"Lenguaje Musical"),""))</f>
        <v/>
      </c>
      <c r="I342" t="str">
        <f>IF(G342="","",IFERROR(AVERAGEIFS(nNOTA,nNIA,G342,nEVAL,CONFIG_METADATA!$B$4,nASIG,"Coro"),""))</f>
        <v/>
      </c>
      <c r="J342" t="str">
        <f>IF(G342="","",IFERROR(AVERAGEIFS(nNOTA,nNIA,G342,nEVAL,CONFIG_METADATA!$B$4,nASIG,"Conjunto"),""))</f>
        <v/>
      </c>
      <c r="K342" t="str" cm="1">
        <f t="array" ref="K342">IF(G342="","",IFERROR(AVERAGE(IF((nNIA=G342)*(nEVAL=CONFIG_METADATA!$B$4)*(nASIG&lt;&gt;"Lenguaje Musical")*(nASIG&lt;&gt;"Coro")*(nASIG&lt;&gt;"Conjunto"),nNOTA)),""))</f>
        <v/>
      </c>
      <c r="N342" t="str">
        <f>IF(M342="","",IFERROR(AVERAGEIFS(nNOTA,nNIA,M342,nEVAL,CONFIG_METADATA!$B$4,nASIG,"Lenguaje Musical"),""))</f>
        <v/>
      </c>
      <c r="O342" t="str">
        <f>IF(M342="","",IFERROR(AVERAGEIFS(nNOTA,nNIA,M342,nEVAL,CONFIG_METADATA!$B$4,nASIG,"Coro"),""))</f>
        <v/>
      </c>
      <c r="P342" t="str">
        <f>IF(M342="","",IFERROR(AVERAGEIFS(nNOTA,nNIA,M342,nEVAL,CONFIG_METADATA!$B$4,nASIG,"Conjunto"),""))</f>
        <v/>
      </c>
      <c r="Q342" t="str">
        <f>IF(M342="","",IFERROR(AVERAGEIFS(nNOTA,nNIA,M342,nEVAL,CONFIG_METADATA!$B$4,nASIG,"&lt;&gt;Lenguaje Musical",nASIG,"&lt;&gt;Coro",nASIG,"&lt;&gt;Conjunto"),""))</f>
        <v/>
      </c>
      <c r="T342" t="str">
        <f>IF(S342="","",IFERROR(AVERAGEIFS(nNOTA,nNIA,S342,nEVAL,CONFIG_METADATA!$B$4,nASIG,"Lenguaje Musical"),""))</f>
        <v/>
      </c>
      <c r="U342" t="str">
        <f>IF(S342="","",IFERROR(AVERAGEIFS(nNOTA,nNIA,S342,nEVAL,CONFIG_METADATA!$B$4,nASIG,"Coro"),""))</f>
        <v/>
      </c>
      <c r="V342" t="str">
        <f>IF(S342="","",IFERROR(AVERAGEIFS(nNOTA,nNIA,S342,nEVAL,CONFIG_METADATA!$B$4,nASIG,"Conjunto"),""))</f>
        <v/>
      </c>
      <c r="W342" t="str" cm="1">
        <f t="array" ref="W342">IF(S342="","",IFERROR(AVERAGE(IF((nNIA=S342)*(nEVAL=CONFIG_METADATA!$B$4)*(nASIG&lt;&gt;"Lenguaje Musical")*(nASIG&lt;&gt;"Coro")*(nASIG&lt;&gt;"Conjunto"),nNOTA)),""))</f>
        <v/>
      </c>
    </row>
    <row r="343" spans="2:23" x14ac:dyDescent="0.2">
      <c r="B343" t="str">
        <f>IF(A343="","",IFERROR(AVERAGEIFS(nNOTA,nNIA,A343,nEVAL,CONFIG_METADATA!$B$4,nASIG,"Lenguaje Musical"),""))</f>
        <v/>
      </c>
      <c r="C343" t="str">
        <f>IF(A343="","",IFERROR(AVERAGEIFS(nNOTA,nNIA,A343,nEVAL,CONFIG_METADATA!$B$4,nASIG,"Coro"),""))</f>
        <v/>
      </c>
      <c r="D343" t="str">
        <f>IF(A343="","",IFERROR(AVERAGEIFS(nNOTA,nNIA,A343,nEVAL,CONFIG_METADATA!$B$4,nASIG,"Conjunto"),""))</f>
        <v/>
      </c>
      <c r="E343" t="str">
        <f>IF(A343="","",IFERROR(AVERAGEIFS(nNOTA,nNIA,A343,nEVAL,CONFIG_METADATA!$B$4,nASIG,"&lt;&gt;Lenguaje Musical",nASIG,"&lt;&gt;Coro",nASIG,"&lt;&gt;Conjunto"),""))</f>
        <v/>
      </c>
      <c r="H343" t="str">
        <f>IF(G343="","",IFERROR(AVERAGEIFS(nNOTA,nNIA,G343,nEVAL,CONFIG_METADATA!$B$4,nASIG,"Lenguaje Musical"),""))</f>
        <v/>
      </c>
      <c r="I343" t="str">
        <f>IF(G343="","",IFERROR(AVERAGEIFS(nNOTA,nNIA,G343,nEVAL,CONFIG_METADATA!$B$4,nASIG,"Coro"),""))</f>
        <v/>
      </c>
      <c r="J343" t="str">
        <f>IF(G343="","",IFERROR(AVERAGEIFS(nNOTA,nNIA,G343,nEVAL,CONFIG_METADATA!$B$4,nASIG,"Conjunto"),""))</f>
        <v/>
      </c>
      <c r="K343" t="str" cm="1">
        <f t="array" ref="K343">IF(G343="","",IFERROR(AVERAGE(IF((nNIA=G343)*(nEVAL=CONFIG_METADATA!$B$4)*(nASIG&lt;&gt;"Lenguaje Musical")*(nASIG&lt;&gt;"Coro")*(nASIG&lt;&gt;"Conjunto"),nNOTA)),""))</f>
        <v/>
      </c>
      <c r="N343" t="str">
        <f>IF(M343="","",IFERROR(AVERAGEIFS(nNOTA,nNIA,M343,nEVAL,CONFIG_METADATA!$B$4,nASIG,"Lenguaje Musical"),""))</f>
        <v/>
      </c>
      <c r="O343" t="str">
        <f>IF(M343="","",IFERROR(AVERAGEIFS(nNOTA,nNIA,M343,nEVAL,CONFIG_METADATA!$B$4,nASIG,"Coro"),""))</f>
        <v/>
      </c>
      <c r="P343" t="str">
        <f>IF(M343="","",IFERROR(AVERAGEIFS(nNOTA,nNIA,M343,nEVAL,CONFIG_METADATA!$B$4,nASIG,"Conjunto"),""))</f>
        <v/>
      </c>
      <c r="Q343" t="str">
        <f>IF(M343="","",IFERROR(AVERAGEIFS(nNOTA,nNIA,M343,nEVAL,CONFIG_METADATA!$B$4,nASIG,"&lt;&gt;Lenguaje Musical",nASIG,"&lt;&gt;Coro",nASIG,"&lt;&gt;Conjunto"),""))</f>
        <v/>
      </c>
      <c r="T343" t="str">
        <f>IF(S343="","",IFERROR(AVERAGEIFS(nNOTA,nNIA,S343,nEVAL,CONFIG_METADATA!$B$4,nASIG,"Lenguaje Musical"),""))</f>
        <v/>
      </c>
      <c r="U343" t="str">
        <f>IF(S343="","",IFERROR(AVERAGEIFS(nNOTA,nNIA,S343,nEVAL,CONFIG_METADATA!$B$4,nASIG,"Coro"),""))</f>
        <v/>
      </c>
      <c r="V343" t="str">
        <f>IF(S343="","",IFERROR(AVERAGEIFS(nNOTA,nNIA,S343,nEVAL,CONFIG_METADATA!$B$4,nASIG,"Conjunto"),""))</f>
        <v/>
      </c>
      <c r="W343" t="str" cm="1">
        <f t="array" ref="W343">IF(S343="","",IFERROR(AVERAGE(IF((nNIA=S343)*(nEVAL=CONFIG_METADATA!$B$4)*(nASIG&lt;&gt;"Lenguaje Musical")*(nASIG&lt;&gt;"Coro")*(nASIG&lt;&gt;"Conjunto"),nNOTA)),""))</f>
        <v/>
      </c>
    </row>
    <row r="344" spans="2:23" x14ac:dyDescent="0.2">
      <c r="B344" t="str">
        <f>IF(A344="","",IFERROR(AVERAGEIFS(nNOTA,nNIA,A344,nEVAL,CONFIG_METADATA!$B$4,nASIG,"Lenguaje Musical"),""))</f>
        <v/>
      </c>
      <c r="C344" t="str">
        <f>IF(A344="","",IFERROR(AVERAGEIFS(nNOTA,nNIA,A344,nEVAL,CONFIG_METADATA!$B$4,nASIG,"Coro"),""))</f>
        <v/>
      </c>
      <c r="D344" t="str">
        <f>IF(A344="","",IFERROR(AVERAGEIFS(nNOTA,nNIA,A344,nEVAL,CONFIG_METADATA!$B$4,nASIG,"Conjunto"),""))</f>
        <v/>
      </c>
      <c r="E344" t="str">
        <f>IF(A344="","",IFERROR(AVERAGEIFS(nNOTA,nNIA,A344,nEVAL,CONFIG_METADATA!$B$4,nASIG,"&lt;&gt;Lenguaje Musical",nASIG,"&lt;&gt;Coro",nASIG,"&lt;&gt;Conjunto"),""))</f>
        <v/>
      </c>
      <c r="H344" t="str">
        <f>IF(G344="","",IFERROR(AVERAGEIFS(nNOTA,nNIA,G344,nEVAL,CONFIG_METADATA!$B$4,nASIG,"Lenguaje Musical"),""))</f>
        <v/>
      </c>
      <c r="I344" t="str">
        <f>IF(G344="","",IFERROR(AVERAGEIFS(nNOTA,nNIA,G344,nEVAL,CONFIG_METADATA!$B$4,nASIG,"Coro"),""))</f>
        <v/>
      </c>
      <c r="J344" t="str">
        <f>IF(G344="","",IFERROR(AVERAGEIFS(nNOTA,nNIA,G344,nEVAL,CONFIG_METADATA!$B$4,nASIG,"Conjunto"),""))</f>
        <v/>
      </c>
      <c r="K344" t="str" cm="1">
        <f t="array" ref="K344">IF(G344="","",IFERROR(AVERAGE(IF((nNIA=G344)*(nEVAL=CONFIG_METADATA!$B$4)*(nASIG&lt;&gt;"Lenguaje Musical")*(nASIG&lt;&gt;"Coro")*(nASIG&lt;&gt;"Conjunto"),nNOTA)),""))</f>
        <v/>
      </c>
      <c r="N344" t="str">
        <f>IF(M344="","",IFERROR(AVERAGEIFS(nNOTA,nNIA,M344,nEVAL,CONFIG_METADATA!$B$4,nASIG,"Lenguaje Musical"),""))</f>
        <v/>
      </c>
      <c r="O344" t="str">
        <f>IF(M344="","",IFERROR(AVERAGEIFS(nNOTA,nNIA,M344,nEVAL,CONFIG_METADATA!$B$4,nASIG,"Coro"),""))</f>
        <v/>
      </c>
      <c r="P344" t="str">
        <f>IF(M344="","",IFERROR(AVERAGEIFS(nNOTA,nNIA,M344,nEVAL,CONFIG_METADATA!$B$4,nASIG,"Conjunto"),""))</f>
        <v/>
      </c>
      <c r="Q344" t="str">
        <f>IF(M344="","",IFERROR(AVERAGEIFS(nNOTA,nNIA,M344,nEVAL,CONFIG_METADATA!$B$4,nASIG,"&lt;&gt;Lenguaje Musical",nASIG,"&lt;&gt;Coro",nASIG,"&lt;&gt;Conjunto"),""))</f>
        <v/>
      </c>
      <c r="T344" t="str">
        <f>IF(S344="","",IFERROR(AVERAGEIFS(nNOTA,nNIA,S344,nEVAL,CONFIG_METADATA!$B$4,nASIG,"Lenguaje Musical"),""))</f>
        <v/>
      </c>
      <c r="U344" t="str">
        <f>IF(S344="","",IFERROR(AVERAGEIFS(nNOTA,nNIA,S344,nEVAL,CONFIG_METADATA!$B$4,nASIG,"Coro"),""))</f>
        <v/>
      </c>
      <c r="V344" t="str">
        <f>IF(S344="","",IFERROR(AVERAGEIFS(nNOTA,nNIA,S344,nEVAL,CONFIG_METADATA!$B$4,nASIG,"Conjunto"),""))</f>
        <v/>
      </c>
      <c r="W344" t="str" cm="1">
        <f t="array" ref="W344">IF(S344="","",IFERROR(AVERAGE(IF((nNIA=S344)*(nEVAL=CONFIG_METADATA!$B$4)*(nASIG&lt;&gt;"Lenguaje Musical")*(nASIG&lt;&gt;"Coro")*(nASIG&lt;&gt;"Conjunto"),nNOTA)),""))</f>
        <v/>
      </c>
    </row>
    <row r="345" spans="2:23" x14ac:dyDescent="0.2">
      <c r="B345" t="str">
        <f>IF(A345="","",IFERROR(AVERAGEIFS(nNOTA,nNIA,A345,nEVAL,CONFIG_METADATA!$B$4,nASIG,"Lenguaje Musical"),""))</f>
        <v/>
      </c>
      <c r="C345" t="str">
        <f>IF(A345="","",IFERROR(AVERAGEIFS(nNOTA,nNIA,A345,nEVAL,CONFIG_METADATA!$B$4,nASIG,"Coro"),""))</f>
        <v/>
      </c>
      <c r="D345" t="str">
        <f>IF(A345="","",IFERROR(AVERAGEIFS(nNOTA,nNIA,A345,nEVAL,CONFIG_METADATA!$B$4,nASIG,"Conjunto"),""))</f>
        <v/>
      </c>
      <c r="E345" t="str">
        <f>IF(A345="","",IFERROR(AVERAGEIFS(nNOTA,nNIA,A345,nEVAL,CONFIG_METADATA!$B$4,nASIG,"&lt;&gt;Lenguaje Musical",nASIG,"&lt;&gt;Coro",nASIG,"&lt;&gt;Conjunto"),""))</f>
        <v/>
      </c>
      <c r="H345" t="str">
        <f>IF(G345="","",IFERROR(AVERAGEIFS(nNOTA,nNIA,G345,nEVAL,CONFIG_METADATA!$B$4,nASIG,"Lenguaje Musical"),""))</f>
        <v/>
      </c>
      <c r="I345" t="str">
        <f>IF(G345="","",IFERROR(AVERAGEIFS(nNOTA,nNIA,G345,nEVAL,CONFIG_METADATA!$B$4,nASIG,"Coro"),""))</f>
        <v/>
      </c>
      <c r="J345" t="str">
        <f>IF(G345="","",IFERROR(AVERAGEIFS(nNOTA,nNIA,G345,nEVAL,CONFIG_METADATA!$B$4,nASIG,"Conjunto"),""))</f>
        <v/>
      </c>
      <c r="K345" t="str" cm="1">
        <f t="array" ref="K345">IF(G345="","",IFERROR(AVERAGE(IF((nNIA=G345)*(nEVAL=CONFIG_METADATA!$B$4)*(nASIG&lt;&gt;"Lenguaje Musical")*(nASIG&lt;&gt;"Coro")*(nASIG&lt;&gt;"Conjunto"),nNOTA)),""))</f>
        <v/>
      </c>
      <c r="N345" t="str">
        <f>IF(M345="","",IFERROR(AVERAGEIFS(nNOTA,nNIA,M345,nEVAL,CONFIG_METADATA!$B$4,nASIG,"Lenguaje Musical"),""))</f>
        <v/>
      </c>
      <c r="O345" t="str">
        <f>IF(M345="","",IFERROR(AVERAGEIFS(nNOTA,nNIA,M345,nEVAL,CONFIG_METADATA!$B$4,nASIG,"Coro"),""))</f>
        <v/>
      </c>
      <c r="P345" t="str">
        <f>IF(M345="","",IFERROR(AVERAGEIFS(nNOTA,nNIA,M345,nEVAL,CONFIG_METADATA!$B$4,nASIG,"Conjunto"),""))</f>
        <v/>
      </c>
      <c r="Q345" t="str">
        <f>IF(M345="","",IFERROR(AVERAGEIFS(nNOTA,nNIA,M345,nEVAL,CONFIG_METADATA!$B$4,nASIG,"&lt;&gt;Lenguaje Musical",nASIG,"&lt;&gt;Coro",nASIG,"&lt;&gt;Conjunto"),""))</f>
        <v/>
      </c>
      <c r="T345" t="str">
        <f>IF(S345="","",IFERROR(AVERAGEIFS(nNOTA,nNIA,S345,nEVAL,CONFIG_METADATA!$B$4,nASIG,"Lenguaje Musical"),""))</f>
        <v/>
      </c>
      <c r="U345" t="str">
        <f>IF(S345="","",IFERROR(AVERAGEIFS(nNOTA,nNIA,S345,nEVAL,CONFIG_METADATA!$B$4,nASIG,"Coro"),""))</f>
        <v/>
      </c>
      <c r="V345" t="str">
        <f>IF(S345="","",IFERROR(AVERAGEIFS(nNOTA,nNIA,S345,nEVAL,CONFIG_METADATA!$B$4,nASIG,"Conjunto"),""))</f>
        <v/>
      </c>
      <c r="W345" t="str" cm="1">
        <f t="array" ref="W345">IF(S345="","",IFERROR(AVERAGE(IF((nNIA=S345)*(nEVAL=CONFIG_METADATA!$B$4)*(nASIG&lt;&gt;"Lenguaje Musical")*(nASIG&lt;&gt;"Coro")*(nASIG&lt;&gt;"Conjunto"),nNOTA)),""))</f>
        <v/>
      </c>
    </row>
    <row r="346" spans="2:23" x14ac:dyDescent="0.2">
      <c r="B346" t="str">
        <f>IF(A346="","",IFERROR(AVERAGEIFS(nNOTA,nNIA,A346,nEVAL,CONFIG_METADATA!$B$4,nASIG,"Lenguaje Musical"),""))</f>
        <v/>
      </c>
      <c r="C346" t="str">
        <f>IF(A346="","",IFERROR(AVERAGEIFS(nNOTA,nNIA,A346,nEVAL,CONFIG_METADATA!$B$4,nASIG,"Coro"),""))</f>
        <v/>
      </c>
      <c r="D346" t="str">
        <f>IF(A346="","",IFERROR(AVERAGEIFS(nNOTA,nNIA,A346,nEVAL,CONFIG_METADATA!$B$4,nASIG,"Conjunto"),""))</f>
        <v/>
      </c>
      <c r="E346" t="str">
        <f>IF(A346="","",IFERROR(AVERAGEIFS(nNOTA,nNIA,A346,nEVAL,CONFIG_METADATA!$B$4,nASIG,"&lt;&gt;Lenguaje Musical",nASIG,"&lt;&gt;Coro",nASIG,"&lt;&gt;Conjunto"),""))</f>
        <v/>
      </c>
      <c r="H346" t="str">
        <f>IF(G346="","",IFERROR(AVERAGEIFS(nNOTA,nNIA,G346,nEVAL,CONFIG_METADATA!$B$4,nASIG,"Lenguaje Musical"),""))</f>
        <v/>
      </c>
      <c r="I346" t="str">
        <f>IF(G346="","",IFERROR(AVERAGEIFS(nNOTA,nNIA,G346,nEVAL,CONFIG_METADATA!$B$4,nASIG,"Coro"),""))</f>
        <v/>
      </c>
      <c r="J346" t="str">
        <f>IF(G346="","",IFERROR(AVERAGEIFS(nNOTA,nNIA,G346,nEVAL,CONFIG_METADATA!$B$4,nASIG,"Conjunto"),""))</f>
        <v/>
      </c>
      <c r="K346" t="str" cm="1">
        <f t="array" ref="K346">IF(G346="","",IFERROR(AVERAGE(IF((nNIA=G346)*(nEVAL=CONFIG_METADATA!$B$4)*(nASIG&lt;&gt;"Lenguaje Musical")*(nASIG&lt;&gt;"Coro")*(nASIG&lt;&gt;"Conjunto"),nNOTA)),""))</f>
        <v/>
      </c>
      <c r="N346" t="str">
        <f>IF(M346="","",IFERROR(AVERAGEIFS(nNOTA,nNIA,M346,nEVAL,CONFIG_METADATA!$B$4,nASIG,"Lenguaje Musical"),""))</f>
        <v/>
      </c>
      <c r="O346" t="str">
        <f>IF(M346="","",IFERROR(AVERAGEIFS(nNOTA,nNIA,M346,nEVAL,CONFIG_METADATA!$B$4,nASIG,"Coro"),""))</f>
        <v/>
      </c>
      <c r="P346" t="str">
        <f>IF(M346="","",IFERROR(AVERAGEIFS(nNOTA,nNIA,M346,nEVAL,CONFIG_METADATA!$B$4,nASIG,"Conjunto"),""))</f>
        <v/>
      </c>
      <c r="Q346" t="str">
        <f>IF(M346="","",IFERROR(AVERAGEIFS(nNOTA,nNIA,M346,nEVAL,CONFIG_METADATA!$B$4,nASIG,"&lt;&gt;Lenguaje Musical",nASIG,"&lt;&gt;Coro",nASIG,"&lt;&gt;Conjunto"),""))</f>
        <v/>
      </c>
      <c r="T346" t="str">
        <f>IF(S346="","",IFERROR(AVERAGEIFS(nNOTA,nNIA,S346,nEVAL,CONFIG_METADATA!$B$4,nASIG,"Lenguaje Musical"),""))</f>
        <v/>
      </c>
      <c r="U346" t="str">
        <f>IF(S346="","",IFERROR(AVERAGEIFS(nNOTA,nNIA,S346,nEVAL,CONFIG_METADATA!$B$4,nASIG,"Coro"),""))</f>
        <v/>
      </c>
      <c r="V346" t="str">
        <f>IF(S346="","",IFERROR(AVERAGEIFS(nNOTA,nNIA,S346,nEVAL,CONFIG_METADATA!$B$4,nASIG,"Conjunto"),""))</f>
        <v/>
      </c>
      <c r="W346" t="str" cm="1">
        <f t="array" ref="W346">IF(S346="","",IFERROR(AVERAGE(IF((nNIA=S346)*(nEVAL=CONFIG_METADATA!$B$4)*(nASIG&lt;&gt;"Lenguaje Musical")*(nASIG&lt;&gt;"Coro")*(nASIG&lt;&gt;"Conjunto"),nNOTA)),""))</f>
        <v/>
      </c>
    </row>
    <row r="347" spans="2:23" x14ac:dyDescent="0.2">
      <c r="B347" t="str">
        <f>IF(A347="","",IFERROR(AVERAGEIFS(nNOTA,nNIA,A347,nEVAL,CONFIG_METADATA!$B$4,nASIG,"Lenguaje Musical"),""))</f>
        <v/>
      </c>
      <c r="C347" t="str">
        <f>IF(A347="","",IFERROR(AVERAGEIFS(nNOTA,nNIA,A347,nEVAL,CONFIG_METADATA!$B$4,nASIG,"Coro"),""))</f>
        <v/>
      </c>
      <c r="D347" t="str">
        <f>IF(A347="","",IFERROR(AVERAGEIFS(nNOTA,nNIA,A347,nEVAL,CONFIG_METADATA!$B$4,nASIG,"Conjunto"),""))</f>
        <v/>
      </c>
      <c r="E347" t="str">
        <f>IF(A347="","",IFERROR(AVERAGEIFS(nNOTA,nNIA,A347,nEVAL,CONFIG_METADATA!$B$4,nASIG,"&lt;&gt;Lenguaje Musical",nASIG,"&lt;&gt;Coro",nASIG,"&lt;&gt;Conjunto"),""))</f>
        <v/>
      </c>
      <c r="H347" t="str">
        <f>IF(G347="","",IFERROR(AVERAGEIFS(nNOTA,nNIA,G347,nEVAL,CONFIG_METADATA!$B$4,nASIG,"Lenguaje Musical"),""))</f>
        <v/>
      </c>
      <c r="I347" t="str">
        <f>IF(G347="","",IFERROR(AVERAGEIFS(nNOTA,nNIA,G347,nEVAL,CONFIG_METADATA!$B$4,nASIG,"Coro"),""))</f>
        <v/>
      </c>
      <c r="J347" t="str">
        <f>IF(G347="","",IFERROR(AVERAGEIFS(nNOTA,nNIA,G347,nEVAL,CONFIG_METADATA!$B$4,nASIG,"Conjunto"),""))</f>
        <v/>
      </c>
      <c r="K347" t="str" cm="1">
        <f t="array" ref="K347">IF(G347="","",IFERROR(AVERAGE(IF((nNIA=G347)*(nEVAL=CONFIG_METADATA!$B$4)*(nASIG&lt;&gt;"Lenguaje Musical")*(nASIG&lt;&gt;"Coro")*(nASIG&lt;&gt;"Conjunto"),nNOTA)),""))</f>
        <v/>
      </c>
      <c r="N347" t="str">
        <f>IF(M347="","",IFERROR(AVERAGEIFS(nNOTA,nNIA,M347,nEVAL,CONFIG_METADATA!$B$4,nASIG,"Lenguaje Musical"),""))</f>
        <v/>
      </c>
      <c r="O347" t="str">
        <f>IF(M347="","",IFERROR(AVERAGEIFS(nNOTA,nNIA,M347,nEVAL,CONFIG_METADATA!$B$4,nASIG,"Coro"),""))</f>
        <v/>
      </c>
      <c r="P347" t="str">
        <f>IF(M347="","",IFERROR(AVERAGEIFS(nNOTA,nNIA,M347,nEVAL,CONFIG_METADATA!$B$4,nASIG,"Conjunto"),""))</f>
        <v/>
      </c>
      <c r="Q347" t="str">
        <f>IF(M347="","",IFERROR(AVERAGEIFS(nNOTA,nNIA,M347,nEVAL,CONFIG_METADATA!$B$4,nASIG,"&lt;&gt;Lenguaje Musical",nASIG,"&lt;&gt;Coro",nASIG,"&lt;&gt;Conjunto"),""))</f>
        <v/>
      </c>
      <c r="T347" t="str">
        <f>IF(S347="","",IFERROR(AVERAGEIFS(nNOTA,nNIA,S347,nEVAL,CONFIG_METADATA!$B$4,nASIG,"Lenguaje Musical"),""))</f>
        <v/>
      </c>
      <c r="U347" t="str">
        <f>IF(S347="","",IFERROR(AVERAGEIFS(nNOTA,nNIA,S347,nEVAL,CONFIG_METADATA!$B$4,nASIG,"Coro"),""))</f>
        <v/>
      </c>
      <c r="V347" t="str">
        <f>IF(S347="","",IFERROR(AVERAGEIFS(nNOTA,nNIA,S347,nEVAL,CONFIG_METADATA!$B$4,nASIG,"Conjunto"),""))</f>
        <v/>
      </c>
      <c r="W347" t="str" cm="1">
        <f t="array" ref="W347">IF(S347="","",IFERROR(AVERAGE(IF((nNIA=S347)*(nEVAL=CONFIG_METADATA!$B$4)*(nASIG&lt;&gt;"Lenguaje Musical")*(nASIG&lt;&gt;"Coro")*(nASIG&lt;&gt;"Conjunto"),nNOTA)),""))</f>
        <v/>
      </c>
    </row>
    <row r="348" spans="2:23" x14ac:dyDescent="0.2">
      <c r="B348" t="str">
        <f>IF(A348="","",IFERROR(AVERAGEIFS(nNOTA,nNIA,A348,nEVAL,CONFIG_METADATA!$B$4,nASIG,"Lenguaje Musical"),""))</f>
        <v/>
      </c>
      <c r="C348" t="str">
        <f>IF(A348="","",IFERROR(AVERAGEIFS(nNOTA,nNIA,A348,nEVAL,CONFIG_METADATA!$B$4,nASIG,"Coro"),""))</f>
        <v/>
      </c>
      <c r="D348" t="str">
        <f>IF(A348="","",IFERROR(AVERAGEIFS(nNOTA,nNIA,A348,nEVAL,CONFIG_METADATA!$B$4,nASIG,"Conjunto"),""))</f>
        <v/>
      </c>
      <c r="E348" t="str">
        <f>IF(A348="","",IFERROR(AVERAGEIFS(nNOTA,nNIA,A348,nEVAL,CONFIG_METADATA!$B$4,nASIG,"&lt;&gt;Lenguaje Musical",nASIG,"&lt;&gt;Coro",nASIG,"&lt;&gt;Conjunto"),""))</f>
        <v/>
      </c>
      <c r="H348" t="str">
        <f>IF(G348="","",IFERROR(AVERAGEIFS(nNOTA,nNIA,G348,nEVAL,CONFIG_METADATA!$B$4,nASIG,"Lenguaje Musical"),""))</f>
        <v/>
      </c>
      <c r="I348" t="str">
        <f>IF(G348="","",IFERROR(AVERAGEIFS(nNOTA,nNIA,G348,nEVAL,CONFIG_METADATA!$B$4,nASIG,"Coro"),""))</f>
        <v/>
      </c>
      <c r="J348" t="str">
        <f>IF(G348="","",IFERROR(AVERAGEIFS(nNOTA,nNIA,G348,nEVAL,CONFIG_METADATA!$B$4,nASIG,"Conjunto"),""))</f>
        <v/>
      </c>
      <c r="K348" t="str" cm="1">
        <f t="array" ref="K348">IF(G348="","",IFERROR(AVERAGE(IF((nNIA=G348)*(nEVAL=CONFIG_METADATA!$B$4)*(nASIG&lt;&gt;"Lenguaje Musical")*(nASIG&lt;&gt;"Coro")*(nASIG&lt;&gt;"Conjunto"),nNOTA)),""))</f>
        <v/>
      </c>
      <c r="N348" t="str">
        <f>IF(M348="","",IFERROR(AVERAGEIFS(nNOTA,nNIA,M348,nEVAL,CONFIG_METADATA!$B$4,nASIG,"Lenguaje Musical"),""))</f>
        <v/>
      </c>
      <c r="O348" t="str">
        <f>IF(M348="","",IFERROR(AVERAGEIFS(nNOTA,nNIA,M348,nEVAL,CONFIG_METADATA!$B$4,nASIG,"Coro"),""))</f>
        <v/>
      </c>
      <c r="P348" t="str">
        <f>IF(M348="","",IFERROR(AVERAGEIFS(nNOTA,nNIA,M348,nEVAL,CONFIG_METADATA!$B$4,nASIG,"Conjunto"),""))</f>
        <v/>
      </c>
      <c r="Q348" t="str">
        <f>IF(M348="","",IFERROR(AVERAGEIFS(nNOTA,nNIA,M348,nEVAL,CONFIG_METADATA!$B$4,nASIG,"&lt;&gt;Lenguaje Musical",nASIG,"&lt;&gt;Coro",nASIG,"&lt;&gt;Conjunto"),""))</f>
        <v/>
      </c>
      <c r="T348" t="str">
        <f>IF(S348="","",IFERROR(AVERAGEIFS(nNOTA,nNIA,S348,nEVAL,CONFIG_METADATA!$B$4,nASIG,"Lenguaje Musical"),""))</f>
        <v/>
      </c>
      <c r="U348" t="str">
        <f>IF(S348="","",IFERROR(AVERAGEIFS(nNOTA,nNIA,S348,nEVAL,CONFIG_METADATA!$B$4,nASIG,"Coro"),""))</f>
        <v/>
      </c>
      <c r="V348" t="str">
        <f>IF(S348="","",IFERROR(AVERAGEIFS(nNOTA,nNIA,S348,nEVAL,CONFIG_METADATA!$B$4,nASIG,"Conjunto"),""))</f>
        <v/>
      </c>
      <c r="W348" t="str" cm="1">
        <f t="array" ref="W348">IF(S348="","",IFERROR(AVERAGE(IF((nNIA=S348)*(nEVAL=CONFIG_METADATA!$B$4)*(nASIG&lt;&gt;"Lenguaje Musical")*(nASIG&lt;&gt;"Coro")*(nASIG&lt;&gt;"Conjunto"),nNOTA)),""))</f>
        <v/>
      </c>
    </row>
    <row r="349" spans="2:23" x14ac:dyDescent="0.2">
      <c r="B349" t="str">
        <f>IF(A349="","",IFERROR(AVERAGEIFS(nNOTA,nNIA,A349,nEVAL,CONFIG_METADATA!$B$4,nASIG,"Lenguaje Musical"),""))</f>
        <v/>
      </c>
      <c r="C349" t="str">
        <f>IF(A349="","",IFERROR(AVERAGEIFS(nNOTA,nNIA,A349,nEVAL,CONFIG_METADATA!$B$4,nASIG,"Coro"),""))</f>
        <v/>
      </c>
      <c r="D349" t="str">
        <f>IF(A349="","",IFERROR(AVERAGEIFS(nNOTA,nNIA,A349,nEVAL,CONFIG_METADATA!$B$4,nASIG,"Conjunto"),""))</f>
        <v/>
      </c>
      <c r="E349" t="str">
        <f>IF(A349="","",IFERROR(AVERAGEIFS(nNOTA,nNIA,A349,nEVAL,CONFIG_METADATA!$B$4,nASIG,"&lt;&gt;Lenguaje Musical",nASIG,"&lt;&gt;Coro",nASIG,"&lt;&gt;Conjunto"),""))</f>
        <v/>
      </c>
      <c r="H349" t="str">
        <f>IF(G349="","",IFERROR(AVERAGEIFS(nNOTA,nNIA,G349,nEVAL,CONFIG_METADATA!$B$4,nASIG,"Lenguaje Musical"),""))</f>
        <v/>
      </c>
      <c r="I349" t="str">
        <f>IF(G349="","",IFERROR(AVERAGEIFS(nNOTA,nNIA,G349,nEVAL,CONFIG_METADATA!$B$4,nASIG,"Coro"),""))</f>
        <v/>
      </c>
      <c r="J349" t="str">
        <f>IF(G349="","",IFERROR(AVERAGEIFS(nNOTA,nNIA,G349,nEVAL,CONFIG_METADATA!$B$4,nASIG,"Conjunto"),""))</f>
        <v/>
      </c>
      <c r="K349" t="str" cm="1">
        <f t="array" ref="K349">IF(G349="","",IFERROR(AVERAGE(IF((nNIA=G349)*(nEVAL=CONFIG_METADATA!$B$4)*(nASIG&lt;&gt;"Lenguaje Musical")*(nASIG&lt;&gt;"Coro")*(nASIG&lt;&gt;"Conjunto"),nNOTA)),""))</f>
        <v/>
      </c>
      <c r="N349" t="str">
        <f>IF(M349="","",IFERROR(AVERAGEIFS(nNOTA,nNIA,M349,nEVAL,CONFIG_METADATA!$B$4,nASIG,"Lenguaje Musical"),""))</f>
        <v/>
      </c>
      <c r="O349" t="str">
        <f>IF(M349="","",IFERROR(AVERAGEIFS(nNOTA,nNIA,M349,nEVAL,CONFIG_METADATA!$B$4,nASIG,"Coro"),""))</f>
        <v/>
      </c>
      <c r="P349" t="str">
        <f>IF(M349="","",IFERROR(AVERAGEIFS(nNOTA,nNIA,M349,nEVAL,CONFIG_METADATA!$B$4,nASIG,"Conjunto"),""))</f>
        <v/>
      </c>
      <c r="Q349" t="str">
        <f>IF(M349="","",IFERROR(AVERAGEIFS(nNOTA,nNIA,M349,nEVAL,CONFIG_METADATA!$B$4,nASIG,"&lt;&gt;Lenguaje Musical",nASIG,"&lt;&gt;Coro",nASIG,"&lt;&gt;Conjunto"),""))</f>
        <v/>
      </c>
      <c r="T349" t="str">
        <f>IF(S349="","",IFERROR(AVERAGEIFS(nNOTA,nNIA,S349,nEVAL,CONFIG_METADATA!$B$4,nASIG,"Lenguaje Musical"),""))</f>
        <v/>
      </c>
      <c r="U349" t="str">
        <f>IF(S349="","",IFERROR(AVERAGEIFS(nNOTA,nNIA,S349,nEVAL,CONFIG_METADATA!$B$4,nASIG,"Coro"),""))</f>
        <v/>
      </c>
      <c r="V349" t="str">
        <f>IF(S349="","",IFERROR(AVERAGEIFS(nNOTA,nNIA,S349,nEVAL,CONFIG_METADATA!$B$4,nASIG,"Conjunto"),""))</f>
        <v/>
      </c>
      <c r="W349" t="str" cm="1">
        <f t="array" ref="W349">IF(S349="","",IFERROR(AVERAGE(IF((nNIA=S349)*(nEVAL=CONFIG_METADATA!$B$4)*(nASIG&lt;&gt;"Lenguaje Musical")*(nASIG&lt;&gt;"Coro")*(nASIG&lt;&gt;"Conjunto"),nNOTA)),""))</f>
        <v/>
      </c>
    </row>
    <row r="350" spans="2:23" x14ac:dyDescent="0.2">
      <c r="B350" t="str">
        <f>IF(A350="","",IFERROR(AVERAGEIFS(nNOTA,nNIA,A350,nEVAL,CONFIG_METADATA!$B$4,nASIG,"Lenguaje Musical"),""))</f>
        <v/>
      </c>
      <c r="C350" t="str">
        <f>IF(A350="","",IFERROR(AVERAGEIFS(nNOTA,nNIA,A350,nEVAL,CONFIG_METADATA!$B$4,nASIG,"Coro"),""))</f>
        <v/>
      </c>
      <c r="D350" t="str">
        <f>IF(A350="","",IFERROR(AVERAGEIFS(nNOTA,nNIA,A350,nEVAL,CONFIG_METADATA!$B$4,nASIG,"Conjunto"),""))</f>
        <v/>
      </c>
      <c r="E350" t="str">
        <f>IF(A350="","",IFERROR(AVERAGEIFS(nNOTA,nNIA,A350,nEVAL,CONFIG_METADATA!$B$4,nASIG,"&lt;&gt;Lenguaje Musical",nASIG,"&lt;&gt;Coro",nASIG,"&lt;&gt;Conjunto"),""))</f>
        <v/>
      </c>
      <c r="H350" t="str">
        <f>IF(G350="","",IFERROR(AVERAGEIFS(nNOTA,nNIA,G350,nEVAL,CONFIG_METADATA!$B$4,nASIG,"Lenguaje Musical"),""))</f>
        <v/>
      </c>
      <c r="I350" t="str">
        <f>IF(G350="","",IFERROR(AVERAGEIFS(nNOTA,nNIA,G350,nEVAL,CONFIG_METADATA!$B$4,nASIG,"Coro"),""))</f>
        <v/>
      </c>
      <c r="J350" t="str">
        <f>IF(G350="","",IFERROR(AVERAGEIFS(nNOTA,nNIA,G350,nEVAL,CONFIG_METADATA!$B$4,nASIG,"Conjunto"),""))</f>
        <v/>
      </c>
      <c r="K350" t="str" cm="1">
        <f t="array" ref="K350">IF(G350="","",IFERROR(AVERAGE(IF((nNIA=G350)*(nEVAL=CONFIG_METADATA!$B$4)*(nASIG&lt;&gt;"Lenguaje Musical")*(nASIG&lt;&gt;"Coro")*(nASIG&lt;&gt;"Conjunto"),nNOTA)),""))</f>
        <v/>
      </c>
      <c r="N350" t="str">
        <f>IF(M350="","",IFERROR(AVERAGEIFS(nNOTA,nNIA,M350,nEVAL,CONFIG_METADATA!$B$4,nASIG,"Lenguaje Musical"),""))</f>
        <v/>
      </c>
      <c r="O350" t="str">
        <f>IF(M350="","",IFERROR(AVERAGEIFS(nNOTA,nNIA,M350,nEVAL,CONFIG_METADATA!$B$4,nASIG,"Coro"),""))</f>
        <v/>
      </c>
      <c r="P350" t="str">
        <f>IF(M350="","",IFERROR(AVERAGEIFS(nNOTA,nNIA,M350,nEVAL,CONFIG_METADATA!$B$4,nASIG,"Conjunto"),""))</f>
        <v/>
      </c>
      <c r="Q350" t="str">
        <f>IF(M350="","",IFERROR(AVERAGEIFS(nNOTA,nNIA,M350,nEVAL,CONFIG_METADATA!$B$4,nASIG,"&lt;&gt;Lenguaje Musical",nASIG,"&lt;&gt;Coro",nASIG,"&lt;&gt;Conjunto"),""))</f>
        <v/>
      </c>
      <c r="T350" t="str">
        <f>IF(S350="","",IFERROR(AVERAGEIFS(nNOTA,nNIA,S350,nEVAL,CONFIG_METADATA!$B$4,nASIG,"Lenguaje Musical"),""))</f>
        <v/>
      </c>
      <c r="U350" t="str">
        <f>IF(S350="","",IFERROR(AVERAGEIFS(nNOTA,nNIA,S350,nEVAL,CONFIG_METADATA!$B$4,nASIG,"Coro"),""))</f>
        <v/>
      </c>
      <c r="V350" t="str">
        <f>IF(S350="","",IFERROR(AVERAGEIFS(nNOTA,nNIA,S350,nEVAL,CONFIG_METADATA!$B$4,nASIG,"Conjunto"),""))</f>
        <v/>
      </c>
      <c r="W350" t="str" cm="1">
        <f t="array" ref="W350">IF(S350="","",IFERROR(AVERAGE(IF((nNIA=S350)*(nEVAL=CONFIG_METADATA!$B$4)*(nASIG&lt;&gt;"Lenguaje Musical")*(nASIG&lt;&gt;"Coro")*(nASIG&lt;&gt;"Conjunto"),nNOTA)),""))</f>
        <v/>
      </c>
    </row>
    <row r="351" spans="2:23" x14ac:dyDescent="0.2">
      <c r="B351" t="str">
        <f>IF(A351="","",IFERROR(AVERAGEIFS(nNOTA,nNIA,A351,nEVAL,CONFIG_METADATA!$B$4,nASIG,"Lenguaje Musical"),""))</f>
        <v/>
      </c>
      <c r="C351" t="str">
        <f>IF(A351="","",IFERROR(AVERAGEIFS(nNOTA,nNIA,A351,nEVAL,CONFIG_METADATA!$B$4,nASIG,"Coro"),""))</f>
        <v/>
      </c>
      <c r="D351" t="str">
        <f>IF(A351="","",IFERROR(AVERAGEIFS(nNOTA,nNIA,A351,nEVAL,CONFIG_METADATA!$B$4,nASIG,"Conjunto"),""))</f>
        <v/>
      </c>
      <c r="E351" t="str">
        <f>IF(A351="","",IFERROR(AVERAGEIFS(nNOTA,nNIA,A351,nEVAL,CONFIG_METADATA!$B$4,nASIG,"&lt;&gt;Lenguaje Musical",nASIG,"&lt;&gt;Coro",nASIG,"&lt;&gt;Conjunto"),""))</f>
        <v/>
      </c>
      <c r="H351" t="str">
        <f>IF(G351="","",IFERROR(AVERAGEIFS(nNOTA,nNIA,G351,nEVAL,CONFIG_METADATA!$B$4,nASIG,"Lenguaje Musical"),""))</f>
        <v/>
      </c>
      <c r="I351" t="str">
        <f>IF(G351="","",IFERROR(AVERAGEIFS(nNOTA,nNIA,G351,nEVAL,CONFIG_METADATA!$B$4,nASIG,"Coro"),""))</f>
        <v/>
      </c>
      <c r="J351" t="str">
        <f>IF(G351="","",IFERROR(AVERAGEIFS(nNOTA,nNIA,G351,nEVAL,CONFIG_METADATA!$B$4,nASIG,"Conjunto"),""))</f>
        <v/>
      </c>
      <c r="K351" t="str" cm="1">
        <f t="array" ref="K351">IF(G351="","",IFERROR(AVERAGE(IF((nNIA=G351)*(nEVAL=CONFIG_METADATA!$B$4)*(nASIG&lt;&gt;"Lenguaje Musical")*(nASIG&lt;&gt;"Coro")*(nASIG&lt;&gt;"Conjunto"),nNOTA)),""))</f>
        <v/>
      </c>
      <c r="N351" t="str">
        <f>IF(M351="","",IFERROR(AVERAGEIFS(nNOTA,nNIA,M351,nEVAL,CONFIG_METADATA!$B$4,nASIG,"Lenguaje Musical"),""))</f>
        <v/>
      </c>
      <c r="O351" t="str">
        <f>IF(M351="","",IFERROR(AVERAGEIFS(nNOTA,nNIA,M351,nEVAL,CONFIG_METADATA!$B$4,nASIG,"Coro"),""))</f>
        <v/>
      </c>
      <c r="P351" t="str">
        <f>IF(M351="","",IFERROR(AVERAGEIFS(nNOTA,nNIA,M351,nEVAL,CONFIG_METADATA!$B$4,nASIG,"Conjunto"),""))</f>
        <v/>
      </c>
      <c r="Q351" t="str">
        <f>IF(M351="","",IFERROR(AVERAGEIFS(nNOTA,nNIA,M351,nEVAL,CONFIG_METADATA!$B$4,nASIG,"&lt;&gt;Lenguaje Musical",nASIG,"&lt;&gt;Coro",nASIG,"&lt;&gt;Conjunto"),""))</f>
        <v/>
      </c>
      <c r="T351" t="str">
        <f>IF(S351="","",IFERROR(AVERAGEIFS(nNOTA,nNIA,S351,nEVAL,CONFIG_METADATA!$B$4,nASIG,"Lenguaje Musical"),""))</f>
        <v/>
      </c>
      <c r="U351" t="str">
        <f>IF(S351="","",IFERROR(AVERAGEIFS(nNOTA,nNIA,S351,nEVAL,CONFIG_METADATA!$B$4,nASIG,"Coro"),""))</f>
        <v/>
      </c>
      <c r="V351" t="str">
        <f>IF(S351="","",IFERROR(AVERAGEIFS(nNOTA,nNIA,S351,nEVAL,CONFIG_METADATA!$B$4,nASIG,"Conjunto"),""))</f>
        <v/>
      </c>
      <c r="W351" t="str" cm="1">
        <f t="array" ref="W351">IF(S351="","",IFERROR(AVERAGE(IF((nNIA=S351)*(nEVAL=CONFIG_METADATA!$B$4)*(nASIG&lt;&gt;"Lenguaje Musical")*(nASIG&lt;&gt;"Coro")*(nASIG&lt;&gt;"Conjunto"),nNOTA)),""))</f>
        <v/>
      </c>
    </row>
    <row r="352" spans="2:23" x14ac:dyDescent="0.2">
      <c r="B352" t="str">
        <f>IF(A352="","",IFERROR(AVERAGEIFS(nNOTA,nNIA,A352,nEVAL,CONFIG_METADATA!$B$4,nASIG,"Lenguaje Musical"),""))</f>
        <v/>
      </c>
      <c r="C352" t="str">
        <f>IF(A352="","",IFERROR(AVERAGEIFS(nNOTA,nNIA,A352,nEVAL,CONFIG_METADATA!$B$4,nASIG,"Coro"),""))</f>
        <v/>
      </c>
      <c r="D352" t="str">
        <f>IF(A352="","",IFERROR(AVERAGEIFS(nNOTA,nNIA,A352,nEVAL,CONFIG_METADATA!$B$4,nASIG,"Conjunto"),""))</f>
        <v/>
      </c>
      <c r="E352" t="str">
        <f>IF(A352="","",IFERROR(AVERAGEIFS(nNOTA,nNIA,A352,nEVAL,CONFIG_METADATA!$B$4,nASIG,"&lt;&gt;Lenguaje Musical",nASIG,"&lt;&gt;Coro",nASIG,"&lt;&gt;Conjunto"),""))</f>
        <v/>
      </c>
      <c r="H352" t="str">
        <f>IF(G352="","",IFERROR(AVERAGEIFS(nNOTA,nNIA,G352,nEVAL,CONFIG_METADATA!$B$4,nASIG,"Lenguaje Musical"),""))</f>
        <v/>
      </c>
      <c r="I352" t="str">
        <f>IF(G352="","",IFERROR(AVERAGEIFS(nNOTA,nNIA,G352,nEVAL,CONFIG_METADATA!$B$4,nASIG,"Coro"),""))</f>
        <v/>
      </c>
      <c r="J352" t="str">
        <f>IF(G352="","",IFERROR(AVERAGEIFS(nNOTA,nNIA,G352,nEVAL,CONFIG_METADATA!$B$4,nASIG,"Conjunto"),""))</f>
        <v/>
      </c>
      <c r="K352" t="str" cm="1">
        <f t="array" ref="K352">IF(G352="","",IFERROR(AVERAGE(IF((nNIA=G352)*(nEVAL=CONFIG_METADATA!$B$4)*(nASIG&lt;&gt;"Lenguaje Musical")*(nASIG&lt;&gt;"Coro")*(nASIG&lt;&gt;"Conjunto"),nNOTA)),""))</f>
        <v/>
      </c>
      <c r="N352" t="str">
        <f>IF(M352="","",IFERROR(AVERAGEIFS(nNOTA,nNIA,M352,nEVAL,CONFIG_METADATA!$B$4,nASIG,"Lenguaje Musical"),""))</f>
        <v/>
      </c>
      <c r="O352" t="str">
        <f>IF(M352="","",IFERROR(AVERAGEIFS(nNOTA,nNIA,M352,nEVAL,CONFIG_METADATA!$B$4,nASIG,"Coro"),""))</f>
        <v/>
      </c>
      <c r="P352" t="str">
        <f>IF(M352="","",IFERROR(AVERAGEIFS(nNOTA,nNIA,M352,nEVAL,CONFIG_METADATA!$B$4,nASIG,"Conjunto"),""))</f>
        <v/>
      </c>
      <c r="Q352" t="str">
        <f>IF(M352="","",IFERROR(AVERAGEIFS(nNOTA,nNIA,M352,nEVAL,CONFIG_METADATA!$B$4,nASIG,"&lt;&gt;Lenguaje Musical",nASIG,"&lt;&gt;Coro",nASIG,"&lt;&gt;Conjunto"),""))</f>
        <v/>
      </c>
      <c r="T352" t="str">
        <f>IF(S352="","",IFERROR(AVERAGEIFS(nNOTA,nNIA,S352,nEVAL,CONFIG_METADATA!$B$4,nASIG,"Lenguaje Musical"),""))</f>
        <v/>
      </c>
      <c r="U352" t="str">
        <f>IF(S352="","",IFERROR(AVERAGEIFS(nNOTA,nNIA,S352,nEVAL,CONFIG_METADATA!$B$4,nASIG,"Coro"),""))</f>
        <v/>
      </c>
      <c r="V352" t="str">
        <f>IF(S352="","",IFERROR(AVERAGEIFS(nNOTA,nNIA,S352,nEVAL,CONFIG_METADATA!$B$4,nASIG,"Conjunto"),""))</f>
        <v/>
      </c>
      <c r="W352" t="str" cm="1">
        <f t="array" ref="W352">IF(S352="","",IFERROR(AVERAGE(IF((nNIA=S352)*(nEVAL=CONFIG_METADATA!$B$4)*(nASIG&lt;&gt;"Lenguaje Musical")*(nASIG&lt;&gt;"Coro")*(nASIG&lt;&gt;"Conjunto"),nNOTA)),""))</f>
        <v/>
      </c>
    </row>
    <row r="353" spans="2:23" x14ac:dyDescent="0.2">
      <c r="B353" t="str">
        <f>IF(A353="","",IFERROR(AVERAGEIFS(nNOTA,nNIA,A353,nEVAL,CONFIG_METADATA!$B$4,nASIG,"Lenguaje Musical"),""))</f>
        <v/>
      </c>
      <c r="C353" t="str">
        <f>IF(A353="","",IFERROR(AVERAGEIFS(nNOTA,nNIA,A353,nEVAL,CONFIG_METADATA!$B$4,nASIG,"Coro"),""))</f>
        <v/>
      </c>
      <c r="D353" t="str">
        <f>IF(A353="","",IFERROR(AVERAGEIFS(nNOTA,nNIA,A353,nEVAL,CONFIG_METADATA!$B$4,nASIG,"Conjunto"),""))</f>
        <v/>
      </c>
      <c r="E353" t="str">
        <f>IF(A353="","",IFERROR(AVERAGEIFS(nNOTA,nNIA,A353,nEVAL,CONFIG_METADATA!$B$4,nASIG,"&lt;&gt;Lenguaje Musical",nASIG,"&lt;&gt;Coro",nASIG,"&lt;&gt;Conjunto"),""))</f>
        <v/>
      </c>
      <c r="H353" t="str">
        <f>IF(G353="","",IFERROR(AVERAGEIFS(nNOTA,nNIA,G353,nEVAL,CONFIG_METADATA!$B$4,nASIG,"Lenguaje Musical"),""))</f>
        <v/>
      </c>
      <c r="I353" t="str">
        <f>IF(G353="","",IFERROR(AVERAGEIFS(nNOTA,nNIA,G353,nEVAL,CONFIG_METADATA!$B$4,nASIG,"Coro"),""))</f>
        <v/>
      </c>
      <c r="J353" t="str">
        <f>IF(G353="","",IFERROR(AVERAGEIFS(nNOTA,nNIA,G353,nEVAL,CONFIG_METADATA!$B$4,nASIG,"Conjunto"),""))</f>
        <v/>
      </c>
      <c r="K353" t="str" cm="1">
        <f t="array" ref="K353">IF(G353="","",IFERROR(AVERAGE(IF((nNIA=G353)*(nEVAL=CONFIG_METADATA!$B$4)*(nASIG&lt;&gt;"Lenguaje Musical")*(nASIG&lt;&gt;"Coro")*(nASIG&lt;&gt;"Conjunto"),nNOTA)),""))</f>
        <v/>
      </c>
      <c r="N353" t="str">
        <f>IF(M353="","",IFERROR(AVERAGEIFS(nNOTA,nNIA,M353,nEVAL,CONFIG_METADATA!$B$4,nASIG,"Lenguaje Musical"),""))</f>
        <v/>
      </c>
      <c r="O353" t="str">
        <f>IF(M353="","",IFERROR(AVERAGEIFS(nNOTA,nNIA,M353,nEVAL,CONFIG_METADATA!$B$4,nASIG,"Coro"),""))</f>
        <v/>
      </c>
      <c r="P353" t="str">
        <f>IF(M353="","",IFERROR(AVERAGEIFS(nNOTA,nNIA,M353,nEVAL,CONFIG_METADATA!$B$4,nASIG,"Conjunto"),""))</f>
        <v/>
      </c>
      <c r="Q353" t="str">
        <f>IF(M353="","",IFERROR(AVERAGEIFS(nNOTA,nNIA,M353,nEVAL,CONFIG_METADATA!$B$4,nASIG,"&lt;&gt;Lenguaje Musical",nASIG,"&lt;&gt;Coro",nASIG,"&lt;&gt;Conjunto"),""))</f>
        <v/>
      </c>
      <c r="T353" t="str">
        <f>IF(S353="","",IFERROR(AVERAGEIFS(nNOTA,nNIA,S353,nEVAL,CONFIG_METADATA!$B$4,nASIG,"Lenguaje Musical"),""))</f>
        <v/>
      </c>
      <c r="U353" t="str">
        <f>IF(S353="","",IFERROR(AVERAGEIFS(nNOTA,nNIA,S353,nEVAL,CONFIG_METADATA!$B$4,nASIG,"Coro"),""))</f>
        <v/>
      </c>
      <c r="V353" t="str">
        <f>IF(S353="","",IFERROR(AVERAGEIFS(nNOTA,nNIA,S353,nEVAL,CONFIG_METADATA!$B$4,nASIG,"Conjunto"),""))</f>
        <v/>
      </c>
      <c r="W353" t="str" cm="1">
        <f t="array" ref="W353">IF(S353="","",IFERROR(AVERAGE(IF((nNIA=S353)*(nEVAL=CONFIG_METADATA!$B$4)*(nASIG&lt;&gt;"Lenguaje Musical")*(nASIG&lt;&gt;"Coro")*(nASIG&lt;&gt;"Conjunto"),nNOTA)),""))</f>
        <v/>
      </c>
    </row>
    <row r="354" spans="2:23" x14ac:dyDescent="0.2">
      <c r="B354" t="str">
        <f>IF(A354="","",IFERROR(AVERAGEIFS(nNOTA,nNIA,A354,nEVAL,CONFIG_METADATA!$B$4,nASIG,"Lenguaje Musical"),""))</f>
        <v/>
      </c>
      <c r="C354" t="str">
        <f>IF(A354="","",IFERROR(AVERAGEIFS(nNOTA,nNIA,A354,nEVAL,CONFIG_METADATA!$B$4,nASIG,"Coro"),""))</f>
        <v/>
      </c>
      <c r="D354" t="str">
        <f>IF(A354="","",IFERROR(AVERAGEIFS(nNOTA,nNIA,A354,nEVAL,CONFIG_METADATA!$B$4,nASIG,"Conjunto"),""))</f>
        <v/>
      </c>
      <c r="E354" t="str">
        <f>IF(A354="","",IFERROR(AVERAGEIFS(nNOTA,nNIA,A354,nEVAL,CONFIG_METADATA!$B$4,nASIG,"&lt;&gt;Lenguaje Musical",nASIG,"&lt;&gt;Coro",nASIG,"&lt;&gt;Conjunto"),""))</f>
        <v/>
      </c>
      <c r="H354" t="str">
        <f>IF(G354="","",IFERROR(AVERAGEIFS(nNOTA,nNIA,G354,nEVAL,CONFIG_METADATA!$B$4,nASIG,"Lenguaje Musical"),""))</f>
        <v/>
      </c>
      <c r="I354" t="str">
        <f>IF(G354="","",IFERROR(AVERAGEIFS(nNOTA,nNIA,G354,nEVAL,CONFIG_METADATA!$B$4,nASIG,"Coro"),""))</f>
        <v/>
      </c>
      <c r="J354" t="str">
        <f>IF(G354="","",IFERROR(AVERAGEIFS(nNOTA,nNIA,G354,nEVAL,CONFIG_METADATA!$B$4,nASIG,"Conjunto"),""))</f>
        <v/>
      </c>
      <c r="K354" t="str" cm="1">
        <f t="array" ref="K354">IF(G354="","",IFERROR(AVERAGE(IF((nNIA=G354)*(nEVAL=CONFIG_METADATA!$B$4)*(nASIG&lt;&gt;"Lenguaje Musical")*(nASIG&lt;&gt;"Coro")*(nASIG&lt;&gt;"Conjunto"),nNOTA)),""))</f>
        <v/>
      </c>
      <c r="N354" t="str">
        <f>IF(M354="","",IFERROR(AVERAGEIFS(nNOTA,nNIA,M354,nEVAL,CONFIG_METADATA!$B$4,nASIG,"Lenguaje Musical"),""))</f>
        <v/>
      </c>
      <c r="O354" t="str">
        <f>IF(M354="","",IFERROR(AVERAGEIFS(nNOTA,nNIA,M354,nEVAL,CONFIG_METADATA!$B$4,nASIG,"Coro"),""))</f>
        <v/>
      </c>
      <c r="P354" t="str">
        <f>IF(M354="","",IFERROR(AVERAGEIFS(nNOTA,nNIA,M354,nEVAL,CONFIG_METADATA!$B$4,nASIG,"Conjunto"),""))</f>
        <v/>
      </c>
      <c r="Q354" t="str">
        <f>IF(M354="","",IFERROR(AVERAGEIFS(nNOTA,nNIA,M354,nEVAL,CONFIG_METADATA!$B$4,nASIG,"&lt;&gt;Lenguaje Musical",nASIG,"&lt;&gt;Coro",nASIG,"&lt;&gt;Conjunto"),""))</f>
        <v/>
      </c>
      <c r="T354" t="str">
        <f>IF(S354="","",IFERROR(AVERAGEIFS(nNOTA,nNIA,S354,nEVAL,CONFIG_METADATA!$B$4,nASIG,"Lenguaje Musical"),""))</f>
        <v/>
      </c>
      <c r="U354" t="str">
        <f>IF(S354="","",IFERROR(AVERAGEIFS(nNOTA,nNIA,S354,nEVAL,CONFIG_METADATA!$B$4,nASIG,"Coro"),""))</f>
        <v/>
      </c>
      <c r="V354" t="str">
        <f>IF(S354="","",IFERROR(AVERAGEIFS(nNOTA,nNIA,S354,nEVAL,CONFIG_METADATA!$B$4,nASIG,"Conjunto"),""))</f>
        <v/>
      </c>
      <c r="W354" t="str" cm="1">
        <f t="array" ref="W354">IF(S354="","",IFERROR(AVERAGE(IF((nNIA=S354)*(nEVAL=CONFIG_METADATA!$B$4)*(nASIG&lt;&gt;"Lenguaje Musical")*(nASIG&lt;&gt;"Coro")*(nASIG&lt;&gt;"Conjunto"),nNOTA)),""))</f>
        <v/>
      </c>
    </row>
    <row r="355" spans="2:23" x14ac:dyDescent="0.2">
      <c r="B355" t="str">
        <f>IF(A355="","",IFERROR(AVERAGEIFS(nNOTA,nNIA,A355,nEVAL,CONFIG_METADATA!$B$4,nASIG,"Lenguaje Musical"),""))</f>
        <v/>
      </c>
      <c r="C355" t="str">
        <f>IF(A355="","",IFERROR(AVERAGEIFS(nNOTA,nNIA,A355,nEVAL,CONFIG_METADATA!$B$4,nASIG,"Coro"),""))</f>
        <v/>
      </c>
      <c r="D355" t="str">
        <f>IF(A355="","",IFERROR(AVERAGEIFS(nNOTA,nNIA,A355,nEVAL,CONFIG_METADATA!$B$4,nASIG,"Conjunto"),""))</f>
        <v/>
      </c>
      <c r="E355" t="str">
        <f>IF(A355="","",IFERROR(AVERAGEIFS(nNOTA,nNIA,A355,nEVAL,CONFIG_METADATA!$B$4,nASIG,"&lt;&gt;Lenguaje Musical",nASIG,"&lt;&gt;Coro",nASIG,"&lt;&gt;Conjunto"),""))</f>
        <v/>
      </c>
      <c r="H355" t="str">
        <f>IF(G355="","",IFERROR(AVERAGEIFS(nNOTA,nNIA,G355,nEVAL,CONFIG_METADATA!$B$4,nASIG,"Lenguaje Musical"),""))</f>
        <v/>
      </c>
      <c r="I355" t="str">
        <f>IF(G355="","",IFERROR(AVERAGEIFS(nNOTA,nNIA,G355,nEVAL,CONFIG_METADATA!$B$4,nASIG,"Coro"),""))</f>
        <v/>
      </c>
      <c r="J355" t="str">
        <f>IF(G355="","",IFERROR(AVERAGEIFS(nNOTA,nNIA,G355,nEVAL,CONFIG_METADATA!$B$4,nASIG,"Conjunto"),""))</f>
        <v/>
      </c>
      <c r="K355" t="str" cm="1">
        <f t="array" ref="K355">IF(G355="","",IFERROR(AVERAGE(IF((nNIA=G355)*(nEVAL=CONFIG_METADATA!$B$4)*(nASIG&lt;&gt;"Lenguaje Musical")*(nASIG&lt;&gt;"Coro")*(nASIG&lt;&gt;"Conjunto"),nNOTA)),""))</f>
        <v/>
      </c>
      <c r="N355" t="str">
        <f>IF(M355="","",IFERROR(AVERAGEIFS(nNOTA,nNIA,M355,nEVAL,CONFIG_METADATA!$B$4,nASIG,"Lenguaje Musical"),""))</f>
        <v/>
      </c>
      <c r="O355" t="str">
        <f>IF(M355="","",IFERROR(AVERAGEIFS(nNOTA,nNIA,M355,nEVAL,CONFIG_METADATA!$B$4,nASIG,"Coro"),""))</f>
        <v/>
      </c>
      <c r="P355" t="str">
        <f>IF(M355="","",IFERROR(AVERAGEIFS(nNOTA,nNIA,M355,nEVAL,CONFIG_METADATA!$B$4,nASIG,"Conjunto"),""))</f>
        <v/>
      </c>
      <c r="Q355" t="str">
        <f>IF(M355="","",IFERROR(AVERAGEIFS(nNOTA,nNIA,M355,nEVAL,CONFIG_METADATA!$B$4,nASIG,"&lt;&gt;Lenguaje Musical",nASIG,"&lt;&gt;Coro",nASIG,"&lt;&gt;Conjunto"),""))</f>
        <v/>
      </c>
      <c r="T355" t="str">
        <f>IF(S355="","",IFERROR(AVERAGEIFS(nNOTA,nNIA,S355,nEVAL,CONFIG_METADATA!$B$4,nASIG,"Lenguaje Musical"),""))</f>
        <v/>
      </c>
      <c r="U355" t="str">
        <f>IF(S355="","",IFERROR(AVERAGEIFS(nNOTA,nNIA,S355,nEVAL,CONFIG_METADATA!$B$4,nASIG,"Coro"),""))</f>
        <v/>
      </c>
      <c r="V355" t="str">
        <f>IF(S355="","",IFERROR(AVERAGEIFS(nNOTA,nNIA,S355,nEVAL,CONFIG_METADATA!$B$4,nASIG,"Conjunto"),""))</f>
        <v/>
      </c>
      <c r="W355" t="str" cm="1">
        <f t="array" ref="W355">IF(S355="","",IFERROR(AVERAGE(IF((nNIA=S355)*(nEVAL=CONFIG_METADATA!$B$4)*(nASIG&lt;&gt;"Lenguaje Musical")*(nASIG&lt;&gt;"Coro")*(nASIG&lt;&gt;"Conjunto"),nNOTA)),""))</f>
        <v/>
      </c>
    </row>
    <row r="356" spans="2:23" x14ac:dyDescent="0.2">
      <c r="B356" t="str">
        <f>IF(A356="","",IFERROR(AVERAGEIFS(nNOTA,nNIA,A356,nEVAL,CONFIG_METADATA!$B$4,nASIG,"Lenguaje Musical"),""))</f>
        <v/>
      </c>
      <c r="C356" t="str">
        <f>IF(A356="","",IFERROR(AVERAGEIFS(nNOTA,nNIA,A356,nEVAL,CONFIG_METADATA!$B$4,nASIG,"Coro"),""))</f>
        <v/>
      </c>
      <c r="D356" t="str">
        <f>IF(A356="","",IFERROR(AVERAGEIFS(nNOTA,nNIA,A356,nEVAL,CONFIG_METADATA!$B$4,nASIG,"Conjunto"),""))</f>
        <v/>
      </c>
      <c r="E356" t="str">
        <f>IF(A356="","",IFERROR(AVERAGEIFS(nNOTA,nNIA,A356,nEVAL,CONFIG_METADATA!$B$4,nASIG,"&lt;&gt;Lenguaje Musical",nASIG,"&lt;&gt;Coro",nASIG,"&lt;&gt;Conjunto"),""))</f>
        <v/>
      </c>
      <c r="H356" t="str">
        <f>IF(G356="","",IFERROR(AVERAGEIFS(nNOTA,nNIA,G356,nEVAL,CONFIG_METADATA!$B$4,nASIG,"Lenguaje Musical"),""))</f>
        <v/>
      </c>
      <c r="I356" t="str">
        <f>IF(G356="","",IFERROR(AVERAGEIFS(nNOTA,nNIA,G356,nEVAL,CONFIG_METADATA!$B$4,nASIG,"Coro"),""))</f>
        <v/>
      </c>
      <c r="J356" t="str">
        <f>IF(G356="","",IFERROR(AVERAGEIFS(nNOTA,nNIA,G356,nEVAL,CONFIG_METADATA!$B$4,nASIG,"Conjunto"),""))</f>
        <v/>
      </c>
      <c r="K356" t="str" cm="1">
        <f t="array" ref="K356">IF(G356="","",IFERROR(AVERAGE(IF((nNIA=G356)*(nEVAL=CONFIG_METADATA!$B$4)*(nASIG&lt;&gt;"Lenguaje Musical")*(nASIG&lt;&gt;"Coro")*(nASIG&lt;&gt;"Conjunto"),nNOTA)),""))</f>
        <v/>
      </c>
      <c r="N356" t="str">
        <f>IF(M356="","",IFERROR(AVERAGEIFS(nNOTA,nNIA,M356,nEVAL,CONFIG_METADATA!$B$4,nASIG,"Lenguaje Musical"),""))</f>
        <v/>
      </c>
      <c r="O356" t="str">
        <f>IF(M356="","",IFERROR(AVERAGEIFS(nNOTA,nNIA,M356,nEVAL,CONFIG_METADATA!$B$4,nASIG,"Coro"),""))</f>
        <v/>
      </c>
      <c r="P356" t="str">
        <f>IF(M356="","",IFERROR(AVERAGEIFS(nNOTA,nNIA,M356,nEVAL,CONFIG_METADATA!$B$4,nASIG,"Conjunto"),""))</f>
        <v/>
      </c>
      <c r="Q356" t="str">
        <f>IF(M356="","",IFERROR(AVERAGEIFS(nNOTA,nNIA,M356,nEVAL,CONFIG_METADATA!$B$4,nASIG,"&lt;&gt;Lenguaje Musical",nASIG,"&lt;&gt;Coro",nASIG,"&lt;&gt;Conjunto"),""))</f>
        <v/>
      </c>
      <c r="T356" t="str">
        <f>IF(S356="","",IFERROR(AVERAGEIFS(nNOTA,nNIA,S356,nEVAL,CONFIG_METADATA!$B$4,nASIG,"Lenguaje Musical"),""))</f>
        <v/>
      </c>
      <c r="U356" t="str">
        <f>IF(S356="","",IFERROR(AVERAGEIFS(nNOTA,nNIA,S356,nEVAL,CONFIG_METADATA!$B$4,nASIG,"Coro"),""))</f>
        <v/>
      </c>
      <c r="V356" t="str">
        <f>IF(S356="","",IFERROR(AVERAGEIFS(nNOTA,nNIA,S356,nEVAL,CONFIG_METADATA!$B$4,nASIG,"Conjunto"),""))</f>
        <v/>
      </c>
      <c r="W356" t="str" cm="1">
        <f t="array" ref="W356">IF(S356="","",IFERROR(AVERAGE(IF((nNIA=S356)*(nEVAL=CONFIG_METADATA!$B$4)*(nASIG&lt;&gt;"Lenguaje Musical")*(nASIG&lt;&gt;"Coro")*(nASIG&lt;&gt;"Conjunto"),nNOTA)),""))</f>
        <v/>
      </c>
    </row>
    <row r="357" spans="2:23" x14ac:dyDescent="0.2">
      <c r="B357" t="str">
        <f>IF(A357="","",IFERROR(AVERAGEIFS(nNOTA,nNIA,A357,nEVAL,CONFIG_METADATA!$B$4,nASIG,"Lenguaje Musical"),""))</f>
        <v/>
      </c>
      <c r="C357" t="str">
        <f>IF(A357="","",IFERROR(AVERAGEIFS(nNOTA,nNIA,A357,nEVAL,CONFIG_METADATA!$B$4,nASIG,"Coro"),""))</f>
        <v/>
      </c>
      <c r="D357" t="str">
        <f>IF(A357="","",IFERROR(AVERAGEIFS(nNOTA,nNIA,A357,nEVAL,CONFIG_METADATA!$B$4,nASIG,"Conjunto"),""))</f>
        <v/>
      </c>
      <c r="E357" t="str">
        <f>IF(A357="","",IFERROR(AVERAGEIFS(nNOTA,nNIA,A357,nEVAL,CONFIG_METADATA!$B$4,nASIG,"&lt;&gt;Lenguaje Musical",nASIG,"&lt;&gt;Coro",nASIG,"&lt;&gt;Conjunto"),""))</f>
        <v/>
      </c>
      <c r="H357" t="str">
        <f>IF(G357="","",IFERROR(AVERAGEIFS(nNOTA,nNIA,G357,nEVAL,CONFIG_METADATA!$B$4,nASIG,"Lenguaje Musical"),""))</f>
        <v/>
      </c>
      <c r="I357" t="str">
        <f>IF(G357="","",IFERROR(AVERAGEIFS(nNOTA,nNIA,G357,nEVAL,CONFIG_METADATA!$B$4,nASIG,"Coro"),""))</f>
        <v/>
      </c>
      <c r="J357" t="str">
        <f>IF(G357="","",IFERROR(AVERAGEIFS(nNOTA,nNIA,G357,nEVAL,CONFIG_METADATA!$B$4,nASIG,"Conjunto"),""))</f>
        <v/>
      </c>
      <c r="K357" t="str" cm="1">
        <f t="array" ref="K357">IF(G357="","",IFERROR(AVERAGE(IF((nNIA=G357)*(nEVAL=CONFIG_METADATA!$B$4)*(nASIG&lt;&gt;"Lenguaje Musical")*(nASIG&lt;&gt;"Coro")*(nASIG&lt;&gt;"Conjunto"),nNOTA)),""))</f>
        <v/>
      </c>
      <c r="N357" t="str">
        <f>IF(M357="","",IFERROR(AVERAGEIFS(nNOTA,nNIA,M357,nEVAL,CONFIG_METADATA!$B$4,nASIG,"Lenguaje Musical"),""))</f>
        <v/>
      </c>
      <c r="O357" t="str">
        <f>IF(M357="","",IFERROR(AVERAGEIFS(nNOTA,nNIA,M357,nEVAL,CONFIG_METADATA!$B$4,nASIG,"Coro"),""))</f>
        <v/>
      </c>
      <c r="P357" t="str">
        <f>IF(M357="","",IFERROR(AVERAGEIFS(nNOTA,nNIA,M357,nEVAL,CONFIG_METADATA!$B$4,nASIG,"Conjunto"),""))</f>
        <v/>
      </c>
      <c r="Q357" t="str">
        <f>IF(M357="","",IFERROR(AVERAGEIFS(nNOTA,nNIA,M357,nEVAL,CONFIG_METADATA!$B$4,nASIG,"&lt;&gt;Lenguaje Musical",nASIG,"&lt;&gt;Coro",nASIG,"&lt;&gt;Conjunto"),""))</f>
        <v/>
      </c>
      <c r="T357" t="str">
        <f>IF(S357="","",IFERROR(AVERAGEIFS(nNOTA,nNIA,S357,nEVAL,CONFIG_METADATA!$B$4,nASIG,"Lenguaje Musical"),""))</f>
        <v/>
      </c>
      <c r="U357" t="str">
        <f>IF(S357="","",IFERROR(AVERAGEIFS(nNOTA,nNIA,S357,nEVAL,CONFIG_METADATA!$B$4,nASIG,"Coro"),""))</f>
        <v/>
      </c>
      <c r="V357" t="str">
        <f>IF(S357="","",IFERROR(AVERAGEIFS(nNOTA,nNIA,S357,nEVAL,CONFIG_METADATA!$B$4,nASIG,"Conjunto"),""))</f>
        <v/>
      </c>
      <c r="W357" t="str" cm="1">
        <f t="array" ref="W357">IF(S357="","",IFERROR(AVERAGE(IF((nNIA=S357)*(nEVAL=CONFIG_METADATA!$B$4)*(nASIG&lt;&gt;"Lenguaje Musical")*(nASIG&lt;&gt;"Coro")*(nASIG&lt;&gt;"Conjunto"),nNOTA)),""))</f>
        <v/>
      </c>
    </row>
    <row r="358" spans="2:23" x14ac:dyDescent="0.2">
      <c r="B358" t="str">
        <f>IF(A358="","",IFERROR(AVERAGEIFS(nNOTA,nNIA,A358,nEVAL,CONFIG_METADATA!$B$4,nASIG,"Lenguaje Musical"),""))</f>
        <v/>
      </c>
      <c r="C358" t="str">
        <f>IF(A358="","",IFERROR(AVERAGEIFS(nNOTA,nNIA,A358,nEVAL,CONFIG_METADATA!$B$4,nASIG,"Coro"),""))</f>
        <v/>
      </c>
      <c r="D358" t="str">
        <f>IF(A358="","",IFERROR(AVERAGEIFS(nNOTA,nNIA,A358,nEVAL,CONFIG_METADATA!$B$4,nASIG,"Conjunto"),""))</f>
        <v/>
      </c>
      <c r="E358" t="str">
        <f>IF(A358="","",IFERROR(AVERAGEIFS(nNOTA,nNIA,A358,nEVAL,CONFIG_METADATA!$B$4,nASIG,"&lt;&gt;Lenguaje Musical",nASIG,"&lt;&gt;Coro",nASIG,"&lt;&gt;Conjunto"),""))</f>
        <v/>
      </c>
      <c r="H358" t="str">
        <f>IF(G358="","",IFERROR(AVERAGEIFS(nNOTA,nNIA,G358,nEVAL,CONFIG_METADATA!$B$4,nASIG,"Lenguaje Musical"),""))</f>
        <v/>
      </c>
      <c r="I358" t="str">
        <f>IF(G358="","",IFERROR(AVERAGEIFS(nNOTA,nNIA,G358,nEVAL,CONFIG_METADATA!$B$4,nASIG,"Coro"),""))</f>
        <v/>
      </c>
      <c r="J358" t="str">
        <f>IF(G358="","",IFERROR(AVERAGEIFS(nNOTA,nNIA,G358,nEVAL,CONFIG_METADATA!$B$4,nASIG,"Conjunto"),""))</f>
        <v/>
      </c>
      <c r="K358" t="str" cm="1">
        <f t="array" ref="K358">IF(G358="","",IFERROR(AVERAGE(IF((nNIA=G358)*(nEVAL=CONFIG_METADATA!$B$4)*(nASIG&lt;&gt;"Lenguaje Musical")*(nASIG&lt;&gt;"Coro")*(nASIG&lt;&gt;"Conjunto"),nNOTA)),""))</f>
        <v/>
      </c>
      <c r="N358" t="str">
        <f>IF(M358="","",IFERROR(AVERAGEIFS(nNOTA,nNIA,M358,nEVAL,CONFIG_METADATA!$B$4,nASIG,"Lenguaje Musical"),""))</f>
        <v/>
      </c>
      <c r="O358" t="str">
        <f>IF(M358="","",IFERROR(AVERAGEIFS(nNOTA,nNIA,M358,nEVAL,CONFIG_METADATA!$B$4,nASIG,"Coro"),""))</f>
        <v/>
      </c>
      <c r="P358" t="str">
        <f>IF(M358="","",IFERROR(AVERAGEIFS(nNOTA,nNIA,M358,nEVAL,CONFIG_METADATA!$B$4,nASIG,"Conjunto"),""))</f>
        <v/>
      </c>
      <c r="Q358" t="str">
        <f>IF(M358="","",IFERROR(AVERAGEIFS(nNOTA,nNIA,M358,nEVAL,CONFIG_METADATA!$B$4,nASIG,"&lt;&gt;Lenguaje Musical",nASIG,"&lt;&gt;Coro",nASIG,"&lt;&gt;Conjunto"),""))</f>
        <v/>
      </c>
      <c r="T358" t="str">
        <f>IF(S358="","",IFERROR(AVERAGEIFS(nNOTA,nNIA,S358,nEVAL,CONFIG_METADATA!$B$4,nASIG,"Lenguaje Musical"),""))</f>
        <v/>
      </c>
      <c r="U358" t="str">
        <f>IF(S358="","",IFERROR(AVERAGEIFS(nNOTA,nNIA,S358,nEVAL,CONFIG_METADATA!$B$4,nASIG,"Coro"),""))</f>
        <v/>
      </c>
      <c r="V358" t="str">
        <f>IF(S358="","",IFERROR(AVERAGEIFS(nNOTA,nNIA,S358,nEVAL,CONFIG_METADATA!$B$4,nASIG,"Conjunto"),""))</f>
        <v/>
      </c>
      <c r="W358" t="str" cm="1">
        <f t="array" ref="W358">IF(S358="","",IFERROR(AVERAGE(IF((nNIA=S358)*(nEVAL=CONFIG_METADATA!$B$4)*(nASIG&lt;&gt;"Lenguaje Musical")*(nASIG&lt;&gt;"Coro")*(nASIG&lt;&gt;"Conjunto"),nNOTA)),""))</f>
        <v/>
      </c>
    </row>
    <row r="359" spans="2:23" x14ac:dyDescent="0.2">
      <c r="B359" t="str">
        <f>IF(A359="","",IFERROR(AVERAGEIFS(nNOTA,nNIA,A359,nEVAL,CONFIG_METADATA!$B$4,nASIG,"Lenguaje Musical"),""))</f>
        <v/>
      </c>
      <c r="C359" t="str">
        <f>IF(A359="","",IFERROR(AVERAGEIFS(nNOTA,nNIA,A359,nEVAL,CONFIG_METADATA!$B$4,nASIG,"Coro"),""))</f>
        <v/>
      </c>
      <c r="D359" t="str">
        <f>IF(A359="","",IFERROR(AVERAGEIFS(nNOTA,nNIA,A359,nEVAL,CONFIG_METADATA!$B$4,nASIG,"Conjunto"),""))</f>
        <v/>
      </c>
      <c r="E359" t="str">
        <f>IF(A359="","",IFERROR(AVERAGEIFS(nNOTA,nNIA,A359,nEVAL,CONFIG_METADATA!$B$4,nASIG,"&lt;&gt;Lenguaje Musical",nASIG,"&lt;&gt;Coro",nASIG,"&lt;&gt;Conjunto"),""))</f>
        <v/>
      </c>
      <c r="H359" t="str">
        <f>IF(G359="","",IFERROR(AVERAGEIFS(nNOTA,nNIA,G359,nEVAL,CONFIG_METADATA!$B$4,nASIG,"Lenguaje Musical"),""))</f>
        <v/>
      </c>
      <c r="I359" t="str">
        <f>IF(G359="","",IFERROR(AVERAGEIFS(nNOTA,nNIA,G359,nEVAL,CONFIG_METADATA!$B$4,nASIG,"Coro"),""))</f>
        <v/>
      </c>
      <c r="J359" t="str">
        <f>IF(G359="","",IFERROR(AVERAGEIFS(nNOTA,nNIA,G359,nEVAL,CONFIG_METADATA!$B$4,nASIG,"Conjunto"),""))</f>
        <v/>
      </c>
      <c r="K359" t="str" cm="1">
        <f t="array" ref="K359">IF(G359="","",IFERROR(AVERAGE(IF((nNIA=G359)*(nEVAL=CONFIG_METADATA!$B$4)*(nASIG&lt;&gt;"Lenguaje Musical")*(nASIG&lt;&gt;"Coro")*(nASIG&lt;&gt;"Conjunto"),nNOTA)),""))</f>
        <v/>
      </c>
      <c r="N359" t="str">
        <f>IF(M359="","",IFERROR(AVERAGEIFS(nNOTA,nNIA,M359,nEVAL,CONFIG_METADATA!$B$4,nASIG,"Lenguaje Musical"),""))</f>
        <v/>
      </c>
      <c r="O359" t="str">
        <f>IF(M359="","",IFERROR(AVERAGEIFS(nNOTA,nNIA,M359,nEVAL,CONFIG_METADATA!$B$4,nASIG,"Coro"),""))</f>
        <v/>
      </c>
      <c r="P359" t="str">
        <f>IF(M359="","",IFERROR(AVERAGEIFS(nNOTA,nNIA,M359,nEVAL,CONFIG_METADATA!$B$4,nASIG,"Conjunto"),""))</f>
        <v/>
      </c>
      <c r="Q359" t="str">
        <f>IF(M359="","",IFERROR(AVERAGEIFS(nNOTA,nNIA,M359,nEVAL,CONFIG_METADATA!$B$4,nASIG,"&lt;&gt;Lenguaje Musical",nASIG,"&lt;&gt;Coro",nASIG,"&lt;&gt;Conjunto"),""))</f>
        <v/>
      </c>
      <c r="T359" t="str">
        <f>IF(S359="","",IFERROR(AVERAGEIFS(nNOTA,nNIA,S359,nEVAL,CONFIG_METADATA!$B$4,nASIG,"Lenguaje Musical"),""))</f>
        <v/>
      </c>
      <c r="U359" t="str">
        <f>IF(S359="","",IFERROR(AVERAGEIFS(nNOTA,nNIA,S359,nEVAL,CONFIG_METADATA!$B$4,nASIG,"Coro"),""))</f>
        <v/>
      </c>
      <c r="V359" t="str">
        <f>IF(S359="","",IFERROR(AVERAGEIFS(nNOTA,nNIA,S359,nEVAL,CONFIG_METADATA!$B$4,nASIG,"Conjunto"),""))</f>
        <v/>
      </c>
      <c r="W359" t="str" cm="1">
        <f t="array" ref="W359">IF(S359="","",IFERROR(AVERAGE(IF((nNIA=S359)*(nEVAL=CONFIG_METADATA!$B$4)*(nASIG&lt;&gt;"Lenguaje Musical")*(nASIG&lt;&gt;"Coro")*(nASIG&lt;&gt;"Conjunto"),nNOTA)),""))</f>
        <v/>
      </c>
    </row>
    <row r="360" spans="2:23" x14ac:dyDescent="0.2">
      <c r="B360" t="str">
        <f>IF(A360="","",IFERROR(AVERAGEIFS(nNOTA,nNIA,A360,nEVAL,CONFIG_METADATA!$B$4,nASIG,"Lenguaje Musical"),""))</f>
        <v/>
      </c>
      <c r="C360" t="str">
        <f>IF(A360="","",IFERROR(AVERAGEIFS(nNOTA,nNIA,A360,nEVAL,CONFIG_METADATA!$B$4,nASIG,"Coro"),""))</f>
        <v/>
      </c>
      <c r="D360" t="str">
        <f>IF(A360="","",IFERROR(AVERAGEIFS(nNOTA,nNIA,A360,nEVAL,CONFIG_METADATA!$B$4,nASIG,"Conjunto"),""))</f>
        <v/>
      </c>
      <c r="E360" t="str">
        <f>IF(A360="","",IFERROR(AVERAGEIFS(nNOTA,nNIA,A360,nEVAL,CONFIG_METADATA!$B$4,nASIG,"&lt;&gt;Lenguaje Musical",nASIG,"&lt;&gt;Coro",nASIG,"&lt;&gt;Conjunto"),""))</f>
        <v/>
      </c>
      <c r="H360" t="str">
        <f>IF(G360="","",IFERROR(AVERAGEIFS(nNOTA,nNIA,G360,nEVAL,CONFIG_METADATA!$B$4,nASIG,"Lenguaje Musical"),""))</f>
        <v/>
      </c>
      <c r="I360" t="str">
        <f>IF(G360="","",IFERROR(AVERAGEIFS(nNOTA,nNIA,G360,nEVAL,CONFIG_METADATA!$B$4,nASIG,"Coro"),""))</f>
        <v/>
      </c>
      <c r="J360" t="str">
        <f>IF(G360="","",IFERROR(AVERAGEIFS(nNOTA,nNIA,G360,nEVAL,CONFIG_METADATA!$B$4,nASIG,"Conjunto"),""))</f>
        <v/>
      </c>
      <c r="K360" t="str" cm="1">
        <f t="array" ref="K360">IF(G360="","",IFERROR(AVERAGE(IF((nNIA=G360)*(nEVAL=CONFIG_METADATA!$B$4)*(nASIG&lt;&gt;"Lenguaje Musical")*(nASIG&lt;&gt;"Coro")*(nASIG&lt;&gt;"Conjunto"),nNOTA)),""))</f>
        <v/>
      </c>
      <c r="N360" t="str">
        <f>IF(M360="","",IFERROR(AVERAGEIFS(nNOTA,nNIA,M360,nEVAL,CONFIG_METADATA!$B$4,nASIG,"Lenguaje Musical"),""))</f>
        <v/>
      </c>
      <c r="O360" t="str">
        <f>IF(M360="","",IFERROR(AVERAGEIFS(nNOTA,nNIA,M360,nEVAL,CONFIG_METADATA!$B$4,nASIG,"Coro"),""))</f>
        <v/>
      </c>
      <c r="P360" t="str">
        <f>IF(M360="","",IFERROR(AVERAGEIFS(nNOTA,nNIA,M360,nEVAL,CONFIG_METADATA!$B$4,nASIG,"Conjunto"),""))</f>
        <v/>
      </c>
      <c r="Q360" t="str">
        <f>IF(M360="","",IFERROR(AVERAGEIFS(nNOTA,nNIA,M360,nEVAL,CONFIG_METADATA!$B$4,nASIG,"&lt;&gt;Lenguaje Musical",nASIG,"&lt;&gt;Coro",nASIG,"&lt;&gt;Conjunto"),""))</f>
        <v/>
      </c>
      <c r="T360" t="str">
        <f>IF(S360="","",IFERROR(AVERAGEIFS(nNOTA,nNIA,S360,nEVAL,CONFIG_METADATA!$B$4,nASIG,"Lenguaje Musical"),""))</f>
        <v/>
      </c>
      <c r="U360" t="str">
        <f>IF(S360="","",IFERROR(AVERAGEIFS(nNOTA,nNIA,S360,nEVAL,CONFIG_METADATA!$B$4,nASIG,"Coro"),""))</f>
        <v/>
      </c>
      <c r="V360" t="str">
        <f>IF(S360="","",IFERROR(AVERAGEIFS(nNOTA,nNIA,S360,nEVAL,CONFIG_METADATA!$B$4,nASIG,"Conjunto"),""))</f>
        <v/>
      </c>
      <c r="W360" t="str" cm="1">
        <f t="array" ref="W360">IF(S360="","",IFERROR(AVERAGE(IF((nNIA=S360)*(nEVAL=CONFIG_METADATA!$B$4)*(nASIG&lt;&gt;"Lenguaje Musical")*(nASIG&lt;&gt;"Coro")*(nASIG&lt;&gt;"Conjunto"),nNOTA)),""))</f>
        <v/>
      </c>
    </row>
    <row r="361" spans="2:23" x14ac:dyDescent="0.2">
      <c r="B361" t="str">
        <f>IF(A361="","",IFERROR(AVERAGEIFS(nNOTA,nNIA,A361,nEVAL,CONFIG_METADATA!$B$4,nASIG,"Lenguaje Musical"),""))</f>
        <v/>
      </c>
      <c r="C361" t="str">
        <f>IF(A361="","",IFERROR(AVERAGEIFS(nNOTA,nNIA,A361,nEVAL,CONFIG_METADATA!$B$4,nASIG,"Coro"),""))</f>
        <v/>
      </c>
      <c r="D361" t="str">
        <f>IF(A361="","",IFERROR(AVERAGEIFS(nNOTA,nNIA,A361,nEVAL,CONFIG_METADATA!$B$4,nASIG,"Conjunto"),""))</f>
        <v/>
      </c>
      <c r="E361" t="str">
        <f>IF(A361="","",IFERROR(AVERAGEIFS(nNOTA,nNIA,A361,nEVAL,CONFIG_METADATA!$B$4,nASIG,"&lt;&gt;Lenguaje Musical",nASIG,"&lt;&gt;Coro",nASIG,"&lt;&gt;Conjunto"),""))</f>
        <v/>
      </c>
      <c r="H361" t="str">
        <f>IF(G361="","",IFERROR(AVERAGEIFS(nNOTA,nNIA,G361,nEVAL,CONFIG_METADATA!$B$4,nASIG,"Lenguaje Musical"),""))</f>
        <v/>
      </c>
      <c r="I361" t="str">
        <f>IF(G361="","",IFERROR(AVERAGEIFS(nNOTA,nNIA,G361,nEVAL,CONFIG_METADATA!$B$4,nASIG,"Coro"),""))</f>
        <v/>
      </c>
      <c r="J361" t="str">
        <f>IF(G361="","",IFERROR(AVERAGEIFS(nNOTA,nNIA,G361,nEVAL,CONFIG_METADATA!$B$4,nASIG,"Conjunto"),""))</f>
        <v/>
      </c>
      <c r="K361" t="str" cm="1">
        <f t="array" ref="K361">IF(G361="","",IFERROR(AVERAGE(IF((nNIA=G361)*(nEVAL=CONFIG_METADATA!$B$4)*(nASIG&lt;&gt;"Lenguaje Musical")*(nASIG&lt;&gt;"Coro")*(nASIG&lt;&gt;"Conjunto"),nNOTA)),""))</f>
        <v/>
      </c>
      <c r="N361" t="str">
        <f>IF(M361="","",IFERROR(AVERAGEIFS(nNOTA,nNIA,M361,nEVAL,CONFIG_METADATA!$B$4,nASIG,"Lenguaje Musical"),""))</f>
        <v/>
      </c>
      <c r="O361" t="str">
        <f>IF(M361="","",IFERROR(AVERAGEIFS(nNOTA,nNIA,M361,nEVAL,CONFIG_METADATA!$B$4,nASIG,"Coro"),""))</f>
        <v/>
      </c>
      <c r="P361" t="str">
        <f>IF(M361="","",IFERROR(AVERAGEIFS(nNOTA,nNIA,M361,nEVAL,CONFIG_METADATA!$B$4,nASIG,"Conjunto"),""))</f>
        <v/>
      </c>
      <c r="Q361" t="str">
        <f>IF(M361="","",IFERROR(AVERAGEIFS(nNOTA,nNIA,M361,nEVAL,CONFIG_METADATA!$B$4,nASIG,"&lt;&gt;Lenguaje Musical",nASIG,"&lt;&gt;Coro",nASIG,"&lt;&gt;Conjunto"),""))</f>
        <v/>
      </c>
      <c r="T361" t="str">
        <f>IF(S361="","",IFERROR(AVERAGEIFS(nNOTA,nNIA,S361,nEVAL,CONFIG_METADATA!$B$4,nASIG,"Lenguaje Musical"),""))</f>
        <v/>
      </c>
      <c r="U361" t="str">
        <f>IF(S361="","",IFERROR(AVERAGEIFS(nNOTA,nNIA,S361,nEVAL,CONFIG_METADATA!$B$4,nASIG,"Coro"),""))</f>
        <v/>
      </c>
      <c r="V361" t="str">
        <f>IF(S361="","",IFERROR(AVERAGEIFS(nNOTA,nNIA,S361,nEVAL,CONFIG_METADATA!$B$4,nASIG,"Conjunto"),""))</f>
        <v/>
      </c>
      <c r="W361" t="str" cm="1">
        <f t="array" ref="W361">IF(S361="","",IFERROR(AVERAGE(IF((nNIA=S361)*(nEVAL=CONFIG_METADATA!$B$4)*(nASIG&lt;&gt;"Lenguaje Musical")*(nASIG&lt;&gt;"Coro")*(nASIG&lt;&gt;"Conjunto"),nNOTA)),""))</f>
        <v/>
      </c>
    </row>
    <row r="362" spans="2:23" x14ac:dyDescent="0.2">
      <c r="B362" t="str">
        <f>IF(A362="","",IFERROR(AVERAGEIFS(nNOTA,nNIA,A362,nEVAL,CONFIG_METADATA!$B$4,nASIG,"Lenguaje Musical"),""))</f>
        <v/>
      </c>
      <c r="C362" t="str">
        <f>IF(A362="","",IFERROR(AVERAGEIFS(nNOTA,nNIA,A362,nEVAL,CONFIG_METADATA!$B$4,nASIG,"Coro"),""))</f>
        <v/>
      </c>
      <c r="D362" t="str">
        <f>IF(A362="","",IFERROR(AVERAGEIFS(nNOTA,nNIA,A362,nEVAL,CONFIG_METADATA!$B$4,nASIG,"Conjunto"),""))</f>
        <v/>
      </c>
      <c r="E362" t="str">
        <f>IF(A362="","",IFERROR(AVERAGEIFS(nNOTA,nNIA,A362,nEVAL,CONFIG_METADATA!$B$4,nASIG,"&lt;&gt;Lenguaje Musical",nASIG,"&lt;&gt;Coro",nASIG,"&lt;&gt;Conjunto"),""))</f>
        <v/>
      </c>
      <c r="H362" t="str">
        <f>IF(G362="","",IFERROR(AVERAGEIFS(nNOTA,nNIA,G362,nEVAL,CONFIG_METADATA!$B$4,nASIG,"Lenguaje Musical"),""))</f>
        <v/>
      </c>
      <c r="I362" t="str">
        <f>IF(G362="","",IFERROR(AVERAGEIFS(nNOTA,nNIA,G362,nEVAL,CONFIG_METADATA!$B$4,nASIG,"Coro"),""))</f>
        <v/>
      </c>
      <c r="J362" t="str">
        <f>IF(G362="","",IFERROR(AVERAGEIFS(nNOTA,nNIA,G362,nEVAL,CONFIG_METADATA!$B$4,nASIG,"Conjunto"),""))</f>
        <v/>
      </c>
      <c r="K362" t="str" cm="1">
        <f t="array" ref="K362">IF(G362="","",IFERROR(AVERAGE(IF((nNIA=G362)*(nEVAL=CONFIG_METADATA!$B$4)*(nASIG&lt;&gt;"Lenguaje Musical")*(nASIG&lt;&gt;"Coro")*(nASIG&lt;&gt;"Conjunto"),nNOTA)),""))</f>
        <v/>
      </c>
      <c r="N362" t="str">
        <f>IF(M362="","",IFERROR(AVERAGEIFS(nNOTA,nNIA,M362,nEVAL,CONFIG_METADATA!$B$4,nASIG,"Lenguaje Musical"),""))</f>
        <v/>
      </c>
      <c r="O362" t="str">
        <f>IF(M362="","",IFERROR(AVERAGEIFS(nNOTA,nNIA,M362,nEVAL,CONFIG_METADATA!$B$4,nASIG,"Coro"),""))</f>
        <v/>
      </c>
      <c r="P362" t="str">
        <f>IF(M362="","",IFERROR(AVERAGEIFS(nNOTA,nNIA,M362,nEVAL,CONFIG_METADATA!$B$4,nASIG,"Conjunto"),""))</f>
        <v/>
      </c>
      <c r="Q362" t="str">
        <f>IF(M362="","",IFERROR(AVERAGEIFS(nNOTA,nNIA,M362,nEVAL,CONFIG_METADATA!$B$4,nASIG,"&lt;&gt;Lenguaje Musical",nASIG,"&lt;&gt;Coro",nASIG,"&lt;&gt;Conjunto"),""))</f>
        <v/>
      </c>
      <c r="T362" t="str">
        <f>IF(S362="","",IFERROR(AVERAGEIFS(nNOTA,nNIA,S362,nEVAL,CONFIG_METADATA!$B$4,nASIG,"Lenguaje Musical"),""))</f>
        <v/>
      </c>
      <c r="U362" t="str">
        <f>IF(S362="","",IFERROR(AVERAGEIFS(nNOTA,nNIA,S362,nEVAL,CONFIG_METADATA!$B$4,nASIG,"Coro"),""))</f>
        <v/>
      </c>
      <c r="V362" t="str">
        <f>IF(S362="","",IFERROR(AVERAGEIFS(nNOTA,nNIA,S362,nEVAL,CONFIG_METADATA!$B$4,nASIG,"Conjunto"),""))</f>
        <v/>
      </c>
      <c r="W362" t="str" cm="1">
        <f t="array" ref="W362">IF(S362="","",IFERROR(AVERAGE(IF((nNIA=S362)*(nEVAL=CONFIG_METADATA!$B$4)*(nASIG&lt;&gt;"Lenguaje Musical")*(nASIG&lt;&gt;"Coro")*(nASIG&lt;&gt;"Conjunto"),nNOTA)),""))</f>
        <v/>
      </c>
    </row>
    <row r="363" spans="2:23" x14ac:dyDescent="0.2">
      <c r="B363" t="str">
        <f>IF(A363="","",IFERROR(AVERAGEIFS(nNOTA,nNIA,A363,nEVAL,CONFIG_METADATA!$B$4,nASIG,"Lenguaje Musical"),""))</f>
        <v/>
      </c>
      <c r="C363" t="str">
        <f>IF(A363="","",IFERROR(AVERAGEIFS(nNOTA,nNIA,A363,nEVAL,CONFIG_METADATA!$B$4,nASIG,"Coro"),""))</f>
        <v/>
      </c>
      <c r="D363" t="str">
        <f>IF(A363="","",IFERROR(AVERAGEIFS(nNOTA,nNIA,A363,nEVAL,CONFIG_METADATA!$B$4,nASIG,"Conjunto"),""))</f>
        <v/>
      </c>
      <c r="E363" t="str">
        <f>IF(A363="","",IFERROR(AVERAGEIFS(nNOTA,nNIA,A363,nEVAL,CONFIG_METADATA!$B$4,nASIG,"&lt;&gt;Lenguaje Musical",nASIG,"&lt;&gt;Coro",nASIG,"&lt;&gt;Conjunto"),""))</f>
        <v/>
      </c>
      <c r="H363" t="str">
        <f>IF(G363="","",IFERROR(AVERAGEIFS(nNOTA,nNIA,G363,nEVAL,CONFIG_METADATA!$B$4,nASIG,"Lenguaje Musical"),""))</f>
        <v/>
      </c>
      <c r="I363" t="str">
        <f>IF(G363="","",IFERROR(AVERAGEIFS(nNOTA,nNIA,G363,nEVAL,CONFIG_METADATA!$B$4,nASIG,"Coro"),""))</f>
        <v/>
      </c>
      <c r="J363" t="str">
        <f>IF(G363="","",IFERROR(AVERAGEIFS(nNOTA,nNIA,G363,nEVAL,CONFIG_METADATA!$B$4,nASIG,"Conjunto"),""))</f>
        <v/>
      </c>
      <c r="K363" t="str" cm="1">
        <f t="array" ref="K363">IF(G363="","",IFERROR(AVERAGE(IF((nNIA=G363)*(nEVAL=CONFIG_METADATA!$B$4)*(nASIG&lt;&gt;"Lenguaje Musical")*(nASIG&lt;&gt;"Coro")*(nASIG&lt;&gt;"Conjunto"),nNOTA)),""))</f>
        <v/>
      </c>
      <c r="N363" t="str">
        <f>IF(M363="","",IFERROR(AVERAGEIFS(nNOTA,nNIA,M363,nEVAL,CONFIG_METADATA!$B$4,nASIG,"Lenguaje Musical"),""))</f>
        <v/>
      </c>
      <c r="O363" t="str">
        <f>IF(M363="","",IFERROR(AVERAGEIFS(nNOTA,nNIA,M363,nEVAL,CONFIG_METADATA!$B$4,nASIG,"Coro"),""))</f>
        <v/>
      </c>
      <c r="P363" t="str">
        <f>IF(M363="","",IFERROR(AVERAGEIFS(nNOTA,nNIA,M363,nEVAL,CONFIG_METADATA!$B$4,nASIG,"Conjunto"),""))</f>
        <v/>
      </c>
      <c r="Q363" t="str">
        <f>IF(M363="","",IFERROR(AVERAGEIFS(nNOTA,nNIA,M363,nEVAL,CONFIG_METADATA!$B$4,nASIG,"&lt;&gt;Lenguaje Musical",nASIG,"&lt;&gt;Coro",nASIG,"&lt;&gt;Conjunto"),""))</f>
        <v/>
      </c>
      <c r="T363" t="str">
        <f>IF(S363="","",IFERROR(AVERAGEIFS(nNOTA,nNIA,S363,nEVAL,CONFIG_METADATA!$B$4,nASIG,"Lenguaje Musical"),""))</f>
        <v/>
      </c>
      <c r="U363" t="str">
        <f>IF(S363="","",IFERROR(AVERAGEIFS(nNOTA,nNIA,S363,nEVAL,CONFIG_METADATA!$B$4,nASIG,"Coro"),""))</f>
        <v/>
      </c>
      <c r="V363" t="str">
        <f>IF(S363="","",IFERROR(AVERAGEIFS(nNOTA,nNIA,S363,nEVAL,CONFIG_METADATA!$B$4,nASIG,"Conjunto"),""))</f>
        <v/>
      </c>
      <c r="W363" t="str" cm="1">
        <f t="array" ref="W363">IF(S363="","",IFERROR(AVERAGE(IF((nNIA=S363)*(nEVAL=CONFIG_METADATA!$B$4)*(nASIG&lt;&gt;"Lenguaje Musical")*(nASIG&lt;&gt;"Coro")*(nASIG&lt;&gt;"Conjunto"),nNOTA)),""))</f>
        <v/>
      </c>
    </row>
    <row r="364" spans="2:23" x14ac:dyDescent="0.2">
      <c r="B364" t="str">
        <f>IF(A364="","",IFERROR(AVERAGEIFS(nNOTA,nNIA,A364,nEVAL,CONFIG_METADATA!$B$4,nASIG,"Lenguaje Musical"),""))</f>
        <v/>
      </c>
      <c r="C364" t="str">
        <f>IF(A364="","",IFERROR(AVERAGEIFS(nNOTA,nNIA,A364,nEVAL,CONFIG_METADATA!$B$4,nASIG,"Coro"),""))</f>
        <v/>
      </c>
      <c r="D364" t="str">
        <f>IF(A364="","",IFERROR(AVERAGEIFS(nNOTA,nNIA,A364,nEVAL,CONFIG_METADATA!$B$4,nASIG,"Conjunto"),""))</f>
        <v/>
      </c>
      <c r="E364" t="str">
        <f>IF(A364="","",IFERROR(AVERAGEIFS(nNOTA,nNIA,A364,nEVAL,CONFIG_METADATA!$B$4,nASIG,"&lt;&gt;Lenguaje Musical",nASIG,"&lt;&gt;Coro",nASIG,"&lt;&gt;Conjunto"),""))</f>
        <v/>
      </c>
      <c r="H364" t="str">
        <f>IF(G364="","",IFERROR(AVERAGEIFS(nNOTA,nNIA,G364,nEVAL,CONFIG_METADATA!$B$4,nASIG,"Lenguaje Musical"),""))</f>
        <v/>
      </c>
      <c r="I364" t="str">
        <f>IF(G364="","",IFERROR(AVERAGEIFS(nNOTA,nNIA,G364,nEVAL,CONFIG_METADATA!$B$4,nASIG,"Coro"),""))</f>
        <v/>
      </c>
      <c r="J364" t="str">
        <f>IF(G364="","",IFERROR(AVERAGEIFS(nNOTA,nNIA,G364,nEVAL,CONFIG_METADATA!$B$4,nASIG,"Conjunto"),""))</f>
        <v/>
      </c>
      <c r="K364" t="str" cm="1">
        <f t="array" ref="K364">IF(G364="","",IFERROR(AVERAGE(IF((nNIA=G364)*(nEVAL=CONFIG_METADATA!$B$4)*(nASIG&lt;&gt;"Lenguaje Musical")*(nASIG&lt;&gt;"Coro")*(nASIG&lt;&gt;"Conjunto"),nNOTA)),""))</f>
        <v/>
      </c>
      <c r="N364" t="str">
        <f>IF(M364="","",IFERROR(AVERAGEIFS(nNOTA,nNIA,M364,nEVAL,CONFIG_METADATA!$B$4,nASIG,"Lenguaje Musical"),""))</f>
        <v/>
      </c>
      <c r="O364" t="str">
        <f>IF(M364="","",IFERROR(AVERAGEIFS(nNOTA,nNIA,M364,nEVAL,CONFIG_METADATA!$B$4,nASIG,"Coro"),""))</f>
        <v/>
      </c>
      <c r="P364" t="str">
        <f>IF(M364="","",IFERROR(AVERAGEIFS(nNOTA,nNIA,M364,nEVAL,CONFIG_METADATA!$B$4,nASIG,"Conjunto"),""))</f>
        <v/>
      </c>
      <c r="Q364" t="str">
        <f>IF(M364="","",IFERROR(AVERAGEIFS(nNOTA,nNIA,M364,nEVAL,CONFIG_METADATA!$B$4,nASIG,"&lt;&gt;Lenguaje Musical",nASIG,"&lt;&gt;Coro",nASIG,"&lt;&gt;Conjunto"),""))</f>
        <v/>
      </c>
      <c r="T364" t="str">
        <f>IF(S364="","",IFERROR(AVERAGEIFS(nNOTA,nNIA,S364,nEVAL,CONFIG_METADATA!$B$4,nASIG,"Lenguaje Musical"),""))</f>
        <v/>
      </c>
      <c r="U364" t="str">
        <f>IF(S364="","",IFERROR(AVERAGEIFS(nNOTA,nNIA,S364,nEVAL,CONFIG_METADATA!$B$4,nASIG,"Coro"),""))</f>
        <v/>
      </c>
      <c r="V364" t="str">
        <f>IF(S364="","",IFERROR(AVERAGEIFS(nNOTA,nNIA,S364,nEVAL,CONFIG_METADATA!$B$4,nASIG,"Conjunto"),""))</f>
        <v/>
      </c>
      <c r="W364" t="str" cm="1">
        <f t="array" ref="W364">IF(S364="","",IFERROR(AVERAGE(IF((nNIA=S364)*(nEVAL=CONFIG_METADATA!$B$4)*(nASIG&lt;&gt;"Lenguaje Musical")*(nASIG&lt;&gt;"Coro")*(nASIG&lt;&gt;"Conjunto"),nNOTA)),""))</f>
        <v/>
      </c>
    </row>
    <row r="365" spans="2:23" x14ac:dyDescent="0.2">
      <c r="B365" t="str">
        <f>IF(A365="","",IFERROR(AVERAGEIFS(nNOTA,nNIA,A365,nEVAL,CONFIG_METADATA!$B$4,nASIG,"Lenguaje Musical"),""))</f>
        <v/>
      </c>
      <c r="C365" t="str">
        <f>IF(A365="","",IFERROR(AVERAGEIFS(nNOTA,nNIA,A365,nEVAL,CONFIG_METADATA!$B$4,nASIG,"Coro"),""))</f>
        <v/>
      </c>
      <c r="D365" t="str">
        <f>IF(A365="","",IFERROR(AVERAGEIFS(nNOTA,nNIA,A365,nEVAL,CONFIG_METADATA!$B$4,nASIG,"Conjunto"),""))</f>
        <v/>
      </c>
      <c r="E365" t="str">
        <f>IF(A365="","",IFERROR(AVERAGEIFS(nNOTA,nNIA,A365,nEVAL,CONFIG_METADATA!$B$4,nASIG,"&lt;&gt;Lenguaje Musical",nASIG,"&lt;&gt;Coro",nASIG,"&lt;&gt;Conjunto"),""))</f>
        <v/>
      </c>
      <c r="H365" t="str">
        <f>IF(G365="","",IFERROR(AVERAGEIFS(nNOTA,nNIA,G365,nEVAL,CONFIG_METADATA!$B$4,nASIG,"Lenguaje Musical"),""))</f>
        <v/>
      </c>
      <c r="I365" t="str">
        <f>IF(G365="","",IFERROR(AVERAGEIFS(nNOTA,nNIA,G365,nEVAL,CONFIG_METADATA!$B$4,nASIG,"Coro"),""))</f>
        <v/>
      </c>
      <c r="J365" t="str">
        <f>IF(G365="","",IFERROR(AVERAGEIFS(nNOTA,nNIA,G365,nEVAL,CONFIG_METADATA!$B$4,nASIG,"Conjunto"),""))</f>
        <v/>
      </c>
      <c r="K365" t="str" cm="1">
        <f t="array" ref="K365">IF(G365="","",IFERROR(AVERAGE(IF((nNIA=G365)*(nEVAL=CONFIG_METADATA!$B$4)*(nASIG&lt;&gt;"Lenguaje Musical")*(nASIG&lt;&gt;"Coro")*(nASIG&lt;&gt;"Conjunto"),nNOTA)),""))</f>
        <v/>
      </c>
      <c r="N365" t="str">
        <f>IF(M365="","",IFERROR(AVERAGEIFS(nNOTA,nNIA,M365,nEVAL,CONFIG_METADATA!$B$4,nASIG,"Lenguaje Musical"),""))</f>
        <v/>
      </c>
      <c r="O365" t="str">
        <f>IF(M365="","",IFERROR(AVERAGEIFS(nNOTA,nNIA,M365,nEVAL,CONFIG_METADATA!$B$4,nASIG,"Coro"),""))</f>
        <v/>
      </c>
      <c r="P365" t="str">
        <f>IF(M365="","",IFERROR(AVERAGEIFS(nNOTA,nNIA,M365,nEVAL,CONFIG_METADATA!$B$4,nASIG,"Conjunto"),""))</f>
        <v/>
      </c>
      <c r="Q365" t="str">
        <f>IF(M365="","",IFERROR(AVERAGEIFS(nNOTA,nNIA,M365,nEVAL,CONFIG_METADATA!$B$4,nASIG,"&lt;&gt;Lenguaje Musical",nASIG,"&lt;&gt;Coro",nASIG,"&lt;&gt;Conjunto"),""))</f>
        <v/>
      </c>
      <c r="T365" t="str">
        <f>IF(S365="","",IFERROR(AVERAGEIFS(nNOTA,nNIA,S365,nEVAL,CONFIG_METADATA!$B$4,nASIG,"Lenguaje Musical"),""))</f>
        <v/>
      </c>
      <c r="U365" t="str">
        <f>IF(S365="","",IFERROR(AVERAGEIFS(nNOTA,nNIA,S365,nEVAL,CONFIG_METADATA!$B$4,nASIG,"Coro"),""))</f>
        <v/>
      </c>
      <c r="V365" t="str">
        <f>IF(S365="","",IFERROR(AVERAGEIFS(nNOTA,nNIA,S365,nEVAL,CONFIG_METADATA!$B$4,nASIG,"Conjunto"),""))</f>
        <v/>
      </c>
      <c r="W365" t="str" cm="1">
        <f t="array" ref="W365">IF(S365="","",IFERROR(AVERAGE(IF((nNIA=S365)*(nEVAL=CONFIG_METADATA!$B$4)*(nASIG&lt;&gt;"Lenguaje Musical")*(nASIG&lt;&gt;"Coro")*(nASIG&lt;&gt;"Conjunto"),nNOTA)),""))</f>
        <v/>
      </c>
    </row>
    <row r="366" spans="2:23" x14ac:dyDescent="0.2">
      <c r="B366" t="str">
        <f>IF(A366="","",IFERROR(AVERAGEIFS(nNOTA,nNIA,A366,nEVAL,CONFIG_METADATA!$B$4,nASIG,"Lenguaje Musical"),""))</f>
        <v/>
      </c>
      <c r="C366" t="str">
        <f>IF(A366="","",IFERROR(AVERAGEIFS(nNOTA,nNIA,A366,nEVAL,CONFIG_METADATA!$B$4,nASIG,"Coro"),""))</f>
        <v/>
      </c>
      <c r="D366" t="str">
        <f>IF(A366="","",IFERROR(AVERAGEIFS(nNOTA,nNIA,A366,nEVAL,CONFIG_METADATA!$B$4,nASIG,"Conjunto"),""))</f>
        <v/>
      </c>
      <c r="E366" t="str">
        <f>IF(A366="","",IFERROR(AVERAGEIFS(nNOTA,nNIA,A366,nEVAL,CONFIG_METADATA!$B$4,nASIG,"&lt;&gt;Lenguaje Musical",nASIG,"&lt;&gt;Coro",nASIG,"&lt;&gt;Conjunto"),""))</f>
        <v/>
      </c>
      <c r="H366" t="str">
        <f>IF(G366="","",IFERROR(AVERAGEIFS(nNOTA,nNIA,G366,nEVAL,CONFIG_METADATA!$B$4,nASIG,"Lenguaje Musical"),""))</f>
        <v/>
      </c>
      <c r="I366" t="str">
        <f>IF(G366="","",IFERROR(AVERAGEIFS(nNOTA,nNIA,G366,nEVAL,CONFIG_METADATA!$B$4,nASIG,"Coro"),""))</f>
        <v/>
      </c>
      <c r="J366" t="str">
        <f>IF(G366="","",IFERROR(AVERAGEIFS(nNOTA,nNIA,G366,nEVAL,CONFIG_METADATA!$B$4,nASIG,"Conjunto"),""))</f>
        <v/>
      </c>
      <c r="K366" t="str" cm="1">
        <f t="array" ref="K366">IF(G366="","",IFERROR(AVERAGE(IF((nNIA=G366)*(nEVAL=CONFIG_METADATA!$B$4)*(nASIG&lt;&gt;"Lenguaje Musical")*(nASIG&lt;&gt;"Coro")*(nASIG&lt;&gt;"Conjunto"),nNOTA)),""))</f>
        <v/>
      </c>
      <c r="N366" t="str">
        <f>IF(M366="","",IFERROR(AVERAGEIFS(nNOTA,nNIA,M366,nEVAL,CONFIG_METADATA!$B$4,nASIG,"Lenguaje Musical"),""))</f>
        <v/>
      </c>
      <c r="O366" t="str">
        <f>IF(M366="","",IFERROR(AVERAGEIFS(nNOTA,nNIA,M366,nEVAL,CONFIG_METADATA!$B$4,nASIG,"Coro"),""))</f>
        <v/>
      </c>
      <c r="P366" t="str">
        <f>IF(M366="","",IFERROR(AVERAGEIFS(nNOTA,nNIA,M366,nEVAL,CONFIG_METADATA!$B$4,nASIG,"Conjunto"),""))</f>
        <v/>
      </c>
      <c r="Q366" t="str">
        <f>IF(M366="","",IFERROR(AVERAGEIFS(nNOTA,nNIA,M366,nEVAL,CONFIG_METADATA!$B$4,nASIG,"&lt;&gt;Lenguaje Musical",nASIG,"&lt;&gt;Coro",nASIG,"&lt;&gt;Conjunto"),""))</f>
        <v/>
      </c>
      <c r="T366" t="str">
        <f>IF(S366="","",IFERROR(AVERAGEIFS(nNOTA,nNIA,S366,nEVAL,CONFIG_METADATA!$B$4,nASIG,"Lenguaje Musical"),""))</f>
        <v/>
      </c>
      <c r="U366" t="str">
        <f>IF(S366="","",IFERROR(AVERAGEIFS(nNOTA,nNIA,S366,nEVAL,CONFIG_METADATA!$B$4,nASIG,"Coro"),""))</f>
        <v/>
      </c>
      <c r="V366" t="str">
        <f>IF(S366="","",IFERROR(AVERAGEIFS(nNOTA,nNIA,S366,nEVAL,CONFIG_METADATA!$B$4,nASIG,"Conjunto"),""))</f>
        <v/>
      </c>
      <c r="W366" t="str" cm="1">
        <f t="array" ref="W366">IF(S366="","",IFERROR(AVERAGE(IF((nNIA=S366)*(nEVAL=CONFIG_METADATA!$B$4)*(nASIG&lt;&gt;"Lenguaje Musical")*(nASIG&lt;&gt;"Coro")*(nASIG&lt;&gt;"Conjunto"),nNOTA)),""))</f>
        <v/>
      </c>
    </row>
    <row r="367" spans="2:23" x14ac:dyDescent="0.2">
      <c r="B367" t="str">
        <f>IF(A367="","",IFERROR(AVERAGEIFS(nNOTA,nNIA,A367,nEVAL,CONFIG_METADATA!$B$4,nASIG,"Lenguaje Musical"),""))</f>
        <v/>
      </c>
      <c r="C367" t="str">
        <f>IF(A367="","",IFERROR(AVERAGEIFS(nNOTA,nNIA,A367,nEVAL,CONFIG_METADATA!$B$4,nASIG,"Coro"),""))</f>
        <v/>
      </c>
      <c r="D367" t="str">
        <f>IF(A367="","",IFERROR(AVERAGEIFS(nNOTA,nNIA,A367,nEVAL,CONFIG_METADATA!$B$4,nASIG,"Conjunto"),""))</f>
        <v/>
      </c>
      <c r="E367" t="str">
        <f>IF(A367="","",IFERROR(AVERAGEIFS(nNOTA,nNIA,A367,nEVAL,CONFIG_METADATA!$B$4,nASIG,"&lt;&gt;Lenguaje Musical",nASIG,"&lt;&gt;Coro",nASIG,"&lt;&gt;Conjunto"),""))</f>
        <v/>
      </c>
      <c r="H367" t="str">
        <f>IF(G367="","",IFERROR(AVERAGEIFS(nNOTA,nNIA,G367,nEVAL,CONFIG_METADATA!$B$4,nASIG,"Lenguaje Musical"),""))</f>
        <v/>
      </c>
      <c r="I367" t="str">
        <f>IF(G367="","",IFERROR(AVERAGEIFS(nNOTA,nNIA,G367,nEVAL,CONFIG_METADATA!$B$4,nASIG,"Coro"),""))</f>
        <v/>
      </c>
      <c r="J367" t="str">
        <f>IF(G367="","",IFERROR(AVERAGEIFS(nNOTA,nNIA,G367,nEVAL,CONFIG_METADATA!$B$4,nASIG,"Conjunto"),""))</f>
        <v/>
      </c>
      <c r="K367" t="str" cm="1">
        <f t="array" ref="K367">IF(G367="","",IFERROR(AVERAGE(IF((nNIA=G367)*(nEVAL=CONFIG_METADATA!$B$4)*(nASIG&lt;&gt;"Lenguaje Musical")*(nASIG&lt;&gt;"Coro")*(nASIG&lt;&gt;"Conjunto"),nNOTA)),""))</f>
        <v/>
      </c>
      <c r="N367" t="str">
        <f>IF(M367="","",IFERROR(AVERAGEIFS(nNOTA,nNIA,M367,nEVAL,CONFIG_METADATA!$B$4,nASIG,"Lenguaje Musical"),""))</f>
        <v/>
      </c>
      <c r="O367" t="str">
        <f>IF(M367="","",IFERROR(AVERAGEIFS(nNOTA,nNIA,M367,nEVAL,CONFIG_METADATA!$B$4,nASIG,"Coro"),""))</f>
        <v/>
      </c>
      <c r="P367" t="str">
        <f>IF(M367="","",IFERROR(AVERAGEIFS(nNOTA,nNIA,M367,nEVAL,CONFIG_METADATA!$B$4,nASIG,"Conjunto"),""))</f>
        <v/>
      </c>
      <c r="Q367" t="str">
        <f>IF(M367="","",IFERROR(AVERAGEIFS(nNOTA,nNIA,M367,nEVAL,CONFIG_METADATA!$B$4,nASIG,"&lt;&gt;Lenguaje Musical",nASIG,"&lt;&gt;Coro",nASIG,"&lt;&gt;Conjunto"),""))</f>
        <v/>
      </c>
      <c r="T367" t="str">
        <f>IF(S367="","",IFERROR(AVERAGEIFS(nNOTA,nNIA,S367,nEVAL,CONFIG_METADATA!$B$4,nASIG,"Lenguaje Musical"),""))</f>
        <v/>
      </c>
      <c r="U367" t="str">
        <f>IF(S367="","",IFERROR(AVERAGEIFS(nNOTA,nNIA,S367,nEVAL,CONFIG_METADATA!$B$4,nASIG,"Coro"),""))</f>
        <v/>
      </c>
      <c r="V367" t="str">
        <f>IF(S367="","",IFERROR(AVERAGEIFS(nNOTA,nNIA,S367,nEVAL,CONFIG_METADATA!$B$4,nASIG,"Conjunto"),""))</f>
        <v/>
      </c>
      <c r="W367" t="str" cm="1">
        <f t="array" ref="W367">IF(S367="","",IFERROR(AVERAGE(IF((nNIA=S367)*(nEVAL=CONFIG_METADATA!$B$4)*(nASIG&lt;&gt;"Lenguaje Musical")*(nASIG&lt;&gt;"Coro")*(nASIG&lt;&gt;"Conjunto"),nNOTA)),""))</f>
        <v/>
      </c>
    </row>
    <row r="368" spans="2:23" x14ac:dyDescent="0.2">
      <c r="B368" t="str">
        <f>IF(A368="","",IFERROR(AVERAGEIFS(nNOTA,nNIA,A368,nEVAL,CONFIG_METADATA!$B$4,nASIG,"Lenguaje Musical"),""))</f>
        <v/>
      </c>
      <c r="C368" t="str">
        <f>IF(A368="","",IFERROR(AVERAGEIFS(nNOTA,nNIA,A368,nEVAL,CONFIG_METADATA!$B$4,nASIG,"Coro"),""))</f>
        <v/>
      </c>
      <c r="D368" t="str">
        <f>IF(A368="","",IFERROR(AVERAGEIFS(nNOTA,nNIA,A368,nEVAL,CONFIG_METADATA!$B$4,nASIG,"Conjunto"),""))</f>
        <v/>
      </c>
      <c r="E368" t="str">
        <f>IF(A368="","",IFERROR(AVERAGEIFS(nNOTA,nNIA,A368,nEVAL,CONFIG_METADATA!$B$4,nASIG,"&lt;&gt;Lenguaje Musical",nASIG,"&lt;&gt;Coro",nASIG,"&lt;&gt;Conjunto"),""))</f>
        <v/>
      </c>
      <c r="H368" t="str">
        <f>IF(G368="","",IFERROR(AVERAGEIFS(nNOTA,nNIA,G368,nEVAL,CONFIG_METADATA!$B$4,nASIG,"Lenguaje Musical"),""))</f>
        <v/>
      </c>
      <c r="I368" t="str">
        <f>IF(G368="","",IFERROR(AVERAGEIFS(nNOTA,nNIA,G368,nEVAL,CONFIG_METADATA!$B$4,nASIG,"Coro"),""))</f>
        <v/>
      </c>
      <c r="J368" t="str">
        <f>IF(G368="","",IFERROR(AVERAGEIFS(nNOTA,nNIA,G368,nEVAL,CONFIG_METADATA!$B$4,nASIG,"Conjunto"),""))</f>
        <v/>
      </c>
      <c r="K368" t="str" cm="1">
        <f t="array" ref="K368">IF(G368="","",IFERROR(AVERAGE(IF((nNIA=G368)*(nEVAL=CONFIG_METADATA!$B$4)*(nASIG&lt;&gt;"Lenguaje Musical")*(nASIG&lt;&gt;"Coro")*(nASIG&lt;&gt;"Conjunto"),nNOTA)),""))</f>
        <v/>
      </c>
      <c r="N368" t="str">
        <f>IF(M368="","",IFERROR(AVERAGEIFS(nNOTA,nNIA,M368,nEVAL,CONFIG_METADATA!$B$4,nASIG,"Lenguaje Musical"),""))</f>
        <v/>
      </c>
      <c r="O368" t="str">
        <f>IF(M368="","",IFERROR(AVERAGEIFS(nNOTA,nNIA,M368,nEVAL,CONFIG_METADATA!$B$4,nASIG,"Coro"),""))</f>
        <v/>
      </c>
      <c r="P368" t="str">
        <f>IF(M368="","",IFERROR(AVERAGEIFS(nNOTA,nNIA,M368,nEVAL,CONFIG_METADATA!$B$4,nASIG,"Conjunto"),""))</f>
        <v/>
      </c>
      <c r="Q368" t="str">
        <f>IF(M368="","",IFERROR(AVERAGEIFS(nNOTA,nNIA,M368,nEVAL,CONFIG_METADATA!$B$4,nASIG,"&lt;&gt;Lenguaje Musical",nASIG,"&lt;&gt;Coro",nASIG,"&lt;&gt;Conjunto"),""))</f>
        <v/>
      </c>
      <c r="T368" t="str">
        <f>IF(S368="","",IFERROR(AVERAGEIFS(nNOTA,nNIA,S368,nEVAL,CONFIG_METADATA!$B$4,nASIG,"Lenguaje Musical"),""))</f>
        <v/>
      </c>
      <c r="U368" t="str">
        <f>IF(S368="","",IFERROR(AVERAGEIFS(nNOTA,nNIA,S368,nEVAL,CONFIG_METADATA!$B$4,nASIG,"Coro"),""))</f>
        <v/>
      </c>
      <c r="V368" t="str">
        <f>IF(S368="","",IFERROR(AVERAGEIFS(nNOTA,nNIA,S368,nEVAL,CONFIG_METADATA!$B$4,nASIG,"Conjunto"),""))</f>
        <v/>
      </c>
      <c r="W368" t="str" cm="1">
        <f t="array" ref="W368">IF(S368="","",IFERROR(AVERAGE(IF((nNIA=S368)*(nEVAL=CONFIG_METADATA!$B$4)*(nASIG&lt;&gt;"Lenguaje Musical")*(nASIG&lt;&gt;"Coro")*(nASIG&lt;&gt;"Conjunto"),nNOTA)),""))</f>
        <v/>
      </c>
    </row>
    <row r="369" spans="2:23" x14ac:dyDescent="0.2">
      <c r="B369" t="str">
        <f>IF(A369="","",IFERROR(AVERAGEIFS(nNOTA,nNIA,A369,nEVAL,CONFIG_METADATA!$B$4,nASIG,"Lenguaje Musical"),""))</f>
        <v/>
      </c>
      <c r="C369" t="str">
        <f>IF(A369="","",IFERROR(AVERAGEIFS(nNOTA,nNIA,A369,nEVAL,CONFIG_METADATA!$B$4,nASIG,"Coro"),""))</f>
        <v/>
      </c>
      <c r="D369" t="str">
        <f>IF(A369="","",IFERROR(AVERAGEIFS(nNOTA,nNIA,A369,nEVAL,CONFIG_METADATA!$B$4,nASIG,"Conjunto"),""))</f>
        <v/>
      </c>
      <c r="E369" t="str">
        <f>IF(A369="","",IFERROR(AVERAGEIFS(nNOTA,nNIA,A369,nEVAL,CONFIG_METADATA!$B$4,nASIG,"&lt;&gt;Lenguaje Musical",nASIG,"&lt;&gt;Coro",nASIG,"&lt;&gt;Conjunto"),""))</f>
        <v/>
      </c>
      <c r="H369" t="str">
        <f>IF(G369="","",IFERROR(AVERAGEIFS(nNOTA,nNIA,G369,nEVAL,CONFIG_METADATA!$B$4,nASIG,"Lenguaje Musical"),""))</f>
        <v/>
      </c>
      <c r="I369" t="str">
        <f>IF(G369="","",IFERROR(AVERAGEIFS(nNOTA,nNIA,G369,nEVAL,CONFIG_METADATA!$B$4,nASIG,"Coro"),""))</f>
        <v/>
      </c>
      <c r="J369" t="str">
        <f>IF(G369="","",IFERROR(AVERAGEIFS(nNOTA,nNIA,G369,nEVAL,CONFIG_METADATA!$B$4,nASIG,"Conjunto"),""))</f>
        <v/>
      </c>
      <c r="K369" t="str" cm="1">
        <f t="array" ref="K369">IF(G369="","",IFERROR(AVERAGE(IF((nNIA=G369)*(nEVAL=CONFIG_METADATA!$B$4)*(nASIG&lt;&gt;"Lenguaje Musical")*(nASIG&lt;&gt;"Coro")*(nASIG&lt;&gt;"Conjunto"),nNOTA)),""))</f>
        <v/>
      </c>
      <c r="N369" t="str">
        <f>IF(M369="","",IFERROR(AVERAGEIFS(nNOTA,nNIA,M369,nEVAL,CONFIG_METADATA!$B$4,nASIG,"Lenguaje Musical"),""))</f>
        <v/>
      </c>
      <c r="O369" t="str">
        <f>IF(M369="","",IFERROR(AVERAGEIFS(nNOTA,nNIA,M369,nEVAL,CONFIG_METADATA!$B$4,nASIG,"Coro"),""))</f>
        <v/>
      </c>
      <c r="P369" t="str">
        <f>IF(M369="","",IFERROR(AVERAGEIFS(nNOTA,nNIA,M369,nEVAL,CONFIG_METADATA!$B$4,nASIG,"Conjunto"),""))</f>
        <v/>
      </c>
      <c r="Q369" t="str">
        <f>IF(M369="","",IFERROR(AVERAGEIFS(nNOTA,nNIA,M369,nEVAL,CONFIG_METADATA!$B$4,nASIG,"&lt;&gt;Lenguaje Musical",nASIG,"&lt;&gt;Coro",nASIG,"&lt;&gt;Conjunto"),""))</f>
        <v/>
      </c>
      <c r="T369" t="str">
        <f>IF(S369="","",IFERROR(AVERAGEIFS(nNOTA,nNIA,S369,nEVAL,CONFIG_METADATA!$B$4,nASIG,"Lenguaje Musical"),""))</f>
        <v/>
      </c>
      <c r="U369" t="str">
        <f>IF(S369="","",IFERROR(AVERAGEIFS(nNOTA,nNIA,S369,nEVAL,CONFIG_METADATA!$B$4,nASIG,"Coro"),""))</f>
        <v/>
      </c>
      <c r="V369" t="str">
        <f>IF(S369="","",IFERROR(AVERAGEIFS(nNOTA,nNIA,S369,nEVAL,CONFIG_METADATA!$B$4,nASIG,"Conjunto"),""))</f>
        <v/>
      </c>
      <c r="W369" t="str" cm="1">
        <f t="array" ref="W369">IF(S369="","",IFERROR(AVERAGE(IF((nNIA=S369)*(nEVAL=CONFIG_METADATA!$B$4)*(nASIG&lt;&gt;"Lenguaje Musical")*(nASIG&lt;&gt;"Coro")*(nASIG&lt;&gt;"Conjunto"),nNOTA)),""))</f>
        <v/>
      </c>
    </row>
    <row r="370" spans="2:23" x14ac:dyDescent="0.2">
      <c r="B370" t="str">
        <f>IF(A370="","",IFERROR(AVERAGEIFS(nNOTA,nNIA,A370,nEVAL,CONFIG_METADATA!$B$4,nASIG,"Lenguaje Musical"),""))</f>
        <v/>
      </c>
      <c r="C370" t="str">
        <f>IF(A370="","",IFERROR(AVERAGEIFS(nNOTA,nNIA,A370,nEVAL,CONFIG_METADATA!$B$4,nASIG,"Coro"),""))</f>
        <v/>
      </c>
      <c r="D370" t="str">
        <f>IF(A370="","",IFERROR(AVERAGEIFS(nNOTA,nNIA,A370,nEVAL,CONFIG_METADATA!$B$4,nASIG,"Conjunto"),""))</f>
        <v/>
      </c>
      <c r="E370" t="str">
        <f>IF(A370="","",IFERROR(AVERAGEIFS(nNOTA,nNIA,A370,nEVAL,CONFIG_METADATA!$B$4,nASIG,"&lt;&gt;Lenguaje Musical",nASIG,"&lt;&gt;Coro",nASIG,"&lt;&gt;Conjunto"),""))</f>
        <v/>
      </c>
      <c r="H370" t="str">
        <f>IF(G370="","",IFERROR(AVERAGEIFS(nNOTA,nNIA,G370,nEVAL,CONFIG_METADATA!$B$4,nASIG,"Lenguaje Musical"),""))</f>
        <v/>
      </c>
      <c r="I370" t="str">
        <f>IF(G370="","",IFERROR(AVERAGEIFS(nNOTA,nNIA,G370,nEVAL,CONFIG_METADATA!$B$4,nASIG,"Coro"),""))</f>
        <v/>
      </c>
      <c r="J370" t="str">
        <f>IF(G370="","",IFERROR(AVERAGEIFS(nNOTA,nNIA,G370,nEVAL,CONFIG_METADATA!$B$4,nASIG,"Conjunto"),""))</f>
        <v/>
      </c>
      <c r="K370" t="str" cm="1">
        <f t="array" ref="K370">IF(G370="","",IFERROR(AVERAGE(IF((nNIA=G370)*(nEVAL=CONFIG_METADATA!$B$4)*(nASIG&lt;&gt;"Lenguaje Musical")*(nASIG&lt;&gt;"Coro")*(nASIG&lt;&gt;"Conjunto"),nNOTA)),""))</f>
        <v/>
      </c>
      <c r="N370" t="str">
        <f>IF(M370="","",IFERROR(AVERAGEIFS(nNOTA,nNIA,M370,nEVAL,CONFIG_METADATA!$B$4,nASIG,"Lenguaje Musical"),""))</f>
        <v/>
      </c>
      <c r="O370" t="str">
        <f>IF(M370="","",IFERROR(AVERAGEIFS(nNOTA,nNIA,M370,nEVAL,CONFIG_METADATA!$B$4,nASIG,"Coro"),""))</f>
        <v/>
      </c>
      <c r="P370" t="str">
        <f>IF(M370="","",IFERROR(AVERAGEIFS(nNOTA,nNIA,M370,nEVAL,CONFIG_METADATA!$B$4,nASIG,"Conjunto"),""))</f>
        <v/>
      </c>
      <c r="Q370" t="str">
        <f>IF(M370="","",IFERROR(AVERAGEIFS(nNOTA,nNIA,M370,nEVAL,CONFIG_METADATA!$B$4,nASIG,"&lt;&gt;Lenguaje Musical",nASIG,"&lt;&gt;Coro",nASIG,"&lt;&gt;Conjunto"),""))</f>
        <v/>
      </c>
      <c r="T370" t="str">
        <f>IF(S370="","",IFERROR(AVERAGEIFS(nNOTA,nNIA,S370,nEVAL,CONFIG_METADATA!$B$4,nASIG,"Lenguaje Musical"),""))</f>
        <v/>
      </c>
      <c r="U370" t="str">
        <f>IF(S370="","",IFERROR(AVERAGEIFS(nNOTA,nNIA,S370,nEVAL,CONFIG_METADATA!$B$4,nASIG,"Coro"),""))</f>
        <v/>
      </c>
      <c r="V370" t="str">
        <f>IF(S370="","",IFERROR(AVERAGEIFS(nNOTA,nNIA,S370,nEVAL,CONFIG_METADATA!$B$4,nASIG,"Conjunto"),""))</f>
        <v/>
      </c>
      <c r="W370" t="str" cm="1">
        <f t="array" ref="W370">IF(S370="","",IFERROR(AVERAGE(IF((nNIA=S370)*(nEVAL=CONFIG_METADATA!$B$4)*(nASIG&lt;&gt;"Lenguaje Musical")*(nASIG&lt;&gt;"Coro")*(nASIG&lt;&gt;"Conjunto"),nNOTA)),""))</f>
        <v/>
      </c>
    </row>
    <row r="371" spans="2:23" x14ac:dyDescent="0.2">
      <c r="B371" t="str">
        <f>IF(A371="","",IFERROR(AVERAGEIFS(nNOTA,nNIA,A371,nEVAL,CONFIG_METADATA!$B$4,nASIG,"Lenguaje Musical"),""))</f>
        <v/>
      </c>
      <c r="C371" t="str">
        <f>IF(A371="","",IFERROR(AVERAGEIFS(nNOTA,nNIA,A371,nEVAL,CONFIG_METADATA!$B$4,nASIG,"Coro"),""))</f>
        <v/>
      </c>
      <c r="D371" t="str">
        <f>IF(A371="","",IFERROR(AVERAGEIFS(nNOTA,nNIA,A371,nEVAL,CONFIG_METADATA!$B$4,nASIG,"Conjunto"),""))</f>
        <v/>
      </c>
      <c r="E371" t="str">
        <f>IF(A371="","",IFERROR(AVERAGEIFS(nNOTA,nNIA,A371,nEVAL,CONFIG_METADATA!$B$4,nASIG,"&lt;&gt;Lenguaje Musical",nASIG,"&lt;&gt;Coro",nASIG,"&lt;&gt;Conjunto"),""))</f>
        <v/>
      </c>
      <c r="H371" t="str">
        <f>IF(G371="","",IFERROR(AVERAGEIFS(nNOTA,nNIA,G371,nEVAL,CONFIG_METADATA!$B$4,nASIG,"Lenguaje Musical"),""))</f>
        <v/>
      </c>
      <c r="I371" t="str">
        <f>IF(G371="","",IFERROR(AVERAGEIFS(nNOTA,nNIA,G371,nEVAL,CONFIG_METADATA!$B$4,nASIG,"Coro"),""))</f>
        <v/>
      </c>
      <c r="J371" t="str">
        <f>IF(G371="","",IFERROR(AVERAGEIFS(nNOTA,nNIA,G371,nEVAL,CONFIG_METADATA!$B$4,nASIG,"Conjunto"),""))</f>
        <v/>
      </c>
      <c r="K371" t="str" cm="1">
        <f t="array" ref="K371">IF(G371="","",IFERROR(AVERAGE(IF((nNIA=G371)*(nEVAL=CONFIG_METADATA!$B$4)*(nASIG&lt;&gt;"Lenguaje Musical")*(nASIG&lt;&gt;"Coro")*(nASIG&lt;&gt;"Conjunto"),nNOTA)),""))</f>
        <v/>
      </c>
      <c r="N371" t="str">
        <f>IF(M371="","",IFERROR(AVERAGEIFS(nNOTA,nNIA,M371,nEVAL,CONFIG_METADATA!$B$4,nASIG,"Lenguaje Musical"),""))</f>
        <v/>
      </c>
      <c r="O371" t="str">
        <f>IF(M371="","",IFERROR(AVERAGEIFS(nNOTA,nNIA,M371,nEVAL,CONFIG_METADATA!$B$4,nASIG,"Coro"),""))</f>
        <v/>
      </c>
      <c r="P371" t="str">
        <f>IF(M371="","",IFERROR(AVERAGEIFS(nNOTA,nNIA,M371,nEVAL,CONFIG_METADATA!$B$4,nASIG,"Conjunto"),""))</f>
        <v/>
      </c>
      <c r="Q371" t="str">
        <f>IF(M371="","",IFERROR(AVERAGEIFS(nNOTA,nNIA,M371,nEVAL,CONFIG_METADATA!$B$4,nASIG,"&lt;&gt;Lenguaje Musical",nASIG,"&lt;&gt;Coro",nASIG,"&lt;&gt;Conjunto"),""))</f>
        <v/>
      </c>
      <c r="T371" t="str">
        <f>IF(S371="","",IFERROR(AVERAGEIFS(nNOTA,nNIA,S371,nEVAL,CONFIG_METADATA!$B$4,nASIG,"Lenguaje Musical"),""))</f>
        <v/>
      </c>
      <c r="U371" t="str">
        <f>IF(S371="","",IFERROR(AVERAGEIFS(nNOTA,nNIA,S371,nEVAL,CONFIG_METADATA!$B$4,nASIG,"Coro"),""))</f>
        <v/>
      </c>
      <c r="V371" t="str">
        <f>IF(S371="","",IFERROR(AVERAGEIFS(nNOTA,nNIA,S371,nEVAL,CONFIG_METADATA!$B$4,nASIG,"Conjunto"),""))</f>
        <v/>
      </c>
      <c r="W371" t="str" cm="1">
        <f t="array" ref="W371">IF(S371="","",IFERROR(AVERAGE(IF((nNIA=S371)*(nEVAL=CONFIG_METADATA!$B$4)*(nASIG&lt;&gt;"Lenguaje Musical")*(nASIG&lt;&gt;"Coro")*(nASIG&lt;&gt;"Conjunto"),nNOTA)),""))</f>
        <v/>
      </c>
    </row>
    <row r="372" spans="2:23" x14ac:dyDescent="0.2">
      <c r="B372" t="str">
        <f>IF(A372="","",IFERROR(AVERAGEIFS(nNOTA,nNIA,A372,nEVAL,CONFIG_METADATA!$B$4,nASIG,"Lenguaje Musical"),""))</f>
        <v/>
      </c>
      <c r="C372" t="str">
        <f>IF(A372="","",IFERROR(AVERAGEIFS(nNOTA,nNIA,A372,nEVAL,CONFIG_METADATA!$B$4,nASIG,"Coro"),""))</f>
        <v/>
      </c>
      <c r="D372" t="str">
        <f>IF(A372="","",IFERROR(AVERAGEIFS(nNOTA,nNIA,A372,nEVAL,CONFIG_METADATA!$B$4,nASIG,"Conjunto"),""))</f>
        <v/>
      </c>
      <c r="E372" t="str">
        <f>IF(A372="","",IFERROR(AVERAGEIFS(nNOTA,nNIA,A372,nEVAL,CONFIG_METADATA!$B$4,nASIG,"&lt;&gt;Lenguaje Musical",nASIG,"&lt;&gt;Coro",nASIG,"&lt;&gt;Conjunto"),""))</f>
        <v/>
      </c>
      <c r="H372" t="str">
        <f>IF(G372="","",IFERROR(AVERAGEIFS(nNOTA,nNIA,G372,nEVAL,CONFIG_METADATA!$B$4,nASIG,"Lenguaje Musical"),""))</f>
        <v/>
      </c>
      <c r="I372" t="str">
        <f>IF(G372="","",IFERROR(AVERAGEIFS(nNOTA,nNIA,G372,nEVAL,CONFIG_METADATA!$B$4,nASIG,"Coro"),""))</f>
        <v/>
      </c>
      <c r="J372" t="str">
        <f>IF(G372="","",IFERROR(AVERAGEIFS(nNOTA,nNIA,G372,nEVAL,CONFIG_METADATA!$B$4,nASIG,"Conjunto"),""))</f>
        <v/>
      </c>
      <c r="K372" t="str" cm="1">
        <f t="array" ref="K372">IF(G372="","",IFERROR(AVERAGE(IF((nNIA=G372)*(nEVAL=CONFIG_METADATA!$B$4)*(nASIG&lt;&gt;"Lenguaje Musical")*(nASIG&lt;&gt;"Coro")*(nASIG&lt;&gt;"Conjunto"),nNOTA)),""))</f>
        <v/>
      </c>
      <c r="N372" t="str">
        <f>IF(M372="","",IFERROR(AVERAGEIFS(nNOTA,nNIA,M372,nEVAL,CONFIG_METADATA!$B$4,nASIG,"Lenguaje Musical"),""))</f>
        <v/>
      </c>
      <c r="O372" t="str">
        <f>IF(M372="","",IFERROR(AVERAGEIFS(nNOTA,nNIA,M372,nEVAL,CONFIG_METADATA!$B$4,nASIG,"Coro"),""))</f>
        <v/>
      </c>
      <c r="P372" t="str">
        <f>IF(M372="","",IFERROR(AVERAGEIFS(nNOTA,nNIA,M372,nEVAL,CONFIG_METADATA!$B$4,nASIG,"Conjunto"),""))</f>
        <v/>
      </c>
      <c r="Q372" t="str">
        <f>IF(M372="","",IFERROR(AVERAGEIFS(nNOTA,nNIA,M372,nEVAL,CONFIG_METADATA!$B$4,nASIG,"&lt;&gt;Lenguaje Musical",nASIG,"&lt;&gt;Coro",nASIG,"&lt;&gt;Conjunto"),""))</f>
        <v/>
      </c>
      <c r="T372" t="str">
        <f>IF(S372="","",IFERROR(AVERAGEIFS(nNOTA,nNIA,S372,nEVAL,CONFIG_METADATA!$B$4,nASIG,"Lenguaje Musical"),""))</f>
        <v/>
      </c>
      <c r="U372" t="str">
        <f>IF(S372="","",IFERROR(AVERAGEIFS(nNOTA,nNIA,S372,nEVAL,CONFIG_METADATA!$B$4,nASIG,"Coro"),""))</f>
        <v/>
      </c>
      <c r="V372" t="str">
        <f>IF(S372="","",IFERROR(AVERAGEIFS(nNOTA,nNIA,S372,nEVAL,CONFIG_METADATA!$B$4,nASIG,"Conjunto"),""))</f>
        <v/>
      </c>
      <c r="W372" t="str" cm="1">
        <f t="array" ref="W372">IF(S372="","",IFERROR(AVERAGE(IF((nNIA=S372)*(nEVAL=CONFIG_METADATA!$B$4)*(nASIG&lt;&gt;"Lenguaje Musical")*(nASIG&lt;&gt;"Coro")*(nASIG&lt;&gt;"Conjunto"),nNOTA)),""))</f>
        <v/>
      </c>
    </row>
    <row r="373" spans="2:23" x14ac:dyDescent="0.2">
      <c r="B373" t="str">
        <f>IF(A373="","",IFERROR(AVERAGEIFS(nNOTA,nNIA,A373,nEVAL,CONFIG_METADATA!$B$4,nASIG,"Lenguaje Musical"),""))</f>
        <v/>
      </c>
      <c r="C373" t="str">
        <f>IF(A373="","",IFERROR(AVERAGEIFS(nNOTA,nNIA,A373,nEVAL,CONFIG_METADATA!$B$4,nASIG,"Coro"),""))</f>
        <v/>
      </c>
      <c r="D373" t="str">
        <f>IF(A373="","",IFERROR(AVERAGEIFS(nNOTA,nNIA,A373,nEVAL,CONFIG_METADATA!$B$4,nASIG,"Conjunto"),""))</f>
        <v/>
      </c>
      <c r="E373" t="str">
        <f>IF(A373="","",IFERROR(AVERAGEIFS(nNOTA,nNIA,A373,nEVAL,CONFIG_METADATA!$B$4,nASIG,"&lt;&gt;Lenguaje Musical",nASIG,"&lt;&gt;Coro",nASIG,"&lt;&gt;Conjunto"),""))</f>
        <v/>
      </c>
      <c r="H373" t="str">
        <f>IF(G373="","",IFERROR(AVERAGEIFS(nNOTA,nNIA,G373,nEVAL,CONFIG_METADATA!$B$4,nASIG,"Lenguaje Musical"),""))</f>
        <v/>
      </c>
      <c r="I373" t="str">
        <f>IF(G373="","",IFERROR(AVERAGEIFS(nNOTA,nNIA,G373,nEVAL,CONFIG_METADATA!$B$4,nASIG,"Coro"),""))</f>
        <v/>
      </c>
      <c r="J373" t="str">
        <f>IF(G373="","",IFERROR(AVERAGEIFS(nNOTA,nNIA,G373,nEVAL,CONFIG_METADATA!$B$4,nASIG,"Conjunto"),""))</f>
        <v/>
      </c>
      <c r="K373" t="str" cm="1">
        <f t="array" ref="K373">IF(G373="","",IFERROR(AVERAGE(IF((nNIA=G373)*(nEVAL=CONFIG_METADATA!$B$4)*(nASIG&lt;&gt;"Lenguaje Musical")*(nASIG&lt;&gt;"Coro")*(nASIG&lt;&gt;"Conjunto"),nNOTA)),""))</f>
        <v/>
      </c>
      <c r="N373" t="str">
        <f>IF(M373="","",IFERROR(AVERAGEIFS(nNOTA,nNIA,M373,nEVAL,CONFIG_METADATA!$B$4,nASIG,"Lenguaje Musical"),""))</f>
        <v/>
      </c>
      <c r="O373" t="str">
        <f>IF(M373="","",IFERROR(AVERAGEIFS(nNOTA,nNIA,M373,nEVAL,CONFIG_METADATA!$B$4,nASIG,"Coro"),""))</f>
        <v/>
      </c>
      <c r="P373" t="str">
        <f>IF(M373="","",IFERROR(AVERAGEIFS(nNOTA,nNIA,M373,nEVAL,CONFIG_METADATA!$B$4,nASIG,"Conjunto"),""))</f>
        <v/>
      </c>
      <c r="Q373" t="str">
        <f>IF(M373="","",IFERROR(AVERAGEIFS(nNOTA,nNIA,M373,nEVAL,CONFIG_METADATA!$B$4,nASIG,"&lt;&gt;Lenguaje Musical",nASIG,"&lt;&gt;Coro",nASIG,"&lt;&gt;Conjunto"),""))</f>
        <v/>
      </c>
      <c r="T373" t="str">
        <f>IF(S373="","",IFERROR(AVERAGEIFS(nNOTA,nNIA,S373,nEVAL,CONFIG_METADATA!$B$4,nASIG,"Lenguaje Musical"),""))</f>
        <v/>
      </c>
      <c r="U373" t="str">
        <f>IF(S373="","",IFERROR(AVERAGEIFS(nNOTA,nNIA,S373,nEVAL,CONFIG_METADATA!$B$4,nASIG,"Coro"),""))</f>
        <v/>
      </c>
      <c r="V373" t="str">
        <f>IF(S373="","",IFERROR(AVERAGEIFS(nNOTA,nNIA,S373,nEVAL,CONFIG_METADATA!$B$4,nASIG,"Conjunto"),""))</f>
        <v/>
      </c>
      <c r="W373" t="str" cm="1">
        <f t="array" ref="W373">IF(S373="","",IFERROR(AVERAGE(IF((nNIA=S373)*(nEVAL=CONFIG_METADATA!$B$4)*(nASIG&lt;&gt;"Lenguaje Musical")*(nASIG&lt;&gt;"Coro")*(nASIG&lt;&gt;"Conjunto"),nNOTA)),""))</f>
        <v/>
      </c>
    </row>
    <row r="374" spans="2:23" x14ac:dyDescent="0.2">
      <c r="B374" t="str">
        <f>IF(A374="","",IFERROR(AVERAGEIFS(nNOTA,nNIA,A374,nEVAL,CONFIG_METADATA!$B$4,nASIG,"Lenguaje Musical"),""))</f>
        <v/>
      </c>
      <c r="C374" t="str">
        <f>IF(A374="","",IFERROR(AVERAGEIFS(nNOTA,nNIA,A374,nEVAL,CONFIG_METADATA!$B$4,nASIG,"Coro"),""))</f>
        <v/>
      </c>
      <c r="D374" t="str">
        <f>IF(A374="","",IFERROR(AVERAGEIFS(nNOTA,nNIA,A374,nEVAL,CONFIG_METADATA!$B$4,nASIG,"Conjunto"),""))</f>
        <v/>
      </c>
      <c r="E374" t="str">
        <f>IF(A374="","",IFERROR(AVERAGEIFS(nNOTA,nNIA,A374,nEVAL,CONFIG_METADATA!$B$4,nASIG,"&lt;&gt;Lenguaje Musical",nASIG,"&lt;&gt;Coro",nASIG,"&lt;&gt;Conjunto"),""))</f>
        <v/>
      </c>
      <c r="H374" t="str">
        <f>IF(G374="","",IFERROR(AVERAGEIFS(nNOTA,nNIA,G374,nEVAL,CONFIG_METADATA!$B$4,nASIG,"Lenguaje Musical"),""))</f>
        <v/>
      </c>
      <c r="I374" t="str">
        <f>IF(G374="","",IFERROR(AVERAGEIFS(nNOTA,nNIA,G374,nEVAL,CONFIG_METADATA!$B$4,nASIG,"Coro"),""))</f>
        <v/>
      </c>
      <c r="J374" t="str">
        <f>IF(G374="","",IFERROR(AVERAGEIFS(nNOTA,nNIA,G374,nEVAL,CONFIG_METADATA!$B$4,nASIG,"Conjunto"),""))</f>
        <v/>
      </c>
      <c r="K374" t="str" cm="1">
        <f t="array" ref="K374">IF(G374="","",IFERROR(AVERAGE(IF((nNIA=G374)*(nEVAL=CONFIG_METADATA!$B$4)*(nASIG&lt;&gt;"Lenguaje Musical")*(nASIG&lt;&gt;"Coro")*(nASIG&lt;&gt;"Conjunto"),nNOTA)),""))</f>
        <v/>
      </c>
      <c r="N374" t="str">
        <f>IF(M374="","",IFERROR(AVERAGEIFS(nNOTA,nNIA,M374,nEVAL,CONFIG_METADATA!$B$4,nASIG,"Lenguaje Musical"),""))</f>
        <v/>
      </c>
      <c r="O374" t="str">
        <f>IF(M374="","",IFERROR(AVERAGEIFS(nNOTA,nNIA,M374,nEVAL,CONFIG_METADATA!$B$4,nASIG,"Coro"),""))</f>
        <v/>
      </c>
      <c r="P374" t="str">
        <f>IF(M374="","",IFERROR(AVERAGEIFS(nNOTA,nNIA,M374,nEVAL,CONFIG_METADATA!$B$4,nASIG,"Conjunto"),""))</f>
        <v/>
      </c>
      <c r="Q374" t="str">
        <f>IF(M374="","",IFERROR(AVERAGEIFS(nNOTA,nNIA,M374,nEVAL,CONFIG_METADATA!$B$4,nASIG,"&lt;&gt;Lenguaje Musical",nASIG,"&lt;&gt;Coro",nASIG,"&lt;&gt;Conjunto"),""))</f>
        <v/>
      </c>
      <c r="T374" t="str">
        <f>IF(S374="","",IFERROR(AVERAGEIFS(nNOTA,nNIA,S374,nEVAL,CONFIG_METADATA!$B$4,nASIG,"Lenguaje Musical"),""))</f>
        <v/>
      </c>
      <c r="U374" t="str">
        <f>IF(S374="","",IFERROR(AVERAGEIFS(nNOTA,nNIA,S374,nEVAL,CONFIG_METADATA!$B$4,nASIG,"Coro"),""))</f>
        <v/>
      </c>
      <c r="V374" t="str">
        <f>IF(S374="","",IFERROR(AVERAGEIFS(nNOTA,nNIA,S374,nEVAL,CONFIG_METADATA!$B$4,nASIG,"Conjunto"),""))</f>
        <v/>
      </c>
      <c r="W374" t="str" cm="1">
        <f t="array" ref="W374">IF(S374="","",IFERROR(AVERAGE(IF((nNIA=S374)*(nEVAL=CONFIG_METADATA!$B$4)*(nASIG&lt;&gt;"Lenguaje Musical")*(nASIG&lt;&gt;"Coro")*(nASIG&lt;&gt;"Conjunto"),nNOTA)),""))</f>
        <v/>
      </c>
    </row>
    <row r="375" spans="2:23" x14ac:dyDescent="0.2">
      <c r="B375" t="str">
        <f>IF(A375="","",IFERROR(AVERAGEIFS(nNOTA,nNIA,A375,nEVAL,CONFIG_METADATA!$B$4,nASIG,"Lenguaje Musical"),""))</f>
        <v/>
      </c>
      <c r="C375" t="str">
        <f>IF(A375="","",IFERROR(AVERAGEIFS(nNOTA,nNIA,A375,nEVAL,CONFIG_METADATA!$B$4,nASIG,"Coro"),""))</f>
        <v/>
      </c>
      <c r="D375" t="str">
        <f>IF(A375="","",IFERROR(AVERAGEIFS(nNOTA,nNIA,A375,nEVAL,CONFIG_METADATA!$B$4,nASIG,"Conjunto"),""))</f>
        <v/>
      </c>
      <c r="E375" t="str">
        <f>IF(A375="","",IFERROR(AVERAGEIFS(nNOTA,nNIA,A375,nEVAL,CONFIG_METADATA!$B$4,nASIG,"&lt;&gt;Lenguaje Musical",nASIG,"&lt;&gt;Coro",nASIG,"&lt;&gt;Conjunto"),""))</f>
        <v/>
      </c>
      <c r="H375" t="str">
        <f>IF(G375="","",IFERROR(AVERAGEIFS(nNOTA,nNIA,G375,nEVAL,CONFIG_METADATA!$B$4,nASIG,"Lenguaje Musical"),""))</f>
        <v/>
      </c>
      <c r="I375" t="str">
        <f>IF(G375="","",IFERROR(AVERAGEIFS(nNOTA,nNIA,G375,nEVAL,CONFIG_METADATA!$B$4,nASIG,"Coro"),""))</f>
        <v/>
      </c>
      <c r="J375" t="str">
        <f>IF(G375="","",IFERROR(AVERAGEIFS(nNOTA,nNIA,G375,nEVAL,CONFIG_METADATA!$B$4,nASIG,"Conjunto"),""))</f>
        <v/>
      </c>
      <c r="K375" t="str" cm="1">
        <f t="array" ref="K375">IF(G375="","",IFERROR(AVERAGE(IF((nNIA=G375)*(nEVAL=CONFIG_METADATA!$B$4)*(nASIG&lt;&gt;"Lenguaje Musical")*(nASIG&lt;&gt;"Coro")*(nASIG&lt;&gt;"Conjunto"),nNOTA)),""))</f>
        <v/>
      </c>
      <c r="N375" t="str">
        <f>IF(M375="","",IFERROR(AVERAGEIFS(nNOTA,nNIA,M375,nEVAL,CONFIG_METADATA!$B$4,nASIG,"Lenguaje Musical"),""))</f>
        <v/>
      </c>
      <c r="O375" t="str">
        <f>IF(M375="","",IFERROR(AVERAGEIFS(nNOTA,nNIA,M375,nEVAL,CONFIG_METADATA!$B$4,nASIG,"Coro"),""))</f>
        <v/>
      </c>
      <c r="P375" t="str">
        <f>IF(M375="","",IFERROR(AVERAGEIFS(nNOTA,nNIA,M375,nEVAL,CONFIG_METADATA!$B$4,nASIG,"Conjunto"),""))</f>
        <v/>
      </c>
      <c r="Q375" t="str">
        <f>IF(M375="","",IFERROR(AVERAGEIFS(nNOTA,nNIA,M375,nEVAL,CONFIG_METADATA!$B$4,nASIG,"&lt;&gt;Lenguaje Musical",nASIG,"&lt;&gt;Coro",nASIG,"&lt;&gt;Conjunto"),""))</f>
        <v/>
      </c>
      <c r="T375" t="str">
        <f>IF(S375="","",IFERROR(AVERAGEIFS(nNOTA,nNIA,S375,nEVAL,CONFIG_METADATA!$B$4,nASIG,"Lenguaje Musical"),""))</f>
        <v/>
      </c>
      <c r="U375" t="str">
        <f>IF(S375="","",IFERROR(AVERAGEIFS(nNOTA,nNIA,S375,nEVAL,CONFIG_METADATA!$B$4,nASIG,"Coro"),""))</f>
        <v/>
      </c>
      <c r="V375" t="str">
        <f>IF(S375="","",IFERROR(AVERAGEIFS(nNOTA,nNIA,S375,nEVAL,CONFIG_METADATA!$B$4,nASIG,"Conjunto"),""))</f>
        <v/>
      </c>
      <c r="W375" t="str" cm="1">
        <f t="array" ref="W375">IF(S375="","",IFERROR(AVERAGE(IF((nNIA=S375)*(nEVAL=CONFIG_METADATA!$B$4)*(nASIG&lt;&gt;"Lenguaje Musical")*(nASIG&lt;&gt;"Coro")*(nASIG&lt;&gt;"Conjunto"),nNOTA)),""))</f>
        <v/>
      </c>
    </row>
    <row r="376" spans="2:23" x14ac:dyDescent="0.2">
      <c r="B376" t="str">
        <f>IF(A376="","",IFERROR(AVERAGEIFS(nNOTA,nNIA,A376,nEVAL,CONFIG_METADATA!$B$4,nASIG,"Lenguaje Musical"),""))</f>
        <v/>
      </c>
      <c r="C376" t="str">
        <f>IF(A376="","",IFERROR(AVERAGEIFS(nNOTA,nNIA,A376,nEVAL,CONFIG_METADATA!$B$4,nASIG,"Coro"),""))</f>
        <v/>
      </c>
      <c r="D376" t="str">
        <f>IF(A376="","",IFERROR(AVERAGEIFS(nNOTA,nNIA,A376,nEVAL,CONFIG_METADATA!$B$4,nASIG,"Conjunto"),""))</f>
        <v/>
      </c>
      <c r="E376" t="str">
        <f>IF(A376="","",IFERROR(AVERAGEIFS(nNOTA,nNIA,A376,nEVAL,CONFIG_METADATA!$B$4,nASIG,"&lt;&gt;Lenguaje Musical",nASIG,"&lt;&gt;Coro",nASIG,"&lt;&gt;Conjunto"),""))</f>
        <v/>
      </c>
      <c r="H376" t="str">
        <f>IF(G376="","",IFERROR(AVERAGEIFS(nNOTA,nNIA,G376,nEVAL,CONFIG_METADATA!$B$4,nASIG,"Lenguaje Musical"),""))</f>
        <v/>
      </c>
      <c r="I376" t="str">
        <f>IF(G376="","",IFERROR(AVERAGEIFS(nNOTA,nNIA,G376,nEVAL,CONFIG_METADATA!$B$4,nASIG,"Coro"),""))</f>
        <v/>
      </c>
      <c r="J376" t="str">
        <f>IF(G376="","",IFERROR(AVERAGEIFS(nNOTA,nNIA,G376,nEVAL,CONFIG_METADATA!$B$4,nASIG,"Conjunto"),""))</f>
        <v/>
      </c>
      <c r="K376" t="str" cm="1">
        <f t="array" ref="K376">IF(G376="","",IFERROR(AVERAGE(IF((nNIA=G376)*(nEVAL=CONFIG_METADATA!$B$4)*(nASIG&lt;&gt;"Lenguaje Musical")*(nASIG&lt;&gt;"Coro")*(nASIG&lt;&gt;"Conjunto"),nNOTA)),""))</f>
        <v/>
      </c>
      <c r="N376" t="str">
        <f>IF(M376="","",IFERROR(AVERAGEIFS(nNOTA,nNIA,M376,nEVAL,CONFIG_METADATA!$B$4,nASIG,"Lenguaje Musical"),""))</f>
        <v/>
      </c>
      <c r="O376" t="str">
        <f>IF(M376="","",IFERROR(AVERAGEIFS(nNOTA,nNIA,M376,nEVAL,CONFIG_METADATA!$B$4,nASIG,"Coro"),""))</f>
        <v/>
      </c>
      <c r="P376" t="str">
        <f>IF(M376="","",IFERROR(AVERAGEIFS(nNOTA,nNIA,M376,nEVAL,CONFIG_METADATA!$B$4,nASIG,"Conjunto"),""))</f>
        <v/>
      </c>
      <c r="Q376" t="str">
        <f>IF(M376="","",IFERROR(AVERAGEIFS(nNOTA,nNIA,M376,nEVAL,CONFIG_METADATA!$B$4,nASIG,"&lt;&gt;Lenguaje Musical",nASIG,"&lt;&gt;Coro",nASIG,"&lt;&gt;Conjunto"),""))</f>
        <v/>
      </c>
      <c r="T376" t="str">
        <f>IF(S376="","",IFERROR(AVERAGEIFS(nNOTA,nNIA,S376,nEVAL,CONFIG_METADATA!$B$4,nASIG,"Lenguaje Musical"),""))</f>
        <v/>
      </c>
      <c r="U376" t="str">
        <f>IF(S376="","",IFERROR(AVERAGEIFS(nNOTA,nNIA,S376,nEVAL,CONFIG_METADATA!$B$4,nASIG,"Coro"),""))</f>
        <v/>
      </c>
      <c r="V376" t="str">
        <f>IF(S376="","",IFERROR(AVERAGEIFS(nNOTA,nNIA,S376,nEVAL,CONFIG_METADATA!$B$4,nASIG,"Conjunto"),""))</f>
        <v/>
      </c>
      <c r="W376" t="str" cm="1">
        <f t="array" ref="W376">IF(S376="","",IFERROR(AVERAGE(IF((nNIA=S376)*(nEVAL=CONFIG_METADATA!$B$4)*(nASIG&lt;&gt;"Lenguaje Musical")*(nASIG&lt;&gt;"Coro")*(nASIG&lt;&gt;"Conjunto"),nNOTA)),""))</f>
        <v/>
      </c>
    </row>
    <row r="377" spans="2:23" x14ac:dyDescent="0.2">
      <c r="B377" t="str">
        <f>IF(A377="","",IFERROR(AVERAGEIFS(nNOTA,nNIA,A377,nEVAL,CONFIG_METADATA!$B$4,nASIG,"Lenguaje Musical"),""))</f>
        <v/>
      </c>
      <c r="C377" t="str">
        <f>IF(A377="","",IFERROR(AVERAGEIFS(nNOTA,nNIA,A377,nEVAL,CONFIG_METADATA!$B$4,nASIG,"Coro"),""))</f>
        <v/>
      </c>
      <c r="D377" t="str">
        <f>IF(A377="","",IFERROR(AVERAGEIFS(nNOTA,nNIA,A377,nEVAL,CONFIG_METADATA!$B$4,nASIG,"Conjunto"),""))</f>
        <v/>
      </c>
      <c r="E377" t="str">
        <f>IF(A377="","",IFERROR(AVERAGEIFS(nNOTA,nNIA,A377,nEVAL,CONFIG_METADATA!$B$4,nASIG,"&lt;&gt;Lenguaje Musical",nASIG,"&lt;&gt;Coro",nASIG,"&lt;&gt;Conjunto"),""))</f>
        <v/>
      </c>
      <c r="H377" t="str">
        <f>IF(G377="","",IFERROR(AVERAGEIFS(nNOTA,nNIA,G377,nEVAL,CONFIG_METADATA!$B$4,nASIG,"Lenguaje Musical"),""))</f>
        <v/>
      </c>
      <c r="I377" t="str">
        <f>IF(G377="","",IFERROR(AVERAGEIFS(nNOTA,nNIA,G377,nEVAL,CONFIG_METADATA!$B$4,nASIG,"Coro"),""))</f>
        <v/>
      </c>
      <c r="J377" t="str">
        <f>IF(G377="","",IFERROR(AVERAGEIFS(nNOTA,nNIA,G377,nEVAL,CONFIG_METADATA!$B$4,nASIG,"Conjunto"),""))</f>
        <v/>
      </c>
      <c r="K377" t="str" cm="1">
        <f t="array" ref="K377">IF(G377="","",IFERROR(AVERAGE(IF((nNIA=G377)*(nEVAL=CONFIG_METADATA!$B$4)*(nASIG&lt;&gt;"Lenguaje Musical")*(nASIG&lt;&gt;"Coro")*(nASIG&lt;&gt;"Conjunto"),nNOTA)),""))</f>
        <v/>
      </c>
      <c r="N377" t="str">
        <f>IF(M377="","",IFERROR(AVERAGEIFS(nNOTA,nNIA,M377,nEVAL,CONFIG_METADATA!$B$4,nASIG,"Lenguaje Musical"),""))</f>
        <v/>
      </c>
      <c r="O377" t="str">
        <f>IF(M377="","",IFERROR(AVERAGEIFS(nNOTA,nNIA,M377,nEVAL,CONFIG_METADATA!$B$4,nASIG,"Coro"),""))</f>
        <v/>
      </c>
      <c r="P377" t="str">
        <f>IF(M377="","",IFERROR(AVERAGEIFS(nNOTA,nNIA,M377,nEVAL,CONFIG_METADATA!$B$4,nASIG,"Conjunto"),""))</f>
        <v/>
      </c>
      <c r="Q377" t="str">
        <f>IF(M377="","",IFERROR(AVERAGEIFS(nNOTA,nNIA,M377,nEVAL,CONFIG_METADATA!$B$4,nASIG,"&lt;&gt;Lenguaje Musical",nASIG,"&lt;&gt;Coro",nASIG,"&lt;&gt;Conjunto"),""))</f>
        <v/>
      </c>
      <c r="T377" t="str">
        <f>IF(S377="","",IFERROR(AVERAGEIFS(nNOTA,nNIA,S377,nEVAL,CONFIG_METADATA!$B$4,nASIG,"Lenguaje Musical"),""))</f>
        <v/>
      </c>
      <c r="U377" t="str">
        <f>IF(S377="","",IFERROR(AVERAGEIFS(nNOTA,nNIA,S377,nEVAL,CONFIG_METADATA!$B$4,nASIG,"Coro"),""))</f>
        <v/>
      </c>
      <c r="V377" t="str">
        <f>IF(S377="","",IFERROR(AVERAGEIFS(nNOTA,nNIA,S377,nEVAL,CONFIG_METADATA!$B$4,nASIG,"Conjunto"),""))</f>
        <v/>
      </c>
      <c r="W377" t="str" cm="1">
        <f t="array" ref="W377">IF(S377="","",IFERROR(AVERAGE(IF((nNIA=S377)*(nEVAL=CONFIG_METADATA!$B$4)*(nASIG&lt;&gt;"Lenguaje Musical")*(nASIG&lt;&gt;"Coro")*(nASIG&lt;&gt;"Conjunto"),nNOTA)),""))</f>
        <v/>
      </c>
    </row>
    <row r="378" spans="2:23" x14ac:dyDescent="0.2">
      <c r="B378" t="str">
        <f>IF(A378="","",IFERROR(AVERAGEIFS(nNOTA,nNIA,A378,nEVAL,CONFIG_METADATA!$B$4,nASIG,"Lenguaje Musical"),""))</f>
        <v/>
      </c>
      <c r="C378" t="str">
        <f>IF(A378="","",IFERROR(AVERAGEIFS(nNOTA,nNIA,A378,nEVAL,CONFIG_METADATA!$B$4,nASIG,"Coro"),""))</f>
        <v/>
      </c>
      <c r="D378" t="str">
        <f>IF(A378="","",IFERROR(AVERAGEIFS(nNOTA,nNIA,A378,nEVAL,CONFIG_METADATA!$B$4,nASIG,"Conjunto"),""))</f>
        <v/>
      </c>
      <c r="E378" t="str">
        <f>IF(A378="","",IFERROR(AVERAGEIFS(nNOTA,nNIA,A378,nEVAL,CONFIG_METADATA!$B$4,nASIG,"&lt;&gt;Lenguaje Musical",nASIG,"&lt;&gt;Coro",nASIG,"&lt;&gt;Conjunto"),""))</f>
        <v/>
      </c>
      <c r="H378" t="str">
        <f>IF(G378="","",IFERROR(AVERAGEIFS(nNOTA,nNIA,G378,nEVAL,CONFIG_METADATA!$B$4,nASIG,"Lenguaje Musical"),""))</f>
        <v/>
      </c>
      <c r="I378" t="str">
        <f>IF(G378="","",IFERROR(AVERAGEIFS(nNOTA,nNIA,G378,nEVAL,CONFIG_METADATA!$B$4,nASIG,"Coro"),""))</f>
        <v/>
      </c>
      <c r="J378" t="str">
        <f>IF(G378="","",IFERROR(AVERAGEIFS(nNOTA,nNIA,G378,nEVAL,CONFIG_METADATA!$B$4,nASIG,"Conjunto"),""))</f>
        <v/>
      </c>
      <c r="K378" t="str" cm="1">
        <f t="array" ref="K378">IF(G378="","",IFERROR(AVERAGE(IF((nNIA=G378)*(nEVAL=CONFIG_METADATA!$B$4)*(nASIG&lt;&gt;"Lenguaje Musical")*(nASIG&lt;&gt;"Coro")*(nASIG&lt;&gt;"Conjunto"),nNOTA)),""))</f>
        <v/>
      </c>
      <c r="N378" t="str">
        <f>IF(M378="","",IFERROR(AVERAGEIFS(nNOTA,nNIA,M378,nEVAL,CONFIG_METADATA!$B$4,nASIG,"Lenguaje Musical"),""))</f>
        <v/>
      </c>
      <c r="O378" t="str">
        <f>IF(M378="","",IFERROR(AVERAGEIFS(nNOTA,nNIA,M378,nEVAL,CONFIG_METADATA!$B$4,nASIG,"Coro"),""))</f>
        <v/>
      </c>
      <c r="P378" t="str">
        <f>IF(M378="","",IFERROR(AVERAGEIFS(nNOTA,nNIA,M378,nEVAL,CONFIG_METADATA!$B$4,nASIG,"Conjunto"),""))</f>
        <v/>
      </c>
      <c r="Q378" t="str">
        <f>IF(M378="","",IFERROR(AVERAGEIFS(nNOTA,nNIA,M378,nEVAL,CONFIG_METADATA!$B$4,nASIG,"&lt;&gt;Lenguaje Musical",nASIG,"&lt;&gt;Coro",nASIG,"&lt;&gt;Conjunto"),""))</f>
        <v/>
      </c>
      <c r="T378" t="str">
        <f>IF(S378="","",IFERROR(AVERAGEIFS(nNOTA,nNIA,S378,nEVAL,CONFIG_METADATA!$B$4,nASIG,"Lenguaje Musical"),""))</f>
        <v/>
      </c>
      <c r="U378" t="str">
        <f>IF(S378="","",IFERROR(AVERAGEIFS(nNOTA,nNIA,S378,nEVAL,CONFIG_METADATA!$B$4,nASIG,"Coro"),""))</f>
        <v/>
      </c>
      <c r="V378" t="str">
        <f>IF(S378="","",IFERROR(AVERAGEIFS(nNOTA,nNIA,S378,nEVAL,CONFIG_METADATA!$B$4,nASIG,"Conjunto"),""))</f>
        <v/>
      </c>
      <c r="W378" t="str" cm="1">
        <f t="array" ref="W378">IF(S378="","",IFERROR(AVERAGE(IF((nNIA=S378)*(nEVAL=CONFIG_METADATA!$B$4)*(nASIG&lt;&gt;"Lenguaje Musical")*(nASIG&lt;&gt;"Coro")*(nASIG&lt;&gt;"Conjunto"),nNOTA)),""))</f>
        <v/>
      </c>
    </row>
    <row r="379" spans="2:23" x14ac:dyDescent="0.2">
      <c r="B379" t="str">
        <f>IF(A379="","",IFERROR(AVERAGEIFS(nNOTA,nNIA,A379,nEVAL,CONFIG_METADATA!$B$4,nASIG,"Lenguaje Musical"),""))</f>
        <v/>
      </c>
      <c r="C379" t="str">
        <f>IF(A379="","",IFERROR(AVERAGEIFS(nNOTA,nNIA,A379,nEVAL,CONFIG_METADATA!$B$4,nASIG,"Coro"),""))</f>
        <v/>
      </c>
      <c r="D379" t="str">
        <f>IF(A379="","",IFERROR(AVERAGEIFS(nNOTA,nNIA,A379,nEVAL,CONFIG_METADATA!$B$4,nASIG,"Conjunto"),""))</f>
        <v/>
      </c>
      <c r="E379" t="str">
        <f>IF(A379="","",IFERROR(AVERAGEIFS(nNOTA,nNIA,A379,nEVAL,CONFIG_METADATA!$B$4,nASIG,"&lt;&gt;Lenguaje Musical",nASIG,"&lt;&gt;Coro",nASIG,"&lt;&gt;Conjunto"),""))</f>
        <v/>
      </c>
      <c r="H379" t="str">
        <f>IF(G379="","",IFERROR(AVERAGEIFS(nNOTA,nNIA,G379,nEVAL,CONFIG_METADATA!$B$4,nASIG,"Lenguaje Musical"),""))</f>
        <v/>
      </c>
      <c r="I379" t="str">
        <f>IF(G379="","",IFERROR(AVERAGEIFS(nNOTA,nNIA,G379,nEVAL,CONFIG_METADATA!$B$4,nASIG,"Coro"),""))</f>
        <v/>
      </c>
      <c r="J379" t="str">
        <f>IF(G379="","",IFERROR(AVERAGEIFS(nNOTA,nNIA,G379,nEVAL,CONFIG_METADATA!$B$4,nASIG,"Conjunto"),""))</f>
        <v/>
      </c>
      <c r="K379" t="str" cm="1">
        <f t="array" ref="K379">IF(G379="","",IFERROR(AVERAGE(IF((nNIA=G379)*(nEVAL=CONFIG_METADATA!$B$4)*(nASIG&lt;&gt;"Lenguaje Musical")*(nASIG&lt;&gt;"Coro")*(nASIG&lt;&gt;"Conjunto"),nNOTA)),""))</f>
        <v/>
      </c>
      <c r="N379" t="str">
        <f>IF(M379="","",IFERROR(AVERAGEIFS(nNOTA,nNIA,M379,nEVAL,CONFIG_METADATA!$B$4,nASIG,"Lenguaje Musical"),""))</f>
        <v/>
      </c>
      <c r="O379" t="str">
        <f>IF(M379="","",IFERROR(AVERAGEIFS(nNOTA,nNIA,M379,nEVAL,CONFIG_METADATA!$B$4,nASIG,"Coro"),""))</f>
        <v/>
      </c>
      <c r="P379" t="str">
        <f>IF(M379="","",IFERROR(AVERAGEIFS(nNOTA,nNIA,M379,nEVAL,CONFIG_METADATA!$B$4,nASIG,"Conjunto"),""))</f>
        <v/>
      </c>
      <c r="Q379" t="str">
        <f>IF(M379="","",IFERROR(AVERAGEIFS(nNOTA,nNIA,M379,nEVAL,CONFIG_METADATA!$B$4,nASIG,"&lt;&gt;Lenguaje Musical",nASIG,"&lt;&gt;Coro",nASIG,"&lt;&gt;Conjunto"),""))</f>
        <v/>
      </c>
      <c r="T379" t="str">
        <f>IF(S379="","",IFERROR(AVERAGEIFS(nNOTA,nNIA,S379,nEVAL,CONFIG_METADATA!$B$4,nASIG,"Lenguaje Musical"),""))</f>
        <v/>
      </c>
      <c r="U379" t="str">
        <f>IF(S379="","",IFERROR(AVERAGEIFS(nNOTA,nNIA,S379,nEVAL,CONFIG_METADATA!$B$4,nASIG,"Coro"),""))</f>
        <v/>
      </c>
      <c r="V379" t="str">
        <f>IF(S379="","",IFERROR(AVERAGEIFS(nNOTA,nNIA,S379,nEVAL,CONFIG_METADATA!$B$4,nASIG,"Conjunto"),""))</f>
        <v/>
      </c>
      <c r="W379" t="str" cm="1">
        <f t="array" ref="W379">IF(S379="","",IFERROR(AVERAGE(IF((nNIA=S379)*(nEVAL=CONFIG_METADATA!$B$4)*(nASIG&lt;&gt;"Lenguaje Musical")*(nASIG&lt;&gt;"Coro")*(nASIG&lt;&gt;"Conjunto"),nNOTA)),""))</f>
        <v/>
      </c>
    </row>
    <row r="380" spans="2:23" x14ac:dyDescent="0.2">
      <c r="B380" t="str">
        <f>IF(A380="","",IFERROR(AVERAGEIFS(nNOTA,nNIA,A380,nEVAL,CONFIG_METADATA!$B$4,nASIG,"Lenguaje Musical"),""))</f>
        <v/>
      </c>
      <c r="C380" t="str">
        <f>IF(A380="","",IFERROR(AVERAGEIFS(nNOTA,nNIA,A380,nEVAL,CONFIG_METADATA!$B$4,nASIG,"Coro"),""))</f>
        <v/>
      </c>
      <c r="D380" t="str">
        <f>IF(A380="","",IFERROR(AVERAGEIFS(nNOTA,nNIA,A380,nEVAL,CONFIG_METADATA!$B$4,nASIG,"Conjunto"),""))</f>
        <v/>
      </c>
      <c r="E380" t="str">
        <f>IF(A380="","",IFERROR(AVERAGEIFS(nNOTA,nNIA,A380,nEVAL,CONFIG_METADATA!$B$4,nASIG,"&lt;&gt;Lenguaje Musical",nASIG,"&lt;&gt;Coro",nASIG,"&lt;&gt;Conjunto"),""))</f>
        <v/>
      </c>
      <c r="H380" t="str">
        <f>IF(G380="","",IFERROR(AVERAGEIFS(nNOTA,nNIA,G380,nEVAL,CONFIG_METADATA!$B$4,nASIG,"Lenguaje Musical"),""))</f>
        <v/>
      </c>
      <c r="I380" t="str">
        <f>IF(G380="","",IFERROR(AVERAGEIFS(nNOTA,nNIA,G380,nEVAL,CONFIG_METADATA!$B$4,nASIG,"Coro"),""))</f>
        <v/>
      </c>
      <c r="J380" t="str">
        <f>IF(G380="","",IFERROR(AVERAGEIFS(nNOTA,nNIA,G380,nEVAL,CONFIG_METADATA!$B$4,nASIG,"Conjunto"),""))</f>
        <v/>
      </c>
      <c r="K380" t="str" cm="1">
        <f t="array" ref="K380">IF(G380="","",IFERROR(AVERAGE(IF((nNIA=G380)*(nEVAL=CONFIG_METADATA!$B$4)*(nASIG&lt;&gt;"Lenguaje Musical")*(nASIG&lt;&gt;"Coro")*(nASIG&lt;&gt;"Conjunto"),nNOTA)),""))</f>
        <v/>
      </c>
      <c r="N380" t="str">
        <f>IF(M380="","",IFERROR(AVERAGEIFS(nNOTA,nNIA,M380,nEVAL,CONFIG_METADATA!$B$4,nASIG,"Lenguaje Musical"),""))</f>
        <v/>
      </c>
      <c r="O380" t="str">
        <f>IF(M380="","",IFERROR(AVERAGEIFS(nNOTA,nNIA,M380,nEVAL,CONFIG_METADATA!$B$4,nASIG,"Coro"),""))</f>
        <v/>
      </c>
      <c r="P380" t="str">
        <f>IF(M380="","",IFERROR(AVERAGEIFS(nNOTA,nNIA,M380,nEVAL,CONFIG_METADATA!$B$4,nASIG,"Conjunto"),""))</f>
        <v/>
      </c>
      <c r="Q380" t="str">
        <f>IF(M380="","",IFERROR(AVERAGEIFS(nNOTA,nNIA,M380,nEVAL,CONFIG_METADATA!$B$4,nASIG,"&lt;&gt;Lenguaje Musical",nASIG,"&lt;&gt;Coro",nASIG,"&lt;&gt;Conjunto"),""))</f>
        <v/>
      </c>
      <c r="T380" t="str">
        <f>IF(S380="","",IFERROR(AVERAGEIFS(nNOTA,nNIA,S380,nEVAL,CONFIG_METADATA!$B$4,nASIG,"Lenguaje Musical"),""))</f>
        <v/>
      </c>
      <c r="U380" t="str">
        <f>IF(S380="","",IFERROR(AVERAGEIFS(nNOTA,nNIA,S380,nEVAL,CONFIG_METADATA!$B$4,nASIG,"Coro"),""))</f>
        <v/>
      </c>
      <c r="V380" t="str">
        <f>IF(S380="","",IFERROR(AVERAGEIFS(nNOTA,nNIA,S380,nEVAL,CONFIG_METADATA!$B$4,nASIG,"Conjunto"),""))</f>
        <v/>
      </c>
      <c r="W380" t="str" cm="1">
        <f t="array" ref="W380">IF(S380="","",IFERROR(AVERAGE(IF((nNIA=S380)*(nEVAL=CONFIG_METADATA!$B$4)*(nASIG&lt;&gt;"Lenguaje Musical")*(nASIG&lt;&gt;"Coro")*(nASIG&lt;&gt;"Conjunto"),nNOTA)),""))</f>
        <v/>
      </c>
    </row>
    <row r="381" spans="2:23" x14ac:dyDescent="0.2">
      <c r="B381" t="str">
        <f>IF(A381="","",IFERROR(AVERAGEIFS(nNOTA,nNIA,A381,nEVAL,CONFIG_METADATA!$B$4,nASIG,"Lenguaje Musical"),""))</f>
        <v/>
      </c>
      <c r="C381" t="str">
        <f>IF(A381="","",IFERROR(AVERAGEIFS(nNOTA,nNIA,A381,nEVAL,CONFIG_METADATA!$B$4,nASIG,"Coro"),""))</f>
        <v/>
      </c>
      <c r="D381" t="str">
        <f>IF(A381="","",IFERROR(AVERAGEIFS(nNOTA,nNIA,A381,nEVAL,CONFIG_METADATA!$B$4,nASIG,"Conjunto"),""))</f>
        <v/>
      </c>
      <c r="E381" t="str">
        <f>IF(A381="","",IFERROR(AVERAGEIFS(nNOTA,nNIA,A381,nEVAL,CONFIG_METADATA!$B$4,nASIG,"&lt;&gt;Lenguaje Musical",nASIG,"&lt;&gt;Coro",nASIG,"&lt;&gt;Conjunto"),""))</f>
        <v/>
      </c>
      <c r="H381" t="str">
        <f>IF(G381="","",IFERROR(AVERAGEIFS(nNOTA,nNIA,G381,nEVAL,CONFIG_METADATA!$B$4,nASIG,"Lenguaje Musical"),""))</f>
        <v/>
      </c>
      <c r="I381" t="str">
        <f>IF(G381="","",IFERROR(AVERAGEIFS(nNOTA,nNIA,G381,nEVAL,CONFIG_METADATA!$B$4,nASIG,"Coro"),""))</f>
        <v/>
      </c>
      <c r="J381" t="str">
        <f>IF(G381="","",IFERROR(AVERAGEIFS(nNOTA,nNIA,G381,nEVAL,CONFIG_METADATA!$B$4,nASIG,"Conjunto"),""))</f>
        <v/>
      </c>
      <c r="K381" t="str" cm="1">
        <f t="array" ref="K381">IF(G381="","",IFERROR(AVERAGE(IF((nNIA=G381)*(nEVAL=CONFIG_METADATA!$B$4)*(nASIG&lt;&gt;"Lenguaje Musical")*(nASIG&lt;&gt;"Coro")*(nASIG&lt;&gt;"Conjunto"),nNOTA)),""))</f>
        <v/>
      </c>
      <c r="N381" t="str">
        <f>IF(M381="","",IFERROR(AVERAGEIFS(nNOTA,nNIA,M381,nEVAL,CONFIG_METADATA!$B$4,nASIG,"Lenguaje Musical"),""))</f>
        <v/>
      </c>
      <c r="O381" t="str">
        <f>IF(M381="","",IFERROR(AVERAGEIFS(nNOTA,nNIA,M381,nEVAL,CONFIG_METADATA!$B$4,nASIG,"Coro"),""))</f>
        <v/>
      </c>
      <c r="P381" t="str">
        <f>IF(M381="","",IFERROR(AVERAGEIFS(nNOTA,nNIA,M381,nEVAL,CONFIG_METADATA!$B$4,nASIG,"Conjunto"),""))</f>
        <v/>
      </c>
      <c r="Q381" t="str">
        <f>IF(M381="","",IFERROR(AVERAGEIFS(nNOTA,nNIA,M381,nEVAL,CONFIG_METADATA!$B$4,nASIG,"&lt;&gt;Lenguaje Musical",nASIG,"&lt;&gt;Coro",nASIG,"&lt;&gt;Conjunto"),""))</f>
        <v/>
      </c>
      <c r="T381" t="str">
        <f>IF(S381="","",IFERROR(AVERAGEIFS(nNOTA,nNIA,S381,nEVAL,CONFIG_METADATA!$B$4,nASIG,"Lenguaje Musical"),""))</f>
        <v/>
      </c>
      <c r="U381" t="str">
        <f>IF(S381="","",IFERROR(AVERAGEIFS(nNOTA,nNIA,S381,nEVAL,CONFIG_METADATA!$B$4,nASIG,"Coro"),""))</f>
        <v/>
      </c>
      <c r="V381" t="str">
        <f>IF(S381="","",IFERROR(AVERAGEIFS(nNOTA,nNIA,S381,nEVAL,CONFIG_METADATA!$B$4,nASIG,"Conjunto"),""))</f>
        <v/>
      </c>
      <c r="W381" t="str" cm="1">
        <f t="array" ref="W381">IF(S381="","",IFERROR(AVERAGE(IF((nNIA=S381)*(nEVAL=CONFIG_METADATA!$B$4)*(nASIG&lt;&gt;"Lenguaje Musical")*(nASIG&lt;&gt;"Coro")*(nASIG&lt;&gt;"Conjunto"),nNOTA)),""))</f>
        <v/>
      </c>
    </row>
    <row r="382" spans="2:23" x14ac:dyDescent="0.2">
      <c r="B382" t="str">
        <f>IF(A382="","",IFERROR(AVERAGEIFS(nNOTA,nNIA,A382,nEVAL,CONFIG_METADATA!$B$4,nASIG,"Lenguaje Musical"),""))</f>
        <v/>
      </c>
      <c r="C382" t="str">
        <f>IF(A382="","",IFERROR(AVERAGEIFS(nNOTA,nNIA,A382,nEVAL,CONFIG_METADATA!$B$4,nASIG,"Coro"),""))</f>
        <v/>
      </c>
      <c r="D382" t="str">
        <f>IF(A382="","",IFERROR(AVERAGEIFS(nNOTA,nNIA,A382,nEVAL,CONFIG_METADATA!$B$4,nASIG,"Conjunto"),""))</f>
        <v/>
      </c>
      <c r="E382" t="str">
        <f>IF(A382="","",IFERROR(AVERAGEIFS(nNOTA,nNIA,A382,nEVAL,CONFIG_METADATA!$B$4,nASIG,"&lt;&gt;Lenguaje Musical",nASIG,"&lt;&gt;Coro",nASIG,"&lt;&gt;Conjunto"),""))</f>
        <v/>
      </c>
      <c r="H382" t="str">
        <f>IF(G382="","",IFERROR(AVERAGEIFS(nNOTA,nNIA,G382,nEVAL,CONFIG_METADATA!$B$4,nASIG,"Lenguaje Musical"),""))</f>
        <v/>
      </c>
      <c r="I382" t="str">
        <f>IF(G382="","",IFERROR(AVERAGEIFS(nNOTA,nNIA,G382,nEVAL,CONFIG_METADATA!$B$4,nASIG,"Coro"),""))</f>
        <v/>
      </c>
      <c r="J382" t="str">
        <f>IF(G382="","",IFERROR(AVERAGEIFS(nNOTA,nNIA,G382,nEVAL,CONFIG_METADATA!$B$4,nASIG,"Conjunto"),""))</f>
        <v/>
      </c>
      <c r="K382" t="str" cm="1">
        <f t="array" ref="K382">IF(G382="","",IFERROR(AVERAGE(IF((nNIA=G382)*(nEVAL=CONFIG_METADATA!$B$4)*(nASIG&lt;&gt;"Lenguaje Musical")*(nASIG&lt;&gt;"Coro")*(nASIG&lt;&gt;"Conjunto"),nNOTA)),""))</f>
        <v/>
      </c>
      <c r="N382" t="str">
        <f>IF(M382="","",IFERROR(AVERAGEIFS(nNOTA,nNIA,M382,nEVAL,CONFIG_METADATA!$B$4,nASIG,"Lenguaje Musical"),""))</f>
        <v/>
      </c>
      <c r="O382" t="str">
        <f>IF(M382="","",IFERROR(AVERAGEIFS(nNOTA,nNIA,M382,nEVAL,CONFIG_METADATA!$B$4,nASIG,"Coro"),""))</f>
        <v/>
      </c>
      <c r="P382" t="str">
        <f>IF(M382="","",IFERROR(AVERAGEIFS(nNOTA,nNIA,M382,nEVAL,CONFIG_METADATA!$B$4,nASIG,"Conjunto"),""))</f>
        <v/>
      </c>
      <c r="Q382" t="str">
        <f>IF(M382="","",IFERROR(AVERAGEIFS(nNOTA,nNIA,M382,nEVAL,CONFIG_METADATA!$B$4,nASIG,"&lt;&gt;Lenguaje Musical",nASIG,"&lt;&gt;Coro",nASIG,"&lt;&gt;Conjunto"),""))</f>
        <v/>
      </c>
      <c r="T382" t="str">
        <f>IF(S382="","",IFERROR(AVERAGEIFS(nNOTA,nNIA,S382,nEVAL,CONFIG_METADATA!$B$4,nASIG,"Lenguaje Musical"),""))</f>
        <v/>
      </c>
      <c r="U382" t="str">
        <f>IF(S382="","",IFERROR(AVERAGEIFS(nNOTA,nNIA,S382,nEVAL,CONFIG_METADATA!$B$4,nASIG,"Coro"),""))</f>
        <v/>
      </c>
      <c r="V382" t="str">
        <f>IF(S382="","",IFERROR(AVERAGEIFS(nNOTA,nNIA,S382,nEVAL,CONFIG_METADATA!$B$4,nASIG,"Conjunto"),""))</f>
        <v/>
      </c>
      <c r="W382" t="str" cm="1">
        <f t="array" ref="W382">IF(S382="","",IFERROR(AVERAGE(IF((nNIA=S382)*(nEVAL=CONFIG_METADATA!$B$4)*(nASIG&lt;&gt;"Lenguaje Musical")*(nASIG&lt;&gt;"Coro")*(nASIG&lt;&gt;"Conjunto"),nNOTA)),""))</f>
        <v/>
      </c>
    </row>
    <row r="383" spans="2:23" x14ac:dyDescent="0.2">
      <c r="B383" t="str">
        <f>IF(A383="","",IFERROR(AVERAGEIFS(nNOTA,nNIA,A383,nEVAL,CONFIG_METADATA!$B$4,nASIG,"Lenguaje Musical"),""))</f>
        <v/>
      </c>
      <c r="C383" t="str">
        <f>IF(A383="","",IFERROR(AVERAGEIFS(nNOTA,nNIA,A383,nEVAL,CONFIG_METADATA!$B$4,nASIG,"Coro"),""))</f>
        <v/>
      </c>
      <c r="D383" t="str">
        <f>IF(A383="","",IFERROR(AVERAGEIFS(nNOTA,nNIA,A383,nEVAL,CONFIG_METADATA!$B$4,nASIG,"Conjunto"),""))</f>
        <v/>
      </c>
      <c r="E383" t="str">
        <f>IF(A383="","",IFERROR(AVERAGEIFS(nNOTA,nNIA,A383,nEVAL,CONFIG_METADATA!$B$4,nASIG,"&lt;&gt;Lenguaje Musical",nASIG,"&lt;&gt;Coro",nASIG,"&lt;&gt;Conjunto"),""))</f>
        <v/>
      </c>
      <c r="H383" t="str">
        <f>IF(G383="","",IFERROR(AVERAGEIFS(nNOTA,nNIA,G383,nEVAL,CONFIG_METADATA!$B$4,nASIG,"Lenguaje Musical"),""))</f>
        <v/>
      </c>
      <c r="I383" t="str">
        <f>IF(G383="","",IFERROR(AVERAGEIFS(nNOTA,nNIA,G383,nEVAL,CONFIG_METADATA!$B$4,nASIG,"Coro"),""))</f>
        <v/>
      </c>
      <c r="J383" t="str">
        <f>IF(G383="","",IFERROR(AVERAGEIFS(nNOTA,nNIA,G383,nEVAL,CONFIG_METADATA!$B$4,nASIG,"Conjunto"),""))</f>
        <v/>
      </c>
      <c r="K383" t="str" cm="1">
        <f t="array" ref="K383">IF(G383="","",IFERROR(AVERAGE(IF((nNIA=G383)*(nEVAL=CONFIG_METADATA!$B$4)*(nASIG&lt;&gt;"Lenguaje Musical")*(nASIG&lt;&gt;"Coro")*(nASIG&lt;&gt;"Conjunto"),nNOTA)),""))</f>
        <v/>
      </c>
      <c r="N383" t="str">
        <f>IF(M383="","",IFERROR(AVERAGEIFS(nNOTA,nNIA,M383,nEVAL,CONFIG_METADATA!$B$4,nASIG,"Lenguaje Musical"),""))</f>
        <v/>
      </c>
      <c r="O383" t="str">
        <f>IF(M383="","",IFERROR(AVERAGEIFS(nNOTA,nNIA,M383,nEVAL,CONFIG_METADATA!$B$4,nASIG,"Coro"),""))</f>
        <v/>
      </c>
      <c r="P383" t="str">
        <f>IF(M383="","",IFERROR(AVERAGEIFS(nNOTA,nNIA,M383,nEVAL,CONFIG_METADATA!$B$4,nASIG,"Conjunto"),""))</f>
        <v/>
      </c>
      <c r="Q383" t="str">
        <f>IF(M383="","",IFERROR(AVERAGEIFS(nNOTA,nNIA,M383,nEVAL,CONFIG_METADATA!$B$4,nASIG,"&lt;&gt;Lenguaje Musical",nASIG,"&lt;&gt;Coro",nASIG,"&lt;&gt;Conjunto"),""))</f>
        <v/>
      </c>
      <c r="T383" t="str">
        <f>IF(S383="","",IFERROR(AVERAGEIFS(nNOTA,nNIA,S383,nEVAL,CONFIG_METADATA!$B$4,nASIG,"Lenguaje Musical"),""))</f>
        <v/>
      </c>
      <c r="U383" t="str">
        <f>IF(S383="","",IFERROR(AVERAGEIFS(nNOTA,nNIA,S383,nEVAL,CONFIG_METADATA!$B$4,nASIG,"Coro"),""))</f>
        <v/>
      </c>
      <c r="V383" t="str">
        <f>IF(S383="","",IFERROR(AVERAGEIFS(nNOTA,nNIA,S383,nEVAL,CONFIG_METADATA!$B$4,nASIG,"Conjunto"),""))</f>
        <v/>
      </c>
      <c r="W383" t="str" cm="1">
        <f t="array" ref="W383">IF(S383="","",IFERROR(AVERAGE(IF((nNIA=S383)*(nEVAL=CONFIG_METADATA!$B$4)*(nASIG&lt;&gt;"Lenguaje Musical")*(nASIG&lt;&gt;"Coro")*(nASIG&lt;&gt;"Conjunto"),nNOTA)),""))</f>
        <v/>
      </c>
    </row>
    <row r="384" spans="2:23" x14ac:dyDescent="0.2">
      <c r="B384" t="str">
        <f>IF(A384="","",IFERROR(AVERAGEIFS(nNOTA,nNIA,A384,nEVAL,CONFIG_METADATA!$B$4,nASIG,"Lenguaje Musical"),""))</f>
        <v/>
      </c>
      <c r="C384" t="str">
        <f>IF(A384="","",IFERROR(AVERAGEIFS(nNOTA,nNIA,A384,nEVAL,CONFIG_METADATA!$B$4,nASIG,"Coro"),""))</f>
        <v/>
      </c>
      <c r="D384" t="str">
        <f>IF(A384="","",IFERROR(AVERAGEIFS(nNOTA,nNIA,A384,nEVAL,CONFIG_METADATA!$B$4,nASIG,"Conjunto"),""))</f>
        <v/>
      </c>
      <c r="E384" t="str">
        <f>IF(A384="","",IFERROR(AVERAGEIFS(nNOTA,nNIA,A384,nEVAL,CONFIG_METADATA!$B$4,nASIG,"&lt;&gt;Lenguaje Musical",nASIG,"&lt;&gt;Coro",nASIG,"&lt;&gt;Conjunto"),""))</f>
        <v/>
      </c>
      <c r="H384" t="str">
        <f>IF(G384="","",IFERROR(AVERAGEIFS(nNOTA,nNIA,G384,nEVAL,CONFIG_METADATA!$B$4,nASIG,"Lenguaje Musical"),""))</f>
        <v/>
      </c>
      <c r="I384" t="str">
        <f>IF(G384="","",IFERROR(AVERAGEIFS(nNOTA,nNIA,G384,nEVAL,CONFIG_METADATA!$B$4,nASIG,"Coro"),""))</f>
        <v/>
      </c>
      <c r="J384" t="str">
        <f>IF(G384="","",IFERROR(AVERAGEIFS(nNOTA,nNIA,G384,nEVAL,CONFIG_METADATA!$B$4,nASIG,"Conjunto"),""))</f>
        <v/>
      </c>
      <c r="K384" t="str" cm="1">
        <f t="array" ref="K384">IF(G384="","",IFERROR(AVERAGE(IF((nNIA=G384)*(nEVAL=CONFIG_METADATA!$B$4)*(nASIG&lt;&gt;"Lenguaje Musical")*(nASIG&lt;&gt;"Coro")*(nASIG&lt;&gt;"Conjunto"),nNOTA)),""))</f>
        <v/>
      </c>
      <c r="N384" t="str">
        <f>IF(M384="","",IFERROR(AVERAGEIFS(nNOTA,nNIA,M384,nEVAL,CONFIG_METADATA!$B$4,nASIG,"Lenguaje Musical"),""))</f>
        <v/>
      </c>
      <c r="O384" t="str">
        <f>IF(M384="","",IFERROR(AVERAGEIFS(nNOTA,nNIA,M384,nEVAL,CONFIG_METADATA!$B$4,nASIG,"Coro"),""))</f>
        <v/>
      </c>
      <c r="P384" t="str">
        <f>IF(M384="","",IFERROR(AVERAGEIFS(nNOTA,nNIA,M384,nEVAL,CONFIG_METADATA!$B$4,nASIG,"Conjunto"),""))</f>
        <v/>
      </c>
      <c r="Q384" t="str">
        <f>IF(M384="","",IFERROR(AVERAGEIFS(nNOTA,nNIA,M384,nEVAL,CONFIG_METADATA!$B$4,nASIG,"&lt;&gt;Lenguaje Musical",nASIG,"&lt;&gt;Coro",nASIG,"&lt;&gt;Conjunto"),""))</f>
        <v/>
      </c>
      <c r="T384" t="str">
        <f>IF(S384="","",IFERROR(AVERAGEIFS(nNOTA,nNIA,S384,nEVAL,CONFIG_METADATA!$B$4,nASIG,"Lenguaje Musical"),""))</f>
        <v/>
      </c>
      <c r="U384" t="str">
        <f>IF(S384="","",IFERROR(AVERAGEIFS(nNOTA,nNIA,S384,nEVAL,CONFIG_METADATA!$B$4,nASIG,"Coro"),""))</f>
        <v/>
      </c>
      <c r="V384" t="str">
        <f>IF(S384="","",IFERROR(AVERAGEIFS(nNOTA,nNIA,S384,nEVAL,CONFIG_METADATA!$B$4,nASIG,"Conjunto"),""))</f>
        <v/>
      </c>
      <c r="W384" t="str" cm="1">
        <f t="array" ref="W384">IF(S384="","",IFERROR(AVERAGE(IF((nNIA=S384)*(nEVAL=CONFIG_METADATA!$B$4)*(nASIG&lt;&gt;"Lenguaje Musical")*(nASIG&lt;&gt;"Coro")*(nASIG&lt;&gt;"Conjunto"),nNOTA)),""))</f>
        <v/>
      </c>
    </row>
    <row r="385" spans="2:23" x14ac:dyDescent="0.2">
      <c r="B385" t="str">
        <f>IF(A385="","",IFERROR(AVERAGEIFS(nNOTA,nNIA,A385,nEVAL,CONFIG_METADATA!$B$4,nASIG,"Lenguaje Musical"),""))</f>
        <v/>
      </c>
      <c r="C385" t="str">
        <f>IF(A385="","",IFERROR(AVERAGEIFS(nNOTA,nNIA,A385,nEVAL,CONFIG_METADATA!$B$4,nASIG,"Coro"),""))</f>
        <v/>
      </c>
      <c r="D385" t="str">
        <f>IF(A385="","",IFERROR(AVERAGEIFS(nNOTA,nNIA,A385,nEVAL,CONFIG_METADATA!$B$4,nASIG,"Conjunto"),""))</f>
        <v/>
      </c>
      <c r="E385" t="str">
        <f>IF(A385="","",IFERROR(AVERAGEIFS(nNOTA,nNIA,A385,nEVAL,CONFIG_METADATA!$B$4,nASIG,"&lt;&gt;Lenguaje Musical",nASIG,"&lt;&gt;Coro",nASIG,"&lt;&gt;Conjunto"),""))</f>
        <v/>
      </c>
      <c r="H385" t="str">
        <f>IF(G385="","",IFERROR(AVERAGEIFS(nNOTA,nNIA,G385,nEVAL,CONFIG_METADATA!$B$4,nASIG,"Lenguaje Musical"),""))</f>
        <v/>
      </c>
      <c r="I385" t="str">
        <f>IF(G385="","",IFERROR(AVERAGEIFS(nNOTA,nNIA,G385,nEVAL,CONFIG_METADATA!$B$4,nASIG,"Coro"),""))</f>
        <v/>
      </c>
      <c r="J385" t="str">
        <f>IF(G385="","",IFERROR(AVERAGEIFS(nNOTA,nNIA,G385,nEVAL,CONFIG_METADATA!$B$4,nASIG,"Conjunto"),""))</f>
        <v/>
      </c>
      <c r="K385" t="str" cm="1">
        <f t="array" ref="K385">IF(G385="","",IFERROR(AVERAGE(IF((nNIA=G385)*(nEVAL=CONFIG_METADATA!$B$4)*(nASIG&lt;&gt;"Lenguaje Musical")*(nASIG&lt;&gt;"Coro")*(nASIG&lt;&gt;"Conjunto"),nNOTA)),""))</f>
        <v/>
      </c>
      <c r="N385" t="str">
        <f>IF(M385="","",IFERROR(AVERAGEIFS(nNOTA,nNIA,M385,nEVAL,CONFIG_METADATA!$B$4,nASIG,"Lenguaje Musical"),""))</f>
        <v/>
      </c>
      <c r="O385" t="str">
        <f>IF(M385="","",IFERROR(AVERAGEIFS(nNOTA,nNIA,M385,nEVAL,CONFIG_METADATA!$B$4,nASIG,"Coro"),""))</f>
        <v/>
      </c>
      <c r="P385" t="str">
        <f>IF(M385="","",IFERROR(AVERAGEIFS(nNOTA,nNIA,M385,nEVAL,CONFIG_METADATA!$B$4,nASIG,"Conjunto"),""))</f>
        <v/>
      </c>
      <c r="Q385" t="str">
        <f>IF(M385="","",IFERROR(AVERAGEIFS(nNOTA,nNIA,M385,nEVAL,CONFIG_METADATA!$B$4,nASIG,"&lt;&gt;Lenguaje Musical",nASIG,"&lt;&gt;Coro",nASIG,"&lt;&gt;Conjunto"),""))</f>
        <v/>
      </c>
      <c r="T385" t="str">
        <f>IF(S385="","",IFERROR(AVERAGEIFS(nNOTA,nNIA,S385,nEVAL,CONFIG_METADATA!$B$4,nASIG,"Lenguaje Musical"),""))</f>
        <v/>
      </c>
      <c r="U385" t="str">
        <f>IF(S385="","",IFERROR(AVERAGEIFS(nNOTA,nNIA,S385,nEVAL,CONFIG_METADATA!$B$4,nASIG,"Coro"),""))</f>
        <v/>
      </c>
      <c r="V385" t="str">
        <f>IF(S385="","",IFERROR(AVERAGEIFS(nNOTA,nNIA,S385,nEVAL,CONFIG_METADATA!$B$4,nASIG,"Conjunto"),""))</f>
        <v/>
      </c>
      <c r="W385" t="str" cm="1">
        <f t="array" ref="W385">IF(S385="","",IFERROR(AVERAGE(IF((nNIA=S385)*(nEVAL=CONFIG_METADATA!$B$4)*(nASIG&lt;&gt;"Lenguaje Musical")*(nASIG&lt;&gt;"Coro")*(nASIG&lt;&gt;"Conjunto"),nNOTA)),""))</f>
        <v/>
      </c>
    </row>
    <row r="386" spans="2:23" x14ac:dyDescent="0.2">
      <c r="B386" t="str">
        <f>IF(A386="","",IFERROR(AVERAGEIFS(nNOTA,nNIA,A386,nEVAL,CONFIG_METADATA!$B$4,nASIG,"Lenguaje Musical"),""))</f>
        <v/>
      </c>
      <c r="C386" t="str">
        <f>IF(A386="","",IFERROR(AVERAGEIFS(nNOTA,nNIA,A386,nEVAL,CONFIG_METADATA!$B$4,nASIG,"Coro"),""))</f>
        <v/>
      </c>
      <c r="D386" t="str">
        <f>IF(A386="","",IFERROR(AVERAGEIFS(nNOTA,nNIA,A386,nEVAL,CONFIG_METADATA!$B$4,nASIG,"Conjunto"),""))</f>
        <v/>
      </c>
      <c r="E386" t="str">
        <f>IF(A386="","",IFERROR(AVERAGEIFS(nNOTA,nNIA,A386,nEVAL,CONFIG_METADATA!$B$4,nASIG,"&lt;&gt;Lenguaje Musical",nASIG,"&lt;&gt;Coro",nASIG,"&lt;&gt;Conjunto"),""))</f>
        <v/>
      </c>
      <c r="H386" t="str">
        <f>IF(G386="","",IFERROR(AVERAGEIFS(nNOTA,nNIA,G386,nEVAL,CONFIG_METADATA!$B$4,nASIG,"Lenguaje Musical"),""))</f>
        <v/>
      </c>
      <c r="I386" t="str">
        <f>IF(G386="","",IFERROR(AVERAGEIFS(nNOTA,nNIA,G386,nEVAL,CONFIG_METADATA!$B$4,nASIG,"Coro"),""))</f>
        <v/>
      </c>
      <c r="J386" t="str">
        <f>IF(G386="","",IFERROR(AVERAGEIFS(nNOTA,nNIA,G386,nEVAL,CONFIG_METADATA!$B$4,nASIG,"Conjunto"),""))</f>
        <v/>
      </c>
      <c r="K386" t="str" cm="1">
        <f t="array" ref="K386">IF(G386="","",IFERROR(AVERAGE(IF((nNIA=G386)*(nEVAL=CONFIG_METADATA!$B$4)*(nASIG&lt;&gt;"Lenguaje Musical")*(nASIG&lt;&gt;"Coro")*(nASIG&lt;&gt;"Conjunto"),nNOTA)),""))</f>
        <v/>
      </c>
      <c r="N386" t="str">
        <f>IF(M386="","",IFERROR(AVERAGEIFS(nNOTA,nNIA,M386,nEVAL,CONFIG_METADATA!$B$4,nASIG,"Lenguaje Musical"),""))</f>
        <v/>
      </c>
      <c r="O386" t="str">
        <f>IF(M386="","",IFERROR(AVERAGEIFS(nNOTA,nNIA,M386,nEVAL,CONFIG_METADATA!$B$4,nASIG,"Coro"),""))</f>
        <v/>
      </c>
      <c r="P386" t="str">
        <f>IF(M386="","",IFERROR(AVERAGEIFS(nNOTA,nNIA,M386,nEVAL,CONFIG_METADATA!$B$4,nASIG,"Conjunto"),""))</f>
        <v/>
      </c>
      <c r="Q386" t="str">
        <f>IF(M386="","",IFERROR(AVERAGEIFS(nNOTA,nNIA,M386,nEVAL,CONFIG_METADATA!$B$4,nASIG,"&lt;&gt;Lenguaje Musical",nASIG,"&lt;&gt;Coro",nASIG,"&lt;&gt;Conjunto"),""))</f>
        <v/>
      </c>
      <c r="T386" t="str">
        <f>IF(S386="","",IFERROR(AVERAGEIFS(nNOTA,nNIA,S386,nEVAL,CONFIG_METADATA!$B$4,nASIG,"Lenguaje Musical"),""))</f>
        <v/>
      </c>
      <c r="U386" t="str">
        <f>IF(S386="","",IFERROR(AVERAGEIFS(nNOTA,nNIA,S386,nEVAL,CONFIG_METADATA!$B$4,nASIG,"Coro"),""))</f>
        <v/>
      </c>
      <c r="V386" t="str">
        <f>IF(S386="","",IFERROR(AVERAGEIFS(nNOTA,nNIA,S386,nEVAL,CONFIG_METADATA!$B$4,nASIG,"Conjunto"),""))</f>
        <v/>
      </c>
      <c r="W386" t="str" cm="1">
        <f t="array" ref="W386">IF(S386="","",IFERROR(AVERAGE(IF((nNIA=S386)*(nEVAL=CONFIG_METADATA!$B$4)*(nASIG&lt;&gt;"Lenguaje Musical")*(nASIG&lt;&gt;"Coro")*(nASIG&lt;&gt;"Conjunto"),nNOTA)),""))</f>
        <v/>
      </c>
    </row>
    <row r="387" spans="2:23" x14ac:dyDescent="0.2">
      <c r="B387" t="str">
        <f>IF(A387="","",IFERROR(AVERAGEIFS(nNOTA,nNIA,A387,nEVAL,CONFIG_METADATA!$B$4,nASIG,"Lenguaje Musical"),""))</f>
        <v/>
      </c>
      <c r="C387" t="str">
        <f>IF(A387="","",IFERROR(AVERAGEIFS(nNOTA,nNIA,A387,nEVAL,CONFIG_METADATA!$B$4,nASIG,"Coro"),""))</f>
        <v/>
      </c>
      <c r="D387" t="str">
        <f>IF(A387="","",IFERROR(AVERAGEIFS(nNOTA,nNIA,A387,nEVAL,CONFIG_METADATA!$B$4,nASIG,"Conjunto"),""))</f>
        <v/>
      </c>
      <c r="E387" t="str">
        <f>IF(A387="","",IFERROR(AVERAGEIFS(nNOTA,nNIA,A387,nEVAL,CONFIG_METADATA!$B$4,nASIG,"&lt;&gt;Lenguaje Musical",nASIG,"&lt;&gt;Coro",nASIG,"&lt;&gt;Conjunto"),""))</f>
        <v/>
      </c>
      <c r="H387" t="str">
        <f>IF(G387="","",IFERROR(AVERAGEIFS(nNOTA,nNIA,G387,nEVAL,CONFIG_METADATA!$B$4,nASIG,"Lenguaje Musical"),""))</f>
        <v/>
      </c>
      <c r="I387" t="str">
        <f>IF(G387="","",IFERROR(AVERAGEIFS(nNOTA,nNIA,G387,nEVAL,CONFIG_METADATA!$B$4,nASIG,"Coro"),""))</f>
        <v/>
      </c>
      <c r="J387" t="str">
        <f>IF(G387="","",IFERROR(AVERAGEIFS(nNOTA,nNIA,G387,nEVAL,CONFIG_METADATA!$B$4,nASIG,"Conjunto"),""))</f>
        <v/>
      </c>
      <c r="K387" t="str" cm="1">
        <f t="array" ref="K387">IF(G387="","",IFERROR(AVERAGE(IF((nNIA=G387)*(nEVAL=CONFIG_METADATA!$B$4)*(nASIG&lt;&gt;"Lenguaje Musical")*(nASIG&lt;&gt;"Coro")*(nASIG&lt;&gt;"Conjunto"),nNOTA)),""))</f>
        <v/>
      </c>
      <c r="N387" t="str">
        <f>IF(M387="","",IFERROR(AVERAGEIFS(nNOTA,nNIA,M387,nEVAL,CONFIG_METADATA!$B$4,nASIG,"Lenguaje Musical"),""))</f>
        <v/>
      </c>
      <c r="O387" t="str">
        <f>IF(M387="","",IFERROR(AVERAGEIFS(nNOTA,nNIA,M387,nEVAL,CONFIG_METADATA!$B$4,nASIG,"Coro"),""))</f>
        <v/>
      </c>
      <c r="P387" t="str">
        <f>IF(M387="","",IFERROR(AVERAGEIFS(nNOTA,nNIA,M387,nEVAL,CONFIG_METADATA!$B$4,nASIG,"Conjunto"),""))</f>
        <v/>
      </c>
      <c r="Q387" t="str">
        <f>IF(M387="","",IFERROR(AVERAGEIFS(nNOTA,nNIA,M387,nEVAL,CONFIG_METADATA!$B$4,nASIG,"&lt;&gt;Lenguaje Musical",nASIG,"&lt;&gt;Coro",nASIG,"&lt;&gt;Conjunto"),""))</f>
        <v/>
      </c>
      <c r="T387" t="str">
        <f>IF(S387="","",IFERROR(AVERAGEIFS(nNOTA,nNIA,S387,nEVAL,CONFIG_METADATA!$B$4,nASIG,"Lenguaje Musical"),""))</f>
        <v/>
      </c>
      <c r="U387" t="str">
        <f>IF(S387="","",IFERROR(AVERAGEIFS(nNOTA,nNIA,S387,nEVAL,CONFIG_METADATA!$B$4,nASIG,"Coro"),""))</f>
        <v/>
      </c>
      <c r="V387" t="str">
        <f>IF(S387="","",IFERROR(AVERAGEIFS(nNOTA,nNIA,S387,nEVAL,CONFIG_METADATA!$B$4,nASIG,"Conjunto"),""))</f>
        <v/>
      </c>
      <c r="W387" t="str" cm="1">
        <f t="array" ref="W387">IF(S387="","",IFERROR(AVERAGE(IF((nNIA=S387)*(nEVAL=CONFIG_METADATA!$B$4)*(nASIG&lt;&gt;"Lenguaje Musical")*(nASIG&lt;&gt;"Coro")*(nASIG&lt;&gt;"Conjunto"),nNOTA)),""))</f>
        <v/>
      </c>
    </row>
    <row r="388" spans="2:23" x14ac:dyDescent="0.2">
      <c r="B388" t="str">
        <f>IF(A388="","",IFERROR(AVERAGEIFS(nNOTA,nNIA,A388,nEVAL,CONFIG_METADATA!$B$4,nASIG,"Lenguaje Musical"),""))</f>
        <v/>
      </c>
      <c r="C388" t="str">
        <f>IF(A388="","",IFERROR(AVERAGEIFS(nNOTA,nNIA,A388,nEVAL,CONFIG_METADATA!$B$4,nASIG,"Coro"),""))</f>
        <v/>
      </c>
      <c r="D388" t="str">
        <f>IF(A388="","",IFERROR(AVERAGEIFS(nNOTA,nNIA,A388,nEVAL,CONFIG_METADATA!$B$4,nASIG,"Conjunto"),""))</f>
        <v/>
      </c>
      <c r="E388" t="str">
        <f>IF(A388="","",IFERROR(AVERAGEIFS(nNOTA,nNIA,A388,nEVAL,CONFIG_METADATA!$B$4,nASIG,"&lt;&gt;Lenguaje Musical",nASIG,"&lt;&gt;Coro",nASIG,"&lt;&gt;Conjunto"),""))</f>
        <v/>
      </c>
      <c r="H388" t="str">
        <f>IF(G388="","",IFERROR(AVERAGEIFS(nNOTA,nNIA,G388,nEVAL,CONFIG_METADATA!$B$4,nASIG,"Lenguaje Musical"),""))</f>
        <v/>
      </c>
      <c r="I388" t="str">
        <f>IF(G388="","",IFERROR(AVERAGEIFS(nNOTA,nNIA,G388,nEVAL,CONFIG_METADATA!$B$4,nASIG,"Coro"),""))</f>
        <v/>
      </c>
      <c r="J388" t="str">
        <f>IF(G388="","",IFERROR(AVERAGEIFS(nNOTA,nNIA,G388,nEVAL,CONFIG_METADATA!$B$4,nASIG,"Conjunto"),""))</f>
        <v/>
      </c>
      <c r="K388" t="str" cm="1">
        <f t="array" ref="K388">IF(G388="","",IFERROR(AVERAGE(IF((nNIA=G388)*(nEVAL=CONFIG_METADATA!$B$4)*(nASIG&lt;&gt;"Lenguaje Musical")*(nASIG&lt;&gt;"Coro")*(nASIG&lt;&gt;"Conjunto"),nNOTA)),""))</f>
        <v/>
      </c>
      <c r="N388" t="str">
        <f>IF(M388="","",IFERROR(AVERAGEIFS(nNOTA,nNIA,M388,nEVAL,CONFIG_METADATA!$B$4,nASIG,"Lenguaje Musical"),""))</f>
        <v/>
      </c>
      <c r="O388" t="str">
        <f>IF(M388="","",IFERROR(AVERAGEIFS(nNOTA,nNIA,M388,nEVAL,CONFIG_METADATA!$B$4,nASIG,"Coro"),""))</f>
        <v/>
      </c>
      <c r="P388" t="str">
        <f>IF(M388="","",IFERROR(AVERAGEIFS(nNOTA,nNIA,M388,nEVAL,CONFIG_METADATA!$B$4,nASIG,"Conjunto"),""))</f>
        <v/>
      </c>
      <c r="Q388" t="str">
        <f>IF(M388="","",IFERROR(AVERAGEIFS(nNOTA,nNIA,M388,nEVAL,CONFIG_METADATA!$B$4,nASIG,"&lt;&gt;Lenguaje Musical",nASIG,"&lt;&gt;Coro",nASIG,"&lt;&gt;Conjunto"),""))</f>
        <v/>
      </c>
      <c r="T388" t="str">
        <f>IF(S388="","",IFERROR(AVERAGEIFS(nNOTA,nNIA,S388,nEVAL,CONFIG_METADATA!$B$4,nASIG,"Lenguaje Musical"),""))</f>
        <v/>
      </c>
      <c r="U388" t="str">
        <f>IF(S388="","",IFERROR(AVERAGEIFS(nNOTA,nNIA,S388,nEVAL,CONFIG_METADATA!$B$4,nASIG,"Coro"),""))</f>
        <v/>
      </c>
      <c r="V388" t="str">
        <f>IF(S388="","",IFERROR(AVERAGEIFS(nNOTA,nNIA,S388,nEVAL,CONFIG_METADATA!$B$4,nASIG,"Conjunto"),""))</f>
        <v/>
      </c>
      <c r="W388" t="str" cm="1">
        <f t="array" ref="W388">IF(S388="","",IFERROR(AVERAGE(IF((nNIA=S388)*(nEVAL=CONFIG_METADATA!$B$4)*(nASIG&lt;&gt;"Lenguaje Musical")*(nASIG&lt;&gt;"Coro")*(nASIG&lt;&gt;"Conjunto"),nNOTA)),""))</f>
        <v/>
      </c>
    </row>
    <row r="389" spans="2:23" x14ac:dyDescent="0.2">
      <c r="B389" t="str">
        <f>IF(A389="","",IFERROR(AVERAGEIFS(nNOTA,nNIA,A389,nEVAL,CONFIG_METADATA!$B$4,nASIG,"Lenguaje Musical"),""))</f>
        <v/>
      </c>
      <c r="C389" t="str">
        <f>IF(A389="","",IFERROR(AVERAGEIFS(nNOTA,nNIA,A389,nEVAL,CONFIG_METADATA!$B$4,nASIG,"Coro"),""))</f>
        <v/>
      </c>
      <c r="D389" t="str">
        <f>IF(A389="","",IFERROR(AVERAGEIFS(nNOTA,nNIA,A389,nEVAL,CONFIG_METADATA!$B$4,nASIG,"Conjunto"),""))</f>
        <v/>
      </c>
      <c r="E389" t="str">
        <f>IF(A389="","",IFERROR(AVERAGEIFS(nNOTA,nNIA,A389,nEVAL,CONFIG_METADATA!$B$4,nASIG,"&lt;&gt;Lenguaje Musical",nASIG,"&lt;&gt;Coro",nASIG,"&lt;&gt;Conjunto"),""))</f>
        <v/>
      </c>
      <c r="H389" t="str">
        <f>IF(G389="","",IFERROR(AVERAGEIFS(nNOTA,nNIA,G389,nEVAL,CONFIG_METADATA!$B$4,nASIG,"Lenguaje Musical"),""))</f>
        <v/>
      </c>
      <c r="I389" t="str">
        <f>IF(G389="","",IFERROR(AVERAGEIFS(nNOTA,nNIA,G389,nEVAL,CONFIG_METADATA!$B$4,nASIG,"Coro"),""))</f>
        <v/>
      </c>
      <c r="J389" t="str">
        <f>IF(G389="","",IFERROR(AVERAGEIFS(nNOTA,nNIA,G389,nEVAL,CONFIG_METADATA!$B$4,nASIG,"Conjunto"),""))</f>
        <v/>
      </c>
      <c r="K389" t="str" cm="1">
        <f t="array" ref="K389">IF(G389="","",IFERROR(AVERAGE(IF((nNIA=G389)*(nEVAL=CONFIG_METADATA!$B$4)*(nASIG&lt;&gt;"Lenguaje Musical")*(nASIG&lt;&gt;"Coro")*(nASIG&lt;&gt;"Conjunto"),nNOTA)),""))</f>
        <v/>
      </c>
      <c r="N389" t="str">
        <f>IF(M389="","",IFERROR(AVERAGEIFS(nNOTA,nNIA,M389,nEVAL,CONFIG_METADATA!$B$4,nASIG,"Lenguaje Musical"),""))</f>
        <v/>
      </c>
      <c r="O389" t="str">
        <f>IF(M389="","",IFERROR(AVERAGEIFS(nNOTA,nNIA,M389,nEVAL,CONFIG_METADATA!$B$4,nASIG,"Coro"),""))</f>
        <v/>
      </c>
      <c r="P389" t="str">
        <f>IF(M389="","",IFERROR(AVERAGEIFS(nNOTA,nNIA,M389,nEVAL,CONFIG_METADATA!$B$4,nASIG,"Conjunto"),""))</f>
        <v/>
      </c>
      <c r="Q389" t="str">
        <f>IF(M389="","",IFERROR(AVERAGEIFS(nNOTA,nNIA,M389,nEVAL,CONFIG_METADATA!$B$4,nASIG,"&lt;&gt;Lenguaje Musical",nASIG,"&lt;&gt;Coro",nASIG,"&lt;&gt;Conjunto"),""))</f>
        <v/>
      </c>
      <c r="T389" t="str">
        <f>IF(S389="","",IFERROR(AVERAGEIFS(nNOTA,nNIA,S389,nEVAL,CONFIG_METADATA!$B$4,nASIG,"Lenguaje Musical"),""))</f>
        <v/>
      </c>
      <c r="U389" t="str">
        <f>IF(S389="","",IFERROR(AVERAGEIFS(nNOTA,nNIA,S389,nEVAL,CONFIG_METADATA!$B$4,nASIG,"Coro"),""))</f>
        <v/>
      </c>
      <c r="V389" t="str">
        <f>IF(S389="","",IFERROR(AVERAGEIFS(nNOTA,nNIA,S389,nEVAL,CONFIG_METADATA!$B$4,nASIG,"Conjunto"),""))</f>
        <v/>
      </c>
      <c r="W389" t="str" cm="1">
        <f t="array" ref="W389">IF(S389="","",IFERROR(AVERAGE(IF((nNIA=S389)*(nEVAL=CONFIG_METADATA!$B$4)*(nASIG&lt;&gt;"Lenguaje Musical")*(nASIG&lt;&gt;"Coro")*(nASIG&lt;&gt;"Conjunto"),nNOTA)),""))</f>
        <v/>
      </c>
    </row>
    <row r="390" spans="2:23" x14ac:dyDescent="0.2">
      <c r="B390" t="str">
        <f>IF(A390="","",IFERROR(AVERAGEIFS(nNOTA,nNIA,A390,nEVAL,CONFIG_METADATA!$B$4,nASIG,"Lenguaje Musical"),""))</f>
        <v/>
      </c>
      <c r="C390" t="str">
        <f>IF(A390="","",IFERROR(AVERAGEIFS(nNOTA,nNIA,A390,nEVAL,CONFIG_METADATA!$B$4,nASIG,"Coro"),""))</f>
        <v/>
      </c>
      <c r="D390" t="str">
        <f>IF(A390="","",IFERROR(AVERAGEIFS(nNOTA,nNIA,A390,nEVAL,CONFIG_METADATA!$B$4,nASIG,"Conjunto"),""))</f>
        <v/>
      </c>
      <c r="E390" t="str">
        <f>IF(A390="","",IFERROR(AVERAGEIFS(nNOTA,nNIA,A390,nEVAL,CONFIG_METADATA!$B$4,nASIG,"&lt;&gt;Lenguaje Musical",nASIG,"&lt;&gt;Coro",nASIG,"&lt;&gt;Conjunto"),""))</f>
        <v/>
      </c>
      <c r="H390" t="str">
        <f>IF(G390="","",IFERROR(AVERAGEIFS(nNOTA,nNIA,G390,nEVAL,CONFIG_METADATA!$B$4,nASIG,"Lenguaje Musical"),""))</f>
        <v/>
      </c>
      <c r="I390" t="str">
        <f>IF(G390="","",IFERROR(AVERAGEIFS(nNOTA,nNIA,G390,nEVAL,CONFIG_METADATA!$B$4,nASIG,"Coro"),""))</f>
        <v/>
      </c>
      <c r="J390" t="str">
        <f>IF(G390="","",IFERROR(AVERAGEIFS(nNOTA,nNIA,G390,nEVAL,CONFIG_METADATA!$B$4,nASIG,"Conjunto"),""))</f>
        <v/>
      </c>
      <c r="K390" t="str" cm="1">
        <f t="array" ref="K390">IF(G390="","",IFERROR(AVERAGE(IF((nNIA=G390)*(nEVAL=CONFIG_METADATA!$B$4)*(nASIG&lt;&gt;"Lenguaje Musical")*(nASIG&lt;&gt;"Coro")*(nASIG&lt;&gt;"Conjunto"),nNOTA)),""))</f>
        <v/>
      </c>
      <c r="N390" t="str">
        <f>IF(M390="","",IFERROR(AVERAGEIFS(nNOTA,nNIA,M390,nEVAL,CONFIG_METADATA!$B$4,nASIG,"Lenguaje Musical"),""))</f>
        <v/>
      </c>
      <c r="O390" t="str">
        <f>IF(M390="","",IFERROR(AVERAGEIFS(nNOTA,nNIA,M390,nEVAL,CONFIG_METADATA!$B$4,nASIG,"Coro"),""))</f>
        <v/>
      </c>
      <c r="P390" t="str">
        <f>IF(M390="","",IFERROR(AVERAGEIFS(nNOTA,nNIA,M390,nEVAL,CONFIG_METADATA!$B$4,nASIG,"Conjunto"),""))</f>
        <v/>
      </c>
      <c r="Q390" t="str">
        <f>IF(M390="","",IFERROR(AVERAGEIFS(nNOTA,nNIA,M390,nEVAL,CONFIG_METADATA!$B$4,nASIG,"&lt;&gt;Lenguaje Musical",nASIG,"&lt;&gt;Coro",nASIG,"&lt;&gt;Conjunto"),""))</f>
        <v/>
      </c>
      <c r="T390" t="str">
        <f>IF(S390="","",IFERROR(AVERAGEIFS(nNOTA,nNIA,S390,nEVAL,CONFIG_METADATA!$B$4,nASIG,"Lenguaje Musical"),""))</f>
        <v/>
      </c>
      <c r="U390" t="str">
        <f>IF(S390="","",IFERROR(AVERAGEIFS(nNOTA,nNIA,S390,nEVAL,CONFIG_METADATA!$B$4,nASIG,"Coro"),""))</f>
        <v/>
      </c>
      <c r="V390" t="str">
        <f>IF(S390="","",IFERROR(AVERAGEIFS(nNOTA,nNIA,S390,nEVAL,CONFIG_METADATA!$B$4,nASIG,"Conjunto"),""))</f>
        <v/>
      </c>
      <c r="W390" t="str" cm="1">
        <f t="array" ref="W390">IF(S390="","",IFERROR(AVERAGE(IF((nNIA=S390)*(nEVAL=CONFIG_METADATA!$B$4)*(nASIG&lt;&gt;"Lenguaje Musical")*(nASIG&lt;&gt;"Coro")*(nASIG&lt;&gt;"Conjunto"),nNOTA)),""))</f>
        <v/>
      </c>
    </row>
    <row r="391" spans="2:23" x14ac:dyDescent="0.2">
      <c r="B391" t="str">
        <f>IF(A391="","",IFERROR(AVERAGEIFS(nNOTA,nNIA,A391,nEVAL,CONFIG_METADATA!$B$4,nASIG,"Lenguaje Musical"),""))</f>
        <v/>
      </c>
      <c r="C391" t="str">
        <f>IF(A391="","",IFERROR(AVERAGEIFS(nNOTA,nNIA,A391,nEVAL,CONFIG_METADATA!$B$4,nASIG,"Coro"),""))</f>
        <v/>
      </c>
      <c r="D391" t="str">
        <f>IF(A391="","",IFERROR(AVERAGEIFS(nNOTA,nNIA,A391,nEVAL,CONFIG_METADATA!$B$4,nASIG,"Conjunto"),""))</f>
        <v/>
      </c>
      <c r="E391" t="str">
        <f>IF(A391="","",IFERROR(AVERAGEIFS(nNOTA,nNIA,A391,nEVAL,CONFIG_METADATA!$B$4,nASIG,"&lt;&gt;Lenguaje Musical",nASIG,"&lt;&gt;Coro",nASIG,"&lt;&gt;Conjunto"),""))</f>
        <v/>
      </c>
      <c r="H391" t="str">
        <f>IF(G391="","",IFERROR(AVERAGEIFS(nNOTA,nNIA,G391,nEVAL,CONFIG_METADATA!$B$4,nASIG,"Lenguaje Musical"),""))</f>
        <v/>
      </c>
      <c r="I391" t="str">
        <f>IF(G391="","",IFERROR(AVERAGEIFS(nNOTA,nNIA,G391,nEVAL,CONFIG_METADATA!$B$4,nASIG,"Coro"),""))</f>
        <v/>
      </c>
      <c r="J391" t="str">
        <f>IF(G391="","",IFERROR(AVERAGEIFS(nNOTA,nNIA,G391,nEVAL,CONFIG_METADATA!$B$4,nASIG,"Conjunto"),""))</f>
        <v/>
      </c>
      <c r="K391" t="str" cm="1">
        <f t="array" ref="K391">IF(G391="","",IFERROR(AVERAGE(IF((nNIA=G391)*(nEVAL=CONFIG_METADATA!$B$4)*(nASIG&lt;&gt;"Lenguaje Musical")*(nASIG&lt;&gt;"Coro")*(nASIG&lt;&gt;"Conjunto"),nNOTA)),""))</f>
        <v/>
      </c>
      <c r="N391" t="str">
        <f>IF(M391="","",IFERROR(AVERAGEIFS(nNOTA,nNIA,M391,nEVAL,CONFIG_METADATA!$B$4,nASIG,"Lenguaje Musical"),""))</f>
        <v/>
      </c>
      <c r="O391" t="str">
        <f>IF(M391="","",IFERROR(AVERAGEIFS(nNOTA,nNIA,M391,nEVAL,CONFIG_METADATA!$B$4,nASIG,"Coro"),""))</f>
        <v/>
      </c>
      <c r="P391" t="str">
        <f>IF(M391="","",IFERROR(AVERAGEIFS(nNOTA,nNIA,M391,nEVAL,CONFIG_METADATA!$B$4,nASIG,"Conjunto"),""))</f>
        <v/>
      </c>
      <c r="Q391" t="str">
        <f>IF(M391="","",IFERROR(AVERAGEIFS(nNOTA,nNIA,M391,nEVAL,CONFIG_METADATA!$B$4,nASIG,"&lt;&gt;Lenguaje Musical",nASIG,"&lt;&gt;Coro",nASIG,"&lt;&gt;Conjunto"),""))</f>
        <v/>
      </c>
      <c r="T391" t="str">
        <f>IF(S391="","",IFERROR(AVERAGEIFS(nNOTA,nNIA,S391,nEVAL,CONFIG_METADATA!$B$4,nASIG,"Lenguaje Musical"),""))</f>
        <v/>
      </c>
      <c r="U391" t="str">
        <f>IF(S391="","",IFERROR(AVERAGEIFS(nNOTA,nNIA,S391,nEVAL,CONFIG_METADATA!$B$4,nASIG,"Coro"),""))</f>
        <v/>
      </c>
      <c r="V391" t="str">
        <f>IF(S391="","",IFERROR(AVERAGEIFS(nNOTA,nNIA,S391,nEVAL,CONFIG_METADATA!$B$4,nASIG,"Conjunto"),""))</f>
        <v/>
      </c>
      <c r="W391" t="str" cm="1">
        <f t="array" ref="W391">IF(S391="","",IFERROR(AVERAGE(IF((nNIA=S391)*(nEVAL=CONFIG_METADATA!$B$4)*(nASIG&lt;&gt;"Lenguaje Musical")*(nASIG&lt;&gt;"Coro")*(nASIG&lt;&gt;"Conjunto"),nNOTA)),""))</f>
        <v/>
      </c>
    </row>
    <row r="392" spans="2:23" x14ac:dyDescent="0.2">
      <c r="B392" t="str">
        <f>IF(A392="","",IFERROR(AVERAGEIFS(nNOTA,nNIA,A392,nEVAL,CONFIG_METADATA!$B$4,nASIG,"Lenguaje Musical"),""))</f>
        <v/>
      </c>
      <c r="C392" t="str">
        <f>IF(A392="","",IFERROR(AVERAGEIFS(nNOTA,nNIA,A392,nEVAL,CONFIG_METADATA!$B$4,nASIG,"Coro"),""))</f>
        <v/>
      </c>
      <c r="D392" t="str">
        <f>IF(A392="","",IFERROR(AVERAGEIFS(nNOTA,nNIA,A392,nEVAL,CONFIG_METADATA!$B$4,nASIG,"Conjunto"),""))</f>
        <v/>
      </c>
      <c r="E392" t="str">
        <f>IF(A392="","",IFERROR(AVERAGEIFS(nNOTA,nNIA,A392,nEVAL,CONFIG_METADATA!$B$4,nASIG,"&lt;&gt;Lenguaje Musical",nASIG,"&lt;&gt;Coro",nASIG,"&lt;&gt;Conjunto"),""))</f>
        <v/>
      </c>
      <c r="H392" t="str">
        <f>IF(G392="","",IFERROR(AVERAGEIFS(nNOTA,nNIA,G392,nEVAL,CONFIG_METADATA!$B$4,nASIG,"Lenguaje Musical"),""))</f>
        <v/>
      </c>
      <c r="I392" t="str">
        <f>IF(G392="","",IFERROR(AVERAGEIFS(nNOTA,nNIA,G392,nEVAL,CONFIG_METADATA!$B$4,nASIG,"Coro"),""))</f>
        <v/>
      </c>
      <c r="J392" t="str">
        <f>IF(G392="","",IFERROR(AVERAGEIFS(nNOTA,nNIA,G392,nEVAL,CONFIG_METADATA!$B$4,nASIG,"Conjunto"),""))</f>
        <v/>
      </c>
      <c r="K392" t="str" cm="1">
        <f t="array" ref="K392">IF(G392="","",IFERROR(AVERAGE(IF((nNIA=G392)*(nEVAL=CONFIG_METADATA!$B$4)*(nASIG&lt;&gt;"Lenguaje Musical")*(nASIG&lt;&gt;"Coro")*(nASIG&lt;&gt;"Conjunto"),nNOTA)),""))</f>
        <v/>
      </c>
      <c r="N392" t="str">
        <f>IF(M392="","",IFERROR(AVERAGEIFS(nNOTA,nNIA,M392,nEVAL,CONFIG_METADATA!$B$4,nASIG,"Lenguaje Musical"),""))</f>
        <v/>
      </c>
      <c r="O392" t="str">
        <f>IF(M392="","",IFERROR(AVERAGEIFS(nNOTA,nNIA,M392,nEVAL,CONFIG_METADATA!$B$4,nASIG,"Coro"),""))</f>
        <v/>
      </c>
      <c r="P392" t="str">
        <f>IF(M392="","",IFERROR(AVERAGEIFS(nNOTA,nNIA,M392,nEVAL,CONFIG_METADATA!$B$4,nASIG,"Conjunto"),""))</f>
        <v/>
      </c>
      <c r="Q392" t="str">
        <f>IF(M392="","",IFERROR(AVERAGEIFS(nNOTA,nNIA,M392,nEVAL,CONFIG_METADATA!$B$4,nASIG,"&lt;&gt;Lenguaje Musical",nASIG,"&lt;&gt;Coro",nASIG,"&lt;&gt;Conjunto"),""))</f>
        <v/>
      </c>
      <c r="T392" t="str">
        <f>IF(S392="","",IFERROR(AVERAGEIFS(nNOTA,nNIA,S392,nEVAL,CONFIG_METADATA!$B$4,nASIG,"Lenguaje Musical"),""))</f>
        <v/>
      </c>
      <c r="U392" t="str">
        <f>IF(S392="","",IFERROR(AVERAGEIFS(nNOTA,nNIA,S392,nEVAL,CONFIG_METADATA!$B$4,nASIG,"Coro"),""))</f>
        <v/>
      </c>
      <c r="V392" t="str">
        <f>IF(S392="","",IFERROR(AVERAGEIFS(nNOTA,nNIA,S392,nEVAL,CONFIG_METADATA!$B$4,nASIG,"Conjunto"),""))</f>
        <v/>
      </c>
      <c r="W392" t="str" cm="1">
        <f t="array" ref="W392">IF(S392="","",IFERROR(AVERAGE(IF((nNIA=S392)*(nEVAL=CONFIG_METADATA!$B$4)*(nASIG&lt;&gt;"Lenguaje Musical")*(nASIG&lt;&gt;"Coro")*(nASIG&lt;&gt;"Conjunto"),nNOTA)),""))</f>
        <v/>
      </c>
    </row>
    <row r="393" spans="2:23" x14ac:dyDescent="0.2">
      <c r="B393" t="str">
        <f>IF(A393="","",IFERROR(AVERAGEIFS(nNOTA,nNIA,A393,nEVAL,CONFIG_METADATA!$B$4,nASIG,"Lenguaje Musical"),""))</f>
        <v/>
      </c>
      <c r="C393" t="str">
        <f>IF(A393="","",IFERROR(AVERAGEIFS(nNOTA,nNIA,A393,nEVAL,CONFIG_METADATA!$B$4,nASIG,"Coro"),""))</f>
        <v/>
      </c>
      <c r="D393" t="str">
        <f>IF(A393="","",IFERROR(AVERAGEIFS(nNOTA,nNIA,A393,nEVAL,CONFIG_METADATA!$B$4,nASIG,"Conjunto"),""))</f>
        <v/>
      </c>
      <c r="E393" t="str">
        <f>IF(A393="","",IFERROR(AVERAGEIFS(nNOTA,nNIA,A393,nEVAL,CONFIG_METADATA!$B$4,nASIG,"&lt;&gt;Lenguaje Musical",nASIG,"&lt;&gt;Coro",nASIG,"&lt;&gt;Conjunto"),""))</f>
        <v/>
      </c>
      <c r="H393" t="str">
        <f>IF(G393="","",IFERROR(AVERAGEIFS(nNOTA,nNIA,G393,nEVAL,CONFIG_METADATA!$B$4,nASIG,"Lenguaje Musical"),""))</f>
        <v/>
      </c>
      <c r="I393" t="str">
        <f>IF(G393="","",IFERROR(AVERAGEIFS(nNOTA,nNIA,G393,nEVAL,CONFIG_METADATA!$B$4,nASIG,"Coro"),""))</f>
        <v/>
      </c>
      <c r="J393" t="str">
        <f>IF(G393="","",IFERROR(AVERAGEIFS(nNOTA,nNIA,G393,nEVAL,CONFIG_METADATA!$B$4,nASIG,"Conjunto"),""))</f>
        <v/>
      </c>
      <c r="K393" t="str" cm="1">
        <f t="array" ref="K393">IF(G393="","",IFERROR(AVERAGE(IF((nNIA=G393)*(nEVAL=CONFIG_METADATA!$B$4)*(nASIG&lt;&gt;"Lenguaje Musical")*(nASIG&lt;&gt;"Coro")*(nASIG&lt;&gt;"Conjunto"),nNOTA)),""))</f>
        <v/>
      </c>
      <c r="N393" t="str">
        <f>IF(M393="","",IFERROR(AVERAGEIFS(nNOTA,nNIA,M393,nEVAL,CONFIG_METADATA!$B$4,nASIG,"Lenguaje Musical"),""))</f>
        <v/>
      </c>
      <c r="O393" t="str">
        <f>IF(M393="","",IFERROR(AVERAGEIFS(nNOTA,nNIA,M393,nEVAL,CONFIG_METADATA!$B$4,nASIG,"Coro"),""))</f>
        <v/>
      </c>
      <c r="P393" t="str">
        <f>IF(M393="","",IFERROR(AVERAGEIFS(nNOTA,nNIA,M393,nEVAL,CONFIG_METADATA!$B$4,nASIG,"Conjunto"),""))</f>
        <v/>
      </c>
      <c r="Q393" t="str">
        <f>IF(M393="","",IFERROR(AVERAGEIFS(nNOTA,nNIA,M393,nEVAL,CONFIG_METADATA!$B$4,nASIG,"&lt;&gt;Lenguaje Musical",nASIG,"&lt;&gt;Coro",nASIG,"&lt;&gt;Conjunto"),""))</f>
        <v/>
      </c>
      <c r="T393" t="str">
        <f>IF(S393="","",IFERROR(AVERAGEIFS(nNOTA,nNIA,S393,nEVAL,CONFIG_METADATA!$B$4,nASIG,"Lenguaje Musical"),""))</f>
        <v/>
      </c>
      <c r="U393" t="str">
        <f>IF(S393="","",IFERROR(AVERAGEIFS(nNOTA,nNIA,S393,nEVAL,CONFIG_METADATA!$B$4,nASIG,"Coro"),""))</f>
        <v/>
      </c>
      <c r="V393" t="str">
        <f>IF(S393="","",IFERROR(AVERAGEIFS(nNOTA,nNIA,S393,nEVAL,CONFIG_METADATA!$B$4,nASIG,"Conjunto"),""))</f>
        <v/>
      </c>
      <c r="W393" t="str" cm="1">
        <f t="array" ref="W393">IF(S393="","",IFERROR(AVERAGE(IF((nNIA=S393)*(nEVAL=CONFIG_METADATA!$B$4)*(nASIG&lt;&gt;"Lenguaje Musical")*(nASIG&lt;&gt;"Coro")*(nASIG&lt;&gt;"Conjunto"),nNOTA)),""))</f>
        <v/>
      </c>
    </row>
    <row r="394" spans="2:23" x14ac:dyDescent="0.2">
      <c r="B394" t="str">
        <f>IF(A394="","",IFERROR(AVERAGEIFS(nNOTA,nNIA,A394,nEVAL,CONFIG_METADATA!$B$4,nASIG,"Lenguaje Musical"),""))</f>
        <v/>
      </c>
      <c r="C394" t="str">
        <f>IF(A394="","",IFERROR(AVERAGEIFS(nNOTA,nNIA,A394,nEVAL,CONFIG_METADATA!$B$4,nASIG,"Coro"),""))</f>
        <v/>
      </c>
      <c r="D394" t="str">
        <f>IF(A394="","",IFERROR(AVERAGEIFS(nNOTA,nNIA,A394,nEVAL,CONFIG_METADATA!$B$4,nASIG,"Conjunto"),""))</f>
        <v/>
      </c>
      <c r="E394" t="str">
        <f>IF(A394="","",IFERROR(AVERAGEIFS(nNOTA,nNIA,A394,nEVAL,CONFIG_METADATA!$B$4,nASIG,"&lt;&gt;Lenguaje Musical",nASIG,"&lt;&gt;Coro",nASIG,"&lt;&gt;Conjunto"),""))</f>
        <v/>
      </c>
      <c r="H394" t="str">
        <f>IF(G394="","",IFERROR(AVERAGEIFS(nNOTA,nNIA,G394,nEVAL,CONFIG_METADATA!$B$4,nASIG,"Lenguaje Musical"),""))</f>
        <v/>
      </c>
      <c r="I394" t="str">
        <f>IF(G394="","",IFERROR(AVERAGEIFS(nNOTA,nNIA,G394,nEVAL,CONFIG_METADATA!$B$4,nASIG,"Coro"),""))</f>
        <v/>
      </c>
      <c r="J394" t="str">
        <f>IF(G394="","",IFERROR(AVERAGEIFS(nNOTA,nNIA,G394,nEVAL,CONFIG_METADATA!$B$4,nASIG,"Conjunto"),""))</f>
        <v/>
      </c>
      <c r="K394" t="str" cm="1">
        <f t="array" ref="K394">IF(G394="","",IFERROR(AVERAGE(IF((nNIA=G394)*(nEVAL=CONFIG_METADATA!$B$4)*(nASIG&lt;&gt;"Lenguaje Musical")*(nASIG&lt;&gt;"Coro")*(nASIG&lt;&gt;"Conjunto"),nNOTA)),""))</f>
        <v/>
      </c>
      <c r="N394" t="str">
        <f>IF(M394="","",IFERROR(AVERAGEIFS(nNOTA,nNIA,M394,nEVAL,CONFIG_METADATA!$B$4,nASIG,"Lenguaje Musical"),""))</f>
        <v/>
      </c>
      <c r="O394" t="str">
        <f>IF(M394="","",IFERROR(AVERAGEIFS(nNOTA,nNIA,M394,nEVAL,CONFIG_METADATA!$B$4,nASIG,"Coro"),""))</f>
        <v/>
      </c>
      <c r="P394" t="str">
        <f>IF(M394="","",IFERROR(AVERAGEIFS(nNOTA,nNIA,M394,nEVAL,CONFIG_METADATA!$B$4,nASIG,"Conjunto"),""))</f>
        <v/>
      </c>
      <c r="Q394" t="str">
        <f>IF(M394="","",IFERROR(AVERAGEIFS(nNOTA,nNIA,M394,nEVAL,CONFIG_METADATA!$B$4,nASIG,"&lt;&gt;Lenguaje Musical",nASIG,"&lt;&gt;Coro",nASIG,"&lt;&gt;Conjunto"),""))</f>
        <v/>
      </c>
      <c r="T394" t="str">
        <f>IF(S394="","",IFERROR(AVERAGEIFS(nNOTA,nNIA,S394,nEVAL,CONFIG_METADATA!$B$4,nASIG,"Lenguaje Musical"),""))</f>
        <v/>
      </c>
      <c r="U394" t="str">
        <f>IF(S394="","",IFERROR(AVERAGEIFS(nNOTA,nNIA,S394,nEVAL,CONFIG_METADATA!$B$4,nASIG,"Coro"),""))</f>
        <v/>
      </c>
      <c r="V394" t="str">
        <f>IF(S394="","",IFERROR(AVERAGEIFS(nNOTA,nNIA,S394,nEVAL,CONFIG_METADATA!$B$4,nASIG,"Conjunto"),""))</f>
        <v/>
      </c>
      <c r="W394" t="str" cm="1">
        <f t="array" ref="W394">IF(S394="","",IFERROR(AVERAGE(IF((nNIA=S394)*(nEVAL=CONFIG_METADATA!$B$4)*(nASIG&lt;&gt;"Lenguaje Musical")*(nASIG&lt;&gt;"Coro")*(nASIG&lt;&gt;"Conjunto"),nNOTA)),""))</f>
        <v/>
      </c>
    </row>
    <row r="395" spans="2:23" x14ac:dyDescent="0.2">
      <c r="B395" t="str">
        <f>IF(A395="","",IFERROR(AVERAGEIFS(nNOTA,nNIA,A395,nEVAL,CONFIG_METADATA!$B$4,nASIG,"Lenguaje Musical"),""))</f>
        <v/>
      </c>
      <c r="C395" t="str">
        <f>IF(A395="","",IFERROR(AVERAGEIFS(nNOTA,nNIA,A395,nEVAL,CONFIG_METADATA!$B$4,nASIG,"Coro"),""))</f>
        <v/>
      </c>
      <c r="D395" t="str">
        <f>IF(A395="","",IFERROR(AVERAGEIFS(nNOTA,nNIA,A395,nEVAL,CONFIG_METADATA!$B$4,nASIG,"Conjunto"),""))</f>
        <v/>
      </c>
      <c r="E395" t="str">
        <f>IF(A395="","",IFERROR(AVERAGEIFS(nNOTA,nNIA,A395,nEVAL,CONFIG_METADATA!$B$4,nASIG,"&lt;&gt;Lenguaje Musical",nASIG,"&lt;&gt;Coro",nASIG,"&lt;&gt;Conjunto"),""))</f>
        <v/>
      </c>
      <c r="H395" t="str">
        <f>IF(G395="","",IFERROR(AVERAGEIFS(nNOTA,nNIA,G395,nEVAL,CONFIG_METADATA!$B$4,nASIG,"Lenguaje Musical"),""))</f>
        <v/>
      </c>
      <c r="I395" t="str">
        <f>IF(G395="","",IFERROR(AVERAGEIFS(nNOTA,nNIA,G395,nEVAL,CONFIG_METADATA!$B$4,nASIG,"Coro"),""))</f>
        <v/>
      </c>
      <c r="J395" t="str">
        <f>IF(G395="","",IFERROR(AVERAGEIFS(nNOTA,nNIA,G395,nEVAL,CONFIG_METADATA!$B$4,nASIG,"Conjunto"),""))</f>
        <v/>
      </c>
      <c r="K395" t="str" cm="1">
        <f t="array" ref="K395">IF(G395="","",IFERROR(AVERAGE(IF((nNIA=G395)*(nEVAL=CONFIG_METADATA!$B$4)*(nASIG&lt;&gt;"Lenguaje Musical")*(nASIG&lt;&gt;"Coro")*(nASIG&lt;&gt;"Conjunto"),nNOTA)),""))</f>
        <v/>
      </c>
      <c r="N395" t="str">
        <f>IF(M395="","",IFERROR(AVERAGEIFS(nNOTA,nNIA,M395,nEVAL,CONFIG_METADATA!$B$4,nASIG,"Lenguaje Musical"),""))</f>
        <v/>
      </c>
      <c r="O395" t="str">
        <f>IF(M395="","",IFERROR(AVERAGEIFS(nNOTA,nNIA,M395,nEVAL,CONFIG_METADATA!$B$4,nASIG,"Coro"),""))</f>
        <v/>
      </c>
      <c r="P395" t="str">
        <f>IF(M395="","",IFERROR(AVERAGEIFS(nNOTA,nNIA,M395,nEVAL,CONFIG_METADATA!$B$4,nASIG,"Conjunto"),""))</f>
        <v/>
      </c>
      <c r="Q395" t="str">
        <f>IF(M395="","",IFERROR(AVERAGEIFS(nNOTA,nNIA,M395,nEVAL,CONFIG_METADATA!$B$4,nASIG,"&lt;&gt;Lenguaje Musical",nASIG,"&lt;&gt;Coro",nASIG,"&lt;&gt;Conjunto"),""))</f>
        <v/>
      </c>
      <c r="T395" t="str">
        <f>IF(S395="","",IFERROR(AVERAGEIFS(nNOTA,nNIA,S395,nEVAL,CONFIG_METADATA!$B$4,nASIG,"Lenguaje Musical"),""))</f>
        <v/>
      </c>
      <c r="U395" t="str">
        <f>IF(S395="","",IFERROR(AVERAGEIFS(nNOTA,nNIA,S395,nEVAL,CONFIG_METADATA!$B$4,nASIG,"Coro"),""))</f>
        <v/>
      </c>
      <c r="V395" t="str">
        <f>IF(S395="","",IFERROR(AVERAGEIFS(nNOTA,nNIA,S395,nEVAL,CONFIG_METADATA!$B$4,nASIG,"Conjunto"),""))</f>
        <v/>
      </c>
      <c r="W395" t="str" cm="1">
        <f t="array" ref="W395">IF(S395="","",IFERROR(AVERAGE(IF((nNIA=S395)*(nEVAL=CONFIG_METADATA!$B$4)*(nASIG&lt;&gt;"Lenguaje Musical")*(nASIG&lt;&gt;"Coro")*(nASIG&lt;&gt;"Conjunto"),nNOTA)),""))</f>
        <v/>
      </c>
    </row>
    <row r="396" spans="2:23" x14ac:dyDescent="0.2">
      <c r="B396" t="str">
        <f>IF(A396="","",IFERROR(AVERAGEIFS(nNOTA,nNIA,A396,nEVAL,CONFIG_METADATA!$B$4,nASIG,"Lenguaje Musical"),""))</f>
        <v/>
      </c>
      <c r="C396" t="str">
        <f>IF(A396="","",IFERROR(AVERAGEIFS(nNOTA,nNIA,A396,nEVAL,CONFIG_METADATA!$B$4,nASIG,"Coro"),""))</f>
        <v/>
      </c>
      <c r="D396" t="str">
        <f>IF(A396="","",IFERROR(AVERAGEIFS(nNOTA,nNIA,A396,nEVAL,CONFIG_METADATA!$B$4,nASIG,"Conjunto"),""))</f>
        <v/>
      </c>
      <c r="E396" t="str">
        <f>IF(A396="","",IFERROR(AVERAGEIFS(nNOTA,nNIA,A396,nEVAL,CONFIG_METADATA!$B$4,nASIG,"&lt;&gt;Lenguaje Musical",nASIG,"&lt;&gt;Coro",nASIG,"&lt;&gt;Conjunto"),""))</f>
        <v/>
      </c>
      <c r="H396" t="str">
        <f>IF(G396="","",IFERROR(AVERAGEIFS(nNOTA,nNIA,G396,nEVAL,CONFIG_METADATA!$B$4,nASIG,"Lenguaje Musical"),""))</f>
        <v/>
      </c>
      <c r="I396" t="str">
        <f>IF(G396="","",IFERROR(AVERAGEIFS(nNOTA,nNIA,G396,nEVAL,CONFIG_METADATA!$B$4,nASIG,"Coro"),""))</f>
        <v/>
      </c>
      <c r="J396" t="str">
        <f>IF(G396="","",IFERROR(AVERAGEIFS(nNOTA,nNIA,G396,nEVAL,CONFIG_METADATA!$B$4,nASIG,"Conjunto"),""))</f>
        <v/>
      </c>
      <c r="K396" t="str" cm="1">
        <f t="array" ref="K396">IF(G396="","",IFERROR(AVERAGE(IF((nNIA=G396)*(nEVAL=CONFIG_METADATA!$B$4)*(nASIG&lt;&gt;"Lenguaje Musical")*(nASIG&lt;&gt;"Coro")*(nASIG&lt;&gt;"Conjunto"),nNOTA)),""))</f>
        <v/>
      </c>
      <c r="N396" t="str">
        <f>IF(M396="","",IFERROR(AVERAGEIFS(nNOTA,nNIA,M396,nEVAL,CONFIG_METADATA!$B$4,nASIG,"Lenguaje Musical"),""))</f>
        <v/>
      </c>
      <c r="O396" t="str">
        <f>IF(M396="","",IFERROR(AVERAGEIFS(nNOTA,nNIA,M396,nEVAL,CONFIG_METADATA!$B$4,nASIG,"Coro"),""))</f>
        <v/>
      </c>
      <c r="P396" t="str">
        <f>IF(M396="","",IFERROR(AVERAGEIFS(nNOTA,nNIA,M396,nEVAL,CONFIG_METADATA!$B$4,nASIG,"Conjunto"),""))</f>
        <v/>
      </c>
      <c r="Q396" t="str">
        <f>IF(M396="","",IFERROR(AVERAGEIFS(nNOTA,nNIA,M396,nEVAL,CONFIG_METADATA!$B$4,nASIG,"&lt;&gt;Lenguaje Musical",nASIG,"&lt;&gt;Coro",nASIG,"&lt;&gt;Conjunto"),""))</f>
        <v/>
      </c>
      <c r="T396" t="str">
        <f>IF(S396="","",IFERROR(AVERAGEIFS(nNOTA,nNIA,S396,nEVAL,CONFIG_METADATA!$B$4,nASIG,"Lenguaje Musical"),""))</f>
        <v/>
      </c>
      <c r="U396" t="str">
        <f>IF(S396="","",IFERROR(AVERAGEIFS(nNOTA,nNIA,S396,nEVAL,CONFIG_METADATA!$B$4,nASIG,"Coro"),""))</f>
        <v/>
      </c>
      <c r="V396" t="str">
        <f>IF(S396="","",IFERROR(AVERAGEIFS(nNOTA,nNIA,S396,nEVAL,CONFIG_METADATA!$B$4,nASIG,"Conjunto"),""))</f>
        <v/>
      </c>
      <c r="W396" t="str" cm="1">
        <f t="array" ref="W396">IF(S396="","",IFERROR(AVERAGE(IF((nNIA=S396)*(nEVAL=CONFIG_METADATA!$B$4)*(nASIG&lt;&gt;"Lenguaje Musical")*(nASIG&lt;&gt;"Coro")*(nASIG&lt;&gt;"Conjunto"),nNOTA)),""))</f>
        <v/>
      </c>
    </row>
    <row r="397" spans="2:23" x14ac:dyDescent="0.2">
      <c r="B397" t="str">
        <f>IF(A397="","",IFERROR(AVERAGEIFS(nNOTA,nNIA,A397,nEVAL,CONFIG_METADATA!$B$4,nASIG,"Lenguaje Musical"),""))</f>
        <v/>
      </c>
      <c r="C397" t="str">
        <f>IF(A397="","",IFERROR(AVERAGEIFS(nNOTA,nNIA,A397,nEVAL,CONFIG_METADATA!$B$4,nASIG,"Coro"),""))</f>
        <v/>
      </c>
      <c r="D397" t="str">
        <f>IF(A397="","",IFERROR(AVERAGEIFS(nNOTA,nNIA,A397,nEVAL,CONFIG_METADATA!$B$4,nASIG,"Conjunto"),""))</f>
        <v/>
      </c>
      <c r="E397" t="str">
        <f>IF(A397="","",IFERROR(AVERAGEIFS(nNOTA,nNIA,A397,nEVAL,CONFIG_METADATA!$B$4,nASIG,"&lt;&gt;Lenguaje Musical",nASIG,"&lt;&gt;Coro",nASIG,"&lt;&gt;Conjunto"),""))</f>
        <v/>
      </c>
      <c r="H397" t="str">
        <f>IF(G397="","",IFERROR(AVERAGEIFS(nNOTA,nNIA,G397,nEVAL,CONFIG_METADATA!$B$4,nASIG,"Lenguaje Musical"),""))</f>
        <v/>
      </c>
      <c r="I397" t="str">
        <f>IF(G397="","",IFERROR(AVERAGEIFS(nNOTA,nNIA,G397,nEVAL,CONFIG_METADATA!$B$4,nASIG,"Coro"),""))</f>
        <v/>
      </c>
      <c r="J397" t="str">
        <f>IF(G397="","",IFERROR(AVERAGEIFS(nNOTA,nNIA,G397,nEVAL,CONFIG_METADATA!$B$4,nASIG,"Conjunto"),""))</f>
        <v/>
      </c>
      <c r="K397" t="str" cm="1">
        <f t="array" ref="K397">IF(G397="","",IFERROR(AVERAGE(IF((nNIA=G397)*(nEVAL=CONFIG_METADATA!$B$4)*(nASIG&lt;&gt;"Lenguaje Musical")*(nASIG&lt;&gt;"Coro")*(nASIG&lt;&gt;"Conjunto"),nNOTA)),""))</f>
        <v/>
      </c>
      <c r="N397" t="str">
        <f>IF(M397="","",IFERROR(AVERAGEIFS(nNOTA,nNIA,M397,nEVAL,CONFIG_METADATA!$B$4,nASIG,"Lenguaje Musical"),""))</f>
        <v/>
      </c>
      <c r="O397" t="str">
        <f>IF(M397="","",IFERROR(AVERAGEIFS(nNOTA,nNIA,M397,nEVAL,CONFIG_METADATA!$B$4,nASIG,"Coro"),""))</f>
        <v/>
      </c>
      <c r="P397" t="str">
        <f>IF(M397="","",IFERROR(AVERAGEIFS(nNOTA,nNIA,M397,nEVAL,CONFIG_METADATA!$B$4,nASIG,"Conjunto"),""))</f>
        <v/>
      </c>
      <c r="Q397" t="str">
        <f>IF(M397="","",IFERROR(AVERAGEIFS(nNOTA,nNIA,M397,nEVAL,CONFIG_METADATA!$B$4,nASIG,"&lt;&gt;Lenguaje Musical",nASIG,"&lt;&gt;Coro",nASIG,"&lt;&gt;Conjunto"),""))</f>
        <v/>
      </c>
      <c r="T397" t="str">
        <f>IF(S397="","",IFERROR(AVERAGEIFS(nNOTA,nNIA,S397,nEVAL,CONFIG_METADATA!$B$4,nASIG,"Lenguaje Musical"),""))</f>
        <v/>
      </c>
      <c r="U397" t="str">
        <f>IF(S397="","",IFERROR(AVERAGEIFS(nNOTA,nNIA,S397,nEVAL,CONFIG_METADATA!$B$4,nASIG,"Coro"),""))</f>
        <v/>
      </c>
      <c r="V397" t="str">
        <f>IF(S397="","",IFERROR(AVERAGEIFS(nNOTA,nNIA,S397,nEVAL,CONFIG_METADATA!$B$4,nASIG,"Conjunto"),""))</f>
        <v/>
      </c>
      <c r="W397" t="str" cm="1">
        <f t="array" ref="W397">IF(S397="","",IFERROR(AVERAGE(IF((nNIA=S397)*(nEVAL=CONFIG_METADATA!$B$4)*(nASIG&lt;&gt;"Lenguaje Musical")*(nASIG&lt;&gt;"Coro")*(nASIG&lt;&gt;"Conjunto"),nNOTA)),""))</f>
        <v/>
      </c>
    </row>
    <row r="398" spans="2:23" x14ac:dyDescent="0.2">
      <c r="B398" t="str">
        <f>IF(A398="","",IFERROR(AVERAGEIFS(nNOTA,nNIA,A398,nEVAL,CONFIG_METADATA!$B$4,nASIG,"Lenguaje Musical"),""))</f>
        <v/>
      </c>
      <c r="C398" t="str">
        <f>IF(A398="","",IFERROR(AVERAGEIFS(nNOTA,nNIA,A398,nEVAL,CONFIG_METADATA!$B$4,nASIG,"Coro"),""))</f>
        <v/>
      </c>
      <c r="D398" t="str">
        <f>IF(A398="","",IFERROR(AVERAGEIFS(nNOTA,nNIA,A398,nEVAL,CONFIG_METADATA!$B$4,nASIG,"Conjunto"),""))</f>
        <v/>
      </c>
      <c r="E398" t="str">
        <f>IF(A398="","",IFERROR(AVERAGEIFS(nNOTA,nNIA,A398,nEVAL,CONFIG_METADATA!$B$4,nASIG,"&lt;&gt;Lenguaje Musical",nASIG,"&lt;&gt;Coro",nASIG,"&lt;&gt;Conjunto"),""))</f>
        <v/>
      </c>
      <c r="H398" t="str">
        <f>IF(G398="","",IFERROR(AVERAGEIFS(nNOTA,nNIA,G398,nEVAL,CONFIG_METADATA!$B$4,nASIG,"Lenguaje Musical"),""))</f>
        <v/>
      </c>
      <c r="I398" t="str">
        <f>IF(G398="","",IFERROR(AVERAGEIFS(nNOTA,nNIA,G398,nEVAL,CONFIG_METADATA!$B$4,nASIG,"Coro"),""))</f>
        <v/>
      </c>
      <c r="J398" t="str">
        <f>IF(G398="","",IFERROR(AVERAGEIFS(nNOTA,nNIA,G398,nEVAL,CONFIG_METADATA!$B$4,nASIG,"Conjunto"),""))</f>
        <v/>
      </c>
      <c r="K398" t="str" cm="1">
        <f t="array" ref="K398">IF(G398="","",IFERROR(AVERAGE(IF((nNIA=G398)*(nEVAL=CONFIG_METADATA!$B$4)*(nASIG&lt;&gt;"Lenguaje Musical")*(nASIG&lt;&gt;"Coro")*(nASIG&lt;&gt;"Conjunto"),nNOTA)),""))</f>
        <v/>
      </c>
      <c r="N398" t="str">
        <f>IF(M398="","",IFERROR(AVERAGEIFS(nNOTA,nNIA,M398,nEVAL,CONFIG_METADATA!$B$4,nASIG,"Lenguaje Musical"),""))</f>
        <v/>
      </c>
      <c r="O398" t="str">
        <f>IF(M398="","",IFERROR(AVERAGEIFS(nNOTA,nNIA,M398,nEVAL,CONFIG_METADATA!$B$4,nASIG,"Coro"),""))</f>
        <v/>
      </c>
      <c r="P398" t="str">
        <f>IF(M398="","",IFERROR(AVERAGEIFS(nNOTA,nNIA,M398,nEVAL,CONFIG_METADATA!$B$4,nASIG,"Conjunto"),""))</f>
        <v/>
      </c>
      <c r="Q398" t="str">
        <f>IF(M398="","",IFERROR(AVERAGEIFS(nNOTA,nNIA,M398,nEVAL,CONFIG_METADATA!$B$4,nASIG,"&lt;&gt;Lenguaje Musical",nASIG,"&lt;&gt;Coro",nASIG,"&lt;&gt;Conjunto"),""))</f>
        <v/>
      </c>
      <c r="T398" t="str">
        <f>IF(S398="","",IFERROR(AVERAGEIFS(nNOTA,nNIA,S398,nEVAL,CONFIG_METADATA!$B$4,nASIG,"Lenguaje Musical"),""))</f>
        <v/>
      </c>
      <c r="U398" t="str">
        <f>IF(S398="","",IFERROR(AVERAGEIFS(nNOTA,nNIA,S398,nEVAL,CONFIG_METADATA!$B$4,nASIG,"Coro"),""))</f>
        <v/>
      </c>
      <c r="V398" t="str">
        <f>IF(S398="","",IFERROR(AVERAGEIFS(nNOTA,nNIA,S398,nEVAL,CONFIG_METADATA!$B$4,nASIG,"Conjunto"),""))</f>
        <v/>
      </c>
      <c r="W398" t="str" cm="1">
        <f t="array" ref="W398">IF(S398="","",IFERROR(AVERAGE(IF((nNIA=S398)*(nEVAL=CONFIG_METADATA!$B$4)*(nASIG&lt;&gt;"Lenguaje Musical")*(nASIG&lt;&gt;"Coro")*(nASIG&lt;&gt;"Conjunto"),nNOTA)),""))</f>
        <v/>
      </c>
    </row>
    <row r="399" spans="2:23" x14ac:dyDescent="0.2">
      <c r="B399" t="str">
        <f>IF(A399="","",IFERROR(AVERAGEIFS(nNOTA,nNIA,A399,nEVAL,CONFIG_METADATA!$B$4,nASIG,"Lenguaje Musical"),""))</f>
        <v/>
      </c>
      <c r="C399" t="str">
        <f>IF(A399="","",IFERROR(AVERAGEIFS(nNOTA,nNIA,A399,nEVAL,CONFIG_METADATA!$B$4,nASIG,"Coro"),""))</f>
        <v/>
      </c>
      <c r="D399" t="str">
        <f>IF(A399="","",IFERROR(AVERAGEIFS(nNOTA,nNIA,A399,nEVAL,CONFIG_METADATA!$B$4,nASIG,"Conjunto"),""))</f>
        <v/>
      </c>
      <c r="E399" t="str">
        <f>IF(A399="","",IFERROR(AVERAGEIFS(nNOTA,nNIA,A399,nEVAL,CONFIG_METADATA!$B$4,nASIG,"&lt;&gt;Lenguaje Musical",nASIG,"&lt;&gt;Coro",nASIG,"&lt;&gt;Conjunto"),""))</f>
        <v/>
      </c>
      <c r="H399" t="str">
        <f>IF(G399="","",IFERROR(AVERAGEIFS(nNOTA,nNIA,G399,nEVAL,CONFIG_METADATA!$B$4,nASIG,"Lenguaje Musical"),""))</f>
        <v/>
      </c>
      <c r="I399" t="str">
        <f>IF(G399="","",IFERROR(AVERAGEIFS(nNOTA,nNIA,G399,nEVAL,CONFIG_METADATA!$B$4,nASIG,"Coro"),""))</f>
        <v/>
      </c>
      <c r="J399" t="str">
        <f>IF(G399="","",IFERROR(AVERAGEIFS(nNOTA,nNIA,G399,nEVAL,CONFIG_METADATA!$B$4,nASIG,"Conjunto"),""))</f>
        <v/>
      </c>
      <c r="K399" t="str" cm="1">
        <f t="array" ref="K399">IF(G399="","",IFERROR(AVERAGE(IF((nNIA=G399)*(nEVAL=CONFIG_METADATA!$B$4)*(nASIG&lt;&gt;"Lenguaje Musical")*(nASIG&lt;&gt;"Coro")*(nASIG&lt;&gt;"Conjunto"),nNOTA)),""))</f>
        <v/>
      </c>
      <c r="N399" t="str">
        <f>IF(M399="","",IFERROR(AVERAGEIFS(nNOTA,nNIA,M399,nEVAL,CONFIG_METADATA!$B$4,nASIG,"Lenguaje Musical"),""))</f>
        <v/>
      </c>
      <c r="O399" t="str">
        <f>IF(M399="","",IFERROR(AVERAGEIFS(nNOTA,nNIA,M399,nEVAL,CONFIG_METADATA!$B$4,nASIG,"Coro"),""))</f>
        <v/>
      </c>
      <c r="P399" t="str">
        <f>IF(M399="","",IFERROR(AVERAGEIFS(nNOTA,nNIA,M399,nEVAL,CONFIG_METADATA!$B$4,nASIG,"Conjunto"),""))</f>
        <v/>
      </c>
      <c r="Q399" t="str">
        <f>IF(M399="","",IFERROR(AVERAGEIFS(nNOTA,nNIA,M399,nEVAL,CONFIG_METADATA!$B$4,nASIG,"&lt;&gt;Lenguaje Musical",nASIG,"&lt;&gt;Coro",nASIG,"&lt;&gt;Conjunto"),""))</f>
        <v/>
      </c>
      <c r="T399" t="str">
        <f>IF(S399="","",IFERROR(AVERAGEIFS(nNOTA,nNIA,S399,nEVAL,CONFIG_METADATA!$B$4,nASIG,"Lenguaje Musical"),""))</f>
        <v/>
      </c>
      <c r="U399" t="str">
        <f>IF(S399="","",IFERROR(AVERAGEIFS(nNOTA,nNIA,S399,nEVAL,CONFIG_METADATA!$B$4,nASIG,"Coro"),""))</f>
        <v/>
      </c>
      <c r="V399" t="str">
        <f>IF(S399="","",IFERROR(AVERAGEIFS(nNOTA,nNIA,S399,nEVAL,CONFIG_METADATA!$B$4,nASIG,"Conjunto"),""))</f>
        <v/>
      </c>
      <c r="W399" t="str" cm="1">
        <f t="array" ref="W399">IF(S399="","",IFERROR(AVERAGE(IF((nNIA=S399)*(nEVAL=CONFIG_METADATA!$B$4)*(nASIG&lt;&gt;"Lenguaje Musical")*(nASIG&lt;&gt;"Coro")*(nASIG&lt;&gt;"Conjunto"),nNOTA)),""))</f>
        <v/>
      </c>
    </row>
    <row r="400" spans="2:23" x14ac:dyDescent="0.2">
      <c r="B400" t="str">
        <f>IF(A400="","",IFERROR(AVERAGEIFS(nNOTA,nNIA,A400,nEVAL,CONFIG_METADATA!$B$4,nASIG,"Lenguaje Musical"),""))</f>
        <v/>
      </c>
      <c r="C400" t="str">
        <f>IF(A400="","",IFERROR(AVERAGEIFS(nNOTA,nNIA,A400,nEVAL,CONFIG_METADATA!$B$4,nASIG,"Coro"),""))</f>
        <v/>
      </c>
      <c r="D400" t="str">
        <f>IF(A400="","",IFERROR(AVERAGEIFS(nNOTA,nNIA,A400,nEVAL,CONFIG_METADATA!$B$4,nASIG,"Conjunto"),""))</f>
        <v/>
      </c>
      <c r="E400" t="str">
        <f>IF(A400="","",IFERROR(AVERAGEIFS(nNOTA,nNIA,A400,nEVAL,CONFIG_METADATA!$B$4,nASIG,"&lt;&gt;Lenguaje Musical",nASIG,"&lt;&gt;Coro",nASIG,"&lt;&gt;Conjunto"),""))</f>
        <v/>
      </c>
      <c r="H400" t="str">
        <f>IF(G400="","",IFERROR(AVERAGEIFS(nNOTA,nNIA,G400,nEVAL,CONFIG_METADATA!$B$4,nASIG,"Lenguaje Musical"),""))</f>
        <v/>
      </c>
      <c r="I400" t="str">
        <f>IF(G400="","",IFERROR(AVERAGEIFS(nNOTA,nNIA,G400,nEVAL,CONFIG_METADATA!$B$4,nASIG,"Coro"),""))</f>
        <v/>
      </c>
      <c r="J400" t="str">
        <f>IF(G400="","",IFERROR(AVERAGEIFS(nNOTA,nNIA,G400,nEVAL,CONFIG_METADATA!$B$4,nASIG,"Conjunto"),""))</f>
        <v/>
      </c>
      <c r="K400" t="str" cm="1">
        <f t="array" ref="K400">IF(G400="","",IFERROR(AVERAGE(IF((nNIA=G400)*(nEVAL=CONFIG_METADATA!$B$4)*(nASIG&lt;&gt;"Lenguaje Musical")*(nASIG&lt;&gt;"Coro")*(nASIG&lt;&gt;"Conjunto"),nNOTA)),""))</f>
        <v/>
      </c>
      <c r="N400" t="str">
        <f>IF(M400="","",IFERROR(AVERAGEIFS(nNOTA,nNIA,M400,nEVAL,CONFIG_METADATA!$B$4,nASIG,"Lenguaje Musical"),""))</f>
        <v/>
      </c>
      <c r="O400" t="str">
        <f>IF(M400="","",IFERROR(AVERAGEIFS(nNOTA,nNIA,M400,nEVAL,CONFIG_METADATA!$B$4,nASIG,"Coro"),""))</f>
        <v/>
      </c>
      <c r="P400" t="str">
        <f>IF(M400="","",IFERROR(AVERAGEIFS(nNOTA,nNIA,M400,nEVAL,CONFIG_METADATA!$B$4,nASIG,"Conjunto"),""))</f>
        <v/>
      </c>
      <c r="Q400" t="str">
        <f>IF(M400="","",IFERROR(AVERAGEIFS(nNOTA,nNIA,M400,nEVAL,CONFIG_METADATA!$B$4,nASIG,"&lt;&gt;Lenguaje Musical",nASIG,"&lt;&gt;Coro",nASIG,"&lt;&gt;Conjunto"),""))</f>
        <v/>
      </c>
      <c r="T400" t="str">
        <f>IF(S400="","",IFERROR(AVERAGEIFS(nNOTA,nNIA,S400,nEVAL,CONFIG_METADATA!$B$4,nASIG,"Lenguaje Musical"),""))</f>
        <v/>
      </c>
      <c r="U400" t="str">
        <f>IF(S400="","",IFERROR(AVERAGEIFS(nNOTA,nNIA,S400,nEVAL,CONFIG_METADATA!$B$4,nASIG,"Coro"),""))</f>
        <v/>
      </c>
      <c r="V400" t="str">
        <f>IF(S400="","",IFERROR(AVERAGEIFS(nNOTA,nNIA,S400,nEVAL,CONFIG_METADATA!$B$4,nASIG,"Conjunto"),""))</f>
        <v/>
      </c>
      <c r="W400" t="str" cm="1">
        <f t="array" ref="W400">IF(S400="","",IFERROR(AVERAGE(IF((nNIA=S400)*(nEVAL=CONFIG_METADATA!$B$4)*(nASIG&lt;&gt;"Lenguaje Musical")*(nASIG&lt;&gt;"Coro")*(nASIG&lt;&gt;"Conjunto"),nNOTA)),""))</f>
        <v/>
      </c>
    </row>
    <row r="401" spans="2:23" x14ac:dyDescent="0.2">
      <c r="B401" t="str">
        <f>IF(A401="","",IFERROR(AVERAGEIFS(nNOTA,nNIA,A401,nEVAL,CONFIG_METADATA!$B$4,nASIG,"Lenguaje Musical"),""))</f>
        <v/>
      </c>
      <c r="C401" t="str">
        <f>IF(A401="","",IFERROR(AVERAGEIFS(nNOTA,nNIA,A401,nEVAL,CONFIG_METADATA!$B$4,nASIG,"Coro"),""))</f>
        <v/>
      </c>
      <c r="D401" t="str">
        <f>IF(A401="","",IFERROR(AVERAGEIFS(nNOTA,nNIA,A401,nEVAL,CONFIG_METADATA!$B$4,nASIG,"Conjunto"),""))</f>
        <v/>
      </c>
      <c r="E401" t="str">
        <f>IF(A401="","",IFERROR(AVERAGEIFS(nNOTA,nNIA,A401,nEVAL,CONFIG_METADATA!$B$4,nASIG,"&lt;&gt;Lenguaje Musical",nASIG,"&lt;&gt;Coro",nASIG,"&lt;&gt;Conjunto"),""))</f>
        <v/>
      </c>
      <c r="H401" t="str">
        <f>IF(G401="","",IFERROR(AVERAGEIFS(nNOTA,nNIA,G401,nEVAL,CONFIG_METADATA!$B$4,nASIG,"Lenguaje Musical"),""))</f>
        <v/>
      </c>
      <c r="I401" t="str">
        <f>IF(G401="","",IFERROR(AVERAGEIFS(nNOTA,nNIA,G401,nEVAL,CONFIG_METADATA!$B$4,nASIG,"Coro"),""))</f>
        <v/>
      </c>
      <c r="J401" t="str">
        <f>IF(G401="","",IFERROR(AVERAGEIFS(nNOTA,nNIA,G401,nEVAL,CONFIG_METADATA!$B$4,nASIG,"Conjunto"),""))</f>
        <v/>
      </c>
      <c r="K401" t="str" cm="1">
        <f t="array" ref="K401">IF(G401="","",IFERROR(AVERAGE(IF((nNIA=G401)*(nEVAL=CONFIG_METADATA!$B$4)*(nASIG&lt;&gt;"Lenguaje Musical")*(nASIG&lt;&gt;"Coro")*(nASIG&lt;&gt;"Conjunto"),nNOTA)),""))</f>
        <v/>
      </c>
      <c r="N401" t="str">
        <f>IF(M401="","",IFERROR(AVERAGEIFS(nNOTA,nNIA,M401,nEVAL,CONFIG_METADATA!$B$4,nASIG,"Lenguaje Musical"),""))</f>
        <v/>
      </c>
      <c r="O401" t="str">
        <f>IF(M401="","",IFERROR(AVERAGEIFS(nNOTA,nNIA,M401,nEVAL,CONFIG_METADATA!$B$4,nASIG,"Coro"),""))</f>
        <v/>
      </c>
      <c r="P401" t="str">
        <f>IF(M401="","",IFERROR(AVERAGEIFS(nNOTA,nNIA,M401,nEVAL,CONFIG_METADATA!$B$4,nASIG,"Conjunto"),""))</f>
        <v/>
      </c>
      <c r="Q401" t="str">
        <f>IF(M401="","",IFERROR(AVERAGEIFS(nNOTA,nNIA,M401,nEVAL,CONFIG_METADATA!$B$4,nASIG,"&lt;&gt;Lenguaje Musical",nASIG,"&lt;&gt;Coro",nASIG,"&lt;&gt;Conjunto"),""))</f>
        <v/>
      </c>
      <c r="T401" t="str">
        <f>IF(S401="","",IFERROR(AVERAGEIFS(nNOTA,nNIA,S401,nEVAL,CONFIG_METADATA!$B$4,nASIG,"Lenguaje Musical"),""))</f>
        <v/>
      </c>
      <c r="U401" t="str">
        <f>IF(S401="","",IFERROR(AVERAGEIFS(nNOTA,nNIA,S401,nEVAL,CONFIG_METADATA!$B$4,nASIG,"Coro"),""))</f>
        <v/>
      </c>
      <c r="V401" t="str">
        <f>IF(S401="","",IFERROR(AVERAGEIFS(nNOTA,nNIA,S401,nEVAL,CONFIG_METADATA!$B$4,nASIG,"Conjunto"),""))</f>
        <v/>
      </c>
      <c r="W401" t="str" cm="1">
        <f t="array" ref="W401">IF(S401="","",IFERROR(AVERAGE(IF((nNIA=S401)*(nEVAL=CONFIG_METADATA!$B$4)*(nASIG&lt;&gt;"Lenguaje Musical")*(nASIG&lt;&gt;"Coro")*(nASIG&lt;&gt;"Conjunto"),nNOTA)),""))</f>
        <v/>
      </c>
    </row>
    <row r="402" spans="2:23" x14ac:dyDescent="0.2">
      <c r="B402" t="str">
        <f>IF(A402="","",IFERROR(AVERAGEIFS(nNOTA,nNIA,A402,nEVAL,CONFIG_METADATA!$B$4,nASIG,"Lenguaje Musical"),""))</f>
        <v/>
      </c>
      <c r="C402" t="str">
        <f>IF(A402="","",IFERROR(AVERAGEIFS(nNOTA,nNIA,A402,nEVAL,CONFIG_METADATA!$B$4,nASIG,"Coro"),""))</f>
        <v/>
      </c>
      <c r="D402" t="str">
        <f>IF(A402="","",IFERROR(AVERAGEIFS(nNOTA,nNIA,A402,nEVAL,CONFIG_METADATA!$B$4,nASIG,"Conjunto"),""))</f>
        <v/>
      </c>
      <c r="E402" t="str">
        <f>IF(A402="","",IFERROR(AVERAGEIFS(nNOTA,nNIA,A402,nEVAL,CONFIG_METADATA!$B$4,nASIG,"&lt;&gt;Lenguaje Musical",nASIG,"&lt;&gt;Coro",nASIG,"&lt;&gt;Conjunto"),""))</f>
        <v/>
      </c>
      <c r="H402" t="str">
        <f>IF(G402="","",IFERROR(AVERAGEIFS(nNOTA,nNIA,G402,nEVAL,CONFIG_METADATA!$B$4,nASIG,"Lenguaje Musical"),""))</f>
        <v/>
      </c>
      <c r="I402" t="str">
        <f>IF(G402="","",IFERROR(AVERAGEIFS(nNOTA,nNIA,G402,nEVAL,CONFIG_METADATA!$B$4,nASIG,"Coro"),""))</f>
        <v/>
      </c>
      <c r="J402" t="str">
        <f>IF(G402="","",IFERROR(AVERAGEIFS(nNOTA,nNIA,G402,nEVAL,CONFIG_METADATA!$B$4,nASIG,"Conjunto"),""))</f>
        <v/>
      </c>
      <c r="K402" t="str" cm="1">
        <f t="array" ref="K402">IF(G402="","",IFERROR(AVERAGE(IF((nNIA=G402)*(nEVAL=CONFIG_METADATA!$B$4)*(nASIG&lt;&gt;"Lenguaje Musical")*(nASIG&lt;&gt;"Coro")*(nASIG&lt;&gt;"Conjunto"),nNOTA)),""))</f>
        <v/>
      </c>
      <c r="N402" t="str">
        <f>IF(M402="","",IFERROR(AVERAGEIFS(nNOTA,nNIA,M402,nEVAL,CONFIG_METADATA!$B$4,nASIG,"Lenguaje Musical"),""))</f>
        <v/>
      </c>
      <c r="O402" t="str">
        <f>IF(M402="","",IFERROR(AVERAGEIFS(nNOTA,nNIA,M402,nEVAL,CONFIG_METADATA!$B$4,nASIG,"Coro"),""))</f>
        <v/>
      </c>
      <c r="P402" t="str">
        <f>IF(M402="","",IFERROR(AVERAGEIFS(nNOTA,nNIA,M402,nEVAL,CONFIG_METADATA!$B$4,nASIG,"Conjunto"),""))</f>
        <v/>
      </c>
      <c r="Q402" t="str">
        <f>IF(M402="","",IFERROR(AVERAGEIFS(nNOTA,nNIA,M402,nEVAL,CONFIG_METADATA!$B$4,nASIG,"&lt;&gt;Lenguaje Musical",nASIG,"&lt;&gt;Coro",nASIG,"&lt;&gt;Conjunto"),""))</f>
        <v/>
      </c>
      <c r="T402" t="str">
        <f>IF(S402="","",IFERROR(AVERAGEIFS(nNOTA,nNIA,S402,nEVAL,CONFIG_METADATA!$B$4,nASIG,"Lenguaje Musical"),""))</f>
        <v/>
      </c>
      <c r="U402" t="str">
        <f>IF(S402="","",IFERROR(AVERAGEIFS(nNOTA,nNIA,S402,nEVAL,CONFIG_METADATA!$B$4,nASIG,"Coro"),""))</f>
        <v/>
      </c>
      <c r="V402" t="str">
        <f>IF(S402="","",IFERROR(AVERAGEIFS(nNOTA,nNIA,S402,nEVAL,CONFIG_METADATA!$B$4,nASIG,"Conjunto"),""))</f>
        <v/>
      </c>
      <c r="W402" t="str" cm="1">
        <f t="array" ref="W402">IF(S402="","",IFERROR(AVERAGE(IF((nNIA=S402)*(nEVAL=CONFIG_METADATA!$B$4)*(nASIG&lt;&gt;"Lenguaje Musical")*(nASIG&lt;&gt;"Coro")*(nASIG&lt;&gt;"Conjunto"),nNOTA)),""))</f>
        <v/>
      </c>
    </row>
    <row r="403" spans="2:23" x14ac:dyDescent="0.2">
      <c r="B403" t="str">
        <f>IF(A403="","",IFERROR(AVERAGEIFS(nNOTA,nNIA,A403,nEVAL,CONFIG_METADATA!$B$4,nASIG,"Lenguaje Musical"),""))</f>
        <v/>
      </c>
      <c r="C403" t="str">
        <f>IF(A403="","",IFERROR(AVERAGEIFS(nNOTA,nNIA,A403,nEVAL,CONFIG_METADATA!$B$4,nASIG,"Coro"),""))</f>
        <v/>
      </c>
      <c r="D403" t="str">
        <f>IF(A403="","",IFERROR(AVERAGEIFS(nNOTA,nNIA,A403,nEVAL,CONFIG_METADATA!$B$4,nASIG,"Conjunto"),""))</f>
        <v/>
      </c>
      <c r="E403" t="str">
        <f>IF(A403="","",IFERROR(AVERAGEIFS(nNOTA,nNIA,A403,nEVAL,CONFIG_METADATA!$B$4,nASIG,"&lt;&gt;Lenguaje Musical",nASIG,"&lt;&gt;Coro",nASIG,"&lt;&gt;Conjunto"),""))</f>
        <v/>
      </c>
      <c r="H403" t="str">
        <f>IF(G403="","",IFERROR(AVERAGEIFS(nNOTA,nNIA,G403,nEVAL,CONFIG_METADATA!$B$4,nASIG,"Lenguaje Musical"),""))</f>
        <v/>
      </c>
      <c r="I403" t="str">
        <f>IF(G403="","",IFERROR(AVERAGEIFS(nNOTA,nNIA,G403,nEVAL,CONFIG_METADATA!$B$4,nASIG,"Coro"),""))</f>
        <v/>
      </c>
      <c r="J403" t="str">
        <f>IF(G403="","",IFERROR(AVERAGEIFS(nNOTA,nNIA,G403,nEVAL,CONFIG_METADATA!$B$4,nASIG,"Conjunto"),""))</f>
        <v/>
      </c>
      <c r="K403" t="str" cm="1">
        <f t="array" ref="K403">IF(G403="","",IFERROR(AVERAGE(IF((nNIA=G403)*(nEVAL=CONFIG_METADATA!$B$4)*(nASIG&lt;&gt;"Lenguaje Musical")*(nASIG&lt;&gt;"Coro")*(nASIG&lt;&gt;"Conjunto"),nNOTA)),""))</f>
        <v/>
      </c>
      <c r="N403" t="str">
        <f>IF(M403="","",IFERROR(AVERAGEIFS(nNOTA,nNIA,M403,nEVAL,CONFIG_METADATA!$B$4,nASIG,"Lenguaje Musical"),""))</f>
        <v/>
      </c>
      <c r="O403" t="str">
        <f>IF(M403="","",IFERROR(AVERAGEIFS(nNOTA,nNIA,M403,nEVAL,CONFIG_METADATA!$B$4,nASIG,"Coro"),""))</f>
        <v/>
      </c>
      <c r="P403" t="str">
        <f>IF(M403="","",IFERROR(AVERAGEIFS(nNOTA,nNIA,M403,nEVAL,CONFIG_METADATA!$B$4,nASIG,"Conjunto"),""))</f>
        <v/>
      </c>
      <c r="Q403" t="str">
        <f>IF(M403="","",IFERROR(AVERAGEIFS(nNOTA,nNIA,M403,nEVAL,CONFIG_METADATA!$B$4,nASIG,"&lt;&gt;Lenguaje Musical",nASIG,"&lt;&gt;Coro",nASIG,"&lt;&gt;Conjunto"),""))</f>
        <v/>
      </c>
      <c r="T403" t="str">
        <f>IF(S403="","",IFERROR(AVERAGEIFS(nNOTA,nNIA,S403,nEVAL,CONFIG_METADATA!$B$4,nASIG,"Lenguaje Musical"),""))</f>
        <v/>
      </c>
      <c r="U403" t="str">
        <f>IF(S403="","",IFERROR(AVERAGEIFS(nNOTA,nNIA,S403,nEVAL,CONFIG_METADATA!$B$4,nASIG,"Coro"),""))</f>
        <v/>
      </c>
      <c r="V403" t="str">
        <f>IF(S403="","",IFERROR(AVERAGEIFS(nNOTA,nNIA,S403,nEVAL,CONFIG_METADATA!$B$4,nASIG,"Conjunto"),""))</f>
        <v/>
      </c>
      <c r="W403" t="str" cm="1">
        <f t="array" ref="W403">IF(S403="","",IFERROR(AVERAGE(IF((nNIA=S403)*(nEVAL=CONFIG_METADATA!$B$4)*(nASIG&lt;&gt;"Lenguaje Musical")*(nASIG&lt;&gt;"Coro")*(nASIG&lt;&gt;"Conjunto"),nNOTA)),""))</f>
        <v/>
      </c>
    </row>
    <row r="404" spans="2:23" x14ac:dyDescent="0.2">
      <c r="B404" t="str">
        <f>IF(A404="","",IFERROR(AVERAGEIFS(nNOTA,nNIA,A404,nEVAL,CONFIG_METADATA!$B$4,nASIG,"Lenguaje Musical"),""))</f>
        <v/>
      </c>
      <c r="C404" t="str">
        <f>IF(A404="","",IFERROR(AVERAGEIFS(nNOTA,nNIA,A404,nEVAL,CONFIG_METADATA!$B$4,nASIG,"Coro"),""))</f>
        <v/>
      </c>
      <c r="D404" t="str">
        <f>IF(A404="","",IFERROR(AVERAGEIFS(nNOTA,nNIA,A404,nEVAL,CONFIG_METADATA!$B$4,nASIG,"Conjunto"),""))</f>
        <v/>
      </c>
      <c r="E404" t="str">
        <f>IF(A404="","",IFERROR(AVERAGEIFS(nNOTA,nNIA,A404,nEVAL,CONFIG_METADATA!$B$4,nASIG,"&lt;&gt;Lenguaje Musical",nASIG,"&lt;&gt;Coro",nASIG,"&lt;&gt;Conjunto"),""))</f>
        <v/>
      </c>
      <c r="H404" t="str">
        <f>IF(G404="","",IFERROR(AVERAGEIFS(nNOTA,nNIA,G404,nEVAL,CONFIG_METADATA!$B$4,nASIG,"Lenguaje Musical"),""))</f>
        <v/>
      </c>
      <c r="I404" t="str">
        <f>IF(G404="","",IFERROR(AVERAGEIFS(nNOTA,nNIA,G404,nEVAL,CONFIG_METADATA!$B$4,nASIG,"Coro"),""))</f>
        <v/>
      </c>
      <c r="J404" t="str">
        <f>IF(G404="","",IFERROR(AVERAGEIFS(nNOTA,nNIA,G404,nEVAL,CONFIG_METADATA!$B$4,nASIG,"Conjunto"),""))</f>
        <v/>
      </c>
      <c r="K404" t="str" cm="1">
        <f t="array" ref="K404">IF(G404="","",IFERROR(AVERAGE(IF((nNIA=G404)*(nEVAL=CONFIG_METADATA!$B$4)*(nASIG&lt;&gt;"Lenguaje Musical")*(nASIG&lt;&gt;"Coro")*(nASIG&lt;&gt;"Conjunto"),nNOTA)),""))</f>
        <v/>
      </c>
      <c r="N404" t="str">
        <f>IF(M404="","",IFERROR(AVERAGEIFS(nNOTA,nNIA,M404,nEVAL,CONFIG_METADATA!$B$4,nASIG,"Lenguaje Musical"),""))</f>
        <v/>
      </c>
      <c r="O404" t="str">
        <f>IF(M404="","",IFERROR(AVERAGEIFS(nNOTA,nNIA,M404,nEVAL,CONFIG_METADATA!$B$4,nASIG,"Coro"),""))</f>
        <v/>
      </c>
      <c r="P404" t="str">
        <f>IF(M404="","",IFERROR(AVERAGEIFS(nNOTA,nNIA,M404,nEVAL,CONFIG_METADATA!$B$4,nASIG,"Conjunto"),""))</f>
        <v/>
      </c>
      <c r="Q404" t="str">
        <f>IF(M404="","",IFERROR(AVERAGEIFS(nNOTA,nNIA,M404,nEVAL,CONFIG_METADATA!$B$4,nASIG,"&lt;&gt;Lenguaje Musical",nASIG,"&lt;&gt;Coro",nASIG,"&lt;&gt;Conjunto"),""))</f>
        <v/>
      </c>
      <c r="T404" t="str">
        <f>IF(S404="","",IFERROR(AVERAGEIFS(nNOTA,nNIA,S404,nEVAL,CONFIG_METADATA!$B$4,nASIG,"Lenguaje Musical"),""))</f>
        <v/>
      </c>
      <c r="U404" t="str">
        <f>IF(S404="","",IFERROR(AVERAGEIFS(nNOTA,nNIA,S404,nEVAL,CONFIG_METADATA!$B$4,nASIG,"Coro"),""))</f>
        <v/>
      </c>
      <c r="V404" t="str">
        <f>IF(S404="","",IFERROR(AVERAGEIFS(nNOTA,nNIA,S404,nEVAL,CONFIG_METADATA!$B$4,nASIG,"Conjunto"),""))</f>
        <v/>
      </c>
      <c r="W404" t="str" cm="1">
        <f t="array" ref="W404">IF(S404="","",IFERROR(AVERAGE(IF((nNIA=S404)*(nEVAL=CONFIG_METADATA!$B$4)*(nASIG&lt;&gt;"Lenguaje Musical")*(nASIG&lt;&gt;"Coro")*(nASIG&lt;&gt;"Conjunto"),nNOTA)),""))</f>
        <v/>
      </c>
    </row>
    <row r="405" spans="2:23" x14ac:dyDescent="0.2">
      <c r="B405" t="str">
        <f>IF(A405="","",IFERROR(AVERAGEIFS(nNOTA,nNIA,A405,nEVAL,CONFIG_METADATA!$B$4,nASIG,"Lenguaje Musical"),""))</f>
        <v/>
      </c>
      <c r="C405" t="str">
        <f>IF(A405="","",IFERROR(AVERAGEIFS(nNOTA,nNIA,A405,nEVAL,CONFIG_METADATA!$B$4,nASIG,"Coro"),""))</f>
        <v/>
      </c>
      <c r="D405" t="str">
        <f>IF(A405="","",IFERROR(AVERAGEIFS(nNOTA,nNIA,A405,nEVAL,CONFIG_METADATA!$B$4,nASIG,"Conjunto"),""))</f>
        <v/>
      </c>
      <c r="E405" t="str">
        <f>IF(A405="","",IFERROR(AVERAGEIFS(nNOTA,nNIA,A405,nEVAL,CONFIG_METADATA!$B$4,nASIG,"&lt;&gt;Lenguaje Musical",nASIG,"&lt;&gt;Coro",nASIG,"&lt;&gt;Conjunto"),""))</f>
        <v/>
      </c>
      <c r="H405" t="str">
        <f>IF(G405="","",IFERROR(AVERAGEIFS(nNOTA,nNIA,G405,nEVAL,CONFIG_METADATA!$B$4,nASIG,"Lenguaje Musical"),""))</f>
        <v/>
      </c>
      <c r="I405" t="str">
        <f>IF(G405="","",IFERROR(AVERAGEIFS(nNOTA,nNIA,G405,nEVAL,CONFIG_METADATA!$B$4,nASIG,"Coro"),""))</f>
        <v/>
      </c>
      <c r="J405" t="str">
        <f>IF(G405="","",IFERROR(AVERAGEIFS(nNOTA,nNIA,G405,nEVAL,CONFIG_METADATA!$B$4,nASIG,"Conjunto"),""))</f>
        <v/>
      </c>
      <c r="K405" t="str" cm="1">
        <f t="array" ref="K405">IF(G405="","",IFERROR(AVERAGE(IF((nNIA=G405)*(nEVAL=CONFIG_METADATA!$B$4)*(nASIG&lt;&gt;"Lenguaje Musical")*(nASIG&lt;&gt;"Coro")*(nASIG&lt;&gt;"Conjunto"),nNOTA)),""))</f>
        <v/>
      </c>
      <c r="N405" t="str">
        <f>IF(M405="","",IFERROR(AVERAGEIFS(nNOTA,nNIA,M405,nEVAL,CONFIG_METADATA!$B$4,nASIG,"Lenguaje Musical"),""))</f>
        <v/>
      </c>
      <c r="O405" t="str">
        <f>IF(M405="","",IFERROR(AVERAGEIFS(nNOTA,nNIA,M405,nEVAL,CONFIG_METADATA!$B$4,nASIG,"Coro"),""))</f>
        <v/>
      </c>
      <c r="P405" t="str">
        <f>IF(M405="","",IFERROR(AVERAGEIFS(nNOTA,nNIA,M405,nEVAL,CONFIG_METADATA!$B$4,nASIG,"Conjunto"),""))</f>
        <v/>
      </c>
      <c r="Q405" t="str">
        <f>IF(M405="","",IFERROR(AVERAGEIFS(nNOTA,nNIA,M405,nEVAL,CONFIG_METADATA!$B$4,nASIG,"&lt;&gt;Lenguaje Musical",nASIG,"&lt;&gt;Coro",nASIG,"&lt;&gt;Conjunto"),""))</f>
        <v/>
      </c>
      <c r="T405" t="str">
        <f>IF(S405="","",IFERROR(AVERAGEIFS(nNOTA,nNIA,S405,nEVAL,CONFIG_METADATA!$B$4,nASIG,"Lenguaje Musical"),""))</f>
        <v/>
      </c>
      <c r="U405" t="str">
        <f>IF(S405="","",IFERROR(AVERAGEIFS(nNOTA,nNIA,S405,nEVAL,CONFIG_METADATA!$B$4,nASIG,"Coro"),""))</f>
        <v/>
      </c>
      <c r="V405" t="str">
        <f>IF(S405="","",IFERROR(AVERAGEIFS(nNOTA,nNIA,S405,nEVAL,CONFIG_METADATA!$B$4,nASIG,"Conjunto"),""))</f>
        <v/>
      </c>
      <c r="W405" t="str" cm="1">
        <f t="array" ref="W405">IF(S405="","",IFERROR(AVERAGE(IF((nNIA=S405)*(nEVAL=CONFIG_METADATA!$B$4)*(nASIG&lt;&gt;"Lenguaje Musical")*(nASIG&lt;&gt;"Coro")*(nASIG&lt;&gt;"Conjunto"),nNOTA)),""))</f>
        <v/>
      </c>
    </row>
    <row r="406" spans="2:23" x14ac:dyDescent="0.2">
      <c r="B406" t="str">
        <f>IF(A406="","",IFERROR(AVERAGEIFS(nNOTA,nNIA,A406,nEVAL,CONFIG_METADATA!$B$4,nASIG,"Lenguaje Musical"),""))</f>
        <v/>
      </c>
      <c r="C406" t="str">
        <f>IF(A406="","",IFERROR(AVERAGEIFS(nNOTA,nNIA,A406,nEVAL,CONFIG_METADATA!$B$4,nASIG,"Coro"),""))</f>
        <v/>
      </c>
      <c r="D406" t="str">
        <f>IF(A406="","",IFERROR(AVERAGEIFS(nNOTA,nNIA,A406,nEVAL,CONFIG_METADATA!$B$4,nASIG,"Conjunto"),""))</f>
        <v/>
      </c>
      <c r="E406" t="str">
        <f>IF(A406="","",IFERROR(AVERAGEIFS(nNOTA,nNIA,A406,nEVAL,CONFIG_METADATA!$B$4,nASIG,"&lt;&gt;Lenguaje Musical",nASIG,"&lt;&gt;Coro",nASIG,"&lt;&gt;Conjunto"),""))</f>
        <v/>
      </c>
      <c r="H406" t="str">
        <f>IF(G406="","",IFERROR(AVERAGEIFS(nNOTA,nNIA,G406,nEVAL,CONFIG_METADATA!$B$4,nASIG,"Lenguaje Musical"),""))</f>
        <v/>
      </c>
      <c r="I406" t="str">
        <f>IF(G406="","",IFERROR(AVERAGEIFS(nNOTA,nNIA,G406,nEVAL,CONFIG_METADATA!$B$4,nASIG,"Coro"),""))</f>
        <v/>
      </c>
      <c r="J406" t="str">
        <f>IF(G406="","",IFERROR(AVERAGEIFS(nNOTA,nNIA,G406,nEVAL,CONFIG_METADATA!$B$4,nASIG,"Conjunto"),""))</f>
        <v/>
      </c>
      <c r="K406" t="str" cm="1">
        <f t="array" ref="K406">IF(G406="","",IFERROR(AVERAGE(IF((nNIA=G406)*(nEVAL=CONFIG_METADATA!$B$4)*(nASIG&lt;&gt;"Lenguaje Musical")*(nASIG&lt;&gt;"Coro")*(nASIG&lt;&gt;"Conjunto"),nNOTA)),""))</f>
        <v/>
      </c>
      <c r="N406" t="str">
        <f>IF(M406="","",IFERROR(AVERAGEIFS(nNOTA,nNIA,M406,nEVAL,CONFIG_METADATA!$B$4,nASIG,"Lenguaje Musical"),""))</f>
        <v/>
      </c>
      <c r="O406" t="str">
        <f>IF(M406="","",IFERROR(AVERAGEIFS(nNOTA,nNIA,M406,nEVAL,CONFIG_METADATA!$B$4,nASIG,"Coro"),""))</f>
        <v/>
      </c>
      <c r="P406" t="str">
        <f>IF(M406="","",IFERROR(AVERAGEIFS(nNOTA,nNIA,M406,nEVAL,CONFIG_METADATA!$B$4,nASIG,"Conjunto"),""))</f>
        <v/>
      </c>
      <c r="Q406" t="str">
        <f>IF(M406="","",IFERROR(AVERAGEIFS(nNOTA,nNIA,M406,nEVAL,CONFIG_METADATA!$B$4,nASIG,"&lt;&gt;Lenguaje Musical",nASIG,"&lt;&gt;Coro",nASIG,"&lt;&gt;Conjunto"),""))</f>
        <v/>
      </c>
      <c r="T406" t="str">
        <f>IF(S406="","",IFERROR(AVERAGEIFS(nNOTA,nNIA,S406,nEVAL,CONFIG_METADATA!$B$4,nASIG,"Lenguaje Musical"),""))</f>
        <v/>
      </c>
      <c r="U406" t="str">
        <f>IF(S406="","",IFERROR(AVERAGEIFS(nNOTA,nNIA,S406,nEVAL,CONFIG_METADATA!$B$4,nASIG,"Coro"),""))</f>
        <v/>
      </c>
      <c r="V406" t="str">
        <f>IF(S406="","",IFERROR(AVERAGEIFS(nNOTA,nNIA,S406,nEVAL,CONFIG_METADATA!$B$4,nASIG,"Conjunto"),""))</f>
        <v/>
      </c>
      <c r="W406" t="str" cm="1">
        <f t="array" ref="W406">IF(S406="","",IFERROR(AVERAGE(IF((nNIA=S406)*(nEVAL=CONFIG_METADATA!$B$4)*(nASIG&lt;&gt;"Lenguaje Musical")*(nASIG&lt;&gt;"Coro")*(nASIG&lt;&gt;"Conjunto"),nNOTA)),""))</f>
        <v/>
      </c>
    </row>
    <row r="407" spans="2:23" x14ac:dyDescent="0.2">
      <c r="B407" t="str">
        <f>IF(A407="","",IFERROR(AVERAGEIFS(nNOTA,nNIA,A407,nEVAL,CONFIG_METADATA!$B$4,nASIG,"Lenguaje Musical"),""))</f>
        <v/>
      </c>
      <c r="C407" t="str">
        <f>IF(A407="","",IFERROR(AVERAGEIFS(nNOTA,nNIA,A407,nEVAL,CONFIG_METADATA!$B$4,nASIG,"Coro"),""))</f>
        <v/>
      </c>
      <c r="D407" t="str">
        <f>IF(A407="","",IFERROR(AVERAGEIFS(nNOTA,nNIA,A407,nEVAL,CONFIG_METADATA!$B$4,nASIG,"Conjunto"),""))</f>
        <v/>
      </c>
      <c r="E407" t="str">
        <f>IF(A407="","",IFERROR(AVERAGEIFS(nNOTA,nNIA,A407,nEVAL,CONFIG_METADATA!$B$4,nASIG,"&lt;&gt;Lenguaje Musical",nASIG,"&lt;&gt;Coro",nASIG,"&lt;&gt;Conjunto"),""))</f>
        <v/>
      </c>
      <c r="H407" t="str">
        <f>IF(G407="","",IFERROR(AVERAGEIFS(nNOTA,nNIA,G407,nEVAL,CONFIG_METADATA!$B$4,nASIG,"Lenguaje Musical"),""))</f>
        <v/>
      </c>
      <c r="I407" t="str">
        <f>IF(G407="","",IFERROR(AVERAGEIFS(nNOTA,nNIA,G407,nEVAL,CONFIG_METADATA!$B$4,nASIG,"Coro"),""))</f>
        <v/>
      </c>
      <c r="J407" t="str">
        <f>IF(G407="","",IFERROR(AVERAGEIFS(nNOTA,nNIA,G407,nEVAL,CONFIG_METADATA!$B$4,nASIG,"Conjunto"),""))</f>
        <v/>
      </c>
      <c r="K407" t="str" cm="1">
        <f t="array" ref="K407">IF(G407="","",IFERROR(AVERAGE(IF((nNIA=G407)*(nEVAL=CONFIG_METADATA!$B$4)*(nASIG&lt;&gt;"Lenguaje Musical")*(nASIG&lt;&gt;"Coro")*(nASIG&lt;&gt;"Conjunto"),nNOTA)),""))</f>
        <v/>
      </c>
      <c r="N407" t="str">
        <f>IF(M407="","",IFERROR(AVERAGEIFS(nNOTA,nNIA,M407,nEVAL,CONFIG_METADATA!$B$4,nASIG,"Lenguaje Musical"),""))</f>
        <v/>
      </c>
      <c r="O407" t="str">
        <f>IF(M407="","",IFERROR(AVERAGEIFS(nNOTA,nNIA,M407,nEVAL,CONFIG_METADATA!$B$4,nASIG,"Coro"),""))</f>
        <v/>
      </c>
      <c r="P407" t="str">
        <f>IF(M407="","",IFERROR(AVERAGEIFS(nNOTA,nNIA,M407,nEVAL,CONFIG_METADATA!$B$4,nASIG,"Conjunto"),""))</f>
        <v/>
      </c>
      <c r="Q407" t="str">
        <f>IF(M407="","",IFERROR(AVERAGEIFS(nNOTA,nNIA,M407,nEVAL,CONFIG_METADATA!$B$4,nASIG,"&lt;&gt;Lenguaje Musical",nASIG,"&lt;&gt;Coro",nASIG,"&lt;&gt;Conjunto"),""))</f>
        <v/>
      </c>
      <c r="T407" t="str">
        <f>IF(S407="","",IFERROR(AVERAGEIFS(nNOTA,nNIA,S407,nEVAL,CONFIG_METADATA!$B$4,nASIG,"Lenguaje Musical"),""))</f>
        <v/>
      </c>
      <c r="U407" t="str">
        <f>IF(S407="","",IFERROR(AVERAGEIFS(nNOTA,nNIA,S407,nEVAL,CONFIG_METADATA!$B$4,nASIG,"Coro"),""))</f>
        <v/>
      </c>
      <c r="V407" t="str">
        <f>IF(S407="","",IFERROR(AVERAGEIFS(nNOTA,nNIA,S407,nEVAL,CONFIG_METADATA!$B$4,nASIG,"Conjunto"),""))</f>
        <v/>
      </c>
      <c r="W407" t="str" cm="1">
        <f t="array" ref="W407">IF(S407="","",IFERROR(AVERAGE(IF((nNIA=S407)*(nEVAL=CONFIG_METADATA!$B$4)*(nASIG&lt;&gt;"Lenguaje Musical")*(nASIG&lt;&gt;"Coro")*(nASIG&lt;&gt;"Conjunto"),nNOTA)),""))</f>
        <v/>
      </c>
    </row>
    <row r="408" spans="2:23" x14ac:dyDescent="0.2">
      <c r="B408" t="str">
        <f>IF(A408="","",IFERROR(AVERAGEIFS(nNOTA,nNIA,A408,nEVAL,CONFIG_METADATA!$B$4,nASIG,"Lenguaje Musical"),""))</f>
        <v/>
      </c>
      <c r="C408" t="str">
        <f>IF(A408="","",IFERROR(AVERAGEIFS(nNOTA,nNIA,A408,nEVAL,CONFIG_METADATA!$B$4,nASIG,"Coro"),""))</f>
        <v/>
      </c>
      <c r="D408" t="str">
        <f>IF(A408="","",IFERROR(AVERAGEIFS(nNOTA,nNIA,A408,nEVAL,CONFIG_METADATA!$B$4,nASIG,"Conjunto"),""))</f>
        <v/>
      </c>
      <c r="E408" t="str">
        <f>IF(A408="","",IFERROR(AVERAGEIFS(nNOTA,nNIA,A408,nEVAL,CONFIG_METADATA!$B$4,nASIG,"&lt;&gt;Lenguaje Musical",nASIG,"&lt;&gt;Coro",nASIG,"&lt;&gt;Conjunto"),""))</f>
        <v/>
      </c>
      <c r="H408" t="str">
        <f>IF(G408="","",IFERROR(AVERAGEIFS(nNOTA,nNIA,G408,nEVAL,CONFIG_METADATA!$B$4,nASIG,"Lenguaje Musical"),""))</f>
        <v/>
      </c>
      <c r="I408" t="str">
        <f>IF(G408="","",IFERROR(AVERAGEIFS(nNOTA,nNIA,G408,nEVAL,CONFIG_METADATA!$B$4,nASIG,"Coro"),""))</f>
        <v/>
      </c>
      <c r="J408" t="str">
        <f>IF(G408="","",IFERROR(AVERAGEIFS(nNOTA,nNIA,G408,nEVAL,CONFIG_METADATA!$B$4,nASIG,"Conjunto"),""))</f>
        <v/>
      </c>
      <c r="K408" t="str" cm="1">
        <f t="array" ref="K408">IF(G408="","",IFERROR(AVERAGE(IF((nNIA=G408)*(nEVAL=CONFIG_METADATA!$B$4)*(nASIG&lt;&gt;"Lenguaje Musical")*(nASIG&lt;&gt;"Coro")*(nASIG&lt;&gt;"Conjunto"),nNOTA)),""))</f>
        <v/>
      </c>
      <c r="N408" t="str">
        <f>IF(M408="","",IFERROR(AVERAGEIFS(nNOTA,nNIA,M408,nEVAL,CONFIG_METADATA!$B$4,nASIG,"Lenguaje Musical"),""))</f>
        <v/>
      </c>
      <c r="O408" t="str">
        <f>IF(M408="","",IFERROR(AVERAGEIFS(nNOTA,nNIA,M408,nEVAL,CONFIG_METADATA!$B$4,nASIG,"Coro"),""))</f>
        <v/>
      </c>
      <c r="P408" t="str">
        <f>IF(M408="","",IFERROR(AVERAGEIFS(nNOTA,nNIA,M408,nEVAL,CONFIG_METADATA!$B$4,nASIG,"Conjunto"),""))</f>
        <v/>
      </c>
      <c r="Q408" t="str">
        <f>IF(M408="","",IFERROR(AVERAGEIFS(nNOTA,nNIA,M408,nEVAL,CONFIG_METADATA!$B$4,nASIG,"&lt;&gt;Lenguaje Musical",nASIG,"&lt;&gt;Coro",nASIG,"&lt;&gt;Conjunto"),""))</f>
        <v/>
      </c>
      <c r="T408" t="str">
        <f>IF(S408="","",IFERROR(AVERAGEIFS(nNOTA,nNIA,S408,nEVAL,CONFIG_METADATA!$B$4,nASIG,"Lenguaje Musical"),""))</f>
        <v/>
      </c>
      <c r="U408" t="str">
        <f>IF(S408="","",IFERROR(AVERAGEIFS(nNOTA,nNIA,S408,nEVAL,CONFIG_METADATA!$B$4,nASIG,"Coro"),""))</f>
        <v/>
      </c>
      <c r="V408" t="str">
        <f>IF(S408="","",IFERROR(AVERAGEIFS(nNOTA,nNIA,S408,nEVAL,CONFIG_METADATA!$B$4,nASIG,"Conjunto"),""))</f>
        <v/>
      </c>
      <c r="W408" t="str" cm="1">
        <f t="array" ref="W408">IF(S408="","",IFERROR(AVERAGE(IF((nNIA=S408)*(nEVAL=CONFIG_METADATA!$B$4)*(nASIG&lt;&gt;"Lenguaje Musical")*(nASIG&lt;&gt;"Coro")*(nASIG&lt;&gt;"Conjunto"),nNOTA)),""))</f>
        <v/>
      </c>
    </row>
    <row r="409" spans="2:23" x14ac:dyDescent="0.2">
      <c r="B409" t="str">
        <f>IF(A409="","",IFERROR(AVERAGEIFS(nNOTA,nNIA,A409,nEVAL,CONFIG_METADATA!$B$4,nASIG,"Lenguaje Musical"),""))</f>
        <v/>
      </c>
      <c r="C409" t="str">
        <f>IF(A409="","",IFERROR(AVERAGEIFS(nNOTA,nNIA,A409,nEVAL,CONFIG_METADATA!$B$4,nASIG,"Coro"),""))</f>
        <v/>
      </c>
      <c r="D409" t="str">
        <f>IF(A409="","",IFERROR(AVERAGEIFS(nNOTA,nNIA,A409,nEVAL,CONFIG_METADATA!$B$4,nASIG,"Conjunto"),""))</f>
        <v/>
      </c>
      <c r="E409" t="str">
        <f>IF(A409="","",IFERROR(AVERAGEIFS(nNOTA,nNIA,A409,nEVAL,CONFIG_METADATA!$B$4,nASIG,"&lt;&gt;Lenguaje Musical",nASIG,"&lt;&gt;Coro",nASIG,"&lt;&gt;Conjunto"),""))</f>
        <v/>
      </c>
      <c r="H409" t="str">
        <f>IF(G409="","",IFERROR(AVERAGEIFS(nNOTA,nNIA,G409,nEVAL,CONFIG_METADATA!$B$4,nASIG,"Lenguaje Musical"),""))</f>
        <v/>
      </c>
      <c r="I409" t="str">
        <f>IF(G409="","",IFERROR(AVERAGEIFS(nNOTA,nNIA,G409,nEVAL,CONFIG_METADATA!$B$4,nASIG,"Coro"),""))</f>
        <v/>
      </c>
      <c r="J409" t="str">
        <f>IF(G409="","",IFERROR(AVERAGEIFS(nNOTA,nNIA,G409,nEVAL,CONFIG_METADATA!$B$4,nASIG,"Conjunto"),""))</f>
        <v/>
      </c>
      <c r="K409" t="str" cm="1">
        <f t="array" ref="K409">IF(G409="","",IFERROR(AVERAGE(IF((nNIA=G409)*(nEVAL=CONFIG_METADATA!$B$4)*(nASIG&lt;&gt;"Lenguaje Musical")*(nASIG&lt;&gt;"Coro")*(nASIG&lt;&gt;"Conjunto"),nNOTA)),""))</f>
        <v/>
      </c>
      <c r="N409" t="str">
        <f>IF(M409="","",IFERROR(AVERAGEIFS(nNOTA,nNIA,M409,nEVAL,CONFIG_METADATA!$B$4,nASIG,"Lenguaje Musical"),""))</f>
        <v/>
      </c>
      <c r="O409" t="str">
        <f>IF(M409="","",IFERROR(AVERAGEIFS(nNOTA,nNIA,M409,nEVAL,CONFIG_METADATA!$B$4,nASIG,"Coro"),""))</f>
        <v/>
      </c>
      <c r="P409" t="str">
        <f>IF(M409="","",IFERROR(AVERAGEIFS(nNOTA,nNIA,M409,nEVAL,CONFIG_METADATA!$B$4,nASIG,"Conjunto"),""))</f>
        <v/>
      </c>
      <c r="Q409" t="str">
        <f>IF(M409="","",IFERROR(AVERAGEIFS(nNOTA,nNIA,M409,nEVAL,CONFIG_METADATA!$B$4,nASIG,"&lt;&gt;Lenguaje Musical",nASIG,"&lt;&gt;Coro",nASIG,"&lt;&gt;Conjunto"),""))</f>
        <v/>
      </c>
      <c r="T409" t="str">
        <f>IF(S409="","",IFERROR(AVERAGEIFS(nNOTA,nNIA,S409,nEVAL,CONFIG_METADATA!$B$4,nASIG,"Lenguaje Musical"),""))</f>
        <v/>
      </c>
      <c r="U409" t="str">
        <f>IF(S409="","",IFERROR(AVERAGEIFS(nNOTA,nNIA,S409,nEVAL,CONFIG_METADATA!$B$4,nASIG,"Coro"),""))</f>
        <v/>
      </c>
      <c r="V409" t="str">
        <f>IF(S409="","",IFERROR(AVERAGEIFS(nNOTA,nNIA,S409,nEVAL,CONFIG_METADATA!$B$4,nASIG,"Conjunto"),""))</f>
        <v/>
      </c>
      <c r="W409" t="str" cm="1">
        <f t="array" ref="W409">IF(S409="","",IFERROR(AVERAGE(IF((nNIA=S409)*(nEVAL=CONFIG_METADATA!$B$4)*(nASIG&lt;&gt;"Lenguaje Musical")*(nASIG&lt;&gt;"Coro")*(nASIG&lt;&gt;"Conjunto"),nNOTA)),""))</f>
        <v/>
      </c>
    </row>
    <row r="410" spans="2:23" x14ac:dyDescent="0.2">
      <c r="B410" t="str">
        <f>IF(A410="","",IFERROR(AVERAGEIFS(nNOTA,nNIA,A410,nEVAL,CONFIG_METADATA!$B$4,nASIG,"Lenguaje Musical"),""))</f>
        <v/>
      </c>
      <c r="C410" t="str">
        <f>IF(A410="","",IFERROR(AVERAGEIFS(nNOTA,nNIA,A410,nEVAL,CONFIG_METADATA!$B$4,nASIG,"Coro"),""))</f>
        <v/>
      </c>
      <c r="D410" t="str">
        <f>IF(A410="","",IFERROR(AVERAGEIFS(nNOTA,nNIA,A410,nEVAL,CONFIG_METADATA!$B$4,nASIG,"Conjunto"),""))</f>
        <v/>
      </c>
      <c r="E410" t="str">
        <f>IF(A410="","",IFERROR(AVERAGEIFS(nNOTA,nNIA,A410,nEVAL,CONFIG_METADATA!$B$4,nASIG,"&lt;&gt;Lenguaje Musical",nASIG,"&lt;&gt;Coro",nASIG,"&lt;&gt;Conjunto"),""))</f>
        <v/>
      </c>
      <c r="H410" t="str">
        <f>IF(G410="","",IFERROR(AVERAGEIFS(nNOTA,nNIA,G410,nEVAL,CONFIG_METADATA!$B$4,nASIG,"Lenguaje Musical"),""))</f>
        <v/>
      </c>
      <c r="I410" t="str">
        <f>IF(G410="","",IFERROR(AVERAGEIFS(nNOTA,nNIA,G410,nEVAL,CONFIG_METADATA!$B$4,nASIG,"Coro"),""))</f>
        <v/>
      </c>
      <c r="J410" t="str">
        <f>IF(G410="","",IFERROR(AVERAGEIFS(nNOTA,nNIA,G410,nEVAL,CONFIG_METADATA!$B$4,nASIG,"Conjunto"),""))</f>
        <v/>
      </c>
      <c r="K410" t="str" cm="1">
        <f t="array" ref="K410">IF(G410="","",IFERROR(AVERAGE(IF((nNIA=G410)*(nEVAL=CONFIG_METADATA!$B$4)*(nASIG&lt;&gt;"Lenguaje Musical")*(nASIG&lt;&gt;"Coro")*(nASIG&lt;&gt;"Conjunto"),nNOTA)),""))</f>
        <v/>
      </c>
      <c r="N410" t="str">
        <f>IF(M410="","",IFERROR(AVERAGEIFS(nNOTA,nNIA,M410,nEVAL,CONFIG_METADATA!$B$4,nASIG,"Lenguaje Musical"),""))</f>
        <v/>
      </c>
      <c r="O410" t="str">
        <f>IF(M410="","",IFERROR(AVERAGEIFS(nNOTA,nNIA,M410,nEVAL,CONFIG_METADATA!$B$4,nASIG,"Coro"),""))</f>
        <v/>
      </c>
      <c r="P410" t="str">
        <f>IF(M410="","",IFERROR(AVERAGEIFS(nNOTA,nNIA,M410,nEVAL,CONFIG_METADATA!$B$4,nASIG,"Conjunto"),""))</f>
        <v/>
      </c>
      <c r="Q410" t="str">
        <f>IF(M410="","",IFERROR(AVERAGEIFS(nNOTA,nNIA,M410,nEVAL,CONFIG_METADATA!$B$4,nASIG,"&lt;&gt;Lenguaje Musical",nASIG,"&lt;&gt;Coro",nASIG,"&lt;&gt;Conjunto"),""))</f>
        <v/>
      </c>
      <c r="T410" t="str">
        <f>IF(S410="","",IFERROR(AVERAGEIFS(nNOTA,nNIA,S410,nEVAL,CONFIG_METADATA!$B$4,nASIG,"Lenguaje Musical"),""))</f>
        <v/>
      </c>
      <c r="U410" t="str">
        <f>IF(S410="","",IFERROR(AVERAGEIFS(nNOTA,nNIA,S410,nEVAL,CONFIG_METADATA!$B$4,nASIG,"Coro"),""))</f>
        <v/>
      </c>
      <c r="V410" t="str">
        <f>IF(S410="","",IFERROR(AVERAGEIFS(nNOTA,nNIA,S410,nEVAL,CONFIG_METADATA!$B$4,nASIG,"Conjunto"),""))</f>
        <v/>
      </c>
      <c r="W410" t="str" cm="1">
        <f t="array" ref="W410">IF(S410="","",IFERROR(AVERAGE(IF((nNIA=S410)*(nEVAL=CONFIG_METADATA!$B$4)*(nASIG&lt;&gt;"Lenguaje Musical")*(nASIG&lt;&gt;"Coro")*(nASIG&lt;&gt;"Conjunto"),nNOTA)),""))</f>
        <v/>
      </c>
    </row>
    <row r="411" spans="2:23" x14ac:dyDescent="0.2">
      <c r="B411" t="str">
        <f>IF(A411="","",IFERROR(AVERAGEIFS(nNOTA,nNIA,A411,nEVAL,CONFIG_METADATA!$B$4,nASIG,"Lenguaje Musical"),""))</f>
        <v/>
      </c>
      <c r="C411" t="str">
        <f>IF(A411="","",IFERROR(AVERAGEIFS(nNOTA,nNIA,A411,nEVAL,CONFIG_METADATA!$B$4,nASIG,"Coro"),""))</f>
        <v/>
      </c>
      <c r="D411" t="str">
        <f>IF(A411="","",IFERROR(AVERAGEIFS(nNOTA,nNIA,A411,nEVAL,CONFIG_METADATA!$B$4,nASIG,"Conjunto"),""))</f>
        <v/>
      </c>
      <c r="E411" t="str">
        <f>IF(A411="","",IFERROR(AVERAGEIFS(nNOTA,nNIA,A411,nEVAL,CONFIG_METADATA!$B$4,nASIG,"&lt;&gt;Lenguaje Musical",nASIG,"&lt;&gt;Coro",nASIG,"&lt;&gt;Conjunto"),""))</f>
        <v/>
      </c>
      <c r="H411" t="str">
        <f>IF(G411="","",IFERROR(AVERAGEIFS(nNOTA,nNIA,G411,nEVAL,CONFIG_METADATA!$B$4,nASIG,"Lenguaje Musical"),""))</f>
        <v/>
      </c>
      <c r="I411" t="str">
        <f>IF(G411="","",IFERROR(AVERAGEIFS(nNOTA,nNIA,G411,nEVAL,CONFIG_METADATA!$B$4,nASIG,"Coro"),""))</f>
        <v/>
      </c>
      <c r="J411" t="str">
        <f>IF(G411="","",IFERROR(AVERAGEIFS(nNOTA,nNIA,G411,nEVAL,CONFIG_METADATA!$B$4,nASIG,"Conjunto"),""))</f>
        <v/>
      </c>
      <c r="K411" t="str" cm="1">
        <f t="array" ref="K411">IF(G411="","",IFERROR(AVERAGE(IF((nNIA=G411)*(nEVAL=CONFIG_METADATA!$B$4)*(nASIG&lt;&gt;"Lenguaje Musical")*(nASIG&lt;&gt;"Coro")*(nASIG&lt;&gt;"Conjunto"),nNOTA)),""))</f>
        <v/>
      </c>
      <c r="N411" t="str">
        <f>IF(M411="","",IFERROR(AVERAGEIFS(nNOTA,nNIA,M411,nEVAL,CONFIG_METADATA!$B$4,nASIG,"Lenguaje Musical"),""))</f>
        <v/>
      </c>
      <c r="O411" t="str">
        <f>IF(M411="","",IFERROR(AVERAGEIFS(nNOTA,nNIA,M411,nEVAL,CONFIG_METADATA!$B$4,nASIG,"Coro"),""))</f>
        <v/>
      </c>
      <c r="P411" t="str">
        <f>IF(M411="","",IFERROR(AVERAGEIFS(nNOTA,nNIA,M411,nEVAL,CONFIG_METADATA!$B$4,nASIG,"Conjunto"),""))</f>
        <v/>
      </c>
      <c r="Q411" t="str">
        <f>IF(M411="","",IFERROR(AVERAGEIFS(nNOTA,nNIA,M411,nEVAL,CONFIG_METADATA!$B$4,nASIG,"&lt;&gt;Lenguaje Musical",nASIG,"&lt;&gt;Coro",nASIG,"&lt;&gt;Conjunto"),""))</f>
        <v/>
      </c>
      <c r="T411" t="str">
        <f>IF(S411="","",IFERROR(AVERAGEIFS(nNOTA,nNIA,S411,nEVAL,CONFIG_METADATA!$B$4,nASIG,"Lenguaje Musical"),""))</f>
        <v/>
      </c>
      <c r="U411" t="str">
        <f>IF(S411="","",IFERROR(AVERAGEIFS(nNOTA,nNIA,S411,nEVAL,CONFIG_METADATA!$B$4,nASIG,"Coro"),""))</f>
        <v/>
      </c>
      <c r="V411" t="str">
        <f>IF(S411="","",IFERROR(AVERAGEIFS(nNOTA,nNIA,S411,nEVAL,CONFIG_METADATA!$B$4,nASIG,"Conjunto"),""))</f>
        <v/>
      </c>
      <c r="W411" t="str" cm="1">
        <f t="array" ref="W411">IF(S411="","",IFERROR(AVERAGE(IF((nNIA=S411)*(nEVAL=CONFIG_METADATA!$B$4)*(nASIG&lt;&gt;"Lenguaje Musical")*(nASIG&lt;&gt;"Coro")*(nASIG&lt;&gt;"Conjunto"),nNOTA)),""))</f>
        <v/>
      </c>
    </row>
    <row r="412" spans="2:23" x14ac:dyDescent="0.2">
      <c r="B412" t="str">
        <f>IF(A412="","",IFERROR(AVERAGEIFS(nNOTA,nNIA,A412,nEVAL,CONFIG_METADATA!$B$4,nASIG,"Lenguaje Musical"),""))</f>
        <v/>
      </c>
      <c r="C412" t="str">
        <f>IF(A412="","",IFERROR(AVERAGEIFS(nNOTA,nNIA,A412,nEVAL,CONFIG_METADATA!$B$4,nASIG,"Coro"),""))</f>
        <v/>
      </c>
      <c r="D412" t="str">
        <f>IF(A412="","",IFERROR(AVERAGEIFS(nNOTA,nNIA,A412,nEVAL,CONFIG_METADATA!$B$4,nASIG,"Conjunto"),""))</f>
        <v/>
      </c>
      <c r="E412" t="str">
        <f>IF(A412="","",IFERROR(AVERAGEIFS(nNOTA,nNIA,A412,nEVAL,CONFIG_METADATA!$B$4,nASIG,"&lt;&gt;Lenguaje Musical",nASIG,"&lt;&gt;Coro",nASIG,"&lt;&gt;Conjunto"),""))</f>
        <v/>
      </c>
      <c r="H412" t="str">
        <f>IF(G412="","",IFERROR(AVERAGEIFS(nNOTA,nNIA,G412,nEVAL,CONFIG_METADATA!$B$4,nASIG,"Lenguaje Musical"),""))</f>
        <v/>
      </c>
      <c r="I412" t="str">
        <f>IF(G412="","",IFERROR(AVERAGEIFS(nNOTA,nNIA,G412,nEVAL,CONFIG_METADATA!$B$4,nASIG,"Coro"),""))</f>
        <v/>
      </c>
      <c r="J412" t="str">
        <f>IF(G412="","",IFERROR(AVERAGEIFS(nNOTA,nNIA,G412,nEVAL,CONFIG_METADATA!$B$4,nASIG,"Conjunto"),""))</f>
        <v/>
      </c>
      <c r="K412" t="str" cm="1">
        <f t="array" ref="K412">IF(G412="","",IFERROR(AVERAGE(IF((nNIA=G412)*(nEVAL=CONFIG_METADATA!$B$4)*(nASIG&lt;&gt;"Lenguaje Musical")*(nASIG&lt;&gt;"Coro")*(nASIG&lt;&gt;"Conjunto"),nNOTA)),""))</f>
        <v/>
      </c>
      <c r="N412" t="str">
        <f>IF(M412="","",IFERROR(AVERAGEIFS(nNOTA,nNIA,M412,nEVAL,CONFIG_METADATA!$B$4,nASIG,"Lenguaje Musical"),""))</f>
        <v/>
      </c>
      <c r="O412" t="str">
        <f>IF(M412="","",IFERROR(AVERAGEIFS(nNOTA,nNIA,M412,nEVAL,CONFIG_METADATA!$B$4,nASIG,"Coro"),""))</f>
        <v/>
      </c>
      <c r="P412" t="str">
        <f>IF(M412="","",IFERROR(AVERAGEIFS(nNOTA,nNIA,M412,nEVAL,CONFIG_METADATA!$B$4,nASIG,"Conjunto"),""))</f>
        <v/>
      </c>
      <c r="Q412" t="str">
        <f>IF(M412="","",IFERROR(AVERAGEIFS(nNOTA,nNIA,M412,nEVAL,CONFIG_METADATA!$B$4,nASIG,"&lt;&gt;Lenguaje Musical",nASIG,"&lt;&gt;Coro",nASIG,"&lt;&gt;Conjunto"),""))</f>
        <v/>
      </c>
      <c r="T412" t="str">
        <f>IF(S412="","",IFERROR(AVERAGEIFS(nNOTA,nNIA,S412,nEVAL,CONFIG_METADATA!$B$4,nASIG,"Lenguaje Musical"),""))</f>
        <v/>
      </c>
      <c r="U412" t="str">
        <f>IF(S412="","",IFERROR(AVERAGEIFS(nNOTA,nNIA,S412,nEVAL,CONFIG_METADATA!$B$4,nASIG,"Coro"),""))</f>
        <v/>
      </c>
      <c r="V412" t="str">
        <f>IF(S412="","",IFERROR(AVERAGEIFS(nNOTA,nNIA,S412,nEVAL,CONFIG_METADATA!$B$4,nASIG,"Conjunto"),""))</f>
        <v/>
      </c>
      <c r="W412" t="str" cm="1">
        <f t="array" ref="W412">IF(S412="","",IFERROR(AVERAGE(IF((nNIA=S412)*(nEVAL=CONFIG_METADATA!$B$4)*(nASIG&lt;&gt;"Lenguaje Musical")*(nASIG&lt;&gt;"Coro")*(nASIG&lt;&gt;"Conjunto"),nNOTA)),""))</f>
        <v/>
      </c>
    </row>
    <row r="413" spans="2:23" x14ac:dyDescent="0.2">
      <c r="B413" t="str">
        <f>IF(A413="","",IFERROR(AVERAGEIFS(nNOTA,nNIA,A413,nEVAL,CONFIG_METADATA!$B$4,nASIG,"Lenguaje Musical"),""))</f>
        <v/>
      </c>
      <c r="C413" t="str">
        <f>IF(A413="","",IFERROR(AVERAGEIFS(nNOTA,nNIA,A413,nEVAL,CONFIG_METADATA!$B$4,nASIG,"Coro"),""))</f>
        <v/>
      </c>
      <c r="D413" t="str">
        <f>IF(A413="","",IFERROR(AVERAGEIFS(nNOTA,nNIA,A413,nEVAL,CONFIG_METADATA!$B$4,nASIG,"Conjunto"),""))</f>
        <v/>
      </c>
      <c r="E413" t="str">
        <f>IF(A413="","",IFERROR(AVERAGEIFS(nNOTA,nNIA,A413,nEVAL,CONFIG_METADATA!$B$4,nASIG,"&lt;&gt;Lenguaje Musical",nASIG,"&lt;&gt;Coro",nASIG,"&lt;&gt;Conjunto"),""))</f>
        <v/>
      </c>
      <c r="H413" t="str">
        <f>IF(G413="","",IFERROR(AVERAGEIFS(nNOTA,nNIA,G413,nEVAL,CONFIG_METADATA!$B$4,nASIG,"Lenguaje Musical"),""))</f>
        <v/>
      </c>
      <c r="I413" t="str">
        <f>IF(G413="","",IFERROR(AVERAGEIFS(nNOTA,nNIA,G413,nEVAL,CONFIG_METADATA!$B$4,nASIG,"Coro"),""))</f>
        <v/>
      </c>
      <c r="J413" t="str">
        <f>IF(G413="","",IFERROR(AVERAGEIFS(nNOTA,nNIA,G413,nEVAL,CONFIG_METADATA!$B$4,nASIG,"Conjunto"),""))</f>
        <v/>
      </c>
      <c r="K413" t="str" cm="1">
        <f t="array" ref="K413">IF(G413="","",IFERROR(AVERAGE(IF((nNIA=G413)*(nEVAL=CONFIG_METADATA!$B$4)*(nASIG&lt;&gt;"Lenguaje Musical")*(nASIG&lt;&gt;"Coro")*(nASIG&lt;&gt;"Conjunto"),nNOTA)),""))</f>
        <v/>
      </c>
      <c r="N413" t="str">
        <f>IF(M413="","",IFERROR(AVERAGEIFS(nNOTA,nNIA,M413,nEVAL,CONFIG_METADATA!$B$4,nASIG,"Lenguaje Musical"),""))</f>
        <v/>
      </c>
      <c r="O413" t="str">
        <f>IF(M413="","",IFERROR(AVERAGEIFS(nNOTA,nNIA,M413,nEVAL,CONFIG_METADATA!$B$4,nASIG,"Coro"),""))</f>
        <v/>
      </c>
      <c r="P413" t="str">
        <f>IF(M413="","",IFERROR(AVERAGEIFS(nNOTA,nNIA,M413,nEVAL,CONFIG_METADATA!$B$4,nASIG,"Conjunto"),""))</f>
        <v/>
      </c>
      <c r="Q413" t="str">
        <f>IF(M413="","",IFERROR(AVERAGEIFS(nNOTA,nNIA,M413,nEVAL,CONFIG_METADATA!$B$4,nASIG,"&lt;&gt;Lenguaje Musical",nASIG,"&lt;&gt;Coro",nASIG,"&lt;&gt;Conjunto"),""))</f>
        <v/>
      </c>
      <c r="T413" t="str">
        <f>IF(S413="","",IFERROR(AVERAGEIFS(nNOTA,nNIA,S413,nEVAL,CONFIG_METADATA!$B$4,nASIG,"Lenguaje Musical"),""))</f>
        <v/>
      </c>
      <c r="U413" t="str">
        <f>IF(S413="","",IFERROR(AVERAGEIFS(nNOTA,nNIA,S413,nEVAL,CONFIG_METADATA!$B$4,nASIG,"Coro"),""))</f>
        <v/>
      </c>
      <c r="V413" t="str">
        <f>IF(S413="","",IFERROR(AVERAGEIFS(nNOTA,nNIA,S413,nEVAL,CONFIG_METADATA!$B$4,nASIG,"Conjunto"),""))</f>
        <v/>
      </c>
      <c r="W413" t="str" cm="1">
        <f t="array" ref="W413">IF(S413="","",IFERROR(AVERAGE(IF((nNIA=S413)*(nEVAL=CONFIG_METADATA!$B$4)*(nASIG&lt;&gt;"Lenguaje Musical")*(nASIG&lt;&gt;"Coro")*(nASIG&lt;&gt;"Conjunto"),nNOTA)),""))</f>
        <v/>
      </c>
    </row>
    <row r="414" spans="2:23" x14ac:dyDescent="0.2">
      <c r="B414" t="str">
        <f>IF(A414="","",IFERROR(AVERAGEIFS(nNOTA,nNIA,A414,nEVAL,CONFIG_METADATA!$B$4,nASIG,"Lenguaje Musical"),""))</f>
        <v/>
      </c>
      <c r="C414" t="str">
        <f>IF(A414="","",IFERROR(AVERAGEIFS(nNOTA,nNIA,A414,nEVAL,CONFIG_METADATA!$B$4,nASIG,"Coro"),""))</f>
        <v/>
      </c>
      <c r="D414" t="str">
        <f>IF(A414="","",IFERROR(AVERAGEIFS(nNOTA,nNIA,A414,nEVAL,CONFIG_METADATA!$B$4,nASIG,"Conjunto"),""))</f>
        <v/>
      </c>
      <c r="E414" t="str">
        <f>IF(A414="","",IFERROR(AVERAGEIFS(nNOTA,nNIA,A414,nEVAL,CONFIG_METADATA!$B$4,nASIG,"&lt;&gt;Lenguaje Musical",nASIG,"&lt;&gt;Coro",nASIG,"&lt;&gt;Conjunto"),""))</f>
        <v/>
      </c>
      <c r="H414" t="str">
        <f>IF(G414="","",IFERROR(AVERAGEIFS(nNOTA,nNIA,G414,nEVAL,CONFIG_METADATA!$B$4,nASIG,"Lenguaje Musical"),""))</f>
        <v/>
      </c>
      <c r="I414" t="str">
        <f>IF(G414="","",IFERROR(AVERAGEIFS(nNOTA,nNIA,G414,nEVAL,CONFIG_METADATA!$B$4,nASIG,"Coro"),""))</f>
        <v/>
      </c>
      <c r="J414" t="str">
        <f>IF(G414="","",IFERROR(AVERAGEIFS(nNOTA,nNIA,G414,nEVAL,CONFIG_METADATA!$B$4,nASIG,"Conjunto"),""))</f>
        <v/>
      </c>
      <c r="K414" t="str" cm="1">
        <f t="array" ref="K414">IF(G414="","",IFERROR(AVERAGE(IF((nNIA=G414)*(nEVAL=CONFIG_METADATA!$B$4)*(nASIG&lt;&gt;"Lenguaje Musical")*(nASIG&lt;&gt;"Coro")*(nASIG&lt;&gt;"Conjunto"),nNOTA)),""))</f>
        <v/>
      </c>
      <c r="N414" t="str">
        <f>IF(M414="","",IFERROR(AVERAGEIFS(nNOTA,nNIA,M414,nEVAL,CONFIG_METADATA!$B$4,nASIG,"Lenguaje Musical"),""))</f>
        <v/>
      </c>
      <c r="O414" t="str">
        <f>IF(M414="","",IFERROR(AVERAGEIFS(nNOTA,nNIA,M414,nEVAL,CONFIG_METADATA!$B$4,nASIG,"Coro"),""))</f>
        <v/>
      </c>
      <c r="P414" t="str">
        <f>IF(M414="","",IFERROR(AVERAGEIFS(nNOTA,nNIA,M414,nEVAL,CONFIG_METADATA!$B$4,nASIG,"Conjunto"),""))</f>
        <v/>
      </c>
      <c r="Q414" t="str">
        <f>IF(M414="","",IFERROR(AVERAGEIFS(nNOTA,nNIA,M414,nEVAL,CONFIG_METADATA!$B$4,nASIG,"&lt;&gt;Lenguaje Musical",nASIG,"&lt;&gt;Coro",nASIG,"&lt;&gt;Conjunto"),""))</f>
        <v/>
      </c>
      <c r="T414" t="str">
        <f>IF(S414="","",IFERROR(AVERAGEIFS(nNOTA,nNIA,S414,nEVAL,CONFIG_METADATA!$B$4,nASIG,"Lenguaje Musical"),""))</f>
        <v/>
      </c>
      <c r="U414" t="str">
        <f>IF(S414="","",IFERROR(AVERAGEIFS(nNOTA,nNIA,S414,nEVAL,CONFIG_METADATA!$B$4,nASIG,"Coro"),""))</f>
        <v/>
      </c>
      <c r="V414" t="str">
        <f>IF(S414="","",IFERROR(AVERAGEIFS(nNOTA,nNIA,S414,nEVAL,CONFIG_METADATA!$B$4,nASIG,"Conjunto"),""))</f>
        <v/>
      </c>
      <c r="W414" t="str" cm="1">
        <f t="array" ref="W414">IF(S414="","",IFERROR(AVERAGE(IF((nNIA=S414)*(nEVAL=CONFIG_METADATA!$B$4)*(nASIG&lt;&gt;"Lenguaje Musical")*(nASIG&lt;&gt;"Coro")*(nASIG&lt;&gt;"Conjunto"),nNOTA)),""))</f>
        <v/>
      </c>
    </row>
    <row r="415" spans="2:23" x14ac:dyDescent="0.2">
      <c r="B415" t="str">
        <f>IF(A415="","",IFERROR(AVERAGEIFS(nNOTA,nNIA,A415,nEVAL,CONFIG_METADATA!$B$4,nASIG,"Lenguaje Musical"),""))</f>
        <v/>
      </c>
      <c r="C415" t="str">
        <f>IF(A415="","",IFERROR(AVERAGEIFS(nNOTA,nNIA,A415,nEVAL,CONFIG_METADATA!$B$4,nASIG,"Coro"),""))</f>
        <v/>
      </c>
      <c r="D415" t="str">
        <f>IF(A415="","",IFERROR(AVERAGEIFS(nNOTA,nNIA,A415,nEVAL,CONFIG_METADATA!$B$4,nASIG,"Conjunto"),""))</f>
        <v/>
      </c>
      <c r="E415" t="str">
        <f>IF(A415="","",IFERROR(AVERAGEIFS(nNOTA,nNIA,A415,nEVAL,CONFIG_METADATA!$B$4,nASIG,"&lt;&gt;Lenguaje Musical",nASIG,"&lt;&gt;Coro",nASIG,"&lt;&gt;Conjunto"),""))</f>
        <v/>
      </c>
      <c r="H415" t="str">
        <f>IF(G415="","",IFERROR(AVERAGEIFS(nNOTA,nNIA,G415,nEVAL,CONFIG_METADATA!$B$4,nASIG,"Lenguaje Musical"),""))</f>
        <v/>
      </c>
      <c r="I415" t="str">
        <f>IF(G415="","",IFERROR(AVERAGEIFS(nNOTA,nNIA,G415,nEVAL,CONFIG_METADATA!$B$4,nASIG,"Coro"),""))</f>
        <v/>
      </c>
      <c r="J415" t="str">
        <f>IF(G415="","",IFERROR(AVERAGEIFS(nNOTA,nNIA,G415,nEVAL,CONFIG_METADATA!$B$4,nASIG,"Conjunto"),""))</f>
        <v/>
      </c>
      <c r="K415" t="str" cm="1">
        <f t="array" ref="K415">IF(G415="","",IFERROR(AVERAGE(IF((nNIA=G415)*(nEVAL=CONFIG_METADATA!$B$4)*(nASIG&lt;&gt;"Lenguaje Musical")*(nASIG&lt;&gt;"Coro")*(nASIG&lt;&gt;"Conjunto"),nNOTA)),""))</f>
        <v/>
      </c>
      <c r="N415" t="str">
        <f>IF(M415="","",IFERROR(AVERAGEIFS(nNOTA,nNIA,M415,nEVAL,CONFIG_METADATA!$B$4,nASIG,"Lenguaje Musical"),""))</f>
        <v/>
      </c>
      <c r="O415" t="str">
        <f>IF(M415="","",IFERROR(AVERAGEIFS(nNOTA,nNIA,M415,nEVAL,CONFIG_METADATA!$B$4,nASIG,"Coro"),""))</f>
        <v/>
      </c>
      <c r="P415" t="str">
        <f>IF(M415="","",IFERROR(AVERAGEIFS(nNOTA,nNIA,M415,nEVAL,CONFIG_METADATA!$B$4,nASIG,"Conjunto"),""))</f>
        <v/>
      </c>
      <c r="Q415" t="str">
        <f>IF(M415="","",IFERROR(AVERAGEIFS(nNOTA,nNIA,M415,nEVAL,CONFIG_METADATA!$B$4,nASIG,"&lt;&gt;Lenguaje Musical",nASIG,"&lt;&gt;Coro",nASIG,"&lt;&gt;Conjunto"),""))</f>
        <v/>
      </c>
      <c r="T415" t="str">
        <f>IF(S415="","",IFERROR(AVERAGEIFS(nNOTA,nNIA,S415,nEVAL,CONFIG_METADATA!$B$4,nASIG,"Lenguaje Musical"),""))</f>
        <v/>
      </c>
      <c r="U415" t="str">
        <f>IF(S415="","",IFERROR(AVERAGEIFS(nNOTA,nNIA,S415,nEVAL,CONFIG_METADATA!$B$4,nASIG,"Coro"),""))</f>
        <v/>
      </c>
      <c r="V415" t="str">
        <f>IF(S415="","",IFERROR(AVERAGEIFS(nNOTA,nNIA,S415,nEVAL,CONFIG_METADATA!$B$4,nASIG,"Conjunto"),""))</f>
        <v/>
      </c>
      <c r="W415" t="str" cm="1">
        <f t="array" ref="W415">IF(S415="","",IFERROR(AVERAGE(IF((nNIA=S415)*(nEVAL=CONFIG_METADATA!$B$4)*(nASIG&lt;&gt;"Lenguaje Musical")*(nASIG&lt;&gt;"Coro")*(nASIG&lt;&gt;"Conjunto"),nNOTA)),""))</f>
        <v/>
      </c>
    </row>
    <row r="416" spans="2:23" x14ac:dyDescent="0.2">
      <c r="B416" t="str">
        <f>IF(A416="","",IFERROR(AVERAGEIFS(nNOTA,nNIA,A416,nEVAL,CONFIG_METADATA!$B$4,nASIG,"Lenguaje Musical"),""))</f>
        <v/>
      </c>
      <c r="C416" t="str">
        <f>IF(A416="","",IFERROR(AVERAGEIFS(nNOTA,nNIA,A416,nEVAL,CONFIG_METADATA!$B$4,nASIG,"Coro"),""))</f>
        <v/>
      </c>
      <c r="D416" t="str">
        <f>IF(A416="","",IFERROR(AVERAGEIFS(nNOTA,nNIA,A416,nEVAL,CONFIG_METADATA!$B$4,nASIG,"Conjunto"),""))</f>
        <v/>
      </c>
      <c r="E416" t="str">
        <f>IF(A416="","",IFERROR(AVERAGEIFS(nNOTA,nNIA,A416,nEVAL,CONFIG_METADATA!$B$4,nASIG,"&lt;&gt;Lenguaje Musical",nASIG,"&lt;&gt;Coro",nASIG,"&lt;&gt;Conjunto"),""))</f>
        <v/>
      </c>
      <c r="H416" t="str">
        <f>IF(G416="","",IFERROR(AVERAGEIFS(nNOTA,nNIA,G416,nEVAL,CONFIG_METADATA!$B$4,nASIG,"Lenguaje Musical"),""))</f>
        <v/>
      </c>
      <c r="I416" t="str">
        <f>IF(G416="","",IFERROR(AVERAGEIFS(nNOTA,nNIA,G416,nEVAL,CONFIG_METADATA!$B$4,nASIG,"Coro"),""))</f>
        <v/>
      </c>
      <c r="J416" t="str">
        <f>IF(G416="","",IFERROR(AVERAGEIFS(nNOTA,nNIA,G416,nEVAL,CONFIG_METADATA!$B$4,nASIG,"Conjunto"),""))</f>
        <v/>
      </c>
      <c r="K416" t="str" cm="1">
        <f t="array" ref="K416">IF(G416="","",IFERROR(AVERAGE(IF((nNIA=G416)*(nEVAL=CONFIG_METADATA!$B$4)*(nASIG&lt;&gt;"Lenguaje Musical")*(nASIG&lt;&gt;"Coro")*(nASIG&lt;&gt;"Conjunto"),nNOTA)),""))</f>
        <v/>
      </c>
      <c r="N416" t="str">
        <f>IF(M416="","",IFERROR(AVERAGEIFS(nNOTA,nNIA,M416,nEVAL,CONFIG_METADATA!$B$4,nASIG,"Lenguaje Musical"),""))</f>
        <v/>
      </c>
      <c r="O416" t="str">
        <f>IF(M416="","",IFERROR(AVERAGEIFS(nNOTA,nNIA,M416,nEVAL,CONFIG_METADATA!$B$4,nASIG,"Coro"),""))</f>
        <v/>
      </c>
      <c r="P416" t="str">
        <f>IF(M416="","",IFERROR(AVERAGEIFS(nNOTA,nNIA,M416,nEVAL,CONFIG_METADATA!$B$4,nASIG,"Conjunto"),""))</f>
        <v/>
      </c>
      <c r="Q416" t="str">
        <f>IF(M416="","",IFERROR(AVERAGEIFS(nNOTA,nNIA,M416,nEVAL,CONFIG_METADATA!$B$4,nASIG,"&lt;&gt;Lenguaje Musical",nASIG,"&lt;&gt;Coro",nASIG,"&lt;&gt;Conjunto"),""))</f>
        <v/>
      </c>
      <c r="T416" t="str">
        <f>IF(S416="","",IFERROR(AVERAGEIFS(nNOTA,nNIA,S416,nEVAL,CONFIG_METADATA!$B$4,nASIG,"Lenguaje Musical"),""))</f>
        <v/>
      </c>
      <c r="U416" t="str">
        <f>IF(S416="","",IFERROR(AVERAGEIFS(nNOTA,nNIA,S416,nEVAL,CONFIG_METADATA!$B$4,nASIG,"Coro"),""))</f>
        <v/>
      </c>
      <c r="V416" t="str">
        <f>IF(S416="","",IFERROR(AVERAGEIFS(nNOTA,nNIA,S416,nEVAL,CONFIG_METADATA!$B$4,nASIG,"Conjunto"),""))</f>
        <v/>
      </c>
      <c r="W416" t="str" cm="1">
        <f t="array" ref="W416">IF(S416="","",IFERROR(AVERAGE(IF((nNIA=S416)*(nEVAL=CONFIG_METADATA!$B$4)*(nASIG&lt;&gt;"Lenguaje Musical")*(nASIG&lt;&gt;"Coro")*(nASIG&lt;&gt;"Conjunto"),nNOTA)),""))</f>
        <v/>
      </c>
    </row>
    <row r="417" spans="2:23" x14ac:dyDescent="0.2">
      <c r="B417" t="str">
        <f>IF(A417="","",IFERROR(AVERAGEIFS(nNOTA,nNIA,A417,nEVAL,CONFIG_METADATA!$B$4,nASIG,"Lenguaje Musical"),""))</f>
        <v/>
      </c>
      <c r="C417" t="str">
        <f>IF(A417="","",IFERROR(AVERAGEIFS(nNOTA,nNIA,A417,nEVAL,CONFIG_METADATA!$B$4,nASIG,"Coro"),""))</f>
        <v/>
      </c>
      <c r="D417" t="str">
        <f>IF(A417="","",IFERROR(AVERAGEIFS(nNOTA,nNIA,A417,nEVAL,CONFIG_METADATA!$B$4,nASIG,"Conjunto"),""))</f>
        <v/>
      </c>
      <c r="E417" t="str">
        <f>IF(A417="","",IFERROR(AVERAGEIFS(nNOTA,nNIA,A417,nEVAL,CONFIG_METADATA!$B$4,nASIG,"&lt;&gt;Lenguaje Musical",nASIG,"&lt;&gt;Coro",nASIG,"&lt;&gt;Conjunto"),""))</f>
        <v/>
      </c>
      <c r="H417" t="str">
        <f>IF(G417="","",IFERROR(AVERAGEIFS(nNOTA,nNIA,G417,nEVAL,CONFIG_METADATA!$B$4,nASIG,"Lenguaje Musical"),""))</f>
        <v/>
      </c>
      <c r="I417" t="str">
        <f>IF(G417="","",IFERROR(AVERAGEIFS(nNOTA,nNIA,G417,nEVAL,CONFIG_METADATA!$B$4,nASIG,"Coro"),""))</f>
        <v/>
      </c>
      <c r="J417" t="str">
        <f>IF(G417="","",IFERROR(AVERAGEIFS(nNOTA,nNIA,G417,nEVAL,CONFIG_METADATA!$B$4,nASIG,"Conjunto"),""))</f>
        <v/>
      </c>
      <c r="K417" t="str" cm="1">
        <f t="array" ref="K417">IF(G417="","",IFERROR(AVERAGE(IF((nNIA=G417)*(nEVAL=CONFIG_METADATA!$B$4)*(nASIG&lt;&gt;"Lenguaje Musical")*(nASIG&lt;&gt;"Coro")*(nASIG&lt;&gt;"Conjunto"),nNOTA)),""))</f>
        <v/>
      </c>
      <c r="N417" t="str">
        <f>IF(M417="","",IFERROR(AVERAGEIFS(nNOTA,nNIA,M417,nEVAL,CONFIG_METADATA!$B$4,nASIG,"Lenguaje Musical"),""))</f>
        <v/>
      </c>
      <c r="O417" t="str">
        <f>IF(M417="","",IFERROR(AVERAGEIFS(nNOTA,nNIA,M417,nEVAL,CONFIG_METADATA!$B$4,nASIG,"Coro"),""))</f>
        <v/>
      </c>
      <c r="P417" t="str">
        <f>IF(M417="","",IFERROR(AVERAGEIFS(nNOTA,nNIA,M417,nEVAL,CONFIG_METADATA!$B$4,nASIG,"Conjunto"),""))</f>
        <v/>
      </c>
      <c r="Q417" t="str">
        <f>IF(M417="","",IFERROR(AVERAGEIFS(nNOTA,nNIA,M417,nEVAL,CONFIG_METADATA!$B$4,nASIG,"&lt;&gt;Lenguaje Musical",nASIG,"&lt;&gt;Coro",nASIG,"&lt;&gt;Conjunto"),""))</f>
        <v/>
      </c>
      <c r="T417" t="str">
        <f>IF(S417="","",IFERROR(AVERAGEIFS(nNOTA,nNIA,S417,nEVAL,CONFIG_METADATA!$B$4,nASIG,"Lenguaje Musical"),""))</f>
        <v/>
      </c>
      <c r="U417" t="str">
        <f>IF(S417="","",IFERROR(AVERAGEIFS(nNOTA,nNIA,S417,nEVAL,CONFIG_METADATA!$B$4,nASIG,"Coro"),""))</f>
        <v/>
      </c>
      <c r="V417" t="str">
        <f>IF(S417="","",IFERROR(AVERAGEIFS(nNOTA,nNIA,S417,nEVAL,CONFIG_METADATA!$B$4,nASIG,"Conjunto"),""))</f>
        <v/>
      </c>
      <c r="W417" t="str" cm="1">
        <f t="array" ref="W417">IF(S417="","",IFERROR(AVERAGE(IF((nNIA=S417)*(nEVAL=CONFIG_METADATA!$B$4)*(nASIG&lt;&gt;"Lenguaje Musical")*(nASIG&lt;&gt;"Coro")*(nASIG&lt;&gt;"Conjunto"),nNOTA)),""))</f>
        <v/>
      </c>
    </row>
    <row r="418" spans="2:23" x14ac:dyDescent="0.2">
      <c r="B418" t="str">
        <f>IF(A418="","",IFERROR(AVERAGEIFS(nNOTA,nNIA,A418,nEVAL,CONFIG_METADATA!$B$4,nASIG,"Lenguaje Musical"),""))</f>
        <v/>
      </c>
      <c r="C418" t="str">
        <f>IF(A418="","",IFERROR(AVERAGEIFS(nNOTA,nNIA,A418,nEVAL,CONFIG_METADATA!$B$4,nASIG,"Coro"),""))</f>
        <v/>
      </c>
      <c r="D418" t="str">
        <f>IF(A418="","",IFERROR(AVERAGEIFS(nNOTA,nNIA,A418,nEVAL,CONFIG_METADATA!$B$4,nASIG,"Conjunto"),""))</f>
        <v/>
      </c>
      <c r="E418" t="str">
        <f>IF(A418="","",IFERROR(AVERAGEIFS(nNOTA,nNIA,A418,nEVAL,CONFIG_METADATA!$B$4,nASIG,"&lt;&gt;Lenguaje Musical",nASIG,"&lt;&gt;Coro",nASIG,"&lt;&gt;Conjunto"),""))</f>
        <v/>
      </c>
      <c r="H418" t="str">
        <f>IF(G418="","",IFERROR(AVERAGEIFS(nNOTA,nNIA,G418,nEVAL,CONFIG_METADATA!$B$4,nASIG,"Lenguaje Musical"),""))</f>
        <v/>
      </c>
      <c r="I418" t="str">
        <f>IF(G418="","",IFERROR(AVERAGEIFS(nNOTA,nNIA,G418,nEVAL,CONFIG_METADATA!$B$4,nASIG,"Coro"),""))</f>
        <v/>
      </c>
      <c r="J418" t="str">
        <f>IF(G418="","",IFERROR(AVERAGEIFS(nNOTA,nNIA,G418,nEVAL,CONFIG_METADATA!$B$4,nASIG,"Conjunto"),""))</f>
        <v/>
      </c>
      <c r="K418" t="str" cm="1">
        <f t="array" ref="K418">IF(G418="","",IFERROR(AVERAGE(IF((nNIA=G418)*(nEVAL=CONFIG_METADATA!$B$4)*(nASIG&lt;&gt;"Lenguaje Musical")*(nASIG&lt;&gt;"Coro")*(nASIG&lt;&gt;"Conjunto"),nNOTA)),""))</f>
        <v/>
      </c>
      <c r="N418" t="str">
        <f>IF(M418="","",IFERROR(AVERAGEIFS(nNOTA,nNIA,M418,nEVAL,CONFIG_METADATA!$B$4,nASIG,"Lenguaje Musical"),""))</f>
        <v/>
      </c>
      <c r="O418" t="str">
        <f>IF(M418="","",IFERROR(AVERAGEIFS(nNOTA,nNIA,M418,nEVAL,CONFIG_METADATA!$B$4,nASIG,"Coro"),""))</f>
        <v/>
      </c>
      <c r="P418" t="str">
        <f>IF(M418="","",IFERROR(AVERAGEIFS(nNOTA,nNIA,M418,nEVAL,CONFIG_METADATA!$B$4,nASIG,"Conjunto"),""))</f>
        <v/>
      </c>
      <c r="Q418" t="str">
        <f>IF(M418="","",IFERROR(AVERAGEIFS(nNOTA,nNIA,M418,nEVAL,CONFIG_METADATA!$B$4,nASIG,"&lt;&gt;Lenguaje Musical",nASIG,"&lt;&gt;Coro",nASIG,"&lt;&gt;Conjunto"),""))</f>
        <v/>
      </c>
      <c r="T418" t="str">
        <f>IF(S418="","",IFERROR(AVERAGEIFS(nNOTA,nNIA,S418,nEVAL,CONFIG_METADATA!$B$4,nASIG,"Lenguaje Musical"),""))</f>
        <v/>
      </c>
      <c r="U418" t="str">
        <f>IF(S418="","",IFERROR(AVERAGEIFS(nNOTA,nNIA,S418,nEVAL,CONFIG_METADATA!$B$4,nASIG,"Coro"),""))</f>
        <v/>
      </c>
      <c r="V418" t="str">
        <f>IF(S418="","",IFERROR(AVERAGEIFS(nNOTA,nNIA,S418,nEVAL,CONFIG_METADATA!$B$4,nASIG,"Conjunto"),""))</f>
        <v/>
      </c>
      <c r="W418" t="str" cm="1">
        <f t="array" ref="W418">IF(S418="","",IFERROR(AVERAGE(IF((nNIA=S418)*(nEVAL=CONFIG_METADATA!$B$4)*(nASIG&lt;&gt;"Lenguaje Musical")*(nASIG&lt;&gt;"Coro")*(nASIG&lt;&gt;"Conjunto"),nNOTA)),""))</f>
        <v/>
      </c>
    </row>
    <row r="419" spans="2:23" x14ac:dyDescent="0.2">
      <c r="B419" t="str">
        <f>IF(A419="","",IFERROR(AVERAGEIFS(nNOTA,nNIA,A419,nEVAL,CONFIG_METADATA!$B$4,nASIG,"Lenguaje Musical"),""))</f>
        <v/>
      </c>
      <c r="C419" t="str">
        <f>IF(A419="","",IFERROR(AVERAGEIFS(nNOTA,nNIA,A419,nEVAL,CONFIG_METADATA!$B$4,nASIG,"Coro"),""))</f>
        <v/>
      </c>
      <c r="D419" t="str">
        <f>IF(A419="","",IFERROR(AVERAGEIFS(nNOTA,nNIA,A419,nEVAL,CONFIG_METADATA!$B$4,nASIG,"Conjunto"),""))</f>
        <v/>
      </c>
      <c r="E419" t="str">
        <f>IF(A419="","",IFERROR(AVERAGEIFS(nNOTA,nNIA,A419,nEVAL,CONFIG_METADATA!$B$4,nASIG,"&lt;&gt;Lenguaje Musical",nASIG,"&lt;&gt;Coro",nASIG,"&lt;&gt;Conjunto"),""))</f>
        <v/>
      </c>
      <c r="H419" t="str">
        <f>IF(G419="","",IFERROR(AVERAGEIFS(nNOTA,nNIA,G419,nEVAL,CONFIG_METADATA!$B$4,nASIG,"Lenguaje Musical"),""))</f>
        <v/>
      </c>
      <c r="I419" t="str">
        <f>IF(G419="","",IFERROR(AVERAGEIFS(nNOTA,nNIA,G419,nEVAL,CONFIG_METADATA!$B$4,nASIG,"Coro"),""))</f>
        <v/>
      </c>
      <c r="J419" t="str">
        <f>IF(G419="","",IFERROR(AVERAGEIFS(nNOTA,nNIA,G419,nEVAL,CONFIG_METADATA!$B$4,nASIG,"Conjunto"),""))</f>
        <v/>
      </c>
      <c r="K419" t="str" cm="1">
        <f t="array" ref="K419">IF(G419="","",IFERROR(AVERAGE(IF((nNIA=G419)*(nEVAL=CONFIG_METADATA!$B$4)*(nASIG&lt;&gt;"Lenguaje Musical")*(nASIG&lt;&gt;"Coro")*(nASIG&lt;&gt;"Conjunto"),nNOTA)),""))</f>
        <v/>
      </c>
      <c r="N419" t="str">
        <f>IF(M419="","",IFERROR(AVERAGEIFS(nNOTA,nNIA,M419,nEVAL,CONFIG_METADATA!$B$4,nASIG,"Lenguaje Musical"),""))</f>
        <v/>
      </c>
      <c r="O419" t="str">
        <f>IF(M419="","",IFERROR(AVERAGEIFS(nNOTA,nNIA,M419,nEVAL,CONFIG_METADATA!$B$4,nASIG,"Coro"),""))</f>
        <v/>
      </c>
      <c r="P419" t="str">
        <f>IF(M419="","",IFERROR(AVERAGEIFS(nNOTA,nNIA,M419,nEVAL,CONFIG_METADATA!$B$4,nASIG,"Conjunto"),""))</f>
        <v/>
      </c>
      <c r="Q419" t="str">
        <f>IF(M419="","",IFERROR(AVERAGEIFS(nNOTA,nNIA,M419,nEVAL,CONFIG_METADATA!$B$4,nASIG,"&lt;&gt;Lenguaje Musical",nASIG,"&lt;&gt;Coro",nASIG,"&lt;&gt;Conjunto"),""))</f>
        <v/>
      </c>
      <c r="T419" t="str">
        <f>IF(S419="","",IFERROR(AVERAGEIFS(nNOTA,nNIA,S419,nEVAL,CONFIG_METADATA!$B$4,nASIG,"Lenguaje Musical"),""))</f>
        <v/>
      </c>
      <c r="U419" t="str">
        <f>IF(S419="","",IFERROR(AVERAGEIFS(nNOTA,nNIA,S419,nEVAL,CONFIG_METADATA!$B$4,nASIG,"Coro"),""))</f>
        <v/>
      </c>
      <c r="V419" t="str">
        <f>IF(S419="","",IFERROR(AVERAGEIFS(nNOTA,nNIA,S419,nEVAL,CONFIG_METADATA!$B$4,nASIG,"Conjunto"),""))</f>
        <v/>
      </c>
      <c r="W419" t="str" cm="1">
        <f t="array" ref="W419">IF(S419="","",IFERROR(AVERAGE(IF((nNIA=S419)*(nEVAL=CONFIG_METADATA!$B$4)*(nASIG&lt;&gt;"Lenguaje Musical")*(nASIG&lt;&gt;"Coro")*(nASIG&lt;&gt;"Conjunto"),nNOTA)),""))</f>
        <v/>
      </c>
    </row>
    <row r="420" spans="2:23" x14ac:dyDescent="0.2">
      <c r="B420" t="str">
        <f>IF(A420="","",IFERROR(AVERAGEIFS(nNOTA,nNIA,A420,nEVAL,CONFIG_METADATA!$B$4,nASIG,"Lenguaje Musical"),""))</f>
        <v/>
      </c>
      <c r="C420" t="str">
        <f>IF(A420="","",IFERROR(AVERAGEIFS(nNOTA,nNIA,A420,nEVAL,CONFIG_METADATA!$B$4,nASIG,"Coro"),""))</f>
        <v/>
      </c>
      <c r="D420" t="str">
        <f>IF(A420="","",IFERROR(AVERAGEIFS(nNOTA,nNIA,A420,nEVAL,CONFIG_METADATA!$B$4,nASIG,"Conjunto"),""))</f>
        <v/>
      </c>
      <c r="E420" t="str">
        <f>IF(A420="","",IFERROR(AVERAGEIFS(nNOTA,nNIA,A420,nEVAL,CONFIG_METADATA!$B$4,nASIG,"&lt;&gt;Lenguaje Musical",nASIG,"&lt;&gt;Coro",nASIG,"&lt;&gt;Conjunto"),""))</f>
        <v/>
      </c>
      <c r="H420" t="str">
        <f>IF(G420="","",IFERROR(AVERAGEIFS(nNOTA,nNIA,G420,nEVAL,CONFIG_METADATA!$B$4,nASIG,"Lenguaje Musical"),""))</f>
        <v/>
      </c>
      <c r="I420" t="str">
        <f>IF(G420="","",IFERROR(AVERAGEIFS(nNOTA,nNIA,G420,nEVAL,CONFIG_METADATA!$B$4,nASIG,"Coro"),""))</f>
        <v/>
      </c>
      <c r="J420" t="str">
        <f>IF(G420="","",IFERROR(AVERAGEIFS(nNOTA,nNIA,G420,nEVAL,CONFIG_METADATA!$B$4,nASIG,"Conjunto"),""))</f>
        <v/>
      </c>
      <c r="K420" t="str" cm="1">
        <f t="array" ref="K420">IF(G420="","",IFERROR(AVERAGE(IF((nNIA=G420)*(nEVAL=CONFIG_METADATA!$B$4)*(nASIG&lt;&gt;"Lenguaje Musical")*(nASIG&lt;&gt;"Coro")*(nASIG&lt;&gt;"Conjunto"),nNOTA)),""))</f>
        <v/>
      </c>
      <c r="N420" t="str">
        <f>IF(M420="","",IFERROR(AVERAGEIFS(nNOTA,nNIA,M420,nEVAL,CONFIG_METADATA!$B$4,nASIG,"Lenguaje Musical"),""))</f>
        <v/>
      </c>
      <c r="O420" t="str">
        <f>IF(M420="","",IFERROR(AVERAGEIFS(nNOTA,nNIA,M420,nEVAL,CONFIG_METADATA!$B$4,nASIG,"Coro"),""))</f>
        <v/>
      </c>
      <c r="P420" t="str">
        <f>IF(M420="","",IFERROR(AVERAGEIFS(nNOTA,nNIA,M420,nEVAL,CONFIG_METADATA!$B$4,nASIG,"Conjunto"),""))</f>
        <v/>
      </c>
      <c r="Q420" t="str">
        <f>IF(M420="","",IFERROR(AVERAGEIFS(nNOTA,nNIA,M420,nEVAL,CONFIG_METADATA!$B$4,nASIG,"&lt;&gt;Lenguaje Musical",nASIG,"&lt;&gt;Coro",nASIG,"&lt;&gt;Conjunto"),""))</f>
        <v/>
      </c>
      <c r="T420" t="str">
        <f>IF(S420="","",IFERROR(AVERAGEIFS(nNOTA,nNIA,S420,nEVAL,CONFIG_METADATA!$B$4,nASIG,"Lenguaje Musical"),""))</f>
        <v/>
      </c>
      <c r="U420" t="str">
        <f>IF(S420="","",IFERROR(AVERAGEIFS(nNOTA,nNIA,S420,nEVAL,CONFIG_METADATA!$B$4,nASIG,"Coro"),""))</f>
        <v/>
      </c>
      <c r="V420" t="str">
        <f>IF(S420="","",IFERROR(AVERAGEIFS(nNOTA,nNIA,S420,nEVAL,CONFIG_METADATA!$B$4,nASIG,"Conjunto"),""))</f>
        <v/>
      </c>
      <c r="W420" t="str" cm="1">
        <f t="array" ref="W420">IF(S420="","",IFERROR(AVERAGE(IF((nNIA=S420)*(nEVAL=CONFIG_METADATA!$B$4)*(nASIG&lt;&gt;"Lenguaje Musical")*(nASIG&lt;&gt;"Coro")*(nASIG&lt;&gt;"Conjunto"),nNOTA)),""))</f>
        <v/>
      </c>
    </row>
    <row r="421" spans="2:23" x14ac:dyDescent="0.2">
      <c r="B421" t="str">
        <f>IF(A421="","",IFERROR(AVERAGEIFS(nNOTA,nNIA,A421,nEVAL,CONFIG_METADATA!$B$4,nASIG,"Lenguaje Musical"),""))</f>
        <v/>
      </c>
      <c r="C421" t="str">
        <f>IF(A421="","",IFERROR(AVERAGEIFS(nNOTA,nNIA,A421,nEVAL,CONFIG_METADATA!$B$4,nASIG,"Coro"),""))</f>
        <v/>
      </c>
      <c r="D421" t="str">
        <f>IF(A421="","",IFERROR(AVERAGEIFS(nNOTA,nNIA,A421,nEVAL,CONFIG_METADATA!$B$4,nASIG,"Conjunto"),""))</f>
        <v/>
      </c>
      <c r="E421" t="str">
        <f>IF(A421="","",IFERROR(AVERAGEIFS(nNOTA,nNIA,A421,nEVAL,CONFIG_METADATA!$B$4,nASIG,"&lt;&gt;Lenguaje Musical",nASIG,"&lt;&gt;Coro",nASIG,"&lt;&gt;Conjunto"),""))</f>
        <v/>
      </c>
      <c r="H421" t="str">
        <f>IF(G421="","",IFERROR(AVERAGEIFS(nNOTA,nNIA,G421,nEVAL,CONFIG_METADATA!$B$4,nASIG,"Lenguaje Musical"),""))</f>
        <v/>
      </c>
      <c r="I421" t="str">
        <f>IF(G421="","",IFERROR(AVERAGEIFS(nNOTA,nNIA,G421,nEVAL,CONFIG_METADATA!$B$4,nASIG,"Coro"),""))</f>
        <v/>
      </c>
      <c r="J421" t="str">
        <f>IF(G421="","",IFERROR(AVERAGEIFS(nNOTA,nNIA,G421,nEVAL,CONFIG_METADATA!$B$4,nASIG,"Conjunto"),""))</f>
        <v/>
      </c>
      <c r="K421" t="str" cm="1">
        <f t="array" ref="K421">IF(G421="","",IFERROR(AVERAGE(IF((nNIA=G421)*(nEVAL=CONFIG_METADATA!$B$4)*(nASIG&lt;&gt;"Lenguaje Musical")*(nASIG&lt;&gt;"Coro")*(nASIG&lt;&gt;"Conjunto"),nNOTA)),""))</f>
        <v/>
      </c>
      <c r="N421" t="str">
        <f>IF(M421="","",IFERROR(AVERAGEIFS(nNOTA,nNIA,M421,nEVAL,CONFIG_METADATA!$B$4,nASIG,"Lenguaje Musical"),""))</f>
        <v/>
      </c>
      <c r="O421" t="str">
        <f>IF(M421="","",IFERROR(AVERAGEIFS(nNOTA,nNIA,M421,nEVAL,CONFIG_METADATA!$B$4,nASIG,"Coro"),""))</f>
        <v/>
      </c>
      <c r="P421" t="str">
        <f>IF(M421="","",IFERROR(AVERAGEIFS(nNOTA,nNIA,M421,nEVAL,CONFIG_METADATA!$B$4,nASIG,"Conjunto"),""))</f>
        <v/>
      </c>
      <c r="Q421" t="str">
        <f>IF(M421="","",IFERROR(AVERAGEIFS(nNOTA,nNIA,M421,nEVAL,CONFIG_METADATA!$B$4,nASIG,"&lt;&gt;Lenguaje Musical",nASIG,"&lt;&gt;Coro",nASIG,"&lt;&gt;Conjunto"),""))</f>
        <v/>
      </c>
      <c r="T421" t="str">
        <f>IF(S421="","",IFERROR(AVERAGEIFS(nNOTA,nNIA,S421,nEVAL,CONFIG_METADATA!$B$4,nASIG,"Lenguaje Musical"),""))</f>
        <v/>
      </c>
      <c r="U421" t="str">
        <f>IF(S421="","",IFERROR(AVERAGEIFS(nNOTA,nNIA,S421,nEVAL,CONFIG_METADATA!$B$4,nASIG,"Coro"),""))</f>
        <v/>
      </c>
      <c r="V421" t="str">
        <f>IF(S421="","",IFERROR(AVERAGEIFS(nNOTA,nNIA,S421,nEVAL,CONFIG_METADATA!$B$4,nASIG,"Conjunto"),""))</f>
        <v/>
      </c>
      <c r="W421" t="str" cm="1">
        <f t="array" ref="W421">IF(S421="","",IFERROR(AVERAGE(IF((nNIA=S421)*(nEVAL=CONFIG_METADATA!$B$4)*(nASIG&lt;&gt;"Lenguaje Musical")*(nASIG&lt;&gt;"Coro")*(nASIG&lt;&gt;"Conjunto"),nNOTA)),""))</f>
        <v/>
      </c>
    </row>
    <row r="422" spans="2:23" x14ac:dyDescent="0.2">
      <c r="B422" t="str">
        <f>IF(A422="","",IFERROR(AVERAGEIFS(nNOTA,nNIA,A422,nEVAL,CONFIG_METADATA!$B$4,nASIG,"Lenguaje Musical"),""))</f>
        <v/>
      </c>
      <c r="C422" t="str">
        <f>IF(A422="","",IFERROR(AVERAGEIFS(nNOTA,nNIA,A422,nEVAL,CONFIG_METADATA!$B$4,nASIG,"Coro"),""))</f>
        <v/>
      </c>
      <c r="D422" t="str">
        <f>IF(A422="","",IFERROR(AVERAGEIFS(nNOTA,nNIA,A422,nEVAL,CONFIG_METADATA!$B$4,nASIG,"Conjunto"),""))</f>
        <v/>
      </c>
      <c r="E422" t="str">
        <f>IF(A422="","",IFERROR(AVERAGEIFS(nNOTA,nNIA,A422,nEVAL,CONFIG_METADATA!$B$4,nASIG,"&lt;&gt;Lenguaje Musical",nASIG,"&lt;&gt;Coro",nASIG,"&lt;&gt;Conjunto"),""))</f>
        <v/>
      </c>
      <c r="H422" t="str">
        <f>IF(G422="","",IFERROR(AVERAGEIFS(nNOTA,nNIA,G422,nEVAL,CONFIG_METADATA!$B$4,nASIG,"Lenguaje Musical"),""))</f>
        <v/>
      </c>
      <c r="I422" t="str">
        <f>IF(G422="","",IFERROR(AVERAGEIFS(nNOTA,nNIA,G422,nEVAL,CONFIG_METADATA!$B$4,nASIG,"Coro"),""))</f>
        <v/>
      </c>
      <c r="J422" t="str">
        <f>IF(G422="","",IFERROR(AVERAGEIFS(nNOTA,nNIA,G422,nEVAL,CONFIG_METADATA!$B$4,nASIG,"Conjunto"),""))</f>
        <v/>
      </c>
      <c r="K422" t="str" cm="1">
        <f t="array" ref="K422">IF(G422="","",IFERROR(AVERAGE(IF((nNIA=G422)*(nEVAL=CONFIG_METADATA!$B$4)*(nASIG&lt;&gt;"Lenguaje Musical")*(nASIG&lt;&gt;"Coro")*(nASIG&lt;&gt;"Conjunto"),nNOTA)),""))</f>
        <v/>
      </c>
      <c r="N422" t="str">
        <f>IF(M422="","",IFERROR(AVERAGEIFS(nNOTA,nNIA,M422,nEVAL,CONFIG_METADATA!$B$4,nASIG,"Lenguaje Musical"),""))</f>
        <v/>
      </c>
      <c r="O422" t="str">
        <f>IF(M422="","",IFERROR(AVERAGEIFS(nNOTA,nNIA,M422,nEVAL,CONFIG_METADATA!$B$4,nASIG,"Coro"),""))</f>
        <v/>
      </c>
      <c r="P422" t="str">
        <f>IF(M422="","",IFERROR(AVERAGEIFS(nNOTA,nNIA,M422,nEVAL,CONFIG_METADATA!$B$4,nASIG,"Conjunto"),""))</f>
        <v/>
      </c>
      <c r="Q422" t="str">
        <f>IF(M422="","",IFERROR(AVERAGEIFS(nNOTA,nNIA,M422,nEVAL,CONFIG_METADATA!$B$4,nASIG,"&lt;&gt;Lenguaje Musical",nASIG,"&lt;&gt;Coro",nASIG,"&lt;&gt;Conjunto"),""))</f>
        <v/>
      </c>
      <c r="T422" t="str">
        <f>IF(S422="","",IFERROR(AVERAGEIFS(nNOTA,nNIA,S422,nEVAL,CONFIG_METADATA!$B$4,nASIG,"Lenguaje Musical"),""))</f>
        <v/>
      </c>
      <c r="U422" t="str">
        <f>IF(S422="","",IFERROR(AVERAGEIFS(nNOTA,nNIA,S422,nEVAL,CONFIG_METADATA!$B$4,nASIG,"Coro"),""))</f>
        <v/>
      </c>
      <c r="V422" t="str">
        <f>IF(S422="","",IFERROR(AVERAGEIFS(nNOTA,nNIA,S422,nEVAL,CONFIG_METADATA!$B$4,nASIG,"Conjunto"),""))</f>
        <v/>
      </c>
      <c r="W422" t="str" cm="1">
        <f t="array" ref="W422">IF(S422="","",IFERROR(AVERAGE(IF((nNIA=S422)*(nEVAL=CONFIG_METADATA!$B$4)*(nASIG&lt;&gt;"Lenguaje Musical")*(nASIG&lt;&gt;"Coro")*(nASIG&lt;&gt;"Conjunto"),nNOTA)),""))</f>
        <v/>
      </c>
    </row>
    <row r="423" spans="2:23" x14ac:dyDescent="0.2">
      <c r="B423" t="str">
        <f>IF(A423="","",IFERROR(AVERAGEIFS(nNOTA,nNIA,A423,nEVAL,CONFIG_METADATA!$B$4,nASIG,"Lenguaje Musical"),""))</f>
        <v/>
      </c>
      <c r="C423" t="str">
        <f>IF(A423="","",IFERROR(AVERAGEIFS(nNOTA,nNIA,A423,nEVAL,CONFIG_METADATA!$B$4,nASIG,"Coro"),""))</f>
        <v/>
      </c>
      <c r="D423" t="str">
        <f>IF(A423="","",IFERROR(AVERAGEIFS(nNOTA,nNIA,A423,nEVAL,CONFIG_METADATA!$B$4,nASIG,"Conjunto"),""))</f>
        <v/>
      </c>
      <c r="E423" t="str">
        <f>IF(A423="","",IFERROR(AVERAGEIFS(nNOTA,nNIA,A423,nEVAL,CONFIG_METADATA!$B$4,nASIG,"&lt;&gt;Lenguaje Musical",nASIG,"&lt;&gt;Coro",nASIG,"&lt;&gt;Conjunto"),""))</f>
        <v/>
      </c>
      <c r="H423" t="str">
        <f>IF(G423="","",IFERROR(AVERAGEIFS(nNOTA,nNIA,G423,nEVAL,CONFIG_METADATA!$B$4,nASIG,"Lenguaje Musical"),""))</f>
        <v/>
      </c>
      <c r="I423" t="str">
        <f>IF(G423="","",IFERROR(AVERAGEIFS(nNOTA,nNIA,G423,nEVAL,CONFIG_METADATA!$B$4,nASIG,"Coro"),""))</f>
        <v/>
      </c>
      <c r="J423" t="str">
        <f>IF(G423="","",IFERROR(AVERAGEIFS(nNOTA,nNIA,G423,nEVAL,CONFIG_METADATA!$B$4,nASIG,"Conjunto"),""))</f>
        <v/>
      </c>
      <c r="K423" t="str" cm="1">
        <f t="array" ref="K423">IF(G423="","",IFERROR(AVERAGE(IF((nNIA=G423)*(nEVAL=CONFIG_METADATA!$B$4)*(nASIG&lt;&gt;"Lenguaje Musical")*(nASIG&lt;&gt;"Coro")*(nASIG&lt;&gt;"Conjunto"),nNOTA)),""))</f>
        <v/>
      </c>
      <c r="N423" t="str">
        <f>IF(M423="","",IFERROR(AVERAGEIFS(nNOTA,nNIA,M423,nEVAL,CONFIG_METADATA!$B$4,nASIG,"Lenguaje Musical"),""))</f>
        <v/>
      </c>
      <c r="O423" t="str">
        <f>IF(M423="","",IFERROR(AVERAGEIFS(nNOTA,nNIA,M423,nEVAL,CONFIG_METADATA!$B$4,nASIG,"Coro"),""))</f>
        <v/>
      </c>
      <c r="P423" t="str">
        <f>IF(M423="","",IFERROR(AVERAGEIFS(nNOTA,nNIA,M423,nEVAL,CONFIG_METADATA!$B$4,nASIG,"Conjunto"),""))</f>
        <v/>
      </c>
      <c r="Q423" t="str">
        <f>IF(M423="","",IFERROR(AVERAGEIFS(nNOTA,nNIA,M423,nEVAL,CONFIG_METADATA!$B$4,nASIG,"&lt;&gt;Lenguaje Musical",nASIG,"&lt;&gt;Coro",nASIG,"&lt;&gt;Conjunto"),""))</f>
        <v/>
      </c>
      <c r="T423" t="str">
        <f>IF(S423="","",IFERROR(AVERAGEIFS(nNOTA,nNIA,S423,nEVAL,CONFIG_METADATA!$B$4,nASIG,"Lenguaje Musical"),""))</f>
        <v/>
      </c>
      <c r="U423" t="str">
        <f>IF(S423="","",IFERROR(AVERAGEIFS(nNOTA,nNIA,S423,nEVAL,CONFIG_METADATA!$B$4,nASIG,"Coro"),""))</f>
        <v/>
      </c>
      <c r="V423" t="str">
        <f>IF(S423="","",IFERROR(AVERAGEIFS(nNOTA,nNIA,S423,nEVAL,CONFIG_METADATA!$B$4,nASIG,"Conjunto"),""))</f>
        <v/>
      </c>
      <c r="W423" t="str" cm="1">
        <f t="array" ref="W423">IF(S423="","",IFERROR(AVERAGE(IF((nNIA=S423)*(nEVAL=CONFIG_METADATA!$B$4)*(nASIG&lt;&gt;"Lenguaje Musical")*(nASIG&lt;&gt;"Coro")*(nASIG&lt;&gt;"Conjunto"),nNOTA)),""))</f>
        <v/>
      </c>
    </row>
    <row r="424" spans="2:23" x14ac:dyDescent="0.2">
      <c r="B424" t="str">
        <f>IF(A424="","",IFERROR(AVERAGEIFS(nNOTA,nNIA,A424,nEVAL,CONFIG_METADATA!$B$4,nASIG,"Lenguaje Musical"),""))</f>
        <v/>
      </c>
      <c r="C424" t="str">
        <f>IF(A424="","",IFERROR(AVERAGEIFS(nNOTA,nNIA,A424,nEVAL,CONFIG_METADATA!$B$4,nASIG,"Coro"),""))</f>
        <v/>
      </c>
      <c r="D424" t="str">
        <f>IF(A424="","",IFERROR(AVERAGEIFS(nNOTA,nNIA,A424,nEVAL,CONFIG_METADATA!$B$4,nASIG,"Conjunto"),""))</f>
        <v/>
      </c>
      <c r="E424" t="str">
        <f>IF(A424="","",IFERROR(AVERAGEIFS(nNOTA,nNIA,A424,nEVAL,CONFIG_METADATA!$B$4,nASIG,"&lt;&gt;Lenguaje Musical",nASIG,"&lt;&gt;Coro",nASIG,"&lt;&gt;Conjunto"),""))</f>
        <v/>
      </c>
      <c r="H424" t="str">
        <f>IF(G424="","",IFERROR(AVERAGEIFS(nNOTA,nNIA,G424,nEVAL,CONFIG_METADATA!$B$4,nASIG,"Lenguaje Musical"),""))</f>
        <v/>
      </c>
      <c r="I424" t="str">
        <f>IF(G424="","",IFERROR(AVERAGEIFS(nNOTA,nNIA,G424,nEVAL,CONFIG_METADATA!$B$4,nASIG,"Coro"),""))</f>
        <v/>
      </c>
      <c r="J424" t="str">
        <f>IF(G424="","",IFERROR(AVERAGEIFS(nNOTA,nNIA,G424,nEVAL,CONFIG_METADATA!$B$4,nASIG,"Conjunto"),""))</f>
        <v/>
      </c>
      <c r="K424" t="str" cm="1">
        <f t="array" ref="K424">IF(G424="","",IFERROR(AVERAGE(IF((nNIA=G424)*(nEVAL=CONFIG_METADATA!$B$4)*(nASIG&lt;&gt;"Lenguaje Musical")*(nASIG&lt;&gt;"Coro")*(nASIG&lt;&gt;"Conjunto"),nNOTA)),""))</f>
        <v/>
      </c>
      <c r="N424" t="str">
        <f>IF(M424="","",IFERROR(AVERAGEIFS(nNOTA,nNIA,M424,nEVAL,CONFIG_METADATA!$B$4,nASIG,"Lenguaje Musical"),""))</f>
        <v/>
      </c>
      <c r="O424" t="str">
        <f>IF(M424="","",IFERROR(AVERAGEIFS(nNOTA,nNIA,M424,nEVAL,CONFIG_METADATA!$B$4,nASIG,"Coro"),""))</f>
        <v/>
      </c>
      <c r="P424" t="str">
        <f>IF(M424="","",IFERROR(AVERAGEIFS(nNOTA,nNIA,M424,nEVAL,CONFIG_METADATA!$B$4,nASIG,"Conjunto"),""))</f>
        <v/>
      </c>
      <c r="Q424" t="str">
        <f>IF(M424="","",IFERROR(AVERAGEIFS(nNOTA,nNIA,M424,nEVAL,CONFIG_METADATA!$B$4,nASIG,"&lt;&gt;Lenguaje Musical",nASIG,"&lt;&gt;Coro",nASIG,"&lt;&gt;Conjunto"),""))</f>
        <v/>
      </c>
      <c r="T424" t="str">
        <f>IF(S424="","",IFERROR(AVERAGEIFS(nNOTA,nNIA,S424,nEVAL,CONFIG_METADATA!$B$4,nASIG,"Lenguaje Musical"),""))</f>
        <v/>
      </c>
      <c r="U424" t="str">
        <f>IF(S424="","",IFERROR(AVERAGEIFS(nNOTA,nNIA,S424,nEVAL,CONFIG_METADATA!$B$4,nASIG,"Coro"),""))</f>
        <v/>
      </c>
      <c r="V424" t="str">
        <f>IF(S424="","",IFERROR(AVERAGEIFS(nNOTA,nNIA,S424,nEVAL,CONFIG_METADATA!$B$4,nASIG,"Conjunto"),""))</f>
        <v/>
      </c>
      <c r="W424" t="str" cm="1">
        <f t="array" ref="W424">IF(S424="","",IFERROR(AVERAGE(IF((nNIA=S424)*(nEVAL=CONFIG_METADATA!$B$4)*(nASIG&lt;&gt;"Lenguaje Musical")*(nASIG&lt;&gt;"Coro")*(nASIG&lt;&gt;"Conjunto"),nNOTA)),""))</f>
        <v/>
      </c>
    </row>
    <row r="425" spans="2:23" x14ac:dyDescent="0.2">
      <c r="B425" t="str">
        <f>IF(A425="","",IFERROR(AVERAGEIFS(nNOTA,nNIA,A425,nEVAL,CONFIG_METADATA!$B$4,nASIG,"Lenguaje Musical"),""))</f>
        <v/>
      </c>
      <c r="C425" t="str">
        <f>IF(A425="","",IFERROR(AVERAGEIFS(nNOTA,nNIA,A425,nEVAL,CONFIG_METADATA!$B$4,nASIG,"Coro"),""))</f>
        <v/>
      </c>
      <c r="D425" t="str">
        <f>IF(A425="","",IFERROR(AVERAGEIFS(nNOTA,nNIA,A425,nEVAL,CONFIG_METADATA!$B$4,nASIG,"Conjunto"),""))</f>
        <v/>
      </c>
      <c r="E425" t="str">
        <f>IF(A425="","",IFERROR(AVERAGEIFS(nNOTA,nNIA,A425,nEVAL,CONFIG_METADATA!$B$4,nASIG,"&lt;&gt;Lenguaje Musical",nASIG,"&lt;&gt;Coro",nASIG,"&lt;&gt;Conjunto"),""))</f>
        <v/>
      </c>
      <c r="H425" t="str">
        <f>IF(G425="","",IFERROR(AVERAGEIFS(nNOTA,nNIA,G425,nEVAL,CONFIG_METADATA!$B$4,nASIG,"Lenguaje Musical"),""))</f>
        <v/>
      </c>
      <c r="I425" t="str">
        <f>IF(G425="","",IFERROR(AVERAGEIFS(nNOTA,nNIA,G425,nEVAL,CONFIG_METADATA!$B$4,nASIG,"Coro"),""))</f>
        <v/>
      </c>
      <c r="J425" t="str">
        <f>IF(G425="","",IFERROR(AVERAGEIFS(nNOTA,nNIA,G425,nEVAL,CONFIG_METADATA!$B$4,nASIG,"Conjunto"),""))</f>
        <v/>
      </c>
      <c r="K425" t="str" cm="1">
        <f t="array" ref="K425">IF(G425="","",IFERROR(AVERAGE(IF((nNIA=G425)*(nEVAL=CONFIG_METADATA!$B$4)*(nASIG&lt;&gt;"Lenguaje Musical")*(nASIG&lt;&gt;"Coro")*(nASIG&lt;&gt;"Conjunto"),nNOTA)),""))</f>
        <v/>
      </c>
      <c r="N425" t="str">
        <f>IF(M425="","",IFERROR(AVERAGEIFS(nNOTA,nNIA,M425,nEVAL,CONFIG_METADATA!$B$4,nASIG,"Lenguaje Musical"),""))</f>
        <v/>
      </c>
      <c r="O425" t="str">
        <f>IF(M425="","",IFERROR(AVERAGEIFS(nNOTA,nNIA,M425,nEVAL,CONFIG_METADATA!$B$4,nASIG,"Coro"),""))</f>
        <v/>
      </c>
      <c r="P425" t="str">
        <f>IF(M425="","",IFERROR(AVERAGEIFS(nNOTA,nNIA,M425,nEVAL,CONFIG_METADATA!$B$4,nASIG,"Conjunto"),""))</f>
        <v/>
      </c>
      <c r="Q425" t="str">
        <f>IF(M425="","",IFERROR(AVERAGEIFS(nNOTA,nNIA,M425,nEVAL,CONFIG_METADATA!$B$4,nASIG,"&lt;&gt;Lenguaje Musical",nASIG,"&lt;&gt;Coro",nASIG,"&lt;&gt;Conjunto"),""))</f>
        <v/>
      </c>
      <c r="T425" t="str">
        <f>IF(S425="","",IFERROR(AVERAGEIFS(nNOTA,nNIA,S425,nEVAL,CONFIG_METADATA!$B$4,nASIG,"Lenguaje Musical"),""))</f>
        <v/>
      </c>
      <c r="U425" t="str">
        <f>IF(S425="","",IFERROR(AVERAGEIFS(nNOTA,nNIA,S425,nEVAL,CONFIG_METADATA!$B$4,nASIG,"Coro"),""))</f>
        <v/>
      </c>
      <c r="V425" t="str">
        <f>IF(S425="","",IFERROR(AVERAGEIFS(nNOTA,nNIA,S425,nEVAL,CONFIG_METADATA!$B$4,nASIG,"Conjunto"),""))</f>
        <v/>
      </c>
      <c r="W425" t="str" cm="1">
        <f t="array" ref="W425">IF(S425="","",IFERROR(AVERAGE(IF((nNIA=S425)*(nEVAL=CONFIG_METADATA!$B$4)*(nASIG&lt;&gt;"Lenguaje Musical")*(nASIG&lt;&gt;"Coro")*(nASIG&lt;&gt;"Conjunto"),nNOTA)),""))</f>
        <v/>
      </c>
    </row>
    <row r="426" spans="2:23" x14ac:dyDescent="0.2">
      <c r="B426" t="str">
        <f>IF(A426="","",IFERROR(AVERAGEIFS(nNOTA,nNIA,A426,nEVAL,CONFIG_METADATA!$B$4,nASIG,"Lenguaje Musical"),""))</f>
        <v/>
      </c>
      <c r="C426" t="str">
        <f>IF(A426="","",IFERROR(AVERAGEIFS(nNOTA,nNIA,A426,nEVAL,CONFIG_METADATA!$B$4,nASIG,"Coro"),""))</f>
        <v/>
      </c>
      <c r="D426" t="str">
        <f>IF(A426="","",IFERROR(AVERAGEIFS(nNOTA,nNIA,A426,nEVAL,CONFIG_METADATA!$B$4,nASIG,"Conjunto"),""))</f>
        <v/>
      </c>
      <c r="E426" t="str">
        <f>IF(A426="","",IFERROR(AVERAGEIFS(nNOTA,nNIA,A426,nEVAL,CONFIG_METADATA!$B$4,nASIG,"&lt;&gt;Lenguaje Musical",nASIG,"&lt;&gt;Coro",nASIG,"&lt;&gt;Conjunto"),""))</f>
        <v/>
      </c>
      <c r="H426" t="str">
        <f>IF(G426="","",IFERROR(AVERAGEIFS(nNOTA,nNIA,G426,nEVAL,CONFIG_METADATA!$B$4,nASIG,"Lenguaje Musical"),""))</f>
        <v/>
      </c>
      <c r="I426" t="str">
        <f>IF(G426="","",IFERROR(AVERAGEIFS(nNOTA,nNIA,G426,nEVAL,CONFIG_METADATA!$B$4,nASIG,"Coro"),""))</f>
        <v/>
      </c>
      <c r="J426" t="str">
        <f>IF(G426="","",IFERROR(AVERAGEIFS(nNOTA,nNIA,G426,nEVAL,CONFIG_METADATA!$B$4,nASIG,"Conjunto"),""))</f>
        <v/>
      </c>
      <c r="K426" t="str" cm="1">
        <f t="array" ref="K426">IF(G426="","",IFERROR(AVERAGE(IF((nNIA=G426)*(nEVAL=CONFIG_METADATA!$B$4)*(nASIG&lt;&gt;"Lenguaje Musical")*(nASIG&lt;&gt;"Coro")*(nASIG&lt;&gt;"Conjunto"),nNOTA)),""))</f>
        <v/>
      </c>
      <c r="N426" t="str">
        <f>IF(M426="","",IFERROR(AVERAGEIFS(nNOTA,nNIA,M426,nEVAL,CONFIG_METADATA!$B$4,nASIG,"Lenguaje Musical"),""))</f>
        <v/>
      </c>
      <c r="O426" t="str">
        <f>IF(M426="","",IFERROR(AVERAGEIFS(nNOTA,nNIA,M426,nEVAL,CONFIG_METADATA!$B$4,nASIG,"Coro"),""))</f>
        <v/>
      </c>
      <c r="P426" t="str">
        <f>IF(M426="","",IFERROR(AVERAGEIFS(nNOTA,nNIA,M426,nEVAL,CONFIG_METADATA!$B$4,nASIG,"Conjunto"),""))</f>
        <v/>
      </c>
      <c r="Q426" t="str">
        <f>IF(M426="","",IFERROR(AVERAGEIFS(nNOTA,nNIA,M426,nEVAL,CONFIG_METADATA!$B$4,nASIG,"&lt;&gt;Lenguaje Musical",nASIG,"&lt;&gt;Coro",nASIG,"&lt;&gt;Conjunto"),""))</f>
        <v/>
      </c>
      <c r="T426" t="str">
        <f>IF(S426="","",IFERROR(AVERAGEIFS(nNOTA,nNIA,S426,nEVAL,CONFIG_METADATA!$B$4,nASIG,"Lenguaje Musical"),""))</f>
        <v/>
      </c>
      <c r="U426" t="str">
        <f>IF(S426="","",IFERROR(AVERAGEIFS(nNOTA,nNIA,S426,nEVAL,CONFIG_METADATA!$B$4,nASIG,"Coro"),""))</f>
        <v/>
      </c>
      <c r="V426" t="str">
        <f>IF(S426="","",IFERROR(AVERAGEIFS(nNOTA,nNIA,S426,nEVAL,CONFIG_METADATA!$B$4,nASIG,"Conjunto"),""))</f>
        <v/>
      </c>
      <c r="W426" t="str" cm="1">
        <f t="array" ref="W426">IF(S426="","",IFERROR(AVERAGE(IF((nNIA=S426)*(nEVAL=CONFIG_METADATA!$B$4)*(nASIG&lt;&gt;"Lenguaje Musical")*(nASIG&lt;&gt;"Coro")*(nASIG&lt;&gt;"Conjunto"),nNOTA)),""))</f>
        <v/>
      </c>
    </row>
    <row r="427" spans="2:23" x14ac:dyDescent="0.2">
      <c r="B427" t="str">
        <f>IF(A427="","",IFERROR(AVERAGEIFS(nNOTA,nNIA,A427,nEVAL,CONFIG_METADATA!$B$4,nASIG,"Lenguaje Musical"),""))</f>
        <v/>
      </c>
      <c r="C427" t="str">
        <f>IF(A427="","",IFERROR(AVERAGEIFS(nNOTA,nNIA,A427,nEVAL,CONFIG_METADATA!$B$4,nASIG,"Coro"),""))</f>
        <v/>
      </c>
      <c r="D427" t="str">
        <f>IF(A427="","",IFERROR(AVERAGEIFS(nNOTA,nNIA,A427,nEVAL,CONFIG_METADATA!$B$4,nASIG,"Conjunto"),""))</f>
        <v/>
      </c>
      <c r="E427" t="str">
        <f>IF(A427="","",IFERROR(AVERAGEIFS(nNOTA,nNIA,A427,nEVAL,CONFIG_METADATA!$B$4,nASIG,"&lt;&gt;Lenguaje Musical",nASIG,"&lt;&gt;Coro",nASIG,"&lt;&gt;Conjunto"),""))</f>
        <v/>
      </c>
      <c r="H427" t="str">
        <f>IF(G427="","",IFERROR(AVERAGEIFS(nNOTA,nNIA,G427,nEVAL,CONFIG_METADATA!$B$4,nASIG,"Lenguaje Musical"),""))</f>
        <v/>
      </c>
      <c r="I427" t="str">
        <f>IF(G427="","",IFERROR(AVERAGEIFS(nNOTA,nNIA,G427,nEVAL,CONFIG_METADATA!$B$4,nASIG,"Coro"),""))</f>
        <v/>
      </c>
      <c r="J427" t="str">
        <f>IF(G427="","",IFERROR(AVERAGEIFS(nNOTA,nNIA,G427,nEVAL,CONFIG_METADATA!$B$4,nASIG,"Conjunto"),""))</f>
        <v/>
      </c>
      <c r="K427" t="str" cm="1">
        <f t="array" ref="K427">IF(G427="","",IFERROR(AVERAGE(IF((nNIA=G427)*(nEVAL=CONFIG_METADATA!$B$4)*(nASIG&lt;&gt;"Lenguaje Musical")*(nASIG&lt;&gt;"Coro")*(nASIG&lt;&gt;"Conjunto"),nNOTA)),""))</f>
        <v/>
      </c>
      <c r="N427" t="str">
        <f>IF(M427="","",IFERROR(AVERAGEIFS(nNOTA,nNIA,M427,nEVAL,CONFIG_METADATA!$B$4,nASIG,"Lenguaje Musical"),""))</f>
        <v/>
      </c>
      <c r="O427" t="str">
        <f>IF(M427="","",IFERROR(AVERAGEIFS(nNOTA,nNIA,M427,nEVAL,CONFIG_METADATA!$B$4,nASIG,"Coro"),""))</f>
        <v/>
      </c>
      <c r="P427" t="str">
        <f>IF(M427="","",IFERROR(AVERAGEIFS(nNOTA,nNIA,M427,nEVAL,CONFIG_METADATA!$B$4,nASIG,"Conjunto"),""))</f>
        <v/>
      </c>
      <c r="Q427" t="str">
        <f>IF(M427="","",IFERROR(AVERAGEIFS(nNOTA,nNIA,M427,nEVAL,CONFIG_METADATA!$B$4,nASIG,"&lt;&gt;Lenguaje Musical",nASIG,"&lt;&gt;Coro",nASIG,"&lt;&gt;Conjunto"),""))</f>
        <v/>
      </c>
      <c r="T427" t="str">
        <f>IF(S427="","",IFERROR(AVERAGEIFS(nNOTA,nNIA,S427,nEVAL,CONFIG_METADATA!$B$4,nASIG,"Lenguaje Musical"),""))</f>
        <v/>
      </c>
      <c r="U427" t="str">
        <f>IF(S427="","",IFERROR(AVERAGEIFS(nNOTA,nNIA,S427,nEVAL,CONFIG_METADATA!$B$4,nASIG,"Coro"),""))</f>
        <v/>
      </c>
      <c r="V427" t="str">
        <f>IF(S427="","",IFERROR(AVERAGEIFS(nNOTA,nNIA,S427,nEVAL,CONFIG_METADATA!$B$4,nASIG,"Conjunto"),""))</f>
        <v/>
      </c>
      <c r="W427" t="str" cm="1">
        <f t="array" ref="W427">IF(S427="","",IFERROR(AVERAGE(IF((nNIA=S427)*(nEVAL=CONFIG_METADATA!$B$4)*(nASIG&lt;&gt;"Lenguaje Musical")*(nASIG&lt;&gt;"Coro")*(nASIG&lt;&gt;"Conjunto"),nNOTA)),""))</f>
        <v/>
      </c>
    </row>
    <row r="428" spans="2:23" x14ac:dyDescent="0.2">
      <c r="B428" t="str">
        <f>IF(A428="","",IFERROR(AVERAGEIFS(nNOTA,nNIA,A428,nEVAL,CONFIG_METADATA!$B$4,nASIG,"Lenguaje Musical"),""))</f>
        <v/>
      </c>
      <c r="C428" t="str">
        <f>IF(A428="","",IFERROR(AVERAGEIFS(nNOTA,nNIA,A428,nEVAL,CONFIG_METADATA!$B$4,nASIG,"Coro"),""))</f>
        <v/>
      </c>
      <c r="D428" t="str">
        <f>IF(A428="","",IFERROR(AVERAGEIFS(nNOTA,nNIA,A428,nEVAL,CONFIG_METADATA!$B$4,nASIG,"Conjunto"),""))</f>
        <v/>
      </c>
      <c r="E428" t="str">
        <f>IF(A428="","",IFERROR(AVERAGEIFS(nNOTA,nNIA,A428,nEVAL,CONFIG_METADATA!$B$4,nASIG,"&lt;&gt;Lenguaje Musical",nASIG,"&lt;&gt;Coro",nASIG,"&lt;&gt;Conjunto"),""))</f>
        <v/>
      </c>
      <c r="H428" t="str">
        <f>IF(G428="","",IFERROR(AVERAGEIFS(nNOTA,nNIA,G428,nEVAL,CONFIG_METADATA!$B$4,nASIG,"Lenguaje Musical"),""))</f>
        <v/>
      </c>
      <c r="I428" t="str">
        <f>IF(G428="","",IFERROR(AVERAGEIFS(nNOTA,nNIA,G428,nEVAL,CONFIG_METADATA!$B$4,nASIG,"Coro"),""))</f>
        <v/>
      </c>
      <c r="J428" t="str">
        <f>IF(G428="","",IFERROR(AVERAGEIFS(nNOTA,nNIA,G428,nEVAL,CONFIG_METADATA!$B$4,nASIG,"Conjunto"),""))</f>
        <v/>
      </c>
      <c r="K428" t="str" cm="1">
        <f t="array" ref="K428">IF(G428="","",IFERROR(AVERAGE(IF((nNIA=G428)*(nEVAL=CONFIG_METADATA!$B$4)*(nASIG&lt;&gt;"Lenguaje Musical")*(nASIG&lt;&gt;"Coro")*(nASIG&lt;&gt;"Conjunto"),nNOTA)),""))</f>
        <v/>
      </c>
      <c r="N428" t="str">
        <f>IF(M428="","",IFERROR(AVERAGEIFS(nNOTA,nNIA,M428,nEVAL,CONFIG_METADATA!$B$4,nASIG,"Lenguaje Musical"),""))</f>
        <v/>
      </c>
      <c r="O428" t="str">
        <f>IF(M428="","",IFERROR(AVERAGEIFS(nNOTA,nNIA,M428,nEVAL,CONFIG_METADATA!$B$4,nASIG,"Coro"),""))</f>
        <v/>
      </c>
      <c r="P428" t="str">
        <f>IF(M428="","",IFERROR(AVERAGEIFS(nNOTA,nNIA,M428,nEVAL,CONFIG_METADATA!$B$4,nASIG,"Conjunto"),""))</f>
        <v/>
      </c>
      <c r="Q428" t="str">
        <f>IF(M428="","",IFERROR(AVERAGEIFS(nNOTA,nNIA,M428,nEVAL,CONFIG_METADATA!$B$4,nASIG,"&lt;&gt;Lenguaje Musical",nASIG,"&lt;&gt;Coro",nASIG,"&lt;&gt;Conjunto"),""))</f>
        <v/>
      </c>
      <c r="T428" t="str">
        <f>IF(S428="","",IFERROR(AVERAGEIFS(nNOTA,nNIA,S428,nEVAL,CONFIG_METADATA!$B$4,nASIG,"Lenguaje Musical"),""))</f>
        <v/>
      </c>
      <c r="U428" t="str">
        <f>IF(S428="","",IFERROR(AVERAGEIFS(nNOTA,nNIA,S428,nEVAL,CONFIG_METADATA!$B$4,nASIG,"Coro"),""))</f>
        <v/>
      </c>
      <c r="V428" t="str">
        <f>IF(S428="","",IFERROR(AVERAGEIFS(nNOTA,nNIA,S428,nEVAL,CONFIG_METADATA!$B$4,nASIG,"Conjunto"),""))</f>
        <v/>
      </c>
      <c r="W428" t="str" cm="1">
        <f t="array" ref="W428">IF(S428="","",IFERROR(AVERAGE(IF((nNIA=S428)*(nEVAL=CONFIG_METADATA!$B$4)*(nASIG&lt;&gt;"Lenguaje Musical")*(nASIG&lt;&gt;"Coro")*(nASIG&lt;&gt;"Conjunto"),nNOTA)),""))</f>
        <v/>
      </c>
    </row>
    <row r="429" spans="2:23" x14ac:dyDescent="0.2">
      <c r="B429" t="str">
        <f>IF(A429="","",IFERROR(AVERAGEIFS(nNOTA,nNIA,A429,nEVAL,CONFIG_METADATA!$B$4,nASIG,"Lenguaje Musical"),""))</f>
        <v/>
      </c>
      <c r="C429" t="str">
        <f>IF(A429="","",IFERROR(AVERAGEIFS(nNOTA,nNIA,A429,nEVAL,CONFIG_METADATA!$B$4,nASIG,"Coro"),""))</f>
        <v/>
      </c>
      <c r="D429" t="str">
        <f>IF(A429="","",IFERROR(AVERAGEIFS(nNOTA,nNIA,A429,nEVAL,CONFIG_METADATA!$B$4,nASIG,"Conjunto"),""))</f>
        <v/>
      </c>
      <c r="E429" t="str">
        <f>IF(A429="","",IFERROR(AVERAGEIFS(nNOTA,nNIA,A429,nEVAL,CONFIG_METADATA!$B$4,nASIG,"&lt;&gt;Lenguaje Musical",nASIG,"&lt;&gt;Coro",nASIG,"&lt;&gt;Conjunto"),""))</f>
        <v/>
      </c>
      <c r="H429" t="str">
        <f>IF(G429="","",IFERROR(AVERAGEIFS(nNOTA,nNIA,G429,nEVAL,CONFIG_METADATA!$B$4,nASIG,"Lenguaje Musical"),""))</f>
        <v/>
      </c>
      <c r="I429" t="str">
        <f>IF(G429="","",IFERROR(AVERAGEIFS(nNOTA,nNIA,G429,nEVAL,CONFIG_METADATA!$B$4,nASIG,"Coro"),""))</f>
        <v/>
      </c>
      <c r="J429" t="str">
        <f>IF(G429="","",IFERROR(AVERAGEIFS(nNOTA,nNIA,G429,nEVAL,CONFIG_METADATA!$B$4,nASIG,"Conjunto"),""))</f>
        <v/>
      </c>
      <c r="K429" t="str" cm="1">
        <f t="array" ref="K429">IF(G429="","",IFERROR(AVERAGE(IF((nNIA=G429)*(nEVAL=CONFIG_METADATA!$B$4)*(nASIG&lt;&gt;"Lenguaje Musical")*(nASIG&lt;&gt;"Coro")*(nASIG&lt;&gt;"Conjunto"),nNOTA)),""))</f>
        <v/>
      </c>
      <c r="N429" t="str">
        <f>IF(M429="","",IFERROR(AVERAGEIFS(nNOTA,nNIA,M429,nEVAL,CONFIG_METADATA!$B$4,nASIG,"Lenguaje Musical"),""))</f>
        <v/>
      </c>
      <c r="O429" t="str">
        <f>IF(M429="","",IFERROR(AVERAGEIFS(nNOTA,nNIA,M429,nEVAL,CONFIG_METADATA!$B$4,nASIG,"Coro"),""))</f>
        <v/>
      </c>
      <c r="P429" t="str">
        <f>IF(M429="","",IFERROR(AVERAGEIFS(nNOTA,nNIA,M429,nEVAL,CONFIG_METADATA!$B$4,nASIG,"Conjunto"),""))</f>
        <v/>
      </c>
      <c r="Q429" t="str">
        <f>IF(M429="","",IFERROR(AVERAGEIFS(nNOTA,nNIA,M429,nEVAL,CONFIG_METADATA!$B$4,nASIG,"&lt;&gt;Lenguaje Musical",nASIG,"&lt;&gt;Coro",nASIG,"&lt;&gt;Conjunto"),""))</f>
        <v/>
      </c>
      <c r="T429" t="str">
        <f>IF(S429="","",IFERROR(AVERAGEIFS(nNOTA,nNIA,S429,nEVAL,CONFIG_METADATA!$B$4,nASIG,"Lenguaje Musical"),""))</f>
        <v/>
      </c>
      <c r="U429" t="str">
        <f>IF(S429="","",IFERROR(AVERAGEIFS(nNOTA,nNIA,S429,nEVAL,CONFIG_METADATA!$B$4,nASIG,"Coro"),""))</f>
        <v/>
      </c>
      <c r="V429" t="str">
        <f>IF(S429="","",IFERROR(AVERAGEIFS(nNOTA,nNIA,S429,nEVAL,CONFIG_METADATA!$B$4,nASIG,"Conjunto"),""))</f>
        <v/>
      </c>
      <c r="W429" t="str" cm="1">
        <f t="array" ref="W429">IF(S429="","",IFERROR(AVERAGE(IF((nNIA=S429)*(nEVAL=CONFIG_METADATA!$B$4)*(nASIG&lt;&gt;"Lenguaje Musical")*(nASIG&lt;&gt;"Coro")*(nASIG&lt;&gt;"Conjunto"),nNOTA)),""))</f>
        <v/>
      </c>
    </row>
    <row r="430" spans="2:23" x14ac:dyDescent="0.2">
      <c r="B430" t="str">
        <f>IF(A430="","",IFERROR(AVERAGEIFS(nNOTA,nNIA,A430,nEVAL,CONFIG_METADATA!$B$4,nASIG,"Lenguaje Musical"),""))</f>
        <v/>
      </c>
      <c r="C430" t="str">
        <f>IF(A430="","",IFERROR(AVERAGEIFS(nNOTA,nNIA,A430,nEVAL,CONFIG_METADATA!$B$4,nASIG,"Coro"),""))</f>
        <v/>
      </c>
      <c r="D430" t="str">
        <f>IF(A430="","",IFERROR(AVERAGEIFS(nNOTA,nNIA,A430,nEVAL,CONFIG_METADATA!$B$4,nASIG,"Conjunto"),""))</f>
        <v/>
      </c>
      <c r="E430" t="str">
        <f>IF(A430="","",IFERROR(AVERAGEIFS(nNOTA,nNIA,A430,nEVAL,CONFIG_METADATA!$B$4,nASIG,"&lt;&gt;Lenguaje Musical",nASIG,"&lt;&gt;Coro",nASIG,"&lt;&gt;Conjunto"),""))</f>
        <v/>
      </c>
      <c r="H430" t="str">
        <f>IF(G430="","",IFERROR(AVERAGEIFS(nNOTA,nNIA,G430,nEVAL,CONFIG_METADATA!$B$4,nASIG,"Lenguaje Musical"),""))</f>
        <v/>
      </c>
      <c r="I430" t="str">
        <f>IF(G430="","",IFERROR(AVERAGEIFS(nNOTA,nNIA,G430,nEVAL,CONFIG_METADATA!$B$4,nASIG,"Coro"),""))</f>
        <v/>
      </c>
      <c r="J430" t="str">
        <f>IF(G430="","",IFERROR(AVERAGEIFS(nNOTA,nNIA,G430,nEVAL,CONFIG_METADATA!$B$4,nASIG,"Conjunto"),""))</f>
        <v/>
      </c>
      <c r="K430" t="str" cm="1">
        <f t="array" ref="K430">IF(G430="","",IFERROR(AVERAGE(IF((nNIA=G430)*(nEVAL=CONFIG_METADATA!$B$4)*(nASIG&lt;&gt;"Lenguaje Musical")*(nASIG&lt;&gt;"Coro")*(nASIG&lt;&gt;"Conjunto"),nNOTA)),""))</f>
        <v/>
      </c>
      <c r="N430" t="str">
        <f>IF(M430="","",IFERROR(AVERAGEIFS(nNOTA,nNIA,M430,nEVAL,CONFIG_METADATA!$B$4,nASIG,"Lenguaje Musical"),""))</f>
        <v/>
      </c>
      <c r="O430" t="str">
        <f>IF(M430="","",IFERROR(AVERAGEIFS(nNOTA,nNIA,M430,nEVAL,CONFIG_METADATA!$B$4,nASIG,"Coro"),""))</f>
        <v/>
      </c>
      <c r="P430" t="str">
        <f>IF(M430="","",IFERROR(AVERAGEIFS(nNOTA,nNIA,M430,nEVAL,CONFIG_METADATA!$B$4,nASIG,"Conjunto"),""))</f>
        <v/>
      </c>
      <c r="Q430" t="str">
        <f>IF(M430="","",IFERROR(AVERAGEIFS(nNOTA,nNIA,M430,nEVAL,CONFIG_METADATA!$B$4,nASIG,"&lt;&gt;Lenguaje Musical",nASIG,"&lt;&gt;Coro",nASIG,"&lt;&gt;Conjunto"),""))</f>
        <v/>
      </c>
      <c r="T430" t="str">
        <f>IF(S430="","",IFERROR(AVERAGEIFS(nNOTA,nNIA,S430,nEVAL,CONFIG_METADATA!$B$4,nASIG,"Lenguaje Musical"),""))</f>
        <v/>
      </c>
      <c r="U430" t="str">
        <f>IF(S430="","",IFERROR(AVERAGEIFS(nNOTA,nNIA,S430,nEVAL,CONFIG_METADATA!$B$4,nASIG,"Coro"),""))</f>
        <v/>
      </c>
      <c r="V430" t="str">
        <f>IF(S430="","",IFERROR(AVERAGEIFS(nNOTA,nNIA,S430,nEVAL,CONFIG_METADATA!$B$4,nASIG,"Conjunto"),""))</f>
        <v/>
      </c>
      <c r="W430" t="str" cm="1">
        <f t="array" ref="W430">IF(S430="","",IFERROR(AVERAGE(IF((nNIA=S430)*(nEVAL=CONFIG_METADATA!$B$4)*(nASIG&lt;&gt;"Lenguaje Musical")*(nASIG&lt;&gt;"Coro")*(nASIG&lt;&gt;"Conjunto"),nNOTA)),""))</f>
        <v/>
      </c>
    </row>
    <row r="431" spans="2:23" x14ac:dyDescent="0.2">
      <c r="B431" t="str">
        <f>IF(A431="","",IFERROR(AVERAGEIFS(nNOTA,nNIA,A431,nEVAL,CONFIG_METADATA!$B$4,nASIG,"Lenguaje Musical"),""))</f>
        <v/>
      </c>
      <c r="C431" t="str">
        <f>IF(A431="","",IFERROR(AVERAGEIFS(nNOTA,nNIA,A431,nEVAL,CONFIG_METADATA!$B$4,nASIG,"Coro"),""))</f>
        <v/>
      </c>
      <c r="D431" t="str">
        <f>IF(A431="","",IFERROR(AVERAGEIFS(nNOTA,nNIA,A431,nEVAL,CONFIG_METADATA!$B$4,nASIG,"Conjunto"),""))</f>
        <v/>
      </c>
      <c r="E431" t="str">
        <f>IF(A431="","",IFERROR(AVERAGEIFS(nNOTA,nNIA,A431,nEVAL,CONFIG_METADATA!$B$4,nASIG,"&lt;&gt;Lenguaje Musical",nASIG,"&lt;&gt;Coro",nASIG,"&lt;&gt;Conjunto"),""))</f>
        <v/>
      </c>
      <c r="H431" t="str">
        <f>IF(G431="","",IFERROR(AVERAGEIFS(nNOTA,nNIA,G431,nEVAL,CONFIG_METADATA!$B$4,nASIG,"Lenguaje Musical"),""))</f>
        <v/>
      </c>
      <c r="I431" t="str">
        <f>IF(G431="","",IFERROR(AVERAGEIFS(nNOTA,nNIA,G431,nEVAL,CONFIG_METADATA!$B$4,nASIG,"Coro"),""))</f>
        <v/>
      </c>
      <c r="J431" t="str">
        <f>IF(G431="","",IFERROR(AVERAGEIFS(nNOTA,nNIA,G431,nEVAL,CONFIG_METADATA!$B$4,nASIG,"Conjunto"),""))</f>
        <v/>
      </c>
      <c r="K431" t="str" cm="1">
        <f t="array" ref="K431">IF(G431="","",IFERROR(AVERAGE(IF((nNIA=G431)*(nEVAL=CONFIG_METADATA!$B$4)*(nASIG&lt;&gt;"Lenguaje Musical")*(nASIG&lt;&gt;"Coro")*(nASIG&lt;&gt;"Conjunto"),nNOTA)),""))</f>
        <v/>
      </c>
      <c r="N431" t="str">
        <f>IF(M431="","",IFERROR(AVERAGEIFS(nNOTA,nNIA,M431,nEVAL,CONFIG_METADATA!$B$4,nASIG,"Lenguaje Musical"),""))</f>
        <v/>
      </c>
      <c r="O431" t="str">
        <f>IF(M431="","",IFERROR(AVERAGEIFS(nNOTA,nNIA,M431,nEVAL,CONFIG_METADATA!$B$4,nASIG,"Coro"),""))</f>
        <v/>
      </c>
      <c r="P431" t="str">
        <f>IF(M431="","",IFERROR(AVERAGEIFS(nNOTA,nNIA,M431,nEVAL,CONFIG_METADATA!$B$4,nASIG,"Conjunto"),""))</f>
        <v/>
      </c>
      <c r="Q431" t="str">
        <f>IF(M431="","",IFERROR(AVERAGEIFS(nNOTA,nNIA,M431,nEVAL,CONFIG_METADATA!$B$4,nASIG,"&lt;&gt;Lenguaje Musical",nASIG,"&lt;&gt;Coro",nASIG,"&lt;&gt;Conjunto"),""))</f>
        <v/>
      </c>
      <c r="T431" t="str">
        <f>IF(S431="","",IFERROR(AVERAGEIFS(nNOTA,nNIA,S431,nEVAL,CONFIG_METADATA!$B$4,nASIG,"Lenguaje Musical"),""))</f>
        <v/>
      </c>
      <c r="U431" t="str">
        <f>IF(S431="","",IFERROR(AVERAGEIFS(nNOTA,nNIA,S431,nEVAL,CONFIG_METADATA!$B$4,nASIG,"Coro"),""))</f>
        <v/>
      </c>
      <c r="V431" t="str">
        <f>IF(S431="","",IFERROR(AVERAGEIFS(nNOTA,nNIA,S431,nEVAL,CONFIG_METADATA!$B$4,nASIG,"Conjunto"),""))</f>
        <v/>
      </c>
      <c r="W431" t="str" cm="1">
        <f t="array" ref="W431">IF(S431="","",IFERROR(AVERAGE(IF((nNIA=S431)*(nEVAL=CONFIG_METADATA!$B$4)*(nASIG&lt;&gt;"Lenguaje Musical")*(nASIG&lt;&gt;"Coro")*(nASIG&lt;&gt;"Conjunto"),nNOTA)),""))</f>
        <v/>
      </c>
    </row>
    <row r="432" spans="2:23" x14ac:dyDescent="0.2">
      <c r="B432" t="str">
        <f>IF(A432="","",IFERROR(AVERAGEIFS(nNOTA,nNIA,A432,nEVAL,CONFIG_METADATA!$B$4,nASIG,"Lenguaje Musical"),""))</f>
        <v/>
      </c>
      <c r="C432" t="str">
        <f>IF(A432="","",IFERROR(AVERAGEIFS(nNOTA,nNIA,A432,nEVAL,CONFIG_METADATA!$B$4,nASIG,"Coro"),""))</f>
        <v/>
      </c>
      <c r="D432" t="str">
        <f>IF(A432="","",IFERROR(AVERAGEIFS(nNOTA,nNIA,A432,nEVAL,CONFIG_METADATA!$B$4,nASIG,"Conjunto"),""))</f>
        <v/>
      </c>
      <c r="E432" t="str">
        <f>IF(A432="","",IFERROR(AVERAGEIFS(nNOTA,nNIA,A432,nEVAL,CONFIG_METADATA!$B$4,nASIG,"&lt;&gt;Lenguaje Musical",nASIG,"&lt;&gt;Coro",nASIG,"&lt;&gt;Conjunto"),""))</f>
        <v/>
      </c>
      <c r="H432" t="str">
        <f>IF(G432="","",IFERROR(AVERAGEIFS(nNOTA,nNIA,G432,nEVAL,CONFIG_METADATA!$B$4,nASIG,"Lenguaje Musical"),""))</f>
        <v/>
      </c>
      <c r="I432" t="str">
        <f>IF(G432="","",IFERROR(AVERAGEIFS(nNOTA,nNIA,G432,nEVAL,CONFIG_METADATA!$B$4,nASIG,"Coro"),""))</f>
        <v/>
      </c>
      <c r="J432" t="str">
        <f>IF(G432="","",IFERROR(AVERAGEIFS(nNOTA,nNIA,G432,nEVAL,CONFIG_METADATA!$B$4,nASIG,"Conjunto"),""))</f>
        <v/>
      </c>
      <c r="K432" t="str" cm="1">
        <f t="array" ref="K432">IF(G432="","",IFERROR(AVERAGE(IF((nNIA=G432)*(nEVAL=CONFIG_METADATA!$B$4)*(nASIG&lt;&gt;"Lenguaje Musical")*(nASIG&lt;&gt;"Coro")*(nASIG&lt;&gt;"Conjunto"),nNOTA)),""))</f>
        <v/>
      </c>
      <c r="N432" t="str">
        <f>IF(M432="","",IFERROR(AVERAGEIFS(nNOTA,nNIA,M432,nEVAL,CONFIG_METADATA!$B$4,nASIG,"Lenguaje Musical"),""))</f>
        <v/>
      </c>
      <c r="O432" t="str">
        <f>IF(M432="","",IFERROR(AVERAGEIFS(nNOTA,nNIA,M432,nEVAL,CONFIG_METADATA!$B$4,nASIG,"Coro"),""))</f>
        <v/>
      </c>
      <c r="P432" t="str">
        <f>IF(M432="","",IFERROR(AVERAGEIFS(nNOTA,nNIA,M432,nEVAL,CONFIG_METADATA!$B$4,nASIG,"Conjunto"),""))</f>
        <v/>
      </c>
      <c r="Q432" t="str">
        <f>IF(M432="","",IFERROR(AVERAGEIFS(nNOTA,nNIA,M432,nEVAL,CONFIG_METADATA!$B$4,nASIG,"&lt;&gt;Lenguaje Musical",nASIG,"&lt;&gt;Coro",nASIG,"&lt;&gt;Conjunto"),""))</f>
        <v/>
      </c>
      <c r="T432" t="str">
        <f>IF(S432="","",IFERROR(AVERAGEIFS(nNOTA,nNIA,S432,nEVAL,CONFIG_METADATA!$B$4,nASIG,"Lenguaje Musical"),""))</f>
        <v/>
      </c>
      <c r="U432" t="str">
        <f>IF(S432="","",IFERROR(AVERAGEIFS(nNOTA,nNIA,S432,nEVAL,CONFIG_METADATA!$B$4,nASIG,"Coro"),""))</f>
        <v/>
      </c>
      <c r="V432" t="str">
        <f>IF(S432="","",IFERROR(AVERAGEIFS(nNOTA,nNIA,S432,nEVAL,CONFIG_METADATA!$B$4,nASIG,"Conjunto"),""))</f>
        <v/>
      </c>
      <c r="W432" t="str" cm="1">
        <f t="array" ref="W432">IF(S432="","",IFERROR(AVERAGE(IF((nNIA=S432)*(nEVAL=CONFIG_METADATA!$B$4)*(nASIG&lt;&gt;"Lenguaje Musical")*(nASIG&lt;&gt;"Coro")*(nASIG&lt;&gt;"Conjunto"),nNOTA)),""))</f>
        <v/>
      </c>
    </row>
    <row r="433" spans="2:23" x14ac:dyDescent="0.2">
      <c r="B433" t="str">
        <f>IF(A433="","",IFERROR(AVERAGEIFS(nNOTA,nNIA,A433,nEVAL,CONFIG_METADATA!$B$4,nASIG,"Lenguaje Musical"),""))</f>
        <v/>
      </c>
      <c r="C433" t="str">
        <f>IF(A433="","",IFERROR(AVERAGEIFS(nNOTA,nNIA,A433,nEVAL,CONFIG_METADATA!$B$4,nASIG,"Coro"),""))</f>
        <v/>
      </c>
      <c r="D433" t="str">
        <f>IF(A433="","",IFERROR(AVERAGEIFS(nNOTA,nNIA,A433,nEVAL,CONFIG_METADATA!$B$4,nASIG,"Conjunto"),""))</f>
        <v/>
      </c>
      <c r="E433" t="str">
        <f>IF(A433="","",IFERROR(AVERAGEIFS(nNOTA,nNIA,A433,nEVAL,CONFIG_METADATA!$B$4,nASIG,"&lt;&gt;Lenguaje Musical",nASIG,"&lt;&gt;Coro",nASIG,"&lt;&gt;Conjunto"),""))</f>
        <v/>
      </c>
      <c r="H433" t="str">
        <f>IF(G433="","",IFERROR(AVERAGEIFS(nNOTA,nNIA,G433,nEVAL,CONFIG_METADATA!$B$4,nASIG,"Lenguaje Musical"),""))</f>
        <v/>
      </c>
      <c r="I433" t="str">
        <f>IF(G433="","",IFERROR(AVERAGEIFS(nNOTA,nNIA,G433,nEVAL,CONFIG_METADATA!$B$4,nASIG,"Coro"),""))</f>
        <v/>
      </c>
      <c r="J433" t="str">
        <f>IF(G433="","",IFERROR(AVERAGEIFS(nNOTA,nNIA,G433,nEVAL,CONFIG_METADATA!$B$4,nASIG,"Conjunto"),""))</f>
        <v/>
      </c>
      <c r="K433" t="str" cm="1">
        <f t="array" ref="K433">IF(G433="","",IFERROR(AVERAGE(IF((nNIA=G433)*(nEVAL=CONFIG_METADATA!$B$4)*(nASIG&lt;&gt;"Lenguaje Musical")*(nASIG&lt;&gt;"Coro")*(nASIG&lt;&gt;"Conjunto"),nNOTA)),""))</f>
        <v/>
      </c>
      <c r="N433" t="str">
        <f>IF(M433="","",IFERROR(AVERAGEIFS(nNOTA,nNIA,M433,nEVAL,CONFIG_METADATA!$B$4,nASIG,"Lenguaje Musical"),""))</f>
        <v/>
      </c>
      <c r="O433" t="str">
        <f>IF(M433="","",IFERROR(AVERAGEIFS(nNOTA,nNIA,M433,nEVAL,CONFIG_METADATA!$B$4,nASIG,"Coro"),""))</f>
        <v/>
      </c>
      <c r="P433" t="str">
        <f>IF(M433="","",IFERROR(AVERAGEIFS(nNOTA,nNIA,M433,nEVAL,CONFIG_METADATA!$B$4,nASIG,"Conjunto"),""))</f>
        <v/>
      </c>
      <c r="Q433" t="str">
        <f>IF(M433="","",IFERROR(AVERAGEIFS(nNOTA,nNIA,M433,nEVAL,CONFIG_METADATA!$B$4,nASIG,"&lt;&gt;Lenguaje Musical",nASIG,"&lt;&gt;Coro",nASIG,"&lt;&gt;Conjunto"),""))</f>
        <v/>
      </c>
      <c r="T433" t="str">
        <f>IF(S433="","",IFERROR(AVERAGEIFS(nNOTA,nNIA,S433,nEVAL,CONFIG_METADATA!$B$4,nASIG,"Lenguaje Musical"),""))</f>
        <v/>
      </c>
      <c r="U433" t="str">
        <f>IF(S433="","",IFERROR(AVERAGEIFS(nNOTA,nNIA,S433,nEVAL,CONFIG_METADATA!$B$4,nASIG,"Coro"),""))</f>
        <v/>
      </c>
      <c r="V433" t="str">
        <f>IF(S433="","",IFERROR(AVERAGEIFS(nNOTA,nNIA,S433,nEVAL,CONFIG_METADATA!$B$4,nASIG,"Conjunto"),""))</f>
        <v/>
      </c>
      <c r="W433" t="str" cm="1">
        <f t="array" ref="W433">IF(S433="","",IFERROR(AVERAGE(IF((nNIA=S433)*(nEVAL=CONFIG_METADATA!$B$4)*(nASIG&lt;&gt;"Lenguaje Musical")*(nASIG&lt;&gt;"Coro")*(nASIG&lt;&gt;"Conjunto"),nNOTA)),""))</f>
        <v/>
      </c>
    </row>
    <row r="434" spans="2:23" x14ac:dyDescent="0.2">
      <c r="B434" t="str">
        <f>IF(A434="","",IFERROR(AVERAGEIFS(nNOTA,nNIA,A434,nEVAL,CONFIG_METADATA!$B$4,nASIG,"Lenguaje Musical"),""))</f>
        <v/>
      </c>
      <c r="C434" t="str">
        <f>IF(A434="","",IFERROR(AVERAGEIFS(nNOTA,nNIA,A434,nEVAL,CONFIG_METADATA!$B$4,nASIG,"Coro"),""))</f>
        <v/>
      </c>
      <c r="D434" t="str">
        <f>IF(A434="","",IFERROR(AVERAGEIFS(nNOTA,nNIA,A434,nEVAL,CONFIG_METADATA!$B$4,nASIG,"Conjunto"),""))</f>
        <v/>
      </c>
      <c r="E434" t="str">
        <f>IF(A434="","",IFERROR(AVERAGEIFS(nNOTA,nNIA,A434,nEVAL,CONFIG_METADATA!$B$4,nASIG,"&lt;&gt;Lenguaje Musical",nASIG,"&lt;&gt;Coro",nASIG,"&lt;&gt;Conjunto"),""))</f>
        <v/>
      </c>
      <c r="H434" t="str">
        <f>IF(G434="","",IFERROR(AVERAGEIFS(nNOTA,nNIA,G434,nEVAL,CONFIG_METADATA!$B$4,nASIG,"Lenguaje Musical"),""))</f>
        <v/>
      </c>
      <c r="I434" t="str">
        <f>IF(G434="","",IFERROR(AVERAGEIFS(nNOTA,nNIA,G434,nEVAL,CONFIG_METADATA!$B$4,nASIG,"Coro"),""))</f>
        <v/>
      </c>
      <c r="J434" t="str">
        <f>IF(G434="","",IFERROR(AVERAGEIFS(nNOTA,nNIA,G434,nEVAL,CONFIG_METADATA!$B$4,nASIG,"Conjunto"),""))</f>
        <v/>
      </c>
      <c r="K434" t="str" cm="1">
        <f t="array" ref="K434">IF(G434="","",IFERROR(AVERAGE(IF((nNIA=G434)*(nEVAL=CONFIG_METADATA!$B$4)*(nASIG&lt;&gt;"Lenguaje Musical")*(nASIG&lt;&gt;"Coro")*(nASIG&lt;&gt;"Conjunto"),nNOTA)),""))</f>
        <v/>
      </c>
      <c r="N434" t="str">
        <f>IF(M434="","",IFERROR(AVERAGEIFS(nNOTA,nNIA,M434,nEVAL,CONFIG_METADATA!$B$4,nASIG,"Lenguaje Musical"),""))</f>
        <v/>
      </c>
      <c r="O434" t="str">
        <f>IF(M434="","",IFERROR(AVERAGEIFS(nNOTA,nNIA,M434,nEVAL,CONFIG_METADATA!$B$4,nASIG,"Coro"),""))</f>
        <v/>
      </c>
      <c r="P434" t="str">
        <f>IF(M434="","",IFERROR(AVERAGEIFS(nNOTA,nNIA,M434,nEVAL,CONFIG_METADATA!$B$4,nASIG,"Conjunto"),""))</f>
        <v/>
      </c>
      <c r="Q434" t="str">
        <f>IF(M434="","",IFERROR(AVERAGEIFS(nNOTA,nNIA,M434,nEVAL,CONFIG_METADATA!$B$4,nASIG,"&lt;&gt;Lenguaje Musical",nASIG,"&lt;&gt;Coro",nASIG,"&lt;&gt;Conjunto"),""))</f>
        <v/>
      </c>
      <c r="T434" t="str">
        <f>IF(S434="","",IFERROR(AVERAGEIFS(nNOTA,nNIA,S434,nEVAL,CONFIG_METADATA!$B$4,nASIG,"Lenguaje Musical"),""))</f>
        <v/>
      </c>
      <c r="U434" t="str">
        <f>IF(S434="","",IFERROR(AVERAGEIFS(nNOTA,nNIA,S434,nEVAL,CONFIG_METADATA!$B$4,nASIG,"Coro"),""))</f>
        <v/>
      </c>
      <c r="V434" t="str">
        <f>IF(S434="","",IFERROR(AVERAGEIFS(nNOTA,nNIA,S434,nEVAL,CONFIG_METADATA!$B$4,nASIG,"Conjunto"),""))</f>
        <v/>
      </c>
      <c r="W434" t="str" cm="1">
        <f t="array" ref="W434">IF(S434="","",IFERROR(AVERAGE(IF((nNIA=S434)*(nEVAL=CONFIG_METADATA!$B$4)*(nASIG&lt;&gt;"Lenguaje Musical")*(nASIG&lt;&gt;"Coro")*(nASIG&lt;&gt;"Conjunto"),nNOTA)),""))</f>
        <v/>
      </c>
    </row>
    <row r="435" spans="2:23" x14ac:dyDescent="0.2">
      <c r="B435" t="str">
        <f>IF(A435="","",IFERROR(AVERAGEIFS(nNOTA,nNIA,A435,nEVAL,CONFIG_METADATA!$B$4,nASIG,"Lenguaje Musical"),""))</f>
        <v/>
      </c>
      <c r="C435" t="str">
        <f>IF(A435="","",IFERROR(AVERAGEIFS(nNOTA,nNIA,A435,nEVAL,CONFIG_METADATA!$B$4,nASIG,"Coro"),""))</f>
        <v/>
      </c>
      <c r="D435" t="str">
        <f>IF(A435="","",IFERROR(AVERAGEIFS(nNOTA,nNIA,A435,nEVAL,CONFIG_METADATA!$B$4,nASIG,"Conjunto"),""))</f>
        <v/>
      </c>
      <c r="E435" t="str">
        <f>IF(A435="","",IFERROR(AVERAGEIFS(nNOTA,nNIA,A435,nEVAL,CONFIG_METADATA!$B$4,nASIG,"&lt;&gt;Lenguaje Musical",nASIG,"&lt;&gt;Coro",nASIG,"&lt;&gt;Conjunto"),""))</f>
        <v/>
      </c>
      <c r="H435" t="str">
        <f>IF(G435="","",IFERROR(AVERAGEIFS(nNOTA,nNIA,G435,nEVAL,CONFIG_METADATA!$B$4,nASIG,"Lenguaje Musical"),""))</f>
        <v/>
      </c>
      <c r="I435" t="str">
        <f>IF(G435="","",IFERROR(AVERAGEIFS(nNOTA,nNIA,G435,nEVAL,CONFIG_METADATA!$B$4,nASIG,"Coro"),""))</f>
        <v/>
      </c>
      <c r="J435" t="str">
        <f>IF(G435="","",IFERROR(AVERAGEIFS(nNOTA,nNIA,G435,nEVAL,CONFIG_METADATA!$B$4,nASIG,"Conjunto"),""))</f>
        <v/>
      </c>
      <c r="K435" t="str" cm="1">
        <f t="array" ref="K435">IF(G435="","",IFERROR(AVERAGE(IF((nNIA=G435)*(nEVAL=CONFIG_METADATA!$B$4)*(nASIG&lt;&gt;"Lenguaje Musical")*(nASIG&lt;&gt;"Coro")*(nASIG&lt;&gt;"Conjunto"),nNOTA)),""))</f>
        <v/>
      </c>
      <c r="N435" t="str">
        <f>IF(M435="","",IFERROR(AVERAGEIFS(nNOTA,nNIA,M435,nEVAL,CONFIG_METADATA!$B$4,nASIG,"Lenguaje Musical"),""))</f>
        <v/>
      </c>
      <c r="O435" t="str">
        <f>IF(M435="","",IFERROR(AVERAGEIFS(nNOTA,nNIA,M435,nEVAL,CONFIG_METADATA!$B$4,nASIG,"Coro"),""))</f>
        <v/>
      </c>
      <c r="P435" t="str">
        <f>IF(M435="","",IFERROR(AVERAGEIFS(nNOTA,nNIA,M435,nEVAL,CONFIG_METADATA!$B$4,nASIG,"Conjunto"),""))</f>
        <v/>
      </c>
      <c r="Q435" t="str">
        <f>IF(M435="","",IFERROR(AVERAGEIFS(nNOTA,nNIA,M435,nEVAL,CONFIG_METADATA!$B$4,nASIG,"&lt;&gt;Lenguaje Musical",nASIG,"&lt;&gt;Coro",nASIG,"&lt;&gt;Conjunto"),""))</f>
        <v/>
      </c>
      <c r="T435" t="str">
        <f>IF(S435="","",IFERROR(AVERAGEIFS(nNOTA,nNIA,S435,nEVAL,CONFIG_METADATA!$B$4,nASIG,"Lenguaje Musical"),""))</f>
        <v/>
      </c>
      <c r="U435" t="str">
        <f>IF(S435="","",IFERROR(AVERAGEIFS(nNOTA,nNIA,S435,nEVAL,CONFIG_METADATA!$B$4,nASIG,"Coro"),""))</f>
        <v/>
      </c>
      <c r="V435" t="str">
        <f>IF(S435="","",IFERROR(AVERAGEIFS(nNOTA,nNIA,S435,nEVAL,CONFIG_METADATA!$B$4,nASIG,"Conjunto"),""))</f>
        <v/>
      </c>
      <c r="W435" t="str" cm="1">
        <f t="array" ref="W435">IF(S435="","",IFERROR(AVERAGE(IF((nNIA=S435)*(nEVAL=CONFIG_METADATA!$B$4)*(nASIG&lt;&gt;"Lenguaje Musical")*(nASIG&lt;&gt;"Coro")*(nASIG&lt;&gt;"Conjunto"),nNOTA)),""))</f>
        <v/>
      </c>
    </row>
    <row r="436" spans="2:23" x14ac:dyDescent="0.2">
      <c r="B436" t="str">
        <f>IF(A436="","",IFERROR(AVERAGEIFS(nNOTA,nNIA,A436,nEVAL,CONFIG_METADATA!$B$4,nASIG,"Lenguaje Musical"),""))</f>
        <v/>
      </c>
      <c r="C436" t="str">
        <f>IF(A436="","",IFERROR(AVERAGEIFS(nNOTA,nNIA,A436,nEVAL,CONFIG_METADATA!$B$4,nASIG,"Coro"),""))</f>
        <v/>
      </c>
      <c r="D436" t="str">
        <f>IF(A436="","",IFERROR(AVERAGEIFS(nNOTA,nNIA,A436,nEVAL,CONFIG_METADATA!$B$4,nASIG,"Conjunto"),""))</f>
        <v/>
      </c>
      <c r="E436" t="str">
        <f>IF(A436="","",IFERROR(AVERAGEIFS(nNOTA,nNIA,A436,nEVAL,CONFIG_METADATA!$B$4,nASIG,"&lt;&gt;Lenguaje Musical",nASIG,"&lt;&gt;Coro",nASIG,"&lt;&gt;Conjunto"),""))</f>
        <v/>
      </c>
      <c r="H436" t="str">
        <f>IF(G436="","",IFERROR(AVERAGEIFS(nNOTA,nNIA,G436,nEVAL,CONFIG_METADATA!$B$4,nASIG,"Lenguaje Musical"),""))</f>
        <v/>
      </c>
      <c r="I436" t="str">
        <f>IF(G436="","",IFERROR(AVERAGEIFS(nNOTA,nNIA,G436,nEVAL,CONFIG_METADATA!$B$4,nASIG,"Coro"),""))</f>
        <v/>
      </c>
      <c r="J436" t="str">
        <f>IF(G436="","",IFERROR(AVERAGEIFS(nNOTA,nNIA,G436,nEVAL,CONFIG_METADATA!$B$4,nASIG,"Conjunto"),""))</f>
        <v/>
      </c>
      <c r="K436" t="str" cm="1">
        <f t="array" ref="K436">IF(G436="","",IFERROR(AVERAGE(IF((nNIA=G436)*(nEVAL=CONFIG_METADATA!$B$4)*(nASIG&lt;&gt;"Lenguaje Musical")*(nASIG&lt;&gt;"Coro")*(nASIG&lt;&gt;"Conjunto"),nNOTA)),""))</f>
        <v/>
      </c>
      <c r="N436" t="str">
        <f>IF(M436="","",IFERROR(AVERAGEIFS(nNOTA,nNIA,M436,nEVAL,CONFIG_METADATA!$B$4,nASIG,"Lenguaje Musical"),""))</f>
        <v/>
      </c>
      <c r="O436" t="str">
        <f>IF(M436="","",IFERROR(AVERAGEIFS(nNOTA,nNIA,M436,nEVAL,CONFIG_METADATA!$B$4,nASIG,"Coro"),""))</f>
        <v/>
      </c>
      <c r="P436" t="str">
        <f>IF(M436="","",IFERROR(AVERAGEIFS(nNOTA,nNIA,M436,nEVAL,CONFIG_METADATA!$B$4,nASIG,"Conjunto"),""))</f>
        <v/>
      </c>
      <c r="Q436" t="str">
        <f>IF(M436="","",IFERROR(AVERAGEIFS(nNOTA,nNIA,M436,nEVAL,CONFIG_METADATA!$B$4,nASIG,"&lt;&gt;Lenguaje Musical",nASIG,"&lt;&gt;Coro",nASIG,"&lt;&gt;Conjunto"),""))</f>
        <v/>
      </c>
      <c r="T436" t="str">
        <f>IF(S436="","",IFERROR(AVERAGEIFS(nNOTA,nNIA,S436,nEVAL,CONFIG_METADATA!$B$4,nASIG,"Lenguaje Musical"),""))</f>
        <v/>
      </c>
      <c r="U436" t="str">
        <f>IF(S436="","",IFERROR(AVERAGEIFS(nNOTA,nNIA,S436,nEVAL,CONFIG_METADATA!$B$4,nASIG,"Coro"),""))</f>
        <v/>
      </c>
      <c r="V436" t="str">
        <f>IF(S436="","",IFERROR(AVERAGEIFS(nNOTA,nNIA,S436,nEVAL,CONFIG_METADATA!$B$4,nASIG,"Conjunto"),""))</f>
        <v/>
      </c>
      <c r="W436" t="str" cm="1">
        <f t="array" ref="W436">IF(S436="","",IFERROR(AVERAGE(IF((nNIA=S436)*(nEVAL=CONFIG_METADATA!$B$4)*(nASIG&lt;&gt;"Lenguaje Musical")*(nASIG&lt;&gt;"Coro")*(nASIG&lt;&gt;"Conjunto"),nNOTA)),""))</f>
        <v/>
      </c>
    </row>
    <row r="437" spans="2:23" x14ac:dyDescent="0.2">
      <c r="B437" t="str">
        <f>IF(A437="","",IFERROR(AVERAGEIFS(nNOTA,nNIA,A437,nEVAL,CONFIG_METADATA!$B$4,nASIG,"Lenguaje Musical"),""))</f>
        <v/>
      </c>
      <c r="C437" t="str">
        <f>IF(A437="","",IFERROR(AVERAGEIFS(nNOTA,nNIA,A437,nEVAL,CONFIG_METADATA!$B$4,nASIG,"Coro"),""))</f>
        <v/>
      </c>
      <c r="D437" t="str">
        <f>IF(A437="","",IFERROR(AVERAGEIFS(nNOTA,nNIA,A437,nEVAL,CONFIG_METADATA!$B$4,nASIG,"Conjunto"),""))</f>
        <v/>
      </c>
      <c r="E437" t="str">
        <f>IF(A437="","",IFERROR(AVERAGEIFS(nNOTA,nNIA,A437,nEVAL,CONFIG_METADATA!$B$4,nASIG,"&lt;&gt;Lenguaje Musical",nASIG,"&lt;&gt;Coro",nASIG,"&lt;&gt;Conjunto"),""))</f>
        <v/>
      </c>
      <c r="H437" t="str">
        <f>IF(G437="","",IFERROR(AVERAGEIFS(nNOTA,nNIA,G437,nEVAL,CONFIG_METADATA!$B$4,nASIG,"Lenguaje Musical"),""))</f>
        <v/>
      </c>
      <c r="I437" t="str">
        <f>IF(G437="","",IFERROR(AVERAGEIFS(nNOTA,nNIA,G437,nEVAL,CONFIG_METADATA!$B$4,nASIG,"Coro"),""))</f>
        <v/>
      </c>
      <c r="J437" t="str">
        <f>IF(G437="","",IFERROR(AVERAGEIFS(nNOTA,nNIA,G437,nEVAL,CONFIG_METADATA!$B$4,nASIG,"Conjunto"),""))</f>
        <v/>
      </c>
      <c r="K437" t="str" cm="1">
        <f t="array" ref="K437">IF(G437="","",IFERROR(AVERAGE(IF((nNIA=G437)*(nEVAL=CONFIG_METADATA!$B$4)*(nASIG&lt;&gt;"Lenguaje Musical")*(nASIG&lt;&gt;"Coro")*(nASIG&lt;&gt;"Conjunto"),nNOTA)),""))</f>
        <v/>
      </c>
      <c r="N437" t="str">
        <f>IF(M437="","",IFERROR(AVERAGEIFS(nNOTA,nNIA,M437,nEVAL,CONFIG_METADATA!$B$4,nASIG,"Lenguaje Musical"),""))</f>
        <v/>
      </c>
      <c r="O437" t="str">
        <f>IF(M437="","",IFERROR(AVERAGEIFS(nNOTA,nNIA,M437,nEVAL,CONFIG_METADATA!$B$4,nASIG,"Coro"),""))</f>
        <v/>
      </c>
      <c r="P437" t="str">
        <f>IF(M437="","",IFERROR(AVERAGEIFS(nNOTA,nNIA,M437,nEVAL,CONFIG_METADATA!$B$4,nASIG,"Conjunto"),""))</f>
        <v/>
      </c>
      <c r="Q437" t="str">
        <f>IF(M437="","",IFERROR(AVERAGEIFS(nNOTA,nNIA,M437,nEVAL,CONFIG_METADATA!$B$4,nASIG,"&lt;&gt;Lenguaje Musical",nASIG,"&lt;&gt;Coro",nASIG,"&lt;&gt;Conjunto"),""))</f>
        <v/>
      </c>
      <c r="T437" t="str">
        <f>IF(S437="","",IFERROR(AVERAGEIFS(nNOTA,nNIA,S437,nEVAL,CONFIG_METADATA!$B$4,nASIG,"Lenguaje Musical"),""))</f>
        <v/>
      </c>
      <c r="U437" t="str">
        <f>IF(S437="","",IFERROR(AVERAGEIFS(nNOTA,nNIA,S437,nEVAL,CONFIG_METADATA!$B$4,nASIG,"Coro"),""))</f>
        <v/>
      </c>
      <c r="V437" t="str">
        <f>IF(S437="","",IFERROR(AVERAGEIFS(nNOTA,nNIA,S437,nEVAL,CONFIG_METADATA!$B$4,nASIG,"Conjunto"),""))</f>
        <v/>
      </c>
      <c r="W437" t="str" cm="1">
        <f t="array" ref="W437">IF(S437="","",IFERROR(AVERAGE(IF((nNIA=S437)*(nEVAL=CONFIG_METADATA!$B$4)*(nASIG&lt;&gt;"Lenguaje Musical")*(nASIG&lt;&gt;"Coro")*(nASIG&lt;&gt;"Conjunto"),nNOTA)),""))</f>
        <v/>
      </c>
    </row>
    <row r="438" spans="2:23" x14ac:dyDescent="0.2">
      <c r="B438" t="str">
        <f>IF(A438="","",IFERROR(AVERAGEIFS(nNOTA,nNIA,A438,nEVAL,CONFIG_METADATA!$B$4,nASIG,"Lenguaje Musical"),""))</f>
        <v/>
      </c>
      <c r="C438" t="str">
        <f>IF(A438="","",IFERROR(AVERAGEIFS(nNOTA,nNIA,A438,nEVAL,CONFIG_METADATA!$B$4,nASIG,"Coro"),""))</f>
        <v/>
      </c>
      <c r="D438" t="str">
        <f>IF(A438="","",IFERROR(AVERAGEIFS(nNOTA,nNIA,A438,nEVAL,CONFIG_METADATA!$B$4,nASIG,"Conjunto"),""))</f>
        <v/>
      </c>
      <c r="E438" t="str">
        <f>IF(A438="","",IFERROR(AVERAGEIFS(nNOTA,nNIA,A438,nEVAL,CONFIG_METADATA!$B$4,nASIG,"&lt;&gt;Lenguaje Musical",nASIG,"&lt;&gt;Coro",nASIG,"&lt;&gt;Conjunto"),""))</f>
        <v/>
      </c>
      <c r="H438" t="str">
        <f>IF(G438="","",IFERROR(AVERAGEIFS(nNOTA,nNIA,G438,nEVAL,CONFIG_METADATA!$B$4,nASIG,"Lenguaje Musical"),""))</f>
        <v/>
      </c>
      <c r="I438" t="str">
        <f>IF(G438="","",IFERROR(AVERAGEIFS(nNOTA,nNIA,G438,nEVAL,CONFIG_METADATA!$B$4,nASIG,"Coro"),""))</f>
        <v/>
      </c>
      <c r="J438" t="str">
        <f>IF(G438="","",IFERROR(AVERAGEIFS(nNOTA,nNIA,G438,nEVAL,CONFIG_METADATA!$B$4,nASIG,"Conjunto"),""))</f>
        <v/>
      </c>
      <c r="K438" t="str" cm="1">
        <f t="array" ref="K438">IF(G438="","",IFERROR(AVERAGE(IF((nNIA=G438)*(nEVAL=CONFIG_METADATA!$B$4)*(nASIG&lt;&gt;"Lenguaje Musical")*(nASIG&lt;&gt;"Coro")*(nASIG&lt;&gt;"Conjunto"),nNOTA)),""))</f>
        <v/>
      </c>
      <c r="N438" t="str">
        <f>IF(M438="","",IFERROR(AVERAGEIFS(nNOTA,nNIA,M438,nEVAL,CONFIG_METADATA!$B$4,nASIG,"Lenguaje Musical"),""))</f>
        <v/>
      </c>
      <c r="O438" t="str">
        <f>IF(M438="","",IFERROR(AVERAGEIFS(nNOTA,nNIA,M438,nEVAL,CONFIG_METADATA!$B$4,nASIG,"Coro"),""))</f>
        <v/>
      </c>
      <c r="P438" t="str">
        <f>IF(M438="","",IFERROR(AVERAGEIFS(nNOTA,nNIA,M438,nEVAL,CONFIG_METADATA!$B$4,nASIG,"Conjunto"),""))</f>
        <v/>
      </c>
      <c r="Q438" t="str">
        <f>IF(M438="","",IFERROR(AVERAGEIFS(nNOTA,nNIA,M438,nEVAL,CONFIG_METADATA!$B$4,nASIG,"&lt;&gt;Lenguaje Musical",nASIG,"&lt;&gt;Coro",nASIG,"&lt;&gt;Conjunto"),""))</f>
        <v/>
      </c>
      <c r="T438" t="str">
        <f>IF(S438="","",IFERROR(AVERAGEIFS(nNOTA,nNIA,S438,nEVAL,CONFIG_METADATA!$B$4,nASIG,"Lenguaje Musical"),""))</f>
        <v/>
      </c>
      <c r="U438" t="str">
        <f>IF(S438="","",IFERROR(AVERAGEIFS(nNOTA,nNIA,S438,nEVAL,CONFIG_METADATA!$B$4,nASIG,"Coro"),""))</f>
        <v/>
      </c>
      <c r="V438" t="str">
        <f>IF(S438="","",IFERROR(AVERAGEIFS(nNOTA,nNIA,S438,nEVAL,CONFIG_METADATA!$B$4,nASIG,"Conjunto"),""))</f>
        <v/>
      </c>
      <c r="W438" t="str" cm="1">
        <f t="array" ref="W438">IF(S438="","",IFERROR(AVERAGE(IF((nNIA=S438)*(nEVAL=CONFIG_METADATA!$B$4)*(nASIG&lt;&gt;"Lenguaje Musical")*(nASIG&lt;&gt;"Coro")*(nASIG&lt;&gt;"Conjunto"),nNOTA)),""))</f>
        <v/>
      </c>
    </row>
    <row r="439" spans="2:23" x14ac:dyDescent="0.2">
      <c r="B439" t="str">
        <f>IF(A439="","",IFERROR(AVERAGEIFS(nNOTA,nNIA,A439,nEVAL,CONFIG_METADATA!$B$4,nASIG,"Lenguaje Musical"),""))</f>
        <v/>
      </c>
      <c r="C439" t="str">
        <f>IF(A439="","",IFERROR(AVERAGEIFS(nNOTA,nNIA,A439,nEVAL,CONFIG_METADATA!$B$4,nASIG,"Coro"),""))</f>
        <v/>
      </c>
      <c r="D439" t="str">
        <f>IF(A439="","",IFERROR(AVERAGEIFS(nNOTA,nNIA,A439,nEVAL,CONFIG_METADATA!$B$4,nASIG,"Conjunto"),""))</f>
        <v/>
      </c>
      <c r="E439" t="str">
        <f>IF(A439="","",IFERROR(AVERAGEIFS(nNOTA,nNIA,A439,nEVAL,CONFIG_METADATA!$B$4,nASIG,"&lt;&gt;Lenguaje Musical",nASIG,"&lt;&gt;Coro",nASIG,"&lt;&gt;Conjunto"),""))</f>
        <v/>
      </c>
      <c r="H439" t="str">
        <f>IF(G439="","",IFERROR(AVERAGEIFS(nNOTA,nNIA,G439,nEVAL,CONFIG_METADATA!$B$4,nASIG,"Lenguaje Musical"),""))</f>
        <v/>
      </c>
      <c r="I439" t="str">
        <f>IF(G439="","",IFERROR(AVERAGEIFS(nNOTA,nNIA,G439,nEVAL,CONFIG_METADATA!$B$4,nASIG,"Coro"),""))</f>
        <v/>
      </c>
      <c r="J439" t="str">
        <f>IF(G439="","",IFERROR(AVERAGEIFS(nNOTA,nNIA,G439,nEVAL,CONFIG_METADATA!$B$4,nASIG,"Conjunto"),""))</f>
        <v/>
      </c>
      <c r="K439" t="str" cm="1">
        <f t="array" ref="K439">IF(G439="","",IFERROR(AVERAGE(IF((nNIA=G439)*(nEVAL=CONFIG_METADATA!$B$4)*(nASIG&lt;&gt;"Lenguaje Musical")*(nASIG&lt;&gt;"Coro")*(nASIG&lt;&gt;"Conjunto"),nNOTA)),""))</f>
        <v/>
      </c>
      <c r="N439" t="str">
        <f>IF(M439="","",IFERROR(AVERAGEIFS(nNOTA,nNIA,M439,nEVAL,CONFIG_METADATA!$B$4,nASIG,"Lenguaje Musical"),""))</f>
        <v/>
      </c>
      <c r="O439" t="str">
        <f>IF(M439="","",IFERROR(AVERAGEIFS(nNOTA,nNIA,M439,nEVAL,CONFIG_METADATA!$B$4,nASIG,"Coro"),""))</f>
        <v/>
      </c>
      <c r="P439" t="str">
        <f>IF(M439="","",IFERROR(AVERAGEIFS(nNOTA,nNIA,M439,nEVAL,CONFIG_METADATA!$B$4,nASIG,"Conjunto"),""))</f>
        <v/>
      </c>
      <c r="Q439" t="str">
        <f>IF(M439="","",IFERROR(AVERAGEIFS(nNOTA,nNIA,M439,nEVAL,CONFIG_METADATA!$B$4,nASIG,"&lt;&gt;Lenguaje Musical",nASIG,"&lt;&gt;Coro",nASIG,"&lt;&gt;Conjunto"),""))</f>
        <v/>
      </c>
      <c r="T439" t="str">
        <f>IF(S439="","",IFERROR(AVERAGEIFS(nNOTA,nNIA,S439,nEVAL,CONFIG_METADATA!$B$4,nASIG,"Lenguaje Musical"),""))</f>
        <v/>
      </c>
      <c r="U439" t="str">
        <f>IF(S439="","",IFERROR(AVERAGEIFS(nNOTA,nNIA,S439,nEVAL,CONFIG_METADATA!$B$4,nASIG,"Coro"),""))</f>
        <v/>
      </c>
      <c r="V439" t="str">
        <f>IF(S439="","",IFERROR(AVERAGEIFS(nNOTA,nNIA,S439,nEVAL,CONFIG_METADATA!$B$4,nASIG,"Conjunto"),""))</f>
        <v/>
      </c>
      <c r="W439" t="str" cm="1">
        <f t="array" ref="W439">IF(S439="","",IFERROR(AVERAGE(IF((nNIA=S439)*(nEVAL=CONFIG_METADATA!$B$4)*(nASIG&lt;&gt;"Lenguaje Musical")*(nASIG&lt;&gt;"Coro")*(nASIG&lt;&gt;"Conjunto"),nNOTA)),""))</f>
        <v/>
      </c>
    </row>
    <row r="440" spans="2:23" x14ac:dyDescent="0.2">
      <c r="B440" t="str">
        <f>IF(A440="","",IFERROR(AVERAGEIFS(nNOTA,nNIA,A440,nEVAL,CONFIG_METADATA!$B$4,nASIG,"Lenguaje Musical"),""))</f>
        <v/>
      </c>
      <c r="C440" t="str">
        <f>IF(A440="","",IFERROR(AVERAGEIFS(nNOTA,nNIA,A440,nEVAL,CONFIG_METADATA!$B$4,nASIG,"Coro"),""))</f>
        <v/>
      </c>
      <c r="D440" t="str">
        <f>IF(A440="","",IFERROR(AVERAGEIFS(nNOTA,nNIA,A440,nEVAL,CONFIG_METADATA!$B$4,nASIG,"Conjunto"),""))</f>
        <v/>
      </c>
      <c r="E440" t="str">
        <f>IF(A440="","",IFERROR(AVERAGEIFS(nNOTA,nNIA,A440,nEVAL,CONFIG_METADATA!$B$4,nASIG,"&lt;&gt;Lenguaje Musical",nASIG,"&lt;&gt;Coro",nASIG,"&lt;&gt;Conjunto"),""))</f>
        <v/>
      </c>
      <c r="H440" t="str">
        <f>IF(G440="","",IFERROR(AVERAGEIFS(nNOTA,nNIA,G440,nEVAL,CONFIG_METADATA!$B$4,nASIG,"Lenguaje Musical"),""))</f>
        <v/>
      </c>
      <c r="I440" t="str">
        <f>IF(G440="","",IFERROR(AVERAGEIFS(nNOTA,nNIA,G440,nEVAL,CONFIG_METADATA!$B$4,nASIG,"Coro"),""))</f>
        <v/>
      </c>
      <c r="J440" t="str">
        <f>IF(G440="","",IFERROR(AVERAGEIFS(nNOTA,nNIA,G440,nEVAL,CONFIG_METADATA!$B$4,nASIG,"Conjunto"),""))</f>
        <v/>
      </c>
      <c r="K440" t="str" cm="1">
        <f t="array" ref="K440">IF(G440="","",IFERROR(AVERAGE(IF((nNIA=G440)*(nEVAL=CONFIG_METADATA!$B$4)*(nASIG&lt;&gt;"Lenguaje Musical")*(nASIG&lt;&gt;"Coro")*(nASIG&lt;&gt;"Conjunto"),nNOTA)),""))</f>
        <v/>
      </c>
      <c r="N440" t="str">
        <f>IF(M440="","",IFERROR(AVERAGEIFS(nNOTA,nNIA,M440,nEVAL,CONFIG_METADATA!$B$4,nASIG,"Lenguaje Musical"),""))</f>
        <v/>
      </c>
      <c r="O440" t="str">
        <f>IF(M440="","",IFERROR(AVERAGEIFS(nNOTA,nNIA,M440,nEVAL,CONFIG_METADATA!$B$4,nASIG,"Coro"),""))</f>
        <v/>
      </c>
      <c r="P440" t="str">
        <f>IF(M440="","",IFERROR(AVERAGEIFS(nNOTA,nNIA,M440,nEVAL,CONFIG_METADATA!$B$4,nASIG,"Conjunto"),""))</f>
        <v/>
      </c>
      <c r="Q440" t="str">
        <f>IF(M440="","",IFERROR(AVERAGEIFS(nNOTA,nNIA,M440,nEVAL,CONFIG_METADATA!$B$4,nASIG,"&lt;&gt;Lenguaje Musical",nASIG,"&lt;&gt;Coro",nASIG,"&lt;&gt;Conjunto"),""))</f>
        <v/>
      </c>
      <c r="T440" t="str">
        <f>IF(S440="","",IFERROR(AVERAGEIFS(nNOTA,nNIA,S440,nEVAL,CONFIG_METADATA!$B$4,nASIG,"Lenguaje Musical"),""))</f>
        <v/>
      </c>
      <c r="U440" t="str">
        <f>IF(S440="","",IFERROR(AVERAGEIFS(nNOTA,nNIA,S440,nEVAL,CONFIG_METADATA!$B$4,nASIG,"Coro"),""))</f>
        <v/>
      </c>
      <c r="V440" t="str">
        <f>IF(S440="","",IFERROR(AVERAGEIFS(nNOTA,nNIA,S440,nEVAL,CONFIG_METADATA!$B$4,nASIG,"Conjunto"),""))</f>
        <v/>
      </c>
      <c r="W440" t="str" cm="1">
        <f t="array" ref="W440">IF(S440="","",IFERROR(AVERAGE(IF((nNIA=S440)*(nEVAL=CONFIG_METADATA!$B$4)*(nASIG&lt;&gt;"Lenguaje Musical")*(nASIG&lt;&gt;"Coro")*(nASIG&lt;&gt;"Conjunto"),nNOTA)),""))</f>
        <v/>
      </c>
    </row>
    <row r="441" spans="2:23" x14ac:dyDescent="0.2">
      <c r="B441" t="str">
        <f>IF(A441="","",IFERROR(AVERAGEIFS(nNOTA,nNIA,A441,nEVAL,CONFIG_METADATA!$B$4,nASIG,"Lenguaje Musical"),""))</f>
        <v/>
      </c>
      <c r="C441" t="str">
        <f>IF(A441="","",IFERROR(AVERAGEIFS(nNOTA,nNIA,A441,nEVAL,CONFIG_METADATA!$B$4,nASIG,"Coro"),""))</f>
        <v/>
      </c>
      <c r="D441" t="str">
        <f>IF(A441="","",IFERROR(AVERAGEIFS(nNOTA,nNIA,A441,nEVAL,CONFIG_METADATA!$B$4,nASIG,"Conjunto"),""))</f>
        <v/>
      </c>
      <c r="E441" t="str">
        <f>IF(A441="","",IFERROR(AVERAGEIFS(nNOTA,nNIA,A441,nEVAL,CONFIG_METADATA!$B$4,nASIG,"&lt;&gt;Lenguaje Musical",nASIG,"&lt;&gt;Coro",nASIG,"&lt;&gt;Conjunto"),""))</f>
        <v/>
      </c>
      <c r="H441" t="str">
        <f>IF(G441="","",IFERROR(AVERAGEIFS(nNOTA,nNIA,G441,nEVAL,CONFIG_METADATA!$B$4,nASIG,"Lenguaje Musical"),""))</f>
        <v/>
      </c>
      <c r="I441" t="str">
        <f>IF(G441="","",IFERROR(AVERAGEIFS(nNOTA,nNIA,G441,nEVAL,CONFIG_METADATA!$B$4,nASIG,"Coro"),""))</f>
        <v/>
      </c>
      <c r="J441" t="str">
        <f>IF(G441="","",IFERROR(AVERAGEIFS(nNOTA,nNIA,G441,nEVAL,CONFIG_METADATA!$B$4,nASIG,"Conjunto"),""))</f>
        <v/>
      </c>
      <c r="K441" t="str" cm="1">
        <f t="array" ref="K441">IF(G441="","",IFERROR(AVERAGE(IF((nNIA=G441)*(nEVAL=CONFIG_METADATA!$B$4)*(nASIG&lt;&gt;"Lenguaje Musical")*(nASIG&lt;&gt;"Coro")*(nASIG&lt;&gt;"Conjunto"),nNOTA)),""))</f>
        <v/>
      </c>
      <c r="N441" t="str">
        <f>IF(M441="","",IFERROR(AVERAGEIFS(nNOTA,nNIA,M441,nEVAL,CONFIG_METADATA!$B$4,nASIG,"Lenguaje Musical"),""))</f>
        <v/>
      </c>
      <c r="O441" t="str">
        <f>IF(M441="","",IFERROR(AVERAGEIFS(nNOTA,nNIA,M441,nEVAL,CONFIG_METADATA!$B$4,nASIG,"Coro"),""))</f>
        <v/>
      </c>
      <c r="P441" t="str">
        <f>IF(M441="","",IFERROR(AVERAGEIFS(nNOTA,nNIA,M441,nEVAL,CONFIG_METADATA!$B$4,nASIG,"Conjunto"),""))</f>
        <v/>
      </c>
      <c r="Q441" t="str">
        <f>IF(M441="","",IFERROR(AVERAGEIFS(nNOTA,nNIA,M441,nEVAL,CONFIG_METADATA!$B$4,nASIG,"&lt;&gt;Lenguaje Musical",nASIG,"&lt;&gt;Coro",nASIG,"&lt;&gt;Conjunto"),""))</f>
        <v/>
      </c>
      <c r="T441" t="str">
        <f>IF(S441="","",IFERROR(AVERAGEIFS(nNOTA,nNIA,S441,nEVAL,CONFIG_METADATA!$B$4,nASIG,"Lenguaje Musical"),""))</f>
        <v/>
      </c>
      <c r="U441" t="str">
        <f>IF(S441="","",IFERROR(AVERAGEIFS(nNOTA,nNIA,S441,nEVAL,CONFIG_METADATA!$B$4,nASIG,"Coro"),""))</f>
        <v/>
      </c>
      <c r="V441" t="str">
        <f>IF(S441="","",IFERROR(AVERAGEIFS(nNOTA,nNIA,S441,nEVAL,CONFIG_METADATA!$B$4,nASIG,"Conjunto"),""))</f>
        <v/>
      </c>
      <c r="W441" t="str" cm="1">
        <f t="array" ref="W441">IF(S441="","",IFERROR(AVERAGE(IF((nNIA=S441)*(nEVAL=CONFIG_METADATA!$B$4)*(nASIG&lt;&gt;"Lenguaje Musical")*(nASIG&lt;&gt;"Coro")*(nASIG&lt;&gt;"Conjunto"),nNOTA)),""))</f>
        <v/>
      </c>
    </row>
    <row r="442" spans="2:23" x14ac:dyDescent="0.2">
      <c r="B442" t="str">
        <f>IF(A442="","",IFERROR(AVERAGEIFS(nNOTA,nNIA,A442,nEVAL,CONFIG_METADATA!$B$4,nASIG,"Lenguaje Musical"),""))</f>
        <v/>
      </c>
      <c r="C442" t="str">
        <f>IF(A442="","",IFERROR(AVERAGEIFS(nNOTA,nNIA,A442,nEVAL,CONFIG_METADATA!$B$4,nASIG,"Coro"),""))</f>
        <v/>
      </c>
      <c r="D442" t="str">
        <f>IF(A442="","",IFERROR(AVERAGEIFS(nNOTA,nNIA,A442,nEVAL,CONFIG_METADATA!$B$4,nASIG,"Conjunto"),""))</f>
        <v/>
      </c>
      <c r="E442" t="str">
        <f>IF(A442="","",IFERROR(AVERAGEIFS(nNOTA,nNIA,A442,nEVAL,CONFIG_METADATA!$B$4,nASIG,"&lt;&gt;Lenguaje Musical",nASIG,"&lt;&gt;Coro",nASIG,"&lt;&gt;Conjunto"),""))</f>
        <v/>
      </c>
      <c r="H442" t="str">
        <f>IF(G442="","",IFERROR(AVERAGEIFS(nNOTA,nNIA,G442,nEVAL,CONFIG_METADATA!$B$4,nASIG,"Lenguaje Musical"),""))</f>
        <v/>
      </c>
      <c r="I442" t="str">
        <f>IF(G442="","",IFERROR(AVERAGEIFS(nNOTA,nNIA,G442,nEVAL,CONFIG_METADATA!$B$4,nASIG,"Coro"),""))</f>
        <v/>
      </c>
      <c r="J442" t="str">
        <f>IF(G442="","",IFERROR(AVERAGEIFS(nNOTA,nNIA,G442,nEVAL,CONFIG_METADATA!$B$4,nASIG,"Conjunto"),""))</f>
        <v/>
      </c>
      <c r="K442" t="str" cm="1">
        <f t="array" ref="K442">IF(G442="","",IFERROR(AVERAGE(IF((nNIA=G442)*(nEVAL=CONFIG_METADATA!$B$4)*(nASIG&lt;&gt;"Lenguaje Musical")*(nASIG&lt;&gt;"Coro")*(nASIG&lt;&gt;"Conjunto"),nNOTA)),""))</f>
        <v/>
      </c>
      <c r="N442" t="str">
        <f>IF(M442="","",IFERROR(AVERAGEIFS(nNOTA,nNIA,M442,nEVAL,CONFIG_METADATA!$B$4,nASIG,"Lenguaje Musical"),""))</f>
        <v/>
      </c>
      <c r="O442" t="str">
        <f>IF(M442="","",IFERROR(AVERAGEIFS(nNOTA,nNIA,M442,nEVAL,CONFIG_METADATA!$B$4,nASIG,"Coro"),""))</f>
        <v/>
      </c>
      <c r="P442" t="str">
        <f>IF(M442="","",IFERROR(AVERAGEIFS(nNOTA,nNIA,M442,nEVAL,CONFIG_METADATA!$B$4,nASIG,"Conjunto"),""))</f>
        <v/>
      </c>
      <c r="Q442" t="str">
        <f>IF(M442="","",IFERROR(AVERAGEIFS(nNOTA,nNIA,M442,nEVAL,CONFIG_METADATA!$B$4,nASIG,"&lt;&gt;Lenguaje Musical",nASIG,"&lt;&gt;Coro",nASIG,"&lt;&gt;Conjunto"),""))</f>
        <v/>
      </c>
      <c r="T442" t="str">
        <f>IF(S442="","",IFERROR(AVERAGEIFS(nNOTA,nNIA,S442,nEVAL,CONFIG_METADATA!$B$4,nASIG,"Lenguaje Musical"),""))</f>
        <v/>
      </c>
      <c r="U442" t="str">
        <f>IF(S442="","",IFERROR(AVERAGEIFS(nNOTA,nNIA,S442,nEVAL,CONFIG_METADATA!$B$4,nASIG,"Coro"),""))</f>
        <v/>
      </c>
      <c r="V442" t="str">
        <f>IF(S442="","",IFERROR(AVERAGEIFS(nNOTA,nNIA,S442,nEVAL,CONFIG_METADATA!$B$4,nASIG,"Conjunto"),""))</f>
        <v/>
      </c>
      <c r="W442" t="str" cm="1">
        <f t="array" ref="W442">IF(S442="","",IFERROR(AVERAGE(IF((nNIA=S442)*(nEVAL=CONFIG_METADATA!$B$4)*(nASIG&lt;&gt;"Lenguaje Musical")*(nASIG&lt;&gt;"Coro")*(nASIG&lt;&gt;"Conjunto"),nNOTA)),""))</f>
        <v/>
      </c>
    </row>
    <row r="443" spans="2:23" x14ac:dyDescent="0.2">
      <c r="B443" t="str">
        <f>IF(A443="","",IFERROR(AVERAGEIFS(nNOTA,nNIA,A443,nEVAL,CONFIG_METADATA!$B$4,nASIG,"Lenguaje Musical"),""))</f>
        <v/>
      </c>
      <c r="C443" t="str">
        <f>IF(A443="","",IFERROR(AVERAGEIFS(nNOTA,nNIA,A443,nEVAL,CONFIG_METADATA!$B$4,nASIG,"Coro"),""))</f>
        <v/>
      </c>
      <c r="D443" t="str">
        <f>IF(A443="","",IFERROR(AVERAGEIFS(nNOTA,nNIA,A443,nEVAL,CONFIG_METADATA!$B$4,nASIG,"Conjunto"),""))</f>
        <v/>
      </c>
      <c r="E443" t="str">
        <f>IF(A443="","",IFERROR(AVERAGEIFS(nNOTA,nNIA,A443,nEVAL,CONFIG_METADATA!$B$4,nASIG,"&lt;&gt;Lenguaje Musical",nASIG,"&lt;&gt;Coro",nASIG,"&lt;&gt;Conjunto"),""))</f>
        <v/>
      </c>
      <c r="H443" t="str">
        <f>IF(G443="","",IFERROR(AVERAGEIFS(nNOTA,nNIA,G443,nEVAL,CONFIG_METADATA!$B$4,nASIG,"Lenguaje Musical"),""))</f>
        <v/>
      </c>
      <c r="I443" t="str">
        <f>IF(G443="","",IFERROR(AVERAGEIFS(nNOTA,nNIA,G443,nEVAL,CONFIG_METADATA!$B$4,nASIG,"Coro"),""))</f>
        <v/>
      </c>
      <c r="J443" t="str">
        <f>IF(G443="","",IFERROR(AVERAGEIFS(nNOTA,nNIA,G443,nEVAL,CONFIG_METADATA!$B$4,nASIG,"Conjunto"),""))</f>
        <v/>
      </c>
      <c r="K443" t="str" cm="1">
        <f t="array" ref="K443">IF(G443="","",IFERROR(AVERAGE(IF((nNIA=G443)*(nEVAL=CONFIG_METADATA!$B$4)*(nASIG&lt;&gt;"Lenguaje Musical")*(nASIG&lt;&gt;"Coro")*(nASIG&lt;&gt;"Conjunto"),nNOTA)),""))</f>
        <v/>
      </c>
      <c r="N443" t="str">
        <f>IF(M443="","",IFERROR(AVERAGEIFS(nNOTA,nNIA,M443,nEVAL,CONFIG_METADATA!$B$4,nASIG,"Lenguaje Musical"),""))</f>
        <v/>
      </c>
      <c r="O443" t="str">
        <f>IF(M443="","",IFERROR(AVERAGEIFS(nNOTA,nNIA,M443,nEVAL,CONFIG_METADATA!$B$4,nASIG,"Coro"),""))</f>
        <v/>
      </c>
      <c r="P443" t="str">
        <f>IF(M443="","",IFERROR(AVERAGEIFS(nNOTA,nNIA,M443,nEVAL,CONFIG_METADATA!$B$4,nASIG,"Conjunto"),""))</f>
        <v/>
      </c>
      <c r="Q443" t="str">
        <f>IF(M443="","",IFERROR(AVERAGEIFS(nNOTA,nNIA,M443,nEVAL,CONFIG_METADATA!$B$4,nASIG,"&lt;&gt;Lenguaje Musical",nASIG,"&lt;&gt;Coro",nASIG,"&lt;&gt;Conjunto"),""))</f>
        <v/>
      </c>
      <c r="T443" t="str">
        <f>IF(S443="","",IFERROR(AVERAGEIFS(nNOTA,nNIA,S443,nEVAL,CONFIG_METADATA!$B$4,nASIG,"Lenguaje Musical"),""))</f>
        <v/>
      </c>
      <c r="U443" t="str">
        <f>IF(S443="","",IFERROR(AVERAGEIFS(nNOTA,nNIA,S443,nEVAL,CONFIG_METADATA!$B$4,nASIG,"Coro"),""))</f>
        <v/>
      </c>
      <c r="V443" t="str">
        <f>IF(S443="","",IFERROR(AVERAGEIFS(nNOTA,nNIA,S443,nEVAL,CONFIG_METADATA!$B$4,nASIG,"Conjunto"),""))</f>
        <v/>
      </c>
      <c r="W443" t="str" cm="1">
        <f t="array" ref="W443">IF(S443="","",IFERROR(AVERAGE(IF((nNIA=S443)*(nEVAL=CONFIG_METADATA!$B$4)*(nASIG&lt;&gt;"Lenguaje Musical")*(nASIG&lt;&gt;"Coro")*(nASIG&lt;&gt;"Conjunto"),nNOTA)),""))</f>
        <v/>
      </c>
    </row>
    <row r="444" spans="2:23" x14ac:dyDescent="0.2">
      <c r="B444" t="str">
        <f>IF(A444="","",IFERROR(AVERAGEIFS(nNOTA,nNIA,A444,nEVAL,CONFIG_METADATA!$B$4,nASIG,"Lenguaje Musical"),""))</f>
        <v/>
      </c>
      <c r="C444" t="str">
        <f>IF(A444="","",IFERROR(AVERAGEIFS(nNOTA,nNIA,A444,nEVAL,CONFIG_METADATA!$B$4,nASIG,"Coro"),""))</f>
        <v/>
      </c>
      <c r="D444" t="str">
        <f>IF(A444="","",IFERROR(AVERAGEIFS(nNOTA,nNIA,A444,nEVAL,CONFIG_METADATA!$B$4,nASIG,"Conjunto"),""))</f>
        <v/>
      </c>
      <c r="E444" t="str">
        <f>IF(A444="","",IFERROR(AVERAGEIFS(nNOTA,nNIA,A444,nEVAL,CONFIG_METADATA!$B$4,nASIG,"&lt;&gt;Lenguaje Musical",nASIG,"&lt;&gt;Coro",nASIG,"&lt;&gt;Conjunto"),""))</f>
        <v/>
      </c>
      <c r="H444" t="str">
        <f>IF(G444="","",IFERROR(AVERAGEIFS(nNOTA,nNIA,G444,nEVAL,CONFIG_METADATA!$B$4,nASIG,"Lenguaje Musical"),""))</f>
        <v/>
      </c>
      <c r="I444" t="str">
        <f>IF(G444="","",IFERROR(AVERAGEIFS(nNOTA,nNIA,G444,nEVAL,CONFIG_METADATA!$B$4,nASIG,"Coro"),""))</f>
        <v/>
      </c>
      <c r="J444" t="str">
        <f>IF(G444="","",IFERROR(AVERAGEIFS(nNOTA,nNIA,G444,nEVAL,CONFIG_METADATA!$B$4,nASIG,"Conjunto"),""))</f>
        <v/>
      </c>
      <c r="K444" t="str" cm="1">
        <f t="array" ref="K444">IF(G444="","",IFERROR(AVERAGE(IF((nNIA=G444)*(nEVAL=CONFIG_METADATA!$B$4)*(nASIG&lt;&gt;"Lenguaje Musical")*(nASIG&lt;&gt;"Coro")*(nASIG&lt;&gt;"Conjunto"),nNOTA)),""))</f>
        <v/>
      </c>
      <c r="N444" t="str">
        <f>IF(M444="","",IFERROR(AVERAGEIFS(nNOTA,nNIA,M444,nEVAL,CONFIG_METADATA!$B$4,nASIG,"Lenguaje Musical"),""))</f>
        <v/>
      </c>
      <c r="O444" t="str">
        <f>IF(M444="","",IFERROR(AVERAGEIFS(nNOTA,nNIA,M444,nEVAL,CONFIG_METADATA!$B$4,nASIG,"Coro"),""))</f>
        <v/>
      </c>
      <c r="P444" t="str">
        <f>IF(M444="","",IFERROR(AVERAGEIFS(nNOTA,nNIA,M444,nEVAL,CONFIG_METADATA!$B$4,nASIG,"Conjunto"),""))</f>
        <v/>
      </c>
      <c r="Q444" t="str">
        <f>IF(M444="","",IFERROR(AVERAGEIFS(nNOTA,nNIA,M444,nEVAL,CONFIG_METADATA!$B$4,nASIG,"&lt;&gt;Lenguaje Musical",nASIG,"&lt;&gt;Coro",nASIG,"&lt;&gt;Conjunto"),""))</f>
        <v/>
      </c>
      <c r="T444" t="str">
        <f>IF(S444="","",IFERROR(AVERAGEIFS(nNOTA,nNIA,S444,nEVAL,CONFIG_METADATA!$B$4,nASIG,"Lenguaje Musical"),""))</f>
        <v/>
      </c>
      <c r="U444" t="str">
        <f>IF(S444="","",IFERROR(AVERAGEIFS(nNOTA,nNIA,S444,nEVAL,CONFIG_METADATA!$B$4,nASIG,"Coro"),""))</f>
        <v/>
      </c>
      <c r="V444" t="str">
        <f>IF(S444="","",IFERROR(AVERAGEIFS(nNOTA,nNIA,S444,nEVAL,CONFIG_METADATA!$B$4,nASIG,"Conjunto"),""))</f>
        <v/>
      </c>
      <c r="W444" t="str" cm="1">
        <f t="array" ref="W444">IF(S444="","",IFERROR(AVERAGE(IF((nNIA=S444)*(nEVAL=CONFIG_METADATA!$B$4)*(nASIG&lt;&gt;"Lenguaje Musical")*(nASIG&lt;&gt;"Coro")*(nASIG&lt;&gt;"Conjunto"),nNOTA)),""))</f>
        <v/>
      </c>
    </row>
    <row r="445" spans="2:23" x14ac:dyDescent="0.2">
      <c r="B445" t="str">
        <f>IF(A445="","",IFERROR(AVERAGEIFS(nNOTA,nNIA,A445,nEVAL,CONFIG_METADATA!$B$4,nASIG,"Lenguaje Musical"),""))</f>
        <v/>
      </c>
      <c r="C445" t="str">
        <f>IF(A445="","",IFERROR(AVERAGEIFS(nNOTA,nNIA,A445,nEVAL,CONFIG_METADATA!$B$4,nASIG,"Coro"),""))</f>
        <v/>
      </c>
      <c r="D445" t="str">
        <f>IF(A445="","",IFERROR(AVERAGEIFS(nNOTA,nNIA,A445,nEVAL,CONFIG_METADATA!$B$4,nASIG,"Conjunto"),""))</f>
        <v/>
      </c>
      <c r="E445" t="str">
        <f>IF(A445="","",IFERROR(AVERAGEIFS(nNOTA,nNIA,A445,nEVAL,CONFIG_METADATA!$B$4,nASIG,"&lt;&gt;Lenguaje Musical",nASIG,"&lt;&gt;Coro",nASIG,"&lt;&gt;Conjunto"),""))</f>
        <v/>
      </c>
      <c r="H445" t="str">
        <f>IF(G445="","",IFERROR(AVERAGEIFS(nNOTA,nNIA,G445,nEVAL,CONFIG_METADATA!$B$4,nASIG,"Lenguaje Musical"),""))</f>
        <v/>
      </c>
      <c r="I445" t="str">
        <f>IF(G445="","",IFERROR(AVERAGEIFS(nNOTA,nNIA,G445,nEVAL,CONFIG_METADATA!$B$4,nASIG,"Coro"),""))</f>
        <v/>
      </c>
      <c r="J445" t="str">
        <f>IF(G445="","",IFERROR(AVERAGEIFS(nNOTA,nNIA,G445,nEVAL,CONFIG_METADATA!$B$4,nASIG,"Conjunto"),""))</f>
        <v/>
      </c>
      <c r="K445" t="str" cm="1">
        <f t="array" ref="K445">IF(G445="","",IFERROR(AVERAGE(IF((nNIA=G445)*(nEVAL=CONFIG_METADATA!$B$4)*(nASIG&lt;&gt;"Lenguaje Musical")*(nASIG&lt;&gt;"Coro")*(nASIG&lt;&gt;"Conjunto"),nNOTA)),""))</f>
        <v/>
      </c>
      <c r="N445" t="str">
        <f>IF(M445="","",IFERROR(AVERAGEIFS(nNOTA,nNIA,M445,nEVAL,CONFIG_METADATA!$B$4,nASIG,"Lenguaje Musical"),""))</f>
        <v/>
      </c>
      <c r="O445" t="str">
        <f>IF(M445="","",IFERROR(AVERAGEIFS(nNOTA,nNIA,M445,nEVAL,CONFIG_METADATA!$B$4,nASIG,"Coro"),""))</f>
        <v/>
      </c>
      <c r="P445" t="str">
        <f>IF(M445="","",IFERROR(AVERAGEIFS(nNOTA,nNIA,M445,nEVAL,CONFIG_METADATA!$B$4,nASIG,"Conjunto"),""))</f>
        <v/>
      </c>
      <c r="Q445" t="str">
        <f>IF(M445="","",IFERROR(AVERAGEIFS(nNOTA,nNIA,M445,nEVAL,CONFIG_METADATA!$B$4,nASIG,"&lt;&gt;Lenguaje Musical",nASIG,"&lt;&gt;Coro",nASIG,"&lt;&gt;Conjunto"),""))</f>
        <v/>
      </c>
      <c r="T445" t="str">
        <f>IF(S445="","",IFERROR(AVERAGEIFS(nNOTA,nNIA,S445,nEVAL,CONFIG_METADATA!$B$4,nASIG,"Lenguaje Musical"),""))</f>
        <v/>
      </c>
      <c r="U445" t="str">
        <f>IF(S445="","",IFERROR(AVERAGEIFS(nNOTA,nNIA,S445,nEVAL,CONFIG_METADATA!$B$4,nASIG,"Coro"),""))</f>
        <v/>
      </c>
      <c r="V445" t="str">
        <f>IF(S445="","",IFERROR(AVERAGEIFS(nNOTA,nNIA,S445,nEVAL,CONFIG_METADATA!$B$4,nASIG,"Conjunto"),""))</f>
        <v/>
      </c>
      <c r="W445" t="str" cm="1">
        <f t="array" ref="W445">IF(S445="","",IFERROR(AVERAGE(IF((nNIA=S445)*(nEVAL=CONFIG_METADATA!$B$4)*(nASIG&lt;&gt;"Lenguaje Musical")*(nASIG&lt;&gt;"Coro")*(nASIG&lt;&gt;"Conjunto"),nNOTA)),""))</f>
        <v/>
      </c>
    </row>
    <row r="446" spans="2:23" x14ac:dyDescent="0.2">
      <c r="B446" t="str">
        <f>IF(A446="","",IFERROR(AVERAGEIFS(nNOTA,nNIA,A446,nEVAL,CONFIG_METADATA!$B$4,nASIG,"Lenguaje Musical"),""))</f>
        <v/>
      </c>
      <c r="C446" t="str">
        <f>IF(A446="","",IFERROR(AVERAGEIFS(nNOTA,nNIA,A446,nEVAL,CONFIG_METADATA!$B$4,nASIG,"Coro"),""))</f>
        <v/>
      </c>
      <c r="D446" t="str">
        <f>IF(A446="","",IFERROR(AVERAGEIFS(nNOTA,nNIA,A446,nEVAL,CONFIG_METADATA!$B$4,nASIG,"Conjunto"),""))</f>
        <v/>
      </c>
      <c r="E446" t="str">
        <f>IF(A446="","",IFERROR(AVERAGEIFS(nNOTA,nNIA,A446,nEVAL,CONFIG_METADATA!$B$4,nASIG,"&lt;&gt;Lenguaje Musical",nASIG,"&lt;&gt;Coro",nASIG,"&lt;&gt;Conjunto"),""))</f>
        <v/>
      </c>
      <c r="H446" t="str">
        <f>IF(G446="","",IFERROR(AVERAGEIFS(nNOTA,nNIA,G446,nEVAL,CONFIG_METADATA!$B$4,nASIG,"Lenguaje Musical"),""))</f>
        <v/>
      </c>
      <c r="I446" t="str">
        <f>IF(G446="","",IFERROR(AVERAGEIFS(nNOTA,nNIA,G446,nEVAL,CONFIG_METADATA!$B$4,nASIG,"Coro"),""))</f>
        <v/>
      </c>
      <c r="J446" t="str">
        <f>IF(G446="","",IFERROR(AVERAGEIFS(nNOTA,nNIA,G446,nEVAL,CONFIG_METADATA!$B$4,nASIG,"Conjunto"),""))</f>
        <v/>
      </c>
      <c r="K446" t="str" cm="1">
        <f t="array" ref="K446">IF(G446="","",IFERROR(AVERAGE(IF((nNIA=G446)*(nEVAL=CONFIG_METADATA!$B$4)*(nASIG&lt;&gt;"Lenguaje Musical")*(nASIG&lt;&gt;"Coro")*(nASIG&lt;&gt;"Conjunto"),nNOTA)),""))</f>
        <v/>
      </c>
      <c r="N446" t="str">
        <f>IF(M446="","",IFERROR(AVERAGEIFS(nNOTA,nNIA,M446,nEVAL,CONFIG_METADATA!$B$4,nASIG,"Lenguaje Musical"),""))</f>
        <v/>
      </c>
      <c r="O446" t="str">
        <f>IF(M446="","",IFERROR(AVERAGEIFS(nNOTA,nNIA,M446,nEVAL,CONFIG_METADATA!$B$4,nASIG,"Coro"),""))</f>
        <v/>
      </c>
      <c r="P446" t="str">
        <f>IF(M446="","",IFERROR(AVERAGEIFS(nNOTA,nNIA,M446,nEVAL,CONFIG_METADATA!$B$4,nASIG,"Conjunto"),""))</f>
        <v/>
      </c>
      <c r="Q446" t="str">
        <f>IF(M446="","",IFERROR(AVERAGEIFS(nNOTA,nNIA,M446,nEVAL,CONFIG_METADATA!$B$4,nASIG,"&lt;&gt;Lenguaje Musical",nASIG,"&lt;&gt;Coro",nASIG,"&lt;&gt;Conjunto"),""))</f>
        <v/>
      </c>
      <c r="T446" t="str">
        <f>IF(S446="","",IFERROR(AVERAGEIFS(nNOTA,nNIA,S446,nEVAL,CONFIG_METADATA!$B$4,nASIG,"Lenguaje Musical"),""))</f>
        <v/>
      </c>
      <c r="U446" t="str">
        <f>IF(S446="","",IFERROR(AVERAGEIFS(nNOTA,nNIA,S446,nEVAL,CONFIG_METADATA!$B$4,nASIG,"Coro"),""))</f>
        <v/>
      </c>
      <c r="V446" t="str">
        <f>IF(S446="","",IFERROR(AVERAGEIFS(nNOTA,nNIA,S446,nEVAL,CONFIG_METADATA!$B$4,nASIG,"Conjunto"),""))</f>
        <v/>
      </c>
      <c r="W446" t="str" cm="1">
        <f t="array" ref="W446">IF(S446="","",IFERROR(AVERAGE(IF((nNIA=S446)*(nEVAL=CONFIG_METADATA!$B$4)*(nASIG&lt;&gt;"Lenguaje Musical")*(nASIG&lt;&gt;"Coro")*(nASIG&lt;&gt;"Conjunto"),nNOTA)),""))</f>
        <v/>
      </c>
    </row>
    <row r="447" spans="2:23" x14ac:dyDescent="0.2">
      <c r="B447" t="str">
        <f>IF(A447="","",IFERROR(AVERAGEIFS(nNOTA,nNIA,A447,nEVAL,CONFIG_METADATA!$B$4,nASIG,"Lenguaje Musical"),""))</f>
        <v/>
      </c>
      <c r="C447" t="str">
        <f>IF(A447="","",IFERROR(AVERAGEIFS(nNOTA,nNIA,A447,nEVAL,CONFIG_METADATA!$B$4,nASIG,"Coro"),""))</f>
        <v/>
      </c>
      <c r="D447" t="str">
        <f>IF(A447="","",IFERROR(AVERAGEIFS(nNOTA,nNIA,A447,nEVAL,CONFIG_METADATA!$B$4,nASIG,"Conjunto"),""))</f>
        <v/>
      </c>
      <c r="E447" t="str">
        <f>IF(A447="","",IFERROR(AVERAGEIFS(nNOTA,nNIA,A447,nEVAL,CONFIG_METADATA!$B$4,nASIG,"&lt;&gt;Lenguaje Musical",nASIG,"&lt;&gt;Coro",nASIG,"&lt;&gt;Conjunto"),""))</f>
        <v/>
      </c>
      <c r="H447" t="str">
        <f>IF(G447="","",IFERROR(AVERAGEIFS(nNOTA,nNIA,G447,nEVAL,CONFIG_METADATA!$B$4,nASIG,"Lenguaje Musical"),""))</f>
        <v/>
      </c>
      <c r="I447" t="str">
        <f>IF(G447="","",IFERROR(AVERAGEIFS(nNOTA,nNIA,G447,nEVAL,CONFIG_METADATA!$B$4,nASIG,"Coro"),""))</f>
        <v/>
      </c>
      <c r="J447" t="str">
        <f>IF(G447="","",IFERROR(AVERAGEIFS(nNOTA,nNIA,G447,nEVAL,CONFIG_METADATA!$B$4,nASIG,"Conjunto"),""))</f>
        <v/>
      </c>
      <c r="K447" t="str" cm="1">
        <f t="array" ref="K447">IF(G447="","",IFERROR(AVERAGE(IF((nNIA=G447)*(nEVAL=CONFIG_METADATA!$B$4)*(nASIG&lt;&gt;"Lenguaje Musical")*(nASIG&lt;&gt;"Coro")*(nASIG&lt;&gt;"Conjunto"),nNOTA)),""))</f>
        <v/>
      </c>
      <c r="N447" t="str">
        <f>IF(M447="","",IFERROR(AVERAGEIFS(nNOTA,nNIA,M447,nEVAL,CONFIG_METADATA!$B$4,nASIG,"Lenguaje Musical"),""))</f>
        <v/>
      </c>
      <c r="O447" t="str">
        <f>IF(M447="","",IFERROR(AVERAGEIFS(nNOTA,nNIA,M447,nEVAL,CONFIG_METADATA!$B$4,nASIG,"Coro"),""))</f>
        <v/>
      </c>
      <c r="P447" t="str">
        <f>IF(M447="","",IFERROR(AVERAGEIFS(nNOTA,nNIA,M447,nEVAL,CONFIG_METADATA!$B$4,nASIG,"Conjunto"),""))</f>
        <v/>
      </c>
      <c r="Q447" t="str">
        <f>IF(M447="","",IFERROR(AVERAGEIFS(nNOTA,nNIA,M447,nEVAL,CONFIG_METADATA!$B$4,nASIG,"&lt;&gt;Lenguaje Musical",nASIG,"&lt;&gt;Coro",nASIG,"&lt;&gt;Conjunto"),""))</f>
        <v/>
      </c>
      <c r="T447" t="str">
        <f>IF(S447="","",IFERROR(AVERAGEIFS(nNOTA,nNIA,S447,nEVAL,CONFIG_METADATA!$B$4,nASIG,"Lenguaje Musical"),""))</f>
        <v/>
      </c>
      <c r="U447" t="str">
        <f>IF(S447="","",IFERROR(AVERAGEIFS(nNOTA,nNIA,S447,nEVAL,CONFIG_METADATA!$B$4,nASIG,"Coro"),""))</f>
        <v/>
      </c>
      <c r="V447" t="str">
        <f>IF(S447="","",IFERROR(AVERAGEIFS(nNOTA,nNIA,S447,nEVAL,CONFIG_METADATA!$B$4,nASIG,"Conjunto"),""))</f>
        <v/>
      </c>
      <c r="W447" t="str" cm="1">
        <f t="array" ref="W447">IF(S447="","",IFERROR(AVERAGE(IF((nNIA=S447)*(nEVAL=CONFIG_METADATA!$B$4)*(nASIG&lt;&gt;"Lenguaje Musical")*(nASIG&lt;&gt;"Coro")*(nASIG&lt;&gt;"Conjunto"),nNOTA)),""))</f>
        <v/>
      </c>
    </row>
    <row r="448" spans="2:23" x14ac:dyDescent="0.2">
      <c r="B448" t="str">
        <f>IF(A448="","",IFERROR(AVERAGEIFS(nNOTA,nNIA,A448,nEVAL,CONFIG_METADATA!$B$4,nASIG,"Lenguaje Musical"),""))</f>
        <v/>
      </c>
      <c r="C448" t="str">
        <f>IF(A448="","",IFERROR(AVERAGEIFS(nNOTA,nNIA,A448,nEVAL,CONFIG_METADATA!$B$4,nASIG,"Coro"),""))</f>
        <v/>
      </c>
      <c r="D448" t="str">
        <f>IF(A448="","",IFERROR(AVERAGEIFS(nNOTA,nNIA,A448,nEVAL,CONFIG_METADATA!$B$4,nASIG,"Conjunto"),""))</f>
        <v/>
      </c>
      <c r="E448" t="str">
        <f>IF(A448="","",IFERROR(AVERAGEIFS(nNOTA,nNIA,A448,nEVAL,CONFIG_METADATA!$B$4,nASIG,"&lt;&gt;Lenguaje Musical",nASIG,"&lt;&gt;Coro",nASIG,"&lt;&gt;Conjunto"),""))</f>
        <v/>
      </c>
      <c r="H448" t="str">
        <f>IF(G448="","",IFERROR(AVERAGEIFS(nNOTA,nNIA,G448,nEVAL,CONFIG_METADATA!$B$4,nASIG,"Lenguaje Musical"),""))</f>
        <v/>
      </c>
      <c r="I448" t="str">
        <f>IF(G448="","",IFERROR(AVERAGEIFS(nNOTA,nNIA,G448,nEVAL,CONFIG_METADATA!$B$4,nASIG,"Coro"),""))</f>
        <v/>
      </c>
      <c r="J448" t="str">
        <f>IF(G448="","",IFERROR(AVERAGEIFS(nNOTA,nNIA,G448,nEVAL,CONFIG_METADATA!$B$4,nASIG,"Conjunto"),""))</f>
        <v/>
      </c>
      <c r="K448" t="str" cm="1">
        <f t="array" ref="K448">IF(G448="","",IFERROR(AVERAGE(IF((nNIA=G448)*(nEVAL=CONFIG_METADATA!$B$4)*(nASIG&lt;&gt;"Lenguaje Musical")*(nASIG&lt;&gt;"Coro")*(nASIG&lt;&gt;"Conjunto"),nNOTA)),""))</f>
        <v/>
      </c>
      <c r="N448" t="str">
        <f>IF(M448="","",IFERROR(AVERAGEIFS(nNOTA,nNIA,M448,nEVAL,CONFIG_METADATA!$B$4,nASIG,"Lenguaje Musical"),""))</f>
        <v/>
      </c>
      <c r="O448" t="str">
        <f>IF(M448="","",IFERROR(AVERAGEIFS(nNOTA,nNIA,M448,nEVAL,CONFIG_METADATA!$B$4,nASIG,"Coro"),""))</f>
        <v/>
      </c>
      <c r="P448" t="str">
        <f>IF(M448="","",IFERROR(AVERAGEIFS(nNOTA,nNIA,M448,nEVAL,CONFIG_METADATA!$B$4,nASIG,"Conjunto"),""))</f>
        <v/>
      </c>
      <c r="Q448" t="str">
        <f>IF(M448="","",IFERROR(AVERAGEIFS(nNOTA,nNIA,M448,nEVAL,CONFIG_METADATA!$B$4,nASIG,"&lt;&gt;Lenguaje Musical",nASIG,"&lt;&gt;Coro",nASIG,"&lt;&gt;Conjunto"),""))</f>
        <v/>
      </c>
      <c r="T448" t="str">
        <f>IF(S448="","",IFERROR(AVERAGEIFS(nNOTA,nNIA,S448,nEVAL,CONFIG_METADATA!$B$4,nASIG,"Lenguaje Musical"),""))</f>
        <v/>
      </c>
      <c r="U448" t="str">
        <f>IF(S448="","",IFERROR(AVERAGEIFS(nNOTA,nNIA,S448,nEVAL,CONFIG_METADATA!$B$4,nASIG,"Coro"),""))</f>
        <v/>
      </c>
      <c r="V448" t="str">
        <f>IF(S448="","",IFERROR(AVERAGEIFS(nNOTA,nNIA,S448,nEVAL,CONFIG_METADATA!$B$4,nASIG,"Conjunto"),""))</f>
        <v/>
      </c>
      <c r="W448" t="str" cm="1">
        <f t="array" ref="W448">IF(S448="","",IFERROR(AVERAGE(IF((nNIA=S448)*(nEVAL=CONFIG_METADATA!$B$4)*(nASIG&lt;&gt;"Lenguaje Musical")*(nASIG&lt;&gt;"Coro")*(nASIG&lt;&gt;"Conjunto"),nNOTA)),""))</f>
        <v/>
      </c>
    </row>
    <row r="449" spans="2:23" x14ac:dyDescent="0.2">
      <c r="B449" t="str">
        <f>IF(A449="","",IFERROR(AVERAGEIFS(nNOTA,nNIA,A449,nEVAL,CONFIG_METADATA!$B$4,nASIG,"Lenguaje Musical"),""))</f>
        <v/>
      </c>
      <c r="C449" t="str">
        <f>IF(A449="","",IFERROR(AVERAGEIFS(nNOTA,nNIA,A449,nEVAL,CONFIG_METADATA!$B$4,nASIG,"Coro"),""))</f>
        <v/>
      </c>
      <c r="D449" t="str">
        <f>IF(A449="","",IFERROR(AVERAGEIFS(nNOTA,nNIA,A449,nEVAL,CONFIG_METADATA!$B$4,nASIG,"Conjunto"),""))</f>
        <v/>
      </c>
      <c r="E449" t="str">
        <f>IF(A449="","",IFERROR(AVERAGEIFS(nNOTA,nNIA,A449,nEVAL,CONFIG_METADATA!$B$4,nASIG,"&lt;&gt;Lenguaje Musical",nASIG,"&lt;&gt;Coro",nASIG,"&lt;&gt;Conjunto"),""))</f>
        <v/>
      </c>
      <c r="H449" t="str">
        <f>IF(G449="","",IFERROR(AVERAGEIFS(nNOTA,nNIA,G449,nEVAL,CONFIG_METADATA!$B$4,nASIG,"Lenguaje Musical"),""))</f>
        <v/>
      </c>
      <c r="I449" t="str">
        <f>IF(G449="","",IFERROR(AVERAGEIFS(nNOTA,nNIA,G449,nEVAL,CONFIG_METADATA!$B$4,nASIG,"Coro"),""))</f>
        <v/>
      </c>
      <c r="J449" t="str">
        <f>IF(G449="","",IFERROR(AVERAGEIFS(nNOTA,nNIA,G449,nEVAL,CONFIG_METADATA!$B$4,nASIG,"Conjunto"),""))</f>
        <v/>
      </c>
      <c r="K449" t="str" cm="1">
        <f t="array" ref="K449">IF(G449="","",IFERROR(AVERAGE(IF((nNIA=G449)*(nEVAL=CONFIG_METADATA!$B$4)*(nASIG&lt;&gt;"Lenguaje Musical")*(nASIG&lt;&gt;"Coro")*(nASIG&lt;&gt;"Conjunto"),nNOTA)),""))</f>
        <v/>
      </c>
      <c r="N449" t="str">
        <f>IF(M449="","",IFERROR(AVERAGEIFS(nNOTA,nNIA,M449,nEVAL,CONFIG_METADATA!$B$4,nASIG,"Lenguaje Musical"),""))</f>
        <v/>
      </c>
      <c r="O449" t="str">
        <f>IF(M449="","",IFERROR(AVERAGEIFS(nNOTA,nNIA,M449,nEVAL,CONFIG_METADATA!$B$4,nASIG,"Coro"),""))</f>
        <v/>
      </c>
      <c r="P449" t="str">
        <f>IF(M449="","",IFERROR(AVERAGEIFS(nNOTA,nNIA,M449,nEVAL,CONFIG_METADATA!$B$4,nASIG,"Conjunto"),""))</f>
        <v/>
      </c>
      <c r="Q449" t="str">
        <f>IF(M449="","",IFERROR(AVERAGEIFS(nNOTA,nNIA,M449,nEVAL,CONFIG_METADATA!$B$4,nASIG,"&lt;&gt;Lenguaje Musical",nASIG,"&lt;&gt;Coro",nASIG,"&lt;&gt;Conjunto"),""))</f>
        <v/>
      </c>
      <c r="T449" t="str">
        <f>IF(S449="","",IFERROR(AVERAGEIFS(nNOTA,nNIA,S449,nEVAL,CONFIG_METADATA!$B$4,nASIG,"Lenguaje Musical"),""))</f>
        <v/>
      </c>
      <c r="U449" t="str">
        <f>IF(S449="","",IFERROR(AVERAGEIFS(nNOTA,nNIA,S449,nEVAL,CONFIG_METADATA!$B$4,nASIG,"Coro"),""))</f>
        <v/>
      </c>
      <c r="V449" t="str">
        <f>IF(S449="","",IFERROR(AVERAGEIFS(nNOTA,nNIA,S449,nEVAL,CONFIG_METADATA!$B$4,nASIG,"Conjunto"),""))</f>
        <v/>
      </c>
      <c r="W449" t="str" cm="1">
        <f t="array" ref="W449">IF(S449="","",IFERROR(AVERAGE(IF((nNIA=S449)*(nEVAL=CONFIG_METADATA!$B$4)*(nASIG&lt;&gt;"Lenguaje Musical")*(nASIG&lt;&gt;"Coro")*(nASIG&lt;&gt;"Conjunto"),nNOTA)),""))</f>
        <v/>
      </c>
    </row>
    <row r="450" spans="2:23" x14ac:dyDescent="0.2">
      <c r="B450" t="str">
        <f>IF(A450="","",IFERROR(AVERAGEIFS(nNOTA,nNIA,A450,nEVAL,CONFIG_METADATA!$B$4,nASIG,"Lenguaje Musical"),""))</f>
        <v/>
      </c>
      <c r="C450" t="str">
        <f>IF(A450="","",IFERROR(AVERAGEIFS(nNOTA,nNIA,A450,nEVAL,CONFIG_METADATA!$B$4,nASIG,"Coro"),""))</f>
        <v/>
      </c>
      <c r="D450" t="str">
        <f>IF(A450="","",IFERROR(AVERAGEIFS(nNOTA,nNIA,A450,nEVAL,CONFIG_METADATA!$B$4,nASIG,"Conjunto"),""))</f>
        <v/>
      </c>
      <c r="E450" t="str">
        <f>IF(A450="","",IFERROR(AVERAGEIFS(nNOTA,nNIA,A450,nEVAL,CONFIG_METADATA!$B$4,nASIG,"&lt;&gt;Lenguaje Musical",nASIG,"&lt;&gt;Coro",nASIG,"&lt;&gt;Conjunto"),""))</f>
        <v/>
      </c>
      <c r="H450" t="str">
        <f>IF(G450="","",IFERROR(AVERAGEIFS(nNOTA,nNIA,G450,nEVAL,CONFIG_METADATA!$B$4,nASIG,"Lenguaje Musical"),""))</f>
        <v/>
      </c>
      <c r="I450" t="str">
        <f>IF(G450="","",IFERROR(AVERAGEIFS(nNOTA,nNIA,G450,nEVAL,CONFIG_METADATA!$B$4,nASIG,"Coro"),""))</f>
        <v/>
      </c>
      <c r="J450" t="str">
        <f>IF(G450="","",IFERROR(AVERAGEIFS(nNOTA,nNIA,G450,nEVAL,CONFIG_METADATA!$B$4,nASIG,"Conjunto"),""))</f>
        <v/>
      </c>
      <c r="K450" t="str" cm="1">
        <f t="array" ref="K450">IF(G450="","",IFERROR(AVERAGE(IF((nNIA=G450)*(nEVAL=CONFIG_METADATA!$B$4)*(nASIG&lt;&gt;"Lenguaje Musical")*(nASIG&lt;&gt;"Coro")*(nASIG&lt;&gt;"Conjunto"),nNOTA)),""))</f>
        <v/>
      </c>
      <c r="N450" t="str">
        <f>IF(M450="","",IFERROR(AVERAGEIFS(nNOTA,nNIA,M450,nEVAL,CONFIG_METADATA!$B$4,nASIG,"Lenguaje Musical"),""))</f>
        <v/>
      </c>
      <c r="O450" t="str">
        <f>IF(M450="","",IFERROR(AVERAGEIFS(nNOTA,nNIA,M450,nEVAL,CONFIG_METADATA!$B$4,nASIG,"Coro"),""))</f>
        <v/>
      </c>
      <c r="P450" t="str">
        <f>IF(M450="","",IFERROR(AVERAGEIFS(nNOTA,nNIA,M450,nEVAL,CONFIG_METADATA!$B$4,nASIG,"Conjunto"),""))</f>
        <v/>
      </c>
      <c r="Q450" t="str">
        <f>IF(M450="","",IFERROR(AVERAGEIFS(nNOTA,nNIA,M450,nEVAL,CONFIG_METADATA!$B$4,nASIG,"&lt;&gt;Lenguaje Musical",nASIG,"&lt;&gt;Coro",nASIG,"&lt;&gt;Conjunto"),""))</f>
        <v/>
      </c>
      <c r="T450" t="str">
        <f>IF(S450="","",IFERROR(AVERAGEIFS(nNOTA,nNIA,S450,nEVAL,CONFIG_METADATA!$B$4,nASIG,"Lenguaje Musical"),""))</f>
        <v/>
      </c>
      <c r="U450" t="str">
        <f>IF(S450="","",IFERROR(AVERAGEIFS(nNOTA,nNIA,S450,nEVAL,CONFIG_METADATA!$B$4,nASIG,"Coro"),""))</f>
        <v/>
      </c>
      <c r="V450" t="str">
        <f>IF(S450="","",IFERROR(AVERAGEIFS(nNOTA,nNIA,S450,nEVAL,CONFIG_METADATA!$B$4,nASIG,"Conjunto"),""))</f>
        <v/>
      </c>
      <c r="W450" t="str" cm="1">
        <f t="array" ref="W450">IF(S450="","",IFERROR(AVERAGE(IF((nNIA=S450)*(nEVAL=CONFIG_METADATA!$B$4)*(nASIG&lt;&gt;"Lenguaje Musical")*(nASIG&lt;&gt;"Coro")*(nASIG&lt;&gt;"Conjunto"),nNOTA)),""))</f>
        <v/>
      </c>
    </row>
    <row r="451" spans="2:23" x14ac:dyDescent="0.2">
      <c r="B451" t="str">
        <f>IF(A451="","",IFERROR(AVERAGEIFS(nNOTA,nNIA,A451,nEVAL,CONFIG_METADATA!$B$4,nASIG,"Lenguaje Musical"),""))</f>
        <v/>
      </c>
      <c r="C451" t="str">
        <f>IF(A451="","",IFERROR(AVERAGEIFS(nNOTA,nNIA,A451,nEVAL,CONFIG_METADATA!$B$4,nASIG,"Coro"),""))</f>
        <v/>
      </c>
      <c r="D451" t="str">
        <f>IF(A451="","",IFERROR(AVERAGEIFS(nNOTA,nNIA,A451,nEVAL,CONFIG_METADATA!$B$4,nASIG,"Conjunto"),""))</f>
        <v/>
      </c>
      <c r="E451" t="str">
        <f>IF(A451="","",IFERROR(AVERAGEIFS(nNOTA,nNIA,A451,nEVAL,CONFIG_METADATA!$B$4,nASIG,"&lt;&gt;Lenguaje Musical",nASIG,"&lt;&gt;Coro",nASIG,"&lt;&gt;Conjunto"),""))</f>
        <v/>
      </c>
      <c r="H451" t="str">
        <f>IF(G451="","",IFERROR(AVERAGEIFS(nNOTA,nNIA,G451,nEVAL,CONFIG_METADATA!$B$4,nASIG,"Lenguaje Musical"),""))</f>
        <v/>
      </c>
      <c r="I451" t="str">
        <f>IF(G451="","",IFERROR(AVERAGEIFS(nNOTA,nNIA,G451,nEVAL,CONFIG_METADATA!$B$4,nASIG,"Coro"),""))</f>
        <v/>
      </c>
      <c r="J451" t="str">
        <f>IF(G451="","",IFERROR(AVERAGEIFS(nNOTA,nNIA,G451,nEVAL,CONFIG_METADATA!$B$4,nASIG,"Conjunto"),""))</f>
        <v/>
      </c>
      <c r="K451" t="str" cm="1">
        <f t="array" ref="K451">IF(G451="","",IFERROR(AVERAGE(IF((nNIA=G451)*(nEVAL=CONFIG_METADATA!$B$4)*(nASIG&lt;&gt;"Lenguaje Musical")*(nASIG&lt;&gt;"Coro")*(nASIG&lt;&gt;"Conjunto"),nNOTA)),""))</f>
        <v/>
      </c>
      <c r="N451" t="str">
        <f>IF(M451="","",IFERROR(AVERAGEIFS(nNOTA,nNIA,M451,nEVAL,CONFIG_METADATA!$B$4,nASIG,"Lenguaje Musical"),""))</f>
        <v/>
      </c>
      <c r="O451" t="str">
        <f>IF(M451="","",IFERROR(AVERAGEIFS(nNOTA,nNIA,M451,nEVAL,CONFIG_METADATA!$B$4,nASIG,"Coro"),""))</f>
        <v/>
      </c>
      <c r="P451" t="str">
        <f>IF(M451="","",IFERROR(AVERAGEIFS(nNOTA,nNIA,M451,nEVAL,CONFIG_METADATA!$B$4,nASIG,"Conjunto"),""))</f>
        <v/>
      </c>
      <c r="Q451" t="str">
        <f>IF(M451="","",IFERROR(AVERAGEIFS(nNOTA,nNIA,M451,nEVAL,CONFIG_METADATA!$B$4,nASIG,"&lt;&gt;Lenguaje Musical",nASIG,"&lt;&gt;Coro",nASIG,"&lt;&gt;Conjunto"),""))</f>
        <v/>
      </c>
      <c r="T451" t="str">
        <f>IF(S451="","",IFERROR(AVERAGEIFS(nNOTA,nNIA,S451,nEVAL,CONFIG_METADATA!$B$4,nASIG,"Lenguaje Musical"),""))</f>
        <v/>
      </c>
      <c r="U451" t="str">
        <f>IF(S451="","",IFERROR(AVERAGEIFS(nNOTA,nNIA,S451,nEVAL,CONFIG_METADATA!$B$4,nASIG,"Coro"),""))</f>
        <v/>
      </c>
      <c r="V451" t="str">
        <f>IF(S451="","",IFERROR(AVERAGEIFS(nNOTA,nNIA,S451,nEVAL,CONFIG_METADATA!$B$4,nASIG,"Conjunto"),""))</f>
        <v/>
      </c>
      <c r="W451" t="str" cm="1">
        <f t="array" ref="W451">IF(S451="","",IFERROR(AVERAGE(IF((nNIA=S451)*(nEVAL=CONFIG_METADATA!$B$4)*(nASIG&lt;&gt;"Lenguaje Musical")*(nASIG&lt;&gt;"Coro")*(nASIG&lt;&gt;"Conjunto"),nNOTA)),""))</f>
        <v/>
      </c>
    </row>
    <row r="452" spans="2:23" x14ac:dyDescent="0.2">
      <c r="B452" t="str">
        <f>IF(A452="","",IFERROR(AVERAGEIFS(nNOTA,nNIA,A452,nEVAL,CONFIG_METADATA!$B$4,nASIG,"Lenguaje Musical"),""))</f>
        <v/>
      </c>
      <c r="C452" t="str">
        <f>IF(A452="","",IFERROR(AVERAGEIFS(nNOTA,nNIA,A452,nEVAL,CONFIG_METADATA!$B$4,nASIG,"Coro"),""))</f>
        <v/>
      </c>
      <c r="D452" t="str">
        <f>IF(A452="","",IFERROR(AVERAGEIFS(nNOTA,nNIA,A452,nEVAL,CONFIG_METADATA!$B$4,nASIG,"Conjunto"),""))</f>
        <v/>
      </c>
      <c r="E452" t="str">
        <f>IF(A452="","",IFERROR(AVERAGEIFS(nNOTA,nNIA,A452,nEVAL,CONFIG_METADATA!$B$4,nASIG,"&lt;&gt;Lenguaje Musical",nASIG,"&lt;&gt;Coro",nASIG,"&lt;&gt;Conjunto"),""))</f>
        <v/>
      </c>
      <c r="H452" t="str">
        <f>IF(G452="","",IFERROR(AVERAGEIFS(nNOTA,nNIA,G452,nEVAL,CONFIG_METADATA!$B$4,nASIG,"Lenguaje Musical"),""))</f>
        <v/>
      </c>
      <c r="I452" t="str">
        <f>IF(G452="","",IFERROR(AVERAGEIFS(nNOTA,nNIA,G452,nEVAL,CONFIG_METADATA!$B$4,nASIG,"Coro"),""))</f>
        <v/>
      </c>
      <c r="J452" t="str">
        <f>IF(G452="","",IFERROR(AVERAGEIFS(nNOTA,nNIA,G452,nEVAL,CONFIG_METADATA!$B$4,nASIG,"Conjunto"),""))</f>
        <v/>
      </c>
      <c r="K452" t="str" cm="1">
        <f t="array" ref="K452">IF(G452="","",IFERROR(AVERAGE(IF((nNIA=G452)*(nEVAL=CONFIG_METADATA!$B$4)*(nASIG&lt;&gt;"Lenguaje Musical")*(nASIG&lt;&gt;"Coro")*(nASIG&lt;&gt;"Conjunto"),nNOTA)),""))</f>
        <v/>
      </c>
      <c r="N452" t="str">
        <f>IF(M452="","",IFERROR(AVERAGEIFS(nNOTA,nNIA,M452,nEVAL,CONFIG_METADATA!$B$4,nASIG,"Lenguaje Musical"),""))</f>
        <v/>
      </c>
      <c r="O452" t="str">
        <f>IF(M452="","",IFERROR(AVERAGEIFS(nNOTA,nNIA,M452,nEVAL,CONFIG_METADATA!$B$4,nASIG,"Coro"),""))</f>
        <v/>
      </c>
      <c r="P452" t="str">
        <f>IF(M452="","",IFERROR(AVERAGEIFS(nNOTA,nNIA,M452,nEVAL,CONFIG_METADATA!$B$4,nASIG,"Conjunto"),""))</f>
        <v/>
      </c>
      <c r="Q452" t="str">
        <f>IF(M452="","",IFERROR(AVERAGEIFS(nNOTA,nNIA,M452,nEVAL,CONFIG_METADATA!$B$4,nASIG,"&lt;&gt;Lenguaje Musical",nASIG,"&lt;&gt;Coro",nASIG,"&lt;&gt;Conjunto"),""))</f>
        <v/>
      </c>
      <c r="T452" t="str">
        <f>IF(S452="","",IFERROR(AVERAGEIFS(nNOTA,nNIA,S452,nEVAL,CONFIG_METADATA!$B$4,nASIG,"Lenguaje Musical"),""))</f>
        <v/>
      </c>
      <c r="U452" t="str">
        <f>IF(S452="","",IFERROR(AVERAGEIFS(nNOTA,nNIA,S452,nEVAL,CONFIG_METADATA!$B$4,nASIG,"Coro"),""))</f>
        <v/>
      </c>
      <c r="V452" t="str">
        <f>IF(S452="","",IFERROR(AVERAGEIFS(nNOTA,nNIA,S452,nEVAL,CONFIG_METADATA!$B$4,nASIG,"Conjunto"),""))</f>
        <v/>
      </c>
      <c r="W452" t="str" cm="1">
        <f t="array" ref="W452">IF(S452="","",IFERROR(AVERAGE(IF((nNIA=S452)*(nEVAL=CONFIG_METADATA!$B$4)*(nASIG&lt;&gt;"Lenguaje Musical")*(nASIG&lt;&gt;"Coro")*(nASIG&lt;&gt;"Conjunto"),nNOTA)),""))</f>
        <v/>
      </c>
    </row>
    <row r="453" spans="2:23" x14ac:dyDescent="0.2">
      <c r="B453" t="str">
        <f>IF(A453="","",IFERROR(AVERAGEIFS(nNOTA,nNIA,A453,nEVAL,CONFIG_METADATA!$B$4,nASIG,"Lenguaje Musical"),""))</f>
        <v/>
      </c>
      <c r="C453" t="str">
        <f>IF(A453="","",IFERROR(AVERAGEIFS(nNOTA,nNIA,A453,nEVAL,CONFIG_METADATA!$B$4,nASIG,"Coro"),""))</f>
        <v/>
      </c>
      <c r="D453" t="str">
        <f>IF(A453="","",IFERROR(AVERAGEIFS(nNOTA,nNIA,A453,nEVAL,CONFIG_METADATA!$B$4,nASIG,"Conjunto"),""))</f>
        <v/>
      </c>
      <c r="E453" t="str">
        <f>IF(A453="","",IFERROR(AVERAGEIFS(nNOTA,nNIA,A453,nEVAL,CONFIG_METADATA!$B$4,nASIG,"&lt;&gt;Lenguaje Musical",nASIG,"&lt;&gt;Coro",nASIG,"&lt;&gt;Conjunto"),""))</f>
        <v/>
      </c>
      <c r="H453" t="str">
        <f>IF(G453="","",IFERROR(AVERAGEIFS(nNOTA,nNIA,G453,nEVAL,CONFIG_METADATA!$B$4,nASIG,"Lenguaje Musical"),""))</f>
        <v/>
      </c>
      <c r="I453" t="str">
        <f>IF(G453="","",IFERROR(AVERAGEIFS(nNOTA,nNIA,G453,nEVAL,CONFIG_METADATA!$B$4,nASIG,"Coro"),""))</f>
        <v/>
      </c>
      <c r="J453" t="str">
        <f>IF(G453="","",IFERROR(AVERAGEIFS(nNOTA,nNIA,G453,nEVAL,CONFIG_METADATA!$B$4,nASIG,"Conjunto"),""))</f>
        <v/>
      </c>
      <c r="K453" t="str" cm="1">
        <f t="array" ref="K453">IF(G453="","",IFERROR(AVERAGE(IF((nNIA=G453)*(nEVAL=CONFIG_METADATA!$B$4)*(nASIG&lt;&gt;"Lenguaje Musical")*(nASIG&lt;&gt;"Coro")*(nASIG&lt;&gt;"Conjunto"),nNOTA)),""))</f>
        <v/>
      </c>
      <c r="N453" t="str">
        <f>IF(M453="","",IFERROR(AVERAGEIFS(nNOTA,nNIA,M453,nEVAL,CONFIG_METADATA!$B$4,nASIG,"Lenguaje Musical"),""))</f>
        <v/>
      </c>
      <c r="O453" t="str">
        <f>IF(M453="","",IFERROR(AVERAGEIFS(nNOTA,nNIA,M453,nEVAL,CONFIG_METADATA!$B$4,nASIG,"Coro"),""))</f>
        <v/>
      </c>
      <c r="P453" t="str">
        <f>IF(M453="","",IFERROR(AVERAGEIFS(nNOTA,nNIA,M453,nEVAL,CONFIG_METADATA!$B$4,nASIG,"Conjunto"),""))</f>
        <v/>
      </c>
      <c r="Q453" t="str">
        <f>IF(M453="","",IFERROR(AVERAGEIFS(nNOTA,nNIA,M453,nEVAL,CONFIG_METADATA!$B$4,nASIG,"&lt;&gt;Lenguaje Musical",nASIG,"&lt;&gt;Coro",nASIG,"&lt;&gt;Conjunto"),""))</f>
        <v/>
      </c>
      <c r="T453" t="str">
        <f>IF(S453="","",IFERROR(AVERAGEIFS(nNOTA,nNIA,S453,nEVAL,CONFIG_METADATA!$B$4,nASIG,"Lenguaje Musical"),""))</f>
        <v/>
      </c>
      <c r="U453" t="str">
        <f>IF(S453="","",IFERROR(AVERAGEIFS(nNOTA,nNIA,S453,nEVAL,CONFIG_METADATA!$B$4,nASIG,"Coro"),""))</f>
        <v/>
      </c>
      <c r="V453" t="str">
        <f>IF(S453="","",IFERROR(AVERAGEIFS(nNOTA,nNIA,S453,nEVAL,CONFIG_METADATA!$B$4,nASIG,"Conjunto"),""))</f>
        <v/>
      </c>
      <c r="W453" t="str" cm="1">
        <f t="array" ref="W453">IF(S453="","",IFERROR(AVERAGE(IF((nNIA=S453)*(nEVAL=CONFIG_METADATA!$B$4)*(nASIG&lt;&gt;"Lenguaje Musical")*(nASIG&lt;&gt;"Coro")*(nASIG&lt;&gt;"Conjunto"),nNOTA)),""))</f>
        <v/>
      </c>
    </row>
    <row r="454" spans="2:23" x14ac:dyDescent="0.2">
      <c r="B454" t="str">
        <f>IF(A454="","",IFERROR(AVERAGEIFS(nNOTA,nNIA,A454,nEVAL,CONFIG_METADATA!$B$4,nASIG,"Lenguaje Musical"),""))</f>
        <v/>
      </c>
      <c r="C454" t="str">
        <f>IF(A454="","",IFERROR(AVERAGEIFS(nNOTA,nNIA,A454,nEVAL,CONFIG_METADATA!$B$4,nASIG,"Coro"),""))</f>
        <v/>
      </c>
      <c r="D454" t="str">
        <f>IF(A454="","",IFERROR(AVERAGEIFS(nNOTA,nNIA,A454,nEVAL,CONFIG_METADATA!$B$4,nASIG,"Conjunto"),""))</f>
        <v/>
      </c>
      <c r="E454" t="str">
        <f>IF(A454="","",IFERROR(AVERAGEIFS(nNOTA,nNIA,A454,nEVAL,CONFIG_METADATA!$B$4,nASIG,"&lt;&gt;Lenguaje Musical",nASIG,"&lt;&gt;Coro",nASIG,"&lt;&gt;Conjunto"),""))</f>
        <v/>
      </c>
      <c r="H454" t="str">
        <f>IF(G454="","",IFERROR(AVERAGEIFS(nNOTA,nNIA,G454,nEVAL,CONFIG_METADATA!$B$4,nASIG,"Lenguaje Musical"),""))</f>
        <v/>
      </c>
      <c r="I454" t="str">
        <f>IF(G454="","",IFERROR(AVERAGEIFS(nNOTA,nNIA,G454,nEVAL,CONFIG_METADATA!$B$4,nASIG,"Coro"),""))</f>
        <v/>
      </c>
      <c r="J454" t="str">
        <f>IF(G454="","",IFERROR(AVERAGEIFS(nNOTA,nNIA,G454,nEVAL,CONFIG_METADATA!$B$4,nASIG,"Conjunto"),""))</f>
        <v/>
      </c>
      <c r="K454" t="str" cm="1">
        <f t="array" ref="K454">IF(G454="","",IFERROR(AVERAGE(IF((nNIA=G454)*(nEVAL=CONFIG_METADATA!$B$4)*(nASIG&lt;&gt;"Lenguaje Musical")*(nASIG&lt;&gt;"Coro")*(nASIG&lt;&gt;"Conjunto"),nNOTA)),""))</f>
        <v/>
      </c>
      <c r="N454" t="str">
        <f>IF(M454="","",IFERROR(AVERAGEIFS(nNOTA,nNIA,M454,nEVAL,CONFIG_METADATA!$B$4,nASIG,"Lenguaje Musical"),""))</f>
        <v/>
      </c>
      <c r="O454" t="str">
        <f>IF(M454="","",IFERROR(AVERAGEIFS(nNOTA,nNIA,M454,nEVAL,CONFIG_METADATA!$B$4,nASIG,"Coro"),""))</f>
        <v/>
      </c>
      <c r="P454" t="str">
        <f>IF(M454="","",IFERROR(AVERAGEIFS(nNOTA,nNIA,M454,nEVAL,CONFIG_METADATA!$B$4,nASIG,"Conjunto"),""))</f>
        <v/>
      </c>
      <c r="Q454" t="str">
        <f>IF(M454="","",IFERROR(AVERAGEIFS(nNOTA,nNIA,M454,nEVAL,CONFIG_METADATA!$B$4,nASIG,"&lt;&gt;Lenguaje Musical",nASIG,"&lt;&gt;Coro",nASIG,"&lt;&gt;Conjunto"),""))</f>
        <v/>
      </c>
      <c r="T454" t="str">
        <f>IF(S454="","",IFERROR(AVERAGEIFS(nNOTA,nNIA,S454,nEVAL,CONFIG_METADATA!$B$4,nASIG,"Lenguaje Musical"),""))</f>
        <v/>
      </c>
      <c r="U454" t="str">
        <f>IF(S454="","",IFERROR(AVERAGEIFS(nNOTA,nNIA,S454,nEVAL,CONFIG_METADATA!$B$4,nASIG,"Coro"),""))</f>
        <v/>
      </c>
      <c r="V454" t="str">
        <f>IF(S454="","",IFERROR(AVERAGEIFS(nNOTA,nNIA,S454,nEVAL,CONFIG_METADATA!$B$4,nASIG,"Conjunto"),""))</f>
        <v/>
      </c>
      <c r="W454" t="str" cm="1">
        <f t="array" ref="W454">IF(S454="","",IFERROR(AVERAGE(IF((nNIA=S454)*(nEVAL=CONFIG_METADATA!$B$4)*(nASIG&lt;&gt;"Lenguaje Musical")*(nASIG&lt;&gt;"Coro")*(nASIG&lt;&gt;"Conjunto"),nNOTA)),""))</f>
        <v/>
      </c>
    </row>
    <row r="455" spans="2:23" x14ac:dyDescent="0.2">
      <c r="B455" t="str">
        <f>IF(A455="","",IFERROR(AVERAGEIFS(nNOTA,nNIA,A455,nEVAL,CONFIG_METADATA!$B$4,nASIG,"Lenguaje Musical"),""))</f>
        <v/>
      </c>
      <c r="C455" t="str">
        <f>IF(A455="","",IFERROR(AVERAGEIFS(nNOTA,nNIA,A455,nEVAL,CONFIG_METADATA!$B$4,nASIG,"Coro"),""))</f>
        <v/>
      </c>
      <c r="D455" t="str">
        <f>IF(A455="","",IFERROR(AVERAGEIFS(nNOTA,nNIA,A455,nEVAL,CONFIG_METADATA!$B$4,nASIG,"Conjunto"),""))</f>
        <v/>
      </c>
      <c r="E455" t="str">
        <f>IF(A455="","",IFERROR(AVERAGEIFS(nNOTA,nNIA,A455,nEVAL,CONFIG_METADATA!$B$4,nASIG,"&lt;&gt;Lenguaje Musical",nASIG,"&lt;&gt;Coro",nASIG,"&lt;&gt;Conjunto"),""))</f>
        <v/>
      </c>
      <c r="H455" t="str">
        <f>IF(G455="","",IFERROR(AVERAGEIFS(nNOTA,nNIA,G455,nEVAL,CONFIG_METADATA!$B$4,nASIG,"Lenguaje Musical"),""))</f>
        <v/>
      </c>
      <c r="I455" t="str">
        <f>IF(G455="","",IFERROR(AVERAGEIFS(nNOTA,nNIA,G455,nEVAL,CONFIG_METADATA!$B$4,nASIG,"Coro"),""))</f>
        <v/>
      </c>
      <c r="J455" t="str">
        <f>IF(G455="","",IFERROR(AVERAGEIFS(nNOTA,nNIA,G455,nEVAL,CONFIG_METADATA!$B$4,nASIG,"Conjunto"),""))</f>
        <v/>
      </c>
      <c r="K455" t="str" cm="1">
        <f t="array" ref="K455">IF(G455="","",IFERROR(AVERAGE(IF((nNIA=G455)*(nEVAL=CONFIG_METADATA!$B$4)*(nASIG&lt;&gt;"Lenguaje Musical")*(nASIG&lt;&gt;"Coro")*(nASIG&lt;&gt;"Conjunto"),nNOTA)),""))</f>
        <v/>
      </c>
      <c r="N455" t="str">
        <f>IF(M455="","",IFERROR(AVERAGEIFS(nNOTA,nNIA,M455,nEVAL,CONFIG_METADATA!$B$4,nASIG,"Lenguaje Musical"),""))</f>
        <v/>
      </c>
      <c r="O455" t="str">
        <f>IF(M455="","",IFERROR(AVERAGEIFS(nNOTA,nNIA,M455,nEVAL,CONFIG_METADATA!$B$4,nASIG,"Coro"),""))</f>
        <v/>
      </c>
      <c r="P455" t="str">
        <f>IF(M455="","",IFERROR(AVERAGEIFS(nNOTA,nNIA,M455,nEVAL,CONFIG_METADATA!$B$4,nASIG,"Conjunto"),""))</f>
        <v/>
      </c>
      <c r="Q455" t="str">
        <f>IF(M455="","",IFERROR(AVERAGEIFS(nNOTA,nNIA,M455,nEVAL,CONFIG_METADATA!$B$4,nASIG,"&lt;&gt;Lenguaje Musical",nASIG,"&lt;&gt;Coro",nASIG,"&lt;&gt;Conjunto"),""))</f>
        <v/>
      </c>
      <c r="T455" t="str">
        <f>IF(S455="","",IFERROR(AVERAGEIFS(nNOTA,nNIA,S455,nEVAL,CONFIG_METADATA!$B$4,nASIG,"Lenguaje Musical"),""))</f>
        <v/>
      </c>
      <c r="U455" t="str">
        <f>IF(S455="","",IFERROR(AVERAGEIFS(nNOTA,nNIA,S455,nEVAL,CONFIG_METADATA!$B$4,nASIG,"Coro"),""))</f>
        <v/>
      </c>
      <c r="V455" t="str">
        <f>IF(S455="","",IFERROR(AVERAGEIFS(nNOTA,nNIA,S455,nEVAL,CONFIG_METADATA!$B$4,nASIG,"Conjunto"),""))</f>
        <v/>
      </c>
      <c r="W455" t="str" cm="1">
        <f t="array" ref="W455">IF(S455="","",IFERROR(AVERAGE(IF((nNIA=S455)*(nEVAL=CONFIG_METADATA!$B$4)*(nASIG&lt;&gt;"Lenguaje Musical")*(nASIG&lt;&gt;"Coro")*(nASIG&lt;&gt;"Conjunto"),nNOTA)),""))</f>
        <v/>
      </c>
    </row>
    <row r="456" spans="2:23" x14ac:dyDescent="0.2">
      <c r="B456" t="str">
        <f>IF(A456="","",IFERROR(AVERAGEIFS(nNOTA,nNIA,A456,nEVAL,CONFIG_METADATA!$B$4,nASIG,"Lenguaje Musical"),""))</f>
        <v/>
      </c>
      <c r="C456" t="str">
        <f>IF(A456="","",IFERROR(AVERAGEIFS(nNOTA,nNIA,A456,nEVAL,CONFIG_METADATA!$B$4,nASIG,"Coro"),""))</f>
        <v/>
      </c>
      <c r="D456" t="str">
        <f>IF(A456="","",IFERROR(AVERAGEIFS(nNOTA,nNIA,A456,nEVAL,CONFIG_METADATA!$B$4,nASIG,"Conjunto"),""))</f>
        <v/>
      </c>
      <c r="E456" t="str">
        <f>IF(A456="","",IFERROR(AVERAGEIFS(nNOTA,nNIA,A456,nEVAL,CONFIG_METADATA!$B$4,nASIG,"&lt;&gt;Lenguaje Musical",nASIG,"&lt;&gt;Coro",nASIG,"&lt;&gt;Conjunto"),""))</f>
        <v/>
      </c>
      <c r="H456" t="str">
        <f>IF(G456="","",IFERROR(AVERAGEIFS(nNOTA,nNIA,G456,nEVAL,CONFIG_METADATA!$B$4,nASIG,"Lenguaje Musical"),""))</f>
        <v/>
      </c>
      <c r="I456" t="str">
        <f>IF(G456="","",IFERROR(AVERAGEIFS(nNOTA,nNIA,G456,nEVAL,CONFIG_METADATA!$B$4,nASIG,"Coro"),""))</f>
        <v/>
      </c>
      <c r="J456" t="str">
        <f>IF(G456="","",IFERROR(AVERAGEIFS(nNOTA,nNIA,G456,nEVAL,CONFIG_METADATA!$B$4,nASIG,"Conjunto"),""))</f>
        <v/>
      </c>
      <c r="K456" t="str" cm="1">
        <f t="array" ref="K456">IF(G456="","",IFERROR(AVERAGE(IF((nNIA=G456)*(nEVAL=CONFIG_METADATA!$B$4)*(nASIG&lt;&gt;"Lenguaje Musical")*(nASIG&lt;&gt;"Coro")*(nASIG&lt;&gt;"Conjunto"),nNOTA)),""))</f>
        <v/>
      </c>
      <c r="N456" t="str">
        <f>IF(M456="","",IFERROR(AVERAGEIFS(nNOTA,nNIA,M456,nEVAL,CONFIG_METADATA!$B$4,nASIG,"Lenguaje Musical"),""))</f>
        <v/>
      </c>
      <c r="O456" t="str">
        <f>IF(M456="","",IFERROR(AVERAGEIFS(nNOTA,nNIA,M456,nEVAL,CONFIG_METADATA!$B$4,nASIG,"Coro"),""))</f>
        <v/>
      </c>
      <c r="P456" t="str">
        <f>IF(M456="","",IFERROR(AVERAGEIFS(nNOTA,nNIA,M456,nEVAL,CONFIG_METADATA!$B$4,nASIG,"Conjunto"),""))</f>
        <v/>
      </c>
      <c r="Q456" t="str">
        <f>IF(M456="","",IFERROR(AVERAGEIFS(nNOTA,nNIA,M456,nEVAL,CONFIG_METADATA!$B$4,nASIG,"&lt;&gt;Lenguaje Musical",nASIG,"&lt;&gt;Coro",nASIG,"&lt;&gt;Conjunto"),""))</f>
        <v/>
      </c>
      <c r="T456" t="str">
        <f>IF(S456="","",IFERROR(AVERAGEIFS(nNOTA,nNIA,S456,nEVAL,CONFIG_METADATA!$B$4,nASIG,"Lenguaje Musical"),""))</f>
        <v/>
      </c>
      <c r="U456" t="str">
        <f>IF(S456="","",IFERROR(AVERAGEIFS(nNOTA,nNIA,S456,nEVAL,CONFIG_METADATA!$B$4,nASIG,"Coro"),""))</f>
        <v/>
      </c>
      <c r="V456" t="str">
        <f>IF(S456="","",IFERROR(AVERAGEIFS(nNOTA,nNIA,S456,nEVAL,CONFIG_METADATA!$B$4,nASIG,"Conjunto"),""))</f>
        <v/>
      </c>
      <c r="W456" t="str" cm="1">
        <f t="array" ref="W456">IF(S456="","",IFERROR(AVERAGE(IF((nNIA=S456)*(nEVAL=CONFIG_METADATA!$B$4)*(nASIG&lt;&gt;"Lenguaje Musical")*(nASIG&lt;&gt;"Coro")*(nASIG&lt;&gt;"Conjunto"),nNOTA)),""))</f>
        <v/>
      </c>
    </row>
    <row r="457" spans="2:23" x14ac:dyDescent="0.2">
      <c r="B457" t="str">
        <f>IF(A457="","",IFERROR(AVERAGEIFS(nNOTA,nNIA,A457,nEVAL,CONFIG_METADATA!$B$4,nASIG,"Lenguaje Musical"),""))</f>
        <v/>
      </c>
      <c r="C457" t="str">
        <f>IF(A457="","",IFERROR(AVERAGEIFS(nNOTA,nNIA,A457,nEVAL,CONFIG_METADATA!$B$4,nASIG,"Coro"),""))</f>
        <v/>
      </c>
      <c r="D457" t="str">
        <f>IF(A457="","",IFERROR(AVERAGEIFS(nNOTA,nNIA,A457,nEVAL,CONFIG_METADATA!$B$4,nASIG,"Conjunto"),""))</f>
        <v/>
      </c>
      <c r="E457" t="str">
        <f>IF(A457="","",IFERROR(AVERAGEIFS(nNOTA,nNIA,A457,nEVAL,CONFIG_METADATA!$B$4,nASIG,"&lt;&gt;Lenguaje Musical",nASIG,"&lt;&gt;Coro",nASIG,"&lt;&gt;Conjunto"),""))</f>
        <v/>
      </c>
      <c r="H457" t="str">
        <f>IF(G457="","",IFERROR(AVERAGEIFS(nNOTA,nNIA,G457,nEVAL,CONFIG_METADATA!$B$4,nASIG,"Lenguaje Musical"),""))</f>
        <v/>
      </c>
      <c r="I457" t="str">
        <f>IF(G457="","",IFERROR(AVERAGEIFS(nNOTA,nNIA,G457,nEVAL,CONFIG_METADATA!$B$4,nASIG,"Coro"),""))</f>
        <v/>
      </c>
      <c r="J457" t="str">
        <f>IF(G457="","",IFERROR(AVERAGEIFS(nNOTA,nNIA,G457,nEVAL,CONFIG_METADATA!$B$4,nASIG,"Conjunto"),""))</f>
        <v/>
      </c>
      <c r="K457" t="str" cm="1">
        <f t="array" ref="K457">IF(G457="","",IFERROR(AVERAGE(IF((nNIA=G457)*(nEVAL=CONFIG_METADATA!$B$4)*(nASIG&lt;&gt;"Lenguaje Musical")*(nASIG&lt;&gt;"Coro")*(nASIG&lt;&gt;"Conjunto"),nNOTA)),""))</f>
        <v/>
      </c>
      <c r="N457" t="str">
        <f>IF(M457="","",IFERROR(AVERAGEIFS(nNOTA,nNIA,M457,nEVAL,CONFIG_METADATA!$B$4,nASIG,"Lenguaje Musical"),""))</f>
        <v/>
      </c>
      <c r="O457" t="str">
        <f>IF(M457="","",IFERROR(AVERAGEIFS(nNOTA,nNIA,M457,nEVAL,CONFIG_METADATA!$B$4,nASIG,"Coro"),""))</f>
        <v/>
      </c>
      <c r="P457" t="str">
        <f>IF(M457="","",IFERROR(AVERAGEIFS(nNOTA,nNIA,M457,nEVAL,CONFIG_METADATA!$B$4,nASIG,"Conjunto"),""))</f>
        <v/>
      </c>
      <c r="Q457" t="str">
        <f>IF(M457="","",IFERROR(AVERAGEIFS(nNOTA,nNIA,M457,nEVAL,CONFIG_METADATA!$B$4,nASIG,"&lt;&gt;Lenguaje Musical",nASIG,"&lt;&gt;Coro",nASIG,"&lt;&gt;Conjunto"),""))</f>
        <v/>
      </c>
      <c r="T457" t="str">
        <f>IF(S457="","",IFERROR(AVERAGEIFS(nNOTA,nNIA,S457,nEVAL,CONFIG_METADATA!$B$4,nASIG,"Lenguaje Musical"),""))</f>
        <v/>
      </c>
      <c r="U457" t="str">
        <f>IF(S457="","",IFERROR(AVERAGEIFS(nNOTA,nNIA,S457,nEVAL,CONFIG_METADATA!$B$4,nASIG,"Coro"),""))</f>
        <v/>
      </c>
      <c r="V457" t="str">
        <f>IF(S457="","",IFERROR(AVERAGEIFS(nNOTA,nNIA,S457,nEVAL,CONFIG_METADATA!$B$4,nASIG,"Conjunto"),""))</f>
        <v/>
      </c>
      <c r="W457" t="str" cm="1">
        <f t="array" ref="W457">IF(S457="","",IFERROR(AVERAGE(IF((nNIA=S457)*(nEVAL=CONFIG_METADATA!$B$4)*(nASIG&lt;&gt;"Lenguaje Musical")*(nASIG&lt;&gt;"Coro")*(nASIG&lt;&gt;"Conjunto"),nNOTA)),""))</f>
        <v/>
      </c>
    </row>
    <row r="458" spans="2:23" x14ac:dyDescent="0.2">
      <c r="B458" t="str">
        <f>IF(A458="","",IFERROR(AVERAGEIFS(nNOTA,nNIA,A458,nEVAL,CONFIG_METADATA!$B$4,nASIG,"Lenguaje Musical"),""))</f>
        <v/>
      </c>
      <c r="C458" t="str">
        <f>IF(A458="","",IFERROR(AVERAGEIFS(nNOTA,nNIA,A458,nEVAL,CONFIG_METADATA!$B$4,nASIG,"Coro"),""))</f>
        <v/>
      </c>
      <c r="D458" t="str">
        <f>IF(A458="","",IFERROR(AVERAGEIFS(nNOTA,nNIA,A458,nEVAL,CONFIG_METADATA!$B$4,nASIG,"Conjunto"),""))</f>
        <v/>
      </c>
      <c r="E458" t="str">
        <f>IF(A458="","",IFERROR(AVERAGEIFS(nNOTA,nNIA,A458,nEVAL,CONFIG_METADATA!$B$4,nASIG,"&lt;&gt;Lenguaje Musical",nASIG,"&lt;&gt;Coro",nASIG,"&lt;&gt;Conjunto"),""))</f>
        <v/>
      </c>
      <c r="H458" t="str">
        <f>IF(G458="","",IFERROR(AVERAGEIFS(nNOTA,nNIA,G458,nEVAL,CONFIG_METADATA!$B$4,nASIG,"Lenguaje Musical"),""))</f>
        <v/>
      </c>
      <c r="I458" t="str">
        <f>IF(G458="","",IFERROR(AVERAGEIFS(nNOTA,nNIA,G458,nEVAL,CONFIG_METADATA!$B$4,nASIG,"Coro"),""))</f>
        <v/>
      </c>
      <c r="J458" t="str">
        <f>IF(G458="","",IFERROR(AVERAGEIFS(nNOTA,nNIA,G458,nEVAL,CONFIG_METADATA!$B$4,nASIG,"Conjunto"),""))</f>
        <v/>
      </c>
      <c r="K458" t="str" cm="1">
        <f t="array" ref="K458">IF(G458="","",IFERROR(AVERAGE(IF((nNIA=G458)*(nEVAL=CONFIG_METADATA!$B$4)*(nASIG&lt;&gt;"Lenguaje Musical")*(nASIG&lt;&gt;"Coro")*(nASIG&lt;&gt;"Conjunto"),nNOTA)),""))</f>
        <v/>
      </c>
      <c r="N458" t="str">
        <f>IF(M458="","",IFERROR(AVERAGEIFS(nNOTA,nNIA,M458,nEVAL,CONFIG_METADATA!$B$4,nASIG,"Lenguaje Musical"),""))</f>
        <v/>
      </c>
      <c r="O458" t="str">
        <f>IF(M458="","",IFERROR(AVERAGEIFS(nNOTA,nNIA,M458,nEVAL,CONFIG_METADATA!$B$4,nASIG,"Coro"),""))</f>
        <v/>
      </c>
      <c r="P458" t="str">
        <f>IF(M458="","",IFERROR(AVERAGEIFS(nNOTA,nNIA,M458,nEVAL,CONFIG_METADATA!$B$4,nASIG,"Conjunto"),""))</f>
        <v/>
      </c>
      <c r="Q458" t="str">
        <f>IF(M458="","",IFERROR(AVERAGEIFS(nNOTA,nNIA,M458,nEVAL,CONFIG_METADATA!$B$4,nASIG,"&lt;&gt;Lenguaje Musical",nASIG,"&lt;&gt;Coro",nASIG,"&lt;&gt;Conjunto"),""))</f>
        <v/>
      </c>
      <c r="T458" t="str">
        <f>IF(S458="","",IFERROR(AVERAGEIFS(nNOTA,nNIA,S458,nEVAL,CONFIG_METADATA!$B$4,nASIG,"Lenguaje Musical"),""))</f>
        <v/>
      </c>
      <c r="U458" t="str">
        <f>IF(S458="","",IFERROR(AVERAGEIFS(nNOTA,nNIA,S458,nEVAL,CONFIG_METADATA!$B$4,nASIG,"Coro"),""))</f>
        <v/>
      </c>
      <c r="V458" t="str">
        <f>IF(S458="","",IFERROR(AVERAGEIFS(nNOTA,nNIA,S458,nEVAL,CONFIG_METADATA!$B$4,nASIG,"Conjunto"),""))</f>
        <v/>
      </c>
      <c r="W458" t="str" cm="1">
        <f t="array" ref="W458">IF(S458="","",IFERROR(AVERAGE(IF((nNIA=S458)*(nEVAL=CONFIG_METADATA!$B$4)*(nASIG&lt;&gt;"Lenguaje Musical")*(nASIG&lt;&gt;"Coro")*(nASIG&lt;&gt;"Conjunto"),nNOTA)),""))</f>
        <v/>
      </c>
    </row>
    <row r="459" spans="2:23" x14ac:dyDescent="0.2">
      <c r="B459" t="str">
        <f>IF(A459="","",IFERROR(AVERAGEIFS(nNOTA,nNIA,A459,nEVAL,CONFIG_METADATA!$B$4,nASIG,"Lenguaje Musical"),""))</f>
        <v/>
      </c>
      <c r="C459" t="str">
        <f>IF(A459="","",IFERROR(AVERAGEIFS(nNOTA,nNIA,A459,nEVAL,CONFIG_METADATA!$B$4,nASIG,"Coro"),""))</f>
        <v/>
      </c>
      <c r="D459" t="str">
        <f>IF(A459="","",IFERROR(AVERAGEIFS(nNOTA,nNIA,A459,nEVAL,CONFIG_METADATA!$B$4,nASIG,"Conjunto"),""))</f>
        <v/>
      </c>
      <c r="E459" t="str">
        <f>IF(A459="","",IFERROR(AVERAGEIFS(nNOTA,nNIA,A459,nEVAL,CONFIG_METADATA!$B$4,nASIG,"&lt;&gt;Lenguaje Musical",nASIG,"&lt;&gt;Coro",nASIG,"&lt;&gt;Conjunto"),""))</f>
        <v/>
      </c>
      <c r="H459" t="str">
        <f>IF(G459="","",IFERROR(AVERAGEIFS(nNOTA,nNIA,G459,nEVAL,CONFIG_METADATA!$B$4,nASIG,"Lenguaje Musical"),""))</f>
        <v/>
      </c>
      <c r="I459" t="str">
        <f>IF(G459="","",IFERROR(AVERAGEIFS(nNOTA,nNIA,G459,nEVAL,CONFIG_METADATA!$B$4,nASIG,"Coro"),""))</f>
        <v/>
      </c>
      <c r="J459" t="str">
        <f>IF(G459="","",IFERROR(AVERAGEIFS(nNOTA,nNIA,G459,nEVAL,CONFIG_METADATA!$B$4,nASIG,"Conjunto"),""))</f>
        <v/>
      </c>
      <c r="K459" t="str" cm="1">
        <f t="array" ref="K459">IF(G459="","",IFERROR(AVERAGE(IF((nNIA=G459)*(nEVAL=CONFIG_METADATA!$B$4)*(nASIG&lt;&gt;"Lenguaje Musical")*(nASIG&lt;&gt;"Coro")*(nASIG&lt;&gt;"Conjunto"),nNOTA)),""))</f>
        <v/>
      </c>
      <c r="N459" t="str">
        <f>IF(M459="","",IFERROR(AVERAGEIFS(nNOTA,nNIA,M459,nEVAL,CONFIG_METADATA!$B$4,nASIG,"Lenguaje Musical"),""))</f>
        <v/>
      </c>
      <c r="O459" t="str">
        <f>IF(M459="","",IFERROR(AVERAGEIFS(nNOTA,nNIA,M459,nEVAL,CONFIG_METADATA!$B$4,nASIG,"Coro"),""))</f>
        <v/>
      </c>
      <c r="P459" t="str">
        <f>IF(M459="","",IFERROR(AVERAGEIFS(nNOTA,nNIA,M459,nEVAL,CONFIG_METADATA!$B$4,nASIG,"Conjunto"),""))</f>
        <v/>
      </c>
      <c r="Q459" t="str">
        <f>IF(M459="","",IFERROR(AVERAGEIFS(nNOTA,nNIA,M459,nEVAL,CONFIG_METADATA!$B$4,nASIG,"&lt;&gt;Lenguaje Musical",nASIG,"&lt;&gt;Coro",nASIG,"&lt;&gt;Conjunto"),""))</f>
        <v/>
      </c>
      <c r="T459" t="str">
        <f>IF(S459="","",IFERROR(AVERAGEIFS(nNOTA,nNIA,S459,nEVAL,CONFIG_METADATA!$B$4,nASIG,"Lenguaje Musical"),""))</f>
        <v/>
      </c>
      <c r="U459" t="str">
        <f>IF(S459="","",IFERROR(AVERAGEIFS(nNOTA,nNIA,S459,nEVAL,CONFIG_METADATA!$B$4,nASIG,"Coro"),""))</f>
        <v/>
      </c>
      <c r="V459" t="str">
        <f>IF(S459="","",IFERROR(AVERAGEIFS(nNOTA,nNIA,S459,nEVAL,CONFIG_METADATA!$B$4,nASIG,"Conjunto"),""))</f>
        <v/>
      </c>
      <c r="W459" t="str" cm="1">
        <f t="array" ref="W459">IF(S459="","",IFERROR(AVERAGE(IF((nNIA=S459)*(nEVAL=CONFIG_METADATA!$B$4)*(nASIG&lt;&gt;"Lenguaje Musical")*(nASIG&lt;&gt;"Coro")*(nASIG&lt;&gt;"Conjunto"),nNOTA)),""))</f>
        <v/>
      </c>
    </row>
    <row r="460" spans="2:23" x14ac:dyDescent="0.2">
      <c r="B460" t="str">
        <f>IF(A460="","",IFERROR(AVERAGEIFS(nNOTA,nNIA,A460,nEVAL,CONFIG_METADATA!$B$4,nASIG,"Lenguaje Musical"),""))</f>
        <v/>
      </c>
      <c r="C460" t="str">
        <f>IF(A460="","",IFERROR(AVERAGEIFS(nNOTA,nNIA,A460,nEVAL,CONFIG_METADATA!$B$4,nASIG,"Coro"),""))</f>
        <v/>
      </c>
      <c r="D460" t="str">
        <f>IF(A460="","",IFERROR(AVERAGEIFS(nNOTA,nNIA,A460,nEVAL,CONFIG_METADATA!$B$4,nASIG,"Conjunto"),""))</f>
        <v/>
      </c>
      <c r="E460" t="str">
        <f>IF(A460="","",IFERROR(AVERAGEIFS(nNOTA,nNIA,A460,nEVAL,CONFIG_METADATA!$B$4,nASIG,"&lt;&gt;Lenguaje Musical",nASIG,"&lt;&gt;Coro",nASIG,"&lt;&gt;Conjunto"),""))</f>
        <v/>
      </c>
      <c r="H460" t="str">
        <f>IF(G460="","",IFERROR(AVERAGEIFS(nNOTA,nNIA,G460,nEVAL,CONFIG_METADATA!$B$4,nASIG,"Lenguaje Musical"),""))</f>
        <v/>
      </c>
      <c r="I460" t="str">
        <f>IF(G460="","",IFERROR(AVERAGEIFS(nNOTA,nNIA,G460,nEVAL,CONFIG_METADATA!$B$4,nASIG,"Coro"),""))</f>
        <v/>
      </c>
      <c r="J460" t="str">
        <f>IF(G460="","",IFERROR(AVERAGEIFS(nNOTA,nNIA,G460,nEVAL,CONFIG_METADATA!$B$4,nASIG,"Conjunto"),""))</f>
        <v/>
      </c>
      <c r="K460" t="str" cm="1">
        <f t="array" ref="K460">IF(G460="","",IFERROR(AVERAGE(IF((nNIA=G460)*(nEVAL=CONFIG_METADATA!$B$4)*(nASIG&lt;&gt;"Lenguaje Musical")*(nASIG&lt;&gt;"Coro")*(nASIG&lt;&gt;"Conjunto"),nNOTA)),""))</f>
        <v/>
      </c>
      <c r="N460" t="str">
        <f>IF(M460="","",IFERROR(AVERAGEIFS(nNOTA,nNIA,M460,nEVAL,CONFIG_METADATA!$B$4,nASIG,"Lenguaje Musical"),""))</f>
        <v/>
      </c>
      <c r="O460" t="str">
        <f>IF(M460="","",IFERROR(AVERAGEIFS(nNOTA,nNIA,M460,nEVAL,CONFIG_METADATA!$B$4,nASIG,"Coro"),""))</f>
        <v/>
      </c>
      <c r="P460" t="str">
        <f>IF(M460="","",IFERROR(AVERAGEIFS(nNOTA,nNIA,M460,nEVAL,CONFIG_METADATA!$B$4,nASIG,"Conjunto"),""))</f>
        <v/>
      </c>
      <c r="Q460" t="str">
        <f>IF(M460="","",IFERROR(AVERAGEIFS(nNOTA,nNIA,M460,nEVAL,CONFIG_METADATA!$B$4,nASIG,"&lt;&gt;Lenguaje Musical",nASIG,"&lt;&gt;Coro",nASIG,"&lt;&gt;Conjunto"),""))</f>
        <v/>
      </c>
      <c r="T460" t="str">
        <f>IF(S460="","",IFERROR(AVERAGEIFS(nNOTA,nNIA,S460,nEVAL,CONFIG_METADATA!$B$4,nASIG,"Lenguaje Musical"),""))</f>
        <v/>
      </c>
      <c r="U460" t="str">
        <f>IF(S460="","",IFERROR(AVERAGEIFS(nNOTA,nNIA,S460,nEVAL,CONFIG_METADATA!$B$4,nASIG,"Coro"),""))</f>
        <v/>
      </c>
      <c r="V460" t="str">
        <f>IF(S460="","",IFERROR(AVERAGEIFS(nNOTA,nNIA,S460,nEVAL,CONFIG_METADATA!$B$4,nASIG,"Conjunto"),""))</f>
        <v/>
      </c>
      <c r="W460" t="str" cm="1">
        <f t="array" ref="W460">IF(S460="","",IFERROR(AVERAGE(IF((nNIA=S460)*(nEVAL=CONFIG_METADATA!$B$4)*(nASIG&lt;&gt;"Lenguaje Musical")*(nASIG&lt;&gt;"Coro")*(nASIG&lt;&gt;"Conjunto"),nNOTA)),""))</f>
        <v/>
      </c>
    </row>
    <row r="461" spans="2:23" x14ac:dyDescent="0.2">
      <c r="B461" t="str">
        <f>IF(A461="","",IFERROR(AVERAGEIFS(nNOTA,nNIA,A461,nEVAL,CONFIG_METADATA!$B$4,nASIG,"Lenguaje Musical"),""))</f>
        <v/>
      </c>
      <c r="C461" t="str">
        <f>IF(A461="","",IFERROR(AVERAGEIFS(nNOTA,nNIA,A461,nEVAL,CONFIG_METADATA!$B$4,nASIG,"Coro"),""))</f>
        <v/>
      </c>
      <c r="D461" t="str">
        <f>IF(A461="","",IFERROR(AVERAGEIFS(nNOTA,nNIA,A461,nEVAL,CONFIG_METADATA!$B$4,nASIG,"Conjunto"),""))</f>
        <v/>
      </c>
      <c r="E461" t="str">
        <f>IF(A461="","",IFERROR(AVERAGEIFS(nNOTA,nNIA,A461,nEVAL,CONFIG_METADATA!$B$4,nASIG,"&lt;&gt;Lenguaje Musical",nASIG,"&lt;&gt;Coro",nASIG,"&lt;&gt;Conjunto"),""))</f>
        <v/>
      </c>
      <c r="H461" t="str">
        <f>IF(G461="","",IFERROR(AVERAGEIFS(nNOTA,nNIA,G461,nEVAL,CONFIG_METADATA!$B$4,nASIG,"Lenguaje Musical"),""))</f>
        <v/>
      </c>
      <c r="I461" t="str">
        <f>IF(G461="","",IFERROR(AVERAGEIFS(nNOTA,nNIA,G461,nEVAL,CONFIG_METADATA!$B$4,nASIG,"Coro"),""))</f>
        <v/>
      </c>
      <c r="J461" t="str">
        <f>IF(G461="","",IFERROR(AVERAGEIFS(nNOTA,nNIA,G461,nEVAL,CONFIG_METADATA!$B$4,nASIG,"Conjunto"),""))</f>
        <v/>
      </c>
      <c r="K461" t="str" cm="1">
        <f t="array" ref="K461">IF(G461="","",IFERROR(AVERAGE(IF((nNIA=G461)*(nEVAL=CONFIG_METADATA!$B$4)*(nASIG&lt;&gt;"Lenguaje Musical")*(nASIG&lt;&gt;"Coro")*(nASIG&lt;&gt;"Conjunto"),nNOTA)),""))</f>
        <v/>
      </c>
      <c r="N461" t="str">
        <f>IF(M461="","",IFERROR(AVERAGEIFS(nNOTA,nNIA,M461,nEVAL,CONFIG_METADATA!$B$4,nASIG,"Lenguaje Musical"),""))</f>
        <v/>
      </c>
      <c r="O461" t="str">
        <f>IF(M461="","",IFERROR(AVERAGEIFS(nNOTA,nNIA,M461,nEVAL,CONFIG_METADATA!$B$4,nASIG,"Coro"),""))</f>
        <v/>
      </c>
      <c r="P461" t="str">
        <f>IF(M461="","",IFERROR(AVERAGEIFS(nNOTA,nNIA,M461,nEVAL,CONFIG_METADATA!$B$4,nASIG,"Conjunto"),""))</f>
        <v/>
      </c>
      <c r="Q461" t="str">
        <f>IF(M461="","",IFERROR(AVERAGEIFS(nNOTA,nNIA,M461,nEVAL,CONFIG_METADATA!$B$4,nASIG,"&lt;&gt;Lenguaje Musical",nASIG,"&lt;&gt;Coro",nASIG,"&lt;&gt;Conjunto"),""))</f>
        <v/>
      </c>
      <c r="T461" t="str">
        <f>IF(S461="","",IFERROR(AVERAGEIFS(nNOTA,nNIA,S461,nEVAL,CONFIG_METADATA!$B$4,nASIG,"Lenguaje Musical"),""))</f>
        <v/>
      </c>
      <c r="U461" t="str">
        <f>IF(S461="","",IFERROR(AVERAGEIFS(nNOTA,nNIA,S461,nEVAL,CONFIG_METADATA!$B$4,nASIG,"Coro"),""))</f>
        <v/>
      </c>
      <c r="V461" t="str">
        <f>IF(S461="","",IFERROR(AVERAGEIFS(nNOTA,nNIA,S461,nEVAL,CONFIG_METADATA!$B$4,nASIG,"Conjunto"),""))</f>
        <v/>
      </c>
      <c r="W461" t="str" cm="1">
        <f t="array" ref="W461">IF(S461="","",IFERROR(AVERAGE(IF((nNIA=S461)*(nEVAL=CONFIG_METADATA!$B$4)*(nASIG&lt;&gt;"Lenguaje Musical")*(nASIG&lt;&gt;"Coro")*(nASIG&lt;&gt;"Conjunto"),nNOTA)),""))</f>
        <v/>
      </c>
    </row>
    <row r="462" spans="2:23" x14ac:dyDescent="0.2">
      <c r="B462" t="str">
        <f>IF(A462="","",IFERROR(AVERAGEIFS(nNOTA,nNIA,A462,nEVAL,CONFIG_METADATA!$B$4,nASIG,"Lenguaje Musical"),""))</f>
        <v/>
      </c>
      <c r="C462" t="str">
        <f>IF(A462="","",IFERROR(AVERAGEIFS(nNOTA,nNIA,A462,nEVAL,CONFIG_METADATA!$B$4,nASIG,"Coro"),""))</f>
        <v/>
      </c>
      <c r="D462" t="str">
        <f>IF(A462="","",IFERROR(AVERAGEIFS(nNOTA,nNIA,A462,nEVAL,CONFIG_METADATA!$B$4,nASIG,"Conjunto"),""))</f>
        <v/>
      </c>
      <c r="E462" t="str">
        <f>IF(A462="","",IFERROR(AVERAGEIFS(nNOTA,nNIA,A462,nEVAL,CONFIG_METADATA!$B$4,nASIG,"&lt;&gt;Lenguaje Musical",nASIG,"&lt;&gt;Coro",nASIG,"&lt;&gt;Conjunto"),""))</f>
        <v/>
      </c>
      <c r="H462" t="str">
        <f>IF(G462="","",IFERROR(AVERAGEIFS(nNOTA,nNIA,G462,nEVAL,CONFIG_METADATA!$B$4,nASIG,"Lenguaje Musical"),""))</f>
        <v/>
      </c>
      <c r="I462" t="str">
        <f>IF(G462="","",IFERROR(AVERAGEIFS(nNOTA,nNIA,G462,nEVAL,CONFIG_METADATA!$B$4,nASIG,"Coro"),""))</f>
        <v/>
      </c>
      <c r="J462" t="str">
        <f>IF(G462="","",IFERROR(AVERAGEIFS(nNOTA,nNIA,G462,nEVAL,CONFIG_METADATA!$B$4,nASIG,"Conjunto"),""))</f>
        <v/>
      </c>
      <c r="K462" t="str" cm="1">
        <f t="array" ref="K462">IF(G462="","",IFERROR(AVERAGE(IF((nNIA=G462)*(nEVAL=CONFIG_METADATA!$B$4)*(nASIG&lt;&gt;"Lenguaje Musical")*(nASIG&lt;&gt;"Coro")*(nASIG&lt;&gt;"Conjunto"),nNOTA)),""))</f>
        <v/>
      </c>
      <c r="N462" t="str">
        <f>IF(M462="","",IFERROR(AVERAGEIFS(nNOTA,nNIA,M462,nEVAL,CONFIG_METADATA!$B$4,nASIG,"Lenguaje Musical"),""))</f>
        <v/>
      </c>
      <c r="O462" t="str">
        <f>IF(M462="","",IFERROR(AVERAGEIFS(nNOTA,nNIA,M462,nEVAL,CONFIG_METADATA!$B$4,nASIG,"Coro"),""))</f>
        <v/>
      </c>
      <c r="P462" t="str">
        <f>IF(M462="","",IFERROR(AVERAGEIFS(nNOTA,nNIA,M462,nEVAL,CONFIG_METADATA!$B$4,nASIG,"Conjunto"),""))</f>
        <v/>
      </c>
      <c r="Q462" t="str">
        <f>IF(M462="","",IFERROR(AVERAGEIFS(nNOTA,nNIA,M462,nEVAL,CONFIG_METADATA!$B$4,nASIG,"&lt;&gt;Lenguaje Musical",nASIG,"&lt;&gt;Coro",nASIG,"&lt;&gt;Conjunto"),""))</f>
        <v/>
      </c>
      <c r="T462" t="str">
        <f>IF(S462="","",IFERROR(AVERAGEIFS(nNOTA,nNIA,S462,nEVAL,CONFIG_METADATA!$B$4,nASIG,"Lenguaje Musical"),""))</f>
        <v/>
      </c>
      <c r="U462" t="str">
        <f>IF(S462="","",IFERROR(AVERAGEIFS(nNOTA,nNIA,S462,nEVAL,CONFIG_METADATA!$B$4,nASIG,"Coro"),""))</f>
        <v/>
      </c>
      <c r="V462" t="str">
        <f>IF(S462="","",IFERROR(AVERAGEIFS(nNOTA,nNIA,S462,nEVAL,CONFIG_METADATA!$B$4,nASIG,"Conjunto"),""))</f>
        <v/>
      </c>
      <c r="W462" t="str" cm="1">
        <f t="array" ref="W462">IF(S462="","",IFERROR(AVERAGE(IF((nNIA=S462)*(nEVAL=CONFIG_METADATA!$B$4)*(nASIG&lt;&gt;"Lenguaje Musical")*(nASIG&lt;&gt;"Coro")*(nASIG&lt;&gt;"Conjunto"),nNOTA)),""))</f>
        <v/>
      </c>
    </row>
    <row r="463" spans="2:23" x14ac:dyDescent="0.2">
      <c r="B463" t="str">
        <f>IF(A463="","",IFERROR(AVERAGEIFS(nNOTA,nNIA,A463,nEVAL,CONFIG_METADATA!$B$4,nASIG,"Lenguaje Musical"),""))</f>
        <v/>
      </c>
      <c r="C463" t="str">
        <f>IF(A463="","",IFERROR(AVERAGEIFS(nNOTA,nNIA,A463,nEVAL,CONFIG_METADATA!$B$4,nASIG,"Coro"),""))</f>
        <v/>
      </c>
      <c r="D463" t="str">
        <f>IF(A463="","",IFERROR(AVERAGEIFS(nNOTA,nNIA,A463,nEVAL,CONFIG_METADATA!$B$4,nASIG,"Conjunto"),""))</f>
        <v/>
      </c>
      <c r="E463" t="str">
        <f>IF(A463="","",IFERROR(AVERAGEIFS(nNOTA,nNIA,A463,nEVAL,CONFIG_METADATA!$B$4,nASIG,"&lt;&gt;Lenguaje Musical",nASIG,"&lt;&gt;Coro",nASIG,"&lt;&gt;Conjunto"),""))</f>
        <v/>
      </c>
      <c r="H463" t="str">
        <f>IF(G463="","",IFERROR(AVERAGEIFS(nNOTA,nNIA,G463,nEVAL,CONFIG_METADATA!$B$4,nASIG,"Lenguaje Musical"),""))</f>
        <v/>
      </c>
      <c r="I463" t="str">
        <f>IF(G463="","",IFERROR(AVERAGEIFS(nNOTA,nNIA,G463,nEVAL,CONFIG_METADATA!$B$4,nASIG,"Coro"),""))</f>
        <v/>
      </c>
      <c r="J463" t="str">
        <f>IF(G463="","",IFERROR(AVERAGEIFS(nNOTA,nNIA,G463,nEVAL,CONFIG_METADATA!$B$4,nASIG,"Conjunto"),""))</f>
        <v/>
      </c>
      <c r="K463" t="str" cm="1">
        <f t="array" ref="K463">IF(G463="","",IFERROR(AVERAGE(IF((nNIA=G463)*(nEVAL=CONFIG_METADATA!$B$4)*(nASIG&lt;&gt;"Lenguaje Musical")*(nASIG&lt;&gt;"Coro")*(nASIG&lt;&gt;"Conjunto"),nNOTA)),""))</f>
        <v/>
      </c>
      <c r="N463" t="str">
        <f>IF(M463="","",IFERROR(AVERAGEIFS(nNOTA,nNIA,M463,nEVAL,CONFIG_METADATA!$B$4,nASIG,"Lenguaje Musical"),""))</f>
        <v/>
      </c>
      <c r="O463" t="str">
        <f>IF(M463="","",IFERROR(AVERAGEIFS(nNOTA,nNIA,M463,nEVAL,CONFIG_METADATA!$B$4,nASIG,"Coro"),""))</f>
        <v/>
      </c>
      <c r="P463" t="str">
        <f>IF(M463="","",IFERROR(AVERAGEIFS(nNOTA,nNIA,M463,nEVAL,CONFIG_METADATA!$B$4,nASIG,"Conjunto"),""))</f>
        <v/>
      </c>
      <c r="Q463" t="str">
        <f>IF(M463="","",IFERROR(AVERAGEIFS(nNOTA,nNIA,M463,nEVAL,CONFIG_METADATA!$B$4,nASIG,"&lt;&gt;Lenguaje Musical",nASIG,"&lt;&gt;Coro",nASIG,"&lt;&gt;Conjunto"),""))</f>
        <v/>
      </c>
      <c r="T463" t="str">
        <f>IF(S463="","",IFERROR(AVERAGEIFS(nNOTA,nNIA,S463,nEVAL,CONFIG_METADATA!$B$4,nASIG,"Lenguaje Musical"),""))</f>
        <v/>
      </c>
      <c r="U463" t="str">
        <f>IF(S463="","",IFERROR(AVERAGEIFS(nNOTA,nNIA,S463,nEVAL,CONFIG_METADATA!$B$4,nASIG,"Coro"),""))</f>
        <v/>
      </c>
      <c r="V463" t="str">
        <f>IF(S463="","",IFERROR(AVERAGEIFS(nNOTA,nNIA,S463,nEVAL,CONFIG_METADATA!$B$4,nASIG,"Conjunto"),""))</f>
        <v/>
      </c>
      <c r="W463" t="str" cm="1">
        <f t="array" ref="W463">IF(S463="","",IFERROR(AVERAGE(IF((nNIA=S463)*(nEVAL=CONFIG_METADATA!$B$4)*(nASIG&lt;&gt;"Lenguaje Musical")*(nASIG&lt;&gt;"Coro")*(nASIG&lt;&gt;"Conjunto"),nNOTA)),""))</f>
        <v/>
      </c>
    </row>
    <row r="464" spans="2:23" x14ac:dyDescent="0.2">
      <c r="B464" t="str">
        <f>IF(A464="","",IFERROR(AVERAGEIFS(nNOTA,nNIA,A464,nEVAL,CONFIG_METADATA!$B$4,nASIG,"Lenguaje Musical"),""))</f>
        <v/>
      </c>
      <c r="C464" t="str">
        <f>IF(A464="","",IFERROR(AVERAGEIFS(nNOTA,nNIA,A464,nEVAL,CONFIG_METADATA!$B$4,nASIG,"Coro"),""))</f>
        <v/>
      </c>
      <c r="D464" t="str">
        <f>IF(A464="","",IFERROR(AVERAGEIFS(nNOTA,nNIA,A464,nEVAL,CONFIG_METADATA!$B$4,nASIG,"Conjunto"),""))</f>
        <v/>
      </c>
      <c r="E464" t="str">
        <f>IF(A464="","",IFERROR(AVERAGEIFS(nNOTA,nNIA,A464,nEVAL,CONFIG_METADATA!$B$4,nASIG,"&lt;&gt;Lenguaje Musical",nASIG,"&lt;&gt;Coro",nASIG,"&lt;&gt;Conjunto"),""))</f>
        <v/>
      </c>
      <c r="H464" t="str">
        <f>IF(G464="","",IFERROR(AVERAGEIFS(nNOTA,nNIA,G464,nEVAL,CONFIG_METADATA!$B$4,nASIG,"Lenguaje Musical"),""))</f>
        <v/>
      </c>
      <c r="I464" t="str">
        <f>IF(G464="","",IFERROR(AVERAGEIFS(nNOTA,nNIA,G464,nEVAL,CONFIG_METADATA!$B$4,nASIG,"Coro"),""))</f>
        <v/>
      </c>
      <c r="J464" t="str">
        <f>IF(G464="","",IFERROR(AVERAGEIFS(nNOTA,nNIA,G464,nEVAL,CONFIG_METADATA!$B$4,nASIG,"Conjunto"),""))</f>
        <v/>
      </c>
      <c r="K464" t="str" cm="1">
        <f t="array" ref="K464">IF(G464="","",IFERROR(AVERAGE(IF((nNIA=G464)*(nEVAL=CONFIG_METADATA!$B$4)*(nASIG&lt;&gt;"Lenguaje Musical")*(nASIG&lt;&gt;"Coro")*(nASIG&lt;&gt;"Conjunto"),nNOTA)),""))</f>
        <v/>
      </c>
      <c r="N464" t="str">
        <f>IF(M464="","",IFERROR(AVERAGEIFS(nNOTA,nNIA,M464,nEVAL,CONFIG_METADATA!$B$4,nASIG,"Lenguaje Musical"),""))</f>
        <v/>
      </c>
      <c r="O464" t="str">
        <f>IF(M464="","",IFERROR(AVERAGEIFS(nNOTA,nNIA,M464,nEVAL,CONFIG_METADATA!$B$4,nASIG,"Coro"),""))</f>
        <v/>
      </c>
      <c r="P464" t="str">
        <f>IF(M464="","",IFERROR(AVERAGEIFS(nNOTA,nNIA,M464,nEVAL,CONFIG_METADATA!$B$4,nASIG,"Conjunto"),""))</f>
        <v/>
      </c>
      <c r="Q464" t="str">
        <f>IF(M464="","",IFERROR(AVERAGEIFS(nNOTA,nNIA,M464,nEVAL,CONFIG_METADATA!$B$4,nASIG,"&lt;&gt;Lenguaje Musical",nASIG,"&lt;&gt;Coro",nASIG,"&lt;&gt;Conjunto"),""))</f>
        <v/>
      </c>
      <c r="T464" t="str">
        <f>IF(S464="","",IFERROR(AVERAGEIFS(nNOTA,nNIA,S464,nEVAL,CONFIG_METADATA!$B$4,nASIG,"Lenguaje Musical"),""))</f>
        <v/>
      </c>
      <c r="U464" t="str">
        <f>IF(S464="","",IFERROR(AVERAGEIFS(nNOTA,nNIA,S464,nEVAL,CONFIG_METADATA!$B$4,nASIG,"Coro"),""))</f>
        <v/>
      </c>
      <c r="V464" t="str">
        <f>IF(S464="","",IFERROR(AVERAGEIFS(nNOTA,nNIA,S464,nEVAL,CONFIG_METADATA!$B$4,nASIG,"Conjunto"),""))</f>
        <v/>
      </c>
      <c r="W464" t="str" cm="1">
        <f t="array" ref="W464">IF(S464="","",IFERROR(AVERAGE(IF((nNIA=S464)*(nEVAL=CONFIG_METADATA!$B$4)*(nASIG&lt;&gt;"Lenguaje Musical")*(nASIG&lt;&gt;"Coro")*(nASIG&lt;&gt;"Conjunto"),nNOTA)),""))</f>
        <v/>
      </c>
    </row>
    <row r="465" spans="2:23" x14ac:dyDescent="0.2">
      <c r="B465" t="str">
        <f>IF(A465="","",IFERROR(AVERAGEIFS(nNOTA,nNIA,A465,nEVAL,CONFIG_METADATA!$B$4,nASIG,"Lenguaje Musical"),""))</f>
        <v/>
      </c>
      <c r="C465" t="str">
        <f>IF(A465="","",IFERROR(AVERAGEIFS(nNOTA,nNIA,A465,nEVAL,CONFIG_METADATA!$B$4,nASIG,"Coro"),""))</f>
        <v/>
      </c>
      <c r="D465" t="str">
        <f>IF(A465="","",IFERROR(AVERAGEIFS(nNOTA,nNIA,A465,nEVAL,CONFIG_METADATA!$B$4,nASIG,"Conjunto"),""))</f>
        <v/>
      </c>
      <c r="E465" t="str">
        <f>IF(A465="","",IFERROR(AVERAGEIFS(nNOTA,nNIA,A465,nEVAL,CONFIG_METADATA!$B$4,nASIG,"&lt;&gt;Lenguaje Musical",nASIG,"&lt;&gt;Coro",nASIG,"&lt;&gt;Conjunto"),""))</f>
        <v/>
      </c>
      <c r="H465" t="str">
        <f>IF(G465="","",IFERROR(AVERAGEIFS(nNOTA,nNIA,G465,nEVAL,CONFIG_METADATA!$B$4,nASIG,"Lenguaje Musical"),""))</f>
        <v/>
      </c>
      <c r="I465" t="str">
        <f>IF(G465="","",IFERROR(AVERAGEIFS(nNOTA,nNIA,G465,nEVAL,CONFIG_METADATA!$B$4,nASIG,"Coro"),""))</f>
        <v/>
      </c>
      <c r="J465" t="str">
        <f>IF(G465="","",IFERROR(AVERAGEIFS(nNOTA,nNIA,G465,nEVAL,CONFIG_METADATA!$B$4,nASIG,"Conjunto"),""))</f>
        <v/>
      </c>
      <c r="K465" t="str" cm="1">
        <f t="array" ref="K465">IF(G465="","",IFERROR(AVERAGE(IF((nNIA=G465)*(nEVAL=CONFIG_METADATA!$B$4)*(nASIG&lt;&gt;"Lenguaje Musical")*(nASIG&lt;&gt;"Coro")*(nASIG&lt;&gt;"Conjunto"),nNOTA)),""))</f>
        <v/>
      </c>
      <c r="N465" t="str">
        <f>IF(M465="","",IFERROR(AVERAGEIFS(nNOTA,nNIA,M465,nEVAL,CONFIG_METADATA!$B$4,nASIG,"Lenguaje Musical"),""))</f>
        <v/>
      </c>
      <c r="O465" t="str">
        <f>IF(M465="","",IFERROR(AVERAGEIFS(nNOTA,nNIA,M465,nEVAL,CONFIG_METADATA!$B$4,nASIG,"Coro"),""))</f>
        <v/>
      </c>
      <c r="P465" t="str">
        <f>IF(M465="","",IFERROR(AVERAGEIFS(nNOTA,nNIA,M465,nEVAL,CONFIG_METADATA!$B$4,nASIG,"Conjunto"),""))</f>
        <v/>
      </c>
      <c r="Q465" t="str">
        <f>IF(M465="","",IFERROR(AVERAGEIFS(nNOTA,nNIA,M465,nEVAL,CONFIG_METADATA!$B$4,nASIG,"&lt;&gt;Lenguaje Musical",nASIG,"&lt;&gt;Coro",nASIG,"&lt;&gt;Conjunto"),""))</f>
        <v/>
      </c>
      <c r="T465" t="str">
        <f>IF(S465="","",IFERROR(AVERAGEIFS(nNOTA,nNIA,S465,nEVAL,CONFIG_METADATA!$B$4,nASIG,"Lenguaje Musical"),""))</f>
        <v/>
      </c>
      <c r="U465" t="str">
        <f>IF(S465="","",IFERROR(AVERAGEIFS(nNOTA,nNIA,S465,nEVAL,CONFIG_METADATA!$B$4,nASIG,"Coro"),""))</f>
        <v/>
      </c>
      <c r="V465" t="str">
        <f>IF(S465="","",IFERROR(AVERAGEIFS(nNOTA,nNIA,S465,nEVAL,CONFIG_METADATA!$B$4,nASIG,"Conjunto"),""))</f>
        <v/>
      </c>
      <c r="W465" t="str" cm="1">
        <f t="array" ref="W465">IF(S465="","",IFERROR(AVERAGE(IF((nNIA=S465)*(nEVAL=CONFIG_METADATA!$B$4)*(nASIG&lt;&gt;"Lenguaje Musical")*(nASIG&lt;&gt;"Coro")*(nASIG&lt;&gt;"Conjunto"),nNOTA)),""))</f>
        <v/>
      </c>
    </row>
    <row r="466" spans="2:23" x14ac:dyDescent="0.2">
      <c r="B466" t="str">
        <f>IF(A466="","",IFERROR(AVERAGEIFS(nNOTA,nNIA,A466,nEVAL,CONFIG_METADATA!$B$4,nASIG,"Lenguaje Musical"),""))</f>
        <v/>
      </c>
      <c r="C466" t="str">
        <f>IF(A466="","",IFERROR(AVERAGEIFS(nNOTA,nNIA,A466,nEVAL,CONFIG_METADATA!$B$4,nASIG,"Coro"),""))</f>
        <v/>
      </c>
      <c r="D466" t="str">
        <f>IF(A466="","",IFERROR(AVERAGEIFS(nNOTA,nNIA,A466,nEVAL,CONFIG_METADATA!$B$4,nASIG,"Conjunto"),""))</f>
        <v/>
      </c>
      <c r="E466" t="str">
        <f>IF(A466="","",IFERROR(AVERAGEIFS(nNOTA,nNIA,A466,nEVAL,CONFIG_METADATA!$B$4,nASIG,"&lt;&gt;Lenguaje Musical",nASIG,"&lt;&gt;Coro",nASIG,"&lt;&gt;Conjunto"),""))</f>
        <v/>
      </c>
      <c r="H466" t="str">
        <f>IF(G466="","",IFERROR(AVERAGEIFS(nNOTA,nNIA,G466,nEVAL,CONFIG_METADATA!$B$4,nASIG,"Lenguaje Musical"),""))</f>
        <v/>
      </c>
      <c r="I466" t="str">
        <f>IF(G466="","",IFERROR(AVERAGEIFS(nNOTA,nNIA,G466,nEVAL,CONFIG_METADATA!$B$4,nASIG,"Coro"),""))</f>
        <v/>
      </c>
      <c r="J466" t="str">
        <f>IF(G466="","",IFERROR(AVERAGEIFS(nNOTA,nNIA,G466,nEVAL,CONFIG_METADATA!$B$4,nASIG,"Conjunto"),""))</f>
        <v/>
      </c>
      <c r="K466" t="str" cm="1">
        <f t="array" ref="K466">IF(G466="","",IFERROR(AVERAGE(IF((nNIA=G466)*(nEVAL=CONFIG_METADATA!$B$4)*(nASIG&lt;&gt;"Lenguaje Musical")*(nASIG&lt;&gt;"Coro")*(nASIG&lt;&gt;"Conjunto"),nNOTA)),""))</f>
        <v/>
      </c>
      <c r="N466" t="str">
        <f>IF(M466="","",IFERROR(AVERAGEIFS(nNOTA,nNIA,M466,nEVAL,CONFIG_METADATA!$B$4,nASIG,"Lenguaje Musical"),""))</f>
        <v/>
      </c>
      <c r="O466" t="str">
        <f>IF(M466="","",IFERROR(AVERAGEIFS(nNOTA,nNIA,M466,nEVAL,CONFIG_METADATA!$B$4,nASIG,"Coro"),""))</f>
        <v/>
      </c>
      <c r="P466" t="str">
        <f>IF(M466="","",IFERROR(AVERAGEIFS(nNOTA,nNIA,M466,nEVAL,CONFIG_METADATA!$B$4,nASIG,"Conjunto"),""))</f>
        <v/>
      </c>
      <c r="Q466" t="str">
        <f>IF(M466="","",IFERROR(AVERAGEIFS(nNOTA,nNIA,M466,nEVAL,CONFIG_METADATA!$B$4,nASIG,"&lt;&gt;Lenguaje Musical",nASIG,"&lt;&gt;Coro",nASIG,"&lt;&gt;Conjunto"),""))</f>
        <v/>
      </c>
      <c r="T466" t="str">
        <f>IF(S466="","",IFERROR(AVERAGEIFS(nNOTA,nNIA,S466,nEVAL,CONFIG_METADATA!$B$4,nASIG,"Lenguaje Musical"),""))</f>
        <v/>
      </c>
      <c r="U466" t="str">
        <f>IF(S466="","",IFERROR(AVERAGEIFS(nNOTA,nNIA,S466,nEVAL,CONFIG_METADATA!$B$4,nASIG,"Coro"),""))</f>
        <v/>
      </c>
      <c r="V466" t="str">
        <f>IF(S466="","",IFERROR(AVERAGEIFS(nNOTA,nNIA,S466,nEVAL,CONFIG_METADATA!$B$4,nASIG,"Conjunto"),""))</f>
        <v/>
      </c>
      <c r="W466" t="str" cm="1">
        <f t="array" ref="W466">IF(S466="","",IFERROR(AVERAGE(IF((nNIA=S466)*(nEVAL=CONFIG_METADATA!$B$4)*(nASIG&lt;&gt;"Lenguaje Musical")*(nASIG&lt;&gt;"Coro")*(nASIG&lt;&gt;"Conjunto"),nNOTA)),""))</f>
        <v/>
      </c>
    </row>
    <row r="467" spans="2:23" x14ac:dyDescent="0.2">
      <c r="B467" t="str">
        <f>IF(A467="","",IFERROR(AVERAGEIFS(nNOTA,nNIA,A467,nEVAL,CONFIG_METADATA!$B$4,nASIG,"Lenguaje Musical"),""))</f>
        <v/>
      </c>
      <c r="C467" t="str">
        <f>IF(A467="","",IFERROR(AVERAGEIFS(nNOTA,nNIA,A467,nEVAL,CONFIG_METADATA!$B$4,nASIG,"Coro"),""))</f>
        <v/>
      </c>
      <c r="D467" t="str">
        <f>IF(A467="","",IFERROR(AVERAGEIFS(nNOTA,nNIA,A467,nEVAL,CONFIG_METADATA!$B$4,nASIG,"Conjunto"),""))</f>
        <v/>
      </c>
      <c r="E467" t="str">
        <f>IF(A467="","",IFERROR(AVERAGEIFS(nNOTA,nNIA,A467,nEVAL,CONFIG_METADATA!$B$4,nASIG,"&lt;&gt;Lenguaje Musical",nASIG,"&lt;&gt;Coro",nASIG,"&lt;&gt;Conjunto"),""))</f>
        <v/>
      </c>
      <c r="H467" t="str">
        <f>IF(G467="","",IFERROR(AVERAGEIFS(nNOTA,nNIA,G467,nEVAL,CONFIG_METADATA!$B$4,nASIG,"Lenguaje Musical"),""))</f>
        <v/>
      </c>
      <c r="I467" t="str">
        <f>IF(G467="","",IFERROR(AVERAGEIFS(nNOTA,nNIA,G467,nEVAL,CONFIG_METADATA!$B$4,nASIG,"Coro"),""))</f>
        <v/>
      </c>
      <c r="J467" t="str">
        <f>IF(G467="","",IFERROR(AVERAGEIFS(nNOTA,nNIA,G467,nEVAL,CONFIG_METADATA!$B$4,nASIG,"Conjunto"),""))</f>
        <v/>
      </c>
      <c r="K467" t="str" cm="1">
        <f t="array" ref="K467">IF(G467="","",IFERROR(AVERAGE(IF((nNIA=G467)*(nEVAL=CONFIG_METADATA!$B$4)*(nASIG&lt;&gt;"Lenguaje Musical")*(nASIG&lt;&gt;"Coro")*(nASIG&lt;&gt;"Conjunto"),nNOTA)),""))</f>
        <v/>
      </c>
      <c r="N467" t="str">
        <f>IF(M467="","",IFERROR(AVERAGEIFS(nNOTA,nNIA,M467,nEVAL,CONFIG_METADATA!$B$4,nASIG,"Lenguaje Musical"),""))</f>
        <v/>
      </c>
      <c r="O467" t="str">
        <f>IF(M467="","",IFERROR(AVERAGEIFS(nNOTA,nNIA,M467,nEVAL,CONFIG_METADATA!$B$4,nASIG,"Coro"),""))</f>
        <v/>
      </c>
      <c r="P467" t="str">
        <f>IF(M467="","",IFERROR(AVERAGEIFS(nNOTA,nNIA,M467,nEVAL,CONFIG_METADATA!$B$4,nASIG,"Conjunto"),""))</f>
        <v/>
      </c>
      <c r="Q467" t="str">
        <f>IF(M467="","",IFERROR(AVERAGEIFS(nNOTA,nNIA,M467,nEVAL,CONFIG_METADATA!$B$4,nASIG,"&lt;&gt;Lenguaje Musical",nASIG,"&lt;&gt;Coro",nASIG,"&lt;&gt;Conjunto"),""))</f>
        <v/>
      </c>
      <c r="T467" t="str">
        <f>IF(S467="","",IFERROR(AVERAGEIFS(nNOTA,nNIA,S467,nEVAL,CONFIG_METADATA!$B$4,nASIG,"Lenguaje Musical"),""))</f>
        <v/>
      </c>
      <c r="U467" t="str">
        <f>IF(S467="","",IFERROR(AVERAGEIFS(nNOTA,nNIA,S467,nEVAL,CONFIG_METADATA!$B$4,nASIG,"Coro"),""))</f>
        <v/>
      </c>
      <c r="V467" t="str">
        <f>IF(S467="","",IFERROR(AVERAGEIFS(nNOTA,nNIA,S467,nEVAL,CONFIG_METADATA!$B$4,nASIG,"Conjunto"),""))</f>
        <v/>
      </c>
      <c r="W467" t="str" cm="1">
        <f t="array" ref="W467">IF(S467="","",IFERROR(AVERAGE(IF((nNIA=S467)*(nEVAL=CONFIG_METADATA!$B$4)*(nASIG&lt;&gt;"Lenguaje Musical")*(nASIG&lt;&gt;"Coro")*(nASIG&lt;&gt;"Conjunto"),nNOTA)),""))</f>
        <v/>
      </c>
    </row>
    <row r="468" spans="2:23" x14ac:dyDescent="0.2">
      <c r="B468" t="str">
        <f>IF(A468="","",IFERROR(AVERAGEIFS(nNOTA,nNIA,A468,nEVAL,CONFIG_METADATA!$B$4,nASIG,"Lenguaje Musical"),""))</f>
        <v/>
      </c>
      <c r="C468" t="str">
        <f>IF(A468="","",IFERROR(AVERAGEIFS(nNOTA,nNIA,A468,nEVAL,CONFIG_METADATA!$B$4,nASIG,"Coro"),""))</f>
        <v/>
      </c>
      <c r="D468" t="str">
        <f>IF(A468="","",IFERROR(AVERAGEIFS(nNOTA,nNIA,A468,nEVAL,CONFIG_METADATA!$B$4,nASIG,"Conjunto"),""))</f>
        <v/>
      </c>
      <c r="E468" t="str">
        <f>IF(A468="","",IFERROR(AVERAGEIFS(nNOTA,nNIA,A468,nEVAL,CONFIG_METADATA!$B$4,nASIG,"&lt;&gt;Lenguaje Musical",nASIG,"&lt;&gt;Coro",nASIG,"&lt;&gt;Conjunto"),""))</f>
        <v/>
      </c>
      <c r="H468" t="str">
        <f>IF(G468="","",IFERROR(AVERAGEIFS(nNOTA,nNIA,G468,nEVAL,CONFIG_METADATA!$B$4,nASIG,"Lenguaje Musical"),""))</f>
        <v/>
      </c>
      <c r="I468" t="str">
        <f>IF(G468="","",IFERROR(AVERAGEIFS(nNOTA,nNIA,G468,nEVAL,CONFIG_METADATA!$B$4,nASIG,"Coro"),""))</f>
        <v/>
      </c>
      <c r="J468" t="str">
        <f>IF(G468="","",IFERROR(AVERAGEIFS(nNOTA,nNIA,G468,nEVAL,CONFIG_METADATA!$B$4,nASIG,"Conjunto"),""))</f>
        <v/>
      </c>
      <c r="K468" t="str" cm="1">
        <f t="array" ref="K468">IF(G468="","",IFERROR(AVERAGE(IF((nNIA=G468)*(nEVAL=CONFIG_METADATA!$B$4)*(nASIG&lt;&gt;"Lenguaje Musical")*(nASIG&lt;&gt;"Coro")*(nASIG&lt;&gt;"Conjunto"),nNOTA)),""))</f>
        <v/>
      </c>
      <c r="N468" t="str">
        <f>IF(M468="","",IFERROR(AVERAGEIFS(nNOTA,nNIA,M468,nEVAL,CONFIG_METADATA!$B$4,nASIG,"Lenguaje Musical"),""))</f>
        <v/>
      </c>
      <c r="O468" t="str">
        <f>IF(M468="","",IFERROR(AVERAGEIFS(nNOTA,nNIA,M468,nEVAL,CONFIG_METADATA!$B$4,nASIG,"Coro"),""))</f>
        <v/>
      </c>
      <c r="P468" t="str">
        <f>IF(M468="","",IFERROR(AVERAGEIFS(nNOTA,nNIA,M468,nEVAL,CONFIG_METADATA!$B$4,nASIG,"Conjunto"),""))</f>
        <v/>
      </c>
      <c r="Q468" t="str">
        <f>IF(M468="","",IFERROR(AVERAGEIFS(nNOTA,nNIA,M468,nEVAL,CONFIG_METADATA!$B$4,nASIG,"&lt;&gt;Lenguaje Musical",nASIG,"&lt;&gt;Coro",nASIG,"&lt;&gt;Conjunto"),""))</f>
        <v/>
      </c>
      <c r="T468" t="str">
        <f>IF(S468="","",IFERROR(AVERAGEIFS(nNOTA,nNIA,S468,nEVAL,CONFIG_METADATA!$B$4,nASIG,"Lenguaje Musical"),""))</f>
        <v/>
      </c>
      <c r="U468" t="str">
        <f>IF(S468="","",IFERROR(AVERAGEIFS(nNOTA,nNIA,S468,nEVAL,CONFIG_METADATA!$B$4,nASIG,"Coro"),""))</f>
        <v/>
      </c>
      <c r="V468" t="str">
        <f>IF(S468="","",IFERROR(AVERAGEIFS(nNOTA,nNIA,S468,nEVAL,CONFIG_METADATA!$B$4,nASIG,"Conjunto"),""))</f>
        <v/>
      </c>
      <c r="W468" t="str" cm="1">
        <f t="array" ref="W468">IF(S468="","",IFERROR(AVERAGE(IF((nNIA=S468)*(nEVAL=CONFIG_METADATA!$B$4)*(nASIG&lt;&gt;"Lenguaje Musical")*(nASIG&lt;&gt;"Coro")*(nASIG&lt;&gt;"Conjunto"),nNOTA)),""))</f>
        <v/>
      </c>
    </row>
    <row r="469" spans="2:23" x14ac:dyDescent="0.2">
      <c r="B469" t="str">
        <f>IF(A469="","",IFERROR(AVERAGEIFS(nNOTA,nNIA,A469,nEVAL,CONFIG_METADATA!$B$4,nASIG,"Lenguaje Musical"),""))</f>
        <v/>
      </c>
      <c r="C469" t="str">
        <f>IF(A469="","",IFERROR(AVERAGEIFS(nNOTA,nNIA,A469,nEVAL,CONFIG_METADATA!$B$4,nASIG,"Coro"),""))</f>
        <v/>
      </c>
      <c r="D469" t="str">
        <f>IF(A469="","",IFERROR(AVERAGEIFS(nNOTA,nNIA,A469,nEVAL,CONFIG_METADATA!$B$4,nASIG,"Conjunto"),""))</f>
        <v/>
      </c>
      <c r="E469" t="str">
        <f>IF(A469="","",IFERROR(AVERAGEIFS(nNOTA,nNIA,A469,nEVAL,CONFIG_METADATA!$B$4,nASIG,"&lt;&gt;Lenguaje Musical",nASIG,"&lt;&gt;Coro",nASIG,"&lt;&gt;Conjunto"),""))</f>
        <v/>
      </c>
      <c r="H469" t="str">
        <f>IF(G469="","",IFERROR(AVERAGEIFS(nNOTA,nNIA,G469,nEVAL,CONFIG_METADATA!$B$4,nASIG,"Lenguaje Musical"),""))</f>
        <v/>
      </c>
      <c r="I469" t="str">
        <f>IF(G469="","",IFERROR(AVERAGEIFS(nNOTA,nNIA,G469,nEVAL,CONFIG_METADATA!$B$4,nASIG,"Coro"),""))</f>
        <v/>
      </c>
      <c r="J469" t="str">
        <f>IF(G469="","",IFERROR(AVERAGEIFS(nNOTA,nNIA,G469,nEVAL,CONFIG_METADATA!$B$4,nASIG,"Conjunto"),""))</f>
        <v/>
      </c>
      <c r="K469" t="str" cm="1">
        <f t="array" ref="K469">IF(G469="","",IFERROR(AVERAGE(IF((nNIA=G469)*(nEVAL=CONFIG_METADATA!$B$4)*(nASIG&lt;&gt;"Lenguaje Musical")*(nASIG&lt;&gt;"Coro")*(nASIG&lt;&gt;"Conjunto"),nNOTA)),""))</f>
        <v/>
      </c>
      <c r="N469" t="str">
        <f>IF(M469="","",IFERROR(AVERAGEIFS(nNOTA,nNIA,M469,nEVAL,CONFIG_METADATA!$B$4,nASIG,"Lenguaje Musical"),""))</f>
        <v/>
      </c>
      <c r="O469" t="str">
        <f>IF(M469="","",IFERROR(AVERAGEIFS(nNOTA,nNIA,M469,nEVAL,CONFIG_METADATA!$B$4,nASIG,"Coro"),""))</f>
        <v/>
      </c>
      <c r="P469" t="str">
        <f>IF(M469="","",IFERROR(AVERAGEIFS(nNOTA,nNIA,M469,nEVAL,CONFIG_METADATA!$B$4,nASIG,"Conjunto"),""))</f>
        <v/>
      </c>
      <c r="Q469" t="str">
        <f>IF(M469="","",IFERROR(AVERAGEIFS(nNOTA,nNIA,M469,nEVAL,CONFIG_METADATA!$B$4,nASIG,"&lt;&gt;Lenguaje Musical",nASIG,"&lt;&gt;Coro",nASIG,"&lt;&gt;Conjunto"),""))</f>
        <v/>
      </c>
      <c r="T469" t="str">
        <f>IF(S469="","",IFERROR(AVERAGEIFS(nNOTA,nNIA,S469,nEVAL,CONFIG_METADATA!$B$4,nASIG,"Lenguaje Musical"),""))</f>
        <v/>
      </c>
      <c r="U469" t="str">
        <f>IF(S469="","",IFERROR(AVERAGEIFS(nNOTA,nNIA,S469,nEVAL,CONFIG_METADATA!$B$4,nASIG,"Coro"),""))</f>
        <v/>
      </c>
      <c r="V469" t="str">
        <f>IF(S469="","",IFERROR(AVERAGEIFS(nNOTA,nNIA,S469,nEVAL,CONFIG_METADATA!$B$4,nASIG,"Conjunto"),""))</f>
        <v/>
      </c>
      <c r="W469" t="str" cm="1">
        <f t="array" ref="W469">IF(S469="","",IFERROR(AVERAGE(IF((nNIA=S469)*(nEVAL=CONFIG_METADATA!$B$4)*(nASIG&lt;&gt;"Lenguaje Musical")*(nASIG&lt;&gt;"Coro")*(nASIG&lt;&gt;"Conjunto"),nNOTA)),""))</f>
        <v/>
      </c>
    </row>
    <row r="470" spans="2:23" x14ac:dyDescent="0.2">
      <c r="B470" t="str">
        <f>IF(A470="","",IFERROR(AVERAGEIFS(nNOTA,nNIA,A470,nEVAL,CONFIG_METADATA!$B$4,nASIG,"Lenguaje Musical"),""))</f>
        <v/>
      </c>
      <c r="C470" t="str">
        <f>IF(A470="","",IFERROR(AVERAGEIFS(nNOTA,nNIA,A470,nEVAL,CONFIG_METADATA!$B$4,nASIG,"Coro"),""))</f>
        <v/>
      </c>
      <c r="D470" t="str">
        <f>IF(A470="","",IFERROR(AVERAGEIFS(nNOTA,nNIA,A470,nEVAL,CONFIG_METADATA!$B$4,nASIG,"Conjunto"),""))</f>
        <v/>
      </c>
      <c r="E470" t="str">
        <f>IF(A470="","",IFERROR(AVERAGEIFS(nNOTA,nNIA,A470,nEVAL,CONFIG_METADATA!$B$4,nASIG,"&lt;&gt;Lenguaje Musical",nASIG,"&lt;&gt;Coro",nASIG,"&lt;&gt;Conjunto"),""))</f>
        <v/>
      </c>
      <c r="H470" t="str">
        <f>IF(G470="","",IFERROR(AVERAGEIFS(nNOTA,nNIA,G470,nEVAL,CONFIG_METADATA!$B$4,nASIG,"Lenguaje Musical"),""))</f>
        <v/>
      </c>
      <c r="I470" t="str">
        <f>IF(G470="","",IFERROR(AVERAGEIFS(nNOTA,nNIA,G470,nEVAL,CONFIG_METADATA!$B$4,nASIG,"Coro"),""))</f>
        <v/>
      </c>
      <c r="J470" t="str">
        <f>IF(G470="","",IFERROR(AVERAGEIFS(nNOTA,nNIA,G470,nEVAL,CONFIG_METADATA!$B$4,nASIG,"Conjunto"),""))</f>
        <v/>
      </c>
      <c r="K470" t="str" cm="1">
        <f t="array" ref="K470">IF(G470="","",IFERROR(AVERAGE(IF((nNIA=G470)*(nEVAL=CONFIG_METADATA!$B$4)*(nASIG&lt;&gt;"Lenguaje Musical")*(nASIG&lt;&gt;"Coro")*(nASIG&lt;&gt;"Conjunto"),nNOTA)),""))</f>
        <v/>
      </c>
      <c r="N470" t="str">
        <f>IF(M470="","",IFERROR(AVERAGEIFS(nNOTA,nNIA,M470,nEVAL,CONFIG_METADATA!$B$4,nASIG,"Lenguaje Musical"),""))</f>
        <v/>
      </c>
      <c r="O470" t="str">
        <f>IF(M470="","",IFERROR(AVERAGEIFS(nNOTA,nNIA,M470,nEVAL,CONFIG_METADATA!$B$4,nASIG,"Coro"),""))</f>
        <v/>
      </c>
      <c r="P470" t="str">
        <f>IF(M470="","",IFERROR(AVERAGEIFS(nNOTA,nNIA,M470,nEVAL,CONFIG_METADATA!$B$4,nASIG,"Conjunto"),""))</f>
        <v/>
      </c>
      <c r="Q470" t="str">
        <f>IF(M470="","",IFERROR(AVERAGEIFS(nNOTA,nNIA,M470,nEVAL,CONFIG_METADATA!$B$4,nASIG,"&lt;&gt;Lenguaje Musical",nASIG,"&lt;&gt;Coro",nASIG,"&lt;&gt;Conjunto"),""))</f>
        <v/>
      </c>
      <c r="T470" t="str">
        <f>IF(S470="","",IFERROR(AVERAGEIFS(nNOTA,nNIA,S470,nEVAL,CONFIG_METADATA!$B$4,nASIG,"Lenguaje Musical"),""))</f>
        <v/>
      </c>
      <c r="U470" t="str">
        <f>IF(S470="","",IFERROR(AVERAGEIFS(nNOTA,nNIA,S470,nEVAL,CONFIG_METADATA!$B$4,nASIG,"Coro"),""))</f>
        <v/>
      </c>
      <c r="V470" t="str">
        <f>IF(S470="","",IFERROR(AVERAGEIFS(nNOTA,nNIA,S470,nEVAL,CONFIG_METADATA!$B$4,nASIG,"Conjunto"),""))</f>
        <v/>
      </c>
      <c r="W470" t="str" cm="1">
        <f t="array" ref="W470">IF(S470="","",IFERROR(AVERAGE(IF((nNIA=S470)*(nEVAL=CONFIG_METADATA!$B$4)*(nASIG&lt;&gt;"Lenguaje Musical")*(nASIG&lt;&gt;"Coro")*(nASIG&lt;&gt;"Conjunto"),nNOTA)),""))</f>
        <v/>
      </c>
    </row>
    <row r="471" spans="2:23" x14ac:dyDescent="0.2">
      <c r="B471" t="str">
        <f>IF(A471="","",IFERROR(AVERAGEIFS(nNOTA,nNIA,A471,nEVAL,CONFIG_METADATA!$B$4,nASIG,"Lenguaje Musical"),""))</f>
        <v/>
      </c>
      <c r="C471" t="str">
        <f>IF(A471="","",IFERROR(AVERAGEIFS(nNOTA,nNIA,A471,nEVAL,CONFIG_METADATA!$B$4,nASIG,"Coro"),""))</f>
        <v/>
      </c>
      <c r="D471" t="str">
        <f>IF(A471="","",IFERROR(AVERAGEIFS(nNOTA,nNIA,A471,nEVAL,CONFIG_METADATA!$B$4,nASIG,"Conjunto"),""))</f>
        <v/>
      </c>
      <c r="E471" t="str">
        <f>IF(A471="","",IFERROR(AVERAGEIFS(nNOTA,nNIA,A471,nEVAL,CONFIG_METADATA!$B$4,nASIG,"&lt;&gt;Lenguaje Musical",nASIG,"&lt;&gt;Coro",nASIG,"&lt;&gt;Conjunto"),""))</f>
        <v/>
      </c>
      <c r="H471" t="str">
        <f>IF(G471="","",IFERROR(AVERAGEIFS(nNOTA,nNIA,G471,nEVAL,CONFIG_METADATA!$B$4,nASIG,"Lenguaje Musical"),""))</f>
        <v/>
      </c>
      <c r="I471" t="str">
        <f>IF(G471="","",IFERROR(AVERAGEIFS(nNOTA,nNIA,G471,nEVAL,CONFIG_METADATA!$B$4,nASIG,"Coro"),""))</f>
        <v/>
      </c>
      <c r="J471" t="str">
        <f>IF(G471="","",IFERROR(AVERAGEIFS(nNOTA,nNIA,G471,nEVAL,CONFIG_METADATA!$B$4,nASIG,"Conjunto"),""))</f>
        <v/>
      </c>
      <c r="K471" t="str" cm="1">
        <f t="array" ref="K471">IF(G471="","",IFERROR(AVERAGE(IF((nNIA=G471)*(nEVAL=CONFIG_METADATA!$B$4)*(nASIG&lt;&gt;"Lenguaje Musical")*(nASIG&lt;&gt;"Coro")*(nASIG&lt;&gt;"Conjunto"),nNOTA)),""))</f>
        <v/>
      </c>
      <c r="N471" t="str">
        <f>IF(M471="","",IFERROR(AVERAGEIFS(nNOTA,nNIA,M471,nEVAL,CONFIG_METADATA!$B$4,nASIG,"Lenguaje Musical"),""))</f>
        <v/>
      </c>
      <c r="O471" t="str">
        <f>IF(M471="","",IFERROR(AVERAGEIFS(nNOTA,nNIA,M471,nEVAL,CONFIG_METADATA!$B$4,nASIG,"Coro"),""))</f>
        <v/>
      </c>
      <c r="P471" t="str">
        <f>IF(M471="","",IFERROR(AVERAGEIFS(nNOTA,nNIA,M471,nEVAL,CONFIG_METADATA!$B$4,nASIG,"Conjunto"),""))</f>
        <v/>
      </c>
      <c r="Q471" t="str">
        <f>IF(M471="","",IFERROR(AVERAGEIFS(nNOTA,nNIA,M471,nEVAL,CONFIG_METADATA!$B$4,nASIG,"&lt;&gt;Lenguaje Musical",nASIG,"&lt;&gt;Coro",nASIG,"&lt;&gt;Conjunto"),""))</f>
        <v/>
      </c>
      <c r="T471" t="str">
        <f>IF(S471="","",IFERROR(AVERAGEIFS(nNOTA,nNIA,S471,nEVAL,CONFIG_METADATA!$B$4,nASIG,"Lenguaje Musical"),""))</f>
        <v/>
      </c>
      <c r="U471" t="str">
        <f>IF(S471="","",IFERROR(AVERAGEIFS(nNOTA,nNIA,S471,nEVAL,CONFIG_METADATA!$B$4,nASIG,"Coro"),""))</f>
        <v/>
      </c>
      <c r="V471" t="str">
        <f>IF(S471="","",IFERROR(AVERAGEIFS(nNOTA,nNIA,S471,nEVAL,CONFIG_METADATA!$B$4,nASIG,"Conjunto"),""))</f>
        <v/>
      </c>
      <c r="W471" t="str" cm="1">
        <f t="array" ref="W471">IF(S471="","",IFERROR(AVERAGE(IF((nNIA=S471)*(nEVAL=CONFIG_METADATA!$B$4)*(nASIG&lt;&gt;"Lenguaje Musical")*(nASIG&lt;&gt;"Coro")*(nASIG&lt;&gt;"Conjunto"),nNOTA)),""))</f>
        <v/>
      </c>
    </row>
    <row r="472" spans="2:23" x14ac:dyDescent="0.2">
      <c r="B472" t="str">
        <f>IF(A472="","",IFERROR(AVERAGEIFS(nNOTA,nNIA,A472,nEVAL,CONFIG_METADATA!$B$4,nASIG,"Lenguaje Musical"),""))</f>
        <v/>
      </c>
      <c r="C472" t="str">
        <f>IF(A472="","",IFERROR(AVERAGEIFS(nNOTA,nNIA,A472,nEVAL,CONFIG_METADATA!$B$4,nASIG,"Coro"),""))</f>
        <v/>
      </c>
      <c r="D472" t="str">
        <f>IF(A472="","",IFERROR(AVERAGEIFS(nNOTA,nNIA,A472,nEVAL,CONFIG_METADATA!$B$4,nASIG,"Conjunto"),""))</f>
        <v/>
      </c>
      <c r="E472" t="str">
        <f>IF(A472="","",IFERROR(AVERAGEIFS(nNOTA,nNIA,A472,nEVAL,CONFIG_METADATA!$B$4,nASIG,"&lt;&gt;Lenguaje Musical",nASIG,"&lt;&gt;Coro",nASIG,"&lt;&gt;Conjunto"),""))</f>
        <v/>
      </c>
      <c r="H472" t="str">
        <f>IF(G472="","",IFERROR(AVERAGEIFS(nNOTA,nNIA,G472,nEVAL,CONFIG_METADATA!$B$4,nASIG,"Lenguaje Musical"),""))</f>
        <v/>
      </c>
      <c r="I472" t="str">
        <f>IF(G472="","",IFERROR(AVERAGEIFS(nNOTA,nNIA,G472,nEVAL,CONFIG_METADATA!$B$4,nASIG,"Coro"),""))</f>
        <v/>
      </c>
      <c r="J472" t="str">
        <f>IF(G472="","",IFERROR(AVERAGEIFS(nNOTA,nNIA,G472,nEVAL,CONFIG_METADATA!$B$4,nASIG,"Conjunto"),""))</f>
        <v/>
      </c>
      <c r="K472" t="str" cm="1">
        <f t="array" ref="K472">IF(G472="","",IFERROR(AVERAGE(IF((nNIA=G472)*(nEVAL=CONFIG_METADATA!$B$4)*(nASIG&lt;&gt;"Lenguaje Musical")*(nASIG&lt;&gt;"Coro")*(nASIG&lt;&gt;"Conjunto"),nNOTA)),""))</f>
        <v/>
      </c>
      <c r="N472" t="str">
        <f>IF(M472="","",IFERROR(AVERAGEIFS(nNOTA,nNIA,M472,nEVAL,CONFIG_METADATA!$B$4,nASIG,"Lenguaje Musical"),""))</f>
        <v/>
      </c>
      <c r="O472" t="str">
        <f>IF(M472="","",IFERROR(AVERAGEIFS(nNOTA,nNIA,M472,nEVAL,CONFIG_METADATA!$B$4,nASIG,"Coro"),""))</f>
        <v/>
      </c>
      <c r="P472" t="str">
        <f>IF(M472="","",IFERROR(AVERAGEIFS(nNOTA,nNIA,M472,nEVAL,CONFIG_METADATA!$B$4,nASIG,"Conjunto"),""))</f>
        <v/>
      </c>
      <c r="Q472" t="str">
        <f>IF(M472="","",IFERROR(AVERAGEIFS(nNOTA,nNIA,M472,nEVAL,CONFIG_METADATA!$B$4,nASIG,"&lt;&gt;Lenguaje Musical",nASIG,"&lt;&gt;Coro",nASIG,"&lt;&gt;Conjunto"),""))</f>
        <v/>
      </c>
      <c r="T472" t="str">
        <f>IF(S472="","",IFERROR(AVERAGEIFS(nNOTA,nNIA,S472,nEVAL,CONFIG_METADATA!$B$4,nASIG,"Lenguaje Musical"),""))</f>
        <v/>
      </c>
      <c r="U472" t="str">
        <f>IF(S472="","",IFERROR(AVERAGEIFS(nNOTA,nNIA,S472,nEVAL,CONFIG_METADATA!$B$4,nASIG,"Coro"),""))</f>
        <v/>
      </c>
      <c r="V472" t="str">
        <f>IF(S472="","",IFERROR(AVERAGEIFS(nNOTA,nNIA,S472,nEVAL,CONFIG_METADATA!$B$4,nASIG,"Conjunto"),""))</f>
        <v/>
      </c>
      <c r="W472" t="str" cm="1">
        <f t="array" ref="W472">IF(S472="","",IFERROR(AVERAGE(IF((nNIA=S472)*(nEVAL=CONFIG_METADATA!$B$4)*(nASIG&lt;&gt;"Lenguaje Musical")*(nASIG&lt;&gt;"Coro")*(nASIG&lt;&gt;"Conjunto"),nNOTA)),""))</f>
        <v/>
      </c>
    </row>
    <row r="473" spans="2:23" x14ac:dyDescent="0.2">
      <c r="B473" t="str">
        <f>IF(A473="","",IFERROR(AVERAGEIFS(nNOTA,nNIA,A473,nEVAL,CONFIG_METADATA!$B$4,nASIG,"Lenguaje Musical"),""))</f>
        <v/>
      </c>
      <c r="C473" t="str">
        <f>IF(A473="","",IFERROR(AVERAGEIFS(nNOTA,nNIA,A473,nEVAL,CONFIG_METADATA!$B$4,nASIG,"Coro"),""))</f>
        <v/>
      </c>
      <c r="D473" t="str">
        <f>IF(A473="","",IFERROR(AVERAGEIFS(nNOTA,nNIA,A473,nEVAL,CONFIG_METADATA!$B$4,nASIG,"Conjunto"),""))</f>
        <v/>
      </c>
      <c r="E473" t="str">
        <f>IF(A473="","",IFERROR(AVERAGEIFS(nNOTA,nNIA,A473,nEVAL,CONFIG_METADATA!$B$4,nASIG,"&lt;&gt;Lenguaje Musical",nASIG,"&lt;&gt;Coro",nASIG,"&lt;&gt;Conjunto"),""))</f>
        <v/>
      </c>
      <c r="H473" t="str">
        <f>IF(G473="","",IFERROR(AVERAGEIFS(nNOTA,nNIA,G473,nEVAL,CONFIG_METADATA!$B$4,nASIG,"Lenguaje Musical"),""))</f>
        <v/>
      </c>
      <c r="I473" t="str">
        <f>IF(G473="","",IFERROR(AVERAGEIFS(nNOTA,nNIA,G473,nEVAL,CONFIG_METADATA!$B$4,nASIG,"Coro"),""))</f>
        <v/>
      </c>
      <c r="J473" t="str">
        <f>IF(G473="","",IFERROR(AVERAGEIFS(nNOTA,nNIA,G473,nEVAL,CONFIG_METADATA!$B$4,nASIG,"Conjunto"),""))</f>
        <v/>
      </c>
      <c r="K473" t="str" cm="1">
        <f t="array" ref="K473">IF(G473="","",IFERROR(AVERAGE(IF((nNIA=G473)*(nEVAL=CONFIG_METADATA!$B$4)*(nASIG&lt;&gt;"Lenguaje Musical")*(nASIG&lt;&gt;"Coro")*(nASIG&lt;&gt;"Conjunto"),nNOTA)),""))</f>
        <v/>
      </c>
      <c r="N473" t="str">
        <f>IF(M473="","",IFERROR(AVERAGEIFS(nNOTA,nNIA,M473,nEVAL,CONFIG_METADATA!$B$4,nASIG,"Lenguaje Musical"),""))</f>
        <v/>
      </c>
      <c r="O473" t="str">
        <f>IF(M473="","",IFERROR(AVERAGEIFS(nNOTA,nNIA,M473,nEVAL,CONFIG_METADATA!$B$4,nASIG,"Coro"),""))</f>
        <v/>
      </c>
      <c r="P473" t="str">
        <f>IF(M473="","",IFERROR(AVERAGEIFS(nNOTA,nNIA,M473,nEVAL,CONFIG_METADATA!$B$4,nASIG,"Conjunto"),""))</f>
        <v/>
      </c>
      <c r="Q473" t="str">
        <f>IF(M473="","",IFERROR(AVERAGEIFS(nNOTA,nNIA,M473,nEVAL,CONFIG_METADATA!$B$4,nASIG,"&lt;&gt;Lenguaje Musical",nASIG,"&lt;&gt;Coro",nASIG,"&lt;&gt;Conjunto"),""))</f>
        <v/>
      </c>
      <c r="T473" t="str">
        <f>IF(S473="","",IFERROR(AVERAGEIFS(nNOTA,nNIA,S473,nEVAL,CONFIG_METADATA!$B$4,nASIG,"Lenguaje Musical"),""))</f>
        <v/>
      </c>
      <c r="U473" t="str">
        <f>IF(S473="","",IFERROR(AVERAGEIFS(nNOTA,nNIA,S473,nEVAL,CONFIG_METADATA!$B$4,nASIG,"Coro"),""))</f>
        <v/>
      </c>
      <c r="V473" t="str">
        <f>IF(S473="","",IFERROR(AVERAGEIFS(nNOTA,nNIA,S473,nEVAL,CONFIG_METADATA!$B$4,nASIG,"Conjunto"),""))</f>
        <v/>
      </c>
      <c r="W473" t="str" cm="1">
        <f t="array" ref="W473">IF(S473="","",IFERROR(AVERAGE(IF((nNIA=S473)*(nEVAL=CONFIG_METADATA!$B$4)*(nASIG&lt;&gt;"Lenguaje Musical")*(nASIG&lt;&gt;"Coro")*(nASIG&lt;&gt;"Conjunto"),nNOTA)),""))</f>
        <v/>
      </c>
    </row>
    <row r="474" spans="2:23" x14ac:dyDescent="0.2">
      <c r="B474" t="str">
        <f>IF(A474="","",IFERROR(AVERAGEIFS(nNOTA,nNIA,A474,nEVAL,CONFIG_METADATA!$B$4,nASIG,"Lenguaje Musical"),""))</f>
        <v/>
      </c>
      <c r="C474" t="str">
        <f>IF(A474="","",IFERROR(AVERAGEIFS(nNOTA,nNIA,A474,nEVAL,CONFIG_METADATA!$B$4,nASIG,"Coro"),""))</f>
        <v/>
      </c>
      <c r="D474" t="str">
        <f>IF(A474="","",IFERROR(AVERAGEIFS(nNOTA,nNIA,A474,nEVAL,CONFIG_METADATA!$B$4,nASIG,"Conjunto"),""))</f>
        <v/>
      </c>
      <c r="E474" t="str">
        <f>IF(A474="","",IFERROR(AVERAGEIFS(nNOTA,nNIA,A474,nEVAL,CONFIG_METADATA!$B$4,nASIG,"&lt;&gt;Lenguaje Musical",nASIG,"&lt;&gt;Coro",nASIG,"&lt;&gt;Conjunto"),""))</f>
        <v/>
      </c>
      <c r="H474" t="str">
        <f>IF(G474="","",IFERROR(AVERAGEIFS(nNOTA,nNIA,G474,nEVAL,CONFIG_METADATA!$B$4,nASIG,"Lenguaje Musical"),""))</f>
        <v/>
      </c>
      <c r="I474" t="str">
        <f>IF(G474="","",IFERROR(AVERAGEIFS(nNOTA,nNIA,G474,nEVAL,CONFIG_METADATA!$B$4,nASIG,"Coro"),""))</f>
        <v/>
      </c>
      <c r="J474" t="str">
        <f>IF(G474="","",IFERROR(AVERAGEIFS(nNOTA,nNIA,G474,nEVAL,CONFIG_METADATA!$B$4,nASIG,"Conjunto"),""))</f>
        <v/>
      </c>
      <c r="K474" t="str" cm="1">
        <f t="array" ref="K474">IF(G474="","",IFERROR(AVERAGE(IF((nNIA=G474)*(nEVAL=CONFIG_METADATA!$B$4)*(nASIG&lt;&gt;"Lenguaje Musical")*(nASIG&lt;&gt;"Coro")*(nASIG&lt;&gt;"Conjunto"),nNOTA)),""))</f>
        <v/>
      </c>
      <c r="N474" t="str">
        <f>IF(M474="","",IFERROR(AVERAGEIFS(nNOTA,nNIA,M474,nEVAL,CONFIG_METADATA!$B$4,nASIG,"Lenguaje Musical"),""))</f>
        <v/>
      </c>
      <c r="O474" t="str">
        <f>IF(M474="","",IFERROR(AVERAGEIFS(nNOTA,nNIA,M474,nEVAL,CONFIG_METADATA!$B$4,nASIG,"Coro"),""))</f>
        <v/>
      </c>
      <c r="P474" t="str">
        <f>IF(M474="","",IFERROR(AVERAGEIFS(nNOTA,nNIA,M474,nEVAL,CONFIG_METADATA!$B$4,nASIG,"Conjunto"),""))</f>
        <v/>
      </c>
      <c r="Q474" t="str">
        <f>IF(M474="","",IFERROR(AVERAGEIFS(nNOTA,nNIA,M474,nEVAL,CONFIG_METADATA!$B$4,nASIG,"&lt;&gt;Lenguaje Musical",nASIG,"&lt;&gt;Coro",nASIG,"&lt;&gt;Conjunto"),""))</f>
        <v/>
      </c>
      <c r="T474" t="str">
        <f>IF(S474="","",IFERROR(AVERAGEIFS(nNOTA,nNIA,S474,nEVAL,CONFIG_METADATA!$B$4,nASIG,"Lenguaje Musical"),""))</f>
        <v/>
      </c>
      <c r="U474" t="str">
        <f>IF(S474="","",IFERROR(AVERAGEIFS(nNOTA,nNIA,S474,nEVAL,CONFIG_METADATA!$B$4,nASIG,"Coro"),""))</f>
        <v/>
      </c>
      <c r="V474" t="str">
        <f>IF(S474="","",IFERROR(AVERAGEIFS(nNOTA,nNIA,S474,nEVAL,CONFIG_METADATA!$B$4,nASIG,"Conjunto"),""))</f>
        <v/>
      </c>
      <c r="W474" t="str" cm="1">
        <f t="array" ref="W474">IF(S474="","",IFERROR(AVERAGE(IF((nNIA=S474)*(nEVAL=CONFIG_METADATA!$B$4)*(nASIG&lt;&gt;"Lenguaje Musical")*(nASIG&lt;&gt;"Coro")*(nASIG&lt;&gt;"Conjunto"),nNOTA)),""))</f>
        <v/>
      </c>
    </row>
    <row r="475" spans="2:23" x14ac:dyDescent="0.2">
      <c r="B475" t="str">
        <f>IF(A475="","",IFERROR(AVERAGEIFS(nNOTA,nNIA,A475,nEVAL,CONFIG_METADATA!$B$4,nASIG,"Lenguaje Musical"),""))</f>
        <v/>
      </c>
      <c r="C475" t="str">
        <f>IF(A475="","",IFERROR(AVERAGEIFS(nNOTA,nNIA,A475,nEVAL,CONFIG_METADATA!$B$4,nASIG,"Coro"),""))</f>
        <v/>
      </c>
      <c r="D475" t="str">
        <f>IF(A475="","",IFERROR(AVERAGEIFS(nNOTA,nNIA,A475,nEVAL,CONFIG_METADATA!$B$4,nASIG,"Conjunto"),""))</f>
        <v/>
      </c>
      <c r="E475" t="str">
        <f>IF(A475="","",IFERROR(AVERAGEIFS(nNOTA,nNIA,A475,nEVAL,CONFIG_METADATA!$B$4,nASIG,"&lt;&gt;Lenguaje Musical",nASIG,"&lt;&gt;Coro",nASIG,"&lt;&gt;Conjunto"),""))</f>
        <v/>
      </c>
      <c r="H475" t="str">
        <f>IF(G475="","",IFERROR(AVERAGEIFS(nNOTA,nNIA,G475,nEVAL,CONFIG_METADATA!$B$4,nASIG,"Lenguaje Musical"),""))</f>
        <v/>
      </c>
      <c r="I475" t="str">
        <f>IF(G475="","",IFERROR(AVERAGEIFS(nNOTA,nNIA,G475,nEVAL,CONFIG_METADATA!$B$4,nASIG,"Coro"),""))</f>
        <v/>
      </c>
      <c r="J475" t="str">
        <f>IF(G475="","",IFERROR(AVERAGEIFS(nNOTA,nNIA,G475,nEVAL,CONFIG_METADATA!$B$4,nASIG,"Conjunto"),""))</f>
        <v/>
      </c>
      <c r="K475" t="str" cm="1">
        <f t="array" ref="K475">IF(G475="","",IFERROR(AVERAGE(IF((nNIA=G475)*(nEVAL=CONFIG_METADATA!$B$4)*(nASIG&lt;&gt;"Lenguaje Musical")*(nASIG&lt;&gt;"Coro")*(nASIG&lt;&gt;"Conjunto"),nNOTA)),""))</f>
        <v/>
      </c>
      <c r="N475" t="str">
        <f>IF(M475="","",IFERROR(AVERAGEIFS(nNOTA,nNIA,M475,nEVAL,CONFIG_METADATA!$B$4,nASIG,"Lenguaje Musical"),""))</f>
        <v/>
      </c>
      <c r="O475" t="str">
        <f>IF(M475="","",IFERROR(AVERAGEIFS(nNOTA,nNIA,M475,nEVAL,CONFIG_METADATA!$B$4,nASIG,"Coro"),""))</f>
        <v/>
      </c>
      <c r="P475" t="str">
        <f>IF(M475="","",IFERROR(AVERAGEIFS(nNOTA,nNIA,M475,nEVAL,CONFIG_METADATA!$B$4,nASIG,"Conjunto"),""))</f>
        <v/>
      </c>
      <c r="Q475" t="str">
        <f>IF(M475="","",IFERROR(AVERAGEIFS(nNOTA,nNIA,M475,nEVAL,CONFIG_METADATA!$B$4,nASIG,"&lt;&gt;Lenguaje Musical",nASIG,"&lt;&gt;Coro",nASIG,"&lt;&gt;Conjunto"),""))</f>
        <v/>
      </c>
      <c r="T475" t="str">
        <f>IF(S475="","",IFERROR(AVERAGEIFS(nNOTA,nNIA,S475,nEVAL,CONFIG_METADATA!$B$4,nASIG,"Lenguaje Musical"),""))</f>
        <v/>
      </c>
      <c r="U475" t="str">
        <f>IF(S475="","",IFERROR(AVERAGEIFS(nNOTA,nNIA,S475,nEVAL,CONFIG_METADATA!$B$4,nASIG,"Coro"),""))</f>
        <v/>
      </c>
      <c r="V475" t="str">
        <f>IF(S475="","",IFERROR(AVERAGEIFS(nNOTA,nNIA,S475,nEVAL,CONFIG_METADATA!$B$4,nASIG,"Conjunto"),""))</f>
        <v/>
      </c>
      <c r="W475" t="str" cm="1">
        <f t="array" ref="W475">IF(S475="","",IFERROR(AVERAGE(IF((nNIA=S475)*(nEVAL=CONFIG_METADATA!$B$4)*(nASIG&lt;&gt;"Lenguaje Musical")*(nASIG&lt;&gt;"Coro")*(nASIG&lt;&gt;"Conjunto"),nNOTA)),""))</f>
        <v/>
      </c>
    </row>
    <row r="476" spans="2:23" x14ac:dyDescent="0.2">
      <c r="B476" t="str">
        <f>IF(A476="","",IFERROR(AVERAGEIFS(nNOTA,nNIA,A476,nEVAL,CONFIG_METADATA!$B$4,nASIG,"Lenguaje Musical"),""))</f>
        <v/>
      </c>
      <c r="C476" t="str">
        <f>IF(A476="","",IFERROR(AVERAGEIFS(nNOTA,nNIA,A476,nEVAL,CONFIG_METADATA!$B$4,nASIG,"Coro"),""))</f>
        <v/>
      </c>
      <c r="D476" t="str">
        <f>IF(A476="","",IFERROR(AVERAGEIFS(nNOTA,nNIA,A476,nEVAL,CONFIG_METADATA!$B$4,nASIG,"Conjunto"),""))</f>
        <v/>
      </c>
      <c r="E476" t="str">
        <f>IF(A476="","",IFERROR(AVERAGEIFS(nNOTA,nNIA,A476,nEVAL,CONFIG_METADATA!$B$4,nASIG,"&lt;&gt;Lenguaje Musical",nASIG,"&lt;&gt;Coro",nASIG,"&lt;&gt;Conjunto"),""))</f>
        <v/>
      </c>
      <c r="H476" t="str">
        <f>IF(G476="","",IFERROR(AVERAGEIFS(nNOTA,nNIA,G476,nEVAL,CONFIG_METADATA!$B$4,nASIG,"Lenguaje Musical"),""))</f>
        <v/>
      </c>
      <c r="I476" t="str">
        <f>IF(G476="","",IFERROR(AVERAGEIFS(nNOTA,nNIA,G476,nEVAL,CONFIG_METADATA!$B$4,nASIG,"Coro"),""))</f>
        <v/>
      </c>
      <c r="J476" t="str">
        <f>IF(G476="","",IFERROR(AVERAGEIFS(nNOTA,nNIA,G476,nEVAL,CONFIG_METADATA!$B$4,nASIG,"Conjunto"),""))</f>
        <v/>
      </c>
      <c r="K476" t="str" cm="1">
        <f t="array" ref="K476">IF(G476="","",IFERROR(AVERAGE(IF((nNIA=G476)*(nEVAL=CONFIG_METADATA!$B$4)*(nASIG&lt;&gt;"Lenguaje Musical")*(nASIG&lt;&gt;"Coro")*(nASIG&lt;&gt;"Conjunto"),nNOTA)),""))</f>
        <v/>
      </c>
      <c r="N476" t="str">
        <f>IF(M476="","",IFERROR(AVERAGEIFS(nNOTA,nNIA,M476,nEVAL,CONFIG_METADATA!$B$4,nASIG,"Lenguaje Musical"),""))</f>
        <v/>
      </c>
      <c r="O476" t="str">
        <f>IF(M476="","",IFERROR(AVERAGEIFS(nNOTA,nNIA,M476,nEVAL,CONFIG_METADATA!$B$4,nASIG,"Coro"),""))</f>
        <v/>
      </c>
      <c r="P476" t="str">
        <f>IF(M476="","",IFERROR(AVERAGEIFS(nNOTA,nNIA,M476,nEVAL,CONFIG_METADATA!$B$4,nASIG,"Conjunto"),""))</f>
        <v/>
      </c>
      <c r="Q476" t="str">
        <f>IF(M476="","",IFERROR(AVERAGEIFS(nNOTA,nNIA,M476,nEVAL,CONFIG_METADATA!$B$4,nASIG,"&lt;&gt;Lenguaje Musical",nASIG,"&lt;&gt;Coro",nASIG,"&lt;&gt;Conjunto"),""))</f>
        <v/>
      </c>
      <c r="T476" t="str">
        <f>IF(S476="","",IFERROR(AVERAGEIFS(nNOTA,nNIA,S476,nEVAL,CONFIG_METADATA!$B$4,nASIG,"Lenguaje Musical"),""))</f>
        <v/>
      </c>
      <c r="U476" t="str">
        <f>IF(S476="","",IFERROR(AVERAGEIFS(nNOTA,nNIA,S476,nEVAL,CONFIG_METADATA!$B$4,nASIG,"Coro"),""))</f>
        <v/>
      </c>
      <c r="V476" t="str">
        <f>IF(S476="","",IFERROR(AVERAGEIFS(nNOTA,nNIA,S476,nEVAL,CONFIG_METADATA!$B$4,nASIG,"Conjunto"),""))</f>
        <v/>
      </c>
      <c r="W476" t="str" cm="1">
        <f t="array" ref="W476">IF(S476="","",IFERROR(AVERAGE(IF((nNIA=S476)*(nEVAL=CONFIG_METADATA!$B$4)*(nASIG&lt;&gt;"Lenguaje Musical")*(nASIG&lt;&gt;"Coro")*(nASIG&lt;&gt;"Conjunto"),nNOTA)),""))</f>
        <v/>
      </c>
    </row>
    <row r="477" spans="2:23" x14ac:dyDescent="0.2">
      <c r="B477" t="str">
        <f>IF(A477="","",IFERROR(AVERAGEIFS(nNOTA,nNIA,A477,nEVAL,CONFIG_METADATA!$B$4,nASIG,"Lenguaje Musical"),""))</f>
        <v/>
      </c>
      <c r="C477" t="str">
        <f>IF(A477="","",IFERROR(AVERAGEIFS(nNOTA,nNIA,A477,nEVAL,CONFIG_METADATA!$B$4,nASIG,"Coro"),""))</f>
        <v/>
      </c>
      <c r="D477" t="str">
        <f>IF(A477="","",IFERROR(AVERAGEIFS(nNOTA,nNIA,A477,nEVAL,CONFIG_METADATA!$B$4,nASIG,"Conjunto"),""))</f>
        <v/>
      </c>
      <c r="E477" t="str">
        <f>IF(A477="","",IFERROR(AVERAGEIFS(nNOTA,nNIA,A477,nEVAL,CONFIG_METADATA!$B$4,nASIG,"&lt;&gt;Lenguaje Musical",nASIG,"&lt;&gt;Coro",nASIG,"&lt;&gt;Conjunto"),""))</f>
        <v/>
      </c>
      <c r="H477" t="str">
        <f>IF(G477="","",IFERROR(AVERAGEIFS(nNOTA,nNIA,G477,nEVAL,CONFIG_METADATA!$B$4,nASIG,"Lenguaje Musical"),""))</f>
        <v/>
      </c>
      <c r="I477" t="str">
        <f>IF(G477="","",IFERROR(AVERAGEIFS(nNOTA,nNIA,G477,nEVAL,CONFIG_METADATA!$B$4,nASIG,"Coro"),""))</f>
        <v/>
      </c>
      <c r="J477" t="str">
        <f>IF(G477="","",IFERROR(AVERAGEIFS(nNOTA,nNIA,G477,nEVAL,CONFIG_METADATA!$B$4,nASIG,"Conjunto"),""))</f>
        <v/>
      </c>
      <c r="K477" t="str" cm="1">
        <f t="array" ref="K477">IF(G477="","",IFERROR(AVERAGE(IF((nNIA=G477)*(nEVAL=CONFIG_METADATA!$B$4)*(nASIG&lt;&gt;"Lenguaje Musical")*(nASIG&lt;&gt;"Coro")*(nASIG&lt;&gt;"Conjunto"),nNOTA)),""))</f>
        <v/>
      </c>
      <c r="N477" t="str">
        <f>IF(M477="","",IFERROR(AVERAGEIFS(nNOTA,nNIA,M477,nEVAL,CONFIG_METADATA!$B$4,nASIG,"Lenguaje Musical"),""))</f>
        <v/>
      </c>
      <c r="O477" t="str">
        <f>IF(M477="","",IFERROR(AVERAGEIFS(nNOTA,nNIA,M477,nEVAL,CONFIG_METADATA!$B$4,nASIG,"Coro"),""))</f>
        <v/>
      </c>
      <c r="P477" t="str">
        <f>IF(M477="","",IFERROR(AVERAGEIFS(nNOTA,nNIA,M477,nEVAL,CONFIG_METADATA!$B$4,nASIG,"Conjunto"),""))</f>
        <v/>
      </c>
      <c r="Q477" t="str">
        <f>IF(M477="","",IFERROR(AVERAGEIFS(nNOTA,nNIA,M477,nEVAL,CONFIG_METADATA!$B$4,nASIG,"&lt;&gt;Lenguaje Musical",nASIG,"&lt;&gt;Coro",nASIG,"&lt;&gt;Conjunto"),""))</f>
        <v/>
      </c>
      <c r="T477" t="str">
        <f>IF(S477="","",IFERROR(AVERAGEIFS(nNOTA,nNIA,S477,nEVAL,CONFIG_METADATA!$B$4,nASIG,"Lenguaje Musical"),""))</f>
        <v/>
      </c>
      <c r="U477" t="str">
        <f>IF(S477="","",IFERROR(AVERAGEIFS(nNOTA,nNIA,S477,nEVAL,CONFIG_METADATA!$B$4,nASIG,"Coro"),""))</f>
        <v/>
      </c>
      <c r="V477" t="str">
        <f>IF(S477="","",IFERROR(AVERAGEIFS(nNOTA,nNIA,S477,nEVAL,CONFIG_METADATA!$B$4,nASIG,"Conjunto"),""))</f>
        <v/>
      </c>
      <c r="W477" t="str" cm="1">
        <f t="array" ref="W477">IF(S477="","",IFERROR(AVERAGE(IF((nNIA=S477)*(nEVAL=CONFIG_METADATA!$B$4)*(nASIG&lt;&gt;"Lenguaje Musical")*(nASIG&lt;&gt;"Coro")*(nASIG&lt;&gt;"Conjunto"),nNOTA)),""))</f>
        <v/>
      </c>
    </row>
    <row r="478" spans="2:23" x14ac:dyDescent="0.2">
      <c r="B478" t="str">
        <f>IF(A478="","",IFERROR(AVERAGEIFS(nNOTA,nNIA,A478,nEVAL,CONFIG_METADATA!$B$4,nASIG,"Lenguaje Musical"),""))</f>
        <v/>
      </c>
      <c r="C478" t="str">
        <f>IF(A478="","",IFERROR(AVERAGEIFS(nNOTA,nNIA,A478,nEVAL,CONFIG_METADATA!$B$4,nASIG,"Coro"),""))</f>
        <v/>
      </c>
      <c r="D478" t="str">
        <f>IF(A478="","",IFERROR(AVERAGEIFS(nNOTA,nNIA,A478,nEVAL,CONFIG_METADATA!$B$4,nASIG,"Conjunto"),""))</f>
        <v/>
      </c>
      <c r="E478" t="str">
        <f>IF(A478="","",IFERROR(AVERAGEIFS(nNOTA,nNIA,A478,nEVAL,CONFIG_METADATA!$B$4,nASIG,"&lt;&gt;Lenguaje Musical",nASIG,"&lt;&gt;Coro",nASIG,"&lt;&gt;Conjunto"),""))</f>
        <v/>
      </c>
      <c r="H478" t="str">
        <f>IF(G478="","",IFERROR(AVERAGEIFS(nNOTA,nNIA,G478,nEVAL,CONFIG_METADATA!$B$4,nASIG,"Lenguaje Musical"),""))</f>
        <v/>
      </c>
      <c r="I478" t="str">
        <f>IF(G478="","",IFERROR(AVERAGEIFS(nNOTA,nNIA,G478,nEVAL,CONFIG_METADATA!$B$4,nASIG,"Coro"),""))</f>
        <v/>
      </c>
      <c r="J478" t="str">
        <f>IF(G478="","",IFERROR(AVERAGEIFS(nNOTA,nNIA,G478,nEVAL,CONFIG_METADATA!$B$4,nASIG,"Conjunto"),""))</f>
        <v/>
      </c>
      <c r="K478" t="str" cm="1">
        <f t="array" ref="K478">IF(G478="","",IFERROR(AVERAGE(IF((nNIA=G478)*(nEVAL=CONFIG_METADATA!$B$4)*(nASIG&lt;&gt;"Lenguaje Musical")*(nASIG&lt;&gt;"Coro")*(nASIG&lt;&gt;"Conjunto"),nNOTA)),""))</f>
        <v/>
      </c>
      <c r="N478" t="str">
        <f>IF(M478="","",IFERROR(AVERAGEIFS(nNOTA,nNIA,M478,nEVAL,CONFIG_METADATA!$B$4,nASIG,"Lenguaje Musical"),""))</f>
        <v/>
      </c>
      <c r="O478" t="str">
        <f>IF(M478="","",IFERROR(AVERAGEIFS(nNOTA,nNIA,M478,nEVAL,CONFIG_METADATA!$B$4,nASIG,"Coro"),""))</f>
        <v/>
      </c>
      <c r="P478" t="str">
        <f>IF(M478="","",IFERROR(AVERAGEIFS(nNOTA,nNIA,M478,nEVAL,CONFIG_METADATA!$B$4,nASIG,"Conjunto"),""))</f>
        <v/>
      </c>
      <c r="Q478" t="str">
        <f>IF(M478="","",IFERROR(AVERAGEIFS(nNOTA,nNIA,M478,nEVAL,CONFIG_METADATA!$B$4,nASIG,"&lt;&gt;Lenguaje Musical",nASIG,"&lt;&gt;Coro",nASIG,"&lt;&gt;Conjunto"),""))</f>
        <v/>
      </c>
      <c r="T478" t="str">
        <f>IF(S478="","",IFERROR(AVERAGEIFS(nNOTA,nNIA,S478,nEVAL,CONFIG_METADATA!$B$4,nASIG,"Lenguaje Musical"),""))</f>
        <v/>
      </c>
      <c r="U478" t="str">
        <f>IF(S478="","",IFERROR(AVERAGEIFS(nNOTA,nNIA,S478,nEVAL,CONFIG_METADATA!$B$4,nASIG,"Coro"),""))</f>
        <v/>
      </c>
      <c r="V478" t="str">
        <f>IF(S478="","",IFERROR(AVERAGEIFS(nNOTA,nNIA,S478,nEVAL,CONFIG_METADATA!$B$4,nASIG,"Conjunto"),""))</f>
        <v/>
      </c>
      <c r="W478" t="str" cm="1">
        <f t="array" ref="W478">IF(S478="","",IFERROR(AVERAGE(IF((nNIA=S478)*(nEVAL=CONFIG_METADATA!$B$4)*(nASIG&lt;&gt;"Lenguaje Musical")*(nASIG&lt;&gt;"Coro")*(nASIG&lt;&gt;"Conjunto"),nNOTA)),""))</f>
        <v/>
      </c>
    </row>
    <row r="479" spans="2:23" x14ac:dyDescent="0.2">
      <c r="B479" t="str">
        <f>IF(A479="","",IFERROR(AVERAGEIFS(nNOTA,nNIA,A479,nEVAL,CONFIG_METADATA!$B$4,nASIG,"Lenguaje Musical"),""))</f>
        <v/>
      </c>
      <c r="C479" t="str">
        <f>IF(A479="","",IFERROR(AVERAGEIFS(nNOTA,nNIA,A479,nEVAL,CONFIG_METADATA!$B$4,nASIG,"Coro"),""))</f>
        <v/>
      </c>
      <c r="D479" t="str">
        <f>IF(A479="","",IFERROR(AVERAGEIFS(nNOTA,nNIA,A479,nEVAL,CONFIG_METADATA!$B$4,nASIG,"Conjunto"),""))</f>
        <v/>
      </c>
      <c r="E479" t="str">
        <f>IF(A479="","",IFERROR(AVERAGEIFS(nNOTA,nNIA,A479,nEVAL,CONFIG_METADATA!$B$4,nASIG,"&lt;&gt;Lenguaje Musical",nASIG,"&lt;&gt;Coro",nASIG,"&lt;&gt;Conjunto"),""))</f>
        <v/>
      </c>
      <c r="H479" t="str">
        <f>IF(G479="","",IFERROR(AVERAGEIFS(nNOTA,nNIA,G479,nEVAL,CONFIG_METADATA!$B$4,nASIG,"Lenguaje Musical"),""))</f>
        <v/>
      </c>
      <c r="I479" t="str">
        <f>IF(G479="","",IFERROR(AVERAGEIFS(nNOTA,nNIA,G479,nEVAL,CONFIG_METADATA!$B$4,nASIG,"Coro"),""))</f>
        <v/>
      </c>
      <c r="J479" t="str">
        <f>IF(G479="","",IFERROR(AVERAGEIFS(nNOTA,nNIA,G479,nEVAL,CONFIG_METADATA!$B$4,nASIG,"Conjunto"),""))</f>
        <v/>
      </c>
      <c r="K479" t="str" cm="1">
        <f t="array" ref="K479">IF(G479="","",IFERROR(AVERAGE(IF((nNIA=G479)*(nEVAL=CONFIG_METADATA!$B$4)*(nASIG&lt;&gt;"Lenguaje Musical")*(nASIG&lt;&gt;"Coro")*(nASIG&lt;&gt;"Conjunto"),nNOTA)),""))</f>
        <v/>
      </c>
      <c r="N479" t="str">
        <f>IF(M479="","",IFERROR(AVERAGEIFS(nNOTA,nNIA,M479,nEVAL,CONFIG_METADATA!$B$4,nASIG,"Lenguaje Musical"),""))</f>
        <v/>
      </c>
      <c r="O479" t="str">
        <f>IF(M479="","",IFERROR(AVERAGEIFS(nNOTA,nNIA,M479,nEVAL,CONFIG_METADATA!$B$4,nASIG,"Coro"),""))</f>
        <v/>
      </c>
      <c r="P479" t="str">
        <f>IF(M479="","",IFERROR(AVERAGEIFS(nNOTA,nNIA,M479,nEVAL,CONFIG_METADATA!$B$4,nASIG,"Conjunto"),""))</f>
        <v/>
      </c>
      <c r="Q479" t="str">
        <f>IF(M479="","",IFERROR(AVERAGEIFS(nNOTA,nNIA,M479,nEVAL,CONFIG_METADATA!$B$4,nASIG,"&lt;&gt;Lenguaje Musical",nASIG,"&lt;&gt;Coro",nASIG,"&lt;&gt;Conjunto"),""))</f>
        <v/>
      </c>
      <c r="T479" t="str">
        <f>IF(S479="","",IFERROR(AVERAGEIFS(nNOTA,nNIA,S479,nEVAL,CONFIG_METADATA!$B$4,nASIG,"Lenguaje Musical"),""))</f>
        <v/>
      </c>
      <c r="U479" t="str">
        <f>IF(S479="","",IFERROR(AVERAGEIFS(nNOTA,nNIA,S479,nEVAL,CONFIG_METADATA!$B$4,nASIG,"Coro"),""))</f>
        <v/>
      </c>
      <c r="V479" t="str">
        <f>IF(S479="","",IFERROR(AVERAGEIFS(nNOTA,nNIA,S479,nEVAL,CONFIG_METADATA!$B$4,nASIG,"Conjunto"),""))</f>
        <v/>
      </c>
      <c r="W479" t="str" cm="1">
        <f t="array" ref="W479">IF(S479="","",IFERROR(AVERAGE(IF((nNIA=S479)*(nEVAL=CONFIG_METADATA!$B$4)*(nASIG&lt;&gt;"Lenguaje Musical")*(nASIG&lt;&gt;"Coro")*(nASIG&lt;&gt;"Conjunto"),nNOTA)),""))</f>
        <v/>
      </c>
    </row>
    <row r="480" spans="2:23" x14ac:dyDescent="0.2">
      <c r="B480" t="str">
        <f>IF(A480="","",IFERROR(AVERAGEIFS(nNOTA,nNIA,A480,nEVAL,CONFIG_METADATA!$B$4,nASIG,"Lenguaje Musical"),""))</f>
        <v/>
      </c>
      <c r="C480" t="str">
        <f>IF(A480="","",IFERROR(AVERAGEIFS(nNOTA,nNIA,A480,nEVAL,CONFIG_METADATA!$B$4,nASIG,"Coro"),""))</f>
        <v/>
      </c>
      <c r="D480" t="str">
        <f>IF(A480="","",IFERROR(AVERAGEIFS(nNOTA,nNIA,A480,nEVAL,CONFIG_METADATA!$B$4,nASIG,"Conjunto"),""))</f>
        <v/>
      </c>
      <c r="E480" t="str">
        <f>IF(A480="","",IFERROR(AVERAGEIFS(nNOTA,nNIA,A480,nEVAL,CONFIG_METADATA!$B$4,nASIG,"&lt;&gt;Lenguaje Musical",nASIG,"&lt;&gt;Coro",nASIG,"&lt;&gt;Conjunto"),""))</f>
        <v/>
      </c>
      <c r="H480" t="str">
        <f>IF(G480="","",IFERROR(AVERAGEIFS(nNOTA,nNIA,G480,nEVAL,CONFIG_METADATA!$B$4,nASIG,"Lenguaje Musical"),""))</f>
        <v/>
      </c>
      <c r="I480" t="str">
        <f>IF(G480="","",IFERROR(AVERAGEIFS(nNOTA,nNIA,G480,nEVAL,CONFIG_METADATA!$B$4,nASIG,"Coro"),""))</f>
        <v/>
      </c>
      <c r="J480" t="str">
        <f>IF(G480="","",IFERROR(AVERAGEIFS(nNOTA,nNIA,G480,nEVAL,CONFIG_METADATA!$B$4,nASIG,"Conjunto"),""))</f>
        <v/>
      </c>
      <c r="K480" t="str" cm="1">
        <f t="array" ref="K480">IF(G480="","",IFERROR(AVERAGE(IF((nNIA=G480)*(nEVAL=CONFIG_METADATA!$B$4)*(nASIG&lt;&gt;"Lenguaje Musical")*(nASIG&lt;&gt;"Coro")*(nASIG&lt;&gt;"Conjunto"),nNOTA)),""))</f>
        <v/>
      </c>
      <c r="N480" t="str">
        <f>IF(M480="","",IFERROR(AVERAGEIFS(nNOTA,nNIA,M480,nEVAL,CONFIG_METADATA!$B$4,nASIG,"Lenguaje Musical"),""))</f>
        <v/>
      </c>
      <c r="O480" t="str">
        <f>IF(M480="","",IFERROR(AVERAGEIFS(nNOTA,nNIA,M480,nEVAL,CONFIG_METADATA!$B$4,nASIG,"Coro"),""))</f>
        <v/>
      </c>
      <c r="P480" t="str">
        <f>IF(M480="","",IFERROR(AVERAGEIFS(nNOTA,nNIA,M480,nEVAL,CONFIG_METADATA!$B$4,nASIG,"Conjunto"),""))</f>
        <v/>
      </c>
      <c r="Q480" t="str">
        <f>IF(M480="","",IFERROR(AVERAGEIFS(nNOTA,nNIA,M480,nEVAL,CONFIG_METADATA!$B$4,nASIG,"&lt;&gt;Lenguaje Musical",nASIG,"&lt;&gt;Coro",nASIG,"&lt;&gt;Conjunto"),""))</f>
        <v/>
      </c>
      <c r="T480" t="str">
        <f>IF(S480="","",IFERROR(AVERAGEIFS(nNOTA,nNIA,S480,nEVAL,CONFIG_METADATA!$B$4,nASIG,"Lenguaje Musical"),""))</f>
        <v/>
      </c>
      <c r="U480" t="str">
        <f>IF(S480="","",IFERROR(AVERAGEIFS(nNOTA,nNIA,S480,nEVAL,CONFIG_METADATA!$B$4,nASIG,"Coro"),""))</f>
        <v/>
      </c>
      <c r="V480" t="str">
        <f>IF(S480="","",IFERROR(AVERAGEIFS(nNOTA,nNIA,S480,nEVAL,CONFIG_METADATA!$B$4,nASIG,"Conjunto"),""))</f>
        <v/>
      </c>
      <c r="W480" t="str" cm="1">
        <f t="array" ref="W480">IF(S480="","",IFERROR(AVERAGE(IF((nNIA=S480)*(nEVAL=CONFIG_METADATA!$B$4)*(nASIG&lt;&gt;"Lenguaje Musical")*(nASIG&lt;&gt;"Coro")*(nASIG&lt;&gt;"Conjunto"),nNOTA)),""))</f>
        <v/>
      </c>
    </row>
    <row r="481" spans="2:23" x14ac:dyDescent="0.2">
      <c r="B481" t="str">
        <f>IF(A481="","",IFERROR(AVERAGEIFS(nNOTA,nNIA,A481,nEVAL,CONFIG_METADATA!$B$4,nASIG,"Lenguaje Musical"),""))</f>
        <v/>
      </c>
      <c r="C481" t="str">
        <f>IF(A481="","",IFERROR(AVERAGEIFS(nNOTA,nNIA,A481,nEVAL,CONFIG_METADATA!$B$4,nASIG,"Coro"),""))</f>
        <v/>
      </c>
      <c r="D481" t="str">
        <f>IF(A481="","",IFERROR(AVERAGEIFS(nNOTA,nNIA,A481,nEVAL,CONFIG_METADATA!$B$4,nASIG,"Conjunto"),""))</f>
        <v/>
      </c>
      <c r="E481" t="str">
        <f>IF(A481="","",IFERROR(AVERAGEIFS(nNOTA,nNIA,A481,nEVAL,CONFIG_METADATA!$B$4,nASIG,"&lt;&gt;Lenguaje Musical",nASIG,"&lt;&gt;Coro",nASIG,"&lt;&gt;Conjunto"),""))</f>
        <v/>
      </c>
      <c r="H481" t="str">
        <f>IF(G481="","",IFERROR(AVERAGEIFS(nNOTA,nNIA,G481,nEVAL,CONFIG_METADATA!$B$4,nASIG,"Lenguaje Musical"),""))</f>
        <v/>
      </c>
      <c r="I481" t="str">
        <f>IF(G481="","",IFERROR(AVERAGEIFS(nNOTA,nNIA,G481,nEVAL,CONFIG_METADATA!$B$4,nASIG,"Coro"),""))</f>
        <v/>
      </c>
      <c r="J481" t="str">
        <f>IF(G481="","",IFERROR(AVERAGEIFS(nNOTA,nNIA,G481,nEVAL,CONFIG_METADATA!$B$4,nASIG,"Conjunto"),""))</f>
        <v/>
      </c>
      <c r="K481" t="str" cm="1">
        <f t="array" ref="K481">IF(G481="","",IFERROR(AVERAGE(IF((nNIA=G481)*(nEVAL=CONFIG_METADATA!$B$4)*(nASIG&lt;&gt;"Lenguaje Musical")*(nASIG&lt;&gt;"Coro")*(nASIG&lt;&gt;"Conjunto"),nNOTA)),""))</f>
        <v/>
      </c>
      <c r="N481" t="str">
        <f>IF(M481="","",IFERROR(AVERAGEIFS(nNOTA,nNIA,M481,nEVAL,CONFIG_METADATA!$B$4,nASIG,"Lenguaje Musical"),""))</f>
        <v/>
      </c>
      <c r="O481" t="str">
        <f>IF(M481="","",IFERROR(AVERAGEIFS(nNOTA,nNIA,M481,nEVAL,CONFIG_METADATA!$B$4,nASIG,"Coro"),""))</f>
        <v/>
      </c>
      <c r="P481" t="str">
        <f>IF(M481="","",IFERROR(AVERAGEIFS(nNOTA,nNIA,M481,nEVAL,CONFIG_METADATA!$B$4,nASIG,"Conjunto"),""))</f>
        <v/>
      </c>
      <c r="Q481" t="str">
        <f>IF(M481="","",IFERROR(AVERAGEIFS(nNOTA,nNIA,M481,nEVAL,CONFIG_METADATA!$B$4,nASIG,"&lt;&gt;Lenguaje Musical",nASIG,"&lt;&gt;Coro",nASIG,"&lt;&gt;Conjunto"),""))</f>
        <v/>
      </c>
      <c r="T481" t="str">
        <f>IF(S481="","",IFERROR(AVERAGEIFS(nNOTA,nNIA,S481,nEVAL,CONFIG_METADATA!$B$4,nASIG,"Lenguaje Musical"),""))</f>
        <v/>
      </c>
      <c r="U481" t="str">
        <f>IF(S481="","",IFERROR(AVERAGEIFS(nNOTA,nNIA,S481,nEVAL,CONFIG_METADATA!$B$4,nASIG,"Coro"),""))</f>
        <v/>
      </c>
      <c r="V481" t="str">
        <f>IF(S481="","",IFERROR(AVERAGEIFS(nNOTA,nNIA,S481,nEVAL,CONFIG_METADATA!$B$4,nASIG,"Conjunto"),""))</f>
        <v/>
      </c>
      <c r="W481" t="str" cm="1">
        <f t="array" ref="W481">IF(S481="","",IFERROR(AVERAGE(IF((nNIA=S481)*(nEVAL=CONFIG_METADATA!$B$4)*(nASIG&lt;&gt;"Lenguaje Musical")*(nASIG&lt;&gt;"Coro")*(nASIG&lt;&gt;"Conjunto"),nNOTA)),""))</f>
        <v/>
      </c>
    </row>
    <row r="482" spans="2:23" x14ac:dyDescent="0.2">
      <c r="B482" t="str">
        <f>IF(A482="","",IFERROR(AVERAGEIFS(nNOTA,nNIA,A482,nEVAL,CONFIG_METADATA!$B$4,nASIG,"Lenguaje Musical"),""))</f>
        <v/>
      </c>
      <c r="C482" t="str">
        <f>IF(A482="","",IFERROR(AVERAGEIFS(nNOTA,nNIA,A482,nEVAL,CONFIG_METADATA!$B$4,nASIG,"Coro"),""))</f>
        <v/>
      </c>
      <c r="D482" t="str">
        <f>IF(A482="","",IFERROR(AVERAGEIFS(nNOTA,nNIA,A482,nEVAL,CONFIG_METADATA!$B$4,nASIG,"Conjunto"),""))</f>
        <v/>
      </c>
      <c r="E482" t="str">
        <f>IF(A482="","",IFERROR(AVERAGEIFS(nNOTA,nNIA,A482,nEVAL,CONFIG_METADATA!$B$4,nASIG,"&lt;&gt;Lenguaje Musical",nASIG,"&lt;&gt;Coro",nASIG,"&lt;&gt;Conjunto"),""))</f>
        <v/>
      </c>
      <c r="H482" t="str">
        <f>IF(G482="","",IFERROR(AVERAGEIFS(nNOTA,nNIA,G482,nEVAL,CONFIG_METADATA!$B$4,nASIG,"Lenguaje Musical"),""))</f>
        <v/>
      </c>
      <c r="I482" t="str">
        <f>IF(G482="","",IFERROR(AVERAGEIFS(nNOTA,nNIA,G482,nEVAL,CONFIG_METADATA!$B$4,nASIG,"Coro"),""))</f>
        <v/>
      </c>
      <c r="J482" t="str">
        <f>IF(G482="","",IFERROR(AVERAGEIFS(nNOTA,nNIA,G482,nEVAL,CONFIG_METADATA!$B$4,nASIG,"Conjunto"),""))</f>
        <v/>
      </c>
      <c r="K482" t="str" cm="1">
        <f t="array" ref="K482">IF(G482="","",IFERROR(AVERAGE(IF((nNIA=G482)*(nEVAL=CONFIG_METADATA!$B$4)*(nASIG&lt;&gt;"Lenguaje Musical")*(nASIG&lt;&gt;"Coro")*(nASIG&lt;&gt;"Conjunto"),nNOTA)),""))</f>
        <v/>
      </c>
      <c r="N482" t="str">
        <f>IF(M482="","",IFERROR(AVERAGEIFS(nNOTA,nNIA,M482,nEVAL,CONFIG_METADATA!$B$4,nASIG,"Lenguaje Musical"),""))</f>
        <v/>
      </c>
      <c r="O482" t="str">
        <f>IF(M482="","",IFERROR(AVERAGEIFS(nNOTA,nNIA,M482,nEVAL,CONFIG_METADATA!$B$4,nASIG,"Coro"),""))</f>
        <v/>
      </c>
      <c r="P482" t="str">
        <f>IF(M482="","",IFERROR(AVERAGEIFS(nNOTA,nNIA,M482,nEVAL,CONFIG_METADATA!$B$4,nASIG,"Conjunto"),""))</f>
        <v/>
      </c>
      <c r="Q482" t="str">
        <f>IF(M482="","",IFERROR(AVERAGEIFS(nNOTA,nNIA,M482,nEVAL,CONFIG_METADATA!$B$4,nASIG,"&lt;&gt;Lenguaje Musical",nASIG,"&lt;&gt;Coro",nASIG,"&lt;&gt;Conjunto"),""))</f>
        <v/>
      </c>
      <c r="T482" t="str">
        <f>IF(S482="","",IFERROR(AVERAGEIFS(nNOTA,nNIA,S482,nEVAL,CONFIG_METADATA!$B$4,nASIG,"Lenguaje Musical"),""))</f>
        <v/>
      </c>
      <c r="U482" t="str">
        <f>IF(S482="","",IFERROR(AVERAGEIFS(nNOTA,nNIA,S482,nEVAL,CONFIG_METADATA!$B$4,nASIG,"Coro"),""))</f>
        <v/>
      </c>
      <c r="V482" t="str">
        <f>IF(S482="","",IFERROR(AVERAGEIFS(nNOTA,nNIA,S482,nEVAL,CONFIG_METADATA!$B$4,nASIG,"Conjunto"),""))</f>
        <v/>
      </c>
      <c r="W482" t="str" cm="1">
        <f t="array" ref="W482">IF(S482="","",IFERROR(AVERAGE(IF((nNIA=S482)*(nEVAL=CONFIG_METADATA!$B$4)*(nASIG&lt;&gt;"Lenguaje Musical")*(nASIG&lt;&gt;"Coro")*(nASIG&lt;&gt;"Conjunto"),nNOTA)),""))</f>
        <v/>
      </c>
    </row>
    <row r="483" spans="2:23" x14ac:dyDescent="0.2">
      <c r="B483" t="str">
        <f>IF(A483="","",IFERROR(AVERAGEIFS(nNOTA,nNIA,A483,nEVAL,CONFIG_METADATA!$B$4,nASIG,"Lenguaje Musical"),""))</f>
        <v/>
      </c>
      <c r="C483" t="str">
        <f>IF(A483="","",IFERROR(AVERAGEIFS(nNOTA,nNIA,A483,nEVAL,CONFIG_METADATA!$B$4,nASIG,"Coro"),""))</f>
        <v/>
      </c>
      <c r="D483" t="str">
        <f>IF(A483="","",IFERROR(AVERAGEIFS(nNOTA,nNIA,A483,nEVAL,CONFIG_METADATA!$B$4,nASIG,"Conjunto"),""))</f>
        <v/>
      </c>
      <c r="E483" t="str">
        <f>IF(A483="","",IFERROR(AVERAGEIFS(nNOTA,nNIA,A483,nEVAL,CONFIG_METADATA!$B$4,nASIG,"&lt;&gt;Lenguaje Musical",nASIG,"&lt;&gt;Coro",nASIG,"&lt;&gt;Conjunto"),""))</f>
        <v/>
      </c>
      <c r="H483" t="str">
        <f>IF(G483="","",IFERROR(AVERAGEIFS(nNOTA,nNIA,G483,nEVAL,CONFIG_METADATA!$B$4,nASIG,"Lenguaje Musical"),""))</f>
        <v/>
      </c>
      <c r="I483" t="str">
        <f>IF(G483="","",IFERROR(AVERAGEIFS(nNOTA,nNIA,G483,nEVAL,CONFIG_METADATA!$B$4,nASIG,"Coro"),""))</f>
        <v/>
      </c>
      <c r="J483" t="str">
        <f>IF(G483="","",IFERROR(AVERAGEIFS(nNOTA,nNIA,G483,nEVAL,CONFIG_METADATA!$B$4,nASIG,"Conjunto"),""))</f>
        <v/>
      </c>
      <c r="K483" t="str" cm="1">
        <f t="array" ref="K483">IF(G483="","",IFERROR(AVERAGE(IF((nNIA=G483)*(nEVAL=CONFIG_METADATA!$B$4)*(nASIG&lt;&gt;"Lenguaje Musical")*(nASIG&lt;&gt;"Coro")*(nASIG&lt;&gt;"Conjunto"),nNOTA)),""))</f>
        <v/>
      </c>
      <c r="N483" t="str">
        <f>IF(M483="","",IFERROR(AVERAGEIFS(nNOTA,nNIA,M483,nEVAL,CONFIG_METADATA!$B$4,nASIG,"Lenguaje Musical"),""))</f>
        <v/>
      </c>
      <c r="O483" t="str">
        <f>IF(M483="","",IFERROR(AVERAGEIFS(nNOTA,nNIA,M483,nEVAL,CONFIG_METADATA!$B$4,nASIG,"Coro"),""))</f>
        <v/>
      </c>
      <c r="P483" t="str">
        <f>IF(M483="","",IFERROR(AVERAGEIFS(nNOTA,nNIA,M483,nEVAL,CONFIG_METADATA!$B$4,nASIG,"Conjunto"),""))</f>
        <v/>
      </c>
      <c r="Q483" t="str">
        <f>IF(M483="","",IFERROR(AVERAGEIFS(nNOTA,nNIA,M483,nEVAL,CONFIG_METADATA!$B$4,nASIG,"&lt;&gt;Lenguaje Musical",nASIG,"&lt;&gt;Coro",nASIG,"&lt;&gt;Conjunto"),""))</f>
        <v/>
      </c>
      <c r="T483" t="str">
        <f>IF(S483="","",IFERROR(AVERAGEIFS(nNOTA,nNIA,S483,nEVAL,CONFIG_METADATA!$B$4,nASIG,"Lenguaje Musical"),""))</f>
        <v/>
      </c>
      <c r="U483" t="str">
        <f>IF(S483="","",IFERROR(AVERAGEIFS(nNOTA,nNIA,S483,nEVAL,CONFIG_METADATA!$B$4,nASIG,"Coro"),""))</f>
        <v/>
      </c>
      <c r="V483" t="str">
        <f>IF(S483="","",IFERROR(AVERAGEIFS(nNOTA,nNIA,S483,nEVAL,CONFIG_METADATA!$B$4,nASIG,"Conjunto"),""))</f>
        <v/>
      </c>
      <c r="W483" t="str" cm="1">
        <f t="array" ref="W483">IF(S483="","",IFERROR(AVERAGE(IF((nNIA=S483)*(nEVAL=CONFIG_METADATA!$B$4)*(nASIG&lt;&gt;"Lenguaje Musical")*(nASIG&lt;&gt;"Coro")*(nASIG&lt;&gt;"Conjunto"),nNOTA)),""))</f>
        <v/>
      </c>
    </row>
    <row r="484" spans="2:23" x14ac:dyDescent="0.2">
      <c r="B484" t="str">
        <f>IF(A484="","",IFERROR(AVERAGEIFS(nNOTA,nNIA,A484,nEVAL,CONFIG_METADATA!$B$4,nASIG,"Lenguaje Musical"),""))</f>
        <v/>
      </c>
      <c r="C484" t="str">
        <f>IF(A484="","",IFERROR(AVERAGEIFS(nNOTA,nNIA,A484,nEVAL,CONFIG_METADATA!$B$4,nASIG,"Coro"),""))</f>
        <v/>
      </c>
      <c r="D484" t="str">
        <f>IF(A484="","",IFERROR(AVERAGEIFS(nNOTA,nNIA,A484,nEVAL,CONFIG_METADATA!$B$4,nASIG,"Conjunto"),""))</f>
        <v/>
      </c>
      <c r="E484" t="str">
        <f>IF(A484="","",IFERROR(AVERAGEIFS(nNOTA,nNIA,A484,nEVAL,CONFIG_METADATA!$B$4,nASIG,"&lt;&gt;Lenguaje Musical",nASIG,"&lt;&gt;Coro",nASIG,"&lt;&gt;Conjunto"),""))</f>
        <v/>
      </c>
      <c r="H484" t="str">
        <f>IF(G484="","",IFERROR(AVERAGEIFS(nNOTA,nNIA,G484,nEVAL,CONFIG_METADATA!$B$4,nASIG,"Lenguaje Musical"),""))</f>
        <v/>
      </c>
      <c r="I484" t="str">
        <f>IF(G484="","",IFERROR(AVERAGEIFS(nNOTA,nNIA,G484,nEVAL,CONFIG_METADATA!$B$4,nASIG,"Coro"),""))</f>
        <v/>
      </c>
      <c r="J484" t="str">
        <f>IF(G484="","",IFERROR(AVERAGEIFS(nNOTA,nNIA,G484,nEVAL,CONFIG_METADATA!$B$4,nASIG,"Conjunto"),""))</f>
        <v/>
      </c>
      <c r="K484" t="str" cm="1">
        <f t="array" ref="K484">IF(G484="","",IFERROR(AVERAGE(IF((nNIA=G484)*(nEVAL=CONFIG_METADATA!$B$4)*(nASIG&lt;&gt;"Lenguaje Musical")*(nASIG&lt;&gt;"Coro")*(nASIG&lt;&gt;"Conjunto"),nNOTA)),""))</f>
        <v/>
      </c>
      <c r="N484" t="str">
        <f>IF(M484="","",IFERROR(AVERAGEIFS(nNOTA,nNIA,M484,nEVAL,CONFIG_METADATA!$B$4,nASIG,"Lenguaje Musical"),""))</f>
        <v/>
      </c>
      <c r="O484" t="str">
        <f>IF(M484="","",IFERROR(AVERAGEIFS(nNOTA,nNIA,M484,nEVAL,CONFIG_METADATA!$B$4,nASIG,"Coro"),""))</f>
        <v/>
      </c>
      <c r="P484" t="str">
        <f>IF(M484="","",IFERROR(AVERAGEIFS(nNOTA,nNIA,M484,nEVAL,CONFIG_METADATA!$B$4,nASIG,"Conjunto"),""))</f>
        <v/>
      </c>
      <c r="Q484" t="str">
        <f>IF(M484="","",IFERROR(AVERAGEIFS(nNOTA,nNIA,M484,nEVAL,CONFIG_METADATA!$B$4,nASIG,"&lt;&gt;Lenguaje Musical",nASIG,"&lt;&gt;Coro",nASIG,"&lt;&gt;Conjunto"),""))</f>
        <v/>
      </c>
      <c r="T484" t="str">
        <f>IF(S484="","",IFERROR(AVERAGEIFS(nNOTA,nNIA,S484,nEVAL,CONFIG_METADATA!$B$4,nASIG,"Lenguaje Musical"),""))</f>
        <v/>
      </c>
      <c r="U484" t="str">
        <f>IF(S484="","",IFERROR(AVERAGEIFS(nNOTA,nNIA,S484,nEVAL,CONFIG_METADATA!$B$4,nASIG,"Coro"),""))</f>
        <v/>
      </c>
      <c r="V484" t="str">
        <f>IF(S484="","",IFERROR(AVERAGEIFS(nNOTA,nNIA,S484,nEVAL,CONFIG_METADATA!$B$4,nASIG,"Conjunto"),""))</f>
        <v/>
      </c>
      <c r="W484" t="str" cm="1">
        <f t="array" ref="W484">IF(S484="","",IFERROR(AVERAGE(IF((nNIA=S484)*(nEVAL=CONFIG_METADATA!$B$4)*(nASIG&lt;&gt;"Lenguaje Musical")*(nASIG&lt;&gt;"Coro")*(nASIG&lt;&gt;"Conjunto"),nNOTA)),""))</f>
        <v/>
      </c>
    </row>
    <row r="485" spans="2:23" x14ac:dyDescent="0.2">
      <c r="B485" t="str">
        <f>IF(A485="","",IFERROR(AVERAGEIFS(nNOTA,nNIA,A485,nEVAL,CONFIG_METADATA!$B$4,nASIG,"Lenguaje Musical"),""))</f>
        <v/>
      </c>
      <c r="C485" t="str">
        <f>IF(A485="","",IFERROR(AVERAGEIFS(nNOTA,nNIA,A485,nEVAL,CONFIG_METADATA!$B$4,nASIG,"Coro"),""))</f>
        <v/>
      </c>
      <c r="D485" t="str">
        <f>IF(A485="","",IFERROR(AVERAGEIFS(nNOTA,nNIA,A485,nEVAL,CONFIG_METADATA!$B$4,nASIG,"Conjunto"),""))</f>
        <v/>
      </c>
      <c r="E485" t="str">
        <f>IF(A485="","",IFERROR(AVERAGEIFS(nNOTA,nNIA,A485,nEVAL,CONFIG_METADATA!$B$4,nASIG,"&lt;&gt;Lenguaje Musical",nASIG,"&lt;&gt;Coro",nASIG,"&lt;&gt;Conjunto"),""))</f>
        <v/>
      </c>
      <c r="H485" t="str">
        <f>IF(G485="","",IFERROR(AVERAGEIFS(nNOTA,nNIA,G485,nEVAL,CONFIG_METADATA!$B$4,nASIG,"Lenguaje Musical"),""))</f>
        <v/>
      </c>
      <c r="I485" t="str">
        <f>IF(G485="","",IFERROR(AVERAGEIFS(nNOTA,nNIA,G485,nEVAL,CONFIG_METADATA!$B$4,nASIG,"Coro"),""))</f>
        <v/>
      </c>
      <c r="J485" t="str">
        <f>IF(G485="","",IFERROR(AVERAGEIFS(nNOTA,nNIA,G485,nEVAL,CONFIG_METADATA!$B$4,nASIG,"Conjunto"),""))</f>
        <v/>
      </c>
      <c r="K485" t="str" cm="1">
        <f t="array" ref="K485">IF(G485="","",IFERROR(AVERAGE(IF((nNIA=G485)*(nEVAL=CONFIG_METADATA!$B$4)*(nASIG&lt;&gt;"Lenguaje Musical")*(nASIG&lt;&gt;"Coro")*(nASIG&lt;&gt;"Conjunto"),nNOTA)),""))</f>
        <v/>
      </c>
      <c r="N485" t="str">
        <f>IF(M485="","",IFERROR(AVERAGEIFS(nNOTA,nNIA,M485,nEVAL,CONFIG_METADATA!$B$4,nASIG,"Lenguaje Musical"),""))</f>
        <v/>
      </c>
      <c r="O485" t="str">
        <f>IF(M485="","",IFERROR(AVERAGEIFS(nNOTA,nNIA,M485,nEVAL,CONFIG_METADATA!$B$4,nASIG,"Coro"),""))</f>
        <v/>
      </c>
      <c r="P485" t="str">
        <f>IF(M485="","",IFERROR(AVERAGEIFS(nNOTA,nNIA,M485,nEVAL,CONFIG_METADATA!$B$4,nASIG,"Conjunto"),""))</f>
        <v/>
      </c>
      <c r="Q485" t="str">
        <f>IF(M485="","",IFERROR(AVERAGEIFS(nNOTA,nNIA,M485,nEVAL,CONFIG_METADATA!$B$4,nASIG,"&lt;&gt;Lenguaje Musical",nASIG,"&lt;&gt;Coro",nASIG,"&lt;&gt;Conjunto"),""))</f>
        <v/>
      </c>
      <c r="T485" t="str">
        <f>IF(S485="","",IFERROR(AVERAGEIFS(nNOTA,nNIA,S485,nEVAL,CONFIG_METADATA!$B$4,nASIG,"Lenguaje Musical"),""))</f>
        <v/>
      </c>
      <c r="U485" t="str">
        <f>IF(S485="","",IFERROR(AVERAGEIFS(nNOTA,nNIA,S485,nEVAL,CONFIG_METADATA!$B$4,nASIG,"Coro"),""))</f>
        <v/>
      </c>
      <c r="V485" t="str">
        <f>IF(S485="","",IFERROR(AVERAGEIFS(nNOTA,nNIA,S485,nEVAL,CONFIG_METADATA!$B$4,nASIG,"Conjunto"),""))</f>
        <v/>
      </c>
      <c r="W485" t="str" cm="1">
        <f t="array" ref="W485">IF(S485="","",IFERROR(AVERAGE(IF((nNIA=S485)*(nEVAL=CONFIG_METADATA!$B$4)*(nASIG&lt;&gt;"Lenguaje Musical")*(nASIG&lt;&gt;"Coro")*(nASIG&lt;&gt;"Conjunto"),nNOTA)),""))</f>
        <v/>
      </c>
    </row>
    <row r="486" spans="2:23" x14ac:dyDescent="0.2">
      <c r="B486" t="str">
        <f>IF(A486="","",IFERROR(AVERAGEIFS(nNOTA,nNIA,A486,nEVAL,CONFIG_METADATA!$B$4,nASIG,"Lenguaje Musical"),""))</f>
        <v/>
      </c>
      <c r="C486" t="str">
        <f>IF(A486="","",IFERROR(AVERAGEIFS(nNOTA,nNIA,A486,nEVAL,CONFIG_METADATA!$B$4,nASIG,"Coro"),""))</f>
        <v/>
      </c>
      <c r="D486" t="str">
        <f>IF(A486="","",IFERROR(AVERAGEIFS(nNOTA,nNIA,A486,nEVAL,CONFIG_METADATA!$B$4,nASIG,"Conjunto"),""))</f>
        <v/>
      </c>
      <c r="E486" t="str">
        <f>IF(A486="","",IFERROR(AVERAGEIFS(nNOTA,nNIA,A486,nEVAL,CONFIG_METADATA!$B$4,nASIG,"&lt;&gt;Lenguaje Musical",nASIG,"&lt;&gt;Coro",nASIG,"&lt;&gt;Conjunto"),""))</f>
        <v/>
      </c>
      <c r="H486" t="str">
        <f>IF(G486="","",IFERROR(AVERAGEIFS(nNOTA,nNIA,G486,nEVAL,CONFIG_METADATA!$B$4,nASIG,"Lenguaje Musical"),""))</f>
        <v/>
      </c>
      <c r="I486" t="str">
        <f>IF(G486="","",IFERROR(AVERAGEIFS(nNOTA,nNIA,G486,nEVAL,CONFIG_METADATA!$B$4,nASIG,"Coro"),""))</f>
        <v/>
      </c>
      <c r="J486" t="str">
        <f>IF(G486="","",IFERROR(AVERAGEIFS(nNOTA,nNIA,G486,nEVAL,CONFIG_METADATA!$B$4,nASIG,"Conjunto"),""))</f>
        <v/>
      </c>
      <c r="K486" t="str" cm="1">
        <f t="array" ref="K486">IF(G486="","",IFERROR(AVERAGE(IF((nNIA=G486)*(nEVAL=CONFIG_METADATA!$B$4)*(nASIG&lt;&gt;"Lenguaje Musical")*(nASIG&lt;&gt;"Coro")*(nASIG&lt;&gt;"Conjunto"),nNOTA)),""))</f>
        <v/>
      </c>
      <c r="N486" t="str">
        <f>IF(M486="","",IFERROR(AVERAGEIFS(nNOTA,nNIA,M486,nEVAL,CONFIG_METADATA!$B$4,nASIG,"Lenguaje Musical"),""))</f>
        <v/>
      </c>
      <c r="O486" t="str">
        <f>IF(M486="","",IFERROR(AVERAGEIFS(nNOTA,nNIA,M486,nEVAL,CONFIG_METADATA!$B$4,nASIG,"Coro"),""))</f>
        <v/>
      </c>
      <c r="P486" t="str">
        <f>IF(M486="","",IFERROR(AVERAGEIFS(nNOTA,nNIA,M486,nEVAL,CONFIG_METADATA!$B$4,nASIG,"Conjunto"),""))</f>
        <v/>
      </c>
      <c r="Q486" t="str">
        <f>IF(M486="","",IFERROR(AVERAGEIFS(nNOTA,nNIA,M486,nEVAL,CONFIG_METADATA!$B$4,nASIG,"&lt;&gt;Lenguaje Musical",nASIG,"&lt;&gt;Coro",nASIG,"&lt;&gt;Conjunto"),""))</f>
        <v/>
      </c>
      <c r="T486" t="str">
        <f>IF(S486="","",IFERROR(AVERAGEIFS(nNOTA,nNIA,S486,nEVAL,CONFIG_METADATA!$B$4,nASIG,"Lenguaje Musical"),""))</f>
        <v/>
      </c>
      <c r="U486" t="str">
        <f>IF(S486="","",IFERROR(AVERAGEIFS(nNOTA,nNIA,S486,nEVAL,CONFIG_METADATA!$B$4,nASIG,"Coro"),""))</f>
        <v/>
      </c>
      <c r="V486" t="str">
        <f>IF(S486="","",IFERROR(AVERAGEIFS(nNOTA,nNIA,S486,nEVAL,CONFIG_METADATA!$B$4,nASIG,"Conjunto"),""))</f>
        <v/>
      </c>
      <c r="W486" t="str" cm="1">
        <f t="array" ref="W486">IF(S486="","",IFERROR(AVERAGE(IF((nNIA=S486)*(nEVAL=CONFIG_METADATA!$B$4)*(nASIG&lt;&gt;"Lenguaje Musical")*(nASIG&lt;&gt;"Coro")*(nASIG&lt;&gt;"Conjunto"),nNOTA)),""))</f>
        <v/>
      </c>
    </row>
    <row r="487" spans="2:23" x14ac:dyDescent="0.2">
      <c r="B487" t="str">
        <f>IF(A487="","",IFERROR(AVERAGEIFS(nNOTA,nNIA,A487,nEVAL,CONFIG_METADATA!$B$4,nASIG,"Lenguaje Musical"),""))</f>
        <v/>
      </c>
      <c r="C487" t="str">
        <f>IF(A487="","",IFERROR(AVERAGEIFS(nNOTA,nNIA,A487,nEVAL,CONFIG_METADATA!$B$4,nASIG,"Coro"),""))</f>
        <v/>
      </c>
      <c r="D487" t="str">
        <f>IF(A487="","",IFERROR(AVERAGEIFS(nNOTA,nNIA,A487,nEVAL,CONFIG_METADATA!$B$4,nASIG,"Conjunto"),""))</f>
        <v/>
      </c>
      <c r="E487" t="str">
        <f>IF(A487="","",IFERROR(AVERAGEIFS(nNOTA,nNIA,A487,nEVAL,CONFIG_METADATA!$B$4,nASIG,"&lt;&gt;Lenguaje Musical",nASIG,"&lt;&gt;Coro",nASIG,"&lt;&gt;Conjunto"),""))</f>
        <v/>
      </c>
      <c r="H487" t="str">
        <f>IF(G487="","",IFERROR(AVERAGEIFS(nNOTA,nNIA,G487,nEVAL,CONFIG_METADATA!$B$4,nASIG,"Lenguaje Musical"),""))</f>
        <v/>
      </c>
      <c r="I487" t="str">
        <f>IF(G487="","",IFERROR(AVERAGEIFS(nNOTA,nNIA,G487,nEVAL,CONFIG_METADATA!$B$4,nASIG,"Coro"),""))</f>
        <v/>
      </c>
      <c r="J487" t="str">
        <f>IF(G487="","",IFERROR(AVERAGEIFS(nNOTA,nNIA,G487,nEVAL,CONFIG_METADATA!$B$4,nASIG,"Conjunto"),""))</f>
        <v/>
      </c>
      <c r="K487" t="str" cm="1">
        <f t="array" ref="K487">IF(G487="","",IFERROR(AVERAGE(IF((nNIA=G487)*(nEVAL=CONFIG_METADATA!$B$4)*(nASIG&lt;&gt;"Lenguaje Musical")*(nASIG&lt;&gt;"Coro")*(nASIG&lt;&gt;"Conjunto"),nNOTA)),""))</f>
        <v/>
      </c>
      <c r="N487" t="str">
        <f>IF(M487="","",IFERROR(AVERAGEIFS(nNOTA,nNIA,M487,nEVAL,CONFIG_METADATA!$B$4,nASIG,"Lenguaje Musical"),""))</f>
        <v/>
      </c>
      <c r="O487" t="str">
        <f>IF(M487="","",IFERROR(AVERAGEIFS(nNOTA,nNIA,M487,nEVAL,CONFIG_METADATA!$B$4,nASIG,"Coro"),""))</f>
        <v/>
      </c>
      <c r="P487" t="str">
        <f>IF(M487="","",IFERROR(AVERAGEIFS(nNOTA,nNIA,M487,nEVAL,CONFIG_METADATA!$B$4,nASIG,"Conjunto"),""))</f>
        <v/>
      </c>
      <c r="Q487" t="str">
        <f>IF(M487="","",IFERROR(AVERAGEIFS(nNOTA,nNIA,M487,nEVAL,CONFIG_METADATA!$B$4,nASIG,"&lt;&gt;Lenguaje Musical",nASIG,"&lt;&gt;Coro",nASIG,"&lt;&gt;Conjunto"),""))</f>
        <v/>
      </c>
      <c r="T487" t="str">
        <f>IF(S487="","",IFERROR(AVERAGEIFS(nNOTA,nNIA,S487,nEVAL,CONFIG_METADATA!$B$4,nASIG,"Lenguaje Musical"),""))</f>
        <v/>
      </c>
      <c r="U487" t="str">
        <f>IF(S487="","",IFERROR(AVERAGEIFS(nNOTA,nNIA,S487,nEVAL,CONFIG_METADATA!$B$4,nASIG,"Coro"),""))</f>
        <v/>
      </c>
      <c r="V487" t="str">
        <f>IF(S487="","",IFERROR(AVERAGEIFS(nNOTA,nNIA,S487,nEVAL,CONFIG_METADATA!$B$4,nASIG,"Conjunto"),""))</f>
        <v/>
      </c>
      <c r="W487" t="str" cm="1">
        <f t="array" ref="W487">IF(S487="","",IFERROR(AVERAGE(IF((nNIA=S487)*(nEVAL=CONFIG_METADATA!$B$4)*(nASIG&lt;&gt;"Lenguaje Musical")*(nASIG&lt;&gt;"Coro")*(nASIG&lt;&gt;"Conjunto"),nNOTA)),""))</f>
        <v/>
      </c>
    </row>
    <row r="488" spans="2:23" x14ac:dyDescent="0.2">
      <c r="B488" t="str">
        <f>IF(A488="","",IFERROR(AVERAGEIFS(nNOTA,nNIA,A488,nEVAL,CONFIG_METADATA!$B$4,nASIG,"Lenguaje Musical"),""))</f>
        <v/>
      </c>
      <c r="C488" t="str">
        <f>IF(A488="","",IFERROR(AVERAGEIFS(nNOTA,nNIA,A488,nEVAL,CONFIG_METADATA!$B$4,nASIG,"Coro"),""))</f>
        <v/>
      </c>
      <c r="D488" t="str">
        <f>IF(A488="","",IFERROR(AVERAGEIFS(nNOTA,nNIA,A488,nEVAL,CONFIG_METADATA!$B$4,nASIG,"Conjunto"),""))</f>
        <v/>
      </c>
      <c r="E488" t="str">
        <f>IF(A488="","",IFERROR(AVERAGEIFS(nNOTA,nNIA,A488,nEVAL,CONFIG_METADATA!$B$4,nASIG,"&lt;&gt;Lenguaje Musical",nASIG,"&lt;&gt;Coro",nASIG,"&lt;&gt;Conjunto"),""))</f>
        <v/>
      </c>
      <c r="H488" t="str">
        <f>IF(G488="","",IFERROR(AVERAGEIFS(nNOTA,nNIA,G488,nEVAL,CONFIG_METADATA!$B$4,nASIG,"Lenguaje Musical"),""))</f>
        <v/>
      </c>
      <c r="I488" t="str">
        <f>IF(G488="","",IFERROR(AVERAGEIFS(nNOTA,nNIA,G488,nEVAL,CONFIG_METADATA!$B$4,nASIG,"Coro"),""))</f>
        <v/>
      </c>
      <c r="J488" t="str">
        <f>IF(G488="","",IFERROR(AVERAGEIFS(nNOTA,nNIA,G488,nEVAL,CONFIG_METADATA!$B$4,nASIG,"Conjunto"),""))</f>
        <v/>
      </c>
      <c r="K488" t="str" cm="1">
        <f t="array" ref="K488">IF(G488="","",IFERROR(AVERAGE(IF((nNIA=G488)*(nEVAL=CONFIG_METADATA!$B$4)*(nASIG&lt;&gt;"Lenguaje Musical")*(nASIG&lt;&gt;"Coro")*(nASIG&lt;&gt;"Conjunto"),nNOTA)),""))</f>
        <v/>
      </c>
      <c r="N488" t="str">
        <f>IF(M488="","",IFERROR(AVERAGEIFS(nNOTA,nNIA,M488,nEVAL,CONFIG_METADATA!$B$4,nASIG,"Lenguaje Musical"),""))</f>
        <v/>
      </c>
      <c r="O488" t="str">
        <f>IF(M488="","",IFERROR(AVERAGEIFS(nNOTA,nNIA,M488,nEVAL,CONFIG_METADATA!$B$4,nASIG,"Coro"),""))</f>
        <v/>
      </c>
      <c r="P488" t="str">
        <f>IF(M488="","",IFERROR(AVERAGEIFS(nNOTA,nNIA,M488,nEVAL,CONFIG_METADATA!$B$4,nASIG,"Conjunto"),""))</f>
        <v/>
      </c>
      <c r="Q488" t="str">
        <f>IF(M488="","",IFERROR(AVERAGEIFS(nNOTA,nNIA,M488,nEVAL,CONFIG_METADATA!$B$4,nASIG,"&lt;&gt;Lenguaje Musical",nASIG,"&lt;&gt;Coro",nASIG,"&lt;&gt;Conjunto"),""))</f>
        <v/>
      </c>
      <c r="T488" t="str">
        <f>IF(S488="","",IFERROR(AVERAGEIFS(nNOTA,nNIA,S488,nEVAL,CONFIG_METADATA!$B$4,nASIG,"Lenguaje Musical"),""))</f>
        <v/>
      </c>
      <c r="U488" t="str">
        <f>IF(S488="","",IFERROR(AVERAGEIFS(nNOTA,nNIA,S488,nEVAL,CONFIG_METADATA!$B$4,nASIG,"Coro"),""))</f>
        <v/>
      </c>
      <c r="V488" t="str">
        <f>IF(S488="","",IFERROR(AVERAGEIFS(nNOTA,nNIA,S488,nEVAL,CONFIG_METADATA!$B$4,nASIG,"Conjunto"),""))</f>
        <v/>
      </c>
      <c r="W488" t="str" cm="1">
        <f t="array" ref="W488">IF(S488="","",IFERROR(AVERAGE(IF((nNIA=S488)*(nEVAL=CONFIG_METADATA!$B$4)*(nASIG&lt;&gt;"Lenguaje Musical")*(nASIG&lt;&gt;"Coro")*(nASIG&lt;&gt;"Conjunto"),nNOTA)),""))</f>
        <v/>
      </c>
    </row>
    <row r="489" spans="2:23" x14ac:dyDescent="0.2">
      <c r="B489" t="str">
        <f>IF(A489="","",IFERROR(AVERAGEIFS(nNOTA,nNIA,A489,nEVAL,CONFIG_METADATA!$B$4,nASIG,"Lenguaje Musical"),""))</f>
        <v/>
      </c>
      <c r="C489" t="str">
        <f>IF(A489="","",IFERROR(AVERAGEIFS(nNOTA,nNIA,A489,nEVAL,CONFIG_METADATA!$B$4,nASIG,"Coro"),""))</f>
        <v/>
      </c>
      <c r="D489" t="str">
        <f>IF(A489="","",IFERROR(AVERAGEIFS(nNOTA,nNIA,A489,nEVAL,CONFIG_METADATA!$B$4,nASIG,"Conjunto"),""))</f>
        <v/>
      </c>
      <c r="E489" t="str">
        <f>IF(A489="","",IFERROR(AVERAGEIFS(nNOTA,nNIA,A489,nEVAL,CONFIG_METADATA!$B$4,nASIG,"&lt;&gt;Lenguaje Musical",nASIG,"&lt;&gt;Coro",nASIG,"&lt;&gt;Conjunto"),""))</f>
        <v/>
      </c>
      <c r="H489" t="str">
        <f>IF(G489="","",IFERROR(AVERAGEIFS(nNOTA,nNIA,G489,nEVAL,CONFIG_METADATA!$B$4,nASIG,"Lenguaje Musical"),""))</f>
        <v/>
      </c>
      <c r="I489" t="str">
        <f>IF(G489="","",IFERROR(AVERAGEIFS(nNOTA,nNIA,G489,nEVAL,CONFIG_METADATA!$B$4,nASIG,"Coro"),""))</f>
        <v/>
      </c>
      <c r="J489" t="str">
        <f>IF(G489="","",IFERROR(AVERAGEIFS(nNOTA,nNIA,G489,nEVAL,CONFIG_METADATA!$B$4,nASIG,"Conjunto"),""))</f>
        <v/>
      </c>
      <c r="K489" t="str" cm="1">
        <f t="array" ref="K489">IF(G489="","",IFERROR(AVERAGE(IF((nNIA=G489)*(nEVAL=CONFIG_METADATA!$B$4)*(nASIG&lt;&gt;"Lenguaje Musical")*(nASIG&lt;&gt;"Coro")*(nASIG&lt;&gt;"Conjunto"),nNOTA)),""))</f>
        <v/>
      </c>
      <c r="N489" t="str">
        <f>IF(M489="","",IFERROR(AVERAGEIFS(nNOTA,nNIA,M489,nEVAL,CONFIG_METADATA!$B$4,nASIG,"Lenguaje Musical"),""))</f>
        <v/>
      </c>
      <c r="O489" t="str">
        <f>IF(M489="","",IFERROR(AVERAGEIFS(nNOTA,nNIA,M489,nEVAL,CONFIG_METADATA!$B$4,nASIG,"Coro"),""))</f>
        <v/>
      </c>
      <c r="P489" t="str">
        <f>IF(M489="","",IFERROR(AVERAGEIFS(nNOTA,nNIA,M489,nEVAL,CONFIG_METADATA!$B$4,nASIG,"Conjunto"),""))</f>
        <v/>
      </c>
      <c r="Q489" t="str">
        <f>IF(M489="","",IFERROR(AVERAGEIFS(nNOTA,nNIA,M489,nEVAL,CONFIG_METADATA!$B$4,nASIG,"&lt;&gt;Lenguaje Musical",nASIG,"&lt;&gt;Coro",nASIG,"&lt;&gt;Conjunto"),""))</f>
        <v/>
      </c>
      <c r="T489" t="str">
        <f>IF(S489="","",IFERROR(AVERAGEIFS(nNOTA,nNIA,S489,nEVAL,CONFIG_METADATA!$B$4,nASIG,"Lenguaje Musical"),""))</f>
        <v/>
      </c>
      <c r="U489" t="str">
        <f>IF(S489="","",IFERROR(AVERAGEIFS(nNOTA,nNIA,S489,nEVAL,CONFIG_METADATA!$B$4,nASIG,"Coro"),""))</f>
        <v/>
      </c>
      <c r="V489" t="str">
        <f>IF(S489="","",IFERROR(AVERAGEIFS(nNOTA,nNIA,S489,nEVAL,CONFIG_METADATA!$B$4,nASIG,"Conjunto"),""))</f>
        <v/>
      </c>
      <c r="W489" t="str" cm="1">
        <f t="array" ref="W489">IF(S489="","",IFERROR(AVERAGE(IF((nNIA=S489)*(nEVAL=CONFIG_METADATA!$B$4)*(nASIG&lt;&gt;"Lenguaje Musical")*(nASIG&lt;&gt;"Coro")*(nASIG&lt;&gt;"Conjunto"),nNOTA)),""))</f>
        <v/>
      </c>
    </row>
    <row r="490" spans="2:23" x14ac:dyDescent="0.2">
      <c r="B490" t="str">
        <f>IF(A490="","",IFERROR(AVERAGEIFS(nNOTA,nNIA,A490,nEVAL,CONFIG_METADATA!$B$4,nASIG,"Lenguaje Musical"),""))</f>
        <v/>
      </c>
      <c r="C490" t="str">
        <f>IF(A490="","",IFERROR(AVERAGEIFS(nNOTA,nNIA,A490,nEVAL,CONFIG_METADATA!$B$4,nASIG,"Coro"),""))</f>
        <v/>
      </c>
      <c r="D490" t="str">
        <f>IF(A490="","",IFERROR(AVERAGEIFS(nNOTA,nNIA,A490,nEVAL,CONFIG_METADATA!$B$4,nASIG,"Conjunto"),""))</f>
        <v/>
      </c>
      <c r="E490" t="str">
        <f>IF(A490="","",IFERROR(AVERAGEIFS(nNOTA,nNIA,A490,nEVAL,CONFIG_METADATA!$B$4,nASIG,"&lt;&gt;Lenguaje Musical",nASIG,"&lt;&gt;Coro",nASIG,"&lt;&gt;Conjunto"),""))</f>
        <v/>
      </c>
      <c r="H490" t="str">
        <f>IF(G490="","",IFERROR(AVERAGEIFS(nNOTA,nNIA,G490,nEVAL,CONFIG_METADATA!$B$4,nASIG,"Lenguaje Musical"),""))</f>
        <v/>
      </c>
      <c r="I490" t="str">
        <f>IF(G490="","",IFERROR(AVERAGEIFS(nNOTA,nNIA,G490,nEVAL,CONFIG_METADATA!$B$4,nASIG,"Coro"),""))</f>
        <v/>
      </c>
      <c r="J490" t="str">
        <f>IF(G490="","",IFERROR(AVERAGEIFS(nNOTA,nNIA,G490,nEVAL,CONFIG_METADATA!$B$4,nASIG,"Conjunto"),""))</f>
        <v/>
      </c>
      <c r="K490" t="str" cm="1">
        <f t="array" ref="K490">IF(G490="","",IFERROR(AVERAGE(IF((nNIA=G490)*(nEVAL=CONFIG_METADATA!$B$4)*(nASIG&lt;&gt;"Lenguaje Musical")*(nASIG&lt;&gt;"Coro")*(nASIG&lt;&gt;"Conjunto"),nNOTA)),""))</f>
        <v/>
      </c>
      <c r="N490" t="str">
        <f>IF(M490="","",IFERROR(AVERAGEIFS(nNOTA,nNIA,M490,nEVAL,CONFIG_METADATA!$B$4,nASIG,"Lenguaje Musical"),""))</f>
        <v/>
      </c>
      <c r="O490" t="str">
        <f>IF(M490="","",IFERROR(AVERAGEIFS(nNOTA,nNIA,M490,nEVAL,CONFIG_METADATA!$B$4,nASIG,"Coro"),""))</f>
        <v/>
      </c>
      <c r="P490" t="str">
        <f>IF(M490="","",IFERROR(AVERAGEIFS(nNOTA,nNIA,M490,nEVAL,CONFIG_METADATA!$B$4,nASIG,"Conjunto"),""))</f>
        <v/>
      </c>
      <c r="Q490" t="str">
        <f>IF(M490="","",IFERROR(AVERAGEIFS(nNOTA,nNIA,M490,nEVAL,CONFIG_METADATA!$B$4,nASIG,"&lt;&gt;Lenguaje Musical",nASIG,"&lt;&gt;Coro",nASIG,"&lt;&gt;Conjunto"),""))</f>
        <v/>
      </c>
      <c r="T490" t="str">
        <f>IF(S490="","",IFERROR(AVERAGEIFS(nNOTA,nNIA,S490,nEVAL,CONFIG_METADATA!$B$4,nASIG,"Lenguaje Musical"),""))</f>
        <v/>
      </c>
      <c r="U490" t="str">
        <f>IF(S490="","",IFERROR(AVERAGEIFS(nNOTA,nNIA,S490,nEVAL,CONFIG_METADATA!$B$4,nASIG,"Coro"),""))</f>
        <v/>
      </c>
      <c r="V490" t="str">
        <f>IF(S490="","",IFERROR(AVERAGEIFS(nNOTA,nNIA,S490,nEVAL,CONFIG_METADATA!$B$4,nASIG,"Conjunto"),""))</f>
        <v/>
      </c>
      <c r="W490" t="str" cm="1">
        <f t="array" ref="W490">IF(S490="","",IFERROR(AVERAGE(IF((nNIA=S490)*(nEVAL=CONFIG_METADATA!$B$4)*(nASIG&lt;&gt;"Lenguaje Musical")*(nASIG&lt;&gt;"Coro")*(nASIG&lt;&gt;"Conjunto"),nNOTA)),""))</f>
        <v/>
      </c>
    </row>
    <row r="491" spans="2:23" x14ac:dyDescent="0.2">
      <c r="B491" t="str">
        <f>IF(A491="","",IFERROR(AVERAGEIFS(nNOTA,nNIA,A491,nEVAL,CONFIG_METADATA!$B$4,nASIG,"Lenguaje Musical"),""))</f>
        <v/>
      </c>
      <c r="C491" t="str">
        <f>IF(A491="","",IFERROR(AVERAGEIFS(nNOTA,nNIA,A491,nEVAL,CONFIG_METADATA!$B$4,nASIG,"Coro"),""))</f>
        <v/>
      </c>
      <c r="D491" t="str">
        <f>IF(A491="","",IFERROR(AVERAGEIFS(nNOTA,nNIA,A491,nEVAL,CONFIG_METADATA!$B$4,nASIG,"Conjunto"),""))</f>
        <v/>
      </c>
      <c r="E491" t="str">
        <f>IF(A491="","",IFERROR(AVERAGEIFS(nNOTA,nNIA,A491,nEVAL,CONFIG_METADATA!$B$4,nASIG,"&lt;&gt;Lenguaje Musical",nASIG,"&lt;&gt;Coro",nASIG,"&lt;&gt;Conjunto"),""))</f>
        <v/>
      </c>
      <c r="H491" t="str">
        <f>IF(G491="","",IFERROR(AVERAGEIFS(nNOTA,nNIA,G491,nEVAL,CONFIG_METADATA!$B$4,nASIG,"Lenguaje Musical"),""))</f>
        <v/>
      </c>
      <c r="I491" t="str">
        <f>IF(G491="","",IFERROR(AVERAGEIFS(nNOTA,nNIA,G491,nEVAL,CONFIG_METADATA!$B$4,nASIG,"Coro"),""))</f>
        <v/>
      </c>
      <c r="J491" t="str">
        <f>IF(G491="","",IFERROR(AVERAGEIFS(nNOTA,nNIA,G491,nEVAL,CONFIG_METADATA!$B$4,nASIG,"Conjunto"),""))</f>
        <v/>
      </c>
      <c r="K491" t="str" cm="1">
        <f t="array" ref="K491">IF(G491="","",IFERROR(AVERAGE(IF((nNIA=G491)*(nEVAL=CONFIG_METADATA!$B$4)*(nASIG&lt;&gt;"Lenguaje Musical")*(nASIG&lt;&gt;"Coro")*(nASIG&lt;&gt;"Conjunto"),nNOTA)),""))</f>
        <v/>
      </c>
      <c r="N491" t="str">
        <f>IF(M491="","",IFERROR(AVERAGEIFS(nNOTA,nNIA,M491,nEVAL,CONFIG_METADATA!$B$4,nASIG,"Lenguaje Musical"),""))</f>
        <v/>
      </c>
      <c r="O491" t="str">
        <f>IF(M491="","",IFERROR(AVERAGEIFS(nNOTA,nNIA,M491,nEVAL,CONFIG_METADATA!$B$4,nASIG,"Coro"),""))</f>
        <v/>
      </c>
      <c r="P491" t="str">
        <f>IF(M491="","",IFERROR(AVERAGEIFS(nNOTA,nNIA,M491,nEVAL,CONFIG_METADATA!$B$4,nASIG,"Conjunto"),""))</f>
        <v/>
      </c>
      <c r="Q491" t="str">
        <f>IF(M491="","",IFERROR(AVERAGEIFS(nNOTA,nNIA,M491,nEVAL,CONFIG_METADATA!$B$4,nASIG,"&lt;&gt;Lenguaje Musical",nASIG,"&lt;&gt;Coro",nASIG,"&lt;&gt;Conjunto"),""))</f>
        <v/>
      </c>
      <c r="T491" t="str">
        <f>IF(S491="","",IFERROR(AVERAGEIFS(nNOTA,nNIA,S491,nEVAL,CONFIG_METADATA!$B$4,nASIG,"Lenguaje Musical"),""))</f>
        <v/>
      </c>
      <c r="U491" t="str">
        <f>IF(S491="","",IFERROR(AVERAGEIFS(nNOTA,nNIA,S491,nEVAL,CONFIG_METADATA!$B$4,nASIG,"Coro"),""))</f>
        <v/>
      </c>
      <c r="V491" t="str">
        <f>IF(S491="","",IFERROR(AVERAGEIFS(nNOTA,nNIA,S491,nEVAL,CONFIG_METADATA!$B$4,nASIG,"Conjunto"),""))</f>
        <v/>
      </c>
      <c r="W491" t="str" cm="1">
        <f t="array" ref="W491">IF(S491="","",IFERROR(AVERAGE(IF((nNIA=S491)*(nEVAL=CONFIG_METADATA!$B$4)*(nASIG&lt;&gt;"Lenguaje Musical")*(nASIG&lt;&gt;"Coro")*(nASIG&lt;&gt;"Conjunto"),nNOTA)),""))</f>
        <v/>
      </c>
    </row>
    <row r="492" spans="2:23" x14ac:dyDescent="0.2">
      <c r="B492" t="str">
        <f>IF(A492="","",IFERROR(AVERAGEIFS(nNOTA,nNIA,A492,nEVAL,CONFIG_METADATA!$B$4,nASIG,"Lenguaje Musical"),""))</f>
        <v/>
      </c>
      <c r="C492" t="str">
        <f>IF(A492="","",IFERROR(AVERAGEIFS(nNOTA,nNIA,A492,nEVAL,CONFIG_METADATA!$B$4,nASIG,"Coro"),""))</f>
        <v/>
      </c>
      <c r="D492" t="str">
        <f>IF(A492="","",IFERROR(AVERAGEIFS(nNOTA,nNIA,A492,nEVAL,CONFIG_METADATA!$B$4,nASIG,"Conjunto"),""))</f>
        <v/>
      </c>
      <c r="E492" t="str">
        <f>IF(A492="","",IFERROR(AVERAGEIFS(nNOTA,nNIA,A492,nEVAL,CONFIG_METADATA!$B$4,nASIG,"&lt;&gt;Lenguaje Musical",nASIG,"&lt;&gt;Coro",nASIG,"&lt;&gt;Conjunto"),""))</f>
        <v/>
      </c>
      <c r="H492" t="str">
        <f>IF(G492="","",IFERROR(AVERAGEIFS(nNOTA,nNIA,G492,nEVAL,CONFIG_METADATA!$B$4,nASIG,"Lenguaje Musical"),""))</f>
        <v/>
      </c>
      <c r="I492" t="str">
        <f>IF(G492="","",IFERROR(AVERAGEIFS(nNOTA,nNIA,G492,nEVAL,CONFIG_METADATA!$B$4,nASIG,"Coro"),""))</f>
        <v/>
      </c>
      <c r="J492" t="str">
        <f>IF(G492="","",IFERROR(AVERAGEIFS(nNOTA,nNIA,G492,nEVAL,CONFIG_METADATA!$B$4,nASIG,"Conjunto"),""))</f>
        <v/>
      </c>
      <c r="K492" t="str" cm="1">
        <f t="array" ref="K492">IF(G492="","",IFERROR(AVERAGE(IF((nNIA=G492)*(nEVAL=CONFIG_METADATA!$B$4)*(nASIG&lt;&gt;"Lenguaje Musical")*(nASIG&lt;&gt;"Coro")*(nASIG&lt;&gt;"Conjunto"),nNOTA)),""))</f>
        <v/>
      </c>
      <c r="N492" t="str">
        <f>IF(M492="","",IFERROR(AVERAGEIFS(nNOTA,nNIA,M492,nEVAL,CONFIG_METADATA!$B$4,nASIG,"Lenguaje Musical"),""))</f>
        <v/>
      </c>
      <c r="O492" t="str">
        <f>IF(M492="","",IFERROR(AVERAGEIFS(nNOTA,nNIA,M492,nEVAL,CONFIG_METADATA!$B$4,nASIG,"Coro"),""))</f>
        <v/>
      </c>
      <c r="P492" t="str">
        <f>IF(M492="","",IFERROR(AVERAGEIFS(nNOTA,nNIA,M492,nEVAL,CONFIG_METADATA!$B$4,nASIG,"Conjunto"),""))</f>
        <v/>
      </c>
      <c r="Q492" t="str">
        <f>IF(M492="","",IFERROR(AVERAGEIFS(nNOTA,nNIA,M492,nEVAL,CONFIG_METADATA!$B$4,nASIG,"&lt;&gt;Lenguaje Musical",nASIG,"&lt;&gt;Coro",nASIG,"&lt;&gt;Conjunto"),""))</f>
        <v/>
      </c>
      <c r="T492" t="str">
        <f>IF(S492="","",IFERROR(AVERAGEIFS(nNOTA,nNIA,S492,nEVAL,CONFIG_METADATA!$B$4,nASIG,"Lenguaje Musical"),""))</f>
        <v/>
      </c>
      <c r="U492" t="str">
        <f>IF(S492="","",IFERROR(AVERAGEIFS(nNOTA,nNIA,S492,nEVAL,CONFIG_METADATA!$B$4,nASIG,"Coro"),""))</f>
        <v/>
      </c>
      <c r="V492" t="str">
        <f>IF(S492="","",IFERROR(AVERAGEIFS(nNOTA,nNIA,S492,nEVAL,CONFIG_METADATA!$B$4,nASIG,"Conjunto"),""))</f>
        <v/>
      </c>
      <c r="W492" t="str" cm="1">
        <f t="array" ref="W492">IF(S492="","",IFERROR(AVERAGE(IF((nNIA=S492)*(nEVAL=CONFIG_METADATA!$B$4)*(nASIG&lt;&gt;"Lenguaje Musical")*(nASIG&lt;&gt;"Coro")*(nASIG&lt;&gt;"Conjunto"),nNOTA)),""))</f>
        <v/>
      </c>
    </row>
    <row r="493" spans="2:23" x14ac:dyDescent="0.2">
      <c r="B493" t="str">
        <f>IF(A493="","",IFERROR(AVERAGEIFS(nNOTA,nNIA,A493,nEVAL,CONFIG_METADATA!$B$4,nASIG,"Lenguaje Musical"),""))</f>
        <v/>
      </c>
      <c r="C493" t="str">
        <f>IF(A493="","",IFERROR(AVERAGEIFS(nNOTA,nNIA,A493,nEVAL,CONFIG_METADATA!$B$4,nASIG,"Coro"),""))</f>
        <v/>
      </c>
      <c r="D493" t="str">
        <f>IF(A493="","",IFERROR(AVERAGEIFS(nNOTA,nNIA,A493,nEVAL,CONFIG_METADATA!$B$4,nASIG,"Conjunto"),""))</f>
        <v/>
      </c>
      <c r="E493" t="str">
        <f>IF(A493="","",IFERROR(AVERAGEIFS(nNOTA,nNIA,A493,nEVAL,CONFIG_METADATA!$B$4,nASIG,"&lt;&gt;Lenguaje Musical",nASIG,"&lt;&gt;Coro",nASIG,"&lt;&gt;Conjunto"),""))</f>
        <v/>
      </c>
      <c r="H493" t="str">
        <f>IF(G493="","",IFERROR(AVERAGEIFS(nNOTA,nNIA,G493,nEVAL,CONFIG_METADATA!$B$4,nASIG,"Lenguaje Musical"),""))</f>
        <v/>
      </c>
      <c r="I493" t="str">
        <f>IF(G493="","",IFERROR(AVERAGEIFS(nNOTA,nNIA,G493,nEVAL,CONFIG_METADATA!$B$4,nASIG,"Coro"),""))</f>
        <v/>
      </c>
      <c r="J493" t="str">
        <f>IF(G493="","",IFERROR(AVERAGEIFS(nNOTA,nNIA,G493,nEVAL,CONFIG_METADATA!$B$4,nASIG,"Conjunto"),""))</f>
        <v/>
      </c>
      <c r="K493" t="str" cm="1">
        <f t="array" ref="K493">IF(G493="","",IFERROR(AVERAGE(IF((nNIA=G493)*(nEVAL=CONFIG_METADATA!$B$4)*(nASIG&lt;&gt;"Lenguaje Musical")*(nASIG&lt;&gt;"Coro")*(nASIG&lt;&gt;"Conjunto"),nNOTA)),""))</f>
        <v/>
      </c>
      <c r="N493" t="str">
        <f>IF(M493="","",IFERROR(AVERAGEIFS(nNOTA,nNIA,M493,nEVAL,CONFIG_METADATA!$B$4,nASIG,"Lenguaje Musical"),""))</f>
        <v/>
      </c>
      <c r="O493" t="str">
        <f>IF(M493="","",IFERROR(AVERAGEIFS(nNOTA,nNIA,M493,nEVAL,CONFIG_METADATA!$B$4,nASIG,"Coro"),""))</f>
        <v/>
      </c>
      <c r="P493" t="str">
        <f>IF(M493="","",IFERROR(AVERAGEIFS(nNOTA,nNIA,M493,nEVAL,CONFIG_METADATA!$B$4,nASIG,"Conjunto"),""))</f>
        <v/>
      </c>
      <c r="Q493" t="str">
        <f>IF(M493="","",IFERROR(AVERAGEIFS(nNOTA,nNIA,M493,nEVAL,CONFIG_METADATA!$B$4,nASIG,"&lt;&gt;Lenguaje Musical",nASIG,"&lt;&gt;Coro",nASIG,"&lt;&gt;Conjunto"),""))</f>
        <v/>
      </c>
      <c r="T493" t="str">
        <f>IF(S493="","",IFERROR(AVERAGEIFS(nNOTA,nNIA,S493,nEVAL,CONFIG_METADATA!$B$4,nASIG,"Lenguaje Musical"),""))</f>
        <v/>
      </c>
      <c r="U493" t="str">
        <f>IF(S493="","",IFERROR(AVERAGEIFS(nNOTA,nNIA,S493,nEVAL,CONFIG_METADATA!$B$4,nASIG,"Coro"),""))</f>
        <v/>
      </c>
      <c r="V493" t="str">
        <f>IF(S493="","",IFERROR(AVERAGEIFS(nNOTA,nNIA,S493,nEVAL,CONFIG_METADATA!$B$4,nASIG,"Conjunto"),""))</f>
        <v/>
      </c>
      <c r="W493" t="str" cm="1">
        <f t="array" ref="W493">IF(S493="","",IFERROR(AVERAGE(IF((nNIA=S493)*(nEVAL=CONFIG_METADATA!$B$4)*(nASIG&lt;&gt;"Lenguaje Musical")*(nASIG&lt;&gt;"Coro")*(nASIG&lt;&gt;"Conjunto"),nNOTA)),""))</f>
        <v/>
      </c>
    </row>
    <row r="494" spans="2:23" x14ac:dyDescent="0.2">
      <c r="B494" t="str">
        <f>IF(A494="","",IFERROR(AVERAGEIFS(nNOTA,nNIA,A494,nEVAL,CONFIG_METADATA!$B$4,nASIG,"Lenguaje Musical"),""))</f>
        <v/>
      </c>
      <c r="C494" t="str">
        <f>IF(A494="","",IFERROR(AVERAGEIFS(nNOTA,nNIA,A494,nEVAL,CONFIG_METADATA!$B$4,nASIG,"Coro"),""))</f>
        <v/>
      </c>
      <c r="D494" t="str">
        <f>IF(A494="","",IFERROR(AVERAGEIFS(nNOTA,nNIA,A494,nEVAL,CONFIG_METADATA!$B$4,nASIG,"Conjunto"),""))</f>
        <v/>
      </c>
      <c r="E494" t="str">
        <f>IF(A494="","",IFERROR(AVERAGEIFS(nNOTA,nNIA,A494,nEVAL,CONFIG_METADATA!$B$4,nASIG,"&lt;&gt;Lenguaje Musical",nASIG,"&lt;&gt;Coro",nASIG,"&lt;&gt;Conjunto"),""))</f>
        <v/>
      </c>
      <c r="H494" t="str">
        <f>IF(G494="","",IFERROR(AVERAGEIFS(nNOTA,nNIA,G494,nEVAL,CONFIG_METADATA!$B$4,nASIG,"Lenguaje Musical"),""))</f>
        <v/>
      </c>
      <c r="I494" t="str">
        <f>IF(G494="","",IFERROR(AVERAGEIFS(nNOTA,nNIA,G494,nEVAL,CONFIG_METADATA!$B$4,nASIG,"Coro"),""))</f>
        <v/>
      </c>
      <c r="J494" t="str">
        <f>IF(G494="","",IFERROR(AVERAGEIFS(nNOTA,nNIA,G494,nEVAL,CONFIG_METADATA!$B$4,nASIG,"Conjunto"),""))</f>
        <v/>
      </c>
      <c r="K494" t="str" cm="1">
        <f t="array" ref="K494">IF(G494="","",IFERROR(AVERAGE(IF((nNIA=G494)*(nEVAL=CONFIG_METADATA!$B$4)*(nASIG&lt;&gt;"Lenguaje Musical")*(nASIG&lt;&gt;"Coro")*(nASIG&lt;&gt;"Conjunto"),nNOTA)),""))</f>
        <v/>
      </c>
      <c r="N494" t="str">
        <f>IF(M494="","",IFERROR(AVERAGEIFS(nNOTA,nNIA,M494,nEVAL,CONFIG_METADATA!$B$4,nASIG,"Lenguaje Musical"),""))</f>
        <v/>
      </c>
      <c r="O494" t="str">
        <f>IF(M494="","",IFERROR(AVERAGEIFS(nNOTA,nNIA,M494,nEVAL,CONFIG_METADATA!$B$4,nASIG,"Coro"),""))</f>
        <v/>
      </c>
      <c r="P494" t="str">
        <f>IF(M494="","",IFERROR(AVERAGEIFS(nNOTA,nNIA,M494,nEVAL,CONFIG_METADATA!$B$4,nASIG,"Conjunto"),""))</f>
        <v/>
      </c>
      <c r="Q494" t="str">
        <f>IF(M494="","",IFERROR(AVERAGEIFS(nNOTA,nNIA,M494,nEVAL,CONFIG_METADATA!$B$4,nASIG,"&lt;&gt;Lenguaje Musical",nASIG,"&lt;&gt;Coro",nASIG,"&lt;&gt;Conjunto"),""))</f>
        <v/>
      </c>
      <c r="T494" t="str">
        <f>IF(S494="","",IFERROR(AVERAGEIFS(nNOTA,nNIA,S494,nEVAL,CONFIG_METADATA!$B$4,nASIG,"Lenguaje Musical"),""))</f>
        <v/>
      </c>
      <c r="U494" t="str">
        <f>IF(S494="","",IFERROR(AVERAGEIFS(nNOTA,nNIA,S494,nEVAL,CONFIG_METADATA!$B$4,nASIG,"Coro"),""))</f>
        <v/>
      </c>
      <c r="V494" t="str">
        <f>IF(S494="","",IFERROR(AVERAGEIFS(nNOTA,nNIA,S494,nEVAL,CONFIG_METADATA!$B$4,nASIG,"Conjunto"),""))</f>
        <v/>
      </c>
      <c r="W494" t="str" cm="1">
        <f t="array" ref="W494">IF(S494="","",IFERROR(AVERAGE(IF((nNIA=S494)*(nEVAL=CONFIG_METADATA!$B$4)*(nASIG&lt;&gt;"Lenguaje Musical")*(nASIG&lt;&gt;"Coro")*(nASIG&lt;&gt;"Conjunto"),nNOTA)),""))</f>
        <v/>
      </c>
    </row>
    <row r="495" spans="2:23" x14ac:dyDescent="0.2">
      <c r="B495" t="str">
        <f>IF(A495="","",IFERROR(AVERAGEIFS(nNOTA,nNIA,A495,nEVAL,CONFIG_METADATA!$B$4,nASIG,"Lenguaje Musical"),""))</f>
        <v/>
      </c>
      <c r="C495" t="str">
        <f>IF(A495="","",IFERROR(AVERAGEIFS(nNOTA,nNIA,A495,nEVAL,CONFIG_METADATA!$B$4,nASIG,"Coro"),""))</f>
        <v/>
      </c>
      <c r="D495" t="str">
        <f>IF(A495="","",IFERROR(AVERAGEIFS(nNOTA,nNIA,A495,nEVAL,CONFIG_METADATA!$B$4,nASIG,"Conjunto"),""))</f>
        <v/>
      </c>
      <c r="E495" t="str">
        <f>IF(A495="","",IFERROR(AVERAGEIFS(nNOTA,nNIA,A495,nEVAL,CONFIG_METADATA!$B$4,nASIG,"&lt;&gt;Lenguaje Musical",nASIG,"&lt;&gt;Coro",nASIG,"&lt;&gt;Conjunto"),""))</f>
        <v/>
      </c>
      <c r="H495" t="str">
        <f>IF(G495="","",IFERROR(AVERAGEIFS(nNOTA,nNIA,G495,nEVAL,CONFIG_METADATA!$B$4,nASIG,"Lenguaje Musical"),""))</f>
        <v/>
      </c>
      <c r="I495" t="str">
        <f>IF(G495="","",IFERROR(AVERAGEIFS(nNOTA,nNIA,G495,nEVAL,CONFIG_METADATA!$B$4,nASIG,"Coro"),""))</f>
        <v/>
      </c>
      <c r="J495" t="str">
        <f>IF(G495="","",IFERROR(AVERAGEIFS(nNOTA,nNIA,G495,nEVAL,CONFIG_METADATA!$B$4,nASIG,"Conjunto"),""))</f>
        <v/>
      </c>
      <c r="K495" t="str" cm="1">
        <f t="array" ref="K495">IF(G495="","",IFERROR(AVERAGE(IF((nNIA=G495)*(nEVAL=CONFIG_METADATA!$B$4)*(nASIG&lt;&gt;"Lenguaje Musical")*(nASIG&lt;&gt;"Coro")*(nASIG&lt;&gt;"Conjunto"),nNOTA)),""))</f>
        <v/>
      </c>
      <c r="N495" t="str">
        <f>IF(M495="","",IFERROR(AVERAGEIFS(nNOTA,nNIA,M495,nEVAL,CONFIG_METADATA!$B$4,nASIG,"Lenguaje Musical"),""))</f>
        <v/>
      </c>
      <c r="O495" t="str">
        <f>IF(M495="","",IFERROR(AVERAGEIFS(nNOTA,nNIA,M495,nEVAL,CONFIG_METADATA!$B$4,nASIG,"Coro"),""))</f>
        <v/>
      </c>
      <c r="P495" t="str">
        <f>IF(M495="","",IFERROR(AVERAGEIFS(nNOTA,nNIA,M495,nEVAL,CONFIG_METADATA!$B$4,nASIG,"Conjunto"),""))</f>
        <v/>
      </c>
      <c r="Q495" t="str">
        <f>IF(M495="","",IFERROR(AVERAGEIFS(nNOTA,nNIA,M495,nEVAL,CONFIG_METADATA!$B$4,nASIG,"&lt;&gt;Lenguaje Musical",nASIG,"&lt;&gt;Coro",nASIG,"&lt;&gt;Conjunto"),""))</f>
        <v/>
      </c>
      <c r="T495" t="str">
        <f>IF(S495="","",IFERROR(AVERAGEIFS(nNOTA,nNIA,S495,nEVAL,CONFIG_METADATA!$B$4,nASIG,"Lenguaje Musical"),""))</f>
        <v/>
      </c>
      <c r="U495" t="str">
        <f>IF(S495="","",IFERROR(AVERAGEIFS(nNOTA,nNIA,S495,nEVAL,CONFIG_METADATA!$B$4,nASIG,"Coro"),""))</f>
        <v/>
      </c>
      <c r="V495" t="str">
        <f>IF(S495="","",IFERROR(AVERAGEIFS(nNOTA,nNIA,S495,nEVAL,CONFIG_METADATA!$B$4,nASIG,"Conjunto"),""))</f>
        <v/>
      </c>
      <c r="W495" t="str" cm="1">
        <f t="array" ref="W495">IF(S495="","",IFERROR(AVERAGE(IF((nNIA=S495)*(nEVAL=CONFIG_METADATA!$B$4)*(nASIG&lt;&gt;"Lenguaje Musical")*(nASIG&lt;&gt;"Coro")*(nASIG&lt;&gt;"Conjunto"),nNOTA)),""))</f>
        <v/>
      </c>
    </row>
    <row r="496" spans="2:23" x14ac:dyDescent="0.2">
      <c r="B496" t="str">
        <f>IF(A496="","",IFERROR(AVERAGEIFS(nNOTA,nNIA,A496,nEVAL,CONFIG_METADATA!$B$4,nASIG,"Lenguaje Musical"),""))</f>
        <v/>
      </c>
      <c r="C496" t="str">
        <f>IF(A496="","",IFERROR(AVERAGEIFS(nNOTA,nNIA,A496,nEVAL,CONFIG_METADATA!$B$4,nASIG,"Coro"),""))</f>
        <v/>
      </c>
      <c r="D496" t="str">
        <f>IF(A496="","",IFERROR(AVERAGEIFS(nNOTA,nNIA,A496,nEVAL,CONFIG_METADATA!$B$4,nASIG,"Conjunto"),""))</f>
        <v/>
      </c>
      <c r="E496" t="str">
        <f>IF(A496="","",IFERROR(AVERAGEIFS(nNOTA,nNIA,A496,nEVAL,CONFIG_METADATA!$B$4,nASIG,"&lt;&gt;Lenguaje Musical",nASIG,"&lt;&gt;Coro",nASIG,"&lt;&gt;Conjunto"),""))</f>
        <v/>
      </c>
      <c r="H496" t="str">
        <f>IF(G496="","",IFERROR(AVERAGEIFS(nNOTA,nNIA,G496,nEVAL,CONFIG_METADATA!$B$4,nASIG,"Lenguaje Musical"),""))</f>
        <v/>
      </c>
      <c r="I496" t="str">
        <f>IF(G496="","",IFERROR(AVERAGEIFS(nNOTA,nNIA,G496,nEVAL,CONFIG_METADATA!$B$4,nASIG,"Coro"),""))</f>
        <v/>
      </c>
      <c r="J496" t="str">
        <f>IF(G496="","",IFERROR(AVERAGEIFS(nNOTA,nNIA,G496,nEVAL,CONFIG_METADATA!$B$4,nASIG,"Conjunto"),""))</f>
        <v/>
      </c>
      <c r="K496" t="str" cm="1">
        <f t="array" ref="K496">IF(G496="","",IFERROR(AVERAGE(IF((nNIA=G496)*(nEVAL=CONFIG_METADATA!$B$4)*(nASIG&lt;&gt;"Lenguaje Musical")*(nASIG&lt;&gt;"Coro")*(nASIG&lt;&gt;"Conjunto"),nNOTA)),""))</f>
        <v/>
      </c>
      <c r="N496" t="str">
        <f>IF(M496="","",IFERROR(AVERAGEIFS(nNOTA,nNIA,M496,nEVAL,CONFIG_METADATA!$B$4,nASIG,"Lenguaje Musical"),""))</f>
        <v/>
      </c>
      <c r="O496" t="str">
        <f>IF(M496="","",IFERROR(AVERAGEIFS(nNOTA,nNIA,M496,nEVAL,CONFIG_METADATA!$B$4,nASIG,"Coro"),""))</f>
        <v/>
      </c>
      <c r="P496" t="str">
        <f>IF(M496="","",IFERROR(AVERAGEIFS(nNOTA,nNIA,M496,nEVAL,CONFIG_METADATA!$B$4,nASIG,"Conjunto"),""))</f>
        <v/>
      </c>
      <c r="Q496" t="str">
        <f>IF(M496="","",IFERROR(AVERAGEIFS(nNOTA,nNIA,M496,nEVAL,CONFIG_METADATA!$B$4,nASIG,"&lt;&gt;Lenguaje Musical",nASIG,"&lt;&gt;Coro",nASIG,"&lt;&gt;Conjunto"),""))</f>
        <v/>
      </c>
      <c r="T496" t="str">
        <f>IF(S496="","",IFERROR(AVERAGEIFS(nNOTA,nNIA,S496,nEVAL,CONFIG_METADATA!$B$4,nASIG,"Lenguaje Musical"),""))</f>
        <v/>
      </c>
      <c r="U496" t="str">
        <f>IF(S496="","",IFERROR(AVERAGEIFS(nNOTA,nNIA,S496,nEVAL,CONFIG_METADATA!$B$4,nASIG,"Coro"),""))</f>
        <v/>
      </c>
      <c r="V496" t="str">
        <f>IF(S496="","",IFERROR(AVERAGEIFS(nNOTA,nNIA,S496,nEVAL,CONFIG_METADATA!$B$4,nASIG,"Conjunto"),""))</f>
        <v/>
      </c>
      <c r="W496" t="str" cm="1">
        <f t="array" ref="W496">IF(S496="","",IFERROR(AVERAGE(IF((nNIA=S496)*(nEVAL=CONFIG_METADATA!$B$4)*(nASIG&lt;&gt;"Lenguaje Musical")*(nASIG&lt;&gt;"Coro")*(nASIG&lt;&gt;"Conjunto"),nNOTA)),""))</f>
        <v/>
      </c>
    </row>
    <row r="497" spans="2:23" x14ac:dyDescent="0.2">
      <c r="B497" t="str">
        <f>IF(A497="","",IFERROR(AVERAGEIFS(nNOTA,nNIA,A497,nEVAL,CONFIG_METADATA!$B$4,nASIG,"Lenguaje Musical"),""))</f>
        <v/>
      </c>
      <c r="C497" t="str">
        <f>IF(A497="","",IFERROR(AVERAGEIFS(nNOTA,nNIA,A497,nEVAL,CONFIG_METADATA!$B$4,nASIG,"Coro"),""))</f>
        <v/>
      </c>
      <c r="D497" t="str">
        <f>IF(A497="","",IFERROR(AVERAGEIFS(nNOTA,nNIA,A497,nEVAL,CONFIG_METADATA!$B$4,nASIG,"Conjunto"),""))</f>
        <v/>
      </c>
      <c r="E497" t="str">
        <f>IF(A497="","",IFERROR(AVERAGEIFS(nNOTA,nNIA,A497,nEVAL,CONFIG_METADATA!$B$4,nASIG,"&lt;&gt;Lenguaje Musical",nASIG,"&lt;&gt;Coro",nASIG,"&lt;&gt;Conjunto"),""))</f>
        <v/>
      </c>
      <c r="H497" t="str">
        <f>IF(G497="","",IFERROR(AVERAGEIFS(nNOTA,nNIA,G497,nEVAL,CONFIG_METADATA!$B$4,nASIG,"Lenguaje Musical"),""))</f>
        <v/>
      </c>
      <c r="I497" t="str">
        <f>IF(G497="","",IFERROR(AVERAGEIFS(nNOTA,nNIA,G497,nEVAL,CONFIG_METADATA!$B$4,nASIG,"Coro"),""))</f>
        <v/>
      </c>
      <c r="J497" t="str">
        <f>IF(G497="","",IFERROR(AVERAGEIFS(nNOTA,nNIA,G497,nEVAL,CONFIG_METADATA!$B$4,nASIG,"Conjunto"),""))</f>
        <v/>
      </c>
      <c r="K497" t="str" cm="1">
        <f t="array" ref="K497">IF(G497="","",IFERROR(AVERAGE(IF((nNIA=G497)*(nEVAL=CONFIG_METADATA!$B$4)*(nASIG&lt;&gt;"Lenguaje Musical")*(nASIG&lt;&gt;"Coro")*(nASIG&lt;&gt;"Conjunto"),nNOTA)),""))</f>
        <v/>
      </c>
      <c r="N497" t="str">
        <f>IF(M497="","",IFERROR(AVERAGEIFS(nNOTA,nNIA,M497,nEVAL,CONFIG_METADATA!$B$4,nASIG,"Lenguaje Musical"),""))</f>
        <v/>
      </c>
      <c r="O497" t="str">
        <f>IF(M497="","",IFERROR(AVERAGEIFS(nNOTA,nNIA,M497,nEVAL,CONFIG_METADATA!$B$4,nASIG,"Coro"),""))</f>
        <v/>
      </c>
      <c r="P497" t="str">
        <f>IF(M497="","",IFERROR(AVERAGEIFS(nNOTA,nNIA,M497,nEVAL,CONFIG_METADATA!$B$4,nASIG,"Conjunto"),""))</f>
        <v/>
      </c>
      <c r="Q497" t="str">
        <f>IF(M497="","",IFERROR(AVERAGEIFS(nNOTA,nNIA,M497,nEVAL,CONFIG_METADATA!$B$4,nASIG,"&lt;&gt;Lenguaje Musical",nASIG,"&lt;&gt;Coro",nASIG,"&lt;&gt;Conjunto"),""))</f>
        <v/>
      </c>
      <c r="T497" t="str">
        <f>IF(S497="","",IFERROR(AVERAGEIFS(nNOTA,nNIA,S497,nEVAL,CONFIG_METADATA!$B$4,nASIG,"Lenguaje Musical"),""))</f>
        <v/>
      </c>
      <c r="U497" t="str">
        <f>IF(S497="","",IFERROR(AVERAGEIFS(nNOTA,nNIA,S497,nEVAL,CONFIG_METADATA!$B$4,nASIG,"Coro"),""))</f>
        <v/>
      </c>
      <c r="V497" t="str">
        <f>IF(S497="","",IFERROR(AVERAGEIFS(nNOTA,nNIA,S497,nEVAL,CONFIG_METADATA!$B$4,nASIG,"Conjunto"),""))</f>
        <v/>
      </c>
      <c r="W497" t="str" cm="1">
        <f t="array" ref="W497">IF(S497="","",IFERROR(AVERAGE(IF((nNIA=S497)*(nEVAL=CONFIG_METADATA!$B$4)*(nASIG&lt;&gt;"Lenguaje Musical")*(nASIG&lt;&gt;"Coro")*(nASIG&lt;&gt;"Conjunto"),nNOTA)),""))</f>
        <v/>
      </c>
    </row>
    <row r="498" spans="2:23" x14ac:dyDescent="0.2">
      <c r="B498" t="str">
        <f>IF(A498="","",IFERROR(AVERAGEIFS(nNOTA,nNIA,A498,nEVAL,CONFIG_METADATA!$B$4,nASIG,"Lenguaje Musical"),""))</f>
        <v/>
      </c>
      <c r="C498" t="str">
        <f>IF(A498="","",IFERROR(AVERAGEIFS(nNOTA,nNIA,A498,nEVAL,CONFIG_METADATA!$B$4,nASIG,"Coro"),""))</f>
        <v/>
      </c>
      <c r="D498" t="str">
        <f>IF(A498="","",IFERROR(AVERAGEIFS(nNOTA,nNIA,A498,nEVAL,CONFIG_METADATA!$B$4,nASIG,"Conjunto"),""))</f>
        <v/>
      </c>
      <c r="E498" t="str">
        <f>IF(A498="","",IFERROR(AVERAGEIFS(nNOTA,nNIA,A498,nEVAL,CONFIG_METADATA!$B$4,nASIG,"&lt;&gt;Lenguaje Musical",nASIG,"&lt;&gt;Coro",nASIG,"&lt;&gt;Conjunto"),""))</f>
        <v/>
      </c>
      <c r="H498" t="str">
        <f>IF(G498="","",IFERROR(AVERAGEIFS(nNOTA,nNIA,G498,nEVAL,CONFIG_METADATA!$B$4,nASIG,"Lenguaje Musical"),""))</f>
        <v/>
      </c>
      <c r="I498" t="str">
        <f>IF(G498="","",IFERROR(AVERAGEIFS(nNOTA,nNIA,G498,nEVAL,CONFIG_METADATA!$B$4,nASIG,"Coro"),""))</f>
        <v/>
      </c>
      <c r="J498" t="str">
        <f>IF(G498="","",IFERROR(AVERAGEIFS(nNOTA,nNIA,G498,nEVAL,CONFIG_METADATA!$B$4,nASIG,"Conjunto"),""))</f>
        <v/>
      </c>
      <c r="K498" t="str" cm="1">
        <f t="array" ref="K498">IF(G498="","",IFERROR(AVERAGE(IF((nNIA=G498)*(nEVAL=CONFIG_METADATA!$B$4)*(nASIG&lt;&gt;"Lenguaje Musical")*(nASIG&lt;&gt;"Coro")*(nASIG&lt;&gt;"Conjunto"),nNOTA)),""))</f>
        <v/>
      </c>
      <c r="N498" t="str">
        <f>IF(M498="","",IFERROR(AVERAGEIFS(nNOTA,nNIA,M498,nEVAL,CONFIG_METADATA!$B$4,nASIG,"Lenguaje Musical"),""))</f>
        <v/>
      </c>
      <c r="O498" t="str">
        <f>IF(M498="","",IFERROR(AVERAGEIFS(nNOTA,nNIA,M498,nEVAL,CONFIG_METADATA!$B$4,nASIG,"Coro"),""))</f>
        <v/>
      </c>
      <c r="P498" t="str">
        <f>IF(M498="","",IFERROR(AVERAGEIFS(nNOTA,nNIA,M498,nEVAL,CONFIG_METADATA!$B$4,nASIG,"Conjunto"),""))</f>
        <v/>
      </c>
      <c r="Q498" t="str">
        <f>IF(M498="","",IFERROR(AVERAGEIFS(nNOTA,nNIA,M498,nEVAL,CONFIG_METADATA!$B$4,nASIG,"&lt;&gt;Lenguaje Musical",nASIG,"&lt;&gt;Coro",nASIG,"&lt;&gt;Conjunto"),""))</f>
        <v/>
      </c>
      <c r="T498" t="str">
        <f>IF(S498="","",IFERROR(AVERAGEIFS(nNOTA,nNIA,S498,nEVAL,CONFIG_METADATA!$B$4,nASIG,"Lenguaje Musical"),""))</f>
        <v/>
      </c>
      <c r="U498" t="str">
        <f>IF(S498="","",IFERROR(AVERAGEIFS(nNOTA,nNIA,S498,nEVAL,CONFIG_METADATA!$B$4,nASIG,"Coro"),""))</f>
        <v/>
      </c>
      <c r="V498" t="str">
        <f>IF(S498="","",IFERROR(AVERAGEIFS(nNOTA,nNIA,S498,nEVAL,CONFIG_METADATA!$B$4,nASIG,"Conjunto"),""))</f>
        <v/>
      </c>
      <c r="W498" t="str" cm="1">
        <f t="array" ref="W498">IF(S498="","",IFERROR(AVERAGE(IF((nNIA=S498)*(nEVAL=CONFIG_METADATA!$B$4)*(nASIG&lt;&gt;"Lenguaje Musical")*(nASIG&lt;&gt;"Coro")*(nASIG&lt;&gt;"Conjunto"),nNOTA)),""))</f>
        <v/>
      </c>
    </row>
    <row r="499" spans="2:23" x14ac:dyDescent="0.2">
      <c r="B499" t="str">
        <f>IF(A499="","",IFERROR(AVERAGEIFS(nNOTA,nNIA,A499,nEVAL,CONFIG_METADATA!$B$4,nASIG,"Lenguaje Musical"),""))</f>
        <v/>
      </c>
      <c r="C499" t="str">
        <f>IF(A499="","",IFERROR(AVERAGEIFS(nNOTA,nNIA,A499,nEVAL,CONFIG_METADATA!$B$4,nASIG,"Coro"),""))</f>
        <v/>
      </c>
      <c r="D499" t="str">
        <f>IF(A499="","",IFERROR(AVERAGEIFS(nNOTA,nNIA,A499,nEVAL,CONFIG_METADATA!$B$4,nASIG,"Conjunto"),""))</f>
        <v/>
      </c>
      <c r="E499" t="str">
        <f>IF(A499="","",IFERROR(AVERAGEIFS(nNOTA,nNIA,A499,nEVAL,CONFIG_METADATA!$B$4,nASIG,"&lt;&gt;Lenguaje Musical",nASIG,"&lt;&gt;Coro",nASIG,"&lt;&gt;Conjunto"),""))</f>
        <v/>
      </c>
      <c r="H499" t="str">
        <f>IF(G499="","",IFERROR(AVERAGEIFS(nNOTA,nNIA,G499,nEVAL,CONFIG_METADATA!$B$4,nASIG,"Lenguaje Musical"),""))</f>
        <v/>
      </c>
      <c r="I499" t="str">
        <f>IF(G499="","",IFERROR(AVERAGEIFS(nNOTA,nNIA,G499,nEVAL,CONFIG_METADATA!$B$4,nASIG,"Coro"),""))</f>
        <v/>
      </c>
      <c r="J499" t="str">
        <f>IF(G499="","",IFERROR(AVERAGEIFS(nNOTA,nNIA,G499,nEVAL,CONFIG_METADATA!$B$4,nASIG,"Conjunto"),""))</f>
        <v/>
      </c>
      <c r="K499" t="str" cm="1">
        <f t="array" ref="K499">IF(G499="","",IFERROR(AVERAGE(IF((nNIA=G499)*(nEVAL=CONFIG_METADATA!$B$4)*(nASIG&lt;&gt;"Lenguaje Musical")*(nASIG&lt;&gt;"Coro")*(nASIG&lt;&gt;"Conjunto"),nNOTA)),""))</f>
        <v/>
      </c>
      <c r="N499" t="str">
        <f>IF(M499="","",IFERROR(AVERAGEIFS(nNOTA,nNIA,M499,nEVAL,CONFIG_METADATA!$B$4,nASIG,"Lenguaje Musical"),""))</f>
        <v/>
      </c>
      <c r="O499" t="str">
        <f>IF(M499="","",IFERROR(AVERAGEIFS(nNOTA,nNIA,M499,nEVAL,CONFIG_METADATA!$B$4,nASIG,"Coro"),""))</f>
        <v/>
      </c>
      <c r="P499" t="str">
        <f>IF(M499="","",IFERROR(AVERAGEIFS(nNOTA,nNIA,M499,nEVAL,CONFIG_METADATA!$B$4,nASIG,"Conjunto"),""))</f>
        <v/>
      </c>
      <c r="Q499" t="str">
        <f>IF(M499="","",IFERROR(AVERAGEIFS(nNOTA,nNIA,M499,nEVAL,CONFIG_METADATA!$B$4,nASIG,"&lt;&gt;Lenguaje Musical",nASIG,"&lt;&gt;Coro",nASIG,"&lt;&gt;Conjunto"),""))</f>
        <v/>
      </c>
      <c r="T499" t="str">
        <f>IF(S499="","",IFERROR(AVERAGEIFS(nNOTA,nNIA,S499,nEVAL,CONFIG_METADATA!$B$4,nASIG,"Lenguaje Musical"),""))</f>
        <v/>
      </c>
      <c r="U499" t="str">
        <f>IF(S499="","",IFERROR(AVERAGEIFS(nNOTA,nNIA,S499,nEVAL,CONFIG_METADATA!$B$4,nASIG,"Coro"),""))</f>
        <v/>
      </c>
      <c r="V499" t="str">
        <f>IF(S499="","",IFERROR(AVERAGEIFS(nNOTA,nNIA,S499,nEVAL,CONFIG_METADATA!$B$4,nASIG,"Conjunto"),""))</f>
        <v/>
      </c>
      <c r="W499" t="str" cm="1">
        <f t="array" ref="W499">IF(S499="","",IFERROR(AVERAGE(IF((nNIA=S499)*(nEVAL=CONFIG_METADATA!$B$4)*(nASIG&lt;&gt;"Lenguaje Musical")*(nASIG&lt;&gt;"Coro")*(nASIG&lt;&gt;"Conjunto"),nNOTA)),""))</f>
        <v/>
      </c>
    </row>
    <row r="500" spans="2:23" x14ac:dyDescent="0.2">
      <c r="B500" t="str">
        <f>IF(A500="","",IFERROR(AVERAGEIFS(nNOTA,nNIA,A500,nEVAL,CONFIG_METADATA!$B$4,nASIG,"Lenguaje Musical"),""))</f>
        <v/>
      </c>
      <c r="C500" t="str">
        <f>IF(A500="","",IFERROR(AVERAGEIFS(nNOTA,nNIA,A500,nEVAL,CONFIG_METADATA!$B$4,nASIG,"Coro"),""))</f>
        <v/>
      </c>
      <c r="D500" t="str">
        <f>IF(A500="","",IFERROR(AVERAGEIFS(nNOTA,nNIA,A500,nEVAL,CONFIG_METADATA!$B$4,nASIG,"Conjunto"),""))</f>
        <v/>
      </c>
      <c r="E500" t="str">
        <f>IF(A500="","",IFERROR(AVERAGEIFS(nNOTA,nNIA,A500,nEVAL,CONFIG_METADATA!$B$4,nASIG,"&lt;&gt;Lenguaje Musical",nASIG,"&lt;&gt;Coro",nASIG,"&lt;&gt;Conjunto"),""))</f>
        <v/>
      </c>
      <c r="H500" t="str">
        <f>IF(G500="","",IFERROR(AVERAGEIFS(nNOTA,nNIA,G500,nEVAL,CONFIG_METADATA!$B$4,nASIG,"Lenguaje Musical"),""))</f>
        <v/>
      </c>
      <c r="I500" t="str">
        <f>IF(G500="","",IFERROR(AVERAGEIFS(nNOTA,nNIA,G500,nEVAL,CONFIG_METADATA!$B$4,nASIG,"Coro"),""))</f>
        <v/>
      </c>
      <c r="J500" t="str">
        <f>IF(G500="","",IFERROR(AVERAGEIFS(nNOTA,nNIA,G500,nEVAL,CONFIG_METADATA!$B$4,nASIG,"Conjunto"),""))</f>
        <v/>
      </c>
      <c r="K500" t="str" cm="1">
        <f t="array" ref="K500">IF(G500="","",IFERROR(AVERAGE(IF((nNIA=G500)*(nEVAL=CONFIG_METADATA!$B$4)*(nASIG&lt;&gt;"Lenguaje Musical")*(nASIG&lt;&gt;"Coro")*(nASIG&lt;&gt;"Conjunto"),nNOTA)),""))</f>
        <v/>
      </c>
      <c r="N500" t="str">
        <f>IF(M500="","",IFERROR(AVERAGEIFS(nNOTA,nNIA,M500,nEVAL,CONFIG_METADATA!$B$4,nASIG,"Lenguaje Musical"),""))</f>
        <v/>
      </c>
      <c r="O500" t="str">
        <f>IF(M500="","",IFERROR(AVERAGEIFS(nNOTA,nNIA,M500,nEVAL,CONFIG_METADATA!$B$4,nASIG,"Coro"),""))</f>
        <v/>
      </c>
      <c r="P500" t="str">
        <f>IF(M500="","",IFERROR(AVERAGEIFS(nNOTA,nNIA,M500,nEVAL,CONFIG_METADATA!$B$4,nASIG,"Conjunto"),""))</f>
        <v/>
      </c>
      <c r="Q500" t="str">
        <f>IF(M500="","",IFERROR(AVERAGEIFS(nNOTA,nNIA,M500,nEVAL,CONFIG_METADATA!$B$4,nASIG,"&lt;&gt;Lenguaje Musical",nASIG,"&lt;&gt;Coro",nASIG,"&lt;&gt;Conjunto"),""))</f>
        <v/>
      </c>
      <c r="T500" t="str">
        <f>IF(S500="","",IFERROR(AVERAGEIFS(nNOTA,nNIA,S500,nEVAL,CONFIG_METADATA!$B$4,nASIG,"Lenguaje Musical"),""))</f>
        <v/>
      </c>
      <c r="U500" t="str">
        <f>IF(S500="","",IFERROR(AVERAGEIFS(nNOTA,nNIA,S500,nEVAL,CONFIG_METADATA!$B$4,nASIG,"Coro"),""))</f>
        <v/>
      </c>
      <c r="V500" t="str">
        <f>IF(S500="","",IFERROR(AVERAGEIFS(nNOTA,nNIA,S500,nEVAL,CONFIG_METADATA!$B$4,nASIG,"Conjunto"),""))</f>
        <v/>
      </c>
      <c r="W500" t="str" cm="1">
        <f t="array" ref="W500">IF(S500="","",IFERROR(AVERAGE(IF((nNIA=S500)*(nEVAL=CONFIG_METADATA!$B$4)*(nASIG&lt;&gt;"Lenguaje Musical")*(nASIG&lt;&gt;"Coro")*(nASIG&lt;&gt;"Conjunto"),nNOTA)),""))</f>
        <v/>
      </c>
    </row>
    <row r="501" spans="2:23" x14ac:dyDescent="0.2">
      <c r="B501" t="str">
        <f>IF(A501="","",IFERROR(AVERAGEIFS(nNOTA,nNIA,A501,nEVAL,CONFIG_METADATA!$B$4,nASIG,"Lenguaje Musical"),""))</f>
        <v/>
      </c>
      <c r="C501" t="str">
        <f>IF(A501="","",IFERROR(AVERAGEIFS(nNOTA,nNIA,A501,nEVAL,CONFIG_METADATA!$B$4,nASIG,"Coro"),""))</f>
        <v/>
      </c>
      <c r="D501" t="str">
        <f>IF(A501="","",IFERROR(AVERAGEIFS(nNOTA,nNIA,A501,nEVAL,CONFIG_METADATA!$B$4,nASIG,"Conjunto"),""))</f>
        <v/>
      </c>
      <c r="E501" t="str">
        <f>IF(A501="","",IFERROR(AVERAGEIFS(nNOTA,nNIA,A501,nEVAL,CONFIG_METADATA!$B$4,nASIG,"&lt;&gt;Lenguaje Musical",nASIG,"&lt;&gt;Coro",nASIG,"&lt;&gt;Conjunto"),""))</f>
        <v/>
      </c>
      <c r="H501" t="str">
        <f>IF(G501="","",IFERROR(AVERAGEIFS(nNOTA,nNIA,G501,nEVAL,CONFIG_METADATA!$B$4,nASIG,"Lenguaje Musical"),""))</f>
        <v/>
      </c>
      <c r="I501" t="str">
        <f>IF(G501="","",IFERROR(AVERAGEIFS(nNOTA,nNIA,G501,nEVAL,CONFIG_METADATA!$B$4,nASIG,"Coro"),""))</f>
        <v/>
      </c>
      <c r="J501" t="str">
        <f>IF(G501="","",IFERROR(AVERAGEIFS(nNOTA,nNIA,G501,nEVAL,CONFIG_METADATA!$B$4,nASIG,"Conjunto"),""))</f>
        <v/>
      </c>
      <c r="K501" t="str" cm="1">
        <f t="array" ref="K501">IF(G501="","",IFERROR(AVERAGE(IF((nNIA=G501)*(nEVAL=CONFIG_METADATA!$B$4)*(nASIG&lt;&gt;"Lenguaje Musical")*(nASIG&lt;&gt;"Coro")*(nASIG&lt;&gt;"Conjunto"),nNOTA)),""))</f>
        <v/>
      </c>
      <c r="N501" t="str">
        <f>IF(M501="","",IFERROR(AVERAGEIFS(nNOTA,nNIA,M501,nEVAL,CONFIG_METADATA!$B$4,nASIG,"Lenguaje Musical"),""))</f>
        <v/>
      </c>
      <c r="O501" t="str">
        <f>IF(M501="","",IFERROR(AVERAGEIFS(nNOTA,nNIA,M501,nEVAL,CONFIG_METADATA!$B$4,nASIG,"Coro"),""))</f>
        <v/>
      </c>
      <c r="P501" t="str">
        <f>IF(M501="","",IFERROR(AVERAGEIFS(nNOTA,nNIA,M501,nEVAL,CONFIG_METADATA!$B$4,nASIG,"Conjunto"),""))</f>
        <v/>
      </c>
      <c r="Q501" t="str">
        <f>IF(M501="","",IFERROR(AVERAGEIFS(nNOTA,nNIA,M501,nEVAL,CONFIG_METADATA!$B$4,nASIG,"&lt;&gt;Lenguaje Musical",nASIG,"&lt;&gt;Coro",nASIG,"&lt;&gt;Conjunto"),""))</f>
        <v/>
      </c>
      <c r="T501" t="str">
        <f>IF(S501="","",IFERROR(AVERAGEIFS(nNOTA,nNIA,S501,nEVAL,CONFIG_METADATA!$B$4,nASIG,"Lenguaje Musical"),""))</f>
        <v/>
      </c>
      <c r="U501" t="str">
        <f>IF(S501="","",IFERROR(AVERAGEIFS(nNOTA,nNIA,S501,nEVAL,CONFIG_METADATA!$B$4,nASIG,"Coro"),""))</f>
        <v/>
      </c>
      <c r="V501" t="str">
        <f>IF(S501="","",IFERROR(AVERAGEIFS(nNOTA,nNIA,S501,nEVAL,CONFIG_METADATA!$B$4,nASIG,"Conjunto"),""))</f>
        <v/>
      </c>
      <c r="W501" t="str" cm="1">
        <f t="array" ref="W501">IF(S501="","",IFERROR(AVERAGE(IF((nNIA=S501)*(nEVAL=CONFIG_METADATA!$B$4)*(nASIG&lt;&gt;"Lenguaje Musical")*(nASIG&lt;&gt;"Coro")*(nASIG&lt;&gt;"Conjunto"),nNOTA)),""))</f>
        <v/>
      </c>
    </row>
    <row r="502" spans="2:23" x14ac:dyDescent="0.2">
      <c r="B502" t="str">
        <f>IF(A502="","",IFERROR(AVERAGEIFS(nNOTA,nNIA,A502,nEVAL,CONFIG_METADATA!$B$4,nASIG,"Lenguaje Musical"),""))</f>
        <v/>
      </c>
      <c r="C502" t="str">
        <f>IF(A502="","",IFERROR(AVERAGEIFS(nNOTA,nNIA,A502,nEVAL,CONFIG_METADATA!$B$4,nASIG,"Coro"),""))</f>
        <v/>
      </c>
      <c r="D502" t="str">
        <f>IF(A502="","",IFERROR(AVERAGEIFS(nNOTA,nNIA,A502,nEVAL,CONFIG_METADATA!$B$4,nASIG,"Conjunto"),""))</f>
        <v/>
      </c>
      <c r="E502" t="str">
        <f>IF(A502="","",IFERROR(AVERAGEIFS(nNOTA,nNIA,A502,nEVAL,CONFIG_METADATA!$B$4,nASIG,"&lt;&gt;Lenguaje Musical",nASIG,"&lt;&gt;Coro",nASIG,"&lt;&gt;Conjunto"),""))</f>
        <v/>
      </c>
      <c r="H502" t="str">
        <f>IF(G502="","",IFERROR(AVERAGEIFS(nNOTA,nNIA,G502,nEVAL,CONFIG_METADATA!$B$4,nASIG,"Lenguaje Musical"),""))</f>
        <v/>
      </c>
      <c r="I502" t="str">
        <f>IF(G502="","",IFERROR(AVERAGEIFS(nNOTA,nNIA,G502,nEVAL,CONFIG_METADATA!$B$4,nASIG,"Coro"),""))</f>
        <v/>
      </c>
      <c r="J502" t="str">
        <f>IF(G502="","",IFERROR(AVERAGEIFS(nNOTA,nNIA,G502,nEVAL,CONFIG_METADATA!$B$4,nASIG,"Conjunto"),""))</f>
        <v/>
      </c>
      <c r="K502" t="str" cm="1">
        <f t="array" ref="K502">IF(G502="","",IFERROR(AVERAGE(IF((nNIA=G502)*(nEVAL=CONFIG_METADATA!$B$4)*(nASIG&lt;&gt;"Lenguaje Musical")*(nASIG&lt;&gt;"Coro")*(nASIG&lt;&gt;"Conjunto"),nNOTA)),""))</f>
        <v/>
      </c>
      <c r="N502" t="str">
        <f>IF(M502="","",IFERROR(AVERAGEIFS(nNOTA,nNIA,M502,nEVAL,CONFIG_METADATA!$B$4,nASIG,"Lenguaje Musical"),""))</f>
        <v/>
      </c>
      <c r="O502" t="str">
        <f>IF(M502="","",IFERROR(AVERAGEIFS(nNOTA,nNIA,M502,nEVAL,CONFIG_METADATA!$B$4,nASIG,"Coro"),""))</f>
        <v/>
      </c>
      <c r="P502" t="str">
        <f>IF(M502="","",IFERROR(AVERAGEIFS(nNOTA,nNIA,M502,nEVAL,CONFIG_METADATA!$B$4,nASIG,"Conjunto"),""))</f>
        <v/>
      </c>
      <c r="Q502" t="str">
        <f>IF(M502="","",IFERROR(AVERAGEIFS(nNOTA,nNIA,M502,nEVAL,CONFIG_METADATA!$B$4,nASIG,"&lt;&gt;Lenguaje Musical",nASIG,"&lt;&gt;Coro",nASIG,"&lt;&gt;Conjunto"),""))</f>
        <v/>
      </c>
      <c r="T502" t="str">
        <f>IF(S502="","",IFERROR(AVERAGEIFS(nNOTA,nNIA,S502,nEVAL,CONFIG_METADATA!$B$4,nASIG,"Lenguaje Musical"),""))</f>
        <v/>
      </c>
      <c r="U502" t="str">
        <f>IF(S502="","",IFERROR(AVERAGEIFS(nNOTA,nNIA,S502,nEVAL,CONFIG_METADATA!$B$4,nASIG,"Coro"),""))</f>
        <v/>
      </c>
      <c r="V502" t="str">
        <f>IF(S502="","",IFERROR(AVERAGEIFS(nNOTA,nNIA,S502,nEVAL,CONFIG_METADATA!$B$4,nASIG,"Conjunto"),""))</f>
        <v/>
      </c>
      <c r="W502" t="str" cm="1">
        <f t="array" ref="W502">IF(S502="","",IFERROR(AVERAGE(IF((nNIA=S502)*(nEVAL=CONFIG_METADATA!$B$4)*(nASIG&lt;&gt;"Lenguaje Musical")*(nASIG&lt;&gt;"Coro")*(nASIG&lt;&gt;"Conjunto"),nNOTA)),""))</f>
        <v/>
      </c>
    </row>
    <row r="503" spans="2:23" x14ac:dyDescent="0.2">
      <c r="B503" t="str">
        <f>IF(A503="","",IFERROR(AVERAGEIFS(nNOTA,nNIA,A503,nEVAL,CONFIG_METADATA!$B$4,nASIG,"Lenguaje Musical"),""))</f>
        <v/>
      </c>
      <c r="C503" t="str">
        <f>IF(A503="","",IFERROR(AVERAGEIFS(nNOTA,nNIA,A503,nEVAL,CONFIG_METADATA!$B$4,nASIG,"Coro"),""))</f>
        <v/>
      </c>
      <c r="D503" t="str">
        <f>IF(A503="","",IFERROR(AVERAGEIFS(nNOTA,nNIA,A503,nEVAL,CONFIG_METADATA!$B$4,nASIG,"Conjunto"),""))</f>
        <v/>
      </c>
      <c r="E503" t="str">
        <f>IF(A503="","",IFERROR(AVERAGEIFS(nNOTA,nNIA,A503,nEVAL,CONFIG_METADATA!$B$4,nASIG,"&lt;&gt;Lenguaje Musical",nASIG,"&lt;&gt;Coro",nASIG,"&lt;&gt;Conjunto"),""))</f>
        <v/>
      </c>
      <c r="H503" t="str">
        <f>IF(G503="","",IFERROR(AVERAGEIFS(nNOTA,nNIA,G503,nEVAL,CONFIG_METADATA!$B$4,nASIG,"Lenguaje Musical"),""))</f>
        <v/>
      </c>
      <c r="I503" t="str">
        <f>IF(G503="","",IFERROR(AVERAGEIFS(nNOTA,nNIA,G503,nEVAL,CONFIG_METADATA!$B$4,nASIG,"Coro"),""))</f>
        <v/>
      </c>
      <c r="J503" t="str">
        <f>IF(G503="","",IFERROR(AVERAGEIFS(nNOTA,nNIA,G503,nEVAL,CONFIG_METADATA!$B$4,nASIG,"Conjunto"),""))</f>
        <v/>
      </c>
      <c r="K503" t="str" cm="1">
        <f t="array" ref="K503">IF(G503="","",IFERROR(AVERAGE(IF((nNIA=G503)*(nEVAL=CONFIG_METADATA!$B$4)*(nASIG&lt;&gt;"Lenguaje Musical")*(nASIG&lt;&gt;"Coro")*(nASIG&lt;&gt;"Conjunto"),nNOTA)),""))</f>
        <v/>
      </c>
      <c r="N503" t="str">
        <f>IF(M503="","",IFERROR(AVERAGEIFS(nNOTA,nNIA,M503,nEVAL,CONFIG_METADATA!$B$4,nASIG,"Lenguaje Musical"),""))</f>
        <v/>
      </c>
      <c r="O503" t="str">
        <f>IF(M503="","",IFERROR(AVERAGEIFS(nNOTA,nNIA,M503,nEVAL,CONFIG_METADATA!$B$4,nASIG,"Coro"),""))</f>
        <v/>
      </c>
      <c r="P503" t="str">
        <f>IF(M503="","",IFERROR(AVERAGEIFS(nNOTA,nNIA,M503,nEVAL,CONFIG_METADATA!$B$4,nASIG,"Conjunto"),""))</f>
        <v/>
      </c>
      <c r="Q503" t="str">
        <f>IF(M503="","",IFERROR(AVERAGEIFS(nNOTA,nNIA,M503,nEVAL,CONFIG_METADATA!$B$4,nASIG,"&lt;&gt;Lenguaje Musical",nASIG,"&lt;&gt;Coro",nASIG,"&lt;&gt;Conjunto"),""))</f>
        <v/>
      </c>
      <c r="T503" t="str">
        <f>IF(S503="","",IFERROR(AVERAGEIFS(nNOTA,nNIA,S503,nEVAL,CONFIG_METADATA!$B$4,nASIG,"Lenguaje Musical"),""))</f>
        <v/>
      </c>
      <c r="U503" t="str">
        <f>IF(S503="","",IFERROR(AVERAGEIFS(nNOTA,nNIA,S503,nEVAL,CONFIG_METADATA!$B$4,nASIG,"Coro"),""))</f>
        <v/>
      </c>
      <c r="V503" t="str">
        <f>IF(S503="","",IFERROR(AVERAGEIFS(nNOTA,nNIA,S503,nEVAL,CONFIG_METADATA!$B$4,nASIG,"Conjunto"),""))</f>
        <v/>
      </c>
      <c r="W503" t="str" cm="1">
        <f t="array" ref="W503">IF(S503="","",IFERROR(AVERAGE(IF((nNIA=S503)*(nEVAL=CONFIG_METADATA!$B$4)*(nASIG&lt;&gt;"Lenguaje Musical")*(nASIG&lt;&gt;"Coro")*(nASIG&lt;&gt;"Conjunto"),nNOTA)),""))</f>
        <v/>
      </c>
    </row>
    <row r="504" spans="2:23" x14ac:dyDescent="0.2">
      <c r="B504" t="str">
        <f>IF(A504="","",IFERROR(AVERAGEIFS(nNOTA,nNIA,A504,nEVAL,CONFIG_METADATA!$B$4,nASIG,"Lenguaje Musical"),""))</f>
        <v/>
      </c>
      <c r="C504" t="str">
        <f>IF(A504="","",IFERROR(AVERAGEIFS(nNOTA,nNIA,A504,nEVAL,CONFIG_METADATA!$B$4,nASIG,"Coro"),""))</f>
        <v/>
      </c>
      <c r="D504" t="str">
        <f>IF(A504="","",IFERROR(AVERAGEIFS(nNOTA,nNIA,A504,nEVAL,CONFIG_METADATA!$B$4,nASIG,"Conjunto"),""))</f>
        <v/>
      </c>
      <c r="E504" t="str">
        <f>IF(A504="","",IFERROR(AVERAGEIFS(nNOTA,nNIA,A504,nEVAL,CONFIG_METADATA!$B$4,nASIG,"&lt;&gt;Lenguaje Musical",nASIG,"&lt;&gt;Coro",nASIG,"&lt;&gt;Conjunto"),""))</f>
        <v/>
      </c>
      <c r="H504" t="str">
        <f>IF(G504="","",IFERROR(AVERAGEIFS(nNOTA,nNIA,G504,nEVAL,CONFIG_METADATA!$B$4,nASIG,"Lenguaje Musical"),""))</f>
        <v/>
      </c>
      <c r="I504" t="str">
        <f>IF(G504="","",IFERROR(AVERAGEIFS(nNOTA,nNIA,G504,nEVAL,CONFIG_METADATA!$B$4,nASIG,"Coro"),""))</f>
        <v/>
      </c>
      <c r="J504" t="str">
        <f>IF(G504="","",IFERROR(AVERAGEIFS(nNOTA,nNIA,G504,nEVAL,CONFIG_METADATA!$B$4,nASIG,"Conjunto"),""))</f>
        <v/>
      </c>
      <c r="K504" t="str" cm="1">
        <f t="array" ref="K504">IF(G504="","",IFERROR(AVERAGE(IF((nNIA=G504)*(nEVAL=CONFIG_METADATA!$B$4)*(nASIG&lt;&gt;"Lenguaje Musical")*(nASIG&lt;&gt;"Coro")*(nASIG&lt;&gt;"Conjunto"),nNOTA)),""))</f>
        <v/>
      </c>
      <c r="N504" t="str">
        <f>IF(M504="","",IFERROR(AVERAGEIFS(nNOTA,nNIA,M504,nEVAL,CONFIG_METADATA!$B$4,nASIG,"Lenguaje Musical"),""))</f>
        <v/>
      </c>
      <c r="O504" t="str">
        <f>IF(M504="","",IFERROR(AVERAGEIFS(nNOTA,nNIA,M504,nEVAL,CONFIG_METADATA!$B$4,nASIG,"Coro"),""))</f>
        <v/>
      </c>
      <c r="P504" t="str">
        <f>IF(M504="","",IFERROR(AVERAGEIFS(nNOTA,nNIA,M504,nEVAL,CONFIG_METADATA!$B$4,nASIG,"Conjunto"),""))</f>
        <v/>
      </c>
      <c r="Q504" t="str">
        <f>IF(M504="","",IFERROR(AVERAGEIFS(nNOTA,nNIA,M504,nEVAL,CONFIG_METADATA!$B$4,nASIG,"&lt;&gt;Lenguaje Musical",nASIG,"&lt;&gt;Coro",nASIG,"&lt;&gt;Conjunto"),""))</f>
        <v/>
      </c>
      <c r="T504" t="str">
        <f>IF(S504="","",IFERROR(AVERAGEIFS(nNOTA,nNIA,S504,nEVAL,CONFIG_METADATA!$B$4,nASIG,"Lenguaje Musical"),""))</f>
        <v/>
      </c>
      <c r="U504" t="str">
        <f>IF(S504="","",IFERROR(AVERAGEIFS(nNOTA,nNIA,S504,nEVAL,CONFIG_METADATA!$B$4,nASIG,"Coro"),""))</f>
        <v/>
      </c>
      <c r="V504" t="str">
        <f>IF(S504="","",IFERROR(AVERAGEIFS(nNOTA,nNIA,S504,nEVAL,CONFIG_METADATA!$B$4,nASIG,"Conjunto"),""))</f>
        <v/>
      </c>
      <c r="W504" t="str" cm="1">
        <f t="array" ref="W504">IF(S504="","",IFERROR(AVERAGE(IF((nNIA=S504)*(nEVAL=CONFIG_METADATA!$B$4)*(nASIG&lt;&gt;"Lenguaje Musical")*(nASIG&lt;&gt;"Coro")*(nASIG&lt;&gt;"Conjunto"),nNOTA)),""))</f>
        <v/>
      </c>
    </row>
    <row r="505" spans="2:23" x14ac:dyDescent="0.2">
      <c r="B505" t="str">
        <f>IF(A505="","",IFERROR(AVERAGEIFS(nNOTA,nNIA,A505,nEVAL,CONFIG_METADATA!$B$4,nASIG,"Lenguaje Musical"),""))</f>
        <v/>
      </c>
      <c r="C505" t="str">
        <f>IF(A505="","",IFERROR(AVERAGEIFS(nNOTA,nNIA,A505,nEVAL,CONFIG_METADATA!$B$4,nASIG,"Coro"),""))</f>
        <v/>
      </c>
      <c r="D505" t="str">
        <f>IF(A505="","",IFERROR(AVERAGEIFS(nNOTA,nNIA,A505,nEVAL,CONFIG_METADATA!$B$4,nASIG,"Conjunto"),""))</f>
        <v/>
      </c>
      <c r="E505" t="str">
        <f>IF(A505="","",IFERROR(AVERAGEIFS(nNOTA,nNIA,A505,nEVAL,CONFIG_METADATA!$B$4,nASIG,"&lt;&gt;Lenguaje Musical",nASIG,"&lt;&gt;Coro",nASIG,"&lt;&gt;Conjunto"),""))</f>
        <v/>
      </c>
      <c r="H505" t="str">
        <f>IF(G505="","",IFERROR(AVERAGEIFS(nNOTA,nNIA,G505,nEVAL,CONFIG_METADATA!$B$4,nASIG,"Lenguaje Musical"),""))</f>
        <v/>
      </c>
      <c r="I505" t="str">
        <f>IF(G505="","",IFERROR(AVERAGEIFS(nNOTA,nNIA,G505,nEVAL,CONFIG_METADATA!$B$4,nASIG,"Coro"),""))</f>
        <v/>
      </c>
      <c r="J505" t="str">
        <f>IF(G505="","",IFERROR(AVERAGEIFS(nNOTA,nNIA,G505,nEVAL,CONFIG_METADATA!$B$4,nASIG,"Conjunto"),""))</f>
        <v/>
      </c>
      <c r="K505" t="str" cm="1">
        <f t="array" ref="K505">IF(G505="","",IFERROR(AVERAGE(IF((nNIA=G505)*(nEVAL=CONFIG_METADATA!$B$4)*(nASIG&lt;&gt;"Lenguaje Musical")*(nASIG&lt;&gt;"Coro")*(nASIG&lt;&gt;"Conjunto"),nNOTA)),""))</f>
        <v/>
      </c>
      <c r="N505" t="str">
        <f>IF(M505="","",IFERROR(AVERAGEIFS(nNOTA,nNIA,M505,nEVAL,CONFIG_METADATA!$B$4,nASIG,"Lenguaje Musical"),""))</f>
        <v/>
      </c>
      <c r="O505" t="str">
        <f>IF(M505="","",IFERROR(AVERAGEIFS(nNOTA,nNIA,M505,nEVAL,CONFIG_METADATA!$B$4,nASIG,"Coro"),""))</f>
        <v/>
      </c>
      <c r="P505" t="str">
        <f>IF(M505="","",IFERROR(AVERAGEIFS(nNOTA,nNIA,M505,nEVAL,CONFIG_METADATA!$B$4,nASIG,"Conjunto"),""))</f>
        <v/>
      </c>
      <c r="Q505" t="str">
        <f>IF(M505="","",IFERROR(AVERAGEIFS(nNOTA,nNIA,M505,nEVAL,CONFIG_METADATA!$B$4,nASIG,"&lt;&gt;Lenguaje Musical",nASIG,"&lt;&gt;Coro",nASIG,"&lt;&gt;Conjunto"),""))</f>
        <v/>
      </c>
      <c r="T505" t="str">
        <f>IF(S505="","",IFERROR(AVERAGEIFS(nNOTA,nNIA,S505,nEVAL,CONFIG_METADATA!$B$4,nASIG,"Lenguaje Musical"),""))</f>
        <v/>
      </c>
      <c r="U505" t="str">
        <f>IF(S505="","",IFERROR(AVERAGEIFS(nNOTA,nNIA,S505,nEVAL,CONFIG_METADATA!$B$4,nASIG,"Coro"),""))</f>
        <v/>
      </c>
      <c r="V505" t="str">
        <f>IF(S505="","",IFERROR(AVERAGEIFS(nNOTA,nNIA,S505,nEVAL,CONFIG_METADATA!$B$4,nASIG,"Conjunto"),""))</f>
        <v/>
      </c>
      <c r="W505" t="str" cm="1">
        <f t="array" ref="W505">IF(S505="","",IFERROR(AVERAGE(IF((nNIA=S505)*(nEVAL=CONFIG_METADATA!$B$4)*(nASIG&lt;&gt;"Lenguaje Musical")*(nASIG&lt;&gt;"Coro")*(nASIG&lt;&gt;"Conjunto"),nNOTA)),""))</f>
        <v/>
      </c>
    </row>
    <row r="506" spans="2:23" x14ac:dyDescent="0.2">
      <c r="B506" t="str">
        <f>IF(A506="","",IFERROR(AVERAGEIFS(nNOTA,nNIA,A506,nEVAL,CONFIG_METADATA!$B$4,nASIG,"Lenguaje Musical"),""))</f>
        <v/>
      </c>
      <c r="C506" t="str">
        <f>IF(A506="","",IFERROR(AVERAGEIFS(nNOTA,nNIA,A506,nEVAL,CONFIG_METADATA!$B$4,nASIG,"Coro"),""))</f>
        <v/>
      </c>
      <c r="D506" t="str">
        <f>IF(A506="","",IFERROR(AVERAGEIFS(nNOTA,nNIA,A506,nEVAL,CONFIG_METADATA!$B$4,nASIG,"Conjunto"),""))</f>
        <v/>
      </c>
      <c r="E506" t="str">
        <f>IF(A506="","",IFERROR(AVERAGEIFS(nNOTA,nNIA,A506,nEVAL,CONFIG_METADATA!$B$4,nASIG,"&lt;&gt;Lenguaje Musical",nASIG,"&lt;&gt;Coro",nASIG,"&lt;&gt;Conjunto"),""))</f>
        <v/>
      </c>
      <c r="H506" t="str">
        <f>IF(G506="","",IFERROR(AVERAGEIFS(nNOTA,nNIA,G506,nEVAL,CONFIG_METADATA!$B$4,nASIG,"Lenguaje Musical"),""))</f>
        <v/>
      </c>
      <c r="I506" t="str">
        <f>IF(G506="","",IFERROR(AVERAGEIFS(nNOTA,nNIA,G506,nEVAL,CONFIG_METADATA!$B$4,nASIG,"Coro"),""))</f>
        <v/>
      </c>
      <c r="J506" t="str">
        <f>IF(G506="","",IFERROR(AVERAGEIFS(nNOTA,nNIA,G506,nEVAL,CONFIG_METADATA!$B$4,nASIG,"Conjunto"),""))</f>
        <v/>
      </c>
      <c r="K506" t="str" cm="1">
        <f t="array" ref="K506">IF(G506="","",IFERROR(AVERAGE(IF((nNIA=G506)*(nEVAL=CONFIG_METADATA!$B$4)*(nASIG&lt;&gt;"Lenguaje Musical")*(nASIG&lt;&gt;"Coro")*(nASIG&lt;&gt;"Conjunto"),nNOTA)),""))</f>
        <v/>
      </c>
      <c r="N506" t="str">
        <f>IF(M506="","",IFERROR(AVERAGEIFS(nNOTA,nNIA,M506,nEVAL,CONFIG_METADATA!$B$4,nASIG,"Lenguaje Musical"),""))</f>
        <v/>
      </c>
      <c r="O506" t="str">
        <f>IF(M506="","",IFERROR(AVERAGEIFS(nNOTA,nNIA,M506,nEVAL,CONFIG_METADATA!$B$4,nASIG,"Coro"),""))</f>
        <v/>
      </c>
      <c r="P506" t="str">
        <f>IF(M506="","",IFERROR(AVERAGEIFS(nNOTA,nNIA,M506,nEVAL,CONFIG_METADATA!$B$4,nASIG,"Conjunto"),""))</f>
        <v/>
      </c>
      <c r="Q506" t="str">
        <f>IF(M506="","",IFERROR(AVERAGEIFS(nNOTA,nNIA,M506,nEVAL,CONFIG_METADATA!$B$4,nASIG,"&lt;&gt;Lenguaje Musical",nASIG,"&lt;&gt;Coro",nASIG,"&lt;&gt;Conjunto"),""))</f>
        <v/>
      </c>
      <c r="T506" t="str">
        <f>IF(S506="","",IFERROR(AVERAGEIFS(nNOTA,nNIA,S506,nEVAL,CONFIG_METADATA!$B$4,nASIG,"Lenguaje Musical"),""))</f>
        <v/>
      </c>
      <c r="U506" t="str">
        <f>IF(S506="","",IFERROR(AVERAGEIFS(nNOTA,nNIA,S506,nEVAL,CONFIG_METADATA!$B$4,nASIG,"Coro"),""))</f>
        <v/>
      </c>
      <c r="V506" t="str">
        <f>IF(S506="","",IFERROR(AVERAGEIFS(nNOTA,nNIA,S506,nEVAL,CONFIG_METADATA!$B$4,nASIG,"Conjunto"),""))</f>
        <v/>
      </c>
      <c r="W506" t="str" cm="1">
        <f t="array" ref="W506">IF(S506="","",IFERROR(AVERAGE(IF((nNIA=S506)*(nEVAL=CONFIG_METADATA!$B$4)*(nASIG&lt;&gt;"Lenguaje Musical")*(nASIG&lt;&gt;"Coro")*(nASIG&lt;&gt;"Conjunto"),nNOTA)),""))</f>
        <v/>
      </c>
    </row>
    <row r="507" spans="2:23" x14ac:dyDescent="0.2">
      <c r="B507" t="str">
        <f>IF(A507="","",IFERROR(AVERAGEIFS(nNOTA,nNIA,A507,nEVAL,CONFIG_METADATA!$B$4,nASIG,"Lenguaje Musical"),""))</f>
        <v/>
      </c>
      <c r="C507" t="str">
        <f>IF(A507="","",IFERROR(AVERAGEIFS(nNOTA,nNIA,A507,nEVAL,CONFIG_METADATA!$B$4,nASIG,"Coro"),""))</f>
        <v/>
      </c>
      <c r="D507" t="str">
        <f>IF(A507="","",IFERROR(AVERAGEIFS(nNOTA,nNIA,A507,nEVAL,CONFIG_METADATA!$B$4,nASIG,"Conjunto"),""))</f>
        <v/>
      </c>
      <c r="E507" t="str">
        <f>IF(A507="","",IFERROR(AVERAGEIFS(nNOTA,nNIA,A507,nEVAL,CONFIG_METADATA!$B$4,nASIG,"&lt;&gt;Lenguaje Musical",nASIG,"&lt;&gt;Coro",nASIG,"&lt;&gt;Conjunto"),""))</f>
        <v/>
      </c>
      <c r="H507" t="str">
        <f>IF(G507="","",IFERROR(AVERAGEIFS(nNOTA,nNIA,G507,nEVAL,CONFIG_METADATA!$B$4,nASIG,"Lenguaje Musical"),""))</f>
        <v/>
      </c>
      <c r="I507" t="str">
        <f>IF(G507="","",IFERROR(AVERAGEIFS(nNOTA,nNIA,G507,nEVAL,CONFIG_METADATA!$B$4,nASIG,"Coro"),""))</f>
        <v/>
      </c>
      <c r="J507" t="str">
        <f>IF(G507="","",IFERROR(AVERAGEIFS(nNOTA,nNIA,G507,nEVAL,CONFIG_METADATA!$B$4,nASIG,"Conjunto"),""))</f>
        <v/>
      </c>
      <c r="K507" t="str" cm="1">
        <f t="array" ref="K507">IF(G507="","",IFERROR(AVERAGE(IF((nNIA=G507)*(nEVAL=CONFIG_METADATA!$B$4)*(nASIG&lt;&gt;"Lenguaje Musical")*(nASIG&lt;&gt;"Coro")*(nASIG&lt;&gt;"Conjunto"),nNOTA)),""))</f>
        <v/>
      </c>
      <c r="N507" t="str">
        <f>IF(M507="","",IFERROR(AVERAGEIFS(nNOTA,nNIA,M507,nEVAL,CONFIG_METADATA!$B$4,nASIG,"Lenguaje Musical"),""))</f>
        <v/>
      </c>
      <c r="O507" t="str">
        <f>IF(M507="","",IFERROR(AVERAGEIFS(nNOTA,nNIA,M507,nEVAL,CONFIG_METADATA!$B$4,nASIG,"Coro"),""))</f>
        <v/>
      </c>
      <c r="P507" t="str">
        <f>IF(M507="","",IFERROR(AVERAGEIFS(nNOTA,nNIA,M507,nEVAL,CONFIG_METADATA!$B$4,nASIG,"Conjunto"),""))</f>
        <v/>
      </c>
      <c r="Q507" t="str">
        <f>IF(M507="","",IFERROR(AVERAGEIFS(nNOTA,nNIA,M507,nEVAL,CONFIG_METADATA!$B$4,nASIG,"&lt;&gt;Lenguaje Musical",nASIG,"&lt;&gt;Coro",nASIG,"&lt;&gt;Conjunto"),""))</f>
        <v/>
      </c>
      <c r="T507" t="str">
        <f>IF(S507="","",IFERROR(AVERAGEIFS(nNOTA,nNIA,S507,nEVAL,CONFIG_METADATA!$B$4,nASIG,"Lenguaje Musical"),""))</f>
        <v/>
      </c>
      <c r="U507" t="str">
        <f>IF(S507="","",IFERROR(AVERAGEIFS(nNOTA,nNIA,S507,nEVAL,CONFIG_METADATA!$B$4,nASIG,"Coro"),""))</f>
        <v/>
      </c>
      <c r="V507" t="str">
        <f>IF(S507="","",IFERROR(AVERAGEIFS(nNOTA,nNIA,S507,nEVAL,CONFIG_METADATA!$B$4,nASIG,"Conjunto"),""))</f>
        <v/>
      </c>
      <c r="W507" t="str" cm="1">
        <f t="array" ref="W507">IF(S507="","",IFERROR(AVERAGE(IF((nNIA=S507)*(nEVAL=CONFIG_METADATA!$B$4)*(nASIG&lt;&gt;"Lenguaje Musical")*(nASIG&lt;&gt;"Coro")*(nASIG&lt;&gt;"Conjunto"),nNOTA)),""))</f>
        <v/>
      </c>
    </row>
    <row r="508" spans="2:23" x14ac:dyDescent="0.2">
      <c r="B508" t="str">
        <f>IF(A508="","",IFERROR(AVERAGEIFS(nNOTA,nNIA,A508,nEVAL,CONFIG_METADATA!$B$4,nASIG,"Lenguaje Musical"),""))</f>
        <v/>
      </c>
      <c r="C508" t="str">
        <f>IF(A508="","",IFERROR(AVERAGEIFS(nNOTA,nNIA,A508,nEVAL,CONFIG_METADATA!$B$4,nASIG,"Coro"),""))</f>
        <v/>
      </c>
      <c r="D508" t="str">
        <f>IF(A508="","",IFERROR(AVERAGEIFS(nNOTA,nNIA,A508,nEVAL,CONFIG_METADATA!$B$4,nASIG,"Conjunto"),""))</f>
        <v/>
      </c>
      <c r="E508" t="str">
        <f>IF(A508="","",IFERROR(AVERAGEIFS(nNOTA,nNIA,A508,nEVAL,CONFIG_METADATA!$B$4,nASIG,"&lt;&gt;Lenguaje Musical",nASIG,"&lt;&gt;Coro",nASIG,"&lt;&gt;Conjunto"),""))</f>
        <v/>
      </c>
      <c r="H508" t="str">
        <f>IF(G508="","",IFERROR(AVERAGEIFS(nNOTA,nNIA,G508,nEVAL,CONFIG_METADATA!$B$4,nASIG,"Lenguaje Musical"),""))</f>
        <v/>
      </c>
      <c r="I508" t="str">
        <f>IF(G508="","",IFERROR(AVERAGEIFS(nNOTA,nNIA,G508,nEVAL,CONFIG_METADATA!$B$4,nASIG,"Coro"),""))</f>
        <v/>
      </c>
      <c r="J508" t="str">
        <f>IF(G508="","",IFERROR(AVERAGEIFS(nNOTA,nNIA,G508,nEVAL,CONFIG_METADATA!$B$4,nASIG,"Conjunto"),""))</f>
        <v/>
      </c>
      <c r="K508" t="str" cm="1">
        <f t="array" ref="K508">IF(G508="","",IFERROR(AVERAGE(IF((nNIA=G508)*(nEVAL=CONFIG_METADATA!$B$4)*(nASIG&lt;&gt;"Lenguaje Musical")*(nASIG&lt;&gt;"Coro")*(nASIG&lt;&gt;"Conjunto"),nNOTA)),""))</f>
        <v/>
      </c>
      <c r="N508" t="str">
        <f>IF(M508="","",IFERROR(AVERAGEIFS(nNOTA,nNIA,M508,nEVAL,CONFIG_METADATA!$B$4,nASIG,"Lenguaje Musical"),""))</f>
        <v/>
      </c>
      <c r="O508" t="str">
        <f>IF(M508="","",IFERROR(AVERAGEIFS(nNOTA,nNIA,M508,nEVAL,CONFIG_METADATA!$B$4,nASIG,"Coro"),""))</f>
        <v/>
      </c>
      <c r="P508" t="str">
        <f>IF(M508="","",IFERROR(AVERAGEIFS(nNOTA,nNIA,M508,nEVAL,CONFIG_METADATA!$B$4,nASIG,"Conjunto"),""))</f>
        <v/>
      </c>
      <c r="Q508" t="str">
        <f>IF(M508="","",IFERROR(AVERAGEIFS(nNOTA,nNIA,M508,nEVAL,CONFIG_METADATA!$B$4,nASIG,"&lt;&gt;Lenguaje Musical",nASIG,"&lt;&gt;Coro",nASIG,"&lt;&gt;Conjunto"),""))</f>
        <v/>
      </c>
      <c r="T508" t="str">
        <f>IF(S508="","",IFERROR(AVERAGEIFS(nNOTA,nNIA,S508,nEVAL,CONFIG_METADATA!$B$4,nASIG,"Lenguaje Musical"),""))</f>
        <v/>
      </c>
      <c r="U508" t="str">
        <f>IF(S508="","",IFERROR(AVERAGEIFS(nNOTA,nNIA,S508,nEVAL,CONFIG_METADATA!$B$4,nASIG,"Coro"),""))</f>
        <v/>
      </c>
      <c r="V508" t="str">
        <f>IF(S508="","",IFERROR(AVERAGEIFS(nNOTA,nNIA,S508,nEVAL,CONFIG_METADATA!$B$4,nASIG,"Conjunto"),""))</f>
        <v/>
      </c>
      <c r="W508" t="str" cm="1">
        <f t="array" ref="W508">IF(S508="","",IFERROR(AVERAGE(IF((nNIA=S508)*(nEVAL=CONFIG_METADATA!$B$4)*(nASIG&lt;&gt;"Lenguaje Musical")*(nASIG&lt;&gt;"Coro")*(nASIG&lt;&gt;"Conjunto"),nNOTA)),""))</f>
        <v/>
      </c>
    </row>
    <row r="509" spans="2:23" x14ac:dyDescent="0.2">
      <c r="B509" t="str">
        <f>IF(A509="","",IFERROR(AVERAGEIFS(nNOTA,nNIA,A509,nEVAL,CONFIG_METADATA!$B$4,nASIG,"Lenguaje Musical"),""))</f>
        <v/>
      </c>
      <c r="C509" t="str">
        <f>IF(A509="","",IFERROR(AVERAGEIFS(nNOTA,nNIA,A509,nEVAL,CONFIG_METADATA!$B$4,nASIG,"Coro"),""))</f>
        <v/>
      </c>
      <c r="D509" t="str">
        <f>IF(A509="","",IFERROR(AVERAGEIFS(nNOTA,nNIA,A509,nEVAL,CONFIG_METADATA!$B$4,nASIG,"Conjunto"),""))</f>
        <v/>
      </c>
      <c r="E509" t="str">
        <f>IF(A509="","",IFERROR(AVERAGEIFS(nNOTA,nNIA,A509,nEVAL,CONFIG_METADATA!$B$4,nASIG,"&lt;&gt;Lenguaje Musical",nASIG,"&lt;&gt;Coro",nASIG,"&lt;&gt;Conjunto"),""))</f>
        <v/>
      </c>
      <c r="H509" t="str">
        <f>IF(G509="","",IFERROR(AVERAGEIFS(nNOTA,nNIA,G509,nEVAL,CONFIG_METADATA!$B$4,nASIG,"Lenguaje Musical"),""))</f>
        <v/>
      </c>
      <c r="I509" t="str">
        <f>IF(G509="","",IFERROR(AVERAGEIFS(nNOTA,nNIA,G509,nEVAL,CONFIG_METADATA!$B$4,nASIG,"Coro"),""))</f>
        <v/>
      </c>
      <c r="J509" t="str">
        <f>IF(G509="","",IFERROR(AVERAGEIFS(nNOTA,nNIA,G509,nEVAL,CONFIG_METADATA!$B$4,nASIG,"Conjunto"),""))</f>
        <v/>
      </c>
      <c r="K509" t="str" cm="1">
        <f t="array" ref="K509">IF(G509="","",IFERROR(AVERAGE(IF((nNIA=G509)*(nEVAL=CONFIG_METADATA!$B$4)*(nASIG&lt;&gt;"Lenguaje Musical")*(nASIG&lt;&gt;"Coro")*(nASIG&lt;&gt;"Conjunto"),nNOTA)),""))</f>
        <v/>
      </c>
      <c r="N509" t="str">
        <f>IF(M509="","",IFERROR(AVERAGEIFS(nNOTA,nNIA,M509,nEVAL,CONFIG_METADATA!$B$4,nASIG,"Lenguaje Musical"),""))</f>
        <v/>
      </c>
      <c r="O509" t="str">
        <f>IF(M509="","",IFERROR(AVERAGEIFS(nNOTA,nNIA,M509,nEVAL,CONFIG_METADATA!$B$4,nASIG,"Coro"),""))</f>
        <v/>
      </c>
      <c r="P509" t="str">
        <f>IF(M509="","",IFERROR(AVERAGEIFS(nNOTA,nNIA,M509,nEVAL,CONFIG_METADATA!$B$4,nASIG,"Conjunto"),""))</f>
        <v/>
      </c>
      <c r="Q509" t="str">
        <f>IF(M509="","",IFERROR(AVERAGEIFS(nNOTA,nNIA,M509,nEVAL,CONFIG_METADATA!$B$4,nASIG,"&lt;&gt;Lenguaje Musical",nASIG,"&lt;&gt;Coro",nASIG,"&lt;&gt;Conjunto"),""))</f>
        <v/>
      </c>
      <c r="T509" t="str">
        <f>IF(S509="","",IFERROR(AVERAGEIFS(nNOTA,nNIA,S509,nEVAL,CONFIG_METADATA!$B$4,nASIG,"Lenguaje Musical"),""))</f>
        <v/>
      </c>
      <c r="U509" t="str">
        <f>IF(S509="","",IFERROR(AVERAGEIFS(nNOTA,nNIA,S509,nEVAL,CONFIG_METADATA!$B$4,nASIG,"Coro"),""))</f>
        <v/>
      </c>
      <c r="V509" t="str">
        <f>IF(S509="","",IFERROR(AVERAGEIFS(nNOTA,nNIA,S509,nEVAL,CONFIG_METADATA!$B$4,nASIG,"Conjunto"),""))</f>
        <v/>
      </c>
      <c r="W509" t="str" cm="1">
        <f t="array" ref="W509">IF(S509="","",IFERROR(AVERAGE(IF((nNIA=S509)*(nEVAL=CONFIG_METADATA!$B$4)*(nASIG&lt;&gt;"Lenguaje Musical")*(nASIG&lt;&gt;"Coro")*(nASIG&lt;&gt;"Conjunto"),nNOTA)),""))</f>
        <v/>
      </c>
    </row>
    <row r="510" spans="2:23" x14ac:dyDescent="0.2">
      <c r="B510" t="str">
        <f>IF(A510="","",IFERROR(AVERAGEIFS(nNOTA,nNIA,A510,nEVAL,CONFIG_METADATA!$B$4,nASIG,"Lenguaje Musical"),""))</f>
        <v/>
      </c>
      <c r="C510" t="str">
        <f>IF(A510="","",IFERROR(AVERAGEIFS(nNOTA,nNIA,A510,nEVAL,CONFIG_METADATA!$B$4,nASIG,"Coro"),""))</f>
        <v/>
      </c>
      <c r="D510" t="str">
        <f>IF(A510="","",IFERROR(AVERAGEIFS(nNOTA,nNIA,A510,nEVAL,CONFIG_METADATA!$B$4,nASIG,"Conjunto"),""))</f>
        <v/>
      </c>
      <c r="E510" t="str">
        <f>IF(A510="","",IFERROR(AVERAGEIFS(nNOTA,nNIA,A510,nEVAL,CONFIG_METADATA!$B$4,nASIG,"&lt;&gt;Lenguaje Musical",nASIG,"&lt;&gt;Coro",nASIG,"&lt;&gt;Conjunto"),""))</f>
        <v/>
      </c>
      <c r="H510" t="str">
        <f>IF(G510="","",IFERROR(AVERAGEIFS(nNOTA,nNIA,G510,nEVAL,CONFIG_METADATA!$B$4,nASIG,"Lenguaje Musical"),""))</f>
        <v/>
      </c>
      <c r="I510" t="str">
        <f>IF(G510="","",IFERROR(AVERAGEIFS(nNOTA,nNIA,G510,nEVAL,CONFIG_METADATA!$B$4,nASIG,"Coro"),""))</f>
        <v/>
      </c>
      <c r="J510" t="str">
        <f>IF(G510="","",IFERROR(AVERAGEIFS(nNOTA,nNIA,G510,nEVAL,CONFIG_METADATA!$B$4,nASIG,"Conjunto"),""))</f>
        <v/>
      </c>
      <c r="K510" t="str" cm="1">
        <f t="array" ref="K510">IF(G510="","",IFERROR(AVERAGE(IF((nNIA=G510)*(nEVAL=CONFIG_METADATA!$B$4)*(nASIG&lt;&gt;"Lenguaje Musical")*(nASIG&lt;&gt;"Coro")*(nASIG&lt;&gt;"Conjunto"),nNOTA)),""))</f>
        <v/>
      </c>
      <c r="N510" t="str">
        <f>IF(M510="","",IFERROR(AVERAGEIFS(nNOTA,nNIA,M510,nEVAL,CONFIG_METADATA!$B$4,nASIG,"Lenguaje Musical"),""))</f>
        <v/>
      </c>
      <c r="O510" t="str">
        <f>IF(M510="","",IFERROR(AVERAGEIFS(nNOTA,nNIA,M510,nEVAL,CONFIG_METADATA!$B$4,nASIG,"Coro"),""))</f>
        <v/>
      </c>
      <c r="P510" t="str">
        <f>IF(M510="","",IFERROR(AVERAGEIFS(nNOTA,nNIA,M510,nEVAL,CONFIG_METADATA!$B$4,nASIG,"Conjunto"),""))</f>
        <v/>
      </c>
      <c r="Q510" t="str">
        <f>IF(M510="","",IFERROR(AVERAGEIFS(nNOTA,nNIA,M510,nEVAL,CONFIG_METADATA!$B$4,nASIG,"&lt;&gt;Lenguaje Musical",nASIG,"&lt;&gt;Coro",nASIG,"&lt;&gt;Conjunto"),""))</f>
        <v/>
      </c>
      <c r="T510" t="str">
        <f>IF(S510="","",IFERROR(AVERAGEIFS(nNOTA,nNIA,S510,nEVAL,CONFIG_METADATA!$B$4,nASIG,"Lenguaje Musical"),""))</f>
        <v/>
      </c>
      <c r="U510" t="str">
        <f>IF(S510="","",IFERROR(AVERAGEIFS(nNOTA,nNIA,S510,nEVAL,CONFIG_METADATA!$B$4,nASIG,"Coro"),""))</f>
        <v/>
      </c>
      <c r="V510" t="str">
        <f>IF(S510="","",IFERROR(AVERAGEIFS(nNOTA,nNIA,S510,nEVAL,CONFIG_METADATA!$B$4,nASIG,"Conjunto"),""))</f>
        <v/>
      </c>
      <c r="W510" t="str" cm="1">
        <f t="array" ref="W510">IF(S510="","",IFERROR(AVERAGE(IF((nNIA=S510)*(nEVAL=CONFIG_METADATA!$B$4)*(nASIG&lt;&gt;"Lenguaje Musical")*(nASIG&lt;&gt;"Coro")*(nASIG&lt;&gt;"Conjunto"),nNOTA)),""))</f>
        <v/>
      </c>
    </row>
    <row r="511" spans="2:23" x14ac:dyDescent="0.2">
      <c r="B511" t="str">
        <f>IF(A511="","",IFERROR(AVERAGEIFS(nNOTA,nNIA,A511,nEVAL,CONFIG_METADATA!$B$4,nASIG,"Lenguaje Musical"),""))</f>
        <v/>
      </c>
      <c r="C511" t="str">
        <f>IF(A511="","",IFERROR(AVERAGEIFS(nNOTA,nNIA,A511,nEVAL,CONFIG_METADATA!$B$4,nASIG,"Coro"),""))</f>
        <v/>
      </c>
      <c r="D511" t="str">
        <f>IF(A511="","",IFERROR(AVERAGEIFS(nNOTA,nNIA,A511,nEVAL,CONFIG_METADATA!$B$4,nASIG,"Conjunto"),""))</f>
        <v/>
      </c>
      <c r="E511" t="str">
        <f>IF(A511="","",IFERROR(AVERAGEIFS(nNOTA,nNIA,A511,nEVAL,CONFIG_METADATA!$B$4,nASIG,"&lt;&gt;Lenguaje Musical",nASIG,"&lt;&gt;Coro",nASIG,"&lt;&gt;Conjunto"),""))</f>
        <v/>
      </c>
      <c r="H511" t="str">
        <f>IF(G511="","",IFERROR(AVERAGEIFS(nNOTA,nNIA,G511,nEVAL,CONFIG_METADATA!$B$4,nASIG,"Lenguaje Musical"),""))</f>
        <v/>
      </c>
      <c r="I511" t="str">
        <f>IF(G511="","",IFERROR(AVERAGEIFS(nNOTA,nNIA,G511,nEVAL,CONFIG_METADATA!$B$4,nASIG,"Coro"),""))</f>
        <v/>
      </c>
      <c r="J511" t="str">
        <f>IF(G511="","",IFERROR(AVERAGEIFS(nNOTA,nNIA,G511,nEVAL,CONFIG_METADATA!$B$4,nASIG,"Conjunto"),""))</f>
        <v/>
      </c>
      <c r="K511" t="str" cm="1">
        <f t="array" ref="K511">IF(G511="","",IFERROR(AVERAGE(IF((nNIA=G511)*(nEVAL=CONFIG_METADATA!$B$4)*(nASIG&lt;&gt;"Lenguaje Musical")*(nASIG&lt;&gt;"Coro")*(nASIG&lt;&gt;"Conjunto"),nNOTA)),""))</f>
        <v/>
      </c>
      <c r="N511" t="str">
        <f>IF(M511="","",IFERROR(AVERAGEIFS(nNOTA,nNIA,M511,nEVAL,CONFIG_METADATA!$B$4,nASIG,"Lenguaje Musical"),""))</f>
        <v/>
      </c>
      <c r="O511" t="str">
        <f>IF(M511="","",IFERROR(AVERAGEIFS(nNOTA,nNIA,M511,nEVAL,CONFIG_METADATA!$B$4,nASIG,"Coro"),""))</f>
        <v/>
      </c>
      <c r="P511" t="str">
        <f>IF(M511="","",IFERROR(AVERAGEIFS(nNOTA,nNIA,M511,nEVAL,CONFIG_METADATA!$B$4,nASIG,"Conjunto"),""))</f>
        <v/>
      </c>
      <c r="Q511" t="str">
        <f>IF(M511="","",IFERROR(AVERAGEIFS(nNOTA,nNIA,M511,nEVAL,CONFIG_METADATA!$B$4,nASIG,"&lt;&gt;Lenguaje Musical",nASIG,"&lt;&gt;Coro",nASIG,"&lt;&gt;Conjunto"),""))</f>
        <v/>
      </c>
      <c r="T511" t="str">
        <f>IF(S511="","",IFERROR(AVERAGEIFS(nNOTA,nNIA,S511,nEVAL,CONFIG_METADATA!$B$4,nASIG,"Lenguaje Musical"),""))</f>
        <v/>
      </c>
      <c r="U511" t="str">
        <f>IF(S511="","",IFERROR(AVERAGEIFS(nNOTA,nNIA,S511,nEVAL,CONFIG_METADATA!$B$4,nASIG,"Coro"),""))</f>
        <v/>
      </c>
      <c r="V511" t="str">
        <f>IF(S511="","",IFERROR(AVERAGEIFS(nNOTA,nNIA,S511,nEVAL,CONFIG_METADATA!$B$4,nASIG,"Conjunto"),""))</f>
        <v/>
      </c>
      <c r="W511" t="str" cm="1">
        <f t="array" ref="W511">IF(S511="","",IFERROR(AVERAGE(IF((nNIA=S511)*(nEVAL=CONFIG_METADATA!$B$4)*(nASIG&lt;&gt;"Lenguaje Musical")*(nASIG&lt;&gt;"Coro")*(nASIG&lt;&gt;"Conjunto"),nNOTA)),""))</f>
        <v/>
      </c>
    </row>
    <row r="512" spans="2:23" x14ac:dyDescent="0.2">
      <c r="B512" t="str">
        <f>IF(A512="","",IFERROR(AVERAGEIFS(nNOTA,nNIA,A512,nEVAL,CONFIG_METADATA!$B$4,nASIG,"Lenguaje Musical"),""))</f>
        <v/>
      </c>
      <c r="C512" t="str">
        <f>IF(A512="","",IFERROR(AVERAGEIFS(nNOTA,nNIA,A512,nEVAL,CONFIG_METADATA!$B$4,nASIG,"Coro"),""))</f>
        <v/>
      </c>
      <c r="D512" t="str">
        <f>IF(A512="","",IFERROR(AVERAGEIFS(nNOTA,nNIA,A512,nEVAL,CONFIG_METADATA!$B$4,nASIG,"Conjunto"),""))</f>
        <v/>
      </c>
      <c r="E512" t="str">
        <f>IF(A512="","",IFERROR(AVERAGEIFS(nNOTA,nNIA,A512,nEVAL,CONFIG_METADATA!$B$4,nASIG,"&lt;&gt;Lenguaje Musical",nASIG,"&lt;&gt;Coro",nASIG,"&lt;&gt;Conjunto"),""))</f>
        <v/>
      </c>
      <c r="H512" t="str">
        <f>IF(G512="","",IFERROR(AVERAGEIFS(nNOTA,nNIA,G512,nEVAL,CONFIG_METADATA!$B$4,nASIG,"Lenguaje Musical"),""))</f>
        <v/>
      </c>
      <c r="I512" t="str">
        <f>IF(G512="","",IFERROR(AVERAGEIFS(nNOTA,nNIA,G512,nEVAL,CONFIG_METADATA!$B$4,nASIG,"Coro"),""))</f>
        <v/>
      </c>
      <c r="J512" t="str">
        <f>IF(G512="","",IFERROR(AVERAGEIFS(nNOTA,nNIA,G512,nEVAL,CONFIG_METADATA!$B$4,nASIG,"Conjunto"),""))</f>
        <v/>
      </c>
      <c r="K512" t="str" cm="1">
        <f t="array" ref="K512">IF(G512="","",IFERROR(AVERAGE(IF((nNIA=G512)*(nEVAL=CONFIG_METADATA!$B$4)*(nASIG&lt;&gt;"Lenguaje Musical")*(nASIG&lt;&gt;"Coro")*(nASIG&lt;&gt;"Conjunto"),nNOTA)),""))</f>
        <v/>
      </c>
      <c r="N512" t="str">
        <f>IF(M512="","",IFERROR(AVERAGEIFS(nNOTA,nNIA,M512,nEVAL,CONFIG_METADATA!$B$4,nASIG,"Lenguaje Musical"),""))</f>
        <v/>
      </c>
      <c r="O512" t="str">
        <f>IF(M512="","",IFERROR(AVERAGEIFS(nNOTA,nNIA,M512,nEVAL,CONFIG_METADATA!$B$4,nASIG,"Coro"),""))</f>
        <v/>
      </c>
      <c r="P512" t="str">
        <f>IF(M512="","",IFERROR(AVERAGEIFS(nNOTA,nNIA,M512,nEVAL,CONFIG_METADATA!$B$4,nASIG,"Conjunto"),""))</f>
        <v/>
      </c>
      <c r="Q512" t="str">
        <f>IF(M512="","",IFERROR(AVERAGEIFS(nNOTA,nNIA,M512,nEVAL,CONFIG_METADATA!$B$4,nASIG,"&lt;&gt;Lenguaje Musical",nASIG,"&lt;&gt;Coro",nASIG,"&lt;&gt;Conjunto"),""))</f>
        <v/>
      </c>
      <c r="T512" t="str">
        <f>IF(S512="","",IFERROR(AVERAGEIFS(nNOTA,nNIA,S512,nEVAL,CONFIG_METADATA!$B$4,nASIG,"Lenguaje Musical"),""))</f>
        <v/>
      </c>
      <c r="U512" t="str">
        <f>IF(S512="","",IFERROR(AVERAGEIFS(nNOTA,nNIA,S512,nEVAL,CONFIG_METADATA!$B$4,nASIG,"Coro"),""))</f>
        <v/>
      </c>
      <c r="V512" t="str">
        <f>IF(S512="","",IFERROR(AVERAGEIFS(nNOTA,nNIA,S512,nEVAL,CONFIG_METADATA!$B$4,nASIG,"Conjunto"),""))</f>
        <v/>
      </c>
      <c r="W512" t="str" cm="1">
        <f t="array" ref="W512">IF(S512="","",IFERROR(AVERAGE(IF((nNIA=S512)*(nEVAL=CONFIG_METADATA!$B$4)*(nASIG&lt;&gt;"Lenguaje Musical")*(nASIG&lt;&gt;"Coro")*(nASIG&lt;&gt;"Conjunto"),nNOTA)),""))</f>
        <v/>
      </c>
    </row>
    <row r="513" spans="2:23" x14ac:dyDescent="0.2">
      <c r="B513" t="str">
        <f>IF(A513="","",IFERROR(AVERAGEIFS(nNOTA,nNIA,A513,nEVAL,CONFIG_METADATA!$B$4,nASIG,"Lenguaje Musical"),""))</f>
        <v/>
      </c>
      <c r="C513" t="str">
        <f>IF(A513="","",IFERROR(AVERAGEIFS(nNOTA,nNIA,A513,nEVAL,CONFIG_METADATA!$B$4,nASIG,"Coro"),""))</f>
        <v/>
      </c>
      <c r="D513" t="str">
        <f>IF(A513="","",IFERROR(AVERAGEIFS(nNOTA,nNIA,A513,nEVAL,CONFIG_METADATA!$B$4,nASIG,"Conjunto"),""))</f>
        <v/>
      </c>
      <c r="E513" t="str">
        <f>IF(A513="","",IFERROR(AVERAGEIFS(nNOTA,nNIA,A513,nEVAL,CONFIG_METADATA!$B$4,nASIG,"&lt;&gt;Lenguaje Musical",nASIG,"&lt;&gt;Coro",nASIG,"&lt;&gt;Conjunto"),""))</f>
        <v/>
      </c>
      <c r="H513" t="str">
        <f>IF(G513="","",IFERROR(AVERAGEIFS(nNOTA,nNIA,G513,nEVAL,CONFIG_METADATA!$B$4,nASIG,"Lenguaje Musical"),""))</f>
        <v/>
      </c>
      <c r="I513" t="str">
        <f>IF(G513="","",IFERROR(AVERAGEIFS(nNOTA,nNIA,G513,nEVAL,CONFIG_METADATA!$B$4,nASIG,"Coro"),""))</f>
        <v/>
      </c>
      <c r="J513" t="str">
        <f>IF(G513="","",IFERROR(AVERAGEIFS(nNOTA,nNIA,G513,nEVAL,CONFIG_METADATA!$B$4,nASIG,"Conjunto"),""))</f>
        <v/>
      </c>
      <c r="K513" t="str" cm="1">
        <f t="array" ref="K513">IF(G513="","",IFERROR(AVERAGE(IF((nNIA=G513)*(nEVAL=CONFIG_METADATA!$B$4)*(nASIG&lt;&gt;"Lenguaje Musical")*(nASIG&lt;&gt;"Coro")*(nASIG&lt;&gt;"Conjunto"),nNOTA)),""))</f>
        <v/>
      </c>
      <c r="N513" t="str">
        <f>IF(M513="","",IFERROR(AVERAGEIFS(nNOTA,nNIA,M513,nEVAL,CONFIG_METADATA!$B$4,nASIG,"Lenguaje Musical"),""))</f>
        <v/>
      </c>
      <c r="O513" t="str">
        <f>IF(M513="","",IFERROR(AVERAGEIFS(nNOTA,nNIA,M513,nEVAL,CONFIG_METADATA!$B$4,nASIG,"Coro"),""))</f>
        <v/>
      </c>
      <c r="P513" t="str">
        <f>IF(M513="","",IFERROR(AVERAGEIFS(nNOTA,nNIA,M513,nEVAL,CONFIG_METADATA!$B$4,nASIG,"Conjunto"),""))</f>
        <v/>
      </c>
      <c r="Q513" t="str">
        <f>IF(M513="","",IFERROR(AVERAGEIFS(nNOTA,nNIA,M513,nEVAL,CONFIG_METADATA!$B$4,nASIG,"&lt;&gt;Lenguaje Musical",nASIG,"&lt;&gt;Coro",nASIG,"&lt;&gt;Conjunto"),""))</f>
        <v/>
      </c>
      <c r="T513" t="str">
        <f>IF(S513="","",IFERROR(AVERAGEIFS(nNOTA,nNIA,S513,nEVAL,CONFIG_METADATA!$B$4,nASIG,"Lenguaje Musical"),""))</f>
        <v/>
      </c>
      <c r="U513" t="str">
        <f>IF(S513="","",IFERROR(AVERAGEIFS(nNOTA,nNIA,S513,nEVAL,CONFIG_METADATA!$B$4,nASIG,"Coro"),""))</f>
        <v/>
      </c>
      <c r="V513" t="str">
        <f>IF(S513="","",IFERROR(AVERAGEIFS(nNOTA,nNIA,S513,nEVAL,CONFIG_METADATA!$B$4,nASIG,"Conjunto"),""))</f>
        <v/>
      </c>
      <c r="W513" t="str" cm="1">
        <f t="array" ref="W513">IF(S513="","",IFERROR(AVERAGE(IF((nNIA=S513)*(nEVAL=CONFIG_METADATA!$B$4)*(nASIG&lt;&gt;"Lenguaje Musical")*(nASIG&lt;&gt;"Coro")*(nASIG&lt;&gt;"Conjunto"),nNOTA)),""))</f>
        <v/>
      </c>
    </row>
    <row r="514" spans="2:23" x14ac:dyDescent="0.2">
      <c r="B514" t="str">
        <f>IF(A514="","",IFERROR(AVERAGEIFS(nNOTA,nNIA,A514,nEVAL,CONFIG_METADATA!$B$4,nASIG,"Lenguaje Musical"),""))</f>
        <v/>
      </c>
      <c r="C514" t="str">
        <f>IF(A514="","",IFERROR(AVERAGEIFS(nNOTA,nNIA,A514,nEVAL,CONFIG_METADATA!$B$4,nASIG,"Coro"),""))</f>
        <v/>
      </c>
      <c r="D514" t="str">
        <f>IF(A514="","",IFERROR(AVERAGEIFS(nNOTA,nNIA,A514,nEVAL,CONFIG_METADATA!$B$4,nASIG,"Conjunto"),""))</f>
        <v/>
      </c>
      <c r="E514" t="str">
        <f>IF(A514="","",IFERROR(AVERAGEIFS(nNOTA,nNIA,A514,nEVAL,CONFIG_METADATA!$B$4,nASIG,"&lt;&gt;Lenguaje Musical",nASIG,"&lt;&gt;Coro",nASIG,"&lt;&gt;Conjunto"),""))</f>
        <v/>
      </c>
      <c r="H514" t="str">
        <f>IF(G514="","",IFERROR(AVERAGEIFS(nNOTA,nNIA,G514,nEVAL,CONFIG_METADATA!$B$4,nASIG,"Lenguaje Musical"),""))</f>
        <v/>
      </c>
      <c r="I514" t="str">
        <f>IF(G514="","",IFERROR(AVERAGEIFS(nNOTA,nNIA,G514,nEVAL,CONFIG_METADATA!$B$4,nASIG,"Coro"),""))</f>
        <v/>
      </c>
      <c r="J514" t="str">
        <f>IF(G514="","",IFERROR(AVERAGEIFS(nNOTA,nNIA,G514,nEVAL,CONFIG_METADATA!$B$4,nASIG,"Conjunto"),""))</f>
        <v/>
      </c>
      <c r="K514" t="str" cm="1">
        <f t="array" ref="K514">IF(G514="","",IFERROR(AVERAGE(IF((nNIA=G514)*(nEVAL=CONFIG_METADATA!$B$4)*(nASIG&lt;&gt;"Lenguaje Musical")*(nASIG&lt;&gt;"Coro")*(nASIG&lt;&gt;"Conjunto"),nNOTA)),""))</f>
        <v/>
      </c>
      <c r="N514" t="str">
        <f>IF(M514="","",IFERROR(AVERAGEIFS(nNOTA,nNIA,M514,nEVAL,CONFIG_METADATA!$B$4,nASIG,"Lenguaje Musical"),""))</f>
        <v/>
      </c>
      <c r="O514" t="str">
        <f>IF(M514="","",IFERROR(AVERAGEIFS(nNOTA,nNIA,M514,nEVAL,CONFIG_METADATA!$B$4,nASIG,"Coro"),""))</f>
        <v/>
      </c>
      <c r="P514" t="str">
        <f>IF(M514="","",IFERROR(AVERAGEIFS(nNOTA,nNIA,M514,nEVAL,CONFIG_METADATA!$B$4,nASIG,"Conjunto"),""))</f>
        <v/>
      </c>
      <c r="Q514" t="str">
        <f>IF(M514="","",IFERROR(AVERAGEIFS(nNOTA,nNIA,M514,nEVAL,CONFIG_METADATA!$B$4,nASIG,"&lt;&gt;Lenguaje Musical",nASIG,"&lt;&gt;Coro",nASIG,"&lt;&gt;Conjunto"),""))</f>
        <v/>
      </c>
      <c r="T514" t="str">
        <f>IF(S514="","",IFERROR(AVERAGEIFS(nNOTA,nNIA,S514,nEVAL,CONFIG_METADATA!$B$4,nASIG,"Lenguaje Musical"),""))</f>
        <v/>
      </c>
      <c r="U514" t="str">
        <f>IF(S514="","",IFERROR(AVERAGEIFS(nNOTA,nNIA,S514,nEVAL,CONFIG_METADATA!$B$4,nASIG,"Coro"),""))</f>
        <v/>
      </c>
      <c r="V514" t="str">
        <f>IF(S514="","",IFERROR(AVERAGEIFS(nNOTA,nNIA,S514,nEVAL,CONFIG_METADATA!$B$4,nASIG,"Conjunto"),""))</f>
        <v/>
      </c>
      <c r="W514" t="str" cm="1">
        <f t="array" ref="W514">IF(S514="","",IFERROR(AVERAGE(IF((nNIA=S514)*(nEVAL=CONFIG_METADATA!$B$4)*(nASIG&lt;&gt;"Lenguaje Musical")*(nASIG&lt;&gt;"Coro")*(nASIG&lt;&gt;"Conjunto"),nNOTA)),""))</f>
        <v/>
      </c>
    </row>
    <row r="515" spans="2:23" x14ac:dyDescent="0.2">
      <c r="B515" t="str">
        <f>IF(A515="","",IFERROR(AVERAGEIFS(nNOTA,nNIA,A515,nEVAL,CONFIG_METADATA!$B$4,nASIG,"Lenguaje Musical"),""))</f>
        <v/>
      </c>
      <c r="C515" t="str">
        <f>IF(A515="","",IFERROR(AVERAGEIFS(nNOTA,nNIA,A515,nEVAL,CONFIG_METADATA!$B$4,nASIG,"Coro"),""))</f>
        <v/>
      </c>
      <c r="D515" t="str">
        <f>IF(A515="","",IFERROR(AVERAGEIFS(nNOTA,nNIA,A515,nEVAL,CONFIG_METADATA!$B$4,nASIG,"Conjunto"),""))</f>
        <v/>
      </c>
      <c r="E515" t="str">
        <f>IF(A515="","",IFERROR(AVERAGEIFS(nNOTA,nNIA,A515,nEVAL,CONFIG_METADATA!$B$4,nASIG,"&lt;&gt;Lenguaje Musical",nASIG,"&lt;&gt;Coro",nASIG,"&lt;&gt;Conjunto"),""))</f>
        <v/>
      </c>
      <c r="H515" t="str">
        <f>IF(G515="","",IFERROR(AVERAGEIFS(nNOTA,nNIA,G515,nEVAL,CONFIG_METADATA!$B$4,nASIG,"Lenguaje Musical"),""))</f>
        <v/>
      </c>
      <c r="I515" t="str">
        <f>IF(G515="","",IFERROR(AVERAGEIFS(nNOTA,nNIA,G515,nEVAL,CONFIG_METADATA!$B$4,nASIG,"Coro"),""))</f>
        <v/>
      </c>
      <c r="J515" t="str">
        <f>IF(G515="","",IFERROR(AVERAGEIFS(nNOTA,nNIA,G515,nEVAL,CONFIG_METADATA!$B$4,nASIG,"Conjunto"),""))</f>
        <v/>
      </c>
      <c r="K515" t="str" cm="1">
        <f t="array" ref="K515">IF(G515="","",IFERROR(AVERAGE(IF((nNIA=G515)*(nEVAL=CONFIG_METADATA!$B$4)*(nASIG&lt;&gt;"Lenguaje Musical")*(nASIG&lt;&gt;"Coro")*(nASIG&lt;&gt;"Conjunto"),nNOTA)),""))</f>
        <v/>
      </c>
      <c r="N515" t="str">
        <f>IF(M515="","",IFERROR(AVERAGEIFS(nNOTA,nNIA,M515,nEVAL,CONFIG_METADATA!$B$4,nASIG,"Lenguaje Musical"),""))</f>
        <v/>
      </c>
      <c r="O515" t="str">
        <f>IF(M515="","",IFERROR(AVERAGEIFS(nNOTA,nNIA,M515,nEVAL,CONFIG_METADATA!$B$4,nASIG,"Coro"),""))</f>
        <v/>
      </c>
      <c r="P515" t="str">
        <f>IF(M515="","",IFERROR(AVERAGEIFS(nNOTA,nNIA,M515,nEVAL,CONFIG_METADATA!$B$4,nASIG,"Conjunto"),""))</f>
        <v/>
      </c>
      <c r="Q515" t="str">
        <f>IF(M515="","",IFERROR(AVERAGEIFS(nNOTA,nNIA,M515,nEVAL,CONFIG_METADATA!$B$4,nASIG,"&lt;&gt;Lenguaje Musical",nASIG,"&lt;&gt;Coro",nASIG,"&lt;&gt;Conjunto"),""))</f>
        <v/>
      </c>
      <c r="T515" t="str">
        <f>IF(S515="","",IFERROR(AVERAGEIFS(nNOTA,nNIA,S515,nEVAL,CONFIG_METADATA!$B$4,nASIG,"Lenguaje Musical"),""))</f>
        <v/>
      </c>
      <c r="U515" t="str">
        <f>IF(S515="","",IFERROR(AVERAGEIFS(nNOTA,nNIA,S515,nEVAL,CONFIG_METADATA!$B$4,nASIG,"Coro"),""))</f>
        <v/>
      </c>
      <c r="V515" t="str">
        <f>IF(S515="","",IFERROR(AVERAGEIFS(nNOTA,nNIA,S515,nEVAL,CONFIG_METADATA!$B$4,nASIG,"Conjunto"),""))</f>
        <v/>
      </c>
      <c r="W515" t="str" cm="1">
        <f t="array" ref="W515">IF(S515="","",IFERROR(AVERAGE(IF((nNIA=S515)*(nEVAL=CONFIG_METADATA!$B$4)*(nASIG&lt;&gt;"Lenguaje Musical")*(nASIG&lt;&gt;"Coro")*(nASIG&lt;&gt;"Conjunto"),nNOTA)),""))</f>
        <v/>
      </c>
    </row>
    <row r="516" spans="2:23" x14ac:dyDescent="0.2">
      <c r="B516" t="str">
        <f>IF(A516="","",IFERROR(AVERAGEIFS(nNOTA,nNIA,A516,nEVAL,CONFIG_METADATA!$B$4,nASIG,"Lenguaje Musical"),""))</f>
        <v/>
      </c>
      <c r="C516" t="str">
        <f>IF(A516="","",IFERROR(AVERAGEIFS(nNOTA,nNIA,A516,nEVAL,CONFIG_METADATA!$B$4,nASIG,"Coro"),""))</f>
        <v/>
      </c>
      <c r="D516" t="str">
        <f>IF(A516="","",IFERROR(AVERAGEIFS(nNOTA,nNIA,A516,nEVAL,CONFIG_METADATA!$B$4,nASIG,"Conjunto"),""))</f>
        <v/>
      </c>
      <c r="E516" t="str">
        <f>IF(A516="","",IFERROR(AVERAGEIFS(nNOTA,nNIA,A516,nEVAL,CONFIG_METADATA!$B$4,nASIG,"&lt;&gt;Lenguaje Musical",nASIG,"&lt;&gt;Coro",nASIG,"&lt;&gt;Conjunto"),""))</f>
        <v/>
      </c>
      <c r="H516" t="str">
        <f>IF(G516="","",IFERROR(AVERAGEIFS(nNOTA,nNIA,G516,nEVAL,CONFIG_METADATA!$B$4,nASIG,"Lenguaje Musical"),""))</f>
        <v/>
      </c>
      <c r="I516" t="str">
        <f>IF(G516="","",IFERROR(AVERAGEIFS(nNOTA,nNIA,G516,nEVAL,CONFIG_METADATA!$B$4,nASIG,"Coro"),""))</f>
        <v/>
      </c>
      <c r="J516" t="str">
        <f>IF(G516="","",IFERROR(AVERAGEIFS(nNOTA,nNIA,G516,nEVAL,CONFIG_METADATA!$B$4,nASIG,"Conjunto"),""))</f>
        <v/>
      </c>
      <c r="K516" t="str" cm="1">
        <f t="array" ref="K516">IF(G516="","",IFERROR(AVERAGE(IF((nNIA=G516)*(nEVAL=CONFIG_METADATA!$B$4)*(nASIG&lt;&gt;"Lenguaje Musical")*(nASIG&lt;&gt;"Coro")*(nASIG&lt;&gt;"Conjunto"),nNOTA)),""))</f>
        <v/>
      </c>
      <c r="N516" t="str">
        <f>IF(M516="","",IFERROR(AVERAGEIFS(nNOTA,nNIA,M516,nEVAL,CONFIG_METADATA!$B$4,nASIG,"Lenguaje Musical"),""))</f>
        <v/>
      </c>
      <c r="O516" t="str">
        <f>IF(M516="","",IFERROR(AVERAGEIFS(nNOTA,nNIA,M516,nEVAL,CONFIG_METADATA!$B$4,nASIG,"Coro"),""))</f>
        <v/>
      </c>
      <c r="P516" t="str">
        <f>IF(M516="","",IFERROR(AVERAGEIFS(nNOTA,nNIA,M516,nEVAL,CONFIG_METADATA!$B$4,nASIG,"Conjunto"),""))</f>
        <v/>
      </c>
      <c r="Q516" t="str">
        <f>IF(M516="","",IFERROR(AVERAGEIFS(nNOTA,nNIA,M516,nEVAL,CONFIG_METADATA!$B$4,nASIG,"&lt;&gt;Lenguaje Musical",nASIG,"&lt;&gt;Coro",nASIG,"&lt;&gt;Conjunto"),""))</f>
        <v/>
      </c>
      <c r="T516" t="str">
        <f>IF(S516="","",IFERROR(AVERAGEIFS(nNOTA,nNIA,S516,nEVAL,CONFIG_METADATA!$B$4,nASIG,"Lenguaje Musical"),""))</f>
        <v/>
      </c>
      <c r="U516" t="str">
        <f>IF(S516="","",IFERROR(AVERAGEIFS(nNOTA,nNIA,S516,nEVAL,CONFIG_METADATA!$B$4,nASIG,"Coro"),""))</f>
        <v/>
      </c>
      <c r="V516" t="str">
        <f>IF(S516="","",IFERROR(AVERAGEIFS(nNOTA,nNIA,S516,nEVAL,CONFIG_METADATA!$B$4,nASIG,"Conjunto"),""))</f>
        <v/>
      </c>
      <c r="W516" t="str" cm="1">
        <f t="array" ref="W516">IF(S516="","",IFERROR(AVERAGE(IF((nNIA=S516)*(nEVAL=CONFIG_METADATA!$B$4)*(nASIG&lt;&gt;"Lenguaje Musical")*(nASIG&lt;&gt;"Coro")*(nASIG&lt;&gt;"Conjunto"),nNOTA)),""))</f>
        <v/>
      </c>
    </row>
    <row r="517" spans="2:23" x14ac:dyDescent="0.2">
      <c r="B517" t="str">
        <f>IF(A517="","",IFERROR(AVERAGEIFS(nNOTA,nNIA,A517,nEVAL,CONFIG_METADATA!$B$4,nASIG,"Lenguaje Musical"),""))</f>
        <v/>
      </c>
      <c r="C517" t="str">
        <f>IF(A517="","",IFERROR(AVERAGEIFS(nNOTA,nNIA,A517,nEVAL,CONFIG_METADATA!$B$4,nASIG,"Coro"),""))</f>
        <v/>
      </c>
      <c r="D517" t="str">
        <f>IF(A517="","",IFERROR(AVERAGEIFS(nNOTA,nNIA,A517,nEVAL,CONFIG_METADATA!$B$4,nASIG,"Conjunto"),""))</f>
        <v/>
      </c>
      <c r="E517" t="str">
        <f>IF(A517="","",IFERROR(AVERAGEIFS(nNOTA,nNIA,A517,nEVAL,CONFIG_METADATA!$B$4,nASIG,"&lt;&gt;Lenguaje Musical",nASIG,"&lt;&gt;Coro",nASIG,"&lt;&gt;Conjunto"),""))</f>
        <v/>
      </c>
      <c r="H517" t="str">
        <f>IF(G517="","",IFERROR(AVERAGEIFS(nNOTA,nNIA,G517,nEVAL,CONFIG_METADATA!$B$4,nASIG,"Lenguaje Musical"),""))</f>
        <v/>
      </c>
      <c r="I517" t="str">
        <f>IF(G517="","",IFERROR(AVERAGEIFS(nNOTA,nNIA,G517,nEVAL,CONFIG_METADATA!$B$4,nASIG,"Coro"),""))</f>
        <v/>
      </c>
      <c r="J517" t="str">
        <f>IF(G517="","",IFERROR(AVERAGEIFS(nNOTA,nNIA,G517,nEVAL,CONFIG_METADATA!$B$4,nASIG,"Conjunto"),""))</f>
        <v/>
      </c>
      <c r="K517" t="str" cm="1">
        <f t="array" ref="K517">IF(G517="","",IFERROR(AVERAGE(IF((nNIA=G517)*(nEVAL=CONFIG_METADATA!$B$4)*(nASIG&lt;&gt;"Lenguaje Musical")*(nASIG&lt;&gt;"Coro")*(nASIG&lt;&gt;"Conjunto"),nNOTA)),""))</f>
        <v/>
      </c>
      <c r="N517" t="str">
        <f>IF(M517="","",IFERROR(AVERAGEIFS(nNOTA,nNIA,M517,nEVAL,CONFIG_METADATA!$B$4,nASIG,"Lenguaje Musical"),""))</f>
        <v/>
      </c>
      <c r="O517" t="str">
        <f>IF(M517="","",IFERROR(AVERAGEIFS(nNOTA,nNIA,M517,nEVAL,CONFIG_METADATA!$B$4,nASIG,"Coro"),""))</f>
        <v/>
      </c>
      <c r="P517" t="str">
        <f>IF(M517="","",IFERROR(AVERAGEIFS(nNOTA,nNIA,M517,nEVAL,CONFIG_METADATA!$B$4,nASIG,"Conjunto"),""))</f>
        <v/>
      </c>
      <c r="Q517" t="str">
        <f>IF(M517="","",IFERROR(AVERAGEIFS(nNOTA,nNIA,M517,nEVAL,CONFIG_METADATA!$B$4,nASIG,"&lt;&gt;Lenguaje Musical",nASIG,"&lt;&gt;Coro",nASIG,"&lt;&gt;Conjunto"),""))</f>
        <v/>
      </c>
      <c r="T517" t="str">
        <f>IF(S517="","",IFERROR(AVERAGEIFS(nNOTA,nNIA,S517,nEVAL,CONFIG_METADATA!$B$4,nASIG,"Lenguaje Musical"),""))</f>
        <v/>
      </c>
      <c r="U517" t="str">
        <f>IF(S517="","",IFERROR(AVERAGEIFS(nNOTA,nNIA,S517,nEVAL,CONFIG_METADATA!$B$4,nASIG,"Coro"),""))</f>
        <v/>
      </c>
      <c r="V517" t="str">
        <f>IF(S517="","",IFERROR(AVERAGEIFS(nNOTA,nNIA,S517,nEVAL,CONFIG_METADATA!$B$4,nASIG,"Conjunto"),""))</f>
        <v/>
      </c>
      <c r="W517" t="str" cm="1">
        <f t="array" ref="W517">IF(S517="","",IFERROR(AVERAGE(IF((nNIA=S517)*(nEVAL=CONFIG_METADATA!$B$4)*(nASIG&lt;&gt;"Lenguaje Musical")*(nASIG&lt;&gt;"Coro")*(nASIG&lt;&gt;"Conjunto"),nNOTA)),""))</f>
        <v/>
      </c>
    </row>
    <row r="518" spans="2:23" x14ac:dyDescent="0.2">
      <c r="B518" t="str">
        <f>IF(A518="","",IFERROR(AVERAGEIFS(nNOTA,nNIA,A518,nEVAL,CONFIG_METADATA!$B$4,nASIG,"Lenguaje Musical"),""))</f>
        <v/>
      </c>
      <c r="C518" t="str">
        <f>IF(A518="","",IFERROR(AVERAGEIFS(nNOTA,nNIA,A518,nEVAL,CONFIG_METADATA!$B$4,nASIG,"Coro"),""))</f>
        <v/>
      </c>
      <c r="D518" t="str">
        <f>IF(A518="","",IFERROR(AVERAGEIFS(nNOTA,nNIA,A518,nEVAL,CONFIG_METADATA!$B$4,nASIG,"Conjunto"),""))</f>
        <v/>
      </c>
      <c r="E518" t="str">
        <f>IF(A518="","",IFERROR(AVERAGEIFS(nNOTA,nNIA,A518,nEVAL,CONFIG_METADATA!$B$4,nASIG,"&lt;&gt;Lenguaje Musical",nASIG,"&lt;&gt;Coro",nASIG,"&lt;&gt;Conjunto"),""))</f>
        <v/>
      </c>
      <c r="H518" t="str">
        <f>IF(G518="","",IFERROR(AVERAGEIFS(nNOTA,nNIA,G518,nEVAL,CONFIG_METADATA!$B$4,nASIG,"Lenguaje Musical"),""))</f>
        <v/>
      </c>
      <c r="I518" t="str">
        <f>IF(G518="","",IFERROR(AVERAGEIFS(nNOTA,nNIA,G518,nEVAL,CONFIG_METADATA!$B$4,nASIG,"Coro"),""))</f>
        <v/>
      </c>
      <c r="J518" t="str">
        <f>IF(G518="","",IFERROR(AVERAGEIFS(nNOTA,nNIA,G518,nEVAL,CONFIG_METADATA!$B$4,nASIG,"Conjunto"),""))</f>
        <v/>
      </c>
      <c r="K518" t="str" cm="1">
        <f t="array" ref="K518">IF(G518="","",IFERROR(AVERAGE(IF((nNIA=G518)*(nEVAL=CONFIG_METADATA!$B$4)*(nASIG&lt;&gt;"Lenguaje Musical")*(nASIG&lt;&gt;"Coro")*(nASIG&lt;&gt;"Conjunto"),nNOTA)),""))</f>
        <v/>
      </c>
      <c r="N518" t="str">
        <f>IF(M518="","",IFERROR(AVERAGEIFS(nNOTA,nNIA,M518,nEVAL,CONFIG_METADATA!$B$4,nASIG,"Lenguaje Musical"),""))</f>
        <v/>
      </c>
      <c r="O518" t="str">
        <f>IF(M518="","",IFERROR(AVERAGEIFS(nNOTA,nNIA,M518,nEVAL,CONFIG_METADATA!$B$4,nASIG,"Coro"),""))</f>
        <v/>
      </c>
      <c r="P518" t="str">
        <f>IF(M518="","",IFERROR(AVERAGEIFS(nNOTA,nNIA,M518,nEVAL,CONFIG_METADATA!$B$4,nASIG,"Conjunto"),""))</f>
        <v/>
      </c>
      <c r="Q518" t="str">
        <f>IF(M518="","",IFERROR(AVERAGEIFS(nNOTA,nNIA,M518,nEVAL,CONFIG_METADATA!$B$4,nASIG,"&lt;&gt;Lenguaje Musical",nASIG,"&lt;&gt;Coro",nASIG,"&lt;&gt;Conjunto"),""))</f>
        <v/>
      </c>
      <c r="T518" t="str">
        <f>IF(S518="","",IFERROR(AVERAGEIFS(nNOTA,nNIA,S518,nEVAL,CONFIG_METADATA!$B$4,nASIG,"Lenguaje Musical"),""))</f>
        <v/>
      </c>
      <c r="U518" t="str">
        <f>IF(S518="","",IFERROR(AVERAGEIFS(nNOTA,nNIA,S518,nEVAL,CONFIG_METADATA!$B$4,nASIG,"Coro"),""))</f>
        <v/>
      </c>
      <c r="V518" t="str">
        <f>IF(S518="","",IFERROR(AVERAGEIFS(nNOTA,nNIA,S518,nEVAL,CONFIG_METADATA!$B$4,nASIG,"Conjunto"),""))</f>
        <v/>
      </c>
      <c r="W518" t="str" cm="1">
        <f t="array" ref="W518">IF(S518="","",IFERROR(AVERAGE(IF((nNIA=S518)*(nEVAL=CONFIG_METADATA!$B$4)*(nASIG&lt;&gt;"Lenguaje Musical")*(nASIG&lt;&gt;"Coro")*(nASIG&lt;&gt;"Conjunto"),nNOTA)),""))</f>
        <v/>
      </c>
    </row>
    <row r="519" spans="2:23" x14ac:dyDescent="0.2">
      <c r="B519" t="str">
        <f>IF(A519="","",IFERROR(AVERAGEIFS(nNOTA,nNIA,A519,nEVAL,CONFIG_METADATA!$B$4,nASIG,"Lenguaje Musical"),""))</f>
        <v/>
      </c>
      <c r="C519" t="str">
        <f>IF(A519="","",IFERROR(AVERAGEIFS(nNOTA,nNIA,A519,nEVAL,CONFIG_METADATA!$B$4,nASIG,"Coro"),""))</f>
        <v/>
      </c>
      <c r="D519" t="str">
        <f>IF(A519="","",IFERROR(AVERAGEIFS(nNOTA,nNIA,A519,nEVAL,CONFIG_METADATA!$B$4,nASIG,"Conjunto"),""))</f>
        <v/>
      </c>
      <c r="E519" t="str">
        <f>IF(A519="","",IFERROR(AVERAGEIFS(nNOTA,nNIA,A519,nEVAL,CONFIG_METADATA!$B$4,nASIG,"&lt;&gt;Lenguaje Musical",nASIG,"&lt;&gt;Coro",nASIG,"&lt;&gt;Conjunto"),""))</f>
        <v/>
      </c>
      <c r="H519" t="str">
        <f>IF(G519="","",IFERROR(AVERAGEIFS(nNOTA,nNIA,G519,nEVAL,CONFIG_METADATA!$B$4,nASIG,"Lenguaje Musical"),""))</f>
        <v/>
      </c>
      <c r="I519" t="str">
        <f>IF(G519="","",IFERROR(AVERAGEIFS(nNOTA,nNIA,G519,nEVAL,CONFIG_METADATA!$B$4,nASIG,"Coro"),""))</f>
        <v/>
      </c>
      <c r="J519" t="str">
        <f>IF(G519="","",IFERROR(AVERAGEIFS(nNOTA,nNIA,G519,nEVAL,CONFIG_METADATA!$B$4,nASIG,"Conjunto"),""))</f>
        <v/>
      </c>
      <c r="K519" t="str" cm="1">
        <f t="array" ref="K519">IF(G519="","",IFERROR(AVERAGE(IF((nNIA=G519)*(nEVAL=CONFIG_METADATA!$B$4)*(nASIG&lt;&gt;"Lenguaje Musical")*(nASIG&lt;&gt;"Coro")*(nASIG&lt;&gt;"Conjunto"),nNOTA)),""))</f>
        <v/>
      </c>
      <c r="N519" t="str">
        <f>IF(M519="","",IFERROR(AVERAGEIFS(nNOTA,nNIA,M519,nEVAL,CONFIG_METADATA!$B$4,nASIG,"Lenguaje Musical"),""))</f>
        <v/>
      </c>
      <c r="O519" t="str">
        <f>IF(M519="","",IFERROR(AVERAGEIFS(nNOTA,nNIA,M519,nEVAL,CONFIG_METADATA!$B$4,nASIG,"Coro"),""))</f>
        <v/>
      </c>
      <c r="P519" t="str">
        <f>IF(M519="","",IFERROR(AVERAGEIFS(nNOTA,nNIA,M519,nEVAL,CONFIG_METADATA!$B$4,nASIG,"Conjunto"),""))</f>
        <v/>
      </c>
      <c r="Q519" t="str">
        <f>IF(M519="","",IFERROR(AVERAGEIFS(nNOTA,nNIA,M519,nEVAL,CONFIG_METADATA!$B$4,nASIG,"&lt;&gt;Lenguaje Musical",nASIG,"&lt;&gt;Coro",nASIG,"&lt;&gt;Conjunto"),""))</f>
        <v/>
      </c>
      <c r="T519" t="str">
        <f>IF(S519="","",IFERROR(AVERAGEIFS(nNOTA,nNIA,S519,nEVAL,CONFIG_METADATA!$B$4,nASIG,"Lenguaje Musical"),""))</f>
        <v/>
      </c>
      <c r="U519" t="str">
        <f>IF(S519="","",IFERROR(AVERAGEIFS(nNOTA,nNIA,S519,nEVAL,CONFIG_METADATA!$B$4,nASIG,"Coro"),""))</f>
        <v/>
      </c>
      <c r="V519" t="str">
        <f>IF(S519="","",IFERROR(AVERAGEIFS(nNOTA,nNIA,S519,nEVAL,CONFIG_METADATA!$B$4,nASIG,"Conjunto"),""))</f>
        <v/>
      </c>
      <c r="W519" t="str" cm="1">
        <f t="array" ref="W519">IF(S519="","",IFERROR(AVERAGE(IF((nNIA=S519)*(nEVAL=CONFIG_METADATA!$B$4)*(nASIG&lt;&gt;"Lenguaje Musical")*(nASIG&lt;&gt;"Coro")*(nASIG&lt;&gt;"Conjunto"),nNOTA)),""))</f>
        <v/>
      </c>
    </row>
    <row r="520" spans="2:23" x14ac:dyDescent="0.2">
      <c r="B520" t="str">
        <f>IF(A520="","",IFERROR(AVERAGEIFS(nNOTA,nNIA,A520,nEVAL,CONFIG_METADATA!$B$4,nASIG,"Lenguaje Musical"),""))</f>
        <v/>
      </c>
      <c r="C520" t="str">
        <f>IF(A520="","",IFERROR(AVERAGEIFS(nNOTA,nNIA,A520,nEVAL,CONFIG_METADATA!$B$4,nASIG,"Coro"),""))</f>
        <v/>
      </c>
      <c r="D520" t="str">
        <f>IF(A520="","",IFERROR(AVERAGEIFS(nNOTA,nNIA,A520,nEVAL,CONFIG_METADATA!$B$4,nASIG,"Conjunto"),""))</f>
        <v/>
      </c>
      <c r="E520" t="str">
        <f>IF(A520="","",IFERROR(AVERAGEIFS(nNOTA,nNIA,A520,nEVAL,CONFIG_METADATA!$B$4,nASIG,"&lt;&gt;Lenguaje Musical",nASIG,"&lt;&gt;Coro",nASIG,"&lt;&gt;Conjunto"),""))</f>
        <v/>
      </c>
      <c r="H520" t="str">
        <f>IF(G520="","",IFERROR(AVERAGEIFS(nNOTA,nNIA,G520,nEVAL,CONFIG_METADATA!$B$4,nASIG,"Lenguaje Musical"),""))</f>
        <v/>
      </c>
      <c r="I520" t="str">
        <f>IF(G520="","",IFERROR(AVERAGEIFS(nNOTA,nNIA,G520,nEVAL,CONFIG_METADATA!$B$4,nASIG,"Coro"),""))</f>
        <v/>
      </c>
      <c r="J520" t="str">
        <f>IF(G520="","",IFERROR(AVERAGEIFS(nNOTA,nNIA,G520,nEVAL,CONFIG_METADATA!$B$4,nASIG,"Conjunto"),""))</f>
        <v/>
      </c>
      <c r="K520" t="str" cm="1">
        <f t="array" ref="K520">IF(G520="","",IFERROR(AVERAGE(IF((nNIA=G520)*(nEVAL=CONFIG_METADATA!$B$4)*(nASIG&lt;&gt;"Lenguaje Musical")*(nASIG&lt;&gt;"Coro")*(nASIG&lt;&gt;"Conjunto"),nNOTA)),""))</f>
        <v/>
      </c>
      <c r="N520" t="str">
        <f>IF(M520="","",IFERROR(AVERAGEIFS(nNOTA,nNIA,M520,nEVAL,CONFIG_METADATA!$B$4,nASIG,"Lenguaje Musical"),""))</f>
        <v/>
      </c>
      <c r="O520" t="str">
        <f>IF(M520="","",IFERROR(AVERAGEIFS(nNOTA,nNIA,M520,nEVAL,CONFIG_METADATA!$B$4,nASIG,"Coro"),""))</f>
        <v/>
      </c>
      <c r="P520" t="str">
        <f>IF(M520="","",IFERROR(AVERAGEIFS(nNOTA,nNIA,M520,nEVAL,CONFIG_METADATA!$B$4,nASIG,"Conjunto"),""))</f>
        <v/>
      </c>
      <c r="Q520" t="str">
        <f>IF(M520="","",IFERROR(AVERAGEIFS(nNOTA,nNIA,M520,nEVAL,CONFIG_METADATA!$B$4,nASIG,"&lt;&gt;Lenguaje Musical",nASIG,"&lt;&gt;Coro",nASIG,"&lt;&gt;Conjunto"),""))</f>
        <v/>
      </c>
      <c r="T520" t="str">
        <f>IF(S520="","",IFERROR(AVERAGEIFS(nNOTA,nNIA,S520,nEVAL,CONFIG_METADATA!$B$4,nASIG,"Lenguaje Musical"),""))</f>
        <v/>
      </c>
      <c r="U520" t="str">
        <f>IF(S520="","",IFERROR(AVERAGEIFS(nNOTA,nNIA,S520,nEVAL,CONFIG_METADATA!$B$4,nASIG,"Coro"),""))</f>
        <v/>
      </c>
      <c r="V520" t="str">
        <f>IF(S520="","",IFERROR(AVERAGEIFS(nNOTA,nNIA,S520,nEVAL,CONFIG_METADATA!$B$4,nASIG,"Conjunto"),""))</f>
        <v/>
      </c>
      <c r="W520" t="str" cm="1">
        <f t="array" ref="W520">IF(S520="","",IFERROR(AVERAGE(IF((nNIA=S520)*(nEVAL=CONFIG_METADATA!$B$4)*(nASIG&lt;&gt;"Lenguaje Musical")*(nASIG&lt;&gt;"Coro")*(nASIG&lt;&gt;"Conjunto"),nNOTA)),""))</f>
        <v/>
      </c>
    </row>
    <row r="521" spans="2:23" x14ac:dyDescent="0.2">
      <c r="B521" t="str">
        <f>IF(A521="","",IFERROR(AVERAGEIFS(nNOTA,nNIA,A521,nEVAL,CONFIG_METADATA!$B$4,nASIG,"Lenguaje Musical"),""))</f>
        <v/>
      </c>
      <c r="C521" t="str">
        <f>IF(A521="","",IFERROR(AVERAGEIFS(nNOTA,nNIA,A521,nEVAL,CONFIG_METADATA!$B$4,nASIG,"Coro"),""))</f>
        <v/>
      </c>
      <c r="D521" t="str">
        <f>IF(A521="","",IFERROR(AVERAGEIFS(nNOTA,nNIA,A521,nEVAL,CONFIG_METADATA!$B$4,nASIG,"Conjunto"),""))</f>
        <v/>
      </c>
      <c r="E521" t="str">
        <f>IF(A521="","",IFERROR(AVERAGEIFS(nNOTA,nNIA,A521,nEVAL,CONFIG_METADATA!$B$4,nASIG,"&lt;&gt;Lenguaje Musical",nASIG,"&lt;&gt;Coro",nASIG,"&lt;&gt;Conjunto"),""))</f>
        <v/>
      </c>
      <c r="H521" t="str">
        <f>IF(G521="","",IFERROR(AVERAGEIFS(nNOTA,nNIA,G521,nEVAL,CONFIG_METADATA!$B$4,nASIG,"Lenguaje Musical"),""))</f>
        <v/>
      </c>
      <c r="I521" t="str">
        <f>IF(G521="","",IFERROR(AVERAGEIFS(nNOTA,nNIA,G521,nEVAL,CONFIG_METADATA!$B$4,nASIG,"Coro"),""))</f>
        <v/>
      </c>
      <c r="J521" t="str">
        <f>IF(G521="","",IFERROR(AVERAGEIFS(nNOTA,nNIA,G521,nEVAL,CONFIG_METADATA!$B$4,nASIG,"Conjunto"),""))</f>
        <v/>
      </c>
      <c r="K521" t="str" cm="1">
        <f t="array" ref="K521">IF(G521="","",IFERROR(AVERAGE(IF((nNIA=G521)*(nEVAL=CONFIG_METADATA!$B$4)*(nASIG&lt;&gt;"Lenguaje Musical")*(nASIG&lt;&gt;"Coro")*(nASIG&lt;&gt;"Conjunto"),nNOTA)),""))</f>
        <v/>
      </c>
      <c r="N521" t="str">
        <f>IF(M521="","",IFERROR(AVERAGEIFS(nNOTA,nNIA,M521,nEVAL,CONFIG_METADATA!$B$4,nASIG,"Lenguaje Musical"),""))</f>
        <v/>
      </c>
      <c r="O521" t="str">
        <f>IF(M521="","",IFERROR(AVERAGEIFS(nNOTA,nNIA,M521,nEVAL,CONFIG_METADATA!$B$4,nASIG,"Coro"),""))</f>
        <v/>
      </c>
      <c r="P521" t="str">
        <f>IF(M521="","",IFERROR(AVERAGEIFS(nNOTA,nNIA,M521,nEVAL,CONFIG_METADATA!$B$4,nASIG,"Conjunto"),""))</f>
        <v/>
      </c>
      <c r="Q521" t="str">
        <f>IF(M521="","",IFERROR(AVERAGEIFS(nNOTA,nNIA,M521,nEVAL,CONFIG_METADATA!$B$4,nASIG,"&lt;&gt;Lenguaje Musical",nASIG,"&lt;&gt;Coro",nASIG,"&lt;&gt;Conjunto"),""))</f>
        <v/>
      </c>
      <c r="T521" t="str">
        <f>IF(S521="","",IFERROR(AVERAGEIFS(nNOTA,nNIA,S521,nEVAL,CONFIG_METADATA!$B$4,nASIG,"Lenguaje Musical"),""))</f>
        <v/>
      </c>
      <c r="U521" t="str">
        <f>IF(S521="","",IFERROR(AVERAGEIFS(nNOTA,nNIA,S521,nEVAL,CONFIG_METADATA!$B$4,nASIG,"Coro"),""))</f>
        <v/>
      </c>
      <c r="V521" t="str">
        <f>IF(S521="","",IFERROR(AVERAGEIFS(nNOTA,nNIA,S521,nEVAL,CONFIG_METADATA!$B$4,nASIG,"Conjunto"),""))</f>
        <v/>
      </c>
      <c r="W521" t="str" cm="1">
        <f t="array" ref="W521">IF(S521="","",IFERROR(AVERAGE(IF((nNIA=S521)*(nEVAL=CONFIG_METADATA!$B$4)*(nASIG&lt;&gt;"Lenguaje Musical")*(nASIG&lt;&gt;"Coro")*(nASIG&lt;&gt;"Conjunto"),nNOTA)),""))</f>
        <v/>
      </c>
    </row>
    <row r="522" spans="2:23" x14ac:dyDescent="0.2">
      <c r="B522" t="str">
        <f>IF(A522="","",IFERROR(AVERAGEIFS(nNOTA,nNIA,A522,nEVAL,CONFIG_METADATA!$B$4,nASIG,"Lenguaje Musical"),""))</f>
        <v/>
      </c>
      <c r="C522" t="str">
        <f>IF(A522="","",IFERROR(AVERAGEIFS(nNOTA,nNIA,A522,nEVAL,CONFIG_METADATA!$B$4,nASIG,"Coro"),""))</f>
        <v/>
      </c>
      <c r="D522" t="str">
        <f>IF(A522="","",IFERROR(AVERAGEIFS(nNOTA,nNIA,A522,nEVAL,CONFIG_METADATA!$B$4,nASIG,"Conjunto"),""))</f>
        <v/>
      </c>
      <c r="E522" t="str">
        <f>IF(A522="","",IFERROR(AVERAGEIFS(nNOTA,nNIA,A522,nEVAL,CONFIG_METADATA!$B$4,nASIG,"&lt;&gt;Lenguaje Musical",nASIG,"&lt;&gt;Coro",nASIG,"&lt;&gt;Conjunto"),""))</f>
        <v/>
      </c>
      <c r="H522" t="str">
        <f>IF(G522="","",IFERROR(AVERAGEIFS(nNOTA,nNIA,G522,nEVAL,CONFIG_METADATA!$B$4,nASIG,"Lenguaje Musical"),""))</f>
        <v/>
      </c>
      <c r="I522" t="str">
        <f>IF(G522="","",IFERROR(AVERAGEIFS(nNOTA,nNIA,G522,nEVAL,CONFIG_METADATA!$B$4,nASIG,"Coro"),""))</f>
        <v/>
      </c>
      <c r="J522" t="str">
        <f>IF(G522="","",IFERROR(AVERAGEIFS(nNOTA,nNIA,G522,nEVAL,CONFIG_METADATA!$B$4,nASIG,"Conjunto"),""))</f>
        <v/>
      </c>
      <c r="K522" t="str" cm="1">
        <f t="array" ref="K522">IF(G522="","",IFERROR(AVERAGE(IF((nNIA=G522)*(nEVAL=CONFIG_METADATA!$B$4)*(nASIG&lt;&gt;"Lenguaje Musical")*(nASIG&lt;&gt;"Coro")*(nASIG&lt;&gt;"Conjunto"),nNOTA)),""))</f>
        <v/>
      </c>
      <c r="N522" t="str">
        <f>IF(M522="","",IFERROR(AVERAGEIFS(nNOTA,nNIA,M522,nEVAL,CONFIG_METADATA!$B$4,nASIG,"Lenguaje Musical"),""))</f>
        <v/>
      </c>
      <c r="O522" t="str">
        <f>IF(M522="","",IFERROR(AVERAGEIFS(nNOTA,nNIA,M522,nEVAL,CONFIG_METADATA!$B$4,nASIG,"Coro"),""))</f>
        <v/>
      </c>
      <c r="P522" t="str">
        <f>IF(M522="","",IFERROR(AVERAGEIFS(nNOTA,nNIA,M522,nEVAL,CONFIG_METADATA!$B$4,nASIG,"Conjunto"),""))</f>
        <v/>
      </c>
      <c r="Q522" t="str">
        <f>IF(M522="","",IFERROR(AVERAGEIFS(nNOTA,nNIA,M522,nEVAL,CONFIG_METADATA!$B$4,nASIG,"&lt;&gt;Lenguaje Musical",nASIG,"&lt;&gt;Coro",nASIG,"&lt;&gt;Conjunto"),""))</f>
        <v/>
      </c>
      <c r="T522" t="str">
        <f>IF(S522="","",IFERROR(AVERAGEIFS(nNOTA,nNIA,S522,nEVAL,CONFIG_METADATA!$B$4,nASIG,"Lenguaje Musical"),""))</f>
        <v/>
      </c>
      <c r="U522" t="str">
        <f>IF(S522="","",IFERROR(AVERAGEIFS(nNOTA,nNIA,S522,nEVAL,CONFIG_METADATA!$B$4,nASIG,"Coro"),""))</f>
        <v/>
      </c>
      <c r="V522" t="str">
        <f>IF(S522="","",IFERROR(AVERAGEIFS(nNOTA,nNIA,S522,nEVAL,CONFIG_METADATA!$B$4,nASIG,"Conjunto"),""))</f>
        <v/>
      </c>
      <c r="W522" t="str" cm="1">
        <f t="array" ref="W522">IF(S522="","",IFERROR(AVERAGE(IF((nNIA=S522)*(nEVAL=CONFIG_METADATA!$B$4)*(nASIG&lt;&gt;"Lenguaje Musical")*(nASIG&lt;&gt;"Coro")*(nASIG&lt;&gt;"Conjunto"),nNOTA)),""))</f>
        <v/>
      </c>
    </row>
    <row r="523" spans="2:23" x14ac:dyDescent="0.2">
      <c r="B523" t="str">
        <f>IF(A523="","",IFERROR(AVERAGEIFS(nNOTA,nNIA,A523,nEVAL,CONFIG_METADATA!$B$4,nASIG,"Lenguaje Musical"),""))</f>
        <v/>
      </c>
      <c r="C523" t="str">
        <f>IF(A523="","",IFERROR(AVERAGEIFS(nNOTA,nNIA,A523,nEVAL,CONFIG_METADATA!$B$4,nASIG,"Coro"),""))</f>
        <v/>
      </c>
      <c r="D523" t="str">
        <f>IF(A523="","",IFERROR(AVERAGEIFS(nNOTA,nNIA,A523,nEVAL,CONFIG_METADATA!$B$4,nASIG,"Conjunto"),""))</f>
        <v/>
      </c>
      <c r="E523" t="str">
        <f>IF(A523="","",IFERROR(AVERAGEIFS(nNOTA,nNIA,A523,nEVAL,CONFIG_METADATA!$B$4,nASIG,"&lt;&gt;Lenguaje Musical",nASIG,"&lt;&gt;Coro",nASIG,"&lt;&gt;Conjunto"),""))</f>
        <v/>
      </c>
      <c r="H523" t="str">
        <f>IF(G523="","",IFERROR(AVERAGEIFS(nNOTA,nNIA,G523,nEVAL,CONFIG_METADATA!$B$4,nASIG,"Lenguaje Musical"),""))</f>
        <v/>
      </c>
      <c r="I523" t="str">
        <f>IF(G523="","",IFERROR(AVERAGEIFS(nNOTA,nNIA,G523,nEVAL,CONFIG_METADATA!$B$4,nASIG,"Coro"),""))</f>
        <v/>
      </c>
      <c r="J523" t="str">
        <f>IF(G523="","",IFERROR(AVERAGEIFS(nNOTA,nNIA,G523,nEVAL,CONFIG_METADATA!$B$4,nASIG,"Conjunto"),""))</f>
        <v/>
      </c>
      <c r="K523" t="str" cm="1">
        <f t="array" ref="K523">IF(G523="","",IFERROR(AVERAGE(IF((nNIA=G523)*(nEVAL=CONFIG_METADATA!$B$4)*(nASIG&lt;&gt;"Lenguaje Musical")*(nASIG&lt;&gt;"Coro")*(nASIG&lt;&gt;"Conjunto"),nNOTA)),""))</f>
        <v/>
      </c>
      <c r="N523" t="str">
        <f>IF(M523="","",IFERROR(AVERAGEIFS(nNOTA,nNIA,M523,nEVAL,CONFIG_METADATA!$B$4,nASIG,"Lenguaje Musical"),""))</f>
        <v/>
      </c>
      <c r="O523" t="str">
        <f>IF(M523="","",IFERROR(AVERAGEIFS(nNOTA,nNIA,M523,nEVAL,CONFIG_METADATA!$B$4,nASIG,"Coro"),""))</f>
        <v/>
      </c>
      <c r="P523" t="str">
        <f>IF(M523="","",IFERROR(AVERAGEIFS(nNOTA,nNIA,M523,nEVAL,CONFIG_METADATA!$B$4,nASIG,"Conjunto"),""))</f>
        <v/>
      </c>
      <c r="Q523" t="str">
        <f>IF(M523="","",IFERROR(AVERAGEIFS(nNOTA,nNIA,M523,nEVAL,CONFIG_METADATA!$B$4,nASIG,"&lt;&gt;Lenguaje Musical",nASIG,"&lt;&gt;Coro",nASIG,"&lt;&gt;Conjunto"),""))</f>
        <v/>
      </c>
      <c r="T523" t="str">
        <f>IF(S523="","",IFERROR(AVERAGEIFS(nNOTA,nNIA,S523,nEVAL,CONFIG_METADATA!$B$4,nASIG,"Lenguaje Musical"),""))</f>
        <v/>
      </c>
      <c r="U523" t="str">
        <f>IF(S523="","",IFERROR(AVERAGEIFS(nNOTA,nNIA,S523,nEVAL,CONFIG_METADATA!$B$4,nASIG,"Coro"),""))</f>
        <v/>
      </c>
      <c r="V523" t="str">
        <f>IF(S523="","",IFERROR(AVERAGEIFS(nNOTA,nNIA,S523,nEVAL,CONFIG_METADATA!$B$4,nASIG,"Conjunto"),""))</f>
        <v/>
      </c>
      <c r="W523" t="str" cm="1">
        <f t="array" ref="W523">IF(S523="","",IFERROR(AVERAGE(IF((nNIA=S523)*(nEVAL=CONFIG_METADATA!$B$4)*(nASIG&lt;&gt;"Lenguaje Musical")*(nASIG&lt;&gt;"Coro")*(nASIG&lt;&gt;"Conjunto"),nNOTA)),""))</f>
        <v/>
      </c>
    </row>
    <row r="524" spans="2:23" x14ac:dyDescent="0.2">
      <c r="B524" t="str">
        <f>IF(A524="","",IFERROR(AVERAGEIFS(nNOTA,nNIA,A524,nEVAL,CONFIG_METADATA!$B$4,nASIG,"Lenguaje Musical"),""))</f>
        <v/>
      </c>
      <c r="C524" t="str">
        <f>IF(A524="","",IFERROR(AVERAGEIFS(nNOTA,nNIA,A524,nEVAL,CONFIG_METADATA!$B$4,nASIG,"Coro"),""))</f>
        <v/>
      </c>
      <c r="D524" t="str">
        <f>IF(A524="","",IFERROR(AVERAGEIFS(nNOTA,nNIA,A524,nEVAL,CONFIG_METADATA!$B$4,nASIG,"Conjunto"),""))</f>
        <v/>
      </c>
      <c r="E524" t="str">
        <f>IF(A524="","",IFERROR(AVERAGEIFS(nNOTA,nNIA,A524,nEVAL,CONFIG_METADATA!$B$4,nASIG,"&lt;&gt;Lenguaje Musical",nASIG,"&lt;&gt;Coro",nASIG,"&lt;&gt;Conjunto"),""))</f>
        <v/>
      </c>
      <c r="H524" t="str">
        <f>IF(G524="","",IFERROR(AVERAGEIFS(nNOTA,nNIA,G524,nEVAL,CONFIG_METADATA!$B$4,nASIG,"Lenguaje Musical"),""))</f>
        <v/>
      </c>
      <c r="I524" t="str">
        <f>IF(G524="","",IFERROR(AVERAGEIFS(nNOTA,nNIA,G524,nEVAL,CONFIG_METADATA!$B$4,nASIG,"Coro"),""))</f>
        <v/>
      </c>
      <c r="J524" t="str">
        <f>IF(G524="","",IFERROR(AVERAGEIFS(nNOTA,nNIA,G524,nEVAL,CONFIG_METADATA!$B$4,nASIG,"Conjunto"),""))</f>
        <v/>
      </c>
      <c r="K524" t="str" cm="1">
        <f t="array" ref="K524">IF(G524="","",IFERROR(AVERAGE(IF((nNIA=G524)*(nEVAL=CONFIG_METADATA!$B$4)*(nASIG&lt;&gt;"Lenguaje Musical")*(nASIG&lt;&gt;"Coro")*(nASIG&lt;&gt;"Conjunto"),nNOTA)),""))</f>
        <v/>
      </c>
      <c r="N524" t="str">
        <f>IF(M524="","",IFERROR(AVERAGEIFS(nNOTA,nNIA,M524,nEVAL,CONFIG_METADATA!$B$4,nASIG,"Lenguaje Musical"),""))</f>
        <v/>
      </c>
      <c r="O524" t="str">
        <f>IF(M524="","",IFERROR(AVERAGEIFS(nNOTA,nNIA,M524,nEVAL,CONFIG_METADATA!$B$4,nASIG,"Coro"),""))</f>
        <v/>
      </c>
      <c r="P524" t="str">
        <f>IF(M524="","",IFERROR(AVERAGEIFS(nNOTA,nNIA,M524,nEVAL,CONFIG_METADATA!$B$4,nASIG,"Conjunto"),""))</f>
        <v/>
      </c>
      <c r="Q524" t="str">
        <f>IF(M524="","",IFERROR(AVERAGEIFS(nNOTA,nNIA,M524,nEVAL,CONFIG_METADATA!$B$4,nASIG,"&lt;&gt;Lenguaje Musical",nASIG,"&lt;&gt;Coro",nASIG,"&lt;&gt;Conjunto"),""))</f>
        <v/>
      </c>
      <c r="T524" t="str">
        <f>IF(S524="","",IFERROR(AVERAGEIFS(nNOTA,nNIA,S524,nEVAL,CONFIG_METADATA!$B$4,nASIG,"Lenguaje Musical"),""))</f>
        <v/>
      </c>
      <c r="U524" t="str">
        <f>IF(S524="","",IFERROR(AVERAGEIFS(nNOTA,nNIA,S524,nEVAL,CONFIG_METADATA!$B$4,nASIG,"Coro"),""))</f>
        <v/>
      </c>
      <c r="V524" t="str">
        <f>IF(S524="","",IFERROR(AVERAGEIFS(nNOTA,nNIA,S524,nEVAL,CONFIG_METADATA!$B$4,nASIG,"Conjunto"),""))</f>
        <v/>
      </c>
      <c r="W524" t="str" cm="1">
        <f t="array" ref="W524">IF(S524="","",IFERROR(AVERAGE(IF((nNIA=S524)*(nEVAL=CONFIG_METADATA!$B$4)*(nASIG&lt;&gt;"Lenguaje Musical")*(nASIG&lt;&gt;"Coro")*(nASIG&lt;&gt;"Conjunto"),nNOTA)),""))</f>
        <v/>
      </c>
    </row>
    <row r="525" spans="2:23" x14ac:dyDescent="0.2">
      <c r="B525" t="str">
        <f>IF(A525="","",IFERROR(AVERAGEIFS(nNOTA,nNIA,A525,nEVAL,CONFIG_METADATA!$B$4,nASIG,"Lenguaje Musical"),""))</f>
        <v/>
      </c>
      <c r="C525" t="str">
        <f>IF(A525="","",IFERROR(AVERAGEIFS(nNOTA,nNIA,A525,nEVAL,CONFIG_METADATA!$B$4,nASIG,"Coro"),""))</f>
        <v/>
      </c>
      <c r="D525" t="str">
        <f>IF(A525="","",IFERROR(AVERAGEIFS(nNOTA,nNIA,A525,nEVAL,CONFIG_METADATA!$B$4,nASIG,"Conjunto"),""))</f>
        <v/>
      </c>
      <c r="E525" t="str">
        <f>IF(A525="","",IFERROR(AVERAGEIFS(nNOTA,nNIA,A525,nEVAL,CONFIG_METADATA!$B$4,nASIG,"&lt;&gt;Lenguaje Musical",nASIG,"&lt;&gt;Coro",nASIG,"&lt;&gt;Conjunto"),""))</f>
        <v/>
      </c>
      <c r="H525" t="str">
        <f>IF(G525="","",IFERROR(AVERAGEIFS(nNOTA,nNIA,G525,nEVAL,CONFIG_METADATA!$B$4,nASIG,"Lenguaje Musical"),""))</f>
        <v/>
      </c>
      <c r="I525" t="str">
        <f>IF(G525="","",IFERROR(AVERAGEIFS(nNOTA,nNIA,G525,nEVAL,CONFIG_METADATA!$B$4,nASIG,"Coro"),""))</f>
        <v/>
      </c>
      <c r="J525" t="str">
        <f>IF(G525="","",IFERROR(AVERAGEIFS(nNOTA,nNIA,G525,nEVAL,CONFIG_METADATA!$B$4,nASIG,"Conjunto"),""))</f>
        <v/>
      </c>
      <c r="K525" t="str" cm="1">
        <f t="array" ref="K525">IF(G525="","",IFERROR(AVERAGE(IF((nNIA=G525)*(nEVAL=CONFIG_METADATA!$B$4)*(nASIG&lt;&gt;"Lenguaje Musical")*(nASIG&lt;&gt;"Coro")*(nASIG&lt;&gt;"Conjunto"),nNOTA)),""))</f>
        <v/>
      </c>
      <c r="N525" t="str">
        <f>IF(M525="","",IFERROR(AVERAGEIFS(nNOTA,nNIA,M525,nEVAL,CONFIG_METADATA!$B$4,nASIG,"Lenguaje Musical"),""))</f>
        <v/>
      </c>
      <c r="O525" t="str">
        <f>IF(M525="","",IFERROR(AVERAGEIFS(nNOTA,nNIA,M525,nEVAL,CONFIG_METADATA!$B$4,nASIG,"Coro"),""))</f>
        <v/>
      </c>
      <c r="P525" t="str">
        <f>IF(M525="","",IFERROR(AVERAGEIFS(nNOTA,nNIA,M525,nEVAL,CONFIG_METADATA!$B$4,nASIG,"Conjunto"),""))</f>
        <v/>
      </c>
      <c r="Q525" t="str">
        <f>IF(M525="","",IFERROR(AVERAGEIFS(nNOTA,nNIA,M525,nEVAL,CONFIG_METADATA!$B$4,nASIG,"&lt;&gt;Lenguaje Musical",nASIG,"&lt;&gt;Coro",nASIG,"&lt;&gt;Conjunto"),""))</f>
        <v/>
      </c>
      <c r="T525" t="str">
        <f>IF(S525="","",IFERROR(AVERAGEIFS(nNOTA,nNIA,S525,nEVAL,CONFIG_METADATA!$B$4,nASIG,"Lenguaje Musical"),""))</f>
        <v/>
      </c>
      <c r="U525" t="str">
        <f>IF(S525="","",IFERROR(AVERAGEIFS(nNOTA,nNIA,S525,nEVAL,CONFIG_METADATA!$B$4,nASIG,"Coro"),""))</f>
        <v/>
      </c>
      <c r="V525" t="str">
        <f>IF(S525="","",IFERROR(AVERAGEIFS(nNOTA,nNIA,S525,nEVAL,CONFIG_METADATA!$B$4,nASIG,"Conjunto"),""))</f>
        <v/>
      </c>
      <c r="W525" t="str" cm="1">
        <f t="array" ref="W525">IF(S525="","",IFERROR(AVERAGE(IF((nNIA=S525)*(nEVAL=CONFIG_METADATA!$B$4)*(nASIG&lt;&gt;"Lenguaje Musical")*(nASIG&lt;&gt;"Coro")*(nASIG&lt;&gt;"Conjunto"),nNOTA)),""))</f>
        <v/>
      </c>
    </row>
    <row r="526" spans="2:23" x14ac:dyDescent="0.2">
      <c r="B526" t="str">
        <f>IF(A526="","",IFERROR(AVERAGEIFS(nNOTA,nNIA,A526,nEVAL,CONFIG_METADATA!$B$4,nASIG,"Lenguaje Musical"),""))</f>
        <v/>
      </c>
      <c r="C526" t="str">
        <f>IF(A526="","",IFERROR(AVERAGEIFS(nNOTA,nNIA,A526,nEVAL,CONFIG_METADATA!$B$4,nASIG,"Coro"),""))</f>
        <v/>
      </c>
      <c r="D526" t="str">
        <f>IF(A526="","",IFERROR(AVERAGEIFS(nNOTA,nNIA,A526,nEVAL,CONFIG_METADATA!$B$4,nASIG,"Conjunto"),""))</f>
        <v/>
      </c>
      <c r="E526" t="str">
        <f>IF(A526="","",IFERROR(AVERAGEIFS(nNOTA,nNIA,A526,nEVAL,CONFIG_METADATA!$B$4,nASIG,"&lt;&gt;Lenguaje Musical",nASIG,"&lt;&gt;Coro",nASIG,"&lt;&gt;Conjunto"),""))</f>
        <v/>
      </c>
      <c r="H526" t="str">
        <f>IF(G526="","",IFERROR(AVERAGEIFS(nNOTA,nNIA,G526,nEVAL,CONFIG_METADATA!$B$4,nASIG,"Lenguaje Musical"),""))</f>
        <v/>
      </c>
      <c r="I526" t="str">
        <f>IF(G526="","",IFERROR(AVERAGEIFS(nNOTA,nNIA,G526,nEVAL,CONFIG_METADATA!$B$4,nASIG,"Coro"),""))</f>
        <v/>
      </c>
      <c r="J526" t="str">
        <f>IF(G526="","",IFERROR(AVERAGEIFS(nNOTA,nNIA,G526,nEVAL,CONFIG_METADATA!$B$4,nASIG,"Conjunto"),""))</f>
        <v/>
      </c>
      <c r="K526" t="str" cm="1">
        <f t="array" ref="K526">IF(G526="","",IFERROR(AVERAGE(IF((nNIA=G526)*(nEVAL=CONFIG_METADATA!$B$4)*(nASIG&lt;&gt;"Lenguaje Musical")*(nASIG&lt;&gt;"Coro")*(nASIG&lt;&gt;"Conjunto"),nNOTA)),""))</f>
        <v/>
      </c>
      <c r="N526" t="str">
        <f>IF(M526="","",IFERROR(AVERAGEIFS(nNOTA,nNIA,M526,nEVAL,CONFIG_METADATA!$B$4,nASIG,"Lenguaje Musical"),""))</f>
        <v/>
      </c>
      <c r="O526" t="str">
        <f>IF(M526="","",IFERROR(AVERAGEIFS(nNOTA,nNIA,M526,nEVAL,CONFIG_METADATA!$B$4,nASIG,"Coro"),""))</f>
        <v/>
      </c>
      <c r="P526" t="str">
        <f>IF(M526="","",IFERROR(AVERAGEIFS(nNOTA,nNIA,M526,nEVAL,CONFIG_METADATA!$B$4,nASIG,"Conjunto"),""))</f>
        <v/>
      </c>
      <c r="Q526" t="str">
        <f>IF(M526="","",IFERROR(AVERAGEIFS(nNOTA,nNIA,M526,nEVAL,CONFIG_METADATA!$B$4,nASIG,"&lt;&gt;Lenguaje Musical",nASIG,"&lt;&gt;Coro",nASIG,"&lt;&gt;Conjunto"),""))</f>
        <v/>
      </c>
      <c r="T526" t="str">
        <f>IF(S526="","",IFERROR(AVERAGEIFS(nNOTA,nNIA,S526,nEVAL,CONFIG_METADATA!$B$4,nASIG,"Lenguaje Musical"),""))</f>
        <v/>
      </c>
      <c r="U526" t="str">
        <f>IF(S526="","",IFERROR(AVERAGEIFS(nNOTA,nNIA,S526,nEVAL,CONFIG_METADATA!$B$4,nASIG,"Coro"),""))</f>
        <v/>
      </c>
      <c r="V526" t="str">
        <f>IF(S526="","",IFERROR(AVERAGEIFS(nNOTA,nNIA,S526,nEVAL,CONFIG_METADATA!$B$4,nASIG,"Conjunto"),""))</f>
        <v/>
      </c>
      <c r="W526" t="str" cm="1">
        <f t="array" ref="W526">IF(S526="","",IFERROR(AVERAGE(IF((nNIA=S526)*(nEVAL=CONFIG_METADATA!$B$4)*(nASIG&lt;&gt;"Lenguaje Musical")*(nASIG&lt;&gt;"Coro")*(nASIG&lt;&gt;"Conjunto"),nNOTA)),""))</f>
        <v/>
      </c>
    </row>
    <row r="527" spans="2:23" x14ac:dyDescent="0.2">
      <c r="B527" t="str">
        <f>IF(A527="","",IFERROR(AVERAGEIFS(nNOTA,nNIA,A527,nEVAL,CONFIG_METADATA!$B$4,nASIG,"Lenguaje Musical"),""))</f>
        <v/>
      </c>
      <c r="C527" t="str">
        <f>IF(A527="","",IFERROR(AVERAGEIFS(nNOTA,nNIA,A527,nEVAL,CONFIG_METADATA!$B$4,nASIG,"Coro"),""))</f>
        <v/>
      </c>
      <c r="D527" t="str">
        <f>IF(A527="","",IFERROR(AVERAGEIFS(nNOTA,nNIA,A527,nEVAL,CONFIG_METADATA!$B$4,nASIG,"Conjunto"),""))</f>
        <v/>
      </c>
      <c r="E527" t="str">
        <f>IF(A527="","",IFERROR(AVERAGEIFS(nNOTA,nNIA,A527,nEVAL,CONFIG_METADATA!$B$4,nASIG,"&lt;&gt;Lenguaje Musical",nASIG,"&lt;&gt;Coro",nASIG,"&lt;&gt;Conjunto"),""))</f>
        <v/>
      </c>
      <c r="H527" t="str">
        <f>IF(G527="","",IFERROR(AVERAGEIFS(nNOTA,nNIA,G527,nEVAL,CONFIG_METADATA!$B$4,nASIG,"Lenguaje Musical"),""))</f>
        <v/>
      </c>
      <c r="I527" t="str">
        <f>IF(G527="","",IFERROR(AVERAGEIFS(nNOTA,nNIA,G527,nEVAL,CONFIG_METADATA!$B$4,nASIG,"Coro"),""))</f>
        <v/>
      </c>
      <c r="J527" t="str">
        <f>IF(G527="","",IFERROR(AVERAGEIFS(nNOTA,nNIA,G527,nEVAL,CONFIG_METADATA!$B$4,nASIG,"Conjunto"),""))</f>
        <v/>
      </c>
      <c r="K527" t="str" cm="1">
        <f t="array" ref="K527">IF(G527="","",IFERROR(AVERAGE(IF((nNIA=G527)*(nEVAL=CONFIG_METADATA!$B$4)*(nASIG&lt;&gt;"Lenguaje Musical")*(nASIG&lt;&gt;"Coro")*(nASIG&lt;&gt;"Conjunto"),nNOTA)),""))</f>
        <v/>
      </c>
      <c r="N527" t="str">
        <f>IF(M527="","",IFERROR(AVERAGEIFS(nNOTA,nNIA,M527,nEVAL,CONFIG_METADATA!$B$4,nASIG,"Lenguaje Musical"),""))</f>
        <v/>
      </c>
      <c r="O527" t="str">
        <f>IF(M527="","",IFERROR(AVERAGEIFS(nNOTA,nNIA,M527,nEVAL,CONFIG_METADATA!$B$4,nASIG,"Coro"),""))</f>
        <v/>
      </c>
      <c r="P527" t="str">
        <f>IF(M527="","",IFERROR(AVERAGEIFS(nNOTA,nNIA,M527,nEVAL,CONFIG_METADATA!$B$4,nASIG,"Conjunto"),""))</f>
        <v/>
      </c>
      <c r="Q527" t="str">
        <f>IF(M527="","",IFERROR(AVERAGEIFS(nNOTA,nNIA,M527,nEVAL,CONFIG_METADATA!$B$4,nASIG,"&lt;&gt;Lenguaje Musical",nASIG,"&lt;&gt;Coro",nASIG,"&lt;&gt;Conjunto"),""))</f>
        <v/>
      </c>
      <c r="T527" t="str">
        <f>IF(S527="","",IFERROR(AVERAGEIFS(nNOTA,nNIA,S527,nEVAL,CONFIG_METADATA!$B$4,nASIG,"Lenguaje Musical"),""))</f>
        <v/>
      </c>
      <c r="U527" t="str">
        <f>IF(S527="","",IFERROR(AVERAGEIFS(nNOTA,nNIA,S527,nEVAL,CONFIG_METADATA!$B$4,nASIG,"Coro"),""))</f>
        <v/>
      </c>
      <c r="V527" t="str">
        <f>IF(S527="","",IFERROR(AVERAGEIFS(nNOTA,nNIA,S527,nEVAL,CONFIG_METADATA!$B$4,nASIG,"Conjunto"),""))</f>
        <v/>
      </c>
      <c r="W527" t="str" cm="1">
        <f t="array" ref="W527">IF(S527="","",IFERROR(AVERAGE(IF((nNIA=S527)*(nEVAL=CONFIG_METADATA!$B$4)*(nASIG&lt;&gt;"Lenguaje Musical")*(nASIG&lt;&gt;"Coro")*(nASIG&lt;&gt;"Conjunto"),nNOTA)),""))</f>
        <v/>
      </c>
    </row>
    <row r="528" spans="2:23" x14ac:dyDescent="0.2">
      <c r="B528" t="str">
        <f>IF(A528="","",IFERROR(AVERAGEIFS(nNOTA,nNIA,A528,nEVAL,CONFIG_METADATA!$B$4,nASIG,"Lenguaje Musical"),""))</f>
        <v/>
      </c>
      <c r="C528" t="str">
        <f>IF(A528="","",IFERROR(AVERAGEIFS(nNOTA,nNIA,A528,nEVAL,CONFIG_METADATA!$B$4,nASIG,"Coro"),""))</f>
        <v/>
      </c>
      <c r="D528" t="str">
        <f>IF(A528="","",IFERROR(AVERAGEIFS(nNOTA,nNIA,A528,nEVAL,CONFIG_METADATA!$B$4,nASIG,"Conjunto"),""))</f>
        <v/>
      </c>
      <c r="E528" t="str">
        <f>IF(A528="","",IFERROR(AVERAGEIFS(nNOTA,nNIA,A528,nEVAL,CONFIG_METADATA!$B$4,nASIG,"&lt;&gt;Lenguaje Musical",nASIG,"&lt;&gt;Coro",nASIG,"&lt;&gt;Conjunto"),""))</f>
        <v/>
      </c>
      <c r="H528" t="str">
        <f>IF(G528="","",IFERROR(AVERAGEIFS(nNOTA,nNIA,G528,nEVAL,CONFIG_METADATA!$B$4,nASIG,"Lenguaje Musical"),""))</f>
        <v/>
      </c>
      <c r="I528" t="str">
        <f>IF(G528="","",IFERROR(AVERAGEIFS(nNOTA,nNIA,G528,nEVAL,CONFIG_METADATA!$B$4,nASIG,"Coro"),""))</f>
        <v/>
      </c>
      <c r="J528" t="str">
        <f>IF(G528="","",IFERROR(AVERAGEIFS(nNOTA,nNIA,G528,nEVAL,CONFIG_METADATA!$B$4,nASIG,"Conjunto"),""))</f>
        <v/>
      </c>
      <c r="K528" t="str" cm="1">
        <f t="array" ref="K528">IF(G528="","",IFERROR(AVERAGE(IF((nNIA=G528)*(nEVAL=CONFIG_METADATA!$B$4)*(nASIG&lt;&gt;"Lenguaje Musical")*(nASIG&lt;&gt;"Coro")*(nASIG&lt;&gt;"Conjunto"),nNOTA)),""))</f>
        <v/>
      </c>
      <c r="N528" t="str">
        <f>IF(M528="","",IFERROR(AVERAGEIFS(nNOTA,nNIA,M528,nEVAL,CONFIG_METADATA!$B$4,nASIG,"Lenguaje Musical"),""))</f>
        <v/>
      </c>
      <c r="O528" t="str">
        <f>IF(M528="","",IFERROR(AVERAGEIFS(nNOTA,nNIA,M528,nEVAL,CONFIG_METADATA!$B$4,nASIG,"Coro"),""))</f>
        <v/>
      </c>
      <c r="P528" t="str">
        <f>IF(M528="","",IFERROR(AVERAGEIFS(nNOTA,nNIA,M528,nEVAL,CONFIG_METADATA!$B$4,nASIG,"Conjunto"),""))</f>
        <v/>
      </c>
      <c r="Q528" t="str">
        <f>IF(M528="","",IFERROR(AVERAGEIFS(nNOTA,nNIA,M528,nEVAL,CONFIG_METADATA!$B$4,nASIG,"&lt;&gt;Lenguaje Musical",nASIG,"&lt;&gt;Coro",nASIG,"&lt;&gt;Conjunto"),""))</f>
        <v/>
      </c>
      <c r="T528" t="str">
        <f>IF(S528="","",IFERROR(AVERAGEIFS(nNOTA,nNIA,S528,nEVAL,CONFIG_METADATA!$B$4,nASIG,"Lenguaje Musical"),""))</f>
        <v/>
      </c>
      <c r="U528" t="str">
        <f>IF(S528="","",IFERROR(AVERAGEIFS(nNOTA,nNIA,S528,nEVAL,CONFIG_METADATA!$B$4,nASIG,"Coro"),""))</f>
        <v/>
      </c>
      <c r="V528" t="str">
        <f>IF(S528="","",IFERROR(AVERAGEIFS(nNOTA,nNIA,S528,nEVAL,CONFIG_METADATA!$B$4,nASIG,"Conjunto"),""))</f>
        <v/>
      </c>
      <c r="W528" t="str" cm="1">
        <f t="array" ref="W528">IF(S528="","",IFERROR(AVERAGE(IF((nNIA=S528)*(nEVAL=CONFIG_METADATA!$B$4)*(nASIG&lt;&gt;"Lenguaje Musical")*(nASIG&lt;&gt;"Coro")*(nASIG&lt;&gt;"Conjunto"),nNOTA)),""))</f>
        <v/>
      </c>
    </row>
    <row r="529" spans="2:23" x14ac:dyDescent="0.2">
      <c r="B529" t="str">
        <f>IF(A529="","",IFERROR(AVERAGEIFS(nNOTA,nNIA,A529,nEVAL,CONFIG_METADATA!$B$4,nASIG,"Lenguaje Musical"),""))</f>
        <v/>
      </c>
      <c r="C529" t="str">
        <f>IF(A529="","",IFERROR(AVERAGEIFS(nNOTA,nNIA,A529,nEVAL,CONFIG_METADATA!$B$4,nASIG,"Coro"),""))</f>
        <v/>
      </c>
      <c r="D529" t="str">
        <f>IF(A529="","",IFERROR(AVERAGEIFS(nNOTA,nNIA,A529,nEVAL,CONFIG_METADATA!$B$4,nASIG,"Conjunto"),""))</f>
        <v/>
      </c>
      <c r="E529" t="str">
        <f>IF(A529="","",IFERROR(AVERAGEIFS(nNOTA,nNIA,A529,nEVAL,CONFIG_METADATA!$B$4,nASIG,"&lt;&gt;Lenguaje Musical",nASIG,"&lt;&gt;Coro",nASIG,"&lt;&gt;Conjunto"),""))</f>
        <v/>
      </c>
      <c r="H529" t="str">
        <f>IF(G529="","",IFERROR(AVERAGEIFS(nNOTA,nNIA,G529,nEVAL,CONFIG_METADATA!$B$4,nASIG,"Lenguaje Musical"),""))</f>
        <v/>
      </c>
      <c r="I529" t="str">
        <f>IF(G529="","",IFERROR(AVERAGEIFS(nNOTA,nNIA,G529,nEVAL,CONFIG_METADATA!$B$4,nASIG,"Coro"),""))</f>
        <v/>
      </c>
      <c r="J529" t="str">
        <f>IF(G529="","",IFERROR(AVERAGEIFS(nNOTA,nNIA,G529,nEVAL,CONFIG_METADATA!$B$4,nASIG,"Conjunto"),""))</f>
        <v/>
      </c>
      <c r="K529" t="str" cm="1">
        <f t="array" ref="K529">IF(G529="","",IFERROR(AVERAGE(IF((nNIA=G529)*(nEVAL=CONFIG_METADATA!$B$4)*(nASIG&lt;&gt;"Lenguaje Musical")*(nASIG&lt;&gt;"Coro")*(nASIG&lt;&gt;"Conjunto"),nNOTA)),""))</f>
        <v/>
      </c>
      <c r="N529" t="str">
        <f>IF(M529="","",IFERROR(AVERAGEIFS(nNOTA,nNIA,M529,nEVAL,CONFIG_METADATA!$B$4,nASIG,"Lenguaje Musical"),""))</f>
        <v/>
      </c>
      <c r="O529" t="str">
        <f>IF(M529="","",IFERROR(AVERAGEIFS(nNOTA,nNIA,M529,nEVAL,CONFIG_METADATA!$B$4,nASIG,"Coro"),""))</f>
        <v/>
      </c>
      <c r="P529" t="str">
        <f>IF(M529="","",IFERROR(AVERAGEIFS(nNOTA,nNIA,M529,nEVAL,CONFIG_METADATA!$B$4,nASIG,"Conjunto"),""))</f>
        <v/>
      </c>
      <c r="Q529" t="str">
        <f>IF(M529="","",IFERROR(AVERAGEIFS(nNOTA,nNIA,M529,nEVAL,CONFIG_METADATA!$B$4,nASIG,"&lt;&gt;Lenguaje Musical",nASIG,"&lt;&gt;Coro",nASIG,"&lt;&gt;Conjunto"),""))</f>
        <v/>
      </c>
      <c r="T529" t="str">
        <f>IF(S529="","",IFERROR(AVERAGEIFS(nNOTA,nNIA,S529,nEVAL,CONFIG_METADATA!$B$4,nASIG,"Lenguaje Musical"),""))</f>
        <v/>
      </c>
      <c r="U529" t="str">
        <f>IF(S529="","",IFERROR(AVERAGEIFS(nNOTA,nNIA,S529,nEVAL,CONFIG_METADATA!$B$4,nASIG,"Coro"),""))</f>
        <v/>
      </c>
      <c r="V529" t="str">
        <f>IF(S529="","",IFERROR(AVERAGEIFS(nNOTA,nNIA,S529,nEVAL,CONFIG_METADATA!$B$4,nASIG,"Conjunto"),""))</f>
        <v/>
      </c>
      <c r="W529" t="str" cm="1">
        <f t="array" ref="W529">IF(S529="","",IFERROR(AVERAGE(IF((nNIA=S529)*(nEVAL=CONFIG_METADATA!$B$4)*(nASIG&lt;&gt;"Lenguaje Musical")*(nASIG&lt;&gt;"Coro")*(nASIG&lt;&gt;"Conjunto"),nNOTA)),""))</f>
        <v/>
      </c>
    </row>
    <row r="530" spans="2:23" x14ac:dyDescent="0.2">
      <c r="B530" t="str">
        <f>IF(A530="","",IFERROR(AVERAGEIFS(nNOTA,nNIA,A530,nEVAL,CONFIG_METADATA!$B$4,nASIG,"Lenguaje Musical"),""))</f>
        <v/>
      </c>
      <c r="C530" t="str">
        <f>IF(A530="","",IFERROR(AVERAGEIFS(nNOTA,nNIA,A530,nEVAL,CONFIG_METADATA!$B$4,nASIG,"Coro"),""))</f>
        <v/>
      </c>
      <c r="D530" t="str">
        <f>IF(A530="","",IFERROR(AVERAGEIFS(nNOTA,nNIA,A530,nEVAL,CONFIG_METADATA!$B$4,nASIG,"Conjunto"),""))</f>
        <v/>
      </c>
      <c r="E530" t="str">
        <f>IF(A530="","",IFERROR(AVERAGEIFS(nNOTA,nNIA,A530,nEVAL,CONFIG_METADATA!$B$4,nASIG,"&lt;&gt;Lenguaje Musical",nASIG,"&lt;&gt;Coro",nASIG,"&lt;&gt;Conjunto"),""))</f>
        <v/>
      </c>
      <c r="H530" t="str">
        <f>IF(G530="","",IFERROR(AVERAGEIFS(nNOTA,nNIA,G530,nEVAL,CONFIG_METADATA!$B$4,nASIG,"Lenguaje Musical"),""))</f>
        <v/>
      </c>
      <c r="I530" t="str">
        <f>IF(G530="","",IFERROR(AVERAGEIFS(nNOTA,nNIA,G530,nEVAL,CONFIG_METADATA!$B$4,nASIG,"Coro"),""))</f>
        <v/>
      </c>
      <c r="J530" t="str">
        <f>IF(G530="","",IFERROR(AVERAGEIFS(nNOTA,nNIA,G530,nEVAL,CONFIG_METADATA!$B$4,nASIG,"Conjunto"),""))</f>
        <v/>
      </c>
      <c r="K530" t="str" cm="1">
        <f t="array" ref="K530">IF(G530="","",IFERROR(AVERAGE(IF((nNIA=G530)*(nEVAL=CONFIG_METADATA!$B$4)*(nASIG&lt;&gt;"Lenguaje Musical")*(nASIG&lt;&gt;"Coro")*(nASIG&lt;&gt;"Conjunto"),nNOTA)),""))</f>
        <v/>
      </c>
      <c r="N530" t="str">
        <f>IF(M530="","",IFERROR(AVERAGEIFS(nNOTA,nNIA,M530,nEVAL,CONFIG_METADATA!$B$4,nASIG,"Lenguaje Musical"),""))</f>
        <v/>
      </c>
      <c r="O530" t="str">
        <f>IF(M530="","",IFERROR(AVERAGEIFS(nNOTA,nNIA,M530,nEVAL,CONFIG_METADATA!$B$4,nASIG,"Coro"),""))</f>
        <v/>
      </c>
      <c r="P530" t="str">
        <f>IF(M530="","",IFERROR(AVERAGEIFS(nNOTA,nNIA,M530,nEVAL,CONFIG_METADATA!$B$4,nASIG,"Conjunto"),""))</f>
        <v/>
      </c>
      <c r="Q530" t="str">
        <f>IF(M530="","",IFERROR(AVERAGEIFS(nNOTA,nNIA,M530,nEVAL,CONFIG_METADATA!$B$4,nASIG,"&lt;&gt;Lenguaje Musical",nASIG,"&lt;&gt;Coro",nASIG,"&lt;&gt;Conjunto"),""))</f>
        <v/>
      </c>
      <c r="T530" t="str">
        <f>IF(S530="","",IFERROR(AVERAGEIFS(nNOTA,nNIA,S530,nEVAL,CONFIG_METADATA!$B$4,nASIG,"Lenguaje Musical"),""))</f>
        <v/>
      </c>
      <c r="U530" t="str">
        <f>IF(S530="","",IFERROR(AVERAGEIFS(nNOTA,nNIA,S530,nEVAL,CONFIG_METADATA!$B$4,nASIG,"Coro"),""))</f>
        <v/>
      </c>
      <c r="V530" t="str">
        <f>IF(S530="","",IFERROR(AVERAGEIFS(nNOTA,nNIA,S530,nEVAL,CONFIG_METADATA!$B$4,nASIG,"Conjunto"),""))</f>
        <v/>
      </c>
      <c r="W530" t="str" cm="1">
        <f t="array" ref="W530">IF(S530="","",IFERROR(AVERAGE(IF((nNIA=S530)*(nEVAL=CONFIG_METADATA!$B$4)*(nASIG&lt;&gt;"Lenguaje Musical")*(nASIG&lt;&gt;"Coro")*(nASIG&lt;&gt;"Conjunto"),nNOTA)),""))</f>
        <v/>
      </c>
    </row>
    <row r="531" spans="2:23" x14ac:dyDescent="0.2">
      <c r="B531" t="str">
        <f>IF(A531="","",IFERROR(AVERAGEIFS(nNOTA,nNIA,A531,nEVAL,CONFIG_METADATA!$B$4,nASIG,"Lenguaje Musical"),""))</f>
        <v/>
      </c>
      <c r="C531" t="str">
        <f>IF(A531="","",IFERROR(AVERAGEIFS(nNOTA,nNIA,A531,nEVAL,CONFIG_METADATA!$B$4,nASIG,"Coro"),""))</f>
        <v/>
      </c>
      <c r="D531" t="str">
        <f>IF(A531="","",IFERROR(AVERAGEIFS(nNOTA,nNIA,A531,nEVAL,CONFIG_METADATA!$B$4,nASIG,"Conjunto"),""))</f>
        <v/>
      </c>
      <c r="E531" t="str">
        <f>IF(A531="","",IFERROR(AVERAGEIFS(nNOTA,nNIA,A531,nEVAL,CONFIG_METADATA!$B$4,nASIG,"&lt;&gt;Lenguaje Musical",nASIG,"&lt;&gt;Coro",nASIG,"&lt;&gt;Conjunto"),""))</f>
        <v/>
      </c>
      <c r="H531" t="str">
        <f>IF(G531="","",IFERROR(AVERAGEIFS(nNOTA,nNIA,G531,nEVAL,CONFIG_METADATA!$B$4,nASIG,"Lenguaje Musical"),""))</f>
        <v/>
      </c>
      <c r="I531" t="str">
        <f>IF(G531="","",IFERROR(AVERAGEIFS(nNOTA,nNIA,G531,nEVAL,CONFIG_METADATA!$B$4,nASIG,"Coro"),""))</f>
        <v/>
      </c>
      <c r="J531" t="str">
        <f>IF(G531="","",IFERROR(AVERAGEIFS(nNOTA,nNIA,G531,nEVAL,CONFIG_METADATA!$B$4,nASIG,"Conjunto"),""))</f>
        <v/>
      </c>
      <c r="K531" t="str" cm="1">
        <f t="array" ref="K531">IF(G531="","",IFERROR(AVERAGE(IF((nNIA=G531)*(nEVAL=CONFIG_METADATA!$B$4)*(nASIG&lt;&gt;"Lenguaje Musical")*(nASIG&lt;&gt;"Coro")*(nASIG&lt;&gt;"Conjunto"),nNOTA)),""))</f>
        <v/>
      </c>
      <c r="N531" t="str">
        <f>IF(M531="","",IFERROR(AVERAGEIFS(nNOTA,nNIA,M531,nEVAL,CONFIG_METADATA!$B$4,nASIG,"Lenguaje Musical"),""))</f>
        <v/>
      </c>
      <c r="O531" t="str">
        <f>IF(M531="","",IFERROR(AVERAGEIFS(nNOTA,nNIA,M531,nEVAL,CONFIG_METADATA!$B$4,nASIG,"Coro"),""))</f>
        <v/>
      </c>
      <c r="P531" t="str">
        <f>IF(M531="","",IFERROR(AVERAGEIFS(nNOTA,nNIA,M531,nEVAL,CONFIG_METADATA!$B$4,nASIG,"Conjunto"),""))</f>
        <v/>
      </c>
      <c r="Q531" t="str">
        <f>IF(M531="","",IFERROR(AVERAGEIFS(nNOTA,nNIA,M531,nEVAL,CONFIG_METADATA!$B$4,nASIG,"&lt;&gt;Lenguaje Musical",nASIG,"&lt;&gt;Coro",nASIG,"&lt;&gt;Conjunto"),""))</f>
        <v/>
      </c>
      <c r="T531" t="str">
        <f>IF(S531="","",IFERROR(AVERAGEIFS(nNOTA,nNIA,S531,nEVAL,CONFIG_METADATA!$B$4,nASIG,"Lenguaje Musical"),""))</f>
        <v/>
      </c>
      <c r="U531" t="str">
        <f>IF(S531="","",IFERROR(AVERAGEIFS(nNOTA,nNIA,S531,nEVAL,CONFIG_METADATA!$B$4,nASIG,"Coro"),""))</f>
        <v/>
      </c>
      <c r="V531" t="str">
        <f>IF(S531="","",IFERROR(AVERAGEIFS(nNOTA,nNIA,S531,nEVAL,CONFIG_METADATA!$B$4,nASIG,"Conjunto"),""))</f>
        <v/>
      </c>
      <c r="W531" t="str" cm="1">
        <f t="array" ref="W531">IF(S531="","",IFERROR(AVERAGE(IF((nNIA=S531)*(nEVAL=CONFIG_METADATA!$B$4)*(nASIG&lt;&gt;"Lenguaje Musical")*(nASIG&lt;&gt;"Coro")*(nASIG&lt;&gt;"Conjunto"),nNOTA)),""))</f>
        <v/>
      </c>
    </row>
    <row r="532" spans="2:23" x14ac:dyDescent="0.2">
      <c r="B532" t="str">
        <f>IF(A532="","",IFERROR(AVERAGEIFS(nNOTA,nNIA,A532,nEVAL,CONFIG_METADATA!$B$4,nASIG,"Lenguaje Musical"),""))</f>
        <v/>
      </c>
      <c r="C532" t="str">
        <f>IF(A532="","",IFERROR(AVERAGEIFS(nNOTA,nNIA,A532,nEVAL,CONFIG_METADATA!$B$4,nASIG,"Coro"),""))</f>
        <v/>
      </c>
      <c r="D532" t="str">
        <f>IF(A532="","",IFERROR(AVERAGEIFS(nNOTA,nNIA,A532,nEVAL,CONFIG_METADATA!$B$4,nASIG,"Conjunto"),""))</f>
        <v/>
      </c>
      <c r="E532" t="str">
        <f>IF(A532="","",IFERROR(AVERAGEIFS(nNOTA,nNIA,A532,nEVAL,CONFIG_METADATA!$B$4,nASIG,"&lt;&gt;Lenguaje Musical",nASIG,"&lt;&gt;Coro",nASIG,"&lt;&gt;Conjunto"),""))</f>
        <v/>
      </c>
      <c r="H532" t="str">
        <f>IF(G532="","",IFERROR(AVERAGEIFS(nNOTA,nNIA,G532,nEVAL,CONFIG_METADATA!$B$4,nASIG,"Lenguaje Musical"),""))</f>
        <v/>
      </c>
      <c r="I532" t="str">
        <f>IF(G532="","",IFERROR(AVERAGEIFS(nNOTA,nNIA,G532,nEVAL,CONFIG_METADATA!$B$4,nASIG,"Coro"),""))</f>
        <v/>
      </c>
      <c r="J532" t="str">
        <f>IF(G532="","",IFERROR(AVERAGEIFS(nNOTA,nNIA,G532,nEVAL,CONFIG_METADATA!$B$4,nASIG,"Conjunto"),""))</f>
        <v/>
      </c>
      <c r="K532" t="str" cm="1">
        <f t="array" ref="K532">IF(G532="","",IFERROR(AVERAGE(IF((nNIA=G532)*(nEVAL=CONFIG_METADATA!$B$4)*(nASIG&lt;&gt;"Lenguaje Musical")*(nASIG&lt;&gt;"Coro")*(nASIG&lt;&gt;"Conjunto"),nNOTA)),""))</f>
        <v/>
      </c>
      <c r="N532" t="str">
        <f>IF(M532="","",IFERROR(AVERAGEIFS(nNOTA,nNIA,M532,nEVAL,CONFIG_METADATA!$B$4,nASIG,"Lenguaje Musical"),""))</f>
        <v/>
      </c>
      <c r="O532" t="str">
        <f>IF(M532="","",IFERROR(AVERAGEIFS(nNOTA,nNIA,M532,nEVAL,CONFIG_METADATA!$B$4,nASIG,"Coro"),""))</f>
        <v/>
      </c>
      <c r="P532" t="str">
        <f>IF(M532="","",IFERROR(AVERAGEIFS(nNOTA,nNIA,M532,nEVAL,CONFIG_METADATA!$B$4,nASIG,"Conjunto"),""))</f>
        <v/>
      </c>
      <c r="Q532" t="str">
        <f>IF(M532="","",IFERROR(AVERAGEIFS(nNOTA,nNIA,M532,nEVAL,CONFIG_METADATA!$B$4,nASIG,"&lt;&gt;Lenguaje Musical",nASIG,"&lt;&gt;Coro",nASIG,"&lt;&gt;Conjunto"),""))</f>
        <v/>
      </c>
      <c r="T532" t="str">
        <f>IF(S532="","",IFERROR(AVERAGEIFS(nNOTA,nNIA,S532,nEVAL,CONFIG_METADATA!$B$4,nASIG,"Lenguaje Musical"),""))</f>
        <v/>
      </c>
      <c r="U532" t="str">
        <f>IF(S532="","",IFERROR(AVERAGEIFS(nNOTA,nNIA,S532,nEVAL,CONFIG_METADATA!$B$4,nASIG,"Coro"),""))</f>
        <v/>
      </c>
      <c r="V532" t="str">
        <f>IF(S532="","",IFERROR(AVERAGEIFS(nNOTA,nNIA,S532,nEVAL,CONFIG_METADATA!$B$4,nASIG,"Conjunto"),""))</f>
        <v/>
      </c>
      <c r="W532" t="str" cm="1">
        <f t="array" ref="W532">IF(S532="","",IFERROR(AVERAGE(IF((nNIA=S532)*(nEVAL=CONFIG_METADATA!$B$4)*(nASIG&lt;&gt;"Lenguaje Musical")*(nASIG&lt;&gt;"Coro")*(nASIG&lt;&gt;"Conjunto"),nNOTA)),""))</f>
        <v/>
      </c>
    </row>
    <row r="533" spans="2:23" x14ac:dyDescent="0.2">
      <c r="B533" t="str">
        <f>IF(A533="","",IFERROR(AVERAGEIFS(nNOTA,nNIA,A533,nEVAL,CONFIG_METADATA!$B$4,nASIG,"Lenguaje Musical"),""))</f>
        <v/>
      </c>
      <c r="C533" t="str">
        <f>IF(A533="","",IFERROR(AVERAGEIFS(nNOTA,nNIA,A533,nEVAL,CONFIG_METADATA!$B$4,nASIG,"Coro"),""))</f>
        <v/>
      </c>
      <c r="D533" t="str">
        <f>IF(A533="","",IFERROR(AVERAGEIFS(nNOTA,nNIA,A533,nEVAL,CONFIG_METADATA!$B$4,nASIG,"Conjunto"),""))</f>
        <v/>
      </c>
      <c r="E533" t="str">
        <f>IF(A533="","",IFERROR(AVERAGEIFS(nNOTA,nNIA,A533,nEVAL,CONFIG_METADATA!$B$4,nASIG,"&lt;&gt;Lenguaje Musical",nASIG,"&lt;&gt;Coro",nASIG,"&lt;&gt;Conjunto"),""))</f>
        <v/>
      </c>
      <c r="H533" t="str">
        <f>IF(G533="","",IFERROR(AVERAGEIFS(nNOTA,nNIA,G533,nEVAL,CONFIG_METADATA!$B$4,nASIG,"Lenguaje Musical"),""))</f>
        <v/>
      </c>
      <c r="I533" t="str">
        <f>IF(G533="","",IFERROR(AVERAGEIFS(nNOTA,nNIA,G533,nEVAL,CONFIG_METADATA!$B$4,nASIG,"Coro"),""))</f>
        <v/>
      </c>
      <c r="J533" t="str">
        <f>IF(G533="","",IFERROR(AVERAGEIFS(nNOTA,nNIA,G533,nEVAL,CONFIG_METADATA!$B$4,nASIG,"Conjunto"),""))</f>
        <v/>
      </c>
      <c r="K533" t="str" cm="1">
        <f t="array" ref="K533">IF(G533="","",IFERROR(AVERAGE(IF((nNIA=G533)*(nEVAL=CONFIG_METADATA!$B$4)*(nASIG&lt;&gt;"Lenguaje Musical")*(nASIG&lt;&gt;"Coro")*(nASIG&lt;&gt;"Conjunto"),nNOTA)),""))</f>
        <v/>
      </c>
      <c r="N533" t="str">
        <f>IF(M533="","",IFERROR(AVERAGEIFS(nNOTA,nNIA,M533,nEVAL,CONFIG_METADATA!$B$4,nASIG,"Lenguaje Musical"),""))</f>
        <v/>
      </c>
      <c r="O533" t="str">
        <f>IF(M533="","",IFERROR(AVERAGEIFS(nNOTA,nNIA,M533,nEVAL,CONFIG_METADATA!$B$4,nASIG,"Coro"),""))</f>
        <v/>
      </c>
      <c r="P533" t="str">
        <f>IF(M533="","",IFERROR(AVERAGEIFS(nNOTA,nNIA,M533,nEVAL,CONFIG_METADATA!$B$4,nASIG,"Conjunto"),""))</f>
        <v/>
      </c>
      <c r="Q533" t="str">
        <f>IF(M533="","",IFERROR(AVERAGEIFS(nNOTA,nNIA,M533,nEVAL,CONFIG_METADATA!$B$4,nASIG,"&lt;&gt;Lenguaje Musical",nASIG,"&lt;&gt;Coro",nASIG,"&lt;&gt;Conjunto"),""))</f>
        <v/>
      </c>
      <c r="T533" t="str">
        <f>IF(S533="","",IFERROR(AVERAGEIFS(nNOTA,nNIA,S533,nEVAL,CONFIG_METADATA!$B$4,nASIG,"Lenguaje Musical"),""))</f>
        <v/>
      </c>
      <c r="U533" t="str">
        <f>IF(S533="","",IFERROR(AVERAGEIFS(nNOTA,nNIA,S533,nEVAL,CONFIG_METADATA!$B$4,nASIG,"Coro"),""))</f>
        <v/>
      </c>
      <c r="V533" t="str">
        <f>IF(S533="","",IFERROR(AVERAGEIFS(nNOTA,nNIA,S533,nEVAL,CONFIG_METADATA!$B$4,nASIG,"Conjunto"),""))</f>
        <v/>
      </c>
      <c r="W533" t="str" cm="1">
        <f t="array" ref="W533">IF(S533="","",IFERROR(AVERAGE(IF((nNIA=S533)*(nEVAL=CONFIG_METADATA!$B$4)*(nASIG&lt;&gt;"Lenguaje Musical")*(nASIG&lt;&gt;"Coro")*(nASIG&lt;&gt;"Conjunto"),nNOTA)),""))</f>
        <v/>
      </c>
    </row>
    <row r="534" spans="2:23" x14ac:dyDescent="0.2">
      <c r="B534" t="str">
        <f>IF(A534="","",IFERROR(AVERAGEIFS(nNOTA,nNIA,A534,nEVAL,CONFIG_METADATA!$B$4,nASIG,"Lenguaje Musical"),""))</f>
        <v/>
      </c>
      <c r="C534" t="str">
        <f>IF(A534="","",IFERROR(AVERAGEIFS(nNOTA,nNIA,A534,nEVAL,CONFIG_METADATA!$B$4,nASIG,"Coro"),""))</f>
        <v/>
      </c>
      <c r="D534" t="str">
        <f>IF(A534="","",IFERROR(AVERAGEIFS(nNOTA,nNIA,A534,nEVAL,CONFIG_METADATA!$B$4,nASIG,"Conjunto"),""))</f>
        <v/>
      </c>
      <c r="E534" t="str">
        <f>IF(A534="","",IFERROR(AVERAGEIFS(nNOTA,nNIA,A534,nEVAL,CONFIG_METADATA!$B$4,nASIG,"&lt;&gt;Lenguaje Musical",nASIG,"&lt;&gt;Coro",nASIG,"&lt;&gt;Conjunto"),""))</f>
        <v/>
      </c>
      <c r="H534" t="str">
        <f>IF(G534="","",IFERROR(AVERAGEIFS(nNOTA,nNIA,G534,nEVAL,CONFIG_METADATA!$B$4,nASIG,"Lenguaje Musical"),""))</f>
        <v/>
      </c>
      <c r="I534" t="str">
        <f>IF(G534="","",IFERROR(AVERAGEIFS(nNOTA,nNIA,G534,nEVAL,CONFIG_METADATA!$B$4,nASIG,"Coro"),""))</f>
        <v/>
      </c>
      <c r="J534" t="str">
        <f>IF(G534="","",IFERROR(AVERAGEIFS(nNOTA,nNIA,G534,nEVAL,CONFIG_METADATA!$B$4,nASIG,"Conjunto"),""))</f>
        <v/>
      </c>
      <c r="K534" t="str" cm="1">
        <f t="array" ref="K534">IF(G534="","",IFERROR(AVERAGE(IF((nNIA=G534)*(nEVAL=CONFIG_METADATA!$B$4)*(nASIG&lt;&gt;"Lenguaje Musical")*(nASIG&lt;&gt;"Coro")*(nASIG&lt;&gt;"Conjunto"),nNOTA)),""))</f>
        <v/>
      </c>
      <c r="N534" t="str">
        <f>IF(M534="","",IFERROR(AVERAGEIFS(nNOTA,nNIA,M534,nEVAL,CONFIG_METADATA!$B$4,nASIG,"Lenguaje Musical"),""))</f>
        <v/>
      </c>
      <c r="O534" t="str">
        <f>IF(M534="","",IFERROR(AVERAGEIFS(nNOTA,nNIA,M534,nEVAL,CONFIG_METADATA!$B$4,nASIG,"Coro"),""))</f>
        <v/>
      </c>
      <c r="P534" t="str">
        <f>IF(M534="","",IFERROR(AVERAGEIFS(nNOTA,nNIA,M534,nEVAL,CONFIG_METADATA!$B$4,nASIG,"Conjunto"),""))</f>
        <v/>
      </c>
      <c r="Q534" t="str">
        <f>IF(M534="","",IFERROR(AVERAGEIFS(nNOTA,nNIA,M534,nEVAL,CONFIG_METADATA!$B$4,nASIG,"&lt;&gt;Lenguaje Musical",nASIG,"&lt;&gt;Coro",nASIG,"&lt;&gt;Conjunto"),""))</f>
        <v/>
      </c>
      <c r="T534" t="str">
        <f>IF(S534="","",IFERROR(AVERAGEIFS(nNOTA,nNIA,S534,nEVAL,CONFIG_METADATA!$B$4,nASIG,"Lenguaje Musical"),""))</f>
        <v/>
      </c>
      <c r="U534" t="str">
        <f>IF(S534="","",IFERROR(AVERAGEIFS(nNOTA,nNIA,S534,nEVAL,CONFIG_METADATA!$B$4,nASIG,"Coro"),""))</f>
        <v/>
      </c>
      <c r="V534" t="str">
        <f>IF(S534="","",IFERROR(AVERAGEIFS(nNOTA,nNIA,S534,nEVAL,CONFIG_METADATA!$B$4,nASIG,"Conjunto"),""))</f>
        <v/>
      </c>
      <c r="W534" t="str" cm="1">
        <f t="array" ref="W534">IF(S534="","",IFERROR(AVERAGE(IF((nNIA=S534)*(nEVAL=CONFIG_METADATA!$B$4)*(nASIG&lt;&gt;"Lenguaje Musical")*(nASIG&lt;&gt;"Coro")*(nASIG&lt;&gt;"Conjunto"),nNOTA)),""))</f>
        <v/>
      </c>
    </row>
    <row r="535" spans="2:23" x14ac:dyDescent="0.2">
      <c r="B535" t="str">
        <f>IF(A535="","",IFERROR(AVERAGEIFS(nNOTA,nNIA,A535,nEVAL,CONFIG_METADATA!$B$4,nASIG,"Lenguaje Musical"),""))</f>
        <v/>
      </c>
      <c r="C535" t="str">
        <f>IF(A535="","",IFERROR(AVERAGEIFS(nNOTA,nNIA,A535,nEVAL,CONFIG_METADATA!$B$4,nASIG,"Coro"),""))</f>
        <v/>
      </c>
      <c r="D535" t="str">
        <f>IF(A535="","",IFERROR(AVERAGEIFS(nNOTA,nNIA,A535,nEVAL,CONFIG_METADATA!$B$4,nASIG,"Conjunto"),""))</f>
        <v/>
      </c>
      <c r="E535" t="str">
        <f>IF(A535="","",IFERROR(AVERAGEIFS(nNOTA,nNIA,A535,nEVAL,CONFIG_METADATA!$B$4,nASIG,"&lt;&gt;Lenguaje Musical",nASIG,"&lt;&gt;Coro",nASIG,"&lt;&gt;Conjunto"),""))</f>
        <v/>
      </c>
      <c r="H535" t="str">
        <f>IF(G535="","",IFERROR(AVERAGEIFS(nNOTA,nNIA,G535,nEVAL,CONFIG_METADATA!$B$4,nASIG,"Lenguaje Musical"),""))</f>
        <v/>
      </c>
      <c r="I535" t="str">
        <f>IF(G535="","",IFERROR(AVERAGEIFS(nNOTA,nNIA,G535,nEVAL,CONFIG_METADATA!$B$4,nASIG,"Coro"),""))</f>
        <v/>
      </c>
      <c r="J535" t="str">
        <f>IF(G535="","",IFERROR(AVERAGEIFS(nNOTA,nNIA,G535,nEVAL,CONFIG_METADATA!$B$4,nASIG,"Conjunto"),""))</f>
        <v/>
      </c>
      <c r="K535" t="str" cm="1">
        <f t="array" ref="K535">IF(G535="","",IFERROR(AVERAGE(IF((nNIA=G535)*(nEVAL=CONFIG_METADATA!$B$4)*(nASIG&lt;&gt;"Lenguaje Musical")*(nASIG&lt;&gt;"Coro")*(nASIG&lt;&gt;"Conjunto"),nNOTA)),""))</f>
        <v/>
      </c>
      <c r="N535" t="str">
        <f>IF(M535="","",IFERROR(AVERAGEIFS(nNOTA,nNIA,M535,nEVAL,CONFIG_METADATA!$B$4,nASIG,"Lenguaje Musical"),""))</f>
        <v/>
      </c>
      <c r="O535" t="str">
        <f>IF(M535="","",IFERROR(AVERAGEIFS(nNOTA,nNIA,M535,nEVAL,CONFIG_METADATA!$B$4,nASIG,"Coro"),""))</f>
        <v/>
      </c>
      <c r="P535" t="str">
        <f>IF(M535="","",IFERROR(AVERAGEIFS(nNOTA,nNIA,M535,nEVAL,CONFIG_METADATA!$B$4,nASIG,"Conjunto"),""))</f>
        <v/>
      </c>
      <c r="Q535" t="str">
        <f>IF(M535="","",IFERROR(AVERAGEIFS(nNOTA,nNIA,M535,nEVAL,CONFIG_METADATA!$B$4,nASIG,"&lt;&gt;Lenguaje Musical",nASIG,"&lt;&gt;Coro",nASIG,"&lt;&gt;Conjunto"),""))</f>
        <v/>
      </c>
      <c r="T535" t="str">
        <f>IF(S535="","",IFERROR(AVERAGEIFS(nNOTA,nNIA,S535,nEVAL,CONFIG_METADATA!$B$4,nASIG,"Lenguaje Musical"),""))</f>
        <v/>
      </c>
      <c r="U535" t="str">
        <f>IF(S535="","",IFERROR(AVERAGEIFS(nNOTA,nNIA,S535,nEVAL,CONFIG_METADATA!$B$4,nASIG,"Coro"),""))</f>
        <v/>
      </c>
      <c r="V535" t="str">
        <f>IF(S535="","",IFERROR(AVERAGEIFS(nNOTA,nNIA,S535,nEVAL,CONFIG_METADATA!$B$4,nASIG,"Conjunto"),""))</f>
        <v/>
      </c>
      <c r="W535" t="str" cm="1">
        <f t="array" ref="W535">IF(S535="","",IFERROR(AVERAGE(IF((nNIA=S535)*(nEVAL=CONFIG_METADATA!$B$4)*(nASIG&lt;&gt;"Lenguaje Musical")*(nASIG&lt;&gt;"Coro")*(nASIG&lt;&gt;"Conjunto"),nNOTA)),""))</f>
        <v/>
      </c>
    </row>
    <row r="536" spans="2:23" x14ac:dyDescent="0.2">
      <c r="B536" t="str">
        <f>IF(A536="","",IFERROR(AVERAGEIFS(nNOTA,nNIA,A536,nEVAL,CONFIG_METADATA!$B$4,nASIG,"Lenguaje Musical"),""))</f>
        <v/>
      </c>
      <c r="C536" t="str">
        <f>IF(A536="","",IFERROR(AVERAGEIFS(nNOTA,nNIA,A536,nEVAL,CONFIG_METADATA!$B$4,nASIG,"Coro"),""))</f>
        <v/>
      </c>
      <c r="D536" t="str">
        <f>IF(A536="","",IFERROR(AVERAGEIFS(nNOTA,nNIA,A536,nEVAL,CONFIG_METADATA!$B$4,nASIG,"Conjunto"),""))</f>
        <v/>
      </c>
      <c r="E536" t="str">
        <f>IF(A536="","",IFERROR(AVERAGEIFS(nNOTA,nNIA,A536,nEVAL,CONFIG_METADATA!$B$4,nASIG,"&lt;&gt;Lenguaje Musical",nASIG,"&lt;&gt;Coro",nASIG,"&lt;&gt;Conjunto"),""))</f>
        <v/>
      </c>
      <c r="H536" t="str">
        <f>IF(G536="","",IFERROR(AVERAGEIFS(nNOTA,nNIA,G536,nEVAL,CONFIG_METADATA!$B$4,nASIG,"Lenguaje Musical"),""))</f>
        <v/>
      </c>
      <c r="I536" t="str">
        <f>IF(G536="","",IFERROR(AVERAGEIFS(nNOTA,nNIA,G536,nEVAL,CONFIG_METADATA!$B$4,nASIG,"Coro"),""))</f>
        <v/>
      </c>
      <c r="J536" t="str">
        <f>IF(G536="","",IFERROR(AVERAGEIFS(nNOTA,nNIA,G536,nEVAL,CONFIG_METADATA!$B$4,nASIG,"Conjunto"),""))</f>
        <v/>
      </c>
      <c r="K536" t="str" cm="1">
        <f t="array" ref="K536">IF(G536="","",IFERROR(AVERAGE(IF((nNIA=G536)*(nEVAL=CONFIG_METADATA!$B$4)*(nASIG&lt;&gt;"Lenguaje Musical")*(nASIG&lt;&gt;"Coro")*(nASIG&lt;&gt;"Conjunto"),nNOTA)),""))</f>
        <v/>
      </c>
      <c r="N536" t="str">
        <f>IF(M536="","",IFERROR(AVERAGEIFS(nNOTA,nNIA,M536,nEVAL,CONFIG_METADATA!$B$4,nASIG,"Lenguaje Musical"),""))</f>
        <v/>
      </c>
      <c r="O536" t="str">
        <f>IF(M536="","",IFERROR(AVERAGEIFS(nNOTA,nNIA,M536,nEVAL,CONFIG_METADATA!$B$4,nASIG,"Coro"),""))</f>
        <v/>
      </c>
      <c r="P536" t="str">
        <f>IF(M536="","",IFERROR(AVERAGEIFS(nNOTA,nNIA,M536,nEVAL,CONFIG_METADATA!$B$4,nASIG,"Conjunto"),""))</f>
        <v/>
      </c>
      <c r="Q536" t="str">
        <f>IF(M536="","",IFERROR(AVERAGEIFS(nNOTA,nNIA,M536,nEVAL,CONFIG_METADATA!$B$4,nASIG,"&lt;&gt;Lenguaje Musical",nASIG,"&lt;&gt;Coro",nASIG,"&lt;&gt;Conjunto"),""))</f>
        <v/>
      </c>
      <c r="T536" t="str">
        <f>IF(S536="","",IFERROR(AVERAGEIFS(nNOTA,nNIA,S536,nEVAL,CONFIG_METADATA!$B$4,nASIG,"Lenguaje Musical"),""))</f>
        <v/>
      </c>
      <c r="U536" t="str">
        <f>IF(S536="","",IFERROR(AVERAGEIFS(nNOTA,nNIA,S536,nEVAL,CONFIG_METADATA!$B$4,nASIG,"Coro"),""))</f>
        <v/>
      </c>
      <c r="V536" t="str">
        <f>IF(S536="","",IFERROR(AVERAGEIFS(nNOTA,nNIA,S536,nEVAL,CONFIG_METADATA!$B$4,nASIG,"Conjunto"),""))</f>
        <v/>
      </c>
      <c r="W536" t="str" cm="1">
        <f t="array" ref="W536">IF(S536="","",IFERROR(AVERAGE(IF((nNIA=S536)*(nEVAL=CONFIG_METADATA!$B$4)*(nASIG&lt;&gt;"Lenguaje Musical")*(nASIG&lt;&gt;"Coro")*(nASIG&lt;&gt;"Conjunto"),nNOTA)),""))</f>
        <v/>
      </c>
    </row>
    <row r="537" spans="2:23" x14ac:dyDescent="0.2">
      <c r="B537" t="str">
        <f>IF(A537="","",IFERROR(AVERAGEIFS(nNOTA,nNIA,A537,nEVAL,CONFIG_METADATA!$B$4,nASIG,"Lenguaje Musical"),""))</f>
        <v/>
      </c>
      <c r="C537" t="str">
        <f>IF(A537="","",IFERROR(AVERAGEIFS(nNOTA,nNIA,A537,nEVAL,CONFIG_METADATA!$B$4,nASIG,"Coro"),""))</f>
        <v/>
      </c>
      <c r="D537" t="str">
        <f>IF(A537="","",IFERROR(AVERAGEIFS(nNOTA,nNIA,A537,nEVAL,CONFIG_METADATA!$B$4,nASIG,"Conjunto"),""))</f>
        <v/>
      </c>
      <c r="E537" t="str">
        <f>IF(A537="","",IFERROR(AVERAGEIFS(nNOTA,nNIA,A537,nEVAL,CONFIG_METADATA!$B$4,nASIG,"&lt;&gt;Lenguaje Musical",nASIG,"&lt;&gt;Coro",nASIG,"&lt;&gt;Conjunto"),""))</f>
        <v/>
      </c>
      <c r="H537" t="str">
        <f>IF(G537="","",IFERROR(AVERAGEIFS(nNOTA,nNIA,G537,nEVAL,CONFIG_METADATA!$B$4,nASIG,"Lenguaje Musical"),""))</f>
        <v/>
      </c>
      <c r="I537" t="str">
        <f>IF(G537="","",IFERROR(AVERAGEIFS(nNOTA,nNIA,G537,nEVAL,CONFIG_METADATA!$B$4,nASIG,"Coro"),""))</f>
        <v/>
      </c>
      <c r="J537" t="str">
        <f>IF(G537="","",IFERROR(AVERAGEIFS(nNOTA,nNIA,G537,nEVAL,CONFIG_METADATA!$B$4,nASIG,"Conjunto"),""))</f>
        <v/>
      </c>
      <c r="K537" t="str" cm="1">
        <f t="array" ref="K537">IF(G537="","",IFERROR(AVERAGE(IF((nNIA=G537)*(nEVAL=CONFIG_METADATA!$B$4)*(nASIG&lt;&gt;"Lenguaje Musical")*(nASIG&lt;&gt;"Coro")*(nASIG&lt;&gt;"Conjunto"),nNOTA)),""))</f>
        <v/>
      </c>
      <c r="N537" t="str">
        <f>IF(M537="","",IFERROR(AVERAGEIFS(nNOTA,nNIA,M537,nEVAL,CONFIG_METADATA!$B$4,nASIG,"Lenguaje Musical"),""))</f>
        <v/>
      </c>
      <c r="O537" t="str">
        <f>IF(M537="","",IFERROR(AVERAGEIFS(nNOTA,nNIA,M537,nEVAL,CONFIG_METADATA!$B$4,nASIG,"Coro"),""))</f>
        <v/>
      </c>
      <c r="P537" t="str">
        <f>IF(M537="","",IFERROR(AVERAGEIFS(nNOTA,nNIA,M537,nEVAL,CONFIG_METADATA!$B$4,nASIG,"Conjunto"),""))</f>
        <v/>
      </c>
      <c r="Q537" t="str">
        <f>IF(M537="","",IFERROR(AVERAGEIFS(nNOTA,nNIA,M537,nEVAL,CONFIG_METADATA!$B$4,nASIG,"&lt;&gt;Lenguaje Musical",nASIG,"&lt;&gt;Coro",nASIG,"&lt;&gt;Conjunto"),""))</f>
        <v/>
      </c>
      <c r="T537" t="str">
        <f>IF(S537="","",IFERROR(AVERAGEIFS(nNOTA,nNIA,S537,nEVAL,CONFIG_METADATA!$B$4,nASIG,"Lenguaje Musical"),""))</f>
        <v/>
      </c>
      <c r="U537" t="str">
        <f>IF(S537="","",IFERROR(AVERAGEIFS(nNOTA,nNIA,S537,nEVAL,CONFIG_METADATA!$B$4,nASIG,"Coro"),""))</f>
        <v/>
      </c>
      <c r="V537" t="str">
        <f>IF(S537="","",IFERROR(AVERAGEIFS(nNOTA,nNIA,S537,nEVAL,CONFIG_METADATA!$B$4,nASIG,"Conjunto"),""))</f>
        <v/>
      </c>
      <c r="W537" t="str" cm="1">
        <f t="array" ref="W537">IF(S537="","",IFERROR(AVERAGE(IF((nNIA=S537)*(nEVAL=CONFIG_METADATA!$B$4)*(nASIG&lt;&gt;"Lenguaje Musical")*(nASIG&lt;&gt;"Coro")*(nASIG&lt;&gt;"Conjunto"),nNOTA)),""))</f>
        <v/>
      </c>
    </row>
    <row r="538" spans="2:23" x14ac:dyDescent="0.2">
      <c r="B538" t="str">
        <f>IF(A538="","",IFERROR(AVERAGEIFS(nNOTA,nNIA,A538,nEVAL,CONFIG_METADATA!$B$4,nASIG,"Lenguaje Musical"),""))</f>
        <v/>
      </c>
      <c r="C538" t="str">
        <f>IF(A538="","",IFERROR(AVERAGEIFS(nNOTA,nNIA,A538,nEVAL,CONFIG_METADATA!$B$4,nASIG,"Coro"),""))</f>
        <v/>
      </c>
      <c r="D538" t="str">
        <f>IF(A538="","",IFERROR(AVERAGEIFS(nNOTA,nNIA,A538,nEVAL,CONFIG_METADATA!$B$4,nASIG,"Conjunto"),""))</f>
        <v/>
      </c>
      <c r="E538" t="str">
        <f>IF(A538="","",IFERROR(AVERAGEIFS(nNOTA,nNIA,A538,nEVAL,CONFIG_METADATA!$B$4,nASIG,"&lt;&gt;Lenguaje Musical",nASIG,"&lt;&gt;Coro",nASIG,"&lt;&gt;Conjunto"),""))</f>
        <v/>
      </c>
      <c r="H538" t="str">
        <f>IF(G538="","",IFERROR(AVERAGEIFS(nNOTA,nNIA,G538,nEVAL,CONFIG_METADATA!$B$4,nASIG,"Lenguaje Musical"),""))</f>
        <v/>
      </c>
      <c r="I538" t="str">
        <f>IF(G538="","",IFERROR(AVERAGEIFS(nNOTA,nNIA,G538,nEVAL,CONFIG_METADATA!$B$4,nASIG,"Coro"),""))</f>
        <v/>
      </c>
      <c r="J538" t="str">
        <f>IF(G538="","",IFERROR(AVERAGEIFS(nNOTA,nNIA,G538,nEVAL,CONFIG_METADATA!$B$4,nASIG,"Conjunto"),""))</f>
        <v/>
      </c>
      <c r="K538" t="str" cm="1">
        <f t="array" ref="K538">IF(G538="","",IFERROR(AVERAGE(IF((nNIA=G538)*(nEVAL=CONFIG_METADATA!$B$4)*(nASIG&lt;&gt;"Lenguaje Musical")*(nASIG&lt;&gt;"Coro")*(nASIG&lt;&gt;"Conjunto"),nNOTA)),""))</f>
        <v/>
      </c>
      <c r="N538" t="str">
        <f>IF(M538="","",IFERROR(AVERAGEIFS(nNOTA,nNIA,M538,nEVAL,CONFIG_METADATA!$B$4,nASIG,"Lenguaje Musical"),""))</f>
        <v/>
      </c>
      <c r="O538" t="str">
        <f>IF(M538="","",IFERROR(AVERAGEIFS(nNOTA,nNIA,M538,nEVAL,CONFIG_METADATA!$B$4,nASIG,"Coro"),""))</f>
        <v/>
      </c>
      <c r="P538" t="str">
        <f>IF(M538="","",IFERROR(AVERAGEIFS(nNOTA,nNIA,M538,nEVAL,CONFIG_METADATA!$B$4,nASIG,"Conjunto"),""))</f>
        <v/>
      </c>
      <c r="Q538" t="str">
        <f>IF(M538="","",IFERROR(AVERAGEIFS(nNOTA,nNIA,M538,nEVAL,CONFIG_METADATA!$B$4,nASIG,"&lt;&gt;Lenguaje Musical",nASIG,"&lt;&gt;Coro",nASIG,"&lt;&gt;Conjunto"),""))</f>
        <v/>
      </c>
      <c r="T538" t="str">
        <f>IF(S538="","",IFERROR(AVERAGEIFS(nNOTA,nNIA,S538,nEVAL,CONFIG_METADATA!$B$4,nASIG,"Lenguaje Musical"),""))</f>
        <v/>
      </c>
      <c r="U538" t="str">
        <f>IF(S538="","",IFERROR(AVERAGEIFS(nNOTA,nNIA,S538,nEVAL,CONFIG_METADATA!$B$4,nASIG,"Coro"),""))</f>
        <v/>
      </c>
      <c r="V538" t="str">
        <f>IF(S538="","",IFERROR(AVERAGEIFS(nNOTA,nNIA,S538,nEVAL,CONFIG_METADATA!$B$4,nASIG,"Conjunto"),""))</f>
        <v/>
      </c>
      <c r="W538" t="str" cm="1">
        <f t="array" ref="W538">IF(S538="","",IFERROR(AVERAGE(IF((nNIA=S538)*(nEVAL=CONFIG_METADATA!$B$4)*(nASIG&lt;&gt;"Lenguaje Musical")*(nASIG&lt;&gt;"Coro")*(nASIG&lt;&gt;"Conjunto"),nNOTA)),""))</f>
        <v/>
      </c>
    </row>
    <row r="539" spans="2:23" x14ac:dyDescent="0.2">
      <c r="B539" t="str">
        <f>IF(A539="","",IFERROR(AVERAGEIFS(nNOTA,nNIA,A539,nEVAL,CONFIG_METADATA!$B$4,nASIG,"Lenguaje Musical"),""))</f>
        <v/>
      </c>
      <c r="C539" t="str">
        <f>IF(A539="","",IFERROR(AVERAGEIFS(nNOTA,nNIA,A539,nEVAL,CONFIG_METADATA!$B$4,nASIG,"Coro"),""))</f>
        <v/>
      </c>
      <c r="D539" t="str">
        <f>IF(A539="","",IFERROR(AVERAGEIFS(nNOTA,nNIA,A539,nEVAL,CONFIG_METADATA!$B$4,nASIG,"Conjunto"),""))</f>
        <v/>
      </c>
      <c r="E539" t="str">
        <f>IF(A539="","",IFERROR(AVERAGEIFS(nNOTA,nNIA,A539,nEVAL,CONFIG_METADATA!$B$4,nASIG,"&lt;&gt;Lenguaje Musical",nASIG,"&lt;&gt;Coro",nASIG,"&lt;&gt;Conjunto"),""))</f>
        <v/>
      </c>
      <c r="H539" t="str">
        <f>IF(G539="","",IFERROR(AVERAGEIFS(nNOTA,nNIA,G539,nEVAL,CONFIG_METADATA!$B$4,nASIG,"Lenguaje Musical"),""))</f>
        <v/>
      </c>
      <c r="I539" t="str">
        <f>IF(G539="","",IFERROR(AVERAGEIFS(nNOTA,nNIA,G539,nEVAL,CONFIG_METADATA!$B$4,nASIG,"Coro"),""))</f>
        <v/>
      </c>
      <c r="J539" t="str">
        <f>IF(G539="","",IFERROR(AVERAGEIFS(nNOTA,nNIA,G539,nEVAL,CONFIG_METADATA!$B$4,nASIG,"Conjunto"),""))</f>
        <v/>
      </c>
      <c r="K539" t="str" cm="1">
        <f t="array" ref="K539">IF(G539="","",IFERROR(AVERAGE(IF((nNIA=G539)*(nEVAL=CONFIG_METADATA!$B$4)*(nASIG&lt;&gt;"Lenguaje Musical")*(nASIG&lt;&gt;"Coro")*(nASIG&lt;&gt;"Conjunto"),nNOTA)),""))</f>
        <v/>
      </c>
      <c r="N539" t="str">
        <f>IF(M539="","",IFERROR(AVERAGEIFS(nNOTA,nNIA,M539,nEVAL,CONFIG_METADATA!$B$4,nASIG,"Lenguaje Musical"),""))</f>
        <v/>
      </c>
      <c r="O539" t="str">
        <f>IF(M539="","",IFERROR(AVERAGEIFS(nNOTA,nNIA,M539,nEVAL,CONFIG_METADATA!$B$4,nASIG,"Coro"),""))</f>
        <v/>
      </c>
      <c r="P539" t="str">
        <f>IF(M539="","",IFERROR(AVERAGEIFS(nNOTA,nNIA,M539,nEVAL,CONFIG_METADATA!$B$4,nASIG,"Conjunto"),""))</f>
        <v/>
      </c>
      <c r="Q539" t="str">
        <f>IF(M539="","",IFERROR(AVERAGEIFS(nNOTA,nNIA,M539,nEVAL,CONFIG_METADATA!$B$4,nASIG,"&lt;&gt;Lenguaje Musical",nASIG,"&lt;&gt;Coro",nASIG,"&lt;&gt;Conjunto"),""))</f>
        <v/>
      </c>
      <c r="T539" t="str">
        <f>IF(S539="","",IFERROR(AVERAGEIFS(nNOTA,nNIA,S539,nEVAL,CONFIG_METADATA!$B$4,nASIG,"Lenguaje Musical"),""))</f>
        <v/>
      </c>
      <c r="U539" t="str">
        <f>IF(S539="","",IFERROR(AVERAGEIFS(nNOTA,nNIA,S539,nEVAL,CONFIG_METADATA!$B$4,nASIG,"Coro"),""))</f>
        <v/>
      </c>
      <c r="V539" t="str">
        <f>IF(S539="","",IFERROR(AVERAGEIFS(nNOTA,nNIA,S539,nEVAL,CONFIG_METADATA!$B$4,nASIG,"Conjunto"),""))</f>
        <v/>
      </c>
      <c r="W539" t="str" cm="1">
        <f t="array" ref="W539">IF(S539="","",IFERROR(AVERAGE(IF((nNIA=S539)*(nEVAL=CONFIG_METADATA!$B$4)*(nASIG&lt;&gt;"Lenguaje Musical")*(nASIG&lt;&gt;"Coro")*(nASIG&lt;&gt;"Conjunto"),nNOTA)),""))</f>
        <v/>
      </c>
    </row>
    <row r="540" spans="2:23" x14ac:dyDescent="0.2">
      <c r="B540" t="str">
        <f>IF(A540="","",IFERROR(AVERAGEIFS(nNOTA,nNIA,A540,nEVAL,CONFIG_METADATA!$B$4,nASIG,"Lenguaje Musical"),""))</f>
        <v/>
      </c>
      <c r="C540" t="str">
        <f>IF(A540="","",IFERROR(AVERAGEIFS(nNOTA,nNIA,A540,nEVAL,CONFIG_METADATA!$B$4,nASIG,"Coro"),""))</f>
        <v/>
      </c>
      <c r="D540" t="str">
        <f>IF(A540="","",IFERROR(AVERAGEIFS(nNOTA,nNIA,A540,nEVAL,CONFIG_METADATA!$B$4,nASIG,"Conjunto"),""))</f>
        <v/>
      </c>
      <c r="E540" t="str">
        <f>IF(A540="","",IFERROR(AVERAGEIFS(nNOTA,nNIA,A540,nEVAL,CONFIG_METADATA!$B$4,nASIG,"&lt;&gt;Lenguaje Musical",nASIG,"&lt;&gt;Coro",nASIG,"&lt;&gt;Conjunto"),""))</f>
        <v/>
      </c>
      <c r="H540" t="str">
        <f>IF(G540="","",IFERROR(AVERAGEIFS(nNOTA,nNIA,G540,nEVAL,CONFIG_METADATA!$B$4,nASIG,"Lenguaje Musical"),""))</f>
        <v/>
      </c>
      <c r="I540" t="str">
        <f>IF(G540="","",IFERROR(AVERAGEIFS(nNOTA,nNIA,G540,nEVAL,CONFIG_METADATA!$B$4,nASIG,"Coro"),""))</f>
        <v/>
      </c>
      <c r="J540" t="str">
        <f>IF(G540="","",IFERROR(AVERAGEIFS(nNOTA,nNIA,G540,nEVAL,CONFIG_METADATA!$B$4,nASIG,"Conjunto"),""))</f>
        <v/>
      </c>
      <c r="K540" t="str" cm="1">
        <f t="array" ref="K540">IF(G540="","",IFERROR(AVERAGE(IF((nNIA=G540)*(nEVAL=CONFIG_METADATA!$B$4)*(nASIG&lt;&gt;"Lenguaje Musical")*(nASIG&lt;&gt;"Coro")*(nASIG&lt;&gt;"Conjunto"),nNOTA)),""))</f>
        <v/>
      </c>
      <c r="N540" t="str">
        <f>IF(M540="","",IFERROR(AVERAGEIFS(nNOTA,nNIA,M540,nEVAL,CONFIG_METADATA!$B$4,nASIG,"Lenguaje Musical"),""))</f>
        <v/>
      </c>
      <c r="O540" t="str">
        <f>IF(M540="","",IFERROR(AVERAGEIFS(nNOTA,nNIA,M540,nEVAL,CONFIG_METADATA!$B$4,nASIG,"Coro"),""))</f>
        <v/>
      </c>
      <c r="P540" t="str">
        <f>IF(M540="","",IFERROR(AVERAGEIFS(nNOTA,nNIA,M540,nEVAL,CONFIG_METADATA!$B$4,nASIG,"Conjunto"),""))</f>
        <v/>
      </c>
      <c r="Q540" t="str">
        <f>IF(M540="","",IFERROR(AVERAGEIFS(nNOTA,nNIA,M540,nEVAL,CONFIG_METADATA!$B$4,nASIG,"&lt;&gt;Lenguaje Musical",nASIG,"&lt;&gt;Coro",nASIG,"&lt;&gt;Conjunto"),""))</f>
        <v/>
      </c>
      <c r="T540" t="str">
        <f>IF(S540="","",IFERROR(AVERAGEIFS(nNOTA,nNIA,S540,nEVAL,CONFIG_METADATA!$B$4,nASIG,"Lenguaje Musical"),""))</f>
        <v/>
      </c>
      <c r="U540" t="str">
        <f>IF(S540="","",IFERROR(AVERAGEIFS(nNOTA,nNIA,S540,nEVAL,CONFIG_METADATA!$B$4,nASIG,"Coro"),""))</f>
        <v/>
      </c>
      <c r="V540" t="str">
        <f>IF(S540="","",IFERROR(AVERAGEIFS(nNOTA,nNIA,S540,nEVAL,CONFIG_METADATA!$B$4,nASIG,"Conjunto"),""))</f>
        <v/>
      </c>
      <c r="W540" t="str" cm="1">
        <f t="array" ref="W540">IF(S540="","",IFERROR(AVERAGE(IF((nNIA=S540)*(nEVAL=CONFIG_METADATA!$B$4)*(nASIG&lt;&gt;"Lenguaje Musical")*(nASIG&lt;&gt;"Coro")*(nASIG&lt;&gt;"Conjunto"),nNOTA)),""))</f>
        <v/>
      </c>
    </row>
    <row r="541" spans="2:23" x14ac:dyDescent="0.2">
      <c r="B541" t="str">
        <f>IF(A541="","",IFERROR(AVERAGEIFS(nNOTA,nNIA,A541,nEVAL,CONFIG_METADATA!$B$4,nASIG,"Lenguaje Musical"),""))</f>
        <v/>
      </c>
      <c r="C541" t="str">
        <f>IF(A541="","",IFERROR(AVERAGEIFS(nNOTA,nNIA,A541,nEVAL,CONFIG_METADATA!$B$4,nASIG,"Coro"),""))</f>
        <v/>
      </c>
      <c r="D541" t="str">
        <f>IF(A541="","",IFERROR(AVERAGEIFS(nNOTA,nNIA,A541,nEVAL,CONFIG_METADATA!$B$4,nASIG,"Conjunto"),""))</f>
        <v/>
      </c>
      <c r="E541" t="str">
        <f>IF(A541="","",IFERROR(AVERAGEIFS(nNOTA,nNIA,A541,nEVAL,CONFIG_METADATA!$B$4,nASIG,"&lt;&gt;Lenguaje Musical",nASIG,"&lt;&gt;Coro",nASIG,"&lt;&gt;Conjunto"),""))</f>
        <v/>
      </c>
      <c r="H541" t="str">
        <f>IF(G541="","",IFERROR(AVERAGEIFS(nNOTA,nNIA,G541,nEVAL,CONFIG_METADATA!$B$4,nASIG,"Lenguaje Musical"),""))</f>
        <v/>
      </c>
      <c r="I541" t="str">
        <f>IF(G541="","",IFERROR(AVERAGEIFS(nNOTA,nNIA,G541,nEVAL,CONFIG_METADATA!$B$4,nASIG,"Coro"),""))</f>
        <v/>
      </c>
      <c r="J541" t="str">
        <f>IF(G541="","",IFERROR(AVERAGEIFS(nNOTA,nNIA,G541,nEVAL,CONFIG_METADATA!$B$4,nASIG,"Conjunto"),""))</f>
        <v/>
      </c>
      <c r="K541" t="str" cm="1">
        <f t="array" ref="K541">IF(G541="","",IFERROR(AVERAGE(IF((nNIA=G541)*(nEVAL=CONFIG_METADATA!$B$4)*(nASIG&lt;&gt;"Lenguaje Musical")*(nASIG&lt;&gt;"Coro")*(nASIG&lt;&gt;"Conjunto"),nNOTA)),""))</f>
        <v/>
      </c>
      <c r="N541" t="str">
        <f>IF(M541="","",IFERROR(AVERAGEIFS(nNOTA,nNIA,M541,nEVAL,CONFIG_METADATA!$B$4,nASIG,"Lenguaje Musical"),""))</f>
        <v/>
      </c>
      <c r="O541" t="str">
        <f>IF(M541="","",IFERROR(AVERAGEIFS(nNOTA,nNIA,M541,nEVAL,CONFIG_METADATA!$B$4,nASIG,"Coro"),""))</f>
        <v/>
      </c>
      <c r="P541" t="str">
        <f>IF(M541="","",IFERROR(AVERAGEIFS(nNOTA,nNIA,M541,nEVAL,CONFIG_METADATA!$B$4,nASIG,"Conjunto"),""))</f>
        <v/>
      </c>
      <c r="Q541" t="str">
        <f>IF(M541="","",IFERROR(AVERAGEIFS(nNOTA,nNIA,M541,nEVAL,CONFIG_METADATA!$B$4,nASIG,"&lt;&gt;Lenguaje Musical",nASIG,"&lt;&gt;Coro",nASIG,"&lt;&gt;Conjunto"),""))</f>
        <v/>
      </c>
      <c r="T541" t="str">
        <f>IF(S541="","",IFERROR(AVERAGEIFS(nNOTA,nNIA,S541,nEVAL,CONFIG_METADATA!$B$4,nASIG,"Lenguaje Musical"),""))</f>
        <v/>
      </c>
      <c r="U541" t="str">
        <f>IF(S541="","",IFERROR(AVERAGEIFS(nNOTA,nNIA,S541,nEVAL,CONFIG_METADATA!$B$4,nASIG,"Coro"),""))</f>
        <v/>
      </c>
      <c r="V541" t="str">
        <f>IF(S541="","",IFERROR(AVERAGEIFS(nNOTA,nNIA,S541,nEVAL,CONFIG_METADATA!$B$4,nASIG,"Conjunto"),""))</f>
        <v/>
      </c>
      <c r="W541" t="str" cm="1">
        <f t="array" ref="W541">IF(S541="","",IFERROR(AVERAGE(IF((nNIA=S541)*(nEVAL=CONFIG_METADATA!$B$4)*(nASIG&lt;&gt;"Lenguaje Musical")*(nASIG&lt;&gt;"Coro")*(nASIG&lt;&gt;"Conjunto"),nNOTA)),""))</f>
        <v/>
      </c>
    </row>
    <row r="542" spans="2:23" x14ac:dyDescent="0.2">
      <c r="B542" t="str">
        <f>IF(A542="","",IFERROR(AVERAGEIFS(nNOTA,nNIA,A542,nEVAL,CONFIG_METADATA!$B$4,nASIG,"Lenguaje Musical"),""))</f>
        <v/>
      </c>
      <c r="C542" t="str">
        <f>IF(A542="","",IFERROR(AVERAGEIFS(nNOTA,nNIA,A542,nEVAL,CONFIG_METADATA!$B$4,nASIG,"Coro"),""))</f>
        <v/>
      </c>
      <c r="D542" t="str">
        <f>IF(A542="","",IFERROR(AVERAGEIFS(nNOTA,nNIA,A542,nEVAL,CONFIG_METADATA!$B$4,nASIG,"Conjunto"),""))</f>
        <v/>
      </c>
      <c r="E542" t="str">
        <f>IF(A542="","",IFERROR(AVERAGEIFS(nNOTA,nNIA,A542,nEVAL,CONFIG_METADATA!$B$4,nASIG,"&lt;&gt;Lenguaje Musical",nASIG,"&lt;&gt;Coro",nASIG,"&lt;&gt;Conjunto"),""))</f>
        <v/>
      </c>
      <c r="H542" t="str">
        <f>IF(G542="","",IFERROR(AVERAGEIFS(nNOTA,nNIA,G542,nEVAL,CONFIG_METADATA!$B$4,nASIG,"Lenguaje Musical"),""))</f>
        <v/>
      </c>
      <c r="I542" t="str">
        <f>IF(G542="","",IFERROR(AVERAGEIFS(nNOTA,nNIA,G542,nEVAL,CONFIG_METADATA!$B$4,nASIG,"Coro"),""))</f>
        <v/>
      </c>
      <c r="J542" t="str">
        <f>IF(G542="","",IFERROR(AVERAGEIFS(nNOTA,nNIA,G542,nEVAL,CONFIG_METADATA!$B$4,nASIG,"Conjunto"),""))</f>
        <v/>
      </c>
      <c r="K542" t="str" cm="1">
        <f t="array" ref="K542">IF(G542="","",IFERROR(AVERAGE(IF((nNIA=G542)*(nEVAL=CONFIG_METADATA!$B$4)*(nASIG&lt;&gt;"Lenguaje Musical")*(nASIG&lt;&gt;"Coro")*(nASIG&lt;&gt;"Conjunto"),nNOTA)),""))</f>
        <v/>
      </c>
      <c r="N542" t="str">
        <f>IF(M542="","",IFERROR(AVERAGEIFS(nNOTA,nNIA,M542,nEVAL,CONFIG_METADATA!$B$4,nASIG,"Lenguaje Musical"),""))</f>
        <v/>
      </c>
      <c r="O542" t="str">
        <f>IF(M542="","",IFERROR(AVERAGEIFS(nNOTA,nNIA,M542,nEVAL,CONFIG_METADATA!$B$4,nASIG,"Coro"),""))</f>
        <v/>
      </c>
      <c r="P542" t="str">
        <f>IF(M542="","",IFERROR(AVERAGEIFS(nNOTA,nNIA,M542,nEVAL,CONFIG_METADATA!$B$4,nASIG,"Conjunto"),""))</f>
        <v/>
      </c>
      <c r="Q542" t="str">
        <f>IF(M542="","",IFERROR(AVERAGEIFS(nNOTA,nNIA,M542,nEVAL,CONFIG_METADATA!$B$4,nASIG,"&lt;&gt;Lenguaje Musical",nASIG,"&lt;&gt;Coro",nASIG,"&lt;&gt;Conjunto"),""))</f>
        <v/>
      </c>
      <c r="T542" t="str">
        <f>IF(S542="","",IFERROR(AVERAGEIFS(nNOTA,nNIA,S542,nEVAL,CONFIG_METADATA!$B$4,nASIG,"Lenguaje Musical"),""))</f>
        <v/>
      </c>
      <c r="U542" t="str">
        <f>IF(S542="","",IFERROR(AVERAGEIFS(nNOTA,nNIA,S542,nEVAL,CONFIG_METADATA!$B$4,nASIG,"Coro"),""))</f>
        <v/>
      </c>
      <c r="V542" t="str">
        <f>IF(S542="","",IFERROR(AVERAGEIFS(nNOTA,nNIA,S542,nEVAL,CONFIG_METADATA!$B$4,nASIG,"Conjunto"),""))</f>
        <v/>
      </c>
      <c r="W542" t="str" cm="1">
        <f t="array" ref="W542">IF(S542="","",IFERROR(AVERAGE(IF((nNIA=S542)*(nEVAL=CONFIG_METADATA!$B$4)*(nASIG&lt;&gt;"Lenguaje Musical")*(nASIG&lt;&gt;"Coro")*(nASIG&lt;&gt;"Conjunto"),nNOTA)),""))</f>
        <v/>
      </c>
    </row>
    <row r="543" spans="2:23" x14ac:dyDescent="0.2">
      <c r="B543" t="str">
        <f>IF(A543="","",IFERROR(AVERAGEIFS(nNOTA,nNIA,A543,nEVAL,CONFIG_METADATA!$B$4,nASIG,"Lenguaje Musical"),""))</f>
        <v/>
      </c>
      <c r="C543" t="str">
        <f>IF(A543="","",IFERROR(AVERAGEIFS(nNOTA,nNIA,A543,nEVAL,CONFIG_METADATA!$B$4,nASIG,"Coro"),""))</f>
        <v/>
      </c>
      <c r="D543" t="str">
        <f>IF(A543="","",IFERROR(AVERAGEIFS(nNOTA,nNIA,A543,nEVAL,CONFIG_METADATA!$B$4,nASIG,"Conjunto"),""))</f>
        <v/>
      </c>
      <c r="E543" t="str">
        <f>IF(A543="","",IFERROR(AVERAGEIFS(nNOTA,nNIA,A543,nEVAL,CONFIG_METADATA!$B$4,nASIG,"&lt;&gt;Lenguaje Musical",nASIG,"&lt;&gt;Coro",nASIG,"&lt;&gt;Conjunto"),""))</f>
        <v/>
      </c>
      <c r="H543" t="str">
        <f>IF(G543="","",IFERROR(AVERAGEIFS(nNOTA,nNIA,G543,nEVAL,CONFIG_METADATA!$B$4,nASIG,"Lenguaje Musical"),""))</f>
        <v/>
      </c>
      <c r="I543" t="str">
        <f>IF(G543="","",IFERROR(AVERAGEIFS(nNOTA,nNIA,G543,nEVAL,CONFIG_METADATA!$B$4,nASIG,"Coro"),""))</f>
        <v/>
      </c>
      <c r="J543" t="str">
        <f>IF(G543="","",IFERROR(AVERAGEIFS(nNOTA,nNIA,G543,nEVAL,CONFIG_METADATA!$B$4,nASIG,"Conjunto"),""))</f>
        <v/>
      </c>
      <c r="K543" t="str" cm="1">
        <f t="array" ref="K543">IF(G543="","",IFERROR(AVERAGE(IF((nNIA=G543)*(nEVAL=CONFIG_METADATA!$B$4)*(nASIG&lt;&gt;"Lenguaje Musical")*(nASIG&lt;&gt;"Coro")*(nASIG&lt;&gt;"Conjunto"),nNOTA)),""))</f>
        <v/>
      </c>
      <c r="N543" t="str">
        <f>IF(M543="","",IFERROR(AVERAGEIFS(nNOTA,nNIA,M543,nEVAL,CONFIG_METADATA!$B$4,nASIG,"Lenguaje Musical"),""))</f>
        <v/>
      </c>
      <c r="O543" t="str">
        <f>IF(M543="","",IFERROR(AVERAGEIFS(nNOTA,nNIA,M543,nEVAL,CONFIG_METADATA!$B$4,nASIG,"Coro"),""))</f>
        <v/>
      </c>
      <c r="P543" t="str">
        <f>IF(M543="","",IFERROR(AVERAGEIFS(nNOTA,nNIA,M543,nEVAL,CONFIG_METADATA!$B$4,nASIG,"Conjunto"),""))</f>
        <v/>
      </c>
      <c r="Q543" t="str">
        <f>IF(M543="","",IFERROR(AVERAGEIFS(nNOTA,nNIA,M543,nEVAL,CONFIG_METADATA!$B$4,nASIG,"&lt;&gt;Lenguaje Musical",nASIG,"&lt;&gt;Coro",nASIG,"&lt;&gt;Conjunto"),""))</f>
        <v/>
      </c>
      <c r="T543" t="str">
        <f>IF(S543="","",IFERROR(AVERAGEIFS(nNOTA,nNIA,S543,nEVAL,CONFIG_METADATA!$B$4,nASIG,"Lenguaje Musical"),""))</f>
        <v/>
      </c>
      <c r="U543" t="str">
        <f>IF(S543="","",IFERROR(AVERAGEIFS(nNOTA,nNIA,S543,nEVAL,CONFIG_METADATA!$B$4,nASIG,"Coro"),""))</f>
        <v/>
      </c>
      <c r="V543" t="str">
        <f>IF(S543="","",IFERROR(AVERAGEIFS(nNOTA,nNIA,S543,nEVAL,CONFIG_METADATA!$B$4,nASIG,"Conjunto"),""))</f>
        <v/>
      </c>
      <c r="W543" t="str" cm="1">
        <f t="array" ref="W543">IF(S543="","",IFERROR(AVERAGE(IF((nNIA=S543)*(nEVAL=CONFIG_METADATA!$B$4)*(nASIG&lt;&gt;"Lenguaje Musical")*(nASIG&lt;&gt;"Coro")*(nASIG&lt;&gt;"Conjunto"),nNOTA)),""))</f>
        <v/>
      </c>
    </row>
    <row r="544" spans="2:23" x14ac:dyDescent="0.2">
      <c r="B544" t="str">
        <f>IF(A544="","",IFERROR(AVERAGEIFS(nNOTA,nNIA,A544,nEVAL,CONFIG_METADATA!$B$4,nASIG,"Lenguaje Musical"),""))</f>
        <v/>
      </c>
      <c r="C544" t="str">
        <f>IF(A544="","",IFERROR(AVERAGEIFS(nNOTA,nNIA,A544,nEVAL,CONFIG_METADATA!$B$4,nASIG,"Coro"),""))</f>
        <v/>
      </c>
      <c r="D544" t="str">
        <f>IF(A544="","",IFERROR(AVERAGEIFS(nNOTA,nNIA,A544,nEVAL,CONFIG_METADATA!$B$4,nASIG,"Conjunto"),""))</f>
        <v/>
      </c>
      <c r="E544" t="str">
        <f>IF(A544="","",IFERROR(AVERAGEIFS(nNOTA,nNIA,A544,nEVAL,CONFIG_METADATA!$B$4,nASIG,"&lt;&gt;Lenguaje Musical",nASIG,"&lt;&gt;Coro",nASIG,"&lt;&gt;Conjunto"),""))</f>
        <v/>
      </c>
      <c r="H544" t="str">
        <f>IF(G544="","",IFERROR(AVERAGEIFS(nNOTA,nNIA,G544,nEVAL,CONFIG_METADATA!$B$4,nASIG,"Lenguaje Musical"),""))</f>
        <v/>
      </c>
      <c r="I544" t="str">
        <f>IF(G544="","",IFERROR(AVERAGEIFS(nNOTA,nNIA,G544,nEVAL,CONFIG_METADATA!$B$4,nASIG,"Coro"),""))</f>
        <v/>
      </c>
      <c r="J544" t="str">
        <f>IF(G544="","",IFERROR(AVERAGEIFS(nNOTA,nNIA,G544,nEVAL,CONFIG_METADATA!$B$4,nASIG,"Conjunto"),""))</f>
        <v/>
      </c>
      <c r="K544" t="str" cm="1">
        <f t="array" ref="K544">IF(G544="","",IFERROR(AVERAGE(IF((nNIA=G544)*(nEVAL=CONFIG_METADATA!$B$4)*(nASIG&lt;&gt;"Lenguaje Musical")*(nASIG&lt;&gt;"Coro")*(nASIG&lt;&gt;"Conjunto"),nNOTA)),""))</f>
        <v/>
      </c>
      <c r="N544" t="str">
        <f>IF(M544="","",IFERROR(AVERAGEIFS(nNOTA,nNIA,M544,nEVAL,CONFIG_METADATA!$B$4,nASIG,"Lenguaje Musical"),""))</f>
        <v/>
      </c>
      <c r="O544" t="str">
        <f>IF(M544="","",IFERROR(AVERAGEIFS(nNOTA,nNIA,M544,nEVAL,CONFIG_METADATA!$B$4,nASIG,"Coro"),""))</f>
        <v/>
      </c>
      <c r="P544" t="str">
        <f>IF(M544="","",IFERROR(AVERAGEIFS(nNOTA,nNIA,M544,nEVAL,CONFIG_METADATA!$B$4,nASIG,"Conjunto"),""))</f>
        <v/>
      </c>
      <c r="Q544" t="str">
        <f>IF(M544="","",IFERROR(AVERAGEIFS(nNOTA,nNIA,M544,nEVAL,CONFIG_METADATA!$B$4,nASIG,"&lt;&gt;Lenguaje Musical",nASIG,"&lt;&gt;Coro",nASIG,"&lt;&gt;Conjunto"),""))</f>
        <v/>
      </c>
      <c r="T544" t="str">
        <f>IF(S544="","",IFERROR(AVERAGEIFS(nNOTA,nNIA,S544,nEVAL,CONFIG_METADATA!$B$4,nASIG,"Lenguaje Musical"),""))</f>
        <v/>
      </c>
      <c r="U544" t="str">
        <f>IF(S544="","",IFERROR(AVERAGEIFS(nNOTA,nNIA,S544,nEVAL,CONFIG_METADATA!$B$4,nASIG,"Coro"),""))</f>
        <v/>
      </c>
      <c r="V544" t="str">
        <f>IF(S544="","",IFERROR(AVERAGEIFS(nNOTA,nNIA,S544,nEVAL,CONFIG_METADATA!$B$4,nASIG,"Conjunto"),""))</f>
        <v/>
      </c>
      <c r="W544" t="str" cm="1">
        <f t="array" ref="W544">IF(S544="","",IFERROR(AVERAGE(IF((nNIA=S544)*(nEVAL=CONFIG_METADATA!$B$4)*(nASIG&lt;&gt;"Lenguaje Musical")*(nASIG&lt;&gt;"Coro")*(nASIG&lt;&gt;"Conjunto"),nNOTA)),""))</f>
        <v/>
      </c>
    </row>
    <row r="545" spans="2:23" x14ac:dyDescent="0.2">
      <c r="B545" t="str">
        <f>IF(A545="","",IFERROR(AVERAGEIFS(nNOTA,nNIA,A545,nEVAL,CONFIG_METADATA!$B$4,nASIG,"Lenguaje Musical"),""))</f>
        <v/>
      </c>
      <c r="C545" t="str">
        <f>IF(A545="","",IFERROR(AVERAGEIFS(nNOTA,nNIA,A545,nEVAL,CONFIG_METADATA!$B$4,nASIG,"Coro"),""))</f>
        <v/>
      </c>
      <c r="D545" t="str">
        <f>IF(A545="","",IFERROR(AVERAGEIFS(nNOTA,nNIA,A545,nEVAL,CONFIG_METADATA!$B$4,nASIG,"Conjunto"),""))</f>
        <v/>
      </c>
      <c r="E545" t="str">
        <f>IF(A545="","",IFERROR(AVERAGEIFS(nNOTA,nNIA,A545,nEVAL,CONFIG_METADATA!$B$4,nASIG,"&lt;&gt;Lenguaje Musical",nASIG,"&lt;&gt;Coro",nASIG,"&lt;&gt;Conjunto"),""))</f>
        <v/>
      </c>
      <c r="H545" t="str">
        <f>IF(G545="","",IFERROR(AVERAGEIFS(nNOTA,nNIA,G545,nEVAL,CONFIG_METADATA!$B$4,nASIG,"Lenguaje Musical"),""))</f>
        <v/>
      </c>
      <c r="I545" t="str">
        <f>IF(G545="","",IFERROR(AVERAGEIFS(nNOTA,nNIA,G545,nEVAL,CONFIG_METADATA!$B$4,nASIG,"Coro"),""))</f>
        <v/>
      </c>
      <c r="J545" t="str">
        <f>IF(G545="","",IFERROR(AVERAGEIFS(nNOTA,nNIA,G545,nEVAL,CONFIG_METADATA!$B$4,nASIG,"Conjunto"),""))</f>
        <v/>
      </c>
      <c r="K545" t="str" cm="1">
        <f t="array" ref="K545">IF(G545="","",IFERROR(AVERAGE(IF((nNIA=G545)*(nEVAL=CONFIG_METADATA!$B$4)*(nASIG&lt;&gt;"Lenguaje Musical")*(nASIG&lt;&gt;"Coro")*(nASIG&lt;&gt;"Conjunto"),nNOTA)),""))</f>
        <v/>
      </c>
      <c r="N545" t="str">
        <f>IF(M545="","",IFERROR(AVERAGEIFS(nNOTA,nNIA,M545,nEVAL,CONFIG_METADATA!$B$4,nASIG,"Lenguaje Musical"),""))</f>
        <v/>
      </c>
      <c r="O545" t="str">
        <f>IF(M545="","",IFERROR(AVERAGEIFS(nNOTA,nNIA,M545,nEVAL,CONFIG_METADATA!$B$4,nASIG,"Coro"),""))</f>
        <v/>
      </c>
      <c r="P545" t="str">
        <f>IF(M545="","",IFERROR(AVERAGEIFS(nNOTA,nNIA,M545,nEVAL,CONFIG_METADATA!$B$4,nASIG,"Conjunto"),""))</f>
        <v/>
      </c>
      <c r="Q545" t="str">
        <f>IF(M545="","",IFERROR(AVERAGEIFS(nNOTA,nNIA,M545,nEVAL,CONFIG_METADATA!$B$4,nASIG,"&lt;&gt;Lenguaje Musical",nASIG,"&lt;&gt;Coro",nASIG,"&lt;&gt;Conjunto"),""))</f>
        <v/>
      </c>
      <c r="T545" t="str">
        <f>IF(S545="","",IFERROR(AVERAGEIFS(nNOTA,nNIA,S545,nEVAL,CONFIG_METADATA!$B$4,nASIG,"Lenguaje Musical"),""))</f>
        <v/>
      </c>
      <c r="U545" t="str">
        <f>IF(S545="","",IFERROR(AVERAGEIFS(nNOTA,nNIA,S545,nEVAL,CONFIG_METADATA!$B$4,nASIG,"Coro"),""))</f>
        <v/>
      </c>
      <c r="V545" t="str">
        <f>IF(S545="","",IFERROR(AVERAGEIFS(nNOTA,nNIA,S545,nEVAL,CONFIG_METADATA!$B$4,nASIG,"Conjunto"),""))</f>
        <v/>
      </c>
      <c r="W545" t="str" cm="1">
        <f t="array" ref="W545">IF(S545="","",IFERROR(AVERAGE(IF((nNIA=S545)*(nEVAL=CONFIG_METADATA!$B$4)*(nASIG&lt;&gt;"Lenguaje Musical")*(nASIG&lt;&gt;"Coro")*(nASIG&lt;&gt;"Conjunto"),nNOTA)),""))</f>
        <v/>
      </c>
    </row>
    <row r="546" spans="2:23" x14ac:dyDescent="0.2">
      <c r="B546" t="str">
        <f>IF(A546="","",IFERROR(AVERAGEIFS(nNOTA,nNIA,A546,nEVAL,CONFIG_METADATA!$B$4,nASIG,"Lenguaje Musical"),""))</f>
        <v/>
      </c>
      <c r="C546" t="str">
        <f>IF(A546="","",IFERROR(AVERAGEIFS(nNOTA,nNIA,A546,nEVAL,CONFIG_METADATA!$B$4,nASIG,"Coro"),""))</f>
        <v/>
      </c>
      <c r="D546" t="str">
        <f>IF(A546="","",IFERROR(AVERAGEIFS(nNOTA,nNIA,A546,nEVAL,CONFIG_METADATA!$B$4,nASIG,"Conjunto"),""))</f>
        <v/>
      </c>
      <c r="E546" t="str">
        <f>IF(A546="","",IFERROR(AVERAGEIFS(nNOTA,nNIA,A546,nEVAL,CONFIG_METADATA!$B$4,nASIG,"&lt;&gt;Lenguaje Musical",nASIG,"&lt;&gt;Coro",nASIG,"&lt;&gt;Conjunto"),""))</f>
        <v/>
      </c>
      <c r="H546" t="str">
        <f>IF(G546="","",IFERROR(AVERAGEIFS(nNOTA,nNIA,G546,nEVAL,CONFIG_METADATA!$B$4,nASIG,"Lenguaje Musical"),""))</f>
        <v/>
      </c>
      <c r="I546" t="str">
        <f>IF(G546="","",IFERROR(AVERAGEIFS(nNOTA,nNIA,G546,nEVAL,CONFIG_METADATA!$B$4,nASIG,"Coro"),""))</f>
        <v/>
      </c>
      <c r="J546" t="str">
        <f>IF(G546="","",IFERROR(AVERAGEIFS(nNOTA,nNIA,G546,nEVAL,CONFIG_METADATA!$B$4,nASIG,"Conjunto"),""))</f>
        <v/>
      </c>
      <c r="K546" t="str" cm="1">
        <f t="array" ref="K546">IF(G546="","",IFERROR(AVERAGE(IF((nNIA=G546)*(nEVAL=CONFIG_METADATA!$B$4)*(nASIG&lt;&gt;"Lenguaje Musical")*(nASIG&lt;&gt;"Coro")*(nASIG&lt;&gt;"Conjunto"),nNOTA)),""))</f>
        <v/>
      </c>
      <c r="N546" t="str">
        <f>IF(M546="","",IFERROR(AVERAGEIFS(nNOTA,nNIA,M546,nEVAL,CONFIG_METADATA!$B$4,nASIG,"Lenguaje Musical"),""))</f>
        <v/>
      </c>
      <c r="O546" t="str">
        <f>IF(M546="","",IFERROR(AVERAGEIFS(nNOTA,nNIA,M546,nEVAL,CONFIG_METADATA!$B$4,nASIG,"Coro"),""))</f>
        <v/>
      </c>
      <c r="P546" t="str">
        <f>IF(M546="","",IFERROR(AVERAGEIFS(nNOTA,nNIA,M546,nEVAL,CONFIG_METADATA!$B$4,nASIG,"Conjunto"),""))</f>
        <v/>
      </c>
      <c r="Q546" t="str">
        <f>IF(M546="","",IFERROR(AVERAGEIFS(nNOTA,nNIA,M546,nEVAL,CONFIG_METADATA!$B$4,nASIG,"&lt;&gt;Lenguaje Musical",nASIG,"&lt;&gt;Coro",nASIG,"&lt;&gt;Conjunto"),""))</f>
        <v/>
      </c>
      <c r="T546" t="str">
        <f>IF(S546="","",IFERROR(AVERAGEIFS(nNOTA,nNIA,S546,nEVAL,CONFIG_METADATA!$B$4,nASIG,"Lenguaje Musical"),""))</f>
        <v/>
      </c>
      <c r="U546" t="str">
        <f>IF(S546="","",IFERROR(AVERAGEIFS(nNOTA,nNIA,S546,nEVAL,CONFIG_METADATA!$B$4,nASIG,"Coro"),""))</f>
        <v/>
      </c>
      <c r="V546" t="str">
        <f>IF(S546="","",IFERROR(AVERAGEIFS(nNOTA,nNIA,S546,nEVAL,CONFIG_METADATA!$B$4,nASIG,"Conjunto"),""))</f>
        <v/>
      </c>
      <c r="W546" t="str" cm="1">
        <f t="array" ref="W546">IF(S546="","",IFERROR(AVERAGE(IF((nNIA=S546)*(nEVAL=CONFIG_METADATA!$B$4)*(nASIG&lt;&gt;"Lenguaje Musical")*(nASIG&lt;&gt;"Coro")*(nASIG&lt;&gt;"Conjunto"),nNOTA)),""))</f>
        <v/>
      </c>
    </row>
    <row r="547" spans="2:23" x14ac:dyDescent="0.2">
      <c r="B547" t="str">
        <f>IF(A547="","",IFERROR(AVERAGEIFS(nNOTA,nNIA,A547,nEVAL,CONFIG_METADATA!$B$4,nASIG,"Lenguaje Musical"),""))</f>
        <v/>
      </c>
      <c r="C547" t="str">
        <f>IF(A547="","",IFERROR(AVERAGEIFS(nNOTA,nNIA,A547,nEVAL,CONFIG_METADATA!$B$4,nASIG,"Coro"),""))</f>
        <v/>
      </c>
      <c r="D547" t="str">
        <f>IF(A547="","",IFERROR(AVERAGEIFS(nNOTA,nNIA,A547,nEVAL,CONFIG_METADATA!$B$4,nASIG,"Conjunto"),""))</f>
        <v/>
      </c>
      <c r="E547" t="str">
        <f>IF(A547="","",IFERROR(AVERAGEIFS(nNOTA,nNIA,A547,nEVAL,CONFIG_METADATA!$B$4,nASIG,"&lt;&gt;Lenguaje Musical",nASIG,"&lt;&gt;Coro",nASIG,"&lt;&gt;Conjunto"),""))</f>
        <v/>
      </c>
      <c r="H547" t="str">
        <f>IF(G547="","",IFERROR(AVERAGEIFS(nNOTA,nNIA,G547,nEVAL,CONFIG_METADATA!$B$4,nASIG,"Lenguaje Musical"),""))</f>
        <v/>
      </c>
      <c r="I547" t="str">
        <f>IF(G547="","",IFERROR(AVERAGEIFS(nNOTA,nNIA,G547,nEVAL,CONFIG_METADATA!$B$4,nASIG,"Coro"),""))</f>
        <v/>
      </c>
      <c r="J547" t="str">
        <f>IF(G547="","",IFERROR(AVERAGEIFS(nNOTA,nNIA,G547,nEVAL,CONFIG_METADATA!$B$4,nASIG,"Conjunto"),""))</f>
        <v/>
      </c>
      <c r="K547" t="str" cm="1">
        <f t="array" ref="K547">IF(G547="","",IFERROR(AVERAGE(IF((nNIA=G547)*(nEVAL=CONFIG_METADATA!$B$4)*(nASIG&lt;&gt;"Lenguaje Musical")*(nASIG&lt;&gt;"Coro")*(nASIG&lt;&gt;"Conjunto"),nNOTA)),""))</f>
        <v/>
      </c>
      <c r="N547" t="str">
        <f>IF(M547="","",IFERROR(AVERAGEIFS(nNOTA,nNIA,M547,nEVAL,CONFIG_METADATA!$B$4,nASIG,"Lenguaje Musical"),""))</f>
        <v/>
      </c>
      <c r="O547" t="str">
        <f>IF(M547="","",IFERROR(AVERAGEIFS(nNOTA,nNIA,M547,nEVAL,CONFIG_METADATA!$B$4,nASIG,"Coro"),""))</f>
        <v/>
      </c>
      <c r="P547" t="str">
        <f>IF(M547="","",IFERROR(AVERAGEIFS(nNOTA,nNIA,M547,nEVAL,CONFIG_METADATA!$B$4,nASIG,"Conjunto"),""))</f>
        <v/>
      </c>
      <c r="Q547" t="str">
        <f>IF(M547="","",IFERROR(AVERAGEIFS(nNOTA,nNIA,M547,nEVAL,CONFIG_METADATA!$B$4,nASIG,"&lt;&gt;Lenguaje Musical",nASIG,"&lt;&gt;Coro",nASIG,"&lt;&gt;Conjunto"),""))</f>
        <v/>
      </c>
      <c r="T547" t="str">
        <f>IF(S547="","",IFERROR(AVERAGEIFS(nNOTA,nNIA,S547,nEVAL,CONFIG_METADATA!$B$4,nASIG,"Lenguaje Musical"),""))</f>
        <v/>
      </c>
      <c r="U547" t="str">
        <f>IF(S547="","",IFERROR(AVERAGEIFS(nNOTA,nNIA,S547,nEVAL,CONFIG_METADATA!$B$4,nASIG,"Coro"),""))</f>
        <v/>
      </c>
      <c r="V547" t="str">
        <f>IF(S547="","",IFERROR(AVERAGEIFS(nNOTA,nNIA,S547,nEVAL,CONFIG_METADATA!$B$4,nASIG,"Conjunto"),""))</f>
        <v/>
      </c>
      <c r="W547" t="str" cm="1">
        <f t="array" ref="W547">IF(S547="","",IFERROR(AVERAGE(IF((nNIA=S547)*(nEVAL=CONFIG_METADATA!$B$4)*(nASIG&lt;&gt;"Lenguaje Musical")*(nASIG&lt;&gt;"Coro")*(nASIG&lt;&gt;"Conjunto"),nNOTA)),""))</f>
        <v/>
      </c>
    </row>
    <row r="548" spans="2:23" x14ac:dyDescent="0.2">
      <c r="B548" t="str">
        <f>IF(A548="","",IFERROR(AVERAGEIFS(nNOTA,nNIA,A548,nEVAL,CONFIG_METADATA!$B$4,nASIG,"Lenguaje Musical"),""))</f>
        <v/>
      </c>
      <c r="C548" t="str">
        <f>IF(A548="","",IFERROR(AVERAGEIFS(nNOTA,nNIA,A548,nEVAL,CONFIG_METADATA!$B$4,nASIG,"Coro"),""))</f>
        <v/>
      </c>
      <c r="D548" t="str">
        <f>IF(A548="","",IFERROR(AVERAGEIFS(nNOTA,nNIA,A548,nEVAL,CONFIG_METADATA!$B$4,nASIG,"Conjunto"),""))</f>
        <v/>
      </c>
      <c r="E548" t="str">
        <f>IF(A548="","",IFERROR(AVERAGEIFS(nNOTA,nNIA,A548,nEVAL,CONFIG_METADATA!$B$4,nASIG,"&lt;&gt;Lenguaje Musical",nASIG,"&lt;&gt;Coro",nASIG,"&lt;&gt;Conjunto"),""))</f>
        <v/>
      </c>
      <c r="H548" t="str">
        <f>IF(G548="","",IFERROR(AVERAGEIFS(nNOTA,nNIA,G548,nEVAL,CONFIG_METADATA!$B$4,nASIG,"Lenguaje Musical"),""))</f>
        <v/>
      </c>
      <c r="I548" t="str">
        <f>IF(G548="","",IFERROR(AVERAGEIFS(nNOTA,nNIA,G548,nEVAL,CONFIG_METADATA!$B$4,nASIG,"Coro"),""))</f>
        <v/>
      </c>
      <c r="J548" t="str">
        <f>IF(G548="","",IFERROR(AVERAGEIFS(nNOTA,nNIA,G548,nEVAL,CONFIG_METADATA!$B$4,nASIG,"Conjunto"),""))</f>
        <v/>
      </c>
      <c r="K548" t="str" cm="1">
        <f t="array" ref="K548">IF(G548="","",IFERROR(AVERAGE(IF((nNIA=G548)*(nEVAL=CONFIG_METADATA!$B$4)*(nASIG&lt;&gt;"Lenguaje Musical")*(nASIG&lt;&gt;"Coro")*(nASIG&lt;&gt;"Conjunto"),nNOTA)),""))</f>
        <v/>
      </c>
      <c r="N548" t="str">
        <f>IF(M548="","",IFERROR(AVERAGEIFS(nNOTA,nNIA,M548,nEVAL,CONFIG_METADATA!$B$4,nASIG,"Lenguaje Musical"),""))</f>
        <v/>
      </c>
      <c r="O548" t="str">
        <f>IF(M548="","",IFERROR(AVERAGEIFS(nNOTA,nNIA,M548,nEVAL,CONFIG_METADATA!$B$4,nASIG,"Coro"),""))</f>
        <v/>
      </c>
      <c r="P548" t="str">
        <f>IF(M548="","",IFERROR(AVERAGEIFS(nNOTA,nNIA,M548,nEVAL,CONFIG_METADATA!$B$4,nASIG,"Conjunto"),""))</f>
        <v/>
      </c>
      <c r="Q548" t="str">
        <f>IF(M548="","",IFERROR(AVERAGEIFS(nNOTA,nNIA,M548,nEVAL,CONFIG_METADATA!$B$4,nASIG,"&lt;&gt;Lenguaje Musical",nASIG,"&lt;&gt;Coro",nASIG,"&lt;&gt;Conjunto"),""))</f>
        <v/>
      </c>
      <c r="T548" t="str">
        <f>IF(S548="","",IFERROR(AVERAGEIFS(nNOTA,nNIA,S548,nEVAL,CONFIG_METADATA!$B$4,nASIG,"Lenguaje Musical"),""))</f>
        <v/>
      </c>
      <c r="U548" t="str">
        <f>IF(S548="","",IFERROR(AVERAGEIFS(nNOTA,nNIA,S548,nEVAL,CONFIG_METADATA!$B$4,nASIG,"Coro"),""))</f>
        <v/>
      </c>
      <c r="V548" t="str">
        <f>IF(S548="","",IFERROR(AVERAGEIFS(nNOTA,nNIA,S548,nEVAL,CONFIG_METADATA!$B$4,nASIG,"Conjunto"),""))</f>
        <v/>
      </c>
      <c r="W548" t="str" cm="1">
        <f t="array" ref="W548">IF(S548="","",IFERROR(AVERAGE(IF((nNIA=S548)*(nEVAL=CONFIG_METADATA!$B$4)*(nASIG&lt;&gt;"Lenguaje Musical")*(nASIG&lt;&gt;"Coro")*(nASIG&lt;&gt;"Conjunto"),nNOTA)),""))</f>
        <v/>
      </c>
    </row>
    <row r="549" spans="2:23" x14ac:dyDescent="0.2">
      <c r="B549" t="str">
        <f>IF(A549="","",IFERROR(AVERAGEIFS(nNOTA,nNIA,A549,nEVAL,CONFIG_METADATA!$B$4,nASIG,"Lenguaje Musical"),""))</f>
        <v/>
      </c>
      <c r="C549" t="str">
        <f>IF(A549="","",IFERROR(AVERAGEIFS(nNOTA,nNIA,A549,nEVAL,CONFIG_METADATA!$B$4,nASIG,"Coro"),""))</f>
        <v/>
      </c>
      <c r="D549" t="str">
        <f>IF(A549="","",IFERROR(AVERAGEIFS(nNOTA,nNIA,A549,nEVAL,CONFIG_METADATA!$B$4,nASIG,"Conjunto"),""))</f>
        <v/>
      </c>
      <c r="E549" t="str">
        <f>IF(A549="","",IFERROR(AVERAGEIFS(nNOTA,nNIA,A549,nEVAL,CONFIG_METADATA!$B$4,nASIG,"&lt;&gt;Lenguaje Musical",nASIG,"&lt;&gt;Coro",nASIG,"&lt;&gt;Conjunto"),""))</f>
        <v/>
      </c>
      <c r="H549" t="str">
        <f>IF(G549="","",IFERROR(AVERAGEIFS(nNOTA,nNIA,G549,nEVAL,CONFIG_METADATA!$B$4,nASIG,"Lenguaje Musical"),""))</f>
        <v/>
      </c>
      <c r="I549" t="str">
        <f>IF(G549="","",IFERROR(AVERAGEIFS(nNOTA,nNIA,G549,nEVAL,CONFIG_METADATA!$B$4,nASIG,"Coro"),""))</f>
        <v/>
      </c>
      <c r="J549" t="str">
        <f>IF(G549="","",IFERROR(AVERAGEIFS(nNOTA,nNIA,G549,nEVAL,CONFIG_METADATA!$B$4,nASIG,"Conjunto"),""))</f>
        <v/>
      </c>
      <c r="K549" t="str" cm="1">
        <f t="array" ref="K549">IF(G549="","",IFERROR(AVERAGE(IF((nNIA=G549)*(nEVAL=CONFIG_METADATA!$B$4)*(nASIG&lt;&gt;"Lenguaje Musical")*(nASIG&lt;&gt;"Coro")*(nASIG&lt;&gt;"Conjunto"),nNOTA)),""))</f>
        <v/>
      </c>
      <c r="N549" t="str">
        <f>IF(M549="","",IFERROR(AVERAGEIFS(nNOTA,nNIA,M549,nEVAL,CONFIG_METADATA!$B$4,nASIG,"Lenguaje Musical"),""))</f>
        <v/>
      </c>
      <c r="O549" t="str">
        <f>IF(M549="","",IFERROR(AVERAGEIFS(nNOTA,nNIA,M549,nEVAL,CONFIG_METADATA!$B$4,nASIG,"Coro"),""))</f>
        <v/>
      </c>
      <c r="P549" t="str">
        <f>IF(M549="","",IFERROR(AVERAGEIFS(nNOTA,nNIA,M549,nEVAL,CONFIG_METADATA!$B$4,nASIG,"Conjunto"),""))</f>
        <v/>
      </c>
      <c r="Q549" t="str">
        <f>IF(M549="","",IFERROR(AVERAGEIFS(nNOTA,nNIA,M549,nEVAL,CONFIG_METADATA!$B$4,nASIG,"&lt;&gt;Lenguaje Musical",nASIG,"&lt;&gt;Coro",nASIG,"&lt;&gt;Conjunto"),""))</f>
        <v/>
      </c>
      <c r="T549" t="str">
        <f>IF(S549="","",IFERROR(AVERAGEIFS(nNOTA,nNIA,S549,nEVAL,CONFIG_METADATA!$B$4,nASIG,"Lenguaje Musical"),""))</f>
        <v/>
      </c>
      <c r="U549" t="str">
        <f>IF(S549="","",IFERROR(AVERAGEIFS(nNOTA,nNIA,S549,nEVAL,CONFIG_METADATA!$B$4,nASIG,"Coro"),""))</f>
        <v/>
      </c>
      <c r="V549" t="str">
        <f>IF(S549="","",IFERROR(AVERAGEIFS(nNOTA,nNIA,S549,nEVAL,CONFIG_METADATA!$B$4,nASIG,"Conjunto"),""))</f>
        <v/>
      </c>
      <c r="W549" t="str" cm="1">
        <f t="array" ref="W549">IF(S549="","",IFERROR(AVERAGE(IF((nNIA=S549)*(nEVAL=CONFIG_METADATA!$B$4)*(nASIG&lt;&gt;"Lenguaje Musical")*(nASIG&lt;&gt;"Coro")*(nASIG&lt;&gt;"Conjunto"),nNOTA)),""))</f>
        <v/>
      </c>
    </row>
    <row r="550" spans="2:23" x14ac:dyDescent="0.2">
      <c r="B550" t="str">
        <f>IF(A550="","",IFERROR(AVERAGEIFS(nNOTA,nNIA,A550,nEVAL,CONFIG_METADATA!$B$4,nASIG,"Lenguaje Musical"),""))</f>
        <v/>
      </c>
      <c r="C550" t="str">
        <f>IF(A550="","",IFERROR(AVERAGEIFS(nNOTA,nNIA,A550,nEVAL,CONFIG_METADATA!$B$4,nASIG,"Coro"),""))</f>
        <v/>
      </c>
      <c r="D550" t="str">
        <f>IF(A550="","",IFERROR(AVERAGEIFS(nNOTA,nNIA,A550,nEVAL,CONFIG_METADATA!$B$4,nASIG,"Conjunto"),""))</f>
        <v/>
      </c>
      <c r="E550" t="str">
        <f>IF(A550="","",IFERROR(AVERAGEIFS(nNOTA,nNIA,A550,nEVAL,CONFIG_METADATA!$B$4,nASIG,"&lt;&gt;Lenguaje Musical",nASIG,"&lt;&gt;Coro",nASIG,"&lt;&gt;Conjunto"),""))</f>
        <v/>
      </c>
      <c r="H550" t="str">
        <f>IF(G550="","",IFERROR(AVERAGEIFS(nNOTA,nNIA,G550,nEVAL,CONFIG_METADATA!$B$4,nASIG,"Lenguaje Musical"),""))</f>
        <v/>
      </c>
      <c r="I550" t="str">
        <f>IF(G550="","",IFERROR(AVERAGEIFS(nNOTA,nNIA,G550,nEVAL,CONFIG_METADATA!$B$4,nASIG,"Coro"),""))</f>
        <v/>
      </c>
      <c r="J550" t="str">
        <f>IF(G550="","",IFERROR(AVERAGEIFS(nNOTA,nNIA,G550,nEVAL,CONFIG_METADATA!$B$4,nASIG,"Conjunto"),""))</f>
        <v/>
      </c>
      <c r="K550" t="str" cm="1">
        <f t="array" ref="K550">IF(G550="","",IFERROR(AVERAGE(IF((nNIA=G550)*(nEVAL=CONFIG_METADATA!$B$4)*(nASIG&lt;&gt;"Lenguaje Musical")*(nASIG&lt;&gt;"Coro")*(nASIG&lt;&gt;"Conjunto"),nNOTA)),""))</f>
        <v/>
      </c>
      <c r="N550" t="str">
        <f>IF(M550="","",IFERROR(AVERAGEIFS(nNOTA,nNIA,M550,nEVAL,CONFIG_METADATA!$B$4,nASIG,"Lenguaje Musical"),""))</f>
        <v/>
      </c>
      <c r="O550" t="str">
        <f>IF(M550="","",IFERROR(AVERAGEIFS(nNOTA,nNIA,M550,nEVAL,CONFIG_METADATA!$B$4,nASIG,"Coro"),""))</f>
        <v/>
      </c>
      <c r="P550" t="str">
        <f>IF(M550="","",IFERROR(AVERAGEIFS(nNOTA,nNIA,M550,nEVAL,CONFIG_METADATA!$B$4,nASIG,"Conjunto"),""))</f>
        <v/>
      </c>
      <c r="Q550" t="str">
        <f>IF(M550="","",IFERROR(AVERAGEIFS(nNOTA,nNIA,M550,nEVAL,CONFIG_METADATA!$B$4,nASIG,"&lt;&gt;Lenguaje Musical",nASIG,"&lt;&gt;Coro",nASIG,"&lt;&gt;Conjunto"),""))</f>
        <v/>
      </c>
      <c r="T550" t="str">
        <f>IF(S550="","",IFERROR(AVERAGEIFS(nNOTA,nNIA,S550,nEVAL,CONFIG_METADATA!$B$4,nASIG,"Lenguaje Musical"),""))</f>
        <v/>
      </c>
      <c r="U550" t="str">
        <f>IF(S550="","",IFERROR(AVERAGEIFS(nNOTA,nNIA,S550,nEVAL,CONFIG_METADATA!$B$4,nASIG,"Coro"),""))</f>
        <v/>
      </c>
      <c r="V550" t="str">
        <f>IF(S550="","",IFERROR(AVERAGEIFS(nNOTA,nNIA,S550,nEVAL,CONFIG_METADATA!$B$4,nASIG,"Conjunto"),""))</f>
        <v/>
      </c>
      <c r="W550" t="str" cm="1">
        <f t="array" ref="W550">IF(S550="","",IFERROR(AVERAGE(IF((nNIA=S550)*(nEVAL=CONFIG_METADATA!$B$4)*(nASIG&lt;&gt;"Lenguaje Musical")*(nASIG&lt;&gt;"Coro")*(nASIG&lt;&gt;"Conjunto"),nNOTA)),""))</f>
        <v/>
      </c>
    </row>
    <row r="551" spans="2:23" x14ac:dyDescent="0.2">
      <c r="B551" t="str">
        <f>IF(A551="","",IFERROR(AVERAGEIFS(nNOTA,nNIA,A551,nEVAL,CONFIG_METADATA!$B$4,nASIG,"Lenguaje Musical"),""))</f>
        <v/>
      </c>
      <c r="C551" t="str">
        <f>IF(A551="","",IFERROR(AVERAGEIFS(nNOTA,nNIA,A551,nEVAL,CONFIG_METADATA!$B$4,nASIG,"Coro"),""))</f>
        <v/>
      </c>
      <c r="D551" t="str">
        <f>IF(A551="","",IFERROR(AVERAGEIFS(nNOTA,nNIA,A551,nEVAL,CONFIG_METADATA!$B$4,nASIG,"Conjunto"),""))</f>
        <v/>
      </c>
      <c r="E551" t="str">
        <f>IF(A551="","",IFERROR(AVERAGEIFS(nNOTA,nNIA,A551,nEVAL,CONFIG_METADATA!$B$4,nASIG,"&lt;&gt;Lenguaje Musical",nASIG,"&lt;&gt;Coro",nASIG,"&lt;&gt;Conjunto"),""))</f>
        <v/>
      </c>
      <c r="H551" t="str">
        <f>IF(G551="","",IFERROR(AVERAGEIFS(nNOTA,nNIA,G551,nEVAL,CONFIG_METADATA!$B$4,nASIG,"Lenguaje Musical"),""))</f>
        <v/>
      </c>
      <c r="I551" t="str">
        <f>IF(G551="","",IFERROR(AVERAGEIFS(nNOTA,nNIA,G551,nEVAL,CONFIG_METADATA!$B$4,nASIG,"Coro"),""))</f>
        <v/>
      </c>
      <c r="J551" t="str">
        <f>IF(G551="","",IFERROR(AVERAGEIFS(nNOTA,nNIA,G551,nEVAL,CONFIG_METADATA!$B$4,nASIG,"Conjunto"),""))</f>
        <v/>
      </c>
      <c r="K551" t="str" cm="1">
        <f t="array" ref="K551">IF(G551="","",IFERROR(AVERAGE(IF((nNIA=G551)*(nEVAL=CONFIG_METADATA!$B$4)*(nASIG&lt;&gt;"Lenguaje Musical")*(nASIG&lt;&gt;"Coro")*(nASIG&lt;&gt;"Conjunto"),nNOTA)),""))</f>
        <v/>
      </c>
      <c r="N551" t="str">
        <f>IF(M551="","",IFERROR(AVERAGEIFS(nNOTA,nNIA,M551,nEVAL,CONFIG_METADATA!$B$4,nASIG,"Lenguaje Musical"),""))</f>
        <v/>
      </c>
      <c r="O551" t="str">
        <f>IF(M551="","",IFERROR(AVERAGEIFS(nNOTA,nNIA,M551,nEVAL,CONFIG_METADATA!$B$4,nASIG,"Coro"),""))</f>
        <v/>
      </c>
      <c r="P551" t="str">
        <f>IF(M551="","",IFERROR(AVERAGEIFS(nNOTA,nNIA,M551,nEVAL,CONFIG_METADATA!$B$4,nASIG,"Conjunto"),""))</f>
        <v/>
      </c>
      <c r="Q551" t="str">
        <f>IF(M551="","",IFERROR(AVERAGEIFS(nNOTA,nNIA,M551,nEVAL,CONFIG_METADATA!$B$4,nASIG,"&lt;&gt;Lenguaje Musical",nASIG,"&lt;&gt;Coro",nASIG,"&lt;&gt;Conjunto"),""))</f>
        <v/>
      </c>
      <c r="T551" t="str">
        <f>IF(S551="","",IFERROR(AVERAGEIFS(nNOTA,nNIA,S551,nEVAL,CONFIG_METADATA!$B$4,nASIG,"Lenguaje Musical"),""))</f>
        <v/>
      </c>
      <c r="U551" t="str">
        <f>IF(S551="","",IFERROR(AVERAGEIFS(nNOTA,nNIA,S551,nEVAL,CONFIG_METADATA!$B$4,nASIG,"Coro"),""))</f>
        <v/>
      </c>
      <c r="V551" t="str">
        <f>IF(S551="","",IFERROR(AVERAGEIFS(nNOTA,nNIA,S551,nEVAL,CONFIG_METADATA!$B$4,nASIG,"Conjunto"),""))</f>
        <v/>
      </c>
      <c r="W551" t="str" cm="1">
        <f t="array" ref="W551">IF(S551="","",IFERROR(AVERAGE(IF((nNIA=S551)*(nEVAL=CONFIG_METADATA!$B$4)*(nASIG&lt;&gt;"Lenguaje Musical")*(nASIG&lt;&gt;"Coro")*(nASIG&lt;&gt;"Conjunto"),nNOTA)),""))</f>
        <v/>
      </c>
    </row>
    <row r="552" spans="2:23" x14ac:dyDescent="0.2">
      <c r="B552" t="str">
        <f>IF(A552="","",IFERROR(AVERAGEIFS(nNOTA,nNIA,A552,nEVAL,CONFIG_METADATA!$B$4,nASIG,"Lenguaje Musical"),""))</f>
        <v/>
      </c>
      <c r="C552" t="str">
        <f>IF(A552="","",IFERROR(AVERAGEIFS(nNOTA,nNIA,A552,nEVAL,CONFIG_METADATA!$B$4,nASIG,"Coro"),""))</f>
        <v/>
      </c>
      <c r="D552" t="str">
        <f>IF(A552="","",IFERROR(AVERAGEIFS(nNOTA,nNIA,A552,nEVAL,CONFIG_METADATA!$B$4,nASIG,"Conjunto"),""))</f>
        <v/>
      </c>
      <c r="E552" t="str">
        <f>IF(A552="","",IFERROR(AVERAGEIFS(nNOTA,nNIA,A552,nEVAL,CONFIG_METADATA!$B$4,nASIG,"&lt;&gt;Lenguaje Musical",nASIG,"&lt;&gt;Coro",nASIG,"&lt;&gt;Conjunto"),""))</f>
        <v/>
      </c>
      <c r="H552" t="str">
        <f>IF(G552="","",IFERROR(AVERAGEIFS(nNOTA,nNIA,G552,nEVAL,CONFIG_METADATA!$B$4,nASIG,"Lenguaje Musical"),""))</f>
        <v/>
      </c>
      <c r="I552" t="str">
        <f>IF(G552="","",IFERROR(AVERAGEIFS(nNOTA,nNIA,G552,nEVAL,CONFIG_METADATA!$B$4,nASIG,"Coro"),""))</f>
        <v/>
      </c>
      <c r="J552" t="str">
        <f>IF(G552="","",IFERROR(AVERAGEIFS(nNOTA,nNIA,G552,nEVAL,CONFIG_METADATA!$B$4,nASIG,"Conjunto"),""))</f>
        <v/>
      </c>
      <c r="K552" t="str" cm="1">
        <f t="array" ref="K552">IF(G552="","",IFERROR(AVERAGE(IF((nNIA=G552)*(nEVAL=CONFIG_METADATA!$B$4)*(nASIG&lt;&gt;"Lenguaje Musical")*(nASIG&lt;&gt;"Coro")*(nASIG&lt;&gt;"Conjunto"),nNOTA)),""))</f>
        <v/>
      </c>
      <c r="N552" t="str">
        <f>IF(M552="","",IFERROR(AVERAGEIFS(nNOTA,nNIA,M552,nEVAL,CONFIG_METADATA!$B$4,nASIG,"Lenguaje Musical"),""))</f>
        <v/>
      </c>
      <c r="O552" t="str">
        <f>IF(M552="","",IFERROR(AVERAGEIFS(nNOTA,nNIA,M552,nEVAL,CONFIG_METADATA!$B$4,nASIG,"Coro"),""))</f>
        <v/>
      </c>
      <c r="P552" t="str">
        <f>IF(M552="","",IFERROR(AVERAGEIFS(nNOTA,nNIA,M552,nEVAL,CONFIG_METADATA!$B$4,nASIG,"Conjunto"),""))</f>
        <v/>
      </c>
      <c r="Q552" t="str">
        <f>IF(M552="","",IFERROR(AVERAGEIFS(nNOTA,nNIA,M552,nEVAL,CONFIG_METADATA!$B$4,nASIG,"&lt;&gt;Lenguaje Musical",nASIG,"&lt;&gt;Coro",nASIG,"&lt;&gt;Conjunto"),""))</f>
        <v/>
      </c>
      <c r="T552" t="str">
        <f>IF(S552="","",IFERROR(AVERAGEIFS(nNOTA,nNIA,S552,nEVAL,CONFIG_METADATA!$B$4,nASIG,"Lenguaje Musical"),""))</f>
        <v/>
      </c>
      <c r="U552" t="str">
        <f>IF(S552="","",IFERROR(AVERAGEIFS(nNOTA,nNIA,S552,nEVAL,CONFIG_METADATA!$B$4,nASIG,"Coro"),""))</f>
        <v/>
      </c>
      <c r="V552" t="str">
        <f>IF(S552="","",IFERROR(AVERAGEIFS(nNOTA,nNIA,S552,nEVAL,CONFIG_METADATA!$B$4,nASIG,"Conjunto"),""))</f>
        <v/>
      </c>
      <c r="W552" t="str" cm="1">
        <f t="array" ref="W552">IF(S552="","",IFERROR(AVERAGE(IF((nNIA=S552)*(nEVAL=CONFIG_METADATA!$B$4)*(nASIG&lt;&gt;"Lenguaje Musical")*(nASIG&lt;&gt;"Coro")*(nASIG&lt;&gt;"Conjunto"),nNOTA)),""))</f>
        <v/>
      </c>
    </row>
    <row r="553" spans="2:23" x14ac:dyDescent="0.2">
      <c r="B553" t="str">
        <f>IF(A553="","",IFERROR(AVERAGEIFS(nNOTA,nNIA,A553,nEVAL,CONFIG_METADATA!$B$4,nASIG,"Lenguaje Musical"),""))</f>
        <v/>
      </c>
      <c r="C553" t="str">
        <f>IF(A553="","",IFERROR(AVERAGEIFS(nNOTA,nNIA,A553,nEVAL,CONFIG_METADATA!$B$4,nASIG,"Coro"),""))</f>
        <v/>
      </c>
      <c r="D553" t="str">
        <f>IF(A553="","",IFERROR(AVERAGEIFS(nNOTA,nNIA,A553,nEVAL,CONFIG_METADATA!$B$4,nASIG,"Conjunto"),""))</f>
        <v/>
      </c>
      <c r="E553" t="str">
        <f>IF(A553="","",IFERROR(AVERAGEIFS(nNOTA,nNIA,A553,nEVAL,CONFIG_METADATA!$B$4,nASIG,"&lt;&gt;Lenguaje Musical",nASIG,"&lt;&gt;Coro",nASIG,"&lt;&gt;Conjunto"),""))</f>
        <v/>
      </c>
      <c r="H553" t="str">
        <f>IF(G553="","",IFERROR(AVERAGEIFS(nNOTA,nNIA,G553,nEVAL,CONFIG_METADATA!$B$4,nASIG,"Lenguaje Musical"),""))</f>
        <v/>
      </c>
      <c r="I553" t="str">
        <f>IF(G553="","",IFERROR(AVERAGEIFS(nNOTA,nNIA,G553,nEVAL,CONFIG_METADATA!$B$4,nASIG,"Coro"),""))</f>
        <v/>
      </c>
      <c r="J553" t="str">
        <f>IF(G553="","",IFERROR(AVERAGEIFS(nNOTA,nNIA,G553,nEVAL,CONFIG_METADATA!$B$4,nASIG,"Conjunto"),""))</f>
        <v/>
      </c>
      <c r="K553" t="str" cm="1">
        <f t="array" ref="K553">IF(G553="","",IFERROR(AVERAGE(IF((nNIA=G553)*(nEVAL=CONFIG_METADATA!$B$4)*(nASIG&lt;&gt;"Lenguaje Musical")*(nASIG&lt;&gt;"Coro")*(nASIG&lt;&gt;"Conjunto"),nNOTA)),""))</f>
        <v/>
      </c>
      <c r="N553" t="str">
        <f>IF(M553="","",IFERROR(AVERAGEIFS(nNOTA,nNIA,M553,nEVAL,CONFIG_METADATA!$B$4,nASIG,"Lenguaje Musical"),""))</f>
        <v/>
      </c>
      <c r="O553" t="str">
        <f>IF(M553="","",IFERROR(AVERAGEIFS(nNOTA,nNIA,M553,nEVAL,CONFIG_METADATA!$B$4,nASIG,"Coro"),""))</f>
        <v/>
      </c>
      <c r="P553" t="str">
        <f>IF(M553="","",IFERROR(AVERAGEIFS(nNOTA,nNIA,M553,nEVAL,CONFIG_METADATA!$B$4,nASIG,"Conjunto"),""))</f>
        <v/>
      </c>
      <c r="Q553" t="str">
        <f>IF(M553="","",IFERROR(AVERAGEIFS(nNOTA,nNIA,M553,nEVAL,CONFIG_METADATA!$B$4,nASIG,"&lt;&gt;Lenguaje Musical",nASIG,"&lt;&gt;Coro",nASIG,"&lt;&gt;Conjunto"),""))</f>
        <v/>
      </c>
      <c r="T553" t="str">
        <f>IF(S553="","",IFERROR(AVERAGEIFS(nNOTA,nNIA,S553,nEVAL,CONFIG_METADATA!$B$4,nASIG,"Lenguaje Musical"),""))</f>
        <v/>
      </c>
      <c r="U553" t="str">
        <f>IF(S553="","",IFERROR(AVERAGEIFS(nNOTA,nNIA,S553,nEVAL,CONFIG_METADATA!$B$4,nASIG,"Coro"),""))</f>
        <v/>
      </c>
      <c r="V553" t="str">
        <f>IF(S553="","",IFERROR(AVERAGEIFS(nNOTA,nNIA,S553,nEVAL,CONFIG_METADATA!$B$4,nASIG,"Conjunto"),""))</f>
        <v/>
      </c>
      <c r="W553" t="str" cm="1">
        <f t="array" ref="W553">IF(S553="","",IFERROR(AVERAGE(IF((nNIA=S553)*(nEVAL=CONFIG_METADATA!$B$4)*(nASIG&lt;&gt;"Lenguaje Musical")*(nASIG&lt;&gt;"Coro")*(nASIG&lt;&gt;"Conjunto"),nNOTA)),""))</f>
        <v/>
      </c>
    </row>
    <row r="554" spans="2:23" x14ac:dyDescent="0.2">
      <c r="B554" t="str">
        <f>IF(A554="","",IFERROR(AVERAGEIFS(nNOTA,nNIA,A554,nEVAL,CONFIG_METADATA!$B$4,nASIG,"Lenguaje Musical"),""))</f>
        <v/>
      </c>
      <c r="C554" t="str">
        <f>IF(A554="","",IFERROR(AVERAGEIFS(nNOTA,nNIA,A554,nEVAL,CONFIG_METADATA!$B$4,nASIG,"Coro"),""))</f>
        <v/>
      </c>
      <c r="D554" t="str">
        <f>IF(A554="","",IFERROR(AVERAGEIFS(nNOTA,nNIA,A554,nEVAL,CONFIG_METADATA!$B$4,nASIG,"Conjunto"),""))</f>
        <v/>
      </c>
      <c r="E554" t="str">
        <f>IF(A554="","",IFERROR(AVERAGEIFS(nNOTA,nNIA,A554,nEVAL,CONFIG_METADATA!$B$4,nASIG,"&lt;&gt;Lenguaje Musical",nASIG,"&lt;&gt;Coro",nASIG,"&lt;&gt;Conjunto"),""))</f>
        <v/>
      </c>
      <c r="H554" t="str">
        <f>IF(G554="","",IFERROR(AVERAGEIFS(nNOTA,nNIA,G554,nEVAL,CONFIG_METADATA!$B$4,nASIG,"Lenguaje Musical"),""))</f>
        <v/>
      </c>
      <c r="I554" t="str">
        <f>IF(G554="","",IFERROR(AVERAGEIFS(nNOTA,nNIA,G554,nEVAL,CONFIG_METADATA!$B$4,nASIG,"Coro"),""))</f>
        <v/>
      </c>
      <c r="J554" t="str">
        <f>IF(G554="","",IFERROR(AVERAGEIFS(nNOTA,nNIA,G554,nEVAL,CONFIG_METADATA!$B$4,nASIG,"Conjunto"),""))</f>
        <v/>
      </c>
      <c r="K554" t="str" cm="1">
        <f t="array" ref="K554">IF(G554="","",IFERROR(AVERAGE(IF((nNIA=G554)*(nEVAL=CONFIG_METADATA!$B$4)*(nASIG&lt;&gt;"Lenguaje Musical")*(nASIG&lt;&gt;"Coro")*(nASIG&lt;&gt;"Conjunto"),nNOTA)),""))</f>
        <v/>
      </c>
      <c r="N554" t="str">
        <f>IF(M554="","",IFERROR(AVERAGEIFS(nNOTA,nNIA,M554,nEVAL,CONFIG_METADATA!$B$4,nASIG,"Lenguaje Musical"),""))</f>
        <v/>
      </c>
      <c r="O554" t="str">
        <f>IF(M554="","",IFERROR(AVERAGEIFS(nNOTA,nNIA,M554,nEVAL,CONFIG_METADATA!$B$4,nASIG,"Coro"),""))</f>
        <v/>
      </c>
      <c r="P554" t="str">
        <f>IF(M554="","",IFERROR(AVERAGEIFS(nNOTA,nNIA,M554,nEVAL,CONFIG_METADATA!$B$4,nASIG,"Conjunto"),""))</f>
        <v/>
      </c>
      <c r="Q554" t="str">
        <f>IF(M554="","",IFERROR(AVERAGEIFS(nNOTA,nNIA,M554,nEVAL,CONFIG_METADATA!$B$4,nASIG,"&lt;&gt;Lenguaje Musical",nASIG,"&lt;&gt;Coro",nASIG,"&lt;&gt;Conjunto"),""))</f>
        <v/>
      </c>
      <c r="T554" t="str">
        <f>IF(S554="","",IFERROR(AVERAGEIFS(nNOTA,nNIA,S554,nEVAL,CONFIG_METADATA!$B$4,nASIG,"Lenguaje Musical"),""))</f>
        <v/>
      </c>
      <c r="U554" t="str">
        <f>IF(S554="","",IFERROR(AVERAGEIFS(nNOTA,nNIA,S554,nEVAL,CONFIG_METADATA!$B$4,nASIG,"Coro"),""))</f>
        <v/>
      </c>
      <c r="V554" t="str">
        <f>IF(S554="","",IFERROR(AVERAGEIFS(nNOTA,nNIA,S554,nEVAL,CONFIG_METADATA!$B$4,nASIG,"Conjunto"),""))</f>
        <v/>
      </c>
      <c r="W554" t="str" cm="1">
        <f t="array" ref="W554">IF(S554="","",IFERROR(AVERAGE(IF((nNIA=S554)*(nEVAL=CONFIG_METADATA!$B$4)*(nASIG&lt;&gt;"Lenguaje Musical")*(nASIG&lt;&gt;"Coro")*(nASIG&lt;&gt;"Conjunto"),nNOTA)),""))</f>
        <v/>
      </c>
    </row>
    <row r="555" spans="2:23" x14ac:dyDescent="0.2">
      <c r="B555" t="str">
        <f>IF(A555="","",IFERROR(AVERAGEIFS(nNOTA,nNIA,A555,nEVAL,CONFIG_METADATA!$B$4,nASIG,"Lenguaje Musical"),""))</f>
        <v/>
      </c>
      <c r="C555" t="str">
        <f>IF(A555="","",IFERROR(AVERAGEIFS(nNOTA,nNIA,A555,nEVAL,CONFIG_METADATA!$B$4,nASIG,"Coro"),""))</f>
        <v/>
      </c>
      <c r="D555" t="str">
        <f>IF(A555="","",IFERROR(AVERAGEIFS(nNOTA,nNIA,A555,nEVAL,CONFIG_METADATA!$B$4,nASIG,"Conjunto"),""))</f>
        <v/>
      </c>
      <c r="E555" t="str">
        <f>IF(A555="","",IFERROR(AVERAGEIFS(nNOTA,nNIA,A555,nEVAL,CONFIG_METADATA!$B$4,nASIG,"&lt;&gt;Lenguaje Musical",nASIG,"&lt;&gt;Coro",nASIG,"&lt;&gt;Conjunto"),""))</f>
        <v/>
      </c>
      <c r="H555" t="str">
        <f>IF(G555="","",IFERROR(AVERAGEIFS(nNOTA,nNIA,G555,nEVAL,CONFIG_METADATA!$B$4,nASIG,"Lenguaje Musical"),""))</f>
        <v/>
      </c>
      <c r="I555" t="str">
        <f>IF(G555="","",IFERROR(AVERAGEIFS(nNOTA,nNIA,G555,nEVAL,CONFIG_METADATA!$B$4,nASIG,"Coro"),""))</f>
        <v/>
      </c>
      <c r="J555" t="str">
        <f>IF(G555="","",IFERROR(AVERAGEIFS(nNOTA,nNIA,G555,nEVAL,CONFIG_METADATA!$B$4,nASIG,"Conjunto"),""))</f>
        <v/>
      </c>
      <c r="K555" t="str" cm="1">
        <f t="array" ref="K555">IF(G555="","",IFERROR(AVERAGE(IF((nNIA=G555)*(nEVAL=CONFIG_METADATA!$B$4)*(nASIG&lt;&gt;"Lenguaje Musical")*(nASIG&lt;&gt;"Coro")*(nASIG&lt;&gt;"Conjunto"),nNOTA)),""))</f>
        <v/>
      </c>
      <c r="N555" t="str">
        <f>IF(M555="","",IFERROR(AVERAGEIFS(nNOTA,nNIA,M555,nEVAL,CONFIG_METADATA!$B$4,nASIG,"Lenguaje Musical"),""))</f>
        <v/>
      </c>
      <c r="O555" t="str">
        <f>IF(M555="","",IFERROR(AVERAGEIFS(nNOTA,nNIA,M555,nEVAL,CONFIG_METADATA!$B$4,nASIG,"Coro"),""))</f>
        <v/>
      </c>
      <c r="P555" t="str">
        <f>IF(M555="","",IFERROR(AVERAGEIFS(nNOTA,nNIA,M555,nEVAL,CONFIG_METADATA!$B$4,nASIG,"Conjunto"),""))</f>
        <v/>
      </c>
      <c r="Q555" t="str">
        <f>IF(M555="","",IFERROR(AVERAGEIFS(nNOTA,nNIA,M555,nEVAL,CONFIG_METADATA!$B$4,nASIG,"&lt;&gt;Lenguaje Musical",nASIG,"&lt;&gt;Coro",nASIG,"&lt;&gt;Conjunto"),""))</f>
        <v/>
      </c>
      <c r="T555" t="str">
        <f>IF(S555="","",IFERROR(AVERAGEIFS(nNOTA,nNIA,S555,nEVAL,CONFIG_METADATA!$B$4,nASIG,"Lenguaje Musical"),""))</f>
        <v/>
      </c>
      <c r="U555" t="str">
        <f>IF(S555="","",IFERROR(AVERAGEIFS(nNOTA,nNIA,S555,nEVAL,CONFIG_METADATA!$B$4,nASIG,"Coro"),""))</f>
        <v/>
      </c>
      <c r="V555" t="str">
        <f>IF(S555="","",IFERROR(AVERAGEIFS(nNOTA,nNIA,S555,nEVAL,CONFIG_METADATA!$B$4,nASIG,"Conjunto"),""))</f>
        <v/>
      </c>
      <c r="W555" t="str" cm="1">
        <f t="array" ref="W555">IF(S555="","",IFERROR(AVERAGE(IF((nNIA=S555)*(nEVAL=CONFIG_METADATA!$B$4)*(nASIG&lt;&gt;"Lenguaje Musical")*(nASIG&lt;&gt;"Coro")*(nASIG&lt;&gt;"Conjunto"),nNOTA)),""))</f>
        <v/>
      </c>
    </row>
    <row r="556" spans="2:23" x14ac:dyDescent="0.2">
      <c r="B556" t="str">
        <f>IF(A556="","",IFERROR(AVERAGEIFS(nNOTA,nNIA,A556,nEVAL,CONFIG_METADATA!$B$4,nASIG,"Lenguaje Musical"),""))</f>
        <v/>
      </c>
      <c r="C556" t="str">
        <f>IF(A556="","",IFERROR(AVERAGEIFS(nNOTA,nNIA,A556,nEVAL,CONFIG_METADATA!$B$4,nASIG,"Coro"),""))</f>
        <v/>
      </c>
      <c r="D556" t="str">
        <f>IF(A556="","",IFERROR(AVERAGEIFS(nNOTA,nNIA,A556,nEVAL,CONFIG_METADATA!$B$4,nASIG,"Conjunto"),""))</f>
        <v/>
      </c>
      <c r="E556" t="str">
        <f>IF(A556="","",IFERROR(AVERAGEIFS(nNOTA,nNIA,A556,nEVAL,CONFIG_METADATA!$B$4,nASIG,"&lt;&gt;Lenguaje Musical",nASIG,"&lt;&gt;Coro",nASIG,"&lt;&gt;Conjunto"),""))</f>
        <v/>
      </c>
      <c r="H556" t="str">
        <f>IF(G556="","",IFERROR(AVERAGEIFS(nNOTA,nNIA,G556,nEVAL,CONFIG_METADATA!$B$4,nASIG,"Lenguaje Musical"),""))</f>
        <v/>
      </c>
      <c r="I556" t="str">
        <f>IF(G556="","",IFERROR(AVERAGEIFS(nNOTA,nNIA,G556,nEVAL,CONFIG_METADATA!$B$4,nASIG,"Coro"),""))</f>
        <v/>
      </c>
      <c r="J556" t="str">
        <f>IF(G556="","",IFERROR(AVERAGEIFS(nNOTA,nNIA,G556,nEVAL,CONFIG_METADATA!$B$4,nASIG,"Conjunto"),""))</f>
        <v/>
      </c>
      <c r="K556" t="str" cm="1">
        <f t="array" ref="K556">IF(G556="","",IFERROR(AVERAGE(IF((nNIA=G556)*(nEVAL=CONFIG_METADATA!$B$4)*(nASIG&lt;&gt;"Lenguaje Musical")*(nASIG&lt;&gt;"Coro")*(nASIG&lt;&gt;"Conjunto"),nNOTA)),""))</f>
        <v/>
      </c>
      <c r="N556" t="str">
        <f>IF(M556="","",IFERROR(AVERAGEIFS(nNOTA,nNIA,M556,nEVAL,CONFIG_METADATA!$B$4,nASIG,"Lenguaje Musical"),""))</f>
        <v/>
      </c>
      <c r="O556" t="str">
        <f>IF(M556="","",IFERROR(AVERAGEIFS(nNOTA,nNIA,M556,nEVAL,CONFIG_METADATA!$B$4,nASIG,"Coro"),""))</f>
        <v/>
      </c>
      <c r="P556" t="str">
        <f>IF(M556="","",IFERROR(AVERAGEIFS(nNOTA,nNIA,M556,nEVAL,CONFIG_METADATA!$B$4,nASIG,"Conjunto"),""))</f>
        <v/>
      </c>
      <c r="Q556" t="str">
        <f>IF(M556="","",IFERROR(AVERAGEIFS(nNOTA,nNIA,M556,nEVAL,CONFIG_METADATA!$B$4,nASIG,"&lt;&gt;Lenguaje Musical",nASIG,"&lt;&gt;Coro",nASIG,"&lt;&gt;Conjunto"),""))</f>
        <v/>
      </c>
      <c r="T556" t="str">
        <f>IF(S556="","",IFERROR(AVERAGEIFS(nNOTA,nNIA,S556,nEVAL,CONFIG_METADATA!$B$4,nASIG,"Lenguaje Musical"),""))</f>
        <v/>
      </c>
      <c r="U556" t="str">
        <f>IF(S556="","",IFERROR(AVERAGEIFS(nNOTA,nNIA,S556,nEVAL,CONFIG_METADATA!$B$4,nASIG,"Coro"),""))</f>
        <v/>
      </c>
      <c r="V556" t="str">
        <f>IF(S556="","",IFERROR(AVERAGEIFS(nNOTA,nNIA,S556,nEVAL,CONFIG_METADATA!$B$4,nASIG,"Conjunto"),""))</f>
        <v/>
      </c>
      <c r="W556" t="str" cm="1">
        <f t="array" ref="W556">IF(S556="","",IFERROR(AVERAGE(IF((nNIA=S556)*(nEVAL=CONFIG_METADATA!$B$4)*(nASIG&lt;&gt;"Lenguaje Musical")*(nASIG&lt;&gt;"Coro")*(nASIG&lt;&gt;"Conjunto"),nNOTA)),""))</f>
        <v/>
      </c>
    </row>
    <row r="557" spans="2:23" x14ac:dyDescent="0.2">
      <c r="B557" t="str">
        <f>IF(A557="","",IFERROR(AVERAGEIFS(nNOTA,nNIA,A557,nEVAL,CONFIG_METADATA!$B$4,nASIG,"Lenguaje Musical"),""))</f>
        <v/>
      </c>
      <c r="C557" t="str">
        <f>IF(A557="","",IFERROR(AVERAGEIFS(nNOTA,nNIA,A557,nEVAL,CONFIG_METADATA!$B$4,nASIG,"Coro"),""))</f>
        <v/>
      </c>
      <c r="D557" t="str">
        <f>IF(A557="","",IFERROR(AVERAGEIFS(nNOTA,nNIA,A557,nEVAL,CONFIG_METADATA!$B$4,nASIG,"Conjunto"),""))</f>
        <v/>
      </c>
      <c r="E557" t="str">
        <f>IF(A557="","",IFERROR(AVERAGEIFS(nNOTA,nNIA,A557,nEVAL,CONFIG_METADATA!$B$4,nASIG,"&lt;&gt;Lenguaje Musical",nASIG,"&lt;&gt;Coro",nASIG,"&lt;&gt;Conjunto"),""))</f>
        <v/>
      </c>
      <c r="H557" t="str">
        <f>IF(G557="","",IFERROR(AVERAGEIFS(nNOTA,nNIA,G557,nEVAL,CONFIG_METADATA!$B$4,nASIG,"Lenguaje Musical"),""))</f>
        <v/>
      </c>
      <c r="I557" t="str">
        <f>IF(G557="","",IFERROR(AVERAGEIFS(nNOTA,nNIA,G557,nEVAL,CONFIG_METADATA!$B$4,nASIG,"Coro"),""))</f>
        <v/>
      </c>
      <c r="J557" t="str">
        <f>IF(G557="","",IFERROR(AVERAGEIFS(nNOTA,nNIA,G557,nEVAL,CONFIG_METADATA!$B$4,nASIG,"Conjunto"),""))</f>
        <v/>
      </c>
      <c r="K557" t="str" cm="1">
        <f t="array" ref="K557">IF(G557="","",IFERROR(AVERAGE(IF((nNIA=G557)*(nEVAL=CONFIG_METADATA!$B$4)*(nASIG&lt;&gt;"Lenguaje Musical")*(nASIG&lt;&gt;"Coro")*(nASIG&lt;&gt;"Conjunto"),nNOTA)),""))</f>
        <v/>
      </c>
      <c r="N557" t="str">
        <f>IF(M557="","",IFERROR(AVERAGEIFS(nNOTA,nNIA,M557,nEVAL,CONFIG_METADATA!$B$4,nASIG,"Lenguaje Musical"),""))</f>
        <v/>
      </c>
      <c r="O557" t="str">
        <f>IF(M557="","",IFERROR(AVERAGEIFS(nNOTA,nNIA,M557,nEVAL,CONFIG_METADATA!$B$4,nASIG,"Coro"),""))</f>
        <v/>
      </c>
      <c r="P557" t="str">
        <f>IF(M557="","",IFERROR(AVERAGEIFS(nNOTA,nNIA,M557,nEVAL,CONFIG_METADATA!$B$4,nASIG,"Conjunto"),""))</f>
        <v/>
      </c>
      <c r="Q557" t="str">
        <f>IF(M557="","",IFERROR(AVERAGEIFS(nNOTA,nNIA,M557,nEVAL,CONFIG_METADATA!$B$4,nASIG,"&lt;&gt;Lenguaje Musical",nASIG,"&lt;&gt;Coro",nASIG,"&lt;&gt;Conjunto"),""))</f>
        <v/>
      </c>
      <c r="T557" t="str">
        <f>IF(S557="","",IFERROR(AVERAGEIFS(nNOTA,nNIA,S557,nEVAL,CONFIG_METADATA!$B$4,nASIG,"Lenguaje Musical"),""))</f>
        <v/>
      </c>
      <c r="U557" t="str">
        <f>IF(S557="","",IFERROR(AVERAGEIFS(nNOTA,nNIA,S557,nEVAL,CONFIG_METADATA!$B$4,nASIG,"Coro"),""))</f>
        <v/>
      </c>
      <c r="V557" t="str">
        <f>IF(S557="","",IFERROR(AVERAGEIFS(nNOTA,nNIA,S557,nEVAL,CONFIG_METADATA!$B$4,nASIG,"Conjunto"),""))</f>
        <v/>
      </c>
      <c r="W557" t="str" cm="1">
        <f t="array" ref="W557">IF(S557="","",IFERROR(AVERAGE(IF((nNIA=S557)*(nEVAL=CONFIG_METADATA!$B$4)*(nASIG&lt;&gt;"Lenguaje Musical")*(nASIG&lt;&gt;"Coro")*(nASIG&lt;&gt;"Conjunto"),nNOTA)),""))</f>
        <v/>
      </c>
    </row>
    <row r="558" spans="2:23" x14ac:dyDescent="0.2">
      <c r="B558" t="str">
        <f>IF(A558="","",IFERROR(AVERAGEIFS(nNOTA,nNIA,A558,nEVAL,CONFIG_METADATA!$B$4,nASIG,"Lenguaje Musical"),""))</f>
        <v/>
      </c>
      <c r="C558" t="str">
        <f>IF(A558="","",IFERROR(AVERAGEIFS(nNOTA,nNIA,A558,nEVAL,CONFIG_METADATA!$B$4,nASIG,"Coro"),""))</f>
        <v/>
      </c>
      <c r="D558" t="str">
        <f>IF(A558="","",IFERROR(AVERAGEIFS(nNOTA,nNIA,A558,nEVAL,CONFIG_METADATA!$B$4,nASIG,"Conjunto"),""))</f>
        <v/>
      </c>
      <c r="E558" t="str">
        <f>IF(A558="","",IFERROR(AVERAGEIFS(nNOTA,nNIA,A558,nEVAL,CONFIG_METADATA!$B$4,nASIG,"&lt;&gt;Lenguaje Musical",nASIG,"&lt;&gt;Coro",nASIG,"&lt;&gt;Conjunto"),""))</f>
        <v/>
      </c>
      <c r="H558" t="str">
        <f>IF(G558="","",IFERROR(AVERAGEIFS(nNOTA,nNIA,G558,nEVAL,CONFIG_METADATA!$B$4,nASIG,"Lenguaje Musical"),""))</f>
        <v/>
      </c>
      <c r="I558" t="str">
        <f>IF(G558="","",IFERROR(AVERAGEIFS(nNOTA,nNIA,G558,nEVAL,CONFIG_METADATA!$B$4,nASIG,"Coro"),""))</f>
        <v/>
      </c>
      <c r="J558" t="str">
        <f>IF(G558="","",IFERROR(AVERAGEIFS(nNOTA,nNIA,G558,nEVAL,CONFIG_METADATA!$B$4,nASIG,"Conjunto"),""))</f>
        <v/>
      </c>
      <c r="K558" t="str" cm="1">
        <f t="array" ref="K558">IF(G558="","",IFERROR(AVERAGE(IF((nNIA=G558)*(nEVAL=CONFIG_METADATA!$B$4)*(nASIG&lt;&gt;"Lenguaje Musical")*(nASIG&lt;&gt;"Coro")*(nASIG&lt;&gt;"Conjunto"),nNOTA)),""))</f>
        <v/>
      </c>
      <c r="N558" t="str">
        <f>IF(M558="","",IFERROR(AVERAGEIFS(nNOTA,nNIA,M558,nEVAL,CONFIG_METADATA!$B$4,nASIG,"Lenguaje Musical"),""))</f>
        <v/>
      </c>
      <c r="O558" t="str">
        <f>IF(M558="","",IFERROR(AVERAGEIFS(nNOTA,nNIA,M558,nEVAL,CONFIG_METADATA!$B$4,nASIG,"Coro"),""))</f>
        <v/>
      </c>
      <c r="P558" t="str">
        <f>IF(M558="","",IFERROR(AVERAGEIFS(nNOTA,nNIA,M558,nEVAL,CONFIG_METADATA!$B$4,nASIG,"Conjunto"),""))</f>
        <v/>
      </c>
      <c r="Q558" t="str">
        <f>IF(M558="","",IFERROR(AVERAGEIFS(nNOTA,nNIA,M558,nEVAL,CONFIG_METADATA!$B$4,nASIG,"&lt;&gt;Lenguaje Musical",nASIG,"&lt;&gt;Coro",nASIG,"&lt;&gt;Conjunto"),""))</f>
        <v/>
      </c>
      <c r="T558" t="str">
        <f>IF(S558="","",IFERROR(AVERAGEIFS(nNOTA,nNIA,S558,nEVAL,CONFIG_METADATA!$B$4,nASIG,"Lenguaje Musical"),""))</f>
        <v/>
      </c>
      <c r="U558" t="str">
        <f>IF(S558="","",IFERROR(AVERAGEIFS(nNOTA,nNIA,S558,nEVAL,CONFIG_METADATA!$B$4,nASIG,"Coro"),""))</f>
        <v/>
      </c>
      <c r="V558" t="str">
        <f>IF(S558="","",IFERROR(AVERAGEIFS(nNOTA,nNIA,S558,nEVAL,CONFIG_METADATA!$B$4,nASIG,"Conjunto"),""))</f>
        <v/>
      </c>
      <c r="W558" t="str" cm="1">
        <f t="array" ref="W558">IF(S558="","",IFERROR(AVERAGE(IF((nNIA=S558)*(nEVAL=CONFIG_METADATA!$B$4)*(nASIG&lt;&gt;"Lenguaje Musical")*(nASIG&lt;&gt;"Coro")*(nASIG&lt;&gt;"Conjunto"),nNOTA)),""))</f>
        <v/>
      </c>
    </row>
    <row r="559" spans="2:23" x14ac:dyDescent="0.2">
      <c r="B559" t="str">
        <f>IF(A559="","",IFERROR(AVERAGEIFS(nNOTA,nNIA,A559,nEVAL,CONFIG_METADATA!$B$4,nASIG,"Lenguaje Musical"),""))</f>
        <v/>
      </c>
      <c r="C559" t="str">
        <f>IF(A559="","",IFERROR(AVERAGEIFS(nNOTA,nNIA,A559,nEVAL,CONFIG_METADATA!$B$4,nASIG,"Coro"),""))</f>
        <v/>
      </c>
      <c r="D559" t="str">
        <f>IF(A559="","",IFERROR(AVERAGEIFS(nNOTA,nNIA,A559,nEVAL,CONFIG_METADATA!$B$4,nASIG,"Conjunto"),""))</f>
        <v/>
      </c>
      <c r="E559" t="str">
        <f>IF(A559="","",IFERROR(AVERAGEIFS(nNOTA,nNIA,A559,nEVAL,CONFIG_METADATA!$B$4,nASIG,"&lt;&gt;Lenguaje Musical",nASIG,"&lt;&gt;Coro",nASIG,"&lt;&gt;Conjunto"),""))</f>
        <v/>
      </c>
      <c r="H559" t="str">
        <f>IF(G559="","",IFERROR(AVERAGEIFS(nNOTA,nNIA,G559,nEVAL,CONFIG_METADATA!$B$4,nASIG,"Lenguaje Musical"),""))</f>
        <v/>
      </c>
      <c r="I559" t="str">
        <f>IF(G559="","",IFERROR(AVERAGEIFS(nNOTA,nNIA,G559,nEVAL,CONFIG_METADATA!$B$4,nASIG,"Coro"),""))</f>
        <v/>
      </c>
      <c r="J559" t="str">
        <f>IF(G559="","",IFERROR(AVERAGEIFS(nNOTA,nNIA,G559,nEVAL,CONFIG_METADATA!$B$4,nASIG,"Conjunto"),""))</f>
        <v/>
      </c>
      <c r="K559" t="str" cm="1">
        <f t="array" ref="K559">IF(G559="","",IFERROR(AVERAGE(IF((nNIA=G559)*(nEVAL=CONFIG_METADATA!$B$4)*(nASIG&lt;&gt;"Lenguaje Musical")*(nASIG&lt;&gt;"Coro")*(nASIG&lt;&gt;"Conjunto"),nNOTA)),""))</f>
        <v/>
      </c>
      <c r="N559" t="str">
        <f>IF(M559="","",IFERROR(AVERAGEIFS(nNOTA,nNIA,M559,nEVAL,CONFIG_METADATA!$B$4,nASIG,"Lenguaje Musical"),""))</f>
        <v/>
      </c>
      <c r="O559" t="str">
        <f>IF(M559="","",IFERROR(AVERAGEIFS(nNOTA,nNIA,M559,nEVAL,CONFIG_METADATA!$B$4,nASIG,"Coro"),""))</f>
        <v/>
      </c>
      <c r="P559" t="str">
        <f>IF(M559="","",IFERROR(AVERAGEIFS(nNOTA,nNIA,M559,nEVAL,CONFIG_METADATA!$B$4,nASIG,"Conjunto"),""))</f>
        <v/>
      </c>
      <c r="Q559" t="str">
        <f>IF(M559="","",IFERROR(AVERAGEIFS(nNOTA,nNIA,M559,nEVAL,CONFIG_METADATA!$B$4,nASIG,"&lt;&gt;Lenguaje Musical",nASIG,"&lt;&gt;Coro",nASIG,"&lt;&gt;Conjunto"),""))</f>
        <v/>
      </c>
      <c r="T559" t="str">
        <f>IF(S559="","",IFERROR(AVERAGEIFS(nNOTA,nNIA,S559,nEVAL,CONFIG_METADATA!$B$4,nASIG,"Lenguaje Musical"),""))</f>
        <v/>
      </c>
      <c r="U559" t="str">
        <f>IF(S559="","",IFERROR(AVERAGEIFS(nNOTA,nNIA,S559,nEVAL,CONFIG_METADATA!$B$4,nASIG,"Coro"),""))</f>
        <v/>
      </c>
      <c r="V559" t="str">
        <f>IF(S559="","",IFERROR(AVERAGEIFS(nNOTA,nNIA,S559,nEVAL,CONFIG_METADATA!$B$4,nASIG,"Conjunto"),""))</f>
        <v/>
      </c>
      <c r="W559" t="str" cm="1">
        <f t="array" ref="W559">IF(S559="","",IFERROR(AVERAGE(IF((nNIA=S559)*(nEVAL=CONFIG_METADATA!$B$4)*(nASIG&lt;&gt;"Lenguaje Musical")*(nASIG&lt;&gt;"Coro")*(nASIG&lt;&gt;"Conjunto"),nNOTA)),""))</f>
        <v/>
      </c>
    </row>
    <row r="560" spans="2:23" x14ac:dyDescent="0.2">
      <c r="B560" t="str">
        <f>IF(A560="","",IFERROR(AVERAGEIFS(nNOTA,nNIA,A560,nEVAL,CONFIG_METADATA!$B$4,nASIG,"Lenguaje Musical"),""))</f>
        <v/>
      </c>
      <c r="C560" t="str">
        <f>IF(A560="","",IFERROR(AVERAGEIFS(nNOTA,nNIA,A560,nEVAL,CONFIG_METADATA!$B$4,nASIG,"Coro"),""))</f>
        <v/>
      </c>
      <c r="D560" t="str">
        <f>IF(A560="","",IFERROR(AVERAGEIFS(nNOTA,nNIA,A560,nEVAL,CONFIG_METADATA!$B$4,nASIG,"Conjunto"),""))</f>
        <v/>
      </c>
      <c r="E560" t="str">
        <f>IF(A560="","",IFERROR(AVERAGEIFS(nNOTA,nNIA,A560,nEVAL,CONFIG_METADATA!$B$4,nASIG,"&lt;&gt;Lenguaje Musical",nASIG,"&lt;&gt;Coro",nASIG,"&lt;&gt;Conjunto"),""))</f>
        <v/>
      </c>
      <c r="H560" t="str">
        <f>IF(G560="","",IFERROR(AVERAGEIFS(nNOTA,nNIA,G560,nEVAL,CONFIG_METADATA!$B$4,nASIG,"Lenguaje Musical"),""))</f>
        <v/>
      </c>
      <c r="I560" t="str">
        <f>IF(G560="","",IFERROR(AVERAGEIFS(nNOTA,nNIA,G560,nEVAL,CONFIG_METADATA!$B$4,nASIG,"Coro"),""))</f>
        <v/>
      </c>
      <c r="J560" t="str">
        <f>IF(G560="","",IFERROR(AVERAGEIFS(nNOTA,nNIA,G560,nEVAL,CONFIG_METADATA!$B$4,nASIG,"Conjunto"),""))</f>
        <v/>
      </c>
      <c r="K560" t="str" cm="1">
        <f t="array" ref="K560">IF(G560="","",IFERROR(AVERAGE(IF((nNIA=G560)*(nEVAL=CONFIG_METADATA!$B$4)*(nASIG&lt;&gt;"Lenguaje Musical")*(nASIG&lt;&gt;"Coro")*(nASIG&lt;&gt;"Conjunto"),nNOTA)),""))</f>
        <v/>
      </c>
      <c r="N560" t="str">
        <f>IF(M560="","",IFERROR(AVERAGEIFS(nNOTA,nNIA,M560,nEVAL,CONFIG_METADATA!$B$4,nASIG,"Lenguaje Musical"),""))</f>
        <v/>
      </c>
      <c r="O560" t="str">
        <f>IF(M560="","",IFERROR(AVERAGEIFS(nNOTA,nNIA,M560,nEVAL,CONFIG_METADATA!$B$4,nASIG,"Coro"),""))</f>
        <v/>
      </c>
      <c r="P560" t="str">
        <f>IF(M560="","",IFERROR(AVERAGEIFS(nNOTA,nNIA,M560,nEVAL,CONFIG_METADATA!$B$4,nASIG,"Conjunto"),""))</f>
        <v/>
      </c>
      <c r="Q560" t="str">
        <f>IF(M560="","",IFERROR(AVERAGEIFS(nNOTA,nNIA,M560,nEVAL,CONFIG_METADATA!$B$4,nASIG,"&lt;&gt;Lenguaje Musical",nASIG,"&lt;&gt;Coro",nASIG,"&lt;&gt;Conjunto"),""))</f>
        <v/>
      </c>
      <c r="T560" t="str">
        <f>IF(S560="","",IFERROR(AVERAGEIFS(nNOTA,nNIA,S560,nEVAL,CONFIG_METADATA!$B$4,nASIG,"Lenguaje Musical"),""))</f>
        <v/>
      </c>
      <c r="U560" t="str">
        <f>IF(S560="","",IFERROR(AVERAGEIFS(nNOTA,nNIA,S560,nEVAL,CONFIG_METADATA!$B$4,nASIG,"Coro"),""))</f>
        <v/>
      </c>
      <c r="V560" t="str">
        <f>IF(S560="","",IFERROR(AVERAGEIFS(nNOTA,nNIA,S560,nEVAL,CONFIG_METADATA!$B$4,nASIG,"Conjunto"),""))</f>
        <v/>
      </c>
      <c r="W560" t="str" cm="1">
        <f t="array" ref="W560">IF(S560="","",IFERROR(AVERAGE(IF((nNIA=S560)*(nEVAL=CONFIG_METADATA!$B$4)*(nASIG&lt;&gt;"Lenguaje Musical")*(nASIG&lt;&gt;"Coro")*(nASIG&lt;&gt;"Conjunto"),nNOTA)),""))</f>
        <v/>
      </c>
    </row>
    <row r="561" spans="2:23" x14ac:dyDescent="0.2">
      <c r="B561" t="str">
        <f>IF(A561="","",IFERROR(AVERAGEIFS(nNOTA,nNIA,A561,nEVAL,CONFIG_METADATA!$B$4,nASIG,"Lenguaje Musical"),""))</f>
        <v/>
      </c>
      <c r="C561" t="str">
        <f>IF(A561="","",IFERROR(AVERAGEIFS(nNOTA,nNIA,A561,nEVAL,CONFIG_METADATA!$B$4,nASIG,"Coro"),""))</f>
        <v/>
      </c>
      <c r="D561" t="str">
        <f>IF(A561="","",IFERROR(AVERAGEIFS(nNOTA,nNIA,A561,nEVAL,CONFIG_METADATA!$B$4,nASIG,"Conjunto"),""))</f>
        <v/>
      </c>
      <c r="E561" t="str">
        <f>IF(A561="","",IFERROR(AVERAGEIFS(nNOTA,nNIA,A561,nEVAL,CONFIG_METADATA!$B$4,nASIG,"&lt;&gt;Lenguaje Musical",nASIG,"&lt;&gt;Coro",nASIG,"&lt;&gt;Conjunto"),""))</f>
        <v/>
      </c>
      <c r="H561" t="str">
        <f>IF(G561="","",IFERROR(AVERAGEIFS(nNOTA,nNIA,G561,nEVAL,CONFIG_METADATA!$B$4,nASIG,"Lenguaje Musical"),""))</f>
        <v/>
      </c>
      <c r="I561" t="str">
        <f>IF(G561="","",IFERROR(AVERAGEIFS(nNOTA,nNIA,G561,nEVAL,CONFIG_METADATA!$B$4,nASIG,"Coro"),""))</f>
        <v/>
      </c>
      <c r="J561" t="str">
        <f>IF(G561="","",IFERROR(AVERAGEIFS(nNOTA,nNIA,G561,nEVAL,CONFIG_METADATA!$B$4,nASIG,"Conjunto"),""))</f>
        <v/>
      </c>
      <c r="K561" t="str" cm="1">
        <f t="array" ref="K561">IF(G561="","",IFERROR(AVERAGE(IF((nNIA=G561)*(nEVAL=CONFIG_METADATA!$B$4)*(nASIG&lt;&gt;"Lenguaje Musical")*(nASIG&lt;&gt;"Coro")*(nASIG&lt;&gt;"Conjunto"),nNOTA)),""))</f>
        <v/>
      </c>
      <c r="N561" t="str">
        <f>IF(M561="","",IFERROR(AVERAGEIFS(nNOTA,nNIA,M561,nEVAL,CONFIG_METADATA!$B$4,nASIG,"Lenguaje Musical"),""))</f>
        <v/>
      </c>
      <c r="O561" t="str">
        <f>IF(M561="","",IFERROR(AVERAGEIFS(nNOTA,nNIA,M561,nEVAL,CONFIG_METADATA!$B$4,nASIG,"Coro"),""))</f>
        <v/>
      </c>
      <c r="P561" t="str">
        <f>IF(M561="","",IFERROR(AVERAGEIFS(nNOTA,nNIA,M561,nEVAL,CONFIG_METADATA!$B$4,nASIG,"Conjunto"),""))</f>
        <v/>
      </c>
      <c r="Q561" t="str">
        <f>IF(M561="","",IFERROR(AVERAGEIFS(nNOTA,nNIA,M561,nEVAL,CONFIG_METADATA!$B$4,nASIG,"&lt;&gt;Lenguaje Musical",nASIG,"&lt;&gt;Coro",nASIG,"&lt;&gt;Conjunto"),""))</f>
        <v/>
      </c>
      <c r="T561" t="str">
        <f>IF(S561="","",IFERROR(AVERAGEIFS(nNOTA,nNIA,S561,nEVAL,CONFIG_METADATA!$B$4,nASIG,"Lenguaje Musical"),""))</f>
        <v/>
      </c>
      <c r="U561" t="str">
        <f>IF(S561="","",IFERROR(AVERAGEIFS(nNOTA,nNIA,S561,nEVAL,CONFIG_METADATA!$B$4,nASIG,"Coro"),""))</f>
        <v/>
      </c>
      <c r="V561" t="str">
        <f>IF(S561="","",IFERROR(AVERAGEIFS(nNOTA,nNIA,S561,nEVAL,CONFIG_METADATA!$B$4,nASIG,"Conjunto"),""))</f>
        <v/>
      </c>
      <c r="W561" t="str" cm="1">
        <f t="array" ref="W561">IF(S561="","",IFERROR(AVERAGE(IF((nNIA=S561)*(nEVAL=CONFIG_METADATA!$B$4)*(nASIG&lt;&gt;"Lenguaje Musical")*(nASIG&lt;&gt;"Coro")*(nASIG&lt;&gt;"Conjunto"),nNOTA)),""))</f>
        <v/>
      </c>
    </row>
    <row r="562" spans="2:23" x14ac:dyDescent="0.2">
      <c r="B562" t="str">
        <f>IF(A562="","",IFERROR(AVERAGEIFS(nNOTA,nNIA,A562,nEVAL,CONFIG_METADATA!$B$4,nASIG,"Lenguaje Musical"),""))</f>
        <v/>
      </c>
      <c r="C562" t="str">
        <f>IF(A562="","",IFERROR(AVERAGEIFS(nNOTA,nNIA,A562,nEVAL,CONFIG_METADATA!$B$4,nASIG,"Coro"),""))</f>
        <v/>
      </c>
      <c r="D562" t="str">
        <f>IF(A562="","",IFERROR(AVERAGEIFS(nNOTA,nNIA,A562,nEVAL,CONFIG_METADATA!$B$4,nASIG,"Conjunto"),""))</f>
        <v/>
      </c>
      <c r="E562" t="str">
        <f>IF(A562="","",IFERROR(AVERAGEIFS(nNOTA,nNIA,A562,nEVAL,CONFIG_METADATA!$B$4,nASIG,"&lt;&gt;Lenguaje Musical",nASIG,"&lt;&gt;Coro",nASIG,"&lt;&gt;Conjunto"),""))</f>
        <v/>
      </c>
      <c r="H562" t="str">
        <f>IF(G562="","",IFERROR(AVERAGEIFS(nNOTA,nNIA,G562,nEVAL,CONFIG_METADATA!$B$4,nASIG,"Lenguaje Musical"),""))</f>
        <v/>
      </c>
      <c r="I562" t="str">
        <f>IF(G562="","",IFERROR(AVERAGEIFS(nNOTA,nNIA,G562,nEVAL,CONFIG_METADATA!$B$4,nASIG,"Coro"),""))</f>
        <v/>
      </c>
      <c r="J562" t="str">
        <f>IF(G562="","",IFERROR(AVERAGEIFS(nNOTA,nNIA,G562,nEVAL,CONFIG_METADATA!$B$4,nASIG,"Conjunto"),""))</f>
        <v/>
      </c>
      <c r="K562" t="str" cm="1">
        <f t="array" ref="K562">IF(G562="","",IFERROR(AVERAGE(IF((nNIA=G562)*(nEVAL=CONFIG_METADATA!$B$4)*(nASIG&lt;&gt;"Lenguaje Musical")*(nASIG&lt;&gt;"Coro")*(nASIG&lt;&gt;"Conjunto"),nNOTA)),""))</f>
        <v/>
      </c>
      <c r="N562" t="str">
        <f>IF(M562="","",IFERROR(AVERAGEIFS(nNOTA,nNIA,M562,nEVAL,CONFIG_METADATA!$B$4,nASIG,"Lenguaje Musical"),""))</f>
        <v/>
      </c>
      <c r="O562" t="str">
        <f>IF(M562="","",IFERROR(AVERAGEIFS(nNOTA,nNIA,M562,nEVAL,CONFIG_METADATA!$B$4,nASIG,"Coro"),""))</f>
        <v/>
      </c>
      <c r="P562" t="str">
        <f>IF(M562="","",IFERROR(AVERAGEIFS(nNOTA,nNIA,M562,nEVAL,CONFIG_METADATA!$B$4,nASIG,"Conjunto"),""))</f>
        <v/>
      </c>
      <c r="Q562" t="str">
        <f>IF(M562="","",IFERROR(AVERAGEIFS(nNOTA,nNIA,M562,nEVAL,CONFIG_METADATA!$B$4,nASIG,"&lt;&gt;Lenguaje Musical",nASIG,"&lt;&gt;Coro",nASIG,"&lt;&gt;Conjunto"),""))</f>
        <v/>
      </c>
      <c r="T562" t="str">
        <f>IF(S562="","",IFERROR(AVERAGEIFS(nNOTA,nNIA,S562,nEVAL,CONFIG_METADATA!$B$4,nASIG,"Lenguaje Musical"),""))</f>
        <v/>
      </c>
      <c r="U562" t="str">
        <f>IF(S562="","",IFERROR(AVERAGEIFS(nNOTA,nNIA,S562,nEVAL,CONFIG_METADATA!$B$4,nASIG,"Coro"),""))</f>
        <v/>
      </c>
      <c r="V562" t="str">
        <f>IF(S562="","",IFERROR(AVERAGEIFS(nNOTA,nNIA,S562,nEVAL,CONFIG_METADATA!$B$4,nASIG,"Conjunto"),""))</f>
        <v/>
      </c>
      <c r="W562" t="str" cm="1">
        <f t="array" ref="W562">IF(S562="","",IFERROR(AVERAGE(IF((nNIA=S562)*(nEVAL=CONFIG_METADATA!$B$4)*(nASIG&lt;&gt;"Lenguaje Musical")*(nASIG&lt;&gt;"Coro")*(nASIG&lt;&gt;"Conjunto"),nNOTA)),""))</f>
        <v/>
      </c>
    </row>
    <row r="563" spans="2:23" x14ac:dyDescent="0.2">
      <c r="B563" t="str">
        <f>IF(A563="","",IFERROR(AVERAGEIFS(nNOTA,nNIA,A563,nEVAL,CONFIG_METADATA!$B$4,nASIG,"Lenguaje Musical"),""))</f>
        <v/>
      </c>
      <c r="C563" t="str">
        <f>IF(A563="","",IFERROR(AVERAGEIFS(nNOTA,nNIA,A563,nEVAL,CONFIG_METADATA!$B$4,nASIG,"Coro"),""))</f>
        <v/>
      </c>
      <c r="D563" t="str">
        <f>IF(A563="","",IFERROR(AVERAGEIFS(nNOTA,nNIA,A563,nEVAL,CONFIG_METADATA!$B$4,nASIG,"Conjunto"),""))</f>
        <v/>
      </c>
      <c r="E563" t="str">
        <f>IF(A563="","",IFERROR(AVERAGEIFS(nNOTA,nNIA,A563,nEVAL,CONFIG_METADATA!$B$4,nASIG,"&lt;&gt;Lenguaje Musical",nASIG,"&lt;&gt;Coro",nASIG,"&lt;&gt;Conjunto"),""))</f>
        <v/>
      </c>
      <c r="H563" t="str">
        <f>IF(G563="","",IFERROR(AVERAGEIFS(nNOTA,nNIA,G563,nEVAL,CONFIG_METADATA!$B$4,nASIG,"Lenguaje Musical"),""))</f>
        <v/>
      </c>
      <c r="I563" t="str">
        <f>IF(G563="","",IFERROR(AVERAGEIFS(nNOTA,nNIA,G563,nEVAL,CONFIG_METADATA!$B$4,nASIG,"Coro"),""))</f>
        <v/>
      </c>
      <c r="J563" t="str">
        <f>IF(G563="","",IFERROR(AVERAGEIFS(nNOTA,nNIA,G563,nEVAL,CONFIG_METADATA!$B$4,nASIG,"Conjunto"),""))</f>
        <v/>
      </c>
      <c r="K563" t="str" cm="1">
        <f t="array" ref="K563">IF(G563="","",IFERROR(AVERAGE(IF((nNIA=G563)*(nEVAL=CONFIG_METADATA!$B$4)*(nASIG&lt;&gt;"Lenguaje Musical")*(nASIG&lt;&gt;"Coro")*(nASIG&lt;&gt;"Conjunto"),nNOTA)),""))</f>
        <v/>
      </c>
      <c r="N563" t="str">
        <f>IF(M563="","",IFERROR(AVERAGEIFS(nNOTA,nNIA,M563,nEVAL,CONFIG_METADATA!$B$4,nASIG,"Lenguaje Musical"),""))</f>
        <v/>
      </c>
      <c r="O563" t="str">
        <f>IF(M563="","",IFERROR(AVERAGEIFS(nNOTA,nNIA,M563,nEVAL,CONFIG_METADATA!$B$4,nASIG,"Coro"),""))</f>
        <v/>
      </c>
      <c r="P563" t="str">
        <f>IF(M563="","",IFERROR(AVERAGEIFS(nNOTA,nNIA,M563,nEVAL,CONFIG_METADATA!$B$4,nASIG,"Conjunto"),""))</f>
        <v/>
      </c>
      <c r="Q563" t="str">
        <f>IF(M563="","",IFERROR(AVERAGEIFS(nNOTA,nNIA,M563,nEVAL,CONFIG_METADATA!$B$4,nASIG,"&lt;&gt;Lenguaje Musical",nASIG,"&lt;&gt;Coro",nASIG,"&lt;&gt;Conjunto"),""))</f>
        <v/>
      </c>
      <c r="T563" t="str">
        <f>IF(S563="","",IFERROR(AVERAGEIFS(nNOTA,nNIA,S563,nEVAL,CONFIG_METADATA!$B$4,nASIG,"Lenguaje Musical"),""))</f>
        <v/>
      </c>
      <c r="U563" t="str">
        <f>IF(S563="","",IFERROR(AVERAGEIFS(nNOTA,nNIA,S563,nEVAL,CONFIG_METADATA!$B$4,nASIG,"Coro"),""))</f>
        <v/>
      </c>
      <c r="V563" t="str">
        <f>IF(S563="","",IFERROR(AVERAGEIFS(nNOTA,nNIA,S563,nEVAL,CONFIG_METADATA!$B$4,nASIG,"Conjunto"),""))</f>
        <v/>
      </c>
      <c r="W563" t="str" cm="1">
        <f t="array" ref="W563">IF(S563="","",IFERROR(AVERAGE(IF((nNIA=S563)*(nEVAL=CONFIG_METADATA!$B$4)*(nASIG&lt;&gt;"Lenguaje Musical")*(nASIG&lt;&gt;"Coro")*(nASIG&lt;&gt;"Conjunto"),nNOTA)),""))</f>
        <v/>
      </c>
    </row>
    <row r="564" spans="2:23" x14ac:dyDescent="0.2">
      <c r="B564" t="str">
        <f>IF(A564="","",IFERROR(AVERAGEIFS(nNOTA,nNIA,A564,nEVAL,CONFIG_METADATA!$B$4,nASIG,"Lenguaje Musical"),""))</f>
        <v/>
      </c>
      <c r="C564" t="str">
        <f>IF(A564="","",IFERROR(AVERAGEIFS(nNOTA,nNIA,A564,nEVAL,CONFIG_METADATA!$B$4,nASIG,"Coro"),""))</f>
        <v/>
      </c>
      <c r="D564" t="str">
        <f>IF(A564="","",IFERROR(AVERAGEIFS(nNOTA,nNIA,A564,nEVAL,CONFIG_METADATA!$B$4,nASIG,"Conjunto"),""))</f>
        <v/>
      </c>
      <c r="E564" t="str">
        <f>IF(A564="","",IFERROR(AVERAGEIFS(nNOTA,nNIA,A564,nEVAL,CONFIG_METADATA!$B$4,nASIG,"&lt;&gt;Lenguaje Musical",nASIG,"&lt;&gt;Coro",nASIG,"&lt;&gt;Conjunto"),""))</f>
        <v/>
      </c>
      <c r="H564" t="str">
        <f>IF(G564="","",IFERROR(AVERAGEIFS(nNOTA,nNIA,G564,nEVAL,CONFIG_METADATA!$B$4,nASIG,"Lenguaje Musical"),""))</f>
        <v/>
      </c>
      <c r="I564" t="str">
        <f>IF(G564="","",IFERROR(AVERAGEIFS(nNOTA,nNIA,G564,nEVAL,CONFIG_METADATA!$B$4,nASIG,"Coro"),""))</f>
        <v/>
      </c>
      <c r="J564" t="str">
        <f>IF(G564="","",IFERROR(AVERAGEIFS(nNOTA,nNIA,G564,nEVAL,CONFIG_METADATA!$B$4,nASIG,"Conjunto"),""))</f>
        <v/>
      </c>
      <c r="K564" t="str" cm="1">
        <f t="array" ref="K564">IF(G564="","",IFERROR(AVERAGE(IF((nNIA=G564)*(nEVAL=CONFIG_METADATA!$B$4)*(nASIG&lt;&gt;"Lenguaje Musical")*(nASIG&lt;&gt;"Coro")*(nASIG&lt;&gt;"Conjunto"),nNOTA)),""))</f>
        <v/>
      </c>
      <c r="N564" t="str">
        <f>IF(M564="","",IFERROR(AVERAGEIFS(nNOTA,nNIA,M564,nEVAL,CONFIG_METADATA!$B$4,nASIG,"Lenguaje Musical"),""))</f>
        <v/>
      </c>
      <c r="O564" t="str">
        <f>IF(M564="","",IFERROR(AVERAGEIFS(nNOTA,nNIA,M564,nEVAL,CONFIG_METADATA!$B$4,nASIG,"Coro"),""))</f>
        <v/>
      </c>
      <c r="P564" t="str">
        <f>IF(M564="","",IFERROR(AVERAGEIFS(nNOTA,nNIA,M564,nEVAL,CONFIG_METADATA!$B$4,nASIG,"Conjunto"),""))</f>
        <v/>
      </c>
      <c r="Q564" t="str">
        <f>IF(M564="","",IFERROR(AVERAGEIFS(nNOTA,nNIA,M564,nEVAL,CONFIG_METADATA!$B$4,nASIG,"&lt;&gt;Lenguaje Musical",nASIG,"&lt;&gt;Coro",nASIG,"&lt;&gt;Conjunto"),""))</f>
        <v/>
      </c>
      <c r="T564" t="str">
        <f>IF(S564="","",IFERROR(AVERAGEIFS(nNOTA,nNIA,S564,nEVAL,CONFIG_METADATA!$B$4,nASIG,"Lenguaje Musical"),""))</f>
        <v/>
      </c>
      <c r="U564" t="str">
        <f>IF(S564="","",IFERROR(AVERAGEIFS(nNOTA,nNIA,S564,nEVAL,CONFIG_METADATA!$B$4,nASIG,"Coro"),""))</f>
        <v/>
      </c>
      <c r="V564" t="str">
        <f>IF(S564="","",IFERROR(AVERAGEIFS(nNOTA,nNIA,S564,nEVAL,CONFIG_METADATA!$B$4,nASIG,"Conjunto"),""))</f>
        <v/>
      </c>
      <c r="W564" t="str" cm="1">
        <f t="array" ref="W564">IF(S564="","",IFERROR(AVERAGE(IF((nNIA=S564)*(nEVAL=CONFIG_METADATA!$B$4)*(nASIG&lt;&gt;"Lenguaje Musical")*(nASIG&lt;&gt;"Coro")*(nASIG&lt;&gt;"Conjunto"),nNOTA)),""))</f>
        <v/>
      </c>
    </row>
    <row r="565" spans="2:23" x14ac:dyDescent="0.2">
      <c r="B565" t="str">
        <f>IF(A565="","",IFERROR(AVERAGEIFS(nNOTA,nNIA,A565,nEVAL,CONFIG_METADATA!$B$4,nASIG,"Lenguaje Musical"),""))</f>
        <v/>
      </c>
      <c r="C565" t="str">
        <f>IF(A565="","",IFERROR(AVERAGEIFS(nNOTA,nNIA,A565,nEVAL,CONFIG_METADATA!$B$4,nASIG,"Coro"),""))</f>
        <v/>
      </c>
      <c r="D565" t="str">
        <f>IF(A565="","",IFERROR(AVERAGEIFS(nNOTA,nNIA,A565,nEVAL,CONFIG_METADATA!$B$4,nASIG,"Conjunto"),""))</f>
        <v/>
      </c>
      <c r="E565" t="str">
        <f>IF(A565="","",IFERROR(AVERAGEIFS(nNOTA,nNIA,A565,nEVAL,CONFIG_METADATA!$B$4,nASIG,"&lt;&gt;Lenguaje Musical",nASIG,"&lt;&gt;Coro",nASIG,"&lt;&gt;Conjunto"),""))</f>
        <v/>
      </c>
      <c r="H565" t="str">
        <f>IF(G565="","",IFERROR(AVERAGEIFS(nNOTA,nNIA,G565,nEVAL,CONFIG_METADATA!$B$4,nASIG,"Lenguaje Musical"),""))</f>
        <v/>
      </c>
      <c r="I565" t="str">
        <f>IF(G565="","",IFERROR(AVERAGEIFS(nNOTA,nNIA,G565,nEVAL,CONFIG_METADATA!$B$4,nASIG,"Coro"),""))</f>
        <v/>
      </c>
      <c r="J565" t="str">
        <f>IF(G565="","",IFERROR(AVERAGEIFS(nNOTA,nNIA,G565,nEVAL,CONFIG_METADATA!$B$4,nASIG,"Conjunto"),""))</f>
        <v/>
      </c>
      <c r="K565" t="str" cm="1">
        <f t="array" ref="K565">IF(G565="","",IFERROR(AVERAGE(IF((nNIA=G565)*(nEVAL=CONFIG_METADATA!$B$4)*(nASIG&lt;&gt;"Lenguaje Musical")*(nASIG&lt;&gt;"Coro")*(nASIG&lt;&gt;"Conjunto"),nNOTA)),""))</f>
        <v/>
      </c>
      <c r="N565" t="str">
        <f>IF(M565="","",IFERROR(AVERAGEIFS(nNOTA,nNIA,M565,nEVAL,CONFIG_METADATA!$B$4,nASIG,"Lenguaje Musical"),""))</f>
        <v/>
      </c>
      <c r="O565" t="str">
        <f>IF(M565="","",IFERROR(AVERAGEIFS(nNOTA,nNIA,M565,nEVAL,CONFIG_METADATA!$B$4,nASIG,"Coro"),""))</f>
        <v/>
      </c>
      <c r="P565" t="str">
        <f>IF(M565="","",IFERROR(AVERAGEIFS(nNOTA,nNIA,M565,nEVAL,CONFIG_METADATA!$B$4,nASIG,"Conjunto"),""))</f>
        <v/>
      </c>
      <c r="Q565" t="str">
        <f>IF(M565="","",IFERROR(AVERAGEIFS(nNOTA,nNIA,M565,nEVAL,CONFIG_METADATA!$B$4,nASIG,"&lt;&gt;Lenguaje Musical",nASIG,"&lt;&gt;Coro",nASIG,"&lt;&gt;Conjunto"),""))</f>
        <v/>
      </c>
      <c r="T565" t="str">
        <f>IF(S565="","",IFERROR(AVERAGEIFS(nNOTA,nNIA,S565,nEVAL,CONFIG_METADATA!$B$4,nASIG,"Lenguaje Musical"),""))</f>
        <v/>
      </c>
      <c r="U565" t="str">
        <f>IF(S565="","",IFERROR(AVERAGEIFS(nNOTA,nNIA,S565,nEVAL,CONFIG_METADATA!$B$4,nASIG,"Coro"),""))</f>
        <v/>
      </c>
      <c r="V565" t="str">
        <f>IF(S565="","",IFERROR(AVERAGEIFS(nNOTA,nNIA,S565,nEVAL,CONFIG_METADATA!$B$4,nASIG,"Conjunto"),""))</f>
        <v/>
      </c>
      <c r="W565" t="str" cm="1">
        <f t="array" ref="W565">IF(S565="","",IFERROR(AVERAGE(IF((nNIA=S565)*(nEVAL=CONFIG_METADATA!$B$4)*(nASIG&lt;&gt;"Lenguaje Musical")*(nASIG&lt;&gt;"Coro")*(nASIG&lt;&gt;"Conjunto"),nNOTA)),""))</f>
        <v/>
      </c>
    </row>
    <row r="566" spans="2:23" x14ac:dyDescent="0.2">
      <c r="B566" t="str">
        <f>IF(A566="","",IFERROR(AVERAGEIFS(nNOTA,nNIA,A566,nEVAL,CONFIG_METADATA!$B$4,nASIG,"Lenguaje Musical"),""))</f>
        <v/>
      </c>
      <c r="C566" t="str">
        <f>IF(A566="","",IFERROR(AVERAGEIFS(nNOTA,nNIA,A566,nEVAL,CONFIG_METADATA!$B$4,nASIG,"Coro"),""))</f>
        <v/>
      </c>
      <c r="D566" t="str">
        <f>IF(A566="","",IFERROR(AVERAGEIFS(nNOTA,nNIA,A566,nEVAL,CONFIG_METADATA!$B$4,nASIG,"Conjunto"),""))</f>
        <v/>
      </c>
      <c r="E566" t="str">
        <f>IF(A566="","",IFERROR(AVERAGEIFS(nNOTA,nNIA,A566,nEVAL,CONFIG_METADATA!$B$4,nASIG,"&lt;&gt;Lenguaje Musical",nASIG,"&lt;&gt;Coro",nASIG,"&lt;&gt;Conjunto"),""))</f>
        <v/>
      </c>
      <c r="H566" t="str">
        <f>IF(G566="","",IFERROR(AVERAGEIFS(nNOTA,nNIA,G566,nEVAL,CONFIG_METADATA!$B$4,nASIG,"Lenguaje Musical"),""))</f>
        <v/>
      </c>
      <c r="I566" t="str">
        <f>IF(G566="","",IFERROR(AVERAGEIFS(nNOTA,nNIA,G566,nEVAL,CONFIG_METADATA!$B$4,nASIG,"Coro"),""))</f>
        <v/>
      </c>
      <c r="J566" t="str">
        <f>IF(G566="","",IFERROR(AVERAGEIFS(nNOTA,nNIA,G566,nEVAL,CONFIG_METADATA!$B$4,nASIG,"Conjunto"),""))</f>
        <v/>
      </c>
      <c r="K566" t="str" cm="1">
        <f t="array" ref="K566">IF(G566="","",IFERROR(AVERAGE(IF((nNIA=G566)*(nEVAL=CONFIG_METADATA!$B$4)*(nASIG&lt;&gt;"Lenguaje Musical")*(nASIG&lt;&gt;"Coro")*(nASIG&lt;&gt;"Conjunto"),nNOTA)),""))</f>
        <v/>
      </c>
      <c r="N566" t="str">
        <f>IF(M566="","",IFERROR(AVERAGEIFS(nNOTA,nNIA,M566,nEVAL,CONFIG_METADATA!$B$4,nASIG,"Lenguaje Musical"),""))</f>
        <v/>
      </c>
      <c r="O566" t="str">
        <f>IF(M566="","",IFERROR(AVERAGEIFS(nNOTA,nNIA,M566,nEVAL,CONFIG_METADATA!$B$4,nASIG,"Coro"),""))</f>
        <v/>
      </c>
      <c r="P566" t="str">
        <f>IF(M566="","",IFERROR(AVERAGEIFS(nNOTA,nNIA,M566,nEVAL,CONFIG_METADATA!$B$4,nASIG,"Conjunto"),""))</f>
        <v/>
      </c>
      <c r="Q566" t="str">
        <f>IF(M566="","",IFERROR(AVERAGEIFS(nNOTA,nNIA,M566,nEVAL,CONFIG_METADATA!$B$4,nASIG,"&lt;&gt;Lenguaje Musical",nASIG,"&lt;&gt;Coro",nASIG,"&lt;&gt;Conjunto"),""))</f>
        <v/>
      </c>
      <c r="T566" t="str">
        <f>IF(S566="","",IFERROR(AVERAGEIFS(nNOTA,nNIA,S566,nEVAL,CONFIG_METADATA!$B$4,nASIG,"Lenguaje Musical"),""))</f>
        <v/>
      </c>
      <c r="U566" t="str">
        <f>IF(S566="","",IFERROR(AVERAGEIFS(nNOTA,nNIA,S566,nEVAL,CONFIG_METADATA!$B$4,nASIG,"Coro"),""))</f>
        <v/>
      </c>
      <c r="V566" t="str">
        <f>IF(S566="","",IFERROR(AVERAGEIFS(nNOTA,nNIA,S566,nEVAL,CONFIG_METADATA!$B$4,nASIG,"Conjunto"),""))</f>
        <v/>
      </c>
      <c r="W566" t="str" cm="1">
        <f t="array" ref="W566">IF(S566="","",IFERROR(AVERAGE(IF((nNIA=S566)*(nEVAL=CONFIG_METADATA!$B$4)*(nASIG&lt;&gt;"Lenguaje Musical")*(nASIG&lt;&gt;"Coro")*(nASIG&lt;&gt;"Conjunto"),nNOTA)),""))</f>
        <v/>
      </c>
    </row>
    <row r="567" spans="2:23" x14ac:dyDescent="0.2">
      <c r="B567" t="str">
        <f>IF(A567="","",IFERROR(AVERAGEIFS(nNOTA,nNIA,A567,nEVAL,CONFIG_METADATA!$B$4,nASIG,"Lenguaje Musical"),""))</f>
        <v/>
      </c>
      <c r="C567" t="str">
        <f>IF(A567="","",IFERROR(AVERAGEIFS(nNOTA,nNIA,A567,nEVAL,CONFIG_METADATA!$B$4,nASIG,"Coro"),""))</f>
        <v/>
      </c>
      <c r="D567" t="str">
        <f>IF(A567="","",IFERROR(AVERAGEIFS(nNOTA,nNIA,A567,nEVAL,CONFIG_METADATA!$B$4,nASIG,"Conjunto"),""))</f>
        <v/>
      </c>
      <c r="E567" t="str">
        <f>IF(A567="","",IFERROR(AVERAGEIFS(nNOTA,nNIA,A567,nEVAL,CONFIG_METADATA!$B$4,nASIG,"&lt;&gt;Lenguaje Musical",nASIG,"&lt;&gt;Coro",nASIG,"&lt;&gt;Conjunto"),""))</f>
        <v/>
      </c>
      <c r="H567" t="str">
        <f>IF(G567="","",IFERROR(AVERAGEIFS(nNOTA,nNIA,G567,nEVAL,CONFIG_METADATA!$B$4,nASIG,"Lenguaje Musical"),""))</f>
        <v/>
      </c>
      <c r="I567" t="str">
        <f>IF(G567="","",IFERROR(AVERAGEIFS(nNOTA,nNIA,G567,nEVAL,CONFIG_METADATA!$B$4,nASIG,"Coro"),""))</f>
        <v/>
      </c>
      <c r="J567" t="str">
        <f>IF(G567="","",IFERROR(AVERAGEIFS(nNOTA,nNIA,G567,nEVAL,CONFIG_METADATA!$B$4,nASIG,"Conjunto"),""))</f>
        <v/>
      </c>
      <c r="K567" t="str" cm="1">
        <f t="array" ref="K567">IF(G567="","",IFERROR(AVERAGE(IF((nNIA=G567)*(nEVAL=CONFIG_METADATA!$B$4)*(nASIG&lt;&gt;"Lenguaje Musical")*(nASIG&lt;&gt;"Coro")*(nASIG&lt;&gt;"Conjunto"),nNOTA)),""))</f>
        <v/>
      </c>
      <c r="N567" t="str">
        <f>IF(M567="","",IFERROR(AVERAGEIFS(nNOTA,nNIA,M567,nEVAL,CONFIG_METADATA!$B$4,nASIG,"Lenguaje Musical"),""))</f>
        <v/>
      </c>
      <c r="O567" t="str">
        <f>IF(M567="","",IFERROR(AVERAGEIFS(nNOTA,nNIA,M567,nEVAL,CONFIG_METADATA!$B$4,nASIG,"Coro"),""))</f>
        <v/>
      </c>
      <c r="P567" t="str">
        <f>IF(M567="","",IFERROR(AVERAGEIFS(nNOTA,nNIA,M567,nEVAL,CONFIG_METADATA!$B$4,nASIG,"Conjunto"),""))</f>
        <v/>
      </c>
      <c r="Q567" t="str">
        <f>IF(M567="","",IFERROR(AVERAGEIFS(nNOTA,nNIA,M567,nEVAL,CONFIG_METADATA!$B$4,nASIG,"&lt;&gt;Lenguaje Musical",nASIG,"&lt;&gt;Coro",nASIG,"&lt;&gt;Conjunto"),""))</f>
        <v/>
      </c>
      <c r="T567" t="str">
        <f>IF(S567="","",IFERROR(AVERAGEIFS(nNOTA,nNIA,S567,nEVAL,CONFIG_METADATA!$B$4,nASIG,"Lenguaje Musical"),""))</f>
        <v/>
      </c>
      <c r="U567" t="str">
        <f>IF(S567="","",IFERROR(AVERAGEIFS(nNOTA,nNIA,S567,nEVAL,CONFIG_METADATA!$B$4,nASIG,"Coro"),""))</f>
        <v/>
      </c>
      <c r="V567" t="str">
        <f>IF(S567="","",IFERROR(AVERAGEIFS(nNOTA,nNIA,S567,nEVAL,CONFIG_METADATA!$B$4,nASIG,"Conjunto"),""))</f>
        <v/>
      </c>
      <c r="W567" t="str" cm="1">
        <f t="array" ref="W567">IF(S567="","",IFERROR(AVERAGE(IF((nNIA=S567)*(nEVAL=CONFIG_METADATA!$B$4)*(nASIG&lt;&gt;"Lenguaje Musical")*(nASIG&lt;&gt;"Coro")*(nASIG&lt;&gt;"Conjunto"),nNOTA)),""))</f>
        <v/>
      </c>
    </row>
    <row r="568" spans="2:23" x14ac:dyDescent="0.2">
      <c r="B568" t="str">
        <f>IF(A568="","",IFERROR(AVERAGEIFS(nNOTA,nNIA,A568,nEVAL,CONFIG_METADATA!$B$4,nASIG,"Lenguaje Musical"),""))</f>
        <v/>
      </c>
      <c r="C568" t="str">
        <f>IF(A568="","",IFERROR(AVERAGEIFS(nNOTA,nNIA,A568,nEVAL,CONFIG_METADATA!$B$4,nASIG,"Coro"),""))</f>
        <v/>
      </c>
      <c r="D568" t="str">
        <f>IF(A568="","",IFERROR(AVERAGEIFS(nNOTA,nNIA,A568,nEVAL,CONFIG_METADATA!$B$4,nASIG,"Conjunto"),""))</f>
        <v/>
      </c>
      <c r="E568" t="str">
        <f>IF(A568="","",IFERROR(AVERAGEIFS(nNOTA,nNIA,A568,nEVAL,CONFIG_METADATA!$B$4,nASIG,"&lt;&gt;Lenguaje Musical",nASIG,"&lt;&gt;Coro",nASIG,"&lt;&gt;Conjunto"),""))</f>
        <v/>
      </c>
      <c r="H568" t="str">
        <f>IF(G568="","",IFERROR(AVERAGEIFS(nNOTA,nNIA,G568,nEVAL,CONFIG_METADATA!$B$4,nASIG,"Lenguaje Musical"),""))</f>
        <v/>
      </c>
      <c r="I568" t="str">
        <f>IF(G568="","",IFERROR(AVERAGEIFS(nNOTA,nNIA,G568,nEVAL,CONFIG_METADATA!$B$4,nASIG,"Coro"),""))</f>
        <v/>
      </c>
      <c r="J568" t="str">
        <f>IF(G568="","",IFERROR(AVERAGEIFS(nNOTA,nNIA,G568,nEVAL,CONFIG_METADATA!$B$4,nASIG,"Conjunto"),""))</f>
        <v/>
      </c>
      <c r="K568" t="str" cm="1">
        <f t="array" ref="K568">IF(G568="","",IFERROR(AVERAGE(IF((nNIA=G568)*(nEVAL=CONFIG_METADATA!$B$4)*(nASIG&lt;&gt;"Lenguaje Musical")*(nASIG&lt;&gt;"Coro")*(nASIG&lt;&gt;"Conjunto"),nNOTA)),""))</f>
        <v/>
      </c>
      <c r="N568" t="str">
        <f>IF(M568="","",IFERROR(AVERAGEIFS(nNOTA,nNIA,M568,nEVAL,CONFIG_METADATA!$B$4,nASIG,"Lenguaje Musical"),""))</f>
        <v/>
      </c>
      <c r="O568" t="str">
        <f>IF(M568="","",IFERROR(AVERAGEIFS(nNOTA,nNIA,M568,nEVAL,CONFIG_METADATA!$B$4,nASIG,"Coro"),""))</f>
        <v/>
      </c>
      <c r="P568" t="str">
        <f>IF(M568="","",IFERROR(AVERAGEIFS(nNOTA,nNIA,M568,nEVAL,CONFIG_METADATA!$B$4,nASIG,"Conjunto"),""))</f>
        <v/>
      </c>
      <c r="Q568" t="str">
        <f>IF(M568="","",IFERROR(AVERAGEIFS(nNOTA,nNIA,M568,nEVAL,CONFIG_METADATA!$B$4,nASIG,"&lt;&gt;Lenguaje Musical",nASIG,"&lt;&gt;Coro",nASIG,"&lt;&gt;Conjunto"),""))</f>
        <v/>
      </c>
      <c r="T568" t="str">
        <f>IF(S568="","",IFERROR(AVERAGEIFS(nNOTA,nNIA,S568,nEVAL,CONFIG_METADATA!$B$4,nASIG,"Lenguaje Musical"),""))</f>
        <v/>
      </c>
      <c r="U568" t="str">
        <f>IF(S568="","",IFERROR(AVERAGEIFS(nNOTA,nNIA,S568,nEVAL,CONFIG_METADATA!$B$4,nASIG,"Coro"),""))</f>
        <v/>
      </c>
      <c r="V568" t="str">
        <f>IF(S568="","",IFERROR(AVERAGEIFS(nNOTA,nNIA,S568,nEVAL,CONFIG_METADATA!$B$4,nASIG,"Conjunto"),""))</f>
        <v/>
      </c>
      <c r="W568" t="str" cm="1">
        <f t="array" ref="W568">IF(S568="","",IFERROR(AVERAGE(IF((nNIA=S568)*(nEVAL=CONFIG_METADATA!$B$4)*(nASIG&lt;&gt;"Lenguaje Musical")*(nASIG&lt;&gt;"Coro")*(nASIG&lt;&gt;"Conjunto"),nNOTA)),""))</f>
        <v/>
      </c>
    </row>
    <row r="569" spans="2:23" x14ac:dyDescent="0.2">
      <c r="B569" t="str">
        <f>IF(A569="","",IFERROR(AVERAGEIFS(nNOTA,nNIA,A569,nEVAL,CONFIG_METADATA!$B$4,nASIG,"Lenguaje Musical"),""))</f>
        <v/>
      </c>
      <c r="C569" t="str">
        <f>IF(A569="","",IFERROR(AVERAGEIFS(nNOTA,nNIA,A569,nEVAL,CONFIG_METADATA!$B$4,nASIG,"Coro"),""))</f>
        <v/>
      </c>
      <c r="D569" t="str">
        <f>IF(A569="","",IFERROR(AVERAGEIFS(nNOTA,nNIA,A569,nEVAL,CONFIG_METADATA!$B$4,nASIG,"Conjunto"),""))</f>
        <v/>
      </c>
      <c r="E569" t="str">
        <f>IF(A569="","",IFERROR(AVERAGEIFS(nNOTA,nNIA,A569,nEVAL,CONFIG_METADATA!$B$4,nASIG,"&lt;&gt;Lenguaje Musical",nASIG,"&lt;&gt;Coro",nASIG,"&lt;&gt;Conjunto"),""))</f>
        <v/>
      </c>
      <c r="H569" t="str">
        <f>IF(G569="","",IFERROR(AVERAGEIFS(nNOTA,nNIA,G569,nEVAL,CONFIG_METADATA!$B$4,nASIG,"Lenguaje Musical"),""))</f>
        <v/>
      </c>
      <c r="I569" t="str">
        <f>IF(G569="","",IFERROR(AVERAGEIFS(nNOTA,nNIA,G569,nEVAL,CONFIG_METADATA!$B$4,nASIG,"Coro"),""))</f>
        <v/>
      </c>
      <c r="J569" t="str">
        <f>IF(G569="","",IFERROR(AVERAGEIFS(nNOTA,nNIA,G569,nEVAL,CONFIG_METADATA!$B$4,nASIG,"Conjunto"),""))</f>
        <v/>
      </c>
      <c r="K569" t="str" cm="1">
        <f t="array" ref="K569">IF(G569="","",IFERROR(AVERAGE(IF((nNIA=G569)*(nEVAL=CONFIG_METADATA!$B$4)*(nASIG&lt;&gt;"Lenguaje Musical")*(nASIG&lt;&gt;"Coro")*(nASIG&lt;&gt;"Conjunto"),nNOTA)),""))</f>
        <v/>
      </c>
      <c r="N569" t="str">
        <f>IF(M569="","",IFERROR(AVERAGEIFS(nNOTA,nNIA,M569,nEVAL,CONFIG_METADATA!$B$4,nASIG,"Lenguaje Musical"),""))</f>
        <v/>
      </c>
      <c r="O569" t="str">
        <f>IF(M569="","",IFERROR(AVERAGEIFS(nNOTA,nNIA,M569,nEVAL,CONFIG_METADATA!$B$4,nASIG,"Coro"),""))</f>
        <v/>
      </c>
      <c r="P569" t="str">
        <f>IF(M569="","",IFERROR(AVERAGEIFS(nNOTA,nNIA,M569,nEVAL,CONFIG_METADATA!$B$4,nASIG,"Conjunto"),""))</f>
        <v/>
      </c>
      <c r="Q569" t="str">
        <f>IF(M569="","",IFERROR(AVERAGEIFS(nNOTA,nNIA,M569,nEVAL,CONFIG_METADATA!$B$4,nASIG,"&lt;&gt;Lenguaje Musical",nASIG,"&lt;&gt;Coro",nASIG,"&lt;&gt;Conjunto"),""))</f>
        <v/>
      </c>
      <c r="T569" t="str">
        <f>IF(S569="","",IFERROR(AVERAGEIFS(nNOTA,nNIA,S569,nEVAL,CONFIG_METADATA!$B$4,nASIG,"Lenguaje Musical"),""))</f>
        <v/>
      </c>
      <c r="U569" t="str">
        <f>IF(S569="","",IFERROR(AVERAGEIFS(nNOTA,nNIA,S569,nEVAL,CONFIG_METADATA!$B$4,nASIG,"Coro"),""))</f>
        <v/>
      </c>
      <c r="V569" t="str">
        <f>IF(S569="","",IFERROR(AVERAGEIFS(nNOTA,nNIA,S569,nEVAL,CONFIG_METADATA!$B$4,nASIG,"Conjunto"),""))</f>
        <v/>
      </c>
      <c r="W569" t="str" cm="1">
        <f t="array" ref="W569">IF(S569="","",IFERROR(AVERAGE(IF((nNIA=S569)*(nEVAL=CONFIG_METADATA!$B$4)*(nASIG&lt;&gt;"Lenguaje Musical")*(nASIG&lt;&gt;"Coro")*(nASIG&lt;&gt;"Conjunto"),nNOTA)),""))</f>
        <v/>
      </c>
    </row>
    <row r="570" spans="2:23" x14ac:dyDescent="0.2">
      <c r="B570" t="str">
        <f>IF(A570="","",IFERROR(AVERAGEIFS(nNOTA,nNIA,A570,nEVAL,CONFIG_METADATA!$B$4,nASIG,"Lenguaje Musical"),""))</f>
        <v/>
      </c>
      <c r="C570" t="str">
        <f>IF(A570="","",IFERROR(AVERAGEIFS(nNOTA,nNIA,A570,nEVAL,CONFIG_METADATA!$B$4,nASIG,"Coro"),""))</f>
        <v/>
      </c>
      <c r="D570" t="str">
        <f>IF(A570="","",IFERROR(AVERAGEIFS(nNOTA,nNIA,A570,nEVAL,CONFIG_METADATA!$B$4,nASIG,"Conjunto"),""))</f>
        <v/>
      </c>
      <c r="E570" t="str">
        <f>IF(A570="","",IFERROR(AVERAGEIFS(nNOTA,nNIA,A570,nEVAL,CONFIG_METADATA!$B$4,nASIG,"&lt;&gt;Lenguaje Musical",nASIG,"&lt;&gt;Coro",nASIG,"&lt;&gt;Conjunto"),""))</f>
        <v/>
      </c>
      <c r="H570" t="str">
        <f>IF(G570="","",IFERROR(AVERAGEIFS(nNOTA,nNIA,G570,nEVAL,CONFIG_METADATA!$B$4,nASIG,"Lenguaje Musical"),""))</f>
        <v/>
      </c>
      <c r="I570" t="str">
        <f>IF(G570="","",IFERROR(AVERAGEIFS(nNOTA,nNIA,G570,nEVAL,CONFIG_METADATA!$B$4,nASIG,"Coro"),""))</f>
        <v/>
      </c>
      <c r="J570" t="str">
        <f>IF(G570="","",IFERROR(AVERAGEIFS(nNOTA,nNIA,G570,nEVAL,CONFIG_METADATA!$B$4,nASIG,"Conjunto"),""))</f>
        <v/>
      </c>
      <c r="K570" t="str" cm="1">
        <f t="array" ref="K570">IF(G570="","",IFERROR(AVERAGE(IF((nNIA=G570)*(nEVAL=CONFIG_METADATA!$B$4)*(nASIG&lt;&gt;"Lenguaje Musical")*(nASIG&lt;&gt;"Coro")*(nASIG&lt;&gt;"Conjunto"),nNOTA)),""))</f>
        <v/>
      </c>
      <c r="N570" t="str">
        <f>IF(M570="","",IFERROR(AVERAGEIFS(nNOTA,nNIA,M570,nEVAL,CONFIG_METADATA!$B$4,nASIG,"Lenguaje Musical"),""))</f>
        <v/>
      </c>
      <c r="O570" t="str">
        <f>IF(M570="","",IFERROR(AVERAGEIFS(nNOTA,nNIA,M570,nEVAL,CONFIG_METADATA!$B$4,nASIG,"Coro"),""))</f>
        <v/>
      </c>
      <c r="P570" t="str">
        <f>IF(M570="","",IFERROR(AVERAGEIFS(nNOTA,nNIA,M570,nEVAL,CONFIG_METADATA!$B$4,nASIG,"Conjunto"),""))</f>
        <v/>
      </c>
      <c r="Q570" t="str">
        <f>IF(M570="","",IFERROR(AVERAGEIFS(nNOTA,nNIA,M570,nEVAL,CONFIG_METADATA!$B$4,nASIG,"&lt;&gt;Lenguaje Musical",nASIG,"&lt;&gt;Coro",nASIG,"&lt;&gt;Conjunto"),""))</f>
        <v/>
      </c>
      <c r="T570" t="str">
        <f>IF(S570="","",IFERROR(AVERAGEIFS(nNOTA,nNIA,S570,nEVAL,CONFIG_METADATA!$B$4,nASIG,"Lenguaje Musical"),""))</f>
        <v/>
      </c>
      <c r="U570" t="str">
        <f>IF(S570="","",IFERROR(AVERAGEIFS(nNOTA,nNIA,S570,nEVAL,CONFIG_METADATA!$B$4,nASIG,"Coro"),""))</f>
        <v/>
      </c>
      <c r="V570" t="str">
        <f>IF(S570="","",IFERROR(AVERAGEIFS(nNOTA,nNIA,S570,nEVAL,CONFIG_METADATA!$B$4,nASIG,"Conjunto"),""))</f>
        <v/>
      </c>
      <c r="W570" t="str" cm="1">
        <f t="array" ref="W570">IF(S570="","",IFERROR(AVERAGE(IF((nNIA=S570)*(nEVAL=CONFIG_METADATA!$B$4)*(nASIG&lt;&gt;"Lenguaje Musical")*(nASIG&lt;&gt;"Coro")*(nASIG&lt;&gt;"Conjunto"),nNOTA)),""))</f>
        <v/>
      </c>
    </row>
    <row r="571" spans="2:23" x14ac:dyDescent="0.2">
      <c r="B571" t="str">
        <f>IF(A571="","",IFERROR(AVERAGEIFS(nNOTA,nNIA,A571,nEVAL,CONFIG_METADATA!$B$4,nASIG,"Lenguaje Musical"),""))</f>
        <v/>
      </c>
      <c r="C571" t="str">
        <f>IF(A571="","",IFERROR(AVERAGEIFS(nNOTA,nNIA,A571,nEVAL,CONFIG_METADATA!$B$4,nASIG,"Coro"),""))</f>
        <v/>
      </c>
      <c r="D571" t="str">
        <f>IF(A571="","",IFERROR(AVERAGEIFS(nNOTA,nNIA,A571,nEVAL,CONFIG_METADATA!$B$4,nASIG,"Conjunto"),""))</f>
        <v/>
      </c>
      <c r="E571" t="str">
        <f>IF(A571="","",IFERROR(AVERAGEIFS(nNOTA,nNIA,A571,nEVAL,CONFIG_METADATA!$B$4,nASIG,"&lt;&gt;Lenguaje Musical",nASIG,"&lt;&gt;Coro",nASIG,"&lt;&gt;Conjunto"),""))</f>
        <v/>
      </c>
      <c r="H571" t="str">
        <f>IF(G571="","",IFERROR(AVERAGEIFS(nNOTA,nNIA,G571,nEVAL,CONFIG_METADATA!$B$4,nASIG,"Lenguaje Musical"),""))</f>
        <v/>
      </c>
      <c r="I571" t="str">
        <f>IF(G571="","",IFERROR(AVERAGEIFS(nNOTA,nNIA,G571,nEVAL,CONFIG_METADATA!$B$4,nASIG,"Coro"),""))</f>
        <v/>
      </c>
      <c r="J571" t="str">
        <f>IF(G571="","",IFERROR(AVERAGEIFS(nNOTA,nNIA,G571,nEVAL,CONFIG_METADATA!$B$4,nASIG,"Conjunto"),""))</f>
        <v/>
      </c>
      <c r="K571" t="str" cm="1">
        <f t="array" ref="K571">IF(G571="","",IFERROR(AVERAGE(IF((nNIA=G571)*(nEVAL=CONFIG_METADATA!$B$4)*(nASIG&lt;&gt;"Lenguaje Musical")*(nASIG&lt;&gt;"Coro")*(nASIG&lt;&gt;"Conjunto"),nNOTA)),""))</f>
        <v/>
      </c>
      <c r="N571" t="str">
        <f>IF(M571="","",IFERROR(AVERAGEIFS(nNOTA,nNIA,M571,nEVAL,CONFIG_METADATA!$B$4,nASIG,"Lenguaje Musical"),""))</f>
        <v/>
      </c>
      <c r="O571" t="str">
        <f>IF(M571="","",IFERROR(AVERAGEIFS(nNOTA,nNIA,M571,nEVAL,CONFIG_METADATA!$B$4,nASIG,"Coro"),""))</f>
        <v/>
      </c>
      <c r="P571" t="str">
        <f>IF(M571="","",IFERROR(AVERAGEIFS(nNOTA,nNIA,M571,nEVAL,CONFIG_METADATA!$B$4,nASIG,"Conjunto"),""))</f>
        <v/>
      </c>
      <c r="Q571" t="str">
        <f>IF(M571="","",IFERROR(AVERAGEIFS(nNOTA,nNIA,M571,nEVAL,CONFIG_METADATA!$B$4,nASIG,"&lt;&gt;Lenguaje Musical",nASIG,"&lt;&gt;Coro",nASIG,"&lt;&gt;Conjunto"),""))</f>
        <v/>
      </c>
      <c r="T571" t="str">
        <f>IF(S571="","",IFERROR(AVERAGEIFS(nNOTA,nNIA,S571,nEVAL,CONFIG_METADATA!$B$4,nASIG,"Lenguaje Musical"),""))</f>
        <v/>
      </c>
      <c r="U571" t="str">
        <f>IF(S571="","",IFERROR(AVERAGEIFS(nNOTA,nNIA,S571,nEVAL,CONFIG_METADATA!$B$4,nASIG,"Coro"),""))</f>
        <v/>
      </c>
      <c r="V571" t="str">
        <f>IF(S571="","",IFERROR(AVERAGEIFS(nNOTA,nNIA,S571,nEVAL,CONFIG_METADATA!$B$4,nASIG,"Conjunto"),""))</f>
        <v/>
      </c>
      <c r="W571" t="str" cm="1">
        <f t="array" ref="W571">IF(S571="","",IFERROR(AVERAGE(IF((nNIA=S571)*(nEVAL=CONFIG_METADATA!$B$4)*(nASIG&lt;&gt;"Lenguaje Musical")*(nASIG&lt;&gt;"Coro")*(nASIG&lt;&gt;"Conjunto"),nNOTA)),""))</f>
        <v/>
      </c>
    </row>
    <row r="572" spans="2:23" x14ac:dyDescent="0.2">
      <c r="B572" t="str">
        <f>IF(A572="","",IFERROR(AVERAGEIFS(nNOTA,nNIA,A572,nEVAL,CONFIG_METADATA!$B$4,nASIG,"Lenguaje Musical"),""))</f>
        <v/>
      </c>
      <c r="C572" t="str">
        <f>IF(A572="","",IFERROR(AVERAGEIFS(nNOTA,nNIA,A572,nEVAL,CONFIG_METADATA!$B$4,nASIG,"Coro"),""))</f>
        <v/>
      </c>
      <c r="D572" t="str">
        <f>IF(A572="","",IFERROR(AVERAGEIFS(nNOTA,nNIA,A572,nEVAL,CONFIG_METADATA!$B$4,nASIG,"Conjunto"),""))</f>
        <v/>
      </c>
      <c r="E572" t="str">
        <f>IF(A572="","",IFERROR(AVERAGEIFS(nNOTA,nNIA,A572,nEVAL,CONFIG_METADATA!$B$4,nASIG,"&lt;&gt;Lenguaje Musical",nASIG,"&lt;&gt;Coro",nASIG,"&lt;&gt;Conjunto"),""))</f>
        <v/>
      </c>
      <c r="H572" t="str">
        <f>IF(G572="","",IFERROR(AVERAGEIFS(nNOTA,nNIA,G572,nEVAL,CONFIG_METADATA!$B$4,nASIG,"Lenguaje Musical"),""))</f>
        <v/>
      </c>
      <c r="I572" t="str">
        <f>IF(G572="","",IFERROR(AVERAGEIFS(nNOTA,nNIA,G572,nEVAL,CONFIG_METADATA!$B$4,nASIG,"Coro"),""))</f>
        <v/>
      </c>
      <c r="J572" t="str">
        <f>IF(G572="","",IFERROR(AVERAGEIFS(nNOTA,nNIA,G572,nEVAL,CONFIG_METADATA!$B$4,nASIG,"Conjunto"),""))</f>
        <v/>
      </c>
      <c r="K572" t="str" cm="1">
        <f t="array" ref="K572">IF(G572="","",IFERROR(AVERAGE(IF((nNIA=G572)*(nEVAL=CONFIG_METADATA!$B$4)*(nASIG&lt;&gt;"Lenguaje Musical")*(nASIG&lt;&gt;"Coro")*(nASIG&lt;&gt;"Conjunto"),nNOTA)),""))</f>
        <v/>
      </c>
      <c r="N572" t="str">
        <f>IF(M572="","",IFERROR(AVERAGEIFS(nNOTA,nNIA,M572,nEVAL,CONFIG_METADATA!$B$4,nASIG,"Lenguaje Musical"),""))</f>
        <v/>
      </c>
      <c r="O572" t="str">
        <f>IF(M572="","",IFERROR(AVERAGEIFS(nNOTA,nNIA,M572,nEVAL,CONFIG_METADATA!$B$4,nASIG,"Coro"),""))</f>
        <v/>
      </c>
      <c r="P572" t="str">
        <f>IF(M572="","",IFERROR(AVERAGEIFS(nNOTA,nNIA,M572,nEVAL,CONFIG_METADATA!$B$4,nASIG,"Conjunto"),""))</f>
        <v/>
      </c>
      <c r="Q572" t="str">
        <f>IF(M572="","",IFERROR(AVERAGEIFS(nNOTA,nNIA,M572,nEVAL,CONFIG_METADATA!$B$4,nASIG,"&lt;&gt;Lenguaje Musical",nASIG,"&lt;&gt;Coro",nASIG,"&lt;&gt;Conjunto"),""))</f>
        <v/>
      </c>
      <c r="T572" t="str">
        <f>IF(S572="","",IFERROR(AVERAGEIFS(nNOTA,nNIA,S572,nEVAL,CONFIG_METADATA!$B$4,nASIG,"Lenguaje Musical"),""))</f>
        <v/>
      </c>
      <c r="U572" t="str">
        <f>IF(S572="","",IFERROR(AVERAGEIFS(nNOTA,nNIA,S572,nEVAL,CONFIG_METADATA!$B$4,nASIG,"Coro"),""))</f>
        <v/>
      </c>
      <c r="V572" t="str">
        <f>IF(S572="","",IFERROR(AVERAGEIFS(nNOTA,nNIA,S572,nEVAL,CONFIG_METADATA!$B$4,nASIG,"Conjunto"),""))</f>
        <v/>
      </c>
      <c r="W572" t="str" cm="1">
        <f t="array" ref="W572">IF(S572="","",IFERROR(AVERAGE(IF((nNIA=S572)*(nEVAL=CONFIG_METADATA!$B$4)*(nASIG&lt;&gt;"Lenguaje Musical")*(nASIG&lt;&gt;"Coro")*(nASIG&lt;&gt;"Conjunto"),nNOTA)),""))</f>
        <v/>
      </c>
    </row>
    <row r="573" spans="2:23" x14ac:dyDescent="0.2">
      <c r="B573" t="str">
        <f>IF(A573="","",IFERROR(AVERAGEIFS(nNOTA,nNIA,A573,nEVAL,CONFIG_METADATA!$B$4,nASIG,"Lenguaje Musical"),""))</f>
        <v/>
      </c>
      <c r="C573" t="str">
        <f>IF(A573="","",IFERROR(AVERAGEIFS(nNOTA,nNIA,A573,nEVAL,CONFIG_METADATA!$B$4,nASIG,"Coro"),""))</f>
        <v/>
      </c>
      <c r="D573" t="str">
        <f>IF(A573="","",IFERROR(AVERAGEIFS(nNOTA,nNIA,A573,nEVAL,CONFIG_METADATA!$B$4,nASIG,"Conjunto"),""))</f>
        <v/>
      </c>
      <c r="E573" t="str">
        <f>IF(A573="","",IFERROR(AVERAGEIFS(nNOTA,nNIA,A573,nEVAL,CONFIG_METADATA!$B$4,nASIG,"&lt;&gt;Lenguaje Musical",nASIG,"&lt;&gt;Coro",nASIG,"&lt;&gt;Conjunto"),""))</f>
        <v/>
      </c>
      <c r="H573" t="str">
        <f>IF(G573="","",IFERROR(AVERAGEIFS(nNOTA,nNIA,G573,nEVAL,CONFIG_METADATA!$B$4,nASIG,"Lenguaje Musical"),""))</f>
        <v/>
      </c>
      <c r="I573" t="str">
        <f>IF(G573="","",IFERROR(AVERAGEIFS(nNOTA,nNIA,G573,nEVAL,CONFIG_METADATA!$B$4,nASIG,"Coro"),""))</f>
        <v/>
      </c>
      <c r="J573" t="str">
        <f>IF(G573="","",IFERROR(AVERAGEIFS(nNOTA,nNIA,G573,nEVAL,CONFIG_METADATA!$B$4,nASIG,"Conjunto"),""))</f>
        <v/>
      </c>
      <c r="K573" t="str" cm="1">
        <f t="array" ref="K573">IF(G573="","",IFERROR(AVERAGE(IF((nNIA=G573)*(nEVAL=CONFIG_METADATA!$B$4)*(nASIG&lt;&gt;"Lenguaje Musical")*(nASIG&lt;&gt;"Coro")*(nASIG&lt;&gt;"Conjunto"),nNOTA)),""))</f>
        <v/>
      </c>
      <c r="N573" t="str">
        <f>IF(M573="","",IFERROR(AVERAGEIFS(nNOTA,nNIA,M573,nEVAL,CONFIG_METADATA!$B$4,nASIG,"Lenguaje Musical"),""))</f>
        <v/>
      </c>
      <c r="O573" t="str">
        <f>IF(M573="","",IFERROR(AVERAGEIFS(nNOTA,nNIA,M573,nEVAL,CONFIG_METADATA!$B$4,nASIG,"Coro"),""))</f>
        <v/>
      </c>
      <c r="P573" t="str">
        <f>IF(M573="","",IFERROR(AVERAGEIFS(nNOTA,nNIA,M573,nEVAL,CONFIG_METADATA!$B$4,nASIG,"Conjunto"),""))</f>
        <v/>
      </c>
      <c r="Q573" t="str">
        <f>IF(M573="","",IFERROR(AVERAGEIFS(nNOTA,nNIA,M573,nEVAL,CONFIG_METADATA!$B$4,nASIG,"&lt;&gt;Lenguaje Musical",nASIG,"&lt;&gt;Coro",nASIG,"&lt;&gt;Conjunto"),""))</f>
        <v/>
      </c>
      <c r="T573" t="str">
        <f>IF(S573="","",IFERROR(AVERAGEIFS(nNOTA,nNIA,S573,nEVAL,CONFIG_METADATA!$B$4,nASIG,"Lenguaje Musical"),""))</f>
        <v/>
      </c>
      <c r="U573" t="str">
        <f>IF(S573="","",IFERROR(AVERAGEIFS(nNOTA,nNIA,S573,nEVAL,CONFIG_METADATA!$B$4,nASIG,"Coro"),""))</f>
        <v/>
      </c>
      <c r="V573" t="str">
        <f>IF(S573="","",IFERROR(AVERAGEIFS(nNOTA,nNIA,S573,nEVAL,CONFIG_METADATA!$B$4,nASIG,"Conjunto"),""))</f>
        <v/>
      </c>
      <c r="W573" t="str" cm="1">
        <f t="array" ref="W573">IF(S573="","",IFERROR(AVERAGE(IF((nNIA=S573)*(nEVAL=CONFIG_METADATA!$B$4)*(nASIG&lt;&gt;"Lenguaje Musical")*(nASIG&lt;&gt;"Coro")*(nASIG&lt;&gt;"Conjunto"),nNOTA)),""))</f>
        <v/>
      </c>
    </row>
    <row r="574" spans="2:23" x14ac:dyDescent="0.2">
      <c r="B574" t="str">
        <f>IF(A574="","",IFERROR(AVERAGEIFS(nNOTA,nNIA,A574,nEVAL,CONFIG_METADATA!$B$4,nASIG,"Lenguaje Musical"),""))</f>
        <v/>
      </c>
      <c r="C574" t="str">
        <f>IF(A574="","",IFERROR(AVERAGEIFS(nNOTA,nNIA,A574,nEVAL,CONFIG_METADATA!$B$4,nASIG,"Coro"),""))</f>
        <v/>
      </c>
      <c r="D574" t="str">
        <f>IF(A574="","",IFERROR(AVERAGEIFS(nNOTA,nNIA,A574,nEVAL,CONFIG_METADATA!$B$4,nASIG,"Conjunto"),""))</f>
        <v/>
      </c>
      <c r="E574" t="str">
        <f>IF(A574="","",IFERROR(AVERAGEIFS(nNOTA,nNIA,A574,nEVAL,CONFIG_METADATA!$B$4,nASIG,"&lt;&gt;Lenguaje Musical",nASIG,"&lt;&gt;Coro",nASIG,"&lt;&gt;Conjunto"),""))</f>
        <v/>
      </c>
      <c r="H574" t="str">
        <f>IF(G574="","",IFERROR(AVERAGEIFS(nNOTA,nNIA,G574,nEVAL,CONFIG_METADATA!$B$4,nASIG,"Lenguaje Musical"),""))</f>
        <v/>
      </c>
      <c r="I574" t="str">
        <f>IF(G574="","",IFERROR(AVERAGEIFS(nNOTA,nNIA,G574,nEVAL,CONFIG_METADATA!$B$4,nASIG,"Coro"),""))</f>
        <v/>
      </c>
      <c r="J574" t="str">
        <f>IF(G574="","",IFERROR(AVERAGEIFS(nNOTA,nNIA,G574,nEVAL,CONFIG_METADATA!$B$4,nASIG,"Conjunto"),""))</f>
        <v/>
      </c>
      <c r="K574" t="str" cm="1">
        <f t="array" ref="K574">IF(G574="","",IFERROR(AVERAGE(IF((nNIA=G574)*(nEVAL=CONFIG_METADATA!$B$4)*(nASIG&lt;&gt;"Lenguaje Musical")*(nASIG&lt;&gt;"Coro")*(nASIG&lt;&gt;"Conjunto"),nNOTA)),""))</f>
        <v/>
      </c>
      <c r="N574" t="str">
        <f>IF(M574="","",IFERROR(AVERAGEIFS(nNOTA,nNIA,M574,nEVAL,CONFIG_METADATA!$B$4,nASIG,"Lenguaje Musical"),""))</f>
        <v/>
      </c>
      <c r="O574" t="str">
        <f>IF(M574="","",IFERROR(AVERAGEIFS(nNOTA,nNIA,M574,nEVAL,CONFIG_METADATA!$B$4,nASIG,"Coro"),""))</f>
        <v/>
      </c>
      <c r="P574" t="str">
        <f>IF(M574="","",IFERROR(AVERAGEIFS(nNOTA,nNIA,M574,nEVAL,CONFIG_METADATA!$B$4,nASIG,"Conjunto"),""))</f>
        <v/>
      </c>
      <c r="Q574" t="str">
        <f>IF(M574="","",IFERROR(AVERAGEIFS(nNOTA,nNIA,M574,nEVAL,CONFIG_METADATA!$B$4,nASIG,"&lt;&gt;Lenguaje Musical",nASIG,"&lt;&gt;Coro",nASIG,"&lt;&gt;Conjunto"),""))</f>
        <v/>
      </c>
      <c r="T574" t="str">
        <f>IF(S574="","",IFERROR(AVERAGEIFS(nNOTA,nNIA,S574,nEVAL,CONFIG_METADATA!$B$4,nASIG,"Lenguaje Musical"),""))</f>
        <v/>
      </c>
      <c r="U574" t="str">
        <f>IF(S574="","",IFERROR(AVERAGEIFS(nNOTA,nNIA,S574,nEVAL,CONFIG_METADATA!$B$4,nASIG,"Coro"),""))</f>
        <v/>
      </c>
      <c r="V574" t="str">
        <f>IF(S574="","",IFERROR(AVERAGEIFS(nNOTA,nNIA,S574,nEVAL,CONFIG_METADATA!$B$4,nASIG,"Conjunto"),""))</f>
        <v/>
      </c>
      <c r="W574" t="str" cm="1">
        <f t="array" ref="W574">IF(S574="","",IFERROR(AVERAGE(IF((nNIA=S574)*(nEVAL=CONFIG_METADATA!$B$4)*(nASIG&lt;&gt;"Lenguaje Musical")*(nASIG&lt;&gt;"Coro")*(nASIG&lt;&gt;"Conjunto"),nNOTA)),""))</f>
        <v/>
      </c>
    </row>
    <row r="575" spans="2:23" x14ac:dyDescent="0.2">
      <c r="B575" t="str">
        <f>IF(A575="","",IFERROR(AVERAGEIFS(nNOTA,nNIA,A575,nEVAL,CONFIG_METADATA!$B$4,nASIG,"Lenguaje Musical"),""))</f>
        <v/>
      </c>
      <c r="C575" t="str">
        <f>IF(A575="","",IFERROR(AVERAGEIFS(nNOTA,nNIA,A575,nEVAL,CONFIG_METADATA!$B$4,nASIG,"Coro"),""))</f>
        <v/>
      </c>
      <c r="D575" t="str">
        <f>IF(A575="","",IFERROR(AVERAGEIFS(nNOTA,nNIA,A575,nEVAL,CONFIG_METADATA!$B$4,nASIG,"Conjunto"),""))</f>
        <v/>
      </c>
      <c r="E575" t="str">
        <f>IF(A575="","",IFERROR(AVERAGEIFS(nNOTA,nNIA,A575,nEVAL,CONFIG_METADATA!$B$4,nASIG,"&lt;&gt;Lenguaje Musical",nASIG,"&lt;&gt;Coro",nASIG,"&lt;&gt;Conjunto"),""))</f>
        <v/>
      </c>
      <c r="H575" t="str">
        <f>IF(G575="","",IFERROR(AVERAGEIFS(nNOTA,nNIA,G575,nEVAL,CONFIG_METADATA!$B$4,nASIG,"Lenguaje Musical"),""))</f>
        <v/>
      </c>
      <c r="I575" t="str">
        <f>IF(G575="","",IFERROR(AVERAGEIFS(nNOTA,nNIA,G575,nEVAL,CONFIG_METADATA!$B$4,nASIG,"Coro"),""))</f>
        <v/>
      </c>
      <c r="J575" t="str">
        <f>IF(G575="","",IFERROR(AVERAGEIFS(nNOTA,nNIA,G575,nEVAL,CONFIG_METADATA!$B$4,nASIG,"Conjunto"),""))</f>
        <v/>
      </c>
      <c r="K575" t="str" cm="1">
        <f t="array" ref="K575">IF(G575="","",IFERROR(AVERAGE(IF((nNIA=G575)*(nEVAL=CONFIG_METADATA!$B$4)*(nASIG&lt;&gt;"Lenguaje Musical")*(nASIG&lt;&gt;"Coro")*(nASIG&lt;&gt;"Conjunto"),nNOTA)),""))</f>
        <v/>
      </c>
      <c r="N575" t="str">
        <f>IF(M575="","",IFERROR(AVERAGEIFS(nNOTA,nNIA,M575,nEVAL,CONFIG_METADATA!$B$4,nASIG,"Lenguaje Musical"),""))</f>
        <v/>
      </c>
      <c r="O575" t="str">
        <f>IF(M575="","",IFERROR(AVERAGEIFS(nNOTA,nNIA,M575,nEVAL,CONFIG_METADATA!$B$4,nASIG,"Coro"),""))</f>
        <v/>
      </c>
      <c r="P575" t="str">
        <f>IF(M575="","",IFERROR(AVERAGEIFS(nNOTA,nNIA,M575,nEVAL,CONFIG_METADATA!$B$4,nASIG,"Conjunto"),""))</f>
        <v/>
      </c>
      <c r="Q575" t="str">
        <f>IF(M575="","",IFERROR(AVERAGEIFS(nNOTA,nNIA,M575,nEVAL,CONFIG_METADATA!$B$4,nASIG,"&lt;&gt;Lenguaje Musical",nASIG,"&lt;&gt;Coro",nASIG,"&lt;&gt;Conjunto"),""))</f>
        <v/>
      </c>
      <c r="T575" t="str">
        <f>IF(S575="","",IFERROR(AVERAGEIFS(nNOTA,nNIA,S575,nEVAL,CONFIG_METADATA!$B$4,nASIG,"Lenguaje Musical"),""))</f>
        <v/>
      </c>
      <c r="U575" t="str">
        <f>IF(S575="","",IFERROR(AVERAGEIFS(nNOTA,nNIA,S575,nEVAL,CONFIG_METADATA!$B$4,nASIG,"Coro"),""))</f>
        <v/>
      </c>
      <c r="V575" t="str">
        <f>IF(S575="","",IFERROR(AVERAGEIFS(nNOTA,nNIA,S575,nEVAL,CONFIG_METADATA!$B$4,nASIG,"Conjunto"),""))</f>
        <v/>
      </c>
      <c r="W575" t="str" cm="1">
        <f t="array" ref="W575">IF(S575="","",IFERROR(AVERAGE(IF((nNIA=S575)*(nEVAL=CONFIG_METADATA!$B$4)*(nASIG&lt;&gt;"Lenguaje Musical")*(nASIG&lt;&gt;"Coro")*(nASIG&lt;&gt;"Conjunto"),nNOTA)),""))</f>
        <v/>
      </c>
    </row>
    <row r="576" spans="2:23" x14ac:dyDescent="0.2">
      <c r="B576" t="str">
        <f>IF(A576="","",IFERROR(AVERAGEIFS(nNOTA,nNIA,A576,nEVAL,CONFIG_METADATA!$B$4,nASIG,"Lenguaje Musical"),""))</f>
        <v/>
      </c>
      <c r="C576" t="str">
        <f>IF(A576="","",IFERROR(AVERAGEIFS(nNOTA,nNIA,A576,nEVAL,CONFIG_METADATA!$B$4,nASIG,"Coro"),""))</f>
        <v/>
      </c>
      <c r="D576" t="str">
        <f>IF(A576="","",IFERROR(AVERAGEIFS(nNOTA,nNIA,A576,nEVAL,CONFIG_METADATA!$B$4,nASIG,"Conjunto"),""))</f>
        <v/>
      </c>
      <c r="E576" t="str">
        <f>IF(A576="","",IFERROR(AVERAGEIFS(nNOTA,nNIA,A576,nEVAL,CONFIG_METADATA!$B$4,nASIG,"&lt;&gt;Lenguaje Musical",nASIG,"&lt;&gt;Coro",nASIG,"&lt;&gt;Conjunto"),""))</f>
        <v/>
      </c>
      <c r="H576" t="str">
        <f>IF(G576="","",IFERROR(AVERAGEIFS(nNOTA,nNIA,G576,nEVAL,CONFIG_METADATA!$B$4,nASIG,"Lenguaje Musical"),""))</f>
        <v/>
      </c>
      <c r="I576" t="str">
        <f>IF(G576="","",IFERROR(AVERAGEIFS(nNOTA,nNIA,G576,nEVAL,CONFIG_METADATA!$B$4,nASIG,"Coro"),""))</f>
        <v/>
      </c>
      <c r="J576" t="str">
        <f>IF(G576="","",IFERROR(AVERAGEIFS(nNOTA,nNIA,G576,nEVAL,CONFIG_METADATA!$B$4,nASIG,"Conjunto"),""))</f>
        <v/>
      </c>
      <c r="K576" t="str" cm="1">
        <f t="array" ref="K576">IF(G576="","",IFERROR(AVERAGE(IF((nNIA=G576)*(nEVAL=CONFIG_METADATA!$B$4)*(nASIG&lt;&gt;"Lenguaje Musical")*(nASIG&lt;&gt;"Coro")*(nASIG&lt;&gt;"Conjunto"),nNOTA)),""))</f>
        <v/>
      </c>
      <c r="N576" t="str">
        <f>IF(M576="","",IFERROR(AVERAGEIFS(nNOTA,nNIA,M576,nEVAL,CONFIG_METADATA!$B$4,nASIG,"Lenguaje Musical"),""))</f>
        <v/>
      </c>
      <c r="O576" t="str">
        <f>IF(M576="","",IFERROR(AVERAGEIFS(nNOTA,nNIA,M576,nEVAL,CONFIG_METADATA!$B$4,nASIG,"Coro"),""))</f>
        <v/>
      </c>
      <c r="P576" t="str">
        <f>IF(M576="","",IFERROR(AVERAGEIFS(nNOTA,nNIA,M576,nEVAL,CONFIG_METADATA!$B$4,nASIG,"Conjunto"),""))</f>
        <v/>
      </c>
      <c r="Q576" t="str">
        <f>IF(M576="","",IFERROR(AVERAGEIFS(nNOTA,nNIA,M576,nEVAL,CONFIG_METADATA!$B$4,nASIG,"&lt;&gt;Lenguaje Musical",nASIG,"&lt;&gt;Coro",nASIG,"&lt;&gt;Conjunto"),""))</f>
        <v/>
      </c>
      <c r="T576" t="str">
        <f>IF(S576="","",IFERROR(AVERAGEIFS(nNOTA,nNIA,S576,nEVAL,CONFIG_METADATA!$B$4,nASIG,"Lenguaje Musical"),""))</f>
        <v/>
      </c>
      <c r="U576" t="str">
        <f>IF(S576="","",IFERROR(AVERAGEIFS(nNOTA,nNIA,S576,nEVAL,CONFIG_METADATA!$B$4,nASIG,"Coro"),""))</f>
        <v/>
      </c>
      <c r="V576" t="str">
        <f>IF(S576="","",IFERROR(AVERAGEIFS(nNOTA,nNIA,S576,nEVAL,CONFIG_METADATA!$B$4,nASIG,"Conjunto"),""))</f>
        <v/>
      </c>
      <c r="W576" t="str" cm="1">
        <f t="array" ref="W576">IF(S576="","",IFERROR(AVERAGE(IF((nNIA=S576)*(nEVAL=CONFIG_METADATA!$B$4)*(nASIG&lt;&gt;"Lenguaje Musical")*(nASIG&lt;&gt;"Coro")*(nASIG&lt;&gt;"Conjunto"),nNOTA)),""))</f>
        <v/>
      </c>
    </row>
    <row r="577" spans="2:23" x14ac:dyDescent="0.2">
      <c r="B577" t="str">
        <f>IF(A577="","",IFERROR(AVERAGEIFS(nNOTA,nNIA,A577,nEVAL,CONFIG_METADATA!$B$4,nASIG,"Lenguaje Musical"),""))</f>
        <v/>
      </c>
      <c r="C577" t="str">
        <f>IF(A577="","",IFERROR(AVERAGEIFS(nNOTA,nNIA,A577,nEVAL,CONFIG_METADATA!$B$4,nASIG,"Coro"),""))</f>
        <v/>
      </c>
      <c r="D577" t="str">
        <f>IF(A577="","",IFERROR(AVERAGEIFS(nNOTA,nNIA,A577,nEVAL,CONFIG_METADATA!$B$4,nASIG,"Conjunto"),""))</f>
        <v/>
      </c>
      <c r="E577" t="str">
        <f>IF(A577="","",IFERROR(AVERAGEIFS(nNOTA,nNIA,A577,nEVAL,CONFIG_METADATA!$B$4,nASIG,"&lt;&gt;Lenguaje Musical",nASIG,"&lt;&gt;Coro",nASIG,"&lt;&gt;Conjunto"),""))</f>
        <v/>
      </c>
      <c r="H577" t="str">
        <f>IF(G577="","",IFERROR(AVERAGEIFS(nNOTA,nNIA,G577,nEVAL,CONFIG_METADATA!$B$4,nASIG,"Lenguaje Musical"),""))</f>
        <v/>
      </c>
      <c r="I577" t="str">
        <f>IF(G577="","",IFERROR(AVERAGEIFS(nNOTA,nNIA,G577,nEVAL,CONFIG_METADATA!$B$4,nASIG,"Coro"),""))</f>
        <v/>
      </c>
      <c r="J577" t="str">
        <f>IF(G577="","",IFERROR(AVERAGEIFS(nNOTA,nNIA,G577,nEVAL,CONFIG_METADATA!$B$4,nASIG,"Conjunto"),""))</f>
        <v/>
      </c>
      <c r="K577" t="str" cm="1">
        <f t="array" ref="K577">IF(G577="","",IFERROR(AVERAGE(IF((nNIA=G577)*(nEVAL=CONFIG_METADATA!$B$4)*(nASIG&lt;&gt;"Lenguaje Musical")*(nASIG&lt;&gt;"Coro")*(nASIG&lt;&gt;"Conjunto"),nNOTA)),""))</f>
        <v/>
      </c>
      <c r="N577" t="str">
        <f>IF(M577="","",IFERROR(AVERAGEIFS(nNOTA,nNIA,M577,nEVAL,CONFIG_METADATA!$B$4,nASIG,"Lenguaje Musical"),""))</f>
        <v/>
      </c>
      <c r="O577" t="str">
        <f>IF(M577="","",IFERROR(AVERAGEIFS(nNOTA,nNIA,M577,nEVAL,CONFIG_METADATA!$B$4,nASIG,"Coro"),""))</f>
        <v/>
      </c>
      <c r="P577" t="str">
        <f>IF(M577="","",IFERROR(AVERAGEIFS(nNOTA,nNIA,M577,nEVAL,CONFIG_METADATA!$B$4,nASIG,"Conjunto"),""))</f>
        <v/>
      </c>
      <c r="Q577" t="str">
        <f>IF(M577="","",IFERROR(AVERAGEIFS(nNOTA,nNIA,M577,nEVAL,CONFIG_METADATA!$B$4,nASIG,"&lt;&gt;Lenguaje Musical",nASIG,"&lt;&gt;Coro",nASIG,"&lt;&gt;Conjunto"),""))</f>
        <v/>
      </c>
      <c r="T577" t="str">
        <f>IF(S577="","",IFERROR(AVERAGEIFS(nNOTA,nNIA,S577,nEVAL,CONFIG_METADATA!$B$4,nASIG,"Lenguaje Musical"),""))</f>
        <v/>
      </c>
      <c r="U577" t="str">
        <f>IF(S577="","",IFERROR(AVERAGEIFS(nNOTA,nNIA,S577,nEVAL,CONFIG_METADATA!$B$4,nASIG,"Coro"),""))</f>
        <v/>
      </c>
      <c r="V577" t="str">
        <f>IF(S577="","",IFERROR(AVERAGEIFS(nNOTA,nNIA,S577,nEVAL,CONFIG_METADATA!$B$4,nASIG,"Conjunto"),""))</f>
        <v/>
      </c>
      <c r="W577" t="str" cm="1">
        <f t="array" ref="W577">IF(S577="","",IFERROR(AVERAGE(IF((nNIA=S577)*(nEVAL=CONFIG_METADATA!$B$4)*(nASIG&lt;&gt;"Lenguaje Musical")*(nASIG&lt;&gt;"Coro")*(nASIG&lt;&gt;"Conjunto"),nNOTA)),""))</f>
        <v/>
      </c>
    </row>
    <row r="578" spans="2:23" x14ac:dyDescent="0.2">
      <c r="B578" t="str">
        <f>IF(A578="","",IFERROR(AVERAGEIFS(nNOTA,nNIA,A578,nEVAL,CONFIG_METADATA!$B$4,nASIG,"Lenguaje Musical"),""))</f>
        <v/>
      </c>
      <c r="C578" t="str">
        <f>IF(A578="","",IFERROR(AVERAGEIFS(nNOTA,nNIA,A578,nEVAL,CONFIG_METADATA!$B$4,nASIG,"Coro"),""))</f>
        <v/>
      </c>
      <c r="D578" t="str">
        <f>IF(A578="","",IFERROR(AVERAGEIFS(nNOTA,nNIA,A578,nEVAL,CONFIG_METADATA!$B$4,nASIG,"Conjunto"),""))</f>
        <v/>
      </c>
      <c r="E578" t="str">
        <f>IF(A578="","",IFERROR(AVERAGEIFS(nNOTA,nNIA,A578,nEVAL,CONFIG_METADATA!$B$4,nASIG,"&lt;&gt;Lenguaje Musical",nASIG,"&lt;&gt;Coro",nASIG,"&lt;&gt;Conjunto"),""))</f>
        <v/>
      </c>
      <c r="H578" t="str">
        <f>IF(G578="","",IFERROR(AVERAGEIFS(nNOTA,nNIA,G578,nEVAL,CONFIG_METADATA!$B$4,nASIG,"Lenguaje Musical"),""))</f>
        <v/>
      </c>
      <c r="I578" t="str">
        <f>IF(G578="","",IFERROR(AVERAGEIFS(nNOTA,nNIA,G578,nEVAL,CONFIG_METADATA!$B$4,nASIG,"Coro"),""))</f>
        <v/>
      </c>
      <c r="J578" t="str">
        <f>IF(G578="","",IFERROR(AVERAGEIFS(nNOTA,nNIA,G578,nEVAL,CONFIG_METADATA!$B$4,nASIG,"Conjunto"),""))</f>
        <v/>
      </c>
      <c r="K578" t="str" cm="1">
        <f t="array" ref="K578">IF(G578="","",IFERROR(AVERAGE(IF((nNIA=G578)*(nEVAL=CONFIG_METADATA!$B$4)*(nASIG&lt;&gt;"Lenguaje Musical")*(nASIG&lt;&gt;"Coro")*(nASIG&lt;&gt;"Conjunto"),nNOTA)),""))</f>
        <v/>
      </c>
      <c r="N578" t="str">
        <f>IF(M578="","",IFERROR(AVERAGEIFS(nNOTA,nNIA,M578,nEVAL,CONFIG_METADATA!$B$4,nASIG,"Lenguaje Musical"),""))</f>
        <v/>
      </c>
      <c r="O578" t="str">
        <f>IF(M578="","",IFERROR(AVERAGEIFS(nNOTA,nNIA,M578,nEVAL,CONFIG_METADATA!$B$4,nASIG,"Coro"),""))</f>
        <v/>
      </c>
      <c r="P578" t="str">
        <f>IF(M578="","",IFERROR(AVERAGEIFS(nNOTA,nNIA,M578,nEVAL,CONFIG_METADATA!$B$4,nASIG,"Conjunto"),""))</f>
        <v/>
      </c>
      <c r="Q578" t="str">
        <f>IF(M578="","",IFERROR(AVERAGEIFS(nNOTA,nNIA,M578,nEVAL,CONFIG_METADATA!$B$4,nASIG,"&lt;&gt;Lenguaje Musical",nASIG,"&lt;&gt;Coro",nASIG,"&lt;&gt;Conjunto"),""))</f>
        <v/>
      </c>
      <c r="T578" t="str">
        <f>IF(S578="","",IFERROR(AVERAGEIFS(nNOTA,nNIA,S578,nEVAL,CONFIG_METADATA!$B$4,nASIG,"Lenguaje Musical"),""))</f>
        <v/>
      </c>
      <c r="U578" t="str">
        <f>IF(S578="","",IFERROR(AVERAGEIFS(nNOTA,nNIA,S578,nEVAL,CONFIG_METADATA!$B$4,nASIG,"Coro"),""))</f>
        <v/>
      </c>
      <c r="V578" t="str">
        <f>IF(S578="","",IFERROR(AVERAGEIFS(nNOTA,nNIA,S578,nEVAL,CONFIG_METADATA!$B$4,nASIG,"Conjunto"),""))</f>
        <v/>
      </c>
      <c r="W578" t="str" cm="1">
        <f t="array" ref="W578">IF(S578="","",IFERROR(AVERAGE(IF((nNIA=S578)*(nEVAL=CONFIG_METADATA!$B$4)*(nASIG&lt;&gt;"Lenguaje Musical")*(nASIG&lt;&gt;"Coro")*(nASIG&lt;&gt;"Conjunto"),nNOTA)),""))</f>
        <v/>
      </c>
    </row>
    <row r="579" spans="2:23" x14ac:dyDescent="0.2">
      <c r="B579" t="str">
        <f>IF(A579="","",IFERROR(AVERAGEIFS(nNOTA,nNIA,A579,nEVAL,CONFIG_METADATA!$B$4,nASIG,"Lenguaje Musical"),""))</f>
        <v/>
      </c>
      <c r="C579" t="str">
        <f>IF(A579="","",IFERROR(AVERAGEIFS(nNOTA,nNIA,A579,nEVAL,CONFIG_METADATA!$B$4,nASIG,"Coro"),""))</f>
        <v/>
      </c>
      <c r="D579" t="str">
        <f>IF(A579="","",IFERROR(AVERAGEIFS(nNOTA,nNIA,A579,nEVAL,CONFIG_METADATA!$B$4,nASIG,"Conjunto"),""))</f>
        <v/>
      </c>
      <c r="E579" t="str">
        <f>IF(A579="","",IFERROR(AVERAGEIFS(nNOTA,nNIA,A579,nEVAL,CONFIG_METADATA!$B$4,nASIG,"&lt;&gt;Lenguaje Musical",nASIG,"&lt;&gt;Coro",nASIG,"&lt;&gt;Conjunto"),""))</f>
        <v/>
      </c>
      <c r="H579" t="str">
        <f>IF(G579="","",IFERROR(AVERAGEIFS(nNOTA,nNIA,G579,nEVAL,CONFIG_METADATA!$B$4,nASIG,"Lenguaje Musical"),""))</f>
        <v/>
      </c>
      <c r="I579" t="str">
        <f>IF(G579="","",IFERROR(AVERAGEIFS(nNOTA,nNIA,G579,nEVAL,CONFIG_METADATA!$B$4,nASIG,"Coro"),""))</f>
        <v/>
      </c>
      <c r="J579" t="str">
        <f>IF(G579="","",IFERROR(AVERAGEIFS(nNOTA,nNIA,G579,nEVAL,CONFIG_METADATA!$B$4,nASIG,"Conjunto"),""))</f>
        <v/>
      </c>
      <c r="K579" t="str" cm="1">
        <f t="array" ref="K579">IF(G579="","",IFERROR(AVERAGE(IF((nNIA=G579)*(nEVAL=CONFIG_METADATA!$B$4)*(nASIG&lt;&gt;"Lenguaje Musical")*(nASIG&lt;&gt;"Coro")*(nASIG&lt;&gt;"Conjunto"),nNOTA)),""))</f>
        <v/>
      </c>
      <c r="N579" t="str">
        <f>IF(M579="","",IFERROR(AVERAGEIFS(nNOTA,nNIA,M579,nEVAL,CONFIG_METADATA!$B$4,nASIG,"Lenguaje Musical"),""))</f>
        <v/>
      </c>
      <c r="O579" t="str">
        <f>IF(M579="","",IFERROR(AVERAGEIFS(nNOTA,nNIA,M579,nEVAL,CONFIG_METADATA!$B$4,nASIG,"Coro"),""))</f>
        <v/>
      </c>
      <c r="P579" t="str">
        <f>IF(M579="","",IFERROR(AVERAGEIFS(nNOTA,nNIA,M579,nEVAL,CONFIG_METADATA!$B$4,nASIG,"Conjunto"),""))</f>
        <v/>
      </c>
      <c r="Q579" t="str">
        <f>IF(M579="","",IFERROR(AVERAGEIFS(nNOTA,nNIA,M579,nEVAL,CONFIG_METADATA!$B$4,nASIG,"&lt;&gt;Lenguaje Musical",nASIG,"&lt;&gt;Coro",nASIG,"&lt;&gt;Conjunto"),""))</f>
        <v/>
      </c>
      <c r="T579" t="str">
        <f>IF(S579="","",IFERROR(AVERAGEIFS(nNOTA,nNIA,S579,nEVAL,CONFIG_METADATA!$B$4,nASIG,"Lenguaje Musical"),""))</f>
        <v/>
      </c>
      <c r="U579" t="str">
        <f>IF(S579="","",IFERROR(AVERAGEIFS(nNOTA,nNIA,S579,nEVAL,CONFIG_METADATA!$B$4,nASIG,"Coro"),""))</f>
        <v/>
      </c>
      <c r="V579" t="str">
        <f>IF(S579="","",IFERROR(AVERAGEIFS(nNOTA,nNIA,S579,nEVAL,CONFIG_METADATA!$B$4,nASIG,"Conjunto"),""))</f>
        <v/>
      </c>
      <c r="W579" t="str" cm="1">
        <f t="array" ref="W579">IF(S579="","",IFERROR(AVERAGE(IF((nNIA=S579)*(nEVAL=CONFIG_METADATA!$B$4)*(nASIG&lt;&gt;"Lenguaje Musical")*(nASIG&lt;&gt;"Coro")*(nASIG&lt;&gt;"Conjunto"),nNOTA)),""))</f>
        <v/>
      </c>
    </row>
    <row r="580" spans="2:23" x14ac:dyDescent="0.2">
      <c r="B580" t="str">
        <f>IF(A580="","",IFERROR(AVERAGEIFS(nNOTA,nNIA,A580,nEVAL,CONFIG_METADATA!$B$4,nASIG,"Lenguaje Musical"),""))</f>
        <v/>
      </c>
      <c r="C580" t="str">
        <f>IF(A580="","",IFERROR(AVERAGEIFS(nNOTA,nNIA,A580,nEVAL,CONFIG_METADATA!$B$4,nASIG,"Coro"),""))</f>
        <v/>
      </c>
      <c r="D580" t="str">
        <f>IF(A580="","",IFERROR(AVERAGEIFS(nNOTA,nNIA,A580,nEVAL,CONFIG_METADATA!$B$4,nASIG,"Conjunto"),""))</f>
        <v/>
      </c>
      <c r="E580" t="str">
        <f>IF(A580="","",IFERROR(AVERAGEIFS(nNOTA,nNIA,A580,nEVAL,CONFIG_METADATA!$B$4,nASIG,"&lt;&gt;Lenguaje Musical",nASIG,"&lt;&gt;Coro",nASIG,"&lt;&gt;Conjunto"),""))</f>
        <v/>
      </c>
      <c r="H580" t="str">
        <f>IF(G580="","",IFERROR(AVERAGEIFS(nNOTA,nNIA,G580,nEVAL,CONFIG_METADATA!$B$4,nASIG,"Lenguaje Musical"),""))</f>
        <v/>
      </c>
      <c r="I580" t="str">
        <f>IF(G580="","",IFERROR(AVERAGEIFS(nNOTA,nNIA,G580,nEVAL,CONFIG_METADATA!$B$4,nASIG,"Coro"),""))</f>
        <v/>
      </c>
      <c r="J580" t="str">
        <f>IF(G580="","",IFERROR(AVERAGEIFS(nNOTA,nNIA,G580,nEVAL,CONFIG_METADATA!$B$4,nASIG,"Conjunto"),""))</f>
        <v/>
      </c>
      <c r="K580" t="str" cm="1">
        <f t="array" ref="K580">IF(G580="","",IFERROR(AVERAGE(IF((nNIA=G580)*(nEVAL=CONFIG_METADATA!$B$4)*(nASIG&lt;&gt;"Lenguaje Musical")*(nASIG&lt;&gt;"Coro")*(nASIG&lt;&gt;"Conjunto"),nNOTA)),""))</f>
        <v/>
      </c>
      <c r="N580" t="str">
        <f>IF(M580="","",IFERROR(AVERAGEIFS(nNOTA,nNIA,M580,nEVAL,CONFIG_METADATA!$B$4,nASIG,"Lenguaje Musical"),""))</f>
        <v/>
      </c>
      <c r="O580" t="str">
        <f>IF(M580="","",IFERROR(AVERAGEIFS(nNOTA,nNIA,M580,nEVAL,CONFIG_METADATA!$B$4,nASIG,"Coro"),""))</f>
        <v/>
      </c>
      <c r="P580" t="str">
        <f>IF(M580="","",IFERROR(AVERAGEIFS(nNOTA,nNIA,M580,nEVAL,CONFIG_METADATA!$B$4,nASIG,"Conjunto"),""))</f>
        <v/>
      </c>
      <c r="Q580" t="str">
        <f>IF(M580="","",IFERROR(AVERAGEIFS(nNOTA,nNIA,M580,nEVAL,CONFIG_METADATA!$B$4,nASIG,"&lt;&gt;Lenguaje Musical",nASIG,"&lt;&gt;Coro",nASIG,"&lt;&gt;Conjunto"),""))</f>
        <v/>
      </c>
      <c r="T580" t="str">
        <f>IF(S580="","",IFERROR(AVERAGEIFS(nNOTA,nNIA,S580,nEVAL,CONFIG_METADATA!$B$4,nASIG,"Lenguaje Musical"),""))</f>
        <v/>
      </c>
      <c r="U580" t="str">
        <f>IF(S580="","",IFERROR(AVERAGEIFS(nNOTA,nNIA,S580,nEVAL,CONFIG_METADATA!$B$4,nASIG,"Coro"),""))</f>
        <v/>
      </c>
      <c r="V580" t="str">
        <f>IF(S580="","",IFERROR(AVERAGEIFS(nNOTA,nNIA,S580,nEVAL,CONFIG_METADATA!$B$4,nASIG,"Conjunto"),""))</f>
        <v/>
      </c>
      <c r="W580" t="str" cm="1">
        <f t="array" ref="W580">IF(S580="","",IFERROR(AVERAGE(IF((nNIA=S580)*(nEVAL=CONFIG_METADATA!$B$4)*(nASIG&lt;&gt;"Lenguaje Musical")*(nASIG&lt;&gt;"Coro")*(nASIG&lt;&gt;"Conjunto"),nNOTA)),""))</f>
        <v/>
      </c>
    </row>
    <row r="581" spans="2:23" x14ac:dyDescent="0.2">
      <c r="B581" t="str">
        <f>IF(A581="","",IFERROR(AVERAGEIFS(nNOTA,nNIA,A581,nEVAL,CONFIG_METADATA!$B$4,nASIG,"Lenguaje Musical"),""))</f>
        <v/>
      </c>
      <c r="C581" t="str">
        <f>IF(A581="","",IFERROR(AVERAGEIFS(nNOTA,nNIA,A581,nEVAL,CONFIG_METADATA!$B$4,nASIG,"Coro"),""))</f>
        <v/>
      </c>
      <c r="D581" t="str">
        <f>IF(A581="","",IFERROR(AVERAGEIFS(nNOTA,nNIA,A581,nEVAL,CONFIG_METADATA!$B$4,nASIG,"Conjunto"),""))</f>
        <v/>
      </c>
      <c r="E581" t="str">
        <f>IF(A581="","",IFERROR(AVERAGEIFS(nNOTA,nNIA,A581,nEVAL,CONFIG_METADATA!$B$4,nASIG,"&lt;&gt;Lenguaje Musical",nASIG,"&lt;&gt;Coro",nASIG,"&lt;&gt;Conjunto"),""))</f>
        <v/>
      </c>
      <c r="H581" t="str">
        <f>IF(G581="","",IFERROR(AVERAGEIFS(nNOTA,nNIA,G581,nEVAL,CONFIG_METADATA!$B$4,nASIG,"Lenguaje Musical"),""))</f>
        <v/>
      </c>
      <c r="I581" t="str">
        <f>IF(G581="","",IFERROR(AVERAGEIFS(nNOTA,nNIA,G581,nEVAL,CONFIG_METADATA!$B$4,nASIG,"Coro"),""))</f>
        <v/>
      </c>
      <c r="J581" t="str">
        <f>IF(G581="","",IFERROR(AVERAGEIFS(nNOTA,nNIA,G581,nEVAL,CONFIG_METADATA!$B$4,nASIG,"Conjunto"),""))</f>
        <v/>
      </c>
      <c r="K581" t="str" cm="1">
        <f t="array" ref="K581">IF(G581="","",IFERROR(AVERAGE(IF((nNIA=G581)*(nEVAL=CONFIG_METADATA!$B$4)*(nASIG&lt;&gt;"Lenguaje Musical")*(nASIG&lt;&gt;"Coro")*(nASIG&lt;&gt;"Conjunto"),nNOTA)),""))</f>
        <v/>
      </c>
      <c r="N581" t="str">
        <f>IF(M581="","",IFERROR(AVERAGEIFS(nNOTA,nNIA,M581,nEVAL,CONFIG_METADATA!$B$4,nASIG,"Lenguaje Musical"),""))</f>
        <v/>
      </c>
      <c r="O581" t="str">
        <f>IF(M581="","",IFERROR(AVERAGEIFS(nNOTA,nNIA,M581,nEVAL,CONFIG_METADATA!$B$4,nASIG,"Coro"),""))</f>
        <v/>
      </c>
      <c r="P581" t="str">
        <f>IF(M581="","",IFERROR(AVERAGEIFS(nNOTA,nNIA,M581,nEVAL,CONFIG_METADATA!$B$4,nASIG,"Conjunto"),""))</f>
        <v/>
      </c>
      <c r="Q581" t="str">
        <f>IF(M581="","",IFERROR(AVERAGEIFS(nNOTA,nNIA,M581,nEVAL,CONFIG_METADATA!$B$4,nASIG,"&lt;&gt;Lenguaje Musical",nASIG,"&lt;&gt;Coro",nASIG,"&lt;&gt;Conjunto"),""))</f>
        <v/>
      </c>
      <c r="T581" t="str">
        <f>IF(S581="","",IFERROR(AVERAGEIFS(nNOTA,nNIA,S581,nEVAL,CONFIG_METADATA!$B$4,nASIG,"Lenguaje Musical"),""))</f>
        <v/>
      </c>
      <c r="U581" t="str">
        <f>IF(S581="","",IFERROR(AVERAGEIFS(nNOTA,nNIA,S581,nEVAL,CONFIG_METADATA!$B$4,nASIG,"Coro"),""))</f>
        <v/>
      </c>
      <c r="V581" t="str">
        <f>IF(S581="","",IFERROR(AVERAGEIFS(nNOTA,nNIA,S581,nEVAL,CONFIG_METADATA!$B$4,nASIG,"Conjunto"),""))</f>
        <v/>
      </c>
      <c r="W581" t="str" cm="1">
        <f t="array" ref="W581">IF(S581="","",IFERROR(AVERAGE(IF((nNIA=S581)*(nEVAL=CONFIG_METADATA!$B$4)*(nASIG&lt;&gt;"Lenguaje Musical")*(nASIG&lt;&gt;"Coro")*(nASIG&lt;&gt;"Conjunto"),nNOTA)),""))</f>
        <v/>
      </c>
    </row>
    <row r="582" spans="2:23" x14ac:dyDescent="0.2">
      <c r="B582" t="str">
        <f>IF(A582="","",IFERROR(AVERAGEIFS(nNOTA,nNIA,A582,nEVAL,CONFIG_METADATA!$B$4,nASIG,"Lenguaje Musical"),""))</f>
        <v/>
      </c>
      <c r="C582" t="str">
        <f>IF(A582="","",IFERROR(AVERAGEIFS(nNOTA,nNIA,A582,nEVAL,CONFIG_METADATA!$B$4,nASIG,"Coro"),""))</f>
        <v/>
      </c>
      <c r="D582" t="str">
        <f>IF(A582="","",IFERROR(AVERAGEIFS(nNOTA,nNIA,A582,nEVAL,CONFIG_METADATA!$B$4,nASIG,"Conjunto"),""))</f>
        <v/>
      </c>
      <c r="E582" t="str">
        <f>IF(A582="","",IFERROR(AVERAGEIFS(nNOTA,nNIA,A582,nEVAL,CONFIG_METADATA!$B$4,nASIG,"&lt;&gt;Lenguaje Musical",nASIG,"&lt;&gt;Coro",nASIG,"&lt;&gt;Conjunto"),""))</f>
        <v/>
      </c>
      <c r="H582" t="str">
        <f>IF(G582="","",IFERROR(AVERAGEIFS(nNOTA,nNIA,G582,nEVAL,CONFIG_METADATA!$B$4,nASIG,"Lenguaje Musical"),""))</f>
        <v/>
      </c>
      <c r="I582" t="str">
        <f>IF(G582="","",IFERROR(AVERAGEIFS(nNOTA,nNIA,G582,nEVAL,CONFIG_METADATA!$B$4,nASIG,"Coro"),""))</f>
        <v/>
      </c>
      <c r="J582" t="str">
        <f>IF(G582="","",IFERROR(AVERAGEIFS(nNOTA,nNIA,G582,nEVAL,CONFIG_METADATA!$B$4,nASIG,"Conjunto"),""))</f>
        <v/>
      </c>
      <c r="K582" t="str" cm="1">
        <f t="array" ref="K582">IF(G582="","",IFERROR(AVERAGE(IF((nNIA=G582)*(nEVAL=CONFIG_METADATA!$B$4)*(nASIG&lt;&gt;"Lenguaje Musical")*(nASIG&lt;&gt;"Coro")*(nASIG&lt;&gt;"Conjunto"),nNOTA)),""))</f>
        <v/>
      </c>
      <c r="N582" t="str">
        <f>IF(M582="","",IFERROR(AVERAGEIFS(nNOTA,nNIA,M582,nEVAL,CONFIG_METADATA!$B$4,nASIG,"Lenguaje Musical"),""))</f>
        <v/>
      </c>
      <c r="O582" t="str">
        <f>IF(M582="","",IFERROR(AVERAGEIFS(nNOTA,nNIA,M582,nEVAL,CONFIG_METADATA!$B$4,nASIG,"Coro"),""))</f>
        <v/>
      </c>
      <c r="P582" t="str">
        <f>IF(M582="","",IFERROR(AVERAGEIFS(nNOTA,nNIA,M582,nEVAL,CONFIG_METADATA!$B$4,nASIG,"Conjunto"),""))</f>
        <v/>
      </c>
      <c r="Q582" t="str">
        <f>IF(M582="","",IFERROR(AVERAGEIFS(nNOTA,nNIA,M582,nEVAL,CONFIG_METADATA!$B$4,nASIG,"&lt;&gt;Lenguaje Musical",nASIG,"&lt;&gt;Coro",nASIG,"&lt;&gt;Conjunto"),""))</f>
        <v/>
      </c>
      <c r="T582" t="str">
        <f>IF(S582="","",IFERROR(AVERAGEIFS(nNOTA,nNIA,S582,nEVAL,CONFIG_METADATA!$B$4,nASIG,"Lenguaje Musical"),""))</f>
        <v/>
      </c>
      <c r="U582" t="str">
        <f>IF(S582="","",IFERROR(AVERAGEIFS(nNOTA,nNIA,S582,nEVAL,CONFIG_METADATA!$B$4,nASIG,"Coro"),""))</f>
        <v/>
      </c>
      <c r="V582" t="str">
        <f>IF(S582="","",IFERROR(AVERAGEIFS(nNOTA,nNIA,S582,nEVAL,CONFIG_METADATA!$B$4,nASIG,"Conjunto"),""))</f>
        <v/>
      </c>
      <c r="W582" t="str" cm="1">
        <f t="array" ref="W582">IF(S582="","",IFERROR(AVERAGE(IF((nNIA=S582)*(nEVAL=CONFIG_METADATA!$B$4)*(nASIG&lt;&gt;"Lenguaje Musical")*(nASIG&lt;&gt;"Coro")*(nASIG&lt;&gt;"Conjunto"),nNOTA)),""))</f>
        <v/>
      </c>
    </row>
    <row r="583" spans="2:23" x14ac:dyDescent="0.2">
      <c r="B583" t="str">
        <f>IF(A583="","",IFERROR(AVERAGEIFS(nNOTA,nNIA,A583,nEVAL,CONFIG_METADATA!$B$4,nASIG,"Lenguaje Musical"),""))</f>
        <v/>
      </c>
      <c r="C583" t="str">
        <f>IF(A583="","",IFERROR(AVERAGEIFS(nNOTA,nNIA,A583,nEVAL,CONFIG_METADATA!$B$4,nASIG,"Coro"),""))</f>
        <v/>
      </c>
      <c r="D583" t="str">
        <f>IF(A583="","",IFERROR(AVERAGEIFS(nNOTA,nNIA,A583,nEVAL,CONFIG_METADATA!$B$4,nASIG,"Conjunto"),""))</f>
        <v/>
      </c>
      <c r="E583" t="str">
        <f>IF(A583="","",IFERROR(AVERAGEIFS(nNOTA,nNIA,A583,nEVAL,CONFIG_METADATA!$B$4,nASIG,"&lt;&gt;Lenguaje Musical",nASIG,"&lt;&gt;Coro",nASIG,"&lt;&gt;Conjunto"),""))</f>
        <v/>
      </c>
      <c r="H583" t="str">
        <f>IF(G583="","",IFERROR(AVERAGEIFS(nNOTA,nNIA,G583,nEVAL,CONFIG_METADATA!$B$4,nASIG,"Lenguaje Musical"),""))</f>
        <v/>
      </c>
      <c r="I583" t="str">
        <f>IF(G583="","",IFERROR(AVERAGEIFS(nNOTA,nNIA,G583,nEVAL,CONFIG_METADATA!$B$4,nASIG,"Coro"),""))</f>
        <v/>
      </c>
      <c r="J583" t="str">
        <f>IF(G583="","",IFERROR(AVERAGEIFS(nNOTA,nNIA,G583,nEVAL,CONFIG_METADATA!$B$4,nASIG,"Conjunto"),""))</f>
        <v/>
      </c>
      <c r="K583" t="str" cm="1">
        <f t="array" ref="K583">IF(G583="","",IFERROR(AVERAGE(IF((nNIA=G583)*(nEVAL=CONFIG_METADATA!$B$4)*(nASIG&lt;&gt;"Lenguaje Musical")*(nASIG&lt;&gt;"Coro")*(nASIG&lt;&gt;"Conjunto"),nNOTA)),""))</f>
        <v/>
      </c>
      <c r="N583" t="str">
        <f>IF(M583="","",IFERROR(AVERAGEIFS(nNOTA,nNIA,M583,nEVAL,CONFIG_METADATA!$B$4,nASIG,"Lenguaje Musical"),""))</f>
        <v/>
      </c>
      <c r="O583" t="str">
        <f>IF(M583="","",IFERROR(AVERAGEIFS(nNOTA,nNIA,M583,nEVAL,CONFIG_METADATA!$B$4,nASIG,"Coro"),""))</f>
        <v/>
      </c>
      <c r="P583" t="str">
        <f>IF(M583="","",IFERROR(AVERAGEIFS(nNOTA,nNIA,M583,nEVAL,CONFIG_METADATA!$B$4,nASIG,"Conjunto"),""))</f>
        <v/>
      </c>
      <c r="Q583" t="str">
        <f>IF(M583="","",IFERROR(AVERAGEIFS(nNOTA,nNIA,M583,nEVAL,CONFIG_METADATA!$B$4,nASIG,"&lt;&gt;Lenguaje Musical",nASIG,"&lt;&gt;Coro",nASIG,"&lt;&gt;Conjunto"),""))</f>
        <v/>
      </c>
      <c r="T583" t="str">
        <f>IF(S583="","",IFERROR(AVERAGEIFS(nNOTA,nNIA,S583,nEVAL,CONFIG_METADATA!$B$4,nASIG,"Lenguaje Musical"),""))</f>
        <v/>
      </c>
      <c r="U583" t="str">
        <f>IF(S583="","",IFERROR(AVERAGEIFS(nNOTA,nNIA,S583,nEVAL,CONFIG_METADATA!$B$4,nASIG,"Coro"),""))</f>
        <v/>
      </c>
      <c r="V583" t="str">
        <f>IF(S583="","",IFERROR(AVERAGEIFS(nNOTA,nNIA,S583,nEVAL,CONFIG_METADATA!$B$4,nASIG,"Conjunto"),""))</f>
        <v/>
      </c>
      <c r="W583" t="str" cm="1">
        <f t="array" ref="W583">IF(S583="","",IFERROR(AVERAGE(IF((nNIA=S583)*(nEVAL=CONFIG_METADATA!$B$4)*(nASIG&lt;&gt;"Lenguaje Musical")*(nASIG&lt;&gt;"Coro")*(nASIG&lt;&gt;"Conjunto"),nNOTA)),""))</f>
        <v/>
      </c>
    </row>
    <row r="584" spans="2:23" x14ac:dyDescent="0.2">
      <c r="B584" t="str">
        <f>IF(A584="","",IFERROR(AVERAGEIFS(nNOTA,nNIA,A584,nEVAL,CONFIG_METADATA!$B$4,nASIG,"Lenguaje Musical"),""))</f>
        <v/>
      </c>
      <c r="C584" t="str">
        <f>IF(A584="","",IFERROR(AVERAGEIFS(nNOTA,nNIA,A584,nEVAL,CONFIG_METADATA!$B$4,nASIG,"Coro"),""))</f>
        <v/>
      </c>
      <c r="D584" t="str">
        <f>IF(A584="","",IFERROR(AVERAGEIFS(nNOTA,nNIA,A584,nEVAL,CONFIG_METADATA!$B$4,nASIG,"Conjunto"),""))</f>
        <v/>
      </c>
      <c r="E584" t="str">
        <f>IF(A584="","",IFERROR(AVERAGEIFS(nNOTA,nNIA,A584,nEVAL,CONFIG_METADATA!$B$4,nASIG,"&lt;&gt;Lenguaje Musical",nASIG,"&lt;&gt;Coro",nASIG,"&lt;&gt;Conjunto"),""))</f>
        <v/>
      </c>
      <c r="H584" t="str">
        <f>IF(G584="","",IFERROR(AVERAGEIFS(nNOTA,nNIA,G584,nEVAL,CONFIG_METADATA!$B$4,nASIG,"Lenguaje Musical"),""))</f>
        <v/>
      </c>
      <c r="I584" t="str">
        <f>IF(G584="","",IFERROR(AVERAGEIFS(nNOTA,nNIA,G584,nEVAL,CONFIG_METADATA!$B$4,nASIG,"Coro"),""))</f>
        <v/>
      </c>
      <c r="J584" t="str">
        <f>IF(G584="","",IFERROR(AVERAGEIFS(nNOTA,nNIA,G584,nEVAL,CONFIG_METADATA!$B$4,nASIG,"Conjunto"),""))</f>
        <v/>
      </c>
      <c r="K584" t="str" cm="1">
        <f t="array" ref="K584">IF(G584="","",IFERROR(AVERAGE(IF((nNIA=G584)*(nEVAL=CONFIG_METADATA!$B$4)*(nASIG&lt;&gt;"Lenguaje Musical")*(nASIG&lt;&gt;"Coro")*(nASIG&lt;&gt;"Conjunto"),nNOTA)),""))</f>
        <v/>
      </c>
      <c r="N584" t="str">
        <f>IF(M584="","",IFERROR(AVERAGEIFS(nNOTA,nNIA,M584,nEVAL,CONFIG_METADATA!$B$4,nASIG,"Lenguaje Musical"),""))</f>
        <v/>
      </c>
      <c r="O584" t="str">
        <f>IF(M584="","",IFERROR(AVERAGEIFS(nNOTA,nNIA,M584,nEVAL,CONFIG_METADATA!$B$4,nASIG,"Coro"),""))</f>
        <v/>
      </c>
      <c r="P584" t="str">
        <f>IF(M584="","",IFERROR(AVERAGEIFS(nNOTA,nNIA,M584,nEVAL,CONFIG_METADATA!$B$4,nASIG,"Conjunto"),""))</f>
        <v/>
      </c>
      <c r="Q584" t="str">
        <f>IF(M584="","",IFERROR(AVERAGEIFS(nNOTA,nNIA,M584,nEVAL,CONFIG_METADATA!$B$4,nASIG,"&lt;&gt;Lenguaje Musical",nASIG,"&lt;&gt;Coro",nASIG,"&lt;&gt;Conjunto"),""))</f>
        <v/>
      </c>
      <c r="T584" t="str">
        <f>IF(S584="","",IFERROR(AVERAGEIFS(nNOTA,nNIA,S584,nEVAL,CONFIG_METADATA!$B$4,nASIG,"Lenguaje Musical"),""))</f>
        <v/>
      </c>
      <c r="U584" t="str">
        <f>IF(S584="","",IFERROR(AVERAGEIFS(nNOTA,nNIA,S584,nEVAL,CONFIG_METADATA!$B$4,nASIG,"Coro"),""))</f>
        <v/>
      </c>
      <c r="V584" t="str">
        <f>IF(S584="","",IFERROR(AVERAGEIFS(nNOTA,nNIA,S584,nEVAL,CONFIG_METADATA!$B$4,nASIG,"Conjunto"),""))</f>
        <v/>
      </c>
      <c r="W584" t="str" cm="1">
        <f t="array" ref="W584">IF(S584="","",IFERROR(AVERAGE(IF((nNIA=S584)*(nEVAL=CONFIG_METADATA!$B$4)*(nASIG&lt;&gt;"Lenguaje Musical")*(nASIG&lt;&gt;"Coro")*(nASIG&lt;&gt;"Conjunto"),nNOTA)),""))</f>
        <v/>
      </c>
    </row>
    <row r="585" spans="2:23" x14ac:dyDescent="0.2">
      <c r="B585" t="str">
        <f>IF(A585="","",IFERROR(AVERAGEIFS(nNOTA,nNIA,A585,nEVAL,CONFIG_METADATA!$B$4,nASIG,"Lenguaje Musical"),""))</f>
        <v/>
      </c>
      <c r="C585" t="str">
        <f>IF(A585="","",IFERROR(AVERAGEIFS(nNOTA,nNIA,A585,nEVAL,CONFIG_METADATA!$B$4,nASIG,"Coro"),""))</f>
        <v/>
      </c>
      <c r="D585" t="str">
        <f>IF(A585="","",IFERROR(AVERAGEIFS(nNOTA,nNIA,A585,nEVAL,CONFIG_METADATA!$B$4,nASIG,"Conjunto"),""))</f>
        <v/>
      </c>
      <c r="E585" t="str">
        <f>IF(A585="","",IFERROR(AVERAGEIFS(nNOTA,nNIA,A585,nEVAL,CONFIG_METADATA!$B$4,nASIG,"&lt;&gt;Lenguaje Musical",nASIG,"&lt;&gt;Coro",nASIG,"&lt;&gt;Conjunto"),""))</f>
        <v/>
      </c>
      <c r="H585" t="str">
        <f>IF(G585="","",IFERROR(AVERAGEIFS(nNOTA,nNIA,G585,nEVAL,CONFIG_METADATA!$B$4,nASIG,"Lenguaje Musical"),""))</f>
        <v/>
      </c>
      <c r="I585" t="str">
        <f>IF(G585="","",IFERROR(AVERAGEIFS(nNOTA,nNIA,G585,nEVAL,CONFIG_METADATA!$B$4,nASIG,"Coro"),""))</f>
        <v/>
      </c>
      <c r="J585" t="str">
        <f>IF(G585="","",IFERROR(AVERAGEIFS(nNOTA,nNIA,G585,nEVAL,CONFIG_METADATA!$B$4,nASIG,"Conjunto"),""))</f>
        <v/>
      </c>
      <c r="K585" t="str" cm="1">
        <f t="array" ref="K585">IF(G585="","",IFERROR(AVERAGE(IF((nNIA=G585)*(nEVAL=CONFIG_METADATA!$B$4)*(nASIG&lt;&gt;"Lenguaje Musical")*(nASIG&lt;&gt;"Coro")*(nASIG&lt;&gt;"Conjunto"),nNOTA)),""))</f>
        <v/>
      </c>
      <c r="N585" t="str">
        <f>IF(M585="","",IFERROR(AVERAGEIFS(nNOTA,nNIA,M585,nEVAL,CONFIG_METADATA!$B$4,nASIG,"Lenguaje Musical"),""))</f>
        <v/>
      </c>
      <c r="O585" t="str">
        <f>IF(M585="","",IFERROR(AVERAGEIFS(nNOTA,nNIA,M585,nEVAL,CONFIG_METADATA!$B$4,nASIG,"Coro"),""))</f>
        <v/>
      </c>
      <c r="P585" t="str">
        <f>IF(M585="","",IFERROR(AVERAGEIFS(nNOTA,nNIA,M585,nEVAL,CONFIG_METADATA!$B$4,nASIG,"Conjunto"),""))</f>
        <v/>
      </c>
      <c r="Q585" t="str">
        <f>IF(M585="","",IFERROR(AVERAGEIFS(nNOTA,nNIA,M585,nEVAL,CONFIG_METADATA!$B$4,nASIG,"&lt;&gt;Lenguaje Musical",nASIG,"&lt;&gt;Coro",nASIG,"&lt;&gt;Conjunto"),""))</f>
        <v/>
      </c>
      <c r="T585" t="str">
        <f>IF(S585="","",IFERROR(AVERAGEIFS(nNOTA,nNIA,S585,nEVAL,CONFIG_METADATA!$B$4,nASIG,"Lenguaje Musical"),""))</f>
        <v/>
      </c>
      <c r="U585" t="str">
        <f>IF(S585="","",IFERROR(AVERAGEIFS(nNOTA,nNIA,S585,nEVAL,CONFIG_METADATA!$B$4,nASIG,"Coro"),""))</f>
        <v/>
      </c>
      <c r="V585" t="str">
        <f>IF(S585="","",IFERROR(AVERAGEIFS(nNOTA,nNIA,S585,nEVAL,CONFIG_METADATA!$B$4,nASIG,"Conjunto"),""))</f>
        <v/>
      </c>
      <c r="W585" t="str" cm="1">
        <f t="array" ref="W585">IF(S585="","",IFERROR(AVERAGE(IF((nNIA=S585)*(nEVAL=CONFIG_METADATA!$B$4)*(nASIG&lt;&gt;"Lenguaje Musical")*(nASIG&lt;&gt;"Coro")*(nASIG&lt;&gt;"Conjunto"),nNOTA)),""))</f>
        <v/>
      </c>
    </row>
    <row r="586" spans="2:23" x14ac:dyDescent="0.2">
      <c r="B586" t="str">
        <f>IF(A586="","",IFERROR(AVERAGEIFS(nNOTA,nNIA,A586,nEVAL,CONFIG_METADATA!$B$4,nASIG,"Lenguaje Musical"),""))</f>
        <v/>
      </c>
      <c r="C586" t="str">
        <f>IF(A586="","",IFERROR(AVERAGEIFS(nNOTA,nNIA,A586,nEVAL,CONFIG_METADATA!$B$4,nASIG,"Coro"),""))</f>
        <v/>
      </c>
      <c r="D586" t="str">
        <f>IF(A586="","",IFERROR(AVERAGEIFS(nNOTA,nNIA,A586,nEVAL,CONFIG_METADATA!$B$4,nASIG,"Conjunto"),""))</f>
        <v/>
      </c>
      <c r="E586" t="str">
        <f>IF(A586="","",IFERROR(AVERAGEIFS(nNOTA,nNIA,A586,nEVAL,CONFIG_METADATA!$B$4,nASIG,"&lt;&gt;Lenguaje Musical",nASIG,"&lt;&gt;Coro",nASIG,"&lt;&gt;Conjunto"),""))</f>
        <v/>
      </c>
      <c r="H586" t="str">
        <f>IF(G586="","",IFERROR(AVERAGEIFS(nNOTA,nNIA,G586,nEVAL,CONFIG_METADATA!$B$4,nASIG,"Lenguaje Musical"),""))</f>
        <v/>
      </c>
      <c r="I586" t="str">
        <f>IF(G586="","",IFERROR(AVERAGEIFS(nNOTA,nNIA,G586,nEVAL,CONFIG_METADATA!$B$4,nASIG,"Coro"),""))</f>
        <v/>
      </c>
      <c r="J586" t="str">
        <f>IF(G586="","",IFERROR(AVERAGEIFS(nNOTA,nNIA,G586,nEVAL,CONFIG_METADATA!$B$4,nASIG,"Conjunto"),""))</f>
        <v/>
      </c>
      <c r="K586" t="str" cm="1">
        <f t="array" ref="K586">IF(G586="","",IFERROR(AVERAGE(IF((nNIA=G586)*(nEVAL=CONFIG_METADATA!$B$4)*(nASIG&lt;&gt;"Lenguaje Musical")*(nASIG&lt;&gt;"Coro")*(nASIG&lt;&gt;"Conjunto"),nNOTA)),""))</f>
        <v/>
      </c>
      <c r="N586" t="str">
        <f>IF(M586="","",IFERROR(AVERAGEIFS(nNOTA,nNIA,M586,nEVAL,CONFIG_METADATA!$B$4,nASIG,"Lenguaje Musical"),""))</f>
        <v/>
      </c>
      <c r="O586" t="str">
        <f>IF(M586="","",IFERROR(AVERAGEIFS(nNOTA,nNIA,M586,nEVAL,CONFIG_METADATA!$B$4,nASIG,"Coro"),""))</f>
        <v/>
      </c>
      <c r="P586" t="str">
        <f>IF(M586="","",IFERROR(AVERAGEIFS(nNOTA,nNIA,M586,nEVAL,CONFIG_METADATA!$B$4,nASIG,"Conjunto"),""))</f>
        <v/>
      </c>
      <c r="Q586" t="str">
        <f>IF(M586="","",IFERROR(AVERAGEIFS(nNOTA,nNIA,M586,nEVAL,CONFIG_METADATA!$B$4,nASIG,"&lt;&gt;Lenguaje Musical",nASIG,"&lt;&gt;Coro",nASIG,"&lt;&gt;Conjunto"),""))</f>
        <v/>
      </c>
      <c r="T586" t="str">
        <f>IF(S586="","",IFERROR(AVERAGEIFS(nNOTA,nNIA,S586,nEVAL,CONFIG_METADATA!$B$4,nASIG,"Lenguaje Musical"),""))</f>
        <v/>
      </c>
      <c r="U586" t="str">
        <f>IF(S586="","",IFERROR(AVERAGEIFS(nNOTA,nNIA,S586,nEVAL,CONFIG_METADATA!$B$4,nASIG,"Coro"),""))</f>
        <v/>
      </c>
      <c r="V586" t="str">
        <f>IF(S586="","",IFERROR(AVERAGEIFS(nNOTA,nNIA,S586,nEVAL,CONFIG_METADATA!$B$4,nASIG,"Conjunto"),""))</f>
        <v/>
      </c>
      <c r="W586" t="str" cm="1">
        <f t="array" ref="W586">IF(S586="","",IFERROR(AVERAGE(IF((nNIA=S586)*(nEVAL=CONFIG_METADATA!$B$4)*(nASIG&lt;&gt;"Lenguaje Musical")*(nASIG&lt;&gt;"Coro")*(nASIG&lt;&gt;"Conjunto"),nNOTA)),""))</f>
        <v/>
      </c>
    </row>
    <row r="587" spans="2:23" x14ac:dyDescent="0.2">
      <c r="B587" t="str">
        <f>IF(A587="","",IFERROR(AVERAGEIFS(nNOTA,nNIA,A587,nEVAL,CONFIG_METADATA!$B$4,nASIG,"Lenguaje Musical"),""))</f>
        <v/>
      </c>
      <c r="C587" t="str">
        <f>IF(A587="","",IFERROR(AVERAGEIFS(nNOTA,nNIA,A587,nEVAL,CONFIG_METADATA!$B$4,nASIG,"Coro"),""))</f>
        <v/>
      </c>
      <c r="D587" t="str">
        <f>IF(A587="","",IFERROR(AVERAGEIFS(nNOTA,nNIA,A587,nEVAL,CONFIG_METADATA!$B$4,nASIG,"Conjunto"),""))</f>
        <v/>
      </c>
      <c r="E587" t="str">
        <f>IF(A587="","",IFERROR(AVERAGEIFS(nNOTA,nNIA,A587,nEVAL,CONFIG_METADATA!$B$4,nASIG,"&lt;&gt;Lenguaje Musical",nASIG,"&lt;&gt;Coro",nASIG,"&lt;&gt;Conjunto"),""))</f>
        <v/>
      </c>
      <c r="H587" t="str">
        <f>IF(G587="","",IFERROR(AVERAGEIFS(nNOTA,nNIA,G587,nEVAL,CONFIG_METADATA!$B$4,nASIG,"Lenguaje Musical"),""))</f>
        <v/>
      </c>
      <c r="I587" t="str">
        <f>IF(G587="","",IFERROR(AVERAGEIFS(nNOTA,nNIA,G587,nEVAL,CONFIG_METADATA!$B$4,nASIG,"Coro"),""))</f>
        <v/>
      </c>
      <c r="J587" t="str">
        <f>IF(G587="","",IFERROR(AVERAGEIFS(nNOTA,nNIA,G587,nEVAL,CONFIG_METADATA!$B$4,nASIG,"Conjunto"),""))</f>
        <v/>
      </c>
      <c r="K587" t="str" cm="1">
        <f t="array" ref="K587">IF(G587="","",IFERROR(AVERAGE(IF((nNIA=G587)*(nEVAL=CONFIG_METADATA!$B$4)*(nASIG&lt;&gt;"Lenguaje Musical")*(nASIG&lt;&gt;"Coro")*(nASIG&lt;&gt;"Conjunto"),nNOTA)),""))</f>
        <v/>
      </c>
      <c r="N587" t="str">
        <f>IF(M587="","",IFERROR(AVERAGEIFS(nNOTA,nNIA,M587,nEVAL,CONFIG_METADATA!$B$4,nASIG,"Lenguaje Musical"),""))</f>
        <v/>
      </c>
      <c r="O587" t="str">
        <f>IF(M587="","",IFERROR(AVERAGEIFS(nNOTA,nNIA,M587,nEVAL,CONFIG_METADATA!$B$4,nASIG,"Coro"),""))</f>
        <v/>
      </c>
      <c r="P587" t="str">
        <f>IF(M587="","",IFERROR(AVERAGEIFS(nNOTA,nNIA,M587,nEVAL,CONFIG_METADATA!$B$4,nASIG,"Conjunto"),""))</f>
        <v/>
      </c>
      <c r="Q587" t="str">
        <f>IF(M587="","",IFERROR(AVERAGEIFS(nNOTA,nNIA,M587,nEVAL,CONFIG_METADATA!$B$4,nASIG,"&lt;&gt;Lenguaje Musical",nASIG,"&lt;&gt;Coro",nASIG,"&lt;&gt;Conjunto"),""))</f>
        <v/>
      </c>
      <c r="T587" t="str">
        <f>IF(S587="","",IFERROR(AVERAGEIFS(nNOTA,nNIA,S587,nEVAL,CONFIG_METADATA!$B$4,nASIG,"Lenguaje Musical"),""))</f>
        <v/>
      </c>
      <c r="U587" t="str">
        <f>IF(S587="","",IFERROR(AVERAGEIFS(nNOTA,nNIA,S587,nEVAL,CONFIG_METADATA!$B$4,nASIG,"Coro"),""))</f>
        <v/>
      </c>
      <c r="V587" t="str">
        <f>IF(S587="","",IFERROR(AVERAGEIFS(nNOTA,nNIA,S587,nEVAL,CONFIG_METADATA!$B$4,nASIG,"Conjunto"),""))</f>
        <v/>
      </c>
      <c r="W587" t="str" cm="1">
        <f t="array" ref="W587">IF(S587="","",IFERROR(AVERAGE(IF((nNIA=S587)*(nEVAL=CONFIG_METADATA!$B$4)*(nASIG&lt;&gt;"Lenguaje Musical")*(nASIG&lt;&gt;"Coro")*(nASIG&lt;&gt;"Conjunto"),nNOTA)),""))</f>
        <v/>
      </c>
    </row>
    <row r="588" spans="2:23" x14ac:dyDescent="0.2">
      <c r="B588" t="str">
        <f>IF(A588="","",IFERROR(AVERAGEIFS(nNOTA,nNIA,A588,nEVAL,CONFIG_METADATA!$B$4,nASIG,"Lenguaje Musical"),""))</f>
        <v/>
      </c>
      <c r="C588" t="str">
        <f>IF(A588="","",IFERROR(AVERAGEIFS(nNOTA,nNIA,A588,nEVAL,CONFIG_METADATA!$B$4,nASIG,"Coro"),""))</f>
        <v/>
      </c>
      <c r="D588" t="str">
        <f>IF(A588="","",IFERROR(AVERAGEIFS(nNOTA,nNIA,A588,nEVAL,CONFIG_METADATA!$B$4,nASIG,"Conjunto"),""))</f>
        <v/>
      </c>
      <c r="E588" t="str">
        <f>IF(A588="","",IFERROR(AVERAGEIFS(nNOTA,nNIA,A588,nEVAL,CONFIG_METADATA!$B$4,nASIG,"&lt;&gt;Lenguaje Musical",nASIG,"&lt;&gt;Coro",nASIG,"&lt;&gt;Conjunto"),""))</f>
        <v/>
      </c>
      <c r="H588" t="str">
        <f>IF(G588="","",IFERROR(AVERAGEIFS(nNOTA,nNIA,G588,nEVAL,CONFIG_METADATA!$B$4,nASIG,"Lenguaje Musical"),""))</f>
        <v/>
      </c>
      <c r="I588" t="str">
        <f>IF(G588="","",IFERROR(AVERAGEIFS(nNOTA,nNIA,G588,nEVAL,CONFIG_METADATA!$B$4,nASIG,"Coro"),""))</f>
        <v/>
      </c>
      <c r="J588" t="str">
        <f>IF(G588="","",IFERROR(AVERAGEIFS(nNOTA,nNIA,G588,nEVAL,CONFIG_METADATA!$B$4,nASIG,"Conjunto"),""))</f>
        <v/>
      </c>
      <c r="K588" t="str" cm="1">
        <f t="array" ref="K588">IF(G588="","",IFERROR(AVERAGE(IF((nNIA=G588)*(nEVAL=CONFIG_METADATA!$B$4)*(nASIG&lt;&gt;"Lenguaje Musical")*(nASIG&lt;&gt;"Coro")*(nASIG&lt;&gt;"Conjunto"),nNOTA)),""))</f>
        <v/>
      </c>
      <c r="N588" t="str">
        <f>IF(M588="","",IFERROR(AVERAGEIFS(nNOTA,nNIA,M588,nEVAL,CONFIG_METADATA!$B$4,nASIG,"Lenguaje Musical"),""))</f>
        <v/>
      </c>
      <c r="O588" t="str">
        <f>IF(M588="","",IFERROR(AVERAGEIFS(nNOTA,nNIA,M588,nEVAL,CONFIG_METADATA!$B$4,nASIG,"Coro"),""))</f>
        <v/>
      </c>
      <c r="P588" t="str">
        <f>IF(M588="","",IFERROR(AVERAGEIFS(nNOTA,nNIA,M588,nEVAL,CONFIG_METADATA!$B$4,nASIG,"Conjunto"),""))</f>
        <v/>
      </c>
      <c r="Q588" t="str">
        <f>IF(M588="","",IFERROR(AVERAGEIFS(nNOTA,nNIA,M588,nEVAL,CONFIG_METADATA!$B$4,nASIG,"&lt;&gt;Lenguaje Musical",nASIG,"&lt;&gt;Coro",nASIG,"&lt;&gt;Conjunto"),""))</f>
        <v/>
      </c>
      <c r="T588" t="str">
        <f>IF(S588="","",IFERROR(AVERAGEIFS(nNOTA,nNIA,S588,nEVAL,CONFIG_METADATA!$B$4,nASIG,"Lenguaje Musical"),""))</f>
        <v/>
      </c>
      <c r="U588" t="str">
        <f>IF(S588="","",IFERROR(AVERAGEIFS(nNOTA,nNIA,S588,nEVAL,CONFIG_METADATA!$B$4,nASIG,"Coro"),""))</f>
        <v/>
      </c>
      <c r="V588" t="str">
        <f>IF(S588="","",IFERROR(AVERAGEIFS(nNOTA,nNIA,S588,nEVAL,CONFIG_METADATA!$B$4,nASIG,"Conjunto"),""))</f>
        <v/>
      </c>
      <c r="W588" t="str" cm="1">
        <f t="array" ref="W588">IF(S588="","",IFERROR(AVERAGE(IF((nNIA=S588)*(nEVAL=CONFIG_METADATA!$B$4)*(nASIG&lt;&gt;"Lenguaje Musical")*(nASIG&lt;&gt;"Coro")*(nASIG&lt;&gt;"Conjunto"),nNOTA)),""))</f>
        <v/>
      </c>
    </row>
    <row r="589" spans="2:23" x14ac:dyDescent="0.2">
      <c r="B589" t="str">
        <f>IF(A589="","",IFERROR(AVERAGEIFS(nNOTA,nNIA,A589,nEVAL,CONFIG_METADATA!$B$4,nASIG,"Lenguaje Musical"),""))</f>
        <v/>
      </c>
      <c r="C589" t="str">
        <f>IF(A589="","",IFERROR(AVERAGEIFS(nNOTA,nNIA,A589,nEVAL,CONFIG_METADATA!$B$4,nASIG,"Coro"),""))</f>
        <v/>
      </c>
      <c r="D589" t="str">
        <f>IF(A589="","",IFERROR(AVERAGEIFS(nNOTA,nNIA,A589,nEVAL,CONFIG_METADATA!$B$4,nASIG,"Conjunto"),""))</f>
        <v/>
      </c>
      <c r="E589" t="str">
        <f>IF(A589="","",IFERROR(AVERAGEIFS(nNOTA,nNIA,A589,nEVAL,CONFIG_METADATA!$B$4,nASIG,"&lt;&gt;Lenguaje Musical",nASIG,"&lt;&gt;Coro",nASIG,"&lt;&gt;Conjunto"),""))</f>
        <v/>
      </c>
      <c r="H589" t="str">
        <f>IF(G589="","",IFERROR(AVERAGEIFS(nNOTA,nNIA,G589,nEVAL,CONFIG_METADATA!$B$4,nASIG,"Lenguaje Musical"),""))</f>
        <v/>
      </c>
      <c r="I589" t="str">
        <f>IF(G589="","",IFERROR(AVERAGEIFS(nNOTA,nNIA,G589,nEVAL,CONFIG_METADATA!$B$4,nASIG,"Coro"),""))</f>
        <v/>
      </c>
      <c r="J589" t="str">
        <f>IF(G589="","",IFERROR(AVERAGEIFS(nNOTA,nNIA,G589,nEVAL,CONFIG_METADATA!$B$4,nASIG,"Conjunto"),""))</f>
        <v/>
      </c>
      <c r="K589" t="str" cm="1">
        <f t="array" ref="K589">IF(G589="","",IFERROR(AVERAGE(IF((nNIA=G589)*(nEVAL=CONFIG_METADATA!$B$4)*(nASIG&lt;&gt;"Lenguaje Musical")*(nASIG&lt;&gt;"Coro")*(nASIG&lt;&gt;"Conjunto"),nNOTA)),""))</f>
        <v/>
      </c>
      <c r="N589" t="str">
        <f>IF(M589="","",IFERROR(AVERAGEIFS(nNOTA,nNIA,M589,nEVAL,CONFIG_METADATA!$B$4,nASIG,"Lenguaje Musical"),""))</f>
        <v/>
      </c>
      <c r="O589" t="str">
        <f>IF(M589="","",IFERROR(AVERAGEIFS(nNOTA,nNIA,M589,nEVAL,CONFIG_METADATA!$B$4,nASIG,"Coro"),""))</f>
        <v/>
      </c>
      <c r="P589" t="str">
        <f>IF(M589="","",IFERROR(AVERAGEIFS(nNOTA,nNIA,M589,nEVAL,CONFIG_METADATA!$B$4,nASIG,"Conjunto"),""))</f>
        <v/>
      </c>
      <c r="Q589" t="str">
        <f>IF(M589="","",IFERROR(AVERAGEIFS(nNOTA,nNIA,M589,nEVAL,CONFIG_METADATA!$B$4,nASIG,"&lt;&gt;Lenguaje Musical",nASIG,"&lt;&gt;Coro",nASIG,"&lt;&gt;Conjunto"),""))</f>
        <v/>
      </c>
      <c r="T589" t="str">
        <f>IF(S589="","",IFERROR(AVERAGEIFS(nNOTA,nNIA,S589,nEVAL,CONFIG_METADATA!$B$4,nASIG,"Lenguaje Musical"),""))</f>
        <v/>
      </c>
      <c r="U589" t="str">
        <f>IF(S589="","",IFERROR(AVERAGEIFS(nNOTA,nNIA,S589,nEVAL,CONFIG_METADATA!$B$4,nASIG,"Coro"),""))</f>
        <v/>
      </c>
      <c r="V589" t="str">
        <f>IF(S589="","",IFERROR(AVERAGEIFS(nNOTA,nNIA,S589,nEVAL,CONFIG_METADATA!$B$4,nASIG,"Conjunto"),""))</f>
        <v/>
      </c>
      <c r="W589" t="str" cm="1">
        <f t="array" ref="W589">IF(S589="","",IFERROR(AVERAGE(IF((nNIA=S589)*(nEVAL=CONFIG_METADATA!$B$4)*(nASIG&lt;&gt;"Lenguaje Musical")*(nASIG&lt;&gt;"Coro")*(nASIG&lt;&gt;"Conjunto"),nNOTA)),""))</f>
        <v/>
      </c>
    </row>
    <row r="590" spans="2:23" x14ac:dyDescent="0.2">
      <c r="B590" t="str">
        <f>IF(A590="","",IFERROR(AVERAGEIFS(nNOTA,nNIA,A590,nEVAL,CONFIG_METADATA!$B$4,nASIG,"Lenguaje Musical"),""))</f>
        <v/>
      </c>
      <c r="C590" t="str">
        <f>IF(A590="","",IFERROR(AVERAGEIFS(nNOTA,nNIA,A590,nEVAL,CONFIG_METADATA!$B$4,nASIG,"Coro"),""))</f>
        <v/>
      </c>
      <c r="D590" t="str">
        <f>IF(A590="","",IFERROR(AVERAGEIFS(nNOTA,nNIA,A590,nEVAL,CONFIG_METADATA!$B$4,nASIG,"Conjunto"),""))</f>
        <v/>
      </c>
      <c r="E590" t="str">
        <f>IF(A590="","",IFERROR(AVERAGEIFS(nNOTA,nNIA,A590,nEVAL,CONFIG_METADATA!$B$4,nASIG,"&lt;&gt;Lenguaje Musical",nASIG,"&lt;&gt;Coro",nASIG,"&lt;&gt;Conjunto"),""))</f>
        <v/>
      </c>
      <c r="H590" t="str">
        <f>IF(G590="","",IFERROR(AVERAGEIFS(nNOTA,nNIA,G590,nEVAL,CONFIG_METADATA!$B$4,nASIG,"Lenguaje Musical"),""))</f>
        <v/>
      </c>
      <c r="I590" t="str">
        <f>IF(G590="","",IFERROR(AVERAGEIFS(nNOTA,nNIA,G590,nEVAL,CONFIG_METADATA!$B$4,nASIG,"Coro"),""))</f>
        <v/>
      </c>
      <c r="J590" t="str">
        <f>IF(G590="","",IFERROR(AVERAGEIFS(nNOTA,nNIA,G590,nEVAL,CONFIG_METADATA!$B$4,nASIG,"Conjunto"),""))</f>
        <v/>
      </c>
      <c r="K590" t="str" cm="1">
        <f t="array" ref="K590">IF(G590="","",IFERROR(AVERAGE(IF((nNIA=G590)*(nEVAL=CONFIG_METADATA!$B$4)*(nASIG&lt;&gt;"Lenguaje Musical")*(nASIG&lt;&gt;"Coro")*(nASIG&lt;&gt;"Conjunto"),nNOTA)),""))</f>
        <v/>
      </c>
      <c r="N590" t="str">
        <f>IF(M590="","",IFERROR(AVERAGEIFS(nNOTA,nNIA,M590,nEVAL,CONFIG_METADATA!$B$4,nASIG,"Lenguaje Musical"),""))</f>
        <v/>
      </c>
      <c r="O590" t="str">
        <f>IF(M590="","",IFERROR(AVERAGEIFS(nNOTA,nNIA,M590,nEVAL,CONFIG_METADATA!$B$4,nASIG,"Coro"),""))</f>
        <v/>
      </c>
      <c r="P590" t="str">
        <f>IF(M590="","",IFERROR(AVERAGEIFS(nNOTA,nNIA,M590,nEVAL,CONFIG_METADATA!$B$4,nASIG,"Conjunto"),""))</f>
        <v/>
      </c>
      <c r="Q590" t="str">
        <f>IF(M590="","",IFERROR(AVERAGEIFS(nNOTA,nNIA,M590,nEVAL,CONFIG_METADATA!$B$4,nASIG,"&lt;&gt;Lenguaje Musical",nASIG,"&lt;&gt;Coro",nASIG,"&lt;&gt;Conjunto"),""))</f>
        <v/>
      </c>
      <c r="T590" t="str">
        <f>IF(S590="","",IFERROR(AVERAGEIFS(nNOTA,nNIA,S590,nEVAL,CONFIG_METADATA!$B$4,nASIG,"Lenguaje Musical"),""))</f>
        <v/>
      </c>
      <c r="U590" t="str">
        <f>IF(S590="","",IFERROR(AVERAGEIFS(nNOTA,nNIA,S590,nEVAL,CONFIG_METADATA!$B$4,nASIG,"Coro"),""))</f>
        <v/>
      </c>
      <c r="V590" t="str">
        <f>IF(S590="","",IFERROR(AVERAGEIFS(nNOTA,nNIA,S590,nEVAL,CONFIG_METADATA!$B$4,nASIG,"Conjunto"),""))</f>
        <v/>
      </c>
      <c r="W590" t="str" cm="1">
        <f t="array" ref="W590">IF(S590="","",IFERROR(AVERAGE(IF((nNIA=S590)*(nEVAL=CONFIG_METADATA!$B$4)*(nASIG&lt;&gt;"Lenguaje Musical")*(nASIG&lt;&gt;"Coro")*(nASIG&lt;&gt;"Conjunto"),nNOTA)),""))</f>
        <v/>
      </c>
    </row>
    <row r="591" spans="2:23" x14ac:dyDescent="0.2">
      <c r="B591" t="str">
        <f>IF(A591="","",IFERROR(AVERAGEIFS(nNOTA,nNIA,A591,nEVAL,CONFIG_METADATA!$B$4,nASIG,"Lenguaje Musical"),""))</f>
        <v/>
      </c>
      <c r="C591" t="str">
        <f>IF(A591="","",IFERROR(AVERAGEIFS(nNOTA,nNIA,A591,nEVAL,CONFIG_METADATA!$B$4,nASIG,"Coro"),""))</f>
        <v/>
      </c>
      <c r="D591" t="str">
        <f>IF(A591="","",IFERROR(AVERAGEIFS(nNOTA,nNIA,A591,nEVAL,CONFIG_METADATA!$B$4,nASIG,"Conjunto"),""))</f>
        <v/>
      </c>
      <c r="E591" t="str">
        <f>IF(A591="","",IFERROR(AVERAGEIFS(nNOTA,nNIA,A591,nEVAL,CONFIG_METADATA!$B$4,nASIG,"&lt;&gt;Lenguaje Musical",nASIG,"&lt;&gt;Coro",nASIG,"&lt;&gt;Conjunto"),""))</f>
        <v/>
      </c>
      <c r="H591" t="str">
        <f>IF(G591="","",IFERROR(AVERAGEIFS(nNOTA,nNIA,G591,nEVAL,CONFIG_METADATA!$B$4,nASIG,"Lenguaje Musical"),""))</f>
        <v/>
      </c>
      <c r="I591" t="str">
        <f>IF(G591="","",IFERROR(AVERAGEIFS(nNOTA,nNIA,G591,nEVAL,CONFIG_METADATA!$B$4,nASIG,"Coro"),""))</f>
        <v/>
      </c>
      <c r="J591" t="str">
        <f>IF(G591="","",IFERROR(AVERAGEIFS(nNOTA,nNIA,G591,nEVAL,CONFIG_METADATA!$B$4,nASIG,"Conjunto"),""))</f>
        <v/>
      </c>
      <c r="K591" t="str" cm="1">
        <f t="array" ref="K591">IF(G591="","",IFERROR(AVERAGE(IF((nNIA=G591)*(nEVAL=CONFIG_METADATA!$B$4)*(nASIG&lt;&gt;"Lenguaje Musical")*(nASIG&lt;&gt;"Coro")*(nASIG&lt;&gt;"Conjunto"),nNOTA)),""))</f>
        <v/>
      </c>
      <c r="N591" t="str">
        <f>IF(M591="","",IFERROR(AVERAGEIFS(nNOTA,nNIA,M591,nEVAL,CONFIG_METADATA!$B$4,nASIG,"Lenguaje Musical"),""))</f>
        <v/>
      </c>
      <c r="O591" t="str">
        <f>IF(M591="","",IFERROR(AVERAGEIFS(nNOTA,nNIA,M591,nEVAL,CONFIG_METADATA!$B$4,nASIG,"Coro"),""))</f>
        <v/>
      </c>
      <c r="P591" t="str">
        <f>IF(M591="","",IFERROR(AVERAGEIFS(nNOTA,nNIA,M591,nEVAL,CONFIG_METADATA!$B$4,nASIG,"Conjunto"),""))</f>
        <v/>
      </c>
      <c r="Q591" t="str">
        <f>IF(M591="","",IFERROR(AVERAGEIFS(nNOTA,nNIA,M591,nEVAL,CONFIG_METADATA!$B$4,nASIG,"&lt;&gt;Lenguaje Musical",nASIG,"&lt;&gt;Coro",nASIG,"&lt;&gt;Conjunto"),""))</f>
        <v/>
      </c>
      <c r="T591" t="str">
        <f>IF(S591="","",IFERROR(AVERAGEIFS(nNOTA,nNIA,S591,nEVAL,CONFIG_METADATA!$B$4,nASIG,"Lenguaje Musical"),""))</f>
        <v/>
      </c>
      <c r="U591" t="str">
        <f>IF(S591="","",IFERROR(AVERAGEIFS(nNOTA,nNIA,S591,nEVAL,CONFIG_METADATA!$B$4,nASIG,"Coro"),""))</f>
        <v/>
      </c>
      <c r="V591" t="str">
        <f>IF(S591="","",IFERROR(AVERAGEIFS(nNOTA,nNIA,S591,nEVAL,CONFIG_METADATA!$B$4,nASIG,"Conjunto"),""))</f>
        <v/>
      </c>
      <c r="W591" t="str" cm="1">
        <f t="array" ref="W591">IF(S591="","",IFERROR(AVERAGE(IF((nNIA=S591)*(nEVAL=CONFIG_METADATA!$B$4)*(nASIG&lt;&gt;"Lenguaje Musical")*(nASIG&lt;&gt;"Coro")*(nASIG&lt;&gt;"Conjunto"),nNOTA)),""))</f>
        <v/>
      </c>
    </row>
    <row r="592" spans="2:23" x14ac:dyDescent="0.2">
      <c r="B592" t="str">
        <f>IF(A592="","",IFERROR(AVERAGEIFS(nNOTA,nNIA,A592,nEVAL,CONFIG_METADATA!$B$4,nASIG,"Lenguaje Musical"),""))</f>
        <v/>
      </c>
      <c r="C592" t="str">
        <f>IF(A592="","",IFERROR(AVERAGEIFS(nNOTA,nNIA,A592,nEVAL,CONFIG_METADATA!$B$4,nASIG,"Coro"),""))</f>
        <v/>
      </c>
      <c r="D592" t="str">
        <f>IF(A592="","",IFERROR(AVERAGEIFS(nNOTA,nNIA,A592,nEVAL,CONFIG_METADATA!$B$4,nASIG,"Conjunto"),""))</f>
        <v/>
      </c>
      <c r="E592" t="str">
        <f>IF(A592="","",IFERROR(AVERAGEIFS(nNOTA,nNIA,A592,nEVAL,CONFIG_METADATA!$B$4,nASIG,"&lt;&gt;Lenguaje Musical",nASIG,"&lt;&gt;Coro",nASIG,"&lt;&gt;Conjunto"),""))</f>
        <v/>
      </c>
      <c r="H592" t="str">
        <f>IF(G592="","",IFERROR(AVERAGEIFS(nNOTA,nNIA,G592,nEVAL,CONFIG_METADATA!$B$4,nASIG,"Lenguaje Musical"),""))</f>
        <v/>
      </c>
      <c r="I592" t="str">
        <f>IF(G592="","",IFERROR(AVERAGEIFS(nNOTA,nNIA,G592,nEVAL,CONFIG_METADATA!$B$4,nASIG,"Coro"),""))</f>
        <v/>
      </c>
      <c r="J592" t="str">
        <f>IF(G592="","",IFERROR(AVERAGEIFS(nNOTA,nNIA,G592,nEVAL,CONFIG_METADATA!$B$4,nASIG,"Conjunto"),""))</f>
        <v/>
      </c>
      <c r="K592" t="str" cm="1">
        <f t="array" ref="K592">IF(G592="","",IFERROR(AVERAGE(IF((nNIA=G592)*(nEVAL=CONFIG_METADATA!$B$4)*(nASIG&lt;&gt;"Lenguaje Musical")*(nASIG&lt;&gt;"Coro")*(nASIG&lt;&gt;"Conjunto"),nNOTA)),""))</f>
        <v/>
      </c>
      <c r="N592" t="str">
        <f>IF(M592="","",IFERROR(AVERAGEIFS(nNOTA,nNIA,M592,nEVAL,CONFIG_METADATA!$B$4,nASIG,"Lenguaje Musical"),""))</f>
        <v/>
      </c>
      <c r="O592" t="str">
        <f>IF(M592="","",IFERROR(AVERAGEIFS(nNOTA,nNIA,M592,nEVAL,CONFIG_METADATA!$B$4,nASIG,"Coro"),""))</f>
        <v/>
      </c>
      <c r="P592" t="str">
        <f>IF(M592="","",IFERROR(AVERAGEIFS(nNOTA,nNIA,M592,nEVAL,CONFIG_METADATA!$B$4,nASIG,"Conjunto"),""))</f>
        <v/>
      </c>
      <c r="Q592" t="str">
        <f>IF(M592="","",IFERROR(AVERAGEIFS(nNOTA,nNIA,M592,nEVAL,CONFIG_METADATA!$B$4,nASIG,"&lt;&gt;Lenguaje Musical",nASIG,"&lt;&gt;Coro",nASIG,"&lt;&gt;Conjunto"),""))</f>
        <v/>
      </c>
      <c r="T592" t="str">
        <f>IF(S592="","",IFERROR(AVERAGEIFS(nNOTA,nNIA,S592,nEVAL,CONFIG_METADATA!$B$4,nASIG,"Lenguaje Musical"),""))</f>
        <v/>
      </c>
      <c r="U592" t="str">
        <f>IF(S592="","",IFERROR(AVERAGEIFS(nNOTA,nNIA,S592,nEVAL,CONFIG_METADATA!$B$4,nASIG,"Coro"),""))</f>
        <v/>
      </c>
      <c r="V592" t="str">
        <f>IF(S592="","",IFERROR(AVERAGEIFS(nNOTA,nNIA,S592,nEVAL,CONFIG_METADATA!$B$4,nASIG,"Conjunto"),""))</f>
        <v/>
      </c>
      <c r="W592" t="str" cm="1">
        <f t="array" ref="W592">IF(S592="","",IFERROR(AVERAGE(IF((nNIA=S592)*(nEVAL=CONFIG_METADATA!$B$4)*(nASIG&lt;&gt;"Lenguaje Musical")*(nASIG&lt;&gt;"Coro")*(nASIG&lt;&gt;"Conjunto"),nNOTA)),""))</f>
        <v/>
      </c>
    </row>
    <row r="593" spans="2:23" x14ac:dyDescent="0.2">
      <c r="B593" t="str">
        <f>IF(A593="","",IFERROR(AVERAGEIFS(nNOTA,nNIA,A593,nEVAL,CONFIG_METADATA!$B$4,nASIG,"Lenguaje Musical"),""))</f>
        <v/>
      </c>
      <c r="C593" t="str">
        <f>IF(A593="","",IFERROR(AVERAGEIFS(nNOTA,nNIA,A593,nEVAL,CONFIG_METADATA!$B$4,nASIG,"Coro"),""))</f>
        <v/>
      </c>
      <c r="D593" t="str">
        <f>IF(A593="","",IFERROR(AVERAGEIFS(nNOTA,nNIA,A593,nEVAL,CONFIG_METADATA!$B$4,nASIG,"Conjunto"),""))</f>
        <v/>
      </c>
      <c r="E593" t="str">
        <f>IF(A593="","",IFERROR(AVERAGEIFS(nNOTA,nNIA,A593,nEVAL,CONFIG_METADATA!$B$4,nASIG,"&lt;&gt;Lenguaje Musical",nASIG,"&lt;&gt;Coro",nASIG,"&lt;&gt;Conjunto"),""))</f>
        <v/>
      </c>
      <c r="H593" t="str">
        <f>IF(G593="","",IFERROR(AVERAGEIFS(nNOTA,nNIA,G593,nEVAL,CONFIG_METADATA!$B$4,nASIG,"Lenguaje Musical"),""))</f>
        <v/>
      </c>
      <c r="I593" t="str">
        <f>IF(G593="","",IFERROR(AVERAGEIFS(nNOTA,nNIA,G593,nEVAL,CONFIG_METADATA!$B$4,nASIG,"Coro"),""))</f>
        <v/>
      </c>
      <c r="J593" t="str">
        <f>IF(G593="","",IFERROR(AVERAGEIFS(nNOTA,nNIA,G593,nEVAL,CONFIG_METADATA!$B$4,nASIG,"Conjunto"),""))</f>
        <v/>
      </c>
      <c r="K593" t="str" cm="1">
        <f t="array" ref="K593">IF(G593="","",IFERROR(AVERAGE(IF((nNIA=G593)*(nEVAL=CONFIG_METADATA!$B$4)*(nASIG&lt;&gt;"Lenguaje Musical")*(nASIG&lt;&gt;"Coro")*(nASIG&lt;&gt;"Conjunto"),nNOTA)),""))</f>
        <v/>
      </c>
      <c r="N593" t="str">
        <f>IF(M593="","",IFERROR(AVERAGEIFS(nNOTA,nNIA,M593,nEVAL,CONFIG_METADATA!$B$4,nASIG,"Lenguaje Musical"),""))</f>
        <v/>
      </c>
      <c r="O593" t="str">
        <f>IF(M593="","",IFERROR(AVERAGEIFS(nNOTA,nNIA,M593,nEVAL,CONFIG_METADATA!$B$4,nASIG,"Coro"),""))</f>
        <v/>
      </c>
      <c r="P593" t="str">
        <f>IF(M593="","",IFERROR(AVERAGEIFS(nNOTA,nNIA,M593,nEVAL,CONFIG_METADATA!$B$4,nASIG,"Conjunto"),""))</f>
        <v/>
      </c>
      <c r="Q593" t="str">
        <f>IF(M593="","",IFERROR(AVERAGEIFS(nNOTA,nNIA,M593,nEVAL,CONFIG_METADATA!$B$4,nASIG,"&lt;&gt;Lenguaje Musical",nASIG,"&lt;&gt;Coro",nASIG,"&lt;&gt;Conjunto"),""))</f>
        <v/>
      </c>
      <c r="T593" t="str">
        <f>IF(S593="","",IFERROR(AVERAGEIFS(nNOTA,nNIA,S593,nEVAL,CONFIG_METADATA!$B$4,nASIG,"Lenguaje Musical"),""))</f>
        <v/>
      </c>
      <c r="U593" t="str">
        <f>IF(S593="","",IFERROR(AVERAGEIFS(nNOTA,nNIA,S593,nEVAL,CONFIG_METADATA!$B$4,nASIG,"Coro"),""))</f>
        <v/>
      </c>
      <c r="V593" t="str">
        <f>IF(S593="","",IFERROR(AVERAGEIFS(nNOTA,nNIA,S593,nEVAL,CONFIG_METADATA!$B$4,nASIG,"Conjunto"),""))</f>
        <v/>
      </c>
      <c r="W593" t="str" cm="1">
        <f t="array" ref="W593">IF(S593="","",IFERROR(AVERAGE(IF((nNIA=S593)*(nEVAL=CONFIG_METADATA!$B$4)*(nASIG&lt;&gt;"Lenguaje Musical")*(nASIG&lt;&gt;"Coro")*(nASIG&lt;&gt;"Conjunto"),nNOTA)),""))</f>
        <v/>
      </c>
    </row>
    <row r="594" spans="2:23" x14ac:dyDescent="0.2">
      <c r="B594" t="str">
        <f>IF(A594="","",IFERROR(AVERAGEIFS(nNOTA,nNIA,A594,nEVAL,CONFIG_METADATA!$B$4,nASIG,"Lenguaje Musical"),""))</f>
        <v/>
      </c>
      <c r="C594" t="str">
        <f>IF(A594="","",IFERROR(AVERAGEIFS(nNOTA,nNIA,A594,nEVAL,CONFIG_METADATA!$B$4,nASIG,"Coro"),""))</f>
        <v/>
      </c>
      <c r="D594" t="str">
        <f>IF(A594="","",IFERROR(AVERAGEIFS(nNOTA,nNIA,A594,nEVAL,CONFIG_METADATA!$B$4,nASIG,"Conjunto"),""))</f>
        <v/>
      </c>
      <c r="E594" t="str">
        <f>IF(A594="","",IFERROR(AVERAGEIFS(nNOTA,nNIA,A594,nEVAL,CONFIG_METADATA!$B$4,nASIG,"&lt;&gt;Lenguaje Musical",nASIG,"&lt;&gt;Coro",nASIG,"&lt;&gt;Conjunto"),""))</f>
        <v/>
      </c>
      <c r="H594" t="str">
        <f>IF(G594="","",IFERROR(AVERAGEIFS(nNOTA,nNIA,G594,nEVAL,CONFIG_METADATA!$B$4,nASIG,"Lenguaje Musical"),""))</f>
        <v/>
      </c>
      <c r="I594" t="str">
        <f>IF(G594="","",IFERROR(AVERAGEIFS(nNOTA,nNIA,G594,nEVAL,CONFIG_METADATA!$B$4,nASIG,"Coro"),""))</f>
        <v/>
      </c>
      <c r="J594" t="str">
        <f>IF(G594="","",IFERROR(AVERAGEIFS(nNOTA,nNIA,G594,nEVAL,CONFIG_METADATA!$B$4,nASIG,"Conjunto"),""))</f>
        <v/>
      </c>
      <c r="K594" t="str" cm="1">
        <f t="array" ref="K594">IF(G594="","",IFERROR(AVERAGE(IF((nNIA=G594)*(nEVAL=CONFIG_METADATA!$B$4)*(nASIG&lt;&gt;"Lenguaje Musical")*(nASIG&lt;&gt;"Coro")*(nASIG&lt;&gt;"Conjunto"),nNOTA)),""))</f>
        <v/>
      </c>
      <c r="N594" t="str">
        <f>IF(M594="","",IFERROR(AVERAGEIFS(nNOTA,nNIA,M594,nEVAL,CONFIG_METADATA!$B$4,nASIG,"Lenguaje Musical"),""))</f>
        <v/>
      </c>
      <c r="O594" t="str">
        <f>IF(M594="","",IFERROR(AVERAGEIFS(nNOTA,nNIA,M594,nEVAL,CONFIG_METADATA!$B$4,nASIG,"Coro"),""))</f>
        <v/>
      </c>
      <c r="P594" t="str">
        <f>IF(M594="","",IFERROR(AVERAGEIFS(nNOTA,nNIA,M594,nEVAL,CONFIG_METADATA!$B$4,nASIG,"Conjunto"),""))</f>
        <v/>
      </c>
      <c r="Q594" t="str">
        <f>IF(M594="","",IFERROR(AVERAGEIFS(nNOTA,nNIA,M594,nEVAL,CONFIG_METADATA!$B$4,nASIG,"&lt;&gt;Lenguaje Musical",nASIG,"&lt;&gt;Coro",nASIG,"&lt;&gt;Conjunto"),""))</f>
        <v/>
      </c>
      <c r="T594" t="str">
        <f>IF(S594="","",IFERROR(AVERAGEIFS(nNOTA,nNIA,S594,nEVAL,CONFIG_METADATA!$B$4,nASIG,"Lenguaje Musical"),""))</f>
        <v/>
      </c>
      <c r="U594" t="str">
        <f>IF(S594="","",IFERROR(AVERAGEIFS(nNOTA,nNIA,S594,nEVAL,CONFIG_METADATA!$B$4,nASIG,"Coro"),""))</f>
        <v/>
      </c>
      <c r="V594" t="str">
        <f>IF(S594="","",IFERROR(AVERAGEIFS(nNOTA,nNIA,S594,nEVAL,CONFIG_METADATA!$B$4,nASIG,"Conjunto"),""))</f>
        <v/>
      </c>
      <c r="W594" t="str" cm="1">
        <f t="array" ref="W594">IF(S594="","",IFERROR(AVERAGE(IF((nNIA=S594)*(nEVAL=CONFIG_METADATA!$B$4)*(nASIG&lt;&gt;"Lenguaje Musical")*(nASIG&lt;&gt;"Coro")*(nASIG&lt;&gt;"Conjunto"),nNOTA)),""))</f>
        <v/>
      </c>
    </row>
    <row r="595" spans="2:23" x14ac:dyDescent="0.2">
      <c r="B595" t="str">
        <f>IF(A595="","",IFERROR(AVERAGEIFS(nNOTA,nNIA,A595,nEVAL,CONFIG_METADATA!$B$4,nASIG,"Lenguaje Musical"),""))</f>
        <v/>
      </c>
      <c r="C595" t="str">
        <f>IF(A595="","",IFERROR(AVERAGEIFS(nNOTA,nNIA,A595,nEVAL,CONFIG_METADATA!$B$4,nASIG,"Coro"),""))</f>
        <v/>
      </c>
      <c r="D595" t="str">
        <f>IF(A595="","",IFERROR(AVERAGEIFS(nNOTA,nNIA,A595,nEVAL,CONFIG_METADATA!$B$4,nASIG,"Conjunto"),""))</f>
        <v/>
      </c>
      <c r="E595" t="str">
        <f>IF(A595="","",IFERROR(AVERAGEIFS(nNOTA,nNIA,A595,nEVAL,CONFIG_METADATA!$B$4,nASIG,"&lt;&gt;Lenguaje Musical",nASIG,"&lt;&gt;Coro",nASIG,"&lt;&gt;Conjunto"),""))</f>
        <v/>
      </c>
      <c r="H595" t="str">
        <f>IF(G595="","",IFERROR(AVERAGEIFS(nNOTA,nNIA,G595,nEVAL,CONFIG_METADATA!$B$4,nASIG,"Lenguaje Musical"),""))</f>
        <v/>
      </c>
      <c r="I595" t="str">
        <f>IF(G595="","",IFERROR(AVERAGEIFS(nNOTA,nNIA,G595,nEVAL,CONFIG_METADATA!$B$4,nASIG,"Coro"),""))</f>
        <v/>
      </c>
      <c r="J595" t="str">
        <f>IF(G595="","",IFERROR(AVERAGEIFS(nNOTA,nNIA,G595,nEVAL,CONFIG_METADATA!$B$4,nASIG,"Conjunto"),""))</f>
        <v/>
      </c>
      <c r="K595" t="str" cm="1">
        <f t="array" ref="K595">IF(G595="","",IFERROR(AVERAGE(IF((nNIA=G595)*(nEVAL=CONFIG_METADATA!$B$4)*(nASIG&lt;&gt;"Lenguaje Musical")*(nASIG&lt;&gt;"Coro")*(nASIG&lt;&gt;"Conjunto"),nNOTA)),""))</f>
        <v/>
      </c>
      <c r="N595" t="str">
        <f>IF(M595="","",IFERROR(AVERAGEIFS(nNOTA,nNIA,M595,nEVAL,CONFIG_METADATA!$B$4,nASIG,"Lenguaje Musical"),""))</f>
        <v/>
      </c>
      <c r="O595" t="str">
        <f>IF(M595="","",IFERROR(AVERAGEIFS(nNOTA,nNIA,M595,nEVAL,CONFIG_METADATA!$B$4,nASIG,"Coro"),""))</f>
        <v/>
      </c>
      <c r="P595" t="str">
        <f>IF(M595="","",IFERROR(AVERAGEIFS(nNOTA,nNIA,M595,nEVAL,CONFIG_METADATA!$B$4,nASIG,"Conjunto"),""))</f>
        <v/>
      </c>
      <c r="Q595" t="str">
        <f>IF(M595="","",IFERROR(AVERAGEIFS(nNOTA,nNIA,M595,nEVAL,CONFIG_METADATA!$B$4,nASIG,"&lt;&gt;Lenguaje Musical",nASIG,"&lt;&gt;Coro",nASIG,"&lt;&gt;Conjunto"),""))</f>
        <v/>
      </c>
      <c r="T595" t="str">
        <f>IF(S595="","",IFERROR(AVERAGEIFS(nNOTA,nNIA,S595,nEVAL,CONFIG_METADATA!$B$4,nASIG,"Lenguaje Musical"),""))</f>
        <v/>
      </c>
      <c r="U595" t="str">
        <f>IF(S595="","",IFERROR(AVERAGEIFS(nNOTA,nNIA,S595,nEVAL,CONFIG_METADATA!$B$4,nASIG,"Coro"),""))</f>
        <v/>
      </c>
      <c r="V595" t="str">
        <f>IF(S595="","",IFERROR(AVERAGEIFS(nNOTA,nNIA,S595,nEVAL,CONFIG_METADATA!$B$4,nASIG,"Conjunto"),""))</f>
        <v/>
      </c>
      <c r="W595" t="str" cm="1">
        <f t="array" ref="W595">IF(S595="","",IFERROR(AVERAGE(IF((nNIA=S595)*(nEVAL=CONFIG_METADATA!$B$4)*(nASIG&lt;&gt;"Lenguaje Musical")*(nASIG&lt;&gt;"Coro")*(nASIG&lt;&gt;"Conjunto"),nNOTA)),""))</f>
        <v/>
      </c>
    </row>
    <row r="596" spans="2:23" x14ac:dyDescent="0.2">
      <c r="B596" t="str">
        <f>IF(A596="","",IFERROR(AVERAGEIFS(nNOTA,nNIA,A596,nEVAL,CONFIG_METADATA!$B$4,nASIG,"Lenguaje Musical"),""))</f>
        <v/>
      </c>
      <c r="C596" t="str">
        <f>IF(A596="","",IFERROR(AVERAGEIFS(nNOTA,nNIA,A596,nEVAL,CONFIG_METADATA!$B$4,nASIG,"Coro"),""))</f>
        <v/>
      </c>
      <c r="D596" t="str">
        <f>IF(A596="","",IFERROR(AVERAGEIFS(nNOTA,nNIA,A596,nEVAL,CONFIG_METADATA!$B$4,nASIG,"Conjunto"),""))</f>
        <v/>
      </c>
      <c r="E596" t="str">
        <f>IF(A596="","",IFERROR(AVERAGEIFS(nNOTA,nNIA,A596,nEVAL,CONFIG_METADATA!$B$4,nASIG,"&lt;&gt;Lenguaje Musical",nASIG,"&lt;&gt;Coro",nASIG,"&lt;&gt;Conjunto"),""))</f>
        <v/>
      </c>
      <c r="H596" t="str">
        <f>IF(G596="","",IFERROR(AVERAGEIFS(nNOTA,nNIA,G596,nEVAL,CONFIG_METADATA!$B$4,nASIG,"Lenguaje Musical"),""))</f>
        <v/>
      </c>
      <c r="I596" t="str">
        <f>IF(G596="","",IFERROR(AVERAGEIFS(nNOTA,nNIA,G596,nEVAL,CONFIG_METADATA!$B$4,nASIG,"Coro"),""))</f>
        <v/>
      </c>
      <c r="J596" t="str">
        <f>IF(G596="","",IFERROR(AVERAGEIFS(nNOTA,nNIA,G596,nEVAL,CONFIG_METADATA!$B$4,nASIG,"Conjunto"),""))</f>
        <v/>
      </c>
      <c r="K596" t="str" cm="1">
        <f t="array" ref="K596">IF(G596="","",IFERROR(AVERAGE(IF((nNIA=G596)*(nEVAL=CONFIG_METADATA!$B$4)*(nASIG&lt;&gt;"Lenguaje Musical")*(nASIG&lt;&gt;"Coro")*(nASIG&lt;&gt;"Conjunto"),nNOTA)),""))</f>
        <v/>
      </c>
      <c r="N596" t="str">
        <f>IF(M596="","",IFERROR(AVERAGEIFS(nNOTA,nNIA,M596,nEVAL,CONFIG_METADATA!$B$4,nASIG,"Lenguaje Musical"),""))</f>
        <v/>
      </c>
      <c r="O596" t="str">
        <f>IF(M596="","",IFERROR(AVERAGEIFS(nNOTA,nNIA,M596,nEVAL,CONFIG_METADATA!$B$4,nASIG,"Coro"),""))</f>
        <v/>
      </c>
      <c r="P596" t="str">
        <f>IF(M596="","",IFERROR(AVERAGEIFS(nNOTA,nNIA,M596,nEVAL,CONFIG_METADATA!$B$4,nASIG,"Conjunto"),""))</f>
        <v/>
      </c>
      <c r="Q596" t="str">
        <f>IF(M596="","",IFERROR(AVERAGEIFS(nNOTA,nNIA,M596,nEVAL,CONFIG_METADATA!$B$4,nASIG,"&lt;&gt;Lenguaje Musical",nASIG,"&lt;&gt;Coro",nASIG,"&lt;&gt;Conjunto"),""))</f>
        <v/>
      </c>
      <c r="T596" t="str">
        <f>IF(S596="","",IFERROR(AVERAGEIFS(nNOTA,nNIA,S596,nEVAL,CONFIG_METADATA!$B$4,nASIG,"Lenguaje Musical"),""))</f>
        <v/>
      </c>
      <c r="U596" t="str">
        <f>IF(S596="","",IFERROR(AVERAGEIFS(nNOTA,nNIA,S596,nEVAL,CONFIG_METADATA!$B$4,nASIG,"Coro"),""))</f>
        <v/>
      </c>
      <c r="V596" t="str">
        <f>IF(S596="","",IFERROR(AVERAGEIFS(nNOTA,nNIA,S596,nEVAL,CONFIG_METADATA!$B$4,nASIG,"Conjunto"),""))</f>
        <v/>
      </c>
      <c r="W596" t="str" cm="1">
        <f t="array" ref="W596">IF(S596="","",IFERROR(AVERAGE(IF((nNIA=S596)*(nEVAL=CONFIG_METADATA!$B$4)*(nASIG&lt;&gt;"Lenguaje Musical")*(nASIG&lt;&gt;"Coro")*(nASIG&lt;&gt;"Conjunto"),nNOTA)),""))</f>
        <v/>
      </c>
    </row>
    <row r="597" spans="2:23" x14ac:dyDescent="0.2">
      <c r="B597" t="str">
        <f>IF(A597="","",IFERROR(AVERAGEIFS(nNOTA,nNIA,A597,nEVAL,CONFIG_METADATA!$B$4,nASIG,"Lenguaje Musical"),""))</f>
        <v/>
      </c>
      <c r="C597" t="str">
        <f>IF(A597="","",IFERROR(AVERAGEIFS(nNOTA,nNIA,A597,nEVAL,CONFIG_METADATA!$B$4,nASIG,"Coro"),""))</f>
        <v/>
      </c>
      <c r="D597" t="str">
        <f>IF(A597="","",IFERROR(AVERAGEIFS(nNOTA,nNIA,A597,nEVAL,CONFIG_METADATA!$B$4,nASIG,"Conjunto"),""))</f>
        <v/>
      </c>
      <c r="E597" t="str">
        <f>IF(A597="","",IFERROR(AVERAGEIFS(nNOTA,nNIA,A597,nEVAL,CONFIG_METADATA!$B$4,nASIG,"&lt;&gt;Lenguaje Musical",nASIG,"&lt;&gt;Coro",nASIG,"&lt;&gt;Conjunto"),""))</f>
        <v/>
      </c>
      <c r="H597" t="str">
        <f>IF(G597="","",IFERROR(AVERAGEIFS(nNOTA,nNIA,G597,nEVAL,CONFIG_METADATA!$B$4,nASIG,"Lenguaje Musical"),""))</f>
        <v/>
      </c>
      <c r="I597" t="str">
        <f>IF(G597="","",IFERROR(AVERAGEIFS(nNOTA,nNIA,G597,nEVAL,CONFIG_METADATA!$B$4,nASIG,"Coro"),""))</f>
        <v/>
      </c>
      <c r="J597" t="str">
        <f>IF(G597="","",IFERROR(AVERAGEIFS(nNOTA,nNIA,G597,nEVAL,CONFIG_METADATA!$B$4,nASIG,"Conjunto"),""))</f>
        <v/>
      </c>
      <c r="K597" t="str" cm="1">
        <f t="array" ref="K597">IF(G597="","",IFERROR(AVERAGE(IF((nNIA=G597)*(nEVAL=CONFIG_METADATA!$B$4)*(nASIG&lt;&gt;"Lenguaje Musical")*(nASIG&lt;&gt;"Coro")*(nASIG&lt;&gt;"Conjunto"),nNOTA)),""))</f>
        <v/>
      </c>
      <c r="N597" t="str">
        <f>IF(M597="","",IFERROR(AVERAGEIFS(nNOTA,nNIA,M597,nEVAL,CONFIG_METADATA!$B$4,nASIG,"Lenguaje Musical"),""))</f>
        <v/>
      </c>
      <c r="O597" t="str">
        <f>IF(M597="","",IFERROR(AVERAGEIFS(nNOTA,nNIA,M597,nEVAL,CONFIG_METADATA!$B$4,nASIG,"Coro"),""))</f>
        <v/>
      </c>
      <c r="P597" t="str">
        <f>IF(M597="","",IFERROR(AVERAGEIFS(nNOTA,nNIA,M597,nEVAL,CONFIG_METADATA!$B$4,nASIG,"Conjunto"),""))</f>
        <v/>
      </c>
      <c r="Q597" t="str">
        <f>IF(M597="","",IFERROR(AVERAGEIFS(nNOTA,nNIA,M597,nEVAL,CONFIG_METADATA!$B$4,nASIG,"&lt;&gt;Lenguaje Musical",nASIG,"&lt;&gt;Coro",nASIG,"&lt;&gt;Conjunto"),""))</f>
        <v/>
      </c>
      <c r="T597" t="str">
        <f>IF(S597="","",IFERROR(AVERAGEIFS(nNOTA,nNIA,S597,nEVAL,CONFIG_METADATA!$B$4,nASIG,"Lenguaje Musical"),""))</f>
        <v/>
      </c>
      <c r="U597" t="str">
        <f>IF(S597="","",IFERROR(AVERAGEIFS(nNOTA,nNIA,S597,nEVAL,CONFIG_METADATA!$B$4,nASIG,"Coro"),""))</f>
        <v/>
      </c>
      <c r="V597" t="str">
        <f>IF(S597="","",IFERROR(AVERAGEIFS(nNOTA,nNIA,S597,nEVAL,CONFIG_METADATA!$B$4,nASIG,"Conjunto"),""))</f>
        <v/>
      </c>
      <c r="W597" t="str" cm="1">
        <f t="array" ref="W597">IF(S597="","",IFERROR(AVERAGE(IF((nNIA=S597)*(nEVAL=CONFIG_METADATA!$B$4)*(nASIG&lt;&gt;"Lenguaje Musical")*(nASIG&lt;&gt;"Coro")*(nASIG&lt;&gt;"Conjunto"),nNOTA)),""))</f>
        <v/>
      </c>
    </row>
    <row r="598" spans="2:23" x14ac:dyDescent="0.2">
      <c r="B598" t="str">
        <f>IF(A598="","",IFERROR(AVERAGEIFS(nNOTA,nNIA,A598,nEVAL,CONFIG_METADATA!$B$4,nASIG,"Lenguaje Musical"),""))</f>
        <v/>
      </c>
      <c r="C598" t="str">
        <f>IF(A598="","",IFERROR(AVERAGEIFS(nNOTA,nNIA,A598,nEVAL,CONFIG_METADATA!$B$4,nASIG,"Coro"),""))</f>
        <v/>
      </c>
      <c r="D598" t="str">
        <f>IF(A598="","",IFERROR(AVERAGEIFS(nNOTA,nNIA,A598,nEVAL,CONFIG_METADATA!$B$4,nASIG,"Conjunto"),""))</f>
        <v/>
      </c>
      <c r="E598" t="str">
        <f>IF(A598="","",IFERROR(AVERAGEIFS(nNOTA,nNIA,A598,nEVAL,CONFIG_METADATA!$B$4,nASIG,"&lt;&gt;Lenguaje Musical",nASIG,"&lt;&gt;Coro",nASIG,"&lt;&gt;Conjunto"),""))</f>
        <v/>
      </c>
      <c r="H598" t="str">
        <f>IF(G598="","",IFERROR(AVERAGEIFS(nNOTA,nNIA,G598,nEVAL,CONFIG_METADATA!$B$4,nASIG,"Lenguaje Musical"),""))</f>
        <v/>
      </c>
      <c r="I598" t="str">
        <f>IF(G598="","",IFERROR(AVERAGEIFS(nNOTA,nNIA,G598,nEVAL,CONFIG_METADATA!$B$4,nASIG,"Coro"),""))</f>
        <v/>
      </c>
      <c r="J598" t="str">
        <f>IF(G598="","",IFERROR(AVERAGEIFS(nNOTA,nNIA,G598,nEVAL,CONFIG_METADATA!$B$4,nASIG,"Conjunto"),""))</f>
        <v/>
      </c>
      <c r="K598" t="str" cm="1">
        <f t="array" ref="K598">IF(G598="","",IFERROR(AVERAGE(IF((nNIA=G598)*(nEVAL=CONFIG_METADATA!$B$4)*(nASIG&lt;&gt;"Lenguaje Musical")*(nASIG&lt;&gt;"Coro")*(nASIG&lt;&gt;"Conjunto"),nNOTA)),""))</f>
        <v/>
      </c>
      <c r="N598" t="str">
        <f>IF(M598="","",IFERROR(AVERAGEIFS(nNOTA,nNIA,M598,nEVAL,CONFIG_METADATA!$B$4,nASIG,"Lenguaje Musical"),""))</f>
        <v/>
      </c>
      <c r="O598" t="str">
        <f>IF(M598="","",IFERROR(AVERAGEIFS(nNOTA,nNIA,M598,nEVAL,CONFIG_METADATA!$B$4,nASIG,"Coro"),""))</f>
        <v/>
      </c>
      <c r="P598" t="str">
        <f>IF(M598="","",IFERROR(AVERAGEIFS(nNOTA,nNIA,M598,nEVAL,CONFIG_METADATA!$B$4,nASIG,"Conjunto"),""))</f>
        <v/>
      </c>
      <c r="Q598" t="str">
        <f>IF(M598="","",IFERROR(AVERAGEIFS(nNOTA,nNIA,M598,nEVAL,CONFIG_METADATA!$B$4,nASIG,"&lt;&gt;Lenguaje Musical",nASIG,"&lt;&gt;Coro",nASIG,"&lt;&gt;Conjunto"),""))</f>
        <v/>
      </c>
      <c r="T598" t="str">
        <f>IF(S598="","",IFERROR(AVERAGEIFS(nNOTA,nNIA,S598,nEVAL,CONFIG_METADATA!$B$4,nASIG,"Lenguaje Musical"),""))</f>
        <v/>
      </c>
      <c r="U598" t="str">
        <f>IF(S598="","",IFERROR(AVERAGEIFS(nNOTA,nNIA,S598,nEVAL,CONFIG_METADATA!$B$4,nASIG,"Coro"),""))</f>
        <v/>
      </c>
      <c r="V598" t="str">
        <f>IF(S598="","",IFERROR(AVERAGEIFS(nNOTA,nNIA,S598,nEVAL,CONFIG_METADATA!$B$4,nASIG,"Conjunto"),""))</f>
        <v/>
      </c>
      <c r="W598" t="str" cm="1">
        <f t="array" ref="W598">IF(S598="","",IFERROR(AVERAGE(IF((nNIA=S598)*(nEVAL=CONFIG_METADATA!$B$4)*(nASIG&lt;&gt;"Lenguaje Musical")*(nASIG&lt;&gt;"Coro")*(nASIG&lt;&gt;"Conjunto"),nNOTA)),""))</f>
        <v/>
      </c>
    </row>
    <row r="599" spans="2:23" x14ac:dyDescent="0.2">
      <c r="B599" t="str">
        <f>IF(A599="","",IFERROR(AVERAGEIFS(nNOTA,nNIA,A599,nEVAL,CONFIG_METADATA!$B$4,nASIG,"Lenguaje Musical"),""))</f>
        <v/>
      </c>
      <c r="C599" t="str">
        <f>IF(A599="","",IFERROR(AVERAGEIFS(nNOTA,nNIA,A599,nEVAL,CONFIG_METADATA!$B$4,nASIG,"Coro"),""))</f>
        <v/>
      </c>
      <c r="D599" t="str">
        <f>IF(A599="","",IFERROR(AVERAGEIFS(nNOTA,nNIA,A599,nEVAL,CONFIG_METADATA!$B$4,nASIG,"Conjunto"),""))</f>
        <v/>
      </c>
      <c r="E599" t="str">
        <f>IF(A599="","",IFERROR(AVERAGEIFS(nNOTA,nNIA,A599,nEVAL,CONFIG_METADATA!$B$4,nASIG,"&lt;&gt;Lenguaje Musical",nASIG,"&lt;&gt;Coro",nASIG,"&lt;&gt;Conjunto"),""))</f>
        <v/>
      </c>
      <c r="H599" t="str">
        <f>IF(G599="","",IFERROR(AVERAGEIFS(nNOTA,nNIA,G599,nEVAL,CONFIG_METADATA!$B$4,nASIG,"Lenguaje Musical"),""))</f>
        <v/>
      </c>
      <c r="I599" t="str">
        <f>IF(G599="","",IFERROR(AVERAGEIFS(nNOTA,nNIA,G599,nEVAL,CONFIG_METADATA!$B$4,nASIG,"Coro"),""))</f>
        <v/>
      </c>
      <c r="J599" t="str">
        <f>IF(G599="","",IFERROR(AVERAGEIFS(nNOTA,nNIA,G599,nEVAL,CONFIG_METADATA!$B$4,nASIG,"Conjunto"),""))</f>
        <v/>
      </c>
      <c r="K599" t="str" cm="1">
        <f t="array" ref="K599">IF(G599="","",IFERROR(AVERAGE(IF((nNIA=G599)*(nEVAL=CONFIG_METADATA!$B$4)*(nASIG&lt;&gt;"Lenguaje Musical")*(nASIG&lt;&gt;"Coro")*(nASIG&lt;&gt;"Conjunto"),nNOTA)),""))</f>
        <v/>
      </c>
      <c r="N599" t="str">
        <f>IF(M599="","",IFERROR(AVERAGEIFS(nNOTA,nNIA,M599,nEVAL,CONFIG_METADATA!$B$4,nASIG,"Lenguaje Musical"),""))</f>
        <v/>
      </c>
      <c r="O599" t="str">
        <f>IF(M599="","",IFERROR(AVERAGEIFS(nNOTA,nNIA,M599,nEVAL,CONFIG_METADATA!$B$4,nASIG,"Coro"),""))</f>
        <v/>
      </c>
      <c r="P599" t="str">
        <f>IF(M599="","",IFERROR(AVERAGEIFS(nNOTA,nNIA,M599,nEVAL,CONFIG_METADATA!$B$4,nASIG,"Conjunto"),""))</f>
        <v/>
      </c>
      <c r="Q599" t="str">
        <f>IF(M599="","",IFERROR(AVERAGEIFS(nNOTA,nNIA,M599,nEVAL,CONFIG_METADATA!$B$4,nASIG,"&lt;&gt;Lenguaje Musical",nASIG,"&lt;&gt;Coro",nASIG,"&lt;&gt;Conjunto"),""))</f>
        <v/>
      </c>
      <c r="T599" t="str">
        <f>IF(S599="","",IFERROR(AVERAGEIFS(nNOTA,nNIA,S599,nEVAL,CONFIG_METADATA!$B$4,nASIG,"Lenguaje Musical"),""))</f>
        <v/>
      </c>
      <c r="U599" t="str">
        <f>IF(S599="","",IFERROR(AVERAGEIFS(nNOTA,nNIA,S599,nEVAL,CONFIG_METADATA!$B$4,nASIG,"Coro"),""))</f>
        <v/>
      </c>
      <c r="V599" t="str">
        <f>IF(S599="","",IFERROR(AVERAGEIFS(nNOTA,nNIA,S599,nEVAL,CONFIG_METADATA!$B$4,nASIG,"Conjunto"),""))</f>
        <v/>
      </c>
      <c r="W599" t="str" cm="1">
        <f t="array" ref="W599">IF(S599="","",IFERROR(AVERAGE(IF((nNIA=S599)*(nEVAL=CONFIG_METADATA!$B$4)*(nASIG&lt;&gt;"Lenguaje Musical")*(nASIG&lt;&gt;"Coro")*(nASIG&lt;&gt;"Conjunto"),nNOTA)),""))</f>
        <v/>
      </c>
    </row>
    <row r="600" spans="2:23" x14ac:dyDescent="0.2">
      <c r="B600" t="str">
        <f>IF(A600="","",IFERROR(AVERAGEIFS(nNOTA,nNIA,A600,nEVAL,CONFIG_METADATA!$B$4,nASIG,"Lenguaje Musical"),""))</f>
        <v/>
      </c>
      <c r="C600" t="str">
        <f>IF(A600="","",IFERROR(AVERAGEIFS(nNOTA,nNIA,A600,nEVAL,CONFIG_METADATA!$B$4,nASIG,"Coro"),""))</f>
        <v/>
      </c>
      <c r="D600" t="str">
        <f>IF(A600="","",IFERROR(AVERAGEIFS(nNOTA,nNIA,A600,nEVAL,CONFIG_METADATA!$B$4,nASIG,"Conjunto"),""))</f>
        <v/>
      </c>
      <c r="E600" t="str">
        <f>IF(A600="","",IFERROR(AVERAGEIFS(nNOTA,nNIA,A600,nEVAL,CONFIG_METADATA!$B$4,nASIG,"&lt;&gt;Lenguaje Musical",nASIG,"&lt;&gt;Coro",nASIG,"&lt;&gt;Conjunto"),""))</f>
        <v/>
      </c>
      <c r="H600" t="str">
        <f>IF(G600="","",IFERROR(AVERAGEIFS(nNOTA,nNIA,G600,nEVAL,CONFIG_METADATA!$B$4,nASIG,"Lenguaje Musical"),""))</f>
        <v/>
      </c>
      <c r="I600" t="str">
        <f>IF(G600="","",IFERROR(AVERAGEIFS(nNOTA,nNIA,G600,nEVAL,CONFIG_METADATA!$B$4,nASIG,"Coro"),""))</f>
        <v/>
      </c>
      <c r="J600" t="str">
        <f>IF(G600="","",IFERROR(AVERAGEIFS(nNOTA,nNIA,G600,nEVAL,CONFIG_METADATA!$B$4,nASIG,"Conjunto"),""))</f>
        <v/>
      </c>
      <c r="K600" t="str" cm="1">
        <f t="array" ref="K600">IF(G600="","",IFERROR(AVERAGE(IF((nNIA=G600)*(nEVAL=CONFIG_METADATA!$B$4)*(nASIG&lt;&gt;"Lenguaje Musical")*(nASIG&lt;&gt;"Coro")*(nASIG&lt;&gt;"Conjunto"),nNOTA)),""))</f>
        <v/>
      </c>
      <c r="N600" t="str">
        <f>IF(M600="","",IFERROR(AVERAGEIFS(nNOTA,nNIA,M600,nEVAL,CONFIG_METADATA!$B$4,nASIG,"Lenguaje Musical"),""))</f>
        <v/>
      </c>
      <c r="O600" t="str">
        <f>IF(M600="","",IFERROR(AVERAGEIFS(nNOTA,nNIA,M600,nEVAL,CONFIG_METADATA!$B$4,nASIG,"Coro"),""))</f>
        <v/>
      </c>
      <c r="P600" t="str">
        <f>IF(M600="","",IFERROR(AVERAGEIFS(nNOTA,nNIA,M600,nEVAL,CONFIG_METADATA!$B$4,nASIG,"Conjunto"),""))</f>
        <v/>
      </c>
      <c r="Q600" t="str">
        <f>IF(M600="","",IFERROR(AVERAGEIFS(nNOTA,nNIA,M600,nEVAL,CONFIG_METADATA!$B$4,nASIG,"&lt;&gt;Lenguaje Musical",nASIG,"&lt;&gt;Coro",nASIG,"&lt;&gt;Conjunto"),""))</f>
        <v/>
      </c>
      <c r="T600" t="str">
        <f>IF(S600="","",IFERROR(AVERAGEIFS(nNOTA,nNIA,S600,nEVAL,CONFIG_METADATA!$B$4,nASIG,"Lenguaje Musical"),""))</f>
        <v/>
      </c>
      <c r="U600" t="str">
        <f>IF(S600="","",IFERROR(AVERAGEIFS(nNOTA,nNIA,S600,nEVAL,CONFIG_METADATA!$B$4,nASIG,"Coro"),""))</f>
        <v/>
      </c>
      <c r="V600" t="str">
        <f>IF(S600="","",IFERROR(AVERAGEIFS(nNOTA,nNIA,S600,nEVAL,CONFIG_METADATA!$B$4,nASIG,"Conjunto"),""))</f>
        <v/>
      </c>
      <c r="W600" t="str" cm="1">
        <f t="array" ref="W600">IF(S600="","",IFERROR(AVERAGE(IF((nNIA=S600)*(nEVAL=CONFIG_METADATA!$B$4)*(nASIG&lt;&gt;"Lenguaje Musical")*(nASIG&lt;&gt;"Coro")*(nASIG&lt;&gt;"Conjunto"),nNOTA)),""))</f>
        <v/>
      </c>
    </row>
    <row r="601" spans="2:23" x14ac:dyDescent="0.2">
      <c r="B601" t="str">
        <f>IF(A601="","",IFERROR(AVERAGEIFS(nNOTA,nNIA,A601,nEVAL,CONFIG_METADATA!$B$4,nASIG,"Lenguaje Musical"),""))</f>
        <v/>
      </c>
      <c r="C601" t="str">
        <f>IF(A601="","",IFERROR(AVERAGEIFS(nNOTA,nNIA,A601,nEVAL,CONFIG_METADATA!$B$4,nASIG,"Coro"),""))</f>
        <v/>
      </c>
      <c r="D601" t="str">
        <f>IF(A601="","",IFERROR(AVERAGEIFS(nNOTA,nNIA,A601,nEVAL,CONFIG_METADATA!$B$4,nASIG,"Conjunto"),""))</f>
        <v/>
      </c>
      <c r="E601" t="str">
        <f>IF(A601="","",IFERROR(AVERAGEIFS(nNOTA,nNIA,A601,nEVAL,CONFIG_METADATA!$B$4,nASIG,"&lt;&gt;Lenguaje Musical",nASIG,"&lt;&gt;Coro",nASIG,"&lt;&gt;Conjunto"),""))</f>
        <v/>
      </c>
      <c r="H601" t="str">
        <f>IF(G601="","",IFERROR(AVERAGEIFS(nNOTA,nNIA,G601,nEVAL,CONFIG_METADATA!$B$4,nASIG,"Lenguaje Musical"),""))</f>
        <v/>
      </c>
      <c r="I601" t="str">
        <f>IF(G601="","",IFERROR(AVERAGEIFS(nNOTA,nNIA,G601,nEVAL,CONFIG_METADATA!$B$4,nASIG,"Coro"),""))</f>
        <v/>
      </c>
      <c r="J601" t="str">
        <f>IF(G601="","",IFERROR(AVERAGEIFS(nNOTA,nNIA,G601,nEVAL,CONFIG_METADATA!$B$4,nASIG,"Conjunto"),""))</f>
        <v/>
      </c>
      <c r="K601" t="str" cm="1">
        <f t="array" ref="K601">IF(G601="","",IFERROR(AVERAGE(IF((nNIA=G601)*(nEVAL=CONFIG_METADATA!$B$4)*(nASIG&lt;&gt;"Lenguaje Musical")*(nASIG&lt;&gt;"Coro")*(nASIG&lt;&gt;"Conjunto"),nNOTA)),""))</f>
        <v/>
      </c>
      <c r="N601" t="str">
        <f>IF(M601="","",IFERROR(AVERAGEIFS(nNOTA,nNIA,M601,nEVAL,CONFIG_METADATA!$B$4,nASIG,"Lenguaje Musical"),""))</f>
        <v/>
      </c>
      <c r="O601" t="str">
        <f>IF(M601="","",IFERROR(AVERAGEIFS(nNOTA,nNIA,M601,nEVAL,CONFIG_METADATA!$B$4,nASIG,"Coro"),""))</f>
        <v/>
      </c>
      <c r="P601" t="str">
        <f>IF(M601="","",IFERROR(AVERAGEIFS(nNOTA,nNIA,M601,nEVAL,CONFIG_METADATA!$B$4,nASIG,"Conjunto"),""))</f>
        <v/>
      </c>
      <c r="Q601" t="str">
        <f>IF(M601="","",IFERROR(AVERAGEIFS(nNOTA,nNIA,M601,nEVAL,CONFIG_METADATA!$B$4,nASIG,"&lt;&gt;Lenguaje Musical",nASIG,"&lt;&gt;Coro",nASIG,"&lt;&gt;Conjunto"),""))</f>
        <v/>
      </c>
      <c r="T601" t="str">
        <f>IF(S601="","",IFERROR(AVERAGEIFS(nNOTA,nNIA,S601,nEVAL,CONFIG_METADATA!$B$4,nASIG,"Lenguaje Musical"),""))</f>
        <v/>
      </c>
      <c r="U601" t="str">
        <f>IF(S601="","",IFERROR(AVERAGEIFS(nNOTA,nNIA,S601,nEVAL,CONFIG_METADATA!$B$4,nASIG,"Coro"),""))</f>
        <v/>
      </c>
      <c r="V601" t="str">
        <f>IF(S601="","",IFERROR(AVERAGEIFS(nNOTA,nNIA,S601,nEVAL,CONFIG_METADATA!$B$4,nASIG,"Conjunto"),""))</f>
        <v/>
      </c>
      <c r="W601" t="str" cm="1">
        <f t="array" ref="W601">IF(S601="","",IFERROR(AVERAGE(IF((nNIA=S601)*(nEVAL=CONFIG_METADATA!$B$4)*(nASIG&lt;&gt;"Lenguaje Musical")*(nASIG&lt;&gt;"Coro")*(nASIG&lt;&gt;"Conjunto"),nNOTA)),""))</f>
        <v/>
      </c>
    </row>
    <row r="602" spans="2:23" x14ac:dyDescent="0.2">
      <c r="B602" t="str">
        <f>IF(A602="","",IFERROR(AVERAGEIFS(nNOTA,nNIA,A602,nEVAL,CONFIG_METADATA!$B$4,nASIG,"Lenguaje Musical"),""))</f>
        <v/>
      </c>
      <c r="C602" t="str">
        <f>IF(A602="","",IFERROR(AVERAGEIFS(nNOTA,nNIA,A602,nEVAL,CONFIG_METADATA!$B$4,nASIG,"Coro"),""))</f>
        <v/>
      </c>
      <c r="D602" t="str">
        <f>IF(A602="","",IFERROR(AVERAGEIFS(nNOTA,nNIA,A602,nEVAL,CONFIG_METADATA!$B$4,nASIG,"Conjunto"),""))</f>
        <v/>
      </c>
      <c r="E602" t="str">
        <f>IF(A602="","",IFERROR(AVERAGEIFS(nNOTA,nNIA,A602,nEVAL,CONFIG_METADATA!$B$4,nASIG,"&lt;&gt;Lenguaje Musical",nASIG,"&lt;&gt;Coro",nASIG,"&lt;&gt;Conjunto"),""))</f>
        <v/>
      </c>
      <c r="H602" t="str">
        <f>IF(G602="","",IFERROR(AVERAGEIFS(nNOTA,nNIA,G602,nEVAL,CONFIG_METADATA!$B$4,nASIG,"Lenguaje Musical"),""))</f>
        <v/>
      </c>
      <c r="I602" t="str">
        <f>IF(G602="","",IFERROR(AVERAGEIFS(nNOTA,nNIA,G602,nEVAL,CONFIG_METADATA!$B$4,nASIG,"Coro"),""))</f>
        <v/>
      </c>
      <c r="J602" t="str">
        <f>IF(G602="","",IFERROR(AVERAGEIFS(nNOTA,nNIA,G602,nEVAL,CONFIG_METADATA!$B$4,nASIG,"Conjunto"),""))</f>
        <v/>
      </c>
      <c r="K602" t="str" cm="1">
        <f t="array" ref="K602">IF(G602="","",IFERROR(AVERAGE(IF((nNIA=G602)*(nEVAL=CONFIG_METADATA!$B$4)*(nASIG&lt;&gt;"Lenguaje Musical")*(nASIG&lt;&gt;"Coro")*(nASIG&lt;&gt;"Conjunto"),nNOTA)),""))</f>
        <v/>
      </c>
      <c r="N602" t="str">
        <f>IF(M602="","",IFERROR(AVERAGEIFS(nNOTA,nNIA,M602,nEVAL,CONFIG_METADATA!$B$4,nASIG,"Lenguaje Musical"),""))</f>
        <v/>
      </c>
      <c r="O602" t="str">
        <f>IF(M602="","",IFERROR(AVERAGEIFS(nNOTA,nNIA,M602,nEVAL,CONFIG_METADATA!$B$4,nASIG,"Coro"),""))</f>
        <v/>
      </c>
      <c r="P602" t="str">
        <f>IF(M602="","",IFERROR(AVERAGEIFS(nNOTA,nNIA,M602,nEVAL,CONFIG_METADATA!$B$4,nASIG,"Conjunto"),""))</f>
        <v/>
      </c>
      <c r="Q602" t="str">
        <f>IF(M602="","",IFERROR(AVERAGEIFS(nNOTA,nNIA,M602,nEVAL,CONFIG_METADATA!$B$4,nASIG,"&lt;&gt;Lenguaje Musical",nASIG,"&lt;&gt;Coro",nASIG,"&lt;&gt;Conjunto"),""))</f>
        <v/>
      </c>
      <c r="T602" t="str">
        <f>IF(S602="","",IFERROR(AVERAGEIFS(nNOTA,nNIA,S602,nEVAL,CONFIG_METADATA!$B$4,nASIG,"Lenguaje Musical"),""))</f>
        <v/>
      </c>
      <c r="U602" t="str">
        <f>IF(S602="","",IFERROR(AVERAGEIFS(nNOTA,nNIA,S602,nEVAL,CONFIG_METADATA!$B$4,nASIG,"Coro"),""))</f>
        <v/>
      </c>
      <c r="V602" t="str">
        <f>IF(S602="","",IFERROR(AVERAGEIFS(nNOTA,nNIA,S602,nEVAL,CONFIG_METADATA!$B$4,nASIG,"Conjunto"),""))</f>
        <v/>
      </c>
      <c r="W602" t="str" cm="1">
        <f t="array" ref="W602">IF(S602="","",IFERROR(AVERAGE(IF((nNIA=S602)*(nEVAL=CONFIG_METADATA!$B$4)*(nASIG&lt;&gt;"Lenguaje Musical")*(nASIG&lt;&gt;"Coro")*(nASIG&lt;&gt;"Conjunto"),nNOTA)),""))</f>
        <v/>
      </c>
    </row>
    <row r="603" spans="2:23" x14ac:dyDescent="0.2">
      <c r="B603" t="str">
        <f>IF(A603="","",IFERROR(AVERAGEIFS(nNOTA,nNIA,A603,nEVAL,CONFIG_METADATA!$B$4,nASIG,"Lenguaje Musical"),""))</f>
        <v/>
      </c>
      <c r="C603" t="str">
        <f>IF(A603="","",IFERROR(AVERAGEIFS(nNOTA,nNIA,A603,nEVAL,CONFIG_METADATA!$B$4,nASIG,"Coro"),""))</f>
        <v/>
      </c>
      <c r="D603" t="str">
        <f>IF(A603="","",IFERROR(AVERAGEIFS(nNOTA,nNIA,A603,nEVAL,CONFIG_METADATA!$B$4,nASIG,"Conjunto"),""))</f>
        <v/>
      </c>
      <c r="E603" t="str">
        <f>IF(A603="","",IFERROR(AVERAGEIFS(nNOTA,nNIA,A603,nEVAL,CONFIG_METADATA!$B$4,nASIG,"&lt;&gt;Lenguaje Musical",nASIG,"&lt;&gt;Coro",nASIG,"&lt;&gt;Conjunto"),""))</f>
        <v/>
      </c>
      <c r="H603" t="str">
        <f>IF(G603="","",IFERROR(AVERAGEIFS(nNOTA,nNIA,G603,nEVAL,CONFIG_METADATA!$B$4,nASIG,"Lenguaje Musical"),""))</f>
        <v/>
      </c>
      <c r="I603" t="str">
        <f>IF(G603="","",IFERROR(AVERAGEIFS(nNOTA,nNIA,G603,nEVAL,CONFIG_METADATA!$B$4,nASIG,"Coro"),""))</f>
        <v/>
      </c>
      <c r="J603" t="str">
        <f>IF(G603="","",IFERROR(AVERAGEIFS(nNOTA,nNIA,G603,nEVAL,CONFIG_METADATA!$B$4,nASIG,"Conjunto"),""))</f>
        <v/>
      </c>
      <c r="K603" t="str" cm="1">
        <f t="array" ref="K603">IF(G603="","",IFERROR(AVERAGE(IF((nNIA=G603)*(nEVAL=CONFIG_METADATA!$B$4)*(nASIG&lt;&gt;"Lenguaje Musical")*(nASIG&lt;&gt;"Coro")*(nASIG&lt;&gt;"Conjunto"),nNOTA)),""))</f>
        <v/>
      </c>
      <c r="N603" t="str">
        <f>IF(M603="","",IFERROR(AVERAGEIFS(nNOTA,nNIA,M603,nEVAL,CONFIG_METADATA!$B$4,nASIG,"Lenguaje Musical"),""))</f>
        <v/>
      </c>
      <c r="O603" t="str">
        <f>IF(M603="","",IFERROR(AVERAGEIFS(nNOTA,nNIA,M603,nEVAL,CONFIG_METADATA!$B$4,nASIG,"Coro"),""))</f>
        <v/>
      </c>
      <c r="P603" t="str">
        <f>IF(M603="","",IFERROR(AVERAGEIFS(nNOTA,nNIA,M603,nEVAL,CONFIG_METADATA!$B$4,nASIG,"Conjunto"),""))</f>
        <v/>
      </c>
      <c r="Q603" t="str">
        <f>IF(M603="","",IFERROR(AVERAGEIFS(nNOTA,nNIA,M603,nEVAL,CONFIG_METADATA!$B$4,nASIG,"&lt;&gt;Lenguaje Musical",nASIG,"&lt;&gt;Coro",nASIG,"&lt;&gt;Conjunto"),""))</f>
        <v/>
      </c>
      <c r="T603" t="str">
        <f>IF(S603="","",IFERROR(AVERAGEIFS(nNOTA,nNIA,S603,nEVAL,CONFIG_METADATA!$B$4,nASIG,"Lenguaje Musical"),""))</f>
        <v/>
      </c>
      <c r="U603" t="str">
        <f>IF(S603="","",IFERROR(AVERAGEIFS(nNOTA,nNIA,S603,nEVAL,CONFIG_METADATA!$B$4,nASIG,"Coro"),""))</f>
        <v/>
      </c>
      <c r="V603" t="str">
        <f>IF(S603="","",IFERROR(AVERAGEIFS(nNOTA,nNIA,S603,nEVAL,CONFIG_METADATA!$B$4,nASIG,"Conjunto"),""))</f>
        <v/>
      </c>
      <c r="W603" t="str" cm="1">
        <f t="array" ref="W603">IF(S603="","",IFERROR(AVERAGE(IF((nNIA=S603)*(nEVAL=CONFIG_METADATA!$B$4)*(nASIG&lt;&gt;"Lenguaje Musical")*(nASIG&lt;&gt;"Coro")*(nASIG&lt;&gt;"Conjunto"),nNOTA)),""))</f>
        <v/>
      </c>
    </row>
    <row r="604" spans="2:23" x14ac:dyDescent="0.2">
      <c r="B604" t="str">
        <f>IF(A604="","",IFERROR(AVERAGEIFS(nNOTA,nNIA,A604,nEVAL,CONFIG_METADATA!$B$4,nASIG,"Lenguaje Musical"),""))</f>
        <v/>
      </c>
      <c r="C604" t="str">
        <f>IF(A604="","",IFERROR(AVERAGEIFS(nNOTA,nNIA,A604,nEVAL,CONFIG_METADATA!$B$4,nASIG,"Coro"),""))</f>
        <v/>
      </c>
      <c r="D604" t="str">
        <f>IF(A604="","",IFERROR(AVERAGEIFS(nNOTA,nNIA,A604,nEVAL,CONFIG_METADATA!$B$4,nASIG,"Conjunto"),""))</f>
        <v/>
      </c>
      <c r="E604" t="str">
        <f>IF(A604="","",IFERROR(AVERAGEIFS(nNOTA,nNIA,A604,nEVAL,CONFIG_METADATA!$B$4,nASIG,"&lt;&gt;Lenguaje Musical",nASIG,"&lt;&gt;Coro",nASIG,"&lt;&gt;Conjunto"),""))</f>
        <v/>
      </c>
      <c r="H604" t="str">
        <f>IF(G604="","",IFERROR(AVERAGEIFS(nNOTA,nNIA,G604,nEVAL,CONFIG_METADATA!$B$4,nASIG,"Lenguaje Musical"),""))</f>
        <v/>
      </c>
      <c r="I604" t="str">
        <f>IF(G604="","",IFERROR(AVERAGEIFS(nNOTA,nNIA,G604,nEVAL,CONFIG_METADATA!$B$4,nASIG,"Coro"),""))</f>
        <v/>
      </c>
      <c r="J604" t="str">
        <f>IF(G604="","",IFERROR(AVERAGEIFS(nNOTA,nNIA,G604,nEVAL,CONFIG_METADATA!$B$4,nASIG,"Conjunto"),""))</f>
        <v/>
      </c>
      <c r="K604" t="str" cm="1">
        <f t="array" ref="K604">IF(G604="","",IFERROR(AVERAGE(IF((nNIA=G604)*(nEVAL=CONFIG_METADATA!$B$4)*(nASIG&lt;&gt;"Lenguaje Musical")*(nASIG&lt;&gt;"Coro")*(nASIG&lt;&gt;"Conjunto"),nNOTA)),""))</f>
        <v/>
      </c>
      <c r="N604" t="str">
        <f>IF(M604="","",IFERROR(AVERAGEIFS(nNOTA,nNIA,M604,nEVAL,CONFIG_METADATA!$B$4,nASIG,"Lenguaje Musical"),""))</f>
        <v/>
      </c>
      <c r="O604" t="str">
        <f>IF(M604="","",IFERROR(AVERAGEIFS(nNOTA,nNIA,M604,nEVAL,CONFIG_METADATA!$B$4,nASIG,"Coro"),""))</f>
        <v/>
      </c>
      <c r="P604" t="str">
        <f>IF(M604="","",IFERROR(AVERAGEIFS(nNOTA,nNIA,M604,nEVAL,CONFIG_METADATA!$B$4,nASIG,"Conjunto"),""))</f>
        <v/>
      </c>
      <c r="Q604" t="str">
        <f>IF(M604="","",IFERROR(AVERAGEIFS(nNOTA,nNIA,M604,nEVAL,CONFIG_METADATA!$B$4,nASIG,"&lt;&gt;Lenguaje Musical",nASIG,"&lt;&gt;Coro",nASIG,"&lt;&gt;Conjunto"),""))</f>
        <v/>
      </c>
      <c r="T604" t="str">
        <f>IF(S604="","",IFERROR(AVERAGEIFS(nNOTA,nNIA,S604,nEVAL,CONFIG_METADATA!$B$4,nASIG,"Lenguaje Musical"),""))</f>
        <v/>
      </c>
      <c r="U604" t="str">
        <f>IF(S604="","",IFERROR(AVERAGEIFS(nNOTA,nNIA,S604,nEVAL,CONFIG_METADATA!$B$4,nASIG,"Coro"),""))</f>
        <v/>
      </c>
      <c r="V604" t="str">
        <f>IF(S604="","",IFERROR(AVERAGEIFS(nNOTA,nNIA,S604,nEVAL,CONFIG_METADATA!$B$4,nASIG,"Conjunto"),""))</f>
        <v/>
      </c>
      <c r="W604" t="str" cm="1">
        <f t="array" ref="W604">IF(S604="","",IFERROR(AVERAGE(IF((nNIA=S604)*(nEVAL=CONFIG_METADATA!$B$4)*(nASIG&lt;&gt;"Lenguaje Musical")*(nASIG&lt;&gt;"Coro")*(nASIG&lt;&gt;"Conjunto"),nNOTA)),""))</f>
        <v/>
      </c>
    </row>
    <row r="605" spans="2:23" x14ac:dyDescent="0.2">
      <c r="B605" t="str">
        <f>IF(A605="","",IFERROR(AVERAGEIFS(nNOTA,nNIA,A605,nEVAL,CONFIG_METADATA!$B$4,nASIG,"Lenguaje Musical"),""))</f>
        <v/>
      </c>
      <c r="C605" t="str">
        <f>IF(A605="","",IFERROR(AVERAGEIFS(nNOTA,nNIA,A605,nEVAL,CONFIG_METADATA!$B$4,nASIG,"Coro"),""))</f>
        <v/>
      </c>
      <c r="D605" t="str">
        <f>IF(A605="","",IFERROR(AVERAGEIFS(nNOTA,nNIA,A605,nEVAL,CONFIG_METADATA!$B$4,nASIG,"Conjunto"),""))</f>
        <v/>
      </c>
      <c r="E605" t="str">
        <f>IF(A605="","",IFERROR(AVERAGEIFS(nNOTA,nNIA,A605,nEVAL,CONFIG_METADATA!$B$4,nASIG,"&lt;&gt;Lenguaje Musical",nASIG,"&lt;&gt;Coro",nASIG,"&lt;&gt;Conjunto"),""))</f>
        <v/>
      </c>
      <c r="H605" t="str">
        <f>IF(G605="","",IFERROR(AVERAGEIFS(nNOTA,nNIA,G605,nEVAL,CONFIG_METADATA!$B$4,nASIG,"Lenguaje Musical"),""))</f>
        <v/>
      </c>
      <c r="I605" t="str">
        <f>IF(G605="","",IFERROR(AVERAGEIFS(nNOTA,nNIA,G605,nEVAL,CONFIG_METADATA!$B$4,nASIG,"Coro"),""))</f>
        <v/>
      </c>
      <c r="J605" t="str">
        <f>IF(G605="","",IFERROR(AVERAGEIFS(nNOTA,nNIA,G605,nEVAL,CONFIG_METADATA!$B$4,nASIG,"Conjunto"),""))</f>
        <v/>
      </c>
      <c r="K605" t="str" cm="1">
        <f t="array" ref="K605">IF(G605="","",IFERROR(AVERAGE(IF((nNIA=G605)*(nEVAL=CONFIG_METADATA!$B$4)*(nASIG&lt;&gt;"Lenguaje Musical")*(nASIG&lt;&gt;"Coro")*(nASIG&lt;&gt;"Conjunto"),nNOTA)),""))</f>
        <v/>
      </c>
      <c r="N605" t="str">
        <f>IF(M605="","",IFERROR(AVERAGEIFS(nNOTA,nNIA,M605,nEVAL,CONFIG_METADATA!$B$4,nASIG,"Lenguaje Musical"),""))</f>
        <v/>
      </c>
      <c r="O605" t="str">
        <f>IF(M605="","",IFERROR(AVERAGEIFS(nNOTA,nNIA,M605,nEVAL,CONFIG_METADATA!$B$4,nASIG,"Coro"),""))</f>
        <v/>
      </c>
      <c r="P605" t="str">
        <f>IF(M605="","",IFERROR(AVERAGEIFS(nNOTA,nNIA,M605,nEVAL,CONFIG_METADATA!$B$4,nASIG,"Conjunto"),""))</f>
        <v/>
      </c>
      <c r="Q605" t="str">
        <f>IF(M605="","",IFERROR(AVERAGEIFS(nNOTA,nNIA,M605,nEVAL,CONFIG_METADATA!$B$4,nASIG,"&lt;&gt;Lenguaje Musical",nASIG,"&lt;&gt;Coro",nASIG,"&lt;&gt;Conjunto"),""))</f>
        <v/>
      </c>
      <c r="T605" t="str">
        <f>IF(S605="","",IFERROR(AVERAGEIFS(nNOTA,nNIA,S605,nEVAL,CONFIG_METADATA!$B$4,nASIG,"Lenguaje Musical"),""))</f>
        <v/>
      </c>
      <c r="U605" t="str">
        <f>IF(S605="","",IFERROR(AVERAGEIFS(nNOTA,nNIA,S605,nEVAL,CONFIG_METADATA!$B$4,nASIG,"Coro"),""))</f>
        <v/>
      </c>
      <c r="V605" t="str">
        <f>IF(S605="","",IFERROR(AVERAGEIFS(nNOTA,nNIA,S605,nEVAL,CONFIG_METADATA!$B$4,nASIG,"Conjunto"),""))</f>
        <v/>
      </c>
      <c r="W605" t="str" cm="1">
        <f t="array" ref="W605">IF(S605="","",IFERROR(AVERAGE(IF((nNIA=S605)*(nEVAL=CONFIG_METADATA!$B$4)*(nASIG&lt;&gt;"Lenguaje Musical")*(nASIG&lt;&gt;"Coro")*(nASIG&lt;&gt;"Conjunto"),nNOTA)),""))</f>
        <v/>
      </c>
    </row>
    <row r="606" spans="2:23" x14ac:dyDescent="0.2">
      <c r="B606" t="str">
        <f>IF(A606="","",IFERROR(AVERAGEIFS(nNOTA,nNIA,A606,nEVAL,CONFIG_METADATA!$B$4,nASIG,"Lenguaje Musical"),""))</f>
        <v/>
      </c>
      <c r="C606" t="str">
        <f>IF(A606="","",IFERROR(AVERAGEIFS(nNOTA,nNIA,A606,nEVAL,CONFIG_METADATA!$B$4,nASIG,"Coro"),""))</f>
        <v/>
      </c>
      <c r="D606" t="str">
        <f>IF(A606="","",IFERROR(AVERAGEIFS(nNOTA,nNIA,A606,nEVAL,CONFIG_METADATA!$B$4,nASIG,"Conjunto"),""))</f>
        <v/>
      </c>
      <c r="E606" t="str">
        <f>IF(A606="","",IFERROR(AVERAGEIFS(nNOTA,nNIA,A606,nEVAL,CONFIG_METADATA!$B$4,nASIG,"&lt;&gt;Lenguaje Musical",nASIG,"&lt;&gt;Coro",nASIG,"&lt;&gt;Conjunto"),""))</f>
        <v/>
      </c>
      <c r="H606" t="str">
        <f>IF(G606="","",IFERROR(AVERAGEIFS(nNOTA,nNIA,G606,nEVAL,CONFIG_METADATA!$B$4,nASIG,"Lenguaje Musical"),""))</f>
        <v/>
      </c>
      <c r="I606" t="str">
        <f>IF(G606="","",IFERROR(AVERAGEIFS(nNOTA,nNIA,G606,nEVAL,CONFIG_METADATA!$B$4,nASIG,"Coro"),""))</f>
        <v/>
      </c>
      <c r="J606" t="str">
        <f>IF(G606="","",IFERROR(AVERAGEIFS(nNOTA,nNIA,G606,nEVAL,CONFIG_METADATA!$B$4,nASIG,"Conjunto"),""))</f>
        <v/>
      </c>
      <c r="K606" t="str" cm="1">
        <f t="array" ref="K606">IF(G606="","",IFERROR(AVERAGE(IF((nNIA=G606)*(nEVAL=CONFIG_METADATA!$B$4)*(nASIG&lt;&gt;"Lenguaje Musical")*(nASIG&lt;&gt;"Coro")*(nASIG&lt;&gt;"Conjunto"),nNOTA)),""))</f>
        <v/>
      </c>
      <c r="N606" t="str">
        <f>IF(M606="","",IFERROR(AVERAGEIFS(nNOTA,nNIA,M606,nEVAL,CONFIG_METADATA!$B$4,nASIG,"Lenguaje Musical"),""))</f>
        <v/>
      </c>
      <c r="O606" t="str">
        <f>IF(M606="","",IFERROR(AVERAGEIFS(nNOTA,nNIA,M606,nEVAL,CONFIG_METADATA!$B$4,nASIG,"Coro"),""))</f>
        <v/>
      </c>
      <c r="P606" t="str">
        <f>IF(M606="","",IFERROR(AVERAGEIFS(nNOTA,nNIA,M606,nEVAL,CONFIG_METADATA!$B$4,nASIG,"Conjunto"),""))</f>
        <v/>
      </c>
      <c r="Q606" t="str">
        <f>IF(M606="","",IFERROR(AVERAGEIFS(nNOTA,nNIA,M606,nEVAL,CONFIG_METADATA!$B$4,nASIG,"&lt;&gt;Lenguaje Musical",nASIG,"&lt;&gt;Coro",nASIG,"&lt;&gt;Conjunto"),""))</f>
        <v/>
      </c>
      <c r="T606" t="str">
        <f>IF(S606="","",IFERROR(AVERAGEIFS(nNOTA,nNIA,S606,nEVAL,CONFIG_METADATA!$B$4,nASIG,"Lenguaje Musical"),""))</f>
        <v/>
      </c>
      <c r="U606" t="str">
        <f>IF(S606="","",IFERROR(AVERAGEIFS(nNOTA,nNIA,S606,nEVAL,CONFIG_METADATA!$B$4,nASIG,"Coro"),""))</f>
        <v/>
      </c>
      <c r="V606" t="str">
        <f>IF(S606="","",IFERROR(AVERAGEIFS(nNOTA,nNIA,S606,nEVAL,CONFIG_METADATA!$B$4,nASIG,"Conjunto"),""))</f>
        <v/>
      </c>
      <c r="W606" t="str" cm="1">
        <f t="array" ref="W606">IF(S606="","",IFERROR(AVERAGE(IF((nNIA=S606)*(nEVAL=CONFIG_METADATA!$B$4)*(nASIG&lt;&gt;"Lenguaje Musical")*(nASIG&lt;&gt;"Coro")*(nASIG&lt;&gt;"Conjunto"),nNOTA)),""))</f>
        <v/>
      </c>
    </row>
    <row r="607" spans="2:23" x14ac:dyDescent="0.2">
      <c r="B607" t="str">
        <f>IF(A607="","",IFERROR(AVERAGEIFS(nNOTA,nNIA,A607,nEVAL,CONFIG_METADATA!$B$4,nASIG,"Lenguaje Musical"),""))</f>
        <v/>
      </c>
      <c r="C607" t="str">
        <f>IF(A607="","",IFERROR(AVERAGEIFS(nNOTA,nNIA,A607,nEVAL,CONFIG_METADATA!$B$4,nASIG,"Coro"),""))</f>
        <v/>
      </c>
      <c r="D607" t="str">
        <f>IF(A607="","",IFERROR(AVERAGEIFS(nNOTA,nNIA,A607,nEVAL,CONFIG_METADATA!$B$4,nASIG,"Conjunto"),""))</f>
        <v/>
      </c>
      <c r="E607" t="str">
        <f>IF(A607="","",IFERROR(AVERAGEIFS(nNOTA,nNIA,A607,nEVAL,CONFIG_METADATA!$B$4,nASIG,"&lt;&gt;Lenguaje Musical",nASIG,"&lt;&gt;Coro",nASIG,"&lt;&gt;Conjunto"),""))</f>
        <v/>
      </c>
      <c r="H607" t="str">
        <f>IF(G607="","",IFERROR(AVERAGEIFS(nNOTA,nNIA,G607,nEVAL,CONFIG_METADATA!$B$4,nASIG,"Lenguaje Musical"),""))</f>
        <v/>
      </c>
      <c r="I607" t="str">
        <f>IF(G607="","",IFERROR(AVERAGEIFS(nNOTA,nNIA,G607,nEVAL,CONFIG_METADATA!$B$4,nASIG,"Coro"),""))</f>
        <v/>
      </c>
      <c r="J607" t="str">
        <f>IF(G607="","",IFERROR(AVERAGEIFS(nNOTA,nNIA,G607,nEVAL,CONFIG_METADATA!$B$4,nASIG,"Conjunto"),""))</f>
        <v/>
      </c>
      <c r="K607" t="str" cm="1">
        <f t="array" ref="K607">IF(G607="","",IFERROR(AVERAGE(IF((nNIA=G607)*(nEVAL=CONFIG_METADATA!$B$4)*(nASIG&lt;&gt;"Lenguaje Musical")*(nASIG&lt;&gt;"Coro")*(nASIG&lt;&gt;"Conjunto"),nNOTA)),""))</f>
        <v/>
      </c>
      <c r="N607" t="str">
        <f>IF(M607="","",IFERROR(AVERAGEIFS(nNOTA,nNIA,M607,nEVAL,CONFIG_METADATA!$B$4,nASIG,"Lenguaje Musical"),""))</f>
        <v/>
      </c>
      <c r="O607" t="str">
        <f>IF(M607="","",IFERROR(AVERAGEIFS(nNOTA,nNIA,M607,nEVAL,CONFIG_METADATA!$B$4,nASIG,"Coro"),""))</f>
        <v/>
      </c>
      <c r="P607" t="str">
        <f>IF(M607="","",IFERROR(AVERAGEIFS(nNOTA,nNIA,M607,nEVAL,CONFIG_METADATA!$B$4,nASIG,"Conjunto"),""))</f>
        <v/>
      </c>
      <c r="Q607" t="str">
        <f>IF(M607="","",IFERROR(AVERAGEIFS(nNOTA,nNIA,M607,nEVAL,CONFIG_METADATA!$B$4,nASIG,"&lt;&gt;Lenguaje Musical",nASIG,"&lt;&gt;Coro",nASIG,"&lt;&gt;Conjunto"),""))</f>
        <v/>
      </c>
      <c r="T607" t="str">
        <f>IF(S607="","",IFERROR(AVERAGEIFS(nNOTA,nNIA,S607,nEVAL,CONFIG_METADATA!$B$4,nASIG,"Lenguaje Musical"),""))</f>
        <v/>
      </c>
      <c r="U607" t="str">
        <f>IF(S607="","",IFERROR(AVERAGEIFS(nNOTA,nNIA,S607,nEVAL,CONFIG_METADATA!$B$4,nASIG,"Coro"),""))</f>
        <v/>
      </c>
      <c r="V607" t="str">
        <f>IF(S607="","",IFERROR(AVERAGEIFS(nNOTA,nNIA,S607,nEVAL,CONFIG_METADATA!$B$4,nASIG,"Conjunto"),""))</f>
        <v/>
      </c>
      <c r="W607" t="str" cm="1">
        <f t="array" ref="W607">IF(S607="","",IFERROR(AVERAGE(IF((nNIA=S607)*(nEVAL=CONFIG_METADATA!$B$4)*(nASIG&lt;&gt;"Lenguaje Musical")*(nASIG&lt;&gt;"Coro")*(nASIG&lt;&gt;"Conjunto"),nNOTA)),""))</f>
        <v/>
      </c>
    </row>
    <row r="608" spans="2:23" x14ac:dyDescent="0.2">
      <c r="B608" t="str">
        <f>IF(A608="","",IFERROR(AVERAGEIFS(nNOTA,nNIA,A608,nEVAL,CONFIG_METADATA!$B$4,nASIG,"Lenguaje Musical"),""))</f>
        <v/>
      </c>
      <c r="C608" t="str">
        <f>IF(A608="","",IFERROR(AVERAGEIFS(nNOTA,nNIA,A608,nEVAL,CONFIG_METADATA!$B$4,nASIG,"Coro"),""))</f>
        <v/>
      </c>
      <c r="D608" t="str">
        <f>IF(A608="","",IFERROR(AVERAGEIFS(nNOTA,nNIA,A608,nEVAL,CONFIG_METADATA!$B$4,nASIG,"Conjunto"),""))</f>
        <v/>
      </c>
      <c r="E608" t="str">
        <f>IF(A608="","",IFERROR(AVERAGEIFS(nNOTA,nNIA,A608,nEVAL,CONFIG_METADATA!$B$4,nASIG,"&lt;&gt;Lenguaje Musical",nASIG,"&lt;&gt;Coro",nASIG,"&lt;&gt;Conjunto"),""))</f>
        <v/>
      </c>
      <c r="H608" t="str">
        <f>IF(G608="","",IFERROR(AVERAGEIFS(nNOTA,nNIA,G608,nEVAL,CONFIG_METADATA!$B$4,nASIG,"Lenguaje Musical"),""))</f>
        <v/>
      </c>
      <c r="I608" t="str">
        <f>IF(G608="","",IFERROR(AVERAGEIFS(nNOTA,nNIA,G608,nEVAL,CONFIG_METADATA!$B$4,nASIG,"Coro"),""))</f>
        <v/>
      </c>
      <c r="J608" t="str">
        <f>IF(G608="","",IFERROR(AVERAGEIFS(nNOTA,nNIA,G608,nEVAL,CONFIG_METADATA!$B$4,nASIG,"Conjunto"),""))</f>
        <v/>
      </c>
      <c r="K608" t="str" cm="1">
        <f t="array" ref="K608">IF(G608="","",IFERROR(AVERAGE(IF((nNIA=G608)*(nEVAL=CONFIG_METADATA!$B$4)*(nASIG&lt;&gt;"Lenguaje Musical")*(nASIG&lt;&gt;"Coro")*(nASIG&lt;&gt;"Conjunto"),nNOTA)),""))</f>
        <v/>
      </c>
      <c r="N608" t="str">
        <f>IF(M608="","",IFERROR(AVERAGEIFS(nNOTA,nNIA,M608,nEVAL,CONFIG_METADATA!$B$4,nASIG,"Lenguaje Musical"),""))</f>
        <v/>
      </c>
      <c r="O608" t="str">
        <f>IF(M608="","",IFERROR(AVERAGEIFS(nNOTA,nNIA,M608,nEVAL,CONFIG_METADATA!$B$4,nASIG,"Coro"),""))</f>
        <v/>
      </c>
      <c r="P608" t="str">
        <f>IF(M608="","",IFERROR(AVERAGEIFS(nNOTA,nNIA,M608,nEVAL,CONFIG_METADATA!$B$4,nASIG,"Conjunto"),""))</f>
        <v/>
      </c>
      <c r="Q608" t="str">
        <f>IF(M608="","",IFERROR(AVERAGEIFS(nNOTA,nNIA,M608,nEVAL,CONFIG_METADATA!$B$4,nASIG,"&lt;&gt;Lenguaje Musical",nASIG,"&lt;&gt;Coro",nASIG,"&lt;&gt;Conjunto"),""))</f>
        <v/>
      </c>
      <c r="T608" t="str">
        <f>IF(S608="","",IFERROR(AVERAGEIFS(nNOTA,nNIA,S608,nEVAL,CONFIG_METADATA!$B$4,nASIG,"Lenguaje Musical"),""))</f>
        <v/>
      </c>
      <c r="U608" t="str">
        <f>IF(S608="","",IFERROR(AVERAGEIFS(nNOTA,nNIA,S608,nEVAL,CONFIG_METADATA!$B$4,nASIG,"Coro"),""))</f>
        <v/>
      </c>
      <c r="V608" t="str">
        <f>IF(S608="","",IFERROR(AVERAGEIFS(nNOTA,nNIA,S608,nEVAL,CONFIG_METADATA!$B$4,nASIG,"Conjunto"),""))</f>
        <v/>
      </c>
      <c r="W608" t="str" cm="1">
        <f t="array" ref="W608">IF(S608="","",IFERROR(AVERAGE(IF((nNIA=S608)*(nEVAL=CONFIG_METADATA!$B$4)*(nASIG&lt;&gt;"Lenguaje Musical")*(nASIG&lt;&gt;"Coro")*(nASIG&lt;&gt;"Conjunto"),nNOTA)),""))</f>
        <v/>
      </c>
    </row>
    <row r="609" spans="2:23" x14ac:dyDescent="0.2">
      <c r="B609" t="str">
        <f>IF(A609="","",IFERROR(AVERAGEIFS(nNOTA,nNIA,A609,nEVAL,CONFIG_METADATA!$B$4,nASIG,"Lenguaje Musical"),""))</f>
        <v/>
      </c>
      <c r="C609" t="str">
        <f>IF(A609="","",IFERROR(AVERAGEIFS(nNOTA,nNIA,A609,nEVAL,CONFIG_METADATA!$B$4,nASIG,"Coro"),""))</f>
        <v/>
      </c>
      <c r="D609" t="str">
        <f>IF(A609="","",IFERROR(AVERAGEIFS(nNOTA,nNIA,A609,nEVAL,CONFIG_METADATA!$B$4,nASIG,"Conjunto"),""))</f>
        <v/>
      </c>
      <c r="E609" t="str">
        <f>IF(A609="","",IFERROR(AVERAGEIFS(nNOTA,nNIA,A609,nEVAL,CONFIG_METADATA!$B$4,nASIG,"&lt;&gt;Lenguaje Musical",nASIG,"&lt;&gt;Coro",nASIG,"&lt;&gt;Conjunto"),""))</f>
        <v/>
      </c>
      <c r="H609" t="str">
        <f>IF(G609="","",IFERROR(AVERAGEIFS(nNOTA,nNIA,G609,nEVAL,CONFIG_METADATA!$B$4,nASIG,"Lenguaje Musical"),""))</f>
        <v/>
      </c>
      <c r="I609" t="str">
        <f>IF(G609="","",IFERROR(AVERAGEIFS(nNOTA,nNIA,G609,nEVAL,CONFIG_METADATA!$B$4,nASIG,"Coro"),""))</f>
        <v/>
      </c>
      <c r="J609" t="str">
        <f>IF(G609="","",IFERROR(AVERAGEIFS(nNOTA,nNIA,G609,nEVAL,CONFIG_METADATA!$B$4,nASIG,"Conjunto"),""))</f>
        <v/>
      </c>
      <c r="K609" t="str" cm="1">
        <f t="array" ref="K609">IF(G609="","",IFERROR(AVERAGE(IF((nNIA=G609)*(nEVAL=CONFIG_METADATA!$B$4)*(nASIG&lt;&gt;"Lenguaje Musical")*(nASIG&lt;&gt;"Coro")*(nASIG&lt;&gt;"Conjunto"),nNOTA)),""))</f>
        <v/>
      </c>
      <c r="N609" t="str">
        <f>IF(M609="","",IFERROR(AVERAGEIFS(nNOTA,nNIA,M609,nEVAL,CONFIG_METADATA!$B$4,nASIG,"Lenguaje Musical"),""))</f>
        <v/>
      </c>
      <c r="O609" t="str">
        <f>IF(M609="","",IFERROR(AVERAGEIFS(nNOTA,nNIA,M609,nEVAL,CONFIG_METADATA!$B$4,nASIG,"Coro"),""))</f>
        <v/>
      </c>
      <c r="P609" t="str">
        <f>IF(M609="","",IFERROR(AVERAGEIFS(nNOTA,nNIA,M609,nEVAL,CONFIG_METADATA!$B$4,nASIG,"Conjunto"),""))</f>
        <v/>
      </c>
      <c r="Q609" t="str">
        <f>IF(M609="","",IFERROR(AVERAGEIFS(nNOTA,nNIA,M609,nEVAL,CONFIG_METADATA!$B$4,nASIG,"&lt;&gt;Lenguaje Musical",nASIG,"&lt;&gt;Coro",nASIG,"&lt;&gt;Conjunto"),""))</f>
        <v/>
      </c>
      <c r="T609" t="str">
        <f>IF(S609="","",IFERROR(AVERAGEIFS(nNOTA,nNIA,S609,nEVAL,CONFIG_METADATA!$B$4,nASIG,"Lenguaje Musical"),""))</f>
        <v/>
      </c>
      <c r="U609" t="str">
        <f>IF(S609="","",IFERROR(AVERAGEIFS(nNOTA,nNIA,S609,nEVAL,CONFIG_METADATA!$B$4,nASIG,"Coro"),""))</f>
        <v/>
      </c>
      <c r="V609" t="str">
        <f>IF(S609="","",IFERROR(AVERAGEIFS(nNOTA,nNIA,S609,nEVAL,CONFIG_METADATA!$B$4,nASIG,"Conjunto"),""))</f>
        <v/>
      </c>
      <c r="W609" t="str" cm="1">
        <f t="array" ref="W609">IF(S609="","",IFERROR(AVERAGE(IF((nNIA=S609)*(nEVAL=CONFIG_METADATA!$B$4)*(nASIG&lt;&gt;"Lenguaje Musical")*(nASIG&lt;&gt;"Coro")*(nASIG&lt;&gt;"Conjunto"),nNOTA)),""))</f>
        <v/>
      </c>
    </row>
    <row r="610" spans="2:23" x14ac:dyDescent="0.2">
      <c r="B610" t="str">
        <f>IF(A610="","",IFERROR(AVERAGEIFS(nNOTA,nNIA,A610,nEVAL,CONFIG_METADATA!$B$4,nASIG,"Lenguaje Musical"),""))</f>
        <v/>
      </c>
      <c r="C610" t="str">
        <f>IF(A610="","",IFERROR(AVERAGEIFS(nNOTA,nNIA,A610,nEVAL,CONFIG_METADATA!$B$4,nASIG,"Coro"),""))</f>
        <v/>
      </c>
      <c r="D610" t="str">
        <f>IF(A610="","",IFERROR(AVERAGEIFS(nNOTA,nNIA,A610,nEVAL,CONFIG_METADATA!$B$4,nASIG,"Conjunto"),""))</f>
        <v/>
      </c>
      <c r="E610" t="str">
        <f>IF(A610="","",IFERROR(AVERAGEIFS(nNOTA,nNIA,A610,nEVAL,CONFIG_METADATA!$B$4,nASIG,"&lt;&gt;Lenguaje Musical",nASIG,"&lt;&gt;Coro",nASIG,"&lt;&gt;Conjunto"),""))</f>
        <v/>
      </c>
      <c r="H610" t="str">
        <f>IF(G610="","",IFERROR(AVERAGEIFS(nNOTA,nNIA,G610,nEVAL,CONFIG_METADATA!$B$4,nASIG,"Lenguaje Musical"),""))</f>
        <v/>
      </c>
      <c r="I610" t="str">
        <f>IF(G610="","",IFERROR(AVERAGEIFS(nNOTA,nNIA,G610,nEVAL,CONFIG_METADATA!$B$4,nASIG,"Coro"),""))</f>
        <v/>
      </c>
      <c r="J610" t="str">
        <f>IF(G610="","",IFERROR(AVERAGEIFS(nNOTA,nNIA,G610,nEVAL,CONFIG_METADATA!$B$4,nASIG,"Conjunto"),""))</f>
        <v/>
      </c>
      <c r="K610" t="str" cm="1">
        <f t="array" ref="K610">IF(G610="","",IFERROR(AVERAGE(IF((nNIA=G610)*(nEVAL=CONFIG_METADATA!$B$4)*(nASIG&lt;&gt;"Lenguaje Musical")*(nASIG&lt;&gt;"Coro")*(nASIG&lt;&gt;"Conjunto"),nNOTA)),""))</f>
        <v/>
      </c>
      <c r="N610" t="str">
        <f>IF(M610="","",IFERROR(AVERAGEIFS(nNOTA,nNIA,M610,nEVAL,CONFIG_METADATA!$B$4,nASIG,"Lenguaje Musical"),""))</f>
        <v/>
      </c>
      <c r="O610" t="str">
        <f>IF(M610="","",IFERROR(AVERAGEIFS(nNOTA,nNIA,M610,nEVAL,CONFIG_METADATA!$B$4,nASIG,"Coro"),""))</f>
        <v/>
      </c>
      <c r="P610" t="str">
        <f>IF(M610="","",IFERROR(AVERAGEIFS(nNOTA,nNIA,M610,nEVAL,CONFIG_METADATA!$B$4,nASIG,"Conjunto"),""))</f>
        <v/>
      </c>
      <c r="Q610" t="str">
        <f>IF(M610="","",IFERROR(AVERAGEIFS(nNOTA,nNIA,M610,nEVAL,CONFIG_METADATA!$B$4,nASIG,"&lt;&gt;Lenguaje Musical",nASIG,"&lt;&gt;Coro",nASIG,"&lt;&gt;Conjunto"),""))</f>
        <v/>
      </c>
      <c r="T610" t="str">
        <f>IF(S610="","",IFERROR(AVERAGEIFS(nNOTA,nNIA,S610,nEVAL,CONFIG_METADATA!$B$4,nASIG,"Lenguaje Musical"),""))</f>
        <v/>
      </c>
      <c r="U610" t="str">
        <f>IF(S610="","",IFERROR(AVERAGEIFS(nNOTA,nNIA,S610,nEVAL,CONFIG_METADATA!$B$4,nASIG,"Coro"),""))</f>
        <v/>
      </c>
      <c r="V610" t="str">
        <f>IF(S610="","",IFERROR(AVERAGEIFS(nNOTA,nNIA,S610,nEVAL,CONFIG_METADATA!$B$4,nASIG,"Conjunto"),""))</f>
        <v/>
      </c>
      <c r="W610" t="str" cm="1">
        <f t="array" ref="W610">IF(S610="","",IFERROR(AVERAGE(IF((nNIA=S610)*(nEVAL=CONFIG_METADATA!$B$4)*(nASIG&lt;&gt;"Lenguaje Musical")*(nASIG&lt;&gt;"Coro")*(nASIG&lt;&gt;"Conjunto"),nNOTA)),""))</f>
        <v/>
      </c>
    </row>
    <row r="611" spans="2:23" x14ac:dyDescent="0.2">
      <c r="B611" t="str">
        <f>IF(A611="","",IFERROR(AVERAGEIFS(nNOTA,nNIA,A611,nEVAL,CONFIG_METADATA!$B$4,nASIG,"Lenguaje Musical"),""))</f>
        <v/>
      </c>
      <c r="C611" t="str">
        <f>IF(A611="","",IFERROR(AVERAGEIFS(nNOTA,nNIA,A611,nEVAL,CONFIG_METADATA!$B$4,nASIG,"Coro"),""))</f>
        <v/>
      </c>
      <c r="D611" t="str">
        <f>IF(A611="","",IFERROR(AVERAGEIFS(nNOTA,nNIA,A611,nEVAL,CONFIG_METADATA!$B$4,nASIG,"Conjunto"),""))</f>
        <v/>
      </c>
      <c r="E611" t="str">
        <f>IF(A611="","",IFERROR(AVERAGEIFS(nNOTA,nNIA,A611,nEVAL,CONFIG_METADATA!$B$4,nASIG,"&lt;&gt;Lenguaje Musical",nASIG,"&lt;&gt;Coro",nASIG,"&lt;&gt;Conjunto"),""))</f>
        <v/>
      </c>
      <c r="H611" t="str">
        <f>IF(G611="","",IFERROR(AVERAGEIFS(nNOTA,nNIA,G611,nEVAL,CONFIG_METADATA!$B$4,nASIG,"Lenguaje Musical"),""))</f>
        <v/>
      </c>
      <c r="I611" t="str">
        <f>IF(G611="","",IFERROR(AVERAGEIFS(nNOTA,nNIA,G611,nEVAL,CONFIG_METADATA!$B$4,nASIG,"Coro"),""))</f>
        <v/>
      </c>
      <c r="J611" t="str">
        <f>IF(G611="","",IFERROR(AVERAGEIFS(nNOTA,nNIA,G611,nEVAL,CONFIG_METADATA!$B$4,nASIG,"Conjunto"),""))</f>
        <v/>
      </c>
      <c r="K611" t="str" cm="1">
        <f t="array" ref="K611">IF(G611="","",IFERROR(AVERAGE(IF((nNIA=G611)*(nEVAL=CONFIG_METADATA!$B$4)*(nASIG&lt;&gt;"Lenguaje Musical")*(nASIG&lt;&gt;"Coro")*(nASIG&lt;&gt;"Conjunto"),nNOTA)),""))</f>
        <v/>
      </c>
      <c r="N611" t="str">
        <f>IF(M611="","",IFERROR(AVERAGEIFS(nNOTA,nNIA,M611,nEVAL,CONFIG_METADATA!$B$4,nASIG,"Lenguaje Musical"),""))</f>
        <v/>
      </c>
      <c r="O611" t="str">
        <f>IF(M611="","",IFERROR(AVERAGEIFS(nNOTA,nNIA,M611,nEVAL,CONFIG_METADATA!$B$4,nASIG,"Coro"),""))</f>
        <v/>
      </c>
      <c r="P611" t="str">
        <f>IF(M611="","",IFERROR(AVERAGEIFS(nNOTA,nNIA,M611,nEVAL,CONFIG_METADATA!$B$4,nASIG,"Conjunto"),""))</f>
        <v/>
      </c>
      <c r="Q611" t="str">
        <f>IF(M611="","",IFERROR(AVERAGEIFS(nNOTA,nNIA,M611,nEVAL,CONFIG_METADATA!$B$4,nASIG,"&lt;&gt;Lenguaje Musical",nASIG,"&lt;&gt;Coro",nASIG,"&lt;&gt;Conjunto"),""))</f>
        <v/>
      </c>
      <c r="T611" t="str">
        <f>IF(S611="","",IFERROR(AVERAGEIFS(nNOTA,nNIA,S611,nEVAL,CONFIG_METADATA!$B$4,nASIG,"Lenguaje Musical"),""))</f>
        <v/>
      </c>
      <c r="U611" t="str">
        <f>IF(S611="","",IFERROR(AVERAGEIFS(nNOTA,nNIA,S611,nEVAL,CONFIG_METADATA!$B$4,nASIG,"Coro"),""))</f>
        <v/>
      </c>
      <c r="V611" t="str">
        <f>IF(S611="","",IFERROR(AVERAGEIFS(nNOTA,nNIA,S611,nEVAL,CONFIG_METADATA!$B$4,nASIG,"Conjunto"),""))</f>
        <v/>
      </c>
      <c r="W611" t="str" cm="1">
        <f t="array" ref="W611">IF(S611="","",IFERROR(AVERAGE(IF((nNIA=S611)*(nEVAL=CONFIG_METADATA!$B$4)*(nASIG&lt;&gt;"Lenguaje Musical")*(nASIG&lt;&gt;"Coro")*(nASIG&lt;&gt;"Conjunto"),nNOTA)),""))</f>
        <v/>
      </c>
    </row>
    <row r="612" spans="2:23" x14ac:dyDescent="0.2">
      <c r="B612" t="str">
        <f>IF(A612="","",IFERROR(AVERAGEIFS(nNOTA,nNIA,A612,nEVAL,CONFIG_METADATA!$B$4,nASIG,"Lenguaje Musical"),""))</f>
        <v/>
      </c>
      <c r="C612" t="str">
        <f>IF(A612="","",IFERROR(AVERAGEIFS(nNOTA,nNIA,A612,nEVAL,CONFIG_METADATA!$B$4,nASIG,"Coro"),""))</f>
        <v/>
      </c>
      <c r="D612" t="str">
        <f>IF(A612="","",IFERROR(AVERAGEIFS(nNOTA,nNIA,A612,nEVAL,CONFIG_METADATA!$B$4,nASIG,"Conjunto"),""))</f>
        <v/>
      </c>
      <c r="E612" t="str">
        <f>IF(A612="","",IFERROR(AVERAGEIFS(nNOTA,nNIA,A612,nEVAL,CONFIG_METADATA!$B$4,nASIG,"&lt;&gt;Lenguaje Musical",nASIG,"&lt;&gt;Coro",nASIG,"&lt;&gt;Conjunto"),""))</f>
        <v/>
      </c>
      <c r="H612" t="str">
        <f>IF(G612="","",IFERROR(AVERAGEIFS(nNOTA,nNIA,G612,nEVAL,CONFIG_METADATA!$B$4,nASIG,"Lenguaje Musical"),""))</f>
        <v/>
      </c>
      <c r="I612" t="str">
        <f>IF(G612="","",IFERROR(AVERAGEIFS(nNOTA,nNIA,G612,nEVAL,CONFIG_METADATA!$B$4,nASIG,"Coro"),""))</f>
        <v/>
      </c>
      <c r="J612" t="str">
        <f>IF(G612="","",IFERROR(AVERAGEIFS(nNOTA,nNIA,G612,nEVAL,CONFIG_METADATA!$B$4,nASIG,"Conjunto"),""))</f>
        <v/>
      </c>
      <c r="K612" t="str" cm="1">
        <f t="array" ref="K612">IF(G612="","",IFERROR(AVERAGE(IF((nNIA=G612)*(nEVAL=CONFIG_METADATA!$B$4)*(nASIG&lt;&gt;"Lenguaje Musical")*(nASIG&lt;&gt;"Coro")*(nASIG&lt;&gt;"Conjunto"),nNOTA)),""))</f>
        <v/>
      </c>
      <c r="N612" t="str">
        <f>IF(M612="","",IFERROR(AVERAGEIFS(nNOTA,nNIA,M612,nEVAL,CONFIG_METADATA!$B$4,nASIG,"Lenguaje Musical"),""))</f>
        <v/>
      </c>
      <c r="O612" t="str">
        <f>IF(M612="","",IFERROR(AVERAGEIFS(nNOTA,nNIA,M612,nEVAL,CONFIG_METADATA!$B$4,nASIG,"Coro"),""))</f>
        <v/>
      </c>
      <c r="P612" t="str">
        <f>IF(M612="","",IFERROR(AVERAGEIFS(nNOTA,nNIA,M612,nEVAL,CONFIG_METADATA!$B$4,nASIG,"Conjunto"),""))</f>
        <v/>
      </c>
      <c r="Q612" t="str">
        <f>IF(M612="","",IFERROR(AVERAGEIFS(nNOTA,nNIA,M612,nEVAL,CONFIG_METADATA!$B$4,nASIG,"&lt;&gt;Lenguaje Musical",nASIG,"&lt;&gt;Coro",nASIG,"&lt;&gt;Conjunto"),""))</f>
        <v/>
      </c>
      <c r="T612" t="str">
        <f>IF(S612="","",IFERROR(AVERAGEIFS(nNOTA,nNIA,S612,nEVAL,CONFIG_METADATA!$B$4,nASIG,"Lenguaje Musical"),""))</f>
        <v/>
      </c>
      <c r="U612" t="str">
        <f>IF(S612="","",IFERROR(AVERAGEIFS(nNOTA,nNIA,S612,nEVAL,CONFIG_METADATA!$B$4,nASIG,"Coro"),""))</f>
        <v/>
      </c>
      <c r="V612" t="str">
        <f>IF(S612="","",IFERROR(AVERAGEIFS(nNOTA,nNIA,S612,nEVAL,CONFIG_METADATA!$B$4,nASIG,"Conjunto"),""))</f>
        <v/>
      </c>
      <c r="W612" t="str" cm="1">
        <f t="array" ref="W612">IF(S612="","",IFERROR(AVERAGE(IF((nNIA=S612)*(nEVAL=CONFIG_METADATA!$B$4)*(nASIG&lt;&gt;"Lenguaje Musical")*(nASIG&lt;&gt;"Coro")*(nASIG&lt;&gt;"Conjunto"),nNOTA)),""))</f>
        <v/>
      </c>
    </row>
    <row r="613" spans="2:23" x14ac:dyDescent="0.2">
      <c r="B613" t="str">
        <f>IF(A613="","",IFERROR(AVERAGEIFS(nNOTA,nNIA,A613,nEVAL,CONFIG_METADATA!$B$4,nASIG,"Lenguaje Musical"),""))</f>
        <v/>
      </c>
      <c r="C613" t="str">
        <f>IF(A613="","",IFERROR(AVERAGEIFS(nNOTA,nNIA,A613,nEVAL,CONFIG_METADATA!$B$4,nASIG,"Coro"),""))</f>
        <v/>
      </c>
      <c r="D613" t="str">
        <f>IF(A613="","",IFERROR(AVERAGEIFS(nNOTA,nNIA,A613,nEVAL,CONFIG_METADATA!$B$4,nASIG,"Conjunto"),""))</f>
        <v/>
      </c>
      <c r="E613" t="str">
        <f>IF(A613="","",IFERROR(AVERAGEIFS(nNOTA,nNIA,A613,nEVAL,CONFIG_METADATA!$B$4,nASIG,"&lt;&gt;Lenguaje Musical",nASIG,"&lt;&gt;Coro",nASIG,"&lt;&gt;Conjunto"),""))</f>
        <v/>
      </c>
      <c r="H613" t="str">
        <f>IF(G613="","",IFERROR(AVERAGEIFS(nNOTA,nNIA,G613,nEVAL,CONFIG_METADATA!$B$4,nASIG,"Lenguaje Musical"),""))</f>
        <v/>
      </c>
      <c r="I613" t="str">
        <f>IF(G613="","",IFERROR(AVERAGEIFS(nNOTA,nNIA,G613,nEVAL,CONFIG_METADATA!$B$4,nASIG,"Coro"),""))</f>
        <v/>
      </c>
      <c r="J613" t="str">
        <f>IF(G613="","",IFERROR(AVERAGEIFS(nNOTA,nNIA,G613,nEVAL,CONFIG_METADATA!$B$4,nASIG,"Conjunto"),""))</f>
        <v/>
      </c>
      <c r="K613" t="str" cm="1">
        <f t="array" ref="K613">IF(G613="","",IFERROR(AVERAGE(IF((nNIA=G613)*(nEVAL=CONFIG_METADATA!$B$4)*(nASIG&lt;&gt;"Lenguaje Musical")*(nASIG&lt;&gt;"Coro")*(nASIG&lt;&gt;"Conjunto"),nNOTA)),""))</f>
        <v/>
      </c>
      <c r="N613" t="str">
        <f>IF(M613="","",IFERROR(AVERAGEIFS(nNOTA,nNIA,M613,nEVAL,CONFIG_METADATA!$B$4,nASIG,"Lenguaje Musical"),""))</f>
        <v/>
      </c>
      <c r="O613" t="str">
        <f>IF(M613="","",IFERROR(AVERAGEIFS(nNOTA,nNIA,M613,nEVAL,CONFIG_METADATA!$B$4,nASIG,"Coro"),""))</f>
        <v/>
      </c>
      <c r="P613" t="str">
        <f>IF(M613="","",IFERROR(AVERAGEIFS(nNOTA,nNIA,M613,nEVAL,CONFIG_METADATA!$B$4,nASIG,"Conjunto"),""))</f>
        <v/>
      </c>
      <c r="Q613" t="str">
        <f>IF(M613="","",IFERROR(AVERAGEIFS(nNOTA,nNIA,M613,nEVAL,CONFIG_METADATA!$B$4,nASIG,"&lt;&gt;Lenguaje Musical",nASIG,"&lt;&gt;Coro",nASIG,"&lt;&gt;Conjunto"),""))</f>
        <v/>
      </c>
      <c r="T613" t="str">
        <f>IF(S613="","",IFERROR(AVERAGEIFS(nNOTA,nNIA,S613,nEVAL,CONFIG_METADATA!$B$4,nASIG,"Lenguaje Musical"),""))</f>
        <v/>
      </c>
      <c r="U613" t="str">
        <f>IF(S613="","",IFERROR(AVERAGEIFS(nNOTA,nNIA,S613,nEVAL,CONFIG_METADATA!$B$4,nASIG,"Coro"),""))</f>
        <v/>
      </c>
      <c r="V613" t="str">
        <f>IF(S613="","",IFERROR(AVERAGEIFS(nNOTA,nNIA,S613,nEVAL,CONFIG_METADATA!$B$4,nASIG,"Conjunto"),""))</f>
        <v/>
      </c>
      <c r="W613" t="str" cm="1">
        <f t="array" ref="W613">IF(S613="","",IFERROR(AVERAGE(IF((nNIA=S613)*(nEVAL=CONFIG_METADATA!$B$4)*(nASIG&lt;&gt;"Lenguaje Musical")*(nASIG&lt;&gt;"Coro")*(nASIG&lt;&gt;"Conjunto"),nNOTA)),""))</f>
        <v/>
      </c>
    </row>
    <row r="614" spans="2:23" x14ac:dyDescent="0.2">
      <c r="B614" t="str">
        <f>IF(A614="","",IFERROR(AVERAGEIFS(nNOTA,nNIA,A614,nEVAL,CONFIG_METADATA!$B$4,nASIG,"Lenguaje Musical"),""))</f>
        <v/>
      </c>
      <c r="C614" t="str">
        <f>IF(A614="","",IFERROR(AVERAGEIFS(nNOTA,nNIA,A614,nEVAL,CONFIG_METADATA!$B$4,nASIG,"Coro"),""))</f>
        <v/>
      </c>
      <c r="D614" t="str">
        <f>IF(A614="","",IFERROR(AVERAGEIFS(nNOTA,nNIA,A614,nEVAL,CONFIG_METADATA!$B$4,nASIG,"Conjunto"),""))</f>
        <v/>
      </c>
      <c r="E614" t="str">
        <f>IF(A614="","",IFERROR(AVERAGEIFS(nNOTA,nNIA,A614,nEVAL,CONFIG_METADATA!$B$4,nASIG,"&lt;&gt;Lenguaje Musical",nASIG,"&lt;&gt;Coro",nASIG,"&lt;&gt;Conjunto"),""))</f>
        <v/>
      </c>
      <c r="H614" t="str">
        <f>IF(G614="","",IFERROR(AVERAGEIFS(nNOTA,nNIA,G614,nEVAL,CONFIG_METADATA!$B$4,nASIG,"Lenguaje Musical"),""))</f>
        <v/>
      </c>
      <c r="I614" t="str">
        <f>IF(G614="","",IFERROR(AVERAGEIFS(nNOTA,nNIA,G614,nEVAL,CONFIG_METADATA!$B$4,nASIG,"Coro"),""))</f>
        <v/>
      </c>
      <c r="J614" t="str">
        <f>IF(G614="","",IFERROR(AVERAGEIFS(nNOTA,nNIA,G614,nEVAL,CONFIG_METADATA!$B$4,nASIG,"Conjunto"),""))</f>
        <v/>
      </c>
      <c r="K614" t="str" cm="1">
        <f t="array" ref="K614">IF(G614="","",IFERROR(AVERAGE(IF((nNIA=G614)*(nEVAL=CONFIG_METADATA!$B$4)*(nASIG&lt;&gt;"Lenguaje Musical")*(nASIG&lt;&gt;"Coro")*(nASIG&lt;&gt;"Conjunto"),nNOTA)),""))</f>
        <v/>
      </c>
      <c r="N614" t="str">
        <f>IF(M614="","",IFERROR(AVERAGEIFS(nNOTA,nNIA,M614,nEVAL,CONFIG_METADATA!$B$4,nASIG,"Lenguaje Musical"),""))</f>
        <v/>
      </c>
      <c r="O614" t="str">
        <f>IF(M614="","",IFERROR(AVERAGEIFS(nNOTA,nNIA,M614,nEVAL,CONFIG_METADATA!$B$4,nASIG,"Coro"),""))</f>
        <v/>
      </c>
      <c r="P614" t="str">
        <f>IF(M614="","",IFERROR(AVERAGEIFS(nNOTA,nNIA,M614,nEVAL,CONFIG_METADATA!$B$4,nASIG,"Conjunto"),""))</f>
        <v/>
      </c>
      <c r="Q614" t="str">
        <f>IF(M614="","",IFERROR(AVERAGEIFS(nNOTA,nNIA,M614,nEVAL,CONFIG_METADATA!$B$4,nASIG,"&lt;&gt;Lenguaje Musical",nASIG,"&lt;&gt;Coro",nASIG,"&lt;&gt;Conjunto"),""))</f>
        <v/>
      </c>
      <c r="T614" t="str">
        <f>IF(S614="","",IFERROR(AVERAGEIFS(nNOTA,nNIA,S614,nEVAL,CONFIG_METADATA!$B$4,nASIG,"Lenguaje Musical"),""))</f>
        <v/>
      </c>
      <c r="U614" t="str">
        <f>IF(S614="","",IFERROR(AVERAGEIFS(nNOTA,nNIA,S614,nEVAL,CONFIG_METADATA!$B$4,nASIG,"Coro"),""))</f>
        <v/>
      </c>
      <c r="V614" t="str">
        <f>IF(S614="","",IFERROR(AVERAGEIFS(nNOTA,nNIA,S614,nEVAL,CONFIG_METADATA!$B$4,nASIG,"Conjunto"),""))</f>
        <v/>
      </c>
      <c r="W614" t="str" cm="1">
        <f t="array" ref="W614">IF(S614="","",IFERROR(AVERAGE(IF((nNIA=S614)*(nEVAL=CONFIG_METADATA!$B$4)*(nASIG&lt;&gt;"Lenguaje Musical")*(nASIG&lt;&gt;"Coro")*(nASIG&lt;&gt;"Conjunto"),nNOTA)),""))</f>
        <v/>
      </c>
    </row>
    <row r="615" spans="2:23" x14ac:dyDescent="0.2">
      <c r="B615" t="str">
        <f>IF(A615="","",IFERROR(AVERAGEIFS(nNOTA,nNIA,A615,nEVAL,CONFIG_METADATA!$B$4,nASIG,"Lenguaje Musical"),""))</f>
        <v/>
      </c>
      <c r="C615" t="str">
        <f>IF(A615="","",IFERROR(AVERAGEIFS(nNOTA,nNIA,A615,nEVAL,CONFIG_METADATA!$B$4,nASIG,"Coro"),""))</f>
        <v/>
      </c>
      <c r="D615" t="str">
        <f>IF(A615="","",IFERROR(AVERAGEIFS(nNOTA,nNIA,A615,nEVAL,CONFIG_METADATA!$B$4,nASIG,"Conjunto"),""))</f>
        <v/>
      </c>
      <c r="E615" t="str">
        <f>IF(A615="","",IFERROR(AVERAGEIFS(nNOTA,nNIA,A615,nEVAL,CONFIG_METADATA!$B$4,nASIG,"&lt;&gt;Lenguaje Musical",nASIG,"&lt;&gt;Coro",nASIG,"&lt;&gt;Conjunto"),""))</f>
        <v/>
      </c>
      <c r="H615" t="str">
        <f>IF(G615="","",IFERROR(AVERAGEIFS(nNOTA,nNIA,G615,nEVAL,CONFIG_METADATA!$B$4,nASIG,"Lenguaje Musical"),""))</f>
        <v/>
      </c>
      <c r="I615" t="str">
        <f>IF(G615="","",IFERROR(AVERAGEIFS(nNOTA,nNIA,G615,nEVAL,CONFIG_METADATA!$B$4,nASIG,"Coro"),""))</f>
        <v/>
      </c>
      <c r="J615" t="str">
        <f>IF(G615="","",IFERROR(AVERAGEIFS(nNOTA,nNIA,G615,nEVAL,CONFIG_METADATA!$B$4,nASIG,"Conjunto"),""))</f>
        <v/>
      </c>
      <c r="K615" t="str" cm="1">
        <f t="array" ref="K615">IF(G615="","",IFERROR(AVERAGE(IF((nNIA=G615)*(nEVAL=CONFIG_METADATA!$B$4)*(nASIG&lt;&gt;"Lenguaje Musical")*(nASIG&lt;&gt;"Coro")*(nASIG&lt;&gt;"Conjunto"),nNOTA)),""))</f>
        <v/>
      </c>
      <c r="N615" t="str">
        <f>IF(M615="","",IFERROR(AVERAGEIFS(nNOTA,nNIA,M615,nEVAL,CONFIG_METADATA!$B$4,nASIG,"Lenguaje Musical"),""))</f>
        <v/>
      </c>
      <c r="O615" t="str">
        <f>IF(M615="","",IFERROR(AVERAGEIFS(nNOTA,nNIA,M615,nEVAL,CONFIG_METADATA!$B$4,nASIG,"Coro"),""))</f>
        <v/>
      </c>
      <c r="P615" t="str">
        <f>IF(M615="","",IFERROR(AVERAGEIFS(nNOTA,nNIA,M615,nEVAL,CONFIG_METADATA!$B$4,nASIG,"Conjunto"),""))</f>
        <v/>
      </c>
      <c r="Q615" t="str">
        <f>IF(M615="","",IFERROR(AVERAGEIFS(nNOTA,nNIA,M615,nEVAL,CONFIG_METADATA!$B$4,nASIG,"&lt;&gt;Lenguaje Musical",nASIG,"&lt;&gt;Coro",nASIG,"&lt;&gt;Conjunto"),""))</f>
        <v/>
      </c>
      <c r="T615" t="str">
        <f>IF(S615="","",IFERROR(AVERAGEIFS(nNOTA,nNIA,S615,nEVAL,CONFIG_METADATA!$B$4,nASIG,"Lenguaje Musical"),""))</f>
        <v/>
      </c>
      <c r="U615" t="str">
        <f>IF(S615="","",IFERROR(AVERAGEIFS(nNOTA,nNIA,S615,nEVAL,CONFIG_METADATA!$B$4,nASIG,"Coro"),""))</f>
        <v/>
      </c>
      <c r="V615" t="str">
        <f>IF(S615="","",IFERROR(AVERAGEIFS(nNOTA,nNIA,S615,nEVAL,CONFIG_METADATA!$B$4,nASIG,"Conjunto"),""))</f>
        <v/>
      </c>
      <c r="W615" t="str" cm="1">
        <f t="array" ref="W615">IF(S615="","",IFERROR(AVERAGE(IF((nNIA=S615)*(nEVAL=CONFIG_METADATA!$B$4)*(nASIG&lt;&gt;"Lenguaje Musical")*(nASIG&lt;&gt;"Coro")*(nASIG&lt;&gt;"Conjunto"),nNOTA)),""))</f>
        <v/>
      </c>
    </row>
    <row r="616" spans="2:23" x14ac:dyDescent="0.2">
      <c r="B616" t="str">
        <f>IF(A616="","",IFERROR(AVERAGEIFS(nNOTA,nNIA,A616,nEVAL,CONFIG_METADATA!$B$4,nASIG,"Lenguaje Musical"),""))</f>
        <v/>
      </c>
      <c r="C616" t="str">
        <f>IF(A616="","",IFERROR(AVERAGEIFS(nNOTA,nNIA,A616,nEVAL,CONFIG_METADATA!$B$4,nASIG,"Coro"),""))</f>
        <v/>
      </c>
      <c r="D616" t="str">
        <f>IF(A616="","",IFERROR(AVERAGEIFS(nNOTA,nNIA,A616,nEVAL,CONFIG_METADATA!$B$4,nASIG,"Conjunto"),""))</f>
        <v/>
      </c>
      <c r="E616" t="str">
        <f>IF(A616="","",IFERROR(AVERAGEIFS(nNOTA,nNIA,A616,nEVAL,CONFIG_METADATA!$B$4,nASIG,"&lt;&gt;Lenguaje Musical",nASIG,"&lt;&gt;Coro",nASIG,"&lt;&gt;Conjunto"),""))</f>
        <v/>
      </c>
      <c r="H616" t="str">
        <f>IF(G616="","",IFERROR(AVERAGEIFS(nNOTA,nNIA,G616,nEVAL,CONFIG_METADATA!$B$4,nASIG,"Lenguaje Musical"),""))</f>
        <v/>
      </c>
      <c r="I616" t="str">
        <f>IF(G616="","",IFERROR(AVERAGEIFS(nNOTA,nNIA,G616,nEVAL,CONFIG_METADATA!$B$4,nASIG,"Coro"),""))</f>
        <v/>
      </c>
      <c r="J616" t="str">
        <f>IF(G616="","",IFERROR(AVERAGEIFS(nNOTA,nNIA,G616,nEVAL,CONFIG_METADATA!$B$4,nASIG,"Conjunto"),""))</f>
        <v/>
      </c>
      <c r="K616" t="str" cm="1">
        <f t="array" ref="K616">IF(G616="","",IFERROR(AVERAGE(IF((nNIA=G616)*(nEVAL=CONFIG_METADATA!$B$4)*(nASIG&lt;&gt;"Lenguaje Musical")*(nASIG&lt;&gt;"Coro")*(nASIG&lt;&gt;"Conjunto"),nNOTA)),""))</f>
        <v/>
      </c>
      <c r="N616" t="str">
        <f>IF(M616="","",IFERROR(AVERAGEIFS(nNOTA,nNIA,M616,nEVAL,CONFIG_METADATA!$B$4,nASIG,"Lenguaje Musical"),""))</f>
        <v/>
      </c>
      <c r="O616" t="str">
        <f>IF(M616="","",IFERROR(AVERAGEIFS(nNOTA,nNIA,M616,nEVAL,CONFIG_METADATA!$B$4,nASIG,"Coro"),""))</f>
        <v/>
      </c>
      <c r="P616" t="str">
        <f>IF(M616="","",IFERROR(AVERAGEIFS(nNOTA,nNIA,M616,nEVAL,CONFIG_METADATA!$B$4,nASIG,"Conjunto"),""))</f>
        <v/>
      </c>
      <c r="Q616" t="str">
        <f>IF(M616="","",IFERROR(AVERAGEIFS(nNOTA,nNIA,M616,nEVAL,CONFIG_METADATA!$B$4,nASIG,"&lt;&gt;Lenguaje Musical",nASIG,"&lt;&gt;Coro",nASIG,"&lt;&gt;Conjunto"),""))</f>
        <v/>
      </c>
      <c r="T616" t="str">
        <f>IF(S616="","",IFERROR(AVERAGEIFS(nNOTA,nNIA,S616,nEVAL,CONFIG_METADATA!$B$4,nASIG,"Lenguaje Musical"),""))</f>
        <v/>
      </c>
      <c r="U616" t="str">
        <f>IF(S616="","",IFERROR(AVERAGEIFS(nNOTA,nNIA,S616,nEVAL,CONFIG_METADATA!$B$4,nASIG,"Coro"),""))</f>
        <v/>
      </c>
      <c r="V616" t="str">
        <f>IF(S616="","",IFERROR(AVERAGEIFS(nNOTA,nNIA,S616,nEVAL,CONFIG_METADATA!$B$4,nASIG,"Conjunto"),""))</f>
        <v/>
      </c>
      <c r="W616" t="str" cm="1">
        <f t="array" ref="W616">IF(S616="","",IFERROR(AVERAGE(IF((nNIA=S616)*(nEVAL=CONFIG_METADATA!$B$4)*(nASIG&lt;&gt;"Lenguaje Musical")*(nASIG&lt;&gt;"Coro")*(nASIG&lt;&gt;"Conjunto"),nNOTA)),""))</f>
        <v/>
      </c>
    </row>
    <row r="617" spans="2:23" x14ac:dyDescent="0.2">
      <c r="B617" t="str">
        <f>IF(A617="","",IFERROR(AVERAGEIFS(nNOTA,nNIA,A617,nEVAL,CONFIG_METADATA!$B$4,nASIG,"Lenguaje Musical"),""))</f>
        <v/>
      </c>
      <c r="C617" t="str">
        <f>IF(A617="","",IFERROR(AVERAGEIFS(nNOTA,nNIA,A617,nEVAL,CONFIG_METADATA!$B$4,nASIG,"Coro"),""))</f>
        <v/>
      </c>
      <c r="D617" t="str">
        <f>IF(A617="","",IFERROR(AVERAGEIFS(nNOTA,nNIA,A617,nEVAL,CONFIG_METADATA!$B$4,nASIG,"Conjunto"),""))</f>
        <v/>
      </c>
      <c r="E617" t="str">
        <f>IF(A617="","",IFERROR(AVERAGEIFS(nNOTA,nNIA,A617,nEVAL,CONFIG_METADATA!$B$4,nASIG,"&lt;&gt;Lenguaje Musical",nASIG,"&lt;&gt;Coro",nASIG,"&lt;&gt;Conjunto"),""))</f>
        <v/>
      </c>
      <c r="H617" t="str">
        <f>IF(G617="","",IFERROR(AVERAGEIFS(nNOTA,nNIA,G617,nEVAL,CONFIG_METADATA!$B$4,nASIG,"Lenguaje Musical"),""))</f>
        <v/>
      </c>
      <c r="I617" t="str">
        <f>IF(G617="","",IFERROR(AVERAGEIFS(nNOTA,nNIA,G617,nEVAL,CONFIG_METADATA!$B$4,nASIG,"Coro"),""))</f>
        <v/>
      </c>
      <c r="J617" t="str">
        <f>IF(G617="","",IFERROR(AVERAGEIFS(nNOTA,nNIA,G617,nEVAL,CONFIG_METADATA!$B$4,nASIG,"Conjunto"),""))</f>
        <v/>
      </c>
      <c r="K617" t="str" cm="1">
        <f t="array" ref="K617">IF(G617="","",IFERROR(AVERAGE(IF((nNIA=G617)*(nEVAL=CONFIG_METADATA!$B$4)*(nASIG&lt;&gt;"Lenguaje Musical")*(nASIG&lt;&gt;"Coro")*(nASIG&lt;&gt;"Conjunto"),nNOTA)),""))</f>
        <v/>
      </c>
      <c r="N617" t="str">
        <f>IF(M617="","",IFERROR(AVERAGEIFS(nNOTA,nNIA,M617,nEVAL,CONFIG_METADATA!$B$4,nASIG,"Lenguaje Musical"),""))</f>
        <v/>
      </c>
      <c r="O617" t="str">
        <f>IF(M617="","",IFERROR(AVERAGEIFS(nNOTA,nNIA,M617,nEVAL,CONFIG_METADATA!$B$4,nASIG,"Coro"),""))</f>
        <v/>
      </c>
      <c r="P617" t="str">
        <f>IF(M617="","",IFERROR(AVERAGEIFS(nNOTA,nNIA,M617,nEVAL,CONFIG_METADATA!$B$4,nASIG,"Conjunto"),""))</f>
        <v/>
      </c>
      <c r="Q617" t="str">
        <f>IF(M617="","",IFERROR(AVERAGEIFS(nNOTA,nNIA,M617,nEVAL,CONFIG_METADATA!$B$4,nASIG,"&lt;&gt;Lenguaje Musical",nASIG,"&lt;&gt;Coro",nASIG,"&lt;&gt;Conjunto"),""))</f>
        <v/>
      </c>
      <c r="T617" t="str">
        <f>IF(S617="","",IFERROR(AVERAGEIFS(nNOTA,nNIA,S617,nEVAL,CONFIG_METADATA!$B$4,nASIG,"Lenguaje Musical"),""))</f>
        <v/>
      </c>
      <c r="U617" t="str">
        <f>IF(S617="","",IFERROR(AVERAGEIFS(nNOTA,nNIA,S617,nEVAL,CONFIG_METADATA!$B$4,nASIG,"Coro"),""))</f>
        <v/>
      </c>
      <c r="V617" t="str">
        <f>IF(S617="","",IFERROR(AVERAGEIFS(nNOTA,nNIA,S617,nEVAL,CONFIG_METADATA!$B$4,nASIG,"Conjunto"),""))</f>
        <v/>
      </c>
      <c r="W617" t="str" cm="1">
        <f t="array" ref="W617">IF(S617="","",IFERROR(AVERAGE(IF((nNIA=S617)*(nEVAL=CONFIG_METADATA!$B$4)*(nASIG&lt;&gt;"Lenguaje Musical")*(nASIG&lt;&gt;"Coro")*(nASIG&lt;&gt;"Conjunto"),nNOTA)),""))</f>
        <v/>
      </c>
    </row>
    <row r="618" spans="2:23" x14ac:dyDescent="0.2">
      <c r="B618" t="str">
        <f>IF(A618="","",IFERROR(AVERAGEIFS(nNOTA,nNIA,A618,nEVAL,CONFIG_METADATA!$B$4,nASIG,"Lenguaje Musical"),""))</f>
        <v/>
      </c>
      <c r="C618" t="str">
        <f>IF(A618="","",IFERROR(AVERAGEIFS(nNOTA,nNIA,A618,nEVAL,CONFIG_METADATA!$B$4,nASIG,"Coro"),""))</f>
        <v/>
      </c>
      <c r="D618" t="str">
        <f>IF(A618="","",IFERROR(AVERAGEIFS(nNOTA,nNIA,A618,nEVAL,CONFIG_METADATA!$B$4,nASIG,"Conjunto"),""))</f>
        <v/>
      </c>
      <c r="E618" t="str">
        <f>IF(A618="","",IFERROR(AVERAGEIFS(nNOTA,nNIA,A618,nEVAL,CONFIG_METADATA!$B$4,nASIG,"&lt;&gt;Lenguaje Musical",nASIG,"&lt;&gt;Coro",nASIG,"&lt;&gt;Conjunto"),""))</f>
        <v/>
      </c>
      <c r="H618" t="str">
        <f>IF(G618="","",IFERROR(AVERAGEIFS(nNOTA,nNIA,G618,nEVAL,CONFIG_METADATA!$B$4,nASIG,"Lenguaje Musical"),""))</f>
        <v/>
      </c>
      <c r="I618" t="str">
        <f>IF(G618="","",IFERROR(AVERAGEIFS(nNOTA,nNIA,G618,nEVAL,CONFIG_METADATA!$B$4,nASIG,"Coro"),""))</f>
        <v/>
      </c>
      <c r="J618" t="str">
        <f>IF(G618="","",IFERROR(AVERAGEIFS(nNOTA,nNIA,G618,nEVAL,CONFIG_METADATA!$B$4,nASIG,"Conjunto"),""))</f>
        <v/>
      </c>
      <c r="K618" t="str" cm="1">
        <f t="array" ref="K618">IF(G618="","",IFERROR(AVERAGE(IF((nNIA=G618)*(nEVAL=CONFIG_METADATA!$B$4)*(nASIG&lt;&gt;"Lenguaje Musical")*(nASIG&lt;&gt;"Coro")*(nASIG&lt;&gt;"Conjunto"),nNOTA)),""))</f>
        <v/>
      </c>
      <c r="N618" t="str">
        <f>IF(M618="","",IFERROR(AVERAGEIFS(nNOTA,nNIA,M618,nEVAL,CONFIG_METADATA!$B$4,nASIG,"Lenguaje Musical"),""))</f>
        <v/>
      </c>
      <c r="O618" t="str">
        <f>IF(M618="","",IFERROR(AVERAGEIFS(nNOTA,nNIA,M618,nEVAL,CONFIG_METADATA!$B$4,nASIG,"Coro"),""))</f>
        <v/>
      </c>
      <c r="P618" t="str">
        <f>IF(M618="","",IFERROR(AVERAGEIFS(nNOTA,nNIA,M618,nEVAL,CONFIG_METADATA!$B$4,nASIG,"Conjunto"),""))</f>
        <v/>
      </c>
      <c r="Q618" t="str">
        <f>IF(M618="","",IFERROR(AVERAGEIFS(nNOTA,nNIA,M618,nEVAL,CONFIG_METADATA!$B$4,nASIG,"&lt;&gt;Lenguaje Musical",nASIG,"&lt;&gt;Coro",nASIG,"&lt;&gt;Conjunto"),""))</f>
        <v/>
      </c>
      <c r="T618" t="str">
        <f>IF(S618="","",IFERROR(AVERAGEIFS(nNOTA,nNIA,S618,nEVAL,CONFIG_METADATA!$B$4,nASIG,"Lenguaje Musical"),""))</f>
        <v/>
      </c>
      <c r="U618" t="str">
        <f>IF(S618="","",IFERROR(AVERAGEIFS(nNOTA,nNIA,S618,nEVAL,CONFIG_METADATA!$B$4,nASIG,"Coro"),""))</f>
        <v/>
      </c>
      <c r="V618" t="str">
        <f>IF(S618="","",IFERROR(AVERAGEIFS(nNOTA,nNIA,S618,nEVAL,CONFIG_METADATA!$B$4,nASIG,"Conjunto"),""))</f>
        <v/>
      </c>
      <c r="W618" t="str" cm="1">
        <f t="array" ref="W618">IF(S618="","",IFERROR(AVERAGE(IF((nNIA=S618)*(nEVAL=CONFIG_METADATA!$B$4)*(nASIG&lt;&gt;"Lenguaje Musical")*(nASIG&lt;&gt;"Coro")*(nASIG&lt;&gt;"Conjunto"),nNOTA)),""))</f>
        <v/>
      </c>
    </row>
    <row r="619" spans="2:23" x14ac:dyDescent="0.2">
      <c r="B619" t="str">
        <f>IF(A619="","",IFERROR(AVERAGEIFS(nNOTA,nNIA,A619,nEVAL,CONFIG_METADATA!$B$4,nASIG,"Lenguaje Musical"),""))</f>
        <v/>
      </c>
      <c r="C619" t="str">
        <f>IF(A619="","",IFERROR(AVERAGEIFS(nNOTA,nNIA,A619,nEVAL,CONFIG_METADATA!$B$4,nASIG,"Coro"),""))</f>
        <v/>
      </c>
      <c r="D619" t="str">
        <f>IF(A619="","",IFERROR(AVERAGEIFS(nNOTA,nNIA,A619,nEVAL,CONFIG_METADATA!$B$4,nASIG,"Conjunto"),""))</f>
        <v/>
      </c>
      <c r="E619" t="str">
        <f>IF(A619="","",IFERROR(AVERAGEIFS(nNOTA,nNIA,A619,nEVAL,CONFIG_METADATA!$B$4,nASIG,"&lt;&gt;Lenguaje Musical",nASIG,"&lt;&gt;Coro",nASIG,"&lt;&gt;Conjunto"),""))</f>
        <v/>
      </c>
      <c r="H619" t="str">
        <f>IF(G619="","",IFERROR(AVERAGEIFS(nNOTA,nNIA,G619,nEVAL,CONFIG_METADATA!$B$4,nASIG,"Lenguaje Musical"),""))</f>
        <v/>
      </c>
      <c r="I619" t="str">
        <f>IF(G619="","",IFERROR(AVERAGEIFS(nNOTA,nNIA,G619,nEVAL,CONFIG_METADATA!$B$4,nASIG,"Coro"),""))</f>
        <v/>
      </c>
      <c r="J619" t="str">
        <f>IF(G619="","",IFERROR(AVERAGEIFS(nNOTA,nNIA,G619,nEVAL,CONFIG_METADATA!$B$4,nASIG,"Conjunto"),""))</f>
        <v/>
      </c>
      <c r="K619" t="str" cm="1">
        <f t="array" ref="K619">IF(G619="","",IFERROR(AVERAGE(IF((nNIA=G619)*(nEVAL=CONFIG_METADATA!$B$4)*(nASIG&lt;&gt;"Lenguaje Musical")*(nASIG&lt;&gt;"Coro")*(nASIG&lt;&gt;"Conjunto"),nNOTA)),""))</f>
        <v/>
      </c>
      <c r="N619" t="str">
        <f>IF(M619="","",IFERROR(AVERAGEIFS(nNOTA,nNIA,M619,nEVAL,CONFIG_METADATA!$B$4,nASIG,"Lenguaje Musical"),""))</f>
        <v/>
      </c>
      <c r="O619" t="str">
        <f>IF(M619="","",IFERROR(AVERAGEIFS(nNOTA,nNIA,M619,nEVAL,CONFIG_METADATA!$B$4,nASIG,"Coro"),""))</f>
        <v/>
      </c>
      <c r="P619" t="str">
        <f>IF(M619="","",IFERROR(AVERAGEIFS(nNOTA,nNIA,M619,nEVAL,CONFIG_METADATA!$B$4,nASIG,"Conjunto"),""))</f>
        <v/>
      </c>
      <c r="Q619" t="str">
        <f>IF(M619="","",IFERROR(AVERAGEIFS(nNOTA,nNIA,M619,nEVAL,CONFIG_METADATA!$B$4,nASIG,"&lt;&gt;Lenguaje Musical",nASIG,"&lt;&gt;Coro",nASIG,"&lt;&gt;Conjunto"),""))</f>
        <v/>
      </c>
      <c r="T619" t="str">
        <f>IF(S619="","",IFERROR(AVERAGEIFS(nNOTA,nNIA,S619,nEVAL,CONFIG_METADATA!$B$4,nASIG,"Lenguaje Musical"),""))</f>
        <v/>
      </c>
      <c r="U619" t="str">
        <f>IF(S619="","",IFERROR(AVERAGEIFS(nNOTA,nNIA,S619,nEVAL,CONFIG_METADATA!$B$4,nASIG,"Coro"),""))</f>
        <v/>
      </c>
      <c r="V619" t="str">
        <f>IF(S619="","",IFERROR(AVERAGEIFS(nNOTA,nNIA,S619,nEVAL,CONFIG_METADATA!$B$4,nASIG,"Conjunto"),""))</f>
        <v/>
      </c>
      <c r="W619" t="str" cm="1">
        <f t="array" ref="W619">IF(S619="","",IFERROR(AVERAGE(IF((nNIA=S619)*(nEVAL=CONFIG_METADATA!$B$4)*(nASIG&lt;&gt;"Lenguaje Musical")*(nASIG&lt;&gt;"Coro")*(nASIG&lt;&gt;"Conjunto"),nNOTA)),""))</f>
        <v/>
      </c>
    </row>
    <row r="620" spans="2:23" x14ac:dyDescent="0.2">
      <c r="B620" t="str">
        <f>IF(A620="","",IFERROR(AVERAGEIFS(nNOTA,nNIA,A620,nEVAL,CONFIG_METADATA!$B$4,nASIG,"Lenguaje Musical"),""))</f>
        <v/>
      </c>
      <c r="C620" t="str">
        <f>IF(A620="","",IFERROR(AVERAGEIFS(nNOTA,nNIA,A620,nEVAL,CONFIG_METADATA!$B$4,nASIG,"Coro"),""))</f>
        <v/>
      </c>
      <c r="D620" t="str">
        <f>IF(A620="","",IFERROR(AVERAGEIFS(nNOTA,nNIA,A620,nEVAL,CONFIG_METADATA!$B$4,nASIG,"Conjunto"),""))</f>
        <v/>
      </c>
      <c r="E620" t="str">
        <f>IF(A620="","",IFERROR(AVERAGEIFS(nNOTA,nNIA,A620,nEVAL,CONFIG_METADATA!$B$4,nASIG,"&lt;&gt;Lenguaje Musical",nASIG,"&lt;&gt;Coro",nASIG,"&lt;&gt;Conjunto"),""))</f>
        <v/>
      </c>
      <c r="H620" t="str">
        <f>IF(G620="","",IFERROR(AVERAGEIFS(nNOTA,nNIA,G620,nEVAL,CONFIG_METADATA!$B$4,nASIG,"Lenguaje Musical"),""))</f>
        <v/>
      </c>
      <c r="I620" t="str">
        <f>IF(G620="","",IFERROR(AVERAGEIFS(nNOTA,nNIA,G620,nEVAL,CONFIG_METADATA!$B$4,nASIG,"Coro"),""))</f>
        <v/>
      </c>
      <c r="J620" t="str">
        <f>IF(G620="","",IFERROR(AVERAGEIFS(nNOTA,nNIA,G620,nEVAL,CONFIG_METADATA!$B$4,nASIG,"Conjunto"),""))</f>
        <v/>
      </c>
      <c r="K620" t="str" cm="1">
        <f t="array" ref="K620">IF(G620="","",IFERROR(AVERAGE(IF((nNIA=G620)*(nEVAL=CONFIG_METADATA!$B$4)*(nASIG&lt;&gt;"Lenguaje Musical")*(nASIG&lt;&gt;"Coro")*(nASIG&lt;&gt;"Conjunto"),nNOTA)),""))</f>
        <v/>
      </c>
      <c r="N620" t="str">
        <f>IF(M620="","",IFERROR(AVERAGEIFS(nNOTA,nNIA,M620,nEVAL,CONFIG_METADATA!$B$4,nASIG,"Lenguaje Musical"),""))</f>
        <v/>
      </c>
      <c r="O620" t="str">
        <f>IF(M620="","",IFERROR(AVERAGEIFS(nNOTA,nNIA,M620,nEVAL,CONFIG_METADATA!$B$4,nASIG,"Coro"),""))</f>
        <v/>
      </c>
      <c r="P620" t="str">
        <f>IF(M620="","",IFERROR(AVERAGEIFS(nNOTA,nNIA,M620,nEVAL,CONFIG_METADATA!$B$4,nASIG,"Conjunto"),""))</f>
        <v/>
      </c>
      <c r="Q620" t="str">
        <f>IF(M620="","",IFERROR(AVERAGEIFS(nNOTA,nNIA,M620,nEVAL,CONFIG_METADATA!$B$4,nASIG,"&lt;&gt;Lenguaje Musical",nASIG,"&lt;&gt;Coro",nASIG,"&lt;&gt;Conjunto"),""))</f>
        <v/>
      </c>
      <c r="T620" t="str">
        <f>IF(S620="","",IFERROR(AVERAGEIFS(nNOTA,nNIA,S620,nEVAL,CONFIG_METADATA!$B$4,nASIG,"Lenguaje Musical"),""))</f>
        <v/>
      </c>
      <c r="U620" t="str">
        <f>IF(S620="","",IFERROR(AVERAGEIFS(nNOTA,nNIA,S620,nEVAL,CONFIG_METADATA!$B$4,nASIG,"Coro"),""))</f>
        <v/>
      </c>
      <c r="V620" t="str">
        <f>IF(S620="","",IFERROR(AVERAGEIFS(nNOTA,nNIA,S620,nEVAL,CONFIG_METADATA!$B$4,nASIG,"Conjunto"),""))</f>
        <v/>
      </c>
      <c r="W620" t="str" cm="1">
        <f t="array" ref="W620">IF(S620="","",IFERROR(AVERAGE(IF((nNIA=S620)*(nEVAL=CONFIG_METADATA!$B$4)*(nASIG&lt;&gt;"Lenguaje Musical")*(nASIG&lt;&gt;"Coro")*(nASIG&lt;&gt;"Conjunto"),nNOTA)),""))</f>
        <v/>
      </c>
    </row>
    <row r="621" spans="2:23" x14ac:dyDescent="0.2">
      <c r="B621" t="str">
        <f>IF(A621="","",IFERROR(AVERAGEIFS(nNOTA,nNIA,A621,nEVAL,CONFIG_METADATA!$B$4,nASIG,"Lenguaje Musical"),""))</f>
        <v/>
      </c>
      <c r="C621" t="str">
        <f>IF(A621="","",IFERROR(AVERAGEIFS(nNOTA,nNIA,A621,nEVAL,CONFIG_METADATA!$B$4,nASIG,"Coro"),""))</f>
        <v/>
      </c>
      <c r="D621" t="str">
        <f>IF(A621="","",IFERROR(AVERAGEIFS(nNOTA,nNIA,A621,nEVAL,CONFIG_METADATA!$B$4,nASIG,"Conjunto"),""))</f>
        <v/>
      </c>
      <c r="E621" t="str">
        <f>IF(A621="","",IFERROR(AVERAGEIFS(nNOTA,nNIA,A621,nEVAL,CONFIG_METADATA!$B$4,nASIG,"&lt;&gt;Lenguaje Musical",nASIG,"&lt;&gt;Coro",nASIG,"&lt;&gt;Conjunto"),""))</f>
        <v/>
      </c>
      <c r="H621" t="str">
        <f>IF(G621="","",IFERROR(AVERAGEIFS(nNOTA,nNIA,G621,nEVAL,CONFIG_METADATA!$B$4,nASIG,"Lenguaje Musical"),""))</f>
        <v/>
      </c>
      <c r="I621" t="str">
        <f>IF(G621="","",IFERROR(AVERAGEIFS(nNOTA,nNIA,G621,nEVAL,CONFIG_METADATA!$B$4,nASIG,"Coro"),""))</f>
        <v/>
      </c>
      <c r="J621" t="str">
        <f>IF(G621="","",IFERROR(AVERAGEIFS(nNOTA,nNIA,G621,nEVAL,CONFIG_METADATA!$B$4,nASIG,"Conjunto"),""))</f>
        <v/>
      </c>
      <c r="K621" t="str" cm="1">
        <f t="array" ref="K621">IF(G621="","",IFERROR(AVERAGE(IF((nNIA=G621)*(nEVAL=CONFIG_METADATA!$B$4)*(nASIG&lt;&gt;"Lenguaje Musical")*(nASIG&lt;&gt;"Coro")*(nASIG&lt;&gt;"Conjunto"),nNOTA)),""))</f>
        <v/>
      </c>
      <c r="N621" t="str">
        <f>IF(M621="","",IFERROR(AVERAGEIFS(nNOTA,nNIA,M621,nEVAL,CONFIG_METADATA!$B$4,nASIG,"Lenguaje Musical"),""))</f>
        <v/>
      </c>
      <c r="O621" t="str">
        <f>IF(M621="","",IFERROR(AVERAGEIFS(nNOTA,nNIA,M621,nEVAL,CONFIG_METADATA!$B$4,nASIG,"Coro"),""))</f>
        <v/>
      </c>
      <c r="P621" t="str">
        <f>IF(M621="","",IFERROR(AVERAGEIFS(nNOTA,nNIA,M621,nEVAL,CONFIG_METADATA!$B$4,nASIG,"Conjunto"),""))</f>
        <v/>
      </c>
      <c r="Q621" t="str">
        <f>IF(M621="","",IFERROR(AVERAGEIFS(nNOTA,nNIA,M621,nEVAL,CONFIG_METADATA!$B$4,nASIG,"&lt;&gt;Lenguaje Musical",nASIG,"&lt;&gt;Coro",nASIG,"&lt;&gt;Conjunto"),""))</f>
        <v/>
      </c>
      <c r="T621" t="str">
        <f>IF(S621="","",IFERROR(AVERAGEIFS(nNOTA,nNIA,S621,nEVAL,CONFIG_METADATA!$B$4,nASIG,"Lenguaje Musical"),""))</f>
        <v/>
      </c>
      <c r="U621" t="str">
        <f>IF(S621="","",IFERROR(AVERAGEIFS(nNOTA,nNIA,S621,nEVAL,CONFIG_METADATA!$B$4,nASIG,"Coro"),""))</f>
        <v/>
      </c>
      <c r="V621" t="str">
        <f>IF(S621="","",IFERROR(AVERAGEIFS(nNOTA,nNIA,S621,nEVAL,CONFIG_METADATA!$B$4,nASIG,"Conjunto"),""))</f>
        <v/>
      </c>
      <c r="W621" t="str" cm="1">
        <f t="array" ref="W621">IF(S621="","",IFERROR(AVERAGE(IF((nNIA=S621)*(nEVAL=CONFIG_METADATA!$B$4)*(nASIG&lt;&gt;"Lenguaje Musical")*(nASIG&lt;&gt;"Coro")*(nASIG&lt;&gt;"Conjunto"),nNOTA)),""))</f>
        <v/>
      </c>
    </row>
    <row r="622" spans="2:23" x14ac:dyDescent="0.2">
      <c r="B622" t="str">
        <f>IF(A622="","",IFERROR(AVERAGEIFS(nNOTA,nNIA,A622,nEVAL,CONFIG_METADATA!$B$4,nASIG,"Lenguaje Musical"),""))</f>
        <v/>
      </c>
      <c r="C622" t="str">
        <f>IF(A622="","",IFERROR(AVERAGEIFS(nNOTA,nNIA,A622,nEVAL,CONFIG_METADATA!$B$4,nASIG,"Coro"),""))</f>
        <v/>
      </c>
      <c r="D622" t="str">
        <f>IF(A622="","",IFERROR(AVERAGEIFS(nNOTA,nNIA,A622,nEVAL,CONFIG_METADATA!$B$4,nASIG,"Conjunto"),""))</f>
        <v/>
      </c>
      <c r="E622" t="str">
        <f>IF(A622="","",IFERROR(AVERAGEIFS(nNOTA,nNIA,A622,nEVAL,CONFIG_METADATA!$B$4,nASIG,"&lt;&gt;Lenguaje Musical",nASIG,"&lt;&gt;Coro",nASIG,"&lt;&gt;Conjunto"),""))</f>
        <v/>
      </c>
      <c r="H622" t="str">
        <f>IF(G622="","",IFERROR(AVERAGEIFS(nNOTA,nNIA,G622,nEVAL,CONFIG_METADATA!$B$4,nASIG,"Lenguaje Musical"),""))</f>
        <v/>
      </c>
      <c r="I622" t="str">
        <f>IF(G622="","",IFERROR(AVERAGEIFS(nNOTA,nNIA,G622,nEVAL,CONFIG_METADATA!$B$4,nASIG,"Coro"),""))</f>
        <v/>
      </c>
      <c r="J622" t="str">
        <f>IF(G622="","",IFERROR(AVERAGEIFS(nNOTA,nNIA,G622,nEVAL,CONFIG_METADATA!$B$4,nASIG,"Conjunto"),""))</f>
        <v/>
      </c>
      <c r="K622" t="str" cm="1">
        <f t="array" ref="K622">IF(G622="","",IFERROR(AVERAGE(IF((nNIA=G622)*(nEVAL=CONFIG_METADATA!$B$4)*(nASIG&lt;&gt;"Lenguaje Musical")*(nASIG&lt;&gt;"Coro")*(nASIG&lt;&gt;"Conjunto"),nNOTA)),""))</f>
        <v/>
      </c>
      <c r="N622" t="str">
        <f>IF(M622="","",IFERROR(AVERAGEIFS(nNOTA,nNIA,M622,nEVAL,CONFIG_METADATA!$B$4,nASIG,"Lenguaje Musical"),""))</f>
        <v/>
      </c>
      <c r="O622" t="str">
        <f>IF(M622="","",IFERROR(AVERAGEIFS(nNOTA,nNIA,M622,nEVAL,CONFIG_METADATA!$B$4,nASIG,"Coro"),""))</f>
        <v/>
      </c>
      <c r="P622" t="str">
        <f>IF(M622="","",IFERROR(AVERAGEIFS(nNOTA,nNIA,M622,nEVAL,CONFIG_METADATA!$B$4,nASIG,"Conjunto"),""))</f>
        <v/>
      </c>
      <c r="Q622" t="str">
        <f>IF(M622="","",IFERROR(AVERAGEIFS(nNOTA,nNIA,M622,nEVAL,CONFIG_METADATA!$B$4,nASIG,"&lt;&gt;Lenguaje Musical",nASIG,"&lt;&gt;Coro",nASIG,"&lt;&gt;Conjunto"),""))</f>
        <v/>
      </c>
      <c r="T622" t="str">
        <f>IF(S622="","",IFERROR(AVERAGEIFS(nNOTA,nNIA,S622,nEVAL,CONFIG_METADATA!$B$4,nASIG,"Lenguaje Musical"),""))</f>
        <v/>
      </c>
      <c r="U622" t="str">
        <f>IF(S622="","",IFERROR(AVERAGEIFS(nNOTA,nNIA,S622,nEVAL,CONFIG_METADATA!$B$4,nASIG,"Coro"),""))</f>
        <v/>
      </c>
      <c r="V622" t="str">
        <f>IF(S622="","",IFERROR(AVERAGEIFS(nNOTA,nNIA,S622,nEVAL,CONFIG_METADATA!$B$4,nASIG,"Conjunto"),""))</f>
        <v/>
      </c>
      <c r="W622" t="str" cm="1">
        <f t="array" ref="W622">IF(S622="","",IFERROR(AVERAGE(IF((nNIA=S622)*(nEVAL=CONFIG_METADATA!$B$4)*(nASIG&lt;&gt;"Lenguaje Musical")*(nASIG&lt;&gt;"Coro")*(nASIG&lt;&gt;"Conjunto"),nNOTA)),""))</f>
        <v/>
      </c>
    </row>
    <row r="623" spans="2:23" x14ac:dyDescent="0.2">
      <c r="B623" t="str">
        <f>IF(A623="","",IFERROR(AVERAGEIFS(nNOTA,nNIA,A623,nEVAL,CONFIG_METADATA!$B$4,nASIG,"Lenguaje Musical"),""))</f>
        <v/>
      </c>
      <c r="C623" t="str">
        <f>IF(A623="","",IFERROR(AVERAGEIFS(nNOTA,nNIA,A623,nEVAL,CONFIG_METADATA!$B$4,nASIG,"Coro"),""))</f>
        <v/>
      </c>
      <c r="D623" t="str">
        <f>IF(A623="","",IFERROR(AVERAGEIFS(nNOTA,nNIA,A623,nEVAL,CONFIG_METADATA!$B$4,nASIG,"Conjunto"),""))</f>
        <v/>
      </c>
      <c r="E623" t="str">
        <f>IF(A623="","",IFERROR(AVERAGEIFS(nNOTA,nNIA,A623,nEVAL,CONFIG_METADATA!$B$4,nASIG,"&lt;&gt;Lenguaje Musical",nASIG,"&lt;&gt;Coro",nASIG,"&lt;&gt;Conjunto"),""))</f>
        <v/>
      </c>
      <c r="H623" t="str">
        <f>IF(G623="","",IFERROR(AVERAGEIFS(nNOTA,nNIA,G623,nEVAL,CONFIG_METADATA!$B$4,nASIG,"Lenguaje Musical"),""))</f>
        <v/>
      </c>
      <c r="I623" t="str">
        <f>IF(G623="","",IFERROR(AVERAGEIFS(nNOTA,nNIA,G623,nEVAL,CONFIG_METADATA!$B$4,nASIG,"Coro"),""))</f>
        <v/>
      </c>
      <c r="J623" t="str">
        <f>IF(G623="","",IFERROR(AVERAGEIFS(nNOTA,nNIA,G623,nEVAL,CONFIG_METADATA!$B$4,nASIG,"Conjunto"),""))</f>
        <v/>
      </c>
      <c r="K623" t="str" cm="1">
        <f t="array" ref="K623">IF(G623="","",IFERROR(AVERAGE(IF((nNIA=G623)*(nEVAL=CONFIG_METADATA!$B$4)*(nASIG&lt;&gt;"Lenguaje Musical")*(nASIG&lt;&gt;"Coro")*(nASIG&lt;&gt;"Conjunto"),nNOTA)),""))</f>
        <v/>
      </c>
      <c r="N623" t="str">
        <f>IF(M623="","",IFERROR(AVERAGEIFS(nNOTA,nNIA,M623,nEVAL,CONFIG_METADATA!$B$4,nASIG,"Lenguaje Musical"),""))</f>
        <v/>
      </c>
      <c r="O623" t="str">
        <f>IF(M623="","",IFERROR(AVERAGEIFS(nNOTA,nNIA,M623,nEVAL,CONFIG_METADATA!$B$4,nASIG,"Coro"),""))</f>
        <v/>
      </c>
      <c r="P623" t="str">
        <f>IF(M623="","",IFERROR(AVERAGEIFS(nNOTA,nNIA,M623,nEVAL,CONFIG_METADATA!$B$4,nASIG,"Conjunto"),""))</f>
        <v/>
      </c>
      <c r="Q623" t="str">
        <f>IF(M623="","",IFERROR(AVERAGEIFS(nNOTA,nNIA,M623,nEVAL,CONFIG_METADATA!$B$4,nASIG,"&lt;&gt;Lenguaje Musical",nASIG,"&lt;&gt;Coro",nASIG,"&lt;&gt;Conjunto"),""))</f>
        <v/>
      </c>
      <c r="T623" t="str">
        <f>IF(S623="","",IFERROR(AVERAGEIFS(nNOTA,nNIA,S623,nEVAL,CONFIG_METADATA!$B$4,nASIG,"Lenguaje Musical"),""))</f>
        <v/>
      </c>
      <c r="U623" t="str">
        <f>IF(S623="","",IFERROR(AVERAGEIFS(nNOTA,nNIA,S623,nEVAL,CONFIG_METADATA!$B$4,nASIG,"Coro"),""))</f>
        <v/>
      </c>
      <c r="V623" t="str">
        <f>IF(S623="","",IFERROR(AVERAGEIFS(nNOTA,nNIA,S623,nEVAL,CONFIG_METADATA!$B$4,nASIG,"Conjunto"),""))</f>
        <v/>
      </c>
      <c r="W623" t="str" cm="1">
        <f t="array" ref="W623">IF(S623="","",IFERROR(AVERAGE(IF((nNIA=S623)*(nEVAL=CONFIG_METADATA!$B$4)*(nASIG&lt;&gt;"Lenguaje Musical")*(nASIG&lt;&gt;"Coro")*(nASIG&lt;&gt;"Conjunto"),nNOTA)),""))</f>
        <v/>
      </c>
    </row>
    <row r="624" spans="2:23" x14ac:dyDescent="0.2">
      <c r="B624" t="str">
        <f>IF(A624="","",IFERROR(AVERAGEIFS(nNOTA,nNIA,A624,nEVAL,CONFIG_METADATA!$B$4,nASIG,"Lenguaje Musical"),""))</f>
        <v/>
      </c>
      <c r="C624" t="str">
        <f>IF(A624="","",IFERROR(AVERAGEIFS(nNOTA,nNIA,A624,nEVAL,CONFIG_METADATA!$B$4,nASIG,"Coro"),""))</f>
        <v/>
      </c>
      <c r="D624" t="str">
        <f>IF(A624="","",IFERROR(AVERAGEIFS(nNOTA,nNIA,A624,nEVAL,CONFIG_METADATA!$B$4,nASIG,"Conjunto"),""))</f>
        <v/>
      </c>
      <c r="E624" t="str">
        <f>IF(A624="","",IFERROR(AVERAGEIFS(nNOTA,nNIA,A624,nEVAL,CONFIG_METADATA!$B$4,nASIG,"&lt;&gt;Lenguaje Musical",nASIG,"&lt;&gt;Coro",nASIG,"&lt;&gt;Conjunto"),""))</f>
        <v/>
      </c>
      <c r="H624" t="str">
        <f>IF(G624="","",IFERROR(AVERAGEIFS(nNOTA,nNIA,G624,nEVAL,CONFIG_METADATA!$B$4,nASIG,"Lenguaje Musical"),""))</f>
        <v/>
      </c>
      <c r="I624" t="str">
        <f>IF(G624="","",IFERROR(AVERAGEIFS(nNOTA,nNIA,G624,nEVAL,CONFIG_METADATA!$B$4,nASIG,"Coro"),""))</f>
        <v/>
      </c>
      <c r="J624" t="str">
        <f>IF(G624="","",IFERROR(AVERAGEIFS(nNOTA,nNIA,G624,nEVAL,CONFIG_METADATA!$B$4,nASIG,"Conjunto"),""))</f>
        <v/>
      </c>
      <c r="K624" t="str" cm="1">
        <f t="array" ref="K624">IF(G624="","",IFERROR(AVERAGE(IF((nNIA=G624)*(nEVAL=CONFIG_METADATA!$B$4)*(nASIG&lt;&gt;"Lenguaje Musical")*(nASIG&lt;&gt;"Coro")*(nASIG&lt;&gt;"Conjunto"),nNOTA)),""))</f>
        <v/>
      </c>
      <c r="N624" t="str">
        <f>IF(M624="","",IFERROR(AVERAGEIFS(nNOTA,nNIA,M624,nEVAL,CONFIG_METADATA!$B$4,nASIG,"Lenguaje Musical"),""))</f>
        <v/>
      </c>
      <c r="O624" t="str">
        <f>IF(M624="","",IFERROR(AVERAGEIFS(nNOTA,nNIA,M624,nEVAL,CONFIG_METADATA!$B$4,nASIG,"Coro"),""))</f>
        <v/>
      </c>
      <c r="P624" t="str">
        <f>IF(M624="","",IFERROR(AVERAGEIFS(nNOTA,nNIA,M624,nEVAL,CONFIG_METADATA!$B$4,nASIG,"Conjunto"),""))</f>
        <v/>
      </c>
      <c r="Q624" t="str">
        <f>IF(M624="","",IFERROR(AVERAGEIFS(nNOTA,nNIA,M624,nEVAL,CONFIG_METADATA!$B$4,nASIG,"&lt;&gt;Lenguaje Musical",nASIG,"&lt;&gt;Coro",nASIG,"&lt;&gt;Conjunto"),""))</f>
        <v/>
      </c>
      <c r="T624" t="str">
        <f>IF(S624="","",IFERROR(AVERAGEIFS(nNOTA,nNIA,S624,nEVAL,CONFIG_METADATA!$B$4,nASIG,"Lenguaje Musical"),""))</f>
        <v/>
      </c>
      <c r="U624" t="str">
        <f>IF(S624="","",IFERROR(AVERAGEIFS(nNOTA,nNIA,S624,nEVAL,CONFIG_METADATA!$B$4,nASIG,"Coro"),""))</f>
        <v/>
      </c>
      <c r="V624" t="str">
        <f>IF(S624="","",IFERROR(AVERAGEIFS(nNOTA,nNIA,S624,nEVAL,CONFIG_METADATA!$B$4,nASIG,"Conjunto"),""))</f>
        <v/>
      </c>
      <c r="W624" t="str" cm="1">
        <f t="array" ref="W624">IF(S624="","",IFERROR(AVERAGE(IF((nNIA=S624)*(nEVAL=CONFIG_METADATA!$B$4)*(nASIG&lt;&gt;"Lenguaje Musical")*(nASIG&lt;&gt;"Coro")*(nASIG&lt;&gt;"Conjunto"),nNOTA)),""))</f>
        <v/>
      </c>
    </row>
    <row r="625" spans="2:23" x14ac:dyDescent="0.2">
      <c r="B625" t="str">
        <f>IF(A625="","",IFERROR(AVERAGEIFS(nNOTA,nNIA,A625,nEVAL,CONFIG_METADATA!$B$4,nASIG,"Lenguaje Musical"),""))</f>
        <v/>
      </c>
      <c r="C625" t="str">
        <f>IF(A625="","",IFERROR(AVERAGEIFS(nNOTA,nNIA,A625,nEVAL,CONFIG_METADATA!$B$4,nASIG,"Coro"),""))</f>
        <v/>
      </c>
      <c r="D625" t="str">
        <f>IF(A625="","",IFERROR(AVERAGEIFS(nNOTA,nNIA,A625,nEVAL,CONFIG_METADATA!$B$4,nASIG,"Conjunto"),""))</f>
        <v/>
      </c>
      <c r="E625" t="str">
        <f>IF(A625="","",IFERROR(AVERAGEIFS(nNOTA,nNIA,A625,nEVAL,CONFIG_METADATA!$B$4,nASIG,"&lt;&gt;Lenguaje Musical",nASIG,"&lt;&gt;Coro",nASIG,"&lt;&gt;Conjunto"),""))</f>
        <v/>
      </c>
      <c r="H625" t="str">
        <f>IF(G625="","",IFERROR(AVERAGEIFS(nNOTA,nNIA,G625,nEVAL,CONFIG_METADATA!$B$4,nASIG,"Lenguaje Musical"),""))</f>
        <v/>
      </c>
      <c r="I625" t="str">
        <f>IF(G625="","",IFERROR(AVERAGEIFS(nNOTA,nNIA,G625,nEVAL,CONFIG_METADATA!$B$4,nASIG,"Coro"),""))</f>
        <v/>
      </c>
      <c r="J625" t="str">
        <f>IF(G625="","",IFERROR(AVERAGEIFS(nNOTA,nNIA,G625,nEVAL,CONFIG_METADATA!$B$4,nASIG,"Conjunto"),""))</f>
        <v/>
      </c>
      <c r="K625" t="str" cm="1">
        <f t="array" ref="K625">IF(G625="","",IFERROR(AVERAGE(IF((nNIA=G625)*(nEVAL=CONFIG_METADATA!$B$4)*(nASIG&lt;&gt;"Lenguaje Musical")*(nASIG&lt;&gt;"Coro")*(nASIG&lt;&gt;"Conjunto"),nNOTA)),""))</f>
        <v/>
      </c>
      <c r="N625" t="str">
        <f>IF(M625="","",IFERROR(AVERAGEIFS(nNOTA,nNIA,M625,nEVAL,CONFIG_METADATA!$B$4,nASIG,"Lenguaje Musical"),""))</f>
        <v/>
      </c>
      <c r="O625" t="str">
        <f>IF(M625="","",IFERROR(AVERAGEIFS(nNOTA,nNIA,M625,nEVAL,CONFIG_METADATA!$B$4,nASIG,"Coro"),""))</f>
        <v/>
      </c>
      <c r="P625" t="str">
        <f>IF(M625="","",IFERROR(AVERAGEIFS(nNOTA,nNIA,M625,nEVAL,CONFIG_METADATA!$B$4,nASIG,"Conjunto"),""))</f>
        <v/>
      </c>
      <c r="Q625" t="str">
        <f>IF(M625="","",IFERROR(AVERAGEIFS(nNOTA,nNIA,M625,nEVAL,CONFIG_METADATA!$B$4,nASIG,"&lt;&gt;Lenguaje Musical",nASIG,"&lt;&gt;Coro",nASIG,"&lt;&gt;Conjunto"),""))</f>
        <v/>
      </c>
      <c r="T625" t="str">
        <f>IF(S625="","",IFERROR(AVERAGEIFS(nNOTA,nNIA,S625,nEVAL,CONFIG_METADATA!$B$4,nASIG,"Lenguaje Musical"),""))</f>
        <v/>
      </c>
      <c r="U625" t="str">
        <f>IF(S625="","",IFERROR(AVERAGEIFS(nNOTA,nNIA,S625,nEVAL,CONFIG_METADATA!$B$4,nASIG,"Coro"),""))</f>
        <v/>
      </c>
      <c r="V625" t="str">
        <f>IF(S625="","",IFERROR(AVERAGEIFS(nNOTA,nNIA,S625,nEVAL,CONFIG_METADATA!$B$4,nASIG,"Conjunto"),""))</f>
        <v/>
      </c>
      <c r="W625" t="str" cm="1">
        <f t="array" ref="W625">IF(S625="","",IFERROR(AVERAGE(IF((nNIA=S625)*(nEVAL=CONFIG_METADATA!$B$4)*(nASIG&lt;&gt;"Lenguaje Musical")*(nASIG&lt;&gt;"Coro")*(nASIG&lt;&gt;"Conjunto"),nNOTA)),""))</f>
        <v/>
      </c>
    </row>
    <row r="626" spans="2:23" x14ac:dyDescent="0.2">
      <c r="B626" t="str">
        <f>IF(A626="","",IFERROR(AVERAGEIFS(nNOTA,nNIA,A626,nEVAL,CONFIG_METADATA!$B$4,nASIG,"Lenguaje Musical"),""))</f>
        <v/>
      </c>
      <c r="C626" t="str">
        <f>IF(A626="","",IFERROR(AVERAGEIFS(nNOTA,nNIA,A626,nEVAL,CONFIG_METADATA!$B$4,nASIG,"Coro"),""))</f>
        <v/>
      </c>
      <c r="D626" t="str">
        <f>IF(A626="","",IFERROR(AVERAGEIFS(nNOTA,nNIA,A626,nEVAL,CONFIG_METADATA!$B$4,nASIG,"Conjunto"),""))</f>
        <v/>
      </c>
      <c r="E626" t="str">
        <f>IF(A626="","",IFERROR(AVERAGEIFS(nNOTA,nNIA,A626,nEVAL,CONFIG_METADATA!$B$4,nASIG,"&lt;&gt;Lenguaje Musical",nASIG,"&lt;&gt;Coro",nASIG,"&lt;&gt;Conjunto"),""))</f>
        <v/>
      </c>
      <c r="H626" t="str">
        <f>IF(G626="","",IFERROR(AVERAGEIFS(nNOTA,nNIA,G626,nEVAL,CONFIG_METADATA!$B$4,nASIG,"Lenguaje Musical"),""))</f>
        <v/>
      </c>
      <c r="I626" t="str">
        <f>IF(G626="","",IFERROR(AVERAGEIFS(nNOTA,nNIA,G626,nEVAL,CONFIG_METADATA!$B$4,nASIG,"Coro"),""))</f>
        <v/>
      </c>
      <c r="J626" t="str">
        <f>IF(G626="","",IFERROR(AVERAGEIFS(nNOTA,nNIA,G626,nEVAL,CONFIG_METADATA!$B$4,nASIG,"Conjunto"),""))</f>
        <v/>
      </c>
      <c r="K626" t="str" cm="1">
        <f t="array" ref="K626">IF(G626="","",IFERROR(AVERAGE(IF((nNIA=G626)*(nEVAL=CONFIG_METADATA!$B$4)*(nASIG&lt;&gt;"Lenguaje Musical")*(nASIG&lt;&gt;"Coro")*(nASIG&lt;&gt;"Conjunto"),nNOTA)),""))</f>
        <v/>
      </c>
      <c r="N626" t="str">
        <f>IF(M626="","",IFERROR(AVERAGEIFS(nNOTA,nNIA,M626,nEVAL,CONFIG_METADATA!$B$4,nASIG,"Lenguaje Musical"),""))</f>
        <v/>
      </c>
      <c r="O626" t="str">
        <f>IF(M626="","",IFERROR(AVERAGEIFS(nNOTA,nNIA,M626,nEVAL,CONFIG_METADATA!$B$4,nASIG,"Coro"),""))</f>
        <v/>
      </c>
      <c r="P626" t="str">
        <f>IF(M626="","",IFERROR(AVERAGEIFS(nNOTA,nNIA,M626,nEVAL,CONFIG_METADATA!$B$4,nASIG,"Conjunto"),""))</f>
        <v/>
      </c>
      <c r="Q626" t="str">
        <f>IF(M626="","",IFERROR(AVERAGEIFS(nNOTA,nNIA,M626,nEVAL,CONFIG_METADATA!$B$4,nASIG,"&lt;&gt;Lenguaje Musical",nASIG,"&lt;&gt;Coro",nASIG,"&lt;&gt;Conjunto"),""))</f>
        <v/>
      </c>
      <c r="T626" t="str">
        <f>IF(S626="","",IFERROR(AVERAGEIFS(nNOTA,nNIA,S626,nEVAL,CONFIG_METADATA!$B$4,nASIG,"Lenguaje Musical"),""))</f>
        <v/>
      </c>
      <c r="U626" t="str">
        <f>IF(S626="","",IFERROR(AVERAGEIFS(nNOTA,nNIA,S626,nEVAL,CONFIG_METADATA!$B$4,nASIG,"Coro"),""))</f>
        <v/>
      </c>
      <c r="V626" t="str">
        <f>IF(S626="","",IFERROR(AVERAGEIFS(nNOTA,nNIA,S626,nEVAL,CONFIG_METADATA!$B$4,nASIG,"Conjunto"),""))</f>
        <v/>
      </c>
      <c r="W626" t="str" cm="1">
        <f t="array" ref="W626">IF(S626="","",IFERROR(AVERAGE(IF((nNIA=S626)*(nEVAL=CONFIG_METADATA!$B$4)*(nASIG&lt;&gt;"Lenguaje Musical")*(nASIG&lt;&gt;"Coro")*(nASIG&lt;&gt;"Conjunto"),nNOTA)),""))</f>
        <v/>
      </c>
    </row>
    <row r="627" spans="2:23" x14ac:dyDescent="0.2">
      <c r="B627" t="str">
        <f>IF(A627="","",IFERROR(AVERAGEIFS(nNOTA,nNIA,A627,nEVAL,CONFIG_METADATA!$B$4,nASIG,"Lenguaje Musical"),""))</f>
        <v/>
      </c>
      <c r="C627" t="str">
        <f>IF(A627="","",IFERROR(AVERAGEIFS(nNOTA,nNIA,A627,nEVAL,CONFIG_METADATA!$B$4,nASIG,"Coro"),""))</f>
        <v/>
      </c>
      <c r="D627" t="str">
        <f>IF(A627="","",IFERROR(AVERAGEIFS(nNOTA,nNIA,A627,nEVAL,CONFIG_METADATA!$B$4,nASIG,"Conjunto"),""))</f>
        <v/>
      </c>
      <c r="E627" t="str">
        <f>IF(A627="","",IFERROR(AVERAGEIFS(nNOTA,nNIA,A627,nEVAL,CONFIG_METADATA!$B$4,nASIG,"&lt;&gt;Lenguaje Musical",nASIG,"&lt;&gt;Coro",nASIG,"&lt;&gt;Conjunto"),""))</f>
        <v/>
      </c>
      <c r="H627" t="str">
        <f>IF(G627="","",IFERROR(AVERAGEIFS(nNOTA,nNIA,G627,nEVAL,CONFIG_METADATA!$B$4,nASIG,"Lenguaje Musical"),""))</f>
        <v/>
      </c>
      <c r="I627" t="str">
        <f>IF(G627="","",IFERROR(AVERAGEIFS(nNOTA,nNIA,G627,nEVAL,CONFIG_METADATA!$B$4,nASIG,"Coro"),""))</f>
        <v/>
      </c>
      <c r="J627" t="str">
        <f>IF(G627="","",IFERROR(AVERAGEIFS(nNOTA,nNIA,G627,nEVAL,CONFIG_METADATA!$B$4,nASIG,"Conjunto"),""))</f>
        <v/>
      </c>
      <c r="K627" t="str" cm="1">
        <f t="array" ref="K627">IF(G627="","",IFERROR(AVERAGE(IF((nNIA=G627)*(nEVAL=CONFIG_METADATA!$B$4)*(nASIG&lt;&gt;"Lenguaje Musical")*(nASIG&lt;&gt;"Coro")*(nASIG&lt;&gt;"Conjunto"),nNOTA)),""))</f>
        <v/>
      </c>
      <c r="N627" t="str">
        <f>IF(M627="","",IFERROR(AVERAGEIFS(nNOTA,nNIA,M627,nEVAL,CONFIG_METADATA!$B$4,nASIG,"Lenguaje Musical"),""))</f>
        <v/>
      </c>
      <c r="O627" t="str">
        <f>IF(M627="","",IFERROR(AVERAGEIFS(nNOTA,nNIA,M627,nEVAL,CONFIG_METADATA!$B$4,nASIG,"Coro"),""))</f>
        <v/>
      </c>
      <c r="P627" t="str">
        <f>IF(M627="","",IFERROR(AVERAGEIFS(nNOTA,nNIA,M627,nEVAL,CONFIG_METADATA!$B$4,nASIG,"Conjunto"),""))</f>
        <v/>
      </c>
      <c r="Q627" t="str">
        <f>IF(M627="","",IFERROR(AVERAGEIFS(nNOTA,nNIA,M627,nEVAL,CONFIG_METADATA!$B$4,nASIG,"&lt;&gt;Lenguaje Musical",nASIG,"&lt;&gt;Coro",nASIG,"&lt;&gt;Conjunto"),""))</f>
        <v/>
      </c>
      <c r="T627" t="str">
        <f>IF(S627="","",IFERROR(AVERAGEIFS(nNOTA,nNIA,S627,nEVAL,CONFIG_METADATA!$B$4,nASIG,"Lenguaje Musical"),""))</f>
        <v/>
      </c>
      <c r="U627" t="str">
        <f>IF(S627="","",IFERROR(AVERAGEIFS(nNOTA,nNIA,S627,nEVAL,CONFIG_METADATA!$B$4,nASIG,"Coro"),""))</f>
        <v/>
      </c>
      <c r="V627" t="str">
        <f>IF(S627="","",IFERROR(AVERAGEIFS(nNOTA,nNIA,S627,nEVAL,CONFIG_METADATA!$B$4,nASIG,"Conjunto"),""))</f>
        <v/>
      </c>
      <c r="W627" t="str" cm="1">
        <f t="array" ref="W627">IF(S627="","",IFERROR(AVERAGE(IF((nNIA=S627)*(nEVAL=CONFIG_METADATA!$B$4)*(nASIG&lt;&gt;"Lenguaje Musical")*(nASIG&lt;&gt;"Coro")*(nASIG&lt;&gt;"Conjunto"),nNOTA)),""))</f>
        <v/>
      </c>
    </row>
    <row r="628" spans="2:23" x14ac:dyDescent="0.2">
      <c r="B628" t="str">
        <f>IF(A628="","",IFERROR(AVERAGEIFS(nNOTA,nNIA,A628,nEVAL,CONFIG_METADATA!$B$4,nASIG,"Lenguaje Musical"),""))</f>
        <v/>
      </c>
      <c r="C628" t="str">
        <f>IF(A628="","",IFERROR(AVERAGEIFS(nNOTA,nNIA,A628,nEVAL,CONFIG_METADATA!$B$4,nASIG,"Coro"),""))</f>
        <v/>
      </c>
      <c r="D628" t="str">
        <f>IF(A628="","",IFERROR(AVERAGEIFS(nNOTA,nNIA,A628,nEVAL,CONFIG_METADATA!$B$4,nASIG,"Conjunto"),""))</f>
        <v/>
      </c>
      <c r="E628" t="str">
        <f>IF(A628="","",IFERROR(AVERAGEIFS(nNOTA,nNIA,A628,nEVAL,CONFIG_METADATA!$B$4,nASIG,"&lt;&gt;Lenguaje Musical",nASIG,"&lt;&gt;Coro",nASIG,"&lt;&gt;Conjunto"),""))</f>
        <v/>
      </c>
      <c r="H628" t="str">
        <f>IF(G628="","",IFERROR(AVERAGEIFS(nNOTA,nNIA,G628,nEVAL,CONFIG_METADATA!$B$4,nASIG,"Lenguaje Musical"),""))</f>
        <v/>
      </c>
      <c r="I628" t="str">
        <f>IF(G628="","",IFERROR(AVERAGEIFS(nNOTA,nNIA,G628,nEVAL,CONFIG_METADATA!$B$4,nASIG,"Coro"),""))</f>
        <v/>
      </c>
      <c r="J628" t="str">
        <f>IF(G628="","",IFERROR(AVERAGEIFS(nNOTA,nNIA,G628,nEVAL,CONFIG_METADATA!$B$4,nASIG,"Conjunto"),""))</f>
        <v/>
      </c>
      <c r="K628" t="str" cm="1">
        <f t="array" ref="K628">IF(G628="","",IFERROR(AVERAGE(IF((nNIA=G628)*(nEVAL=CONFIG_METADATA!$B$4)*(nASIG&lt;&gt;"Lenguaje Musical")*(nASIG&lt;&gt;"Coro")*(nASIG&lt;&gt;"Conjunto"),nNOTA)),""))</f>
        <v/>
      </c>
      <c r="N628" t="str">
        <f>IF(M628="","",IFERROR(AVERAGEIFS(nNOTA,nNIA,M628,nEVAL,CONFIG_METADATA!$B$4,nASIG,"Lenguaje Musical"),""))</f>
        <v/>
      </c>
      <c r="O628" t="str">
        <f>IF(M628="","",IFERROR(AVERAGEIFS(nNOTA,nNIA,M628,nEVAL,CONFIG_METADATA!$B$4,nASIG,"Coro"),""))</f>
        <v/>
      </c>
      <c r="P628" t="str">
        <f>IF(M628="","",IFERROR(AVERAGEIFS(nNOTA,nNIA,M628,nEVAL,CONFIG_METADATA!$B$4,nASIG,"Conjunto"),""))</f>
        <v/>
      </c>
      <c r="Q628" t="str">
        <f>IF(M628="","",IFERROR(AVERAGEIFS(nNOTA,nNIA,M628,nEVAL,CONFIG_METADATA!$B$4,nASIG,"&lt;&gt;Lenguaje Musical",nASIG,"&lt;&gt;Coro",nASIG,"&lt;&gt;Conjunto"),""))</f>
        <v/>
      </c>
      <c r="T628" t="str">
        <f>IF(S628="","",IFERROR(AVERAGEIFS(nNOTA,nNIA,S628,nEVAL,CONFIG_METADATA!$B$4,nASIG,"Lenguaje Musical"),""))</f>
        <v/>
      </c>
      <c r="U628" t="str">
        <f>IF(S628="","",IFERROR(AVERAGEIFS(nNOTA,nNIA,S628,nEVAL,CONFIG_METADATA!$B$4,nASIG,"Coro"),""))</f>
        <v/>
      </c>
      <c r="V628" t="str">
        <f>IF(S628="","",IFERROR(AVERAGEIFS(nNOTA,nNIA,S628,nEVAL,CONFIG_METADATA!$B$4,nASIG,"Conjunto"),""))</f>
        <v/>
      </c>
      <c r="W628" t="str" cm="1">
        <f t="array" ref="W628">IF(S628="","",IFERROR(AVERAGE(IF((nNIA=S628)*(nEVAL=CONFIG_METADATA!$B$4)*(nASIG&lt;&gt;"Lenguaje Musical")*(nASIG&lt;&gt;"Coro")*(nASIG&lt;&gt;"Conjunto"),nNOTA)),""))</f>
        <v/>
      </c>
    </row>
    <row r="629" spans="2:23" x14ac:dyDescent="0.2">
      <c r="B629" t="str">
        <f>IF(A629="","",IFERROR(AVERAGEIFS(nNOTA,nNIA,A629,nEVAL,CONFIG_METADATA!$B$4,nASIG,"Lenguaje Musical"),""))</f>
        <v/>
      </c>
      <c r="C629" t="str">
        <f>IF(A629="","",IFERROR(AVERAGEIFS(nNOTA,nNIA,A629,nEVAL,CONFIG_METADATA!$B$4,nASIG,"Coro"),""))</f>
        <v/>
      </c>
      <c r="D629" t="str">
        <f>IF(A629="","",IFERROR(AVERAGEIFS(nNOTA,nNIA,A629,nEVAL,CONFIG_METADATA!$B$4,nASIG,"Conjunto"),""))</f>
        <v/>
      </c>
      <c r="E629" t="str">
        <f>IF(A629="","",IFERROR(AVERAGEIFS(nNOTA,nNIA,A629,nEVAL,CONFIG_METADATA!$B$4,nASIG,"&lt;&gt;Lenguaje Musical",nASIG,"&lt;&gt;Coro",nASIG,"&lt;&gt;Conjunto"),""))</f>
        <v/>
      </c>
      <c r="H629" t="str">
        <f>IF(G629="","",IFERROR(AVERAGEIFS(nNOTA,nNIA,G629,nEVAL,CONFIG_METADATA!$B$4,nASIG,"Lenguaje Musical"),""))</f>
        <v/>
      </c>
      <c r="I629" t="str">
        <f>IF(G629="","",IFERROR(AVERAGEIFS(nNOTA,nNIA,G629,nEVAL,CONFIG_METADATA!$B$4,nASIG,"Coro"),""))</f>
        <v/>
      </c>
      <c r="J629" t="str">
        <f>IF(G629="","",IFERROR(AVERAGEIFS(nNOTA,nNIA,G629,nEVAL,CONFIG_METADATA!$B$4,nASIG,"Conjunto"),""))</f>
        <v/>
      </c>
      <c r="K629" t="str" cm="1">
        <f t="array" ref="K629">IF(G629="","",IFERROR(AVERAGE(IF((nNIA=G629)*(nEVAL=CONFIG_METADATA!$B$4)*(nASIG&lt;&gt;"Lenguaje Musical")*(nASIG&lt;&gt;"Coro")*(nASIG&lt;&gt;"Conjunto"),nNOTA)),""))</f>
        <v/>
      </c>
      <c r="N629" t="str">
        <f>IF(M629="","",IFERROR(AVERAGEIFS(nNOTA,nNIA,M629,nEVAL,CONFIG_METADATA!$B$4,nASIG,"Lenguaje Musical"),""))</f>
        <v/>
      </c>
      <c r="O629" t="str">
        <f>IF(M629="","",IFERROR(AVERAGEIFS(nNOTA,nNIA,M629,nEVAL,CONFIG_METADATA!$B$4,nASIG,"Coro"),""))</f>
        <v/>
      </c>
      <c r="P629" t="str">
        <f>IF(M629="","",IFERROR(AVERAGEIFS(nNOTA,nNIA,M629,nEVAL,CONFIG_METADATA!$B$4,nASIG,"Conjunto"),""))</f>
        <v/>
      </c>
      <c r="Q629" t="str">
        <f>IF(M629="","",IFERROR(AVERAGEIFS(nNOTA,nNIA,M629,nEVAL,CONFIG_METADATA!$B$4,nASIG,"&lt;&gt;Lenguaje Musical",nASIG,"&lt;&gt;Coro",nASIG,"&lt;&gt;Conjunto"),""))</f>
        <v/>
      </c>
      <c r="T629" t="str">
        <f>IF(S629="","",IFERROR(AVERAGEIFS(nNOTA,nNIA,S629,nEVAL,CONFIG_METADATA!$B$4,nASIG,"Lenguaje Musical"),""))</f>
        <v/>
      </c>
      <c r="U629" t="str">
        <f>IF(S629="","",IFERROR(AVERAGEIFS(nNOTA,nNIA,S629,nEVAL,CONFIG_METADATA!$B$4,nASIG,"Coro"),""))</f>
        <v/>
      </c>
      <c r="V629" t="str">
        <f>IF(S629="","",IFERROR(AVERAGEIFS(nNOTA,nNIA,S629,nEVAL,CONFIG_METADATA!$B$4,nASIG,"Conjunto"),""))</f>
        <v/>
      </c>
      <c r="W629" t="str" cm="1">
        <f t="array" ref="W629">IF(S629="","",IFERROR(AVERAGE(IF((nNIA=S629)*(nEVAL=CONFIG_METADATA!$B$4)*(nASIG&lt;&gt;"Lenguaje Musical")*(nASIG&lt;&gt;"Coro")*(nASIG&lt;&gt;"Conjunto"),nNOTA)),""))</f>
        <v/>
      </c>
    </row>
    <row r="630" spans="2:23" x14ac:dyDescent="0.2">
      <c r="B630" t="str">
        <f>IF(A630="","",IFERROR(AVERAGEIFS(nNOTA,nNIA,A630,nEVAL,CONFIG_METADATA!$B$4,nASIG,"Lenguaje Musical"),""))</f>
        <v/>
      </c>
      <c r="C630" t="str">
        <f>IF(A630="","",IFERROR(AVERAGEIFS(nNOTA,nNIA,A630,nEVAL,CONFIG_METADATA!$B$4,nASIG,"Coro"),""))</f>
        <v/>
      </c>
      <c r="D630" t="str">
        <f>IF(A630="","",IFERROR(AVERAGEIFS(nNOTA,nNIA,A630,nEVAL,CONFIG_METADATA!$B$4,nASIG,"Conjunto"),""))</f>
        <v/>
      </c>
      <c r="E630" t="str">
        <f>IF(A630="","",IFERROR(AVERAGEIFS(nNOTA,nNIA,A630,nEVAL,CONFIG_METADATA!$B$4,nASIG,"&lt;&gt;Lenguaje Musical",nASIG,"&lt;&gt;Coro",nASIG,"&lt;&gt;Conjunto"),""))</f>
        <v/>
      </c>
      <c r="H630" t="str">
        <f>IF(G630="","",IFERROR(AVERAGEIFS(nNOTA,nNIA,G630,nEVAL,CONFIG_METADATA!$B$4,nASIG,"Lenguaje Musical"),""))</f>
        <v/>
      </c>
      <c r="I630" t="str">
        <f>IF(G630="","",IFERROR(AVERAGEIFS(nNOTA,nNIA,G630,nEVAL,CONFIG_METADATA!$B$4,nASIG,"Coro"),""))</f>
        <v/>
      </c>
      <c r="J630" t="str">
        <f>IF(G630="","",IFERROR(AVERAGEIFS(nNOTA,nNIA,G630,nEVAL,CONFIG_METADATA!$B$4,nASIG,"Conjunto"),""))</f>
        <v/>
      </c>
      <c r="K630" t="str" cm="1">
        <f t="array" ref="K630">IF(G630="","",IFERROR(AVERAGE(IF((nNIA=G630)*(nEVAL=CONFIG_METADATA!$B$4)*(nASIG&lt;&gt;"Lenguaje Musical")*(nASIG&lt;&gt;"Coro")*(nASIG&lt;&gt;"Conjunto"),nNOTA)),""))</f>
        <v/>
      </c>
      <c r="N630" t="str">
        <f>IF(M630="","",IFERROR(AVERAGEIFS(nNOTA,nNIA,M630,nEVAL,CONFIG_METADATA!$B$4,nASIG,"Lenguaje Musical"),""))</f>
        <v/>
      </c>
      <c r="O630" t="str">
        <f>IF(M630="","",IFERROR(AVERAGEIFS(nNOTA,nNIA,M630,nEVAL,CONFIG_METADATA!$B$4,nASIG,"Coro"),""))</f>
        <v/>
      </c>
      <c r="P630" t="str">
        <f>IF(M630="","",IFERROR(AVERAGEIFS(nNOTA,nNIA,M630,nEVAL,CONFIG_METADATA!$B$4,nASIG,"Conjunto"),""))</f>
        <v/>
      </c>
      <c r="Q630" t="str">
        <f>IF(M630="","",IFERROR(AVERAGEIFS(nNOTA,nNIA,M630,nEVAL,CONFIG_METADATA!$B$4,nASIG,"&lt;&gt;Lenguaje Musical",nASIG,"&lt;&gt;Coro",nASIG,"&lt;&gt;Conjunto"),""))</f>
        <v/>
      </c>
      <c r="T630" t="str">
        <f>IF(S630="","",IFERROR(AVERAGEIFS(nNOTA,nNIA,S630,nEVAL,CONFIG_METADATA!$B$4,nASIG,"Lenguaje Musical"),""))</f>
        <v/>
      </c>
      <c r="U630" t="str">
        <f>IF(S630="","",IFERROR(AVERAGEIFS(nNOTA,nNIA,S630,nEVAL,CONFIG_METADATA!$B$4,nASIG,"Coro"),""))</f>
        <v/>
      </c>
      <c r="V630" t="str">
        <f>IF(S630="","",IFERROR(AVERAGEIFS(nNOTA,nNIA,S630,nEVAL,CONFIG_METADATA!$B$4,nASIG,"Conjunto"),""))</f>
        <v/>
      </c>
      <c r="W630" t="str" cm="1">
        <f t="array" ref="W630">IF(S630="","",IFERROR(AVERAGE(IF((nNIA=S630)*(nEVAL=CONFIG_METADATA!$B$4)*(nASIG&lt;&gt;"Lenguaje Musical")*(nASIG&lt;&gt;"Coro")*(nASIG&lt;&gt;"Conjunto"),nNOTA)),""))</f>
        <v/>
      </c>
    </row>
    <row r="631" spans="2:23" x14ac:dyDescent="0.2">
      <c r="B631" t="str">
        <f>IF(A631="","",IFERROR(AVERAGEIFS(nNOTA,nNIA,A631,nEVAL,CONFIG_METADATA!$B$4,nASIG,"Lenguaje Musical"),""))</f>
        <v/>
      </c>
      <c r="C631" t="str">
        <f>IF(A631="","",IFERROR(AVERAGEIFS(nNOTA,nNIA,A631,nEVAL,CONFIG_METADATA!$B$4,nASIG,"Coro"),""))</f>
        <v/>
      </c>
      <c r="D631" t="str">
        <f>IF(A631="","",IFERROR(AVERAGEIFS(nNOTA,nNIA,A631,nEVAL,CONFIG_METADATA!$B$4,nASIG,"Conjunto"),""))</f>
        <v/>
      </c>
      <c r="E631" t="str">
        <f>IF(A631="","",IFERROR(AVERAGEIFS(nNOTA,nNIA,A631,nEVAL,CONFIG_METADATA!$B$4,nASIG,"&lt;&gt;Lenguaje Musical",nASIG,"&lt;&gt;Coro",nASIG,"&lt;&gt;Conjunto"),""))</f>
        <v/>
      </c>
      <c r="H631" t="str">
        <f>IF(G631="","",IFERROR(AVERAGEIFS(nNOTA,nNIA,G631,nEVAL,CONFIG_METADATA!$B$4,nASIG,"Lenguaje Musical"),""))</f>
        <v/>
      </c>
      <c r="I631" t="str">
        <f>IF(G631="","",IFERROR(AVERAGEIFS(nNOTA,nNIA,G631,nEVAL,CONFIG_METADATA!$B$4,nASIG,"Coro"),""))</f>
        <v/>
      </c>
      <c r="J631" t="str">
        <f>IF(G631="","",IFERROR(AVERAGEIFS(nNOTA,nNIA,G631,nEVAL,CONFIG_METADATA!$B$4,nASIG,"Conjunto"),""))</f>
        <v/>
      </c>
      <c r="K631" t="str" cm="1">
        <f t="array" ref="K631">IF(G631="","",IFERROR(AVERAGE(IF((nNIA=G631)*(nEVAL=CONFIG_METADATA!$B$4)*(nASIG&lt;&gt;"Lenguaje Musical")*(nASIG&lt;&gt;"Coro")*(nASIG&lt;&gt;"Conjunto"),nNOTA)),""))</f>
        <v/>
      </c>
      <c r="N631" t="str">
        <f>IF(M631="","",IFERROR(AVERAGEIFS(nNOTA,nNIA,M631,nEVAL,CONFIG_METADATA!$B$4,nASIG,"Lenguaje Musical"),""))</f>
        <v/>
      </c>
      <c r="O631" t="str">
        <f>IF(M631="","",IFERROR(AVERAGEIFS(nNOTA,nNIA,M631,nEVAL,CONFIG_METADATA!$B$4,nASIG,"Coro"),""))</f>
        <v/>
      </c>
      <c r="P631" t="str">
        <f>IF(M631="","",IFERROR(AVERAGEIFS(nNOTA,nNIA,M631,nEVAL,CONFIG_METADATA!$B$4,nASIG,"Conjunto"),""))</f>
        <v/>
      </c>
      <c r="Q631" t="str">
        <f>IF(M631="","",IFERROR(AVERAGEIFS(nNOTA,nNIA,M631,nEVAL,CONFIG_METADATA!$B$4,nASIG,"&lt;&gt;Lenguaje Musical",nASIG,"&lt;&gt;Coro",nASIG,"&lt;&gt;Conjunto"),""))</f>
        <v/>
      </c>
      <c r="T631" t="str">
        <f>IF(S631="","",IFERROR(AVERAGEIFS(nNOTA,nNIA,S631,nEVAL,CONFIG_METADATA!$B$4,nASIG,"Lenguaje Musical"),""))</f>
        <v/>
      </c>
      <c r="U631" t="str">
        <f>IF(S631="","",IFERROR(AVERAGEIFS(nNOTA,nNIA,S631,nEVAL,CONFIG_METADATA!$B$4,nASIG,"Coro"),""))</f>
        <v/>
      </c>
      <c r="V631" t="str">
        <f>IF(S631="","",IFERROR(AVERAGEIFS(nNOTA,nNIA,S631,nEVAL,CONFIG_METADATA!$B$4,nASIG,"Conjunto"),""))</f>
        <v/>
      </c>
      <c r="W631" t="str" cm="1">
        <f t="array" ref="W631">IF(S631="","",IFERROR(AVERAGE(IF((nNIA=S631)*(nEVAL=CONFIG_METADATA!$B$4)*(nASIG&lt;&gt;"Lenguaje Musical")*(nASIG&lt;&gt;"Coro")*(nASIG&lt;&gt;"Conjunto"),nNOTA)),""))</f>
        <v/>
      </c>
    </row>
    <row r="632" spans="2:23" x14ac:dyDescent="0.2">
      <c r="B632" t="str">
        <f>IF(A632="","",IFERROR(AVERAGEIFS(nNOTA,nNIA,A632,nEVAL,CONFIG_METADATA!$B$4,nASIG,"Lenguaje Musical"),""))</f>
        <v/>
      </c>
      <c r="C632" t="str">
        <f>IF(A632="","",IFERROR(AVERAGEIFS(nNOTA,nNIA,A632,nEVAL,CONFIG_METADATA!$B$4,nASIG,"Coro"),""))</f>
        <v/>
      </c>
      <c r="D632" t="str">
        <f>IF(A632="","",IFERROR(AVERAGEIFS(nNOTA,nNIA,A632,nEVAL,CONFIG_METADATA!$B$4,nASIG,"Conjunto"),""))</f>
        <v/>
      </c>
      <c r="E632" t="str">
        <f>IF(A632="","",IFERROR(AVERAGEIFS(nNOTA,nNIA,A632,nEVAL,CONFIG_METADATA!$B$4,nASIG,"&lt;&gt;Lenguaje Musical",nASIG,"&lt;&gt;Coro",nASIG,"&lt;&gt;Conjunto"),""))</f>
        <v/>
      </c>
      <c r="H632" t="str">
        <f>IF(G632="","",IFERROR(AVERAGEIFS(nNOTA,nNIA,G632,nEVAL,CONFIG_METADATA!$B$4,nASIG,"Lenguaje Musical"),""))</f>
        <v/>
      </c>
      <c r="I632" t="str">
        <f>IF(G632="","",IFERROR(AVERAGEIFS(nNOTA,nNIA,G632,nEVAL,CONFIG_METADATA!$B$4,nASIG,"Coro"),""))</f>
        <v/>
      </c>
      <c r="J632" t="str">
        <f>IF(G632="","",IFERROR(AVERAGEIFS(nNOTA,nNIA,G632,nEVAL,CONFIG_METADATA!$B$4,nASIG,"Conjunto"),""))</f>
        <v/>
      </c>
      <c r="K632" t="str" cm="1">
        <f t="array" ref="K632">IF(G632="","",IFERROR(AVERAGE(IF((nNIA=G632)*(nEVAL=CONFIG_METADATA!$B$4)*(nASIG&lt;&gt;"Lenguaje Musical")*(nASIG&lt;&gt;"Coro")*(nASIG&lt;&gt;"Conjunto"),nNOTA)),""))</f>
        <v/>
      </c>
      <c r="N632" t="str">
        <f>IF(M632="","",IFERROR(AVERAGEIFS(nNOTA,nNIA,M632,nEVAL,CONFIG_METADATA!$B$4,nASIG,"Lenguaje Musical"),""))</f>
        <v/>
      </c>
      <c r="O632" t="str">
        <f>IF(M632="","",IFERROR(AVERAGEIFS(nNOTA,nNIA,M632,nEVAL,CONFIG_METADATA!$B$4,nASIG,"Coro"),""))</f>
        <v/>
      </c>
      <c r="P632" t="str">
        <f>IF(M632="","",IFERROR(AVERAGEIFS(nNOTA,nNIA,M632,nEVAL,CONFIG_METADATA!$B$4,nASIG,"Conjunto"),""))</f>
        <v/>
      </c>
      <c r="Q632" t="str">
        <f>IF(M632="","",IFERROR(AVERAGEIFS(nNOTA,nNIA,M632,nEVAL,CONFIG_METADATA!$B$4,nASIG,"&lt;&gt;Lenguaje Musical",nASIG,"&lt;&gt;Coro",nASIG,"&lt;&gt;Conjunto"),""))</f>
        <v/>
      </c>
      <c r="T632" t="str">
        <f>IF(S632="","",IFERROR(AVERAGEIFS(nNOTA,nNIA,S632,nEVAL,CONFIG_METADATA!$B$4,nASIG,"Lenguaje Musical"),""))</f>
        <v/>
      </c>
      <c r="U632" t="str">
        <f>IF(S632="","",IFERROR(AVERAGEIFS(nNOTA,nNIA,S632,nEVAL,CONFIG_METADATA!$B$4,nASIG,"Coro"),""))</f>
        <v/>
      </c>
      <c r="V632" t="str">
        <f>IF(S632="","",IFERROR(AVERAGEIFS(nNOTA,nNIA,S632,nEVAL,CONFIG_METADATA!$B$4,nASIG,"Conjunto"),""))</f>
        <v/>
      </c>
      <c r="W632" t="str" cm="1">
        <f t="array" ref="W632">IF(S632="","",IFERROR(AVERAGE(IF((nNIA=S632)*(nEVAL=CONFIG_METADATA!$B$4)*(nASIG&lt;&gt;"Lenguaje Musical")*(nASIG&lt;&gt;"Coro")*(nASIG&lt;&gt;"Conjunto"),nNOTA)),""))</f>
        <v/>
      </c>
    </row>
    <row r="633" spans="2:23" x14ac:dyDescent="0.2">
      <c r="B633" t="str">
        <f>IF(A633="","",IFERROR(AVERAGEIFS(nNOTA,nNIA,A633,nEVAL,CONFIG_METADATA!$B$4,nASIG,"Lenguaje Musical"),""))</f>
        <v/>
      </c>
      <c r="C633" t="str">
        <f>IF(A633="","",IFERROR(AVERAGEIFS(nNOTA,nNIA,A633,nEVAL,CONFIG_METADATA!$B$4,nASIG,"Coro"),""))</f>
        <v/>
      </c>
      <c r="D633" t="str">
        <f>IF(A633="","",IFERROR(AVERAGEIFS(nNOTA,nNIA,A633,nEVAL,CONFIG_METADATA!$B$4,nASIG,"Conjunto"),""))</f>
        <v/>
      </c>
      <c r="E633" t="str">
        <f>IF(A633="","",IFERROR(AVERAGEIFS(nNOTA,nNIA,A633,nEVAL,CONFIG_METADATA!$B$4,nASIG,"&lt;&gt;Lenguaje Musical",nASIG,"&lt;&gt;Coro",nASIG,"&lt;&gt;Conjunto"),""))</f>
        <v/>
      </c>
      <c r="H633" t="str">
        <f>IF(G633="","",IFERROR(AVERAGEIFS(nNOTA,nNIA,G633,nEVAL,CONFIG_METADATA!$B$4,nASIG,"Lenguaje Musical"),""))</f>
        <v/>
      </c>
      <c r="I633" t="str">
        <f>IF(G633="","",IFERROR(AVERAGEIFS(nNOTA,nNIA,G633,nEVAL,CONFIG_METADATA!$B$4,nASIG,"Coro"),""))</f>
        <v/>
      </c>
      <c r="J633" t="str">
        <f>IF(G633="","",IFERROR(AVERAGEIFS(nNOTA,nNIA,G633,nEVAL,CONFIG_METADATA!$B$4,nASIG,"Conjunto"),""))</f>
        <v/>
      </c>
      <c r="K633" t="str" cm="1">
        <f t="array" ref="K633">IF(G633="","",IFERROR(AVERAGE(IF((nNIA=G633)*(nEVAL=CONFIG_METADATA!$B$4)*(nASIG&lt;&gt;"Lenguaje Musical")*(nASIG&lt;&gt;"Coro")*(nASIG&lt;&gt;"Conjunto"),nNOTA)),""))</f>
        <v/>
      </c>
      <c r="N633" t="str">
        <f>IF(M633="","",IFERROR(AVERAGEIFS(nNOTA,nNIA,M633,nEVAL,CONFIG_METADATA!$B$4,nASIG,"Lenguaje Musical"),""))</f>
        <v/>
      </c>
      <c r="O633" t="str">
        <f>IF(M633="","",IFERROR(AVERAGEIFS(nNOTA,nNIA,M633,nEVAL,CONFIG_METADATA!$B$4,nASIG,"Coro"),""))</f>
        <v/>
      </c>
      <c r="P633" t="str">
        <f>IF(M633="","",IFERROR(AVERAGEIFS(nNOTA,nNIA,M633,nEVAL,CONFIG_METADATA!$B$4,nASIG,"Conjunto"),""))</f>
        <v/>
      </c>
      <c r="Q633" t="str">
        <f>IF(M633="","",IFERROR(AVERAGEIFS(nNOTA,nNIA,M633,nEVAL,CONFIG_METADATA!$B$4,nASIG,"&lt;&gt;Lenguaje Musical",nASIG,"&lt;&gt;Coro",nASIG,"&lt;&gt;Conjunto"),""))</f>
        <v/>
      </c>
      <c r="T633" t="str">
        <f>IF(S633="","",IFERROR(AVERAGEIFS(nNOTA,nNIA,S633,nEVAL,CONFIG_METADATA!$B$4,nASIG,"Lenguaje Musical"),""))</f>
        <v/>
      </c>
      <c r="U633" t="str">
        <f>IF(S633="","",IFERROR(AVERAGEIFS(nNOTA,nNIA,S633,nEVAL,CONFIG_METADATA!$B$4,nASIG,"Coro"),""))</f>
        <v/>
      </c>
      <c r="V633" t="str">
        <f>IF(S633="","",IFERROR(AVERAGEIFS(nNOTA,nNIA,S633,nEVAL,CONFIG_METADATA!$B$4,nASIG,"Conjunto"),""))</f>
        <v/>
      </c>
      <c r="W633" t="str" cm="1">
        <f t="array" ref="W633">IF(S633="","",IFERROR(AVERAGE(IF((nNIA=S633)*(nEVAL=CONFIG_METADATA!$B$4)*(nASIG&lt;&gt;"Lenguaje Musical")*(nASIG&lt;&gt;"Coro")*(nASIG&lt;&gt;"Conjunto"),nNOTA)),""))</f>
        <v/>
      </c>
    </row>
    <row r="634" spans="2:23" x14ac:dyDescent="0.2">
      <c r="B634" t="str">
        <f>IF(A634="","",IFERROR(AVERAGEIFS(nNOTA,nNIA,A634,nEVAL,CONFIG_METADATA!$B$4,nASIG,"Lenguaje Musical"),""))</f>
        <v/>
      </c>
      <c r="C634" t="str">
        <f>IF(A634="","",IFERROR(AVERAGEIFS(nNOTA,nNIA,A634,nEVAL,CONFIG_METADATA!$B$4,nASIG,"Coro"),""))</f>
        <v/>
      </c>
      <c r="D634" t="str">
        <f>IF(A634="","",IFERROR(AVERAGEIFS(nNOTA,nNIA,A634,nEVAL,CONFIG_METADATA!$B$4,nASIG,"Conjunto"),""))</f>
        <v/>
      </c>
      <c r="E634" t="str">
        <f>IF(A634="","",IFERROR(AVERAGEIFS(nNOTA,nNIA,A634,nEVAL,CONFIG_METADATA!$B$4,nASIG,"&lt;&gt;Lenguaje Musical",nASIG,"&lt;&gt;Coro",nASIG,"&lt;&gt;Conjunto"),""))</f>
        <v/>
      </c>
      <c r="H634" t="str">
        <f>IF(G634="","",IFERROR(AVERAGEIFS(nNOTA,nNIA,G634,nEVAL,CONFIG_METADATA!$B$4,nASIG,"Lenguaje Musical"),""))</f>
        <v/>
      </c>
      <c r="I634" t="str">
        <f>IF(G634="","",IFERROR(AVERAGEIFS(nNOTA,nNIA,G634,nEVAL,CONFIG_METADATA!$B$4,nASIG,"Coro"),""))</f>
        <v/>
      </c>
      <c r="J634" t="str">
        <f>IF(G634="","",IFERROR(AVERAGEIFS(nNOTA,nNIA,G634,nEVAL,CONFIG_METADATA!$B$4,nASIG,"Conjunto"),""))</f>
        <v/>
      </c>
      <c r="K634" t="str" cm="1">
        <f t="array" ref="K634">IF(G634="","",IFERROR(AVERAGE(IF((nNIA=G634)*(nEVAL=CONFIG_METADATA!$B$4)*(nASIG&lt;&gt;"Lenguaje Musical")*(nASIG&lt;&gt;"Coro")*(nASIG&lt;&gt;"Conjunto"),nNOTA)),""))</f>
        <v/>
      </c>
      <c r="N634" t="str">
        <f>IF(M634="","",IFERROR(AVERAGEIFS(nNOTA,nNIA,M634,nEVAL,CONFIG_METADATA!$B$4,nASIG,"Lenguaje Musical"),""))</f>
        <v/>
      </c>
      <c r="O634" t="str">
        <f>IF(M634="","",IFERROR(AVERAGEIFS(nNOTA,nNIA,M634,nEVAL,CONFIG_METADATA!$B$4,nASIG,"Coro"),""))</f>
        <v/>
      </c>
      <c r="P634" t="str">
        <f>IF(M634="","",IFERROR(AVERAGEIFS(nNOTA,nNIA,M634,nEVAL,CONFIG_METADATA!$B$4,nASIG,"Conjunto"),""))</f>
        <v/>
      </c>
      <c r="Q634" t="str">
        <f>IF(M634="","",IFERROR(AVERAGEIFS(nNOTA,nNIA,M634,nEVAL,CONFIG_METADATA!$B$4,nASIG,"&lt;&gt;Lenguaje Musical",nASIG,"&lt;&gt;Coro",nASIG,"&lt;&gt;Conjunto"),""))</f>
        <v/>
      </c>
      <c r="T634" t="str">
        <f>IF(S634="","",IFERROR(AVERAGEIFS(nNOTA,nNIA,S634,nEVAL,CONFIG_METADATA!$B$4,nASIG,"Lenguaje Musical"),""))</f>
        <v/>
      </c>
      <c r="U634" t="str">
        <f>IF(S634="","",IFERROR(AVERAGEIFS(nNOTA,nNIA,S634,nEVAL,CONFIG_METADATA!$B$4,nASIG,"Coro"),""))</f>
        <v/>
      </c>
      <c r="V634" t="str">
        <f>IF(S634="","",IFERROR(AVERAGEIFS(nNOTA,nNIA,S634,nEVAL,CONFIG_METADATA!$B$4,nASIG,"Conjunto"),""))</f>
        <v/>
      </c>
      <c r="W634" t="str" cm="1">
        <f t="array" ref="W634">IF(S634="","",IFERROR(AVERAGE(IF((nNIA=S634)*(nEVAL=CONFIG_METADATA!$B$4)*(nASIG&lt;&gt;"Lenguaje Musical")*(nASIG&lt;&gt;"Coro")*(nASIG&lt;&gt;"Conjunto"),nNOTA)),""))</f>
        <v/>
      </c>
    </row>
    <row r="635" spans="2:23" x14ac:dyDescent="0.2">
      <c r="B635" t="str">
        <f>IF(A635="","",IFERROR(AVERAGEIFS(nNOTA,nNIA,A635,nEVAL,CONFIG_METADATA!$B$4,nASIG,"Lenguaje Musical"),""))</f>
        <v/>
      </c>
      <c r="C635" t="str">
        <f>IF(A635="","",IFERROR(AVERAGEIFS(nNOTA,nNIA,A635,nEVAL,CONFIG_METADATA!$B$4,nASIG,"Coro"),""))</f>
        <v/>
      </c>
      <c r="D635" t="str">
        <f>IF(A635="","",IFERROR(AVERAGEIFS(nNOTA,nNIA,A635,nEVAL,CONFIG_METADATA!$B$4,nASIG,"Conjunto"),""))</f>
        <v/>
      </c>
      <c r="E635" t="str">
        <f>IF(A635="","",IFERROR(AVERAGEIFS(nNOTA,nNIA,A635,nEVAL,CONFIG_METADATA!$B$4,nASIG,"&lt;&gt;Lenguaje Musical",nASIG,"&lt;&gt;Coro",nASIG,"&lt;&gt;Conjunto"),""))</f>
        <v/>
      </c>
      <c r="H635" t="str">
        <f>IF(G635="","",IFERROR(AVERAGEIFS(nNOTA,nNIA,G635,nEVAL,CONFIG_METADATA!$B$4,nASIG,"Lenguaje Musical"),""))</f>
        <v/>
      </c>
      <c r="I635" t="str">
        <f>IF(G635="","",IFERROR(AVERAGEIFS(nNOTA,nNIA,G635,nEVAL,CONFIG_METADATA!$B$4,nASIG,"Coro"),""))</f>
        <v/>
      </c>
      <c r="J635" t="str">
        <f>IF(G635="","",IFERROR(AVERAGEIFS(nNOTA,nNIA,G635,nEVAL,CONFIG_METADATA!$B$4,nASIG,"Conjunto"),""))</f>
        <v/>
      </c>
      <c r="K635" t="str" cm="1">
        <f t="array" ref="K635">IF(G635="","",IFERROR(AVERAGE(IF((nNIA=G635)*(nEVAL=CONFIG_METADATA!$B$4)*(nASIG&lt;&gt;"Lenguaje Musical")*(nASIG&lt;&gt;"Coro")*(nASIG&lt;&gt;"Conjunto"),nNOTA)),""))</f>
        <v/>
      </c>
      <c r="N635" t="str">
        <f>IF(M635="","",IFERROR(AVERAGEIFS(nNOTA,nNIA,M635,nEVAL,CONFIG_METADATA!$B$4,nASIG,"Lenguaje Musical"),""))</f>
        <v/>
      </c>
      <c r="O635" t="str">
        <f>IF(M635="","",IFERROR(AVERAGEIFS(nNOTA,nNIA,M635,nEVAL,CONFIG_METADATA!$B$4,nASIG,"Coro"),""))</f>
        <v/>
      </c>
      <c r="P635" t="str">
        <f>IF(M635="","",IFERROR(AVERAGEIFS(nNOTA,nNIA,M635,nEVAL,CONFIG_METADATA!$B$4,nASIG,"Conjunto"),""))</f>
        <v/>
      </c>
      <c r="Q635" t="str">
        <f>IF(M635="","",IFERROR(AVERAGEIFS(nNOTA,nNIA,M635,nEVAL,CONFIG_METADATA!$B$4,nASIG,"&lt;&gt;Lenguaje Musical",nASIG,"&lt;&gt;Coro",nASIG,"&lt;&gt;Conjunto"),""))</f>
        <v/>
      </c>
      <c r="T635" t="str">
        <f>IF(S635="","",IFERROR(AVERAGEIFS(nNOTA,nNIA,S635,nEVAL,CONFIG_METADATA!$B$4,nASIG,"Lenguaje Musical"),""))</f>
        <v/>
      </c>
      <c r="U635" t="str">
        <f>IF(S635="","",IFERROR(AVERAGEIFS(nNOTA,nNIA,S635,nEVAL,CONFIG_METADATA!$B$4,nASIG,"Coro"),""))</f>
        <v/>
      </c>
      <c r="V635" t="str">
        <f>IF(S635="","",IFERROR(AVERAGEIFS(nNOTA,nNIA,S635,nEVAL,CONFIG_METADATA!$B$4,nASIG,"Conjunto"),""))</f>
        <v/>
      </c>
      <c r="W635" t="str" cm="1">
        <f t="array" ref="W635">IF(S635="","",IFERROR(AVERAGE(IF((nNIA=S635)*(nEVAL=CONFIG_METADATA!$B$4)*(nASIG&lt;&gt;"Lenguaje Musical")*(nASIG&lt;&gt;"Coro")*(nASIG&lt;&gt;"Conjunto"),nNOTA)),""))</f>
        <v/>
      </c>
    </row>
    <row r="636" spans="2:23" x14ac:dyDescent="0.2">
      <c r="B636" t="str">
        <f>IF(A636="","",IFERROR(AVERAGEIFS(nNOTA,nNIA,A636,nEVAL,CONFIG_METADATA!$B$4,nASIG,"Lenguaje Musical"),""))</f>
        <v/>
      </c>
      <c r="C636" t="str">
        <f>IF(A636="","",IFERROR(AVERAGEIFS(nNOTA,nNIA,A636,nEVAL,CONFIG_METADATA!$B$4,nASIG,"Coro"),""))</f>
        <v/>
      </c>
      <c r="D636" t="str">
        <f>IF(A636="","",IFERROR(AVERAGEIFS(nNOTA,nNIA,A636,nEVAL,CONFIG_METADATA!$B$4,nASIG,"Conjunto"),""))</f>
        <v/>
      </c>
      <c r="E636" t="str">
        <f>IF(A636="","",IFERROR(AVERAGEIFS(nNOTA,nNIA,A636,nEVAL,CONFIG_METADATA!$B$4,nASIG,"&lt;&gt;Lenguaje Musical",nASIG,"&lt;&gt;Coro",nASIG,"&lt;&gt;Conjunto"),""))</f>
        <v/>
      </c>
      <c r="H636" t="str">
        <f>IF(G636="","",IFERROR(AVERAGEIFS(nNOTA,nNIA,G636,nEVAL,CONFIG_METADATA!$B$4,nASIG,"Lenguaje Musical"),""))</f>
        <v/>
      </c>
      <c r="I636" t="str">
        <f>IF(G636="","",IFERROR(AVERAGEIFS(nNOTA,nNIA,G636,nEVAL,CONFIG_METADATA!$B$4,nASIG,"Coro"),""))</f>
        <v/>
      </c>
      <c r="J636" t="str">
        <f>IF(G636="","",IFERROR(AVERAGEIFS(nNOTA,nNIA,G636,nEVAL,CONFIG_METADATA!$B$4,nASIG,"Conjunto"),""))</f>
        <v/>
      </c>
      <c r="K636" t="str" cm="1">
        <f t="array" ref="K636">IF(G636="","",IFERROR(AVERAGE(IF((nNIA=G636)*(nEVAL=CONFIG_METADATA!$B$4)*(nASIG&lt;&gt;"Lenguaje Musical")*(nASIG&lt;&gt;"Coro")*(nASIG&lt;&gt;"Conjunto"),nNOTA)),""))</f>
        <v/>
      </c>
      <c r="N636" t="str">
        <f>IF(M636="","",IFERROR(AVERAGEIFS(nNOTA,nNIA,M636,nEVAL,CONFIG_METADATA!$B$4,nASIG,"Lenguaje Musical"),""))</f>
        <v/>
      </c>
      <c r="O636" t="str">
        <f>IF(M636="","",IFERROR(AVERAGEIFS(nNOTA,nNIA,M636,nEVAL,CONFIG_METADATA!$B$4,nASIG,"Coro"),""))</f>
        <v/>
      </c>
      <c r="P636" t="str">
        <f>IF(M636="","",IFERROR(AVERAGEIFS(nNOTA,nNIA,M636,nEVAL,CONFIG_METADATA!$B$4,nASIG,"Conjunto"),""))</f>
        <v/>
      </c>
      <c r="Q636" t="str">
        <f>IF(M636="","",IFERROR(AVERAGEIFS(nNOTA,nNIA,M636,nEVAL,CONFIG_METADATA!$B$4,nASIG,"&lt;&gt;Lenguaje Musical",nASIG,"&lt;&gt;Coro",nASIG,"&lt;&gt;Conjunto"),""))</f>
        <v/>
      </c>
      <c r="T636" t="str">
        <f>IF(S636="","",IFERROR(AVERAGEIFS(nNOTA,nNIA,S636,nEVAL,CONFIG_METADATA!$B$4,nASIG,"Lenguaje Musical"),""))</f>
        <v/>
      </c>
      <c r="U636" t="str">
        <f>IF(S636="","",IFERROR(AVERAGEIFS(nNOTA,nNIA,S636,nEVAL,CONFIG_METADATA!$B$4,nASIG,"Coro"),""))</f>
        <v/>
      </c>
      <c r="V636" t="str">
        <f>IF(S636="","",IFERROR(AVERAGEIFS(nNOTA,nNIA,S636,nEVAL,CONFIG_METADATA!$B$4,nASIG,"Conjunto"),""))</f>
        <v/>
      </c>
      <c r="W636" t="str" cm="1">
        <f t="array" ref="W636">IF(S636="","",IFERROR(AVERAGE(IF((nNIA=S636)*(nEVAL=CONFIG_METADATA!$B$4)*(nASIG&lt;&gt;"Lenguaje Musical")*(nASIG&lt;&gt;"Coro")*(nASIG&lt;&gt;"Conjunto"),nNOTA)),""))</f>
        <v/>
      </c>
    </row>
    <row r="637" spans="2:23" x14ac:dyDescent="0.2">
      <c r="B637" t="str">
        <f>IF(A637="","",IFERROR(AVERAGEIFS(nNOTA,nNIA,A637,nEVAL,CONFIG_METADATA!$B$4,nASIG,"Lenguaje Musical"),""))</f>
        <v/>
      </c>
      <c r="C637" t="str">
        <f>IF(A637="","",IFERROR(AVERAGEIFS(nNOTA,nNIA,A637,nEVAL,CONFIG_METADATA!$B$4,nASIG,"Coro"),""))</f>
        <v/>
      </c>
      <c r="D637" t="str">
        <f>IF(A637="","",IFERROR(AVERAGEIFS(nNOTA,nNIA,A637,nEVAL,CONFIG_METADATA!$B$4,nASIG,"Conjunto"),""))</f>
        <v/>
      </c>
      <c r="E637" t="str">
        <f>IF(A637="","",IFERROR(AVERAGEIFS(nNOTA,nNIA,A637,nEVAL,CONFIG_METADATA!$B$4,nASIG,"&lt;&gt;Lenguaje Musical",nASIG,"&lt;&gt;Coro",nASIG,"&lt;&gt;Conjunto"),""))</f>
        <v/>
      </c>
      <c r="H637" t="str">
        <f>IF(G637="","",IFERROR(AVERAGEIFS(nNOTA,nNIA,G637,nEVAL,CONFIG_METADATA!$B$4,nASIG,"Lenguaje Musical"),""))</f>
        <v/>
      </c>
      <c r="I637" t="str">
        <f>IF(G637="","",IFERROR(AVERAGEIFS(nNOTA,nNIA,G637,nEVAL,CONFIG_METADATA!$B$4,nASIG,"Coro"),""))</f>
        <v/>
      </c>
      <c r="J637" t="str">
        <f>IF(G637="","",IFERROR(AVERAGEIFS(nNOTA,nNIA,G637,nEVAL,CONFIG_METADATA!$B$4,nASIG,"Conjunto"),""))</f>
        <v/>
      </c>
      <c r="K637" t="str" cm="1">
        <f t="array" ref="K637">IF(G637="","",IFERROR(AVERAGE(IF((nNIA=G637)*(nEVAL=CONFIG_METADATA!$B$4)*(nASIG&lt;&gt;"Lenguaje Musical")*(nASIG&lt;&gt;"Coro")*(nASIG&lt;&gt;"Conjunto"),nNOTA)),""))</f>
        <v/>
      </c>
      <c r="N637" t="str">
        <f>IF(M637="","",IFERROR(AVERAGEIFS(nNOTA,nNIA,M637,nEVAL,CONFIG_METADATA!$B$4,nASIG,"Lenguaje Musical"),""))</f>
        <v/>
      </c>
      <c r="O637" t="str">
        <f>IF(M637="","",IFERROR(AVERAGEIFS(nNOTA,nNIA,M637,nEVAL,CONFIG_METADATA!$B$4,nASIG,"Coro"),""))</f>
        <v/>
      </c>
      <c r="P637" t="str">
        <f>IF(M637="","",IFERROR(AVERAGEIFS(nNOTA,nNIA,M637,nEVAL,CONFIG_METADATA!$B$4,nASIG,"Conjunto"),""))</f>
        <v/>
      </c>
      <c r="Q637" t="str">
        <f>IF(M637="","",IFERROR(AVERAGEIFS(nNOTA,nNIA,M637,nEVAL,CONFIG_METADATA!$B$4,nASIG,"&lt;&gt;Lenguaje Musical",nASIG,"&lt;&gt;Coro",nASIG,"&lt;&gt;Conjunto"),""))</f>
        <v/>
      </c>
      <c r="T637" t="str">
        <f>IF(S637="","",IFERROR(AVERAGEIFS(nNOTA,nNIA,S637,nEVAL,CONFIG_METADATA!$B$4,nASIG,"Lenguaje Musical"),""))</f>
        <v/>
      </c>
      <c r="U637" t="str">
        <f>IF(S637="","",IFERROR(AVERAGEIFS(nNOTA,nNIA,S637,nEVAL,CONFIG_METADATA!$B$4,nASIG,"Coro"),""))</f>
        <v/>
      </c>
      <c r="V637" t="str">
        <f>IF(S637="","",IFERROR(AVERAGEIFS(nNOTA,nNIA,S637,nEVAL,CONFIG_METADATA!$B$4,nASIG,"Conjunto"),""))</f>
        <v/>
      </c>
      <c r="W637" t="str" cm="1">
        <f t="array" ref="W637">IF(S637="","",IFERROR(AVERAGE(IF((nNIA=S637)*(nEVAL=CONFIG_METADATA!$B$4)*(nASIG&lt;&gt;"Lenguaje Musical")*(nASIG&lt;&gt;"Coro")*(nASIG&lt;&gt;"Conjunto"),nNOTA)),""))</f>
        <v/>
      </c>
    </row>
    <row r="638" spans="2:23" x14ac:dyDescent="0.2">
      <c r="B638" t="str">
        <f>IF(A638="","",IFERROR(AVERAGEIFS(nNOTA,nNIA,A638,nEVAL,CONFIG_METADATA!$B$4,nASIG,"Lenguaje Musical"),""))</f>
        <v/>
      </c>
      <c r="C638" t="str">
        <f>IF(A638="","",IFERROR(AVERAGEIFS(nNOTA,nNIA,A638,nEVAL,CONFIG_METADATA!$B$4,nASIG,"Coro"),""))</f>
        <v/>
      </c>
      <c r="D638" t="str">
        <f>IF(A638="","",IFERROR(AVERAGEIFS(nNOTA,nNIA,A638,nEVAL,CONFIG_METADATA!$B$4,nASIG,"Conjunto"),""))</f>
        <v/>
      </c>
      <c r="E638" t="str">
        <f>IF(A638="","",IFERROR(AVERAGEIFS(nNOTA,nNIA,A638,nEVAL,CONFIG_METADATA!$B$4,nASIG,"&lt;&gt;Lenguaje Musical",nASIG,"&lt;&gt;Coro",nASIG,"&lt;&gt;Conjunto"),""))</f>
        <v/>
      </c>
      <c r="H638" t="str">
        <f>IF(G638="","",IFERROR(AVERAGEIFS(nNOTA,nNIA,G638,nEVAL,CONFIG_METADATA!$B$4,nASIG,"Lenguaje Musical"),""))</f>
        <v/>
      </c>
      <c r="I638" t="str">
        <f>IF(G638="","",IFERROR(AVERAGEIFS(nNOTA,nNIA,G638,nEVAL,CONFIG_METADATA!$B$4,nASIG,"Coro"),""))</f>
        <v/>
      </c>
      <c r="J638" t="str">
        <f>IF(G638="","",IFERROR(AVERAGEIFS(nNOTA,nNIA,G638,nEVAL,CONFIG_METADATA!$B$4,nASIG,"Conjunto"),""))</f>
        <v/>
      </c>
      <c r="K638" t="str" cm="1">
        <f t="array" ref="K638">IF(G638="","",IFERROR(AVERAGE(IF((nNIA=G638)*(nEVAL=CONFIG_METADATA!$B$4)*(nASIG&lt;&gt;"Lenguaje Musical")*(nASIG&lt;&gt;"Coro")*(nASIG&lt;&gt;"Conjunto"),nNOTA)),""))</f>
        <v/>
      </c>
      <c r="N638" t="str">
        <f>IF(M638="","",IFERROR(AVERAGEIFS(nNOTA,nNIA,M638,nEVAL,CONFIG_METADATA!$B$4,nASIG,"Lenguaje Musical"),""))</f>
        <v/>
      </c>
      <c r="O638" t="str">
        <f>IF(M638="","",IFERROR(AVERAGEIFS(nNOTA,nNIA,M638,nEVAL,CONFIG_METADATA!$B$4,nASIG,"Coro"),""))</f>
        <v/>
      </c>
      <c r="P638" t="str">
        <f>IF(M638="","",IFERROR(AVERAGEIFS(nNOTA,nNIA,M638,nEVAL,CONFIG_METADATA!$B$4,nASIG,"Conjunto"),""))</f>
        <v/>
      </c>
      <c r="Q638" t="str">
        <f>IF(M638="","",IFERROR(AVERAGEIFS(nNOTA,nNIA,M638,nEVAL,CONFIG_METADATA!$B$4,nASIG,"&lt;&gt;Lenguaje Musical",nASIG,"&lt;&gt;Coro",nASIG,"&lt;&gt;Conjunto"),""))</f>
        <v/>
      </c>
      <c r="T638" t="str">
        <f>IF(S638="","",IFERROR(AVERAGEIFS(nNOTA,nNIA,S638,nEVAL,CONFIG_METADATA!$B$4,nASIG,"Lenguaje Musical"),""))</f>
        <v/>
      </c>
      <c r="U638" t="str">
        <f>IF(S638="","",IFERROR(AVERAGEIFS(nNOTA,nNIA,S638,nEVAL,CONFIG_METADATA!$B$4,nASIG,"Coro"),""))</f>
        <v/>
      </c>
      <c r="V638" t="str">
        <f>IF(S638="","",IFERROR(AVERAGEIFS(nNOTA,nNIA,S638,nEVAL,CONFIG_METADATA!$B$4,nASIG,"Conjunto"),""))</f>
        <v/>
      </c>
      <c r="W638" t="str" cm="1">
        <f t="array" ref="W638">IF(S638="","",IFERROR(AVERAGE(IF((nNIA=S638)*(nEVAL=CONFIG_METADATA!$B$4)*(nASIG&lt;&gt;"Lenguaje Musical")*(nASIG&lt;&gt;"Coro")*(nASIG&lt;&gt;"Conjunto"),nNOTA)),""))</f>
        <v/>
      </c>
    </row>
    <row r="639" spans="2:23" x14ac:dyDescent="0.2">
      <c r="B639" t="str">
        <f>IF(A639="","",IFERROR(AVERAGEIFS(nNOTA,nNIA,A639,nEVAL,CONFIG_METADATA!$B$4,nASIG,"Lenguaje Musical"),""))</f>
        <v/>
      </c>
      <c r="C639" t="str">
        <f>IF(A639="","",IFERROR(AVERAGEIFS(nNOTA,nNIA,A639,nEVAL,CONFIG_METADATA!$B$4,nASIG,"Coro"),""))</f>
        <v/>
      </c>
      <c r="D639" t="str">
        <f>IF(A639="","",IFERROR(AVERAGEIFS(nNOTA,nNIA,A639,nEVAL,CONFIG_METADATA!$B$4,nASIG,"Conjunto"),""))</f>
        <v/>
      </c>
      <c r="E639" t="str">
        <f>IF(A639="","",IFERROR(AVERAGEIFS(nNOTA,nNIA,A639,nEVAL,CONFIG_METADATA!$B$4,nASIG,"&lt;&gt;Lenguaje Musical",nASIG,"&lt;&gt;Coro",nASIG,"&lt;&gt;Conjunto"),""))</f>
        <v/>
      </c>
      <c r="H639" t="str">
        <f>IF(G639="","",IFERROR(AVERAGEIFS(nNOTA,nNIA,G639,nEVAL,CONFIG_METADATA!$B$4,nASIG,"Lenguaje Musical"),""))</f>
        <v/>
      </c>
      <c r="I639" t="str">
        <f>IF(G639="","",IFERROR(AVERAGEIFS(nNOTA,nNIA,G639,nEVAL,CONFIG_METADATA!$B$4,nASIG,"Coro"),""))</f>
        <v/>
      </c>
      <c r="J639" t="str">
        <f>IF(G639="","",IFERROR(AVERAGEIFS(nNOTA,nNIA,G639,nEVAL,CONFIG_METADATA!$B$4,nASIG,"Conjunto"),""))</f>
        <v/>
      </c>
      <c r="K639" t="str" cm="1">
        <f t="array" ref="K639">IF(G639="","",IFERROR(AVERAGE(IF((nNIA=G639)*(nEVAL=CONFIG_METADATA!$B$4)*(nASIG&lt;&gt;"Lenguaje Musical")*(nASIG&lt;&gt;"Coro")*(nASIG&lt;&gt;"Conjunto"),nNOTA)),""))</f>
        <v/>
      </c>
      <c r="N639" t="str">
        <f>IF(M639="","",IFERROR(AVERAGEIFS(nNOTA,nNIA,M639,nEVAL,CONFIG_METADATA!$B$4,nASIG,"Lenguaje Musical"),""))</f>
        <v/>
      </c>
      <c r="O639" t="str">
        <f>IF(M639="","",IFERROR(AVERAGEIFS(nNOTA,nNIA,M639,nEVAL,CONFIG_METADATA!$B$4,nASIG,"Coro"),""))</f>
        <v/>
      </c>
      <c r="P639" t="str">
        <f>IF(M639="","",IFERROR(AVERAGEIFS(nNOTA,nNIA,M639,nEVAL,CONFIG_METADATA!$B$4,nASIG,"Conjunto"),""))</f>
        <v/>
      </c>
      <c r="Q639" t="str">
        <f>IF(M639="","",IFERROR(AVERAGEIFS(nNOTA,nNIA,M639,nEVAL,CONFIG_METADATA!$B$4,nASIG,"&lt;&gt;Lenguaje Musical",nASIG,"&lt;&gt;Coro",nASIG,"&lt;&gt;Conjunto"),""))</f>
        <v/>
      </c>
      <c r="T639" t="str">
        <f>IF(S639="","",IFERROR(AVERAGEIFS(nNOTA,nNIA,S639,nEVAL,CONFIG_METADATA!$B$4,nASIG,"Lenguaje Musical"),""))</f>
        <v/>
      </c>
      <c r="U639" t="str">
        <f>IF(S639="","",IFERROR(AVERAGEIFS(nNOTA,nNIA,S639,nEVAL,CONFIG_METADATA!$B$4,nASIG,"Coro"),""))</f>
        <v/>
      </c>
      <c r="V639" t="str">
        <f>IF(S639="","",IFERROR(AVERAGEIFS(nNOTA,nNIA,S639,nEVAL,CONFIG_METADATA!$B$4,nASIG,"Conjunto"),""))</f>
        <v/>
      </c>
      <c r="W639" t="str" cm="1">
        <f t="array" ref="W639">IF(S639="","",IFERROR(AVERAGE(IF((nNIA=S639)*(nEVAL=CONFIG_METADATA!$B$4)*(nASIG&lt;&gt;"Lenguaje Musical")*(nASIG&lt;&gt;"Coro")*(nASIG&lt;&gt;"Conjunto"),nNOTA)),""))</f>
        <v/>
      </c>
    </row>
    <row r="640" spans="2:23" x14ac:dyDescent="0.2">
      <c r="B640" t="str">
        <f>IF(A640="","",IFERROR(AVERAGEIFS(nNOTA,nNIA,A640,nEVAL,CONFIG_METADATA!$B$4,nASIG,"Lenguaje Musical"),""))</f>
        <v/>
      </c>
      <c r="C640" t="str">
        <f>IF(A640="","",IFERROR(AVERAGEIFS(nNOTA,nNIA,A640,nEVAL,CONFIG_METADATA!$B$4,nASIG,"Coro"),""))</f>
        <v/>
      </c>
      <c r="D640" t="str">
        <f>IF(A640="","",IFERROR(AVERAGEIFS(nNOTA,nNIA,A640,nEVAL,CONFIG_METADATA!$B$4,nASIG,"Conjunto"),""))</f>
        <v/>
      </c>
      <c r="E640" t="str">
        <f>IF(A640="","",IFERROR(AVERAGEIFS(nNOTA,nNIA,A640,nEVAL,CONFIG_METADATA!$B$4,nASIG,"&lt;&gt;Lenguaje Musical",nASIG,"&lt;&gt;Coro",nASIG,"&lt;&gt;Conjunto"),""))</f>
        <v/>
      </c>
      <c r="H640" t="str">
        <f>IF(G640="","",IFERROR(AVERAGEIFS(nNOTA,nNIA,G640,nEVAL,CONFIG_METADATA!$B$4,nASIG,"Lenguaje Musical"),""))</f>
        <v/>
      </c>
      <c r="I640" t="str">
        <f>IF(G640="","",IFERROR(AVERAGEIFS(nNOTA,nNIA,G640,nEVAL,CONFIG_METADATA!$B$4,nASIG,"Coro"),""))</f>
        <v/>
      </c>
      <c r="J640" t="str">
        <f>IF(G640="","",IFERROR(AVERAGEIFS(nNOTA,nNIA,G640,nEVAL,CONFIG_METADATA!$B$4,nASIG,"Conjunto"),""))</f>
        <v/>
      </c>
      <c r="K640" t="str" cm="1">
        <f t="array" ref="K640">IF(G640="","",IFERROR(AVERAGE(IF((nNIA=G640)*(nEVAL=CONFIG_METADATA!$B$4)*(nASIG&lt;&gt;"Lenguaje Musical")*(nASIG&lt;&gt;"Coro")*(nASIG&lt;&gt;"Conjunto"),nNOTA)),""))</f>
        <v/>
      </c>
      <c r="N640" t="str">
        <f>IF(M640="","",IFERROR(AVERAGEIFS(nNOTA,nNIA,M640,nEVAL,CONFIG_METADATA!$B$4,nASIG,"Lenguaje Musical"),""))</f>
        <v/>
      </c>
      <c r="O640" t="str">
        <f>IF(M640="","",IFERROR(AVERAGEIFS(nNOTA,nNIA,M640,nEVAL,CONFIG_METADATA!$B$4,nASIG,"Coro"),""))</f>
        <v/>
      </c>
      <c r="P640" t="str">
        <f>IF(M640="","",IFERROR(AVERAGEIFS(nNOTA,nNIA,M640,nEVAL,CONFIG_METADATA!$B$4,nASIG,"Conjunto"),""))</f>
        <v/>
      </c>
      <c r="Q640" t="str">
        <f>IF(M640="","",IFERROR(AVERAGEIFS(nNOTA,nNIA,M640,nEVAL,CONFIG_METADATA!$B$4,nASIG,"&lt;&gt;Lenguaje Musical",nASIG,"&lt;&gt;Coro",nASIG,"&lt;&gt;Conjunto"),""))</f>
        <v/>
      </c>
      <c r="T640" t="str">
        <f>IF(S640="","",IFERROR(AVERAGEIFS(nNOTA,nNIA,S640,nEVAL,CONFIG_METADATA!$B$4,nASIG,"Lenguaje Musical"),""))</f>
        <v/>
      </c>
      <c r="U640" t="str">
        <f>IF(S640="","",IFERROR(AVERAGEIFS(nNOTA,nNIA,S640,nEVAL,CONFIG_METADATA!$B$4,nASIG,"Coro"),""))</f>
        <v/>
      </c>
      <c r="V640" t="str">
        <f>IF(S640="","",IFERROR(AVERAGEIFS(nNOTA,nNIA,S640,nEVAL,CONFIG_METADATA!$B$4,nASIG,"Conjunto"),""))</f>
        <v/>
      </c>
      <c r="W640" t="str" cm="1">
        <f t="array" ref="W640">IF(S640="","",IFERROR(AVERAGE(IF((nNIA=S640)*(nEVAL=CONFIG_METADATA!$B$4)*(nASIG&lt;&gt;"Lenguaje Musical")*(nASIG&lt;&gt;"Coro")*(nASIG&lt;&gt;"Conjunto"),nNOTA)),""))</f>
        <v/>
      </c>
    </row>
    <row r="641" spans="2:23" x14ac:dyDescent="0.2">
      <c r="B641" t="str">
        <f>IF(A641="","",IFERROR(AVERAGEIFS(nNOTA,nNIA,A641,nEVAL,CONFIG_METADATA!$B$4,nASIG,"Lenguaje Musical"),""))</f>
        <v/>
      </c>
      <c r="C641" t="str">
        <f>IF(A641="","",IFERROR(AVERAGEIFS(nNOTA,nNIA,A641,nEVAL,CONFIG_METADATA!$B$4,nASIG,"Coro"),""))</f>
        <v/>
      </c>
      <c r="D641" t="str">
        <f>IF(A641="","",IFERROR(AVERAGEIFS(nNOTA,nNIA,A641,nEVAL,CONFIG_METADATA!$B$4,nASIG,"Conjunto"),""))</f>
        <v/>
      </c>
      <c r="E641" t="str">
        <f>IF(A641="","",IFERROR(AVERAGEIFS(nNOTA,nNIA,A641,nEVAL,CONFIG_METADATA!$B$4,nASIG,"&lt;&gt;Lenguaje Musical",nASIG,"&lt;&gt;Coro",nASIG,"&lt;&gt;Conjunto"),""))</f>
        <v/>
      </c>
      <c r="H641" t="str">
        <f>IF(G641="","",IFERROR(AVERAGEIFS(nNOTA,nNIA,G641,nEVAL,CONFIG_METADATA!$B$4,nASIG,"Lenguaje Musical"),""))</f>
        <v/>
      </c>
      <c r="I641" t="str">
        <f>IF(G641="","",IFERROR(AVERAGEIFS(nNOTA,nNIA,G641,nEVAL,CONFIG_METADATA!$B$4,nASIG,"Coro"),""))</f>
        <v/>
      </c>
      <c r="J641" t="str">
        <f>IF(G641="","",IFERROR(AVERAGEIFS(nNOTA,nNIA,G641,nEVAL,CONFIG_METADATA!$B$4,nASIG,"Conjunto"),""))</f>
        <v/>
      </c>
      <c r="K641" t="str" cm="1">
        <f t="array" ref="K641">IF(G641="","",IFERROR(AVERAGE(IF((nNIA=G641)*(nEVAL=CONFIG_METADATA!$B$4)*(nASIG&lt;&gt;"Lenguaje Musical")*(nASIG&lt;&gt;"Coro")*(nASIG&lt;&gt;"Conjunto"),nNOTA)),""))</f>
        <v/>
      </c>
      <c r="N641" t="str">
        <f>IF(M641="","",IFERROR(AVERAGEIFS(nNOTA,nNIA,M641,nEVAL,CONFIG_METADATA!$B$4,nASIG,"Lenguaje Musical"),""))</f>
        <v/>
      </c>
      <c r="O641" t="str">
        <f>IF(M641="","",IFERROR(AVERAGEIFS(nNOTA,nNIA,M641,nEVAL,CONFIG_METADATA!$B$4,nASIG,"Coro"),""))</f>
        <v/>
      </c>
      <c r="P641" t="str">
        <f>IF(M641="","",IFERROR(AVERAGEIFS(nNOTA,nNIA,M641,nEVAL,CONFIG_METADATA!$B$4,nASIG,"Conjunto"),""))</f>
        <v/>
      </c>
      <c r="Q641" t="str">
        <f>IF(M641="","",IFERROR(AVERAGEIFS(nNOTA,nNIA,M641,nEVAL,CONFIG_METADATA!$B$4,nASIG,"&lt;&gt;Lenguaje Musical",nASIG,"&lt;&gt;Coro",nASIG,"&lt;&gt;Conjunto"),""))</f>
        <v/>
      </c>
      <c r="T641" t="str">
        <f>IF(S641="","",IFERROR(AVERAGEIFS(nNOTA,nNIA,S641,nEVAL,CONFIG_METADATA!$B$4,nASIG,"Lenguaje Musical"),""))</f>
        <v/>
      </c>
      <c r="U641" t="str">
        <f>IF(S641="","",IFERROR(AVERAGEIFS(nNOTA,nNIA,S641,nEVAL,CONFIG_METADATA!$B$4,nASIG,"Coro"),""))</f>
        <v/>
      </c>
      <c r="V641" t="str">
        <f>IF(S641="","",IFERROR(AVERAGEIFS(nNOTA,nNIA,S641,nEVAL,CONFIG_METADATA!$B$4,nASIG,"Conjunto"),""))</f>
        <v/>
      </c>
      <c r="W641" t="str" cm="1">
        <f t="array" ref="W641">IF(S641="","",IFERROR(AVERAGE(IF((nNIA=S641)*(nEVAL=CONFIG_METADATA!$B$4)*(nASIG&lt;&gt;"Lenguaje Musical")*(nASIG&lt;&gt;"Coro")*(nASIG&lt;&gt;"Conjunto"),nNOTA)),""))</f>
        <v/>
      </c>
    </row>
    <row r="642" spans="2:23" x14ac:dyDescent="0.2">
      <c r="B642" t="str">
        <f>IF(A642="","",IFERROR(AVERAGEIFS(nNOTA,nNIA,A642,nEVAL,CONFIG_METADATA!$B$4,nASIG,"Lenguaje Musical"),""))</f>
        <v/>
      </c>
      <c r="C642" t="str">
        <f>IF(A642="","",IFERROR(AVERAGEIFS(nNOTA,nNIA,A642,nEVAL,CONFIG_METADATA!$B$4,nASIG,"Coro"),""))</f>
        <v/>
      </c>
      <c r="D642" t="str">
        <f>IF(A642="","",IFERROR(AVERAGEIFS(nNOTA,nNIA,A642,nEVAL,CONFIG_METADATA!$B$4,nASIG,"Conjunto"),""))</f>
        <v/>
      </c>
      <c r="E642" t="str">
        <f>IF(A642="","",IFERROR(AVERAGEIFS(nNOTA,nNIA,A642,nEVAL,CONFIG_METADATA!$B$4,nASIG,"&lt;&gt;Lenguaje Musical",nASIG,"&lt;&gt;Coro",nASIG,"&lt;&gt;Conjunto"),""))</f>
        <v/>
      </c>
      <c r="H642" t="str">
        <f>IF(G642="","",IFERROR(AVERAGEIFS(nNOTA,nNIA,G642,nEVAL,CONFIG_METADATA!$B$4,nASIG,"Lenguaje Musical"),""))</f>
        <v/>
      </c>
      <c r="I642" t="str">
        <f>IF(G642="","",IFERROR(AVERAGEIFS(nNOTA,nNIA,G642,nEVAL,CONFIG_METADATA!$B$4,nASIG,"Coro"),""))</f>
        <v/>
      </c>
      <c r="J642" t="str">
        <f>IF(G642="","",IFERROR(AVERAGEIFS(nNOTA,nNIA,G642,nEVAL,CONFIG_METADATA!$B$4,nASIG,"Conjunto"),""))</f>
        <v/>
      </c>
      <c r="K642" t="str" cm="1">
        <f t="array" ref="K642">IF(G642="","",IFERROR(AVERAGE(IF((nNIA=G642)*(nEVAL=CONFIG_METADATA!$B$4)*(nASIG&lt;&gt;"Lenguaje Musical")*(nASIG&lt;&gt;"Coro")*(nASIG&lt;&gt;"Conjunto"),nNOTA)),""))</f>
        <v/>
      </c>
      <c r="N642" t="str">
        <f>IF(M642="","",IFERROR(AVERAGEIFS(nNOTA,nNIA,M642,nEVAL,CONFIG_METADATA!$B$4,nASIG,"Lenguaje Musical"),""))</f>
        <v/>
      </c>
      <c r="O642" t="str">
        <f>IF(M642="","",IFERROR(AVERAGEIFS(nNOTA,nNIA,M642,nEVAL,CONFIG_METADATA!$B$4,nASIG,"Coro"),""))</f>
        <v/>
      </c>
      <c r="P642" t="str">
        <f>IF(M642="","",IFERROR(AVERAGEIFS(nNOTA,nNIA,M642,nEVAL,CONFIG_METADATA!$B$4,nASIG,"Conjunto"),""))</f>
        <v/>
      </c>
      <c r="Q642" t="str">
        <f>IF(M642="","",IFERROR(AVERAGEIFS(nNOTA,nNIA,M642,nEVAL,CONFIG_METADATA!$B$4,nASIG,"&lt;&gt;Lenguaje Musical",nASIG,"&lt;&gt;Coro",nASIG,"&lt;&gt;Conjunto"),""))</f>
        <v/>
      </c>
      <c r="T642" t="str">
        <f>IF(S642="","",IFERROR(AVERAGEIFS(nNOTA,nNIA,S642,nEVAL,CONFIG_METADATA!$B$4,nASIG,"Lenguaje Musical"),""))</f>
        <v/>
      </c>
      <c r="U642" t="str">
        <f>IF(S642="","",IFERROR(AVERAGEIFS(nNOTA,nNIA,S642,nEVAL,CONFIG_METADATA!$B$4,nASIG,"Coro"),""))</f>
        <v/>
      </c>
      <c r="V642" t="str">
        <f>IF(S642="","",IFERROR(AVERAGEIFS(nNOTA,nNIA,S642,nEVAL,CONFIG_METADATA!$B$4,nASIG,"Conjunto"),""))</f>
        <v/>
      </c>
      <c r="W642" t="str" cm="1">
        <f t="array" ref="W642">IF(S642="","",IFERROR(AVERAGE(IF((nNIA=S642)*(nEVAL=CONFIG_METADATA!$B$4)*(nASIG&lt;&gt;"Lenguaje Musical")*(nASIG&lt;&gt;"Coro")*(nASIG&lt;&gt;"Conjunto"),nNOTA)),""))</f>
        <v/>
      </c>
    </row>
    <row r="643" spans="2:23" x14ac:dyDescent="0.2">
      <c r="B643" t="str">
        <f>IF(A643="","",IFERROR(AVERAGEIFS(nNOTA,nNIA,A643,nEVAL,CONFIG_METADATA!$B$4,nASIG,"Lenguaje Musical"),""))</f>
        <v/>
      </c>
      <c r="C643" t="str">
        <f>IF(A643="","",IFERROR(AVERAGEIFS(nNOTA,nNIA,A643,nEVAL,CONFIG_METADATA!$B$4,nASIG,"Coro"),""))</f>
        <v/>
      </c>
      <c r="D643" t="str">
        <f>IF(A643="","",IFERROR(AVERAGEIFS(nNOTA,nNIA,A643,nEVAL,CONFIG_METADATA!$B$4,nASIG,"Conjunto"),""))</f>
        <v/>
      </c>
      <c r="E643" t="str">
        <f>IF(A643="","",IFERROR(AVERAGEIFS(nNOTA,nNIA,A643,nEVAL,CONFIG_METADATA!$B$4,nASIG,"&lt;&gt;Lenguaje Musical",nASIG,"&lt;&gt;Coro",nASIG,"&lt;&gt;Conjunto"),""))</f>
        <v/>
      </c>
      <c r="H643" t="str">
        <f>IF(G643="","",IFERROR(AVERAGEIFS(nNOTA,nNIA,G643,nEVAL,CONFIG_METADATA!$B$4,nASIG,"Lenguaje Musical"),""))</f>
        <v/>
      </c>
      <c r="I643" t="str">
        <f>IF(G643="","",IFERROR(AVERAGEIFS(nNOTA,nNIA,G643,nEVAL,CONFIG_METADATA!$B$4,nASIG,"Coro"),""))</f>
        <v/>
      </c>
      <c r="J643" t="str">
        <f>IF(G643="","",IFERROR(AVERAGEIFS(nNOTA,nNIA,G643,nEVAL,CONFIG_METADATA!$B$4,nASIG,"Conjunto"),""))</f>
        <v/>
      </c>
      <c r="K643" t="str" cm="1">
        <f t="array" ref="K643">IF(G643="","",IFERROR(AVERAGE(IF((nNIA=G643)*(nEVAL=CONFIG_METADATA!$B$4)*(nASIG&lt;&gt;"Lenguaje Musical")*(nASIG&lt;&gt;"Coro")*(nASIG&lt;&gt;"Conjunto"),nNOTA)),""))</f>
        <v/>
      </c>
      <c r="N643" t="str">
        <f>IF(M643="","",IFERROR(AVERAGEIFS(nNOTA,nNIA,M643,nEVAL,CONFIG_METADATA!$B$4,nASIG,"Lenguaje Musical"),""))</f>
        <v/>
      </c>
      <c r="O643" t="str">
        <f>IF(M643="","",IFERROR(AVERAGEIFS(nNOTA,nNIA,M643,nEVAL,CONFIG_METADATA!$B$4,nASIG,"Coro"),""))</f>
        <v/>
      </c>
      <c r="P643" t="str">
        <f>IF(M643="","",IFERROR(AVERAGEIFS(nNOTA,nNIA,M643,nEVAL,CONFIG_METADATA!$B$4,nASIG,"Conjunto"),""))</f>
        <v/>
      </c>
      <c r="Q643" t="str">
        <f>IF(M643="","",IFERROR(AVERAGEIFS(nNOTA,nNIA,M643,nEVAL,CONFIG_METADATA!$B$4,nASIG,"&lt;&gt;Lenguaje Musical",nASIG,"&lt;&gt;Coro",nASIG,"&lt;&gt;Conjunto"),""))</f>
        <v/>
      </c>
      <c r="T643" t="str">
        <f>IF(S643="","",IFERROR(AVERAGEIFS(nNOTA,nNIA,S643,nEVAL,CONFIG_METADATA!$B$4,nASIG,"Lenguaje Musical"),""))</f>
        <v/>
      </c>
      <c r="U643" t="str">
        <f>IF(S643="","",IFERROR(AVERAGEIFS(nNOTA,nNIA,S643,nEVAL,CONFIG_METADATA!$B$4,nASIG,"Coro"),""))</f>
        <v/>
      </c>
      <c r="V643" t="str">
        <f>IF(S643="","",IFERROR(AVERAGEIFS(nNOTA,nNIA,S643,nEVAL,CONFIG_METADATA!$B$4,nASIG,"Conjunto"),""))</f>
        <v/>
      </c>
      <c r="W643" t="str" cm="1">
        <f t="array" ref="W643">IF(S643="","",IFERROR(AVERAGE(IF((nNIA=S643)*(nEVAL=CONFIG_METADATA!$B$4)*(nASIG&lt;&gt;"Lenguaje Musical")*(nASIG&lt;&gt;"Coro")*(nASIG&lt;&gt;"Conjunto"),nNOTA)),""))</f>
        <v/>
      </c>
    </row>
    <row r="644" spans="2:23" x14ac:dyDescent="0.2">
      <c r="B644" t="str">
        <f>IF(A644="","",IFERROR(AVERAGEIFS(nNOTA,nNIA,A644,nEVAL,CONFIG_METADATA!$B$4,nASIG,"Lenguaje Musical"),""))</f>
        <v/>
      </c>
      <c r="C644" t="str">
        <f>IF(A644="","",IFERROR(AVERAGEIFS(nNOTA,nNIA,A644,nEVAL,CONFIG_METADATA!$B$4,nASIG,"Coro"),""))</f>
        <v/>
      </c>
      <c r="D644" t="str">
        <f>IF(A644="","",IFERROR(AVERAGEIFS(nNOTA,nNIA,A644,nEVAL,CONFIG_METADATA!$B$4,nASIG,"Conjunto"),""))</f>
        <v/>
      </c>
      <c r="E644" t="str">
        <f>IF(A644="","",IFERROR(AVERAGEIFS(nNOTA,nNIA,A644,nEVAL,CONFIG_METADATA!$B$4,nASIG,"&lt;&gt;Lenguaje Musical",nASIG,"&lt;&gt;Coro",nASIG,"&lt;&gt;Conjunto"),""))</f>
        <v/>
      </c>
      <c r="H644" t="str">
        <f>IF(G644="","",IFERROR(AVERAGEIFS(nNOTA,nNIA,G644,nEVAL,CONFIG_METADATA!$B$4,nASIG,"Lenguaje Musical"),""))</f>
        <v/>
      </c>
      <c r="I644" t="str">
        <f>IF(G644="","",IFERROR(AVERAGEIFS(nNOTA,nNIA,G644,nEVAL,CONFIG_METADATA!$B$4,nASIG,"Coro"),""))</f>
        <v/>
      </c>
      <c r="J644" t="str">
        <f>IF(G644="","",IFERROR(AVERAGEIFS(nNOTA,nNIA,G644,nEVAL,CONFIG_METADATA!$B$4,nASIG,"Conjunto"),""))</f>
        <v/>
      </c>
      <c r="K644" t="str" cm="1">
        <f t="array" ref="K644">IF(G644="","",IFERROR(AVERAGE(IF((nNIA=G644)*(nEVAL=CONFIG_METADATA!$B$4)*(nASIG&lt;&gt;"Lenguaje Musical")*(nASIG&lt;&gt;"Coro")*(nASIG&lt;&gt;"Conjunto"),nNOTA)),""))</f>
        <v/>
      </c>
      <c r="N644" t="str">
        <f>IF(M644="","",IFERROR(AVERAGEIFS(nNOTA,nNIA,M644,nEVAL,CONFIG_METADATA!$B$4,nASIG,"Lenguaje Musical"),""))</f>
        <v/>
      </c>
      <c r="O644" t="str">
        <f>IF(M644="","",IFERROR(AVERAGEIFS(nNOTA,nNIA,M644,nEVAL,CONFIG_METADATA!$B$4,nASIG,"Coro"),""))</f>
        <v/>
      </c>
      <c r="P644" t="str">
        <f>IF(M644="","",IFERROR(AVERAGEIFS(nNOTA,nNIA,M644,nEVAL,CONFIG_METADATA!$B$4,nASIG,"Conjunto"),""))</f>
        <v/>
      </c>
      <c r="Q644" t="str">
        <f>IF(M644="","",IFERROR(AVERAGEIFS(nNOTA,nNIA,M644,nEVAL,CONFIG_METADATA!$B$4,nASIG,"&lt;&gt;Lenguaje Musical",nASIG,"&lt;&gt;Coro",nASIG,"&lt;&gt;Conjunto"),""))</f>
        <v/>
      </c>
      <c r="T644" t="str">
        <f>IF(S644="","",IFERROR(AVERAGEIFS(nNOTA,nNIA,S644,nEVAL,CONFIG_METADATA!$B$4,nASIG,"Lenguaje Musical"),""))</f>
        <v/>
      </c>
      <c r="U644" t="str">
        <f>IF(S644="","",IFERROR(AVERAGEIFS(nNOTA,nNIA,S644,nEVAL,CONFIG_METADATA!$B$4,nASIG,"Coro"),""))</f>
        <v/>
      </c>
      <c r="V644" t="str">
        <f>IF(S644="","",IFERROR(AVERAGEIFS(nNOTA,nNIA,S644,nEVAL,CONFIG_METADATA!$B$4,nASIG,"Conjunto"),""))</f>
        <v/>
      </c>
      <c r="W644" t="str" cm="1">
        <f t="array" ref="W644">IF(S644="","",IFERROR(AVERAGE(IF((nNIA=S644)*(nEVAL=CONFIG_METADATA!$B$4)*(nASIG&lt;&gt;"Lenguaje Musical")*(nASIG&lt;&gt;"Coro")*(nASIG&lt;&gt;"Conjunto"),nNOTA)),""))</f>
        <v/>
      </c>
    </row>
    <row r="645" spans="2:23" x14ac:dyDescent="0.2">
      <c r="B645" t="str">
        <f>IF(A645="","",IFERROR(AVERAGEIFS(nNOTA,nNIA,A645,nEVAL,CONFIG_METADATA!$B$4,nASIG,"Lenguaje Musical"),""))</f>
        <v/>
      </c>
      <c r="C645" t="str">
        <f>IF(A645="","",IFERROR(AVERAGEIFS(nNOTA,nNIA,A645,nEVAL,CONFIG_METADATA!$B$4,nASIG,"Coro"),""))</f>
        <v/>
      </c>
      <c r="D645" t="str">
        <f>IF(A645="","",IFERROR(AVERAGEIFS(nNOTA,nNIA,A645,nEVAL,CONFIG_METADATA!$B$4,nASIG,"Conjunto"),""))</f>
        <v/>
      </c>
      <c r="E645" t="str">
        <f>IF(A645="","",IFERROR(AVERAGEIFS(nNOTA,nNIA,A645,nEVAL,CONFIG_METADATA!$B$4,nASIG,"&lt;&gt;Lenguaje Musical",nASIG,"&lt;&gt;Coro",nASIG,"&lt;&gt;Conjunto"),""))</f>
        <v/>
      </c>
      <c r="H645" t="str">
        <f>IF(G645="","",IFERROR(AVERAGEIFS(nNOTA,nNIA,G645,nEVAL,CONFIG_METADATA!$B$4,nASIG,"Lenguaje Musical"),""))</f>
        <v/>
      </c>
      <c r="I645" t="str">
        <f>IF(G645="","",IFERROR(AVERAGEIFS(nNOTA,nNIA,G645,nEVAL,CONFIG_METADATA!$B$4,nASIG,"Coro"),""))</f>
        <v/>
      </c>
      <c r="J645" t="str">
        <f>IF(G645="","",IFERROR(AVERAGEIFS(nNOTA,nNIA,G645,nEVAL,CONFIG_METADATA!$B$4,nASIG,"Conjunto"),""))</f>
        <v/>
      </c>
      <c r="K645" t="str" cm="1">
        <f t="array" ref="K645">IF(G645="","",IFERROR(AVERAGE(IF((nNIA=G645)*(nEVAL=CONFIG_METADATA!$B$4)*(nASIG&lt;&gt;"Lenguaje Musical")*(nASIG&lt;&gt;"Coro")*(nASIG&lt;&gt;"Conjunto"),nNOTA)),""))</f>
        <v/>
      </c>
      <c r="N645" t="str">
        <f>IF(M645="","",IFERROR(AVERAGEIFS(nNOTA,nNIA,M645,nEVAL,CONFIG_METADATA!$B$4,nASIG,"Lenguaje Musical"),""))</f>
        <v/>
      </c>
      <c r="O645" t="str">
        <f>IF(M645="","",IFERROR(AVERAGEIFS(nNOTA,nNIA,M645,nEVAL,CONFIG_METADATA!$B$4,nASIG,"Coro"),""))</f>
        <v/>
      </c>
      <c r="P645" t="str">
        <f>IF(M645="","",IFERROR(AVERAGEIFS(nNOTA,nNIA,M645,nEVAL,CONFIG_METADATA!$B$4,nASIG,"Conjunto"),""))</f>
        <v/>
      </c>
      <c r="Q645" t="str">
        <f>IF(M645="","",IFERROR(AVERAGEIFS(nNOTA,nNIA,M645,nEVAL,CONFIG_METADATA!$B$4,nASIG,"&lt;&gt;Lenguaje Musical",nASIG,"&lt;&gt;Coro",nASIG,"&lt;&gt;Conjunto"),""))</f>
        <v/>
      </c>
      <c r="T645" t="str">
        <f>IF(S645="","",IFERROR(AVERAGEIFS(nNOTA,nNIA,S645,nEVAL,CONFIG_METADATA!$B$4,nASIG,"Lenguaje Musical"),""))</f>
        <v/>
      </c>
      <c r="U645" t="str">
        <f>IF(S645="","",IFERROR(AVERAGEIFS(nNOTA,nNIA,S645,nEVAL,CONFIG_METADATA!$B$4,nASIG,"Coro"),""))</f>
        <v/>
      </c>
      <c r="V645" t="str">
        <f>IF(S645="","",IFERROR(AVERAGEIFS(nNOTA,nNIA,S645,nEVAL,CONFIG_METADATA!$B$4,nASIG,"Conjunto"),""))</f>
        <v/>
      </c>
      <c r="W645" t="str" cm="1">
        <f t="array" ref="W645">IF(S645="","",IFERROR(AVERAGE(IF((nNIA=S645)*(nEVAL=CONFIG_METADATA!$B$4)*(nASIG&lt;&gt;"Lenguaje Musical")*(nASIG&lt;&gt;"Coro")*(nASIG&lt;&gt;"Conjunto"),nNOTA)),""))</f>
        <v/>
      </c>
    </row>
    <row r="646" spans="2:23" x14ac:dyDescent="0.2">
      <c r="B646" t="str">
        <f>IF(A646="","",IFERROR(AVERAGEIFS(nNOTA,nNIA,A646,nEVAL,CONFIG_METADATA!$B$4,nASIG,"Lenguaje Musical"),""))</f>
        <v/>
      </c>
      <c r="C646" t="str">
        <f>IF(A646="","",IFERROR(AVERAGEIFS(nNOTA,nNIA,A646,nEVAL,CONFIG_METADATA!$B$4,nASIG,"Coro"),""))</f>
        <v/>
      </c>
      <c r="D646" t="str">
        <f>IF(A646="","",IFERROR(AVERAGEIFS(nNOTA,nNIA,A646,nEVAL,CONFIG_METADATA!$B$4,nASIG,"Conjunto"),""))</f>
        <v/>
      </c>
      <c r="E646" t="str">
        <f>IF(A646="","",IFERROR(AVERAGEIFS(nNOTA,nNIA,A646,nEVAL,CONFIG_METADATA!$B$4,nASIG,"&lt;&gt;Lenguaje Musical",nASIG,"&lt;&gt;Coro",nASIG,"&lt;&gt;Conjunto"),""))</f>
        <v/>
      </c>
      <c r="H646" t="str">
        <f>IF(G646="","",IFERROR(AVERAGEIFS(nNOTA,nNIA,G646,nEVAL,CONFIG_METADATA!$B$4,nASIG,"Lenguaje Musical"),""))</f>
        <v/>
      </c>
      <c r="I646" t="str">
        <f>IF(G646="","",IFERROR(AVERAGEIFS(nNOTA,nNIA,G646,nEVAL,CONFIG_METADATA!$B$4,nASIG,"Coro"),""))</f>
        <v/>
      </c>
      <c r="J646" t="str">
        <f>IF(G646="","",IFERROR(AVERAGEIFS(nNOTA,nNIA,G646,nEVAL,CONFIG_METADATA!$B$4,nASIG,"Conjunto"),""))</f>
        <v/>
      </c>
      <c r="K646" t="str" cm="1">
        <f t="array" ref="K646">IF(G646="","",IFERROR(AVERAGE(IF((nNIA=G646)*(nEVAL=CONFIG_METADATA!$B$4)*(nASIG&lt;&gt;"Lenguaje Musical")*(nASIG&lt;&gt;"Coro")*(nASIG&lt;&gt;"Conjunto"),nNOTA)),""))</f>
        <v/>
      </c>
      <c r="N646" t="str">
        <f>IF(M646="","",IFERROR(AVERAGEIFS(nNOTA,nNIA,M646,nEVAL,CONFIG_METADATA!$B$4,nASIG,"Lenguaje Musical"),""))</f>
        <v/>
      </c>
      <c r="O646" t="str">
        <f>IF(M646="","",IFERROR(AVERAGEIFS(nNOTA,nNIA,M646,nEVAL,CONFIG_METADATA!$B$4,nASIG,"Coro"),""))</f>
        <v/>
      </c>
      <c r="P646" t="str">
        <f>IF(M646="","",IFERROR(AVERAGEIFS(nNOTA,nNIA,M646,nEVAL,CONFIG_METADATA!$B$4,nASIG,"Conjunto"),""))</f>
        <v/>
      </c>
      <c r="Q646" t="str">
        <f>IF(M646="","",IFERROR(AVERAGEIFS(nNOTA,nNIA,M646,nEVAL,CONFIG_METADATA!$B$4,nASIG,"&lt;&gt;Lenguaje Musical",nASIG,"&lt;&gt;Coro",nASIG,"&lt;&gt;Conjunto"),""))</f>
        <v/>
      </c>
      <c r="T646" t="str">
        <f>IF(S646="","",IFERROR(AVERAGEIFS(nNOTA,nNIA,S646,nEVAL,CONFIG_METADATA!$B$4,nASIG,"Lenguaje Musical"),""))</f>
        <v/>
      </c>
      <c r="U646" t="str">
        <f>IF(S646="","",IFERROR(AVERAGEIFS(nNOTA,nNIA,S646,nEVAL,CONFIG_METADATA!$B$4,nASIG,"Coro"),""))</f>
        <v/>
      </c>
      <c r="V646" t="str">
        <f>IF(S646="","",IFERROR(AVERAGEIFS(nNOTA,nNIA,S646,nEVAL,CONFIG_METADATA!$B$4,nASIG,"Conjunto"),""))</f>
        <v/>
      </c>
      <c r="W646" t="str" cm="1">
        <f t="array" ref="W646">IF(S646="","",IFERROR(AVERAGE(IF((nNIA=S646)*(nEVAL=CONFIG_METADATA!$B$4)*(nASIG&lt;&gt;"Lenguaje Musical")*(nASIG&lt;&gt;"Coro")*(nASIG&lt;&gt;"Conjunto"),nNOTA)),""))</f>
        <v/>
      </c>
    </row>
    <row r="647" spans="2:23" x14ac:dyDescent="0.2">
      <c r="B647" t="str">
        <f>IF(A647="","",IFERROR(AVERAGEIFS(nNOTA,nNIA,A647,nEVAL,CONFIG_METADATA!$B$4,nASIG,"Lenguaje Musical"),""))</f>
        <v/>
      </c>
      <c r="C647" t="str">
        <f>IF(A647="","",IFERROR(AVERAGEIFS(nNOTA,nNIA,A647,nEVAL,CONFIG_METADATA!$B$4,nASIG,"Coro"),""))</f>
        <v/>
      </c>
      <c r="D647" t="str">
        <f>IF(A647="","",IFERROR(AVERAGEIFS(nNOTA,nNIA,A647,nEVAL,CONFIG_METADATA!$B$4,nASIG,"Conjunto"),""))</f>
        <v/>
      </c>
      <c r="E647" t="str">
        <f>IF(A647="","",IFERROR(AVERAGEIFS(nNOTA,nNIA,A647,nEVAL,CONFIG_METADATA!$B$4,nASIG,"&lt;&gt;Lenguaje Musical",nASIG,"&lt;&gt;Coro",nASIG,"&lt;&gt;Conjunto"),""))</f>
        <v/>
      </c>
      <c r="H647" t="str">
        <f>IF(G647="","",IFERROR(AVERAGEIFS(nNOTA,nNIA,G647,nEVAL,CONFIG_METADATA!$B$4,nASIG,"Lenguaje Musical"),""))</f>
        <v/>
      </c>
      <c r="I647" t="str">
        <f>IF(G647="","",IFERROR(AVERAGEIFS(nNOTA,nNIA,G647,nEVAL,CONFIG_METADATA!$B$4,nASIG,"Coro"),""))</f>
        <v/>
      </c>
      <c r="J647" t="str">
        <f>IF(G647="","",IFERROR(AVERAGEIFS(nNOTA,nNIA,G647,nEVAL,CONFIG_METADATA!$B$4,nASIG,"Conjunto"),""))</f>
        <v/>
      </c>
      <c r="K647" t="str" cm="1">
        <f t="array" ref="K647">IF(G647="","",IFERROR(AVERAGE(IF((nNIA=G647)*(nEVAL=CONFIG_METADATA!$B$4)*(nASIG&lt;&gt;"Lenguaje Musical")*(nASIG&lt;&gt;"Coro")*(nASIG&lt;&gt;"Conjunto"),nNOTA)),""))</f>
        <v/>
      </c>
      <c r="N647" t="str">
        <f>IF(M647="","",IFERROR(AVERAGEIFS(nNOTA,nNIA,M647,nEVAL,CONFIG_METADATA!$B$4,nASIG,"Lenguaje Musical"),""))</f>
        <v/>
      </c>
      <c r="O647" t="str">
        <f>IF(M647="","",IFERROR(AVERAGEIFS(nNOTA,nNIA,M647,nEVAL,CONFIG_METADATA!$B$4,nASIG,"Coro"),""))</f>
        <v/>
      </c>
      <c r="P647" t="str">
        <f>IF(M647="","",IFERROR(AVERAGEIFS(nNOTA,nNIA,M647,nEVAL,CONFIG_METADATA!$B$4,nASIG,"Conjunto"),""))</f>
        <v/>
      </c>
      <c r="Q647" t="str">
        <f>IF(M647="","",IFERROR(AVERAGEIFS(nNOTA,nNIA,M647,nEVAL,CONFIG_METADATA!$B$4,nASIG,"&lt;&gt;Lenguaje Musical",nASIG,"&lt;&gt;Coro",nASIG,"&lt;&gt;Conjunto"),""))</f>
        <v/>
      </c>
      <c r="T647" t="str">
        <f>IF(S647="","",IFERROR(AVERAGEIFS(nNOTA,nNIA,S647,nEVAL,CONFIG_METADATA!$B$4,nASIG,"Lenguaje Musical"),""))</f>
        <v/>
      </c>
      <c r="U647" t="str">
        <f>IF(S647="","",IFERROR(AVERAGEIFS(nNOTA,nNIA,S647,nEVAL,CONFIG_METADATA!$B$4,nASIG,"Coro"),""))</f>
        <v/>
      </c>
      <c r="V647" t="str">
        <f>IF(S647="","",IFERROR(AVERAGEIFS(nNOTA,nNIA,S647,nEVAL,CONFIG_METADATA!$B$4,nASIG,"Conjunto"),""))</f>
        <v/>
      </c>
      <c r="W647" t="str" cm="1">
        <f t="array" ref="W647">IF(S647="","",IFERROR(AVERAGE(IF((nNIA=S647)*(nEVAL=CONFIG_METADATA!$B$4)*(nASIG&lt;&gt;"Lenguaje Musical")*(nASIG&lt;&gt;"Coro")*(nASIG&lt;&gt;"Conjunto"),nNOTA)),""))</f>
        <v/>
      </c>
    </row>
    <row r="648" spans="2:23" x14ac:dyDescent="0.2">
      <c r="B648" t="str">
        <f>IF(A648="","",IFERROR(AVERAGEIFS(nNOTA,nNIA,A648,nEVAL,CONFIG_METADATA!$B$4,nASIG,"Lenguaje Musical"),""))</f>
        <v/>
      </c>
      <c r="C648" t="str">
        <f>IF(A648="","",IFERROR(AVERAGEIFS(nNOTA,nNIA,A648,nEVAL,CONFIG_METADATA!$B$4,nASIG,"Coro"),""))</f>
        <v/>
      </c>
      <c r="D648" t="str">
        <f>IF(A648="","",IFERROR(AVERAGEIFS(nNOTA,nNIA,A648,nEVAL,CONFIG_METADATA!$B$4,nASIG,"Conjunto"),""))</f>
        <v/>
      </c>
      <c r="E648" t="str">
        <f>IF(A648="","",IFERROR(AVERAGEIFS(nNOTA,nNIA,A648,nEVAL,CONFIG_METADATA!$B$4,nASIG,"&lt;&gt;Lenguaje Musical",nASIG,"&lt;&gt;Coro",nASIG,"&lt;&gt;Conjunto"),""))</f>
        <v/>
      </c>
      <c r="H648" t="str">
        <f>IF(G648="","",IFERROR(AVERAGEIFS(nNOTA,nNIA,G648,nEVAL,CONFIG_METADATA!$B$4,nASIG,"Lenguaje Musical"),""))</f>
        <v/>
      </c>
      <c r="I648" t="str">
        <f>IF(G648="","",IFERROR(AVERAGEIFS(nNOTA,nNIA,G648,nEVAL,CONFIG_METADATA!$B$4,nASIG,"Coro"),""))</f>
        <v/>
      </c>
      <c r="J648" t="str">
        <f>IF(G648="","",IFERROR(AVERAGEIFS(nNOTA,nNIA,G648,nEVAL,CONFIG_METADATA!$B$4,nASIG,"Conjunto"),""))</f>
        <v/>
      </c>
      <c r="K648" t="str" cm="1">
        <f t="array" ref="K648">IF(G648="","",IFERROR(AVERAGE(IF((nNIA=G648)*(nEVAL=CONFIG_METADATA!$B$4)*(nASIG&lt;&gt;"Lenguaje Musical")*(nASIG&lt;&gt;"Coro")*(nASIG&lt;&gt;"Conjunto"),nNOTA)),""))</f>
        <v/>
      </c>
      <c r="N648" t="str">
        <f>IF(M648="","",IFERROR(AVERAGEIFS(nNOTA,nNIA,M648,nEVAL,CONFIG_METADATA!$B$4,nASIG,"Lenguaje Musical"),""))</f>
        <v/>
      </c>
      <c r="O648" t="str">
        <f>IF(M648="","",IFERROR(AVERAGEIFS(nNOTA,nNIA,M648,nEVAL,CONFIG_METADATA!$B$4,nASIG,"Coro"),""))</f>
        <v/>
      </c>
      <c r="P648" t="str">
        <f>IF(M648="","",IFERROR(AVERAGEIFS(nNOTA,nNIA,M648,nEVAL,CONFIG_METADATA!$B$4,nASIG,"Conjunto"),""))</f>
        <v/>
      </c>
      <c r="Q648" t="str">
        <f>IF(M648="","",IFERROR(AVERAGEIFS(nNOTA,nNIA,M648,nEVAL,CONFIG_METADATA!$B$4,nASIG,"&lt;&gt;Lenguaje Musical",nASIG,"&lt;&gt;Coro",nASIG,"&lt;&gt;Conjunto"),""))</f>
        <v/>
      </c>
      <c r="T648" t="str">
        <f>IF(S648="","",IFERROR(AVERAGEIFS(nNOTA,nNIA,S648,nEVAL,CONFIG_METADATA!$B$4,nASIG,"Lenguaje Musical"),""))</f>
        <v/>
      </c>
      <c r="U648" t="str">
        <f>IF(S648="","",IFERROR(AVERAGEIFS(nNOTA,nNIA,S648,nEVAL,CONFIG_METADATA!$B$4,nASIG,"Coro"),""))</f>
        <v/>
      </c>
      <c r="V648" t="str">
        <f>IF(S648="","",IFERROR(AVERAGEIFS(nNOTA,nNIA,S648,nEVAL,CONFIG_METADATA!$B$4,nASIG,"Conjunto"),""))</f>
        <v/>
      </c>
      <c r="W648" t="str" cm="1">
        <f t="array" ref="W648">IF(S648="","",IFERROR(AVERAGE(IF((nNIA=S648)*(nEVAL=CONFIG_METADATA!$B$4)*(nASIG&lt;&gt;"Lenguaje Musical")*(nASIG&lt;&gt;"Coro")*(nASIG&lt;&gt;"Conjunto"),nNOTA)),""))</f>
        <v/>
      </c>
    </row>
    <row r="649" spans="2:23" x14ac:dyDescent="0.2">
      <c r="B649" t="str">
        <f>IF(A649="","",IFERROR(AVERAGEIFS(nNOTA,nNIA,A649,nEVAL,CONFIG_METADATA!$B$4,nASIG,"Lenguaje Musical"),""))</f>
        <v/>
      </c>
      <c r="C649" t="str">
        <f>IF(A649="","",IFERROR(AVERAGEIFS(nNOTA,nNIA,A649,nEVAL,CONFIG_METADATA!$B$4,nASIG,"Coro"),""))</f>
        <v/>
      </c>
      <c r="D649" t="str">
        <f>IF(A649="","",IFERROR(AVERAGEIFS(nNOTA,nNIA,A649,nEVAL,CONFIG_METADATA!$B$4,nASIG,"Conjunto"),""))</f>
        <v/>
      </c>
      <c r="E649" t="str">
        <f>IF(A649="","",IFERROR(AVERAGEIFS(nNOTA,nNIA,A649,nEVAL,CONFIG_METADATA!$B$4,nASIG,"&lt;&gt;Lenguaje Musical",nASIG,"&lt;&gt;Coro",nASIG,"&lt;&gt;Conjunto"),""))</f>
        <v/>
      </c>
      <c r="H649" t="str">
        <f>IF(G649="","",IFERROR(AVERAGEIFS(nNOTA,nNIA,G649,nEVAL,CONFIG_METADATA!$B$4,nASIG,"Lenguaje Musical"),""))</f>
        <v/>
      </c>
      <c r="I649" t="str">
        <f>IF(G649="","",IFERROR(AVERAGEIFS(nNOTA,nNIA,G649,nEVAL,CONFIG_METADATA!$B$4,nASIG,"Coro"),""))</f>
        <v/>
      </c>
      <c r="J649" t="str">
        <f>IF(G649="","",IFERROR(AVERAGEIFS(nNOTA,nNIA,G649,nEVAL,CONFIG_METADATA!$B$4,nASIG,"Conjunto"),""))</f>
        <v/>
      </c>
      <c r="K649" t="str" cm="1">
        <f t="array" ref="K649">IF(G649="","",IFERROR(AVERAGE(IF((nNIA=G649)*(nEVAL=CONFIG_METADATA!$B$4)*(nASIG&lt;&gt;"Lenguaje Musical")*(nASIG&lt;&gt;"Coro")*(nASIG&lt;&gt;"Conjunto"),nNOTA)),""))</f>
        <v/>
      </c>
      <c r="N649" t="str">
        <f>IF(M649="","",IFERROR(AVERAGEIFS(nNOTA,nNIA,M649,nEVAL,CONFIG_METADATA!$B$4,nASIG,"Lenguaje Musical"),""))</f>
        <v/>
      </c>
      <c r="O649" t="str">
        <f>IF(M649="","",IFERROR(AVERAGEIFS(nNOTA,nNIA,M649,nEVAL,CONFIG_METADATA!$B$4,nASIG,"Coro"),""))</f>
        <v/>
      </c>
      <c r="P649" t="str">
        <f>IF(M649="","",IFERROR(AVERAGEIFS(nNOTA,nNIA,M649,nEVAL,CONFIG_METADATA!$B$4,nASIG,"Conjunto"),""))</f>
        <v/>
      </c>
      <c r="Q649" t="str">
        <f>IF(M649="","",IFERROR(AVERAGEIFS(nNOTA,nNIA,M649,nEVAL,CONFIG_METADATA!$B$4,nASIG,"&lt;&gt;Lenguaje Musical",nASIG,"&lt;&gt;Coro",nASIG,"&lt;&gt;Conjunto"),""))</f>
        <v/>
      </c>
      <c r="T649" t="str">
        <f>IF(S649="","",IFERROR(AVERAGEIFS(nNOTA,nNIA,S649,nEVAL,CONFIG_METADATA!$B$4,nASIG,"Lenguaje Musical"),""))</f>
        <v/>
      </c>
      <c r="U649" t="str">
        <f>IF(S649="","",IFERROR(AVERAGEIFS(nNOTA,nNIA,S649,nEVAL,CONFIG_METADATA!$B$4,nASIG,"Coro"),""))</f>
        <v/>
      </c>
      <c r="V649" t="str">
        <f>IF(S649="","",IFERROR(AVERAGEIFS(nNOTA,nNIA,S649,nEVAL,CONFIG_METADATA!$B$4,nASIG,"Conjunto"),""))</f>
        <v/>
      </c>
      <c r="W649" t="str" cm="1">
        <f t="array" ref="W649">IF(S649="","",IFERROR(AVERAGE(IF((nNIA=S649)*(nEVAL=CONFIG_METADATA!$B$4)*(nASIG&lt;&gt;"Lenguaje Musical")*(nASIG&lt;&gt;"Coro")*(nASIG&lt;&gt;"Conjunto"),nNOTA)),""))</f>
        <v/>
      </c>
    </row>
    <row r="650" spans="2:23" x14ac:dyDescent="0.2">
      <c r="B650" t="str">
        <f>IF(A650="","",IFERROR(AVERAGEIFS(nNOTA,nNIA,A650,nEVAL,CONFIG_METADATA!$B$4,nASIG,"Lenguaje Musical"),""))</f>
        <v/>
      </c>
      <c r="C650" t="str">
        <f>IF(A650="","",IFERROR(AVERAGEIFS(nNOTA,nNIA,A650,nEVAL,CONFIG_METADATA!$B$4,nASIG,"Coro"),""))</f>
        <v/>
      </c>
      <c r="D650" t="str">
        <f>IF(A650="","",IFERROR(AVERAGEIFS(nNOTA,nNIA,A650,nEVAL,CONFIG_METADATA!$B$4,nASIG,"Conjunto"),""))</f>
        <v/>
      </c>
      <c r="E650" t="str">
        <f>IF(A650="","",IFERROR(AVERAGEIFS(nNOTA,nNIA,A650,nEVAL,CONFIG_METADATA!$B$4,nASIG,"&lt;&gt;Lenguaje Musical",nASIG,"&lt;&gt;Coro",nASIG,"&lt;&gt;Conjunto"),""))</f>
        <v/>
      </c>
      <c r="H650" t="str">
        <f>IF(G650="","",IFERROR(AVERAGEIFS(nNOTA,nNIA,G650,nEVAL,CONFIG_METADATA!$B$4,nASIG,"Lenguaje Musical"),""))</f>
        <v/>
      </c>
      <c r="I650" t="str">
        <f>IF(G650="","",IFERROR(AVERAGEIFS(nNOTA,nNIA,G650,nEVAL,CONFIG_METADATA!$B$4,nASIG,"Coro"),""))</f>
        <v/>
      </c>
      <c r="J650" t="str">
        <f>IF(G650="","",IFERROR(AVERAGEIFS(nNOTA,nNIA,G650,nEVAL,CONFIG_METADATA!$B$4,nASIG,"Conjunto"),""))</f>
        <v/>
      </c>
      <c r="K650" t="str" cm="1">
        <f t="array" ref="K650">IF(G650="","",IFERROR(AVERAGE(IF((nNIA=G650)*(nEVAL=CONFIG_METADATA!$B$4)*(nASIG&lt;&gt;"Lenguaje Musical")*(nASIG&lt;&gt;"Coro")*(nASIG&lt;&gt;"Conjunto"),nNOTA)),""))</f>
        <v/>
      </c>
      <c r="N650" t="str">
        <f>IF(M650="","",IFERROR(AVERAGEIFS(nNOTA,nNIA,M650,nEVAL,CONFIG_METADATA!$B$4,nASIG,"Lenguaje Musical"),""))</f>
        <v/>
      </c>
      <c r="O650" t="str">
        <f>IF(M650="","",IFERROR(AVERAGEIFS(nNOTA,nNIA,M650,nEVAL,CONFIG_METADATA!$B$4,nASIG,"Coro"),""))</f>
        <v/>
      </c>
      <c r="P650" t="str">
        <f>IF(M650="","",IFERROR(AVERAGEIFS(nNOTA,nNIA,M650,nEVAL,CONFIG_METADATA!$B$4,nASIG,"Conjunto"),""))</f>
        <v/>
      </c>
      <c r="Q650" t="str">
        <f>IF(M650="","",IFERROR(AVERAGEIFS(nNOTA,nNIA,M650,nEVAL,CONFIG_METADATA!$B$4,nASIG,"&lt;&gt;Lenguaje Musical",nASIG,"&lt;&gt;Coro",nASIG,"&lt;&gt;Conjunto"),""))</f>
        <v/>
      </c>
      <c r="T650" t="str">
        <f>IF(S650="","",IFERROR(AVERAGEIFS(nNOTA,nNIA,S650,nEVAL,CONFIG_METADATA!$B$4,nASIG,"Lenguaje Musical"),""))</f>
        <v/>
      </c>
      <c r="U650" t="str">
        <f>IF(S650="","",IFERROR(AVERAGEIFS(nNOTA,nNIA,S650,nEVAL,CONFIG_METADATA!$B$4,nASIG,"Coro"),""))</f>
        <v/>
      </c>
      <c r="V650" t="str">
        <f>IF(S650="","",IFERROR(AVERAGEIFS(nNOTA,nNIA,S650,nEVAL,CONFIG_METADATA!$B$4,nASIG,"Conjunto"),""))</f>
        <v/>
      </c>
      <c r="W650" t="str" cm="1">
        <f t="array" ref="W650">IF(S650="","",IFERROR(AVERAGE(IF((nNIA=S650)*(nEVAL=CONFIG_METADATA!$B$4)*(nASIG&lt;&gt;"Lenguaje Musical")*(nASIG&lt;&gt;"Coro")*(nASIG&lt;&gt;"Conjunto"),nNOTA)),""))</f>
        <v/>
      </c>
    </row>
    <row r="651" spans="2:23" x14ac:dyDescent="0.2">
      <c r="B651" t="str">
        <f>IF(A651="","",IFERROR(AVERAGEIFS(nNOTA,nNIA,A651,nEVAL,CONFIG_METADATA!$B$4,nASIG,"Lenguaje Musical"),""))</f>
        <v/>
      </c>
      <c r="C651" t="str">
        <f>IF(A651="","",IFERROR(AVERAGEIFS(nNOTA,nNIA,A651,nEVAL,CONFIG_METADATA!$B$4,nASIG,"Coro"),""))</f>
        <v/>
      </c>
      <c r="D651" t="str">
        <f>IF(A651="","",IFERROR(AVERAGEIFS(nNOTA,nNIA,A651,nEVAL,CONFIG_METADATA!$B$4,nASIG,"Conjunto"),""))</f>
        <v/>
      </c>
      <c r="E651" t="str">
        <f>IF(A651="","",IFERROR(AVERAGEIFS(nNOTA,nNIA,A651,nEVAL,CONFIG_METADATA!$B$4,nASIG,"&lt;&gt;Lenguaje Musical",nASIG,"&lt;&gt;Coro",nASIG,"&lt;&gt;Conjunto"),""))</f>
        <v/>
      </c>
      <c r="H651" t="str">
        <f>IF(G651="","",IFERROR(AVERAGEIFS(nNOTA,nNIA,G651,nEVAL,CONFIG_METADATA!$B$4,nASIG,"Lenguaje Musical"),""))</f>
        <v/>
      </c>
      <c r="I651" t="str">
        <f>IF(G651="","",IFERROR(AVERAGEIFS(nNOTA,nNIA,G651,nEVAL,CONFIG_METADATA!$B$4,nASIG,"Coro"),""))</f>
        <v/>
      </c>
      <c r="J651" t="str">
        <f>IF(G651="","",IFERROR(AVERAGEIFS(nNOTA,nNIA,G651,nEVAL,CONFIG_METADATA!$B$4,nASIG,"Conjunto"),""))</f>
        <v/>
      </c>
      <c r="K651" t="str" cm="1">
        <f t="array" ref="K651">IF(G651="","",IFERROR(AVERAGE(IF((nNIA=G651)*(nEVAL=CONFIG_METADATA!$B$4)*(nASIG&lt;&gt;"Lenguaje Musical")*(nASIG&lt;&gt;"Coro")*(nASIG&lt;&gt;"Conjunto"),nNOTA)),""))</f>
        <v/>
      </c>
      <c r="N651" t="str">
        <f>IF(M651="","",IFERROR(AVERAGEIFS(nNOTA,nNIA,M651,nEVAL,CONFIG_METADATA!$B$4,nASIG,"Lenguaje Musical"),""))</f>
        <v/>
      </c>
      <c r="O651" t="str">
        <f>IF(M651="","",IFERROR(AVERAGEIFS(nNOTA,nNIA,M651,nEVAL,CONFIG_METADATA!$B$4,nASIG,"Coro"),""))</f>
        <v/>
      </c>
      <c r="P651" t="str">
        <f>IF(M651="","",IFERROR(AVERAGEIFS(nNOTA,nNIA,M651,nEVAL,CONFIG_METADATA!$B$4,nASIG,"Conjunto"),""))</f>
        <v/>
      </c>
      <c r="Q651" t="str">
        <f>IF(M651="","",IFERROR(AVERAGEIFS(nNOTA,nNIA,M651,nEVAL,CONFIG_METADATA!$B$4,nASIG,"&lt;&gt;Lenguaje Musical",nASIG,"&lt;&gt;Coro",nASIG,"&lt;&gt;Conjunto"),""))</f>
        <v/>
      </c>
      <c r="T651" t="str">
        <f>IF(S651="","",IFERROR(AVERAGEIFS(nNOTA,nNIA,S651,nEVAL,CONFIG_METADATA!$B$4,nASIG,"Lenguaje Musical"),""))</f>
        <v/>
      </c>
      <c r="U651" t="str">
        <f>IF(S651="","",IFERROR(AVERAGEIFS(nNOTA,nNIA,S651,nEVAL,CONFIG_METADATA!$B$4,nASIG,"Coro"),""))</f>
        <v/>
      </c>
      <c r="V651" t="str">
        <f>IF(S651="","",IFERROR(AVERAGEIFS(nNOTA,nNIA,S651,nEVAL,CONFIG_METADATA!$B$4,nASIG,"Conjunto"),""))</f>
        <v/>
      </c>
      <c r="W651" t="str" cm="1">
        <f t="array" ref="W651">IF(S651="","",IFERROR(AVERAGE(IF((nNIA=S651)*(nEVAL=CONFIG_METADATA!$B$4)*(nASIG&lt;&gt;"Lenguaje Musical")*(nASIG&lt;&gt;"Coro")*(nASIG&lt;&gt;"Conjunto"),nNOTA)),""))</f>
        <v/>
      </c>
    </row>
    <row r="652" spans="2:23" x14ac:dyDescent="0.2">
      <c r="B652" t="str">
        <f>IF(A652="","",IFERROR(AVERAGEIFS(nNOTA,nNIA,A652,nEVAL,CONFIG_METADATA!$B$4,nASIG,"Lenguaje Musical"),""))</f>
        <v/>
      </c>
      <c r="C652" t="str">
        <f>IF(A652="","",IFERROR(AVERAGEIFS(nNOTA,nNIA,A652,nEVAL,CONFIG_METADATA!$B$4,nASIG,"Coro"),""))</f>
        <v/>
      </c>
      <c r="D652" t="str">
        <f>IF(A652="","",IFERROR(AVERAGEIFS(nNOTA,nNIA,A652,nEVAL,CONFIG_METADATA!$B$4,nASIG,"Conjunto"),""))</f>
        <v/>
      </c>
      <c r="E652" t="str">
        <f>IF(A652="","",IFERROR(AVERAGEIFS(nNOTA,nNIA,A652,nEVAL,CONFIG_METADATA!$B$4,nASIG,"&lt;&gt;Lenguaje Musical",nASIG,"&lt;&gt;Coro",nASIG,"&lt;&gt;Conjunto"),""))</f>
        <v/>
      </c>
      <c r="H652" t="str">
        <f>IF(G652="","",IFERROR(AVERAGEIFS(nNOTA,nNIA,G652,nEVAL,CONFIG_METADATA!$B$4,nASIG,"Lenguaje Musical"),""))</f>
        <v/>
      </c>
      <c r="I652" t="str">
        <f>IF(G652="","",IFERROR(AVERAGEIFS(nNOTA,nNIA,G652,nEVAL,CONFIG_METADATA!$B$4,nASIG,"Coro"),""))</f>
        <v/>
      </c>
      <c r="J652" t="str">
        <f>IF(G652="","",IFERROR(AVERAGEIFS(nNOTA,nNIA,G652,nEVAL,CONFIG_METADATA!$B$4,nASIG,"Conjunto"),""))</f>
        <v/>
      </c>
      <c r="K652" t="str" cm="1">
        <f t="array" ref="K652">IF(G652="","",IFERROR(AVERAGE(IF((nNIA=G652)*(nEVAL=CONFIG_METADATA!$B$4)*(nASIG&lt;&gt;"Lenguaje Musical")*(nASIG&lt;&gt;"Coro")*(nASIG&lt;&gt;"Conjunto"),nNOTA)),""))</f>
        <v/>
      </c>
      <c r="N652" t="str">
        <f>IF(M652="","",IFERROR(AVERAGEIFS(nNOTA,nNIA,M652,nEVAL,CONFIG_METADATA!$B$4,nASIG,"Lenguaje Musical"),""))</f>
        <v/>
      </c>
      <c r="O652" t="str">
        <f>IF(M652="","",IFERROR(AVERAGEIFS(nNOTA,nNIA,M652,nEVAL,CONFIG_METADATA!$B$4,nASIG,"Coro"),""))</f>
        <v/>
      </c>
      <c r="P652" t="str">
        <f>IF(M652="","",IFERROR(AVERAGEIFS(nNOTA,nNIA,M652,nEVAL,CONFIG_METADATA!$B$4,nASIG,"Conjunto"),""))</f>
        <v/>
      </c>
      <c r="Q652" t="str">
        <f>IF(M652="","",IFERROR(AVERAGEIFS(nNOTA,nNIA,M652,nEVAL,CONFIG_METADATA!$B$4,nASIG,"&lt;&gt;Lenguaje Musical",nASIG,"&lt;&gt;Coro",nASIG,"&lt;&gt;Conjunto"),""))</f>
        <v/>
      </c>
      <c r="T652" t="str">
        <f>IF(S652="","",IFERROR(AVERAGEIFS(nNOTA,nNIA,S652,nEVAL,CONFIG_METADATA!$B$4,nASIG,"Lenguaje Musical"),""))</f>
        <v/>
      </c>
      <c r="U652" t="str">
        <f>IF(S652="","",IFERROR(AVERAGEIFS(nNOTA,nNIA,S652,nEVAL,CONFIG_METADATA!$B$4,nASIG,"Coro"),""))</f>
        <v/>
      </c>
      <c r="V652" t="str">
        <f>IF(S652="","",IFERROR(AVERAGEIFS(nNOTA,nNIA,S652,nEVAL,CONFIG_METADATA!$B$4,nASIG,"Conjunto"),""))</f>
        <v/>
      </c>
      <c r="W652" t="str" cm="1">
        <f t="array" ref="W652">IF(S652="","",IFERROR(AVERAGE(IF((nNIA=S652)*(nEVAL=CONFIG_METADATA!$B$4)*(nASIG&lt;&gt;"Lenguaje Musical")*(nASIG&lt;&gt;"Coro")*(nASIG&lt;&gt;"Conjunto"),nNOTA)),""))</f>
        <v/>
      </c>
    </row>
    <row r="653" spans="2:23" x14ac:dyDescent="0.2">
      <c r="B653" t="str">
        <f>IF(A653="","",IFERROR(AVERAGEIFS(nNOTA,nNIA,A653,nEVAL,CONFIG_METADATA!$B$4,nASIG,"Lenguaje Musical"),""))</f>
        <v/>
      </c>
      <c r="C653" t="str">
        <f>IF(A653="","",IFERROR(AVERAGEIFS(nNOTA,nNIA,A653,nEVAL,CONFIG_METADATA!$B$4,nASIG,"Coro"),""))</f>
        <v/>
      </c>
      <c r="D653" t="str">
        <f>IF(A653="","",IFERROR(AVERAGEIFS(nNOTA,nNIA,A653,nEVAL,CONFIG_METADATA!$B$4,nASIG,"Conjunto"),""))</f>
        <v/>
      </c>
      <c r="E653" t="str">
        <f>IF(A653="","",IFERROR(AVERAGEIFS(nNOTA,nNIA,A653,nEVAL,CONFIG_METADATA!$B$4,nASIG,"&lt;&gt;Lenguaje Musical",nASIG,"&lt;&gt;Coro",nASIG,"&lt;&gt;Conjunto"),""))</f>
        <v/>
      </c>
      <c r="H653" t="str">
        <f>IF(G653="","",IFERROR(AVERAGEIFS(nNOTA,nNIA,G653,nEVAL,CONFIG_METADATA!$B$4,nASIG,"Lenguaje Musical"),""))</f>
        <v/>
      </c>
      <c r="I653" t="str">
        <f>IF(G653="","",IFERROR(AVERAGEIFS(nNOTA,nNIA,G653,nEVAL,CONFIG_METADATA!$B$4,nASIG,"Coro"),""))</f>
        <v/>
      </c>
      <c r="J653" t="str">
        <f>IF(G653="","",IFERROR(AVERAGEIFS(nNOTA,nNIA,G653,nEVAL,CONFIG_METADATA!$B$4,nASIG,"Conjunto"),""))</f>
        <v/>
      </c>
      <c r="K653" t="str" cm="1">
        <f t="array" ref="K653">IF(G653="","",IFERROR(AVERAGE(IF((nNIA=G653)*(nEVAL=CONFIG_METADATA!$B$4)*(nASIG&lt;&gt;"Lenguaje Musical")*(nASIG&lt;&gt;"Coro")*(nASIG&lt;&gt;"Conjunto"),nNOTA)),""))</f>
        <v/>
      </c>
      <c r="N653" t="str">
        <f>IF(M653="","",IFERROR(AVERAGEIFS(nNOTA,nNIA,M653,nEVAL,CONFIG_METADATA!$B$4,nASIG,"Lenguaje Musical"),""))</f>
        <v/>
      </c>
      <c r="O653" t="str">
        <f>IF(M653="","",IFERROR(AVERAGEIFS(nNOTA,nNIA,M653,nEVAL,CONFIG_METADATA!$B$4,nASIG,"Coro"),""))</f>
        <v/>
      </c>
      <c r="P653" t="str">
        <f>IF(M653="","",IFERROR(AVERAGEIFS(nNOTA,nNIA,M653,nEVAL,CONFIG_METADATA!$B$4,nASIG,"Conjunto"),""))</f>
        <v/>
      </c>
      <c r="Q653" t="str">
        <f>IF(M653="","",IFERROR(AVERAGEIFS(nNOTA,nNIA,M653,nEVAL,CONFIG_METADATA!$B$4,nASIG,"&lt;&gt;Lenguaje Musical",nASIG,"&lt;&gt;Coro",nASIG,"&lt;&gt;Conjunto"),""))</f>
        <v/>
      </c>
      <c r="T653" t="str">
        <f>IF(S653="","",IFERROR(AVERAGEIFS(nNOTA,nNIA,S653,nEVAL,CONFIG_METADATA!$B$4,nASIG,"Lenguaje Musical"),""))</f>
        <v/>
      </c>
      <c r="U653" t="str">
        <f>IF(S653="","",IFERROR(AVERAGEIFS(nNOTA,nNIA,S653,nEVAL,CONFIG_METADATA!$B$4,nASIG,"Coro"),""))</f>
        <v/>
      </c>
      <c r="V653" t="str">
        <f>IF(S653="","",IFERROR(AVERAGEIFS(nNOTA,nNIA,S653,nEVAL,CONFIG_METADATA!$B$4,nASIG,"Conjunto"),""))</f>
        <v/>
      </c>
      <c r="W653" t="str" cm="1">
        <f t="array" ref="W653">IF(S653="","",IFERROR(AVERAGE(IF((nNIA=S653)*(nEVAL=CONFIG_METADATA!$B$4)*(nASIG&lt;&gt;"Lenguaje Musical")*(nASIG&lt;&gt;"Coro")*(nASIG&lt;&gt;"Conjunto"),nNOTA)),""))</f>
        <v/>
      </c>
    </row>
    <row r="654" spans="2:23" x14ac:dyDescent="0.2">
      <c r="B654" t="str">
        <f>IF(A654="","",IFERROR(AVERAGEIFS(nNOTA,nNIA,A654,nEVAL,CONFIG_METADATA!$B$4,nASIG,"Lenguaje Musical"),""))</f>
        <v/>
      </c>
      <c r="C654" t="str">
        <f>IF(A654="","",IFERROR(AVERAGEIFS(nNOTA,nNIA,A654,nEVAL,CONFIG_METADATA!$B$4,nASIG,"Coro"),""))</f>
        <v/>
      </c>
      <c r="D654" t="str">
        <f>IF(A654="","",IFERROR(AVERAGEIFS(nNOTA,nNIA,A654,nEVAL,CONFIG_METADATA!$B$4,nASIG,"Conjunto"),""))</f>
        <v/>
      </c>
      <c r="E654" t="str">
        <f>IF(A654="","",IFERROR(AVERAGEIFS(nNOTA,nNIA,A654,nEVAL,CONFIG_METADATA!$B$4,nASIG,"&lt;&gt;Lenguaje Musical",nASIG,"&lt;&gt;Coro",nASIG,"&lt;&gt;Conjunto"),""))</f>
        <v/>
      </c>
      <c r="H654" t="str">
        <f>IF(G654="","",IFERROR(AVERAGEIFS(nNOTA,nNIA,G654,nEVAL,CONFIG_METADATA!$B$4,nASIG,"Lenguaje Musical"),""))</f>
        <v/>
      </c>
      <c r="I654" t="str">
        <f>IF(G654="","",IFERROR(AVERAGEIFS(nNOTA,nNIA,G654,nEVAL,CONFIG_METADATA!$B$4,nASIG,"Coro"),""))</f>
        <v/>
      </c>
      <c r="J654" t="str">
        <f>IF(G654="","",IFERROR(AVERAGEIFS(nNOTA,nNIA,G654,nEVAL,CONFIG_METADATA!$B$4,nASIG,"Conjunto"),""))</f>
        <v/>
      </c>
      <c r="K654" t="str" cm="1">
        <f t="array" ref="K654">IF(G654="","",IFERROR(AVERAGE(IF((nNIA=G654)*(nEVAL=CONFIG_METADATA!$B$4)*(nASIG&lt;&gt;"Lenguaje Musical")*(nASIG&lt;&gt;"Coro")*(nASIG&lt;&gt;"Conjunto"),nNOTA)),""))</f>
        <v/>
      </c>
      <c r="N654" t="str">
        <f>IF(M654="","",IFERROR(AVERAGEIFS(nNOTA,nNIA,M654,nEVAL,CONFIG_METADATA!$B$4,nASIG,"Lenguaje Musical"),""))</f>
        <v/>
      </c>
      <c r="O654" t="str">
        <f>IF(M654="","",IFERROR(AVERAGEIFS(nNOTA,nNIA,M654,nEVAL,CONFIG_METADATA!$B$4,nASIG,"Coro"),""))</f>
        <v/>
      </c>
      <c r="P654" t="str">
        <f>IF(M654="","",IFERROR(AVERAGEIFS(nNOTA,nNIA,M654,nEVAL,CONFIG_METADATA!$B$4,nASIG,"Conjunto"),""))</f>
        <v/>
      </c>
      <c r="Q654" t="str">
        <f>IF(M654="","",IFERROR(AVERAGEIFS(nNOTA,nNIA,M654,nEVAL,CONFIG_METADATA!$B$4,nASIG,"&lt;&gt;Lenguaje Musical",nASIG,"&lt;&gt;Coro",nASIG,"&lt;&gt;Conjunto"),""))</f>
        <v/>
      </c>
      <c r="T654" t="str">
        <f>IF(S654="","",IFERROR(AVERAGEIFS(nNOTA,nNIA,S654,nEVAL,CONFIG_METADATA!$B$4,nASIG,"Lenguaje Musical"),""))</f>
        <v/>
      </c>
      <c r="U654" t="str">
        <f>IF(S654="","",IFERROR(AVERAGEIFS(nNOTA,nNIA,S654,nEVAL,CONFIG_METADATA!$B$4,nASIG,"Coro"),""))</f>
        <v/>
      </c>
      <c r="V654" t="str">
        <f>IF(S654="","",IFERROR(AVERAGEIFS(nNOTA,nNIA,S654,nEVAL,CONFIG_METADATA!$B$4,nASIG,"Conjunto"),""))</f>
        <v/>
      </c>
      <c r="W654" t="str" cm="1">
        <f t="array" ref="W654">IF(S654="","",IFERROR(AVERAGE(IF((nNIA=S654)*(nEVAL=CONFIG_METADATA!$B$4)*(nASIG&lt;&gt;"Lenguaje Musical")*(nASIG&lt;&gt;"Coro")*(nASIG&lt;&gt;"Conjunto"),nNOTA)),""))</f>
        <v/>
      </c>
    </row>
    <row r="655" spans="2:23" x14ac:dyDescent="0.2">
      <c r="B655" t="str">
        <f>IF(A655="","",IFERROR(AVERAGEIFS(nNOTA,nNIA,A655,nEVAL,CONFIG_METADATA!$B$4,nASIG,"Lenguaje Musical"),""))</f>
        <v/>
      </c>
      <c r="C655" t="str">
        <f>IF(A655="","",IFERROR(AVERAGEIFS(nNOTA,nNIA,A655,nEVAL,CONFIG_METADATA!$B$4,nASIG,"Coro"),""))</f>
        <v/>
      </c>
      <c r="D655" t="str">
        <f>IF(A655="","",IFERROR(AVERAGEIFS(nNOTA,nNIA,A655,nEVAL,CONFIG_METADATA!$B$4,nASIG,"Conjunto"),""))</f>
        <v/>
      </c>
      <c r="E655" t="str">
        <f>IF(A655="","",IFERROR(AVERAGEIFS(nNOTA,nNIA,A655,nEVAL,CONFIG_METADATA!$B$4,nASIG,"&lt;&gt;Lenguaje Musical",nASIG,"&lt;&gt;Coro",nASIG,"&lt;&gt;Conjunto"),""))</f>
        <v/>
      </c>
      <c r="H655" t="str">
        <f>IF(G655="","",IFERROR(AVERAGEIFS(nNOTA,nNIA,G655,nEVAL,CONFIG_METADATA!$B$4,nASIG,"Lenguaje Musical"),""))</f>
        <v/>
      </c>
      <c r="I655" t="str">
        <f>IF(G655="","",IFERROR(AVERAGEIFS(nNOTA,nNIA,G655,nEVAL,CONFIG_METADATA!$B$4,nASIG,"Coro"),""))</f>
        <v/>
      </c>
      <c r="J655" t="str">
        <f>IF(G655="","",IFERROR(AVERAGEIFS(nNOTA,nNIA,G655,nEVAL,CONFIG_METADATA!$B$4,nASIG,"Conjunto"),""))</f>
        <v/>
      </c>
      <c r="K655" t="str" cm="1">
        <f t="array" ref="K655">IF(G655="","",IFERROR(AVERAGE(IF((nNIA=G655)*(nEVAL=CONFIG_METADATA!$B$4)*(nASIG&lt;&gt;"Lenguaje Musical")*(nASIG&lt;&gt;"Coro")*(nASIG&lt;&gt;"Conjunto"),nNOTA)),""))</f>
        <v/>
      </c>
      <c r="N655" t="str">
        <f>IF(M655="","",IFERROR(AVERAGEIFS(nNOTA,nNIA,M655,nEVAL,CONFIG_METADATA!$B$4,nASIG,"Lenguaje Musical"),""))</f>
        <v/>
      </c>
      <c r="O655" t="str">
        <f>IF(M655="","",IFERROR(AVERAGEIFS(nNOTA,nNIA,M655,nEVAL,CONFIG_METADATA!$B$4,nASIG,"Coro"),""))</f>
        <v/>
      </c>
      <c r="P655" t="str">
        <f>IF(M655="","",IFERROR(AVERAGEIFS(nNOTA,nNIA,M655,nEVAL,CONFIG_METADATA!$B$4,nASIG,"Conjunto"),""))</f>
        <v/>
      </c>
      <c r="Q655" t="str">
        <f>IF(M655="","",IFERROR(AVERAGEIFS(nNOTA,nNIA,M655,nEVAL,CONFIG_METADATA!$B$4,nASIG,"&lt;&gt;Lenguaje Musical",nASIG,"&lt;&gt;Coro",nASIG,"&lt;&gt;Conjunto"),""))</f>
        <v/>
      </c>
      <c r="T655" t="str">
        <f>IF(S655="","",IFERROR(AVERAGEIFS(nNOTA,nNIA,S655,nEVAL,CONFIG_METADATA!$B$4,nASIG,"Lenguaje Musical"),""))</f>
        <v/>
      </c>
      <c r="U655" t="str">
        <f>IF(S655="","",IFERROR(AVERAGEIFS(nNOTA,nNIA,S655,nEVAL,CONFIG_METADATA!$B$4,nASIG,"Coro"),""))</f>
        <v/>
      </c>
      <c r="V655" t="str">
        <f>IF(S655="","",IFERROR(AVERAGEIFS(nNOTA,nNIA,S655,nEVAL,CONFIG_METADATA!$B$4,nASIG,"Conjunto"),""))</f>
        <v/>
      </c>
      <c r="W655" t="str" cm="1">
        <f t="array" ref="W655">IF(S655="","",IFERROR(AVERAGE(IF((nNIA=S655)*(nEVAL=CONFIG_METADATA!$B$4)*(nASIG&lt;&gt;"Lenguaje Musical")*(nASIG&lt;&gt;"Coro")*(nASIG&lt;&gt;"Conjunto"),nNOTA)),""))</f>
        <v/>
      </c>
    </row>
    <row r="656" spans="2:23" x14ac:dyDescent="0.2">
      <c r="B656" t="str">
        <f>IF(A656="","",IFERROR(AVERAGEIFS(nNOTA,nNIA,A656,nEVAL,CONFIG_METADATA!$B$4,nASIG,"Lenguaje Musical"),""))</f>
        <v/>
      </c>
      <c r="C656" t="str">
        <f>IF(A656="","",IFERROR(AVERAGEIFS(nNOTA,nNIA,A656,nEVAL,CONFIG_METADATA!$B$4,nASIG,"Coro"),""))</f>
        <v/>
      </c>
      <c r="D656" t="str">
        <f>IF(A656="","",IFERROR(AVERAGEIFS(nNOTA,nNIA,A656,nEVAL,CONFIG_METADATA!$B$4,nASIG,"Conjunto"),""))</f>
        <v/>
      </c>
      <c r="E656" t="str">
        <f>IF(A656="","",IFERROR(AVERAGEIFS(nNOTA,nNIA,A656,nEVAL,CONFIG_METADATA!$B$4,nASIG,"&lt;&gt;Lenguaje Musical",nASIG,"&lt;&gt;Coro",nASIG,"&lt;&gt;Conjunto"),""))</f>
        <v/>
      </c>
      <c r="H656" t="str">
        <f>IF(G656="","",IFERROR(AVERAGEIFS(nNOTA,nNIA,G656,nEVAL,CONFIG_METADATA!$B$4,nASIG,"Lenguaje Musical"),""))</f>
        <v/>
      </c>
      <c r="I656" t="str">
        <f>IF(G656="","",IFERROR(AVERAGEIFS(nNOTA,nNIA,G656,nEVAL,CONFIG_METADATA!$B$4,nASIG,"Coro"),""))</f>
        <v/>
      </c>
      <c r="J656" t="str">
        <f>IF(G656="","",IFERROR(AVERAGEIFS(nNOTA,nNIA,G656,nEVAL,CONFIG_METADATA!$B$4,nASIG,"Conjunto"),""))</f>
        <v/>
      </c>
      <c r="K656" t="str" cm="1">
        <f t="array" ref="K656">IF(G656="","",IFERROR(AVERAGE(IF((nNIA=G656)*(nEVAL=CONFIG_METADATA!$B$4)*(nASIG&lt;&gt;"Lenguaje Musical")*(nASIG&lt;&gt;"Coro")*(nASIG&lt;&gt;"Conjunto"),nNOTA)),""))</f>
        <v/>
      </c>
      <c r="N656" t="str">
        <f>IF(M656="","",IFERROR(AVERAGEIFS(nNOTA,nNIA,M656,nEVAL,CONFIG_METADATA!$B$4,nASIG,"Lenguaje Musical"),""))</f>
        <v/>
      </c>
      <c r="O656" t="str">
        <f>IF(M656="","",IFERROR(AVERAGEIFS(nNOTA,nNIA,M656,nEVAL,CONFIG_METADATA!$B$4,nASIG,"Coro"),""))</f>
        <v/>
      </c>
      <c r="P656" t="str">
        <f>IF(M656="","",IFERROR(AVERAGEIFS(nNOTA,nNIA,M656,nEVAL,CONFIG_METADATA!$B$4,nASIG,"Conjunto"),""))</f>
        <v/>
      </c>
      <c r="Q656" t="str">
        <f>IF(M656="","",IFERROR(AVERAGEIFS(nNOTA,nNIA,M656,nEVAL,CONFIG_METADATA!$B$4,nASIG,"&lt;&gt;Lenguaje Musical",nASIG,"&lt;&gt;Coro",nASIG,"&lt;&gt;Conjunto"),""))</f>
        <v/>
      </c>
      <c r="T656" t="str">
        <f>IF(S656="","",IFERROR(AVERAGEIFS(nNOTA,nNIA,S656,nEVAL,CONFIG_METADATA!$B$4,nASIG,"Lenguaje Musical"),""))</f>
        <v/>
      </c>
      <c r="U656" t="str">
        <f>IF(S656="","",IFERROR(AVERAGEIFS(nNOTA,nNIA,S656,nEVAL,CONFIG_METADATA!$B$4,nASIG,"Coro"),""))</f>
        <v/>
      </c>
      <c r="V656" t="str">
        <f>IF(S656="","",IFERROR(AVERAGEIFS(nNOTA,nNIA,S656,nEVAL,CONFIG_METADATA!$B$4,nASIG,"Conjunto"),""))</f>
        <v/>
      </c>
      <c r="W656" t="str" cm="1">
        <f t="array" ref="W656">IF(S656="","",IFERROR(AVERAGE(IF((nNIA=S656)*(nEVAL=CONFIG_METADATA!$B$4)*(nASIG&lt;&gt;"Lenguaje Musical")*(nASIG&lt;&gt;"Coro")*(nASIG&lt;&gt;"Conjunto"),nNOTA)),""))</f>
        <v/>
      </c>
    </row>
    <row r="657" spans="2:23" x14ac:dyDescent="0.2">
      <c r="B657" t="str">
        <f>IF(A657="","",IFERROR(AVERAGEIFS(nNOTA,nNIA,A657,nEVAL,CONFIG_METADATA!$B$4,nASIG,"Lenguaje Musical"),""))</f>
        <v/>
      </c>
      <c r="C657" t="str">
        <f>IF(A657="","",IFERROR(AVERAGEIFS(nNOTA,nNIA,A657,nEVAL,CONFIG_METADATA!$B$4,nASIG,"Coro"),""))</f>
        <v/>
      </c>
      <c r="D657" t="str">
        <f>IF(A657="","",IFERROR(AVERAGEIFS(nNOTA,nNIA,A657,nEVAL,CONFIG_METADATA!$B$4,nASIG,"Conjunto"),""))</f>
        <v/>
      </c>
      <c r="E657" t="str">
        <f>IF(A657="","",IFERROR(AVERAGEIFS(nNOTA,nNIA,A657,nEVAL,CONFIG_METADATA!$B$4,nASIG,"&lt;&gt;Lenguaje Musical",nASIG,"&lt;&gt;Coro",nASIG,"&lt;&gt;Conjunto"),""))</f>
        <v/>
      </c>
      <c r="H657" t="str">
        <f>IF(G657="","",IFERROR(AVERAGEIFS(nNOTA,nNIA,G657,nEVAL,CONFIG_METADATA!$B$4,nASIG,"Lenguaje Musical"),""))</f>
        <v/>
      </c>
      <c r="I657" t="str">
        <f>IF(G657="","",IFERROR(AVERAGEIFS(nNOTA,nNIA,G657,nEVAL,CONFIG_METADATA!$B$4,nASIG,"Coro"),""))</f>
        <v/>
      </c>
      <c r="J657" t="str">
        <f>IF(G657="","",IFERROR(AVERAGEIFS(nNOTA,nNIA,G657,nEVAL,CONFIG_METADATA!$B$4,nASIG,"Conjunto"),""))</f>
        <v/>
      </c>
      <c r="K657" t="str" cm="1">
        <f t="array" ref="K657">IF(G657="","",IFERROR(AVERAGE(IF((nNIA=G657)*(nEVAL=CONFIG_METADATA!$B$4)*(nASIG&lt;&gt;"Lenguaje Musical")*(nASIG&lt;&gt;"Coro")*(nASIG&lt;&gt;"Conjunto"),nNOTA)),""))</f>
        <v/>
      </c>
      <c r="N657" t="str">
        <f>IF(M657="","",IFERROR(AVERAGEIFS(nNOTA,nNIA,M657,nEVAL,CONFIG_METADATA!$B$4,nASIG,"Lenguaje Musical"),""))</f>
        <v/>
      </c>
      <c r="O657" t="str">
        <f>IF(M657="","",IFERROR(AVERAGEIFS(nNOTA,nNIA,M657,nEVAL,CONFIG_METADATA!$B$4,nASIG,"Coro"),""))</f>
        <v/>
      </c>
      <c r="P657" t="str">
        <f>IF(M657="","",IFERROR(AVERAGEIFS(nNOTA,nNIA,M657,nEVAL,CONFIG_METADATA!$B$4,nASIG,"Conjunto"),""))</f>
        <v/>
      </c>
      <c r="Q657" t="str">
        <f>IF(M657="","",IFERROR(AVERAGEIFS(nNOTA,nNIA,M657,nEVAL,CONFIG_METADATA!$B$4,nASIG,"&lt;&gt;Lenguaje Musical",nASIG,"&lt;&gt;Coro",nASIG,"&lt;&gt;Conjunto"),""))</f>
        <v/>
      </c>
      <c r="T657" t="str">
        <f>IF(S657="","",IFERROR(AVERAGEIFS(nNOTA,nNIA,S657,nEVAL,CONFIG_METADATA!$B$4,nASIG,"Lenguaje Musical"),""))</f>
        <v/>
      </c>
      <c r="U657" t="str">
        <f>IF(S657="","",IFERROR(AVERAGEIFS(nNOTA,nNIA,S657,nEVAL,CONFIG_METADATA!$B$4,nASIG,"Coro"),""))</f>
        <v/>
      </c>
      <c r="V657" t="str">
        <f>IF(S657="","",IFERROR(AVERAGEIFS(nNOTA,nNIA,S657,nEVAL,CONFIG_METADATA!$B$4,nASIG,"Conjunto"),""))</f>
        <v/>
      </c>
      <c r="W657" t="str" cm="1">
        <f t="array" ref="W657">IF(S657="","",IFERROR(AVERAGE(IF((nNIA=S657)*(nEVAL=CONFIG_METADATA!$B$4)*(nASIG&lt;&gt;"Lenguaje Musical")*(nASIG&lt;&gt;"Coro")*(nASIG&lt;&gt;"Conjunto"),nNOTA)),""))</f>
        <v/>
      </c>
    </row>
    <row r="658" spans="2:23" x14ac:dyDescent="0.2">
      <c r="B658" t="str">
        <f>IF(A658="","",IFERROR(AVERAGEIFS(nNOTA,nNIA,A658,nEVAL,CONFIG_METADATA!$B$4,nASIG,"Lenguaje Musical"),""))</f>
        <v/>
      </c>
      <c r="C658" t="str">
        <f>IF(A658="","",IFERROR(AVERAGEIFS(nNOTA,nNIA,A658,nEVAL,CONFIG_METADATA!$B$4,nASIG,"Coro"),""))</f>
        <v/>
      </c>
      <c r="D658" t="str">
        <f>IF(A658="","",IFERROR(AVERAGEIFS(nNOTA,nNIA,A658,nEVAL,CONFIG_METADATA!$B$4,nASIG,"Conjunto"),""))</f>
        <v/>
      </c>
      <c r="E658" t="str">
        <f>IF(A658="","",IFERROR(AVERAGEIFS(nNOTA,nNIA,A658,nEVAL,CONFIG_METADATA!$B$4,nASIG,"&lt;&gt;Lenguaje Musical",nASIG,"&lt;&gt;Coro",nASIG,"&lt;&gt;Conjunto"),""))</f>
        <v/>
      </c>
      <c r="H658" t="str">
        <f>IF(G658="","",IFERROR(AVERAGEIFS(nNOTA,nNIA,G658,nEVAL,CONFIG_METADATA!$B$4,nASIG,"Lenguaje Musical"),""))</f>
        <v/>
      </c>
      <c r="I658" t="str">
        <f>IF(G658="","",IFERROR(AVERAGEIFS(nNOTA,nNIA,G658,nEVAL,CONFIG_METADATA!$B$4,nASIG,"Coro"),""))</f>
        <v/>
      </c>
      <c r="J658" t="str">
        <f>IF(G658="","",IFERROR(AVERAGEIFS(nNOTA,nNIA,G658,nEVAL,CONFIG_METADATA!$B$4,nASIG,"Conjunto"),""))</f>
        <v/>
      </c>
      <c r="K658" t="str" cm="1">
        <f t="array" ref="K658">IF(G658="","",IFERROR(AVERAGE(IF((nNIA=G658)*(nEVAL=CONFIG_METADATA!$B$4)*(nASIG&lt;&gt;"Lenguaje Musical")*(nASIG&lt;&gt;"Coro")*(nASIG&lt;&gt;"Conjunto"),nNOTA)),""))</f>
        <v/>
      </c>
      <c r="N658" t="str">
        <f>IF(M658="","",IFERROR(AVERAGEIFS(nNOTA,nNIA,M658,nEVAL,CONFIG_METADATA!$B$4,nASIG,"Lenguaje Musical"),""))</f>
        <v/>
      </c>
      <c r="O658" t="str">
        <f>IF(M658="","",IFERROR(AVERAGEIFS(nNOTA,nNIA,M658,nEVAL,CONFIG_METADATA!$B$4,nASIG,"Coro"),""))</f>
        <v/>
      </c>
      <c r="P658" t="str">
        <f>IF(M658="","",IFERROR(AVERAGEIFS(nNOTA,nNIA,M658,nEVAL,CONFIG_METADATA!$B$4,nASIG,"Conjunto"),""))</f>
        <v/>
      </c>
      <c r="Q658" t="str">
        <f>IF(M658="","",IFERROR(AVERAGEIFS(nNOTA,nNIA,M658,nEVAL,CONFIG_METADATA!$B$4,nASIG,"&lt;&gt;Lenguaje Musical",nASIG,"&lt;&gt;Coro",nASIG,"&lt;&gt;Conjunto"),""))</f>
        <v/>
      </c>
      <c r="T658" t="str">
        <f>IF(S658="","",IFERROR(AVERAGEIFS(nNOTA,nNIA,S658,nEVAL,CONFIG_METADATA!$B$4,nASIG,"Lenguaje Musical"),""))</f>
        <v/>
      </c>
      <c r="U658" t="str">
        <f>IF(S658="","",IFERROR(AVERAGEIFS(nNOTA,nNIA,S658,nEVAL,CONFIG_METADATA!$B$4,nASIG,"Coro"),""))</f>
        <v/>
      </c>
      <c r="V658" t="str">
        <f>IF(S658="","",IFERROR(AVERAGEIFS(nNOTA,nNIA,S658,nEVAL,CONFIG_METADATA!$B$4,nASIG,"Conjunto"),""))</f>
        <v/>
      </c>
      <c r="W658" t="str" cm="1">
        <f t="array" ref="W658">IF(S658="","",IFERROR(AVERAGE(IF((nNIA=S658)*(nEVAL=CONFIG_METADATA!$B$4)*(nASIG&lt;&gt;"Lenguaje Musical")*(nASIG&lt;&gt;"Coro")*(nASIG&lt;&gt;"Conjunto"),nNOTA)),""))</f>
        <v/>
      </c>
    </row>
    <row r="659" spans="2:23" x14ac:dyDescent="0.2">
      <c r="B659" t="str">
        <f>IF(A659="","",IFERROR(AVERAGEIFS(nNOTA,nNIA,A659,nEVAL,CONFIG_METADATA!$B$4,nASIG,"Lenguaje Musical"),""))</f>
        <v/>
      </c>
      <c r="C659" t="str">
        <f>IF(A659="","",IFERROR(AVERAGEIFS(nNOTA,nNIA,A659,nEVAL,CONFIG_METADATA!$B$4,nASIG,"Coro"),""))</f>
        <v/>
      </c>
      <c r="D659" t="str">
        <f>IF(A659="","",IFERROR(AVERAGEIFS(nNOTA,nNIA,A659,nEVAL,CONFIG_METADATA!$B$4,nASIG,"Conjunto"),""))</f>
        <v/>
      </c>
      <c r="E659" t="str">
        <f>IF(A659="","",IFERROR(AVERAGEIFS(nNOTA,nNIA,A659,nEVAL,CONFIG_METADATA!$B$4,nASIG,"&lt;&gt;Lenguaje Musical",nASIG,"&lt;&gt;Coro",nASIG,"&lt;&gt;Conjunto"),""))</f>
        <v/>
      </c>
      <c r="H659" t="str">
        <f>IF(G659="","",IFERROR(AVERAGEIFS(nNOTA,nNIA,G659,nEVAL,CONFIG_METADATA!$B$4,nASIG,"Lenguaje Musical"),""))</f>
        <v/>
      </c>
      <c r="I659" t="str">
        <f>IF(G659="","",IFERROR(AVERAGEIFS(nNOTA,nNIA,G659,nEVAL,CONFIG_METADATA!$B$4,nASIG,"Coro"),""))</f>
        <v/>
      </c>
      <c r="J659" t="str">
        <f>IF(G659="","",IFERROR(AVERAGEIFS(nNOTA,nNIA,G659,nEVAL,CONFIG_METADATA!$B$4,nASIG,"Conjunto"),""))</f>
        <v/>
      </c>
      <c r="K659" t="str" cm="1">
        <f t="array" ref="K659">IF(G659="","",IFERROR(AVERAGE(IF((nNIA=G659)*(nEVAL=CONFIG_METADATA!$B$4)*(nASIG&lt;&gt;"Lenguaje Musical")*(nASIG&lt;&gt;"Coro")*(nASIG&lt;&gt;"Conjunto"),nNOTA)),""))</f>
        <v/>
      </c>
      <c r="N659" t="str">
        <f>IF(M659="","",IFERROR(AVERAGEIFS(nNOTA,nNIA,M659,nEVAL,CONFIG_METADATA!$B$4,nASIG,"Lenguaje Musical"),""))</f>
        <v/>
      </c>
      <c r="O659" t="str">
        <f>IF(M659="","",IFERROR(AVERAGEIFS(nNOTA,nNIA,M659,nEVAL,CONFIG_METADATA!$B$4,nASIG,"Coro"),""))</f>
        <v/>
      </c>
      <c r="P659" t="str">
        <f>IF(M659="","",IFERROR(AVERAGEIFS(nNOTA,nNIA,M659,nEVAL,CONFIG_METADATA!$B$4,nASIG,"Conjunto"),""))</f>
        <v/>
      </c>
      <c r="Q659" t="str">
        <f>IF(M659="","",IFERROR(AVERAGEIFS(nNOTA,nNIA,M659,nEVAL,CONFIG_METADATA!$B$4,nASIG,"&lt;&gt;Lenguaje Musical",nASIG,"&lt;&gt;Coro",nASIG,"&lt;&gt;Conjunto"),""))</f>
        <v/>
      </c>
      <c r="T659" t="str">
        <f>IF(S659="","",IFERROR(AVERAGEIFS(nNOTA,nNIA,S659,nEVAL,CONFIG_METADATA!$B$4,nASIG,"Lenguaje Musical"),""))</f>
        <v/>
      </c>
      <c r="U659" t="str">
        <f>IF(S659="","",IFERROR(AVERAGEIFS(nNOTA,nNIA,S659,nEVAL,CONFIG_METADATA!$B$4,nASIG,"Coro"),""))</f>
        <v/>
      </c>
      <c r="V659" t="str">
        <f>IF(S659="","",IFERROR(AVERAGEIFS(nNOTA,nNIA,S659,nEVAL,CONFIG_METADATA!$B$4,nASIG,"Conjunto"),""))</f>
        <v/>
      </c>
      <c r="W659" t="str" cm="1">
        <f t="array" ref="W659">IF(S659="","",IFERROR(AVERAGE(IF((nNIA=S659)*(nEVAL=CONFIG_METADATA!$B$4)*(nASIG&lt;&gt;"Lenguaje Musical")*(nASIG&lt;&gt;"Coro")*(nASIG&lt;&gt;"Conjunto"),nNOTA)),""))</f>
        <v/>
      </c>
    </row>
    <row r="660" spans="2:23" x14ac:dyDescent="0.2">
      <c r="B660" t="str">
        <f>IF(A660="","",IFERROR(AVERAGEIFS(nNOTA,nNIA,A660,nEVAL,CONFIG_METADATA!$B$4,nASIG,"Lenguaje Musical"),""))</f>
        <v/>
      </c>
      <c r="C660" t="str">
        <f>IF(A660="","",IFERROR(AVERAGEIFS(nNOTA,nNIA,A660,nEVAL,CONFIG_METADATA!$B$4,nASIG,"Coro"),""))</f>
        <v/>
      </c>
      <c r="D660" t="str">
        <f>IF(A660="","",IFERROR(AVERAGEIFS(nNOTA,nNIA,A660,nEVAL,CONFIG_METADATA!$B$4,nASIG,"Conjunto"),""))</f>
        <v/>
      </c>
      <c r="E660" t="str">
        <f>IF(A660="","",IFERROR(AVERAGEIFS(nNOTA,nNIA,A660,nEVAL,CONFIG_METADATA!$B$4,nASIG,"&lt;&gt;Lenguaje Musical",nASIG,"&lt;&gt;Coro",nASIG,"&lt;&gt;Conjunto"),""))</f>
        <v/>
      </c>
      <c r="H660" t="str">
        <f>IF(G660="","",IFERROR(AVERAGEIFS(nNOTA,nNIA,G660,nEVAL,CONFIG_METADATA!$B$4,nASIG,"Lenguaje Musical"),""))</f>
        <v/>
      </c>
      <c r="I660" t="str">
        <f>IF(G660="","",IFERROR(AVERAGEIFS(nNOTA,nNIA,G660,nEVAL,CONFIG_METADATA!$B$4,nASIG,"Coro"),""))</f>
        <v/>
      </c>
      <c r="J660" t="str">
        <f>IF(G660="","",IFERROR(AVERAGEIFS(nNOTA,nNIA,G660,nEVAL,CONFIG_METADATA!$B$4,nASIG,"Conjunto"),""))</f>
        <v/>
      </c>
      <c r="K660" t="str" cm="1">
        <f t="array" ref="K660">IF(G660="","",IFERROR(AVERAGE(IF((nNIA=G660)*(nEVAL=CONFIG_METADATA!$B$4)*(nASIG&lt;&gt;"Lenguaje Musical")*(nASIG&lt;&gt;"Coro")*(nASIG&lt;&gt;"Conjunto"),nNOTA)),""))</f>
        <v/>
      </c>
      <c r="N660" t="str">
        <f>IF(M660="","",IFERROR(AVERAGEIFS(nNOTA,nNIA,M660,nEVAL,CONFIG_METADATA!$B$4,nASIG,"Lenguaje Musical"),""))</f>
        <v/>
      </c>
      <c r="O660" t="str">
        <f>IF(M660="","",IFERROR(AVERAGEIFS(nNOTA,nNIA,M660,nEVAL,CONFIG_METADATA!$B$4,nASIG,"Coro"),""))</f>
        <v/>
      </c>
      <c r="P660" t="str">
        <f>IF(M660="","",IFERROR(AVERAGEIFS(nNOTA,nNIA,M660,nEVAL,CONFIG_METADATA!$B$4,nASIG,"Conjunto"),""))</f>
        <v/>
      </c>
      <c r="Q660" t="str">
        <f>IF(M660="","",IFERROR(AVERAGEIFS(nNOTA,nNIA,M660,nEVAL,CONFIG_METADATA!$B$4,nASIG,"&lt;&gt;Lenguaje Musical",nASIG,"&lt;&gt;Coro",nASIG,"&lt;&gt;Conjunto"),""))</f>
        <v/>
      </c>
      <c r="T660" t="str">
        <f>IF(S660="","",IFERROR(AVERAGEIFS(nNOTA,nNIA,S660,nEVAL,CONFIG_METADATA!$B$4,nASIG,"Lenguaje Musical"),""))</f>
        <v/>
      </c>
      <c r="U660" t="str">
        <f>IF(S660="","",IFERROR(AVERAGEIFS(nNOTA,nNIA,S660,nEVAL,CONFIG_METADATA!$B$4,nASIG,"Coro"),""))</f>
        <v/>
      </c>
      <c r="V660" t="str">
        <f>IF(S660="","",IFERROR(AVERAGEIFS(nNOTA,nNIA,S660,nEVAL,CONFIG_METADATA!$B$4,nASIG,"Conjunto"),""))</f>
        <v/>
      </c>
      <c r="W660" t="str" cm="1">
        <f t="array" ref="W660">IF(S660="","",IFERROR(AVERAGE(IF((nNIA=S660)*(nEVAL=CONFIG_METADATA!$B$4)*(nASIG&lt;&gt;"Lenguaje Musical")*(nASIG&lt;&gt;"Coro")*(nASIG&lt;&gt;"Conjunto"),nNOTA)),""))</f>
        <v/>
      </c>
    </row>
    <row r="661" spans="2:23" x14ac:dyDescent="0.2">
      <c r="B661" t="str">
        <f>IF(A661="","",IFERROR(AVERAGEIFS(nNOTA,nNIA,A661,nEVAL,CONFIG_METADATA!$B$4,nASIG,"Lenguaje Musical"),""))</f>
        <v/>
      </c>
      <c r="C661" t="str">
        <f>IF(A661="","",IFERROR(AVERAGEIFS(nNOTA,nNIA,A661,nEVAL,CONFIG_METADATA!$B$4,nASIG,"Coro"),""))</f>
        <v/>
      </c>
      <c r="D661" t="str">
        <f>IF(A661="","",IFERROR(AVERAGEIFS(nNOTA,nNIA,A661,nEVAL,CONFIG_METADATA!$B$4,nASIG,"Conjunto"),""))</f>
        <v/>
      </c>
      <c r="E661" t="str">
        <f>IF(A661="","",IFERROR(AVERAGEIFS(nNOTA,nNIA,A661,nEVAL,CONFIG_METADATA!$B$4,nASIG,"&lt;&gt;Lenguaje Musical",nASIG,"&lt;&gt;Coro",nASIG,"&lt;&gt;Conjunto"),""))</f>
        <v/>
      </c>
      <c r="H661" t="str">
        <f>IF(G661="","",IFERROR(AVERAGEIFS(nNOTA,nNIA,G661,nEVAL,CONFIG_METADATA!$B$4,nASIG,"Lenguaje Musical"),""))</f>
        <v/>
      </c>
      <c r="I661" t="str">
        <f>IF(G661="","",IFERROR(AVERAGEIFS(nNOTA,nNIA,G661,nEVAL,CONFIG_METADATA!$B$4,nASIG,"Coro"),""))</f>
        <v/>
      </c>
      <c r="J661" t="str">
        <f>IF(G661="","",IFERROR(AVERAGEIFS(nNOTA,nNIA,G661,nEVAL,CONFIG_METADATA!$B$4,nASIG,"Conjunto"),""))</f>
        <v/>
      </c>
      <c r="K661" t="str" cm="1">
        <f t="array" ref="K661">IF(G661="","",IFERROR(AVERAGE(IF((nNIA=G661)*(nEVAL=CONFIG_METADATA!$B$4)*(nASIG&lt;&gt;"Lenguaje Musical")*(nASIG&lt;&gt;"Coro")*(nASIG&lt;&gt;"Conjunto"),nNOTA)),""))</f>
        <v/>
      </c>
      <c r="N661" t="str">
        <f>IF(M661="","",IFERROR(AVERAGEIFS(nNOTA,nNIA,M661,nEVAL,CONFIG_METADATA!$B$4,nASIG,"Lenguaje Musical"),""))</f>
        <v/>
      </c>
      <c r="O661" t="str">
        <f>IF(M661="","",IFERROR(AVERAGEIFS(nNOTA,nNIA,M661,nEVAL,CONFIG_METADATA!$B$4,nASIG,"Coro"),""))</f>
        <v/>
      </c>
      <c r="P661" t="str">
        <f>IF(M661="","",IFERROR(AVERAGEIFS(nNOTA,nNIA,M661,nEVAL,CONFIG_METADATA!$B$4,nASIG,"Conjunto"),""))</f>
        <v/>
      </c>
      <c r="Q661" t="str">
        <f>IF(M661="","",IFERROR(AVERAGEIFS(nNOTA,nNIA,M661,nEVAL,CONFIG_METADATA!$B$4,nASIG,"&lt;&gt;Lenguaje Musical",nASIG,"&lt;&gt;Coro",nASIG,"&lt;&gt;Conjunto"),""))</f>
        <v/>
      </c>
      <c r="T661" t="str">
        <f>IF(S661="","",IFERROR(AVERAGEIFS(nNOTA,nNIA,S661,nEVAL,CONFIG_METADATA!$B$4,nASIG,"Lenguaje Musical"),""))</f>
        <v/>
      </c>
      <c r="U661" t="str">
        <f>IF(S661="","",IFERROR(AVERAGEIFS(nNOTA,nNIA,S661,nEVAL,CONFIG_METADATA!$B$4,nASIG,"Coro"),""))</f>
        <v/>
      </c>
      <c r="V661" t="str">
        <f>IF(S661="","",IFERROR(AVERAGEIFS(nNOTA,nNIA,S661,nEVAL,CONFIG_METADATA!$B$4,nASIG,"Conjunto"),""))</f>
        <v/>
      </c>
      <c r="W661" t="str" cm="1">
        <f t="array" ref="W661">IF(S661="","",IFERROR(AVERAGE(IF((nNIA=S661)*(nEVAL=CONFIG_METADATA!$B$4)*(nASIG&lt;&gt;"Lenguaje Musical")*(nASIG&lt;&gt;"Coro")*(nASIG&lt;&gt;"Conjunto"),nNOTA)),""))</f>
        <v/>
      </c>
    </row>
    <row r="662" spans="2:23" x14ac:dyDescent="0.2">
      <c r="B662" t="str">
        <f>IF(A662="","",IFERROR(AVERAGEIFS(nNOTA,nNIA,A662,nEVAL,CONFIG_METADATA!$B$4,nASIG,"Lenguaje Musical"),""))</f>
        <v/>
      </c>
      <c r="C662" t="str">
        <f>IF(A662="","",IFERROR(AVERAGEIFS(nNOTA,nNIA,A662,nEVAL,CONFIG_METADATA!$B$4,nASIG,"Coro"),""))</f>
        <v/>
      </c>
      <c r="D662" t="str">
        <f>IF(A662="","",IFERROR(AVERAGEIFS(nNOTA,nNIA,A662,nEVAL,CONFIG_METADATA!$B$4,nASIG,"Conjunto"),""))</f>
        <v/>
      </c>
      <c r="E662" t="str">
        <f>IF(A662="","",IFERROR(AVERAGEIFS(nNOTA,nNIA,A662,nEVAL,CONFIG_METADATA!$B$4,nASIG,"&lt;&gt;Lenguaje Musical",nASIG,"&lt;&gt;Coro",nASIG,"&lt;&gt;Conjunto"),""))</f>
        <v/>
      </c>
      <c r="H662" t="str">
        <f>IF(G662="","",IFERROR(AVERAGEIFS(nNOTA,nNIA,G662,nEVAL,CONFIG_METADATA!$B$4,nASIG,"Lenguaje Musical"),""))</f>
        <v/>
      </c>
      <c r="I662" t="str">
        <f>IF(G662="","",IFERROR(AVERAGEIFS(nNOTA,nNIA,G662,nEVAL,CONFIG_METADATA!$B$4,nASIG,"Coro"),""))</f>
        <v/>
      </c>
      <c r="J662" t="str">
        <f>IF(G662="","",IFERROR(AVERAGEIFS(nNOTA,nNIA,G662,nEVAL,CONFIG_METADATA!$B$4,nASIG,"Conjunto"),""))</f>
        <v/>
      </c>
      <c r="K662" t="str" cm="1">
        <f t="array" ref="K662">IF(G662="","",IFERROR(AVERAGE(IF((nNIA=G662)*(nEVAL=CONFIG_METADATA!$B$4)*(nASIG&lt;&gt;"Lenguaje Musical")*(nASIG&lt;&gt;"Coro")*(nASIG&lt;&gt;"Conjunto"),nNOTA)),""))</f>
        <v/>
      </c>
      <c r="N662" t="str">
        <f>IF(M662="","",IFERROR(AVERAGEIFS(nNOTA,nNIA,M662,nEVAL,CONFIG_METADATA!$B$4,nASIG,"Lenguaje Musical"),""))</f>
        <v/>
      </c>
      <c r="O662" t="str">
        <f>IF(M662="","",IFERROR(AVERAGEIFS(nNOTA,nNIA,M662,nEVAL,CONFIG_METADATA!$B$4,nASIG,"Coro"),""))</f>
        <v/>
      </c>
      <c r="P662" t="str">
        <f>IF(M662="","",IFERROR(AVERAGEIFS(nNOTA,nNIA,M662,nEVAL,CONFIG_METADATA!$B$4,nASIG,"Conjunto"),""))</f>
        <v/>
      </c>
      <c r="Q662" t="str">
        <f>IF(M662="","",IFERROR(AVERAGEIFS(nNOTA,nNIA,M662,nEVAL,CONFIG_METADATA!$B$4,nASIG,"&lt;&gt;Lenguaje Musical",nASIG,"&lt;&gt;Coro",nASIG,"&lt;&gt;Conjunto"),""))</f>
        <v/>
      </c>
      <c r="T662" t="str">
        <f>IF(S662="","",IFERROR(AVERAGEIFS(nNOTA,nNIA,S662,nEVAL,CONFIG_METADATA!$B$4,nASIG,"Lenguaje Musical"),""))</f>
        <v/>
      </c>
      <c r="U662" t="str">
        <f>IF(S662="","",IFERROR(AVERAGEIFS(nNOTA,nNIA,S662,nEVAL,CONFIG_METADATA!$B$4,nASIG,"Coro"),""))</f>
        <v/>
      </c>
      <c r="V662" t="str">
        <f>IF(S662="","",IFERROR(AVERAGEIFS(nNOTA,nNIA,S662,nEVAL,CONFIG_METADATA!$B$4,nASIG,"Conjunto"),""))</f>
        <v/>
      </c>
      <c r="W662" t="str" cm="1">
        <f t="array" ref="W662">IF(S662="","",IFERROR(AVERAGE(IF((nNIA=S662)*(nEVAL=CONFIG_METADATA!$B$4)*(nASIG&lt;&gt;"Lenguaje Musical")*(nASIG&lt;&gt;"Coro")*(nASIG&lt;&gt;"Conjunto"),nNOTA)),""))</f>
        <v/>
      </c>
    </row>
    <row r="663" spans="2:23" x14ac:dyDescent="0.2">
      <c r="B663" t="str">
        <f>IF(A663="","",IFERROR(AVERAGEIFS(nNOTA,nNIA,A663,nEVAL,CONFIG_METADATA!$B$4,nASIG,"Lenguaje Musical"),""))</f>
        <v/>
      </c>
      <c r="C663" t="str">
        <f>IF(A663="","",IFERROR(AVERAGEIFS(nNOTA,nNIA,A663,nEVAL,CONFIG_METADATA!$B$4,nASIG,"Coro"),""))</f>
        <v/>
      </c>
      <c r="D663" t="str">
        <f>IF(A663="","",IFERROR(AVERAGEIFS(nNOTA,nNIA,A663,nEVAL,CONFIG_METADATA!$B$4,nASIG,"Conjunto"),""))</f>
        <v/>
      </c>
      <c r="E663" t="str">
        <f>IF(A663="","",IFERROR(AVERAGEIFS(nNOTA,nNIA,A663,nEVAL,CONFIG_METADATA!$B$4,nASIG,"&lt;&gt;Lenguaje Musical",nASIG,"&lt;&gt;Coro",nASIG,"&lt;&gt;Conjunto"),""))</f>
        <v/>
      </c>
      <c r="H663" t="str">
        <f>IF(G663="","",IFERROR(AVERAGEIFS(nNOTA,nNIA,G663,nEVAL,CONFIG_METADATA!$B$4,nASIG,"Lenguaje Musical"),""))</f>
        <v/>
      </c>
      <c r="I663" t="str">
        <f>IF(G663="","",IFERROR(AVERAGEIFS(nNOTA,nNIA,G663,nEVAL,CONFIG_METADATA!$B$4,nASIG,"Coro"),""))</f>
        <v/>
      </c>
      <c r="J663" t="str">
        <f>IF(G663="","",IFERROR(AVERAGEIFS(nNOTA,nNIA,G663,nEVAL,CONFIG_METADATA!$B$4,nASIG,"Conjunto"),""))</f>
        <v/>
      </c>
      <c r="K663" t="str" cm="1">
        <f t="array" ref="K663">IF(G663="","",IFERROR(AVERAGE(IF((nNIA=G663)*(nEVAL=CONFIG_METADATA!$B$4)*(nASIG&lt;&gt;"Lenguaje Musical")*(nASIG&lt;&gt;"Coro")*(nASIG&lt;&gt;"Conjunto"),nNOTA)),""))</f>
        <v/>
      </c>
      <c r="N663" t="str">
        <f>IF(M663="","",IFERROR(AVERAGEIFS(nNOTA,nNIA,M663,nEVAL,CONFIG_METADATA!$B$4,nASIG,"Lenguaje Musical"),""))</f>
        <v/>
      </c>
      <c r="O663" t="str">
        <f>IF(M663="","",IFERROR(AVERAGEIFS(nNOTA,nNIA,M663,nEVAL,CONFIG_METADATA!$B$4,nASIG,"Coro"),""))</f>
        <v/>
      </c>
      <c r="P663" t="str">
        <f>IF(M663="","",IFERROR(AVERAGEIFS(nNOTA,nNIA,M663,nEVAL,CONFIG_METADATA!$B$4,nASIG,"Conjunto"),""))</f>
        <v/>
      </c>
      <c r="Q663" t="str">
        <f>IF(M663="","",IFERROR(AVERAGEIFS(nNOTA,nNIA,M663,nEVAL,CONFIG_METADATA!$B$4,nASIG,"&lt;&gt;Lenguaje Musical",nASIG,"&lt;&gt;Coro",nASIG,"&lt;&gt;Conjunto"),""))</f>
        <v/>
      </c>
      <c r="T663" t="str">
        <f>IF(S663="","",IFERROR(AVERAGEIFS(nNOTA,nNIA,S663,nEVAL,CONFIG_METADATA!$B$4,nASIG,"Lenguaje Musical"),""))</f>
        <v/>
      </c>
      <c r="U663" t="str">
        <f>IF(S663="","",IFERROR(AVERAGEIFS(nNOTA,nNIA,S663,nEVAL,CONFIG_METADATA!$B$4,nASIG,"Coro"),""))</f>
        <v/>
      </c>
      <c r="V663" t="str">
        <f>IF(S663="","",IFERROR(AVERAGEIFS(nNOTA,nNIA,S663,nEVAL,CONFIG_METADATA!$B$4,nASIG,"Conjunto"),""))</f>
        <v/>
      </c>
      <c r="W663" t="str" cm="1">
        <f t="array" ref="W663">IF(S663="","",IFERROR(AVERAGE(IF((nNIA=S663)*(nEVAL=CONFIG_METADATA!$B$4)*(nASIG&lt;&gt;"Lenguaje Musical")*(nASIG&lt;&gt;"Coro")*(nASIG&lt;&gt;"Conjunto"),nNOTA)),""))</f>
        <v/>
      </c>
    </row>
    <row r="664" spans="2:23" x14ac:dyDescent="0.2">
      <c r="B664" t="str">
        <f>IF(A664="","",IFERROR(AVERAGEIFS(nNOTA,nNIA,A664,nEVAL,CONFIG_METADATA!$B$4,nASIG,"Lenguaje Musical"),""))</f>
        <v/>
      </c>
      <c r="C664" t="str">
        <f>IF(A664="","",IFERROR(AVERAGEIFS(nNOTA,nNIA,A664,nEVAL,CONFIG_METADATA!$B$4,nASIG,"Coro"),""))</f>
        <v/>
      </c>
      <c r="D664" t="str">
        <f>IF(A664="","",IFERROR(AVERAGEIFS(nNOTA,nNIA,A664,nEVAL,CONFIG_METADATA!$B$4,nASIG,"Conjunto"),""))</f>
        <v/>
      </c>
      <c r="E664" t="str">
        <f>IF(A664="","",IFERROR(AVERAGEIFS(nNOTA,nNIA,A664,nEVAL,CONFIG_METADATA!$B$4,nASIG,"&lt;&gt;Lenguaje Musical",nASIG,"&lt;&gt;Coro",nASIG,"&lt;&gt;Conjunto"),""))</f>
        <v/>
      </c>
      <c r="H664" t="str">
        <f>IF(G664="","",IFERROR(AVERAGEIFS(nNOTA,nNIA,G664,nEVAL,CONFIG_METADATA!$B$4,nASIG,"Lenguaje Musical"),""))</f>
        <v/>
      </c>
      <c r="I664" t="str">
        <f>IF(G664="","",IFERROR(AVERAGEIFS(nNOTA,nNIA,G664,nEVAL,CONFIG_METADATA!$B$4,nASIG,"Coro"),""))</f>
        <v/>
      </c>
      <c r="J664" t="str">
        <f>IF(G664="","",IFERROR(AVERAGEIFS(nNOTA,nNIA,G664,nEVAL,CONFIG_METADATA!$B$4,nASIG,"Conjunto"),""))</f>
        <v/>
      </c>
      <c r="K664" t="str" cm="1">
        <f t="array" ref="K664">IF(G664="","",IFERROR(AVERAGE(IF((nNIA=G664)*(nEVAL=CONFIG_METADATA!$B$4)*(nASIG&lt;&gt;"Lenguaje Musical")*(nASIG&lt;&gt;"Coro")*(nASIG&lt;&gt;"Conjunto"),nNOTA)),""))</f>
        <v/>
      </c>
      <c r="N664" t="str">
        <f>IF(M664="","",IFERROR(AVERAGEIFS(nNOTA,nNIA,M664,nEVAL,CONFIG_METADATA!$B$4,nASIG,"Lenguaje Musical"),""))</f>
        <v/>
      </c>
      <c r="O664" t="str">
        <f>IF(M664="","",IFERROR(AVERAGEIFS(nNOTA,nNIA,M664,nEVAL,CONFIG_METADATA!$B$4,nASIG,"Coro"),""))</f>
        <v/>
      </c>
      <c r="P664" t="str">
        <f>IF(M664="","",IFERROR(AVERAGEIFS(nNOTA,nNIA,M664,nEVAL,CONFIG_METADATA!$B$4,nASIG,"Conjunto"),""))</f>
        <v/>
      </c>
      <c r="Q664" t="str">
        <f>IF(M664="","",IFERROR(AVERAGEIFS(nNOTA,nNIA,M664,nEVAL,CONFIG_METADATA!$B$4,nASIG,"&lt;&gt;Lenguaje Musical",nASIG,"&lt;&gt;Coro",nASIG,"&lt;&gt;Conjunto"),""))</f>
        <v/>
      </c>
      <c r="T664" t="str">
        <f>IF(S664="","",IFERROR(AVERAGEIFS(nNOTA,nNIA,S664,nEVAL,CONFIG_METADATA!$B$4,nASIG,"Lenguaje Musical"),""))</f>
        <v/>
      </c>
      <c r="U664" t="str">
        <f>IF(S664="","",IFERROR(AVERAGEIFS(nNOTA,nNIA,S664,nEVAL,CONFIG_METADATA!$B$4,nASIG,"Coro"),""))</f>
        <v/>
      </c>
      <c r="V664" t="str">
        <f>IF(S664="","",IFERROR(AVERAGEIFS(nNOTA,nNIA,S664,nEVAL,CONFIG_METADATA!$B$4,nASIG,"Conjunto"),""))</f>
        <v/>
      </c>
      <c r="W664" t="str" cm="1">
        <f t="array" ref="W664">IF(S664="","",IFERROR(AVERAGE(IF((nNIA=S664)*(nEVAL=CONFIG_METADATA!$B$4)*(nASIG&lt;&gt;"Lenguaje Musical")*(nASIG&lt;&gt;"Coro")*(nASIG&lt;&gt;"Conjunto"),nNOTA)),""))</f>
        <v/>
      </c>
    </row>
    <row r="665" spans="2:23" x14ac:dyDescent="0.2">
      <c r="B665" t="str">
        <f>IF(A665="","",IFERROR(AVERAGEIFS(nNOTA,nNIA,A665,nEVAL,CONFIG_METADATA!$B$4,nASIG,"Lenguaje Musical"),""))</f>
        <v/>
      </c>
      <c r="C665" t="str">
        <f>IF(A665="","",IFERROR(AVERAGEIFS(nNOTA,nNIA,A665,nEVAL,CONFIG_METADATA!$B$4,nASIG,"Coro"),""))</f>
        <v/>
      </c>
      <c r="D665" t="str">
        <f>IF(A665="","",IFERROR(AVERAGEIFS(nNOTA,nNIA,A665,nEVAL,CONFIG_METADATA!$B$4,nASIG,"Conjunto"),""))</f>
        <v/>
      </c>
      <c r="E665" t="str">
        <f>IF(A665="","",IFERROR(AVERAGEIFS(nNOTA,nNIA,A665,nEVAL,CONFIG_METADATA!$B$4,nASIG,"&lt;&gt;Lenguaje Musical",nASIG,"&lt;&gt;Coro",nASIG,"&lt;&gt;Conjunto"),""))</f>
        <v/>
      </c>
      <c r="H665" t="str">
        <f>IF(G665="","",IFERROR(AVERAGEIFS(nNOTA,nNIA,G665,nEVAL,CONFIG_METADATA!$B$4,nASIG,"Lenguaje Musical"),""))</f>
        <v/>
      </c>
      <c r="I665" t="str">
        <f>IF(G665="","",IFERROR(AVERAGEIFS(nNOTA,nNIA,G665,nEVAL,CONFIG_METADATA!$B$4,nASIG,"Coro"),""))</f>
        <v/>
      </c>
      <c r="J665" t="str">
        <f>IF(G665="","",IFERROR(AVERAGEIFS(nNOTA,nNIA,G665,nEVAL,CONFIG_METADATA!$B$4,nASIG,"Conjunto"),""))</f>
        <v/>
      </c>
      <c r="K665" t="str" cm="1">
        <f t="array" ref="K665">IF(G665="","",IFERROR(AVERAGE(IF((nNIA=G665)*(nEVAL=CONFIG_METADATA!$B$4)*(nASIG&lt;&gt;"Lenguaje Musical")*(nASIG&lt;&gt;"Coro")*(nASIG&lt;&gt;"Conjunto"),nNOTA)),""))</f>
        <v/>
      </c>
      <c r="N665" t="str">
        <f>IF(M665="","",IFERROR(AVERAGEIFS(nNOTA,nNIA,M665,nEVAL,CONFIG_METADATA!$B$4,nASIG,"Lenguaje Musical"),""))</f>
        <v/>
      </c>
      <c r="O665" t="str">
        <f>IF(M665="","",IFERROR(AVERAGEIFS(nNOTA,nNIA,M665,nEVAL,CONFIG_METADATA!$B$4,nASIG,"Coro"),""))</f>
        <v/>
      </c>
      <c r="P665" t="str">
        <f>IF(M665="","",IFERROR(AVERAGEIFS(nNOTA,nNIA,M665,nEVAL,CONFIG_METADATA!$B$4,nASIG,"Conjunto"),""))</f>
        <v/>
      </c>
      <c r="Q665" t="str">
        <f>IF(M665="","",IFERROR(AVERAGEIFS(nNOTA,nNIA,M665,nEVAL,CONFIG_METADATA!$B$4,nASIG,"&lt;&gt;Lenguaje Musical",nASIG,"&lt;&gt;Coro",nASIG,"&lt;&gt;Conjunto"),""))</f>
        <v/>
      </c>
      <c r="T665" t="str">
        <f>IF(S665="","",IFERROR(AVERAGEIFS(nNOTA,nNIA,S665,nEVAL,CONFIG_METADATA!$B$4,nASIG,"Lenguaje Musical"),""))</f>
        <v/>
      </c>
      <c r="U665" t="str">
        <f>IF(S665="","",IFERROR(AVERAGEIFS(nNOTA,nNIA,S665,nEVAL,CONFIG_METADATA!$B$4,nASIG,"Coro"),""))</f>
        <v/>
      </c>
      <c r="V665" t="str">
        <f>IF(S665="","",IFERROR(AVERAGEIFS(nNOTA,nNIA,S665,nEVAL,CONFIG_METADATA!$B$4,nASIG,"Conjunto"),""))</f>
        <v/>
      </c>
      <c r="W665" t="str" cm="1">
        <f t="array" ref="W665">IF(S665="","",IFERROR(AVERAGE(IF((nNIA=S665)*(nEVAL=CONFIG_METADATA!$B$4)*(nASIG&lt;&gt;"Lenguaje Musical")*(nASIG&lt;&gt;"Coro")*(nASIG&lt;&gt;"Conjunto"),nNOTA)),""))</f>
        <v/>
      </c>
    </row>
    <row r="666" spans="2:23" x14ac:dyDescent="0.2">
      <c r="B666" t="str">
        <f>IF(A666="","",IFERROR(AVERAGEIFS(nNOTA,nNIA,A666,nEVAL,CONFIG_METADATA!$B$4,nASIG,"Lenguaje Musical"),""))</f>
        <v/>
      </c>
      <c r="C666" t="str">
        <f>IF(A666="","",IFERROR(AVERAGEIFS(nNOTA,nNIA,A666,nEVAL,CONFIG_METADATA!$B$4,nASIG,"Coro"),""))</f>
        <v/>
      </c>
      <c r="D666" t="str">
        <f>IF(A666="","",IFERROR(AVERAGEIFS(nNOTA,nNIA,A666,nEVAL,CONFIG_METADATA!$B$4,nASIG,"Conjunto"),""))</f>
        <v/>
      </c>
      <c r="E666" t="str">
        <f>IF(A666="","",IFERROR(AVERAGEIFS(nNOTA,nNIA,A666,nEVAL,CONFIG_METADATA!$B$4,nASIG,"&lt;&gt;Lenguaje Musical",nASIG,"&lt;&gt;Coro",nASIG,"&lt;&gt;Conjunto"),""))</f>
        <v/>
      </c>
      <c r="H666" t="str">
        <f>IF(G666="","",IFERROR(AVERAGEIFS(nNOTA,nNIA,G666,nEVAL,CONFIG_METADATA!$B$4,nASIG,"Lenguaje Musical"),""))</f>
        <v/>
      </c>
      <c r="I666" t="str">
        <f>IF(G666="","",IFERROR(AVERAGEIFS(nNOTA,nNIA,G666,nEVAL,CONFIG_METADATA!$B$4,nASIG,"Coro"),""))</f>
        <v/>
      </c>
      <c r="J666" t="str">
        <f>IF(G666="","",IFERROR(AVERAGEIFS(nNOTA,nNIA,G666,nEVAL,CONFIG_METADATA!$B$4,nASIG,"Conjunto"),""))</f>
        <v/>
      </c>
      <c r="K666" t="str" cm="1">
        <f t="array" ref="K666">IF(G666="","",IFERROR(AVERAGE(IF((nNIA=G666)*(nEVAL=CONFIG_METADATA!$B$4)*(nASIG&lt;&gt;"Lenguaje Musical")*(nASIG&lt;&gt;"Coro")*(nASIG&lt;&gt;"Conjunto"),nNOTA)),""))</f>
        <v/>
      </c>
      <c r="N666" t="str">
        <f>IF(M666="","",IFERROR(AVERAGEIFS(nNOTA,nNIA,M666,nEVAL,CONFIG_METADATA!$B$4,nASIG,"Lenguaje Musical"),""))</f>
        <v/>
      </c>
      <c r="O666" t="str">
        <f>IF(M666="","",IFERROR(AVERAGEIFS(nNOTA,nNIA,M666,nEVAL,CONFIG_METADATA!$B$4,nASIG,"Coro"),""))</f>
        <v/>
      </c>
      <c r="P666" t="str">
        <f>IF(M666="","",IFERROR(AVERAGEIFS(nNOTA,nNIA,M666,nEVAL,CONFIG_METADATA!$B$4,nASIG,"Conjunto"),""))</f>
        <v/>
      </c>
      <c r="Q666" t="str">
        <f>IF(M666="","",IFERROR(AVERAGEIFS(nNOTA,nNIA,M666,nEVAL,CONFIG_METADATA!$B$4,nASIG,"&lt;&gt;Lenguaje Musical",nASIG,"&lt;&gt;Coro",nASIG,"&lt;&gt;Conjunto"),""))</f>
        <v/>
      </c>
      <c r="T666" t="str">
        <f>IF(S666="","",IFERROR(AVERAGEIFS(nNOTA,nNIA,S666,nEVAL,CONFIG_METADATA!$B$4,nASIG,"Lenguaje Musical"),""))</f>
        <v/>
      </c>
      <c r="U666" t="str">
        <f>IF(S666="","",IFERROR(AVERAGEIFS(nNOTA,nNIA,S666,nEVAL,CONFIG_METADATA!$B$4,nASIG,"Coro"),""))</f>
        <v/>
      </c>
      <c r="V666" t="str">
        <f>IF(S666="","",IFERROR(AVERAGEIFS(nNOTA,nNIA,S666,nEVAL,CONFIG_METADATA!$B$4,nASIG,"Conjunto"),""))</f>
        <v/>
      </c>
      <c r="W666" t="str" cm="1">
        <f t="array" ref="W666">IF(S666="","",IFERROR(AVERAGE(IF((nNIA=S666)*(nEVAL=CONFIG_METADATA!$B$4)*(nASIG&lt;&gt;"Lenguaje Musical")*(nASIG&lt;&gt;"Coro")*(nASIG&lt;&gt;"Conjunto"),nNOTA)),""))</f>
        <v/>
      </c>
    </row>
    <row r="667" spans="2:23" x14ac:dyDescent="0.2">
      <c r="B667" t="str">
        <f>IF(A667="","",IFERROR(AVERAGEIFS(nNOTA,nNIA,A667,nEVAL,CONFIG_METADATA!$B$4,nASIG,"Lenguaje Musical"),""))</f>
        <v/>
      </c>
      <c r="C667" t="str">
        <f>IF(A667="","",IFERROR(AVERAGEIFS(nNOTA,nNIA,A667,nEVAL,CONFIG_METADATA!$B$4,nASIG,"Coro"),""))</f>
        <v/>
      </c>
      <c r="D667" t="str">
        <f>IF(A667="","",IFERROR(AVERAGEIFS(nNOTA,nNIA,A667,nEVAL,CONFIG_METADATA!$B$4,nASIG,"Conjunto"),""))</f>
        <v/>
      </c>
      <c r="E667" t="str">
        <f>IF(A667="","",IFERROR(AVERAGEIFS(nNOTA,nNIA,A667,nEVAL,CONFIG_METADATA!$B$4,nASIG,"&lt;&gt;Lenguaje Musical",nASIG,"&lt;&gt;Coro",nASIG,"&lt;&gt;Conjunto"),""))</f>
        <v/>
      </c>
      <c r="H667" t="str">
        <f>IF(G667="","",IFERROR(AVERAGEIFS(nNOTA,nNIA,G667,nEVAL,CONFIG_METADATA!$B$4,nASIG,"Lenguaje Musical"),""))</f>
        <v/>
      </c>
      <c r="I667" t="str">
        <f>IF(G667="","",IFERROR(AVERAGEIFS(nNOTA,nNIA,G667,nEVAL,CONFIG_METADATA!$B$4,nASIG,"Coro"),""))</f>
        <v/>
      </c>
      <c r="J667" t="str">
        <f>IF(G667="","",IFERROR(AVERAGEIFS(nNOTA,nNIA,G667,nEVAL,CONFIG_METADATA!$B$4,nASIG,"Conjunto"),""))</f>
        <v/>
      </c>
      <c r="K667" t="str" cm="1">
        <f t="array" ref="K667">IF(G667="","",IFERROR(AVERAGE(IF((nNIA=G667)*(nEVAL=CONFIG_METADATA!$B$4)*(nASIG&lt;&gt;"Lenguaje Musical")*(nASIG&lt;&gt;"Coro")*(nASIG&lt;&gt;"Conjunto"),nNOTA)),""))</f>
        <v/>
      </c>
      <c r="N667" t="str">
        <f>IF(M667="","",IFERROR(AVERAGEIFS(nNOTA,nNIA,M667,nEVAL,CONFIG_METADATA!$B$4,nASIG,"Lenguaje Musical"),""))</f>
        <v/>
      </c>
      <c r="O667" t="str">
        <f>IF(M667="","",IFERROR(AVERAGEIFS(nNOTA,nNIA,M667,nEVAL,CONFIG_METADATA!$B$4,nASIG,"Coro"),""))</f>
        <v/>
      </c>
      <c r="P667" t="str">
        <f>IF(M667="","",IFERROR(AVERAGEIFS(nNOTA,nNIA,M667,nEVAL,CONFIG_METADATA!$B$4,nASIG,"Conjunto"),""))</f>
        <v/>
      </c>
      <c r="Q667" t="str">
        <f>IF(M667="","",IFERROR(AVERAGEIFS(nNOTA,nNIA,M667,nEVAL,CONFIG_METADATA!$B$4,nASIG,"&lt;&gt;Lenguaje Musical",nASIG,"&lt;&gt;Coro",nASIG,"&lt;&gt;Conjunto"),""))</f>
        <v/>
      </c>
      <c r="T667" t="str">
        <f>IF(S667="","",IFERROR(AVERAGEIFS(nNOTA,nNIA,S667,nEVAL,CONFIG_METADATA!$B$4,nASIG,"Lenguaje Musical"),""))</f>
        <v/>
      </c>
      <c r="U667" t="str">
        <f>IF(S667="","",IFERROR(AVERAGEIFS(nNOTA,nNIA,S667,nEVAL,CONFIG_METADATA!$B$4,nASIG,"Coro"),""))</f>
        <v/>
      </c>
      <c r="V667" t="str">
        <f>IF(S667="","",IFERROR(AVERAGEIFS(nNOTA,nNIA,S667,nEVAL,CONFIG_METADATA!$B$4,nASIG,"Conjunto"),""))</f>
        <v/>
      </c>
      <c r="W667" t="str" cm="1">
        <f t="array" ref="W667">IF(S667="","",IFERROR(AVERAGE(IF((nNIA=S667)*(nEVAL=CONFIG_METADATA!$B$4)*(nASIG&lt;&gt;"Lenguaje Musical")*(nASIG&lt;&gt;"Coro")*(nASIG&lt;&gt;"Conjunto"),nNOTA)),""))</f>
        <v/>
      </c>
    </row>
    <row r="668" spans="2:23" x14ac:dyDescent="0.2">
      <c r="B668" t="str">
        <f>IF(A668="","",IFERROR(AVERAGEIFS(nNOTA,nNIA,A668,nEVAL,CONFIG_METADATA!$B$4,nASIG,"Lenguaje Musical"),""))</f>
        <v/>
      </c>
      <c r="C668" t="str">
        <f>IF(A668="","",IFERROR(AVERAGEIFS(nNOTA,nNIA,A668,nEVAL,CONFIG_METADATA!$B$4,nASIG,"Coro"),""))</f>
        <v/>
      </c>
      <c r="D668" t="str">
        <f>IF(A668="","",IFERROR(AVERAGEIFS(nNOTA,nNIA,A668,nEVAL,CONFIG_METADATA!$B$4,nASIG,"Conjunto"),""))</f>
        <v/>
      </c>
      <c r="E668" t="str">
        <f>IF(A668="","",IFERROR(AVERAGEIFS(nNOTA,nNIA,A668,nEVAL,CONFIG_METADATA!$B$4,nASIG,"&lt;&gt;Lenguaje Musical",nASIG,"&lt;&gt;Coro",nASIG,"&lt;&gt;Conjunto"),""))</f>
        <v/>
      </c>
      <c r="H668" t="str">
        <f>IF(G668="","",IFERROR(AVERAGEIFS(nNOTA,nNIA,G668,nEVAL,CONFIG_METADATA!$B$4,nASIG,"Lenguaje Musical"),""))</f>
        <v/>
      </c>
      <c r="I668" t="str">
        <f>IF(G668="","",IFERROR(AVERAGEIFS(nNOTA,nNIA,G668,nEVAL,CONFIG_METADATA!$B$4,nASIG,"Coro"),""))</f>
        <v/>
      </c>
      <c r="J668" t="str">
        <f>IF(G668="","",IFERROR(AVERAGEIFS(nNOTA,nNIA,G668,nEVAL,CONFIG_METADATA!$B$4,nASIG,"Conjunto"),""))</f>
        <v/>
      </c>
      <c r="K668" t="str" cm="1">
        <f t="array" ref="K668">IF(G668="","",IFERROR(AVERAGE(IF((nNIA=G668)*(nEVAL=CONFIG_METADATA!$B$4)*(nASIG&lt;&gt;"Lenguaje Musical")*(nASIG&lt;&gt;"Coro")*(nASIG&lt;&gt;"Conjunto"),nNOTA)),""))</f>
        <v/>
      </c>
      <c r="N668" t="str">
        <f>IF(M668="","",IFERROR(AVERAGEIFS(nNOTA,nNIA,M668,nEVAL,CONFIG_METADATA!$B$4,nASIG,"Lenguaje Musical"),""))</f>
        <v/>
      </c>
      <c r="O668" t="str">
        <f>IF(M668="","",IFERROR(AVERAGEIFS(nNOTA,nNIA,M668,nEVAL,CONFIG_METADATA!$B$4,nASIG,"Coro"),""))</f>
        <v/>
      </c>
      <c r="P668" t="str">
        <f>IF(M668="","",IFERROR(AVERAGEIFS(nNOTA,nNIA,M668,nEVAL,CONFIG_METADATA!$B$4,nASIG,"Conjunto"),""))</f>
        <v/>
      </c>
      <c r="Q668" t="str">
        <f>IF(M668="","",IFERROR(AVERAGEIFS(nNOTA,nNIA,M668,nEVAL,CONFIG_METADATA!$B$4,nASIG,"&lt;&gt;Lenguaje Musical",nASIG,"&lt;&gt;Coro",nASIG,"&lt;&gt;Conjunto"),""))</f>
        <v/>
      </c>
      <c r="T668" t="str">
        <f>IF(S668="","",IFERROR(AVERAGEIFS(nNOTA,nNIA,S668,nEVAL,CONFIG_METADATA!$B$4,nASIG,"Lenguaje Musical"),""))</f>
        <v/>
      </c>
      <c r="U668" t="str">
        <f>IF(S668="","",IFERROR(AVERAGEIFS(nNOTA,nNIA,S668,nEVAL,CONFIG_METADATA!$B$4,nASIG,"Coro"),""))</f>
        <v/>
      </c>
      <c r="V668" t="str">
        <f>IF(S668="","",IFERROR(AVERAGEIFS(nNOTA,nNIA,S668,nEVAL,CONFIG_METADATA!$B$4,nASIG,"Conjunto"),""))</f>
        <v/>
      </c>
      <c r="W668" t="str" cm="1">
        <f t="array" ref="W668">IF(S668="","",IFERROR(AVERAGE(IF((nNIA=S668)*(nEVAL=CONFIG_METADATA!$B$4)*(nASIG&lt;&gt;"Lenguaje Musical")*(nASIG&lt;&gt;"Coro")*(nASIG&lt;&gt;"Conjunto"),nNOTA)),""))</f>
        <v/>
      </c>
    </row>
    <row r="669" spans="2:23" x14ac:dyDescent="0.2">
      <c r="B669" t="str">
        <f>IF(A669="","",IFERROR(AVERAGEIFS(nNOTA,nNIA,A669,nEVAL,CONFIG_METADATA!$B$4,nASIG,"Lenguaje Musical"),""))</f>
        <v/>
      </c>
      <c r="C669" t="str">
        <f>IF(A669="","",IFERROR(AVERAGEIFS(nNOTA,nNIA,A669,nEVAL,CONFIG_METADATA!$B$4,nASIG,"Coro"),""))</f>
        <v/>
      </c>
      <c r="D669" t="str">
        <f>IF(A669="","",IFERROR(AVERAGEIFS(nNOTA,nNIA,A669,nEVAL,CONFIG_METADATA!$B$4,nASIG,"Conjunto"),""))</f>
        <v/>
      </c>
      <c r="E669" t="str">
        <f>IF(A669="","",IFERROR(AVERAGEIFS(nNOTA,nNIA,A669,nEVAL,CONFIG_METADATA!$B$4,nASIG,"&lt;&gt;Lenguaje Musical",nASIG,"&lt;&gt;Coro",nASIG,"&lt;&gt;Conjunto"),""))</f>
        <v/>
      </c>
      <c r="H669" t="str">
        <f>IF(G669="","",IFERROR(AVERAGEIFS(nNOTA,nNIA,G669,nEVAL,CONFIG_METADATA!$B$4,nASIG,"Lenguaje Musical"),""))</f>
        <v/>
      </c>
      <c r="I669" t="str">
        <f>IF(G669="","",IFERROR(AVERAGEIFS(nNOTA,nNIA,G669,nEVAL,CONFIG_METADATA!$B$4,nASIG,"Coro"),""))</f>
        <v/>
      </c>
      <c r="J669" t="str">
        <f>IF(G669="","",IFERROR(AVERAGEIFS(nNOTA,nNIA,G669,nEVAL,CONFIG_METADATA!$B$4,nASIG,"Conjunto"),""))</f>
        <v/>
      </c>
      <c r="K669" t="str" cm="1">
        <f t="array" ref="K669">IF(G669="","",IFERROR(AVERAGE(IF((nNIA=G669)*(nEVAL=CONFIG_METADATA!$B$4)*(nASIG&lt;&gt;"Lenguaje Musical")*(nASIG&lt;&gt;"Coro")*(nASIG&lt;&gt;"Conjunto"),nNOTA)),""))</f>
        <v/>
      </c>
      <c r="N669" t="str">
        <f>IF(M669="","",IFERROR(AVERAGEIFS(nNOTA,nNIA,M669,nEVAL,CONFIG_METADATA!$B$4,nASIG,"Lenguaje Musical"),""))</f>
        <v/>
      </c>
      <c r="O669" t="str">
        <f>IF(M669="","",IFERROR(AVERAGEIFS(nNOTA,nNIA,M669,nEVAL,CONFIG_METADATA!$B$4,nASIG,"Coro"),""))</f>
        <v/>
      </c>
      <c r="P669" t="str">
        <f>IF(M669="","",IFERROR(AVERAGEIFS(nNOTA,nNIA,M669,nEVAL,CONFIG_METADATA!$B$4,nASIG,"Conjunto"),""))</f>
        <v/>
      </c>
      <c r="Q669" t="str">
        <f>IF(M669="","",IFERROR(AVERAGEIFS(nNOTA,nNIA,M669,nEVAL,CONFIG_METADATA!$B$4,nASIG,"&lt;&gt;Lenguaje Musical",nASIG,"&lt;&gt;Coro",nASIG,"&lt;&gt;Conjunto"),""))</f>
        <v/>
      </c>
      <c r="T669" t="str">
        <f>IF(S669="","",IFERROR(AVERAGEIFS(nNOTA,nNIA,S669,nEVAL,CONFIG_METADATA!$B$4,nASIG,"Lenguaje Musical"),""))</f>
        <v/>
      </c>
      <c r="U669" t="str">
        <f>IF(S669="","",IFERROR(AVERAGEIFS(nNOTA,nNIA,S669,nEVAL,CONFIG_METADATA!$B$4,nASIG,"Coro"),""))</f>
        <v/>
      </c>
      <c r="V669" t="str">
        <f>IF(S669="","",IFERROR(AVERAGEIFS(nNOTA,nNIA,S669,nEVAL,CONFIG_METADATA!$B$4,nASIG,"Conjunto"),""))</f>
        <v/>
      </c>
      <c r="W669" t="str" cm="1">
        <f t="array" ref="W669">IF(S669="","",IFERROR(AVERAGE(IF((nNIA=S669)*(nEVAL=CONFIG_METADATA!$B$4)*(nASIG&lt;&gt;"Lenguaje Musical")*(nASIG&lt;&gt;"Coro")*(nASIG&lt;&gt;"Conjunto"),nNOTA)),""))</f>
        <v/>
      </c>
    </row>
    <row r="670" spans="2:23" x14ac:dyDescent="0.2">
      <c r="B670" t="str">
        <f>IF(A670="","",IFERROR(AVERAGEIFS(nNOTA,nNIA,A670,nEVAL,CONFIG_METADATA!$B$4,nASIG,"Lenguaje Musical"),""))</f>
        <v/>
      </c>
      <c r="C670" t="str">
        <f>IF(A670="","",IFERROR(AVERAGEIFS(nNOTA,nNIA,A670,nEVAL,CONFIG_METADATA!$B$4,nASIG,"Coro"),""))</f>
        <v/>
      </c>
      <c r="D670" t="str">
        <f>IF(A670="","",IFERROR(AVERAGEIFS(nNOTA,nNIA,A670,nEVAL,CONFIG_METADATA!$B$4,nASIG,"Conjunto"),""))</f>
        <v/>
      </c>
      <c r="E670" t="str">
        <f>IF(A670="","",IFERROR(AVERAGEIFS(nNOTA,nNIA,A670,nEVAL,CONFIG_METADATA!$B$4,nASIG,"&lt;&gt;Lenguaje Musical",nASIG,"&lt;&gt;Coro",nASIG,"&lt;&gt;Conjunto"),""))</f>
        <v/>
      </c>
      <c r="H670" t="str">
        <f>IF(G670="","",IFERROR(AVERAGEIFS(nNOTA,nNIA,G670,nEVAL,CONFIG_METADATA!$B$4,nASIG,"Lenguaje Musical"),""))</f>
        <v/>
      </c>
      <c r="I670" t="str">
        <f>IF(G670="","",IFERROR(AVERAGEIFS(nNOTA,nNIA,G670,nEVAL,CONFIG_METADATA!$B$4,nASIG,"Coro"),""))</f>
        <v/>
      </c>
      <c r="J670" t="str">
        <f>IF(G670="","",IFERROR(AVERAGEIFS(nNOTA,nNIA,G670,nEVAL,CONFIG_METADATA!$B$4,nASIG,"Conjunto"),""))</f>
        <v/>
      </c>
      <c r="K670" t="str" cm="1">
        <f t="array" ref="K670">IF(G670="","",IFERROR(AVERAGE(IF((nNIA=G670)*(nEVAL=CONFIG_METADATA!$B$4)*(nASIG&lt;&gt;"Lenguaje Musical")*(nASIG&lt;&gt;"Coro")*(nASIG&lt;&gt;"Conjunto"),nNOTA)),""))</f>
        <v/>
      </c>
      <c r="N670" t="str">
        <f>IF(M670="","",IFERROR(AVERAGEIFS(nNOTA,nNIA,M670,nEVAL,CONFIG_METADATA!$B$4,nASIG,"Lenguaje Musical"),""))</f>
        <v/>
      </c>
      <c r="O670" t="str">
        <f>IF(M670="","",IFERROR(AVERAGEIFS(nNOTA,nNIA,M670,nEVAL,CONFIG_METADATA!$B$4,nASIG,"Coro"),""))</f>
        <v/>
      </c>
      <c r="P670" t="str">
        <f>IF(M670="","",IFERROR(AVERAGEIFS(nNOTA,nNIA,M670,nEVAL,CONFIG_METADATA!$B$4,nASIG,"Conjunto"),""))</f>
        <v/>
      </c>
      <c r="Q670" t="str">
        <f>IF(M670="","",IFERROR(AVERAGEIFS(nNOTA,nNIA,M670,nEVAL,CONFIG_METADATA!$B$4,nASIG,"&lt;&gt;Lenguaje Musical",nASIG,"&lt;&gt;Coro",nASIG,"&lt;&gt;Conjunto"),""))</f>
        <v/>
      </c>
      <c r="T670" t="str">
        <f>IF(S670="","",IFERROR(AVERAGEIFS(nNOTA,nNIA,S670,nEVAL,CONFIG_METADATA!$B$4,nASIG,"Lenguaje Musical"),""))</f>
        <v/>
      </c>
      <c r="U670" t="str">
        <f>IF(S670="","",IFERROR(AVERAGEIFS(nNOTA,nNIA,S670,nEVAL,CONFIG_METADATA!$B$4,nASIG,"Coro"),""))</f>
        <v/>
      </c>
      <c r="V670" t="str">
        <f>IF(S670="","",IFERROR(AVERAGEIFS(nNOTA,nNIA,S670,nEVAL,CONFIG_METADATA!$B$4,nASIG,"Conjunto"),""))</f>
        <v/>
      </c>
      <c r="W670" t="str" cm="1">
        <f t="array" ref="W670">IF(S670="","",IFERROR(AVERAGE(IF((nNIA=S670)*(nEVAL=CONFIG_METADATA!$B$4)*(nASIG&lt;&gt;"Lenguaje Musical")*(nASIG&lt;&gt;"Coro")*(nASIG&lt;&gt;"Conjunto"),nNOTA)),""))</f>
        <v/>
      </c>
    </row>
    <row r="671" spans="2:23" x14ac:dyDescent="0.2">
      <c r="B671" t="str">
        <f>IF(A671="","",IFERROR(AVERAGEIFS(nNOTA,nNIA,A671,nEVAL,CONFIG_METADATA!$B$4,nASIG,"Lenguaje Musical"),""))</f>
        <v/>
      </c>
      <c r="C671" t="str">
        <f>IF(A671="","",IFERROR(AVERAGEIFS(nNOTA,nNIA,A671,nEVAL,CONFIG_METADATA!$B$4,nASIG,"Coro"),""))</f>
        <v/>
      </c>
      <c r="D671" t="str">
        <f>IF(A671="","",IFERROR(AVERAGEIFS(nNOTA,nNIA,A671,nEVAL,CONFIG_METADATA!$B$4,nASIG,"Conjunto"),""))</f>
        <v/>
      </c>
      <c r="E671" t="str">
        <f>IF(A671="","",IFERROR(AVERAGEIFS(nNOTA,nNIA,A671,nEVAL,CONFIG_METADATA!$B$4,nASIG,"&lt;&gt;Lenguaje Musical",nASIG,"&lt;&gt;Coro",nASIG,"&lt;&gt;Conjunto"),""))</f>
        <v/>
      </c>
      <c r="H671" t="str">
        <f>IF(G671="","",IFERROR(AVERAGEIFS(nNOTA,nNIA,G671,nEVAL,CONFIG_METADATA!$B$4,nASIG,"Lenguaje Musical"),""))</f>
        <v/>
      </c>
      <c r="I671" t="str">
        <f>IF(G671="","",IFERROR(AVERAGEIFS(nNOTA,nNIA,G671,nEVAL,CONFIG_METADATA!$B$4,nASIG,"Coro"),""))</f>
        <v/>
      </c>
      <c r="J671" t="str">
        <f>IF(G671="","",IFERROR(AVERAGEIFS(nNOTA,nNIA,G671,nEVAL,CONFIG_METADATA!$B$4,nASIG,"Conjunto"),""))</f>
        <v/>
      </c>
      <c r="K671" t="str" cm="1">
        <f t="array" ref="K671">IF(G671="","",IFERROR(AVERAGE(IF((nNIA=G671)*(nEVAL=CONFIG_METADATA!$B$4)*(nASIG&lt;&gt;"Lenguaje Musical")*(nASIG&lt;&gt;"Coro")*(nASIG&lt;&gt;"Conjunto"),nNOTA)),""))</f>
        <v/>
      </c>
      <c r="N671" t="str">
        <f>IF(M671="","",IFERROR(AVERAGEIFS(nNOTA,nNIA,M671,nEVAL,CONFIG_METADATA!$B$4,nASIG,"Lenguaje Musical"),""))</f>
        <v/>
      </c>
      <c r="O671" t="str">
        <f>IF(M671="","",IFERROR(AVERAGEIFS(nNOTA,nNIA,M671,nEVAL,CONFIG_METADATA!$B$4,nASIG,"Coro"),""))</f>
        <v/>
      </c>
      <c r="P671" t="str">
        <f>IF(M671="","",IFERROR(AVERAGEIFS(nNOTA,nNIA,M671,nEVAL,CONFIG_METADATA!$B$4,nASIG,"Conjunto"),""))</f>
        <v/>
      </c>
      <c r="Q671" t="str">
        <f>IF(M671="","",IFERROR(AVERAGEIFS(nNOTA,nNIA,M671,nEVAL,CONFIG_METADATA!$B$4,nASIG,"&lt;&gt;Lenguaje Musical",nASIG,"&lt;&gt;Coro",nASIG,"&lt;&gt;Conjunto"),""))</f>
        <v/>
      </c>
      <c r="T671" t="str">
        <f>IF(S671="","",IFERROR(AVERAGEIFS(nNOTA,nNIA,S671,nEVAL,CONFIG_METADATA!$B$4,nASIG,"Lenguaje Musical"),""))</f>
        <v/>
      </c>
      <c r="U671" t="str">
        <f>IF(S671="","",IFERROR(AVERAGEIFS(nNOTA,nNIA,S671,nEVAL,CONFIG_METADATA!$B$4,nASIG,"Coro"),""))</f>
        <v/>
      </c>
      <c r="V671" t="str">
        <f>IF(S671="","",IFERROR(AVERAGEIFS(nNOTA,nNIA,S671,nEVAL,CONFIG_METADATA!$B$4,nASIG,"Conjunto"),""))</f>
        <v/>
      </c>
      <c r="W671" t="str" cm="1">
        <f t="array" ref="W671">IF(S671="","",IFERROR(AVERAGE(IF((nNIA=S671)*(nEVAL=CONFIG_METADATA!$B$4)*(nASIG&lt;&gt;"Lenguaje Musical")*(nASIG&lt;&gt;"Coro")*(nASIG&lt;&gt;"Conjunto"),nNOTA)),""))</f>
        <v/>
      </c>
    </row>
    <row r="672" spans="2:23" x14ac:dyDescent="0.2">
      <c r="B672" t="str">
        <f>IF(A672="","",IFERROR(AVERAGEIFS(nNOTA,nNIA,A672,nEVAL,CONFIG_METADATA!$B$4,nASIG,"Lenguaje Musical"),""))</f>
        <v/>
      </c>
      <c r="C672" t="str">
        <f>IF(A672="","",IFERROR(AVERAGEIFS(nNOTA,nNIA,A672,nEVAL,CONFIG_METADATA!$B$4,nASIG,"Coro"),""))</f>
        <v/>
      </c>
      <c r="D672" t="str">
        <f>IF(A672="","",IFERROR(AVERAGEIFS(nNOTA,nNIA,A672,nEVAL,CONFIG_METADATA!$B$4,nASIG,"Conjunto"),""))</f>
        <v/>
      </c>
      <c r="E672" t="str">
        <f>IF(A672="","",IFERROR(AVERAGEIFS(nNOTA,nNIA,A672,nEVAL,CONFIG_METADATA!$B$4,nASIG,"&lt;&gt;Lenguaje Musical",nASIG,"&lt;&gt;Coro",nASIG,"&lt;&gt;Conjunto"),""))</f>
        <v/>
      </c>
      <c r="H672" t="str">
        <f>IF(G672="","",IFERROR(AVERAGEIFS(nNOTA,nNIA,G672,nEVAL,CONFIG_METADATA!$B$4,nASIG,"Lenguaje Musical"),""))</f>
        <v/>
      </c>
      <c r="I672" t="str">
        <f>IF(G672="","",IFERROR(AVERAGEIFS(nNOTA,nNIA,G672,nEVAL,CONFIG_METADATA!$B$4,nASIG,"Coro"),""))</f>
        <v/>
      </c>
      <c r="J672" t="str">
        <f>IF(G672="","",IFERROR(AVERAGEIFS(nNOTA,nNIA,G672,nEVAL,CONFIG_METADATA!$B$4,nASIG,"Conjunto"),""))</f>
        <v/>
      </c>
      <c r="K672" t="str" cm="1">
        <f t="array" ref="K672">IF(G672="","",IFERROR(AVERAGE(IF((nNIA=G672)*(nEVAL=CONFIG_METADATA!$B$4)*(nASIG&lt;&gt;"Lenguaje Musical")*(nASIG&lt;&gt;"Coro")*(nASIG&lt;&gt;"Conjunto"),nNOTA)),""))</f>
        <v/>
      </c>
      <c r="N672" t="str">
        <f>IF(M672="","",IFERROR(AVERAGEIFS(nNOTA,nNIA,M672,nEVAL,CONFIG_METADATA!$B$4,nASIG,"Lenguaje Musical"),""))</f>
        <v/>
      </c>
      <c r="O672" t="str">
        <f>IF(M672="","",IFERROR(AVERAGEIFS(nNOTA,nNIA,M672,nEVAL,CONFIG_METADATA!$B$4,nASIG,"Coro"),""))</f>
        <v/>
      </c>
      <c r="P672" t="str">
        <f>IF(M672="","",IFERROR(AVERAGEIFS(nNOTA,nNIA,M672,nEVAL,CONFIG_METADATA!$B$4,nASIG,"Conjunto"),""))</f>
        <v/>
      </c>
      <c r="Q672" t="str">
        <f>IF(M672="","",IFERROR(AVERAGEIFS(nNOTA,nNIA,M672,nEVAL,CONFIG_METADATA!$B$4,nASIG,"&lt;&gt;Lenguaje Musical",nASIG,"&lt;&gt;Coro",nASIG,"&lt;&gt;Conjunto"),""))</f>
        <v/>
      </c>
      <c r="T672" t="str">
        <f>IF(S672="","",IFERROR(AVERAGEIFS(nNOTA,nNIA,S672,nEVAL,CONFIG_METADATA!$B$4,nASIG,"Lenguaje Musical"),""))</f>
        <v/>
      </c>
      <c r="U672" t="str">
        <f>IF(S672="","",IFERROR(AVERAGEIFS(nNOTA,nNIA,S672,nEVAL,CONFIG_METADATA!$B$4,nASIG,"Coro"),""))</f>
        <v/>
      </c>
      <c r="V672" t="str">
        <f>IF(S672="","",IFERROR(AVERAGEIFS(nNOTA,nNIA,S672,nEVAL,CONFIG_METADATA!$B$4,nASIG,"Conjunto"),""))</f>
        <v/>
      </c>
      <c r="W672" t="str" cm="1">
        <f t="array" ref="W672">IF(S672="","",IFERROR(AVERAGE(IF((nNIA=S672)*(nEVAL=CONFIG_METADATA!$B$4)*(nASIG&lt;&gt;"Lenguaje Musical")*(nASIG&lt;&gt;"Coro")*(nASIG&lt;&gt;"Conjunto"),nNOTA)),""))</f>
        <v/>
      </c>
    </row>
    <row r="673" spans="2:23" x14ac:dyDescent="0.2">
      <c r="B673" t="str">
        <f>IF(A673="","",IFERROR(AVERAGEIFS(nNOTA,nNIA,A673,nEVAL,CONFIG_METADATA!$B$4,nASIG,"Lenguaje Musical"),""))</f>
        <v/>
      </c>
      <c r="C673" t="str">
        <f>IF(A673="","",IFERROR(AVERAGEIFS(nNOTA,nNIA,A673,nEVAL,CONFIG_METADATA!$B$4,nASIG,"Coro"),""))</f>
        <v/>
      </c>
      <c r="D673" t="str">
        <f>IF(A673="","",IFERROR(AVERAGEIFS(nNOTA,nNIA,A673,nEVAL,CONFIG_METADATA!$B$4,nASIG,"Conjunto"),""))</f>
        <v/>
      </c>
      <c r="E673" t="str">
        <f>IF(A673="","",IFERROR(AVERAGEIFS(nNOTA,nNIA,A673,nEVAL,CONFIG_METADATA!$B$4,nASIG,"&lt;&gt;Lenguaje Musical",nASIG,"&lt;&gt;Coro",nASIG,"&lt;&gt;Conjunto"),""))</f>
        <v/>
      </c>
      <c r="H673" t="str">
        <f>IF(G673="","",IFERROR(AVERAGEIFS(nNOTA,nNIA,G673,nEVAL,CONFIG_METADATA!$B$4,nASIG,"Lenguaje Musical"),""))</f>
        <v/>
      </c>
      <c r="I673" t="str">
        <f>IF(G673="","",IFERROR(AVERAGEIFS(nNOTA,nNIA,G673,nEVAL,CONFIG_METADATA!$B$4,nASIG,"Coro"),""))</f>
        <v/>
      </c>
      <c r="J673" t="str">
        <f>IF(G673="","",IFERROR(AVERAGEIFS(nNOTA,nNIA,G673,nEVAL,CONFIG_METADATA!$B$4,nASIG,"Conjunto"),""))</f>
        <v/>
      </c>
      <c r="K673" t="str" cm="1">
        <f t="array" ref="K673">IF(G673="","",IFERROR(AVERAGE(IF((nNIA=G673)*(nEVAL=CONFIG_METADATA!$B$4)*(nASIG&lt;&gt;"Lenguaje Musical")*(nASIG&lt;&gt;"Coro")*(nASIG&lt;&gt;"Conjunto"),nNOTA)),""))</f>
        <v/>
      </c>
      <c r="N673" t="str">
        <f>IF(M673="","",IFERROR(AVERAGEIFS(nNOTA,nNIA,M673,nEVAL,CONFIG_METADATA!$B$4,nASIG,"Lenguaje Musical"),""))</f>
        <v/>
      </c>
      <c r="O673" t="str">
        <f>IF(M673="","",IFERROR(AVERAGEIFS(nNOTA,nNIA,M673,nEVAL,CONFIG_METADATA!$B$4,nASIG,"Coro"),""))</f>
        <v/>
      </c>
      <c r="P673" t="str">
        <f>IF(M673="","",IFERROR(AVERAGEIFS(nNOTA,nNIA,M673,nEVAL,CONFIG_METADATA!$B$4,nASIG,"Conjunto"),""))</f>
        <v/>
      </c>
      <c r="Q673" t="str">
        <f>IF(M673="","",IFERROR(AVERAGEIFS(nNOTA,nNIA,M673,nEVAL,CONFIG_METADATA!$B$4,nASIG,"&lt;&gt;Lenguaje Musical",nASIG,"&lt;&gt;Coro",nASIG,"&lt;&gt;Conjunto"),""))</f>
        <v/>
      </c>
      <c r="T673" t="str">
        <f>IF(S673="","",IFERROR(AVERAGEIFS(nNOTA,nNIA,S673,nEVAL,CONFIG_METADATA!$B$4,nASIG,"Lenguaje Musical"),""))</f>
        <v/>
      </c>
      <c r="U673" t="str">
        <f>IF(S673="","",IFERROR(AVERAGEIFS(nNOTA,nNIA,S673,nEVAL,CONFIG_METADATA!$B$4,nASIG,"Coro"),""))</f>
        <v/>
      </c>
      <c r="V673" t="str">
        <f>IF(S673="","",IFERROR(AVERAGEIFS(nNOTA,nNIA,S673,nEVAL,CONFIG_METADATA!$B$4,nASIG,"Conjunto"),""))</f>
        <v/>
      </c>
      <c r="W673" t="str" cm="1">
        <f t="array" ref="W673">IF(S673="","",IFERROR(AVERAGE(IF((nNIA=S673)*(nEVAL=CONFIG_METADATA!$B$4)*(nASIG&lt;&gt;"Lenguaje Musical")*(nASIG&lt;&gt;"Coro")*(nASIG&lt;&gt;"Conjunto"),nNOTA)),""))</f>
        <v/>
      </c>
    </row>
    <row r="674" spans="2:23" x14ac:dyDescent="0.2">
      <c r="B674" t="str">
        <f>IF(A674="","",IFERROR(AVERAGEIFS(nNOTA,nNIA,A674,nEVAL,CONFIG_METADATA!$B$4,nASIG,"Lenguaje Musical"),""))</f>
        <v/>
      </c>
      <c r="C674" t="str">
        <f>IF(A674="","",IFERROR(AVERAGEIFS(nNOTA,nNIA,A674,nEVAL,CONFIG_METADATA!$B$4,nASIG,"Coro"),""))</f>
        <v/>
      </c>
      <c r="D674" t="str">
        <f>IF(A674="","",IFERROR(AVERAGEIFS(nNOTA,nNIA,A674,nEVAL,CONFIG_METADATA!$B$4,nASIG,"Conjunto"),""))</f>
        <v/>
      </c>
      <c r="E674" t="str">
        <f>IF(A674="","",IFERROR(AVERAGEIFS(nNOTA,nNIA,A674,nEVAL,CONFIG_METADATA!$B$4,nASIG,"&lt;&gt;Lenguaje Musical",nASIG,"&lt;&gt;Coro",nASIG,"&lt;&gt;Conjunto"),""))</f>
        <v/>
      </c>
      <c r="H674" t="str">
        <f>IF(G674="","",IFERROR(AVERAGEIFS(nNOTA,nNIA,G674,nEVAL,CONFIG_METADATA!$B$4,nASIG,"Lenguaje Musical"),""))</f>
        <v/>
      </c>
      <c r="I674" t="str">
        <f>IF(G674="","",IFERROR(AVERAGEIFS(nNOTA,nNIA,G674,nEVAL,CONFIG_METADATA!$B$4,nASIG,"Coro"),""))</f>
        <v/>
      </c>
      <c r="J674" t="str">
        <f>IF(G674="","",IFERROR(AVERAGEIFS(nNOTA,nNIA,G674,nEVAL,CONFIG_METADATA!$B$4,nASIG,"Conjunto"),""))</f>
        <v/>
      </c>
      <c r="K674" t="str" cm="1">
        <f t="array" ref="K674">IF(G674="","",IFERROR(AVERAGE(IF((nNIA=G674)*(nEVAL=CONFIG_METADATA!$B$4)*(nASIG&lt;&gt;"Lenguaje Musical")*(nASIG&lt;&gt;"Coro")*(nASIG&lt;&gt;"Conjunto"),nNOTA)),""))</f>
        <v/>
      </c>
      <c r="N674" t="str">
        <f>IF(M674="","",IFERROR(AVERAGEIFS(nNOTA,nNIA,M674,nEVAL,CONFIG_METADATA!$B$4,nASIG,"Lenguaje Musical"),""))</f>
        <v/>
      </c>
      <c r="O674" t="str">
        <f>IF(M674="","",IFERROR(AVERAGEIFS(nNOTA,nNIA,M674,nEVAL,CONFIG_METADATA!$B$4,nASIG,"Coro"),""))</f>
        <v/>
      </c>
      <c r="P674" t="str">
        <f>IF(M674="","",IFERROR(AVERAGEIFS(nNOTA,nNIA,M674,nEVAL,CONFIG_METADATA!$B$4,nASIG,"Conjunto"),""))</f>
        <v/>
      </c>
      <c r="Q674" t="str">
        <f>IF(M674="","",IFERROR(AVERAGEIFS(nNOTA,nNIA,M674,nEVAL,CONFIG_METADATA!$B$4,nASIG,"&lt;&gt;Lenguaje Musical",nASIG,"&lt;&gt;Coro",nASIG,"&lt;&gt;Conjunto"),""))</f>
        <v/>
      </c>
      <c r="T674" t="str">
        <f>IF(S674="","",IFERROR(AVERAGEIFS(nNOTA,nNIA,S674,nEVAL,CONFIG_METADATA!$B$4,nASIG,"Lenguaje Musical"),""))</f>
        <v/>
      </c>
      <c r="U674" t="str">
        <f>IF(S674="","",IFERROR(AVERAGEIFS(nNOTA,nNIA,S674,nEVAL,CONFIG_METADATA!$B$4,nASIG,"Coro"),""))</f>
        <v/>
      </c>
      <c r="V674" t="str">
        <f>IF(S674="","",IFERROR(AVERAGEIFS(nNOTA,nNIA,S674,nEVAL,CONFIG_METADATA!$B$4,nASIG,"Conjunto"),""))</f>
        <v/>
      </c>
      <c r="W674" t="str" cm="1">
        <f t="array" ref="W674">IF(S674="","",IFERROR(AVERAGE(IF((nNIA=S674)*(nEVAL=CONFIG_METADATA!$B$4)*(nASIG&lt;&gt;"Lenguaje Musical")*(nASIG&lt;&gt;"Coro")*(nASIG&lt;&gt;"Conjunto"),nNOTA)),""))</f>
        <v/>
      </c>
    </row>
    <row r="675" spans="2:23" x14ac:dyDescent="0.2">
      <c r="B675" t="str">
        <f>IF(A675="","",IFERROR(AVERAGEIFS(nNOTA,nNIA,A675,nEVAL,CONFIG_METADATA!$B$4,nASIG,"Lenguaje Musical"),""))</f>
        <v/>
      </c>
      <c r="C675" t="str">
        <f>IF(A675="","",IFERROR(AVERAGEIFS(nNOTA,nNIA,A675,nEVAL,CONFIG_METADATA!$B$4,nASIG,"Coro"),""))</f>
        <v/>
      </c>
      <c r="D675" t="str">
        <f>IF(A675="","",IFERROR(AVERAGEIFS(nNOTA,nNIA,A675,nEVAL,CONFIG_METADATA!$B$4,nASIG,"Conjunto"),""))</f>
        <v/>
      </c>
      <c r="E675" t="str">
        <f>IF(A675="","",IFERROR(AVERAGEIFS(nNOTA,nNIA,A675,nEVAL,CONFIG_METADATA!$B$4,nASIG,"&lt;&gt;Lenguaje Musical",nASIG,"&lt;&gt;Coro",nASIG,"&lt;&gt;Conjunto"),""))</f>
        <v/>
      </c>
      <c r="H675" t="str">
        <f>IF(G675="","",IFERROR(AVERAGEIFS(nNOTA,nNIA,G675,nEVAL,CONFIG_METADATA!$B$4,nASIG,"Lenguaje Musical"),""))</f>
        <v/>
      </c>
      <c r="I675" t="str">
        <f>IF(G675="","",IFERROR(AVERAGEIFS(nNOTA,nNIA,G675,nEVAL,CONFIG_METADATA!$B$4,nASIG,"Coro"),""))</f>
        <v/>
      </c>
      <c r="J675" t="str">
        <f>IF(G675="","",IFERROR(AVERAGEIFS(nNOTA,nNIA,G675,nEVAL,CONFIG_METADATA!$B$4,nASIG,"Conjunto"),""))</f>
        <v/>
      </c>
      <c r="K675" t="str" cm="1">
        <f t="array" ref="K675">IF(G675="","",IFERROR(AVERAGE(IF((nNIA=G675)*(nEVAL=CONFIG_METADATA!$B$4)*(nASIG&lt;&gt;"Lenguaje Musical")*(nASIG&lt;&gt;"Coro")*(nASIG&lt;&gt;"Conjunto"),nNOTA)),""))</f>
        <v/>
      </c>
      <c r="N675" t="str">
        <f>IF(M675="","",IFERROR(AVERAGEIFS(nNOTA,nNIA,M675,nEVAL,CONFIG_METADATA!$B$4,nASIG,"Lenguaje Musical"),""))</f>
        <v/>
      </c>
      <c r="O675" t="str">
        <f>IF(M675="","",IFERROR(AVERAGEIFS(nNOTA,nNIA,M675,nEVAL,CONFIG_METADATA!$B$4,nASIG,"Coro"),""))</f>
        <v/>
      </c>
      <c r="P675" t="str">
        <f>IF(M675="","",IFERROR(AVERAGEIFS(nNOTA,nNIA,M675,nEVAL,CONFIG_METADATA!$B$4,nASIG,"Conjunto"),""))</f>
        <v/>
      </c>
      <c r="Q675" t="str">
        <f>IF(M675="","",IFERROR(AVERAGEIFS(nNOTA,nNIA,M675,nEVAL,CONFIG_METADATA!$B$4,nASIG,"&lt;&gt;Lenguaje Musical",nASIG,"&lt;&gt;Coro",nASIG,"&lt;&gt;Conjunto"),""))</f>
        <v/>
      </c>
      <c r="T675" t="str">
        <f>IF(S675="","",IFERROR(AVERAGEIFS(nNOTA,nNIA,S675,nEVAL,CONFIG_METADATA!$B$4,nASIG,"Lenguaje Musical"),""))</f>
        <v/>
      </c>
      <c r="U675" t="str">
        <f>IF(S675="","",IFERROR(AVERAGEIFS(nNOTA,nNIA,S675,nEVAL,CONFIG_METADATA!$B$4,nASIG,"Coro"),""))</f>
        <v/>
      </c>
      <c r="V675" t="str">
        <f>IF(S675="","",IFERROR(AVERAGEIFS(nNOTA,nNIA,S675,nEVAL,CONFIG_METADATA!$B$4,nASIG,"Conjunto"),""))</f>
        <v/>
      </c>
      <c r="W675" t="str" cm="1">
        <f t="array" ref="W675">IF(S675="","",IFERROR(AVERAGE(IF((nNIA=S675)*(nEVAL=CONFIG_METADATA!$B$4)*(nASIG&lt;&gt;"Lenguaje Musical")*(nASIG&lt;&gt;"Coro")*(nASIG&lt;&gt;"Conjunto"),nNOTA)),""))</f>
        <v/>
      </c>
    </row>
    <row r="676" spans="2:23" x14ac:dyDescent="0.2">
      <c r="B676" t="str">
        <f>IF(A676="","",IFERROR(AVERAGEIFS(nNOTA,nNIA,A676,nEVAL,CONFIG_METADATA!$B$4,nASIG,"Lenguaje Musical"),""))</f>
        <v/>
      </c>
      <c r="C676" t="str">
        <f>IF(A676="","",IFERROR(AVERAGEIFS(nNOTA,nNIA,A676,nEVAL,CONFIG_METADATA!$B$4,nASIG,"Coro"),""))</f>
        <v/>
      </c>
      <c r="D676" t="str">
        <f>IF(A676="","",IFERROR(AVERAGEIFS(nNOTA,nNIA,A676,nEVAL,CONFIG_METADATA!$B$4,nASIG,"Conjunto"),""))</f>
        <v/>
      </c>
      <c r="E676" t="str">
        <f>IF(A676="","",IFERROR(AVERAGEIFS(nNOTA,nNIA,A676,nEVAL,CONFIG_METADATA!$B$4,nASIG,"&lt;&gt;Lenguaje Musical",nASIG,"&lt;&gt;Coro",nASIG,"&lt;&gt;Conjunto"),""))</f>
        <v/>
      </c>
      <c r="H676" t="str">
        <f>IF(G676="","",IFERROR(AVERAGEIFS(nNOTA,nNIA,G676,nEVAL,CONFIG_METADATA!$B$4,nASIG,"Lenguaje Musical"),""))</f>
        <v/>
      </c>
      <c r="I676" t="str">
        <f>IF(G676="","",IFERROR(AVERAGEIFS(nNOTA,nNIA,G676,nEVAL,CONFIG_METADATA!$B$4,nASIG,"Coro"),""))</f>
        <v/>
      </c>
      <c r="J676" t="str">
        <f>IF(G676="","",IFERROR(AVERAGEIFS(nNOTA,nNIA,G676,nEVAL,CONFIG_METADATA!$B$4,nASIG,"Conjunto"),""))</f>
        <v/>
      </c>
      <c r="K676" t="str" cm="1">
        <f t="array" ref="K676">IF(G676="","",IFERROR(AVERAGE(IF((nNIA=G676)*(nEVAL=CONFIG_METADATA!$B$4)*(nASIG&lt;&gt;"Lenguaje Musical")*(nASIG&lt;&gt;"Coro")*(nASIG&lt;&gt;"Conjunto"),nNOTA)),""))</f>
        <v/>
      </c>
      <c r="N676" t="str">
        <f>IF(M676="","",IFERROR(AVERAGEIFS(nNOTA,nNIA,M676,nEVAL,CONFIG_METADATA!$B$4,nASIG,"Lenguaje Musical"),""))</f>
        <v/>
      </c>
      <c r="O676" t="str">
        <f>IF(M676="","",IFERROR(AVERAGEIFS(nNOTA,nNIA,M676,nEVAL,CONFIG_METADATA!$B$4,nASIG,"Coro"),""))</f>
        <v/>
      </c>
      <c r="P676" t="str">
        <f>IF(M676="","",IFERROR(AVERAGEIFS(nNOTA,nNIA,M676,nEVAL,CONFIG_METADATA!$B$4,nASIG,"Conjunto"),""))</f>
        <v/>
      </c>
      <c r="Q676" t="str">
        <f>IF(M676="","",IFERROR(AVERAGEIFS(nNOTA,nNIA,M676,nEVAL,CONFIG_METADATA!$B$4,nASIG,"&lt;&gt;Lenguaje Musical",nASIG,"&lt;&gt;Coro",nASIG,"&lt;&gt;Conjunto"),""))</f>
        <v/>
      </c>
      <c r="T676" t="str">
        <f>IF(S676="","",IFERROR(AVERAGEIFS(nNOTA,nNIA,S676,nEVAL,CONFIG_METADATA!$B$4,nASIG,"Lenguaje Musical"),""))</f>
        <v/>
      </c>
      <c r="U676" t="str">
        <f>IF(S676="","",IFERROR(AVERAGEIFS(nNOTA,nNIA,S676,nEVAL,CONFIG_METADATA!$B$4,nASIG,"Coro"),""))</f>
        <v/>
      </c>
      <c r="V676" t="str">
        <f>IF(S676="","",IFERROR(AVERAGEIFS(nNOTA,nNIA,S676,nEVAL,CONFIG_METADATA!$B$4,nASIG,"Conjunto"),""))</f>
        <v/>
      </c>
      <c r="W676" t="str" cm="1">
        <f t="array" ref="W676">IF(S676="","",IFERROR(AVERAGE(IF((nNIA=S676)*(nEVAL=CONFIG_METADATA!$B$4)*(nASIG&lt;&gt;"Lenguaje Musical")*(nASIG&lt;&gt;"Coro")*(nASIG&lt;&gt;"Conjunto"),nNOTA)),""))</f>
        <v/>
      </c>
    </row>
    <row r="677" spans="2:23" x14ac:dyDescent="0.2">
      <c r="B677" t="str">
        <f>IF(A677="","",IFERROR(AVERAGEIFS(nNOTA,nNIA,A677,nEVAL,CONFIG_METADATA!$B$4,nASIG,"Lenguaje Musical"),""))</f>
        <v/>
      </c>
      <c r="C677" t="str">
        <f>IF(A677="","",IFERROR(AVERAGEIFS(nNOTA,nNIA,A677,nEVAL,CONFIG_METADATA!$B$4,nASIG,"Coro"),""))</f>
        <v/>
      </c>
      <c r="D677" t="str">
        <f>IF(A677="","",IFERROR(AVERAGEIFS(nNOTA,nNIA,A677,nEVAL,CONFIG_METADATA!$B$4,nASIG,"Conjunto"),""))</f>
        <v/>
      </c>
      <c r="E677" t="str">
        <f>IF(A677="","",IFERROR(AVERAGEIFS(nNOTA,nNIA,A677,nEVAL,CONFIG_METADATA!$B$4,nASIG,"&lt;&gt;Lenguaje Musical",nASIG,"&lt;&gt;Coro",nASIG,"&lt;&gt;Conjunto"),""))</f>
        <v/>
      </c>
      <c r="H677" t="str">
        <f>IF(G677="","",IFERROR(AVERAGEIFS(nNOTA,nNIA,G677,nEVAL,CONFIG_METADATA!$B$4,nASIG,"Lenguaje Musical"),""))</f>
        <v/>
      </c>
      <c r="I677" t="str">
        <f>IF(G677="","",IFERROR(AVERAGEIFS(nNOTA,nNIA,G677,nEVAL,CONFIG_METADATA!$B$4,nASIG,"Coro"),""))</f>
        <v/>
      </c>
      <c r="J677" t="str">
        <f>IF(G677="","",IFERROR(AVERAGEIFS(nNOTA,nNIA,G677,nEVAL,CONFIG_METADATA!$B$4,nASIG,"Conjunto"),""))</f>
        <v/>
      </c>
      <c r="K677" t="str" cm="1">
        <f t="array" ref="K677">IF(G677="","",IFERROR(AVERAGE(IF((nNIA=G677)*(nEVAL=CONFIG_METADATA!$B$4)*(nASIG&lt;&gt;"Lenguaje Musical")*(nASIG&lt;&gt;"Coro")*(nASIG&lt;&gt;"Conjunto"),nNOTA)),""))</f>
        <v/>
      </c>
      <c r="N677" t="str">
        <f>IF(M677="","",IFERROR(AVERAGEIFS(nNOTA,nNIA,M677,nEVAL,CONFIG_METADATA!$B$4,nASIG,"Lenguaje Musical"),""))</f>
        <v/>
      </c>
      <c r="O677" t="str">
        <f>IF(M677="","",IFERROR(AVERAGEIFS(nNOTA,nNIA,M677,nEVAL,CONFIG_METADATA!$B$4,nASIG,"Coro"),""))</f>
        <v/>
      </c>
      <c r="P677" t="str">
        <f>IF(M677="","",IFERROR(AVERAGEIFS(nNOTA,nNIA,M677,nEVAL,CONFIG_METADATA!$B$4,nASIG,"Conjunto"),""))</f>
        <v/>
      </c>
      <c r="Q677" t="str">
        <f>IF(M677="","",IFERROR(AVERAGEIFS(nNOTA,nNIA,M677,nEVAL,CONFIG_METADATA!$B$4,nASIG,"&lt;&gt;Lenguaje Musical",nASIG,"&lt;&gt;Coro",nASIG,"&lt;&gt;Conjunto"),""))</f>
        <v/>
      </c>
      <c r="T677" t="str">
        <f>IF(S677="","",IFERROR(AVERAGEIFS(nNOTA,nNIA,S677,nEVAL,CONFIG_METADATA!$B$4,nASIG,"Lenguaje Musical"),""))</f>
        <v/>
      </c>
      <c r="U677" t="str">
        <f>IF(S677="","",IFERROR(AVERAGEIFS(nNOTA,nNIA,S677,nEVAL,CONFIG_METADATA!$B$4,nASIG,"Coro"),""))</f>
        <v/>
      </c>
      <c r="V677" t="str">
        <f>IF(S677="","",IFERROR(AVERAGEIFS(nNOTA,nNIA,S677,nEVAL,CONFIG_METADATA!$B$4,nASIG,"Conjunto"),""))</f>
        <v/>
      </c>
      <c r="W677" t="str" cm="1">
        <f t="array" ref="W677">IF(S677="","",IFERROR(AVERAGE(IF((nNIA=S677)*(nEVAL=CONFIG_METADATA!$B$4)*(nASIG&lt;&gt;"Lenguaje Musical")*(nASIG&lt;&gt;"Coro")*(nASIG&lt;&gt;"Conjunto"),nNOTA)),""))</f>
        <v/>
      </c>
    </row>
    <row r="678" spans="2:23" x14ac:dyDescent="0.2">
      <c r="B678" t="str">
        <f>IF(A678="","",IFERROR(AVERAGEIFS(nNOTA,nNIA,A678,nEVAL,CONFIG_METADATA!$B$4,nASIG,"Lenguaje Musical"),""))</f>
        <v/>
      </c>
      <c r="C678" t="str">
        <f>IF(A678="","",IFERROR(AVERAGEIFS(nNOTA,nNIA,A678,nEVAL,CONFIG_METADATA!$B$4,nASIG,"Coro"),""))</f>
        <v/>
      </c>
      <c r="D678" t="str">
        <f>IF(A678="","",IFERROR(AVERAGEIFS(nNOTA,nNIA,A678,nEVAL,CONFIG_METADATA!$B$4,nASIG,"Conjunto"),""))</f>
        <v/>
      </c>
      <c r="E678" t="str">
        <f>IF(A678="","",IFERROR(AVERAGEIFS(nNOTA,nNIA,A678,nEVAL,CONFIG_METADATA!$B$4,nASIG,"&lt;&gt;Lenguaje Musical",nASIG,"&lt;&gt;Coro",nASIG,"&lt;&gt;Conjunto"),""))</f>
        <v/>
      </c>
      <c r="H678" t="str">
        <f>IF(G678="","",IFERROR(AVERAGEIFS(nNOTA,nNIA,G678,nEVAL,CONFIG_METADATA!$B$4,nASIG,"Lenguaje Musical"),""))</f>
        <v/>
      </c>
      <c r="I678" t="str">
        <f>IF(G678="","",IFERROR(AVERAGEIFS(nNOTA,nNIA,G678,nEVAL,CONFIG_METADATA!$B$4,nASIG,"Coro"),""))</f>
        <v/>
      </c>
      <c r="J678" t="str">
        <f>IF(G678="","",IFERROR(AVERAGEIFS(nNOTA,nNIA,G678,nEVAL,CONFIG_METADATA!$B$4,nASIG,"Conjunto"),""))</f>
        <v/>
      </c>
      <c r="K678" t="str" cm="1">
        <f t="array" ref="K678">IF(G678="","",IFERROR(AVERAGE(IF((nNIA=G678)*(nEVAL=CONFIG_METADATA!$B$4)*(nASIG&lt;&gt;"Lenguaje Musical")*(nASIG&lt;&gt;"Coro")*(nASIG&lt;&gt;"Conjunto"),nNOTA)),""))</f>
        <v/>
      </c>
      <c r="N678" t="str">
        <f>IF(M678="","",IFERROR(AVERAGEIFS(nNOTA,nNIA,M678,nEVAL,CONFIG_METADATA!$B$4,nASIG,"Lenguaje Musical"),""))</f>
        <v/>
      </c>
      <c r="O678" t="str">
        <f>IF(M678="","",IFERROR(AVERAGEIFS(nNOTA,nNIA,M678,nEVAL,CONFIG_METADATA!$B$4,nASIG,"Coro"),""))</f>
        <v/>
      </c>
      <c r="P678" t="str">
        <f>IF(M678="","",IFERROR(AVERAGEIFS(nNOTA,nNIA,M678,nEVAL,CONFIG_METADATA!$B$4,nASIG,"Conjunto"),""))</f>
        <v/>
      </c>
      <c r="Q678" t="str">
        <f>IF(M678="","",IFERROR(AVERAGEIFS(nNOTA,nNIA,M678,nEVAL,CONFIG_METADATA!$B$4,nASIG,"&lt;&gt;Lenguaje Musical",nASIG,"&lt;&gt;Coro",nASIG,"&lt;&gt;Conjunto"),""))</f>
        <v/>
      </c>
      <c r="T678" t="str">
        <f>IF(S678="","",IFERROR(AVERAGEIFS(nNOTA,nNIA,S678,nEVAL,CONFIG_METADATA!$B$4,nASIG,"Lenguaje Musical"),""))</f>
        <v/>
      </c>
      <c r="U678" t="str">
        <f>IF(S678="","",IFERROR(AVERAGEIFS(nNOTA,nNIA,S678,nEVAL,CONFIG_METADATA!$B$4,nASIG,"Coro"),""))</f>
        <v/>
      </c>
      <c r="V678" t="str">
        <f>IF(S678="","",IFERROR(AVERAGEIFS(nNOTA,nNIA,S678,nEVAL,CONFIG_METADATA!$B$4,nASIG,"Conjunto"),""))</f>
        <v/>
      </c>
      <c r="W678" t="str" cm="1">
        <f t="array" ref="W678">IF(S678="","",IFERROR(AVERAGE(IF((nNIA=S678)*(nEVAL=CONFIG_METADATA!$B$4)*(nASIG&lt;&gt;"Lenguaje Musical")*(nASIG&lt;&gt;"Coro")*(nASIG&lt;&gt;"Conjunto"),nNOTA)),""))</f>
        <v/>
      </c>
    </row>
    <row r="679" spans="2:23" x14ac:dyDescent="0.2">
      <c r="B679" t="str">
        <f>IF(A679="","",IFERROR(AVERAGEIFS(nNOTA,nNIA,A679,nEVAL,CONFIG_METADATA!$B$4,nASIG,"Lenguaje Musical"),""))</f>
        <v/>
      </c>
      <c r="C679" t="str">
        <f>IF(A679="","",IFERROR(AVERAGEIFS(nNOTA,nNIA,A679,nEVAL,CONFIG_METADATA!$B$4,nASIG,"Coro"),""))</f>
        <v/>
      </c>
      <c r="D679" t="str">
        <f>IF(A679="","",IFERROR(AVERAGEIFS(nNOTA,nNIA,A679,nEVAL,CONFIG_METADATA!$B$4,nASIG,"Conjunto"),""))</f>
        <v/>
      </c>
      <c r="E679" t="str">
        <f>IF(A679="","",IFERROR(AVERAGEIFS(nNOTA,nNIA,A679,nEVAL,CONFIG_METADATA!$B$4,nASIG,"&lt;&gt;Lenguaje Musical",nASIG,"&lt;&gt;Coro",nASIG,"&lt;&gt;Conjunto"),""))</f>
        <v/>
      </c>
      <c r="H679" t="str">
        <f>IF(G679="","",IFERROR(AVERAGEIFS(nNOTA,nNIA,G679,nEVAL,CONFIG_METADATA!$B$4,nASIG,"Lenguaje Musical"),""))</f>
        <v/>
      </c>
      <c r="I679" t="str">
        <f>IF(G679="","",IFERROR(AVERAGEIFS(nNOTA,nNIA,G679,nEVAL,CONFIG_METADATA!$B$4,nASIG,"Coro"),""))</f>
        <v/>
      </c>
      <c r="J679" t="str">
        <f>IF(G679="","",IFERROR(AVERAGEIFS(nNOTA,nNIA,G679,nEVAL,CONFIG_METADATA!$B$4,nASIG,"Conjunto"),""))</f>
        <v/>
      </c>
      <c r="K679" t="str" cm="1">
        <f t="array" ref="K679">IF(G679="","",IFERROR(AVERAGE(IF((nNIA=G679)*(nEVAL=CONFIG_METADATA!$B$4)*(nASIG&lt;&gt;"Lenguaje Musical")*(nASIG&lt;&gt;"Coro")*(nASIG&lt;&gt;"Conjunto"),nNOTA)),""))</f>
        <v/>
      </c>
      <c r="N679" t="str">
        <f>IF(M679="","",IFERROR(AVERAGEIFS(nNOTA,nNIA,M679,nEVAL,CONFIG_METADATA!$B$4,nASIG,"Lenguaje Musical"),""))</f>
        <v/>
      </c>
      <c r="O679" t="str">
        <f>IF(M679="","",IFERROR(AVERAGEIFS(nNOTA,nNIA,M679,nEVAL,CONFIG_METADATA!$B$4,nASIG,"Coro"),""))</f>
        <v/>
      </c>
      <c r="P679" t="str">
        <f>IF(M679="","",IFERROR(AVERAGEIFS(nNOTA,nNIA,M679,nEVAL,CONFIG_METADATA!$B$4,nASIG,"Conjunto"),""))</f>
        <v/>
      </c>
      <c r="Q679" t="str">
        <f>IF(M679="","",IFERROR(AVERAGEIFS(nNOTA,nNIA,M679,nEVAL,CONFIG_METADATA!$B$4,nASIG,"&lt;&gt;Lenguaje Musical",nASIG,"&lt;&gt;Coro",nASIG,"&lt;&gt;Conjunto"),""))</f>
        <v/>
      </c>
      <c r="T679" t="str">
        <f>IF(S679="","",IFERROR(AVERAGEIFS(nNOTA,nNIA,S679,nEVAL,CONFIG_METADATA!$B$4,nASIG,"Lenguaje Musical"),""))</f>
        <v/>
      </c>
      <c r="U679" t="str">
        <f>IF(S679="","",IFERROR(AVERAGEIFS(nNOTA,nNIA,S679,nEVAL,CONFIG_METADATA!$B$4,nASIG,"Coro"),""))</f>
        <v/>
      </c>
      <c r="V679" t="str">
        <f>IF(S679="","",IFERROR(AVERAGEIFS(nNOTA,nNIA,S679,nEVAL,CONFIG_METADATA!$B$4,nASIG,"Conjunto"),""))</f>
        <v/>
      </c>
      <c r="W679" t="str" cm="1">
        <f t="array" ref="W679">IF(S679="","",IFERROR(AVERAGE(IF((nNIA=S679)*(nEVAL=CONFIG_METADATA!$B$4)*(nASIG&lt;&gt;"Lenguaje Musical")*(nASIG&lt;&gt;"Coro")*(nASIG&lt;&gt;"Conjunto"),nNOTA)),""))</f>
        <v/>
      </c>
    </row>
    <row r="680" spans="2:23" x14ac:dyDescent="0.2">
      <c r="B680" t="str">
        <f>IF(A680="","",IFERROR(AVERAGEIFS(nNOTA,nNIA,A680,nEVAL,CONFIG_METADATA!$B$4,nASIG,"Lenguaje Musical"),""))</f>
        <v/>
      </c>
      <c r="C680" t="str">
        <f>IF(A680="","",IFERROR(AVERAGEIFS(nNOTA,nNIA,A680,nEVAL,CONFIG_METADATA!$B$4,nASIG,"Coro"),""))</f>
        <v/>
      </c>
      <c r="D680" t="str">
        <f>IF(A680="","",IFERROR(AVERAGEIFS(nNOTA,nNIA,A680,nEVAL,CONFIG_METADATA!$B$4,nASIG,"Conjunto"),""))</f>
        <v/>
      </c>
      <c r="E680" t="str">
        <f>IF(A680="","",IFERROR(AVERAGEIFS(nNOTA,nNIA,A680,nEVAL,CONFIG_METADATA!$B$4,nASIG,"&lt;&gt;Lenguaje Musical",nASIG,"&lt;&gt;Coro",nASIG,"&lt;&gt;Conjunto"),""))</f>
        <v/>
      </c>
      <c r="H680" t="str">
        <f>IF(G680="","",IFERROR(AVERAGEIFS(nNOTA,nNIA,G680,nEVAL,CONFIG_METADATA!$B$4,nASIG,"Lenguaje Musical"),""))</f>
        <v/>
      </c>
      <c r="I680" t="str">
        <f>IF(G680="","",IFERROR(AVERAGEIFS(nNOTA,nNIA,G680,nEVAL,CONFIG_METADATA!$B$4,nASIG,"Coro"),""))</f>
        <v/>
      </c>
      <c r="J680" t="str">
        <f>IF(G680="","",IFERROR(AVERAGEIFS(nNOTA,nNIA,G680,nEVAL,CONFIG_METADATA!$B$4,nASIG,"Conjunto"),""))</f>
        <v/>
      </c>
      <c r="K680" t="str" cm="1">
        <f t="array" ref="K680">IF(G680="","",IFERROR(AVERAGE(IF((nNIA=G680)*(nEVAL=CONFIG_METADATA!$B$4)*(nASIG&lt;&gt;"Lenguaje Musical")*(nASIG&lt;&gt;"Coro")*(nASIG&lt;&gt;"Conjunto"),nNOTA)),""))</f>
        <v/>
      </c>
      <c r="N680" t="str">
        <f>IF(M680="","",IFERROR(AVERAGEIFS(nNOTA,nNIA,M680,nEVAL,CONFIG_METADATA!$B$4,nASIG,"Lenguaje Musical"),""))</f>
        <v/>
      </c>
      <c r="O680" t="str">
        <f>IF(M680="","",IFERROR(AVERAGEIFS(nNOTA,nNIA,M680,nEVAL,CONFIG_METADATA!$B$4,nASIG,"Coro"),""))</f>
        <v/>
      </c>
      <c r="P680" t="str">
        <f>IF(M680="","",IFERROR(AVERAGEIFS(nNOTA,nNIA,M680,nEVAL,CONFIG_METADATA!$B$4,nASIG,"Conjunto"),""))</f>
        <v/>
      </c>
      <c r="Q680" t="str">
        <f>IF(M680="","",IFERROR(AVERAGEIFS(nNOTA,nNIA,M680,nEVAL,CONFIG_METADATA!$B$4,nASIG,"&lt;&gt;Lenguaje Musical",nASIG,"&lt;&gt;Coro",nASIG,"&lt;&gt;Conjunto"),""))</f>
        <v/>
      </c>
      <c r="T680" t="str">
        <f>IF(S680="","",IFERROR(AVERAGEIFS(nNOTA,nNIA,S680,nEVAL,CONFIG_METADATA!$B$4,nASIG,"Lenguaje Musical"),""))</f>
        <v/>
      </c>
      <c r="U680" t="str">
        <f>IF(S680="","",IFERROR(AVERAGEIFS(nNOTA,nNIA,S680,nEVAL,CONFIG_METADATA!$B$4,nASIG,"Coro"),""))</f>
        <v/>
      </c>
      <c r="V680" t="str">
        <f>IF(S680="","",IFERROR(AVERAGEIFS(nNOTA,nNIA,S680,nEVAL,CONFIG_METADATA!$B$4,nASIG,"Conjunto"),""))</f>
        <v/>
      </c>
      <c r="W680" t="str" cm="1">
        <f t="array" ref="W680">IF(S680="","",IFERROR(AVERAGE(IF((nNIA=S680)*(nEVAL=CONFIG_METADATA!$B$4)*(nASIG&lt;&gt;"Lenguaje Musical")*(nASIG&lt;&gt;"Coro")*(nASIG&lt;&gt;"Conjunto"),nNOTA)),""))</f>
        <v/>
      </c>
    </row>
    <row r="681" spans="2:23" x14ac:dyDescent="0.2">
      <c r="B681" t="str">
        <f>IF(A681="","",IFERROR(AVERAGEIFS(nNOTA,nNIA,A681,nEVAL,CONFIG_METADATA!$B$4,nASIG,"Lenguaje Musical"),""))</f>
        <v/>
      </c>
      <c r="C681" t="str">
        <f>IF(A681="","",IFERROR(AVERAGEIFS(nNOTA,nNIA,A681,nEVAL,CONFIG_METADATA!$B$4,nASIG,"Coro"),""))</f>
        <v/>
      </c>
      <c r="D681" t="str">
        <f>IF(A681="","",IFERROR(AVERAGEIFS(nNOTA,nNIA,A681,nEVAL,CONFIG_METADATA!$B$4,nASIG,"Conjunto"),""))</f>
        <v/>
      </c>
      <c r="E681" t="str">
        <f>IF(A681="","",IFERROR(AVERAGEIFS(nNOTA,nNIA,A681,nEVAL,CONFIG_METADATA!$B$4,nASIG,"&lt;&gt;Lenguaje Musical",nASIG,"&lt;&gt;Coro",nASIG,"&lt;&gt;Conjunto"),""))</f>
        <v/>
      </c>
      <c r="H681" t="str">
        <f>IF(G681="","",IFERROR(AVERAGEIFS(nNOTA,nNIA,G681,nEVAL,CONFIG_METADATA!$B$4,nASIG,"Lenguaje Musical"),""))</f>
        <v/>
      </c>
      <c r="I681" t="str">
        <f>IF(G681="","",IFERROR(AVERAGEIFS(nNOTA,nNIA,G681,nEVAL,CONFIG_METADATA!$B$4,nASIG,"Coro"),""))</f>
        <v/>
      </c>
      <c r="J681" t="str">
        <f>IF(G681="","",IFERROR(AVERAGEIFS(nNOTA,nNIA,G681,nEVAL,CONFIG_METADATA!$B$4,nASIG,"Conjunto"),""))</f>
        <v/>
      </c>
      <c r="K681" t="str" cm="1">
        <f t="array" ref="K681">IF(G681="","",IFERROR(AVERAGE(IF((nNIA=G681)*(nEVAL=CONFIG_METADATA!$B$4)*(nASIG&lt;&gt;"Lenguaje Musical")*(nASIG&lt;&gt;"Coro")*(nASIG&lt;&gt;"Conjunto"),nNOTA)),""))</f>
        <v/>
      </c>
      <c r="N681" t="str">
        <f>IF(M681="","",IFERROR(AVERAGEIFS(nNOTA,nNIA,M681,nEVAL,CONFIG_METADATA!$B$4,nASIG,"Lenguaje Musical"),""))</f>
        <v/>
      </c>
      <c r="O681" t="str">
        <f>IF(M681="","",IFERROR(AVERAGEIFS(nNOTA,nNIA,M681,nEVAL,CONFIG_METADATA!$B$4,nASIG,"Coro"),""))</f>
        <v/>
      </c>
      <c r="P681" t="str">
        <f>IF(M681="","",IFERROR(AVERAGEIFS(nNOTA,nNIA,M681,nEVAL,CONFIG_METADATA!$B$4,nASIG,"Conjunto"),""))</f>
        <v/>
      </c>
      <c r="Q681" t="str">
        <f>IF(M681="","",IFERROR(AVERAGEIFS(nNOTA,nNIA,M681,nEVAL,CONFIG_METADATA!$B$4,nASIG,"&lt;&gt;Lenguaje Musical",nASIG,"&lt;&gt;Coro",nASIG,"&lt;&gt;Conjunto"),""))</f>
        <v/>
      </c>
      <c r="T681" t="str">
        <f>IF(S681="","",IFERROR(AVERAGEIFS(nNOTA,nNIA,S681,nEVAL,CONFIG_METADATA!$B$4,nASIG,"Lenguaje Musical"),""))</f>
        <v/>
      </c>
      <c r="U681" t="str">
        <f>IF(S681="","",IFERROR(AVERAGEIFS(nNOTA,nNIA,S681,nEVAL,CONFIG_METADATA!$B$4,nASIG,"Coro"),""))</f>
        <v/>
      </c>
      <c r="V681" t="str">
        <f>IF(S681="","",IFERROR(AVERAGEIFS(nNOTA,nNIA,S681,nEVAL,CONFIG_METADATA!$B$4,nASIG,"Conjunto"),""))</f>
        <v/>
      </c>
      <c r="W681" t="str" cm="1">
        <f t="array" ref="W681">IF(S681="","",IFERROR(AVERAGE(IF((nNIA=S681)*(nEVAL=CONFIG_METADATA!$B$4)*(nASIG&lt;&gt;"Lenguaje Musical")*(nASIG&lt;&gt;"Coro")*(nASIG&lt;&gt;"Conjunto"),nNOTA)),""))</f>
        <v/>
      </c>
    </row>
    <row r="682" spans="2:23" x14ac:dyDescent="0.2">
      <c r="B682" t="str">
        <f>IF(A682="","",IFERROR(AVERAGEIFS(nNOTA,nNIA,A682,nEVAL,CONFIG_METADATA!$B$4,nASIG,"Lenguaje Musical"),""))</f>
        <v/>
      </c>
      <c r="C682" t="str">
        <f>IF(A682="","",IFERROR(AVERAGEIFS(nNOTA,nNIA,A682,nEVAL,CONFIG_METADATA!$B$4,nASIG,"Coro"),""))</f>
        <v/>
      </c>
      <c r="D682" t="str">
        <f>IF(A682="","",IFERROR(AVERAGEIFS(nNOTA,nNIA,A682,nEVAL,CONFIG_METADATA!$B$4,nASIG,"Conjunto"),""))</f>
        <v/>
      </c>
      <c r="E682" t="str">
        <f>IF(A682="","",IFERROR(AVERAGEIFS(nNOTA,nNIA,A682,nEVAL,CONFIG_METADATA!$B$4,nASIG,"&lt;&gt;Lenguaje Musical",nASIG,"&lt;&gt;Coro",nASIG,"&lt;&gt;Conjunto"),""))</f>
        <v/>
      </c>
      <c r="H682" t="str">
        <f>IF(G682="","",IFERROR(AVERAGEIFS(nNOTA,nNIA,G682,nEVAL,CONFIG_METADATA!$B$4,nASIG,"Lenguaje Musical"),""))</f>
        <v/>
      </c>
      <c r="I682" t="str">
        <f>IF(G682="","",IFERROR(AVERAGEIFS(nNOTA,nNIA,G682,nEVAL,CONFIG_METADATA!$B$4,nASIG,"Coro"),""))</f>
        <v/>
      </c>
      <c r="J682" t="str">
        <f>IF(G682="","",IFERROR(AVERAGEIFS(nNOTA,nNIA,G682,nEVAL,CONFIG_METADATA!$B$4,nASIG,"Conjunto"),""))</f>
        <v/>
      </c>
      <c r="K682" t="str" cm="1">
        <f t="array" ref="K682">IF(G682="","",IFERROR(AVERAGE(IF((nNIA=G682)*(nEVAL=CONFIG_METADATA!$B$4)*(nASIG&lt;&gt;"Lenguaje Musical")*(nASIG&lt;&gt;"Coro")*(nASIG&lt;&gt;"Conjunto"),nNOTA)),""))</f>
        <v/>
      </c>
      <c r="N682" t="str">
        <f>IF(M682="","",IFERROR(AVERAGEIFS(nNOTA,nNIA,M682,nEVAL,CONFIG_METADATA!$B$4,nASIG,"Lenguaje Musical"),""))</f>
        <v/>
      </c>
      <c r="O682" t="str">
        <f>IF(M682="","",IFERROR(AVERAGEIFS(nNOTA,nNIA,M682,nEVAL,CONFIG_METADATA!$B$4,nASIG,"Coro"),""))</f>
        <v/>
      </c>
      <c r="P682" t="str">
        <f>IF(M682="","",IFERROR(AVERAGEIFS(nNOTA,nNIA,M682,nEVAL,CONFIG_METADATA!$B$4,nASIG,"Conjunto"),""))</f>
        <v/>
      </c>
      <c r="Q682" t="str">
        <f>IF(M682="","",IFERROR(AVERAGEIFS(nNOTA,nNIA,M682,nEVAL,CONFIG_METADATA!$B$4,nASIG,"&lt;&gt;Lenguaje Musical",nASIG,"&lt;&gt;Coro",nASIG,"&lt;&gt;Conjunto"),""))</f>
        <v/>
      </c>
      <c r="T682" t="str">
        <f>IF(S682="","",IFERROR(AVERAGEIFS(nNOTA,nNIA,S682,nEVAL,CONFIG_METADATA!$B$4,nASIG,"Lenguaje Musical"),""))</f>
        <v/>
      </c>
      <c r="U682" t="str">
        <f>IF(S682="","",IFERROR(AVERAGEIFS(nNOTA,nNIA,S682,nEVAL,CONFIG_METADATA!$B$4,nASIG,"Coro"),""))</f>
        <v/>
      </c>
      <c r="V682" t="str">
        <f>IF(S682="","",IFERROR(AVERAGEIFS(nNOTA,nNIA,S682,nEVAL,CONFIG_METADATA!$B$4,nASIG,"Conjunto"),""))</f>
        <v/>
      </c>
      <c r="W682" t="str" cm="1">
        <f t="array" ref="W682">IF(S682="","",IFERROR(AVERAGE(IF((nNIA=S682)*(nEVAL=CONFIG_METADATA!$B$4)*(nASIG&lt;&gt;"Lenguaje Musical")*(nASIG&lt;&gt;"Coro")*(nASIG&lt;&gt;"Conjunto"),nNOTA)),""))</f>
        <v/>
      </c>
    </row>
    <row r="683" spans="2:23" x14ac:dyDescent="0.2">
      <c r="B683" t="str">
        <f>IF(A683="","",IFERROR(AVERAGEIFS(nNOTA,nNIA,A683,nEVAL,CONFIG_METADATA!$B$4,nASIG,"Lenguaje Musical"),""))</f>
        <v/>
      </c>
      <c r="C683" t="str">
        <f>IF(A683="","",IFERROR(AVERAGEIFS(nNOTA,nNIA,A683,nEVAL,CONFIG_METADATA!$B$4,nASIG,"Coro"),""))</f>
        <v/>
      </c>
      <c r="D683" t="str">
        <f>IF(A683="","",IFERROR(AVERAGEIFS(nNOTA,nNIA,A683,nEVAL,CONFIG_METADATA!$B$4,nASIG,"Conjunto"),""))</f>
        <v/>
      </c>
      <c r="E683" t="str">
        <f>IF(A683="","",IFERROR(AVERAGEIFS(nNOTA,nNIA,A683,nEVAL,CONFIG_METADATA!$B$4,nASIG,"&lt;&gt;Lenguaje Musical",nASIG,"&lt;&gt;Coro",nASIG,"&lt;&gt;Conjunto"),""))</f>
        <v/>
      </c>
      <c r="H683" t="str">
        <f>IF(G683="","",IFERROR(AVERAGEIFS(nNOTA,nNIA,G683,nEVAL,CONFIG_METADATA!$B$4,nASIG,"Lenguaje Musical"),""))</f>
        <v/>
      </c>
      <c r="I683" t="str">
        <f>IF(G683="","",IFERROR(AVERAGEIFS(nNOTA,nNIA,G683,nEVAL,CONFIG_METADATA!$B$4,nASIG,"Coro"),""))</f>
        <v/>
      </c>
      <c r="J683" t="str">
        <f>IF(G683="","",IFERROR(AVERAGEIFS(nNOTA,nNIA,G683,nEVAL,CONFIG_METADATA!$B$4,nASIG,"Conjunto"),""))</f>
        <v/>
      </c>
      <c r="K683" t="str" cm="1">
        <f t="array" ref="K683">IF(G683="","",IFERROR(AVERAGE(IF((nNIA=G683)*(nEVAL=CONFIG_METADATA!$B$4)*(nASIG&lt;&gt;"Lenguaje Musical")*(nASIG&lt;&gt;"Coro")*(nASIG&lt;&gt;"Conjunto"),nNOTA)),""))</f>
        <v/>
      </c>
      <c r="N683" t="str">
        <f>IF(M683="","",IFERROR(AVERAGEIFS(nNOTA,nNIA,M683,nEVAL,CONFIG_METADATA!$B$4,nASIG,"Lenguaje Musical"),""))</f>
        <v/>
      </c>
      <c r="O683" t="str">
        <f>IF(M683="","",IFERROR(AVERAGEIFS(nNOTA,nNIA,M683,nEVAL,CONFIG_METADATA!$B$4,nASIG,"Coro"),""))</f>
        <v/>
      </c>
      <c r="P683" t="str">
        <f>IF(M683="","",IFERROR(AVERAGEIFS(nNOTA,nNIA,M683,nEVAL,CONFIG_METADATA!$B$4,nASIG,"Conjunto"),""))</f>
        <v/>
      </c>
      <c r="Q683" t="str">
        <f>IF(M683="","",IFERROR(AVERAGEIFS(nNOTA,nNIA,M683,nEVAL,CONFIG_METADATA!$B$4,nASIG,"&lt;&gt;Lenguaje Musical",nASIG,"&lt;&gt;Coro",nASIG,"&lt;&gt;Conjunto"),""))</f>
        <v/>
      </c>
      <c r="T683" t="str">
        <f>IF(S683="","",IFERROR(AVERAGEIFS(nNOTA,nNIA,S683,nEVAL,CONFIG_METADATA!$B$4,nASIG,"Lenguaje Musical"),""))</f>
        <v/>
      </c>
      <c r="U683" t="str">
        <f>IF(S683="","",IFERROR(AVERAGEIFS(nNOTA,nNIA,S683,nEVAL,CONFIG_METADATA!$B$4,nASIG,"Coro"),""))</f>
        <v/>
      </c>
      <c r="V683" t="str">
        <f>IF(S683="","",IFERROR(AVERAGEIFS(nNOTA,nNIA,S683,nEVAL,CONFIG_METADATA!$B$4,nASIG,"Conjunto"),""))</f>
        <v/>
      </c>
      <c r="W683" t="str" cm="1">
        <f t="array" ref="W683">IF(S683="","",IFERROR(AVERAGE(IF((nNIA=S683)*(nEVAL=CONFIG_METADATA!$B$4)*(nASIG&lt;&gt;"Lenguaje Musical")*(nASIG&lt;&gt;"Coro")*(nASIG&lt;&gt;"Conjunto"),nNOTA)),""))</f>
        <v/>
      </c>
    </row>
    <row r="684" spans="2:23" x14ac:dyDescent="0.2">
      <c r="B684" t="str">
        <f>IF(A684="","",IFERROR(AVERAGEIFS(nNOTA,nNIA,A684,nEVAL,CONFIG_METADATA!$B$4,nASIG,"Lenguaje Musical"),""))</f>
        <v/>
      </c>
      <c r="C684" t="str">
        <f>IF(A684="","",IFERROR(AVERAGEIFS(nNOTA,nNIA,A684,nEVAL,CONFIG_METADATA!$B$4,nASIG,"Coro"),""))</f>
        <v/>
      </c>
      <c r="D684" t="str">
        <f>IF(A684="","",IFERROR(AVERAGEIFS(nNOTA,nNIA,A684,nEVAL,CONFIG_METADATA!$B$4,nASIG,"Conjunto"),""))</f>
        <v/>
      </c>
      <c r="E684" t="str">
        <f>IF(A684="","",IFERROR(AVERAGEIFS(nNOTA,nNIA,A684,nEVAL,CONFIG_METADATA!$B$4,nASIG,"&lt;&gt;Lenguaje Musical",nASIG,"&lt;&gt;Coro",nASIG,"&lt;&gt;Conjunto"),""))</f>
        <v/>
      </c>
      <c r="H684" t="str">
        <f>IF(G684="","",IFERROR(AVERAGEIFS(nNOTA,nNIA,G684,nEVAL,CONFIG_METADATA!$B$4,nASIG,"Lenguaje Musical"),""))</f>
        <v/>
      </c>
      <c r="I684" t="str">
        <f>IF(G684="","",IFERROR(AVERAGEIFS(nNOTA,nNIA,G684,nEVAL,CONFIG_METADATA!$B$4,nASIG,"Coro"),""))</f>
        <v/>
      </c>
      <c r="J684" t="str">
        <f>IF(G684="","",IFERROR(AVERAGEIFS(nNOTA,nNIA,G684,nEVAL,CONFIG_METADATA!$B$4,nASIG,"Conjunto"),""))</f>
        <v/>
      </c>
      <c r="K684" t="str" cm="1">
        <f t="array" ref="K684">IF(G684="","",IFERROR(AVERAGE(IF((nNIA=G684)*(nEVAL=CONFIG_METADATA!$B$4)*(nASIG&lt;&gt;"Lenguaje Musical")*(nASIG&lt;&gt;"Coro")*(nASIG&lt;&gt;"Conjunto"),nNOTA)),""))</f>
        <v/>
      </c>
      <c r="N684" t="str">
        <f>IF(M684="","",IFERROR(AVERAGEIFS(nNOTA,nNIA,M684,nEVAL,CONFIG_METADATA!$B$4,nASIG,"Lenguaje Musical"),""))</f>
        <v/>
      </c>
      <c r="O684" t="str">
        <f>IF(M684="","",IFERROR(AVERAGEIFS(nNOTA,nNIA,M684,nEVAL,CONFIG_METADATA!$B$4,nASIG,"Coro"),""))</f>
        <v/>
      </c>
      <c r="P684" t="str">
        <f>IF(M684="","",IFERROR(AVERAGEIFS(nNOTA,nNIA,M684,nEVAL,CONFIG_METADATA!$B$4,nASIG,"Conjunto"),""))</f>
        <v/>
      </c>
      <c r="Q684" t="str">
        <f>IF(M684="","",IFERROR(AVERAGEIFS(nNOTA,nNIA,M684,nEVAL,CONFIG_METADATA!$B$4,nASIG,"&lt;&gt;Lenguaje Musical",nASIG,"&lt;&gt;Coro",nASIG,"&lt;&gt;Conjunto"),""))</f>
        <v/>
      </c>
      <c r="T684" t="str">
        <f>IF(S684="","",IFERROR(AVERAGEIFS(nNOTA,nNIA,S684,nEVAL,CONFIG_METADATA!$B$4,nASIG,"Lenguaje Musical"),""))</f>
        <v/>
      </c>
      <c r="U684" t="str">
        <f>IF(S684="","",IFERROR(AVERAGEIFS(nNOTA,nNIA,S684,nEVAL,CONFIG_METADATA!$B$4,nASIG,"Coro"),""))</f>
        <v/>
      </c>
      <c r="V684" t="str">
        <f>IF(S684="","",IFERROR(AVERAGEIFS(nNOTA,nNIA,S684,nEVAL,CONFIG_METADATA!$B$4,nASIG,"Conjunto"),""))</f>
        <v/>
      </c>
      <c r="W684" t="str" cm="1">
        <f t="array" ref="W684">IF(S684="","",IFERROR(AVERAGE(IF((nNIA=S684)*(nEVAL=CONFIG_METADATA!$B$4)*(nASIG&lt;&gt;"Lenguaje Musical")*(nASIG&lt;&gt;"Coro")*(nASIG&lt;&gt;"Conjunto"),nNOTA)),""))</f>
        <v/>
      </c>
    </row>
    <row r="685" spans="2:23" x14ac:dyDescent="0.2">
      <c r="B685" t="str">
        <f>IF(A685="","",IFERROR(AVERAGEIFS(nNOTA,nNIA,A685,nEVAL,CONFIG_METADATA!$B$4,nASIG,"Lenguaje Musical"),""))</f>
        <v/>
      </c>
      <c r="C685" t="str">
        <f>IF(A685="","",IFERROR(AVERAGEIFS(nNOTA,nNIA,A685,nEVAL,CONFIG_METADATA!$B$4,nASIG,"Coro"),""))</f>
        <v/>
      </c>
      <c r="D685" t="str">
        <f>IF(A685="","",IFERROR(AVERAGEIFS(nNOTA,nNIA,A685,nEVAL,CONFIG_METADATA!$B$4,nASIG,"Conjunto"),""))</f>
        <v/>
      </c>
      <c r="E685" t="str">
        <f>IF(A685="","",IFERROR(AVERAGEIFS(nNOTA,nNIA,A685,nEVAL,CONFIG_METADATA!$B$4,nASIG,"&lt;&gt;Lenguaje Musical",nASIG,"&lt;&gt;Coro",nASIG,"&lt;&gt;Conjunto"),""))</f>
        <v/>
      </c>
      <c r="H685" t="str">
        <f>IF(G685="","",IFERROR(AVERAGEIFS(nNOTA,nNIA,G685,nEVAL,CONFIG_METADATA!$B$4,nASIG,"Lenguaje Musical"),""))</f>
        <v/>
      </c>
      <c r="I685" t="str">
        <f>IF(G685="","",IFERROR(AVERAGEIFS(nNOTA,nNIA,G685,nEVAL,CONFIG_METADATA!$B$4,nASIG,"Coro"),""))</f>
        <v/>
      </c>
      <c r="J685" t="str">
        <f>IF(G685="","",IFERROR(AVERAGEIFS(nNOTA,nNIA,G685,nEVAL,CONFIG_METADATA!$B$4,nASIG,"Conjunto"),""))</f>
        <v/>
      </c>
      <c r="K685" t="str" cm="1">
        <f t="array" ref="K685">IF(G685="","",IFERROR(AVERAGE(IF((nNIA=G685)*(nEVAL=CONFIG_METADATA!$B$4)*(nASIG&lt;&gt;"Lenguaje Musical")*(nASIG&lt;&gt;"Coro")*(nASIG&lt;&gt;"Conjunto"),nNOTA)),""))</f>
        <v/>
      </c>
      <c r="N685" t="str">
        <f>IF(M685="","",IFERROR(AVERAGEIFS(nNOTA,nNIA,M685,nEVAL,CONFIG_METADATA!$B$4,nASIG,"Lenguaje Musical"),""))</f>
        <v/>
      </c>
      <c r="O685" t="str">
        <f>IF(M685="","",IFERROR(AVERAGEIFS(nNOTA,nNIA,M685,nEVAL,CONFIG_METADATA!$B$4,nASIG,"Coro"),""))</f>
        <v/>
      </c>
      <c r="P685" t="str">
        <f>IF(M685="","",IFERROR(AVERAGEIFS(nNOTA,nNIA,M685,nEVAL,CONFIG_METADATA!$B$4,nASIG,"Conjunto"),""))</f>
        <v/>
      </c>
      <c r="Q685" t="str">
        <f>IF(M685="","",IFERROR(AVERAGEIFS(nNOTA,nNIA,M685,nEVAL,CONFIG_METADATA!$B$4,nASIG,"&lt;&gt;Lenguaje Musical",nASIG,"&lt;&gt;Coro",nASIG,"&lt;&gt;Conjunto"),""))</f>
        <v/>
      </c>
      <c r="T685" t="str">
        <f>IF(S685="","",IFERROR(AVERAGEIFS(nNOTA,nNIA,S685,nEVAL,CONFIG_METADATA!$B$4,nASIG,"Lenguaje Musical"),""))</f>
        <v/>
      </c>
      <c r="U685" t="str">
        <f>IF(S685="","",IFERROR(AVERAGEIFS(nNOTA,nNIA,S685,nEVAL,CONFIG_METADATA!$B$4,nASIG,"Coro"),""))</f>
        <v/>
      </c>
      <c r="V685" t="str">
        <f>IF(S685="","",IFERROR(AVERAGEIFS(nNOTA,nNIA,S685,nEVAL,CONFIG_METADATA!$B$4,nASIG,"Conjunto"),""))</f>
        <v/>
      </c>
      <c r="W685" t="str" cm="1">
        <f t="array" ref="W685">IF(S685="","",IFERROR(AVERAGE(IF((nNIA=S685)*(nEVAL=CONFIG_METADATA!$B$4)*(nASIG&lt;&gt;"Lenguaje Musical")*(nASIG&lt;&gt;"Coro")*(nASIG&lt;&gt;"Conjunto"),nNOTA)),""))</f>
        <v/>
      </c>
    </row>
    <row r="686" spans="2:23" x14ac:dyDescent="0.2">
      <c r="B686" t="str">
        <f>IF(A686="","",IFERROR(AVERAGEIFS(nNOTA,nNIA,A686,nEVAL,CONFIG_METADATA!$B$4,nASIG,"Lenguaje Musical"),""))</f>
        <v/>
      </c>
      <c r="C686" t="str">
        <f>IF(A686="","",IFERROR(AVERAGEIFS(nNOTA,nNIA,A686,nEVAL,CONFIG_METADATA!$B$4,nASIG,"Coro"),""))</f>
        <v/>
      </c>
      <c r="D686" t="str">
        <f>IF(A686="","",IFERROR(AVERAGEIFS(nNOTA,nNIA,A686,nEVAL,CONFIG_METADATA!$B$4,nASIG,"Conjunto"),""))</f>
        <v/>
      </c>
      <c r="E686" t="str">
        <f>IF(A686="","",IFERROR(AVERAGEIFS(nNOTA,nNIA,A686,nEVAL,CONFIG_METADATA!$B$4,nASIG,"&lt;&gt;Lenguaje Musical",nASIG,"&lt;&gt;Coro",nASIG,"&lt;&gt;Conjunto"),""))</f>
        <v/>
      </c>
      <c r="H686" t="str">
        <f>IF(G686="","",IFERROR(AVERAGEIFS(nNOTA,nNIA,G686,nEVAL,CONFIG_METADATA!$B$4,nASIG,"Lenguaje Musical"),""))</f>
        <v/>
      </c>
      <c r="I686" t="str">
        <f>IF(G686="","",IFERROR(AVERAGEIFS(nNOTA,nNIA,G686,nEVAL,CONFIG_METADATA!$B$4,nASIG,"Coro"),""))</f>
        <v/>
      </c>
      <c r="J686" t="str">
        <f>IF(G686="","",IFERROR(AVERAGEIFS(nNOTA,nNIA,G686,nEVAL,CONFIG_METADATA!$B$4,nASIG,"Conjunto"),""))</f>
        <v/>
      </c>
      <c r="K686" t="str" cm="1">
        <f t="array" ref="K686">IF(G686="","",IFERROR(AVERAGE(IF((nNIA=G686)*(nEVAL=CONFIG_METADATA!$B$4)*(nASIG&lt;&gt;"Lenguaje Musical")*(nASIG&lt;&gt;"Coro")*(nASIG&lt;&gt;"Conjunto"),nNOTA)),""))</f>
        <v/>
      </c>
      <c r="N686" t="str">
        <f>IF(M686="","",IFERROR(AVERAGEIFS(nNOTA,nNIA,M686,nEVAL,CONFIG_METADATA!$B$4,nASIG,"Lenguaje Musical"),""))</f>
        <v/>
      </c>
      <c r="O686" t="str">
        <f>IF(M686="","",IFERROR(AVERAGEIFS(nNOTA,nNIA,M686,nEVAL,CONFIG_METADATA!$B$4,nASIG,"Coro"),""))</f>
        <v/>
      </c>
      <c r="P686" t="str">
        <f>IF(M686="","",IFERROR(AVERAGEIFS(nNOTA,nNIA,M686,nEVAL,CONFIG_METADATA!$B$4,nASIG,"Conjunto"),""))</f>
        <v/>
      </c>
      <c r="Q686" t="str">
        <f>IF(M686="","",IFERROR(AVERAGEIFS(nNOTA,nNIA,M686,nEVAL,CONFIG_METADATA!$B$4,nASIG,"&lt;&gt;Lenguaje Musical",nASIG,"&lt;&gt;Coro",nASIG,"&lt;&gt;Conjunto"),""))</f>
        <v/>
      </c>
      <c r="T686" t="str">
        <f>IF(S686="","",IFERROR(AVERAGEIFS(nNOTA,nNIA,S686,nEVAL,CONFIG_METADATA!$B$4,nASIG,"Lenguaje Musical"),""))</f>
        <v/>
      </c>
      <c r="U686" t="str">
        <f>IF(S686="","",IFERROR(AVERAGEIFS(nNOTA,nNIA,S686,nEVAL,CONFIG_METADATA!$B$4,nASIG,"Coro"),""))</f>
        <v/>
      </c>
      <c r="V686" t="str">
        <f>IF(S686="","",IFERROR(AVERAGEIFS(nNOTA,nNIA,S686,nEVAL,CONFIG_METADATA!$B$4,nASIG,"Conjunto"),""))</f>
        <v/>
      </c>
      <c r="W686" t="str" cm="1">
        <f t="array" ref="W686">IF(S686="","",IFERROR(AVERAGE(IF((nNIA=S686)*(nEVAL=CONFIG_METADATA!$B$4)*(nASIG&lt;&gt;"Lenguaje Musical")*(nASIG&lt;&gt;"Coro")*(nASIG&lt;&gt;"Conjunto"),nNOTA)),""))</f>
        <v/>
      </c>
    </row>
    <row r="687" spans="2:23" x14ac:dyDescent="0.2">
      <c r="B687" t="str">
        <f>IF(A687="","",IFERROR(AVERAGEIFS(nNOTA,nNIA,A687,nEVAL,CONFIG_METADATA!$B$4,nASIG,"Lenguaje Musical"),""))</f>
        <v/>
      </c>
      <c r="C687" t="str">
        <f>IF(A687="","",IFERROR(AVERAGEIFS(nNOTA,nNIA,A687,nEVAL,CONFIG_METADATA!$B$4,nASIG,"Coro"),""))</f>
        <v/>
      </c>
      <c r="D687" t="str">
        <f>IF(A687="","",IFERROR(AVERAGEIFS(nNOTA,nNIA,A687,nEVAL,CONFIG_METADATA!$B$4,nASIG,"Conjunto"),""))</f>
        <v/>
      </c>
      <c r="E687" t="str">
        <f>IF(A687="","",IFERROR(AVERAGEIFS(nNOTA,nNIA,A687,nEVAL,CONFIG_METADATA!$B$4,nASIG,"&lt;&gt;Lenguaje Musical",nASIG,"&lt;&gt;Coro",nASIG,"&lt;&gt;Conjunto"),""))</f>
        <v/>
      </c>
      <c r="H687" t="str">
        <f>IF(G687="","",IFERROR(AVERAGEIFS(nNOTA,nNIA,G687,nEVAL,CONFIG_METADATA!$B$4,nASIG,"Lenguaje Musical"),""))</f>
        <v/>
      </c>
      <c r="I687" t="str">
        <f>IF(G687="","",IFERROR(AVERAGEIFS(nNOTA,nNIA,G687,nEVAL,CONFIG_METADATA!$B$4,nASIG,"Coro"),""))</f>
        <v/>
      </c>
      <c r="J687" t="str">
        <f>IF(G687="","",IFERROR(AVERAGEIFS(nNOTA,nNIA,G687,nEVAL,CONFIG_METADATA!$B$4,nASIG,"Conjunto"),""))</f>
        <v/>
      </c>
      <c r="K687" t="str" cm="1">
        <f t="array" ref="K687">IF(G687="","",IFERROR(AVERAGE(IF((nNIA=G687)*(nEVAL=CONFIG_METADATA!$B$4)*(nASIG&lt;&gt;"Lenguaje Musical")*(nASIG&lt;&gt;"Coro")*(nASIG&lt;&gt;"Conjunto"),nNOTA)),""))</f>
        <v/>
      </c>
      <c r="N687" t="str">
        <f>IF(M687="","",IFERROR(AVERAGEIFS(nNOTA,nNIA,M687,nEVAL,CONFIG_METADATA!$B$4,nASIG,"Lenguaje Musical"),""))</f>
        <v/>
      </c>
      <c r="O687" t="str">
        <f>IF(M687="","",IFERROR(AVERAGEIFS(nNOTA,nNIA,M687,nEVAL,CONFIG_METADATA!$B$4,nASIG,"Coro"),""))</f>
        <v/>
      </c>
      <c r="P687" t="str">
        <f>IF(M687="","",IFERROR(AVERAGEIFS(nNOTA,nNIA,M687,nEVAL,CONFIG_METADATA!$B$4,nASIG,"Conjunto"),""))</f>
        <v/>
      </c>
      <c r="Q687" t="str">
        <f>IF(M687="","",IFERROR(AVERAGEIFS(nNOTA,nNIA,M687,nEVAL,CONFIG_METADATA!$B$4,nASIG,"&lt;&gt;Lenguaje Musical",nASIG,"&lt;&gt;Coro",nASIG,"&lt;&gt;Conjunto"),""))</f>
        <v/>
      </c>
      <c r="T687" t="str">
        <f>IF(S687="","",IFERROR(AVERAGEIFS(nNOTA,nNIA,S687,nEVAL,CONFIG_METADATA!$B$4,nASIG,"Lenguaje Musical"),""))</f>
        <v/>
      </c>
      <c r="U687" t="str">
        <f>IF(S687="","",IFERROR(AVERAGEIFS(nNOTA,nNIA,S687,nEVAL,CONFIG_METADATA!$B$4,nASIG,"Coro"),""))</f>
        <v/>
      </c>
      <c r="V687" t="str">
        <f>IF(S687="","",IFERROR(AVERAGEIFS(nNOTA,nNIA,S687,nEVAL,CONFIG_METADATA!$B$4,nASIG,"Conjunto"),""))</f>
        <v/>
      </c>
      <c r="W687" t="str" cm="1">
        <f t="array" ref="W687">IF(S687="","",IFERROR(AVERAGE(IF((nNIA=S687)*(nEVAL=CONFIG_METADATA!$B$4)*(nASIG&lt;&gt;"Lenguaje Musical")*(nASIG&lt;&gt;"Coro")*(nASIG&lt;&gt;"Conjunto"),nNOTA)),""))</f>
        <v/>
      </c>
    </row>
    <row r="688" spans="2:23" x14ac:dyDescent="0.2">
      <c r="B688" t="str">
        <f>IF(A688="","",IFERROR(AVERAGEIFS(nNOTA,nNIA,A688,nEVAL,CONFIG_METADATA!$B$4,nASIG,"Lenguaje Musical"),""))</f>
        <v/>
      </c>
      <c r="C688" t="str">
        <f>IF(A688="","",IFERROR(AVERAGEIFS(nNOTA,nNIA,A688,nEVAL,CONFIG_METADATA!$B$4,nASIG,"Coro"),""))</f>
        <v/>
      </c>
      <c r="D688" t="str">
        <f>IF(A688="","",IFERROR(AVERAGEIFS(nNOTA,nNIA,A688,nEVAL,CONFIG_METADATA!$B$4,nASIG,"Conjunto"),""))</f>
        <v/>
      </c>
      <c r="E688" t="str">
        <f>IF(A688="","",IFERROR(AVERAGEIFS(nNOTA,nNIA,A688,nEVAL,CONFIG_METADATA!$B$4,nASIG,"&lt;&gt;Lenguaje Musical",nASIG,"&lt;&gt;Coro",nASIG,"&lt;&gt;Conjunto"),""))</f>
        <v/>
      </c>
      <c r="H688" t="str">
        <f>IF(G688="","",IFERROR(AVERAGEIFS(nNOTA,nNIA,G688,nEVAL,CONFIG_METADATA!$B$4,nASIG,"Lenguaje Musical"),""))</f>
        <v/>
      </c>
      <c r="I688" t="str">
        <f>IF(G688="","",IFERROR(AVERAGEIFS(nNOTA,nNIA,G688,nEVAL,CONFIG_METADATA!$B$4,nASIG,"Coro"),""))</f>
        <v/>
      </c>
      <c r="J688" t="str">
        <f>IF(G688="","",IFERROR(AVERAGEIFS(nNOTA,nNIA,G688,nEVAL,CONFIG_METADATA!$B$4,nASIG,"Conjunto"),""))</f>
        <v/>
      </c>
      <c r="K688" t="str" cm="1">
        <f t="array" ref="K688">IF(G688="","",IFERROR(AVERAGE(IF((nNIA=G688)*(nEVAL=CONFIG_METADATA!$B$4)*(nASIG&lt;&gt;"Lenguaje Musical")*(nASIG&lt;&gt;"Coro")*(nASIG&lt;&gt;"Conjunto"),nNOTA)),""))</f>
        <v/>
      </c>
      <c r="N688" t="str">
        <f>IF(M688="","",IFERROR(AVERAGEIFS(nNOTA,nNIA,M688,nEVAL,CONFIG_METADATA!$B$4,nASIG,"Lenguaje Musical"),""))</f>
        <v/>
      </c>
      <c r="O688" t="str">
        <f>IF(M688="","",IFERROR(AVERAGEIFS(nNOTA,nNIA,M688,nEVAL,CONFIG_METADATA!$B$4,nASIG,"Coro"),""))</f>
        <v/>
      </c>
      <c r="P688" t="str">
        <f>IF(M688="","",IFERROR(AVERAGEIFS(nNOTA,nNIA,M688,nEVAL,CONFIG_METADATA!$B$4,nASIG,"Conjunto"),""))</f>
        <v/>
      </c>
      <c r="Q688" t="str">
        <f>IF(M688="","",IFERROR(AVERAGEIFS(nNOTA,nNIA,M688,nEVAL,CONFIG_METADATA!$B$4,nASIG,"&lt;&gt;Lenguaje Musical",nASIG,"&lt;&gt;Coro",nASIG,"&lt;&gt;Conjunto"),""))</f>
        <v/>
      </c>
      <c r="T688" t="str">
        <f>IF(S688="","",IFERROR(AVERAGEIFS(nNOTA,nNIA,S688,nEVAL,CONFIG_METADATA!$B$4,nASIG,"Lenguaje Musical"),""))</f>
        <v/>
      </c>
      <c r="U688" t="str">
        <f>IF(S688="","",IFERROR(AVERAGEIFS(nNOTA,nNIA,S688,nEVAL,CONFIG_METADATA!$B$4,nASIG,"Coro"),""))</f>
        <v/>
      </c>
      <c r="V688" t="str">
        <f>IF(S688="","",IFERROR(AVERAGEIFS(nNOTA,nNIA,S688,nEVAL,CONFIG_METADATA!$B$4,nASIG,"Conjunto"),""))</f>
        <v/>
      </c>
      <c r="W688" t="str" cm="1">
        <f t="array" ref="W688">IF(S688="","",IFERROR(AVERAGE(IF((nNIA=S688)*(nEVAL=CONFIG_METADATA!$B$4)*(nASIG&lt;&gt;"Lenguaje Musical")*(nASIG&lt;&gt;"Coro")*(nASIG&lt;&gt;"Conjunto"),nNOTA)),""))</f>
        <v/>
      </c>
    </row>
    <row r="689" spans="2:23" x14ac:dyDescent="0.2">
      <c r="B689" t="str">
        <f>IF(A689="","",IFERROR(AVERAGEIFS(nNOTA,nNIA,A689,nEVAL,CONFIG_METADATA!$B$4,nASIG,"Lenguaje Musical"),""))</f>
        <v/>
      </c>
      <c r="C689" t="str">
        <f>IF(A689="","",IFERROR(AVERAGEIFS(nNOTA,nNIA,A689,nEVAL,CONFIG_METADATA!$B$4,nASIG,"Coro"),""))</f>
        <v/>
      </c>
      <c r="D689" t="str">
        <f>IF(A689="","",IFERROR(AVERAGEIFS(nNOTA,nNIA,A689,nEVAL,CONFIG_METADATA!$B$4,nASIG,"Conjunto"),""))</f>
        <v/>
      </c>
      <c r="E689" t="str">
        <f>IF(A689="","",IFERROR(AVERAGEIFS(nNOTA,nNIA,A689,nEVAL,CONFIG_METADATA!$B$4,nASIG,"&lt;&gt;Lenguaje Musical",nASIG,"&lt;&gt;Coro",nASIG,"&lt;&gt;Conjunto"),""))</f>
        <v/>
      </c>
      <c r="H689" t="str">
        <f>IF(G689="","",IFERROR(AVERAGEIFS(nNOTA,nNIA,G689,nEVAL,CONFIG_METADATA!$B$4,nASIG,"Lenguaje Musical"),""))</f>
        <v/>
      </c>
      <c r="I689" t="str">
        <f>IF(G689="","",IFERROR(AVERAGEIFS(nNOTA,nNIA,G689,nEVAL,CONFIG_METADATA!$B$4,nASIG,"Coro"),""))</f>
        <v/>
      </c>
      <c r="J689" t="str">
        <f>IF(G689="","",IFERROR(AVERAGEIFS(nNOTA,nNIA,G689,nEVAL,CONFIG_METADATA!$B$4,nASIG,"Conjunto"),""))</f>
        <v/>
      </c>
      <c r="K689" t="str" cm="1">
        <f t="array" ref="K689">IF(G689="","",IFERROR(AVERAGE(IF((nNIA=G689)*(nEVAL=CONFIG_METADATA!$B$4)*(nASIG&lt;&gt;"Lenguaje Musical")*(nASIG&lt;&gt;"Coro")*(nASIG&lt;&gt;"Conjunto"),nNOTA)),""))</f>
        <v/>
      </c>
      <c r="N689" t="str">
        <f>IF(M689="","",IFERROR(AVERAGEIFS(nNOTA,nNIA,M689,nEVAL,CONFIG_METADATA!$B$4,nASIG,"Lenguaje Musical"),""))</f>
        <v/>
      </c>
      <c r="O689" t="str">
        <f>IF(M689="","",IFERROR(AVERAGEIFS(nNOTA,nNIA,M689,nEVAL,CONFIG_METADATA!$B$4,nASIG,"Coro"),""))</f>
        <v/>
      </c>
      <c r="P689" t="str">
        <f>IF(M689="","",IFERROR(AVERAGEIFS(nNOTA,nNIA,M689,nEVAL,CONFIG_METADATA!$B$4,nASIG,"Conjunto"),""))</f>
        <v/>
      </c>
      <c r="Q689" t="str">
        <f>IF(M689="","",IFERROR(AVERAGEIFS(nNOTA,nNIA,M689,nEVAL,CONFIG_METADATA!$B$4,nASIG,"&lt;&gt;Lenguaje Musical",nASIG,"&lt;&gt;Coro",nASIG,"&lt;&gt;Conjunto"),""))</f>
        <v/>
      </c>
      <c r="T689" t="str">
        <f>IF(S689="","",IFERROR(AVERAGEIFS(nNOTA,nNIA,S689,nEVAL,CONFIG_METADATA!$B$4,nASIG,"Lenguaje Musical"),""))</f>
        <v/>
      </c>
      <c r="U689" t="str">
        <f>IF(S689="","",IFERROR(AVERAGEIFS(nNOTA,nNIA,S689,nEVAL,CONFIG_METADATA!$B$4,nASIG,"Coro"),""))</f>
        <v/>
      </c>
      <c r="V689" t="str">
        <f>IF(S689="","",IFERROR(AVERAGEIFS(nNOTA,nNIA,S689,nEVAL,CONFIG_METADATA!$B$4,nASIG,"Conjunto"),""))</f>
        <v/>
      </c>
      <c r="W689" t="str" cm="1">
        <f t="array" ref="W689">IF(S689="","",IFERROR(AVERAGE(IF((nNIA=S689)*(nEVAL=CONFIG_METADATA!$B$4)*(nASIG&lt;&gt;"Lenguaje Musical")*(nASIG&lt;&gt;"Coro")*(nASIG&lt;&gt;"Conjunto"),nNOTA)),""))</f>
        <v/>
      </c>
    </row>
    <row r="690" spans="2:23" x14ac:dyDescent="0.2">
      <c r="B690" t="str">
        <f>IF(A690="","",IFERROR(AVERAGEIFS(nNOTA,nNIA,A690,nEVAL,CONFIG_METADATA!$B$4,nASIG,"Lenguaje Musical"),""))</f>
        <v/>
      </c>
      <c r="C690" t="str">
        <f>IF(A690="","",IFERROR(AVERAGEIFS(nNOTA,nNIA,A690,nEVAL,CONFIG_METADATA!$B$4,nASIG,"Coro"),""))</f>
        <v/>
      </c>
      <c r="D690" t="str">
        <f>IF(A690="","",IFERROR(AVERAGEIFS(nNOTA,nNIA,A690,nEVAL,CONFIG_METADATA!$B$4,nASIG,"Conjunto"),""))</f>
        <v/>
      </c>
      <c r="E690" t="str">
        <f>IF(A690="","",IFERROR(AVERAGEIFS(nNOTA,nNIA,A690,nEVAL,CONFIG_METADATA!$B$4,nASIG,"&lt;&gt;Lenguaje Musical",nASIG,"&lt;&gt;Coro",nASIG,"&lt;&gt;Conjunto"),""))</f>
        <v/>
      </c>
      <c r="H690" t="str">
        <f>IF(G690="","",IFERROR(AVERAGEIFS(nNOTA,nNIA,G690,nEVAL,CONFIG_METADATA!$B$4,nASIG,"Lenguaje Musical"),""))</f>
        <v/>
      </c>
      <c r="I690" t="str">
        <f>IF(G690="","",IFERROR(AVERAGEIFS(nNOTA,nNIA,G690,nEVAL,CONFIG_METADATA!$B$4,nASIG,"Coro"),""))</f>
        <v/>
      </c>
      <c r="J690" t="str">
        <f>IF(G690="","",IFERROR(AVERAGEIFS(nNOTA,nNIA,G690,nEVAL,CONFIG_METADATA!$B$4,nASIG,"Conjunto"),""))</f>
        <v/>
      </c>
      <c r="K690" t="str" cm="1">
        <f t="array" ref="K690">IF(G690="","",IFERROR(AVERAGE(IF((nNIA=G690)*(nEVAL=CONFIG_METADATA!$B$4)*(nASIG&lt;&gt;"Lenguaje Musical")*(nASIG&lt;&gt;"Coro")*(nASIG&lt;&gt;"Conjunto"),nNOTA)),""))</f>
        <v/>
      </c>
      <c r="N690" t="str">
        <f>IF(M690="","",IFERROR(AVERAGEIFS(nNOTA,nNIA,M690,nEVAL,CONFIG_METADATA!$B$4,nASIG,"Lenguaje Musical"),""))</f>
        <v/>
      </c>
      <c r="O690" t="str">
        <f>IF(M690="","",IFERROR(AVERAGEIFS(nNOTA,nNIA,M690,nEVAL,CONFIG_METADATA!$B$4,nASIG,"Coro"),""))</f>
        <v/>
      </c>
      <c r="P690" t="str">
        <f>IF(M690="","",IFERROR(AVERAGEIFS(nNOTA,nNIA,M690,nEVAL,CONFIG_METADATA!$B$4,nASIG,"Conjunto"),""))</f>
        <v/>
      </c>
      <c r="Q690" t="str">
        <f>IF(M690="","",IFERROR(AVERAGEIFS(nNOTA,nNIA,M690,nEVAL,CONFIG_METADATA!$B$4,nASIG,"&lt;&gt;Lenguaje Musical",nASIG,"&lt;&gt;Coro",nASIG,"&lt;&gt;Conjunto"),""))</f>
        <v/>
      </c>
      <c r="T690" t="str">
        <f>IF(S690="","",IFERROR(AVERAGEIFS(nNOTA,nNIA,S690,nEVAL,CONFIG_METADATA!$B$4,nASIG,"Lenguaje Musical"),""))</f>
        <v/>
      </c>
      <c r="U690" t="str">
        <f>IF(S690="","",IFERROR(AVERAGEIFS(nNOTA,nNIA,S690,nEVAL,CONFIG_METADATA!$B$4,nASIG,"Coro"),""))</f>
        <v/>
      </c>
      <c r="V690" t="str">
        <f>IF(S690="","",IFERROR(AVERAGEIFS(nNOTA,nNIA,S690,nEVAL,CONFIG_METADATA!$B$4,nASIG,"Conjunto"),""))</f>
        <v/>
      </c>
      <c r="W690" t="str" cm="1">
        <f t="array" ref="W690">IF(S690="","",IFERROR(AVERAGE(IF((nNIA=S690)*(nEVAL=CONFIG_METADATA!$B$4)*(nASIG&lt;&gt;"Lenguaje Musical")*(nASIG&lt;&gt;"Coro")*(nASIG&lt;&gt;"Conjunto"),nNOTA)),""))</f>
        <v/>
      </c>
    </row>
    <row r="691" spans="2:23" x14ac:dyDescent="0.2">
      <c r="B691" t="str">
        <f>IF(A691="","",IFERROR(AVERAGEIFS(nNOTA,nNIA,A691,nEVAL,CONFIG_METADATA!$B$4,nASIG,"Lenguaje Musical"),""))</f>
        <v/>
      </c>
      <c r="C691" t="str">
        <f>IF(A691="","",IFERROR(AVERAGEIFS(nNOTA,nNIA,A691,nEVAL,CONFIG_METADATA!$B$4,nASIG,"Coro"),""))</f>
        <v/>
      </c>
      <c r="D691" t="str">
        <f>IF(A691="","",IFERROR(AVERAGEIFS(nNOTA,nNIA,A691,nEVAL,CONFIG_METADATA!$B$4,nASIG,"Conjunto"),""))</f>
        <v/>
      </c>
      <c r="E691" t="str">
        <f>IF(A691="","",IFERROR(AVERAGEIFS(nNOTA,nNIA,A691,nEVAL,CONFIG_METADATA!$B$4,nASIG,"&lt;&gt;Lenguaje Musical",nASIG,"&lt;&gt;Coro",nASIG,"&lt;&gt;Conjunto"),""))</f>
        <v/>
      </c>
      <c r="H691" t="str">
        <f>IF(G691="","",IFERROR(AVERAGEIFS(nNOTA,nNIA,G691,nEVAL,CONFIG_METADATA!$B$4,nASIG,"Lenguaje Musical"),""))</f>
        <v/>
      </c>
      <c r="I691" t="str">
        <f>IF(G691="","",IFERROR(AVERAGEIFS(nNOTA,nNIA,G691,nEVAL,CONFIG_METADATA!$B$4,nASIG,"Coro"),""))</f>
        <v/>
      </c>
      <c r="J691" t="str">
        <f>IF(G691="","",IFERROR(AVERAGEIFS(nNOTA,nNIA,G691,nEVAL,CONFIG_METADATA!$B$4,nASIG,"Conjunto"),""))</f>
        <v/>
      </c>
      <c r="K691" t="str" cm="1">
        <f t="array" ref="K691">IF(G691="","",IFERROR(AVERAGE(IF((nNIA=G691)*(nEVAL=CONFIG_METADATA!$B$4)*(nASIG&lt;&gt;"Lenguaje Musical")*(nASIG&lt;&gt;"Coro")*(nASIG&lt;&gt;"Conjunto"),nNOTA)),""))</f>
        <v/>
      </c>
      <c r="N691" t="str">
        <f>IF(M691="","",IFERROR(AVERAGEIFS(nNOTA,nNIA,M691,nEVAL,CONFIG_METADATA!$B$4,nASIG,"Lenguaje Musical"),""))</f>
        <v/>
      </c>
      <c r="O691" t="str">
        <f>IF(M691="","",IFERROR(AVERAGEIFS(nNOTA,nNIA,M691,nEVAL,CONFIG_METADATA!$B$4,nASIG,"Coro"),""))</f>
        <v/>
      </c>
      <c r="P691" t="str">
        <f>IF(M691="","",IFERROR(AVERAGEIFS(nNOTA,nNIA,M691,nEVAL,CONFIG_METADATA!$B$4,nASIG,"Conjunto"),""))</f>
        <v/>
      </c>
      <c r="Q691" t="str">
        <f>IF(M691="","",IFERROR(AVERAGEIFS(nNOTA,nNIA,M691,nEVAL,CONFIG_METADATA!$B$4,nASIG,"&lt;&gt;Lenguaje Musical",nASIG,"&lt;&gt;Coro",nASIG,"&lt;&gt;Conjunto"),""))</f>
        <v/>
      </c>
      <c r="T691" t="str">
        <f>IF(S691="","",IFERROR(AVERAGEIFS(nNOTA,nNIA,S691,nEVAL,CONFIG_METADATA!$B$4,nASIG,"Lenguaje Musical"),""))</f>
        <v/>
      </c>
      <c r="U691" t="str">
        <f>IF(S691="","",IFERROR(AVERAGEIFS(nNOTA,nNIA,S691,nEVAL,CONFIG_METADATA!$B$4,nASIG,"Coro"),""))</f>
        <v/>
      </c>
      <c r="V691" t="str">
        <f>IF(S691="","",IFERROR(AVERAGEIFS(nNOTA,nNIA,S691,nEVAL,CONFIG_METADATA!$B$4,nASIG,"Conjunto"),""))</f>
        <v/>
      </c>
      <c r="W691" t="str" cm="1">
        <f t="array" ref="W691">IF(S691="","",IFERROR(AVERAGE(IF((nNIA=S691)*(nEVAL=CONFIG_METADATA!$B$4)*(nASIG&lt;&gt;"Lenguaje Musical")*(nASIG&lt;&gt;"Coro")*(nASIG&lt;&gt;"Conjunto"),nNOTA)),""))</f>
        <v/>
      </c>
    </row>
    <row r="692" spans="2:23" x14ac:dyDescent="0.2">
      <c r="B692" t="str">
        <f>IF(A692="","",IFERROR(AVERAGEIFS(nNOTA,nNIA,A692,nEVAL,CONFIG_METADATA!$B$4,nASIG,"Lenguaje Musical"),""))</f>
        <v/>
      </c>
      <c r="C692" t="str">
        <f>IF(A692="","",IFERROR(AVERAGEIFS(nNOTA,nNIA,A692,nEVAL,CONFIG_METADATA!$B$4,nASIG,"Coro"),""))</f>
        <v/>
      </c>
      <c r="D692" t="str">
        <f>IF(A692="","",IFERROR(AVERAGEIFS(nNOTA,nNIA,A692,nEVAL,CONFIG_METADATA!$B$4,nASIG,"Conjunto"),""))</f>
        <v/>
      </c>
      <c r="E692" t="str">
        <f>IF(A692="","",IFERROR(AVERAGEIFS(nNOTA,nNIA,A692,nEVAL,CONFIG_METADATA!$B$4,nASIG,"&lt;&gt;Lenguaje Musical",nASIG,"&lt;&gt;Coro",nASIG,"&lt;&gt;Conjunto"),""))</f>
        <v/>
      </c>
      <c r="H692" t="str">
        <f>IF(G692="","",IFERROR(AVERAGEIFS(nNOTA,nNIA,G692,nEVAL,CONFIG_METADATA!$B$4,nASIG,"Lenguaje Musical"),""))</f>
        <v/>
      </c>
      <c r="I692" t="str">
        <f>IF(G692="","",IFERROR(AVERAGEIFS(nNOTA,nNIA,G692,nEVAL,CONFIG_METADATA!$B$4,nASIG,"Coro"),""))</f>
        <v/>
      </c>
      <c r="J692" t="str">
        <f>IF(G692="","",IFERROR(AVERAGEIFS(nNOTA,nNIA,G692,nEVAL,CONFIG_METADATA!$B$4,nASIG,"Conjunto"),""))</f>
        <v/>
      </c>
      <c r="K692" t="str" cm="1">
        <f t="array" ref="K692">IF(G692="","",IFERROR(AVERAGE(IF((nNIA=G692)*(nEVAL=CONFIG_METADATA!$B$4)*(nASIG&lt;&gt;"Lenguaje Musical")*(nASIG&lt;&gt;"Coro")*(nASIG&lt;&gt;"Conjunto"),nNOTA)),""))</f>
        <v/>
      </c>
      <c r="N692" t="str">
        <f>IF(M692="","",IFERROR(AVERAGEIFS(nNOTA,nNIA,M692,nEVAL,CONFIG_METADATA!$B$4,nASIG,"Lenguaje Musical"),""))</f>
        <v/>
      </c>
      <c r="O692" t="str">
        <f>IF(M692="","",IFERROR(AVERAGEIFS(nNOTA,nNIA,M692,nEVAL,CONFIG_METADATA!$B$4,nASIG,"Coro"),""))</f>
        <v/>
      </c>
      <c r="P692" t="str">
        <f>IF(M692="","",IFERROR(AVERAGEIFS(nNOTA,nNIA,M692,nEVAL,CONFIG_METADATA!$B$4,nASIG,"Conjunto"),""))</f>
        <v/>
      </c>
      <c r="Q692" t="str">
        <f>IF(M692="","",IFERROR(AVERAGEIFS(nNOTA,nNIA,M692,nEVAL,CONFIG_METADATA!$B$4,nASIG,"&lt;&gt;Lenguaje Musical",nASIG,"&lt;&gt;Coro",nASIG,"&lt;&gt;Conjunto"),""))</f>
        <v/>
      </c>
      <c r="T692" t="str">
        <f>IF(S692="","",IFERROR(AVERAGEIFS(nNOTA,nNIA,S692,nEVAL,CONFIG_METADATA!$B$4,nASIG,"Lenguaje Musical"),""))</f>
        <v/>
      </c>
      <c r="U692" t="str">
        <f>IF(S692="","",IFERROR(AVERAGEIFS(nNOTA,nNIA,S692,nEVAL,CONFIG_METADATA!$B$4,nASIG,"Coro"),""))</f>
        <v/>
      </c>
      <c r="V692" t="str">
        <f>IF(S692="","",IFERROR(AVERAGEIFS(nNOTA,nNIA,S692,nEVAL,CONFIG_METADATA!$B$4,nASIG,"Conjunto"),""))</f>
        <v/>
      </c>
      <c r="W692" t="str" cm="1">
        <f t="array" ref="W692">IF(S692="","",IFERROR(AVERAGE(IF((nNIA=S692)*(nEVAL=CONFIG_METADATA!$B$4)*(nASIG&lt;&gt;"Lenguaje Musical")*(nASIG&lt;&gt;"Coro")*(nASIG&lt;&gt;"Conjunto"),nNOTA)),""))</f>
        <v/>
      </c>
    </row>
    <row r="693" spans="2:23" x14ac:dyDescent="0.2">
      <c r="B693" t="str">
        <f>IF(A693="","",IFERROR(AVERAGEIFS(nNOTA,nNIA,A693,nEVAL,CONFIG_METADATA!$B$4,nASIG,"Lenguaje Musical"),""))</f>
        <v/>
      </c>
      <c r="C693" t="str">
        <f>IF(A693="","",IFERROR(AVERAGEIFS(nNOTA,nNIA,A693,nEVAL,CONFIG_METADATA!$B$4,nASIG,"Coro"),""))</f>
        <v/>
      </c>
      <c r="D693" t="str">
        <f>IF(A693="","",IFERROR(AVERAGEIFS(nNOTA,nNIA,A693,nEVAL,CONFIG_METADATA!$B$4,nASIG,"Conjunto"),""))</f>
        <v/>
      </c>
      <c r="E693" t="str">
        <f>IF(A693="","",IFERROR(AVERAGEIFS(nNOTA,nNIA,A693,nEVAL,CONFIG_METADATA!$B$4,nASIG,"&lt;&gt;Lenguaje Musical",nASIG,"&lt;&gt;Coro",nASIG,"&lt;&gt;Conjunto"),""))</f>
        <v/>
      </c>
      <c r="H693" t="str">
        <f>IF(G693="","",IFERROR(AVERAGEIFS(nNOTA,nNIA,G693,nEVAL,CONFIG_METADATA!$B$4,nASIG,"Lenguaje Musical"),""))</f>
        <v/>
      </c>
      <c r="I693" t="str">
        <f>IF(G693="","",IFERROR(AVERAGEIFS(nNOTA,nNIA,G693,nEVAL,CONFIG_METADATA!$B$4,nASIG,"Coro"),""))</f>
        <v/>
      </c>
      <c r="J693" t="str">
        <f>IF(G693="","",IFERROR(AVERAGEIFS(nNOTA,nNIA,G693,nEVAL,CONFIG_METADATA!$B$4,nASIG,"Conjunto"),""))</f>
        <v/>
      </c>
      <c r="K693" t="str" cm="1">
        <f t="array" ref="K693">IF(G693="","",IFERROR(AVERAGE(IF((nNIA=G693)*(nEVAL=CONFIG_METADATA!$B$4)*(nASIG&lt;&gt;"Lenguaje Musical")*(nASIG&lt;&gt;"Coro")*(nASIG&lt;&gt;"Conjunto"),nNOTA)),""))</f>
        <v/>
      </c>
      <c r="N693" t="str">
        <f>IF(M693="","",IFERROR(AVERAGEIFS(nNOTA,nNIA,M693,nEVAL,CONFIG_METADATA!$B$4,nASIG,"Lenguaje Musical"),""))</f>
        <v/>
      </c>
      <c r="O693" t="str">
        <f>IF(M693="","",IFERROR(AVERAGEIFS(nNOTA,nNIA,M693,nEVAL,CONFIG_METADATA!$B$4,nASIG,"Coro"),""))</f>
        <v/>
      </c>
      <c r="P693" t="str">
        <f>IF(M693="","",IFERROR(AVERAGEIFS(nNOTA,nNIA,M693,nEVAL,CONFIG_METADATA!$B$4,nASIG,"Conjunto"),""))</f>
        <v/>
      </c>
      <c r="Q693" t="str">
        <f>IF(M693="","",IFERROR(AVERAGEIFS(nNOTA,nNIA,M693,nEVAL,CONFIG_METADATA!$B$4,nASIG,"&lt;&gt;Lenguaje Musical",nASIG,"&lt;&gt;Coro",nASIG,"&lt;&gt;Conjunto"),""))</f>
        <v/>
      </c>
      <c r="T693" t="str">
        <f>IF(S693="","",IFERROR(AVERAGEIFS(nNOTA,nNIA,S693,nEVAL,CONFIG_METADATA!$B$4,nASIG,"Lenguaje Musical"),""))</f>
        <v/>
      </c>
      <c r="U693" t="str">
        <f>IF(S693="","",IFERROR(AVERAGEIFS(nNOTA,nNIA,S693,nEVAL,CONFIG_METADATA!$B$4,nASIG,"Coro"),""))</f>
        <v/>
      </c>
      <c r="V693" t="str">
        <f>IF(S693="","",IFERROR(AVERAGEIFS(nNOTA,nNIA,S693,nEVAL,CONFIG_METADATA!$B$4,nASIG,"Conjunto"),""))</f>
        <v/>
      </c>
      <c r="W693" t="str" cm="1">
        <f t="array" ref="W693">IF(S693="","",IFERROR(AVERAGE(IF((nNIA=S693)*(nEVAL=CONFIG_METADATA!$B$4)*(nASIG&lt;&gt;"Lenguaje Musical")*(nASIG&lt;&gt;"Coro")*(nASIG&lt;&gt;"Conjunto"),nNOTA)),""))</f>
        <v/>
      </c>
    </row>
    <row r="694" spans="2:23" x14ac:dyDescent="0.2">
      <c r="B694" t="str">
        <f>IF(A694="","",IFERROR(AVERAGEIFS(nNOTA,nNIA,A694,nEVAL,CONFIG_METADATA!$B$4,nASIG,"Lenguaje Musical"),""))</f>
        <v/>
      </c>
      <c r="C694" t="str">
        <f>IF(A694="","",IFERROR(AVERAGEIFS(nNOTA,nNIA,A694,nEVAL,CONFIG_METADATA!$B$4,nASIG,"Coro"),""))</f>
        <v/>
      </c>
      <c r="D694" t="str">
        <f>IF(A694="","",IFERROR(AVERAGEIFS(nNOTA,nNIA,A694,nEVAL,CONFIG_METADATA!$B$4,nASIG,"Conjunto"),""))</f>
        <v/>
      </c>
      <c r="E694" t="str">
        <f>IF(A694="","",IFERROR(AVERAGEIFS(nNOTA,nNIA,A694,nEVAL,CONFIG_METADATA!$B$4,nASIG,"&lt;&gt;Lenguaje Musical",nASIG,"&lt;&gt;Coro",nASIG,"&lt;&gt;Conjunto"),""))</f>
        <v/>
      </c>
      <c r="H694" t="str">
        <f>IF(G694="","",IFERROR(AVERAGEIFS(nNOTA,nNIA,G694,nEVAL,CONFIG_METADATA!$B$4,nASIG,"Lenguaje Musical"),""))</f>
        <v/>
      </c>
      <c r="I694" t="str">
        <f>IF(G694="","",IFERROR(AVERAGEIFS(nNOTA,nNIA,G694,nEVAL,CONFIG_METADATA!$B$4,nASIG,"Coro"),""))</f>
        <v/>
      </c>
      <c r="J694" t="str">
        <f>IF(G694="","",IFERROR(AVERAGEIFS(nNOTA,nNIA,G694,nEVAL,CONFIG_METADATA!$B$4,nASIG,"Conjunto"),""))</f>
        <v/>
      </c>
      <c r="K694" t="str" cm="1">
        <f t="array" ref="K694">IF(G694="","",IFERROR(AVERAGE(IF((nNIA=G694)*(nEVAL=CONFIG_METADATA!$B$4)*(nASIG&lt;&gt;"Lenguaje Musical")*(nASIG&lt;&gt;"Coro")*(nASIG&lt;&gt;"Conjunto"),nNOTA)),""))</f>
        <v/>
      </c>
      <c r="N694" t="str">
        <f>IF(M694="","",IFERROR(AVERAGEIFS(nNOTA,nNIA,M694,nEVAL,CONFIG_METADATA!$B$4,nASIG,"Lenguaje Musical"),""))</f>
        <v/>
      </c>
      <c r="O694" t="str">
        <f>IF(M694="","",IFERROR(AVERAGEIFS(nNOTA,nNIA,M694,nEVAL,CONFIG_METADATA!$B$4,nASIG,"Coro"),""))</f>
        <v/>
      </c>
      <c r="P694" t="str">
        <f>IF(M694="","",IFERROR(AVERAGEIFS(nNOTA,nNIA,M694,nEVAL,CONFIG_METADATA!$B$4,nASIG,"Conjunto"),""))</f>
        <v/>
      </c>
      <c r="Q694" t="str">
        <f>IF(M694="","",IFERROR(AVERAGEIFS(nNOTA,nNIA,M694,nEVAL,CONFIG_METADATA!$B$4,nASIG,"&lt;&gt;Lenguaje Musical",nASIG,"&lt;&gt;Coro",nASIG,"&lt;&gt;Conjunto"),""))</f>
        <v/>
      </c>
      <c r="T694" t="str">
        <f>IF(S694="","",IFERROR(AVERAGEIFS(nNOTA,nNIA,S694,nEVAL,CONFIG_METADATA!$B$4,nASIG,"Lenguaje Musical"),""))</f>
        <v/>
      </c>
      <c r="U694" t="str">
        <f>IF(S694="","",IFERROR(AVERAGEIFS(nNOTA,nNIA,S694,nEVAL,CONFIG_METADATA!$B$4,nASIG,"Coro"),""))</f>
        <v/>
      </c>
      <c r="V694" t="str">
        <f>IF(S694="","",IFERROR(AVERAGEIFS(nNOTA,nNIA,S694,nEVAL,CONFIG_METADATA!$B$4,nASIG,"Conjunto"),""))</f>
        <v/>
      </c>
      <c r="W694" t="str" cm="1">
        <f t="array" ref="W694">IF(S694="","",IFERROR(AVERAGE(IF((nNIA=S694)*(nEVAL=CONFIG_METADATA!$B$4)*(nASIG&lt;&gt;"Lenguaje Musical")*(nASIG&lt;&gt;"Coro")*(nASIG&lt;&gt;"Conjunto"),nNOTA)),""))</f>
        <v/>
      </c>
    </row>
    <row r="695" spans="2:23" x14ac:dyDescent="0.2">
      <c r="B695" t="str">
        <f>IF(A695="","",IFERROR(AVERAGEIFS(nNOTA,nNIA,A695,nEVAL,CONFIG_METADATA!$B$4,nASIG,"Lenguaje Musical"),""))</f>
        <v/>
      </c>
      <c r="C695" t="str">
        <f>IF(A695="","",IFERROR(AVERAGEIFS(nNOTA,nNIA,A695,nEVAL,CONFIG_METADATA!$B$4,nASIG,"Coro"),""))</f>
        <v/>
      </c>
      <c r="D695" t="str">
        <f>IF(A695="","",IFERROR(AVERAGEIFS(nNOTA,nNIA,A695,nEVAL,CONFIG_METADATA!$B$4,nASIG,"Conjunto"),""))</f>
        <v/>
      </c>
      <c r="E695" t="str">
        <f>IF(A695="","",IFERROR(AVERAGEIFS(nNOTA,nNIA,A695,nEVAL,CONFIG_METADATA!$B$4,nASIG,"&lt;&gt;Lenguaje Musical",nASIG,"&lt;&gt;Coro",nASIG,"&lt;&gt;Conjunto"),""))</f>
        <v/>
      </c>
      <c r="H695" t="str">
        <f>IF(G695="","",IFERROR(AVERAGEIFS(nNOTA,nNIA,G695,nEVAL,CONFIG_METADATA!$B$4,nASIG,"Lenguaje Musical"),""))</f>
        <v/>
      </c>
      <c r="I695" t="str">
        <f>IF(G695="","",IFERROR(AVERAGEIFS(nNOTA,nNIA,G695,nEVAL,CONFIG_METADATA!$B$4,nASIG,"Coro"),""))</f>
        <v/>
      </c>
      <c r="J695" t="str">
        <f>IF(G695="","",IFERROR(AVERAGEIFS(nNOTA,nNIA,G695,nEVAL,CONFIG_METADATA!$B$4,nASIG,"Conjunto"),""))</f>
        <v/>
      </c>
      <c r="K695" t="str" cm="1">
        <f t="array" ref="K695">IF(G695="","",IFERROR(AVERAGE(IF((nNIA=G695)*(nEVAL=CONFIG_METADATA!$B$4)*(nASIG&lt;&gt;"Lenguaje Musical")*(nASIG&lt;&gt;"Coro")*(nASIG&lt;&gt;"Conjunto"),nNOTA)),""))</f>
        <v/>
      </c>
      <c r="N695" t="str">
        <f>IF(M695="","",IFERROR(AVERAGEIFS(nNOTA,nNIA,M695,nEVAL,CONFIG_METADATA!$B$4,nASIG,"Lenguaje Musical"),""))</f>
        <v/>
      </c>
      <c r="O695" t="str">
        <f>IF(M695="","",IFERROR(AVERAGEIFS(nNOTA,nNIA,M695,nEVAL,CONFIG_METADATA!$B$4,nASIG,"Coro"),""))</f>
        <v/>
      </c>
      <c r="P695" t="str">
        <f>IF(M695="","",IFERROR(AVERAGEIFS(nNOTA,nNIA,M695,nEVAL,CONFIG_METADATA!$B$4,nASIG,"Conjunto"),""))</f>
        <v/>
      </c>
      <c r="Q695" t="str">
        <f>IF(M695="","",IFERROR(AVERAGEIFS(nNOTA,nNIA,M695,nEVAL,CONFIG_METADATA!$B$4,nASIG,"&lt;&gt;Lenguaje Musical",nASIG,"&lt;&gt;Coro",nASIG,"&lt;&gt;Conjunto"),""))</f>
        <v/>
      </c>
      <c r="T695" t="str">
        <f>IF(S695="","",IFERROR(AVERAGEIFS(nNOTA,nNIA,S695,nEVAL,CONFIG_METADATA!$B$4,nASIG,"Lenguaje Musical"),""))</f>
        <v/>
      </c>
      <c r="U695" t="str">
        <f>IF(S695="","",IFERROR(AVERAGEIFS(nNOTA,nNIA,S695,nEVAL,CONFIG_METADATA!$B$4,nASIG,"Coro"),""))</f>
        <v/>
      </c>
      <c r="V695" t="str">
        <f>IF(S695="","",IFERROR(AVERAGEIFS(nNOTA,nNIA,S695,nEVAL,CONFIG_METADATA!$B$4,nASIG,"Conjunto"),""))</f>
        <v/>
      </c>
      <c r="W695" t="str" cm="1">
        <f t="array" ref="W695">IF(S695="","",IFERROR(AVERAGE(IF((nNIA=S695)*(nEVAL=CONFIG_METADATA!$B$4)*(nASIG&lt;&gt;"Lenguaje Musical")*(nASIG&lt;&gt;"Coro")*(nASIG&lt;&gt;"Conjunto"),nNOTA)),""))</f>
        <v/>
      </c>
    </row>
    <row r="696" spans="2:23" x14ac:dyDescent="0.2">
      <c r="B696" t="str">
        <f>IF(A696="","",IFERROR(AVERAGEIFS(nNOTA,nNIA,A696,nEVAL,CONFIG_METADATA!$B$4,nASIG,"Lenguaje Musical"),""))</f>
        <v/>
      </c>
      <c r="C696" t="str">
        <f>IF(A696="","",IFERROR(AVERAGEIFS(nNOTA,nNIA,A696,nEVAL,CONFIG_METADATA!$B$4,nASIG,"Coro"),""))</f>
        <v/>
      </c>
      <c r="D696" t="str">
        <f>IF(A696="","",IFERROR(AVERAGEIFS(nNOTA,nNIA,A696,nEVAL,CONFIG_METADATA!$B$4,nASIG,"Conjunto"),""))</f>
        <v/>
      </c>
      <c r="E696" t="str">
        <f>IF(A696="","",IFERROR(AVERAGEIFS(nNOTA,nNIA,A696,nEVAL,CONFIG_METADATA!$B$4,nASIG,"&lt;&gt;Lenguaje Musical",nASIG,"&lt;&gt;Coro",nASIG,"&lt;&gt;Conjunto"),""))</f>
        <v/>
      </c>
      <c r="H696" t="str">
        <f>IF(G696="","",IFERROR(AVERAGEIFS(nNOTA,nNIA,G696,nEVAL,CONFIG_METADATA!$B$4,nASIG,"Lenguaje Musical"),""))</f>
        <v/>
      </c>
      <c r="I696" t="str">
        <f>IF(G696="","",IFERROR(AVERAGEIFS(nNOTA,nNIA,G696,nEVAL,CONFIG_METADATA!$B$4,nASIG,"Coro"),""))</f>
        <v/>
      </c>
      <c r="J696" t="str">
        <f>IF(G696="","",IFERROR(AVERAGEIFS(nNOTA,nNIA,G696,nEVAL,CONFIG_METADATA!$B$4,nASIG,"Conjunto"),""))</f>
        <v/>
      </c>
      <c r="K696" t="str" cm="1">
        <f t="array" ref="K696">IF(G696="","",IFERROR(AVERAGE(IF((nNIA=G696)*(nEVAL=CONFIG_METADATA!$B$4)*(nASIG&lt;&gt;"Lenguaje Musical")*(nASIG&lt;&gt;"Coro")*(nASIG&lt;&gt;"Conjunto"),nNOTA)),""))</f>
        <v/>
      </c>
      <c r="N696" t="str">
        <f>IF(M696="","",IFERROR(AVERAGEIFS(nNOTA,nNIA,M696,nEVAL,CONFIG_METADATA!$B$4,nASIG,"Lenguaje Musical"),""))</f>
        <v/>
      </c>
      <c r="O696" t="str">
        <f>IF(M696="","",IFERROR(AVERAGEIFS(nNOTA,nNIA,M696,nEVAL,CONFIG_METADATA!$B$4,nASIG,"Coro"),""))</f>
        <v/>
      </c>
      <c r="P696" t="str">
        <f>IF(M696="","",IFERROR(AVERAGEIFS(nNOTA,nNIA,M696,nEVAL,CONFIG_METADATA!$B$4,nASIG,"Conjunto"),""))</f>
        <v/>
      </c>
      <c r="Q696" t="str">
        <f>IF(M696="","",IFERROR(AVERAGEIFS(nNOTA,nNIA,M696,nEVAL,CONFIG_METADATA!$B$4,nASIG,"&lt;&gt;Lenguaje Musical",nASIG,"&lt;&gt;Coro",nASIG,"&lt;&gt;Conjunto"),""))</f>
        <v/>
      </c>
      <c r="T696" t="str">
        <f>IF(S696="","",IFERROR(AVERAGEIFS(nNOTA,nNIA,S696,nEVAL,CONFIG_METADATA!$B$4,nASIG,"Lenguaje Musical"),""))</f>
        <v/>
      </c>
      <c r="U696" t="str">
        <f>IF(S696="","",IFERROR(AVERAGEIFS(nNOTA,nNIA,S696,nEVAL,CONFIG_METADATA!$B$4,nASIG,"Coro"),""))</f>
        <v/>
      </c>
      <c r="V696" t="str">
        <f>IF(S696="","",IFERROR(AVERAGEIFS(nNOTA,nNIA,S696,nEVAL,CONFIG_METADATA!$B$4,nASIG,"Conjunto"),""))</f>
        <v/>
      </c>
      <c r="W696" t="str" cm="1">
        <f t="array" ref="W696">IF(S696="","",IFERROR(AVERAGE(IF((nNIA=S696)*(nEVAL=CONFIG_METADATA!$B$4)*(nASIG&lt;&gt;"Lenguaje Musical")*(nASIG&lt;&gt;"Coro")*(nASIG&lt;&gt;"Conjunto"),nNOTA)),""))</f>
        <v/>
      </c>
    </row>
    <row r="697" spans="2:23" x14ac:dyDescent="0.2">
      <c r="B697" t="str">
        <f>IF(A697="","",IFERROR(AVERAGEIFS(nNOTA,nNIA,A697,nEVAL,CONFIG_METADATA!$B$4,nASIG,"Lenguaje Musical"),""))</f>
        <v/>
      </c>
      <c r="C697" t="str">
        <f>IF(A697="","",IFERROR(AVERAGEIFS(nNOTA,nNIA,A697,nEVAL,CONFIG_METADATA!$B$4,nASIG,"Coro"),""))</f>
        <v/>
      </c>
      <c r="D697" t="str">
        <f>IF(A697="","",IFERROR(AVERAGEIFS(nNOTA,nNIA,A697,nEVAL,CONFIG_METADATA!$B$4,nASIG,"Conjunto"),""))</f>
        <v/>
      </c>
      <c r="E697" t="str">
        <f>IF(A697="","",IFERROR(AVERAGEIFS(nNOTA,nNIA,A697,nEVAL,CONFIG_METADATA!$B$4,nASIG,"&lt;&gt;Lenguaje Musical",nASIG,"&lt;&gt;Coro",nASIG,"&lt;&gt;Conjunto"),""))</f>
        <v/>
      </c>
      <c r="H697" t="str">
        <f>IF(G697="","",IFERROR(AVERAGEIFS(nNOTA,nNIA,G697,nEVAL,CONFIG_METADATA!$B$4,nASIG,"Lenguaje Musical"),""))</f>
        <v/>
      </c>
      <c r="I697" t="str">
        <f>IF(G697="","",IFERROR(AVERAGEIFS(nNOTA,nNIA,G697,nEVAL,CONFIG_METADATA!$B$4,nASIG,"Coro"),""))</f>
        <v/>
      </c>
      <c r="J697" t="str">
        <f>IF(G697="","",IFERROR(AVERAGEIFS(nNOTA,nNIA,G697,nEVAL,CONFIG_METADATA!$B$4,nASIG,"Conjunto"),""))</f>
        <v/>
      </c>
      <c r="K697" t="str" cm="1">
        <f t="array" ref="K697">IF(G697="","",IFERROR(AVERAGE(IF((nNIA=G697)*(nEVAL=CONFIG_METADATA!$B$4)*(nASIG&lt;&gt;"Lenguaje Musical")*(nASIG&lt;&gt;"Coro")*(nASIG&lt;&gt;"Conjunto"),nNOTA)),""))</f>
        <v/>
      </c>
      <c r="N697" t="str">
        <f>IF(M697="","",IFERROR(AVERAGEIFS(nNOTA,nNIA,M697,nEVAL,CONFIG_METADATA!$B$4,nASIG,"Lenguaje Musical"),""))</f>
        <v/>
      </c>
      <c r="O697" t="str">
        <f>IF(M697="","",IFERROR(AVERAGEIFS(nNOTA,nNIA,M697,nEVAL,CONFIG_METADATA!$B$4,nASIG,"Coro"),""))</f>
        <v/>
      </c>
      <c r="P697" t="str">
        <f>IF(M697="","",IFERROR(AVERAGEIFS(nNOTA,nNIA,M697,nEVAL,CONFIG_METADATA!$B$4,nASIG,"Conjunto"),""))</f>
        <v/>
      </c>
      <c r="Q697" t="str">
        <f>IF(M697="","",IFERROR(AVERAGEIFS(nNOTA,nNIA,M697,nEVAL,CONFIG_METADATA!$B$4,nASIG,"&lt;&gt;Lenguaje Musical",nASIG,"&lt;&gt;Coro",nASIG,"&lt;&gt;Conjunto"),""))</f>
        <v/>
      </c>
      <c r="T697" t="str">
        <f>IF(S697="","",IFERROR(AVERAGEIFS(nNOTA,nNIA,S697,nEVAL,CONFIG_METADATA!$B$4,nASIG,"Lenguaje Musical"),""))</f>
        <v/>
      </c>
      <c r="U697" t="str">
        <f>IF(S697="","",IFERROR(AVERAGEIFS(nNOTA,nNIA,S697,nEVAL,CONFIG_METADATA!$B$4,nASIG,"Coro"),""))</f>
        <v/>
      </c>
      <c r="V697" t="str">
        <f>IF(S697="","",IFERROR(AVERAGEIFS(nNOTA,nNIA,S697,nEVAL,CONFIG_METADATA!$B$4,nASIG,"Conjunto"),""))</f>
        <v/>
      </c>
      <c r="W697" t="str" cm="1">
        <f t="array" ref="W697">IF(S697="","",IFERROR(AVERAGE(IF((nNIA=S697)*(nEVAL=CONFIG_METADATA!$B$4)*(nASIG&lt;&gt;"Lenguaje Musical")*(nASIG&lt;&gt;"Coro")*(nASIG&lt;&gt;"Conjunto"),nNOTA)),""))</f>
        <v/>
      </c>
    </row>
    <row r="698" spans="2:23" x14ac:dyDescent="0.2">
      <c r="B698" t="str">
        <f>IF(A698="","",IFERROR(AVERAGEIFS(nNOTA,nNIA,A698,nEVAL,CONFIG_METADATA!$B$4,nASIG,"Lenguaje Musical"),""))</f>
        <v/>
      </c>
      <c r="C698" t="str">
        <f>IF(A698="","",IFERROR(AVERAGEIFS(nNOTA,nNIA,A698,nEVAL,CONFIG_METADATA!$B$4,nASIG,"Coro"),""))</f>
        <v/>
      </c>
      <c r="D698" t="str">
        <f>IF(A698="","",IFERROR(AVERAGEIFS(nNOTA,nNIA,A698,nEVAL,CONFIG_METADATA!$B$4,nASIG,"Conjunto"),""))</f>
        <v/>
      </c>
      <c r="E698" t="str">
        <f>IF(A698="","",IFERROR(AVERAGEIFS(nNOTA,nNIA,A698,nEVAL,CONFIG_METADATA!$B$4,nASIG,"&lt;&gt;Lenguaje Musical",nASIG,"&lt;&gt;Coro",nASIG,"&lt;&gt;Conjunto"),""))</f>
        <v/>
      </c>
      <c r="H698" t="str">
        <f>IF(G698="","",IFERROR(AVERAGEIFS(nNOTA,nNIA,G698,nEVAL,CONFIG_METADATA!$B$4,nASIG,"Lenguaje Musical"),""))</f>
        <v/>
      </c>
      <c r="I698" t="str">
        <f>IF(G698="","",IFERROR(AVERAGEIFS(nNOTA,nNIA,G698,nEVAL,CONFIG_METADATA!$B$4,nASIG,"Coro"),""))</f>
        <v/>
      </c>
      <c r="J698" t="str">
        <f>IF(G698="","",IFERROR(AVERAGEIFS(nNOTA,nNIA,G698,nEVAL,CONFIG_METADATA!$B$4,nASIG,"Conjunto"),""))</f>
        <v/>
      </c>
      <c r="K698" t="str" cm="1">
        <f t="array" ref="K698">IF(G698="","",IFERROR(AVERAGE(IF((nNIA=G698)*(nEVAL=CONFIG_METADATA!$B$4)*(nASIG&lt;&gt;"Lenguaje Musical")*(nASIG&lt;&gt;"Coro")*(nASIG&lt;&gt;"Conjunto"),nNOTA)),""))</f>
        <v/>
      </c>
      <c r="N698" t="str">
        <f>IF(M698="","",IFERROR(AVERAGEIFS(nNOTA,nNIA,M698,nEVAL,CONFIG_METADATA!$B$4,nASIG,"Lenguaje Musical"),""))</f>
        <v/>
      </c>
      <c r="O698" t="str">
        <f>IF(M698="","",IFERROR(AVERAGEIFS(nNOTA,nNIA,M698,nEVAL,CONFIG_METADATA!$B$4,nASIG,"Coro"),""))</f>
        <v/>
      </c>
      <c r="P698" t="str">
        <f>IF(M698="","",IFERROR(AVERAGEIFS(nNOTA,nNIA,M698,nEVAL,CONFIG_METADATA!$B$4,nASIG,"Conjunto"),""))</f>
        <v/>
      </c>
      <c r="Q698" t="str">
        <f>IF(M698="","",IFERROR(AVERAGEIFS(nNOTA,nNIA,M698,nEVAL,CONFIG_METADATA!$B$4,nASIG,"&lt;&gt;Lenguaje Musical",nASIG,"&lt;&gt;Coro",nASIG,"&lt;&gt;Conjunto"),""))</f>
        <v/>
      </c>
      <c r="T698" t="str">
        <f>IF(S698="","",IFERROR(AVERAGEIFS(nNOTA,nNIA,S698,nEVAL,CONFIG_METADATA!$B$4,nASIG,"Lenguaje Musical"),""))</f>
        <v/>
      </c>
      <c r="U698" t="str">
        <f>IF(S698="","",IFERROR(AVERAGEIFS(nNOTA,nNIA,S698,nEVAL,CONFIG_METADATA!$B$4,nASIG,"Coro"),""))</f>
        <v/>
      </c>
      <c r="V698" t="str">
        <f>IF(S698="","",IFERROR(AVERAGEIFS(nNOTA,nNIA,S698,nEVAL,CONFIG_METADATA!$B$4,nASIG,"Conjunto"),""))</f>
        <v/>
      </c>
      <c r="W698" t="str" cm="1">
        <f t="array" ref="W698">IF(S698="","",IFERROR(AVERAGE(IF((nNIA=S698)*(nEVAL=CONFIG_METADATA!$B$4)*(nASIG&lt;&gt;"Lenguaje Musical")*(nASIG&lt;&gt;"Coro")*(nASIG&lt;&gt;"Conjunto"),nNOTA)),""))</f>
        <v/>
      </c>
    </row>
    <row r="699" spans="2:23" x14ac:dyDescent="0.2">
      <c r="B699" t="str">
        <f>IF(A699="","",IFERROR(AVERAGEIFS(nNOTA,nNIA,A699,nEVAL,CONFIG_METADATA!$B$4,nASIG,"Lenguaje Musical"),""))</f>
        <v/>
      </c>
      <c r="C699" t="str">
        <f>IF(A699="","",IFERROR(AVERAGEIFS(nNOTA,nNIA,A699,nEVAL,CONFIG_METADATA!$B$4,nASIG,"Coro"),""))</f>
        <v/>
      </c>
      <c r="D699" t="str">
        <f>IF(A699="","",IFERROR(AVERAGEIFS(nNOTA,nNIA,A699,nEVAL,CONFIG_METADATA!$B$4,nASIG,"Conjunto"),""))</f>
        <v/>
      </c>
      <c r="E699" t="str">
        <f>IF(A699="","",IFERROR(AVERAGEIFS(nNOTA,nNIA,A699,nEVAL,CONFIG_METADATA!$B$4,nASIG,"&lt;&gt;Lenguaje Musical",nASIG,"&lt;&gt;Coro",nASIG,"&lt;&gt;Conjunto"),""))</f>
        <v/>
      </c>
      <c r="H699" t="str">
        <f>IF(G699="","",IFERROR(AVERAGEIFS(nNOTA,nNIA,G699,nEVAL,CONFIG_METADATA!$B$4,nASIG,"Lenguaje Musical"),""))</f>
        <v/>
      </c>
      <c r="I699" t="str">
        <f>IF(G699="","",IFERROR(AVERAGEIFS(nNOTA,nNIA,G699,nEVAL,CONFIG_METADATA!$B$4,nASIG,"Coro"),""))</f>
        <v/>
      </c>
      <c r="J699" t="str">
        <f>IF(G699="","",IFERROR(AVERAGEIFS(nNOTA,nNIA,G699,nEVAL,CONFIG_METADATA!$B$4,nASIG,"Conjunto"),""))</f>
        <v/>
      </c>
      <c r="K699" t="str" cm="1">
        <f t="array" ref="K699">IF(G699="","",IFERROR(AVERAGE(IF((nNIA=G699)*(nEVAL=CONFIG_METADATA!$B$4)*(nASIG&lt;&gt;"Lenguaje Musical")*(nASIG&lt;&gt;"Coro")*(nASIG&lt;&gt;"Conjunto"),nNOTA)),""))</f>
        <v/>
      </c>
      <c r="N699" t="str">
        <f>IF(M699="","",IFERROR(AVERAGEIFS(nNOTA,nNIA,M699,nEVAL,CONFIG_METADATA!$B$4,nASIG,"Lenguaje Musical"),""))</f>
        <v/>
      </c>
      <c r="O699" t="str">
        <f>IF(M699="","",IFERROR(AVERAGEIFS(nNOTA,nNIA,M699,nEVAL,CONFIG_METADATA!$B$4,nASIG,"Coro"),""))</f>
        <v/>
      </c>
      <c r="P699" t="str">
        <f>IF(M699="","",IFERROR(AVERAGEIFS(nNOTA,nNIA,M699,nEVAL,CONFIG_METADATA!$B$4,nASIG,"Conjunto"),""))</f>
        <v/>
      </c>
      <c r="Q699" t="str">
        <f>IF(M699="","",IFERROR(AVERAGEIFS(nNOTA,nNIA,M699,nEVAL,CONFIG_METADATA!$B$4,nASIG,"&lt;&gt;Lenguaje Musical",nASIG,"&lt;&gt;Coro",nASIG,"&lt;&gt;Conjunto"),""))</f>
        <v/>
      </c>
      <c r="T699" t="str">
        <f>IF(S699="","",IFERROR(AVERAGEIFS(nNOTA,nNIA,S699,nEVAL,CONFIG_METADATA!$B$4,nASIG,"Lenguaje Musical"),""))</f>
        <v/>
      </c>
      <c r="U699" t="str">
        <f>IF(S699="","",IFERROR(AVERAGEIFS(nNOTA,nNIA,S699,nEVAL,CONFIG_METADATA!$B$4,nASIG,"Coro"),""))</f>
        <v/>
      </c>
      <c r="V699" t="str">
        <f>IF(S699="","",IFERROR(AVERAGEIFS(nNOTA,nNIA,S699,nEVAL,CONFIG_METADATA!$B$4,nASIG,"Conjunto"),""))</f>
        <v/>
      </c>
      <c r="W699" t="str" cm="1">
        <f t="array" ref="W699">IF(S699="","",IFERROR(AVERAGE(IF((nNIA=S699)*(nEVAL=CONFIG_METADATA!$B$4)*(nASIG&lt;&gt;"Lenguaje Musical")*(nASIG&lt;&gt;"Coro")*(nASIG&lt;&gt;"Conjunto"),nNOTA)),""))</f>
        <v/>
      </c>
    </row>
    <row r="700" spans="2:23" x14ac:dyDescent="0.2">
      <c r="B700" t="str">
        <f>IF(A700="","",IFERROR(AVERAGEIFS(nNOTA,nNIA,A700,nEVAL,CONFIG_METADATA!$B$4,nASIG,"Lenguaje Musical"),""))</f>
        <v/>
      </c>
      <c r="C700" t="str">
        <f>IF(A700="","",IFERROR(AVERAGEIFS(nNOTA,nNIA,A700,nEVAL,CONFIG_METADATA!$B$4,nASIG,"Coro"),""))</f>
        <v/>
      </c>
      <c r="D700" t="str">
        <f>IF(A700="","",IFERROR(AVERAGEIFS(nNOTA,nNIA,A700,nEVAL,CONFIG_METADATA!$B$4,nASIG,"Conjunto"),""))</f>
        <v/>
      </c>
      <c r="E700" t="str">
        <f>IF(A700="","",IFERROR(AVERAGEIFS(nNOTA,nNIA,A700,nEVAL,CONFIG_METADATA!$B$4,nASIG,"&lt;&gt;Lenguaje Musical",nASIG,"&lt;&gt;Coro",nASIG,"&lt;&gt;Conjunto"),""))</f>
        <v/>
      </c>
      <c r="H700" t="str">
        <f>IF(G700="","",IFERROR(AVERAGEIFS(nNOTA,nNIA,G700,nEVAL,CONFIG_METADATA!$B$4,nASIG,"Lenguaje Musical"),""))</f>
        <v/>
      </c>
      <c r="I700" t="str">
        <f>IF(G700="","",IFERROR(AVERAGEIFS(nNOTA,nNIA,G700,nEVAL,CONFIG_METADATA!$B$4,nASIG,"Coro"),""))</f>
        <v/>
      </c>
      <c r="J700" t="str">
        <f>IF(G700="","",IFERROR(AVERAGEIFS(nNOTA,nNIA,G700,nEVAL,CONFIG_METADATA!$B$4,nASIG,"Conjunto"),""))</f>
        <v/>
      </c>
      <c r="K700" t="str" cm="1">
        <f t="array" ref="K700">IF(G700="","",IFERROR(AVERAGE(IF((nNIA=G700)*(nEVAL=CONFIG_METADATA!$B$4)*(nASIG&lt;&gt;"Lenguaje Musical")*(nASIG&lt;&gt;"Coro")*(nASIG&lt;&gt;"Conjunto"),nNOTA)),""))</f>
        <v/>
      </c>
      <c r="N700" t="str">
        <f>IF(M700="","",IFERROR(AVERAGEIFS(nNOTA,nNIA,M700,nEVAL,CONFIG_METADATA!$B$4,nASIG,"Lenguaje Musical"),""))</f>
        <v/>
      </c>
      <c r="O700" t="str">
        <f>IF(M700="","",IFERROR(AVERAGEIFS(nNOTA,nNIA,M700,nEVAL,CONFIG_METADATA!$B$4,nASIG,"Coro"),""))</f>
        <v/>
      </c>
      <c r="P700" t="str">
        <f>IF(M700="","",IFERROR(AVERAGEIFS(nNOTA,nNIA,M700,nEVAL,CONFIG_METADATA!$B$4,nASIG,"Conjunto"),""))</f>
        <v/>
      </c>
      <c r="Q700" t="str">
        <f>IF(M700="","",IFERROR(AVERAGEIFS(nNOTA,nNIA,M700,nEVAL,CONFIG_METADATA!$B$4,nASIG,"&lt;&gt;Lenguaje Musical",nASIG,"&lt;&gt;Coro",nASIG,"&lt;&gt;Conjunto"),""))</f>
        <v/>
      </c>
      <c r="T700" t="str">
        <f>IF(S700="","",IFERROR(AVERAGEIFS(nNOTA,nNIA,S700,nEVAL,CONFIG_METADATA!$B$4,nASIG,"Lenguaje Musical"),""))</f>
        <v/>
      </c>
      <c r="U700" t="str">
        <f>IF(S700="","",IFERROR(AVERAGEIFS(nNOTA,nNIA,S700,nEVAL,CONFIG_METADATA!$B$4,nASIG,"Coro"),""))</f>
        <v/>
      </c>
      <c r="V700" t="str">
        <f>IF(S700="","",IFERROR(AVERAGEIFS(nNOTA,nNIA,S700,nEVAL,CONFIG_METADATA!$B$4,nASIG,"Conjunto"),""))</f>
        <v/>
      </c>
      <c r="W700" t="str" cm="1">
        <f t="array" ref="W700">IF(S700="","",IFERROR(AVERAGE(IF((nNIA=S700)*(nEVAL=CONFIG_METADATA!$B$4)*(nASIG&lt;&gt;"Lenguaje Musical")*(nASIG&lt;&gt;"Coro")*(nASIG&lt;&gt;"Conjunto"),nNOTA)),""))</f>
        <v/>
      </c>
    </row>
    <row r="701" spans="2:23" x14ac:dyDescent="0.2">
      <c r="B701" t="str">
        <f>IF(A701="","",IFERROR(AVERAGEIFS(nNOTA,nNIA,A701,nEVAL,CONFIG_METADATA!$B$4,nASIG,"Lenguaje Musical"),""))</f>
        <v/>
      </c>
      <c r="C701" t="str">
        <f>IF(A701="","",IFERROR(AVERAGEIFS(nNOTA,nNIA,A701,nEVAL,CONFIG_METADATA!$B$4,nASIG,"Coro"),""))</f>
        <v/>
      </c>
      <c r="D701" t="str">
        <f>IF(A701="","",IFERROR(AVERAGEIFS(nNOTA,nNIA,A701,nEVAL,CONFIG_METADATA!$B$4,nASIG,"Conjunto"),""))</f>
        <v/>
      </c>
      <c r="E701" t="str">
        <f>IF(A701="","",IFERROR(AVERAGEIFS(nNOTA,nNIA,A701,nEVAL,CONFIG_METADATA!$B$4,nASIG,"&lt;&gt;Lenguaje Musical",nASIG,"&lt;&gt;Coro",nASIG,"&lt;&gt;Conjunto"),""))</f>
        <v/>
      </c>
      <c r="H701" t="str">
        <f>IF(G701="","",IFERROR(AVERAGEIFS(nNOTA,nNIA,G701,nEVAL,CONFIG_METADATA!$B$4,nASIG,"Lenguaje Musical"),""))</f>
        <v/>
      </c>
      <c r="I701" t="str">
        <f>IF(G701="","",IFERROR(AVERAGEIFS(nNOTA,nNIA,G701,nEVAL,CONFIG_METADATA!$B$4,nASIG,"Coro"),""))</f>
        <v/>
      </c>
      <c r="J701" t="str">
        <f>IF(G701="","",IFERROR(AVERAGEIFS(nNOTA,nNIA,G701,nEVAL,CONFIG_METADATA!$B$4,nASIG,"Conjunto"),""))</f>
        <v/>
      </c>
      <c r="K701" t="str" cm="1">
        <f t="array" ref="K701">IF(G701="","",IFERROR(AVERAGE(IF((nNIA=G701)*(nEVAL=CONFIG_METADATA!$B$4)*(nASIG&lt;&gt;"Lenguaje Musical")*(nASIG&lt;&gt;"Coro")*(nASIG&lt;&gt;"Conjunto"),nNOTA)),""))</f>
        <v/>
      </c>
      <c r="N701" t="str">
        <f>IF(M701="","",IFERROR(AVERAGEIFS(nNOTA,nNIA,M701,nEVAL,CONFIG_METADATA!$B$4,nASIG,"Lenguaje Musical"),""))</f>
        <v/>
      </c>
      <c r="O701" t="str">
        <f>IF(M701="","",IFERROR(AVERAGEIFS(nNOTA,nNIA,M701,nEVAL,CONFIG_METADATA!$B$4,nASIG,"Coro"),""))</f>
        <v/>
      </c>
      <c r="P701" t="str">
        <f>IF(M701="","",IFERROR(AVERAGEIFS(nNOTA,nNIA,M701,nEVAL,CONFIG_METADATA!$B$4,nASIG,"Conjunto"),""))</f>
        <v/>
      </c>
      <c r="Q701" t="str">
        <f>IF(M701="","",IFERROR(AVERAGEIFS(nNOTA,nNIA,M701,nEVAL,CONFIG_METADATA!$B$4,nASIG,"&lt;&gt;Lenguaje Musical",nASIG,"&lt;&gt;Coro",nASIG,"&lt;&gt;Conjunto"),""))</f>
        <v/>
      </c>
      <c r="T701" t="str">
        <f>IF(S701="","",IFERROR(AVERAGEIFS(nNOTA,nNIA,S701,nEVAL,CONFIG_METADATA!$B$4,nASIG,"Lenguaje Musical"),""))</f>
        <v/>
      </c>
      <c r="U701" t="str">
        <f>IF(S701="","",IFERROR(AVERAGEIFS(nNOTA,nNIA,S701,nEVAL,CONFIG_METADATA!$B$4,nASIG,"Coro"),""))</f>
        <v/>
      </c>
      <c r="V701" t="str">
        <f>IF(S701="","",IFERROR(AVERAGEIFS(nNOTA,nNIA,S701,nEVAL,CONFIG_METADATA!$B$4,nASIG,"Conjunto"),""))</f>
        <v/>
      </c>
      <c r="W701" t="str" cm="1">
        <f t="array" ref="W701">IF(S701="","",IFERROR(AVERAGE(IF((nNIA=S701)*(nEVAL=CONFIG_METADATA!$B$4)*(nASIG&lt;&gt;"Lenguaje Musical")*(nASIG&lt;&gt;"Coro")*(nASIG&lt;&gt;"Conjunto"),nNOTA)),""))</f>
        <v/>
      </c>
    </row>
    <row r="702" spans="2:23" x14ac:dyDescent="0.2">
      <c r="B702" t="str">
        <f>IF(A702="","",IFERROR(AVERAGEIFS(nNOTA,nNIA,A702,nEVAL,CONFIG_METADATA!$B$4,nASIG,"Lenguaje Musical"),""))</f>
        <v/>
      </c>
      <c r="C702" t="str">
        <f>IF(A702="","",IFERROR(AVERAGEIFS(nNOTA,nNIA,A702,nEVAL,CONFIG_METADATA!$B$4,nASIG,"Coro"),""))</f>
        <v/>
      </c>
      <c r="D702" t="str">
        <f>IF(A702="","",IFERROR(AVERAGEIFS(nNOTA,nNIA,A702,nEVAL,CONFIG_METADATA!$B$4,nASIG,"Conjunto"),""))</f>
        <v/>
      </c>
      <c r="E702" t="str">
        <f>IF(A702="","",IFERROR(AVERAGEIFS(nNOTA,nNIA,A702,nEVAL,CONFIG_METADATA!$B$4,nASIG,"&lt;&gt;Lenguaje Musical",nASIG,"&lt;&gt;Coro",nASIG,"&lt;&gt;Conjunto"),""))</f>
        <v/>
      </c>
      <c r="H702" t="str">
        <f>IF(G702="","",IFERROR(AVERAGEIFS(nNOTA,nNIA,G702,nEVAL,CONFIG_METADATA!$B$4,nASIG,"Lenguaje Musical"),""))</f>
        <v/>
      </c>
      <c r="I702" t="str">
        <f>IF(G702="","",IFERROR(AVERAGEIFS(nNOTA,nNIA,G702,nEVAL,CONFIG_METADATA!$B$4,nASIG,"Coro"),""))</f>
        <v/>
      </c>
      <c r="J702" t="str">
        <f>IF(G702="","",IFERROR(AVERAGEIFS(nNOTA,nNIA,G702,nEVAL,CONFIG_METADATA!$B$4,nASIG,"Conjunto"),""))</f>
        <v/>
      </c>
      <c r="K702" t="str" cm="1">
        <f t="array" ref="K702">IF(G702="","",IFERROR(AVERAGE(IF((nNIA=G702)*(nEVAL=CONFIG_METADATA!$B$4)*(nASIG&lt;&gt;"Lenguaje Musical")*(nASIG&lt;&gt;"Coro")*(nASIG&lt;&gt;"Conjunto"),nNOTA)),""))</f>
        <v/>
      </c>
      <c r="N702" t="str">
        <f>IF(M702="","",IFERROR(AVERAGEIFS(nNOTA,nNIA,M702,nEVAL,CONFIG_METADATA!$B$4,nASIG,"Lenguaje Musical"),""))</f>
        <v/>
      </c>
      <c r="O702" t="str">
        <f>IF(M702="","",IFERROR(AVERAGEIFS(nNOTA,nNIA,M702,nEVAL,CONFIG_METADATA!$B$4,nASIG,"Coro"),""))</f>
        <v/>
      </c>
      <c r="P702" t="str">
        <f>IF(M702="","",IFERROR(AVERAGEIFS(nNOTA,nNIA,M702,nEVAL,CONFIG_METADATA!$B$4,nASIG,"Conjunto"),""))</f>
        <v/>
      </c>
      <c r="Q702" t="str">
        <f>IF(M702="","",IFERROR(AVERAGEIFS(nNOTA,nNIA,M702,nEVAL,CONFIG_METADATA!$B$4,nASIG,"&lt;&gt;Lenguaje Musical",nASIG,"&lt;&gt;Coro",nASIG,"&lt;&gt;Conjunto"),""))</f>
        <v/>
      </c>
      <c r="T702" t="str">
        <f>IF(S702="","",IFERROR(AVERAGEIFS(nNOTA,nNIA,S702,nEVAL,CONFIG_METADATA!$B$4,nASIG,"Lenguaje Musical"),""))</f>
        <v/>
      </c>
      <c r="U702" t="str">
        <f>IF(S702="","",IFERROR(AVERAGEIFS(nNOTA,nNIA,S702,nEVAL,CONFIG_METADATA!$B$4,nASIG,"Coro"),""))</f>
        <v/>
      </c>
      <c r="V702" t="str">
        <f>IF(S702="","",IFERROR(AVERAGEIFS(nNOTA,nNIA,S702,nEVAL,CONFIG_METADATA!$B$4,nASIG,"Conjunto"),""))</f>
        <v/>
      </c>
      <c r="W702" t="str" cm="1">
        <f t="array" ref="W702">IF(S702="","",IFERROR(AVERAGE(IF((nNIA=S702)*(nEVAL=CONFIG_METADATA!$B$4)*(nASIG&lt;&gt;"Lenguaje Musical")*(nASIG&lt;&gt;"Coro")*(nASIG&lt;&gt;"Conjunto"),nNOTA)),""))</f>
        <v/>
      </c>
    </row>
    <row r="703" spans="2:23" x14ac:dyDescent="0.2">
      <c r="B703" t="str">
        <f>IF(A703="","",IFERROR(AVERAGEIFS(nNOTA,nNIA,A703,nEVAL,CONFIG_METADATA!$B$4,nASIG,"Lenguaje Musical"),""))</f>
        <v/>
      </c>
      <c r="C703" t="str">
        <f>IF(A703="","",IFERROR(AVERAGEIFS(nNOTA,nNIA,A703,nEVAL,CONFIG_METADATA!$B$4,nASIG,"Coro"),""))</f>
        <v/>
      </c>
      <c r="D703" t="str">
        <f>IF(A703="","",IFERROR(AVERAGEIFS(nNOTA,nNIA,A703,nEVAL,CONFIG_METADATA!$B$4,nASIG,"Conjunto"),""))</f>
        <v/>
      </c>
      <c r="E703" t="str">
        <f>IF(A703="","",IFERROR(AVERAGEIFS(nNOTA,nNIA,A703,nEVAL,CONFIG_METADATA!$B$4,nASIG,"&lt;&gt;Lenguaje Musical",nASIG,"&lt;&gt;Coro",nASIG,"&lt;&gt;Conjunto"),""))</f>
        <v/>
      </c>
      <c r="H703" t="str">
        <f>IF(G703="","",IFERROR(AVERAGEIFS(nNOTA,nNIA,G703,nEVAL,CONFIG_METADATA!$B$4,nASIG,"Lenguaje Musical"),""))</f>
        <v/>
      </c>
      <c r="I703" t="str">
        <f>IF(G703="","",IFERROR(AVERAGEIFS(nNOTA,nNIA,G703,nEVAL,CONFIG_METADATA!$B$4,nASIG,"Coro"),""))</f>
        <v/>
      </c>
      <c r="J703" t="str">
        <f>IF(G703="","",IFERROR(AVERAGEIFS(nNOTA,nNIA,G703,nEVAL,CONFIG_METADATA!$B$4,nASIG,"Conjunto"),""))</f>
        <v/>
      </c>
      <c r="K703" t="str" cm="1">
        <f t="array" ref="K703">IF(G703="","",IFERROR(AVERAGE(IF((nNIA=G703)*(nEVAL=CONFIG_METADATA!$B$4)*(nASIG&lt;&gt;"Lenguaje Musical")*(nASIG&lt;&gt;"Coro")*(nASIG&lt;&gt;"Conjunto"),nNOTA)),""))</f>
        <v/>
      </c>
      <c r="N703" t="str">
        <f>IF(M703="","",IFERROR(AVERAGEIFS(nNOTA,nNIA,M703,nEVAL,CONFIG_METADATA!$B$4,nASIG,"Lenguaje Musical"),""))</f>
        <v/>
      </c>
      <c r="O703" t="str">
        <f>IF(M703="","",IFERROR(AVERAGEIFS(nNOTA,nNIA,M703,nEVAL,CONFIG_METADATA!$B$4,nASIG,"Coro"),""))</f>
        <v/>
      </c>
      <c r="P703" t="str">
        <f>IF(M703="","",IFERROR(AVERAGEIFS(nNOTA,nNIA,M703,nEVAL,CONFIG_METADATA!$B$4,nASIG,"Conjunto"),""))</f>
        <v/>
      </c>
      <c r="Q703" t="str">
        <f>IF(M703="","",IFERROR(AVERAGEIFS(nNOTA,nNIA,M703,nEVAL,CONFIG_METADATA!$B$4,nASIG,"&lt;&gt;Lenguaje Musical",nASIG,"&lt;&gt;Coro",nASIG,"&lt;&gt;Conjunto"),""))</f>
        <v/>
      </c>
      <c r="T703" t="str">
        <f>IF(S703="","",IFERROR(AVERAGEIFS(nNOTA,nNIA,S703,nEVAL,CONFIG_METADATA!$B$4,nASIG,"Lenguaje Musical"),""))</f>
        <v/>
      </c>
      <c r="U703" t="str">
        <f>IF(S703="","",IFERROR(AVERAGEIFS(nNOTA,nNIA,S703,nEVAL,CONFIG_METADATA!$B$4,nASIG,"Coro"),""))</f>
        <v/>
      </c>
      <c r="V703" t="str">
        <f>IF(S703="","",IFERROR(AVERAGEIFS(nNOTA,nNIA,S703,nEVAL,CONFIG_METADATA!$B$4,nASIG,"Conjunto"),""))</f>
        <v/>
      </c>
      <c r="W703" t="str" cm="1">
        <f t="array" ref="W703">IF(S703="","",IFERROR(AVERAGE(IF((nNIA=S703)*(nEVAL=CONFIG_METADATA!$B$4)*(nASIG&lt;&gt;"Lenguaje Musical")*(nASIG&lt;&gt;"Coro")*(nASIG&lt;&gt;"Conjunto"),nNOTA)),""))</f>
        <v/>
      </c>
    </row>
    <row r="704" spans="2:23" x14ac:dyDescent="0.2">
      <c r="B704" t="str">
        <f>IF(A704="","",IFERROR(AVERAGEIFS(nNOTA,nNIA,A704,nEVAL,CONFIG_METADATA!$B$4,nASIG,"Lenguaje Musical"),""))</f>
        <v/>
      </c>
      <c r="C704" t="str">
        <f>IF(A704="","",IFERROR(AVERAGEIFS(nNOTA,nNIA,A704,nEVAL,CONFIG_METADATA!$B$4,nASIG,"Coro"),""))</f>
        <v/>
      </c>
      <c r="D704" t="str">
        <f>IF(A704="","",IFERROR(AVERAGEIFS(nNOTA,nNIA,A704,nEVAL,CONFIG_METADATA!$B$4,nASIG,"Conjunto"),""))</f>
        <v/>
      </c>
      <c r="E704" t="str">
        <f>IF(A704="","",IFERROR(AVERAGEIFS(nNOTA,nNIA,A704,nEVAL,CONFIG_METADATA!$B$4,nASIG,"&lt;&gt;Lenguaje Musical",nASIG,"&lt;&gt;Coro",nASIG,"&lt;&gt;Conjunto"),""))</f>
        <v/>
      </c>
      <c r="H704" t="str">
        <f>IF(G704="","",IFERROR(AVERAGEIFS(nNOTA,nNIA,G704,nEVAL,CONFIG_METADATA!$B$4,nASIG,"Lenguaje Musical"),""))</f>
        <v/>
      </c>
      <c r="I704" t="str">
        <f>IF(G704="","",IFERROR(AVERAGEIFS(nNOTA,nNIA,G704,nEVAL,CONFIG_METADATA!$B$4,nASIG,"Coro"),""))</f>
        <v/>
      </c>
      <c r="J704" t="str">
        <f>IF(G704="","",IFERROR(AVERAGEIFS(nNOTA,nNIA,G704,nEVAL,CONFIG_METADATA!$B$4,nASIG,"Conjunto"),""))</f>
        <v/>
      </c>
      <c r="K704" t="str" cm="1">
        <f t="array" ref="K704">IF(G704="","",IFERROR(AVERAGE(IF((nNIA=G704)*(nEVAL=CONFIG_METADATA!$B$4)*(nASIG&lt;&gt;"Lenguaje Musical")*(nASIG&lt;&gt;"Coro")*(nASIG&lt;&gt;"Conjunto"),nNOTA)),""))</f>
        <v/>
      </c>
      <c r="N704" t="str">
        <f>IF(M704="","",IFERROR(AVERAGEIFS(nNOTA,nNIA,M704,nEVAL,CONFIG_METADATA!$B$4,nASIG,"Lenguaje Musical"),""))</f>
        <v/>
      </c>
      <c r="O704" t="str">
        <f>IF(M704="","",IFERROR(AVERAGEIFS(nNOTA,nNIA,M704,nEVAL,CONFIG_METADATA!$B$4,nASIG,"Coro"),""))</f>
        <v/>
      </c>
      <c r="P704" t="str">
        <f>IF(M704="","",IFERROR(AVERAGEIFS(nNOTA,nNIA,M704,nEVAL,CONFIG_METADATA!$B$4,nASIG,"Conjunto"),""))</f>
        <v/>
      </c>
      <c r="Q704" t="str">
        <f>IF(M704="","",IFERROR(AVERAGEIFS(nNOTA,nNIA,M704,nEVAL,CONFIG_METADATA!$B$4,nASIG,"&lt;&gt;Lenguaje Musical",nASIG,"&lt;&gt;Coro",nASIG,"&lt;&gt;Conjunto"),""))</f>
        <v/>
      </c>
      <c r="T704" t="str">
        <f>IF(S704="","",IFERROR(AVERAGEIFS(nNOTA,nNIA,S704,nEVAL,CONFIG_METADATA!$B$4,nASIG,"Lenguaje Musical"),""))</f>
        <v/>
      </c>
      <c r="U704" t="str">
        <f>IF(S704="","",IFERROR(AVERAGEIFS(nNOTA,nNIA,S704,nEVAL,CONFIG_METADATA!$B$4,nASIG,"Coro"),""))</f>
        <v/>
      </c>
      <c r="V704" t="str">
        <f>IF(S704="","",IFERROR(AVERAGEIFS(nNOTA,nNIA,S704,nEVAL,CONFIG_METADATA!$B$4,nASIG,"Conjunto"),""))</f>
        <v/>
      </c>
      <c r="W704" t="str" cm="1">
        <f t="array" ref="W704">IF(S704="","",IFERROR(AVERAGE(IF((nNIA=S704)*(nEVAL=CONFIG_METADATA!$B$4)*(nASIG&lt;&gt;"Lenguaje Musical")*(nASIG&lt;&gt;"Coro")*(nASIG&lt;&gt;"Conjunto"),nNOTA)),""))</f>
        <v/>
      </c>
    </row>
    <row r="705" spans="2:23" x14ac:dyDescent="0.2">
      <c r="B705" t="str">
        <f>IF(A705="","",IFERROR(AVERAGEIFS(nNOTA,nNIA,A705,nEVAL,CONFIG_METADATA!$B$4,nASIG,"Lenguaje Musical"),""))</f>
        <v/>
      </c>
      <c r="C705" t="str">
        <f>IF(A705="","",IFERROR(AVERAGEIFS(nNOTA,nNIA,A705,nEVAL,CONFIG_METADATA!$B$4,nASIG,"Coro"),""))</f>
        <v/>
      </c>
      <c r="D705" t="str">
        <f>IF(A705="","",IFERROR(AVERAGEIFS(nNOTA,nNIA,A705,nEVAL,CONFIG_METADATA!$B$4,nASIG,"Conjunto"),""))</f>
        <v/>
      </c>
      <c r="E705" t="str">
        <f>IF(A705="","",IFERROR(AVERAGEIFS(nNOTA,nNIA,A705,nEVAL,CONFIG_METADATA!$B$4,nASIG,"&lt;&gt;Lenguaje Musical",nASIG,"&lt;&gt;Coro",nASIG,"&lt;&gt;Conjunto"),""))</f>
        <v/>
      </c>
      <c r="H705" t="str">
        <f>IF(G705="","",IFERROR(AVERAGEIFS(nNOTA,nNIA,G705,nEVAL,CONFIG_METADATA!$B$4,nASIG,"Lenguaje Musical"),""))</f>
        <v/>
      </c>
      <c r="I705" t="str">
        <f>IF(G705="","",IFERROR(AVERAGEIFS(nNOTA,nNIA,G705,nEVAL,CONFIG_METADATA!$B$4,nASIG,"Coro"),""))</f>
        <v/>
      </c>
      <c r="J705" t="str">
        <f>IF(G705="","",IFERROR(AVERAGEIFS(nNOTA,nNIA,G705,nEVAL,CONFIG_METADATA!$B$4,nASIG,"Conjunto"),""))</f>
        <v/>
      </c>
      <c r="K705" t="str" cm="1">
        <f t="array" ref="K705">IF(G705="","",IFERROR(AVERAGE(IF((nNIA=G705)*(nEVAL=CONFIG_METADATA!$B$4)*(nASIG&lt;&gt;"Lenguaje Musical")*(nASIG&lt;&gt;"Coro")*(nASIG&lt;&gt;"Conjunto"),nNOTA)),""))</f>
        <v/>
      </c>
      <c r="N705" t="str">
        <f>IF(M705="","",IFERROR(AVERAGEIFS(nNOTA,nNIA,M705,nEVAL,CONFIG_METADATA!$B$4,nASIG,"Lenguaje Musical"),""))</f>
        <v/>
      </c>
      <c r="O705" t="str">
        <f>IF(M705="","",IFERROR(AVERAGEIFS(nNOTA,nNIA,M705,nEVAL,CONFIG_METADATA!$B$4,nASIG,"Coro"),""))</f>
        <v/>
      </c>
      <c r="P705" t="str">
        <f>IF(M705="","",IFERROR(AVERAGEIFS(nNOTA,nNIA,M705,nEVAL,CONFIG_METADATA!$B$4,nASIG,"Conjunto"),""))</f>
        <v/>
      </c>
      <c r="Q705" t="str">
        <f>IF(M705="","",IFERROR(AVERAGEIFS(nNOTA,nNIA,M705,nEVAL,CONFIG_METADATA!$B$4,nASIG,"&lt;&gt;Lenguaje Musical",nASIG,"&lt;&gt;Coro",nASIG,"&lt;&gt;Conjunto"),""))</f>
        <v/>
      </c>
      <c r="T705" t="str">
        <f>IF(S705="","",IFERROR(AVERAGEIFS(nNOTA,nNIA,S705,nEVAL,CONFIG_METADATA!$B$4,nASIG,"Lenguaje Musical"),""))</f>
        <v/>
      </c>
      <c r="U705" t="str">
        <f>IF(S705="","",IFERROR(AVERAGEIFS(nNOTA,nNIA,S705,nEVAL,CONFIG_METADATA!$B$4,nASIG,"Coro"),""))</f>
        <v/>
      </c>
      <c r="V705" t="str">
        <f>IF(S705="","",IFERROR(AVERAGEIFS(nNOTA,nNIA,S705,nEVAL,CONFIG_METADATA!$B$4,nASIG,"Conjunto"),""))</f>
        <v/>
      </c>
      <c r="W705" t="str" cm="1">
        <f t="array" ref="W705">IF(S705="","",IFERROR(AVERAGE(IF((nNIA=S705)*(nEVAL=CONFIG_METADATA!$B$4)*(nASIG&lt;&gt;"Lenguaje Musical")*(nASIG&lt;&gt;"Coro")*(nASIG&lt;&gt;"Conjunto"),nNOTA)),""))</f>
        <v/>
      </c>
    </row>
    <row r="706" spans="2:23" x14ac:dyDescent="0.2">
      <c r="B706" t="str">
        <f>IF(A706="","",IFERROR(AVERAGEIFS(nNOTA,nNIA,A706,nEVAL,CONFIG_METADATA!$B$4,nASIG,"Lenguaje Musical"),""))</f>
        <v/>
      </c>
      <c r="C706" t="str">
        <f>IF(A706="","",IFERROR(AVERAGEIFS(nNOTA,nNIA,A706,nEVAL,CONFIG_METADATA!$B$4,nASIG,"Coro"),""))</f>
        <v/>
      </c>
      <c r="D706" t="str">
        <f>IF(A706="","",IFERROR(AVERAGEIFS(nNOTA,nNIA,A706,nEVAL,CONFIG_METADATA!$B$4,nASIG,"Conjunto"),""))</f>
        <v/>
      </c>
      <c r="E706" t="str">
        <f>IF(A706="","",IFERROR(AVERAGEIFS(nNOTA,nNIA,A706,nEVAL,CONFIG_METADATA!$B$4,nASIG,"&lt;&gt;Lenguaje Musical",nASIG,"&lt;&gt;Coro",nASIG,"&lt;&gt;Conjunto"),""))</f>
        <v/>
      </c>
      <c r="H706" t="str">
        <f>IF(G706="","",IFERROR(AVERAGEIFS(nNOTA,nNIA,G706,nEVAL,CONFIG_METADATA!$B$4,nASIG,"Lenguaje Musical"),""))</f>
        <v/>
      </c>
      <c r="I706" t="str">
        <f>IF(G706="","",IFERROR(AVERAGEIFS(nNOTA,nNIA,G706,nEVAL,CONFIG_METADATA!$B$4,nASIG,"Coro"),""))</f>
        <v/>
      </c>
      <c r="J706" t="str">
        <f>IF(G706="","",IFERROR(AVERAGEIFS(nNOTA,nNIA,G706,nEVAL,CONFIG_METADATA!$B$4,nASIG,"Conjunto"),""))</f>
        <v/>
      </c>
      <c r="K706" t="str" cm="1">
        <f t="array" ref="K706">IF(G706="","",IFERROR(AVERAGE(IF((nNIA=G706)*(nEVAL=CONFIG_METADATA!$B$4)*(nASIG&lt;&gt;"Lenguaje Musical")*(nASIG&lt;&gt;"Coro")*(nASIG&lt;&gt;"Conjunto"),nNOTA)),""))</f>
        <v/>
      </c>
      <c r="N706" t="str">
        <f>IF(M706="","",IFERROR(AVERAGEIFS(nNOTA,nNIA,M706,nEVAL,CONFIG_METADATA!$B$4,nASIG,"Lenguaje Musical"),""))</f>
        <v/>
      </c>
      <c r="O706" t="str">
        <f>IF(M706="","",IFERROR(AVERAGEIFS(nNOTA,nNIA,M706,nEVAL,CONFIG_METADATA!$B$4,nASIG,"Coro"),""))</f>
        <v/>
      </c>
      <c r="P706" t="str">
        <f>IF(M706="","",IFERROR(AVERAGEIFS(nNOTA,nNIA,M706,nEVAL,CONFIG_METADATA!$B$4,nASIG,"Conjunto"),""))</f>
        <v/>
      </c>
      <c r="Q706" t="str">
        <f>IF(M706="","",IFERROR(AVERAGEIFS(nNOTA,nNIA,M706,nEVAL,CONFIG_METADATA!$B$4,nASIG,"&lt;&gt;Lenguaje Musical",nASIG,"&lt;&gt;Coro",nASIG,"&lt;&gt;Conjunto"),""))</f>
        <v/>
      </c>
      <c r="T706" t="str">
        <f>IF(S706="","",IFERROR(AVERAGEIFS(nNOTA,nNIA,S706,nEVAL,CONFIG_METADATA!$B$4,nASIG,"Lenguaje Musical"),""))</f>
        <v/>
      </c>
      <c r="U706" t="str">
        <f>IF(S706="","",IFERROR(AVERAGEIFS(nNOTA,nNIA,S706,nEVAL,CONFIG_METADATA!$B$4,nASIG,"Coro"),""))</f>
        <v/>
      </c>
      <c r="V706" t="str">
        <f>IF(S706="","",IFERROR(AVERAGEIFS(nNOTA,nNIA,S706,nEVAL,CONFIG_METADATA!$B$4,nASIG,"Conjunto"),""))</f>
        <v/>
      </c>
      <c r="W706" t="str" cm="1">
        <f t="array" ref="W706">IF(S706="","",IFERROR(AVERAGE(IF((nNIA=S706)*(nEVAL=CONFIG_METADATA!$B$4)*(nASIG&lt;&gt;"Lenguaje Musical")*(nASIG&lt;&gt;"Coro")*(nASIG&lt;&gt;"Conjunto"),nNOTA)),""))</f>
        <v/>
      </c>
    </row>
    <row r="707" spans="2:23" x14ac:dyDescent="0.2">
      <c r="B707" t="str">
        <f>IF(A707="","",IFERROR(AVERAGEIFS(nNOTA,nNIA,A707,nEVAL,CONFIG_METADATA!$B$4,nASIG,"Lenguaje Musical"),""))</f>
        <v/>
      </c>
      <c r="C707" t="str">
        <f>IF(A707="","",IFERROR(AVERAGEIFS(nNOTA,nNIA,A707,nEVAL,CONFIG_METADATA!$B$4,nASIG,"Coro"),""))</f>
        <v/>
      </c>
      <c r="D707" t="str">
        <f>IF(A707="","",IFERROR(AVERAGEIFS(nNOTA,nNIA,A707,nEVAL,CONFIG_METADATA!$B$4,nASIG,"Conjunto"),""))</f>
        <v/>
      </c>
      <c r="E707" t="str">
        <f>IF(A707="","",IFERROR(AVERAGEIFS(nNOTA,nNIA,A707,nEVAL,CONFIG_METADATA!$B$4,nASIG,"&lt;&gt;Lenguaje Musical",nASIG,"&lt;&gt;Coro",nASIG,"&lt;&gt;Conjunto"),""))</f>
        <v/>
      </c>
      <c r="H707" t="str">
        <f>IF(G707="","",IFERROR(AVERAGEIFS(nNOTA,nNIA,G707,nEVAL,CONFIG_METADATA!$B$4,nASIG,"Lenguaje Musical"),""))</f>
        <v/>
      </c>
      <c r="I707" t="str">
        <f>IF(G707="","",IFERROR(AVERAGEIFS(nNOTA,nNIA,G707,nEVAL,CONFIG_METADATA!$B$4,nASIG,"Coro"),""))</f>
        <v/>
      </c>
      <c r="J707" t="str">
        <f>IF(G707="","",IFERROR(AVERAGEIFS(nNOTA,nNIA,G707,nEVAL,CONFIG_METADATA!$B$4,nASIG,"Conjunto"),""))</f>
        <v/>
      </c>
      <c r="K707" t="str" cm="1">
        <f t="array" ref="K707">IF(G707="","",IFERROR(AVERAGE(IF((nNIA=G707)*(nEVAL=CONFIG_METADATA!$B$4)*(nASIG&lt;&gt;"Lenguaje Musical")*(nASIG&lt;&gt;"Coro")*(nASIG&lt;&gt;"Conjunto"),nNOTA)),""))</f>
        <v/>
      </c>
      <c r="N707" t="str">
        <f>IF(M707="","",IFERROR(AVERAGEIFS(nNOTA,nNIA,M707,nEVAL,CONFIG_METADATA!$B$4,nASIG,"Lenguaje Musical"),""))</f>
        <v/>
      </c>
      <c r="O707" t="str">
        <f>IF(M707="","",IFERROR(AVERAGEIFS(nNOTA,nNIA,M707,nEVAL,CONFIG_METADATA!$B$4,nASIG,"Coro"),""))</f>
        <v/>
      </c>
      <c r="P707" t="str">
        <f>IF(M707="","",IFERROR(AVERAGEIFS(nNOTA,nNIA,M707,nEVAL,CONFIG_METADATA!$B$4,nASIG,"Conjunto"),""))</f>
        <v/>
      </c>
      <c r="Q707" t="str">
        <f>IF(M707="","",IFERROR(AVERAGEIFS(nNOTA,nNIA,M707,nEVAL,CONFIG_METADATA!$B$4,nASIG,"&lt;&gt;Lenguaje Musical",nASIG,"&lt;&gt;Coro",nASIG,"&lt;&gt;Conjunto"),""))</f>
        <v/>
      </c>
      <c r="T707" t="str">
        <f>IF(S707="","",IFERROR(AVERAGEIFS(nNOTA,nNIA,S707,nEVAL,CONFIG_METADATA!$B$4,nASIG,"Lenguaje Musical"),""))</f>
        <v/>
      </c>
      <c r="U707" t="str">
        <f>IF(S707="","",IFERROR(AVERAGEIFS(nNOTA,nNIA,S707,nEVAL,CONFIG_METADATA!$B$4,nASIG,"Coro"),""))</f>
        <v/>
      </c>
      <c r="V707" t="str">
        <f>IF(S707="","",IFERROR(AVERAGEIFS(nNOTA,nNIA,S707,nEVAL,CONFIG_METADATA!$B$4,nASIG,"Conjunto"),""))</f>
        <v/>
      </c>
      <c r="W707" t="str" cm="1">
        <f t="array" ref="W707">IF(S707="","",IFERROR(AVERAGE(IF((nNIA=S707)*(nEVAL=CONFIG_METADATA!$B$4)*(nASIG&lt;&gt;"Lenguaje Musical")*(nASIG&lt;&gt;"Coro")*(nASIG&lt;&gt;"Conjunto"),nNOTA)),""))</f>
        <v/>
      </c>
    </row>
    <row r="708" spans="2:23" x14ac:dyDescent="0.2">
      <c r="B708" t="str">
        <f>IF(A708="","",IFERROR(AVERAGEIFS(nNOTA,nNIA,A708,nEVAL,CONFIG_METADATA!$B$4,nASIG,"Lenguaje Musical"),""))</f>
        <v/>
      </c>
      <c r="C708" t="str">
        <f>IF(A708="","",IFERROR(AVERAGEIFS(nNOTA,nNIA,A708,nEVAL,CONFIG_METADATA!$B$4,nASIG,"Coro"),""))</f>
        <v/>
      </c>
      <c r="D708" t="str">
        <f>IF(A708="","",IFERROR(AVERAGEIFS(nNOTA,nNIA,A708,nEVAL,CONFIG_METADATA!$B$4,nASIG,"Conjunto"),""))</f>
        <v/>
      </c>
      <c r="E708" t="str">
        <f>IF(A708="","",IFERROR(AVERAGEIFS(nNOTA,nNIA,A708,nEVAL,CONFIG_METADATA!$B$4,nASIG,"&lt;&gt;Lenguaje Musical",nASIG,"&lt;&gt;Coro",nASIG,"&lt;&gt;Conjunto"),""))</f>
        <v/>
      </c>
      <c r="H708" t="str">
        <f>IF(G708="","",IFERROR(AVERAGEIFS(nNOTA,nNIA,G708,nEVAL,CONFIG_METADATA!$B$4,nASIG,"Lenguaje Musical"),""))</f>
        <v/>
      </c>
      <c r="I708" t="str">
        <f>IF(G708="","",IFERROR(AVERAGEIFS(nNOTA,nNIA,G708,nEVAL,CONFIG_METADATA!$B$4,nASIG,"Coro"),""))</f>
        <v/>
      </c>
      <c r="J708" t="str">
        <f>IF(G708="","",IFERROR(AVERAGEIFS(nNOTA,nNIA,G708,nEVAL,CONFIG_METADATA!$B$4,nASIG,"Conjunto"),""))</f>
        <v/>
      </c>
      <c r="K708" t="str" cm="1">
        <f t="array" ref="K708">IF(G708="","",IFERROR(AVERAGE(IF((nNIA=G708)*(nEVAL=CONFIG_METADATA!$B$4)*(nASIG&lt;&gt;"Lenguaje Musical")*(nASIG&lt;&gt;"Coro")*(nASIG&lt;&gt;"Conjunto"),nNOTA)),""))</f>
        <v/>
      </c>
      <c r="N708" t="str">
        <f>IF(M708="","",IFERROR(AVERAGEIFS(nNOTA,nNIA,M708,nEVAL,CONFIG_METADATA!$B$4,nASIG,"Lenguaje Musical"),""))</f>
        <v/>
      </c>
      <c r="O708" t="str">
        <f>IF(M708="","",IFERROR(AVERAGEIFS(nNOTA,nNIA,M708,nEVAL,CONFIG_METADATA!$B$4,nASIG,"Coro"),""))</f>
        <v/>
      </c>
      <c r="P708" t="str">
        <f>IF(M708="","",IFERROR(AVERAGEIFS(nNOTA,nNIA,M708,nEVAL,CONFIG_METADATA!$B$4,nASIG,"Conjunto"),""))</f>
        <v/>
      </c>
      <c r="Q708" t="str">
        <f>IF(M708="","",IFERROR(AVERAGEIFS(nNOTA,nNIA,M708,nEVAL,CONFIG_METADATA!$B$4,nASIG,"&lt;&gt;Lenguaje Musical",nASIG,"&lt;&gt;Coro",nASIG,"&lt;&gt;Conjunto"),""))</f>
        <v/>
      </c>
      <c r="T708" t="str">
        <f>IF(S708="","",IFERROR(AVERAGEIFS(nNOTA,nNIA,S708,nEVAL,CONFIG_METADATA!$B$4,nASIG,"Lenguaje Musical"),""))</f>
        <v/>
      </c>
      <c r="U708" t="str">
        <f>IF(S708="","",IFERROR(AVERAGEIFS(nNOTA,nNIA,S708,nEVAL,CONFIG_METADATA!$B$4,nASIG,"Coro"),""))</f>
        <v/>
      </c>
      <c r="V708" t="str">
        <f>IF(S708="","",IFERROR(AVERAGEIFS(nNOTA,nNIA,S708,nEVAL,CONFIG_METADATA!$B$4,nASIG,"Conjunto"),""))</f>
        <v/>
      </c>
      <c r="W708" t="str" cm="1">
        <f t="array" ref="W708">IF(S708="","",IFERROR(AVERAGE(IF((nNIA=S708)*(nEVAL=CONFIG_METADATA!$B$4)*(nASIG&lt;&gt;"Lenguaje Musical")*(nASIG&lt;&gt;"Coro")*(nASIG&lt;&gt;"Conjunto"),nNOTA)),""))</f>
        <v/>
      </c>
    </row>
    <row r="709" spans="2:23" x14ac:dyDescent="0.2">
      <c r="B709" t="str">
        <f>IF(A709="","",IFERROR(AVERAGEIFS(nNOTA,nNIA,A709,nEVAL,CONFIG_METADATA!$B$4,nASIG,"Lenguaje Musical"),""))</f>
        <v/>
      </c>
      <c r="C709" t="str">
        <f>IF(A709="","",IFERROR(AVERAGEIFS(nNOTA,nNIA,A709,nEVAL,CONFIG_METADATA!$B$4,nASIG,"Coro"),""))</f>
        <v/>
      </c>
      <c r="D709" t="str">
        <f>IF(A709="","",IFERROR(AVERAGEIFS(nNOTA,nNIA,A709,nEVAL,CONFIG_METADATA!$B$4,nASIG,"Conjunto"),""))</f>
        <v/>
      </c>
      <c r="E709" t="str">
        <f>IF(A709="","",IFERROR(AVERAGEIFS(nNOTA,nNIA,A709,nEVAL,CONFIG_METADATA!$B$4,nASIG,"&lt;&gt;Lenguaje Musical",nASIG,"&lt;&gt;Coro",nASIG,"&lt;&gt;Conjunto"),""))</f>
        <v/>
      </c>
      <c r="H709" t="str">
        <f>IF(G709="","",IFERROR(AVERAGEIFS(nNOTA,nNIA,G709,nEVAL,CONFIG_METADATA!$B$4,nASIG,"Lenguaje Musical"),""))</f>
        <v/>
      </c>
      <c r="I709" t="str">
        <f>IF(G709="","",IFERROR(AVERAGEIFS(nNOTA,nNIA,G709,nEVAL,CONFIG_METADATA!$B$4,nASIG,"Coro"),""))</f>
        <v/>
      </c>
      <c r="J709" t="str">
        <f>IF(G709="","",IFERROR(AVERAGEIFS(nNOTA,nNIA,G709,nEVAL,CONFIG_METADATA!$B$4,nASIG,"Conjunto"),""))</f>
        <v/>
      </c>
      <c r="K709" t="str" cm="1">
        <f t="array" ref="K709">IF(G709="","",IFERROR(AVERAGE(IF((nNIA=G709)*(nEVAL=CONFIG_METADATA!$B$4)*(nASIG&lt;&gt;"Lenguaje Musical")*(nASIG&lt;&gt;"Coro")*(nASIG&lt;&gt;"Conjunto"),nNOTA)),""))</f>
        <v/>
      </c>
      <c r="N709" t="str">
        <f>IF(M709="","",IFERROR(AVERAGEIFS(nNOTA,nNIA,M709,nEVAL,CONFIG_METADATA!$B$4,nASIG,"Lenguaje Musical"),""))</f>
        <v/>
      </c>
      <c r="O709" t="str">
        <f>IF(M709="","",IFERROR(AVERAGEIFS(nNOTA,nNIA,M709,nEVAL,CONFIG_METADATA!$B$4,nASIG,"Coro"),""))</f>
        <v/>
      </c>
      <c r="P709" t="str">
        <f>IF(M709="","",IFERROR(AVERAGEIFS(nNOTA,nNIA,M709,nEVAL,CONFIG_METADATA!$B$4,nASIG,"Conjunto"),""))</f>
        <v/>
      </c>
      <c r="Q709" t="str">
        <f>IF(M709="","",IFERROR(AVERAGEIFS(nNOTA,nNIA,M709,nEVAL,CONFIG_METADATA!$B$4,nASIG,"&lt;&gt;Lenguaje Musical",nASIG,"&lt;&gt;Coro",nASIG,"&lt;&gt;Conjunto"),""))</f>
        <v/>
      </c>
      <c r="T709" t="str">
        <f>IF(S709="","",IFERROR(AVERAGEIFS(nNOTA,nNIA,S709,nEVAL,CONFIG_METADATA!$B$4,nASIG,"Lenguaje Musical"),""))</f>
        <v/>
      </c>
      <c r="U709" t="str">
        <f>IF(S709="","",IFERROR(AVERAGEIFS(nNOTA,nNIA,S709,nEVAL,CONFIG_METADATA!$B$4,nASIG,"Coro"),""))</f>
        <v/>
      </c>
      <c r="V709" t="str">
        <f>IF(S709="","",IFERROR(AVERAGEIFS(nNOTA,nNIA,S709,nEVAL,CONFIG_METADATA!$B$4,nASIG,"Conjunto"),""))</f>
        <v/>
      </c>
      <c r="W709" t="str" cm="1">
        <f t="array" ref="W709">IF(S709="","",IFERROR(AVERAGE(IF((nNIA=S709)*(nEVAL=CONFIG_METADATA!$B$4)*(nASIG&lt;&gt;"Lenguaje Musical")*(nASIG&lt;&gt;"Coro")*(nASIG&lt;&gt;"Conjunto"),nNOTA)),""))</f>
        <v/>
      </c>
    </row>
    <row r="710" spans="2:23" x14ac:dyDescent="0.2">
      <c r="B710" t="str">
        <f>IF(A710="","",IFERROR(AVERAGEIFS(nNOTA,nNIA,A710,nEVAL,CONFIG_METADATA!$B$4,nASIG,"Lenguaje Musical"),""))</f>
        <v/>
      </c>
      <c r="C710" t="str">
        <f>IF(A710="","",IFERROR(AVERAGEIFS(nNOTA,nNIA,A710,nEVAL,CONFIG_METADATA!$B$4,nASIG,"Coro"),""))</f>
        <v/>
      </c>
      <c r="D710" t="str">
        <f>IF(A710="","",IFERROR(AVERAGEIFS(nNOTA,nNIA,A710,nEVAL,CONFIG_METADATA!$B$4,nASIG,"Conjunto"),""))</f>
        <v/>
      </c>
      <c r="E710" t="str">
        <f>IF(A710="","",IFERROR(AVERAGEIFS(nNOTA,nNIA,A710,nEVAL,CONFIG_METADATA!$B$4,nASIG,"&lt;&gt;Lenguaje Musical",nASIG,"&lt;&gt;Coro",nASIG,"&lt;&gt;Conjunto"),""))</f>
        <v/>
      </c>
      <c r="N710" t="str">
        <f>IF(M710="","",IFERROR(AVERAGEIFS(nNOTA,nNIA,M710,nEVAL,CONFIG_METADATA!$B$4,nASIG,"Lenguaje Musical"),""))</f>
        <v/>
      </c>
      <c r="O710" t="str">
        <f>IF(M710="","",IFERROR(AVERAGEIFS(nNOTA,nNIA,M710,nEVAL,CONFIG_METADATA!$B$4,nASIG,"Coro"),""))</f>
        <v/>
      </c>
      <c r="P710" t="str">
        <f>IF(M710="","",IFERROR(AVERAGEIFS(nNOTA,nNIA,M710,nEVAL,CONFIG_METADATA!$B$4,nASIG,"Conjunto"),""))</f>
        <v/>
      </c>
      <c r="Q710" t="str">
        <f>IF(M710="","",IFERROR(AVERAGEIFS(nNOTA,nNIA,M710,nEVAL,CONFIG_METADATA!$B$4,nASIG,"&lt;&gt;Lenguaje Musical",nASIG,"&lt;&gt;Coro",nASIG,"&lt;&gt;Conjunto"),""))</f>
        <v/>
      </c>
      <c r="T710" t="str">
        <f>IF(S710="","",IFERROR(AVERAGEIFS(nNOTA,nNIA,S710,nEVAL,CONFIG_METADATA!$B$4,nASIG,"Lenguaje Musical"),""))</f>
        <v/>
      </c>
      <c r="U710" t="str">
        <f>IF(S710="","",IFERROR(AVERAGEIFS(nNOTA,nNIA,S710,nEVAL,CONFIG_METADATA!$B$4,nASIG,"Coro"),""))</f>
        <v/>
      </c>
      <c r="V710" t="str">
        <f>IF(S710="","",IFERROR(AVERAGEIFS(nNOTA,nNIA,S710,nEVAL,CONFIG_METADATA!$B$4,nASIG,"Conjunto"),""))</f>
        <v/>
      </c>
      <c r="W710" t="str" cm="1">
        <f t="array" ref="W710">IF(S710="","",IFERROR(AVERAGE(IF((nNIA=S710)*(nEVAL=CONFIG_METADATA!$B$4)*(nASIG&lt;&gt;"Lenguaje Musical")*(nASIG&lt;&gt;"Coro")*(nASIG&lt;&gt;"Conjunto"),nNOTA)),""))</f>
        <v/>
      </c>
    </row>
    <row r="711" spans="2:23" x14ac:dyDescent="0.2">
      <c r="B711" t="str">
        <f>IF(A711="","",IFERROR(AVERAGEIFS(nNOTA,nNIA,A711,nEVAL,CONFIG_METADATA!$B$4,nASIG,"Lenguaje Musical"),""))</f>
        <v/>
      </c>
      <c r="C711" t="str">
        <f>IF(A711="","",IFERROR(AVERAGEIFS(nNOTA,nNIA,A711,nEVAL,CONFIG_METADATA!$B$4,nASIG,"Coro"),""))</f>
        <v/>
      </c>
      <c r="D711" t="str">
        <f>IF(A711="","",IFERROR(AVERAGEIFS(nNOTA,nNIA,A711,nEVAL,CONFIG_METADATA!$B$4,nASIG,"Conjunto"),""))</f>
        <v/>
      </c>
      <c r="E711" t="str">
        <f>IF(A711="","",IFERROR(AVERAGEIFS(nNOTA,nNIA,A711,nEVAL,CONFIG_METADATA!$B$4,nASIG,"&lt;&gt;Lenguaje Musical",nASIG,"&lt;&gt;Coro",nASIG,"&lt;&gt;Conjunto"),""))</f>
        <v/>
      </c>
      <c r="N711" t="str">
        <f>IF(M711="","",IFERROR(AVERAGEIFS(nNOTA,nNIA,M711,nEVAL,CONFIG_METADATA!$B$4,nASIG,"Lenguaje Musical"),""))</f>
        <v/>
      </c>
      <c r="O711" t="str">
        <f>IF(M711="","",IFERROR(AVERAGEIFS(nNOTA,nNIA,M711,nEVAL,CONFIG_METADATA!$B$4,nASIG,"Coro"),""))</f>
        <v/>
      </c>
      <c r="P711" t="str">
        <f>IF(M711="","",IFERROR(AVERAGEIFS(nNOTA,nNIA,M711,nEVAL,CONFIG_METADATA!$B$4,nASIG,"Conjunto"),""))</f>
        <v/>
      </c>
      <c r="Q711" t="str">
        <f>IF(M711="","",IFERROR(AVERAGEIFS(nNOTA,nNIA,M711,nEVAL,CONFIG_METADATA!$B$4,nASIG,"&lt;&gt;Lenguaje Musical",nASIG,"&lt;&gt;Coro",nASIG,"&lt;&gt;Conjunto"),""))</f>
        <v/>
      </c>
      <c r="T711" t="str">
        <f>IF(S711="","",IFERROR(AVERAGEIFS(nNOTA,nNIA,S711,nEVAL,CONFIG_METADATA!$B$4,nASIG,"Lenguaje Musical"),""))</f>
        <v/>
      </c>
      <c r="U711" t="str">
        <f>IF(S711="","",IFERROR(AVERAGEIFS(nNOTA,nNIA,S711,nEVAL,CONFIG_METADATA!$B$4,nASIG,"Coro"),""))</f>
        <v/>
      </c>
      <c r="V711" t="str">
        <f>IF(S711="","",IFERROR(AVERAGEIFS(nNOTA,nNIA,S711,nEVAL,CONFIG_METADATA!$B$4,nASIG,"Conjunto"),""))</f>
        <v/>
      </c>
      <c r="W711" t="str" cm="1">
        <f t="array" ref="W711">IF(S711="","",IFERROR(AVERAGE(IF((nNIA=S711)*(nEVAL=CONFIG_METADATA!$B$4)*(nASIG&lt;&gt;"Lenguaje Musical")*(nASIG&lt;&gt;"Coro")*(nASIG&lt;&gt;"Conjunto"),nNOTA)),""))</f>
        <v/>
      </c>
    </row>
    <row r="712" spans="2:23" x14ac:dyDescent="0.2">
      <c r="B712" t="str">
        <f>IF(A712="","",IFERROR(AVERAGEIFS(nNOTA,nNIA,A712,nEVAL,CONFIG_METADATA!$B$4,nASIG,"Lenguaje Musical"),""))</f>
        <v/>
      </c>
      <c r="C712" t="str">
        <f>IF(A712="","",IFERROR(AVERAGEIFS(nNOTA,nNIA,A712,nEVAL,CONFIG_METADATA!$B$4,nASIG,"Coro"),""))</f>
        <v/>
      </c>
      <c r="D712" t="str">
        <f>IF(A712="","",IFERROR(AVERAGEIFS(nNOTA,nNIA,A712,nEVAL,CONFIG_METADATA!$B$4,nASIG,"Conjunto"),""))</f>
        <v/>
      </c>
      <c r="E712" t="str">
        <f>IF(A712="","",IFERROR(AVERAGEIFS(nNOTA,nNIA,A712,nEVAL,CONFIG_METADATA!$B$4,nASIG,"&lt;&gt;Lenguaje Musical",nASIG,"&lt;&gt;Coro",nASIG,"&lt;&gt;Conjunto"),""))</f>
        <v/>
      </c>
      <c r="N712" t="str">
        <f>IF(M712="","",IFERROR(AVERAGEIFS(nNOTA,nNIA,M712,nEVAL,CONFIG_METADATA!$B$4,nASIG,"Lenguaje Musical"),""))</f>
        <v/>
      </c>
      <c r="O712" t="str">
        <f>IF(M712="","",IFERROR(AVERAGEIFS(nNOTA,nNIA,M712,nEVAL,CONFIG_METADATA!$B$4,nASIG,"Coro"),""))</f>
        <v/>
      </c>
      <c r="P712" t="str">
        <f>IF(M712="","",IFERROR(AVERAGEIFS(nNOTA,nNIA,M712,nEVAL,CONFIG_METADATA!$B$4,nASIG,"Conjunto"),""))</f>
        <v/>
      </c>
      <c r="Q712" t="str">
        <f>IF(M712="","",IFERROR(AVERAGEIFS(nNOTA,nNIA,M712,nEVAL,CONFIG_METADATA!$B$4,nASIG,"&lt;&gt;Lenguaje Musical",nASIG,"&lt;&gt;Coro",nASIG,"&lt;&gt;Conjunto"),""))</f>
        <v/>
      </c>
      <c r="T712" t="str">
        <f>IF(S712="","",IFERROR(AVERAGEIFS(nNOTA,nNIA,S712,nEVAL,CONFIG_METADATA!$B$4,nASIG,"Lenguaje Musical"),""))</f>
        <v/>
      </c>
      <c r="U712" t="str">
        <f>IF(S712="","",IFERROR(AVERAGEIFS(nNOTA,nNIA,S712,nEVAL,CONFIG_METADATA!$B$4,nASIG,"Coro"),""))</f>
        <v/>
      </c>
      <c r="V712" t="str">
        <f>IF(S712="","",IFERROR(AVERAGEIFS(nNOTA,nNIA,S712,nEVAL,CONFIG_METADATA!$B$4,nASIG,"Conjunto"),""))</f>
        <v/>
      </c>
      <c r="W712" t="str" cm="1">
        <f t="array" ref="W712">IF(S712="","",IFERROR(AVERAGE(IF((nNIA=S712)*(nEVAL=CONFIG_METADATA!$B$4)*(nASIG&lt;&gt;"Lenguaje Musical")*(nASIG&lt;&gt;"Coro")*(nASIG&lt;&gt;"Conjunto"),nNOTA)),""))</f>
        <v/>
      </c>
    </row>
    <row r="713" spans="2:23" x14ac:dyDescent="0.2">
      <c r="B713" t="str">
        <f>IF(A713="","",IFERROR(AVERAGEIFS(nNOTA,nNIA,A713,nEVAL,CONFIG_METADATA!$B$4,nASIG,"Lenguaje Musical"),""))</f>
        <v/>
      </c>
      <c r="C713" t="str">
        <f>IF(A713="","",IFERROR(AVERAGEIFS(nNOTA,nNIA,A713,nEVAL,CONFIG_METADATA!$B$4,nASIG,"Coro"),""))</f>
        <v/>
      </c>
      <c r="D713" t="str">
        <f>IF(A713="","",IFERROR(AVERAGEIFS(nNOTA,nNIA,A713,nEVAL,CONFIG_METADATA!$B$4,nASIG,"Conjunto"),""))</f>
        <v/>
      </c>
      <c r="E713" t="str">
        <f>IF(A713="","",IFERROR(AVERAGEIFS(nNOTA,nNIA,A713,nEVAL,CONFIG_METADATA!$B$4,nASIG,"&lt;&gt;Lenguaje Musical",nASIG,"&lt;&gt;Coro",nASIG,"&lt;&gt;Conjunto"),""))</f>
        <v/>
      </c>
      <c r="N713" t="str">
        <f>IF(M713="","",IFERROR(AVERAGEIFS(nNOTA,nNIA,M713,nEVAL,CONFIG_METADATA!$B$4,nASIG,"Lenguaje Musical"),""))</f>
        <v/>
      </c>
      <c r="O713" t="str">
        <f>IF(M713="","",IFERROR(AVERAGEIFS(nNOTA,nNIA,M713,nEVAL,CONFIG_METADATA!$B$4,nASIG,"Coro"),""))</f>
        <v/>
      </c>
      <c r="P713" t="str">
        <f>IF(M713="","",IFERROR(AVERAGEIFS(nNOTA,nNIA,M713,nEVAL,CONFIG_METADATA!$B$4,nASIG,"Conjunto"),""))</f>
        <v/>
      </c>
      <c r="Q713" t="str">
        <f>IF(M713="","",IFERROR(AVERAGEIFS(nNOTA,nNIA,M713,nEVAL,CONFIG_METADATA!$B$4,nASIG,"&lt;&gt;Lenguaje Musical",nASIG,"&lt;&gt;Coro",nASIG,"&lt;&gt;Conjunto"),""))</f>
        <v/>
      </c>
      <c r="T713" t="str">
        <f>IF(S713="","",IFERROR(AVERAGEIFS(nNOTA,nNIA,S713,nEVAL,CONFIG_METADATA!$B$4,nASIG,"Lenguaje Musical"),""))</f>
        <v/>
      </c>
      <c r="U713" t="str">
        <f>IF(S713="","",IFERROR(AVERAGEIFS(nNOTA,nNIA,S713,nEVAL,CONFIG_METADATA!$B$4,nASIG,"Coro"),""))</f>
        <v/>
      </c>
      <c r="V713" t="str">
        <f>IF(S713="","",IFERROR(AVERAGEIFS(nNOTA,nNIA,S713,nEVAL,CONFIG_METADATA!$B$4,nASIG,"Conjunto"),""))</f>
        <v/>
      </c>
      <c r="W713" t="str" cm="1">
        <f t="array" ref="W713">IF(S713="","",IFERROR(AVERAGE(IF((nNIA=S713)*(nEVAL=CONFIG_METADATA!$B$4)*(nASIG&lt;&gt;"Lenguaje Musical")*(nASIG&lt;&gt;"Coro")*(nASIG&lt;&gt;"Conjunto"),nNOTA)),""))</f>
        <v/>
      </c>
    </row>
    <row r="714" spans="2:23" x14ac:dyDescent="0.2">
      <c r="B714" t="str">
        <f>IF(A714="","",IFERROR(AVERAGEIFS(nNOTA,nNIA,A714,nEVAL,CONFIG_METADATA!$B$4,nASIG,"Lenguaje Musical"),""))</f>
        <v/>
      </c>
      <c r="C714" t="str">
        <f>IF(A714="","",IFERROR(AVERAGEIFS(nNOTA,nNIA,A714,nEVAL,CONFIG_METADATA!$B$4,nASIG,"Coro"),""))</f>
        <v/>
      </c>
      <c r="D714" t="str">
        <f>IF(A714="","",IFERROR(AVERAGEIFS(nNOTA,nNIA,A714,nEVAL,CONFIG_METADATA!$B$4,nASIG,"Conjunto"),""))</f>
        <v/>
      </c>
      <c r="E714" t="str">
        <f>IF(A714="","",IFERROR(AVERAGEIFS(nNOTA,nNIA,A714,nEVAL,CONFIG_METADATA!$B$4,nASIG,"&lt;&gt;Lenguaje Musical",nASIG,"&lt;&gt;Coro",nASIG,"&lt;&gt;Conjunto"),""))</f>
        <v/>
      </c>
      <c r="N714" t="str">
        <f>IF(M714="","",IFERROR(AVERAGEIFS(nNOTA,nNIA,M714,nEVAL,CONFIG_METADATA!$B$4,nASIG,"Lenguaje Musical"),""))</f>
        <v/>
      </c>
      <c r="O714" t="str">
        <f>IF(M714="","",IFERROR(AVERAGEIFS(nNOTA,nNIA,M714,nEVAL,CONFIG_METADATA!$B$4,nASIG,"Coro"),""))</f>
        <v/>
      </c>
      <c r="P714" t="str">
        <f>IF(M714="","",IFERROR(AVERAGEIFS(nNOTA,nNIA,M714,nEVAL,CONFIG_METADATA!$B$4,nASIG,"Conjunto"),""))</f>
        <v/>
      </c>
      <c r="Q714" t="str">
        <f>IF(M714="","",IFERROR(AVERAGEIFS(nNOTA,nNIA,M714,nEVAL,CONFIG_METADATA!$B$4,nASIG,"&lt;&gt;Lenguaje Musical",nASIG,"&lt;&gt;Coro",nASIG,"&lt;&gt;Conjunto"),""))</f>
        <v/>
      </c>
      <c r="T714" t="str">
        <f>IF(S714="","",IFERROR(AVERAGEIFS(nNOTA,nNIA,S714,nEVAL,CONFIG_METADATA!$B$4,nASIG,"Lenguaje Musical"),""))</f>
        <v/>
      </c>
      <c r="U714" t="str">
        <f>IF(S714="","",IFERROR(AVERAGEIFS(nNOTA,nNIA,S714,nEVAL,CONFIG_METADATA!$B$4,nASIG,"Coro"),""))</f>
        <v/>
      </c>
      <c r="V714" t="str">
        <f>IF(S714="","",IFERROR(AVERAGEIFS(nNOTA,nNIA,S714,nEVAL,CONFIG_METADATA!$B$4,nASIG,"Conjunto"),""))</f>
        <v/>
      </c>
      <c r="W714" t="str" cm="1">
        <f t="array" ref="W714">IF(S714="","",IFERROR(AVERAGE(IF((nNIA=S714)*(nEVAL=CONFIG_METADATA!$B$4)*(nASIG&lt;&gt;"Lenguaje Musical")*(nASIG&lt;&gt;"Coro")*(nASIG&lt;&gt;"Conjunto"),nNOTA)),""))</f>
        <v/>
      </c>
    </row>
    <row r="715" spans="2:23" x14ac:dyDescent="0.2">
      <c r="B715" t="str">
        <f>IF(A715="","",IFERROR(AVERAGEIFS(nNOTA,nNIA,A715,nEVAL,CONFIG_METADATA!$B$4,nASIG,"Lenguaje Musical"),""))</f>
        <v/>
      </c>
      <c r="C715" t="str">
        <f>IF(A715="","",IFERROR(AVERAGEIFS(nNOTA,nNIA,A715,nEVAL,CONFIG_METADATA!$B$4,nASIG,"Coro"),""))</f>
        <v/>
      </c>
      <c r="D715" t="str">
        <f>IF(A715="","",IFERROR(AVERAGEIFS(nNOTA,nNIA,A715,nEVAL,CONFIG_METADATA!$B$4,nASIG,"Conjunto"),""))</f>
        <v/>
      </c>
      <c r="E715" t="str">
        <f>IF(A715="","",IFERROR(AVERAGEIFS(nNOTA,nNIA,A715,nEVAL,CONFIG_METADATA!$B$4,nASIG,"&lt;&gt;Lenguaje Musical",nASIG,"&lt;&gt;Coro",nASIG,"&lt;&gt;Conjunto"),""))</f>
        <v/>
      </c>
      <c r="N715" t="str">
        <f>IF(M715="","",IFERROR(AVERAGEIFS(nNOTA,nNIA,M715,nEVAL,CONFIG_METADATA!$B$4,nASIG,"Lenguaje Musical"),""))</f>
        <v/>
      </c>
      <c r="O715" t="str">
        <f>IF(M715="","",IFERROR(AVERAGEIFS(nNOTA,nNIA,M715,nEVAL,CONFIG_METADATA!$B$4,nASIG,"Coro"),""))</f>
        <v/>
      </c>
      <c r="P715" t="str">
        <f>IF(M715="","",IFERROR(AVERAGEIFS(nNOTA,nNIA,M715,nEVAL,CONFIG_METADATA!$B$4,nASIG,"Conjunto"),""))</f>
        <v/>
      </c>
      <c r="Q715" t="str">
        <f>IF(M715="","",IFERROR(AVERAGEIFS(nNOTA,nNIA,M715,nEVAL,CONFIG_METADATA!$B$4,nASIG,"&lt;&gt;Lenguaje Musical",nASIG,"&lt;&gt;Coro",nASIG,"&lt;&gt;Conjunto"),""))</f>
        <v/>
      </c>
      <c r="T715" t="str">
        <f>IF(S715="","",IFERROR(AVERAGEIFS(nNOTA,nNIA,S715,nEVAL,CONFIG_METADATA!$B$4,nASIG,"Lenguaje Musical"),""))</f>
        <v/>
      </c>
      <c r="U715" t="str">
        <f>IF(S715="","",IFERROR(AVERAGEIFS(nNOTA,nNIA,S715,nEVAL,CONFIG_METADATA!$B$4,nASIG,"Coro"),""))</f>
        <v/>
      </c>
      <c r="V715" t="str">
        <f>IF(S715="","",IFERROR(AVERAGEIFS(nNOTA,nNIA,S715,nEVAL,CONFIG_METADATA!$B$4,nASIG,"Conjunto"),""))</f>
        <v/>
      </c>
      <c r="W715" t="str" cm="1">
        <f t="array" ref="W715">IF(S715="","",IFERROR(AVERAGE(IF((nNIA=S715)*(nEVAL=CONFIG_METADATA!$B$4)*(nASIG&lt;&gt;"Lenguaje Musical")*(nASIG&lt;&gt;"Coro")*(nASIG&lt;&gt;"Conjunto"),nNOTA)),""))</f>
        <v/>
      </c>
    </row>
    <row r="716" spans="2:23" x14ac:dyDescent="0.2">
      <c r="B716" t="str">
        <f>IF(A716="","",IFERROR(AVERAGEIFS(nNOTA,nNIA,A716,nEVAL,CONFIG_METADATA!$B$4,nASIG,"Lenguaje Musical"),""))</f>
        <v/>
      </c>
      <c r="C716" t="str">
        <f>IF(A716="","",IFERROR(AVERAGEIFS(nNOTA,nNIA,A716,nEVAL,CONFIG_METADATA!$B$4,nASIG,"Coro"),""))</f>
        <v/>
      </c>
      <c r="D716" t="str">
        <f>IF(A716="","",IFERROR(AVERAGEIFS(nNOTA,nNIA,A716,nEVAL,CONFIG_METADATA!$B$4,nASIG,"Conjunto"),""))</f>
        <v/>
      </c>
      <c r="E716" t="str">
        <f>IF(A716="","",IFERROR(AVERAGEIFS(nNOTA,nNIA,A716,nEVAL,CONFIG_METADATA!$B$4,nASIG,"&lt;&gt;Lenguaje Musical",nASIG,"&lt;&gt;Coro",nASIG,"&lt;&gt;Conjunto"),""))</f>
        <v/>
      </c>
      <c r="N716" t="str">
        <f>IF(M716="","",IFERROR(AVERAGEIFS(nNOTA,nNIA,M716,nEVAL,CONFIG_METADATA!$B$4,nASIG,"Lenguaje Musical"),""))</f>
        <v/>
      </c>
      <c r="O716" t="str">
        <f>IF(M716="","",IFERROR(AVERAGEIFS(nNOTA,nNIA,M716,nEVAL,CONFIG_METADATA!$B$4,nASIG,"Coro"),""))</f>
        <v/>
      </c>
      <c r="P716" t="str">
        <f>IF(M716="","",IFERROR(AVERAGEIFS(nNOTA,nNIA,M716,nEVAL,CONFIG_METADATA!$B$4,nASIG,"Conjunto"),""))</f>
        <v/>
      </c>
      <c r="Q716" t="str">
        <f>IF(M716="","",IFERROR(AVERAGEIFS(nNOTA,nNIA,M716,nEVAL,CONFIG_METADATA!$B$4,nASIG,"&lt;&gt;Lenguaje Musical",nASIG,"&lt;&gt;Coro",nASIG,"&lt;&gt;Conjunto"),""))</f>
        <v/>
      </c>
      <c r="T716" t="str">
        <f>IF(S716="","",IFERROR(AVERAGEIFS(nNOTA,nNIA,S716,nEVAL,CONFIG_METADATA!$B$4,nASIG,"Lenguaje Musical"),""))</f>
        <v/>
      </c>
      <c r="U716" t="str">
        <f>IF(S716="","",IFERROR(AVERAGEIFS(nNOTA,nNIA,S716,nEVAL,CONFIG_METADATA!$B$4,nASIG,"Coro"),""))</f>
        <v/>
      </c>
      <c r="V716" t="str">
        <f>IF(S716="","",IFERROR(AVERAGEIFS(nNOTA,nNIA,S716,nEVAL,CONFIG_METADATA!$B$4,nASIG,"Conjunto"),""))</f>
        <v/>
      </c>
      <c r="W716" t="str" cm="1">
        <f t="array" ref="W716">IF(S716="","",IFERROR(AVERAGE(IF((nNIA=S716)*(nEVAL=CONFIG_METADATA!$B$4)*(nASIG&lt;&gt;"Lenguaje Musical")*(nASIG&lt;&gt;"Coro")*(nASIG&lt;&gt;"Conjunto"),nNOTA)),""))</f>
        <v/>
      </c>
    </row>
    <row r="717" spans="2:23" x14ac:dyDescent="0.2">
      <c r="B717" t="str">
        <f>IF(A717="","",IFERROR(AVERAGEIFS(nNOTA,nNIA,A717,nEVAL,CONFIG_METADATA!$B$4,nASIG,"Lenguaje Musical"),""))</f>
        <v/>
      </c>
      <c r="C717" t="str">
        <f>IF(A717="","",IFERROR(AVERAGEIFS(nNOTA,nNIA,A717,nEVAL,CONFIG_METADATA!$B$4,nASIG,"Coro"),""))</f>
        <v/>
      </c>
      <c r="D717" t="str">
        <f>IF(A717="","",IFERROR(AVERAGEIFS(nNOTA,nNIA,A717,nEVAL,CONFIG_METADATA!$B$4,nASIG,"Conjunto"),""))</f>
        <v/>
      </c>
      <c r="E717" t="str">
        <f>IF(A717="","",IFERROR(AVERAGEIFS(nNOTA,nNIA,A717,nEVAL,CONFIG_METADATA!$B$4,nASIG,"&lt;&gt;Lenguaje Musical",nASIG,"&lt;&gt;Coro",nASIG,"&lt;&gt;Conjunto"),""))</f>
        <v/>
      </c>
      <c r="N717" t="str">
        <f>IF(M717="","",IFERROR(AVERAGEIFS(nNOTA,nNIA,M717,nEVAL,CONFIG_METADATA!$B$4,nASIG,"Lenguaje Musical"),""))</f>
        <v/>
      </c>
      <c r="O717" t="str">
        <f>IF(M717="","",IFERROR(AVERAGEIFS(nNOTA,nNIA,M717,nEVAL,CONFIG_METADATA!$B$4,nASIG,"Coro"),""))</f>
        <v/>
      </c>
      <c r="P717" t="str">
        <f>IF(M717="","",IFERROR(AVERAGEIFS(nNOTA,nNIA,M717,nEVAL,CONFIG_METADATA!$B$4,nASIG,"Conjunto"),""))</f>
        <v/>
      </c>
      <c r="Q717" t="str">
        <f>IF(M717="","",IFERROR(AVERAGEIFS(nNOTA,nNIA,M717,nEVAL,CONFIG_METADATA!$B$4,nASIG,"&lt;&gt;Lenguaje Musical",nASIG,"&lt;&gt;Coro",nASIG,"&lt;&gt;Conjunto"),""))</f>
        <v/>
      </c>
      <c r="T717" t="str">
        <f>IF(S717="","",IFERROR(AVERAGEIFS(nNOTA,nNIA,S717,nEVAL,CONFIG_METADATA!$B$4,nASIG,"Lenguaje Musical"),""))</f>
        <v/>
      </c>
      <c r="U717" t="str">
        <f>IF(S717="","",IFERROR(AVERAGEIFS(nNOTA,nNIA,S717,nEVAL,CONFIG_METADATA!$B$4,nASIG,"Coro"),""))</f>
        <v/>
      </c>
      <c r="V717" t="str">
        <f>IF(S717="","",IFERROR(AVERAGEIFS(nNOTA,nNIA,S717,nEVAL,CONFIG_METADATA!$B$4,nASIG,"Conjunto"),""))</f>
        <v/>
      </c>
      <c r="W717" t="str" cm="1">
        <f t="array" ref="W717">IF(S717="","",IFERROR(AVERAGE(IF((nNIA=S717)*(nEVAL=CONFIG_METADATA!$B$4)*(nASIG&lt;&gt;"Lenguaje Musical")*(nASIG&lt;&gt;"Coro")*(nASIG&lt;&gt;"Conjunto"),nNOTA)),""))</f>
        <v/>
      </c>
    </row>
    <row r="718" spans="2:23" x14ac:dyDescent="0.2">
      <c r="B718" t="str">
        <f>IF(A718="","",IFERROR(AVERAGEIFS(nNOTA,nNIA,A718,nEVAL,CONFIG_METADATA!$B$4,nASIG,"Lenguaje Musical"),""))</f>
        <v/>
      </c>
      <c r="C718" t="str">
        <f>IF(A718="","",IFERROR(AVERAGEIFS(nNOTA,nNIA,A718,nEVAL,CONFIG_METADATA!$B$4,nASIG,"Coro"),""))</f>
        <v/>
      </c>
      <c r="D718" t="str">
        <f>IF(A718="","",IFERROR(AVERAGEIFS(nNOTA,nNIA,A718,nEVAL,CONFIG_METADATA!$B$4,nASIG,"Conjunto"),""))</f>
        <v/>
      </c>
      <c r="E718" t="str">
        <f>IF(A718="","",IFERROR(AVERAGEIFS(nNOTA,nNIA,A718,nEVAL,CONFIG_METADATA!$B$4,nASIG,"&lt;&gt;Lenguaje Musical",nASIG,"&lt;&gt;Coro",nASIG,"&lt;&gt;Conjunto"),""))</f>
        <v/>
      </c>
      <c r="N718" t="str">
        <f>IF(M718="","",IFERROR(AVERAGEIFS(nNOTA,nNIA,M718,nEVAL,CONFIG_METADATA!$B$4,nASIG,"Lenguaje Musical"),""))</f>
        <v/>
      </c>
      <c r="O718" t="str">
        <f>IF(M718="","",IFERROR(AVERAGEIFS(nNOTA,nNIA,M718,nEVAL,CONFIG_METADATA!$B$4,nASIG,"Coro"),""))</f>
        <v/>
      </c>
      <c r="P718" t="str">
        <f>IF(M718="","",IFERROR(AVERAGEIFS(nNOTA,nNIA,M718,nEVAL,CONFIG_METADATA!$B$4,nASIG,"Conjunto"),""))</f>
        <v/>
      </c>
      <c r="Q718" t="str">
        <f>IF(M718="","",IFERROR(AVERAGEIFS(nNOTA,nNIA,M718,nEVAL,CONFIG_METADATA!$B$4,nASIG,"&lt;&gt;Lenguaje Musical",nASIG,"&lt;&gt;Coro",nASIG,"&lt;&gt;Conjunto"),""))</f>
        <v/>
      </c>
      <c r="T718" t="str">
        <f>IF(S718="","",IFERROR(AVERAGEIFS(nNOTA,nNIA,S718,nEVAL,CONFIG_METADATA!$B$4,nASIG,"Lenguaje Musical"),""))</f>
        <v/>
      </c>
      <c r="U718" t="str">
        <f>IF(S718="","",IFERROR(AVERAGEIFS(nNOTA,nNIA,S718,nEVAL,CONFIG_METADATA!$B$4,nASIG,"Coro"),""))</f>
        <v/>
      </c>
      <c r="V718" t="str">
        <f>IF(S718="","",IFERROR(AVERAGEIFS(nNOTA,nNIA,S718,nEVAL,CONFIG_METADATA!$B$4,nASIG,"Conjunto"),""))</f>
        <v/>
      </c>
      <c r="W718" t="str" cm="1">
        <f t="array" ref="W718">IF(S718="","",IFERROR(AVERAGE(IF((nNIA=S718)*(nEVAL=CONFIG_METADATA!$B$4)*(nASIG&lt;&gt;"Lenguaje Musical")*(nASIG&lt;&gt;"Coro")*(nASIG&lt;&gt;"Conjunto"),nNOTA)),""))</f>
        <v/>
      </c>
    </row>
    <row r="719" spans="2:23" x14ac:dyDescent="0.2">
      <c r="B719" t="str">
        <f>IF(A719="","",IFERROR(AVERAGEIFS(nNOTA,nNIA,A719,nEVAL,CONFIG_METADATA!$B$4,nASIG,"Lenguaje Musical"),""))</f>
        <v/>
      </c>
      <c r="C719" t="str">
        <f>IF(A719="","",IFERROR(AVERAGEIFS(nNOTA,nNIA,A719,nEVAL,CONFIG_METADATA!$B$4,nASIG,"Coro"),""))</f>
        <v/>
      </c>
      <c r="D719" t="str">
        <f>IF(A719="","",IFERROR(AVERAGEIFS(nNOTA,nNIA,A719,nEVAL,CONFIG_METADATA!$B$4,nASIG,"Conjunto"),""))</f>
        <v/>
      </c>
      <c r="E719" t="str">
        <f>IF(A719="","",IFERROR(AVERAGEIFS(nNOTA,nNIA,A719,nEVAL,CONFIG_METADATA!$B$4,nASIG,"&lt;&gt;Lenguaje Musical",nASIG,"&lt;&gt;Coro",nASIG,"&lt;&gt;Conjunto"),""))</f>
        <v/>
      </c>
      <c r="N719" t="str">
        <f>IF(M719="","",IFERROR(AVERAGEIFS(nNOTA,nNIA,M719,nEVAL,CONFIG_METADATA!$B$4,nASIG,"Lenguaje Musical"),""))</f>
        <v/>
      </c>
      <c r="O719" t="str">
        <f>IF(M719="","",IFERROR(AVERAGEIFS(nNOTA,nNIA,M719,nEVAL,CONFIG_METADATA!$B$4,nASIG,"Coro"),""))</f>
        <v/>
      </c>
      <c r="P719" t="str">
        <f>IF(M719="","",IFERROR(AVERAGEIFS(nNOTA,nNIA,M719,nEVAL,CONFIG_METADATA!$B$4,nASIG,"Conjunto"),""))</f>
        <v/>
      </c>
      <c r="Q719" t="str">
        <f>IF(M719="","",IFERROR(AVERAGEIFS(nNOTA,nNIA,M719,nEVAL,CONFIG_METADATA!$B$4,nASIG,"&lt;&gt;Lenguaje Musical",nASIG,"&lt;&gt;Coro",nASIG,"&lt;&gt;Conjunto"),""))</f>
        <v/>
      </c>
      <c r="T719" t="str">
        <f>IF(S719="","",IFERROR(AVERAGEIFS(nNOTA,nNIA,S719,nEVAL,CONFIG_METADATA!$B$4,nASIG,"Lenguaje Musical"),""))</f>
        <v/>
      </c>
      <c r="U719" t="str">
        <f>IF(S719="","",IFERROR(AVERAGEIFS(nNOTA,nNIA,S719,nEVAL,CONFIG_METADATA!$B$4,nASIG,"Coro"),""))</f>
        <v/>
      </c>
      <c r="V719" t="str">
        <f>IF(S719="","",IFERROR(AVERAGEIFS(nNOTA,nNIA,S719,nEVAL,CONFIG_METADATA!$B$4,nASIG,"Conjunto"),""))</f>
        <v/>
      </c>
      <c r="W719" t="str" cm="1">
        <f t="array" ref="W719">IF(S719="","",IFERROR(AVERAGE(IF((nNIA=S719)*(nEVAL=CONFIG_METADATA!$B$4)*(nASIG&lt;&gt;"Lenguaje Musical")*(nASIG&lt;&gt;"Coro")*(nASIG&lt;&gt;"Conjunto"),nNOTA)),""))</f>
        <v/>
      </c>
    </row>
    <row r="720" spans="2:23" x14ac:dyDescent="0.2">
      <c r="B720" t="str">
        <f>IF(A720="","",IFERROR(AVERAGEIFS(nNOTA,nNIA,A720,nEVAL,CONFIG_METADATA!$B$4,nASIG,"Lenguaje Musical"),""))</f>
        <v/>
      </c>
      <c r="C720" t="str">
        <f>IF(A720="","",IFERROR(AVERAGEIFS(nNOTA,nNIA,A720,nEVAL,CONFIG_METADATA!$B$4,nASIG,"Coro"),""))</f>
        <v/>
      </c>
      <c r="D720" t="str">
        <f>IF(A720="","",IFERROR(AVERAGEIFS(nNOTA,nNIA,A720,nEVAL,CONFIG_METADATA!$B$4,nASIG,"Conjunto"),""))</f>
        <v/>
      </c>
      <c r="E720" t="str">
        <f>IF(A720="","",IFERROR(AVERAGEIFS(nNOTA,nNIA,A720,nEVAL,CONFIG_METADATA!$B$4,nASIG,"&lt;&gt;Lenguaje Musical",nASIG,"&lt;&gt;Coro",nASIG,"&lt;&gt;Conjunto"),""))</f>
        <v/>
      </c>
      <c r="N720" t="str">
        <f>IF(M720="","",IFERROR(AVERAGEIFS(nNOTA,nNIA,M720,nEVAL,CONFIG_METADATA!$B$4,nASIG,"Lenguaje Musical"),""))</f>
        <v/>
      </c>
      <c r="O720" t="str">
        <f>IF(M720="","",IFERROR(AVERAGEIFS(nNOTA,nNIA,M720,nEVAL,CONFIG_METADATA!$B$4,nASIG,"Coro"),""))</f>
        <v/>
      </c>
      <c r="P720" t="str">
        <f>IF(M720="","",IFERROR(AVERAGEIFS(nNOTA,nNIA,M720,nEVAL,CONFIG_METADATA!$B$4,nASIG,"Conjunto"),""))</f>
        <v/>
      </c>
      <c r="Q720" t="str">
        <f>IF(M720="","",IFERROR(AVERAGEIFS(nNOTA,nNIA,M720,nEVAL,CONFIG_METADATA!$B$4,nASIG,"&lt;&gt;Lenguaje Musical",nASIG,"&lt;&gt;Coro",nASIG,"&lt;&gt;Conjunto"),""))</f>
        <v/>
      </c>
      <c r="T720" t="str">
        <f>IF(S720="","",IFERROR(AVERAGEIFS(nNOTA,nNIA,S720,nEVAL,CONFIG_METADATA!$B$4,nASIG,"Lenguaje Musical"),""))</f>
        <v/>
      </c>
      <c r="U720" t="str">
        <f>IF(S720="","",IFERROR(AVERAGEIFS(nNOTA,nNIA,S720,nEVAL,CONFIG_METADATA!$B$4,nASIG,"Coro"),""))</f>
        <v/>
      </c>
      <c r="V720" t="str">
        <f>IF(S720="","",IFERROR(AVERAGEIFS(nNOTA,nNIA,S720,nEVAL,CONFIG_METADATA!$B$4,nASIG,"Conjunto"),""))</f>
        <v/>
      </c>
      <c r="W720" t="str" cm="1">
        <f t="array" ref="W720">IF(S720="","",IFERROR(AVERAGE(IF((nNIA=S720)*(nEVAL=CONFIG_METADATA!$B$4)*(nASIG&lt;&gt;"Lenguaje Musical")*(nASIG&lt;&gt;"Coro")*(nASIG&lt;&gt;"Conjunto"),nNOTA)),""))</f>
        <v/>
      </c>
    </row>
    <row r="721" spans="2:23" x14ac:dyDescent="0.2">
      <c r="B721" t="str">
        <f>IF(A721="","",IFERROR(AVERAGEIFS(nNOTA,nNIA,A721,nEVAL,CONFIG_METADATA!$B$4,nASIG,"Lenguaje Musical"),""))</f>
        <v/>
      </c>
      <c r="C721" t="str">
        <f>IF(A721="","",IFERROR(AVERAGEIFS(nNOTA,nNIA,A721,nEVAL,CONFIG_METADATA!$B$4,nASIG,"Coro"),""))</f>
        <v/>
      </c>
      <c r="D721" t="str">
        <f>IF(A721="","",IFERROR(AVERAGEIFS(nNOTA,nNIA,A721,nEVAL,CONFIG_METADATA!$B$4,nASIG,"Conjunto"),""))</f>
        <v/>
      </c>
      <c r="E721" t="str">
        <f>IF(A721="","",IFERROR(AVERAGEIFS(nNOTA,nNIA,A721,nEVAL,CONFIG_METADATA!$B$4,nASIG,"&lt;&gt;Lenguaje Musical",nASIG,"&lt;&gt;Coro",nASIG,"&lt;&gt;Conjunto"),""))</f>
        <v/>
      </c>
      <c r="N721" t="str">
        <f>IF(M721="","",IFERROR(AVERAGEIFS(nNOTA,nNIA,M721,nEVAL,CONFIG_METADATA!$B$4,nASIG,"Lenguaje Musical"),""))</f>
        <v/>
      </c>
      <c r="O721" t="str">
        <f>IF(M721="","",IFERROR(AVERAGEIFS(nNOTA,nNIA,M721,nEVAL,CONFIG_METADATA!$B$4,nASIG,"Coro"),""))</f>
        <v/>
      </c>
      <c r="P721" t="str">
        <f>IF(M721="","",IFERROR(AVERAGEIFS(nNOTA,nNIA,M721,nEVAL,CONFIG_METADATA!$B$4,nASIG,"Conjunto"),""))</f>
        <v/>
      </c>
      <c r="Q721" t="str">
        <f>IF(M721="","",IFERROR(AVERAGEIFS(nNOTA,nNIA,M721,nEVAL,CONFIG_METADATA!$B$4,nASIG,"&lt;&gt;Lenguaje Musical",nASIG,"&lt;&gt;Coro",nASIG,"&lt;&gt;Conjunto"),""))</f>
        <v/>
      </c>
      <c r="T721" t="str">
        <f>IF(S721="","",IFERROR(AVERAGEIFS(nNOTA,nNIA,S721,nEVAL,CONFIG_METADATA!$B$4,nASIG,"Lenguaje Musical"),""))</f>
        <v/>
      </c>
      <c r="U721" t="str">
        <f>IF(S721="","",IFERROR(AVERAGEIFS(nNOTA,nNIA,S721,nEVAL,CONFIG_METADATA!$B$4,nASIG,"Coro"),""))</f>
        <v/>
      </c>
      <c r="V721" t="str">
        <f>IF(S721="","",IFERROR(AVERAGEIFS(nNOTA,nNIA,S721,nEVAL,CONFIG_METADATA!$B$4,nASIG,"Conjunto"),""))</f>
        <v/>
      </c>
      <c r="W721" t="str" cm="1">
        <f t="array" ref="W721">IF(S721="","",IFERROR(AVERAGE(IF((nNIA=S721)*(nEVAL=CONFIG_METADATA!$B$4)*(nASIG&lt;&gt;"Lenguaje Musical")*(nASIG&lt;&gt;"Coro")*(nASIG&lt;&gt;"Conjunto"),nNOTA)),""))</f>
        <v/>
      </c>
    </row>
    <row r="722" spans="2:23" x14ac:dyDescent="0.2">
      <c r="B722" t="str">
        <f>IF(A722="","",IFERROR(AVERAGEIFS(nNOTA,nNIA,A722,nEVAL,CONFIG_METADATA!$B$4,nASIG,"Lenguaje Musical"),""))</f>
        <v/>
      </c>
      <c r="C722" t="str">
        <f>IF(A722="","",IFERROR(AVERAGEIFS(nNOTA,nNIA,A722,nEVAL,CONFIG_METADATA!$B$4,nASIG,"Coro"),""))</f>
        <v/>
      </c>
      <c r="D722" t="str">
        <f>IF(A722="","",IFERROR(AVERAGEIFS(nNOTA,nNIA,A722,nEVAL,CONFIG_METADATA!$B$4,nASIG,"Conjunto"),""))</f>
        <v/>
      </c>
      <c r="E722" t="str">
        <f>IF(A722="","",IFERROR(AVERAGEIFS(nNOTA,nNIA,A722,nEVAL,CONFIG_METADATA!$B$4,nASIG,"&lt;&gt;Lenguaje Musical",nASIG,"&lt;&gt;Coro",nASIG,"&lt;&gt;Conjunto"),""))</f>
        <v/>
      </c>
      <c r="N722" t="str">
        <f>IF(M722="","",IFERROR(AVERAGEIFS(nNOTA,nNIA,M722,nEVAL,CONFIG_METADATA!$B$4,nASIG,"Lenguaje Musical"),""))</f>
        <v/>
      </c>
      <c r="O722" t="str">
        <f>IF(M722="","",IFERROR(AVERAGEIFS(nNOTA,nNIA,M722,nEVAL,CONFIG_METADATA!$B$4,nASIG,"Coro"),""))</f>
        <v/>
      </c>
      <c r="P722" t="str">
        <f>IF(M722="","",IFERROR(AVERAGEIFS(nNOTA,nNIA,M722,nEVAL,CONFIG_METADATA!$B$4,nASIG,"Conjunto"),""))</f>
        <v/>
      </c>
      <c r="Q722" t="str">
        <f>IF(M722="","",IFERROR(AVERAGEIFS(nNOTA,nNIA,M722,nEVAL,CONFIG_METADATA!$B$4,nASIG,"&lt;&gt;Lenguaje Musical",nASIG,"&lt;&gt;Coro",nASIG,"&lt;&gt;Conjunto"),""))</f>
        <v/>
      </c>
      <c r="T722" t="str">
        <f>IF(S722="","",IFERROR(AVERAGEIFS(nNOTA,nNIA,S722,nEVAL,CONFIG_METADATA!$B$4,nASIG,"Lenguaje Musical"),""))</f>
        <v/>
      </c>
      <c r="U722" t="str">
        <f>IF(S722="","",IFERROR(AVERAGEIFS(nNOTA,nNIA,S722,nEVAL,CONFIG_METADATA!$B$4,nASIG,"Coro"),""))</f>
        <v/>
      </c>
      <c r="V722" t="str">
        <f>IF(S722="","",IFERROR(AVERAGEIFS(nNOTA,nNIA,S722,nEVAL,CONFIG_METADATA!$B$4,nASIG,"Conjunto"),""))</f>
        <v/>
      </c>
      <c r="W722" t="str" cm="1">
        <f t="array" ref="W722">IF(S722="","",IFERROR(AVERAGE(IF((nNIA=S722)*(nEVAL=CONFIG_METADATA!$B$4)*(nASIG&lt;&gt;"Lenguaje Musical")*(nASIG&lt;&gt;"Coro")*(nASIG&lt;&gt;"Conjunto"),nNOTA)),""))</f>
        <v/>
      </c>
    </row>
    <row r="723" spans="2:23" x14ac:dyDescent="0.2">
      <c r="B723" t="str">
        <f>IF(A723="","",IFERROR(AVERAGEIFS(nNOTA,nNIA,A723,nEVAL,CONFIG_METADATA!$B$4,nASIG,"Lenguaje Musical"),""))</f>
        <v/>
      </c>
      <c r="C723" t="str">
        <f>IF(A723="","",IFERROR(AVERAGEIFS(nNOTA,nNIA,A723,nEVAL,CONFIG_METADATA!$B$4,nASIG,"Coro"),""))</f>
        <v/>
      </c>
      <c r="D723" t="str">
        <f>IF(A723="","",IFERROR(AVERAGEIFS(nNOTA,nNIA,A723,nEVAL,CONFIG_METADATA!$B$4,nASIG,"Conjunto"),""))</f>
        <v/>
      </c>
      <c r="E723" t="str">
        <f>IF(A723="","",IFERROR(AVERAGEIFS(nNOTA,nNIA,A723,nEVAL,CONFIG_METADATA!$B$4,nASIG,"&lt;&gt;Lenguaje Musical",nASIG,"&lt;&gt;Coro",nASIG,"&lt;&gt;Conjunto"),""))</f>
        <v/>
      </c>
      <c r="N723" t="str">
        <f>IF(M723="","",IFERROR(AVERAGEIFS(nNOTA,nNIA,M723,nEVAL,CONFIG_METADATA!$B$4,nASIG,"Lenguaje Musical"),""))</f>
        <v/>
      </c>
      <c r="O723" t="str">
        <f>IF(M723="","",IFERROR(AVERAGEIFS(nNOTA,nNIA,M723,nEVAL,CONFIG_METADATA!$B$4,nASIG,"Coro"),""))</f>
        <v/>
      </c>
      <c r="P723" t="str">
        <f>IF(M723="","",IFERROR(AVERAGEIFS(nNOTA,nNIA,M723,nEVAL,CONFIG_METADATA!$B$4,nASIG,"Conjunto"),""))</f>
        <v/>
      </c>
      <c r="Q723" t="str">
        <f>IF(M723="","",IFERROR(AVERAGEIFS(nNOTA,nNIA,M723,nEVAL,CONFIG_METADATA!$B$4,nASIG,"&lt;&gt;Lenguaje Musical",nASIG,"&lt;&gt;Coro",nASIG,"&lt;&gt;Conjunto"),""))</f>
        <v/>
      </c>
      <c r="T723" t="str">
        <f>IF(S723="","",IFERROR(AVERAGEIFS(nNOTA,nNIA,S723,nEVAL,CONFIG_METADATA!$B$4,nASIG,"Lenguaje Musical"),""))</f>
        <v/>
      </c>
      <c r="U723" t="str">
        <f>IF(S723="","",IFERROR(AVERAGEIFS(nNOTA,nNIA,S723,nEVAL,CONFIG_METADATA!$B$4,nASIG,"Coro"),""))</f>
        <v/>
      </c>
      <c r="V723" t="str">
        <f>IF(S723="","",IFERROR(AVERAGEIFS(nNOTA,nNIA,S723,nEVAL,CONFIG_METADATA!$B$4,nASIG,"Conjunto"),""))</f>
        <v/>
      </c>
      <c r="W723" t="str" cm="1">
        <f t="array" ref="W723">IF(S723="","",IFERROR(AVERAGE(IF((nNIA=S723)*(nEVAL=CONFIG_METADATA!$B$4)*(nASIG&lt;&gt;"Lenguaje Musical")*(nASIG&lt;&gt;"Coro")*(nASIG&lt;&gt;"Conjunto"),nNOTA)),""))</f>
        <v/>
      </c>
    </row>
    <row r="724" spans="2:23" x14ac:dyDescent="0.2">
      <c r="B724" t="str">
        <f>IF(A724="","",IFERROR(AVERAGEIFS(nNOTA,nNIA,A724,nEVAL,CONFIG_METADATA!$B$4,nASIG,"Lenguaje Musical"),""))</f>
        <v/>
      </c>
      <c r="C724" t="str">
        <f>IF(A724="","",IFERROR(AVERAGEIFS(nNOTA,nNIA,A724,nEVAL,CONFIG_METADATA!$B$4,nASIG,"Coro"),""))</f>
        <v/>
      </c>
      <c r="D724" t="str">
        <f>IF(A724="","",IFERROR(AVERAGEIFS(nNOTA,nNIA,A724,nEVAL,CONFIG_METADATA!$B$4,nASIG,"Conjunto"),""))</f>
        <v/>
      </c>
      <c r="E724" t="str">
        <f>IF(A724="","",IFERROR(AVERAGEIFS(nNOTA,nNIA,A724,nEVAL,CONFIG_METADATA!$B$4,nASIG,"&lt;&gt;Lenguaje Musical",nASIG,"&lt;&gt;Coro",nASIG,"&lt;&gt;Conjunto"),""))</f>
        <v/>
      </c>
      <c r="N724" t="str">
        <f>IF(M724="","",IFERROR(AVERAGEIFS(nNOTA,nNIA,M724,nEVAL,CONFIG_METADATA!$B$4,nASIG,"Lenguaje Musical"),""))</f>
        <v/>
      </c>
      <c r="O724" t="str">
        <f>IF(M724="","",IFERROR(AVERAGEIFS(nNOTA,nNIA,M724,nEVAL,CONFIG_METADATA!$B$4,nASIG,"Coro"),""))</f>
        <v/>
      </c>
      <c r="P724" t="str">
        <f>IF(M724="","",IFERROR(AVERAGEIFS(nNOTA,nNIA,M724,nEVAL,CONFIG_METADATA!$B$4,nASIG,"Conjunto"),""))</f>
        <v/>
      </c>
      <c r="Q724" t="str">
        <f>IF(M724="","",IFERROR(AVERAGEIFS(nNOTA,nNIA,M724,nEVAL,CONFIG_METADATA!$B$4,nASIG,"&lt;&gt;Lenguaje Musical",nASIG,"&lt;&gt;Coro",nASIG,"&lt;&gt;Conjunto"),""))</f>
        <v/>
      </c>
      <c r="T724" t="str">
        <f>IF(S724="","",IFERROR(AVERAGEIFS(nNOTA,nNIA,S724,nEVAL,CONFIG_METADATA!$B$4,nASIG,"Lenguaje Musical"),""))</f>
        <v/>
      </c>
      <c r="U724" t="str">
        <f>IF(S724="","",IFERROR(AVERAGEIFS(nNOTA,nNIA,S724,nEVAL,CONFIG_METADATA!$B$4,nASIG,"Coro"),""))</f>
        <v/>
      </c>
      <c r="V724" t="str">
        <f>IF(S724="","",IFERROR(AVERAGEIFS(nNOTA,nNIA,S724,nEVAL,CONFIG_METADATA!$B$4,nASIG,"Conjunto"),""))</f>
        <v/>
      </c>
      <c r="W724" t="str" cm="1">
        <f t="array" ref="W724">IF(S724="","",IFERROR(AVERAGE(IF((nNIA=S724)*(nEVAL=CONFIG_METADATA!$B$4)*(nASIG&lt;&gt;"Lenguaje Musical")*(nASIG&lt;&gt;"Coro")*(nASIG&lt;&gt;"Conjunto"),nNOTA)),""))</f>
        <v/>
      </c>
    </row>
    <row r="725" spans="2:23" x14ac:dyDescent="0.2">
      <c r="B725" t="str">
        <f>IF(A725="","",IFERROR(AVERAGEIFS(nNOTA,nNIA,A725,nEVAL,CONFIG_METADATA!$B$4,nASIG,"Lenguaje Musical"),""))</f>
        <v/>
      </c>
      <c r="C725" t="str">
        <f>IF(A725="","",IFERROR(AVERAGEIFS(nNOTA,nNIA,A725,nEVAL,CONFIG_METADATA!$B$4,nASIG,"Coro"),""))</f>
        <v/>
      </c>
      <c r="D725" t="str">
        <f>IF(A725="","",IFERROR(AVERAGEIFS(nNOTA,nNIA,A725,nEVAL,CONFIG_METADATA!$B$4,nASIG,"Conjunto"),""))</f>
        <v/>
      </c>
      <c r="E725" t="str">
        <f>IF(A725="","",IFERROR(AVERAGEIFS(nNOTA,nNIA,A725,nEVAL,CONFIG_METADATA!$B$4,nASIG,"&lt;&gt;Lenguaje Musical",nASIG,"&lt;&gt;Coro",nASIG,"&lt;&gt;Conjunto"),""))</f>
        <v/>
      </c>
      <c r="N725" t="str">
        <f>IF(M725="","",IFERROR(AVERAGEIFS(nNOTA,nNIA,M725,nEVAL,CONFIG_METADATA!$B$4,nASIG,"Lenguaje Musical"),""))</f>
        <v/>
      </c>
      <c r="O725" t="str">
        <f>IF(M725="","",IFERROR(AVERAGEIFS(nNOTA,nNIA,M725,nEVAL,CONFIG_METADATA!$B$4,nASIG,"Coro"),""))</f>
        <v/>
      </c>
      <c r="P725" t="str">
        <f>IF(M725="","",IFERROR(AVERAGEIFS(nNOTA,nNIA,M725,nEVAL,CONFIG_METADATA!$B$4,nASIG,"Conjunto"),""))</f>
        <v/>
      </c>
      <c r="Q725" t="str">
        <f>IF(M725="","",IFERROR(AVERAGEIFS(nNOTA,nNIA,M725,nEVAL,CONFIG_METADATA!$B$4,nASIG,"&lt;&gt;Lenguaje Musical",nASIG,"&lt;&gt;Coro",nASIG,"&lt;&gt;Conjunto"),""))</f>
        <v/>
      </c>
      <c r="T725" t="str">
        <f>IF(S725="","",IFERROR(AVERAGEIFS(nNOTA,nNIA,S725,nEVAL,CONFIG_METADATA!$B$4,nASIG,"Lenguaje Musical"),""))</f>
        <v/>
      </c>
      <c r="U725" t="str">
        <f>IF(S725="","",IFERROR(AVERAGEIFS(nNOTA,nNIA,S725,nEVAL,CONFIG_METADATA!$B$4,nASIG,"Coro"),""))</f>
        <v/>
      </c>
      <c r="V725" t="str">
        <f>IF(S725="","",IFERROR(AVERAGEIFS(nNOTA,nNIA,S725,nEVAL,CONFIG_METADATA!$B$4,nASIG,"Conjunto"),""))</f>
        <v/>
      </c>
      <c r="W725" t="str" cm="1">
        <f t="array" ref="W725">IF(S725="","",IFERROR(AVERAGE(IF((nNIA=S725)*(nEVAL=CONFIG_METADATA!$B$4)*(nASIG&lt;&gt;"Lenguaje Musical")*(nASIG&lt;&gt;"Coro")*(nASIG&lt;&gt;"Conjunto"),nNOTA)),""))</f>
        <v/>
      </c>
    </row>
    <row r="726" spans="2:23" x14ac:dyDescent="0.2">
      <c r="B726" t="str">
        <f>IF(A726="","",IFERROR(AVERAGEIFS(nNOTA,nNIA,A726,nEVAL,CONFIG_METADATA!$B$4,nASIG,"Lenguaje Musical"),""))</f>
        <v/>
      </c>
      <c r="C726" t="str">
        <f>IF(A726="","",IFERROR(AVERAGEIFS(nNOTA,nNIA,A726,nEVAL,CONFIG_METADATA!$B$4,nASIG,"Coro"),""))</f>
        <v/>
      </c>
      <c r="D726" t="str">
        <f>IF(A726="","",IFERROR(AVERAGEIFS(nNOTA,nNIA,A726,nEVAL,CONFIG_METADATA!$B$4,nASIG,"Conjunto"),""))</f>
        <v/>
      </c>
      <c r="E726" t="str">
        <f>IF(A726="","",IFERROR(AVERAGEIFS(nNOTA,nNIA,A726,nEVAL,CONFIG_METADATA!$B$4,nASIG,"&lt;&gt;Lenguaje Musical",nASIG,"&lt;&gt;Coro",nASIG,"&lt;&gt;Conjunto"),""))</f>
        <v/>
      </c>
      <c r="N726" t="str">
        <f>IF(M726="","",IFERROR(AVERAGEIFS(nNOTA,nNIA,M726,nEVAL,CONFIG_METADATA!$B$4,nASIG,"Lenguaje Musical"),""))</f>
        <v/>
      </c>
      <c r="O726" t="str">
        <f>IF(M726="","",IFERROR(AVERAGEIFS(nNOTA,nNIA,M726,nEVAL,CONFIG_METADATA!$B$4,nASIG,"Coro"),""))</f>
        <v/>
      </c>
      <c r="P726" t="str">
        <f>IF(M726="","",IFERROR(AVERAGEIFS(nNOTA,nNIA,M726,nEVAL,CONFIG_METADATA!$B$4,nASIG,"Conjunto"),""))</f>
        <v/>
      </c>
      <c r="Q726" t="str">
        <f>IF(M726="","",IFERROR(AVERAGEIFS(nNOTA,nNIA,M726,nEVAL,CONFIG_METADATA!$B$4,nASIG,"&lt;&gt;Lenguaje Musical",nASIG,"&lt;&gt;Coro",nASIG,"&lt;&gt;Conjunto"),""))</f>
        <v/>
      </c>
      <c r="T726" t="str">
        <f>IF(S726="","",IFERROR(AVERAGEIFS(nNOTA,nNIA,S726,nEVAL,CONFIG_METADATA!$B$4,nASIG,"Lenguaje Musical"),""))</f>
        <v/>
      </c>
      <c r="U726" t="str">
        <f>IF(S726="","",IFERROR(AVERAGEIFS(nNOTA,nNIA,S726,nEVAL,CONFIG_METADATA!$B$4,nASIG,"Coro"),""))</f>
        <v/>
      </c>
      <c r="V726" t="str">
        <f>IF(S726="","",IFERROR(AVERAGEIFS(nNOTA,nNIA,S726,nEVAL,CONFIG_METADATA!$B$4,nASIG,"Conjunto"),""))</f>
        <v/>
      </c>
      <c r="W726" t="str" cm="1">
        <f t="array" ref="W726">IF(S726="","",IFERROR(AVERAGE(IF((nNIA=S726)*(nEVAL=CONFIG_METADATA!$B$4)*(nASIG&lt;&gt;"Lenguaje Musical")*(nASIG&lt;&gt;"Coro")*(nASIG&lt;&gt;"Conjunto"),nNOTA)),""))</f>
        <v/>
      </c>
    </row>
    <row r="727" spans="2:23" x14ac:dyDescent="0.2">
      <c r="B727" t="str">
        <f>IF(A727="","",IFERROR(AVERAGEIFS(nNOTA,nNIA,A727,nEVAL,CONFIG_METADATA!$B$4,nASIG,"Lenguaje Musical"),""))</f>
        <v/>
      </c>
      <c r="C727" t="str">
        <f>IF(A727="","",IFERROR(AVERAGEIFS(nNOTA,nNIA,A727,nEVAL,CONFIG_METADATA!$B$4,nASIG,"Coro"),""))</f>
        <v/>
      </c>
      <c r="D727" t="str">
        <f>IF(A727="","",IFERROR(AVERAGEIFS(nNOTA,nNIA,A727,nEVAL,CONFIG_METADATA!$B$4,nASIG,"Conjunto"),""))</f>
        <v/>
      </c>
      <c r="E727" t="str">
        <f>IF(A727="","",IFERROR(AVERAGEIFS(nNOTA,nNIA,A727,nEVAL,CONFIG_METADATA!$B$4,nASIG,"&lt;&gt;Lenguaje Musical",nASIG,"&lt;&gt;Coro",nASIG,"&lt;&gt;Conjunto"),""))</f>
        <v/>
      </c>
      <c r="N727" t="str">
        <f>IF(M727="","",IFERROR(AVERAGEIFS(nNOTA,nNIA,M727,nEVAL,CONFIG_METADATA!$B$4,nASIG,"Lenguaje Musical"),""))</f>
        <v/>
      </c>
      <c r="O727" t="str">
        <f>IF(M727="","",IFERROR(AVERAGEIFS(nNOTA,nNIA,M727,nEVAL,CONFIG_METADATA!$B$4,nASIG,"Coro"),""))</f>
        <v/>
      </c>
      <c r="P727" t="str">
        <f>IF(M727="","",IFERROR(AVERAGEIFS(nNOTA,nNIA,M727,nEVAL,CONFIG_METADATA!$B$4,nASIG,"Conjunto"),""))</f>
        <v/>
      </c>
      <c r="Q727" t="str">
        <f>IF(M727="","",IFERROR(AVERAGEIFS(nNOTA,nNIA,M727,nEVAL,CONFIG_METADATA!$B$4,nASIG,"&lt;&gt;Lenguaje Musical",nASIG,"&lt;&gt;Coro",nASIG,"&lt;&gt;Conjunto"),""))</f>
        <v/>
      </c>
      <c r="T727" t="str">
        <f>IF(S727="","",IFERROR(AVERAGEIFS(nNOTA,nNIA,S727,nEVAL,CONFIG_METADATA!$B$4,nASIG,"Lenguaje Musical"),""))</f>
        <v/>
      </c>
      <c r="U727" t="str">
        <f>IF(S727="","",IFERROR(AVERAGEIFS(nNOTA,nNIA,S727,nEVAL,CONFIG_METADATA!$B$4,nASIG,"Coro"),""))</f>
        <v/>
      </c>
      <c r="V727" t="str">
        <f>IF(S727="","",IFERROR(AVERAGEIFS(nNOTA,nNIA,S727,nEVAL,CONFIG_METADATA!$B$4,nASIG,"Conjunto"),""))</f>
        <v/>
      </c>
      <c r="W727" t="str" cm="1">
        <f t="array" ref="W727">IF(S727="","",IFERROR(AVERAGE(IF((nNIA=S727)*(nEVAL=CONFIG_METADATA!$B$4)*(nASIG&lt;&gt;"Lenguaje Musical")*(nASIG&lt;&gt;"Coro")*(nASIG&lt;&gt;"Conjunto"),nNOTA)),""))</f>
        <v/>
      </c>
    </row>
    <row r="728" spans="2:23" x14ac:dyDescent="0.2">
      <c r="B728" t="str">
        <f>IF(A728="","",IFERROR(AVERAGEIFS(nNOTA,nNIA,A728,nEVAL,CONFIG_METADATA!$B$4,nASIG,"Lenguaje Musical"),""))</f>
        <v/>
      </c>
      <c r="C728" t="str">
        <f>IF(A728="","",IFERROR(AVERAGEIFS(nNOTA,nNIA,A728,nEVAL,CONFIG_METADATA!$B$4,nASIG,"Coro"),""))</f>
        <v/>
      </c>
      <c r="D728" t="str">
        <f>IF(A728="","",IFERROR(AVERAGEIFS(nNOTA,nNIA,A728,nEVAL,CONFIG_METADATA!$B$4,nASIG,"Conjunto"),""))</f>
        <v/>
      </c>
      <c r="E728" t="str">
        <f>IF(A728="","",IFERROR(AVERAGEIFS(nNOTA,nNIA,A728,nEVAL,CONFIG_METADATA!$B$4,nASIG,"&lt;&gt;Lenguaje Musical",nASIG,"&lt;&gt;Coro",nASIG,"&lt;&gt;Conjunto"),""))</f>
        <v/>
      </c>
      <c r="N728" t="str">
        <f>IF(M728="","",IFERROR(AVERAGEIFS(nNOTA,nNIA,M728,nEVAL,CONFIG_METADATA!$B$4,nASIG,"Lenguaje Musical"),""))</f>
        <v/>
      </c>
      <c r="O728" t="str">
        <f>IF(M728="","",IFERROR(AVERAGEIFS(nNOTA,nNIA,M728,nEVAL,CONFIG_METADATA!$B$4,nASIG,"Coro"),""))</f>
        <v/>
      </c>
      <c r="P728" t="str">
        <f>IF(M728="","",IFERROR(AVERAGEIFS(nNOTA,nNIA,M728,nEVAL,CONFIG_METADATA!$B$4,nASIG,"Conjunto"),""))</f>
        <v/>
      </c>
      <c r="Q728" t="str">
        <f>IF(M728="","",IFERROR(AVERAGEIFS(nNOTA,nNIA,M728,nEVAL,CONFIG_METADATA!$B$4,nASIG,"&lt;&gt;Lenguaje Musical",nASIG,"&lt;&gt;Coro",nASIG,"&lt;&gt;Conjunto"),""))</f>
        <v/>
      </c>
      <c r="T728" t="str">
        <f>IF(S728="","",IFERROR(AVERAGEIFS(nNOTA,nNIA,S728,nEVAL,CONFIG_METADATA!$B$4,nASIG,"Lenguaje Musical"),""))</f>
        <v/>
      </c>
      <c r="U728" t="str">
        <f>IF(S728="","",IFERROR(AVERAGEIFS(nNOTA,nNIA,S728,nEVAL,CONFIG_METADATA!$B$4,nASIG,"Coro"),""))</f>
        <v/>
      </c>
      <c r="V728" t="str">
        <f>IF(S728="","",IFERROR(AVERAGEIFS(nNOTA,nNIA,S728,nEVAL,CONFIG_METADATA!$B$4,nASIG,"Conjunto"),""))</f>
        <v/>
      </c>
      <c r="W728" t="str" cm="1">
        <f t="array" ref="W728">IF(S728="","",IFERROR(AVERAGE(IF((nNIA=S728)*(nEVAL=CONFIG_METADATA!$B$4)*(nASIG&lt;&gt;"Lenguaje Musical")*(nASIG&lt;&gt;"Coro")*(nASIG&lt;&gt;"Conjunto"),nNOTA)),""))</f>
        <v/>
      </c>
    </row>
    <row r="729" spans="2:23" x14ac:dyDescent="0.2">
      <c r="B729" t="str">
        <f>IF(A729="","",IFERROR(AVERAGEIFS(nNOTA,nNIA,A729,nEVAL,CONFIG_METADATA!$B$4,nASIG,"Lenguaje Musical"),""))</f>
        <v/>
      </c>
      <c r="C729" t="str">
        <f>IF(A729="","",IFERROR(AVERAGEIFS(nNOTA,nNIA,A729,nEVAL,CONFIG_METADATA!$B$4,nASIG,"Coro"),""))</f>
        <v/>
      </c>
      <c r="D729" t="str">
        <f>IF(A729="","",IFERROR(AVERAGEIFS(nNOTA,nNIA,A729,nEVAL,CONFIG_METADATA!$B$4,nASIG,"Conjunto"),""))</f>
        <v/>
      </c>
      <c r="E729" t="str">
        <f>IF(A729="","",IFERROR(AVERAGEIFS(nNOTA,nNIA,A729,nEVAL,CONFIG_METADATA!$B$4,nASIG,"&lt;&gt;Lenguaje Musical",nASIG,"&lt;&gt;Coro",nASIG,"&lt;&gt;Conjunto"),""))</f>
        <v/>
      </c>
      <c r="N729" t="str">
        <f>IF(M729="","",IFERROR(AVERAGEIFS(nNOTA,nNIA,M729,nEVAL,CONFIG_METADATA!$B$4,nASIG,"Lenguaje Musical"),""))</f>
        <v/>
      </c>
      <c r="O729" t="str">
        <f>IF(M729="","",IFERROR(AVERAGEIFS(nNOTA,nNIA,M729,nEVAL,CONFIG_METADATA!$B$4,nASIG,"Coro"),""))</f>
        <v/>
      </c>
      <c r="P729" t="str">
        <f>IF(M729="","",IFERROR(AVERAGEIFS(nNOTA,nNIA,M729,nEVAL,CONFIG_METADATA!$B$4,nASIG,"Conjunto"),""))</f>
        <v/>
      </c>
      <c r="Q729" t="str">
        <f>IF(M729="","",IFERROR(AVERAGEIFS(nNOTA,nNIA,M729,nEVAL,CONFIG_METADATA!$B$4,nASIG,"&lt;&gt;Lenguaje Musical",nASIG,"&lt;&gt;Coro",nASIG,"&lt;&gt;Conjunto"),""))</f>
        <v/>
      </c>
      <c r="T729" t="str">
        <f>IF(S729="","",IFERROR(AVERAGEIFS(nNOTA,nNIA,S729,nEVAL,CONFIG_METADATA!$B$4,nASIG,"Lenguaje Musical"),""))</f>
        <v/>
      </c>
      <c r="U729" t="str">
        <f>IF(S729="","",IFERROR(AVERAGEIFS(nNOTA,nNIA,S729,nEVAL,CONFIG_METADATA!$B$4,nASIG,"Coro"),""))</f>
        <v/>
      </c>
      <c r="V729" t="str">
        <f>IF(S729="","",IFERROR(AVERAGEIFS(nNOTA,nNIA,S729,nEVAL,CONFIG_METADATA!$B$4,nASIG,"Conjunto"),""))</f>
        <v/>
      </c>
      <c r="W729" t="str" cm="1">
        <f t="array" ref="W729">IF(S729="","",IFERROR(AVERAGE(IF((nNIA=S729)*(nEVAL=CONFIG_METADATA!$B$4)*(nASIG&lt;&gt;"Lenguaje Musical")*(nASIG&lt;&gt;"Coro")*(nASIG&lt;&gt;"Conjunto"),nNOTA)),""))</f>
        <v/>
      </c>
    </row>
    <row r="730" spans="2:23" x14ac:dyDescent="0.2">
      <c r="B730" t="str">
        <f>IF(A730="","",IFERROR(AVERAGEIFS(nNOTA,nNIA,A730,nEVAL,CONFIG_METADATA!$B$4,nASIG,"Lenguaje Musical"),""))</f>
        <v/>
      </c>
      <c r="C730" t="str">
        <f>IF(A730="","",IFERROR(AVERAGEIFS(nNOTA,nNIA,A730,nEVAL,CONFIG_METADATA!$B$4,nASIG,"Coro"),""))</f>
        <v/>
      </c>
      <c r="D730" t="str">
        <f>IF(A730="","",IFERROR(AVERAGEIFS(nNOTA,nNIA,A730,nEVAL,CONFIG_METADATA!$B$4,nASIG,"Conjunto"),""))</f>
        <v/>
      </c>
      <c r="E730" t="str">
        <f>IF(A730="","",IFERROR(AVERAGEIFS(nNOTA,nNIA,A730,nEVAL,CONFIG_METADATA!$B$4,nASIG,"&lt;&gt;Lenguaje Musical",nASIG,"&lt;&gt;Coro",nASIG,"&lt;&gt;Conjunto"),""))</f>
        <v/>
      </c>
      <c r="N730" t="str">
        <f>IF(M730="","",IFERROR(AVERAGEIFS(nNOTA,nNIA,M730,nEVAL,CONFIG_METADATA!$B$4,nASIG,"Lenguaje Musical"),""))</f>
        <v/>
      </c>
      <c r="O730" t="str">
        <f>IF(M730="","",IFERROR(AVERAGEIFS(nNOTA,nNIA,M730,nEVAL,CONFIG_METADATA!$B$4,nASIG,"Coro"),""))</f>
        <v/>
      </c>
      <c r="P730" t="str">
        <f>IF(M730="","",IFERROR(AVERAGEIFS(nNOTA,nNIA,M730,nEVAL,CONFIG_METADATA!$B$4,nASIG,"Conjunto"),""))</f>
        <v/>
      </c>
      <c r="Q730" t="str">
        <f>IF(M730="","",IFERROR(AVERAGEIFS(nNOTA,nNIA,M730,nEVAL,CONFIG_METADATA!$B$4,nASIG,"&lt;&gt;Lenguaje Musical",nASIG,"&lt;&gt;Coro",nASIG,"&lt;&gt;Conjunto"),""))</f>
        <v/>
      </c>
      <c r="T730" t="str">
        <f>IF(S730="","",IFERROR(AVERAGEIFS(nNOTA,nNIA,S730,nEVAL,CONFIG_METADATA!$B$4,nASIG,"Lenguaje Musical"),""))</f>
        <v/>
      </c>
      <c r="U730" t="str">
        <f>IF(S730="","",IFERROR(AVERAGEIFS(nNOTA,nNIA,S730,nEVAL,CONFIG_METADATA!$B$4,nASIG,"Coro"),""))</f>
        <v/>
      </c>
      <c r="V730" t="str">
        <f>IF(S730="","",IFERROR(AVERAGEIFS(nNOTA,nNIA,S730,nEVAL,CONFIG_METADATA!$B$4,nASIG,"Conjunto"),""))</f>
        <v/>
      </c>
      <c r="W730" t="str" cm="1">
        <f t="array" ref="W730">IF(S730="","",IFERROR(AVERAGE(IF((nNIA=S730)*(nEVAL=CONFIG_METADATA!$B$4)*(nASIG&lt;&gt;"Lenguaje Musical")*(nASIG&lt;&gt;"Coro")*(nASIG&lt;&gt;"Conjunto"),nNOTA)),""))</f>
        <v/>
      </c>
    </row>
    <row r="731" spans="2:23" x14ac:dyDescent="0.2">
      <c r="B731" t="str">
        <f>IF(A731="","",IFERROR(AVERAGEIFS(nNOTA,nNIA,A731,nEVAL,CONFIG_METADATA!$B$4,nASIG,"Lenguaje Musical"),""))</f>
        <v/>
      </c>
      <c r="C731" t="str">
        <f>IF(A731="","",IFERROR(AVERAGEIFS(nNOTA,nNIA,A731,nEVAL,CONFIG_METADATA!$B$4,nASIG,"Coro"),""))</f>
        <v/>
      </c>
      <c r="D731" t="str">
        <f>IF(A731="","",IFERROR(AVERAGEIFS(nNOTA,nNIA,A731,nEVAL,CONFIG_METADATA!$B$4,nASIG,"Conjunto"),""))</f>
        <v/>
      </c>
      <c r="E731" t="str">
        <f>IF(A731="","",IFERROR(AVERAGEIFS(nNOTA,nNIA,A731,nEVAL,CONFIG_METADATA!$B$4,nASIG,"&lt;&gt;Lenguaje Musical",nASIG,"&lt;&gt;Coro",nASIG,"&lt;&gt;Conjunto"),""))</f>
        <v/>
      </c>
      <c r="N731" t="str">
        <f>IF(M731="","",IFERROR(AVERAGEIFS(nNOTA,nNIA,M731,nEVAL,CONFIG_METADATA!$B$4,nASIG,"Lenguaje Musical"),""))</f>
        <v/>
      </c>
      <c r="O731" t="str">
        <f>IF(M731="","",IFERROR(AVERAGEIFS(nNOTA,nNIA,M731,nEVAL,CONFIG_METADATA!$B$4,nASIG,"Coro"),""))</f>
        <v/>
      </c>
      <c r="P731" t="str">
        <f>IF(M731="","",IFERROR(AVERAGEIFS(nNOTA,nNIA,M731,nEVAL,CONFIG_METADATA!$B$4,nASIG,"Conjunto"),""))</f>
        <v/>
      </c>
      <c r="Q731" t="str">
        <f>IF(M731="","",IFERROR(AVERAGEIFS(nNOTA,nNIA,M731,nEVAL,CONFIG_METADATA!$B$4,nASIG,"&lt;&gt;Lenguaje Musical",nASIG,"&lt;&gt;Coro",nASIG,"&lt;&gt;Conjunto"),""))</f>
        <v/>
      </c>
      <c r="T731" t="str">
        <f>IF(S731="","",IFERROR(AVERAGEIFS(nNOTA,nNIA,S731,nEVAL,CONFIG_METADATA!$B$4,nASIG,"Lenguaje Musical"),""))</f>
        <v/>
      </c>
      <c r="U731" t="str">
        <f>IF(S731="","",IFERROR(AVERAGEIFS(nNOTA,nNIA,S731,nEVAL,CONFIG_METADATA!$B$4,nASIG,"Coro"),""))</f>
        <v/>
      </c>
      <c r="V731" t="str">
        <f>IF(S731="","",IFERROR(AVERAGEIFS(nNOTA,nNIA,S731,nEVAL,CONFIG_METADATA!$B$4,nASIG,"Conjunto"),""))</f>
        <v/>
      </c>
      <c r="W731" t="str" cm="1">
        <f t="array" ref="W731">IF(S731="","",IFERROR(AVERAGE(IF((nNIA=S731)*(nEVAL=CONFIG_METADATA!$B$4)*(nASIG&lt;&gt;"Lenguaje Musical")*(nASIG&lt;&gt;"Coro")*(nASIG&lt;&gt;"Conjunto"),nNOTA)),""))</f>
        <v/>
      </c>
    </row>
    <row r="732" spans="2:23" x14ac:dyDescent="0.2">
      <c r="B732" t="str">
        <f>IF(A732="","",IFERROR(AVERAGEIFS(nNOTA,nNIA,A732,nEVAL,CONFIG_METADATA!$B$4,nASIG,"Lenguaje Musical"),""))</f>
        <v/>
      </c>
      <c r="C732" t="str">
        <f>IF(A732="","",IFERROR(AVERAGEIFS(nNOTA,nNIA,A732,nEVAL,CONFIG_METADATA!$B$4,nASIG,"Coro"),""))</f>
        <v/>
      </c>
      <c r="D732" t="str">
        <f>IF(A732="","",IFERROR(AVERAGEIFS(nNOTA,nNIA,A732,nEVAL,CONFIG_METADATA!$B$4,nASIG,"Conjunto"),""))</f>
        <v/>
      </c>
      <c r="E732" t="str">
        <f>IF(A732="","",IFERROR(AVERAGEIFS(nNOTA,nNIA,A732,nEVAL,CONFIG_METADATA!$B$4,nASIG,"&lt;&gt;Lenguaje Musical",nASIG,"&lt;&gt;Coro",nASIG,"&lt;&gt;Conjunto"),""))</f>
        <v/>
      </c>
      <c r="N732" t="str">
        <f>IF(M732="","",IFERROR(AVERAGEIFS(nNOTA,nNIA,M732,nEVAL,CONFIG_METADATA!$B$4,nASIG,"Lenguaje Musical"),""))</f>
        <v/>
      </c>
      <c r="O732" t="str">
        <f>IF(M732="","",IFERROR(AVERAGEIFS(nNOTA,nNIA,M732,nEVAL,CONFIG_METADATA!$B$4,nASIG,"Coro"),""))</f>
        <v/>
      </c>
      <c r="P732" t="str">
        <f>IF(M732="","",IFERROR(AVERAGEIFS(nNOTA,nNIA,M732,nEVAL,CONFIG_METADATA!$B$4,nASIG,"Conjunto"),""))</f>
        <v/>
      </c>
      <c r="Q732" t="str">
        <f>IF(M732="","",IFERROR(AVERAGEIFS(nNOTA,nNIA,M732,nEVAL,CONFIG_METADATA!$B$4,nASIG,"&lt;&gt;Lenguaje Musical",nASIG,"&lt;&gt;Coro",nASIG,"&lt;&gt;Conjunto"),""))</f>
        <v/>
      </c>
      <c r="T732" t="str">
        <f>IF(S732="","",IFERROR(AVERAGEIFS(nNOTA,nNIA,S732,nEVAL,CONFIG_METADATA!$B$4,nASIG,"Lenguaje Musical"),""))</f>
        <v/>
      </c>
      <c r="U732" t="str">
        <f>IF(S732="","",IFERROR(AVERAGEIFS(nNOTA,nNIA,S732,nEVAL,CONFIG_METADATA!$B$4,nASIG,"Coro"),""))</f>
        <v/>
      </c>
      <c r="V732" t="str">
        <f>IF(S732="","",IFERROR(AVERAGEIFS(nNOTA,nNIA,S732,nEVAL,CONFIG_METADATA!$B$4,nASIG,"Conjunto"),""))</f>
        <v/>
      </c>
      <c r="W732" t="str" cm="1">
        <f t="array" ref="W732">IF(S732="","",IFERROR(AVERAGE(IF((nNIA=S732)*(nEVAL=CONFIG_METADATA!$B$4)*(nASIG&lt;&gt;"Lenguaje Musical")*(nASIG&lt;&gt;"Coro")*(nASIG&lt;&gt;"Conjunto"),nNOTA)),""))</f>
        <v/>
      </c>
    </row>
    <row r="733" spans="2:23" x14ac:dyDescent="0.2">
      <c r="B733" t="str">
        <f>IF(A733="","",IFERROR(AVERAGEIFS(nNOTA,nNIA,A733,nEVAL,CONFIG_METADATA!$B$4,nASIG,"Lenguaje Musical"),""))</f>
        <v/>
      </c>
      <c r="C733" t="str">
        <f>IF(A733="","",IFERROR(AVERAGEIFS(nNOTA,nNIA,A733,nEVAL,CONFIG_METADATA!$B$4,nASIG,"Coro"),""))</f>
        <v/>
      </c>
      <c r="D733" t="str">
        <f>IF(A733="","",IFERROR(AVERAGEIFS(nNOTA,nNIA,A733,nEVAL,CONFIG_METADATA!$B$4,nASIG,"Conjunto"),""))</f>
        <v/>
      </c>
      <c r="E733" t="str">
        <f>IF(A733="","",IFERROR(AVERAGEIFS(nNOTA,nNIA,A733,nEVAL,CONFIG_METADATA!$B$4,nASIG,"&lt;&gt;Lenguaje Musical",nASIG,"&lt;&gt;Coro",nASIG,"&lt;&gt;Conjunto"),""))</f>
        <v/>
      </c>
      <c r="N733" t="str">
        <f>IF(M733="","",IFERROR(AVERAGEIFS(nNOTA,nNIA,M733,nEVAL,CONFIG_METADATA!$B$4,nASIG,"Lenguaje Musical"),""))</f>
        <v/>
      </c>
      <c r="O733" t="str">
        <f>IF(M733="","",IFERROR(AVERAGEIFS(nNOTA,nNIA,M733,nEVAL,CONFIG_METADATA!$B$4,nASIG,"Coro"),""))</f>
        <v/>
      </c>
      <c r="P733" t="str">
        <f>IF(M733="","",IFERROR(AVERAGEIFS(nNOTA,nNIA,M733,nEVAL,CONFIG_METADATA!$B$4,nASIG,"Conjunto"),""))</f>
        <v/>
      </c>
      <c r="Q733" t="str">
        <f>IF(M733="","",IFERROR(AVERAGEIFS(nNOTA,nNIA,M733,nEVAL,CONFIG_METADATA!$B$4,nASIG,"&lt;&gt;Lenguaje Musical",nASIG,"&lt;&gt;Coro",nASIG,"&lt;&gt;Conjunto"),""))</f>
        <v/>
      </c>
      <c r="T733" t="str">
        <f>IF(S733="","",IFERROR(AVERAGEIFS(nNOTA,nNIA,S733,nEVAL,CONFIG_METADATA!$B$4,nASIG,"Lenguaje Musical"),""))</f>
        <v/>
      </c>
      <c r="U733" t="str">
        <f>IF(S733="","",IFERROR(AVERAGEIFS(nNOTA,nNIA,S733,nEVAL,CONFIG_METADATA!$B$4,nASIG,"Coro"),""))</f>
        <v/>
      </c>
      <c r="V733" t="str">
        <f>IF(S733="","",IFERROR(AVERAGEIFS(nNOTA,nNIA,S733,nEVAL,CONFIG_METADATA!$B$4,nASIG,"Conjunto"),""))</f>
        <v/>
      </c>
      <c r="W733" t="str" cm="1">
        <f t="array" ref="W733">IF(S733="","",IFERROR(AVERAGE(IF((nNIA=S733)*(nEVAL=CONFIG_METADATA!$B$4)*(nASIG&lt;&gt;"Lenguaje Musical")*(nASIG&lt;&gt;"Coro")*(nASIG&lt;&gt;"Conjunto"),nNOTA)),""))</f>
        <v/>
      </c>
    </row>
    <row r="734" spans="2:23" x14ac:dyDescent="0.2">
      <c r="B734" t="str">
        <f>IF(A734="","",IFERROR(AVERAGEIFS(nNOTA,nNIA,A734,nEVAL,CONFIG_METADATA!$B$4,nASIG,"Lenguaje Musical"),""))</f>
        <v/>
      </c>
      <c r="C734" t="str">
        <f>IF(A734="","",IFERROR(AVERAGEIFS(nNOTA,nNIA,A734,nEVAL,CONFIG_METADATA!$B$4,nASIG,"Coro"),""))</f>
        <v/>
      </c>
      <c r="D734" t="str">
        <f>IF(A734="","",IFERROR(AVERAGEIFS(nNOTA,nNIA,A734,nEVAL,CONFIG_METADATA!$B$4,nASIG,"Conjunto"),""))</f>
        <v/>
      </c>
      <c r="E734" t="str">
        <f>IF(A734="","",IFERROR(AVERAGEIFS(nNOTA,nNIA,A734,nEVAL,CONFIG_METADATA!$B$4,nASIG,"&lt;&gt;Lenguaje Musical",nASIG,"&lt;&gt;Coro",nASIG,"&lt;&gt;Conjunto"),""))</f>
        <v/>
      </c>
      <c r="N734" t="str">
        <f>IF(M734="","",IFERROR(AVERAGEIFS(nNOTA,nNIA,M734,nEVAL,CONFIG_METADATA!$B$4,nASIG,"Lenguaje Musical"),""))</f>
        <v/>
      </c>
      <c r="O734" t="str">
        <f>IF(M734="","",IFERROR(AVERAGEIFS(nNOTA,nNIA,M734,nEVAL,CONFIG_METADATA!$B$4,nASIG,"Coro"),""))</f>
        <v/>
      </c>
      <c r="P734" t="str">
        <f>IF(M734="","",IFERROR(AVERAGEIFS(nNOTA,nNIA,M734,nEVAL,CONFIG_METADATA!$B$4,nASIG,"Conjunto"),""))</f>
        <v/>
      </c>
      <c r="Q734" t="str">
        <f>IF(M734="","",IFERROR(AVERAGEIFS(nNOTA,nNIA,M734,nEVAL,CONFIG_METADATA!$B$4,nASIG,"&lt;&gt;Lenguaje Musical",nASIG,"&lt;&gt;Coro",nASIG,"&lt;&gt;Conjunto"),""))</f>
        <v/>
      </c>
      <c r="T734" t="str">
        <f>IF(S734="","",IFERROR(AVERAGEIFS(nNOTA,nNIA,S734,nEVAL,CONFIG_METADATA!$B$4,nASIG,"Lenguaje Musical"),""))</f>
        <v/>
      </c>
      <c r="U734" t="str">
        <f>IF(S734="","",IFERROR(AVERAGEIFS(nNOTA,nNIA,S734,nEVAL,CONFIG_METADATA!$B$4,nASIG,"Coro"),""))</f>
        <v/>
      </c>
      <c r="V734" t="str">
        <f>IF(S734="","",IFERROR(AVERAGEIFS(nNOTA,nNIA,S734,nEVAL,CONFIG_METADATA!$B$4,nASIG,"Conjunto"),""))</f>
        <v/>
      </c>
      <c r="W734" t="str" cm="1">
        <f t="array" ref="W734">IF(S734="","",IFERROR(AVERAGE(IF((nNIA=S734)*(nEVAL=CONFIG_METADATA!$B$4)*(nASIG&lt;&gt;"Lenguaje Musical")*(nASIG&lt;&gt;"Coro")*(nASIG&lt;&gt;"Conjunto"),nNOTA)),""))</f>
        <v/>
      </c>
    </row>
    <row r="735" spans="2:23" x14ac:dyDescent="0.2">
      <c r="B735" t="str">
        <f>IF(A735="","",IFERROR(AVERAGEIFS(nNOTA,nNIA,A735,nEVAL,CONFIG_METADATA!$B$4,nASIG,"Lenguaje Musical"),""))</f>
        <v/>
      </c>
      <c r="C735" t="str">
        <f>IF(A735="","",IFERROR(AVERAGEIFS(nNOTA,nNIA,A735,nEVAL,CONFIG_METADATA!$B$4,nASIG,"Coro"),""))</f>
        <v/>
      </c>
      <c r="D735" t="str">
        <f>IF(A735="","",IFERROR(AVERAGEIFS(nNOTA,nNIA,A735,nEVAL,CONFIG_METADATA!$B$4,nASIG,"Conjunto"),""))</f>
        <v/>
      </c>
      <c r="E735" t="str">
        <f>IF(A735="","",IFERROR(AVERAGEIFS(nNOTA,nNIA,A735,nEVAL,CONFIG_METADATA!$B$4,nASIG,"&lt;&gt;Lenguaje Musical",nASIG,"&lt;&gt;Coro",nASIG,"&lt;&gt;Conjunto"),""))</f>
        <v/>
      </c>
      <c r="N735" t="str">
        <f>IF(M735="","",IFERROR(AVERAGEIFS(nNOTA,nNIA,M735,nEVAL,CONFIG_METADATA!$B$4,nASIG,"Lenguaje Musical"),""))</f>
        <v/>
      </c>
      <c r="O735" t="str">
        <f>IF(M735="","",IFERROR(AVERAGEIFS(nNOTA,nNIA,M735,nEVAL,CONFIG_METADATA!$B$4,nASIG,"Coro"),""))</f>
        <v/>
      </c>
      <c r="P735" t="str">
        <f>IF(M735="","",IFERROR(AVERAGEIFS(nNOTA,nNIA,M735,nEVAL,CONFIG_METADATA!$B$4,nASIG,"Conjunto"),""))</f>
        <v/>
      </c>
      <c r="Q735" t="str">
        <f>IF(M735="","",IFERROR(AVERAGEIFS(nNOTA,nNIA,M735,nEVAL,CONFIG_METADATA!$B$4,nASIG,"&lt;&gt;Lenguaje Musical",nASIG,"&lt;&gt;Coro",nASIG,"&lt;&gt;Conjunto"),""))</f>
        <v/>
      </c>
      <c r="T735" t="str">
        <f>IF(S735="","",IFERROR(AVERAGEIFS(nNOTA,nNIA,S735,nEVAL,CONFIG_METADATA!$B$4,nASIG,"Lenguaje Musical"),""))</f>
        <v/>
      </c>
      <c r="U735" t="str">
        <f>IF(S735="","",IFERROR(AVERAGEIFS(nNOTA,nNIA,S735,nEVAL,CONFIG_METADATA!$B$4,nASIG,"Coro"),""))</f>
        <v/>
      </c>
      <c r="V735" t="str">
        <f>IF(S735="","",IFERROR(AVERAGEIFS(nNOTA,nNIA,S735,nEVAL,CONFIG_METADATA!$B$4,nASIG,"Conjunto"),""))</f>
        <v/>
      </c>
      <c r="W735" t="str" cm="1">
        <f t="array" ref="W735">IF(S735="","",IFERROR(AVERAGE(IF((nNIA=S735)*(nEVAL=CONFIG_METADATA!$B$4)*(nASIG&lt;&gt;"Lenguaje Musical")*(nASIG&lt;&gt;"Coro")*(nASIG&lt;&gt;"Conjunto"),nNOTA)),""))</f>
        <v/>
      </c>
    </row>
    <row r="736" spans="2:23" x14ac:dyDescent="0.2">
      <c r="B736" t="str">
        <f>IF(A736="","",IFERROR(AVERAGEIFS(nNOTA,nNIA,A736,nEVAL,CONFIG_METADATA!$B$4,nASIG,"Lenguaje Musical"),""))</f>
        <v/>
      </c>
      <c r="C736" t="str">
        <f>IF(A736="","",IFERROR(AVERAGEIFS(nNOTA,nNIA,A736,nEVAL,CONFIG_METADATA!$B$4,nASIG,"Coro"),""))</f>
        <v/>
      </c>
      <c r="D736" t="str">
        <f>IF(A736="","",IFERROR(AVERAGEIFS(nNOTA,nNIA,A736,nEVAL,CONFIG_METADATA!$B$4,nASIG,"Conjunto"),""))</f>
        <v/>
      </c>
      <c r="E736" t="str">
        <f>IF(A736="","",IFERROR(AVERAGEIFS(nNOTA,nNIA,A736,nEVAL,CONFIG_METADATA!$B$4,nASIG,"&lt;&gt;Lenguaje Musical",nASIG,"&lt;&gt;Coro",nASIG,"&lt;&gt;Conjunto"),""))</f>
        <v/>
      </c>
      <c r="N736" t="str">
        <f>IF(M736="","",IFERROR(AVERAGEIFS(nNOTA,nNIA,M736,nEVAL,CONFIG_METADATA!$B$4,nASIG,"Lenguaje Musical"),""))</f>
        <v/>
      </c>
      <c r="O736" t="str">
        <f>IF(M736="","",IFERROR(AVERAGEIFS(nNOTA,nNIA,M736,nEVAL,CONFIG_METADATA!$B$4,nASIG,"Coro"),""))</f>
        <v/>
      </c>
      <c r="P736" t="str">
        <f>IF(M736="","",IFERROR(AVERAGEIFS(nNOTA,nNIA,M736,nEVAL,CONFIG_METADATA!$B$4,nASIG,"Conjunto"),""))</f>
        <v/>
      </c>
      <c r="Q736" t="str">
        <f>IF(M736="","",IFERROR(AVERAGEIFS(nNOTA,nNIA,M736,nEVAL,CONFIG_METADATA!$B$4,nASIG,"&lt;&gt;Lenguaje Musical",nASIG,"&lt;&gt;Coro",nASIG,"&lt;&gt;Conjunto"),""))</f>
        <v/>
      </c>
      <c r="T736" t="str">
        <f>IF(S736="","",IFERROR(AVERAGEIFS(nNOTA,nNIA,S736,nEVAL,CONFIG_METADATA!$B$4,nASIG,"Lenguaje Musical"),""))</f>
        <v/>
      </c>
      <c r="U736" t="str">
        <f>IF(S736="","",IFERROR(AVERAGEIFS(nNOTA,nNIA,S736,nEVAL,CONFIG_METADATA!$B$4,nASIG,"Coro"),""))</f>
        <v/>
      </c>
      <c r="V736" t="str">
        <f>IF(S736="","",IFERROR(AVERAGEIFS(nNOTA,nNIA,S736,nEVAL,CONFIG_METADATA!$B$4,nASIG,"Conjunto"),""))</f>
        <v/>
      </c>
      <c r="W736" t="str" cm="1">
        <f t="array" ref="W736">IF(S736="","",IFERROR(AVERAGE(IF((nNIA=S736)*(nEVAL=CONFIG_METADATA!$B$4)*(nASIG&lt;&gt;"Lenguaje Musical")*(nASIG&lt;&gt;"Coro")*(nASIG&lt;&gt;"Conjunto"),nNOTA)),""))</f>
        <v/>
      </c>
    </row>
    <row r="737" spans="2:23" x14ac:dyDescent="0.2">
      <c r="B737" t="str">
        <f>IF(A737="","",IFERROR(AVERAGEIFS(nNOTA,nNIA,A737,nEVAL,CONFIG_METADATA!$B$4,nASIG,"Lenguaje Musical"),""))</f>
        <v/>
      </c>
      <c r="C737" t="str">
        <f>IF(A737="","",IFERROR(AVERAGEIFS(nNOTA,nNIA,A737,nEVAL,CONFIG_METADATA!$B$4,nASIG,"Coro"),""))</f>
        <v/>
      </c>
      <c r="D737" t="str">
        <f>IF(A737="","",IFERROR(AVERAGEIFS(nNOTA,nNIA,A737,nEVAL,CONFIG_METADATA!$B$4,nASIG,"Conjunto"),""))</f>
        <v/>
      </c>
      <c r="E737" t="str">
        <f>IF(A737="","",IFERROR(AVERAGEIFS(nNOTA,nNIA,A737,nEVAL,CONFIG_METADATA!$B$4,nASIG,"&lt;&gt;Lenguaje Musical",nASIG,"&lt;&gt;Coro",nASIG,"&lt;&gt;Conjunto"),""))</f>
        <v/>
      </c>
      <c r="N737" t="str">
        <f>IF(M737="","",IFERROR(AVERAGEIFS(nNOTA,nNIA,M737,nEVAL,CONFIG_METADATA!$B$4,nASIG,"Lenguaje Musical"),""))</f>
        <v/>
      </c>
      <c r="O737" t="str">
        <f>IF(M737="","",IFERROR(AVERAGEIFS(nNOTA,nNIA,M737,nEVAL,CONFIG_METADATA!$B$4,nASIG,"Coro"),""))</f>
        <v/>
      </c>
      <c r="P737" t="str">
        <f>IF(M737="","",IFERROR(AVERAGEIFS(nNOTA,nNIA,M737,nEVAL,CONFIG_METADATA!$B$4,nASIG,"Conjunto"),""))</f>
        <v/>
      </c>
      <c r="Q737" t="str">
        <f>IF(M737="","",IFERROR(AVERAGEIFS(nNOTA,nNIA,M737,nEVAL,CONFIG_METADATA!$B$4,nASIG,"&lt;&gt;Lenguaje Musical",nASIG,"&lt;&gt;Coro",nASIG,"&lt;&gt;Conjunto"),""))</f>
        <v/>
      </c>
      <c r="T737" t="str">
        <f>IF(S737="","",IFERROR(AVERAGEIFS(nNOTA,nNIA,S737,nEVAL,CONFIG_METADATA!$B$4,nASIG,"Lenguaje Musical"),""))</f>
        <v/>
      </c>
      <c r="U737" t="str">
        <f>IF(S737="","",IFERROR(AVERAGEIFS(nNOTA,nNIA,S737,nEVAL,CONFIG_METADATA!$B$4,nASIG,"Coro"),""))</f>
        <v/>
      </c>
      <c r="V737" t="str">
        <f>IF(S737="","",IFERROR(AVERAGEIFS(nNOTA,nNIA,S737,nEVAL,CONFIG_METADATA!$B$4,nASIG,"Conjunto"),""))</f>
        <v/>
      </c>
      <c r="W737" t="str" cm="1">
        <f t="array" ref="W737">IF(S737="","",IFERROR(AVERAGE(IF((nNIA=S737)*(nEVAL=CONFIG_METADATA!$B$4)*(nASIG&lt;&gt;"Lenguaje Musical")*(nASIG&lt;&gt;"Coro")*(nASIG&lt;&gt;"Conjunto"),nNOTA)),""))</f>
        <v/>
      </c>
    </row>
    <row r="738" spans="2:23" x14ac:dyDescent="0.2">
      <c r="B738" t="str">
        <f>IF(A738="","",IFERROR(AVERAGEIFS(nNOTA,nNIA,A738,nEVAL,CONFIG_METADATA!$B$4,nASIG,"Lenguaje Musical"),""))</f>
        <v/>
      </c>
      <c r="C738" t="str">
        <f>IF(A738="","",IFERROR(AVERAGEIFS(nNOTA,nNIA,A738,nEVAL,CONFIG_METADATA!$B$4,nASIG,"Coro"),""))</f>
        <v/>
      </c>
      <c r="D738" t="str">
        <f>IF(A738="","",IFERROR(AVERAGEIFS(nNOTA,nNIA,A738,nEVAL,CONFIG_METADATA!$B$4,nASIG,"Conjunto"),""))</f>
        <v/>
      </c>
      <c r="E738" t="str">
        <f>IF(A738="","",IFERROR(AVERAGEIFS(nNOTA,nNIA,A738,nEVAL,CONFIG_METADATA!$B$4,nASIG,"&lt;&gt;Lenguaje Musical",nASIG,"&lt;&gt;Coro",nASIG,"&lt;&gt;Conjunto"),""))</f>
        <v/>
      </c>
      <c r="N738" t="str">
        <f>IF(M738="","",IFERROR(AVERAGEIFS(nNOTA,nNIA,M738,nEVAL,CONFIG_METADATA!$B$4,nASIG,"Lenguaje Musical"),""))</f>
        <v/>
      </c>
      <c r="O738" t="str">
        <f>IF(M738="","",IFERROR(AVERAGEIFS(nNOTA,nNIA,M738,nEVAL,CONFIG_METADATA!$B$4,nASIG,"Coro"),""))</f>
        <v/>
      </c>
      <c r="P738" t="str">
        <f>IF(M738="","",IFERROR(AVERAGEIFS(nNOTA,nNIA,M738,nEVAL,CONFIG_METADATA!$B$4,nASIG,"Conjunto"),""))</f>
        <v/>
      </c>
      <c r="Q738" t="str">
        <f>IF(M738="","",IFERROR(AVERAGEIFS(nNOTA,nNIA,M738,nEVAL,CONFIG_METADATA!$B$4,nASIG,"&lt;&gt;Lenguaje Musical",nASIG,"&lt;&gt;Coro",nASIG,"&lt;&gt;Conjunto"),""))</f>
        <v/>
      </c>
      <c r="T738" t="str">
        <f>IF(S738="","",IFERROR(AVERAGEIFS(nNOTA,nNIA,S738,nEVAL,CONFIG_METADATA!$B$4,nASIG,"Lenguaje Musical"),""))</f>
        <v/>
      </c>
      <c r="U738" t="str">
        <f>IF(S738="","",IFERROR(AVERAGEIFS(nNOTA,nNIA,S738,nEVAL,CONFIG_METADATA!$B$4,nASIG,"Coro"),""))</f>
        <v/>
      </c>
      <c r="V738" t="str">
        <f>IF(S738="","",IFERROR(AVERAGEIFS(nNOTA,nNIA,S738,nEVAL,CONFIG_METADATA!$B$4,nASIG,"Conjunto"),""))</f>
        <v/>
      </c>
      <c r="W738" t="str" cm="1">
        <f t="array" ref="W738">IF(S738="","",IFERROR(AVERAGE(IF((nNIA=S738)*(nEVAL=CONFIG_METADATA!$B$4)*(nASIG&lt;&gt;"Lenguaje Musical")*(nASIG&lt;&gt;"Coro")*(nASIG&lt;&gt;"Conjunto"),nNOTA)),""))</f>
        <v/>
      </c>
    </row>
    <row r="739" spans="2:23" x14ac:dyDescent="0.2">
      <c r="B739" t="str">
        <f>IF(A739="","",IFERROR(AVERAGEIFS(nNOTA,nNIA,A739,nEVAL,CONFIG_METADATA!$B$4,nASIG,"Lenguaje Musical"),""))</f>
        <v/>
      </c>
      <c r="C739" t="str">
        <f>IF(A739="","",IFERROR(AVERAGEIFS(nNOTA,nNIA,A739,nEVAL,CONFIG_METADATA!$B$4,nASIG,"Coro"),""))</f>
        <v/>
      </c>
      <c r="D739" t="str">
        <f>IF(A739="","",IFERROR(AVERAGEIFS(nNOTA,nNIA,A739,nEVAL,CONFIG_METADATA!$B$4,nASIG,"Conjunto"),""))</f>
        <v/>
      </c>
      <c r="E739" t="str">
        <f>IF(A739="","",IFERROR(AVERAGEIFS(nNOTA,nNIA,A739,nEVAL,CONFIG_METADATA!$B$4,nASIG,"&lt;&gt;Lenguaje Musical",nASIG,"&lt;&gt;Coro",nASIG,"&lt;&gt;Conjunto"),""))</f>
        <v/>
      </c>
      <c r="N739" t="str">
        <f>IF(M739="","",IFERROR(AVERAGEIFS(nNOTA,nNIA,M739,nEVAL,CONFIG_METADATA!$B$4,nASIG,"Lenguaje Musical"),""))</f>
        <v/>
      </c>
      <c r="O739" t="str">
        <f>IF(M739="","",IFERROR(AVERAGEIFS(nNOTA,nNIA,M739,nEVAL,CONFIG_METADATA!$B$4,nASIG,"Coro"),""))</f>
        <v/>
      </c>
      <c r="P739" t="str">
        <f>IF(M739="","",IFERROR(AVERAGEIFS(nNOTA,nNIA,M739,nEVAL,CONFIG_METADATA!$B$4,nASIG,"Conjunto"),""))</f>
        <v/>
      </c>
      <c r="Q739" t="str">
        <f>IF(M739="","",IFERROR(AVERAGEIFS(nNOTA,nNIA,M739,nEVAL,CONFIG_METADATA!$B$4,nASIG,"&lt;&gt;Lenguaje Musical",nASIG,"&lt;&gt;Coro",nASIG,"&lt;&gt;Conjunto"),""))</f>
        <v/>
      </c>
      <c r="T739" t="str">
        <f>IF(S739="","",IFERROR(AVERAGEIFS(nNOTA,nNIA,S739,nEVAL,CONFIG_METADATA!$B$4,nASIG,"Lenguaje Musical"),""))</f>
        <v/>
      </c>
      <c r="U739" t="str">
        <f>IF(S739="","",IFERROR(AVERAGEIFS(nNOTA,nNIA,S739,nEVAL,CONFIG_METADATA!$B$4,nASIG,"Coro"),""))</f>
        <v/>
      </c>
      <c r="V739" t="str">
        <f>IF(S739="","",IFERROR(AVERAGEIFS(nNOTA,nNIA,S739,nEVAL,CONFIG_METADATA!$B$4,nASIG,"Conjunto"),""))</f>
        <v/>
      </c>
      <c r="W739" t="str" cm="1">
        <f t="array" ref="W739">IF(S739="","",IFERROR(AVERAGE(IF((nNIA=S739)*(nEVAL=CONFIG_METADATA!$B$4)*(nASIG&lt;&gt;"Lenguaje Musical")*(nASIG&lt;&gt;"Coro")*(nASIG&lt;&gt;"Conjunto"),nNOTA)),""))</f>
        <v/>
      </c>
    </row>
    <row r="740" spans="2:23" x14ac:dyDescent="0.2">
      <c r="B740" t="str">
        <f>IF(A740="","",IFERROR(AVERAGEIFS(nNOTA,nNIA,A740,nEVAL,CONFIG_METADATA!$B$4,nASIG,"Lenguaje Musical"),""))</f>
        <v/>
      </c>
      <c r="C740" t="str">
        <f>IF(A740="","",IFERROR(AVERAGEIFS(nNOTA,nNIA,A740,nEVAL,CONFIG_METADATA!$B$4,nASIG,"Coro"),""))</f>
        <v/>
      </c>
      <c r="D740" t="str">
        <f>IF(A740="","",IFERROR(AVERAGEIFS(nNOTA,nNIA,A740,nEVAL,CONFIG_METADATA!$B$4,nASIG,"Conjunto"),""))</f>
        <v/>
      </c>
      <c r="E740" t="str">
        <f>IF(A740="","",IFERROR(AVERAGEIFS(nNOTA,nNIA,A740,nEVAL,CONFIG_METADATA!$B$4,nASIG,"&lt;&gt;Lenguaje Musical",nASIG,"&lt;&gt;Coro",nASIG,"&lt;&gt;Conjunto"),""))</f>
        <v/>
      </c>
      <c r="N740" t="str">
        <f>IF(M740="","",IFERROR(AVERAGEIFS(nNOTA,nNIA,M740,nEVAL,CONFIG_METADATA!$B$4,nASIG,"Lenguaje Musical"),""))</f>
        <v/>
      </c>
      <c r="O740" t="str">
        <f>IF(M740="","",IFERROR(AVERAGEIFS(nNOTA,nNIA,M740,nEVAL,CONFIG_METADATA!$B$4,nASIG,"Coro"),""))</f>
        <v/>
      </c>
      <c r="P740" t="str">
        <f>IF(M740="","",IFERROR(AVERAGEIFS(nNOTA,nNIA,M740,nEVAL,CONFIG_METADATA!$B$4,nASIG,"Conjunto"),""))</f>
        <v/>
      </c>
      <c r="Q740" t="str">
        <f>IF(M740="","",IFERROR(AVERAGEIFS(nNOTA,nNIA,M740,nEVAL,CONFIG_METADATA!$B$4,nASIG,"&lt;&gt;Lenguaje Musical",nASIG,"&lt;&gt;Coro",nASIG,"&lt;&gt;Conjunto"),""))</f>
        <v/>
      </c>
      <c r="T740" t="str">
        <f>IF(S740="","",IFERROR(AVERAGEIFS(nNOTA,nNIA,S740,nEVAL,CONFIG_METADATA!$B$4,nASIG,"Lenguaje Musical"),""))</f>
        <v/>
      </c>
      <c r="U740" t="str">
        <f>IF(S740="","",IFERROR(AVERAGEIFS(nNOTA,nNIA,S740,nEVAL,CONFIG_METADATA!$B$4,nASIG,"Coro"),""))</f>
        <v/>
      </c>
      <c r="V740" t="str">
        <f>IF(S740="","",IFERROR(AVERAGEIFS(nNOTA,nNIA,S740,nEVAL,CONFIG_METADATA!$B$4,nASIG,"Conjunto"),""))</f>
        <v/>
      </c>
      <c r="W740" t="str" cm="1">
        <f t="array" ref="W740">IF(S740="","",IFERROR(AVERAGE(IF((nNIA=S740)*(nEVAL=CONFIG_METADATA!$B$4)*(nASIG&lt;&gt;"Lenguaje Musical")*(nASIG&lt;&gt;"Coro")*(nASIG&lt;&gt;"Conjunto"),nNOTA)),""))</f>
        <v/>
      </c>
    </row>
    <row r="741" spans="2:23" x14ac:dyDescent="0.2">
      <c r="B741" t="str">
        <f>IF(A741="","",IFERROR(AVERAGEIFS(nNOTA,nNIA,A741,nEVAL,CONFIG_METADATA!$B$4,nASIG,"Lenguaje Musical"),""))</f>
        <v/>
      </c>
      <c r="C741" t="str">
        <f>IF(A741="","",IFERROR(AVERAGEIFS(nNOTA,nNIA,A741,nEVAL,CONFIG_METADATA!$B$4,nASIG,"Coro"),""))</f>
        <v/>
      </c>
      <c r="D741" t="str">
        <f>IF(A741="","",IFERROR(AVERAGEIFS(nNOTA,nNIA,A741,nEVAL,CONFIG_METADATA!$B$4,nASIG,"Conjunto"),""))</f>
        <v/>
      </c>
      <c r="E741" t="str">
        <f>IF(A741="","",IFERROR(AVERAGEIFS(nNOTA,nNIA,A741,nEVAL,CONFIG_METADATA!$B$4,nASIG,"&lt;&gt;Lenguaje Musical",nASIG,"&lt;&gt;Coro",nASIG,"&lt;&gt;Conjunto"),""))</f>
        <v/>
      </c>
      <c r="N741" t="str">
        <f>IF(M741="","",IFERROR(AVERAGEIFS(nNOTA,nNIA,M741,nEVAL,CONFIG_METADATA!$B$4,nASIG,"Lenguaje Musical"),""))</f>
        <v/>
      </c>
      <c r="O741" t="str">
        <f>IF(M741="","",IFERROR(AVERAGEIFS(nNOTA,nNIA,M741,nEVAL,CONFIG_METADATA!$B$4,nASIG,"Coro"),""))</f>
        <v/>
      </c>
      <c r="P741" t="str">
        <f>IF(M741="","",IFERROR(AVERAGEIFS(nNOTA,nNIA,M741,nEVAL,CONFIG_METADATA!$B$4,nASIG,"Conjunto"),""))</f>
        <v/>
      </c>
      <c r="Q741" t="str">
        <f>IF(M741="","",IFERROR(AVERAGEIFS(nNOTA,nNIA,M741,nEVAL,CONFIG_METADATA!$B$4,nASIG,"&lt;&gt;Lenguaje Musical",nASIG,"&lt;&gt;Coro",nASIG,"&lt;&gt;Conjunto"),""))</f>
        <v/>
      </c>
      <c r="T741" t="str">
        <f>IF(S741="","",IFERROR(AVERAGEIFS(nNOTA,nNIA,S741,nEVAL,CONFIG_METADATA!$B$4,nASIG,"Lenguaje Musical"),""))</f>
        <v/>
      </c>
      <c r="U741" t="str">
        <f>IF(S741="","",IFERROR(AVERAGEIFS(nNOTA,nNIA,S741,nEVAL,CONFIG_METADATA!$B$4,nASIG,"Coro"),""))</f>
        <v/>
      </c>
      <c r="V741" t="str">
        <f>IF(S741="","",IFERROR(AVERAGEIFS(nNOTA,nNIA,S741,nEVAL,CONFIG_METADATA!$B$4,nASIG,"Conjunto"),""))</f>
        <v/>
      </c>
      <c r="W741" t="str" cm="1">
        <f t="array" ref="W741">IF(S741="","",IFERROR(AVERAGE(IF((nNIA=S741)*(nEVAL=CONFIG_METADATA!$B$4)*(nASIG&lt;&gt;"Lenguaje Musical")*(nASIG&lt;&gt;"Coro")*(nASIG&lt;&gt;"Conjunto"),nNOTA)),""))</f>
        <v/>
      </c>
    </row>
    <row r="742" spans="2:23" x14ac:dyDescent="0.2">
      <c r="B742" t="str">
        <f>IF(A742="","",IFERROR(AVERAGEIFS(nNOTA,nNIA,A742,nEVAL,CONFIG_METADATA!$B$4,nASIG,"Lenguaje Musical"),""))</f>
        <v/>
      </c>
      <c r="C742" t="str">
        <f>IF(A742="","",IFERROR(AVERAGEIFS(nNOTA,nNIA,A742,nEVAL,CONFIG_METADATA!$B$4,nASIG,"Coro"),""))</f>
        <v/>
      </c>
      <c r="D742" t="str">
        <f>IF(A742="","",IFERROR(AVERAGEIFS(nNOTA,nNIA,A742,nEVAL,CONFIG_METADATA!$B$4,nASIG,"Conjunto"),""))</f>
        <v/>
      </c>
      <c r="E742" t="str">
        <f>IF(A742="","",IFERROR(AVERAGEIFS(nNOTA,nNIA,A742,nEVAL,CONFIG_METADATA!$B$4,nASIG,"&lt;&gt;Lenguaje Musical",nASIG,"&lt;&gt;Coro",nASIG,"&lt;&gt;Conjunto"),""))</f>
        <v/>
      </c>
      <c r="N742" t="str">
        <f>IF(M742="","",IFERROR(AVERAGEIFS(nNOTA,nNIA,M742,nEVAL,CONFIG_METADATA!$B$4,nASIG,"Lenguaje Musical"),""))</f>
        <v/>
      </c>
      <c r="O742" t="str">
        <f>IF(M742="","",IFERROR(AVERAGEIFS(nNOTA,nNIA,M742,nEVAL,CONFIG_METADATA!$B$4,nASIG,"Coro"),""))</f>
        <v/>
      </c>
      <c r="P742" t="str">
        <f>IF(M742="","",IFERROR(AVERAGEIFS(nNOTA,nNIA,M742,nEVAL,CONFIG_METADATA!$B$4,nASIG,"Conjunto"),""))</f>
        <v/>
      </c>
      <c r="Q742" t="str">
        <f>IF(M742="","",IFERROR(AVERAGEIFS(nNOTA,nNIA,M742,nEVAL,CONFIG_METADATA!$B$4,nASIG,"&lt;&gt;Lenguaje Musical",nASIG,"&lt;&gt;Coro",nASIG,"&lt;&gt;Conjunto"),""))</f>
        <v/>
      </c>
      <c r="T742" t="str">
        <f>IF(S742="","",IFERROR(AVERAGEIFS(nNOTA,nNIA,S742,nEVAL,CONFIG_METADATA!$B$4,nASIG,"Lenguaje Musical"),""))</f>
        <v/>
      </c>
      <c r="U742" t="str">
        <f>IF(S742="","",IFERROR(AVERAGEIFS(nNOTA,nNIA,S742,nEVAL,CONFIG_METADATA!$B$4,nASIG,"Coro"),""))</f>
        <v/>
      </c>
      <c r="V742" t="str">
        <f>IF(S742="","",IFERROR(AVERAGEIFS(nNOTA,nNIA,S742,nEVAL,CONFIG_METADATA!$B$4,nASIG,"Conjunto"),""))</f>
        <v/>
      </c>
      <c r="W742" t="str" cm="1">
        <f t="array" ref="W742">IF(S742="","",IFERROR(AVERAGE(IF((nNIA=S742)*(nEVAL=CONFIG_METADATA!$B$4)*(nASIG&lt;&gt;"Lenguaje Musical")*(nASIG&lt;&gt;"Coro")*(nASIG&lt;&gt;"Conjunto"),nNOTA)),""))</f>
        <v/>
      </c>
    </row>
    <row r="743" spans="2:23" x14ac:dyDescent="0.2">
      <c r="B743" t="str">
        <f>IF(A743="","",IFERROR(AVERAGEIFS(nNOTA,nNIA,A743,nEVAL,CONFIG_METADATA!$B$4,nASIG,"Lenguaje Musical"),""))</f>
        <v/>
      </c>
      <c r="C743" t="str">
        <f>IF(A743="","",IFERROR(AVERAGEIFS(nNOTA,nNIA,A743,nEVAL,CONFIG_METADATA!$B$4,nASIG,"Coro"),""))</f>
        <v/>
      </c>
      <c r="D743" t="str">
        <f>IF(A743="","",IFERROR(AVERAGEIFS(nNOTA,nNIA,A743,nEVAL,CONFIG_METADATA!$B$4,nASIG,"Conjunto"),""))</f>
        <v/>
      </c>
      <c r="E743" t="str">
        <f>IF(A743="","",IFERROR(AVERAGEIFS(nNOTA,nNIA,A743,nEVAL,CONFIG_METADATA!$B$4,nASIG,"&lt;&gt;Lenguaje Musical",nASIG,"&lt;&gt;Coro",nASIG,"&lt;&gt;Conjunto"),""))</f>
        <v/>
      </c>
      <c r="N743" t="str">
        <f>IF(M743="","",IFERROR(AVERAGEIFS(nNOTA,nNIA,M743,nEVAL,CONFIG_METADATA!$B$4,nASIG,"Lenguaje Musical"),""))</f>
        <v/>
      </c>
      <c r="O743" t="str">
        <f>IF(M743="","",IFERROR(AVERAGEIFS(nNOTA,nNIA,M743,nEVAL,CONFIG_METADATA!$B$4,nASIG,"Coro"),""))</f>
        <v/>
      </c>
      <c r="P743" t="str">
        <f>IF(M743="","",IFERROR(AVERAGEIFS(nNOTA,nNIA,M743,nEVAL,CONFIG_METADATA!$B$4,nASIG,"Conjunto"),""))</f>
        <v/>
      </c>
      <c r="Q743" t="str">
        <f>IF(M743="","",IFERROR(AVERAGEIFS(nNOTA,nNIA,M743,nEVAL,CONFIG_METADATA!$B$4,nASIG,"&lt;&gt;Lenguaje Musical",nASIG,"&lt;&gt;Coro",nASIG,"&lt;&gt;Conjunto"),""))</f>
        <v/>
      </c>
      <c r="T743" t="str">
        <f>IF(S743="","",IFERROR(AVERAGEIFS(nNOTA,nNIA,S743,nEVAL,CONFIG_METADATA!$B$4,nASIG,"Lenguaje Musical"),""))</f>
        <v/>
      </c>
      <c r="U743" t="str">
        <f>IF(S743="","",IFERROR(AVERAGEIFS(nNOTA,nNIA,S743,nEVAL,CONFIG_METADATA!$B$4,nASIG,"Coro"),""))</f>
        <v/>
      </c>
      <c r="V743" t="str">
        <f>IF(S743="","",IFERROR(AVERAGEIFS(nNOTA,nNIA,S743,nEVAL,CONFIG_METADATA!$B$4,nASIG,"Conjunto"),""))</f>
        <v/>
      </c>
      <c r="W743" t="str" cm="1">
        <f t="array" ref="W743">IF(S743="","",IFERROR(AVERAGE(IF((nNIA=S743)*(nEVAL=CONFIG_METADATA!$B$4)*(nASIG&lt;&gt;"Lenguaje Musical")*(nASIG&lt;&gt;"Coro")*(nASIG&lt;&gt;"Conjunto"),nNOTA)),""))</f>
        <v/>
      </c>
    </row>
    <row r="744" spans="2:23" x14ac:dyDescent="0.2">
      <c r="B744" t="str">
        <f>IF(A744="","",IFERROR(AVERAGEIFS(nNOTA,nNIA,A744,nEVAL,CONFIG_METADATA!$B$4,nASIG,"Lenguaje Musical"),""))</f>
        <v/>
      </c>
      <c r="C744" t="str">
        <f>IF(A744="","",IFERROR(AVERAGEIFS(nNOTA,nNIA,A744,nEVAL,CONFIG_METADATA!$B$4,nASIG,"Coro"),""))</f>
        <v/>
      </c>
      <c r="D744" t="str">
        <f>IF(A744="","",IFERROR(AVERAGEIFS(nNOTA,nNIA,A744,nEVAL,CONFIG_METADATA!$B$4,nASIG,"Conjunto"),""))</f>
        <v/>
      </c>
      <c r="E744" t="str">
        <f>IF(A744="","",IFERROR(AVERAGEIFS(nNOTA,nNIA,A744,nEVAL,CONFIG_METADATA!$B$4,nASIG,"&lt;&gt;Lenguaje Musical",nASIG,"&lt;&gt;Coro",nASIG,"&lt;&gt;Conjunto"),""))</f>
        <v/>
      </c>
      <c r="N744" t="str">
        <f>IF(M744="","",IFERROR(AVERAGEIFS(nNOTA,nNIA,M744,nEVAL,CONFIG_METADATA!$B$4,nASIG,"Lenguaje Musical"),""))</f>
        <v/>
      </c>
      <c r="O744" t="str">
        <f>IF(M744="","",IFERROR(AVERAGEIFS(nNOTA,nNIA,M744,nEVAL,CONFIG_METADATA!$B$4,nASIG,"Coro"),""))</f>
        <v/>
      </c>
      <c r="P744" t="str">
        <f>IF(M744="","",IFERROR(AVERAGEIFS(nNOTA,nNIA,M744,nEVAL,CONFIG_METADATA!$B$4,nASIG,"Conjunto"),""))</f>
        <v/>
      </c>
      <c r="Q744" t="str">
        <f>IF(M744="","",IFERROR(AVERAGEIFS(nNOTA,nNIA,M744,nEVAL,CONFIG_METADATA!$B$4,nASIG,"&lt;&gt;Lenguaje Musical",nASIG,"&lt;&gt;Coro",nASIG,"&lt;&gt;Conjunto"),""))</f>
        <v/>
      </c>
      <c r="T744" t="str">
        <f>IF(S744="","",IFERROR(AVERAGEIFS(nNOTA,nNIA,S744,nEVAL,CONFIG_METADATA!$B$4,nASIG,"Lenguaje Musical"),""))</f>
        <v/>
      </c>
      <c r="U744" t="str">
        <f>IF(S744="","",IFERROR(AVERAGEIFS(nNOTA,nNIA,S744,nEVAL,CONFIG_METADATA!$B$4,nASIG,"Coro"),""))</f>
        <v/>
      </c>
      <c r="V744" t="str">
        <f>IF(S744="","",IFERROR(AVERAGEIFS(nNOTA,nNIA,S744,nEVAL,CONFIG_METADATA!$B$4,nASIG,"Conjunto"),""))</f>
        <v/>
      </c>
      <c r="W744" t="str" cm="1">
        <f t="array" ref="W744">IF(S744="","",IFERROR(AVERAGE(IF((nNIA=S744)*(nEVAL=CONFIG_METADATA!$B$4)*(nASIG&lt;&gt;"Lenguaje Musical")*(nASIG&lt;&gt;"Coro")*(nASIG&lt;&gt;"Conjunto"),nNOTA)),""))</f>
        <v/>
      </c>
    </row>
    <row r="745" spans="2:23" x14ac:dyDescent="0.2">
      <c r="B745" t="str">
        <f>IF(A745="","",IFERROR(AVERAGEIFS(nNOTA,nNIA,A745,nEVAL,CONFIG_METADATA!$B$4,nASIG,"Lenguaje Musical"),""))</f>
        <v/>
      </c>
      <c r="C745" t="str">
        <f>IF(A745="","",IFERROR(AVERAGEIFS(nNOTA,nNIA,A745,nEVAL,CONFIG_METADATA!$B$4,nASIG,"Coro"),""))</f>
        <v/>
      </c>
      <c r="D745" t="str">
        <f>IF(A745="","",IFERROR(AVERAGEIFS(nNOTA,nNIA,A745,nEVAL,CONFIG_METADATA!$B$4,nASIG,"Conjunto"),""))</f>
        <v/>
      </c>
      <c r="E745" t="str">
        <f>IF(A745="","",IFERROR(AVERAGEIFS(nNOTA,nNIA,A745,nEVAL,CONFIG_METADATA!$B$4,nASIG,"&lt;&gt;Lenguaje Musical",nASIG,"&lt;&gt;Coro",nASIG,"&lt;&gt;Conjunto"),""))</f>
        <v/>
      </c>
      <c r="N745" t="str">
        <f>IF(M745="","",IFERROR(AVERAGEIFS(nNOTA,nNIA,M745,nEVAL,CONFIG_METADATA!$B$4,nASIG,"Lenguaje Musical"),""))</f>
        <v/>
      </c>
      <c r="O745" t="str">
        <f>IF(M745="","",IFERROR(AVERAGEIFS(nNOTA,nNIA,M745,nEVAL,CONFIG_METADATA!$B$4,nASIG,"Coro"),""))</f>
        <v/>
      </c>
      <c r="P745" t="str">
        <f>IF(M745="","",IFERROR(AVERAGEIFS(nNOTA,nNIA,M745,nEVAL,CONFIG_METADATA!$B$4,nASIG,"Conjunto"),""))</f>
        <v/>
      </c>
      <c r="Q745" t="str">
        <f>IF(M745="","",IFERROR(AVERAGEIFS(nNOTA,nNIA,M745,nEVAL,CONFIG_METADATA!$B$4,nASIG,"&lt;&gt;Lenguaje Musical",nASIG,"&lt;&gt;Coro",nASIG,"&lt;&gt;Conjunto"),""))</f>
        <v/>
      </c>
      <c r="T745" t="str">
        <f>IF(S745="","",IFERROR(AVERAGEIFS(nNOTA,nNIA,S745,nEVAL,CONFIG_METADATA!$B$4,nASIG,"Lenguaje Musical"),""))</f>
        <v/>
      </c>
      <c r="U745" t="str">
        <f>IF(S745="","",IFERROR(AVERAGEIFS(nNOTA,nNIA,S745,nEVAL,CONFIG_METADATA!$B$4,nASIG,"Coro"),""))</f>
        <v/>
      </c>
      <c r="V745" t="str">
        <f>IF(S745="","",IFERROR(AVERAGEIFS(nNOTA,nNIA,S745,nEVAL,CONFIG_METADATA!$B$4,nASIG,"Conjunto"),""))</f>
        <v/>
      </c>
      <c r="W745" t="str" cm="1">
        <f t="array" ref="W745">IF(S745="","",IFERROR(AVERAGE(IF((nNIA=S745)*(nEVAL=CONFIG_METADATA!$B$4)*(nASIG&lt;&gt;"Lenguaje Musical")*(nASIG&lt;&gt;"Coro")*(nASIG&lt;&gt;"Conjunto"),nNOTA)),""))</f>
        <v/>
      </c>
    </row>
    <row r="746" spans="2:23" x14ac:dyDescent="0.2">
      <c r="B746" t="str">
        <f>IF(A746="","",IFERROR(AVERAGEIFS(nNOTA,nNIA,A746,nEVAL,CONFIG_METADATA!$B$4,nASIG,"Lenguaje Musical"),""))</f>
        <v/>
      </c>
      <c r="C746" t="str">
        <f>IF(A746="","",IFERROR(AVERAGEIFS(nNOTA,nNIA,A746,nEVAL,CONFIG_METADATA!$B$4,nASIG,"Coro"),""))</f>
        <v/>
      </c>
      <c r="D746" t="str">
        <f>IF(A746="","",IFERROR(AVERAGEIFS(nNOTA,nNIA,A746,nEVAL,CONFIG_METADATA!$B$4,nASIG,"Conjunto"),""))</f>
        <v/>
      </c>
      <c r="E746" t="str">
        <f>IF(A746="","",IFERROR(AVERAGEIFS(nNOTA,nNIA,A746,nEVAL,CONFIG_METADATA!$B$4,nASIG,"&lt;&gt;Lenguaje Musical",nASIG,"&lt;&gt;Coro",nASIG,"&lt;&gt;Conjunto"),""))</f>
        <v/>
      </c>
      <c r="N746" t="str">
        <f>IF(M746="","",IFERROR(AVERAGEIFS(nNOTA,nNIA,M746,nEVAL,CONFIG_METADATA!$B$4,nASIG,"Lenguaje Musical"),""))</f>
        <v/>
      </c>
      <c r="O746" t="str">
        <f>IF(M746="","",IFERROR(AVERAGEIFS(nNOTA,nNIA,M746,nEVAL,CONFIG_METADATA!$B$4,nASIG,"Coro"),""))</f>
        <v/>
      </c>
      <c r="P746" t="str">
        <f>IF(M746="","",IFERROR(AVERAGEIFS(nNOTA,nNIA,M746,nEVAL,CONFIG_METADATA!$B$4,nASIG,"Conjunto"),""))</f>
        <v/>
      </c>
      <c r="Q746" t="str">
        <f>IF(M746="","",IFERROR(AVERAGEIFS(nNOTA,nNIA,M746,nEVAL,CONFIG_METADATA!$B$4,nASIG,"&lt;&gt;Lenguaje Musical",nASIG,"&lt;&gt;Coro",nASIG,"&lt;&gt;Conjunto"),""))</f>
        <v/>
      </c>
      <c r="T746" t="str">
        <f>IF(S746="","",IFERROR(AVERAGEIFS(nNOTA,nNIA,S746,nEVAL,CONFIG_METADATA!$B$4,nASIG,"Lenguaje Musical"),""))</f>
        <v/>
      </c>
      <c r="U746" t="str">
        <f>IF(S746="","",IFERROR(AVERAGEIFS(nNOTA,nNIA,S746,nEVAL,CONFIG_METADATA!$B$4,nASIG,"Coro"),""))</f>
        <v/>
      </c>
      <c r="V746" t="str">
        <f>IF(S746="","",IFERROR(AVERAGEIFS(nNOTA,nNIA,S746,nEVAL,CONFIG_METADATA!$B$4,nASIG,"Conjunto"),""))</f>
        <v/>
      </c>
      <c r="W746" t="str" cm="1">
        <f t="array" ref="W746">IF(S746="","",IFERROR(AVERAGE(IF((nNIA=S746)*(nEVAL=CONFIG_METADATA!$B$4)*(nASIG&lt;&gt;"Lenguaje Musical")*(nASIG&lt;&gt;"Coro")*(nASIG&lt;&gt;"Conjunto"),nNOTA)),""))</f>
        <v/>
      </c>
    </row>
    <row r="747" spans="2:23" x14ac:dyDescent="0.2">
      <c r="B747" t="str">
        <f>IF(A747="","",IFERROR(AVERAGEIFS(nNOTA,nNIA,A747,nEVAL,CONFIG_METADATA!$B$4,nASIG,"Lenguaje Musical"),""))</f>
        <v/>
      </c>
      <c r="C747" t="str">
        <f>IF(A747="","",IFERROR(AVERAGEIFS(nNOTA,nNIA,A747,nEVAL,CONFIG_METADATA!$B$4,nASIG,"Coro"),""))</f>
        <v/>
      </c>
      <c r="D747" t="str">
        <f>IF(A747="","",IFERROR(AVERAGEIFS(nNOTA,nNIA,A747,nEVAL,CONFIG_METADATA!$B$4,nASIG,"Conjunto"),""))</f>
        <v/>
      </c>
      <c r="E747" t="str">
        <f>IF(A747="","",IFERROR(AVERAGEIFS(nNOTA,nNIA,A747,nEVAL,CONFIG_METADATA!$B$4,nASIG,"&lt;&gt;Lenguaje Musical",nASIG,"&lt;&gt;Coro",nASIG,"&lt;&gt;Conjunto"),""))</f>
        <v/>
      </c>
      <c r="N747" t="str">
        <f>IF(M747="","",IFERROR(AVERAGEIFS(nNOTA,nNIA,M747,nEVAL,CONFIG_METADATA!$B$4,nASIG,"Lenguaje Musical"),""))</f>
        <v/>
      </c>
      <c r="O747" t="str">
        <f>IF(M747="","",IFERROR(AVERAGEIFS(nNOTA,nNIA,M747,nEVAL,CONFIG_METADATA!$B$4,nASIG,"Coro"),""))</f>
        <v/>
      </c>
      <c r="P747" t="str">
        <f>IF(M747="","",IFERROR(AVERAGEIFS(nNOTA,nNIA,M747,nEVAL,CONFIG_METADATA!$B$4,nASIG,"Conjunto"),""))</f>
        <v/>
      </c>
      <c r="Q747" t="str">
        <f>IF(M747="","",IFERROR(AVERAGEIFS(nNOTA,nNIA,M747,nEVAL,CONFIG_METADATA!$B$4,nASIG,"&lt;&gt;Lenguaje Musical",nASIG,"&lt;&gt;Coro",nASIG,"&lt;&gt;Conjunto"),""))</f>
        <v/>
      </c>
      <c r="T747" t="str">
        <f>IF(S747="","",IFERROR(AVERAGEIFS(nNOTA,nNIA,S747,nEVAL,CONFIG_METADATA!$B$4,nASIG,"Lenguaje Musical"),""))</f>
        <v/>
      </c>
      <c r="U747" t="str">
        <f>IF(S747="","",IFERROR(AVERAGEIFS(nNOTA,nNIA,S747,nEVAL,CONFIG_METADATA!$B$4,nASIG,"Coro"),""))</f>
        <v/>
      </c>
      <c r="V747" t="str">
        <f>IF(S747="","",IFERROR(AVERAGEIFS(nNOTA,nNIA,S747,nEVAL,CONFIG_METADATA!$B$4,nASIG,"Conjunto"),""))</f>
        <v/>
      </c>
      <c r="W747" t="str" cm="1">
        <f t="array" ref="W747">IF(S747="","",IFERROR(AVERAGE(IF((nNIA=S747)*(nEVAL=CONFIG_METADATA!$B$4)*(nASIG&lt;&gt;"Lenguaje Musical")*(nASIG&lt;&gt;"Coro")*(nASIG&lt;&gt;"Conjunto"),nNOTA)),""))</f>
        <v/>
      </c>
    </row>
    <row r="748" spans="2:23" x14ac:dyDescent="0.2">
      <c r="B748" t="str">
        <f>IF(A748="","",IFERROR(AVERAGEIFS(nNOTA,nNIA,A748,nEVAL,CONFIG_METADATA!$B$4,nASIG,"Lenguaje Musical"),""))</f>
        <v/>
      </c>
      <c r="C748" t="str">
        <f>IF(A748="","",IFERROR(AVERAGEIFS(nNOTA,nNIA,A748,nEVAL,CONFIG_METADATA!$B$4,nASIG,"Coro"),""))</f>
        <v/>
      </c>
      <c r="D748" t="str">
        <f>IF(A748="","",IFERROR(AVERAGEIFS(nNOTA,nNIA,A748,nEVAL,CONFIG_METADATA!$B$4,nASIG,"Conjunto"),""))</f>
        <v/>
      </c>
      <c r="E748" t="str">
        <f>IF(A748="","",IFERROR(AVERAGEIFS(nNOTA,nNIA,A748,nEVAL,CONFIG_METADATA!$B$4,nASIG,"&lt;&gt;Lenguaje Musical",nASIG,"&lt;&gt;Coro",nASIG,"&lt;&gt;Conjunto"),""))</f>
        <v/>
      </c>
      <c r="N748" t="str">
        <f>IF(M748="","",IFERROR(AVERAGEIFS(nNOTA,nNIA,M748,nEVAL,CONFIG_METADATA!$B$4,nASIG,"Lenguaje Musical"),""))</f>
        <v/>
      </c>
      <c r="O748" t="str">
        <f>IF(M748="","",IFERROR(AVERAGEIFS(nNOTA,nNIA,M748,nEVAL,CONFIG_METADATA!$B$4,nASIG,"Coro"),""))</f>
        <v/>
      </c>
      <c r="P748" t="str">
        <f>IF(M748="","",IFERROR(AVERAGEIFS(nNOTA,nNIA,M748,nEVAL,CONFIG_METADATA!$B$4,nASIG,"Conjunto"),""))</f>
        <v/>
      </c>
      <c r="Q748" t="str">
        <f>IF(M748="","",IFERROR(AVERAGEIFS(nNOTA,nNIA,M748,nEVAL,CONFIG_METADATA!$B$4,nASIG,"&lt;&gt;Lenguaje Musical",nASIG,"&lt;&gt;Coro",nASIG,"&lt;&gt;Conjunto"),""))</f>
        <v/>
      </c>
      <c r="T748" t="str">
        <f>IF(S748="","",IFERROR(AVERAGEIFS(nNOTA,nNIA,S748,nEVAL,CONFIG_METADATA!$B$4,nASIG,"Lenguaje Musical"),""))</f>
        <v/>
      </c>
      <c r="U748" t="str">
        <f>IF(S748="","",IFERROR(AVERAGEIFS(nNOTA,nNIA,S748,nEVAL,CONFIG_METADATA!$B$4,nASIG,"Coro"),""))</f>
        <v/>
      </c>
      <c r="V748" t="str">
        <f>IF(S748="","",IFERROR(AVERAGEIFS(nNOTA,nNIA,S748,nEVAL,CONFIG_METADATA!$B$4,nASIG,"Conjunto"),""))</f>
        <v/>
      </c>
      <c r="W748" t="str" cm="1">
        <f t="array" ref="W748">IF(S748="","",IFERROR(AVERAGE(IF((nNIA=S748)*(nEVAL=CONFIG_METADATA!$B$4)*(nASIG&lt;&gt;"Lenguaje Musical")*(nASIG&lt;&gt;"Coro")*(nASIG&lt;&gt;"Conjunto"),nNOTA)),""))</f>
        <v/>
      </c>
    </row>
    <row r="749" spans="2:23" x14ac:dyDescent="0.2">
      <c r="B749" t="str">
        <f>IF(A749="","",IFERROR(AVERAGEIFS(nNOTA,nNIA,A749,nEVAL,CONFIG_METADATA!$B$4,nASIG,"Lenguaje Musical"),""))</f>
        <v/>
      </c>
      <c r="C749" t="str">
        <f>IF(A749="","",IFERROR(AVERAGEIFS(nNOTA,nNIA,A749,nEVAL,CONFIG_METADATA!$B$4,nASIG,"Coro"),""))</f>
        <v/>
      </c>
      <c r="D749" t="str">
        <f>IF(A749="","",IFERROR(AVERAGEIFS(nNOTA,nNIA,A749,nEVAL,CONFIG_METADATA!$B$4,nASIG,"Conjunto"),""))</f>
        <v/>
      </c>
      <c r="E749" t="str">
        <f>IF(A749="","",IFERROR(AVERAGEIFS(nNOTA,nNIA,A749,nEVAL,CONFIG_METADATA!$B$4,nASIG,"&lt;&gt;Lenguaje Musical",nASIG,"&lt;&gt;Coro",nASIG,"&lt;&gt;Conjunto"),""))</f>
        <v/>
      </c>
      <c r="N749" t="str">
        <f>IF(M749="","",IFERROR(AVERAGEIFS(nNOTA,nNIA,M749,nEVAL,CONFIG_METADATA!$B$4,nASIG,"Lenguaje Musical"),""))</f>
        <v/>
      </c>
      <c r="O749" t="str">
        <f>IF(M749="","",IFERROR(AVERAGEIFS(nNOTA,nNIA,M749,nEVAL,CONFIG_METADATA!$B$4,nASIG,"Coro"),""))</f>
        <v/>
      </c>
      <c r="P749" t="str">
        <f>IF(M749="","",IFERROR(AVERAGEIFS(nNOTA,nNIA,M749,nEVAL,CONFIG_METADATA!$B$4,nASIG,"Conjunto"),""))</f>
        <v/>
      </c>
      <c r="Q749" t="str">
        <f>IF(M749="","",IFERROR(AVERAGEIFS(nNOTA,nNIA,M749,nEVAL,CONFIG_METADATA!$B$4,nASIG,"&lt;&gt;Lenguaje Musical",nASIG,"&lt;&gt;Coro",nASIG,"&lt;&gt;Conjunto"),""))</f>
        <v/>
      </c>
      <c r="T749" t="str">
        <f>IF(S749="","",IFERROR(AVERAGEIFS(nNOTA,nNIA,S749,nEVAL,CONFIG_METADATA!$B$4,nASIG,"Lenguaje Musical"),""))</f>
        <v/>
      </c>
      <c r="U749" t="str">
        <f>IF(S749="","",IFERROR(AVERAGEIFS(nNOTA,nNIA,S749,nEVAL,CONFIG_METADATA!$B$4,nASIG,"Coro"),""))</f>
        <v/>
      </c>
      <c r="V749" t="str">
        <f>IF(S749="","",IFERROR(AVERAGEIFS(nNOTA,nNIA,S749,nEVAL,CONFIG_METADATA!$B$4,nASIG,"Conjunto"),""))</f>
        <v/>
      </c>
      <c r="W749" t="str" cm="1">
        <f t="array" ref="W749">IF(S749="","",IFERROR(AVERAGE(IF((nNIA=S749)*(nEVAL=CONFIG_METADATA!$B$4)*(nASIG&lt;&gt;"Lenguaje Musical")*(nASIG&lt;&gt;"Coro")*(nASIG&lt;&gt;"Conjunto"),nNOTA)),""))</f>
        <v/>
      </c>
    </row>
    <row r="750" spans="2:23" x14ac:dyDescent="0.2">
      <c r="B750" t="str">
        <f>IF(A750="","",IFERROR(AVERAGEIFS(nNOTA,nNIA,A750,nEVAL,CONFIG_METADATA!$B$4,nASIG,"Lenguaje Musical"),""))</f>
        <v/>
      </c>
      <c r="C750" t="str">
        <f>IF(A750="","",IFERROR(AVERAGEIFS(nNOTA,nNIA,A750,nEVAL,CONFIG_METADATA!$B$4,nASIG,"Coro"),""))</f>
        <v/>
      </c>
      <c r="D750" t="str">
        <f>IF(A750="","",IFERROR(AVERAGEIFS(nNOTA,nNIA,A750,nEVAL,CONFIG_METADATA!$B$4,nASIG,"Conjunto"),""))</f>
        <v/>
      </c>
      <c r="E750" t="str">
        <f>IF(A750="","",IFERROR(AVERAGEIFS(nNOTA,nNIA,A750,nEVAL,CONFIG_METADATA!$B$4,nASIG,"&lt;&gt;Lenguaje Musical",nASIG,"&lt;&gt;Coro",nASIG,"&lt;&gt;Conjunto"),""))</f>
        <v/>
      </c>
      <c r="N750" t="str">
        <f>IF(M750="","",IFERROR(AVERAGEIFS(nNOTA,nNIA,M750,nEVAL,CONFIG_METADATA!$B$4,nASIG,"Lenguaje Musical"),""))</f>
        <v/>
      </c>
      <c r="O750" t="str">
        <f>IF(M750="","",IFERROR(AVERAGEIFS(nNOTA,nNIA,M750,nEVAL,CONFIG_METADATA!$B$4,nASIG,"Coro"),""))</f>
        <v/>
      </c>
      <c r="P750" t="str">
        <f>IF(M750="","",IFERROR(AVERAGEIFS(nNOTA,nNIA,M750,nEVAL,CONFIG_METADATA!$B$4,nASIG,"Conjunto"),""))</f>
        <v/>
      </c>
      <c r="Q750" t="str">
        <f>IF(M750="","",IFERROR(AVERAGEIFS(nNOTA,nNIA,M750,nEVAL,CONFIG_METADATA!$B$4,nASIG,"&lt;&gt;Lenguaje Musical",nASIG,"&lt;&gt;Coro",nASIG,"&lt;&gt;Conjunto"),""))</f>
        <v/>
      </c>
      <c r="T750" t="str">
        <f>IF(S750="","",IFERROR(AVERAGEIFS(nNOTA,nNIA,S750,nEVAL,CONFIG_METADATA!$B$4,nASIG,"Lenguaje Musical"),""))</f>
        <v/>
      </c>
      <c r="U750" t="str">
        <f>IF(S750="","",IFERROR(AVERAGEIFS(nNOTA,nNIA,S750,nEVAL,CONFIG_METADATA!$B$4,nASIG,"Coro"),""))</f>
        <v/>
      </c>
      <c r="V750" t="str">
        <f>IF(S750="","",IFERROR(AVERAGEIFS(nNOTA,nNIA,S750,nEVAL,CONFIG_METADATA!$B$4,nASIG,"Conjunto"),""))</f>
        <v/>
      </c>
      <c r="W750" t="str" cm="1">
        <f t="array" ref="W750">IF(S750="","",IFERROR(AVERAGE(IF((nNIA=S750)*(nEVAL=CONFIG_METADATA!$B$4)*(nASIG&lt;&gt;"Lenguaje Musical")*(nASIG&lt;&gt;"Coro")*(nASIG&lt;&gt;"Conjunto"),nNOTA)),""))</f>
        <v/>
      </c>
    </row>
    <row r="751" spans="2:23" x14ac:dyDescent="0.2">
      <c r="B751" t="str">
        <f>IF(A751="","",IFERROR(AVERAGEIFS(nNOTA,nNIA,A751,nEVAL,CONFIG_METADATA!$B$4,nASIG,"Lenguaje Musical"),""))</f>
        <v/>
      </c>
      <c r="C751" t="str">
        <f>IF(A751="","",IFERROR(AVERAGEIFS(nNOTA,nNIA,A751,nEVAL,CONFIG_METADATA!$B$4,nASIG,"Coro"),""))</f>
        <v/>
      </c>
      <c r="D751" t="str">
        <f>IF(A751="","",IFERROR(AVERAGEIFS(nNOTA,nNIA,A751,nEVAL,CONFIG_METADATA!$B$4,nASIG,"Conjunto"),""))</f>
        <v/>
      </c>
      <c r="E751" t="str">
        <f>IF(A751="","",IFERROR(AVERAGEIFS(nNOTA,nNIA,A751,nEVAL,CONFIG_METADATA!$B$4,nASIG,"&lt;&gt;Lenguaje Musical",nASIG,"&lt;&gt;Coro",nASIG,"&lt;&gt;Conjunto"),""))</f>
        <v/>
      </c>
      <c r="N751" t="str">
        <f>IF(M751="","",IFERROR(AVERAGEIFS(nNOTA,nNIA,M751,nEVAL,CONFIG_METADATA!$B$4,nASIG,"Lenguaje Musical"),""))</f>
        <v/>
      </c>
      <c r="O751" t="str">
        <f>IF(M751="","",IFERROR(AVERAGEIFS(nNOTA,nNIA,M751,nEVAL,CONFIG_METADATA!$B$4,nASIG,"Coro"),""))</f>
        <v/>
      </c>
      <c r="P751" t="str">
        <f>IF(M751="","",IFERROR(AVERAGEIFS(nNOTA,nNIA,M751,nEVAL,CONFIG_METADATA!$B$4,nASIG,"Conjunto"),""))</f>
        <v/>
      </c>
      <c r="Q751" t="str">
        <f>IF(M751="","",IFERROR(AVERAGEIFS(nNOTA,nNIA,M751,nEVAL,CONFIG_METADATA!$B$4,nASIG,"&lt;&gt;Lenguaje Musical",nASIG,"&lt;&gt;Coro",nASIG,"&lt;&gt;Conjunto"),""))</f>
        <v/>
      </c>
      <c r="T751" t="str">
        <f>IF(S751="","",IFERROR(AVERAGEIFS(nNOTA,nNIA,S751,nEVAL,CONFIG_METADATA!$B$4,nASIG,"Lenguaje Musical"),""))</f>
        <v/>
      </c>
      <c r="U751" t="str">
        <f>IF(S751="","",IFERROR(AVERAGEIFS(nNOTA,nNIA,S751,nEVAL,CONFIG_METADATA!$B$4,nASIG,"Coro"),""))</f>
        <v/>
      </c>
      <c r="V751" t="str">
        <f>IF(S751="","",IFERROR(AVERAGEIFS(nNOTA,nNIA,S751,nEVAL,CONFIG_METADATA!$B$4,nASIG,"Conjunto"),""))</f>
        <v/>
      </c>
      <c r="W751" t="str" cm="1">
        <f t="array" ref="W751">IF(S751="","",IFERROR(AVERAGE(IF((nNIA=S751)*(nEVAL=CONFIG_METADATA!$B$4)*(nASIG&lt;&gt;"Lenguaje Musical")*(nASIG&lt;&gt;"Coro")*(nASIG&lt;&gt;"Conjunto"),nNOTA)),""))</f>
        <v/>
      </c>
    </row>
    <row r="752" spans="2:23" x14ac:dyDescent="0.2">
      <c r="B752" t="str">
        <f>IF(A752="","",IFERROR(AVERAGEIFS(nNOTA,nNIA,A752,nEVAL,CONFIG_METADATA!$B$4,nASIG,"Lenguaje Musical"),""))</f>
        <v/>
      </c>
      <c r="C752" t="str">
        <f>IF(A752="","",IFERROR(AVERAGEIFS(nNOTA,nNIA,A752,nEVAL,CONFIG_METADATA!$B$4,nASIG,"Coro"),""))</f>
        <v/>
      </c>
      <c r="D752" t="str">
        <f>IF(A752="","",IFERROR(AVERAGEIFS(nNOTA,nNIA,A752,nEVAL,CONFIG_METADATA!$B$4,nASIG,"Conjunto"),""))</f>
        <v/>
      </c>
      <c r="E752" t="str">
        <f>IF(A752="","",IFERROR(AVERAGEIFS(nNOTA,nNIA,A752,nEVAL,CONFIG_METADATA!$B$4,nASIG,"&lt;&gt;Lenguaje Musical",nASIG,"&lt;&gt;Coro",nASIG,"&lt;&gt;Conjunto"),""))</f>
        <v/>
      </c>
      <c r="N752" t="str">
        <f>IF(M752="","",IFERROR(AVERAGEIFS(nNOTA,nNIA,M752,nEVAL,CONFIG_METADATA!$B$4,nASIG,"Lenguaje Musical"),""))</f>
        <v/>
      </c>
      <c r="O752" t="str">
        <f>IF(M752="","",IFERROR(AVERAGEIFS(nNOTA,nNIA,M752,nEVAL,CONFIG_METADATA!$B$4,nASIG,"Coro"),""))</f>
        <v/>
      </c>
      <c r="P752" t="str">
        <f>IF(M752="","",IFERROR(AVERAGEIFS(nNOTA,nNIA,M752,nEVAL,CONFIG_METADATA!$B$4,nASIG,"Conjunto"),""))</f>
        <v/>
      </c>
      <c r="Q752" t="str">
        <f>IF(M752="","",IFERROR(AVERAGEIFS(nNOTA,nNIA,M752,nEVAL,CONFIG_METADATA!$B$4,nASIG,"&lt;&gt;Lenguaje Musical",nASIG,"&lt;&gt;Coro",nASIG,"&lt;&gt;Conjunto"),""))</f>
        <v/>
      </c>
      <c r="T752" t="str">
        <f>IF(S752="","",IFERROR(AVERAGEIFS(nNOTA,nNIA,S752,nEVAL,CONFIG_METADATA!$B$4,nASIG,"Lenguaje Musical"),""))</f>
        <v/>
      </c>
      <c r="U752" t="str">
        <f>IF(S752="","",IFERROR(AVERAGEIFS(nNOTA,nNIA,S752,nEVAL,CONFIG_METADATA!$B$4,nASIG,"Coro"),""))</f>
        <v/>
      </c>
      <c r="V752" t="str">
        <f>IF(S752="","",IFERROR(AVERAGEIFS(nNOTA,nNIA,S752,nEVAL,CONFIG_METADATA!$B$4,nASIG,"Conjunto"),""))</f>
        <v/>
      </c>
      <c r="W752" t="str" cm="1">
        <f t="array" ref="W752">IF(S752="","",IFERROR(AVERAGE(IF((nNIA=S752)*(nEVAL=CONFIG_METADATA!$B$4)*(nASIG&lt;&gt;"Lenguaje Musical")*(nASIG&lt;&gt;"Coro")*(nASIG&lt;&gt;"Conjunto"),nNOTA)),""))</f>
        <v/>
      </c>
    </row>
    <row r="753" spans="2:23" x14ac:dyDescent="0.2">
      <c r="B753" t="str">
        <f>IF(A753="","",IFERROR(AVERAGEIFS(nNOTA,nNIA,A753,nEVAL,CONFIG_METADATA!$B$4,nASIG,"Lenguaje Musical"),""))</f>
        <v/>
      </c>
      <c r="C753" t="str">
        <f>IF(A753="","",IFERROR(AVERAGEIFS(nNOTA,nNIA,A753,nEVAL,CONFIG_METADATA!$B$4,nASIG,"Coro"),""))</f>
        <v/>
      </c>
      <c r="D753" t="str">
        <f>IF(A753="","",IFERROR(AVERAGEIFS(nNOTA,nNIA,A753,nEVAL,CONFIG_METADATA!$B$4,nASIG,"Conjunto"),""))</f>
        <v/>
      </c>
      <c r="E753" t="str">
        <f>IF(A753="","",IFERROR(AVERAGEIFS(nNOTA,nNIA,A753,nEVAL,CONFIG_METADATA!$B$4,nASIG,"&lt;&gt;Lenguaje Musical",nASIG,"&lt;&gt;Coro",nASIG,"&lt;&gt;Conjunto"),""))</f>
        <v/>
      </c>
      <c r="N753" t="str">
        <f>IF(M753="","",IFERROR(AVERAGEIFS(nNOTA,nNIA,M753,nEVAL,CONFIG_METADATA!$B$4,nASIG,"Lenguaje Musical"),""))</f>
        <v/>
      </c>
      <c r="O753" t="str">
        <f>IF(M753="","",IFERROR(AVERAGEIFS(nNOTA,nNIA,M753,nEVAL,CONFIG_METADATA!$B$4,nASIG,"Coro"),""))</f>
        <v/>
      </c>
      <c r="P753" t="str">
        <f>IF(M753="","",IFERROR(AVERAGEIFS(nNOTA,nNIA,M753,nEVAL,CONFIG_METADATA!$B$4,nASIG,"Conjunto"),""))</f>
        <v/>
      </c>
      <c r="Q753" t="str">
        <f>IF(M753="","",IFERROR(AVERAGEIFS(nNOTA,nNIA,M753,nEVAL,CONFIG_METADATA!$B$4,nASIG,"&lt;&gt;Lenguaje Musical",nASIG,"&lt;&gt;Coro",nASIG,"&lt;&gt;Conjunto"),""))</f>
        <v/>
      </c>
      <c r="T753" t="str">
        <f>IF(S753="","",IFERROR(AVERAGEIFS(nNOTA,nNIA,S753,nEVAL,CONFIG_METADATA!$B$4,nASIG,"Lenguaje Musical"),""))</f>
        <v/>
      </c>
      <c r="U753" t="str">
        <f>IF(S753="","",IFERROR(AVERAGEIFS(nNOTA,nNIA,S753,nEVAL,CONFIG_METADATA!$B$4,nASIG,"Coro"),""))</f>
        <v/>
      </c>
      <c r="V753" t="str">
        <f>IF(S753="","",IFERROR(AVERAGEIFS(nNOTA,nNIA,S753,nEVAL,CONFIG_METADATA!$B$4,nASIG,"Conjunto"),""))</f>
        <v/>
      </c>
      <c r="W753" t="str" cm="1">
        <f t="array" ref="W753">IF(S753="","",IFERROR(AVERAGE(IF((nNIA=S753)*(nEVAL=CONFIG_METADATA!$B$4)*(nASIG&lt;&gt;"Lenguaje Musical")*(nASIG&lt;&gt;"Coro")*(nASIG&lt;&gt;"Conjunto"),nNOTA)),""))</f>
        <v/>
      </c>
    </row>
    <row r="754" spans="2:23" x14ac:dyDescent="0.2">
      <c r="B754" t="str">
        <f>IF(A754="","",IFERROR(AVERAGEIFS(nNOTA,nNIA,A754,nEVAL,CONFIG_METADATA!$B$4,nASIG,"Lenguaje Musical"),""))</f>
        <v/>
      </c>
      <c r="C754" t="str">
        <f>IF(A754="","",IFERROR(AVERAGEIFS(nNOTA,nNIA,A754,nEVAL,CONFIG_METADATA!$B$4,nASIG,"Coro"),""))</f>
        <v/>
      </c>
      <c r="D754" t="str">
        <f>IF(A754="","",IFERROR(AVERAGEIFS(nNOTA,nNIA,A754,nEVAL,CONFIG_METADATA!$B$4,nASIG,"Conjunto"),""))</f>
        <v/>
      </c>
      <c r="E754" t="str">
        <f>IF(A754="","",IFERROR(AVERAGEIFS(nNOTA,nNIA,A754,nEVAL,CONFIG_METADATA!$B$4,nASIG,"&lt;&gt;Lenguaje Musical",nASIG,"&lt;&gt;Coro",nASIG,"&lt;&gt;Conjunto"),""))</f>
        <v/>
      </c>
      <c r="N754" t="str">
        <f>IF(M754="","",IFERROR(AVERAGEIFS(nNOTA,nNIA,M754,nEVAL,CONFIG_METADATA!$B$4,nASIG,"Lenguaje Musical"),""))</f>
        <v/>
      </c>
      <c r="O754" t="str">
        <f>IF(M754="","",IFERROR(AVERAGEIFS(nNOTA,nNIA,M754,nEVAL,CONFIG_METADATA!$B$4,nASIG,"Coro"),""))</f>
        <v/>
      </c>
      <c r="P754" t="str">
        <f>IF(M754="","",IFERROR(AVERAGEIFS(nNOTA,nNIA,M754,nEVAL,CONFIG_METADATA!$B$4,nASIG,"Conjunto"),""))</f>
        <v/>
      </c>
      <c r="Q754" t="str">
        <f>IF(M754="","",IFERROR(AVERAGEIFS(nNOTA,nNIA,M754,nEVAL,CONFIG_METADATA!$B$4,nASIG,"&lt;&gt;Lenguaje Musical",nASIG,"&lt;&gt;Coro",nASIG,"&lt;&gt;Conjunto"),""))</f>
        <v/>
      </c>
      <c r="T754" t="str">
        <f>IF(S754="","",IFERROR(AVERAGEIFS(nNOTA,nNIA,S754,nEVAL,CONFIG_METADATA!$B$4,nASIG,"Lenguaje Musical"),""))</f>
        <v/>
      </c>
      <c r="U754" t="str">
        <f>IF(S754="","",IFERROR(AVERAGEIFS(nNOTA,nNIA,S754,nEVAL,CONFIG_METADATA!$B$4,nASIG,"Coro"),""))</f>
        <v/>
      </c>
      <c r="V754" t="str">
        <f>IF(S754="","",IFERROR(AVERAGEIFS(nNOTA,nNIA,S754,nEVAL,CONFIG_METADATA!$B$4,nASIG,"Conjunto"),""))</f>
        <v/>
      </c>
      <c r="W754" t="str" cm="1">
        <f t="array" ref="W754">IF(S754="","",IFERROR(AVERAGE(IF((nNIA=S754)*(nEVAL=CONFIG_METADATA!$B$4)*(nASIG&lt;&gt;"Lenguaje Musical")*(nASIG&lt;&gt;"Coro")*(nASIG&lt;&gt;"Conjunto"),nNOTA)),""))</f>
        <v/>
      </c>
    </row>
    <row r="755" spans="2:23" x14ac:dyDescent="0.2">
      <c r="B755" t="str">
        <f>IF(A755="","",IFERROR(AVERAGEIFS(nNOTA,nNIA,A755,nEVAL,CONFIG_METADATA!$B$4,nASIG,"Lenguaje Musical"),""))</f>
        <v/>
      </c>
      <c r="C755" t="str">
        <f>IF(A755="","",IFERROR(AVERAGEIFS(nNOTA,nNIA,A755,nEVAL,CONFIG_METADATA!$B$4,nASIG,"Coro"),""))</f>
        <v/>
      </c>
      <c r="D755" t="str">
        <f>IF(A755="","",IFERROR(AVERAGEIFS(nNOTA,nNIA,A755,nEVAL,CONFIG_METADATA!$B$4,nASIG,"Conjunto"),""))</f>
        <v/>
      </c>
      <c r="E755" t="str">
        <f>IF(A755="","",IFERROR(AVERAGEIFS(nNOTA,nNIA,A755,nEVAL,CONFIG_METADATA!$B$4,nASIG,"&lt;&gt;Lenguaje Musical",nASIG,"&lt;&gt;Coro",nASIG,"&lt;&gt;Conjunto"),""))</f>
        <v/>
      </c>
      <c r="N755" t="str">
        <f>IF(M755="","",IFERROR(AVERAGEIFS(nNOTA,nNIA,M755,nEVAL,CONFIG_METADATA!$B$4,nASIG,"Lenguaje Musical"),""))</f>
        <v/>
      </c>
      <c r="O755" t="str">
        <f>IF(M755="","",IFERROR(AVERAGEIFS(nNOTA,nNIA,M755,nEVAL,CONFIG_METADATA!$B$4,nASIG,"Coro"),""))</f>
        <v/>
      </c>
      <c r="P755" t="str">
        <f>IF(M755="","",IFERROR(AVERAGEIFS(nNOTA,nNIA,M755,nEVAL,CONFIG_METADATA!$B$4,nASIG,"Conjunto"),""))</f>
        <v/>
      </c>
      <c r="Q755" t="str">
        <f>IF(M755="","",IFERROR(AVERAGEIFS(nNOTA,nNIA,M755,nEVAL,CONFIG_METADATA!$B$4,nASIG,"&lt;&gt;Lenguaje Musical",nASIG,"&lt;&gt;Coro",nASIG,"&lt;&gt;Conjunto"),""))</f>
        <v/>
      </c>
      <c r="T755" t="str">
        <f>IF(S755="","",IFERROR(AVERAGEIFS(nNOTA,nNIA,S755,nEVAL,CONFIG_METADATA!$B$4,nASIG,"Lenguaje Musical"),""))</f>
        <v/>
      </c>
      <c r="U755" t="str">
        <f>IF(S755="","",IFERROR(AVERAGEIFS(nNOTA,nNIA,S755,nEVAL,CONFIG_METADATA!$B$4,nASIG,"Coro"),""))</f>
        <v/>
      </c>
      <c r="V755" t="str">
        <f>IF(S755="","",IFERROR(AVERAGEIFS(nNOTA,nNIA,S755,nEVAL,CONFIG_METADATA!$B$4,nASIG,"Conjunto"),""))</f>
        <v/>
      </c>
      <c r="W755" t="str" cm="1">
        <f t="array" ref="W755">IF(S755="","",IFERROR(AVERAGE(IF((nNIA=S755)*(nEVAL=CONFIG_METADATA!$B$4)*(nASIG&lt;&gt;"Lenguaje Musical")*(nASIG&lt;&gt;"Coro")*(nASIG&lt;&gt;"Conjunto"),nNOTA)),""))</f>
        <v/>
      </c>
    </row>
    <row r="756" spans="2:23" x14ac:dyDescent="0.2">
      <c r="B756" t="str">
        <f>IF(A756="","",IFERROR(AVERAGEIFS(nNOTA,nNIA,A756,nEVAL,CONFIG_METADATA!$B$4,nASIG,"Lenguaje Musical"),""))</f>
        <v/>
      </c>
      <c r="C756" t="str">
        <f>IF(A756="","",IFERROR(AVERAGEIFS(nNOTA,nNIA,A756,nEVAL,CONFIG_METADATA!$B$4,nASIG,"Coro"),""))</f>
        <v/>
      </c>
      <c r="D756" t="str">
        <f>IF(A756="","",IFERROR(AVERAGEIFS(nNOTA,nNIA,A756,nEVAL,CONFIG_METADATA!$B$4,nASIG,"Conjunto"),""))</f>
        <v/>
      </c>
      <c r="E756" t="str">
        <f>IF(A756="","",IFERROR(AVERAGEIFS(nNOTA,nNIA,A756,nEVAL,CONFIG_METADATA!$B$4,nASIG,"&lt;&gt;Lenguaje Musical",nASIG,"&lt;&gt;Coro",nASIG,"&lt;&gt;Conjunto"),""))</f>
        <v/>
      </c>
      <c r="N756" t="str">
        <f>IF(M756="","",IFERROR(AVERAGEIFS(nNOTA,nNIA,M756,nEVAL,CONFIG_METADATA!$B$4,nASIG,"Lenguaje Musical"),""))</f>
        <v/>
      </c>
      <c r="O756" t="str">
        <f>IF(M756="","",IFERROR(AVERAGEIFS(nNOTA,nNIA,M756,nEVAL,CONFIG_METADATA!$B$4,nASIG,"Coro"),""))</f>
        <v/>
      </c>
      <c r="P756" t="str">
        <f>IF(M756="","",IFERROR(AVERAGEIFS(nNOTA,nNIA,M756,nEVAL,CONFIG_METADATA!$B$4,nASIG,"Conjunto"),""))</f>
        <v/>
      </c>
      <c r="Q756" t="str">
        <f>IF(M756="","",IFERROR(AVERAGEIFS(nNOTA,nNIA,M756,nEVAL,CONFIG_METADATA!$B$4,nASIG,"&lt;&gt;Lenguaje Musical",nASIG,"&lt;&gt;Coro",nASIG,"&lt;&gt;Conjunto"),""))</f>
        <v/>
      </c>
      <c r="T756" t="str">
        <f>IF(S756="","",IFERROR(AVERAGEIFS(nNOTA,nNIA,S756,nEVAL,CONFIG_METADATA!$B$4,nASIG,"Lenguaje Musical"),""))</f>
        <v/>
      </c>
      <c r="U756" t="str">
        <f>IF(S756="","",IFERROR(AVERAGEIFS(nNOTA,nNIA,S756,nEVAL,CONFIG_METADATA!$B$4,nASIG,"Coro"),""))</f>
        <v/>
      </c>
      <c r="V756" t="str">
        <f>IF(S756="","",IFERROR(AVERAGEIFS(nNOTA,nNIA,S756,nEVAL,CONFIG_METADATA!$B$4,nASIG,"Conjunto"),""))</f>
        <v/>
      </c>
      <c r="W756" t="str" cm="1">
        <f t="array" ref="W756">IF(S756="","",IFERROR(AVERAGE(IF((nNIA=S756)*(nEVAL=CONFIG_METADATA!$B$4)*(nASIG&lt;&gt;"Lenguaje Musical")*(nASIG&lt;&gt;"Coro")*(nASIG&lt;&gt;"Conjunto"),nNOTA)),""))</f>
        <v/>
      </c>
    </row>
    <row r="757" spans="2:23" x14ac:dyDescent="0.2">
      <c r="B757" t="str">
        <f>IF(A757="","",IFERROR(AVERAGEIFS(nNOTA,nNIA,A757,nEVAL,CONFIG_METADATA!$B$4,nASIG,"Lenguaje Musical"),""))</f>
        <v/>
      </c>
      <c r="C757" t="str">
        <f>IF(A757="","",IFERROR(AVERAGEIFS(nNOTA,nNIA,A757,nEVAL,CONFIG_METADATA!$B$4,nASIG,"Coro"),""))</f>
        <v/>
      </c>
      <c r="D757" t="str">
        <f>IF(A757="","",IFERROR(AVERAGEIFS(nNOTA,nNIA,A757,nEVAL,CONFIG_METADATA!$B$4,nASIG,"Conjunto"),""))</f>
        <v/>
      </c>
      <c r="E757" t="str">
        <f>IF(A757="","",IFERROR(AVERAGEIFS(nNOTA,nNIA,A757,nEVAL,CONFIG_METADATA!$B$4,nASIG,"&lt;&gt;Lenguaje Musical",nASIG,"&lt;&gt;Coro",nASIG,"&lt;&gt;Conjunto"),""))</f>
        <v/>
      </c>
      <c r="N757" t="str">
        <f>IF(M757="","",IFERROR(AVERAGEIFS(nNOTA,nNIA,M757,nEVAL,CONFIG_METADATA!$B$4,nASIG,"Lenguaje Musical"),""))</f>
        <v/>
      </c>
      <c r="O757" t="str">
        <f>IF(M757="","",IFERROR(AVERAGEIFS(nNOTA,nNIA,M757,nEVAL,CONFIG_METADATA!$B$4,nASIG,"Coro"),""))</f>
        <v/>
      </c>
      <c r="P757" t="str">
        <f>IF(M757="","",IFERROR(AVERAGEIFS(nNOTA,nNIA,M757,nEVAL,CONFIG_METADATA!$B$4,nASIG,"Conjunto"),""))</f>
        <v/>
      </c>
      <c r="Q757" t="str">
        <f>IF(M757="","",IFERROR(AVERAGEIFS(nNOTA,nNIA,M757,nEVAL,CONFIG_METADATA!$B$4,nASIG,"&lt;&gt;Lenguaje Musical",nASIG,"&lt;&gt;Coro",nASIG,"&lt;&gt;Conjunto"),""))</f>
        <v/>
      </c>
      <c r="T757" t="str">
        <f>IF(S757="","",IFERROR(AVERAGEIFS(nNOTA,nNIA,S757,nEVAL,CONFIG_METADATA!$B$4,nASIG,"Lenguaje Musical"),""))</f>
        <v/>
      </c>
      <c r="U757" t="str">
        <f>IF(S757="","",IFERROR(AVERAGEIFS(nNOTA,nNIA,S757,nEVAL,CONFIG_METADATA!$B$4,nASIG,"Coro"),""))</f>
        <v/>
      </c>
      <c r="V757" t="str">
        <f>IF(S757="","",IFERROR(AVERAGEIFS(nNOTA,nNIA,S757,nEVAL,CONFIG_METADATA!$B$4,nASIG,"Conjunto"),""))</f>
        <v/>
      </c>
      <c r="W757" t="str" cm="1">
        <f t="array" ref="W757">IF(S757="","",IFERROR(AVERAGE(IF((nNIA=S757)*(nEVAL=CONFIG_METADATA!$B$4)*(nASIG&lt;&gt;"Lenguaje Musical")*(nASIG&lt;&gt;"Coro")*(nASIG&lt;&gt;"Conjunto"),nNOTA)),""))</f>
        <v/>
      </c>
    </row>
    <row r="758" spans="2:23" x14ac:dyDescent="0.2">
      <c r="B758" t="str">
        <f>IF(A758="","",IFERROR(AVERAGEIFS(nNOTA,nNIA,A758,nEVAL,CONFIG_METADATA!$B$4,nASIG,"Lenguaje Musical"),""))</f>
        <v/>
      </c>
      <c r="C758" t="str">
        <f>IF(A758="","",IFERROR(AVERAGEIFS(nNOTA,nNIA,A758,nEVAL,CONFIG_METADATA!$B$4,nASIG,"Coro"),""))</f>
        <v/>
      </c>
      <c r="D758" t="str">
        <f>IF(A758="","",IFERROR(AVERAGEIFS(nNOTA,nNIA,A758,nEVAL,CONFIG_METADATA!$B$4,nASIG,"Conjunto"),""))</f>
        <v/>
      </c>
      <c r="E758" t="str">
        <f>IF(A758="","",IFERROR(AVERAGEIFS(nNOTA,nNIA,A758,nEVAL,CONFIG_METADATA!$B$4,nASIG,"&lt;&gt;Lenguaje Musical",nASIG,"&lt;&gt;Coro",nASIG,"&lt;&gt;Conjunto"),""))</f>
        <v/>
      </c>
      <c r="N758" t="str">
        <f>IF(M758="","",IFERROR(AVERAGEIFS(nNOTA,nNIA,M758,nEVAL,CONFIG_METADATA!$B$4,nASIG,"Lenguaje Musical"),""))</f>
        <v/>
      </c>
      <c r="O758" t="str">
        <f>IF(M758="","",IFERROR(AVERAGEIFS(nNOTA,nNIA,M758,nEVAL,CONFIG_METADATA!$B$4,nASIG,"Coro"),""))</f>
        <v/>
      </c>
      <c r="P758" t="str">
        <f>IF(M758="","",IFERROR(AVERAGEIFS(nNOTA,nNIA,M758,nEVAL,CONFIG_METADATA!$B$4,nASIG,"Conjunto"),""))</f>
        <v/>
      </c>
      <c r="Q758" t="str">
        <f>IF(M758="","",IFERROR(AVERAGEIFS(nNOTA,nNIA,M758,nEVAL,CONFIG_METADATA!$B$4,nASIG,"&lt;&gt;Lenguaje Musical",nASIG,"&lt;&gt;Coro",nASIG,"&lt;&gt;Conjunto"),""))</f>
        <v/>
      </c>
      <c r="T758" t="str">
        <f>IF(S758="","",IFERROR(AVERAGEIFS(nNOTA,nNIA,S758,nEVAL,CONFIG_METADATA!$B$4,nASIG,"Lenguaje Musical"),""))</f>
        <v/>
      </c>
      <c r="U758" t="str">
        <f>IF(S758="","",IFERROR(AVERAGEIFS(nNOTA,nNIA,S758,nEVAL,CONFIG_METADATA!$B$4,nASIG,"Coro"),""))</f>
        <v/>
      </c>
      <c r="V758" t="str">
        <f>IF(S758="","",IFERROR(AVERAGEIFS(nNOTA,nNIA,S758,nEVAL,CONFIG_METADATA!$B$4,nASIG,"Conjunto"),""))</f>
        <v/>
      </c>
      <c r="W758" t="str" cm="1">
        <f t="array" ref="W758">IF(S758="","",IFERROR(AVERAGE(IF((nNIA=S758)*(nEVAL=CONFIG_METADATA!$B$4)*(nASIG&lt;&gt;"Lenguaje Musical")*(nASIG&lt;&gt;"Coro")*(nASIG&lt;&gt;"Conjunto"),nNOTA)),""))</f>
        <v/>
      </c>
    </row>
    <row r="759" spans="2:23" x14ac:dyDescent="0.2">
      <c r="B759" t="str">
        <f>IF(A759="","",IFERROR(AVERAGEIFS(nNOTA,nNIA,A759,nEVAL,CONFIG_METADATA!$B$4,nASIG,"Lenguaje Musical"),""))</f>
        <v/>
      </c>
      <c r="C759" t="str">
        <f>IF(A759="","",IFERROR(AVERAGEIFS(nNOTA,nNIA,A759,nEVAL,CONFIG_METADATA!$B$4,nASIG,"Coro"),""))</f>
        <v/>
      </c>
      <c r="D759" t="str">
        <f>IF(A759="","",IFERROR(AVERAGEIFS(nNOTA,nNIA,A759,nEVAL,CONFIG_METADATA!$B$4,nASIG,"Conjunto"),""))</f>
        <v/>
      </c>
      <c r="E759" t="str">
        <f>IF(A759="","",IFERROR(AVERAGEIFS(nNOTA,nNIA,A759,nEVAL,CONFIG_METADATA!$B$4,nASIG,"&lt;&gt;Lenguaje Musical",nASIG,"&lt;&gt;Coro",nASIG,"&lt;&gt;Conjunto"),""))</f>
        <v/>
      </c>
      <c r="N759" t="str">
        <f>IF(M759="","",IFERROR(AVERAGEIFS(nNOTA,nNIA,M759,nEVAL,CONFIG_METADATA!$B$4,nASIG,"Lenguaje Musical"),""))</f>
        <v/>
      </c>
      <c r="O759" t="str">
        <f>IF(M759="","",IFERROR(AVERAGEIFS(nNOTA,nNIA,M759,nEVAL,CONFIG_METADATA!$B$4,nASIG,"Coro"),""))</f>
        <v/>
      </c>
      <c r="P759" t="str">
        <f>IF(M759="","",IFERROR(AVERAGEIFS(nNOTA,nNIA,M759,nEVAL,CONFIG_METADATA!$B$4,nASIG,"Conjunto"),""))</f>
        <v/>
      </c>
      <c r="Q759" t="str">
        <f>IF(M759="","",IFERROR(AVERAGEIFS(nNOTA,nNIA,M759,nEVAL,CONFIG_METADATA!$B$4,nASIG,"&lt;&gt;Lenguaje Musical",nASIG,"&lt;&gt;Coro",nASIG,"&lt;&gt;Conjunto"),""))</f>
        <v/>
      </c>
      <c r="T759" t="str">
        <f>IF(S759="","",IFERROR(AVERAGEIFS(nNOTA,nNIA,S759,nEVAL,CONFIG_METADATA!$B$4,nASIG,"Lenguaje Musical"),""))</f>
        <v/>
      </c>
      <c r="U759" t="str">
        <f>IF(S759="","",IFERROR(AVERAGEIFS(nNOTA,nNIA,S759,nEVAL,CONFIG_METADATA!$B$4,nASIG,"Coro"),""))</f>
        <v/>
      </c>
      <c r="V759" t="str">
        <f>IF(S759="","",IFERROR(AVERAGEIFS(nNOTA,nNIA,S759,nEVAL,CONFIG_METADATA!$B$4,nASIG,"Conjunto"),""))</f>
        <v/>
      </c>
      <c r="W759" t="str" cm="1">
        <f t="array" ref="W759">IF(S759="","",IFERROR(AVERAGE(IF((nNIA=S759)*(nEVAL=CONFIG_METADATA!$B$4)*(nASIG&lt;&gt;"Lenguaje Musical")*(nASIG&lt;&gt;"Coro")*(nASIG&lt;&gt;"Conjunto"),nNOTA)),""))</f>
        <v/>
      </c>
    </row>
    <row r="760" spans="2:23" x14ac:dyDescent="0.2">
      <c r="B760" t="str">
        <f>IF(A760="","",IFERROR(AVERAGEIFS(nNOTA,nNIA,A760,nEVAL,CONFIG_METADATA!$B$4,nASIG,"Lenguaje Musical"),""))</f>
        <v/>
      </c>
      <c r="C760" t="str">
        <f>IF(A760="","",IFERROR(AVERAGEIFS(nNOTA,nNIA,A760,nEVAL,CONFIG_METADATA!$B$4,nASIG,"Coro"),""))</f>
        <v/>
      </c>
      <c r="D760" t="str">
        <f>IF(A760="","",IFERROR(AVERAGEIFS(nNOTA,nNIA,A760,nEVAL,CONFIG_METADATA!$B$4,nASIG,"Conjunto"),""))</f>
        <v/>
      </c>
      <c r="E760" t="str">
        <f>IF(A760="","",IFERROR(AVERAGEIFS(nNOTA,nNIA,A760,nEVAL,CONFIG_METADATA!$B$4,nASIG,"&lt;&gt;Lenguaje Musical",nASIG,"&lt;&gt;Coro",nASIG,"&lt;&gt;Conjunto"),""))</f>
        <v/>
      </c>
      <c r="N760" t="str">
        <f>IF(M760="","",IFERROR(AVERAGEIFS(nNOTA,nNIA,M760,nEVAL,CONFIG_METADATA!$B$4,nASIG,"Lenguaje Musical"),""))</f>
        <v/>
      </c>
      <c r="O760" t="str">
        <f>IF(M760="","",IFERROR(AVERAGEIFS(nNOTA,nNIA,M760,nEVAL,CONFIG_METADATA!$B$4,nASIG,"Coro"),""))</f>
        <v/>
      </c>
      <c r="P760" t="str">
        <f>IF(M760="","",IFERROR(AVERAGEIFS(nNOTA,nNIA,M760,nEVAL,CONFIG_METADATA!$B$4,nASIG,"Conjunto"),""))</f>
        <v/>
      </c>
      <c r="Q760" t="str">
        <f>IF(M760="","",IFERROR(AVERAGEIFS(nNOTA,nNIA,M760,nEVAL,CONFIG_METADATA!$B$4,nASIG,"&lt;&gt;Lenguaje Musical",nASIG,"&lt;&gt;Coro",nASIG,"&lt;&gt;Conjunto"),""))</f>
        <v/>
      </c>
      <c r="T760" t="str">
        <f>IF(S760="","",IFERROR(AVERAGEIFS(nNOTA,nNIA,S760,nEVAL,CONFIG_METADATA!$B$4,nASIG,"Lenguaje Musical"),""))</f>
        <v/>
      </c>
      <c r="U760" t="str">
        <f>IF(S760="","",IFERROR(AVERAGEIFS(nNOTA,nNIA,S760,nEVAL,CONFIG_METADATA!$B$4,nASIG,"Coro"),""))</f>
        <v/>
      </c>
      <c r="V760" t="str">
        <f>IF(S760="","",IFERROR(AVERAGEIFS(nNOTA,nNIA,S760,nEVAL,CONFIG_METADATA!$B$4,nASIG,"Conjunto"),""))</f>
        <v/>
      </c>
      <c r="W760" t="str" cm="1">
        <f t="array" ref="W760">IF(S760="","",IFERROR(AVERAGE(IF((nNIA=S760)*(nEVAL=CONFIG_METADATA!$B$4)*(nASIG&lt;&gt;"Lenguaje Musical")*(nASIG&lt;&gt;"Coro")*(nASIG&lt;&gt;"Conjunto"),nNOTA)),""))</f>
        <v/>
      </c>
    </row>
    <row r="761" spans="2:23" x14ac:dyDescent="0.2">
      <c r="B761" t="str">
        <f>IF(A761="","",IFERROR(AVERAGEIFS(nNOTA,nNIA,A761,nEVAL,CONFIG_METADATA!$B$4,nASIG,"Lenguaje Musical"),""))</f>
        <v/>
      </c>
      <c r="C761" t="str">
        <f>IF(A761="","",IFERROR(AVERAGEIFS(nNOTA,nNIA,A761,nEVAL,CONFIG_METADATA!$B$4,nASIG,"Coro"),""))</f>
        <v/>
      </c>
      <c r="D761" t="str">
        <f>IF(A761="","",IFERROR(AVERAGEIFS(nNOTA,nNIA,A761,nEVAL,CONFIG_METADATA!$B$4,nASIG,"Conjunto"),""))</f>
        <v/>
      </c>
      <c r="E761" t="str">
        <f>IF(A761="","",IFERROR(AVERAGEIFS(nNOTA,nNIA,A761,nEVAL,CONFIG_METADATA!$B$4,nASIG,"&lt;&gt;Lenguaje Musical",nASIG,"&lt;&gt;Coro",nASIG,"&lt;&gt;Conjunto"),""))</f>
        <v/>
      </c>
      <c r="N761" t="str">
        <f>IF(M761="","",IFERROR(AVERAGEIFS(nNOTA,nNIA,M761,nEVAL,CONFIG_METADATA!$B$4,nASIG,"Lenguaje Musical"),""))</f>
        <v/>
      </c>
      <c r="O761" t="str">
        <f>IF(M761="","",IFERROR(AVERAGEIFS(nNOTA,nNIA,M761,nEVAL,CONFIG_METADATA!$B$4,nASIG,"Coro"),""))</f>
        <v/>
      </c>
      <c r="P761" t="str">
        <f>IF(M761="","",IFERROR(AVERAGEIFS(nNOTA,nNIA,M761,nEVAL,CONFIG_METADATA!$B$4,nASIG,"Conjunto"),""))</f>
        <v/>
      </c>
      <c r="Q761" t="str">
        <f>IF(M761="","",IFERROR(AVERAGEIFS(nNOTA,nNIA,M761,nEVAL,CONFIG_METADATA!$B$4,nASIG,"&lt;&gt;Lenguaje Musical",nASIG,"&lt;&gt;Coro",nASIG,"&lt;&gt;Conjunto"),""))</f>
        <v/>
      </c>
      <c r="T761" t="str">
        <f>IF(S761="","",IFERROR(AVERAGEIFS(nNOTA,nNIA,S761,nEVAL,CONFIG_METADATA!$B$4,nASIG,"Lenguaje Musical"),""))</f>
        <v/>
      </c>
      <c r="U761" t="str">
        <f>IF(S761="","",IFERROR(AVERAGEIFS(nNOTA,nNIA,S761,nEVAL,CONFIG_METADATA!$B$4,nASIG,"Coro"),""))</f>
        <v/>
      </c>
      <c r="V761" t="str">
        <f>IF(S761="","",IFERROR(AVERAGEIFS(nNOTA,nNIA,S761,nEVAL,CONFIG_METADATA!$B$4,nASIG,"Conjunto"),""))</f>
        <v/>
      </c>
      <c r="W761" t="str" cm="1">
        <f t="array" ref="W761">IF(S761="","",IFERROR(AVERAGE(IF((nNIA=S761)*(nEVAL=CONFIG_METADATA!$B$4)*(nASIG&lt;&gt;"Lenguaje Musical")*(nASIG&lt;&gt;"Coro")*(nASIG&lt;&gt;"Conjunto"),nNOTA)),""))</f>
        <v/>
      </c>
    </row>
    <row r="762" spans="2:23" x14ac:dyDescent="0.2">
      <c r="B762" t="str">
        <f>IF(A762="","",IFERROR(AVERAGEIFS(nNOTA,nNIA,A762,nEVAL,CONFIG_METADATA!$B$4,nASIG,"Lenguaje Musical"),""))</f>
        <v/>
      </c>
      <c r="C762" t="str">
        <f>IF(A762="","",IFERROR(AVERAGEIFS(nNOTA,nNIA,A762,nEVAL,CONFIG_METADATA!$B$4,nASIG,"Coro"),""))</f>
        <v/>
      </c>
      <c r="D762" t="str">
        <f>IF(A762="","",IFERROR(AVERAGEIFS(nNOTA,nNIA,A762,nEVAL,CONFIG_METADATA!$B$4,nASIG,"Conjunto"),""))</f>
        <v/>
      </c>
      <c r="E762" t="str">
        <f>IF(A762="","",IFERROR(AVERAGEIFS(nNOTA,nNIA,A762,nEVAL,CONFIG_METADATA!$B$4,nASIG,"&lt;&gt;Lenguaje Musical",nASIG,"&lt;&gt;Coro",nASIG,"&lt;&gt;Conjunto"),""))</f>
        <v/>
      </c>
      <c r="N762" t="str">
        <f>IF(M762="","",IFERROR(AVERAGEIFS(nNOTA,nNIA,M762,nEVAL,CONFIG_METADATA!$B$4,nASIG,"Lenguaje Musical"),""))</f>
        <v/>
      </c>
      <c r="O762" t="str">
        <f>IF(M762="","",IFERROR(AVERAGEIFS(nNOTA,nNIA,M762,nEVAL,CONFIG_METADATA!$B$4,nASIG,"Coro"),""))</f>
        <v/>
      </c>
      <c r="P762" t="str">
        <f>IF(M762="","",IFERROR(AVERAGEIFS(nNOTA,nNIA,M762,nEVAL,CONFIG_METADATA!$B$4,nASIG,"Conjunto"),""))</f>
        <v/>
      </c>
      <c r="Q762" t="str">
        <f>IF(M762="","",IFERROR(AVERAGEIFS(nNOTA,nNIA,M762,nEVAL,CONFIG_METADATA!$B$4,nASIG,"&lt;&gt;Lenguaje Musical",nASIG,"&lt;&gt;Coro",nASIG,"&lt;&gt;Conjunto"),""))</f>
        <v/>
      </c>
      <c r="T762" t="str">
        <f>IF(S762="","",IFERROR(AVERAGEIFS(nNOTA,nNIA,S762,nEVAL,CONFIG_METADATA!$B$4,nASIG,"Lenguaje Musical"),""))</f>
        <v/>
      </c>
      <c r="U762" t="str">
        <f>IF(S762="","",IFERROR(AVERAGEIFS(nNOTA,nNIA,S762,nEVAL,CONFIG_METADATA!$B$4,nASIG,"Coro"),""))</f>
        <v/>
      </c>
      <c r="V762" t="str">
        <f>IF(S762="","",IFERROR(AVERAGEIFS(nNOTA,nNIA,S762,nEVAL,CONFIG_METADATA!$B$4,nASIG,"Conjunto"),""))</f>
        <v/>
      </c>
      <c r="W762" t="str" cm="1">
        <f t="array" ref="W762">IF(S762="","",IFERROR(AVERAGE(IF((nNIA=S762)*(nEVAL=CONFIG_METADATA!$B$4)*(nASIG&lt;&gt;"Lenguaje Musical")*(nASIG&lt;&gt;"Coro")*(nASIG&lt;&gt;"Conjunto"),nNOTA)),""))</f>
        <v/>
      </c>
    </row>
    <row r="763" spans="2:23" x14ac:dyDescent="0.2">
      <c r="B763" t="str">
        <f>IF(A763="","",IFERROR(AVERAGEIFS(nNOTA,nNIA,A763,nEVAL,CONFIG_METADATA!$B$4,nASIG,"Lenguaje Musical"),""))</f>
        <v/>
      </c>
      <c r="C763" t="str">
        <f>IF(A763="","",IFERROR(AVERAGEIFS(nNOTA,nNIA,A763,nEVAL,CONFIG_METADATA!$B$4,nASIG,"Coro"),""))</f>
        <v/>
      </c>
      <c r="D763" t="str">
        <f>IF(A763="","",IFERROR(AVERAGEIFS(nNOTA,nNIA,A763,nEVAL,CONFIG_METADATA!$B$4,nASIG,"Conjunto"),""))</f>
        <v/>
      </c>
      <c r="E763" t="str">
        <f>IF(A763="","",IFERROR(AVERAGEIFS(nNOTA,nNIA,A763,nEVAL,CONFIG_METADATA!$B$4,nASIG,"&lt;&gt;Lenguaje Musical",nASIG,"&lt;&gt;Coro",nASIG,"&lt;&gt;Conjunto"),""))</f>
        <v/>
      </c>
      <c r="N763" t="str">
        <f>IF(M763="","",IFERROR(AVERAGEIFS(nNOTA,nNIA,M763,nEVAL,CONFIG_METADATA!$B$4,nASIG,"Lenguaje Musical"),""))</f>
        <v/>
      </c>
      <c r="O763" t="str">
        <f>IF(M763="","",IFERROR(AVERAGEIFS(nNOTA,nNIA,M763,nEVAL,CONFIG_METADATA!$B$4,nASIG,"Coro"),""))</f>
        <v/>
      </c>
      <c r="P763" t="str">
        <f>IF(M763="","",IFERROR(AVERAGEIFS(nNOTA,nNIA,M763,nEVAL,CONFIG_METADATA!$B$4,nASIG,"Conjunto"),""))</f>
        <v/>
      </c>
      <c r="Q763" t="str">
        <f>IF(M763="","",IFERROR(AVERAGEIFS(nNOTA,nNIA,M763,nEVAL,CONFIG_METADATA!$B$4,nASIG,"&lt;&gt;Lenguaje Musical",nASIG,"&lt;&gt;Coro",nASIG,"&lt;&gt;Conjunto"),""))</f>
        <v/>
      </c>
      <c r="T763" t="str">
        <f>IF(S763="","",IFERROR(AVERAGEIFS(nNOTA,nNIA,S763,nEVAL,CONFIG_METADATA!$B$4,nASIG,"Lenguaje Musical"),""))</f>
        <v/>
      </c>
      <c r="U763" t="str">
        <f>IF(S763="","",IFERROR(AVERAGEIFS(nNOTA,nNIA,S763,nEVAL,CONFIG_METADATA!$B$4,nASIG,"Coro"),""))</f>
        <v/>
      </c>
      <c r="V763" t="str">
        <f>IF(S763="","",IFERROR(AVERAGEIFS(nNOTA,nNIA,S763,nEVAL,CONFIG_METADATA!$B$4,nASIG,"Conjunto"),""))</f>
        <v/>
      </c>
      <c r="W763" t="str" cm="1">
        <f t="array" ref="W763">IF(S763="","",IFERROR(AVERAGE(IF((nNIA=S763)*(nEVAL=CONFIG_METADATA!$B$4)*(nASIG&lt;&gt;"Lenguaje Musical")*(nASIG&lt;&gt;"Coro")*(nASIG&lt;&gt;"Conjunto"),nNOTA)),""))</f>
        <v/>
      </c>
    </row>
    <row r="764" spans="2:23" x14ac:dyDescent="0.2">
      <c r="B764" t="str">
        <f>IF(A764="","",IFERROR(AVERAGEIFS(nNOTA,nNIA,A764,nEVAL,CONFIG_METADATA!$B$4,nASIG,"Lenguaje Musical"),""))</f>
        <v/>
      </c>
      <c r="C764" t="str">
        <f>IF(A764="","",IFERROR(AVERAGEIFS(nNOTA,nNIA,A764,nEVAL,CONFIG_METADATA!$B$4,nASIG,"Coro"),""))</f>
        <v/>
      </c>
      <c r="D764" t="str">
        <f>IF(A764="","",IFERROR(AVERAGEIFS(nNOTA,nNIA,A764,nEVAL,CONFIG_METADATA!$B$4,nASIG,"Conjunto"),""))</f>
        <v/>
      </c>
      <c r="E764" t="str">
        <f>IF(A764="","",IFERROR(AVERAGEIFS(nNOTA,nNIA,A764,nEVAL,CONFIG_METADATA!$B$4,nASIG,"&lt;&gt;Lenguaje Musical",nASIG,"&lt;&gt;Coro",nASIG,"&lt;&gt;Conjunto"),""))</f>
        <v/>
      </c>
      <c r="N764" t="str">
        <f>IF(M764="","",IFERROR(AVERAGEIFS(nNOTA,nNIA,M764,nEVAL,CONFIG_METADATA!$B$4,nASIG,"Lenguaje Musical"),""))</f>
        <v/>
      </c>
      <c r="O764" t="str">
        <f>IF(M764="","",IFERROR(AVERAGEIFS(nNOTA,nNIA,M764,nEVAL,CONFIG_METADATA!$B$4,nASIG,"Coro"),""))</f>
        <v/>
      </c>
      <c r="P764" t="str">
        <f>IF(M764="","",IFERROR(AVERAGEIFS(nNOTA,nNIA,M764,nEVAL,CONFIG_METADATA!$B$4,nASIG,"Conjunto"),""))</f>
        <v/>
      </c>
      <c r="Q764" t="str">
        <f>IF(M764="","",IFERROR(AVERAGEIFS(nNOTA,nNIA,M764,nEVAL,CONFIG_METADATA!$B$4,nASIG,"&lt;&gt;Lenguaje Musical",nASIG,"&lt;&gt;Coro",nASIG,"&lt;&gt;Conjunto"),""))</f>
        <v/>
      </c>
      <c r="T764" t="str">
        <f>IF(S764="","",IFERROR(AVERAGEIFS(nNOTA,nNIA,S764,nEVAL,CONFIG_METADATA!$B$4,nASIG,"Lenguaje Musical"),""))</f>
        <v/>
      </c>
      <c r="U764" t="str">
        <f>IF(S764="","",IFERROR(AVERAGEIFS(nNOTA,nNIA,S764,nEVAL,CONFIG_METADATA!$B$4,nASIG,"Coro"),""))</f>
        <v/>
      </c>
      <c r="V764" t="str">
        <f>IF(S764="","",IFERROR(AVERAGEIFS(nNOTA,nNIA,S764,nEVAL,CONFIG_METADATA!$B$4,nASIG,"Conjunto"),""))</f>
        <v/>
      </c>
      <c r="W764" t="str" cm="1">
        <f t="array" ref="W764">IF(S764="","",IFERROR(AVERAGE(IF((nNIA=S764)*(nEVAL=CONFIG_METADATA!$B$4)*(nASIG&lt;&gt;"Lenguaje Musical")*(nASIG&lt;&gt;"Coro")*(nASIG&lt;&gt;"Conjunto"),nNOTA)),""))</f>
        <v/>
      </c>
    </row>
    <row r="765" spans="2:23" x14ac:dyDescent="0.2">
      <c r="B765" t="str">
        <f>IF(A765="","",IFERROR(AVERAGEIFS(nNOTA,nNIA,A765,nEVAL,CONFIG_METADATA!$B$4,nASIG,"Lenguaje Musical"),""))</f>
        <v/>
      </c>
      <c r="C765" t="str">
        <f>IF(A765="","",IFERROR(AVERAGEIFS(nNOTA,nNIA,A765,nEVAL,CONFIG_METADATA!$B$4,nASIG,"Coro"),""))</f>
        <v/>
      </c>
      <c r="D765" t="str">
        <f>IF(A765="","",IFERROR(AVERAGEIFS(nNOTA,nNIA,A765,nEVAL,CONFIG_METADATA!$B$4,nASIG,"Conjunto"),""))</f>
        <v/>
      </c>
      <c r="E765" t="str">
        <f>IF(A765="","",IFERROR(AVERAGEIFS(nNOTA,nNIA,A765,nEVAL,CONFIG_METADATA!$B$4,nASIG,"&lt;&gt;Lenguaje Musical",nASIG,"&lt;&gt;Coro",nASIG,"&lt;&gt;Conjunto"),""))</f>
        <v/>
      </c>
      <c r="N765" t="str">
        <f>IF(M765="","",IFERROR(AVERAGEIFS(nNOTA,nNIA,M765,nEVAL,CONFIG_METADATA!$B$4,nASIG,"Lenguaje Musical"),""))</f>
        <v/>
      </c>
      <c r="O765" t="str">
        <f>IF(M765="","",IFERROR(AVERAGEIFS(nNOTA,nNIA,M765,nEVAL,CONFIG_METADATA!$B$4,nASIG,"Coro"),""))</f>
        <v/>
      </c>
      <c r="P765" t="str">
        <f>IF(M765="","",IFERROR(AVERAGEIFS(nNOTA,nNIA,M765,nEVAL,CONFIG_METADATA!$B$4,nASIG,"Conjunto"),""))</f>
        <v/>
      </c>
      <c r="Q765" t="str">
        <f>IF(M765="","",IFERROR(AVERAGEIFS(nNOTA,nNIA,M765,nEVAL,CONFIG_METADATA!$B$4,nASIG,"&lt;&gt;Lenguaje Musical",nASIG,"&lt;&gt;Coro",nASIG,"&lt;&gt;Conjunto"),""))</f>
        <v/>
      </c>
      <c r="T765" t="str">
        <f>IF(S765="","",IFERROR(AVERAGEIFS(nNOTA,nNIA,S765,nEVAL,CONFIG_METADATA!$B$4,nASIG,"Lenguaje Musical"),""))</f>
        <v/>
      </c>
      <c r="U765" t="str">
        <f>IF(S765="","",IFERROR(AVERAGEIFS(nNOTA,nNIA,S765,nEVAL,CONFIG_METADATA!$B$4,nASIG,"Coro"),""))</f>
        <v/>
      </c>
      <c r="V765" t="str">
        <f>IF(S765="","",IFERROR(AVERAGEIFS(nNOTA,nNIA,S765,nEVAL,CONFIG_METADATA!$B$4,nASIG,"Conjunto"),""))</f>
        <v/>
      </c>
      <c r="W765" t="str" cm="1">
        <f t="array" ref="W765">IF(S765="","",IFERROR(AVERAGE(IF((nNIA=S765)*(nEVAL=CONFIG_METADATA!$B$4)*(nASIG&lt;&gt;"Lenguaje Musical")*(nASIG&lt;&gt;"Coro")*(nASIG&lt;&gt;"Conjunto"),nNOTA)),""))</f>
        <v/>
      </c>
    </row>
    <row r="766" spans="2:23" x14ac:dyDescent="0.2">
      <c r="B766" t="str">
        <f>IF(A766="","",IFERROR(AVERAGEIFS(nNOTA,nNIA,A766,nEVAL,CONFIG_METADATA!$B$4,nASIG,"Lenguaje Musical"),""))</f>
        <v/>
      </c>
      <c r="C766" t="str">
        <f>IF(A766="","",IFERROR(AVERAGEIFS(nNOTA,nNIA,A766,nEVAL,CONFIG_METADATA!$B$4,nASIG,"Coro"),""))</f>
        <v/>
      </c>
      <c r="D766" t="str">
        <f>IF(A766="","",IFERROR(AVERAGEIFS(nNOTA,nNIA,A766,nEVAL,CONFIG_METADATA!$B$4,nASIG,"Conjunto"),""))</f>
        <v/>
      </c>
      <c r="E766" t="str">
        <f>IF(A766="","",IFERROR(AVERAGEIFS(nNOTA,nNIA,A766,nEVAL,CONFIG_METADATA!$B$4,nASIG,"&lt;&gt;Lenguaje Musical",nASIG,"&lt;&gt;Coro",nASIG,"&lt;&gt;Conjunto"),""))</f>
        <v/>
      </c>
      <c r="N766" t="str">
        <f>IF(M766="","",IFERROR(AVERAGEIFS(nNOTA,nNIA,M766,nEVAL,CONFIG_METADATA!$B$4,nASIG,"Lenguaje Musical"),""))</f>
        <v/>
      </c>
      <c r="O766" t="str">
        <f>IF(M766="","",IFERROR(AVERAGEIFS(nNOTA,nNIA,M766,nEVAL,CONFIG_METADATA!$B$4,nASIG,"Coro"),""))</f>
        <v/>
      </c>
      <c r="P766" t="str">
        <f>IF(M766="","",IFERROR(AVERAGEIFS(nNOTA,nNIA,M766,nEVAL,CONFIG_METADATA!$B$4,nASIG,"Conjunto"),""))</f>
        <v/>
      </c>
      <c r="Q766" t="str">
        <f>IF(M766="","",IFERROR(AVERAGEIFS(nNOTA,nNIA,M766,nEVAL,CONFIG_METADATA!$B$4,nASIG,"&lt;&gt;Lenguaje Musical",nASIG,"&lt;&gt;Coro",nASIG,"&lt;&gt;Conjunto"),""))</f>
        <v/>
      </c>
      <c r="T766" t="str">
        <f>IF(S766="","",IFERROR(AVERAGEIFS(nNOTA,nNIA,S766,nEVAL,CONFIG_METADATA!$B$4,nASIG,"Lenguaje Musical"),""))</f>
        <v/>
      </c>
      <c r="U766" t="str">
        <f>IF(S766="","",IFERROR(AVERAGEIFS(nNOTA,nNIA,S766,nEVAL,CONFIG_METADATA!$B$4,nASIG,"Coro"),""))</f>
        <v/>
      </c>
      <c r="V766" t="str">
        <f>IF(S766="","",IFERROR(AVERAGEIFS(nNOTA,nNIA,S766,nEVAL,CONFIG_METADATA!$B$4,nASIG,"Conjunto"),""))</f>
        <v/>
      </c>
      <c r="W766" t="str" cm="1">
        <f t="array" ref="W766">IF(S766="","",IFERROR(AVERAGE(IF((nNIA=S766)*(nEVAL=CONFIG_METADATA!$B$4)*(nASIG&lt;&gt;"Lenguaje Musical")*(nASIG&lt;&gt;"Coro")*(nASIG&lt;&gt;"Conjunto"),nNOTA)),""))</f>
        <v/>
      </c>
    </row>
    <row r="767" spans="2:23" x14ac:dyDescent="0.2">
      <c r="B767" t="str">
        <f>IF(A767="","",IFERROR(AVERAGEIFS(nNOTA,nNIA,A767,nEVAL,CONFIG_METADATA!$B$4,nASIG,"Lenguaje Musical"),""))</f>
        <v/>
      </c>
      <c r="C767" t="str">
        <f>IF(A767="","",IFERROR(AVERAGEIFS(nNOTA,nNIA,A767,nEVAL,CONFIG_METADATA!$B$4,nASIG,"Coro"),""))</f>
        <v/>
      </c>
      <c r="D767" t="str">
        <f>IF(A767="","",IFERROR(AVERAGEIFS(nNOTA,nNIA,A767,nEVAL,CONFIG_METADATA!$B$4,nASIG,"Conjunto"),""))</f>
        <v/>
      </c>
      <c r="E767" t="str">
        <f>IF(A767="","",IFERROR(AVERAGEIFS(nNOTA,nNIA,A767,nEVAL,CONFIG_METADATA!$B$4,nASIG,"&lt;&gt;Lenguaje Musical",nASIG,"&lt;&gt;Coro",nASIG,"&lt;&gt;Conjunto"),""))</f>
        <v/>
      </c>
      <c r="N767" t="str">
        <f>IF(M767="","",IFERROR(AVERAGEIFS(nNOTA,nNIA,M767,nEVAL,CONFIG_METADATA!$B$4,nASIG,"Lenguaje Musical"),""))</f>
        <v/>
      </c>
      <c r="O767" t="str">
        <f>IF(M767="","",IFERROR(AVERAGEIFS(nNOTA,nNIA,M767,nEVAL,CONFIG_METADATA!$B$4,nASIG,"Coro"),""))</f>
        <v/>
      </c>
      <c r="P767" t="str">
        <f>IF(M767="","",IFERROR(AVERAGEIFS(nNOTA,nNIA,M767,nEVAL,CONFIG_METADATA!$B$4,nASIG,"Conjunto"),""))</f>
        <v/>
      </c>
      <c r="Q767" t="str">
        <f>IF(M767="","",IFERROR(AVERAGEIFS(nNOTA,nNIA,M767,nEVAL,CONFIG_METADATA!$B$4,nASIG,"&lt;&gt;Lenguaje Musical",nASIG,"&lt;&gt;Coro",nASIG,"&lt;&gt;Conjunto"),""))</f>
        <v/>
      </c>
      <c r="T767" t="str">
        <f>IF(S767="","",IFERROR(AVERAGEIFS(nNOTA,nNIA,S767,nEVAL,CONFIG_METADATA!$B$4,nASIG,"Lenguaje Musical"),""))</f>
        <v/>
      </c>
      <c r="U767" t="str">
        <f>IF(S767="","",IFERROR(AVERAGEIFS(nNOTA,nNIA,S767,nEVAL,CONFIG_METADATA!$B$4,nASIG,"Coro"),""))</f>
        <v/>
      </c>
      <c r="V767" t="str">
        <f>IF(S767="","",IFERROR(AVERAGEIFS(nNOTA,nNIA,S767,nEVAL,CONFIG_METADATA!$B$4,nASIG,"Conjunto"),""))</f>
        <v/>
      </c>
      <c r="W767" t="str" cm="1">
        <f t="array" ref="W767">IF(S767="","",IFERROR(AVERAGE(IF((nNIA=S767)*(nEVAL=CONFIG_METADATA!$B$4)*(nASIG&lt;&gt;"Lenguaje Musical")*(nASIG&lt;&gt;"Coro")*(nASIG&lt;&gt;"Conjunto"),nNOTA)),""))</f>
        <v/>
      </c>
    </row>
    <row r="768" spans="2:23" x14ac:dyDescent="0.2">
      <c r="B768" t="str">
        <f>IF(A768="","",IFERROR(AVERAGEIFS(nNOTA,nNIA,A768,nEVAL,CONFIG_METADATA!$B$4,nASIG,"Lenguaje Musical"),""))</f>
        <v/>
      </c>
      <c r="C768" t="str">
        <f>IF(A768="","",IFERROR(AVERAGEIFS(nNOTA,nNIA,A768,nEVAL,CONFIG_METADATA!$B$4,nASIG,"Coro"),""))</f>
        <v/>
      </c>
      <c r="D768" t="str">
        <f>IF(A768="","",IFERROR(AVERAGEIFS(nNOTA,nNIA,A768,nEVAL,CONFIG_METADATA!$B$4,nASIG,"Conjunto"),""))</f>
        <v/>
      </c>
      <c r="E768" t="str">
        <f>IF(A768="","",IFERROR(AVERAGEIFS(nNOTA,nNIA,A768,nEVAL,CONFIG_METADATA!$B$4,nASIG,"&lt;&gt;Lenguaje Musical",nASIG,"&lt;&gt;Coro",nASIG,"&lt;&gt;Conjunto"),""))</f>
        <v/>
      </c>
      <c r="N768" t="str">
        <f>IF(M768="","",IFERROR(AVERAGEIFS(nNOTA,nNIA,M768,nEVAL,CONFIG_METADATA!$B$4,nASIG,"Lenguaje Musical"),""))</f>
        <v/>
      </c>
      <c r="O768" t="str">
        <f>IF(M768="","",IFERROR(AVERAGEIFS(nNOTA,nNIA,M768,nEVAL,CONFIG_METADATA!$B$4,nASIG,"Coro"),""))</f>
        <v/>
      </c>
      <c r="P768" t="str">
        <f>IF(M768="","",IFERROR(AVERAGEIFS(nNOTA,nNIA,M768,nEVAL,CONFIG_METADATA!$B$4,nASIG,"Conjunto"),""))</f>
        <v/>
      </c>
      <c r="Q768" t="str">
        <f>IF(M768="","",IFERROR(AVERAGEIFS(nNOTA,nNIA,M768,nEVAL,CONFIG_METADATA!$B$4,nASIG,"&lt;&gt;Lenguaje Musical",nASIG,"&lt;&gt;Coro",nASIG,"&lt;&gt;Conjunto"),""))</f>
        <v/>
      </c>
      <c r="T768" t="str">
        <f>IF(S768="","",IFERROR(AVERAGEIFS(nNOTA,nNIA,S768,nEVAL,CONFIG_METADATA!$B$4,nASIG,"Lenguaje Musical"),""))</f>
        <v/>
      </c>
      <c r="U768" t="str">
        <f>IF(S768="","",IFERROR(AVERAGEIFS(nNOTA,nNIA,S768,nEVAL,CONFIG_METADATA!$B$4,nASIG,"Coro"),""))</f>
        <v/>
      </c>
      <c r="V768" t="str">
        <f>IF(S768="","",IFERROR(AVERAGEIFS(nNOTA,nNIA,S768,nEVAL,CONFIG_METADATA!$B$4,nASIG,"Conjunto"),""))</f>
        <v/>
      </c>
      <c r="W768" t="str" cm="1">
        <f t="array" ref="W768">IF(S768="","",IFERROR(AVERAGE(IF((nNIA=S768)*(nEVAL=CONFIG_METADATA!$B$4)*(nASIG&lt;&gt;"Lenguaje Musical")*(nASIG&lt;&gt;"Coro")*(nASIG&lt;&gt;"Conjunto"),nNOTA)),""))</f>
        <v/>
      </c>
    </row>
    <row r="769" spans="2:23" x14ac:dyDescent="0.2">
      <c r="B769" t="str">
        <f>IF(A769="","",IFERROR(AVERAGEIFS(nNOTA,nNIA,A769,nEVAL,CONFIG_METADATA!$B$4,nASIG,"Lenguaje Musical"),""))</f>
        <v/>
      </c>
      <c r="C769" t="str">
        <f>IF(A769="","",IFERROR(AVERAGEIFS(nNOTA,nNIA,A769,nEVAL,CONFIG_METADATA!$B$4,nASIG,"Coro"),""))</f>
        <v/>
      </c>
      <c r="D769" t="str">
        <f>IF(A769="","",IFERROR(AVERAGEIFS(nNOTA,nNIA,A769,nEVAL,CONFIG_METADATA!$B$4,nASIG,"Conjunto"),""))</f>
        <v/>
      </c>
      <c r="E769" t="str">
        <f>IF(A769="","",IFERROR(AVERAGEIFS(nNOTA,nNIA,A769,nEVAL,CONFIG_METADATA!$B$4,nASIG,"&lt;&gt;Lenguaje Musical",nASIG,"&lt;&gt;Coro",nASIG,"&lt;&gt;Conjunto"),""))</f>
        <v/>
      </c>
      <c r="N769" t="str">
        <f>IF(M769="","",IFERROR(AVERAGEIFS(nNOTA,nNIA,M769,nEVAL,CONFIG_METADATA!$B$4,nASIG,"Lenguaje Musical"),""))</f>
        <v/>
      </c>
      <c r="O769" t="str">
        <f>IF(M769="","",IFERROR(AVERAGEIFS(nNOTA,nNIA,M769,nEVAL,CONFIG_METADATA!$B$4,nASIG,"Coro"),""))</f>
        <v/>
      </c>
      <c r="P769" t="str">
        <f>IF(M769="","",IFERROR(AVERAGEIFS(nNOTA,nNIA,M769,nEVAL,CONFIG_METADATA!$B$4,nASIG,"Conjunto"),""))</f>
        <v/>
      </c>
      <c r="Q769" t="str">
        <f>IF(M769="","",IFERROR(AVERAGEIFS(nNOTA,nNIA,M769,nEVAL,CONFIG_METADATA!$B$4,nASIG,"&lt;&gt;Lenguaje Musical",nASIG,"&lt;&gt;Coro",nASIG,"&lt;&gt;Conjunto"),""))</f>
        <v/>
      </c>
      <c r="T769" t="str">
        <f>IF(S769="","",IFERROR(AVERAGEIFS(nNOTA,nNIA,S769,nEVAL,CONFIG_METADATA!$B$4,nASIG,"Lenguaje Musical"),""))</f>
        <v/>
      </c>
      <c r="U769" t="str">
        <f>IF(S769="","",IFERROR(AVERAGEIFS(nNOTA,nNIA,S769,nEVAL,CONFIG_METADATA!$B$4,nASIG,"Coro"),""))</f>
        <v/>
      </c>
      <c r="V769" t="str">
        <f>IF(S769="","",IFERROR(AVERAGEIFS(nNOTA,nNIA,S769,nEVAL,CONFIG_METADATA!$B$4,nASIG,"Conjunto"),""))</f>
        <v/>
      </c>
      <c r="W769" t="str" cm="1">
        <f t="array" ref="W769">IF(S769="","",IFERROR(AVERAGE(IF((nNIA=S769)*(nEVAL=CONFIG_METADATA!$B$4)*(nASIG&lt;&gt;"Lenguaje Musical")*(nASIG&lt;&gt;"Coro")*(nASIG&lt;&gt;"Conjunto"),nNOTA)),""))</f>
        <v/>
      </c>
    </row>
    <row r="770" spans="2:23" x14ac:dyDescent="0.2">
      <c r="B770" t="str">
        <f>IF(A770="","",IFERROR(AVERAGEIFS(nNOTA,nNIA,A770,nEVAL,CONFIG_METADATA!$B$4,nASIG,"Lenguaje Musical"),""))</f>
        <v/>
      </c>
      <c r="C770" t="str">
        <f>IF(A770="","",IFERROR(AVERAGEIFS(nNOTA,nNIA,A770,nEVAL,CONFIG_METADATA!$B$4,nASIG,"Coro"),""))</f>
        <v/>
      </c>
      <c r="D770" t="str">
        <f>IF(A770="","",IFERROR(AVERAGEIFS(nNOTA,nNIA,A770,nEVAL,CONFIG_METADATA!$B$4,nASIG,"Conjunto"),""))</f>
        <v/>
      </c>
      <c r="E770" t="str">
        <f>IF(A770="","",IFERROR(AVERAGEIFS(nNOTA,nNIA,A770,nEVAL,CONFIG_METADATA!$B$4,nASIG,"&lt;&gt;Lenguaje Musical",nASIG,"&lt;&gt;Coro",nASIG,"&lt;&gt;Conjunto"),""))</f>
        <v/>
      </c>
      <c r="N770" t="str">
        <f>IF(M770="","",IFERROR(AVERAGEIFS(nNOTA,nNIA,M770,nEVAL,CONFIG_METADATA!$B$4,nASIG,"Lenguaje Musical"),""))</f>
        <v/>
      </c>
      <c r="O770" t="str">
        <f>IF(M770="","",IFERROR(AVERAGEIFS(nNOTA,nNIA,M770,nEVAL,CONFIG_METADATA!$B$4,nASIG,"Coro"),""))</f>
        <v/>
      </c>
      <c r="P770" t="str">
        <f>IF(M770="","",IFERROR(AVERAGEIFS(nNOTA,nNIA,M770,nEVAL,CONFIG_METADATA!$B$4,nASIG,"Conjunto"),""))</f>
        <v/>
      </c>
      <c r="Q770" t="str">
        <f>IF(M770="","",IFERROR(AVERAGEIFS(nNOTA,nNIA,M770,nEVAL,CONFIG_METADATA!$B$4,nASIG,"&lt;&gt;Lenguaje Musical",nASIG,"&lt;&gt;Coro",nASIG,"&lt;&gt;Conjunto"),""))</f>
        <v/>
      </c>
      <c r="T770" t="str">
        <f>IF(S770="","",IFERROR(AVERAGEIFS(nNOTA,nNIA,S770,nEVAL,CONFIG_METADATA!$B$4,nASIG,"Lenguaje Musical"),""))</f>
        <v/>
      </c>
      <c r="U770" t="str">
        <f>IF(S770="","",IFERROR(AVERAGEIFS(nNOTA,nNIA,S770,nEVAL,CONFIG_METADATA!$B$4,nASIG,"Coro"),""))</f>
        <v/>
      </c>
      <c r="V770" t="str">
        <f>IF(S770="","",IFERROR(AVERAGEIFS(nNOTA,nNIA,S770,nEVAL,CONFIG_METADATA!$B$4,nASIG,"Conjunto"),""))</f>
        <v/>
      </c>
      <c r="W770" t="str" cm="1">
        <f t="array" ref="W770">IF(S770="","",IFERROR(AVERAGE(IF((nNIA=S770)*(nEVAL=CONFIG_METADATA!$B$4)*(nASIG&lt;&gt;"Lenguaje Musical")*(nASIG&lt;&gt;"Coro")*(nASIG&lt;&gt;"Conjunto"),nNOTA)),""))</f>
        <v/>
      </c>
    </row>
    <row r="771" spans="2:23" x14ac:dyDescent="0.2">
      <c r="B771" t="str">
        <f>IF(A771="","",IFERROR(AVERAGEIFS(nNOTA,nNIA,A771,nEVAL,CONFIG_METADATA!$B$4,nASIG,"Lenguaje Musical"),""))</f>
        <v/>
      </c>
      <c r="C771" t="str">
        <f>IF(A771="","",IFERROR(AVERAGEIFS(nNOTA,nNIA,A771,nEVAL,CONFIG_METADATA!$B$4,nASIG,"Coro"),""))</f>
        <v/>
      </c>
      <c r="D771" t="str">
        <f>IF(A771="","",IFERROR(AVERAGEIFS(nNOTA,nNIA,A771,nEVAL,CONFIG_METADATA!$B$4,nASIG,"Conjunto"),""))</f>
        <v/>
      </c>
      <c r="E771" t="str">
        <f>IF(A771="","",IFERROR(AVERAGEIFS(nNOTA,nNIA,A771,nEVAL,CONFIG_METADATA!$B$4,nASIG,"&lt;&gt;Lenguaje Musical",nASIG,"&lt;&gt;Coro",nASIG,"&lt;&gt;Conjunto"),""))</f>
        <v/>
      </c>
      <c r="N771" t="str">
        <f>IF(M771="","",IFERROR(AVERAGEIFS(nNOTA,nNIA,M771,nEVAL,CONFIG_METADATA!$B$4,nASIG,"Lenguaje Musical"),""))</f>
        <v/>
      </c>
      <c r="O771" t="str">
        <f>IF(M771="","",IFERROR(AVERAGEIFS(nNOTA,nNIA,M771,nEVAL,CONFIG_METADATA!$B$4,nASIG,"Coro"),""))</f>
        <v/>
      </c>
      <c r="P771" t="str">
        <f>IF(M771="","",IFERROR(AVERAGEIFS(nNOTA,nNIA,M771,nEVAL,CONFIG_METADATA!$B$4,nASIG,"Conjunto"),""))</f>
        <v/>
      </c>
      <c r="Q771" t="str">
        <f>IF(M771="","",IFERROR(AVERAGEIFS(nNOTA,nNIA,M771,nEVAL,CONFIG_METADATA!$B$4,nASIG,"&lt;&gt;Lenguaje Musical",nASIG,"&lt;&gt;Coro",nASIG,"&lt;&gt;Conjunto"),""))</f>
        <v/>
      </c>
      <c r="T771" t="str">
        <f>IF(S771="","",IFERROR(AVERAGEIFS(nNOTA,nNIA,S771,nEVAL,CONFIG_METADATA!$B$4,nASIG,"Lenguaje Musical"),""))</f>
        <v/>
      </c>
      <c r="U771" t="str">
        <f>IF(S771="","",IFERROR(AVERAGEIFS(nNOTA,nNIA,S771,nEVAL,CONFIG_METADATA!$B$4,nASIG,"Coro"),""))</f>
        <v/>
      </c>
      <c r="V771" t="str">
        <f>IF(S771="","",IFERROR(AVERAGEIFS(nNOTA,nNIA,S771,nEVAL,CONFIG_METADATA!$B$4,nASIG,"Conjunto"),""))</f>
        <v/>
      </c>
      <c r="W771" t="str" cm="1">
        <f t="array" ref="W771">IF(S771="","",IFERROR(AVERAGE(IF((nNIA=S771)*(nEVAL=CONFIG_METADATA!$B$4)*(nASIG&lt;&gt;"Lenguaje Musical")*(nASIG&lt;&gt;"Coro")*(nASIG&lt;&gt;"Conjunto"),nNOTA)),""))</f>
        <v/>
      </c>
    </row>
    <row r="772" spans="2:23" x14ac:dyDescent="0.2">
      <c r="B772" t="str">
        <f>IF(A772="","",IFERROR(AVERAGEIFS(nNOTA,nNIA,A772,nEVAL,CONFIG_METADATA!$B$4,nASIG,"Lenguaje Musical"),""))</f>
        <v/>
      </c>
      <c r="C772" t="str">
        <f>IF(A772="","",IFERROR(AVERAGEIFS(nNOTA,nNIA,A772,nEVAL,CONFIG_METADATA!$B$4,nASIG,"Coro"),""))</f>
        <v/>
      </c>
      <c r="D772" t="str">
        <f>IF(A772="","",IFERROR(AVERAGEIFS(nNOTA,nNIA,A772,nEVAL,CONFIG_METADATA!$B$4,nASIG,"Conjunto"),""))</f>
        <v/>
      </c>
      <c r="E772" t="str">
        <f>IF(A772="","",IFERROR(AVERAGEIFS(nNOTA,nNIA,A772,nEVAL,CONFIG_METADATA!$B$4,nASIG,"&lt;&gt;Lenguaje Musical",nASIG,"&lt;&gt;Coro",nASIG,"&lt;&gt;Conjunto"),""))</f>
        <v/>
      </c>
      <c r="N772" t="str">
        <f>IF(M772="","",IFERROR(AVERAGEIFS(nNOTA,nNIA,M772,nEVAL,CONFIG_METADATA!$B$4,nASIG,"Lenguaje Musical"),""))</f>
        <v/>
      </c>
      <c r="O772" t="str">
        <f>IF(M772="","",IFERROR(AVERAGEIFS(nNOTA,nNIA,M772,nEVAL,CONFIG_METADATA!$B$4,nASIG,"Coro"),""))</f>
        <v/>
      </c>
      <c r="P772" t="str">
        <f>IF(M772="","",IFERROR(AVERAGEIFS(nNOTA,nNIA,M772,nEVAL,CONFIG_METADATA!$B$4,nASIG,"Conjunto"),""))</f>
        <v/>
      </c>
      <c r="Q772" t="str">
        <f>IF(M772="","",IFERROR(AVERAGEIFS(nNOTA,nNIA,M772,nEVAL,CONFIG_METADATA!$B$4,nASIG,"&lt;&gt;Lenguaje Musical",nASIG,"&lt;&gt;Coro",nASIG,"&lt;&gt;Conjunto"),""))</f>
        <v/>
      </c>
      <c r="T772" t="str">
        <f>IF(S772="","",IFERROR(AVERAGEIFS(nNOTA,nNIA,S772,nEVAL,CONFIG_METADATA!$B$4,nASIG,"Lenguaje Musical"),""))</f>
        <v/>
      </c>
      <c r="U772" t="str">
        <f>IF(S772="","",IFERROR(AVERAGEIFS(nNOTA,nNIA,S772,nEVAL,CONFIG_METADATA!$B$4,nASIG,"Coro"),""))</f>
        <v/>
      </c>
      <c r="V772" t="str">
        <f>IF(S772="","",IFERROR(AVERAGEIFS(nNOTA,nNIA,S772,nEVAL,CONFIG_METADATA!$B$4,nASIG,"Conjunto"),""))</f>
        <v/>
      </c>
      <c r="W772" t="str" cm="1">
        <f t="array" ref="W772">IF(S772="","",IFERROR(AVERAGE(IF((nNIA=S772)*(nEVAL=CONFIG_METADATA!$B$4)*(nASIG&lt;&gt;"Lenguaje Musical")*(nASIG&lt;&gt;"Coro")*(nASIG&lt;&gt;"Conjunto"),nNOTA)),""))</f>
        <v/>
      </c>
    </row>
    <row r="773" spans="2:23" x14ac:dyDescent="0.2">
      <c r="B773" t="str">
        <f>IF(A773="","",IFERROR(AVERAGEIFS(nNOTA,nNIA,A773,nEVAL,CONFIG_METADATA!$B$4,nASIG,"Lenguaje Musical"),""))</f>
        <v/>
      </c>
      <c r="C773" t="str">
        <f>IF(A773="","",IFERROR(AVERAGEIFS(nNOTA,nNIA,A773,nEVAL,CONFIG_METADATA!$B$4,nASIG,"Coro"),""))</f>
        <v/>
      </c>
      <c r="D773" t="str">
        <f>IF(A773="","",IFERROR(AVERAGEIFS(nNOTA,nNIA,A773,nEVAL,CONFIG_METADATA!$B$4,nASIG,"Conjunto"),""))</f>
        <v/>
      </c>
      <c r="E773" t="str">
        <f>IF(A773="","",IFERROR(AVERAGEIFS(nNOTA,nNIA,A773,nEVAL,CONFIG_METADATA!$B$4,nASIG,"&lt;&gt;Lenguaje Musical",nASIG,"&lt;&gt;Coro",nASIG,"&lt;&gt;Conjunto"),""))</f>
        <v/>
      </c>
      <c r="N773" t="str">
        <f>IF(M773="","",IFERROR(AVERAGEIFS(nNOTA,nNIA,M773,nEVAL,CONFIG_METADATA!$B$4,nASIG,"Lenguaje Musical"),""))</f>
        <v/>
      </c>
      <c r="O773" t="str">
        <f>IF(M773="","",IFERROR(AVERAGEIFS(nNOTA,nNIA,M773,nEVAL,CONFIG_METADATA!$B$4,nASIG,"Coro"),""))</f>
        <v/>
      </c>
      <c r="P773" t="str">
        <f>IF(M773="","",IFERROR(AVERAGEIFS(nNOTA,nNIA,M773,nEVAL,CONFIG_METADATA!$B$4,nASIG,"Conjunto"),""))</f>
        <v/>
      </c>
      <c r="Q773" t="str">
        <f>IF(M773="","",IFERROR(AVERAGEIFS(nNOTA,nNIA,M773,nEVAL,CONFIG_METADATA!$B$4,nASIG,"&lt;&gt;Lenguaje Musical",nASIG,"&lt;&gt;Coro",nASIG,"&lt;&gt;Conjunto"),""))</f>
        <v/>
      </c>
      <c r="T773" t="str">
        <f>IF(S773="","",IFERROR(AVERAGEIFS(nNOTA,nNIA,S773,nEVAL,CONFIG_METADATA!$B$4,nASIG,"Lenguaje Musical"),""))</f>
        <v/>
      </c>
      <c r="U773" t="str">
        <f>IF(S773="","",IFERROR(AVERAGEIFS(nNOTA,nNIA,S773,nEVAL,CONFIG_METADATA!$B$4,nASIG,"Coro"),""))</f>
        <v/>
      </c>
      <c r="V773" t="str">
        <f>IF(S773="","",IFERROR(AVERAGEIFS(nNOTA,nNIA,S773,nEVAL,CONFIG_METADATA!$B$4,nASIG,"Conjunto"),""))</f>
        <v/>
      </c>
      <c r="W773" t="str" cm="1">
        <f t="array" ref="W773">IF(S773="","",IFERROR(AVERAGE(IF((nNIA=S773)*(nEVAL=CONFIG_METADATA!$B$4)*(nASIG&lt;&gt;"Lenguaje Musical")*(nASIG&lt;&gt;"Coro")*(nASIG&lt;&gt;"Conjunto"),nNOTA)),""))</f>
        <v/>
      </c>
    </row>
    <row r="774" spans="2:23" x14ac:dyDescent="0.2">
      <c r="B774" t="str">
        <f>IF(A774="","",IFERROR(AVERAGEIFS(nNOTA,nNIA,A774,nEVAL,CONFIG_METADATA!$B$4,nASIG,"Lenguaje Musical"),""))</f>
        <v/>
      </c>
      <c r="C774" t="str">
        <f>IF(A774="","",IFERROR(AVERAGEIFS(nNOTA,nNIA,A774,nEVAL,CONFIG_METADATA!$B$4,nASIG,"Coro"),""))</f>
        <v/>
      </c>
      <c r="D774" t="str">
        <f>IF(A774="","",IFERROR(AVERAGEIFS(nNOTA,nNIA,A774,nEVAL,CONFIG_METADATA!$B$4,nASIG,"Conjunto"),""))</f>
        <v/>
      </c>
      <c r="E774" t="str">
        <f>IF(A774="","",IFERROR(AVERAGEIFS(nNOTA,nNIA,A774,nEVAL,CONFIG_METADATA!$B$4,nASIG,"&lt;&gt;Lenguaje Musical",nASIG,"&lt;&gt;Coro",nASIG,"&lt;&gt;Conjunto"),""))</f>
        <v/>
      </c>
      <c r="N774" t="str">
        <f>IF(M774="","",IFERROR(AVERAGEIFS(nNOTA,nNIA,M774,nEVAL,CONFIG_METADATA!$B$4,nASIG,"Lenguaje Musical"),""))</f>
        <v/>
      </c>
      <c r="O774" t="str">
        <f>IF(M774="","",IFERROR(AVERAGEIFS(nNOTA,nNIA,M774,nEVAL,CONFIG_METADATA!$B$4,nASIG,"Coro"),""))</f>
        <v/>
      </c>
      <c r="P774" t="str">
        <f>IF(M774="","",IFERROR(AVERAGEIFS(nNOTA,nNIA,M774,nEVAL,CONFIG_METADATA!$B$4,nASIG,"Conjunto"),""))</f>
        <v/>
      </c>
      <c r="Q774" t="str">
        <f>IF(M774="","",IFERROR(AVERAGEIFS(nNOTA,nNIA,M774,nEVAL,CONFIG_METADATA!$B$4,nASIG,"&lt;&gt;Lenguaje Musical",nASIG,"&lt;&gt;Coro",nASIG,"&lt;&gt;Conjunto"),""))</f>
        <v/>
      </c>
      <c r="T774" t="str">
        <f>IF(S774="","",IFERROR(AVERAGEIFS(nNOTA,nNIA,S774,nEVAL,CONFIG_METADATA!$B$4,nASIG,"Lenguaje Musical"),""))</f>
        <v/>
      </c>
      <c r="U774" t="str">
        <f>IF(S774="","",IFERROR(AVERAGEIFS(nNOTA,nNIA,S774,nEVAL,CONFIG_METADATA!$B$4,nASIG,"Coro"),""))</f>
        <v/>
      </c>
      <c r="V774" t="str">
        <f>IF(S774="","",IFERROR(AVERAGEIFS(nNOTA,nNIA,S774,nEVAL,CONFIG_METADATA!$B$4,nASIG,"Conjunto"),""))</f>
        <v/>
      </c>
      <c r="W774" t="str" cm="1">
        <f t="array" ref="W774">IF(S774="","",IFERROR(AVERAGE(IF((nNIA=S774)*(nEVAL=CONFIG_METADATA!$B$4)*(nASIG&lt;&gt;"Lenguaje Musical")*(nASIG&lt;&gt;"Coro")*(nASIG&lt;&gt;"Conjunto"),nNOTA)),""))</f>
        <v/>
      </c>
    </row>
    <row r="775" spans="2:23" x14ac:dyDescent="0.2">
      <c r="B775" t="str">
        <f>IF(A775="","",IFERROR(AVERAGEIFS(nNOTA,nNIA,A775,nEVAL,CONFIG_METADATA!$B$4,nASIG,"Lenguaje Musical"),""))</f>
        <v/>
      </c>
      <c r="C775" t="str">
        <f>IF(A775="","",IFERROR(AVERAGEIFS(nNOTA,nNIA,A775,nEVAL,CONFIG_METADATA!$B$4,nASIG,"Coro"),""))</f>
        <v/>
      </c>
      <c r="D775" t="str">
        <f>IF(A775="","",IFERROR(AVERAGEIFS(nNOTA,nNIA,A775,nEVAL,CONFIG_METADATA!$B$4,nASIG,"Conjunto"),""))</f>
        <v/>
      </c>
      <c r="E775" t="str">
        <f>IF(A775="","",IFERROR(AVERAGEIFS(nNOTA,nNIA,A775,nEVAL,CONFIG_METADATA!$B$4,nASIG,"&lt;&gt;Lenguaje Musical",nASIG,"&lt;&gt;Coro",nASIG,"&lt;&gt;Conjunto"),""))</f>
        <v/>
      </c>
      <c r="N775" t="str">
        <f>IF(M775="","",IFERROR(AVERAGEIFS(nNOTA,nNIA,M775,nEVAL,CONFIG_METADATA!$B$4,nASIG,"Lenguaje Musical"),""))</f>
        <v/>
      </c>
      <c r="O775" t="str">
        <f>IF(M775="","",IFERROR(AVERAGEIFS(nNOTA,nNIA,M775,nEVAL,CONFIG_METADATA!$B$4,nASIG,"Coro"),""))</f>
        <v/>
      </c>
      <c r="P775" t="str">
        <f>IF(M775="","",IFERROR(AVERAGEIFS(nNOTA,nNIA,M775,nEVAL,CONFIG_METADATA!$B$4,nASIG,"Conjunto"),""))</f>
        <v/>
      </c>
      <c r="Q775" t="str">
        <f>IF(M775="","",IFERROR(AVERAGEIFS(nNOTA,nNIA,M775,nEVAL,CONFIG_METADATA!$B$4,nASIG,"&lt;&gt;Lenguaje Musical",nASIG,"&lt;&gt;Coro",nASIG,"&lt;&gt;Conjunto"),""))</f>
        <v/>
      </c>
      <c r="T775" t="str">
        <f>IF(S775="","",IFERROR(AVERAGEIFS(nNOTA,nNIA,S775,nEVAL,CONFIG_METADATA!$B$4,nASIG,"Lenguaje Musical"),""))</f>
        <v/>
      </c>
      <c r="U775" t="str">
        <f>IF(S775="","",IFERROR(AVERAGEIFS(nNOTA,nNIA,S775,nEVAL,CONFIG_METADATA!$B$4,nASIG,"Coro"),""))</f>
        <v/>
      </c>
      <c r="V775" t="str">
        <f>IF(S775="","",IFERROR(AVERAGEIFS(nNOTA,nNIA,S775,nEVAL,CONFIG_METADATA!$B$4,nASIG,"Conjunto"),""))</f>
        <v/>
      </c>
      <c r="W775" t="str" cm="1">
        <f t="array" ref="W775">IF(S775="","",IFERROR(AVERAGE(IF((nNIA=S775)*(nEVAL=CONFIG_METADATA!$B$4)*(nASIG&lt;&gt;"Lenguaje Musical")*(nASIG&lt;&gt;"Coro")*(nASIG&lt;&gt;"Conjunto"),nNOTA)),""))</f>
        <v/>
      </c>
    </row>
    <row r="776" spans="2:23" x14ac:dyDescent="0.2">
      <c r="B776" t="str">
        <f>IF(A776="","",IFERROR(AVERAGEIFS(nNOTA,nNIA,A776,nEVAL,CONFIG_METADATA!$B$4,nASIG,"Lenguaje Musical"),""))</f>
        <v/>
      </c>
      <c r="C776" t="str">
        <f>IF(A776="","",IFERROR(AVERAGEIFS(nNOTA,nNIA,A776,nEVAL,CONFIG_METADATA!$B$4,nASIG,"Coro"),""))</f>
        <v/>
      </c>
      <c r="D776" t="str">
        <f>IF(A776="","",IFERROR(AVERAGEIFS(nNOTA,nNIA,A776,nEVAL,CONFIG_METADATA!$B$4,nASIG,"Conjunto"),""))</f>
        <v/>
      </c>
      <c r="E776" t="str">
        <f>IF(A776="","",IFERROR(AVERAGEIFS(nNOTA,nNIA,A776,nEVAL,CONFIG_METADATA!$B$4,nASIG,"&lt;&gt;Lenguaje Musical",nASIG,"&lt;&gt;Coro",nASIG,"&lt;&gt;Conjunto"),""))</f>
        <v/>
      </c>
      <c r="N776" t="str">
        <f>IF(M776="","",IFERROR(AVERAGEIFS(nNOTA,nNIA,M776,nEVAL,CONFIG_METADATA!$B$4,nASIG,"Lenguaje Musical"),""))</f>
        <v/>
      </c>
      <c r="O776" t="str">
        <f>IF(M776="","",IFERROR(AVERAGEIFS(nNOTA,nNIA,M776,nEVAL,CONFIG_METADATA!$B$4,nASIG,"Coro"),""))</f>
        <v/>
      </c>
      <c r="P776" t="str">
        <f>IF(M776="","",IFERROR(AVERAGEIFS(nNOTA,nNIA,M776,nEVAL,CONFIG_METADATA!$B$4,nASIG,"Conjunto"),""))</f>
        <v/>
      </c>
      <c r="Q776" t="str">
        <f>IF(M776="","",IFERROR(AVERAGEIFS(nNOTA,nNIA,M776,nEVAL,CONFIG_METADATA!$B$4,nASIG,"&lt;&gt;Lenguaje Musical",nASIG,"&lt;&gt;Coro",nASIG,"&lt;&gt;Conjunto"),""))</f>
        <v/>
      </c>
      <c r="T776" t="str">
        <f>IF(S776="","",IFERROR(AVERAGEIFS(nNOTA,nNIA,S776,nEVAL,CONFIG_METADATA!$B$4,nASIG,"Lenguaje Musical"),""))</f>
        <v/>
      </c>
      <c r="U776" t="str">
        <f>IF(S776="","",IFERROR(AVERAGEIFS(nNOTA,nNIA,S776,nEVAL,CONFIG_METADATA!$B$4,nASIG,"Coro"),""))</f>
        <v/>
      </c>
      <c r="V776" t="str">
        <f>IF(S776="","",IFERROR(AVERAGEIFS(nNOTA,nNIA,S776,nEVAL,CONFIG_METADATA!$B$4,nASIG,"Conjunto"),""))</f>
        <v/>
      </c>
      <c r="W776" t="str" cm="1">
        <f t="array" ref="W776">IF(S776="","",IFERROR(AVERAGE(IF((nNIA=S776)*(nEVAL=CONFIG_METADATA!$B$4)*(nASIG&lt;&gt;"Lenguaje Musical")*(nASIG&lt;&gt;"Coro")*(nASIG&lt;&gt;"Conjunto"),nNOTA)),""))</f>
        <v/>
      </c>
    </row>
    <row r="777" spans="2:23" x14ac:dyDescent="0.2">
      <c r="B777" t="str">
        <f>IF(A777="","",IFERROR(AVERAGEIFS(nNOTA,nNIA,A777,nEVAL,CONFIG_METADATA!$B$4,nASIG,"Lenguaje Musical"),""))</f>
        <v/>
      </c>
      <c r="C777" t="str">
        <f>IF(A777="","",IFERROR(AVERAGEIFS(nNOTA,nNIA,A777,nEVAL,CONFIG_METADATA!$B$4,nASIG,"Coro"),""))</f>
        <v/>
      </c>
      <c r="D777" t="str">
        <f>IF(A777="","",IFERROR(AVERAGEIFS(nNOTA,nNIA,A777,nEVAL,CONFIG_METADATA!$B$4,nASIG,"Conjunto"),""))</f>
        <v/>
      </c>
      <c r="E777" t="str">
        <f>IF(A777="","",IFERROR(AVERAGEIFS(nNOTA,nNIA,A777,nEVAL,CONFIG_METADATA!$B$4,nASIG,"&lt;&gt;Lenguaje Musical",nASIG,"&lt;&gt;Coro",nASIG,"&lt;&gt;Conjunto"),""))</f>
        <v/>
      </c>
      <c r="N777" t="str">
        <f>IF(M777="","",IFERROR(AVERAGEIFS(nNOTA,nNIA,M777,nEVAL,CONFIG_METADATA!$B$4,nASIG,"Lenguaje Musical"),""))</f>
        <v/>
      </c>
      <c r="O777" t="str">
        <f>IF(M777="","",IFERROR(AVERAGEIFS(nNOTA,nNIA,M777,nEVAL,CONFIG_METADATA!$B$4,nASIG,"Coro"),""))</f>
        <v/>
      </c>
      <c r="P777" t="str">
        <f>IF(M777="","",IFERROR(AVERAGEIFS(nNOTA,nNIA,M777,nEVAL,CONFIG_METADATA!$B$4,nASIG,"Conjunto"),""))</f>
        <v/>
      </c>
      <c r="Q777" t="str">
        <f>IF(M777="","",IFERROR(AVERAGEIFS(nNOTA,nNIA,M777,nEVAL,CONFIG_METADATA!$B$4,nASIG,"&lt;&gt;Lenguaje Musical",nASIG,"&lt;&gt;Coro",nASIG,"&lt;&gt;Conjunto"),""))</f>
        <v/>
      </c>
      <c r="T777" t="str">
        <f>IF(S777="","",IFERROR(AVERAGEIFS(nNOTA,nNIA,S777,nEVAL,CONFIG_METADATA!$B$4,nASIG,"Lenguaje Musical"),""))</f>
        <v/>
      </c>
      <c r="U777" t="str">
        <f>IF(S777="","",IFERROR(AVERAGEIFS(nNOTA,nNIA,S777,nEVAL,CONFIG_METADATA!$B$4,nASIG,"Coro"),""))</f>
        <v/>
      </c>
      <c r="V777" t="str">
        <f>IF(S777="","",IFERROR(AVERAGEIFS(nNOTA,nNIA,S777,nEVAL,CONFIG_METADATA!$B$4,nASIG,"Conjunto"),""))</f>
        <v/>
      </c>
      <c r="W777" t="str" cm="1">
        <f t="array" ref="W777">IF(S777="","",IFERROR(AVERAGE(IF((nNIA=S777)*(nEVAL=CONFIG_METADATA!$B$4)*(nASIG&lt;&gt;"Lenguaje Musical")*(nASIG&lt;&gt;"Coro")*(nASIG&lt;&gt;"Conjunto"),nNOTA)),""))</f>
        <v/>
      </c>
    </row>
    <row r="778" spans="2:23" x14ac:dyDescent="0.2">
      <c r="B778" t="str">
        <f>IF(A778="","",IFERROR(AVERAGEIFS(nNOTA,nNIA,A778,nEVAL,CONFIG_METADATA!$B$4,nASIG,"Lenguaje Musical"),""))</f>
        <v/>
      </c>
      <c r="C778" t="str">
        <f>IF(A778="","",IFERROR(AVERAGEIFS(nNOTA,nNIA,A778,nEVAL,CONFIG_METADATA!$B$4,nASIG,"Coro"),""))</f>
        <v/>
      </c>
      <c r="D778" t="str">
        <f>IF(A778="","",IFERROR(AVERAGEIFS(nNOTA,nNIA,A778,nEVAL,CONFIG_METADATA!$B$4,nASIG,"Conjunto"),""))</f>
        <v/>
      </c>
      <c r="E778" t="str">
        <f>IF(A778="","",IFERROR(AVERAGEIFS(nNOTA,nNIA,A778,nEVAL,CONFIG_METADATA!$B$4,nASIG,"&lt;&gt;Lenguaje Musical",nASIG,"&lt;&gt;Coro",nASIG,"&lt;&gt;Conjunto"),""))</f>
        <v/>
      </c>
      <c r="N778" t="str">
        <f>IF(M778="","",IFERROR(AVERAGEIFS(nNOTA,nNIA,M778,nEVAL,CONFIG_METADATA!$B$4,nASIG,"Lenguaje Musical"),""))</f>
        <v/>
      </c>
      <c r="O778" t="str">
        <f>IF(M778="","",IFERROR(AVERAGEIFS(nNOTA,nNIA,M778,nEVAL,CONFIG_METADATA!$B$4,nASIG,"Coro"),""))</f>
        <v/>
      </c>
      <c r="P778" t="str">
        <f>IF(M778="","",IFERROR(AVERAGEIFS(nNOTA,nNIA,M778,nEVAL,CONFIG_METADATA!$B$4,nASIG,"Conjunto"),""))</f>
        <v/>
      </c>
      <c r="Q778" t="str">
        <f>IF(M778="","",IFERROR(AVERAGEIFS(nNOTA,nNIA,M778,nEVAL,CONFIG_METADATA!$B$4,nASIG,"&lt;&gt;Lenguaje Musical",nASIG,"&lt;&gt;Coro",nASIG,"&lt;&gt;Conjunto"),""))</f>
        <v/>
      </c>
      <c r="T778" t="str">
        <f>IF(S778="","",IFERROR(AVERAGEIFS(nNOTA,nNIA,S778,nEVAL,CONFIG_METADATA!$B$4,nASIG,"Lenguaje Musical"),""))</f>
        <v/>
      </c>
      <c r="U778" t="str">
        <f>IF(S778="","",IFERROR(AVERAGEIFS(nNOTA,nNIA,S778,nEVAL,CONFIG_METADATA!$B$4,nASIG,"Coro"),""))</f>
        <v/>
      </c>
      <c r="V778" t="str">
        <f>IF(S778="","",IFERROR(AVERAGEIFS(nNOTA,nNIA,S778,nEVAL,CONFIG_METADATA!$B$4,nASIG,"Conjunto"),""))</f>
        <v/>
      </c>
      <c r="W778" t="str" cm="1">
        <f t="array" ref="W778">IF(S778="","",IFERROR(AVERAGE(IF((nNIA=S778)*(nEVAL=CONFIG_METADATA!$B$4)*(nASIG&lt;&gt;"Lenguaje Musical")*(nASIG&lt;&gt;"Coro")*(nASIG&lt;&gt;"Conjunto"),nNOTA)),""))</f>
        <v/>
      </c>
    </row>
    <row r="779" spans="2:23" x14ac:dyDescent="0.2">
      <c r="B779" t="str">
        <f>IF(A779="","",IFERROR(AVERAGEIFS(nNOTA,nNIA,A779,nEVAL,CONFIG_METADATA!$B$4,nASIG,"Lenguaje Musical"),""))</f>
        <v/>
      </c>
      <c r="C779" t="str">
        <f>IF(A779="","",IFERROR(AVERAGEIFS(nNOTA,nNIA,A779,nEVAL,CONFIG_METADATA!$B$4,nASIG,"Coro"),""))</f>
        <v/>
      </c>
      <c r="D779" t="str">
        <f>IF(A779="","",IFERROR(AVERAGEIFS(nNOTA,nNIA,A779,nEVAL,CONFIG_METADATA!$B$4,nASIG,"Conjunto"),""))</f>
        <v/>
      </c>
      <c r="E779" t="str">
        <f>IF(A779="","",IFERROR(AVERAGEIFS(nNOTA,nNIA,A779,nEVAL,CONFIG_METADATA!$B$4,nASIG,"&lt;&gt;Lenguaje Musical",nASIG,"&lt;&gt;Coro",nASIG,"&lt;&gt;Conjunto"),""))</f>
        <v/>
      </c>
      <c r="N779" t="str">
        <f>IF(M779="","",IFERROR(AVERAGEIFS(nNOTA,nNIA,M779,nEVAL,CONFIG_METADATA!$B$4,nASIG,"Lenguaje Musical"),""))</f>
        <v/>
      </c>
      <c r="O779" t="str">
        <f>IF(M779="","",IFERROR(AVERAGEIFS(nNOTA,nNIA,M779,nEVAL,CONFIG_METADATA!$B$4,nASIG,"Coro"),""))</f>
        <v/>
      </c>
      <c r="P779" t="str">
        <f>IF(M779="","",IFERROR(AVERAGEIFS(nNOTA,nNIA,M779,nEVAL,CONFIG_METADATA!$B$4,nASIG,"Conjunto"),""))</f>
        <v/>
      </c>
      <c r="Q779" t="str">
        <f>IF(M779="","",IFERROR(AVERAGEIFS(nNOTA,nNIA,M779,nEVAL,CONFIG_METADATA!$B$4,nASIG,"&lt;&gt;Lenguaje Musical",nASIG,"&lt;&gt;Coro",nASIG,"&lt;&gt;Conjunto"),""))</f>
        <v/>
      </c>
      <c r="T779" t="str">
        <f>IF(S779="","",IFERROR(AVERAGEIFS(nNOTA,nNIA,S779,nEVAL,CONFIG_METADATA!$B$4,nASIG,"Lenguaje Musical"),""))</f>
        <v/>
      </c>
      <c r="U779" t="str">
        <f>IF(S779="","",IFERROR(AVERAGEIFS(nNOTA,nNIA,S779,nEVAL,CONFIG_METADATA!$B$4,nASIG,"Coro"),""))</f>
        <v/>
      </c>
      <c r="V779" t="str">
        <f>IF(S779="","",IFERROR(AVERAGEIFS(nNOTA,nNIA,S779,nEVAL,CONFIG_METADATA!$B$4,nASIG,"Conjunto"),""))</f>
        <v/>
      </c>
      <c r="W779" t="str" cm="1">
        <f t="array" ref="W779">IF(S779="","",IFERROR(AVERAGE(IF((nNIA=S779)*(nEVAL=CONFIG_METADATA!$B$4)*(nASIG&lt;&gt;"Lenguaje Musical")*(nASIG&lt;&gt;"Coro")*(nASIG&lt;&gt;"Conjunto"),nNOTA)),""))</f>
        <v/>
      </c>
    </row>
    <row r="780" spans="2:23" x14ac:dyDescent="0.2">
      <c r="B780" t="str">
        <f>IF(A780="","",IFERROR(AVERAGEIFS(nNOTA,nNIA,A780,nEVAL,CONFIG_METADATA!$B$4,nASIG,"Lenguaje Musical"),""))</f>
        <v/>
      </c>
      <c r="C780" t="str">
        <f>IF(A780="","",IFERROR(AVERAGEIFS(nNOTA,nNIA,A780,nEVAL,CONFIG_METADATA!$B$4,nASIG,"Coro"),""))</f>
        <v/>
      </c>
      <c r="D780" t="str">
        <f>IF(A780="","",IFERROR(AVERAGEIFS(nNOTA,nNIA,A780,nEVAL,CONFIG_METADATA!$B$4,nASIG,"Conjunto"),""))</f>
        <v/>
      </c>
      <c r="E780" t="str">
        <f>IF(A780="","",IFERROR(AVERAGEIFS(nNOTA,nNIA,A780,nEVAL,CONFIG_METADATA!$B$4,nASIG,"&lt;&gt;Lenguaje Musical",nASIG,"&lt;&gt;Coro",nASIG,"&lt;&gt;Conjunto"),""))</f>
        <v/>
      </c>
      <c r="N780" t="str">
        <f>IF(M780="","",IFERROR(AVERAGEIFS(nNOTA,nNIA,M780,nEVAL,CONFIG_METADATA!$B$4,nASIG,"Lenguaje Musical"),""))</f>
        <v/>
      </c>
      <c r="O780" t="str">
        <f>IF(M780="","",IFERROR(AVERAGEIFS(nNOTA,nNIA,M780,nEVAL,CONFIG_METADATA!$B$4,nASIG,"Coro"),""))</f>
        <v/>
      </c>
      <c r="P780" t="str">
        <f>IF(M780="","",IFERROR(AVERAGEIFS(nNOTA,nNIA,M780,nEVAL,CONFIG_METADATA!$B$4,nASIG,"Conjunto"),""))</f>
        <v/>
      </c>
      <c r="Q780" t="str">
        <f>IF(M780="","",IFERROR(AVERAGEIFS(nNOTA,nNIA,M780,nEVAL,CONFIG_METADATA!$B$4,nASIG,"&lt;&gt;Lenguaje Musical",nASIG,"&lt;&gt;Coro",nASIG,"&lt;&gt;Conjunto"),""))</f>
        <v/>
      </c>
      <c r="T780" t="str">
        <f>IF(S780="","",IFERROR(AVERAGEIFS(nNOTA,nNIA,S780,nEVAL,CONFIG_METADATA!$B$4,nASIG,"Lenguaje Musical"),""))</f>
        <v/>
      </c>
      <c r="U780" t="str">
        <f>IF(S780="","",IFERROR(AVERAGEIFS(nNOTA,nNIA,S780,nEVAL,CONFIG_METADATA!$B$4,nASIG,"Coro"),""))</f>
        <v/>
      </c>
      <c r="V780" t="str">
        <f>IF(S780="","",IFERROR(AVERAGEIFS(nNOTA,nNIA,S780,nEVAL,CONFIG_METADATA!$B$4,nASIG,"Conjunto"),""))</f>
        <v/>
      </c>
      <c r="W780" t="str" cm="1">
        <f t="array" ref="W780">IF(S780="","",IFERROR(AVERAGE(IF((nNIA=S780)*(nEVAL=CONFIG_METADATA!$B$4)*(nASIG&lt;&gt;"Lenguaje Musical")*(nASIG&lt;&gt;"Coro")*(nASIG&lt;&gt;"Conjunto"),nNOTA)),""))</f>
        <v/>
      </c>
    </row>
    <row r="781" spans="2:23" x14ac:dyDescent="0.2">
      <c r="B781" t="str">
        <f>IF(A781="","",IFERROR(AVERAGEIFS(nNOTA,nNIA,A781,nEVAL,CONFIG_METADATA!$B$4,nASIG,"Lenguaje Musical"),""))</f>
        <v/>
      </c>
      <c r="C781" t="str">
        <f>IF(A781="","",IFERROR(AVERAGEIFS(nNOTA,nNIA,A781,nEVAL,CONFIG_METADATA!$B$4,nASIG,"Coro"),""))</f>
        <v/>
      </c>
      <c r="D781" t="str">
        <f>IF(A781="","",IFERROR(AVERAGEIFS(nNOTA,nNIA,A781,nEVAL,CONFIG_METADATA!$B$4,nASIG,"Conjunto"),""))</f>
        <v/>
      </c>
      <c r="E781" t="str">
        <f>IF(A781="","",IFERROR(AVERAGEIFS(nNOTA,nNIA,A781,nEVAL,CONFIG_METADATA!$B$4,nASIG,"&lt;&gt;Lenguaje Musical",nASIG,"&lt;&gt;Coro",nASIG,"&lt;&gt;Conjunto"),""))</f>
        <v/>
      </c>
      <c r="N781" t="str">
        <f>IF(M781="","",IFERROR(AVERAGEIFS(nNOTA,nNIA,M781,nEVAL,CONFIG_METADATA!$B$4,nASIG,"Lenguaje Musical"),""))</f>
        <v/>
      </c>
      <c r="O781" t="str">
        <f>IF(M781="","",IFERROR(AVERAGEIFS(nNOTA,nNIA,M781,nEVAL,CONFIG_METADATA!$B$4,nASIG,"Coro"),""))</f>
        <v/>
      </c>
      <c r="P781" t="str">
        <f>IF(M781="","",IFERROR(AVERAGEIFS(nNOTA,nNIA,M781,nEVAL,CONFIG_METADATA!$B$4,nASIG,"Conjunto"),""))</f>
        <v/>
      </c>
      <c r="Q781" t="str">
        <f>IF(M781="","",IFERROR(AVERAGEIFS(nNOTA,nNIA,M781,nEVAL,CONFIG_METADATA!$B$4,nASIG,"&lt;&gt;Lenguaje Musical",nASIG,"&lt;&gt;Coro",nASIG,"&lt;&gt;Conjunto"),""))</f>
        <v/>
      </c>
      <c r="T781" t="str">
        <f>IF(S781="","",IFERROR(AVERAGEIFS(nNOTA,nNIA,S781,nEVAL,CONFIG_METADATA!$B$4,nASIG,"Lenguaje Musical"),""))</f>
        <v/>
      </c>
      <c r="U781" t="str">
        <f>IF(S781="","",IFERROR(AVERAGEIFS(nNOTA,nNIA,S781,nEVAL,CONFIG_METADATA!$B$4,nASIG,"Coro"),""))</f>
        <v/>
      </c>
      <c r="V781" t="str">
        <f>IF(S781="","",IFERROR(AVERAGEIFS(nNOTA,nNIA,S781,nEVAL,CONFIG_METADATA!$B$4,nASIG,"Conjunto"),""))</f>
        <v/>
      </c>
      <c r="W781" t="str" cm="1">
        <f t="array" ref="W781">IF(S781="","",IFERROR(AVERAGE(IF((nNIA=S781)*(nEVAL=CONFIG_METADATA!$B$4)*(nASIG&lt;&gt;"Lenguaje Musical")*(nASIG&lt;&gt;"Coro")*(nASIG&lt;&gt;"Conjunto"),nNOTA)),""))</f>
        <v/>
      </c>
    </row>
    <row r="782" spans="2:23" x14ac:dyDescent="0.2">
      <c r="B782" t="str">
        <f>IF(A782="","",IFERROR(AVERAGEIFS(nNOTA,nNIA,A782,nEVAL,CONFIG_METADATA!$B$4,nASIG,"Lenguaje Musical"),""))</f>
        <v/>
      </c>
      <c r="C782" t="str">
        <f>IF(A782="","",IFERROR(AVERAGEIFS(nNOTA,nNIA,A782,nEVAL,CONFIG_METADATA!$B$4,nASIG,"Coro"),""))</f>
        <v/>
      </c>
      <c r="D782" t="str">
        <f>IF(A782="","",IFERROR(AVERAGEIFS(nNOTA,nNIA,A782,nEVAL,CONFIG_METADATA!$B$4,nASIG,"Conjunto"),""))</f>
        <v/>
      </c>
      <c r="E782" t="str">
        <f>IF(A782="","",IFERROR(AVERAGEIFS(nNOTA,nNIA,A782,nEVAL,CONFIG_METADATA!$B$4,nASIG,"&lt;&gt;Lenguaje Musical",nASIG,"&lt;&gt;Coro",nASIG,"&lt;&gt;Conjunto"),""))</f>
        <v/>
      </c>
      <c r="N782" t="str">
        <f>IF(M782="","",IFERROR(AVERAGEIFS(nNOTA,nNIA,M782,nEVAL,CONFIG_METADATA!$B$4,nASIG,"Lenguaje Musical"),""))</f>
        <v/>
      </c>
      <c r="O782" t="str">
        <f>IF(M782="","",IFERROR(AVERAGEIFS(nNOTA,nNIA,M782,nEVAL,CONFIG_METADATA!$B$4,nASIG,"Coro"),""))</f>
        <v/>
      </c>
      <c r="P782" t="str">
        <f>IF(M782="","",IFERROR(AVERAGEIFS(nNOTA,nNIA,M782,nEVAL,CONFIG_METADATA!$B$4,nASIG,"Conjunto"),""))</f>
        <v/>
      </c>
      <c r="Q782" t="str">
        <f>IF(M782="","",IFERROR(AVERAGEIFS(nNOTA,nNIA,M782,nEVAL,CONFIG_METADATA!$B$4,nASIG,"&lt;&gt;Lenguaje Musical",nASIG,"&lt;&gt;Coro",nASIG,"&lt;&gt;Conjunto"),""))</f>
        <v/>
      </c>
      <c r="T782" t="str">
        <f>IF(S782="","",IFERROR(AVERAGEIFS(nNOTA,nNIA,S782,nEVAL,CONFIG_METADATA!$B$4,nASIG,"Lenguaje Musical"),""))</f>
        <v/>
      </c>
      <c r="U782" t="str">
        <f>IF(S782="","",IFERROR(AVERAGEIFS(nNOTA,nNIA,S782,nEVAL,CONFIG_METADATA!$B$4,nASIG,"Coro"),""))</f>
        <v/>
      </c>
      <c r="V782" t="str">
        <f>IF(S782="","",IFERROR(AVERAGEIFS(nNOTA,nNIA,S782,nEVAL,CONFIG_METADATA!$B$4,nASIG,"Conjunto"),""))</f>
        <v/>
      </c>
      <c r="W782" t="str" cm="1">
        <f t="array" ref="W782">IF(S782="","",IFERROR(AVERAGE(IF((nNIA=S782)*(nEVAL=CONFIG_METADATA!$B$4)*(nASIG&lt;&gt;"Lenguaje Musical")*(nASIG&lt;&gt;"Coro")*(nASIG&lt;&gt;"Conjunto"),nNOTA)),""))</f>
        <v/>
      </c>
    </row>
    <row r="783" spans="2:23" x14ac:dyDescent="0.2">
      <c r="B783" t="str">
        <f>IF(A783="","",IFERROR(AVERAGEIFS(nNOTA,nNIA,A783,nEVAL,CONFIG_METADATA!$B$4,nASIG,"Lenguaje Musical"),""))</f>
        <v/>
      </c>
      <c r="C783" t="str">
        <f>IF(A783="","",IFERROR(AVERAGEIFS(nNOTA,nNIA,A783,nEVAL,CONFIG_METADATA!$B$4,nASIG,"Coro"),""))</f>
        <v/>
      </c>
      <c r="D783" t="str">
        <f>IF(A783="","",IFERROR(AVERAGEIFS(nNOTA,nNIA,A783,nEVAL,CONFIG_METADATA!$B$4,nASIG,"Conjunto"),""))</f>
        <v/>
      </c>
      <c r="E783" t="str">
        <f>IF(A783="","",IFERROR(AVERAGEIFS(nNOTA,nNIA,A783,nEVAL,CONFIG_METADATA!$B$4,nASIG,"&lt;&gt;Lenguaje Musical",nASIG,"&lt;&gt;Coro",nASIG,"&lt;&gt;Conjunto"),""))</f>
        <v/>
      </c>
      <c r="N783" t="str">
        <f>IF(M783="","",IFERROR(AVERAGEIFS(nNOTA,nNIA,M783,nEVAL,CONFIG_METADATA!$B$4,nASIG,"Lenguaje Musical"),""))</f>
        <v/>
      </c>
      <c r="O783" t="str">
        <f>IF(M783="","",IFERROR(AVERAGEIFS(nNOTA,nNIA,M783,nEVAL,CONFIG_METADATA!$B$4,nASIG,"Coro"),""))</f>
        <v/>
      </c>
      <c r="P783" t="str">
        <f>IF(M783="","",IFERROR(AVERAGEIFS(nNOTA,nNIA,M783,nEVAL,CONFIG_METADATA!$B$4,nASIG,"Conjunto"),""))</f>
        <v/>
      </c>
      <c r="Q783" t="str">
        <f>IF(M783="","",IFERROR(AVERAGEIFS(nNOTA,nNIA,M783,nEVAL,CONFIG_METADATA!$B$4,nASIG,"&lt;&gt;Lenguaje Musical",nASIG,"&lt;&gt;Coro",nASIG,"&lt;&gt;Conjunto"),""))</f>
        <v/>
      </c>
      <c r="T783" t="str">
        <f>IF(S783="","",IFERROR(AVERAGEIFS(nNOTA,nNIA,S783,nEVAL,CONFIG_METADATA!$B$4,nASIG,"Lenguaje Musical"),""))</f>
        <v/>
      </c>
      <c r="U783" t="str">
        <f>IF(S783="","",IFERROR(AVERAGEIFS(nNOTA,nNIA,S783,nEVAL,CONFIG_METADATA!$B$4,nASIG,"Coro"),""))</f>
        <v/>
      </c>
      <c r="V783" t="str">
        <f>IF(S783="","",IFERROR(AVERAGEIFS(nNOTA,nNIA,S783,nEVAL,CONFIG_METADATA!$B$4,nASIG,"Conjunto"),""))</f>
        <v/>
      </c>
      <c r="W783" t="str" cm="1">
        <f t="array" ref="W783">IF(S783="","",IFERROR(AVERAGE(IF((nNIA=S783)*(nEVAL=CONFIG_METADATA!$B$4)*(nASIG&lt;&gt;"Lenguaje Musical")*(nASIG&lt;&gt;"Coro")*(nASIG&lt;&gt;"Conjunto"),nNOTA)),""))</f>
        <v/>
      </c>
    </row>
    <row r="784" spans="2:23" x14ac:dyDescent="0.2">
      <c r="B784" t="str">
        <f>IF(A784="","",IFERROR(AVERAGEIFS(nNOTA,nNIA,A784,nEVAL,CONFIG_METADATA!$B$4,nASIG,"Lenguaje Musical"),""))</f>
        <v/>
      </c>
      <c r="C784" t="str">
        <f>IF(A784="","",IFERROR(AVERAGEIFS(nNOTA,nNIA,A784,nEVAL,CONFIG_METADATA!$B$4,nASIG,"Coro"),""))</f>
        <v/>
      </c>
      <c r="D784" t="str">
        <f>IF(A784="","",IFERROR(AVERAGEIFS(nNOTA,nNIA,A784,nEVAL,CONFIG_METADATA!$B$4,nASIG,"Conjunto"),""))</f>
        <v/>
      </c>
      <c r="E784" t="str">
        <f>IF(A784="","",IFERROR(AVERAGEIFS(nNOTA,nNIA,A784,nEVAL,CONFIG_METADATA!$B$4,nASIG,"&lt;&gt;Lenguaje Musical",nASIG,"&lt;&gt;Coro",nASIG,"&lt;&gt;Conjunto"),""))</f>
        <v/>
      </c>
      <c r="N784" t="str">
        <f>IF(M784="","",IFERROR(AVERAGEIFS(nNOTA,nNIA,M784,nEVAL,CONFIG_METADATA!$B$4,nASIG,"Lenguaje Musical"),""))</f>
        <v/>
      </c>
      <c r="O784" t="str">
        <f>IF(M784="","",IFERROR(AVERAGEIFS(nNOTA,nNIA,M784,nEVAL,CONFIG_METADATA!$B$4,nASIG,"Coro"),""))</f>
        <v/>
      </c>
      <c r="P784" t="str">
        <f>IF(M784="","",IFERROR(AVERAGEIFS(nNOTA,nNIA,M784,nEVAL,CONFIG_METADATA!$B$4,nASIG,"Conjunto"),""))</f>
        <v/>
      </c>
      <c r="Q784" t="str">
        <f>IF(M784="","",IFERROR(AVERAGEIFS(nNOTA,nNIA,M784,nEVAL,CONFIG_METADATA!$B$4,nASIG,"&lt;&gt;Lenguaje Musical",nASIG,"&lt;&gt;Coro",nASIG,"&lt;&gt;Conjunto"),""))</f>
        <v/>
      </c>
      <c r="T784" t="str">
        <f>IF(S784="","",IFERROR(AVERAGEIFS(nNOTA,nNIA,S784,nEVAL,CONFIG_METADATA!$B$4,nASIG,"Lenguaje Musical"),""))</f>
        <v/>
      </c>
      <c r="U784" t="str">
        <f>IF(S784="","",IFERROR(AVERAGEIFS(nNOTA,nNIA,S784,nEVAL,CONFIG_METADATA!$B$4,nASIG,"Coro"),""))</f>
        <v/>
      </c>
      <c r="V784" t="str">
        <f>IF(S784="","",IFERROR(AVERAGEIFS(nNOTA,nNIA,S784,nEVAL,CONFIG_METADATA!$B$4,nASIG,"Conjunto"),""))</f>
        <v/>
      </c>
      <c r="W784" t="str" cm="1">
        <f t="array" ref="W784">IF(S784="","",IFERROR(AVERAGE(IF((nNIA=S784)*(nEVAL=CONFIG_METADATA!$B$4)*(nASIG&lt;&gt;"Lenguaje Musical")*(nASIG&lt;&gt;"Coro")*(nASIG&lt;&gt;"Conjunto"),nNOTA)),""))</f>
        <v/>
      </c>
    </row>
    <row r="785" spans="2:23" x14ac:dyDescent="0.2">
      <c r="B785" t="str">
        <f>IF(A785="","",IFERROR(AVERAGEIFS(nNOTA,nNIA,A785,nEVAL,CONFIG_METADATA!$B$4,nASIG,"Lenguaje Musical"),""))</f>
        <v/>
      </c>
      <c r="C785" t="str">
        <f>IF(A785="","",IFERROR(AVERAGEIFS(nNOTA,nNIA,A785,nEVAL,CONFIG_METADATA!$B$4,nASIG,"Coro"),""))</f>
        <v/>
      </c>
      <c r="D785" t="str">
        <f>IF(A785="","",IFERROR(AVERAGEIFS(nNOTA,nNIA,A785,nEVAL,CONFIG_METADATA!$B$4,nASIG,"Conjunto"),""))</f>
        <v/>
      </c>
      <c r="E785" t="str">
        <f>IF(A785="","",IFERROR(AVERAGEIFS(nNOTA,nNIA,A785,nEVAL,CONFIG_METADATA!$B$4,nASIG,"&lt;&gt;Lenguaje Musical",nASIG,"&lt;&gt;Coro",nASIG,"&lt;&gt;Conjunto"),""))</f>
        <v/>
      </c>
      <c r="N785" t="str">
        <f>IF(M785="","",IFERROR(AVERAGEIFS(nNOTA,nNIA,M785,nEVAL,CONFIG_METADATA!$B$4,nASIG,"Lenguaje Musical"),""))</f>
        <v/>
      </c>
      <c r="O785" t="str">
        <f>IF(M785="","",IFERROR(AVERAGEIFS(nNOTA,nNIA,M785,nEVAL,CONFIG_METADATA!$B$4,nASIG,"Coro"),""))</f>
        <v/>
      </c>
      <c r="P785" t="str">
        <f>IF(M785="","",IFERROR(AVERAGEIFS(nNOTA,nNIA,M785,nEVAL,CONFIG_METADATA!$B$4,nASIG,"Conjunto"),""))</f>
        <v/>
      </c>
      <c r="Q785" t="str">
        <f>IF(M785="","",IFERROR(AVERAGEIFS(nNOTA,nNIA,M785,nEVAL,CONFIG_METADATA!$B$4,nASIG,"&lt;&gt;Lenguaje Musical",nASIG,"&lt;&gt;Coro",nASIG,"&lt;&gt;Conjunto"),""))</f>
        <v/>
      </c>
      <c r="T785" t="str">
        <f>IF(S785="","",IFERROR(AVERAGEIFS(nNOTA,nNIA,S785,nEVAL,CONFIG_METADATA!$B$4,nASIG,"Lenguaje Musical"),""))</f>
        <v/>
      </c>
      <c r="U785" t="str">
        <f>IF(S785="","",IFERROR(AVERAGEIFS(nNOTA,nNIA,S785,nEVAL,CONFIG_METADATA!$B$4,nASIG,"Coro"),""))</f>
        <v/>
      </c>
      <c r="V785" t="str">
        <f>IF(S785="","",IFERROR(AVERAGEIFS(nNOTA,nNIA,S785,nEVAL,CONFIG_METADATA!$B$4,nASIG,"Conjunto"),""))</f>
        <v/>
      </c>
      <c r="W785" t="str" cm="1">
        <f t="array" ref="W785">IF(S785="","",IFERROR(AVERAGE(IF((nNIA=S785)*(nEVAL=CONFIG_METADATA!$B$4)*(nASIG&lt;&gt;"Lenguaje Musical")*(nASIG&lt;&gt;"Coro")*(nASIG&lt;&gt;"Conjunto"),nNOTA)),""))</f>
        <v/>
      </c>
    </row>
    <row r="786" spans="2:23" x14ac:dyDescent="0.2">
      <c r="B786" t="str">
        <f>IF(A786="","",IFERROR(AVERAGEIFS(nNOTA,nNIA,A786,nEVAL,CONFIG_METADATA!$B$4,nASIG,"Lenguaje Musical"),""))</f>
        <v/>
      </c>
      <c r="C786" t="str">
        <f>IF(A786="","",IFERROR(AVERAGEIFS(nNOTA,nNIA,A786,nEVAL,CONFIG_METADATA!$B$4,nASIG,"Coro"),""))</f>
        <v/>
      </c>
      <c r="D786" t="str">
        <f>IF(A786="","",IFERROR(AVERAGEIFS(nNOTA,nNIA,A786,nEVAL,CONFIG_METADATA!$B$4,nASIG,"Conjunto"),""))</f>
        <v/>
      </c>
      <c r="E786" t="str">
        <f>IF(A786="","",IFERROR(AVERAGEIFS(nNOTA,nNIA,A786,nEVAL,CONFIG_METADATA!$B$4,nASIG,"&lt;&gt;Lenguaje Musical",nASIG,"&lt;&gt;Coro",nASIG,"&lt;&gt;Conjunto"),""))</f>
        <v/>
      </c>
      <c r="N786" t="str">
        <f>IF(M786="","",IFERROR(AVERAGEIFS(nNOTA,nNIA,M786,nEVAL,CONFIG_METADATA!$B$4,nASIG,"Lenguaje Musical"),""))</f>
        <v/>
      </c>
      <c r="O786" t="str">
        <f>IF(M786="","",IFERROR(AVERAGEIFS(nNOTA,nNIA,M786,nEVAL,CONFIG_METADATA!$B$4,nASIG,"Coro"),""))</f>
        <v/>
      </c>
      <c r="P786" t="str">
        <f>IF(M786="","",IFERROR(AVERAGEIFS(nNOTA,nNIA,M786,nEVAL,CONFIG_METADATA!$B$4,nASIG,"Conjunto"),""))</f>
        <v/>
      </c>
      <c r="Q786" t="str">
        <f>IF(M786="","",IFERROR(AVERAGEIFS(nNOTA,nNIA,M786,nEVAL,CONFIG_METADATA!$B$4,nASIG,"&lt;&gt;Lenguaje Musical",nASIG,"&lt;&gt;Coro",nASIG,"&lt;&gt;Conjunto"),""))</f>
        <v/>
      </c>
      <c r="T786" t="str">
        <f>IF(S786="","",IFERROR(AVERAGEIFS(nNOTA,nNIA,S786,nEVAL,CONFIG_METADATA!$B$4,nASIG,"Lenguaje Musical"),""))</f>
        <v/>
      </c>
      <c r="U786" t="str">
        <f>IF(S786="","",IFERROR(AVERAGEIFS(nNOTA,nNIA,S786,nEVAL,CONFIG_METADATA!$B$4,nASIG,"Coro"),""))</f>
        <v/>
      </c>
      <c r="V786" t="str">
        <f>IF(S786="","",IFERROR(AVERAGEIFS(nNOTA,nNIA,S786,nEVAL,CONFIG_METADATA!$B$4,nASIG,"Conjunto"),""))</f>
        <v/>
      </c>
      <c r="W786" t="str" cm="1">
        <f t="array" ref="W786">IF(S786="","",IFERROR(AVERAGE(IF((nNIA=S786)*(nEVAL=CONFIG_METADATA!$B$4)*(nASIG&lt;&gt;"Lenguaje Musical")*(nASIG&lt;&gt;"Coro")*(nASIG&lt;&gt;"Conjunto"),nNOTA)),""))</f>
        <v/>
      </c>
    </row>
    <row r="787" spans="2:23" x14ac:dyDescent="0.2">
      <c r="B787" t="str">
        <f>IF(A787="","",IFERROR(AVERAGEIFS(nNOTA,nNIA,A787,nEVAL,CONFIG_METADATA!$B$4,nASIG,"Lenguaje Musical"),""))</f>
        <v/>
      </c>
      <c r="C787" t="str">
        <f>IF(A787="","",IFERROR(AVERAGEIFS(nNOTA,nNIA,A787,nEVAL,CONFIG_METADATA!$B$4,nASIG,"Coro"),""))</f>
        <v/>
      </c>
      <c r="D787" t="str">
        <f>IF(A787="","",IFERROR(AVERAGEIFS(nNOTA,nNIA,A787,nEVAL,CONFIG_METADATA!$B$4,nASIG,"Conjunto"),""))</f>
        <v/>
      </c>
      <c r="E787" t="str">
        <f>IF(A787="","",IFERROR(AVERAGEIFS(nNOTA,nNIA,A787,nEVAL,CONFIG_METADATA!$B$4,nASIG,"&lt;&gt;Lenguaje Musical",nASIG,"&lt;&gt;Coro",nASIG,"&lt;&gt;Conjunto"),""))</f>
        <v/>
      </c>
      <c r="N787" t="str">
        <f>IF(M787="","",IFERROR(AVERAGEIFS(nNOTA,nNIA,M787,nEVAL,CONFIG_METADATA!$B$4,nASIG,"Lenguaje Musical"),""))</f>
        <v/>
      </c>
      <c r="O787" t="str">
        <f>IF(M787="","",IFERROR(AVERAGEIFS(nNOTA,nNIA,M787,nEVAL,CONFIG_METADATA!$B$4,nASIG,"Coro"),""))</f>
        <v/>
      </c>
      <c r="P787" t="str">
        <f>IF(M787="","",IFERROR(AVERAGEIFS(nNOTA,nNIA,M787,nEVAL,CONFIG_METADATA!$B$4,nASIG,"Conjunto"),""))</f>
        <v/>
      </c>
      <c r="Q787" t="str">
        <f>IF(M787="","",IFERROR(AVERAGEIFS(nNOTA,nNIA,M787,nEVAL,CONFIG_METADATA!$B$4,nASIG,"&lt;&gt;Lenguaje Musical",nASIG,"&lt;&gt;Coro",nASIG,"&lt;&gt;Conjunto"),""))</f>
        <v/>
      </c>
      <c r="T787" t="str">
        <f>IF(S787="","",IFERROR(AVERAGEIFS(nNOTA,nNIA,S787,nEVAL,CONFIG_METADATA!$B$4,nASIG,"Lenguaje Musical"),""))</f>
        <v/>
      </c>
      <c r="U787" t="str">
        <f>IF(S787="","",IFERROR(AVERAGEIFS(nNOTA,nNIA,S787,nEVAL,CONFIG_METADATA!$B$4,nASIG,"Coro"),""))</f>
        <v/>
      </c>
      <c r="V787" t="str">
        <f>IF(S787="","",IFERROR(AVERAGEIFS(nNOTA,nNIA,S787,nEVAL,CONFIG_METADATA!$B$4,nASIG,"Conjunto"),""))</f>
        <v/>
      </c>
      <c r="W787" t="str" cm="1">
        <f t="array" ref="W787">IF(S787="","",IFERROR(AVERAGE(IF((nNIA=S787)*(nEVAL=CONFIG_METADATA!$B$4)*(nASIG&lt;&gt;"Lenguaje Musical")*(nASIG&lt;&gt;"Coro")*(nASIG&lt;&gt;"Conjunto"),nNOTA)),""))</f>
        <v/>
      </c>
    </row>
    <row r="788" spans="2:23" x14ac:dyDescent="0.2">
      <c r="B788" t="str">
        <f>IF(A788="","",IFERROR(AVERAGEIFS(nNOTA,nNIA,A788,nEVAL,CONFIG_METADATA!$B$4,nASIG,"Lenguaje Musical"),""))</f>
        <v/>
      </c>
      <c r="C788" t="str">
        <f>IF(A788="","",IFERROR(AVERAGEIFS(nNOTA,nNIA,A788,nEVAL,CONFIG_METADATA!$B$4,nASIG,"Coro"),""))</f>
        <v/>
      </c>
      <c r="D788" t="str">
        <f>IF(A788="","",IFERROR(AVERAGEIFS(nNOTA,nNIA,A788,nEVAL,CONFIG_METADATA!$B$4,nASIG,"Conjunto"),""))</f>
        <v/>
      </c>
      <c r="E788" t="str">
        <f>IF(A788="","",IFERROR(AVERAGEIFS(nNOTA,nNIA,A788,nEVAL,CONFIG_METADATA!$B$4,nASIG,"&lt;&gt;Lenguaje Musical",nASIG,"&lt;&gt;Coro",nASIG,"&lt;&gt;Conjunto"),""))</f>
        <v/>
      </c>
      <c r="N788" t="str">
        <f>IF(M788="","",IFERROR(AVERAGEIFS(nNOTA,nNIA,M788,nEVAL,CONFIG_METADATA!$B$4,nASIG,"Lenguaje Musical"),""))</f>
        <v/>
      </c>
      <c r="O788" t="str">
        <f>IF(M788="","",IFERROR(AVERAGEIFS(nNOTA,nNIA,M788,nEVAL,CONFIG_METADATA!$B$4,nASIG,"Coro"),""))</f>
        <v/>
      </c>
      <c r="P788" t="str">
        <f>IF(M788="","",IFERROR(AVERAGEIFS(nNOTA,nNIA,M788,nEVAL,CONFIG_METADATA!$B$4,nASIG,"Conjunto"),""))</f>
        <v/>
      </c>
      <c r="Q788" t="str">
        <f>IF(M788="","",IFERROR(AVERAGEIFS(nNOTA,nNIA,M788,nEVAL,CONFIG_METADATA!$B$4,nASIG,"&lt;&gt;Lenguaje Musical",nASIG,"&lt;&gt;Coro",nASIG,"&lt;&gt;Conjunto"),""))</f>
        <v/>
      </c>
      <c r="T788" t="str">
        <f>IF(S788="","",IFERROR(AVERAGEIFS(nNOTA,nNIA,S788,nEVAL,CONFIG_METADATA!$B$4,nASIG,"Lenguaje Musical"),""))</f>
        <v/>
      </c>
      <c r="U788" t="str">
        <f>IF(S788="","",IFERROR(AVERAGEIFS(nNOTA,nNIA,S788,nEVAL,CONFIG_METADATA!$B$4,nASIG,"Coro"),""))</f>
        <v/>
      </c>
      <c r="V788" t="str">
        <f>IF(S788="","",IFERROR(AVERAGEIFS(nNOTA,nNIA,S788,nEVAL,CONFIG_METADATA!$B$4,nASIG,"Conjunto"),""))</f>
        <v/>
      </c>
      <c r="W788" t="str">
        <f>IF(S788="","",IFERROR(AVERAGEIFS(nNOTA,nNIA,S788,nEVAL,CONFIG_METADATA!$B$4,nASIG,"&lt;&gt;Lenguaje Musical",nASIG,"&lt;&gt;Coro",nASIG,"&lt;&gt;Conjunto"),""))</f>
        <v/>
      </c>
    </row>
    <row r="789" spans="2:23" x14ac:dyDescent="0.2">
      <c r="B789" t="str">
        <f>IF(A789="","",IFERROR(AVERAGEIFS(nNOTA,nNIA,A789,nEVAL,CONFIG_METADATA!$B$4,nASIG,"Lenguaje Musical"),""))</f>
        <v/>
      </c>
      <c r="C789" t="str">
        <f>IF(A789="","",IFERROR(AVERAGEIFS(nNOTA,nNIA,A789,nEVAL,CONFIG_METADATA!$B$4,nASIG,"Coro"),""))</f>
        <v/>
      </c>
      <c r="D789" t="str">
        <f>IF(A789="","",IFERROR(AVERAGEIFS(nNOTA,nNIA,A789,nEVAL,CONFIG_METADATA!$B$4,nASIG,"Conjunto"),""))</f>
        <v/>
      </c>
      <c r="E789" t="str">
        <f>IF(A789="","",IFERROR(AVERAGEIFS(nNOTA,nNIA,A789,nEVAL,CONFIG_METADATA!$B$4,nASIG,"&lt;&gt;Lenguaje Musical",nASIG,"&lt;&gt;Coro",nASIG,"&lt;&gt;Conjunto"),""))</f>
        <v/>
      </c>
      <c r="N789" t="str">
        <f>IF(M789="","",IFERROR(AVERAGEIFS(nNOTA,nNIA,M789,nEVAL,CONFIG_METADATA!$B$4,nASIG,"Lenguaje Musical"),""))</f>
        <v/>
      </c>
      <c r="O789" t="str">
        <f>IF(M789="","",IFERROR(AVERAGEIFS(nNOTA,nNIA,M789,nEVAL,CONFIG_METADATA!$B$4,nASIG,"Coro"),""))</f>
        <v/>
      </c>
      <c r="P789" t="str">
        <f>IF(M789="","",IFERROR(AVERAGEIFS(nNOTA,nNIA,M789,nEVAL,CONFIG_METADATA!$B$4,nASIG,"Conjunto"),""))</f>
        <v/>
      </c>
      <c r="Q789" t="str">
        <f>IF(M789="","",IFERROR(AVERAGEIFS(nNOTA,nNIA,M789,nEVAL,CONFIG_METADATA!$B$4,nASIG,"&lt;&gt;Lenguaje Musical",nASIG,"&lt;&gt;Coro",nASIG,"&lt;&gt;Conjunto"),""))</f>
        <v/>
      </c>
      <c r="T789" t="str">
        <f>IF(S789="","",IFERROR(AVERAGEIFS(nNOTA,nNIA,S789,nEVAL,CONFIG_METADATA!$B$4,nASIG,"Lenguaje Musical"),""))</f>
        <v/>
      </c>
      <c r="U789" t="str">
        <f>IF(S789="","",IFERROR(AVERAGEIFS(nNOTA,nNIA,S789,nEVAL,CONFIG_METADATA!$B$4,nASIG,"Coro"),""))</f>
        <v/>
      </c>
      <c r="V789" t="str">
        <f>IF(S789="","",IFERROR(AVERAGEIFS(nNOTA,nNIA,S789,nEVAL,CONFIG_METADATA!$B$4,nASIG,"Conjunto"),""))</f>
        <v/>
      </c>
      <c r="W789" t="str">
        <f>IF(S789="","",IFERROR(AVERAGEIFS(nNOTA,nNIA,S789,nEVAL,CONFIG_METADATA!$B$4,nASIG,"&lt;&gt;Lenguaje Musical",nASIG,"&lt;&gt;Coro",nASIG,"&lt;&gt;Conjunto"),""))</f>
        <v/>
      </c>
    </row>
    <row r="790" spans="2:23" x14ac:dyDescent="0.2">
      <c r="B790" t="str">
        <f>IF(A790="","",IFERROR(AVERAGEIFS(nNOTA,nNIA,A790,nEVAL,CONFIG_METADATA!$B$4,nASIG,"Lenguaje Musical"),""))</f>
        <v/>
      </c>
      <c r="C790" t="str">
        <f>IF(A790="","",IFERROR(AVERAGEIFS(nNOTA,nNIA,A790,nEVAL,CONFIG_METADATA!$B$4,nASIG,"Coro"),""))</f>
        <v/>
      </c>
      <c r="D790" t="str">
        <f>IF(A790="","",IFERROR(AVERAGEIFS(nNOTA,nNIA,A790,nEVAL,CONFIG_METADATA!$B$4,nASIG,"Conjunto"),""))</f>
        <v/>
      </c>
      <c r="E790" t="str">
        <f>IF(A790="","",IFERROR(AVERAGEIFS(nNOTA,nNIA,A790,nEVAL,CONFIG_METADATA!$B$4,nASIG,"&lt;&gt;Lenguaje Musical",nASIG,"&lt;&gt;Coro",nASIG,"&lt;&gt;Conjunto"),""))</f>
        <v/>
      </c>
      <c r="N790" t="str">
        <f>IF(M790="","",IFERROR(AVERAGEIFS(nNOTA,nNIA,M790,nEVAL,CONFIG_METADATA!$B$4,nASIG,"Lenguaje Musical"),""))</f>
        <v/>
      </c>
      <c r="O790" t="str">
        <f>IF(M790="","",IFERROR(AVERAGEIFS(nNOTA,nNIA,M790,nEVAL,CONFIG_METADATA!$B$4,nASIG,"Coro"),""))</f>
        <v/>
      </c>
      <c r="P790" t="str">
        <f>IF(M790="","",IFERROR(AVERAGEIFS(nNOTA,nNIA,M790,nEVAL,CONFIG_METADATA!$B$4,nASIG,"Conjunto"),""))</f>
        <v/>
      </c>
      <c r="Q790" t="str">
        <f>IF(M790="","",IFERROR(AVERAGEIFS(nNOTA,nNIA,M790,nEVAL,CONFIG_METADATA!$B$4,nASIG,"&lt;&gt;Lenguaje Musical",nASIG,"&lt;&gt;Coro",nASIG,"&lt;&gt;Conjunto"),""))</f>
        <v/>
      </c>
      <c r="T790" t="str">
        <f>IF(S790="","",IFERROR(AVERAGEIFS(nNOTA,nNIA,S790,nEVAL,CONFIG_METADATA!$B$4,nASIG,"Lenguaje Musical"),""))</f>
        <v/>
      </c>
      <c r="U790" t="str">
        <f>IF(S790="","",IFERROR(AVERAGEIFS(nNOTA,nNIA,S790,nEVAL,CONFIG_METADATA!$B$4,nASIG,"Coro"),""))</f>
        <v/>
      </c>
      <c r="V790" t="str">
        <f>IF(S790="","",IFERROR(AVERAGEIFS(nNOTA,nNIA,S790,nEVAL,CONFIG_METADATA!$B$4,nASIG,"Conjunto"),""))</f>
        <v/>
      </c>
      <c r="W790" t="str">
        <f>IF(S790="","",IFERROR(AVERAGEIFS(nNOTA,nNIA,S790,nEVAL,CONFIG_METADATA!$B$4,nASIG,"&lt;&gt;Lenguaje Musical",nASIG,"&lt;&gt;Coro",nASIG,"&lt;&gt;Conjunto"),""))</f>
        <v/>
      </c>
    </row>
    <row r="791" spans="2:23" x14ac:dyDescent="0.2">
      <c r="B791" t="str">
        <f>IF(A791="","",IFERROR(AVERAGEIFS(nNOTA,nNIA,A791,nEVAL,CONFIG_METADATA!$B$4,nASIG,"Lenguaje Musical"),""))</f>
        <v/>
      </c>
      <c r="C791" t="str">
        <f>IF(A791="","",IFERROR(AVERAGEIFS(nNOTA,nNIA,A791,nEVAL,CONFIG_METADATA!$B$4,nASIG,"Coro"),""))</f>
        <v/>
      </c>
      <c r="D791" t="str">
        <f>IF(A791="","",IFERROR(AVERAGEIFS(nNOTA,nNIA,A791,nEVAL,CONFIG_METADATA!$B$4,nASIG,"Conjunto"),""))</f>
        <v/>
      </c>
      <c r="E791" t="str">
        <f>IF(A791="","",IFERROR(AVERAGEIFS(nNOTA,nNIA,A791,nEVAL,CONFIG_METADATA!$B$4,nASIG,"&lt;&gt;Lenguaje Musical",nASIG,"&lt;&gt;Coro",nASIG,"&lt;&gt;Conjunto"),""))</f>
        <v/>
      </c>
      <c r="N791" t="str">
        <f>IF(M791="","",IFERROR(AVERAGEIFS(nNOTA,nNIA,M791,nEVAL,CONFIG_METADATA!$B$4,nASIG,"Lenguaje Musical"),""))</f>
        <v/>
      </c>
      <c r="O791" t="str">
        <f>IF(M791="","",IFERROR(AVERAGEIFS(nNOTA,nNIA,M791,nEVAL,CONFIG_METADATA!$B$4,nASIG,"Coro"),""))</f>
        <v/>
      </c>
      <c r="P791" t="str">
        <f>IF(M791="","",IFERROR(AVERAGEIFS(nNOTA,nNIA,M791,nEVAL,CONFIG_METADATA!$B$4,nASIG,"Conjunto"),""))</f>
        <v/>
      </c>
      <c r="Q791" t="str">
        <f>IF(M791="","",IFERROR(AVERAGEIFS(nNOTA,nNIA,M791,nEVAL,CONFIG_METADATA!$B$4,nASIG,"&lt;&gt;Lenguaje Musical",nASIG,"&lt;&gt;Coro",nASIG,"&lt;&gt;Conjunto"),""))</f>
        <v/>
      </c>
      <c r="T791" t="str">
        <f>IF(S791="","",IFERROR(AVERAGEIFS(nNOTA,nNIA,S791,nEVAL,CONFIG_METADATA!$B$4,nASIG,"Lenguaje Musical"),""))</f>
        <v/>
      </c>
      <c r="U791" t="str">
        <f>IF(S791="","",IFERROR(AVERAGEIFS(nNOTA,nNIA,S791,nEVAL,CONFIG_METADATA!$B$4,nASIG,"Coro"),""))</f>
        <v/>
      </c>
      <c r="V791" t="str">
        <f>IF(S791="","",IFERROR(AVERAGEIFS(nNOTA,nNIA,S791,nEVAL,CONFIG_METADATA!$B$4,nASIG,"Conjunto"),""))</f>
        <v/>
      </c>
      <c r="W791" t="str">
        <f>IF(S791="","",IFERROR(AVERAGEIFS(nNOTA,nNIA,S791,nEVAL,CONFIG_METADATA!$B$4,nASIG,"&lt;&gt;Lenguaje Musical",nASIG,"&lt;&gt;Coro",nASIG,"&lt;&gt;Conjunto"),""))</f>
        <v/>
      </c>
    </row>
    <row r="792" spans="2:23" x14ac:dyDescent="0.2">
      <c r="B792" t="str">
        <f>IF(A792="","",IFERROR(AVERAGEIFS(nNOTA,nNIA,A792,nEVAL,CONFIG_METADATA!$B$4,nASIG,"Lenguaje Musical"),""))</f>
        <v/>
      </c>
      <c r="C792" t="str">
        <f>IF(A792="","",IFERROR(AVERAGEIFS(nNOTA,nNIA,A792,nEVAL,CONFIG_METADATA!$B$4,nASIG,"Coro"),""))</f>
        <v/>
      </c>
      <c r="D792" t="str">
        <f>IF(A792="","",IFERROR(AVERAGEIFS(nNOTA,nNIA,A792,nEVAL,CONFIG_METADATA!$B$4,nASIG,"Conjunto"),""))</f>
        <v/>
      </c>
      <c r="E792" t="str">
        <f>IF(A792="","",IFERROR(AVERAGEIFS(nNOTA,nNIA,A792,nEVAL,CONFIG_METADATA!$B$4,nASIG,"&lt;&gt;Lenguaje Musical",nASIG,"&lt;&gt;Coro",nASIG,"&lt;&gt;Conjunto"),""))</f>
        <v/>
      </c>
      <c r="N792" t="str">
        <f>IF(M792="","",IFERROR(AVERAGEIFS(nNOTA,nNIA,M792,nEVAL,CONFIG_METADATA!$B$4,nASIG,"Lenguaje Musical"),""))</f>
        <v/>
      </c>
      <c r="O792" t="str">
        <f>IF(M792="","",IFERROR(AVERAGEIFS(nNOTA,nNIA,M792,nEVAL,CONFIG_METADATA!$B$4,nASIG,"Coro"),""))</f>
        <v/>
      </c>
      <c r="P792" t="str">
        <f>IF(M792="","",IFERROR(AVERAGEIFS(nNOTA,nNIA,M792,nEVAL,CONFIG_METADATA!$B$4,nASIG,"Conjunto"),""))</f>
        <v/>
      </c>
      <c r="Q792" t="str">
        <f>IF(M792="","",IFERROR(AVERAGEIFS(nNOTA,nNIA,M792,nEVAL,CONFIG_METADATA!$B$4,nASIG,"&lt;&gt;Lenguaje Musical",nASIG,"&lt;&gt;Coro",nASIG,"&lt;&gt;Conjunto"),""))</f>
        <v/>
      </c>
      <c r="T792" t="str">
        <f>IF(S792="","",IFERROR(AVERAGEIFS(nNOTA,nNIA,S792,nEVAL,CONFIG_METADATA!$B$4,nASIG,"Lenguaje Musical"),""))</f>
        <v/>
      </c>
      <c r="U792" t="str">
        <f>IF(S792="","",IFERROR(AVERAGEIFS(nNOTA,nNIA,S792,nEVAL,CONFIG_METADATA!$B$4,nASIG,"Coro"),""))</f>
        <v/>
      </c>
      <c r="V792" t="str">
        <f>IF(S792="","",IFERROR(AVERAGEIFS(nNOTA,nNIA,S792,nEVAL,CONFIG_METADATA!$B$4,nASIG,"Conjunto"),""))</f>
        <v/>
      </c>
      <c r="W792" t="str">
        <f>IF(S792="","",IFERROR(AVERAGEIFS(nNOTA,nNIA,S792,nEVAL,CONFIG_METADATA!$B$4,nASIG,"&lt;&gt;Lenguaje Musical",nASIG,"&lt;&gt;Coro",nASIG,"&lt;&gt;Conjunto"),""))</f>
        <v/>
      </c>
    </row>
    <row r="793" spans="2:23" x14ac:dyDescent="0.2">
      <c r="B793" t="str">
        <f>IF(A793="","",IFERROR(AVERAGEIFS(nNOTA,nNIA,A793,nEVAL,CONFIG_METADATA!$B$4,nASIG,"Lenguaje Musical"),""))</f>
        <v/>
      </c>
      <c r="C793" t="str">
        <f>IF(A793="","",IFERROR(AVERAGEIFS(nNOTA,nNIA,A793,nEVAL,CONFIG_METADATA!$B$4,nASIG,"Coro"),""))</f>
        <v/>
      </c>
      <c r="D793" t="str">
        <f>IF(A793="","",IFERROR(AVERAGEIFS(nNOTA,nNIA,A793,nEVAL,CONFIG_METADATA!$B$4,nASIG,"Conjunto"),""))</f>
        <v/>
      </c>
      <c r="E793" t="str">
        <f>IF(A793="","",IFERROR(AVERAGEIFS(nNOTA,nNIA,A793,nEVAL,CONFIG_METADATA!$B$4,nASIG,"&lt;&gt;Lenguaje Musical",nASIG,"&lt;&gt;Coro",nASIG,"&lt;&gt;Conjunto"),""))</f>
        <v/>
      </c>
      <c r="N793" t="str">
        <f>IF(M793="","",IFERROR(AVERAGEIFS(nNOTA,nNIA,M793,nEVAL,CONFIG_METADATA!$B$4,nASIG,"Lenguaje Musical"),""))</f>
        <v/>
      </c>
      <c r="O793" t="str">
        <f>IF(M793="","",IFERROR(AVERAGEIFS(nNOTA,nNIA,M793,nEVAL,CONFIG_METADATA!$B$4,nASIG,"Coro"),""))</f>
        <v/>
      </c>
      <c r="P793" t="str">
        <f>IF(M793="","",IFERROR(AVERAGEIFS(nNOTA,nNIA,M793,nEVAL,CONFIG_METADATA!$B$4,nASIG,"Conjunto"),""))</f>
        <v/>
      </c>
      <c r="Q793" t="str">
        <f>IF(M793="","",IFERROR(AVERAGEIFS(nNOTA,nNIA,M793,nEVAL,CONFIG_METADATA!$B$4,nASIG,"&lt;&gt;Lenguaje Musical",nASIG,"&lt;&gt;Coro",nASIG,"&lt;&gt;Conjunto"),""))</f>
        <v/>
      </c>
      <c r="T793" t="str">
        <f>IF(S793="","",IFERROR(AVERAGEIFS(nNOTA,nNIA,S793,nEVAL,CONFIG_METADATA!$B$4,nASIG,"Lenguaje Musical"),""))</f>
        <v/>
      </c>
      <c r="U793" t="str">
        <f>IF(S793="","",IFERROR(AVERAGEIFS(nNOTA,nNIA,S793,nEVAL,CONFIG_METADATA!$B$4,nASIG,"Coro"),""))</f>
        <v/>
      </c>
      <c r="V793" t="str">
        <f>IF(S793="","",IFERROR(AVERAGEIFS(nNOTA,nNIA,S793,nEVAL,CONFIG_METADATA!$B$4,nASIG,"Conjunto"),""))</f>
        <v/>
      </c>
      <c r="W793" t="str">
        <f>IF(S793="","",IFERROR(AVERAGEIFS(nNOTA,nNIA,S793,nEVAL,CONFIG_METADATA!$B$4,nASIG,"&lt;&gt;Lenguaje Musical",nASIG,"&lt;&gt;Coro",nASIG,"&lt;&gt;Conjunto"),""))</f>
        <v/>
      </c>
    </row>
    <row r="794" spans="2:23" x14ac:dyDescent="0.2">
      <c r="B794" t="str">
        <f>IF(A794="","",IFERROR(AVERAGEIFS(nNOTA,nNIA,A794,nEVAL,CONFIG_METADATA!$B$4,nASIG,"Lenguaje Musical"),""))</f>
        <v/>
      </c>
      <c r="C794" t="str">
        <f>IF(A794="","",IFERROR(AVERAGEIFS(nNOTA,nNIA,A794,nEVAL,CONFIG_METADATA!$B$4,nASIG,"Coro"),""))</f>
        <v/>
      </c>
      <c r="D794" t="str">
        <f>IF(A794="","",IFERROR(AVERAGEIFS(nNOTA,nNIA,A794,nEVAL,CONFIG_METADATA!$B$4,nASIG,"Conjunto"),""))</f>
        <v/>
      </c>
      <c r="E794" t="str">
        <f>IF(A794="","",IFERROR(AVERAGEIFS(nNOTA,nNIA,A794,nEVAL,CONFIG_METADATA!$B$4,nASIG,"&lt;&gt;Lenguaje Musical",nASIG,"&lt;&gt;Coro",nASIG,"&lt;&gt;Conjunto"),""))</f>
        <v/>
      </c>
      <c r="N794" t="str">
        <f>IF(M794="","",IFERROR(AVERAGEIFS(nNOTA,nNIA,M794,nEVAL,CONFIG_METADATA!$B$4,nASIG,"Lenguaje Musical"),""))</f>
        <v/>
      </c>
      <c r="O794" t="str">
        <f>IF(M794="","",IFERROR(AVERAGEIFS(nNOTA,nNIA,M794,nEVAL,CONFIG_METADATA!$B$4,nASIG,"Coro"),""))</f>
        <v/>
      </c>
      <c r="P794" t="str">
        <f>IF(M794="","",IFERROR(AVERAGEIFS(nNOTA,nNIA,M794,nEVAL,CONFIG_METADATA!$B$4,nASIG,"Conjunto"),""))</f>
        <v/>
      </c>
      <c r="Q794" t="str">
        <f>IF(M794="","",IFERROR(AVERAGEIFS(nNOTA,nNIA,M794,nEVAL,CONFIG_METADATA!$B$4,nASIG,"&lt;&gt;Lenguaje Musical",nASIG,"&lt;&gt;Coro",nASIG,"&lt;&gt;Conjunto"),""))</f>
        <v/>
      </c>
      <c r="T794" t="str">
        <f>IF(S794="","",IFERROR(AVERAGEIFS(nNOTA,nNIA,S794,nEVAL,CONFIG_METADATA!$B$4,nASIG,"Lenguaje Musical"),""))</f>
        <v/>
      </c>
      <c r="U794" t="str">
        <f>IF(S794="","",IFERROR(AVERAGEIFS(nNOTA,nNIA,S794,nEVAL,CONFIG_METADATA!$B$4,nASIG,"Coro"),""))</f>
        <v/>
      </c>
      <c r="V794" t="str">
        <f>IF(S794="","",IFERROR(AVERAGEIFS(nNOTA,nNIA,S794,nEVAL,CONFIG_METADATA!$B$4,nASIG,"Conjunto"),""))</f>
        <v/>
      </c>
      <c r="W794" t="str">
        <f>IF(S794="","",IFERROR(AVERAGEIFS(nNOTA,nNIA,S794,nEVAL,CONFIG_METADATA!$B$4,nASIG,"&lt;&gt;Lenguaje Musical",nASIG,"&lt;&gt;Coro",nASIG,"&lt;&gt;Conjunto"),""))</f>
        <v/>
      </c>
    </row>
    <row r="795" spans="2:23" x14ac:dyDescent="0.2">
      <c r="B795" t="str">
        <f>IF(A795="","",IFERROR(AVERAGEIFS(nNOTA,nNIA,A795,nEVAL,CONFIG_METADATA!$B$4,nASIG,"Lenguaje Musical"),""))</f>
        <v/>
      </c>
      <c r="C795" t="str">
        <f>IF(A795="","",IFERROR(AVERAGEIFS(nNOTA,nNIA,A795,nEVAL,CONFIG_METADATA!$B$4,nASIG,"Coro"),""))</f>
        <v/>
      </c>
      <c r="D795" t="str">
        <f>IF(A795="","",IFERROR(AVERAGEIFS(nNOTA,nNIA,A795,nEVAL,CONFIG_METADATA!$B$4,nASIG,"Conjunto"),""))</f>
        <v/>
      </c>
      <c r="E795" t="str">
        <f>IF(A795="","",IFERROR(AVERAGEIFS(nNOTA,nNIA,A795,nEVAL,CONFIG_METADATA!$B$4,nASIG,"&lt;&gt;Lenguaje Musical",nASIG,"&lt;&gt;Coro",nASIG,"&lt;&gt;Conjunto"),""))</f>
        <v/>
      </c>
      <c r="N795" t="str">
        <f>IF(M795="","",IFERROR(AVERAGEIFS(nNOTA,nNIA,M795,nEVAL,CONFIG_METADATA!$B$4,nASIG,"Lenguaje Musical"),""))</f>
        <v/>
      </c>
      <c r="O795" t="str">
        <f>IF(M795="","",IFERROR(AVERAGEIFS(nNOTA,nNIA,M795,nEVAL,CONFIG_METADATA!$B$4,nASIG,"Coro"),""))</f>
        <v/>
      </c>
      <c r="P795" t="str">
        <f>IF(M795="","",IFERROR(AVERAGEIFS(nNOTA,nNIA,M795,nEVAL,CONFIG_METADATA!$B$4,nASIG,"Conjunto"),""))</f>
        <v/>
      </c>
      <c r="Q795" t="str">
        <f>IF(M795="","",IFERROR(AVERAGEIFS(nNOTA,nNIA,M795,nEVAL,CONFIG_METADATA!$B$4,nASIG,"&lt;&gt;Lenguaje Musical",nASIG,"&lt;&gt;Coro",nASIG,"&lt;&gt;Conjunto"),""))</f>
        <v/>
      </c>
      <c r="T795" t="str">
        <f>IF(S795="","",IFERROR(AVERAGEIFS(nNOTA,nNIA,S795,nEVAL,CONFIG_METADATA!$B$4,nASIG,"Lenguaje Musical"),""))</f>
        <v/>
      </c>
      <c r="U795" t="str">
        <f>IF(S795="","",IFERROR(AVERAGEIFS(nNOTA,nNIA,S795,nEVAL,CONFIG_METADATA!$B$4,nASIG,"Coro"),""))</f>
        <v/>
      </c>
      <c r="V795" t="str">
        <f>IF(S795="","",IFERROR(AVERAGEIFS(nNOTA,nNIA,S795,nEVAL,CONFIG_METADATA!$B$4,nASIG,"Conjunto"),""))</f>
        <v/>
      </c>
      <c r="W795" t="str">
        <f>IF(S795="","",IFERROR(AVERAGEIFS(nNOTA,nNIA,S795,nEVAL,CONFIG_METADATA!$B$4,nASIG,"&lt;&gt;Lenguaje Musical",nASIG,"&lt;&gt;Coro",nASIG,"&lt;&gt;Conjunto"),""))</f>
        <v/>
      </c>
    </row>
    <row r="796" spans="2:23" x14ac:dyDescent="0.2">
      <c r="B796" t="str">
        <f>IF(A796="","",IFERROR(AVERAGEIFS(nNOTA,nNIA,A796,nEVAL,CONFIG_METADATA!$B$4,nASIG,"Lenguaje Musical"),""))</f>
        <v/>
      </c>
      <c r="C796" t="str">
        <f>IF(A796="","",IFERROR(AVERAGEIFS(nNOTA,nNIA,A796,nEVAL,CONFIG_METADATA!$B$4,nASIG,"Coro"),""))</f>
        <v/>
      </c>
      <c r="D796" t="str">
        <f>IF(A796="","",IFERROR(AVERAGEIFS(nNOTA,nNIA,A796,nEVAL,CONFIG_METADATA!$B$4,nASIG,"Conjunto"),""))</f>
        <v/>
      </c>
      <c r="E796" t="str">
        <f>IF(A796="","",IFERROR(AVERAGEIFS(nNOTA,nNIA,A796,nEVAL,CONFIG_METADATA!$B$4,nASIG,"&lt;&gt;Lenguaje Musical",nASIG,"&lt;&gt;Coro",nASIG,"&lt;&gt;Conjunto"),""))</f>
        <v/>
      </c>
      <c r="N796" t="str">
        <f>IF(M796="","",IFERROR(AVERAGEIFS(nNOTA,nNIA,M796,nEVAL,CONFIG_METADATA!$B$4,nASIG,"Lenguaje Musical"),""))</f>
        <v/>
      </c>
      <c r="O796" t="str">
        <f>IF(M796="","",IFERROR(AVERAGEIFS(nNOTA,nNIA,M796,nEVAL,CONFIG_METADATA!$B$4,nASIG,"Coro"),""))</f>
        <v/>
      </c>
      <c r="P796" t="str">
        <f>IF(M796="","",IFERROR(AVERAGEIFS(nNOTA,nNIA,M796,nEVAL,CONFIG_METADATA!$B$4,nASIG,"Conjunto"),""))</f>
        <v/>
      </c>
      <c r="Q796" t="str">
        <f>IF(M796="","",IFERROR(AVERAGEIFS(nNOTA,nNIA,M796,nEVAL,CONFIG_METADATA!$B$4,nASIG,"&lt;&gt;Lenguaje Musical",nASIG,"&lt;&gt;Coro",nASIG,"&lt;&gt;Conjunto"),""))</f>
        <v/>
      </c>
      <c r="T796" t="str">
        <f>IF(S796="","",IFERROR(AVERAGEIFS(nNOTA,nNIA,S796,nEVAL,CONFIG_METADATA!$B$4,nASIG,"Lenguaje Musical"),""))</f>
        <v/>
      </c>
      <c r="U796" t="str">
        <f>IF(S796="","",IFERROR(AVERAGEIFS(nNOTA,nNIA,S796,nEVAL,CONFIG_METADATA!$B$4,nASIG,"Coro"),""))</f>
        <v/>
      </c>
      <c r="V796" t="str">
        <f>IF(S796="","",IFERROR(AVERAGEIFS(nNOTA,nNIA,S796,nEVAL,CONFIG_METADATA!$B$4,nASIG,"Conjunto"),""))</f>
        <v/>
      </c>
      <c r="W796" t="str">
        <f>IF(S796="","",IFERROR(AVERAGEIFS(nNOTA,nNIA,S796,nEVAL,CONFIG_METADATA!$B$4,nASIG,"&lt;&gt;Lenguaje Musical",nASIG,"&lt;&gt;Coro",nASIG,"&lt;&gt;Conjunto"),""))</f>
        <v/>
      </c>
    </row>
    <row r="797" spans="2:23" x14ac:dyDescent="0.2">
      <c r="B797" t="str">
        <f>IF(A797="","",IFERROR(AVERAGEIFS(nNOTA,nNIA,A797,nEVAL,CONFIG_METADATA!$B$4,nASIG,"Lenguaje Musical"),""))</f>
        <v/>
      </c>
      <c r="C797" t="str">
        <f>IF(A797="","",IFERROR(AVERAGEIFS(nNOTA,nNIA,A797,nEVAL,CONFIG_METADATA!$B$4,nASIG,"Coro"),""))</f>
        <v/>
      </c>
      <c r="D797" t="str">
        <f>IF(A797="","",IFERROR(AVERAGEIFS(nNOTA,nNIA,A797,nEVAL,CONFIG_METADATA!$B$4,nASIG,"Conjunto"),""))</f>
        <v/>
      </c>
      <c r="E797" t="str">
        <f>IF(A797="","",IFERROR(AVERAGEIFS(nNOTA,nNIA,A797,nEVAL,CONFIG_METADATA!$B$4,nASIG,"&lt;&gt;Lenguaje Musical",nASIG,"&lt;&gt;Coro",nASIG,"&lt;&gt;Conjunto"),""))</f>
        <v/>
      </c>
      <c r="N797" t="str">
        <f>IF(M797="","",IFERROR(AVERAGEIFS(nNOTA,nNIA,M797,nEVAL,CONFIG_METADATA!$B$4,nASIG,"Lenguaje Musical"),""))</f>
        <v/>
      </c>
      <c r="O797" t="str">
        <f>IF(M797="","",IFERROR(AVERAGEIFS(nNOTA,nNIA,M797,nEVAL,CONFIG_METADATA!$B$4,nASIG,"Coro"),""))</f>
        <v/>
      </c>
      <c r="P797" t="str">
        <f>IF(M797="","",IFERROR(AVERAGEIFS(nNOTA,nNIA,M797,nEVAL,CONFIG_METADATA!$B$4,nASIG,"Conjunto"),""))</f>
        <v/>
      </c>
      <c r="Q797" t="str">
        <f>IF(M797="","",IFERROR(AVERAGEIFS(nNOTA,nNIA,M797,nEVAL,CONFIG_METADATA!$B$4,nASIG,"&lt;&gt;Lenguaje Musical",nASIG,"&lt;&gt;Coro",nASIG,"&lt;&gt;Conjunto"),""))</f>
        <v/>
      </c>
      <c r="T797" t="str">
        <f>IF(S797="","",IFERROR(AVERAGEIFS(nNOTA,nNIA,S797,nEVAL,CONFIG_METADATA!$B$4,nASIG,"Lenguaje Musical"),""))</f>
        <v/>
      </c>
      <c r="U797" t="str">
        <f>IF(S797="","",IFERROR(AVERAGEIFS(nNOTA,nNIA,S797,nEVAL,CONFIG_METADATA!$B$4,nASIG,"Coro"),""))</f>
        <v/>
      </c>
      <c r="V797" t="str">
        <f>IF(S797="","",IFERROR(AVERAGEIFS(nNOTA,nNIA,S797,nEVAL,CONFIG_METADATA!$B$4,nASIG,"Conjunto"),""))</f>
        <v/>
      </c>
      <c r="W797" t="str">
        <f>IF(S797="","",IFERROR(AVERAGEIFS(nNOTA,nNIA,S797,nEVAL,CONFIG_METADATA!$B$4,nASIG,"&lt;&gt;Lenguaje Musical",nASIG,"&lt;&gt;Coro",nASIG,"&lt;&gt;Conjunto"),""))</f>
        <v/>
      </c>
    </row>
    <row r="798" spans="2:23" x14ac:dyDescent="0.2">
      <c r="B798" t="str">
        <f>IF(A798="","",IFERROR(AVERAGEIFS(nNOTA,nNIA,A798,nEVAL,CONFIG_METADATA!$B$4,nASIG,"Lenguaje Musical"),""))</f>
        <v/>
      </c>
      <c r="C798" t="str">
        <f>IF(A798="","",IFERROR(AVERAGEIFS(nNOTA,nNIA,A798,nEVAL,CONFIG_METADATA!$B$4,nASIG,"Coro"),""))</f>
        <v/>
      </c>
      <c r="D798" t="str">
        <f>IF(A798="","",IFERROR(AVERAGEIFS(nNOTA,nNIA,A798,nEVAL,CONFIG_METADATA!$B$4,nASIG,"Conjunto"),""))</f>
        <v/>
      </c>
      <c r="E798" t="str">
        <f>IF(A798="","",IFERROR(AVERAGEIFS(nNOTA,nNIA,A798,nEVAL,CONFIG_METADATA!$B$4,nASIG,"&lt;&gt;Lenguaje Musical",nASIG,"&lt;&gt;Coro",nASIG,"&lt;&gt;Conjunto"),""))</f>
        <v/>
      </c>
      <c r="N798" t="str">
        <f>IF(M798="","",IFERROR(AVERAGEIFS(nNOTA,nNIA,M798,nEVAL,CONFIG_METADATA!$B$4,nASIG,"Lenguaje Musical"),""))</f>
        <v/>
      </c>
      <c r="O798" t="str">
        <f>IF(M798="","",IFERROR(AVERAGEIFS(nNOTA,nNIA,M798,nEVAL,CONFIG_METADATA!$B$4,nASIG,"Coro"),""))</f>
        <v/>
      </c>
      <c r="P798" t="str">
        <f>IF(M798="","",IFERROR(AVERAGEIFS(nNOTA,nNIA,M798,nEVAL,CONFIG_METADATA!$B$4,nASIG,"Conjunto"),""))</f>
        <v/>
      </c>
      <c r="Q798" t="str">
        <f>IF(M798="","",IFERROR(AVERAGEIFS(nNOTA,nNIA,M798,nEVAL,CONFIG_METADATA!$B$4,nASIG,"&lt;&gt;Lenguaje Musical",nASIG,"&lt;&gt;Coro",nASIG,"&lt;&gt;Conjunto"),""))</f>
        <v/>
      </c>
      <c r="T798" t="str">
        <f>IF(S798="","",IFERROR(AVERAGEIFS(nNOTA,nNIA,S798,nEVAL,CONFIG_METADATA!$B$4,nASIG,"Lenguaje Musical"),""))</f>
        <v/>
      </c>
      <c r="U798" t="str">
        <f>IF(S798="","",IFERROR(AVERAGEIFS(nNOTA,nNIA,S798,nEVAL,CONFIG_METADATA!$B$4,nASIG,"Coro"),""))</f>
        <v/>
      </c>
      <c r="V798" t="str">
        <f>IF(S798="","",IFERROR(AVERAGEIFS(nNOTA,nNIA,S798,nEVAL,CONFIG_METADATA!$B$4,nASIG,"Conjunto"),""))</f>
        <v/>
      </c>
      <c r="W798" t="str">
        <f>IF(S798="","",IFERROR(AVERAGEIFS(nNOTA,nNIA,S798,nEVAL,CONFIG_METADATA!$B$4,nASIG,"&lt;&gt;Lenguaje Musical",nASIG,"&lt;&gt;Coro",nASIG,"&lt;&gt;Conjunto"),""))</f>
        <v/>
      </c>
    </row>
    <row r="799" spans="2:23" x14ac:dyDescent="0.2">
      <c r="B799" t="str">
        <f>IF(A799="","",IFERROR(AVERAGEIFS(nNOTA,nNIA,A799,nEVAL,CONFIG_METADATA!$B$4,nASIG,"Lenguaje Musical"),""))</f>
        <v/>
      </c>
      <c r="C799" t="str">
        <f>IF(A799="","",IFERROR(AVERAGEIFS(nNOTA,nNIA,A799,nEVAL,CONFIG_METADATA!$B$4,nASIG,"Coro"),""))</f>
        <v/>
      </c>
      <c r="D799" t="str">
        <f>IF(A799="","",IFERROR(AVERAGEIFS(nNOTA,nNIA,A799,nEVAL,CONFIG_METADATA!$B$4,nASIG,"Conjunto"),""))</f>
        <v/>
      </c>
      <c r="E799" t="str">
        <f>IF(A799="","",IFERROR(AVERAGEIFS(nNOTA,nNIA,A799,nEVAL,CONFIG_METADATA!$B$4,nASIG,"&lt;&gt;Lenguaje Musical",nASIG,"&lt;&gt;Coro",nASIG,"&lt;&gt;Conjunto"),""))</f>
        <v/>
      </c>
      <c r="N799" t="str">
        <f>IF(M799="","",IFERROR(AVERAGEIFS(nNOTA,nNIA,M799,nEVAL,CONFIG_METADATA!$B$4,nASIG,"Lenguaje Musical"),""))</f>
        <v/>
      </c>
      <c r="O799" t="str">
        <f>IF(M799="","",IFERROR(AVERAGEIFS(nNOTA,nNIA,M799,nEVAL,CONFIG_METADATA!$B$4,nASIG,"Coro"),""))</f>
        <v/>
      </c>
      <c r="P799" t="str">
        <f>IF(M799="","",IFERROR(AVERAGEIFS(nNOTA,nNIA,M799,nEVAL,CONFIG_METADATA!$B$4,nASIG,"Conjunto"),""))</f>
        <v/>
      </c>
      <c r="Q799" t="str">
        <f>IF(M799="","",IFERROR(AVERAGEIFS(nNOTA,nNIA,M799,nEVAL,CONFIG_METADATA!$B$4,nASIG,"&lt;&gt;Lenguaje Musical",nASIG,"&lt;&gt;Coro",nASIG,"&lt;&gt;Conjunto"),""))</f>
        <v/>
      </c>
      <c r="T799" t="str">
        <f>IF(S799="","",IFERROR(AVERAGEIFS(nNOTA,nNIA,S799,nEVAL,CONFIG_METADATA!$B$4,nASIG,"Lenguaje Musical"),""))</f>
        <v/>
      </c>
      <c r="U799" t="str">
        <f>IF(S799="","",IFERROR(AVERAGEIFS(nNOTA,nNIA,S799,nEVAL,CONFIG_METADATA!$B$4,nASIG,"Coro"),""))</f>
        <v/>
      </c>
      <c r="V799" t="str">
        <f>IF(S799="","",IFERROR(AVERAGEIFS(nNOTA,nNIA,S799,nEVAL,CONFIG_METADATA!$B$4,nASIG,"Conjunto"),""))</f>
        <v/>
      </c>
      <c r="W799" t="str">
        <f>IF(S799="","",IFERROR(AVERAGEIFS(nNOTA,nNIA,S799,nEVAL,CONFIG_METADATA!$B$4,nASIG,"&lt;&gt;Lenguaje Musical",nASIG,"&lt;&gt;Coro",nASIG,"&lt;&gt;Conjunto"),""))</f>
        <v/>
      </c>
    </row>
    <row r="800" spans="2:23" x14ac:dyDescent="0.2">
      <c r="B800" t="str">
        <f>IF(A800="","",IFERROR(AVERAGEIFS(nNOTA,nNIA,A800,nEVAL,CONFIG_METADATA!$B$4,nASIG,"Lenguaje Musical"),""))</f>
        <v/>
      </c>
      <c r="C800" t="str">
        <f>IF(A800="","",IFERROR(AVERAGEIFS(nNOTA,nNIA,A800,nEVAL,CONFIG_METADATA!$B$4,nASIG,"Coro"),""))</f>
        <v/>
      </c>
      <c r="D800" t="str">
        <f>IF(A800="","",IFERROR(AVERAGEIFS(nNOTA,nNIA,A800,nEVAL,CONFIG_METADATA!$B$4,nASIG,"Conjunto"),""))</f>
        <v/>
      </c>
      <c r="E800" t="str">
        <f>IF(A800="","",IFERROR(AVERAGEIFS(nNOTA,nNIA,A800,nEVAL,CONFIG_METADATA!$B$4,nASIG,"&lt;&gt;Lenguaje Musical",nASIG,"&lt;&gt;Coro",nASIG,"&lt;&gt;Conjunto"),""))</f>
        <v/>
      </c>
      <c r="N800" t="str">
        <f>IF(M800="","",IFERROR(AVERAGEIFS(nNOTA,nNIA,M800,nEVAL,CONFIG_METADATA!$B$4,nASIG,"Lenguaje Musical"),""))</f>
        <v/>
      </c>
      <c r="O800" t="str">
        <f>IF(M800="","",IFERROR(AVERAGEIFS(nNOTA,nNIA,M800,nEVAL,CONFIG_METADATA!$B$4,nASIG,"Coro"),""))</f>
        <v/>
      </c>
      <c r="P800" t="str">
        <f>IF(M800="","",IFERROR(AVERAGEIFS(nNOTA,nNIA,M800,nEVAL,CONFIG_METADATA!$B$4,nASIG,"Conjunto"),""))</f>
        <v/>
      </c>
      <c r="Q800" t="str">
        <f>IF(M800="","",IFERROR(AVERAGEIFS(nNOTA,nNIA,M800,nEVAL,CONFIG_METADATA!$B$4,nASIG,"&lt;&gt;Lenguaje Musical",nASIG,"&lt;&gt;Coro",nASIG,"&lt;&gt;Conjunto"),""))</f>
        <v/>
      </c>
      <c r="T800" t="str">
        <f>IF(S800="","",IFERROR(AVERAGEIFS(nNOTA,nNIA,S800,nEVAL,CONFIG_METADATA!$B$4,nASIG,"Lenguaje Musical"),""))</f>
        <v/>
      </c>
      <c r="U800" t="str">
        <f>IF(S800="","",IFERROR(AVERAGEIFS(nNOTA,nNIA,S800,nEVAL,CONFIG_METADATA!$B$4,nASIG,"Coro"),""))</f>
        <v/>
      </c>
      <c r="V800" t="str">
        <f>IF(S800="","",IFERROR(AVERAGEIFS(nNOTA,nNIA,S800,nEVAL,CONFIG_METADATA!$B$4,nASIG,"Conjunto"),""))</f>
        <v/>
      </c>
      <c r="W800" t="str">
        <f>IF(S800="","",IFERROR(AVERAGEIFS(nNOTA,nNIA,S800,nEVAL,CONFIG_METADATA!$B$4,nASIG,"&lt;&gt;Lenguaje Musical",nASIG,"&lt;&gt;Coro",nASIG,"&lt;&gt;Conjunto"),""))</f>
        <v/>
      </c>
    </row>
    <row r="801" spans="2:23" x14ac:dyDescent="0.2">
      <c r="B801" t="str">
        <f>IF(A801="","",IFERROR(AVERAGEIFS(nNOTA,nNIA,A801,nEVAL,CONFIG_METADATA!$B$4,nASIG,"Lenguaje Musical"),""))</f>
        <v/>
      </c>
      <c r="C801" t="str">
        <f>IF(A801="","",IFERROR(AVERAGEIFS(nNOTA,nNIA,A801,nEVAL,CONFIG_METADATA!$B$4,nASIG,"Coro"),""))</f>
        <v/>
      </c>
      <c r="D801" t="str">
        <f>IF(A801="","",IFERROR(AVERAGEIFS(nNOTA,nNIA,A801,nEVAL,CONFIG_METADATA!$B$4,nASIG,"Conjunto"),""))</f>
        <v/>
      </c>
      <c r="E801" t="str">
        <f>IF(A801="","",IFERROR(AVERAGEIFS(nNOTA,nNIA,A801,nEVAL,CONFIG_METADATA!$B$4,nASIG,"&lt;&gt;Lenguaje Musical",nASIG,"&lt;&gt;Coro",nASIG,"&lt;&gt;Conjunto"),""))</f>
        <v/>
      </c>
      <c r="N801" t="str">
        <f>IF(M801="","",IFERROR(AVERAGEIFS(nNOTA,nNIA,M801,nEVAL,CONFIG_METADATA!$B$4,nASIG,"Lenguaje Musical"),""))</f>
        <v/>
      </c>
      <c r="O801" t="str">
        <f>IF(M801="","",IFERROR(AVERAGEIFS(nNOTA,nNIA,M801,nEVAL,CONFIG_METADATA!$B$4,nASIG,"Coro"),""))</f>
        <v/>
      </c>
      <c r="P801" t="str">
        <f>IF(M801="","",IFERROR(AVERAGEIFS(nNOTA,nNIA,M801,nEVAL,CONFIG_METADATA!$B$4,nASIG,"Conjunto"),""))</f>
        <v/>
      </c>
      <c r="Q801" t="str">
        <f>IF(M801="","",IFERROR(AVERAGEIFS(nNOTA,nNIA,M801,nEVAL,CONFIG_METADATA!$B$4,nASIG,"&lt;&gt;Lenguaje Musical",nASIG,"&lt;&gt;Coro",nASIG,"&lt;&gt;Conjunto"),""))</f>
        <v/>
      </c>
      <c r="T801" t="str">
        <f>IF(S801="","",IFERROR(AVERAGEIFS(nNOTA,nNIA,S801,nEVAL,CONFIG_METADATA!$B$4,nASIG,"Lenguaje Musical"),""))</f>
        <v/>
      </c>
      <c r="U801" t="str">
        <f>IF(S801="","",IFERROR(AVERAGEIFS(nNOTA,nNIA,S801,nEVAL,CONFIG_METADATA!$B$4,nASIG,"Coro"),""))</f>
        <v/>
      </c>
      <c r="V801" t="str">
        <f>IF(S801="","",IFERROR(AVERAGEIFS(nNOTA,nNIA,S801,nEVAL,CONFIG_METADATA!$B$4,nASIG,"Conjunto"),""))</f>
        <v/>
      </c>
      <c r="W801" t="str">
        <f>IF(S801="","",IFERROR(AVERAGEIFS(nNOTA,nNIA,S801,nEVAL,CONFIG_METADATA!$B$4,nASIG,"&lt;&gt;Lenguaje Musical",nASIG,"&lt;&gt;Coro",nASIG,"&lt;&gt;Conjunto"),""))</f>
        <v/>
      </c>
    </row>
    <row r="802" spans="2:23" x14ac:dyDescent="0.2">
      <c r="B802" t="str">
        <f>IF(A802="","",IFERROR(AVERAGEIFS(nNOTA,nNIA,A802,nEVAL,CONFIG_METADATA!$B$4,nASIG,"Lenguaje Musical"),""))</f>
        <v/>
      </c>
      <c r="C802" t="str">
        <f>IF(A802="","",IFERROR(AVERAGEIFS(nNOTA,nNIA,A802,nEVAL,CONFIG_METADATA!$B$4,nASIG,"Coro"),""))</f>
        <v/>
      </c>
      <c r="D802" t="str">
        <f>IF(A802="","",IFERROR(AVERAGEIFS(nNOTA,nNIA,A802,nEVAL,CONFIG_METADATA!$B$4,nASIG,"Conjunto"),""))</f>
        <v/>
      </c>
      <c r="E802" t="str">
        <f>IF(A802="","",IFERROR(AVERAGEIFS(nNOTA,nNIA,A802,nEVAL,CONFIG_METADATA!$B$4,nASIG,"&lt;&gt;Lenguaje Musical",nASIG,"&lt;&gt;Coro",nASIG,"&lt;&gt;Conjunto"),""))</f>
        <v/>
      </c>
      <c r="N802" t="str">
        <f>IF(M802="","",IFERROR(AVERAGEIFS(nNOTA,nNIA,M802,nEVAL,CONFIG_METADATA!$B$4,nASIG,"Lenguaje Musical"),""))</f>
        <v/>
      </c>
      <c r="O802" t="str">
        <f>IF(M802="","",IFERROR(AVERAGEIFS(nNOTA,nNIA,M802,nEVAL,CONFIG_METADATA!$B$4,nASIG,"Coro"),""))</f>
        <v/>
      </c>
      <c r="P802" t="str">
        <f>IF(M802="","",IFERROR(AVERAGEIFS(nNOTA,nNIA,M802,nEVAL,CONFIG_METADATA!$B$4,nASIG,"Conjunto"),""))</f>
        <v/>
      </c>
      <c r="Q802" t="str">
        <f>IF(M802="","",IFERROR(AVERAGEIFS(nNOTA,nNIA,M802,nEVAL,CONFIG_METADATA!$B$4,nASIG,"&lt;&gt;Lenguaje Musical",nASIG,"&lt;&gt;Coro",nASIG,"&lt;&gt;Conjunto"),""))</f>
        <v/>
      </c>
      <c r="T802" t="str">
        <f>IF(S802="","",IFERROR(AVERAGEIFS(nNOTA,nNIA,S802,nEVAL,CONFIG_METADATA!$B$4,nASIG,"Lenguaje Musical"),""))</f>
        <v/>
      </c>
      <c r="U802" t="str">
        <f>IF(S802="","",IFERROR(AVERAGEIFS(nNOTA,nNIA,S802,nEVAL,CONFIG_METADATA!$B$4,nASIG,"Coro"),""))</f>
        <v/>
      </c>
      <c r="V802" t="str">
        <f>IF(S802="","",IFERROR(AVERAGEIFS(nNOTA,nNIA,S802,nEVAL,CONFIG_METADATA!$B$4,nASIG,"Conjunto"),""))</f>
        <v/>
      </c>
      <c r="W802" t="str">
        <f>IF(S802="","",IFERROR(AVERAGEIFS(nNOTA,nNIA,S802,nEVAL,CONFIG_METADATA!$B$4,nASIG,"&lt;&gt;Lenguaje Musical",nASIG,"&lt;&gt;Coro",nASIG,"&lt;&gt;Conjunto"),""))</f>
        <v/>
      </c>
    </row>
    <row r="803" spans="2:23" x14ac:dyDescent="0.2">
      <c r="B803" t="str">
        <f>IF(A803="","",IFERROR(AVERAGEIFS(nNOTA,nNIA,A803,nEVAL,CONFIG_METADATA!$B$4,nASIG,"Lenguaje Musical"),""))</f>
        <v/>
      </c>
      <c r="C803" t="str">
        <f>IF(A803="","",IFERROR(AVERAGEIFS(nNOTA,nNIA,A803,nEVAL,CONFIG_METADATA!$B$4,nASIG,"Coro"),""))</f>
        <v/>
      </c>
      <c r="D803" t="str">
        <f>IF(A803="","",IFERROR(AVERAGEIFS(nNOTA,nNIA,A803,nEVAL,CONFIG_METADATA!$B$4,nASIG,"Conjunto"),""))</f>
        <v/>
      </c>
      <c r="E803" t="str">
        <f>IF(A803="","",IFERROR(AVERAGEIFS(nNOTA,nNIA,A803,nEVAL,CONFIG_METADATA!$B$4,nASIG,"&lt;&gt;Lenguaje Musical",nASIG,"&lt;&gt;Coro",nASIG,"&lt;&gt;Conjunto"),""))</f>
        <v/>
      </c>
      <c r="N803" t="str">
        <f>IF(M803="","",IFERROR(AVERAGEIFS(nNOTA,nNIA,M803,nEVAL,CONFIG_METADATA!$B$4,nASIG,"Lenguaje Musical"),""))</f>
        <v/>
      </c>
      <c r="O803" t="str">
        <f>IF(M803="","",IFERROR(AVERAGEIFS(nNOTA,nNIA,M803,nEVAL,CONFIG_METADATA!$B$4,nASIG,"Coro"),""))</f>
        <v/>
      </c>
      <c r="P803" t="str">
        <f>IF(M803="","",IFERROR(AVERAGEIFS(nNOTA,nNIA,M803,nEVAL,CONFIG_METADATA!$B$4,nASIG,"Conjunto"),""))</f>
        <v/>
      </c>
      <c r="Q803" t="str">
        <f>IF(M803="","",IFERROR(AVERAGEIFS(nNOTA,nNIA,M803,nEVAL,CONFIG_METADATA!$B$4,nASIG,"&lt;&gt;Lenguaje Musical",nASIG,"&lt;&gt;Coro",nASIG,"&lt;&gt;Conjunto"),""))</f>
        <v/>
      </c>
      <c r="T803" t="str">
        <f>IF(S803="","",IFERROR(AVERAGEIFS(nNOTA,nNIA,S803,nEVAL,CONFIG_METADATA!$B$4,nASIG,"Lenguaje Musical"),""))</f>
        <v/>
      </c>
      <c r="U803" t="str">
        <f>IF(S803="","",IFERROR(AVERAGEIFS(nNOTA,nNIA,S803,nEVAL,CONFIG_METADATA!$B$4,nASIG,"Coro"),""))</f>
        <v/>
      </c>
      <c r="V803" t="str">
        <f>IF(S803="","",IFERROR(AVERAGEIFS(nNOTA,nNIA,S803,nEVAL,CONFIG_METADATA!$B$4,nASIG,"Conjunto"),""))</f>
        <v/>
      </c>
      <c r="W803" t="str">
        <f>IF(S803="","",IFERROR(AVERAGEIFS(nNOTA,nNIA,S803,nEVAL,CONFIG_METADATA!$B$4,nASIG,"&lt;&gt;Lenguaje Musical",nASIG,"&lt;&gt;Coro",nASIG,"&lt;&gt;Conjunto"),""))</f>
        <v/>
      </c>
    </row>
    <row r="804" spans="2:23" x14ac:dyDescent="0.2">
      <c r="B804" t="str">
        <f>IF(A804="","",IFERROR(AVERAGEIFS(nNOTA,nNIA,A804,nEVAL,CONFIG_METADATA!$B$4,nASIG,"Lenguaje Musical"),""))</f>
        <v/>
      </c>
      <c r="C804" t="str">
        <f>IF(A804="","",IFERROR(AVERAGEIFS(nNOTA,nNIA,A804,nEVAL,CONFIG_METADATA!$B$4,nASIG,"Coro"),""))</f>
        <v/>
      </c>
      <c r="D804" t="str">
        <f>IF(A804="","",IFERROR(AVERAGEIFS(nNOTA,nNIA,A804,nEVAL,CONFIG_METADATA!$B$4,nASIG,"Conjunto"),""))</f>
        <v/>
      </c>
      <c r="E804" t="str">
        <f>IF(A804="","",IFERROR(AVERAGEIFS(nNOTA,nNIA,A804,nEVAL,CONFIG_METADATA!$B$4,nASIG,"&lt;&gt;Lenguaje Musical",nASIG,"&lt;&gt;Coro",nASIG,"&lt;&gt;Conjunto"),""))</f>
        <v/>
      </c>
      <c r="N804" t="str">
        <f>IF(M804="","",IFERROR(AVERAGEIFS(nNOTA,nNIA,M804,nEVAL,CONFIG_METADATA!$B$4,nASIG,"Lenguaje Musical"),""))</f>
        <v/>
      </c>
      <c r="O804" t="str">
        <f>IF(M804="","",IFERROR(AVERAGEIFS(nNOTA,nNIA,M804,nEVAL,CONFIG_METADATA!$B$4,nASIG,"Coro"),""))</f>
        <v/>
      </c>
      <c r="P804" t="str">
        <f>IF(M804="","",IFERROR(AVERAGEIFS(nNOTA,nNIA,M804,nEVAL,CONFIG_METADATA!$B$4,nASIG,"Conjunto"),""))</f>
        <v/>
      </c>
      <c r="Q804" t="str">
        <f>IF(M804="","",IFERROR(AVERAGEIFS(nNOTA,nNIA,M804,nEVAL,CONFIG_METADATA!$B$4,nASIG,"&lt;&gt;Lenguaje Musical",nASIG,"&lt;&gt;Coro",nASIG,"&lt;&gt;Conjunto"),""))</f>
        <v/>
      </c>
      <c r="T804" t="str">
        <f>IF(S804="","",IFERROR(AVERAGEIFS(nNOTA,nNIA,S804,nEVAL,CONFIG_METADATA!$B$4,nASIG,"Lenguaje Musical"),""))</f>
        <v/>
      </c>
      <c r="U804" t="str">
        <f>IF(S804="","",IFERROR(AVERAGEIFS(nNOTA,nNIA,S804,nEVAL,CONFIG_METADATA!$B$4,nASIG,"Coro"),""))</f>
        <v/>
      </c>
      <c r="V804" t="str">
        <f>IF(S804="","",IFERROR(AVERAGEIFS(nNOTA,nNIA,S804,nEVAL,CONFIG_METADATA!$B$4,nASIG,"Conjunto"),""))</f>
        <v/>
      </c>
      <c r="W804" t="str">
        <f>IF(S804="","",IFERROR(AVERAGEIFS(nNOTA,nNIA,S804,nEVAL,CONFIG_METADATA!$B$4,nASIG,"&lt;&gt;Lenguaje Musical",nASIG,"&lt;&gt;Coro",nASIG,"&lt;&gt;Conjunto"),""))</f>
        <v/>
      </c>
    </row>
    <row r="805" spans="2:23" x14ac:dyDescent="0.2">
      <c r="B805" t="str">
        <f>IF(A805="","",IFERROR(AVERAGEIFS(nNOTA,nNIA,A805,nEVAL,CONFIG_METADATA!$B$4,nASIG,"Lenguaje Musical"),""))</f>
        <v/>
      </c>
      <c r="C805" t="str">
        <f>IF(A805="","",IFERROR(AVERAGEIFS(nNOTA,nNIA,A805,nEVAL,CONFIG_METADATA!$B$4,nASIG,"Coro"),""))</f>
        <v/>
      </c>
      <c r="D805" t="str">
        <f>IF(A805="","",IFERROR(AVERAGEIFS(nNOTA,nNIA,A805,nEVAL,CONFIG_METADATA!$B$4,nASIG,"Conjunto"),""))</f>
        <v/>
      </c>
      <c r="E805" t="str">
        <f>IF(A805="","",IFERROR(AVERAGEIFS(nNOTA,nNIA,A805,nEVAL,CONFIG_METADATA!$B$4,nASIG,"&lt;&gt;Lenguaje Musical",nASIG,"&lt;&gt;Coro",nASIG,"&lt;&gt;Conjunto"),""))</f>
        <v/>
      </c>
      <c r="N805" t="str">
        <f>IF(M805="","",IFERROR(AVERAGEIFS(nNOTA,nNIA,M805,nEVAL,CONFIG_METADATA!$B$4,nASIG,"Lenguaje Musical"),""))</f>
        <v/>
      </c>
      <c r="O805" t="str">
        <f>IF(M805="","",IFERROR(AVERAGEIFS(nNOTA,nNIA,M805,nEVAL,CONFIG_METADATA!$B$4,nASIG,"Coro"),""))</f>
        <v/>
      </c>
      <c r="P805" t="str">
        <f>IF(M805="","",IFERROR(AVERAGEIFS(nNOTA,nNIA,M805,nEVAL,CONFIG_METADATA!$B$4,nASIG,"Conjunto"),""))</f>
        <v/>
      </c>
      <c r="Q805" t="str">
        <f>IF(M805="","",IFERROR(AVERAGEIFS(nNOTA,nNIA,M805,nEVAL,CONFIG_METADATA!$B$4,nASIG,"&lt;&gt;Lenguaje Musical",nASIG,"&lt;&gt;Coro",nASIG,"&lt;&gt;Conjunto"),""))</f>
        <v/>
      </c>
      <c r="T805" t="str">
        <f>IF(S805="","",IFERROR(AVERAGEIFS(nNOTA,nNIA,S805,nEVAL,CONFIG_METADATA!$B$4,nASIG,"Lenguaje Musical"),""))</f>
        <v/>
      </c>
      <c r="U805" t="str">
        <f>IF(S805="","",IFERROR(AVERAGEIFS(nNOTA,nNIA,S805,nEVAL,CONFIG_METADATA!$B$4,nASIG,"Coro"),""))</f>
        <v/>
      </c>
      <c r="V805" t="str">
        <f>IF(S805="","",IFERROR(AVERAGEIFS(nNOTA,nNIA,S805,nEVAL,CONFIG_METADATA!$B$4,nASIG,"Conjunto"),""))</f>
        <v/>
      </c>
      <c r="W805" t="str">
        <f>IF(S805="","",IFERROR(AVERAGEIFS(nNOTA,nNIA,S805,nEVAL,CONFIG_METADATA!$B$4,nASIG,"&lt;&gt;Lenguaje Musical",nASIG,"&lt;&gt;Coro",nASIG,"&lt;&gt;Conjunto"),""))</f>
        <v/>
      </c>
    </row>
    <row r="806" spans="2:23" x14ac:dyDescent="0.2">
      <c r="B806" t="str">
        <f>IF(A806="","",IFERROR(AVERAGEIFS(nNOTA,nNIA,A806,nEVAL,CONFIG_METADATA!$B$4,nASIG,"Lenguaje Musical"),""))</f>
        <v/>
      </c>
      <c r="C806" t="str">
        <f>IF(A806="","",IFERROR(AVERAGEIFS(nNOTA,nNIA,A806,nEVAL,CONFIG_METADATA!$B$4,nASIG,"Coro"),""))</f>
        <v/>
      </c>
      <c r="D806" t="str">
        <f>IF(A806="","",IFERROR(AVERAGEIFS(nNOTA,nNIA,A806,nEVAL,CONFIG_METADATA!$B$4,nASIG,"Conjunto"),""))</f>
        <v/>
      </c>
      <c r="E806" t="str">
        <f>IF(A806="","",IFERROR(AVERAGEIFS(nNOTA,nNIA,A806,nEVAL,CONFIG_METADATA!$B$4,nASIG,"&lt;&gt;Lenguaje Musical",nASIG,"&lt;&gt;Coro",nASIG,"&lt;&gt;Conjunto"),""))</f>
        <v/>
      </c>
      <c r="N806" t="str">
        <f>IF(M806="","",IFERROR(AVERAGEIFS(nNOTA,nNIA,M806,nEVAL,CONFIG_METADATA!$B$4,nASIG,"Lenguaje Musical"),""))</f>
        <v/>
      </c>
      <c r="O806" t="str">
        <f>IF(M806="","",IFERROR(AVERAGEIFS(nNOTA,nNIA,M806,nEVAL,CONFIG_METADATA!$B$4,nASIG,"Coro"),""))</f>
        <v/>
      </c>
      <c r="P806" t="str">
        <f>IF(M806="","",IFERROR(AVERAGEIFS(nNOTA,nNIA,M806,nEVAL,CONFIG_METADATA!$B$4,nASIG,"Conjunto"),""))</f>
        <v/>
      </c>
      <c r="Q806" t="str">
        <f>IF(M806="","",IFERROR(AVERAGEIFS(nNOTA,nNIA,M806,nEVAL,CONFIG_METADATA!$B$4,nASIG,"&lt;&gt;Lenguaje Musical",nASIG,"&lt;&gt;Coro",nASIG,"&lt;&gt;Conjunto"),""))</f>
        <v/>
      </c>
      <c r="T806" t="str">
        <f>IF(S806="","",IFERROR(AVERAGEIFS(nNOTA,nNIA,S806,nEVAL,CONFIG_METADATA!$B$4,nASIG,"Lenguaje Musical"),""))</f>
        <v/>
      </c>
      <c r="U806" t="str">
        <f>IF(S806="","",IFERROR(AVERAGEIFS(nNOTA,nNIA,S806,nEVAL,CONFIG_METADATA!$B$4,nASIG,"Coro"),""))</f>
        <v/>
      </c>
      <c r="V806" t="str">
        <f>IF(S806="","",IFERROR(AVERAGEIFS(nNOTA,nNIA,S806,nEVAL,CONFIG_METADATA!$B$4,nASIG,"Conjunto"),""))</f>
        <v/>
      </c>
      <c r="W806" t="str">
        <f>IF(S806="","",IFERROR(AVERAGEIFS(nNOTA,nNIA,S806,nEVAL,CONFIG_METADATA!$B$4,nASIG,"&lt;&gt;Lenguaje Musical",nASIG,"&lt;&gt;Coro",nASIG,"&lt;&gt;Conjunto"),""))</f>
        <v/>
      </c>
    </row>
    <row r="807" spans="2:23" x14ac:dyDescent="0.2">
      <c r="B807" t="str">
        <f>IF(A807="","",IFERROR(AVERAGEIFS(nNOTA,nNIA,A807,nEVAL,CONFIG_METADATA!$B$4,nASIG,"Lenguaje Musical"),""))</f>
        <v/>
      </c>
      <c r="C807" t="str">
        <f>IF(A807="","",IFERROR(AVERAGEIFS(nNOTA,nNIA,A807,nEVAL,CONFIG_METADATA!$B$4,nASIG,"Coro"),""))</f>
        <v/>
      </c>
      <c r="D807" t="str">
        <f>IF(A807="","",IFERROR(AVERAGEIFS(nNOTA,nNIA,A807,nEVAL,CONFIG_METADATA!$B$4,nASIG,"Conjunto"),""))</f>
        <v/>
      </c>
      <c r="E807" t="str">
        <f>IF(A807="","",IFERROR(AVERAGEIFS(nNOTA,nNIA,A807,nEVAL,CONFIG_METADATA!$B$4,nASIG,"&lt;&gt;Lenguaje Musical",nASIG,"&lt;&gt;Coro",nASIG,"&lt;&gt;Conjunto"),""))</f>
        <v/>
      </c>
      <c r="N807" t="str">
        <f>IF(M807="","",IFERROR(AVERAGEIFS(nNOTA,nNIA,M807,nEVAL,CONFIG_METADATA!$B$4,nASIG,"Lenguaje Musical"),""))</f>
        <v/>
      </c>
      <c r="O807" t="str">
        <f>IF(M807="","",IFERROR(AVERAGEIFS(nNOTA,nNIA,M807,nEVAL,CONFIG_METADATA!$B$4,nASIG,"Coro"),""))</f>
        <v/>
      </c>
      <c r="P807" t="str">
        <f>IF(M807="","",IFERROR(AVERAGEIFS(nNOTA,nNIA,M807,nEVAL,CONFIG_METADATA!$B$4,nASIG,"Conjunto"),""))</f>
        <v/>
      </c>
      <c r="Q807" t="str">
        <f>IF(M807="","",IFERROR(AVERAGEIFS(nNOTA,nNIA,M807,nEVAL,CONFIG_METADATA!$B$4,nASIG,"&lt;&gt;Lenguaje Musical",nASIG,"&lt;&gt;Coro",nASIG,"&lt;&gt;Conjunto"),""))</f>
        <v/>
      </c>
      <c r="T807" t="str">
        <f>IF(S807="","",IFERROR(AVERAGEIFS(nNOTA,nNIA,S807,nEVAL,CONFIG_METADATA!$B$4,nASIG,"Lenguaje Musical"),""))</f>
        <v/>
      </c>
      <c r="U807" t="str">
        <f>IF(S807="","",IFERROR(AVERAGEIFS(nNOTA,nNIA,S807,nEVAL,CONFIG_METADATA!$B$4,nASIG,"Coro"),""))</f>
        <v/>
      </c>
      <c r="V807" t="str">
        <f>IF(S807="","",IFERROR(AVERAGEIFS(nNOTA,nNIA,S807,nEVAL,CONFIG_METADATA!$B$4,nASIG,"Conjunto"),""))</f>
        <v/>
      </c>
      <c r="W807" t="str">
        <f>IF(S807="","",IFERROR(AVERAGEIFS(nNOTA,nNIA,S807,nEVAL,CONFIG_METADATA!$B$4,nASIG,"&lt;&gt;Lenguaje Musical",nASIG,"&lt;&gt;Coro",nASIG,"&lt;&gt;Conjunto"),""))</f>
        <v/>
      </c>
    </row>
    <row r="808" spans="2:23" x14ac:dyDescent="0.2">
      <c r="B808" t="str">
        <f>IF(A808="","",IFERROR(AVERAGEIFS(nNOTA,nNIA,A808,nEVAL,CONFIG_METADATA!$B$4,nASIG,"Lenguaje Musical"),""))</f>
        <v/>
      </c>
      <c r="C808" t="str">
        <f>IF(A808="","",IFERROR(AVERAGEIFS(nNOTA,nNIA,A808,nEVAL,CONFIG_METADATA!$B$4,nASIG,"Coro"),""))</f>
        <v/>
      </c>
      <c r="D808" t="str">
        <f>IF(A808="","",IFERROR(AVERAGEIFS(nNOTA,nNIA,A808,nEVAL,CONFIG_METADATA!$B$4,nASIG,"Conjunto"),""))</f>
        <v/>
      </c>
      <c r="E808" t="str">
        <f>IF(A808="","",IFERROR(AVERAGEIFS(nNOTA,nNIA,A808,nEVAL,CONFIG_METADATA!$B$4,nASIG,"&lt;&gt;Lenguaje Musical",nASIG,"&lt;&gt;Coro",nASIG,"&lt;&gt;Conjunto"),""))</f>
        <v/>
      </c>
      <c r="N808" t="str">
        <f>IF(M808="","",IFERROR(AVERAGEIFS(nNOTA,nNIA,M808,nEVAL,CONFIG_METADATA!$B$4,nASIG,"Lenguaje Musical"),""))</f>
        <v/>
      </c>
      <c r="O808" t="str">
        <f>IF(M808="","",IFERROR(AVERAGEIFS(nNOTA,nNIA,M808,nEVAL,CONFIG_METADATA!$B$4,nASIG,"Coro"),""))</f>
        <v/>
      </c>
      <c r="P808" t="str">
        <f>IF(M808="","",IFERROR(AVERAGEIFS(nNOTA,nNIA,M808,nEVAL,CONFIG_METADATA!$B$4,nASIG,"Conjunto"),""))</f>
        <v/>
      </c>
      <c r="Q808" t="str">
        <f>IF(M808="","",IFERROR(AVERAGEIFS(nNOTA,nNIA,M808,nEVAL,CONFIG_METADATA!$B$4,nASIG,"&lt;&gt;Lenguaje Musical",nASIG,"&lt;&gt;Coro",nASIG,"&lt;&gt;Conjunto"),""))</f>
        <v/>
      </c>
      <c r="T808" t="str">
        <f>IF(S808="","",IFERROR(AVERAGEIFS(nNOTA,nNIA,S808,nEVAL,CONFIG_METADATA!$B$4,nASIG,"Lenguaje Musical"),""))</f>
        <v/>
      </c>
      <c r="U808" t="str">
        <f>IF(S808="","",IFERROR(AVERAGEIFS(nNOTA,nNIA,S808,nEVAL,CONFIG_METADATA!$B$4,nASIG,"Coro"),""))</f>
        <v/>
      </c>
      <c r="V808" t="str">
        <f>IF(S808="","",IFERROR(AVERAGEIFS(nNOTA,nNIA,S808,nEVAL,CONFIG_METADATA!$B$4,nASIG,"Conjunto"),""))</f>
        <v/>
      </c>
      <c r="W808" t="str">
        <f>IF(S808="","",IFERROR(AVERAGEIFS(nNOTA,nNIA,S808,nEVAL,CONFIG_METADATA!$B$4,nASIG,"&lt;&gt;Lenguaje Musical",nASIG,"&lt;&gt;Coro",nASIG,"&lt;&gt;Conjunto"),""))</f>
        <v/>
      </c>
    </row>
    <row r="809" spans="2:23" x14ac:dyDescent="0.2">
      <c r="B809" t="str">
        <f>IF(A809="","",IFERROR(AVERAGEIFS(nNOTA,nNIA,A809,nEVAL,CONFIG_METADATA!$B$4,nASIG,"Lenguaje Musical"),""))</f>
        <v/>
      </c>
      <c r="C809" t="str">
        <f>IF(A809="","",IFERROR(AVERAGEIFS(nNOTA,nNIA,A809,nEVAL,CONFIG_METADATA!$B$4,nASIG,"Coro"),""))</f>
        <v/>
      </c>
      <c r="D809" t="str">
        <f>IF(A809="","",IFERROR(AVERAGEIFS(nNOTA,nNIA,A809,nEVAL,CONFIG_METADATA!$B$4,nASIG,"Conjunto"),""))</f>
        <v/>
      </c>
      <c r="E809" t="str">
        <f>IF(A809="","",IFERROR(AVERAGEIFS(nNOTA,nNIA,A809,nEVAL,CONFIG_METADATA!$B$4,nASIG,"&lt;&gt;Lenguaje Musical",nASIG,"&lt;&gt;Coro",nASIG,"&lt;&gt;Conjunto"),""))</f>
        <v/>
      </c>
      <c r="N809" t="str">
        <f>IF(M809="","",IFERROR(AVERAGEIFS(nNOTA,nNIA,M809,nEVAL,CONFIG_METADATA!$B$4,nASIG,"Lenguaje Musical"),""))</f>
        <v/>
      </c>
      <c r="O809" t="str">
        <f>IF(M809="","",IFERROR(AVERAGEIFS(nNOTA,nNIA,M809,nEVAL,CONFIG_METADATA!$B$4,nASIG,"Coro"),""))</f>
        <v/>
      </c>
      <c r="P809" t="str">
        <f>IF(M809="","",IFERROR(AVERAGEIFS(nNOTA,nNIA,M809,nEVAL,CONFIG_METADATA!$B$4,nASIG,"Conjunto"),""))</f>
        <v/>
      </c>
      <c r="Q809" t="str">
        <f>IF(M809="","",IFERROR(AVERAGEIFS(nNOTA,nNIA,M809,nEVAL,CONFIG_METADATA!$B$4,nASIG,"&lt;&gt;Lenguaje Musical",nASIG,"&lt;&gt;Coro",nASIG,"&lt;&gt;Conjunto"),""))</f>
        <v/>
      </c>
      <c r="T809" t="str">
        <f>IF(S809="","",IFERROR(AVERAGEIFS(nNOTA,nNIA,S809,nEVAL,CONFIG_METADATA!$B$4,nASIG,"Lenguaje Musical"),""))</f>
        <v/>
      </c>
      <c r="U809" t="str">
        <f>IF(S809="","",IFERROR(AVERAGEIFS(nNOTA,nNIA,S809,nEVAL,CONFIG_METADATA!$B$4,nASIG,"Coro"),""))</f>
        <v/>
      </c>
      <c r="V809" t="str">
        <f>IF(S809="","",IFERROR(AVERAGEIFS(nNOTA,nNIA,S809,nEVAL,CONFIG_METADATA!$B$4,nASIG,"Conjunto"),""))</f>
        <v/>
      </c>
      <c r="W809" t="str">
        <f>IF(S809="","",IFERROR(AVERAGEIFS(nNOTA,nNIA,S809,nEVAL,CONFIG_METADATA!$B$4,nASIG,"&lt;&gt;Lenguaje Musical",nASIG,"&lt;&gt;Coro",nASIG,"&lt;&gt;Conjunto"),""))</f>
        <v/>
      </c>
    </row>
    <row r="810" spans="2:23" x14ac:dyDescent="0.2">
      <c r="B810" t="str">
        <f>IF(A810="","",IFERROR(AVERAGEIFS(nNOTA,nNIA,A810,nEVAL,CONFIG_METADATA!$B$4,nASIG,"Lenguaje Musical"),""))</f>
        <v/>
      </c>
      <c r="C810" t="str">
        <f>IF(A810="","",IFERROR(AVERAGEIFS(nNOTA,nNIA,A810,nEVAL,CONFIG_METADATA!$B$4,nASIG,"Coro"),""))</f>
        <v/>
      </c>
      <c r="D810" t="str">
        <f>IF(A810="","",IFERROR(AVERAGEIFS(nNOTA,nNIA,A810,nEVAL,CONFIG_METADATA!$B$4,nASIG,"Conjunto"),""))</f>
        <v/>
      </c>
      <c r="E810" t="str">
        <f>IF(A810="","",IFERROR(AVERAGEIFS(nNOTA,nNIA,A810,nEVAL,CONFIG_METADATA!$B$4,nASIG,"&lt;&gt;Lenguaje Musical",nASIG,"&lt;&gt;Coro",nASIG,"&lt;&gt;Conjunto"),""))</f>
        <v/>
      </c>
      <c r="N810" t="str">
        <f>IF(M810="","",IFERROR(AVERAGEIFS(nNOTA,nNIA,M810,nEVAL,CONFIG_METADATA!$B$4,nASIG,"Lenguaje Musical"),""))</f>
        <v/>
      </c>
      <c r="O810" t="str">
        <f>IF(M810="","",IFERROR(AVERAGEIFS(nNOTA,nNIA,M810,nEVAL,CONFIG_METADATA!$B$4,nASIG,"Coro"),""))</f>
        <v/>
      </c>
      <c r="P810" t="str">
        <f>IF(M810="","",IFERROR(AVERAGEIFS(nNOTA,nNIA,M810,nEVAL,CONFIG_METADATA!$B$4,nASIG,"Conjunto"),""))</f>
        <v/>
      </c>
      <c r="Q810" t="str">
        <f>IF(M810="","",IFERROR(AVERAGEIFS(nNOTA,nNIA,M810,nEVAL,CONFIG_METADATA!$B$4,nASIG,"&lt;&gt;Lenguaje Musical",nASIG,"&lt;&gt;Coro",nASIG,"&lt;&gt;Conjunto"),""))</f>
        <v/>
      </c>
      <c r="T810" t="str">
        <f>IF(S810="","",IFERROR(AVERAGEIFS(nNOTA,nNIA,S810,nEVAL,CONFIG_METADATA!$B$4,nASIG,"Lenguaje Musical"),""))</f>
        <v/>
      </c>
      <c r="U810" t="str">
        <f>IF(S810="","",IFERROR(AVERAGEIFS(nNOTA,nNIA,S810,nEVAL,CONFIG_METADATA!$B$4,nASIG,"Coro"),""))</f>
        <v/>
      </c>
      <c r="V810" t="str">
        <f>IF(S810="","",IFERROR(AVERAGEIFS(nNOTA,nNIA,S810,nEVAL,CONFIG_METADATA!$B$4,nASIG,"Conjunto"),""))</f>
        <v/>
      </c>
      <c r="W810" t="str">
        <f>IF(S810="","",IFERROR(AVERAGEIFS(nNOTA,nNIA,S810,nEVAL,CONFIG_METADATA!$B$4,nASIG,"&lt;&gt;Lenguaje Musical",nASIG,"&lt;&gt;Coro",nASIG,"&lt;&gt;Conjunto"),""))</f>
        <v/>
      </c>
    </row>
    <row r="811" spans="2:23" x14ac:dyDescent="0.2">
      <c r="B811" t="str">
        <f>IF(A811="","",IFERROR(AVERAGEIFS(nNOTA,nNIA,A811,nEVAL,CONFIG_METADATA!$B$4,nASIG,"Lenguaje Musical"),""))</f>
        <v/>
      </c>
      <c r="C811" t="str">
        <f>IF(A811="","",IFERROR(AVERAGEIFS(nNOTA,nNIA,A811,nEVAL,CONFIG_METADATA!$B$4,nASIG,"Coro"),""))</f>
        <v/>
      </c>
      <c r="D811" t="str">
        <f>IF(A811="","",IFERROR(AVERAGEIFS(nNOTA,nNIA,A811,nEVAL,CONFIG_METADATA!$B$4,nASIG,"Conjunto"),""))</f>
        <v/>
      </c>
      <c r="E811" t="str">
        <f>IF(A811="","",IFERROR(AVERAGEIFS(nNOTA,nNIA,A811,nEVAL,CONFIG_METADATA!$B$4,nASIG,"&lt;&gt;Lenguaje Musical",nASIG,"&lt;&gt;Coro",nASIG,"&lt;&gt;Conjunto"),""))</f>
        <v/>
      </c>
      <c r="N811" t="str">
        <f>IF(M811="","",IFERROR(AVERAGEIFS(nNOTA,nNIA,M811,nEVAL,CONFIG_METADATA!$B$4,nASIG,"Lenguaje Musical"),""))</f>
        <v/>
      </c>
      <c r="O811" t="str">
        <f>IF(M811="","",IFERROR(AVERAGEIFS(nNOTA,nNIA,M811,nEVAL,CONFIG_METADATA!$B$4,nASIG,"Coro"),""))</f>
        <v/>
      </c>
      <c r="P811" t="str">
        <f>IF(M811="","",IFERROR(AVERAGEIFS(nNOTA,nNIA,M811,nEVAL,CONFIG_METADATA!$B$4,nASIG,"Conjunto"),""))</f>
        <v/>
      </c>
      <c r="Q811" t="str">
        <f>IF(M811="","",IFERROR(AVERAGEIFS(nNOTA,nNIA,M811,nEVAL,CONFIG_METADATA!$B$4,nASIG,"&lt;&gt;Lenguaje Musical",nASIG,"&lt;&gt;Coro",nASIG,"&lt;&gt;Conjunto"),""))</f>
        <v/>
      </c>
      <c r="T811" t="str">
        <f>IF(S811="","",IFERROR(AVERAGEIFS(nNOTA,nNIA,S811,nEVAL,CONFIG_METADATA!$B$4,nASIG,"Lenguaje Musical"),""))</f>
        <v/>
      </c>
      <c r="U811" t="str">
        <f>IF(S811="","",IFERROR(AVERAGEIFS(nNOTA,nNIA,S811,nEVAL,CONFIG_METADATA!$B$4,nASIG,"Coro"),""))</f>
        <v/>
      </c>
      <c r="V811" t="str">
        <f>IF(S811="","",IFERROR(AVERAGEIFS(nNOTA,nNIA,S811,nEVAL,CONFIG_METADATA!$B$4,nASIG,"Conjunto"),""))</f>
        <v/>
      </c>
      <c r="W811" t="str">
        <f>IF(S811="","",IFERROR(AVERAGEIFS(nNOTA,nNIA,S811,nEVAL,CONFIG_METADATA!$B$4,nASIG,"&lt;&gt;Lenguaje Musical",nASIG,"&lt;&gt;Coro",nASIG,"&lt;&gt;Conjunto"),""))</f>
        <v/>
      </c>
    </row>
    <row r="812" spans="2:23" x14ac:dyDescent="0.2">
      <c r="B812" t="str">
        <f>IF(A812="","",IFERROR(AVERAGEIFS(nNOTA,nNIA,A812,nEVAL,CONFIG_METADATA!$B$4,nASIG,"Lenguaje Musical"),""))</f>
        <v/>
      </c>
      <c r="C812" t="str">
        <f>IF(A812="","",IFERROR(AVERAGEIFS(nNOTA,nNIA,A812,nEVAL,CONFIG_METADATA!$B$4,nASIG,"Coro"),""))</f>
        <v/>
      </c>
      <c r="D812" t="str">
        <f>IF(A812="","",IFERROR(AVERAGEIFS(nNOTA,nNIA,A812,nEVAL,CONFIG_METADATA!$B$4,nASIG,"Conjunto"),""))</f>
        <v/>
      </c>
      <c r="E812" t="str">
        <f>IF(A812="","",IFERROR(AVERAGEIFS(nNOTA,nNIA,A812,nEVAL,CONFIG_METADATA!$B$4,nASIG,"&lt;&gt;Lenguaje Musical",nASIG,"&lt;&gt;Coro",nASIG,"&lt;&gt;Conjunto"),""))</f>
        <v/>
      </c>
      <c r="N812" t="str">
        <f>IF(M812="","",IFERROR(AVERAGEIFS(nNOTA,nNIA,M812,nEVAL,CONFIG_METADATA!$B$4,nASIG,"Lenguaje Musical"),""))</f>
        <v/>
      </c>
      <c r="O812" t="str">
        <f>IF(M812="","",IFERROR(AVERAGEIFS(nNOTA,nNIA,M812,nEVAL,CONFIG_METADATA!$B$4,nASIG,"Coro"),""))</f>
        <v/>
      </c>
      <c r="P812" t="str">
        <f>IF(M812="","",IFERROR(AVERAGEIFS(nNOTA,nNIA,M812,nEVAL,CONFIG_METADATA!$B$4,nASIG,"Conjunto"),""))</f>
        <v/>
      </c>
      <c r="Q812" t="str">
        <f>IF(M812="","",IFERROR(AVERAGEIFS(nNOTA,nNIA,M812,nEVAL,CONFIG_METADATA!$B$4,nASIG,"&lt;&gt;Lenguaje Musical",nASIG,"&lt;&gt;Coro",nASIG,"&lt;&gt;Conjunto"),""))</f>
        <v/>
      </c>
      <c r="T812" t="str">
        <f>IF(S812="","",IFERROR(AVERAGEIFS(nNOTA,nNIA,S812,nEVAL,CONFIG_METADATA!$B$4,nASIG,"Lenguaje Musical"),""))</f>
        <v/>
      </c>
      <c r="U812" t="str">
        <f>IF(S812="","",IFERROR(AVERAGEIFS(nNOTA,nNIA,S812,nEVAL,CONFIG_METADATA!$B$4,nASIG,"Coro"),""))</f>
        <v/>
      </c>
      <c r="V812" t="str">
        <f>IF(S812="","",IFERROR(AVERAGEIFS(nNOTA,nNIA,S812,nEVAL,CONFIG_METADATA!$B$4,nASIG,"Conjunto"),""))</f>
        <v/>
      </c>
      <c r="W812" t="str">
        <f>IF(S812="","",IFERROR(AVERAGEIFS(nNOTA,nNIA,S812,nEVAL,CONFIG_METADATA!$B$4,nASIG,"&lt;&gt;Lenguaje Musical",nASIG,"&lt;&gt;Coro",nASIG,"&lt;&gt;Conjunto"),""))</f>
        <v/>
      </c>
    </row>
    <row r="813" spans="2:23" x14ac:dyDescent="0.2">
      <c r="B813" t="str">
        <f>IF(A813="","",IFERROR(AVERAGEIFS(nNOTA,nNIA,A813,nEVAL,CONFIG_METADATA!$B$4,nASIG,"Lenguaje Musical"),""))</f>
        <v/>
      </c>
      <c r="C813" t="str">
        <f>IF(A813="","",IFERROR(AVERAGEIFS(nNOTA,nNIA,A813,nEVAL,CONFIG_METADATA!$B$4,nASIG,"Coro"),""))</f>
        <v/>
      </c>
      <c r="D813" t="str">
        <f>IF(A813="","",IFERROR(AVERAGEIFS(nNOTA,nNIA,A813,nEVAL,CONFIG_METADATA!$B$4,nASIG,"Conjunto"),""))</f>
        <v/>
      </c>
      <c r="E813" t="str">
        <f>IF(A813="","",IFERROR(AVERAGEIFS(nNOTA,nNIA,A813,nEVAL,CONFIG_METADATA!$B$4,nASIG,"&lt;&gt;Lenguaje Musical",nASIG,"&lt;&gt;Coro",nASIG,"&lt;&gt;Conjunto"),""))</f>
        <v/>
      </c>
      <c r="N813" t="str">
        <f>IF(M813="","",IFERROR(AVERAGEIFS(nNOTA,nNIA,M813,nEVAL,CONFIG_METADATA!$B$4,nASIG,"Lenguaje Musical"),""))</f>
        <v/>
      </c>
      <c r="O813" t="str">
        <f>IF(M813="","",IFERROR(AVERAGEIFS(nNOTA,nNIA,M813,nEVAL,CONFIG_METADATA!$B$4,nASIG,"Coro"),""))</f>
        <v/>
      </c>
      <c r="P813" t="str">
        <f>IF(M813="","",IFERROR(AVERAGEIFS(nNOTA,nNIA,M813,nEVAL,CONFIG_METADATA!$B$4,nASIG,"Conjunto"),""))</f>
        <v/>
      </c>
      <c r="Q813" t="str">
        <f>IF(M813="","",IFERROR(AVERAGEIFS(nNOTA,nNIA,M813,nEVAL,CONFIG_METADATA!$B$4,nASIG,"&lt;&gt;Lenguaje Musical",nASIG,"&lt;&gt;Coro",nASIG,"&lt;&gt;Conjunto"),""))</f>
        <v/>
      </c>
      <c r="T813" t="str">
        <f>IF(S813="","",IFERROR(AVERAGEIFS(nNOTA,nNIA,S813,nEVAL,CONFIG_METADATA!$B$4,nASIG,"Lenguaje Musical"),""))</f>
        <v/>
      </c>
      <c r="U813" t="str">
        <f>IF(S813="","",IFERROR(AVERAGEIFS(nNOTA,nNIA,S813,nEVAL,CONFIG_METADATA!$B$4,nASIG,"Coro"),""))</f>
        <v/>
      </c>
      <c r="V813" t="str">
        <f>IF(S813="","",IFERROR(AVERAGEIFS(nNOTA,nNIA,S813,nEVAL,CONFIG_METADATA!$B$4,nASIG,"Conjunto"),""))</f>
        <v/>
      </c>
      <c r="W813" t="str">
        <f>IF(S813="","",IFERROR(AVERAGEIFS(nNOTA,nNIA,S813,nEVAL,CONFIG_METADATA!$B$4,nASIG,"&lt;&gt;Lenguaje Musical",nASIG,"&lt;&gt;Coro",nASIG,"&lt;&gt;Conjunto"),""))</f>
        <v/>
      </c>
    </row>
    <row r="814" spans="2:23" x14ac:dyDescent="0.2">
      <c r="B814" t="str">
        <f>IF(A814="","",IFERROR(AVERAGEIFS(nNOTA,nNIA,A814,nEVAL,CONFIG_METADATA!$B$4,nASIG,"Lenguaje Musical"),""))</f>
        <v/>
      </c>
      <c r="C814" t="str">
        <f>IF(A814="","",IFERROR(AVERAGEIFS(nNOTA,nNIA,A814,nEVAL,CONFIG_METADATA!$B$4,nASIG,"Coro"),""))</f>
        <v/>
      </c>
      <c r="D814" t="str">
        <f>IF(A814="","",IFERROR(AVERAGEIFS(nNOTA,nNIA,A814,nEVAL,CONFIG_METADATA!$B$4,nASIG,"Conjunto"),""))</f>
        <v/>
      </c>
      <c r="E814" t="str">
        <f>IF(A814="","",IFERROR(AVERAGEIFS(nNOTA,nNIA,A814,nEVAL,CONFIG_METADATA!$B$4,nASIG,"&lt;&gt;Lenguaje Musical",nASIG,"&lt;&gt;Coro",nASIG,"&lt;&gt;Conjunto"),""))</f>
        <v/>
      </c>
      <c r="N814" t="str">
        <f>IF(M814="","",IFERROR(AVERAGEIFS(nNOTA,nNIA,M814,nEVAL,CONFIG_METADATA!$B$4,nASIG,"Lenguaje Musical"),""))</f>
        <v/>
      </c>
      <c r="O814" t="str">
        <f>IF(M814="","",IFERROR(AVERAGEIFS(nNOTA,nNIA,M814,nEVAL,CONFIG_METADATA!$B$4,nASIG,"Coro"),""))</f>
        <v/>
      </c>
      <c r="P814" t="str">
        <f>IF(M814="","",IFERROR(AVERAGEIFS(nNOTA,nNIA,M814,nEVAL,CONFIG_METADATA!$B$4,nASIG,"Conjunto"),""))</f>
        <v/>
      </c>
      <c r="Q814" t="str">
        <f>IF(M814="","",IFERROR(AVERAGEIFS(nNOTA,nNIA,M814,nEVAL,CONFIG_METADATA!$B$4,nASIG,"&lt;&gt;Lenguaje Musical",nASIG,"&lt;&gt;Coro",nASIG,"&lt;&gt;Conjunto"),""))</f>
        <v/>
      </c>
      <c r="T814" t="str">
        <f>IF(S814="","",IFERROR(AVERAGEIFS(nNOTA,nNIA,S814,nEVAL,CONFIG_METADATA!$B$4,nASIG,"Lenguaje Musical"),""))</f>
        <v/>
      </c>
      <c r="U814" t="str">
        <f>IF(S814="","",IFERROR(AVERAGEIFS(nNOTA,nNIA,S814,nEVAL,CONFIG_METADATA!$B$4,nASIG,"Coro"),""))</f>
        <v/>
      </c>
      <c r="V814" t="str">
        <f>IF(S814="","",IFERROR(AVERAGEIFS(nNOTA,nNIA,S814,nEVAL,CONFIG_METADATA!$B$4,nASIG,"Conjunto"),""))</f>
        <v/>
      </c>
      <c r="W814" t="str">
        <f>IF(S814="","",IFERROR(AVERAGEIFS(nNOTA,nNIA,S814,nEVAL,CONFIG_METADATA!$B$4,nASIG,"&lt;&gt;Lenguaje Musical",nASIG,"&lt;&gt;Coro",nASIG,"&lt;&gt;Conjunto"),""))</f>
        <v/>
      </c>
    </row>
    <row r="815" spans="2:23" x14ac:dyDescent="0.2">
      <c r="B815" t="str">
        <f>IF(A815="","",IFERROR(AVERAGEIFS(nNOTA,nNIA,A815,nEVAL,CONFIG_METADATA!$B$4,nASIG,"Lenguaje Musical"),""))</f>
        <v/>
      </c>
      <c r="C815" t="str">
        <f>IF(A815="","",IFERROR(AVERAGEIFS(nNOTA,nNIA,A815,nEVAL,CONFIG_METADATA!$B$4,nASIG,"Coro"),""))</f>
        <v/>
      </c>
      <c r="D815" t="str">
        <f>IF(A815="","",IFERROR(AVERAGEIFS(nNOTA,nNIA,A815,nEVAL,CONFIG_METADATA!$B$4,nASIG,"Conjunto"),""))</f>
        <v/>
      </c>
      <c r="E815" t="str">
        <f>IF(A815="","",IFERROR(AVERAGEIFS(nNOTA,nNIA,A815,nEVAL,CONFIG_METADATA!$B$4,nASIG,"&lt;&gt;Lenguaje Musical",nASIG,"&lt;&gt;Coro",nASIG,"&lt;&gt;Conjunto"),""))</f>
        <v/>
      </c>
      <c r="N815" t="str">
        <f>IF(M815="","",IFERROR(AVERAGEIFS(nNOTA,nNIA,M815,nEVAL,CONFIG_METADATA!$B$4,nASIG,"Lenguaje Musical"),""))</f>
        <v/>
      </c>
      <c r="O815" t="str">
        <f>IF(M815="","",IFERROR(AVERAGEIFS(nNOTA,nNIA,M815,nEVAL,CONFIG_METADATA!$B$4,nASIG,"Coro"),""))</f>
        <v/>
      </c>
      <c r="P815" t="str">
        <f>IF(M815="","",IFERROR(AVERAGEIFS(nNOTA,nNIA,M815,nEVAL,CONFIG_METADATA!$B$4,nASIG,"Conjunto"),""))</f>
        <v/>
      </c>
      <c r="Q815" t="str">
        <f>IF(M815="","",IFERROR(AVERAGEIFS(nNOTA,nNIA,M815,nEVAL,CONFIG_METADATA!$B$4,nASIG,"&lt;&gt;Lenguaje Musical",nASIG,"&lt;&gt;Coro",nASIG,"&lt;&gt;Conjunto"),""))</f>
        <v/>
      </c>
      <c r="T815" t="str">
        <f>IF(S815="","",IFERROR(AVERAGEIFS(nNOTA,nNIA,S815,nEVAL,CONFIG_METADATA!$B$4,nASIG,"Lenguaje Musical"),""))</f>
        <v/>
      </c>
      <c r="U815" t="str">
        <f>IF(S815="","",IFERROR(AVERAGEIFS(nNOTA,nNIA,S815,nEVAL,CONFIG_METADATA!$B$4,nASIG,"Coro"),""))</f>
        <v/>
      </c>
      <c r="V815" t="str">
        <f>IF(S815="","",IFERROR(AVERAGEIFS(nNOTA,nNIA,S815,nEVAL,CONFIG_METADATA!$B$4,nASIG,"Conjunto"),""))</f>
        <v/>
      </c>
      <c r="W815" t="str">
        <f>IF(S815="","",IFERROR(AVERAGEIFS(nNOTA,nNIA,S815,nEVAL,CONFIG_METADATA!$B$4,nASIG,"&lt;&gt;Lenguaje Musical",nASIG,"&lt;&gt;Coro",nASIG,"&lt;&gt;Conjunto"),""))</f>
        <v/>
      </c>
    </row>
    <row r="816" spans="2:23" x14ac:dyDescent="0.2">
      <c r="B816" t="str">
        <f>IF(A816="","",IFERROR(AVERAGEIFS(nNOTA,nNIA,A816,nEVAL,CONFIG_METADATA!$B$4,nASIG,"Lenguaje Musical"),""))</f>
        <v/>
      </c>
      <c r="C816" t="str">
        <f>IF(A816="","",IFERROR(AVERAGEIFS(nNOTA,nNIA,A816,nEVAL,CONFIG_METADATA!$B$4,nASIG,"Coro"),""))</f>
        <v/>
      </c>
      <c r="D816" t="str">
        <f>IF(A816="","",IFERROR(AVERAGEIFS(nNOTA,nNIA,A816,nEVAL,CONFIG_METADATA!$B$4,nASIG,"Conjunto"),""))</f>
        <v/>
      </c>
      <c r="E816" t="str">
        <f>IF(A816="","",IFERROR(AVERAGEIFS(nNOTA,nNIA,A816,nEVAL,CONFIG_METADATA!$B$4,nASIG,"&lt;&gt;Lenguaje Musical",nASIG,"&lt;&gt;Coro",nASIG,"&lt;&gt;Conjunto"),""))</f>
        <v/>
      </c>
      <c r="N816" t="str">
        <f>IF(M816="","",IFERROR(AVERAGEIFS(nNOTA,nNIA,M816,nEVAL,CONFIG_METADATA!$B$4,nASIG,"Lenguaje Musical"),""))</f>
        <v/>
      </c>
      <c r="O816" t="str">
        <f>IF(M816="","",IFERROR(AVERAGEIFS(nNOTA,nNIA,M816,nEVAL,CONFIG_METADATA!$B$4,nASIG,"Coro"),""))</f>
        <v/>
      </c>
      <c r="P816" t="str">
        <f>IF(M816="","",IFERROR(AVERAGEIFS(nNOTA,nNIA,M816,nEVAL,CONFIG_METADATA!$B$4,nASIG,"Conjunto"),""))</f>
        <v/>
      </c>
      <c r="Q816" t="str">
        <f>IF(M816="","",IFERROR(AVERAGEIFS(nNOTA,nNIA,M816,nEVAL,CONFIG_METADATA!$B$4,nASIG,"&lt;&gt;Lenguaje Musical",nASIG,"&lt;&gt;Coro",nASIG,"&lt;&gt;Conjunto"),""))</f>
        <v/>
      </c>
      <c r="T816" t="str">
        <f>IF(S816="","",IFERROR(AVERAGEIFS(nNOTA,nNIA,S816,nEVAL,CONFIG_METADATA!$B$4,nASIG,"Lenguaje Musical"),""))</f>
        <v/>
      </c>
      <c r="U816" t="str">
        <f>IF(S816="","",IFERROR(AVERAGEIFS(nNOTA,nNIA,S816,nEVAL,CONFIG_METADATA!$B$4,nASIG,"Coro"),""))</f>
        <v/>
      </c>
      <c r="V816" t="str">
        <f>IF(S816="","",IFERROR(AVERAGEIFS(nNOTA,nNIA,S816,nEVAL,CONFIG_METADATA!$B$4,nASIG,"Conjunto"),""))</f>
        <v/>
      </c>
      <c r="W816" t="str">
        <f>IF(S816="","",IFERROR(AVERAGEIFS(nNOTA,nNIA,S816,nEVAL,CONFIG_METADATA!$B$4,nASIG,"&lt;&gt;Lenguaje Musical",nASIG,"&lt;&gt;Coro",nASIG,"&lt;&gt;Conjunto"),""))</f>
        <v/>
      </c>
    </row>
    <row r="817" spans="2:23" x14ac:dyDescent="0.2">
      <c r="B817" t="str">
        <f>IF(A817="","",IFERROR(AVERAGEIFS(nNOTA,nNIA,A817,nEVAL,CONFIG_METADATA!$B$4,nASIG,"Lenguaje Musical"),""))</f>
        <v/>
      </c>
      <c r="C817" t="str">
        <f>IF(A817="","",IFERROR(AVERAGEIFS(nNOTA,nNIA,A817,nEVAL,CONFIG_METADATA!$B$4,nASIG,"Coro"),""))</f>
        <v/>
      </c>
      <c r="D817" t="str">
        <f>IF(A817="","",IFERROR(AVERAGEIFS(nNOTA,nNIA,A817,nEVAL,CONFIG_METADATA!$B$4,nASIG,"Conjunto"),""))</f>
        <v/>
      </c>
      <c r="E817" t="str">
        <f>IF(A817="","",IFERROR(AVERAGEIFS(nNOTA,nNIA,A817,nEVAL,CONFIG_METADATA!$B$4,nASIG,"&lt;&gt;Lenguaje Musical",nASIG,"&lt;&gt;Coro",nASIG,"&lt;&gt;Conjunto"),""))</f>
        <v/>
      </c>
      <c r="N817" t="str">
        <f>IF(M817="","",IFERROR(AVERAGEIFS(nNOTA,nNIA,M817,nEVAL,CONFIG_METADATA!$B$4,nASIG,"Lenguaje Musical"),""))</f>
        <v/>
      </c>
      <c r="O817" t="str">
        <f>IF(M817="","",IFERROR(AVERAGEIFS(nNOTA,nNIA,M817,nEVAL,CONFIG_METADATA!$B$4,nASIG,"Coro"),""))</f>
        <v/>
      </c>
      <c r="P817" t="str">
        <f>IF(M817="","",IFERROR(AVERAGEIFS(nNOTA,nNIA,M817,nEVAL,CONFIG_METADATA!$B$4,nASIG,"Conjunto"),""))</f>
        <v/>
      </c>
      <c r="Q817" t="str">
        <f>IF(M817="","",IFERROR(AVERAGEIFS(nNOTA,nNIA,M817,nEVAL,CONFIG_METADATA!$B$4,nASIG,"&lt;&gt;Lenguaje Musical",nASIG,"&lt;&gt;Coro",nASIG,"&lt;&gt;Conjunto"),""))</f>
        <v/>
      </c>
      <c r="T817" t="str">
        <f>IF(S817="","",IFERROR(AVERAGEIFS(nNOTA,nNIA,S817,nEVAL,CONFIG_METADATA!$B$4,nASIG,"Lenguaje Musical"),""))</f>
        <v/>
      </c>
      <c r="U817" t="str">
        <f>IF(S817="","",IFERROR(AVERAGEIFS(nNOTA,nNIA,S817,nEVAL,CONFIG_METADATA!$B$4,nASIG,"Coro"),""))</f>
        <v/>
      </c>
      <c r="V817" t="str">
        <f>IF(S817="","",IFERROR(AVERAGEIFS(nNOTA,nNIA,S817,nEVAL,CONFIG_METADATA!$B$4,nASIG,"Conjunto"),""))</f>
        <v/>
      </c>
      <c r="W817" t="str">
        <f>IF(S817="","",IFERROR(AVERAGEIFS(nNOTA,nNIA,S817,nEVAL,CONFIG_METADATA!$B$4,nASIG,"&lt;&gt;Lenguaje Musical",nASIG,"&lt;&gt;Coro",nASIG,"&lt;&gt;Conjunto"),""))</f>
        <v/>
      </c>
    </row>
    <row r="818" spans="2:23" x14ac:dyDescent="0.2">
      <c r="B818" t="str">
        <f>IF(A818="","",IFERROR(AVERAGEIFS(nNOTA,nNIA,A818,nEVAL,CONFIG_METADATA!$B$4,nASIG,"Lenguaje Musical"),""))</f>
        <v/>
      </c>
      <c r="C818" t="str">
        <f>IF(A818="","",IFERROR(AVERAGEIFS(nNOTA,nNIA,A818,nEVAL,CONFIG_METADATA!$B$4,nASIG,"Coro"),""))</f>
        <v/>
      </c>
      <c r="D818" t="str">
        <f>IF(A818="","",IFERROR(AVERAGEIFS(nNOTA,nNIA,A818,nEVAL,CONFIG_METADATA!$B$4,nASIG,"Conjunto"),""))</f>
        <v/>
      </c>
      <c r="E818" t="str">
        <f>IF(A818="","",IFERROR(AVERAGEIFS(nNOTA,nNIA,A818,nEVAL,CONFIG_METADATA!$B$4,nASIG,"&lt;&gt;Lenguaje Musical",nASIG,"&lt;&gt;Coro",nASIG,"&lt;&gt;Conjunto"),""))</f>
        <v/>
      </c>
      <c r="N818" t="str">
        <f>IF(M818="","",IFERROR(AVERAGEIFS(nNOTA,nNIA,M818,nEVAL,CONFIG_METADATA!$B$4,nASIG,"Lenguaje Musical"),""))</f>
        <v/>
      </c>
      <c r="O818" t="str">
        <f>IF(M818="","",IFERROR(AVERAGEIFS(nNOTA,nNIA,M818,nEVAL,CONFIG_METADATA!$B$4,nASIG,"Coro"),""))</f>
        <v/>
      </c>
      <c r="P818" t="str">
        <f>IF(M818="","",IFERROR(AVERAGEIFS(nNOTA,nNIA,M818,nEVAL,CONFIG_METADATA!$B$4,nASIG,"Conjunto"),""))</f>
        <v/>
      </c>
      <c r="Q818" t="str">
        <f>IF(M818="","",IFERROR(AVERAGEIFS(nNOTA,nNIA,M818,nEVAL,CONFIG_METADATA!$B$4,nASIG,"&lt;&gt;Lenguaje Musical",nASIG,"&lt;&gt;Coro",nASIG,"&lt;&gt;Conjunto"),""))</f>
        <v/>
      </c>
      <c r="T818" t="str">
        <f>IF(S818="","",IFERROR(AVERAGEIFS(nNOTA,nNIA,S818,nEVAL,CONFIG_METADATA!$B$4,nASIG,"Lenguaje Musical"),""))</f>
        <v/>
      </c>
      <c r="U818" t="str">
        <f>IF(S818="","",IFERROR(AVERAGEIFS(nNOTA,nNIA,S818,nEVAL,CONFIG_METADATA!$B$4,nASIG,"Coro"),""))</f>
        <v/>
      </c>
      <c r="V818" t="str">
        <f>IF(S818="","",IFERROR(AVERAGEIFS(nNOTA,nNIA,S818,nEVAL,CONFIG_METADATA!$B$4,nASIG,"Conjunto"),""))</f>
        <v/>
      </c>
      <c r="W818" t="str">
        <f>IF(S818="","",IFERROR(AVERAGEIFS(nNOTA,nNIA,S818,nEVAL,CONFIG_METADATA!$B$4,nASIG,"&lt;&gt;Lenguaje Musical",nASIG,"&lt;&gt;Coro",nASIG,"&lt;&gt;Conjunto"),""))</f>
        <v/>
      </c>
    </row>
    <row r="819" spans="2:23" x14ac:dyDescent="0.2">
      <c r="B819" t="str">
        <f>IF(A819="","",IFERROR(AVERAGEIFS(nNOTA,nNIA,A819,nEVAL,CONFIG_METADATA!$B$4,nASIG,"Lenguaje Musical"),""))</f>
        <v/>
      </c>
      <c r="C819" t="str">
        <f>IF(A819="","",IFERROR(AVERAGEIFS(nNOTA,nNIA,A819,nEVAL,CONFIG_METADATA!$B$4,nASIG,"Coro"),""))</f>
        <v/>
      </c>
      <c r="D819" t="str">
        <f>IF(A819="","",IFERROR(AVERAGEIFS(nNOTA,nNIA,A819,nEVAL,CONFIG_METADATA!$B$4,nASIG,"Conjunto"),""))</f>
        <v/>
      </c>
      <c r="E819" t="str">
        <f>IF(A819="","",IFERROR(AVERAGEIFS(nNOTA,nNIA,A819,nEVAL,CONFIG_METADATA!$B$4,nASIG,"&lt;&gt;Lenguaje Musical",nASIG,"&lt;&gt;Coro",nASIG,"&lt;&gt;Conjunto"),""))</f>
        <v/>
      </c>
      <c r="N819" t="str">
        <f>IF(M819="","",IFERROR(AVERAGEIFS(nNOTA,nNIA,M819,nEVAL,CONFIG_METADATA!$B$4,nASIG,"Lenguaje Musical"),""))</f>
        <v/>
      </c>
      <c r="O819" t="str">
        <f>IF(M819="","",IFERROR(AVERAGEIFS(nNOTA,nNIA,M819,nEVAL,CONFIG_METADATA!$B$4,nASIG,"Coro"),""))</f>
        <v/>
      </c>
      <c r="P819" t="str">
        <f>IF(M819="","",IFERROR(AVERAGEIFS(nNOTA,nNIA,M819,nEVAL,CONFIG_METADATA!$B$4,nASIG,"Conjunto"),""))</f>
        <v/>
      </c>
      <c r="Q819" t="str">
        <f>IF(M819="","",IFERROR(AVERAGEIFS(nNOTA,nNIA,M819,nEVAL,CONFIG_METADATA!$B$4,nASIG,"&lt;&gt;Lenguaje Musical",nASIG,"&lt;&gt;Coro",nASIG,"&lt;&gt;Conjunto"),""))</f>
        <v/>
      </c>
      <c r="T819" t="str">
        <f>IF(S819="","",IFERROR(AVERAGEIFS(nNOTA,nNIA,S819,nEVAL,CONFIG_METADATA!$B$4,nASIG,"Lenguaje Musical"),""))</f>
        <v/>
      </c>
      <c r="U819" t="str">
        <f>IF(S819="","",IFERROR(AVERAGEIFS(nNOTA,nNIA,S819,nEVAL,CONFIG_METADATA!$B$4,nASIG,"Coro"),""))</f>
        <v/>
      </c>
      <c r="V819" t="str">
        <f>IF(S819="","",IFERROR(AVERAGEIFS(nNOTA,nNIA,S819,nEVAL,CONFIG_METADATA!$B$4,nASIG,"Conjunto"),""))</f>
        <v/>
      </c>
      <c r="W819" t="str">
        <f>IF(S819="","",IFERROR(AVERAGEIFS(nNOTA,nNIA,S819,nEVAL,CONFIG_METADATA!$B$4,nASIG,"&lt;&gt;Lenguaje Musical",nASIG,"&lt;&gt;Coro",nASIG,"&lt;&gt;Conjunto"),""))</f>
        <v/>
      </c>
    </row>
    <row r="820" spans="2:23" x14ac:dyDescent="0.2">
      <c r="B820" t="str">
        <f>IF(A820="","",IFERROR(AVERAGEIFS(nNOTA,nNIA,A820,nEVAL,CONFIG_METADATA!$B$4,nASIG,"Lenguaje Musical"),""))</f>
        <v/>
      </c>
      <c r="C820" t="str">
        <f>IF(A820="","",IFERROR(AVERAGEIFS(nNOTA,nNIA,A820,nEVAL,CONFIG_METADATA!$B$4,nASIG,"Coro"),""))</f>
        <v/>
      </c>
      <c r="D820" t="str">
        <f>IF(A820="","",IFERROR(AVERAGEIFS(nNOTA,nNIA,A820,nEVAL,CONFIG_METADATA!$B$4,nASIG,"Conjunto"),""))</f>
        <v/>
      </c>
      <c r="E820" t="str">
        <f>IF(A820="","",IFERROR(AVERAGEIFS(nNOTA,nNIA,A820,nEVAL,CONFIG_METADATA!$B$4,nASIG,"&lt;&gt;Lenguaje Musical",nASIG,"&lt;&gt;Coro",nASIG,"&lt;&gt;Conjunto"),""))</f>
        <v/>
      </c>
      <c r="N820" t="str">
        <f>IF(M820="","",IFERROR(AVERAGEIFS(nNOTA,nNIA,M820,nEVAL,CONFIG_METADATA!$B$4,nASIG,"Lenguaje Musical"),""))</f>
        <v/>
      </c>
      <c r="O820" t="str">
        <f>IF(M820="","",IFERROR(AVERAGEIFS(nNOTA,nNIA,M820,nEVAL,CONFIG_METADATA!$B$4,nASIG,"Coro"),""))</f>
        <v/>
      </c>
      <c r="P820" t="str">
        <f>IF(M820="","",IFERROR(AVERAGEIFS(nNOTA,nNIA,M820,nEVAL,CONFIG_METADATA!$B$4,nASIG,"Conjunto"),""))</f>
        <v/>
      </c>
      <c r="Q820" t="str">
        <f>IF(M820="","",IFERROR(AVERAGEIFS(nNOTA,nNIA,M820,nEVAL,CONFIG_METADATA!$B$4,nASIG,"&lt;&gt;Lenguaje Musical",nASIG,"&lt;&gt;Coro",nASIG,"&lt;&gt;Conjunto"),""))</f>
        <v/>
      </c>
      <c r="T820" t="str">
        <f>IF(S820="","",IFERROR(AVERAGEIFS(nNOTA,nNIA,S820,nEVAL,CONFIG_METADATA!$B$4,nASIG,"Lenguaje Musical"),""))</f>
        <v/>
      </c>
      <c r="U820" t="str">
        <f>IF(S820="","",IFERROR(AVERAGEIFS(nNOTA,nNIA,S820,nEVAL,CONFIG_METADATA!$B$4,nASIG,"Coro"),""))</f>
        <v/>
      </c>
      <c r="V820" t="str">
        <f>IF(S820="","",IFERROR(AVERAGEIFS(nNOTA,nNIA,S820,nEVAL,CONFIG_METADATA!$B$4,nASIG,"Conjunto"),""))</f>
        <v/>
      </c>
      <c r="W820" t="str">
        <f>IF(S820="","",IFERROR(AVERAGEIFS(nNOTA,nNIA,S820,nEVAL,CONFIG_METADATA!$B$4,nASIG,"&lt;&gt;Lenguaje Musical",nASIG,"&lt;&gt;Coro",nASIG,"&lt;&gt;Conjunto"),""))</f>
        <v/>
      </c>
    </row>
    <row r="821" spans="2:23" x14ac:dyDescent="0.2">
      <c r="B821" t="str">
        <f>IF(A821="","",IFERROR(AVERAGEIFS(nNOTA,nNIA,A821,nEVAL,CONFIG_METADATA!$B$4,nASIG,"Lenguaje Musical"),""))</f>
        <v/>
      </c>
      <c r="C821" t="str">
        <f>IF(A821="","",IFERROR(AVERAGEIFS(nNOTA,nNIA,A821,nEVAL,CONFIG_METADATA!$B$4,nASIG,"Coro"),""))</f>
        <v/>
      </c>
      <c r="D821" t="str">
        <f>IF(A821="","",IFERROR(AVERAGEIFS(nNOTA,nNIA,A821,nEVAL,CONFIG_METADATA!$B$4,nASIG,"Conjunto"),""))</f>
        <v/>
      </c>
      <c r="E821" t="str">
        <f>IF(A821="","",IFERROR(AVERAGEIFS(nNOTA,nNIA,A821,nEVAL,CONFIG_METADATA!$B$4,nASIG,"&lt;&gt;Lenguaje Musical",nASIG,"&lt;&gt;Coro",nASIG,"&lt;&gt;Conjunto"),""))</f>
        <v/>
      </c>
      <c r="N821" t="str">
        <f>IF(M821="","",IFERROR(AVERAGEIFS(nNOTA,nNIA,M821,nEVAL,CONFIG_METADATA!$B$4,nASIG,"Lenguaje Musical"),""))</f>
        <v/>
      </c>
      <c r="O821" t="str">
        <f>IF(M821="","",IFERROR(AVERAGEIFS(nNOTA,nNIA,M821,nEVAL,CONFIG_METADATA!$B$4,nASIG,"Coro"),""))</f>
        <v/>
      </c>
      <c r="P821" t="str">
        <f>IF(M821="","",IFERROR(AVERAGEIFS(nNOTA,nNIA,M821,nEVAL,CONFIG_METADATA!$B$4,nASIG,"Conjunto"),""))</f>
        <v/>
      </c>
      <c r="Q821" t="str">
        <f>IF(M821="","",IFERROR(AVERAGEIFS(nNOTA,nNIA,M821,nEVAL,CONFIG_METADATA!$B$4,nASIG,"&lt;&gt;Lenguaje Musical",nASIG,"&lt;&gt;Coro",nASIG,"&lt;&gt;Conjunto"),""))</f>
        <v/>
      </c>
      <c r="T821" t="str">
        <f>IF(S821="","",IFERROR(AVERAGEIFS(nNOTA,nNIA,S821,nEVAL,CONFIG_METADATA!$B$4,nASIG,"Lenguaje Musical"),""))</f>
        <v/>
      </c>
      <c r="U821" t="str">
        <f>IF(S821="","",IFERROR(AVERAGEIFS(nNOTA,nNIA,S821,nEVAL,CONFIG_METADATA!$B$4,nASIG,"Coro"),""))</f>
        <v/>
      </c>
      <c r="V821" t="str">
        <f>IF(S821="","",IFERROR(AVERAGEIFS(nNOTA,nNIA,S821,nEVAL,CONFIG_METADATA!$B$4,nASIG,"Conjunto"),""))</f>
        <v/>
      </c>
      <c r="W821" t="str">
        <f>IF(S821="","",IFERROR(AVERAGEIFS(nNOTA,nNIA,S821,nEVAL,CONFIG_METADATA!$B$4,nASIG,"&lt;&gt;Lenguaje Musical",nASIG,"&lt;&gt;Coro",nASIG,"&lt;&gt;Conjunto"),""))</f>
        <v/>
      </c>
    </row>
    <row r="822" spans="2:23" x14ac:dyDescent="0.2">
      <c r="B822" t="str">
        <f>IF(A822="","",IFERROR(AVERAGEIFS(nNOTA,nNIA,A822,nEVAL,CONFIG_METADATA!$B$4,nASIG,"Lenguaje Musical"),""))</f>
        <v/>
      </c>
      <c r="C822" t="str">
        <f>IF(A822="","",IFERROR(AVERAGEIFS(nNOTA,nNIA,A822,nEVAL,CONFIG_METADATA!$B$4,nASIG,"Coro"),""))</f>
        <v/>
      </c>
      <c r="D822" t="str">
        <f>IF(A822="","",IFERROR(AVERAGEIFS(nNOTA,nNIA,A822,nEVAL,CONFIG_METADATA!$B$4,nASIG,"Conjunto"),""))</f>
        <v/>
      </c>
      <c r="E822" t="str">
        <f>IF(A822="","",IFERROR(AVERAGEIFS(nNOTA,nNIA,A822,nEVAL,CONFIG_METADATA!$B$4,nASIG,"&lt;&gt;Lenguaje Musical",nASIG,"&lt;&gt;Coro",nASIG,"&lt;&gt;Conjunto"),""))</f>
        <v/>
      </c>
      <c r="N822" t="str">
        <f>IF(M822="","",IFERROR(AVERAGEIFS(nNOTA,nNIA,M822,nEVAL,CONFIG_METADATA!$B$4,nASIG,"Lenguaje Musical"),""))</f>
        <v/>
      </c>
      <c r="O822" t="str">
        <f>IF(M822="","",IFERROR(AVERAGEIFS(nNOTA,nNIA,M822,nEVAL,CONFIG_METADATA!$B$4,nASIG,"Coro"),""))</f>
        <v/>
      </c>
      <c r="P822" t="str">
        <f>IF(M822="","",IFERROR(AVERAGEIFS(nNOTA,nNIA,M822,nEVAL,CONFIG_METADATA!$B$4,nASIG,"Conjunto"),""))</f>
        <v/>
      </c>
      <c r="Q822" t="str">
        <f>IF(M822="","",IFERROR(AVERAGEIFS(nNOTA,nNIA,M822,nEVAL,CONFIG_METADATA!$B$4,nASIG,"&lt;&gt;Lenguaje Musical",nASIG,"&lt;&gt;Coro",nASIG,"&lt;&gt;Conjunto"),""))</f>
        <v/>
      </c>
      <c r="T822" t="str">
        <f>IF(S822="","",IFERROR(AVERAGEIFS(nNOTA,nNIA,S822,nEVAL,CONFIG_METADATA!$B$4,nASIG,"Lenguaje Musical"),""))</f>
        <v/>
      </c>
      <c r="U822" t="str">
        <f>IF(S822="","",IFERROR(AVERAGEIFS(nNOTA,nNIA,S822,nEVAL,CONFIG_METADATA!$B$4,nASIG,"Coro"),""))</f>
        <v/>
      </c>
      <c r="V822" t="str">
        <f>IF(S822="","",IFERROR(AVERAGEIFS(nNOTA,nNIA,S822,nEVAL,CONFIG_METADATA!$B$4,nASIG,"Conjunto"),""))</f>
        <v/>
      </c>
      <c r="W822" t="str">
        <f>IF(S822="","",IFERROR(AVERAGEIFS(nNOTA,nNIA,S822,nEVAL,CONFIG_METADATA!$B$4,nASIG,"&lt;&gt;Lenguaje Musical",nASIG,"&lt;&gt;Coro",nASIG,"&lt;&gt;Conjunto"),""))</f>
        <v/>
      </c>
    </row>
    <row r="823" spans="2:23" x14ac:dyDescent="0.2">
      <c r="B823" t="str">
        <f>IF(A823="","",IFERROR(AVERAGEIFS(nNOTA,nNIA,A823,nEVAL,CONFIG_METADATA!$B$4,nASIG,"Lenguaje Musical"),""))</f>
        <v/>
      </c>
      <c r="C823" t="str">
        <f>IF(A823="","",IFERROR(AVERAGEIFS(nNOTA,nNIA,A823,nEVAL,CONFIG_METADATA!$B$4,nASIG,"Coro"),""))</f>
        <v/>
      </c>
      <c r="D823" t="str">
        <f>IF(A823="","",IFERROR(AVERAGEIFS(nNOTA,nNIA,A823,nEVAL,CONFIG_METADATA!$B$4,nASIG,"Conjunto"),""))</f>
        <v/>
      </c>
      <c r="E823" t="str">
        <f>IF(A823="","",IFERROR(AVERAGEIFS(nNOTA,nNIA,A823,nEVAL,CONFIG_METADATA!$B$4,nASIG,"&lt;&gt;Lenguaje Musical",nASIG,"&lt;&gt;Coro",nASIG,"&lt;&gt;Conjunto"),""))</f>
        <v/>
      </c>
      <c r="N823" t="str">
        <f>IF(M823="","",IFERROR(AVERAGEIFS(nNOTA,nNIA,M823,nEVAL,CONFIG_METADATA!$B$4,nASIG,"Lenguaje Musical"),""))</f>
        <v/>
      </c>
      <c r="O823" t="str">
        <f>IF(M823="","",IFERROR(AVERAGEIFS(nNOTA,nNIA,M823,nEVAL,CONFIG_METADATA!$B$4,nASIG,"Coro"),""))</f>
        <v/>
      </c>
      <c r="P823" t="str">
        <f>IF(M823="","",IFERROR(AVERAGEIFS(nNOTA,nNIA,M823,nEVAL,CONFIG_METADATA!$B$4,nASIG,"Conjunto"),""))</f>
        <v/>
      </c>
      <c r="Q823" t="str">
        <f>IF(M823="","",IFERROR(AVERAGEIFS(nNOTA,nNIA,M823,nEVAL,CONFIG_METADATA!$B$4,nASIG,"&lt;&gt;Lenguaje Musical",nASIG,"&lt;&gt;Coro",nASIG,"&lt;&gt;Conjunto"),""))</f>
        <v/>
      </c>
      <c r="T823" t="str">
        <f>IF(S823="","",IFERROR(AVERAGEIFS(nNOTA,nNIA,S823,nEVAL,CONFIG_METADATA!$B$4,nASIG,"Lenguaje Musical"),""))</f>
        <v/>
      </c>
      <c r="U823" t="str">
        <f>IF(S823="","",IFERROR(AVERAGEIFS(nNOTA,nNIA,S823,nEVAL,CONFIG_METADATA!$B$4,nASIG,"Coro"),""))</f>
        <v/>
      </c>
      <c r="V823" t="str">
        <f>IF(S823="","",IFERROR(AVERAGEIFS(nNOTA,nNIA,S823,nEVAL,CONFIG_METADATA!$B$4,nASIG,"Conjunto"),""))</f>
        <v/>
      </c>
      <c r="W823" t="str">
        <f>IF(S823="","",IFERROR(AVERAGEIFS(nNOTA,nNIA,S823,nEVAL,CONFIG_METADATA!$B$4,nASIG,"&lt;&gt;Lenguaje Musical",nASIG,"&lt;&gt;Coro",nASIG,"&lt;&gt;Conjunto"),""))</f>
        <v/>
      </c>
    </row>
    <row r="824" spans="2:23" x14ac:dyDescent="0.2">
      <c r="B824" t="str">
        <f>IF(A824="","",IFERROR(AVERAGEIFS(nNOTA,nNIA,A824,nEVAL,CONFIG_METADATA!$B$4,nASIG,"Lenguaje Musical"),""))</f>
        <v/>
      </c>
      <c r="C824" t="str">
        <f>IF(A824="","",IFERROR(AVERAGEIFS(nNOTA,nNIA,A824,nEVAL,CONFIG_METADATA!$B$4,nASIG,"Coro"),""))</f>
        <v/>
      </c>
      <c r="D824" t="str">
        <f>IF(A824="","",IFERROR(AVERAGEIFS(nNOTA,nNIA,A824,nEVAL,CONFIG_METADATA!$B$4,nASIG,"Conjunto"),""))</f>
        <v/>
      </c>
      <c r="E824" t="str">
        <f>IF(A824="","",IFERROR(AVERAGEIFS(nNOTA,nNIA,A824,nEVAL,CONFIG_METADATA!$B$4,nASIG,"&lt;&gt;Lenguaje Musical",nASIG,"&lt;&gt;Coro",nASIG,"&lt;&gt;Conjunto"),""))</f>
        <v/>
      </c>
      <c r="N824" t="str">
        <f>IF(M824="","",IFERROR(AVERAGEIFS(nNOTA,nNIA,M824,nEVAL,CONFIG_METADATA!$B$4,nASIG,"Lenguaje Musical"),""))</f>
        <v/>
      </c>
      <c r="O824" t="str">
        <f>IF(M824="","",IFERROR(AVERAGEIFS(nNOTA,nNIA,M824,nEVAL,CONFIG_METADATA!$B$4,nASIG,"Coro"),""))</f>
        <v/>
      </c>
      <c r="P824" t="str">
        <f>IF(M824="","",IFERROR(AVERAGEIFS(nNOTA,nNIA,M824,nEVAL,CONFIG_METADATA!$B$4,nASIG,"Conjunto"),""))</f>
        <v/>
      </c>
      <c r="Q824" t="str">
        <f>IF(M824="","",IFERROR(AVERAGEIFS(nNOTA,nNIA,M824,nEVAL,CONFIG_METADATA!$B$4,nASIG,"&lt;&gt;Lenguaje Musical",nASIG,"&lt;&gt;Coro",nASIG,"&lt;&gt;Conjunto"),""))</f>
        <v/>
      </c>
      <c r="T824" t="str">
        <f>IF(S824="","",IFERROR(AVERAGEIFS(nNOTA,nNIA,S824,nEVAL,CONFIG_METADATA!$B$4,nASIG,"Lenguaje Musical"),""))</f>
        <v/>
      </c>
      <c r="U824" t="str">
        <f>IF(S824="","",IFERROR(AVERAGEIFS(nNOTA,nNIA,S824,nEVAL,CONFIG_METADATA!$B$4,nASIG,"Coro"),""))</f>
        <v/>
      </c>
      <c r="V824" t="str">
        <f>IF(S824="","",IFERROR(AVERAGEIFS(nNOTA,nNIA,S824,nEVAL,CONFIG_METADATA!$B$4,nASIG,"Conjunto"),""))</f>
        <v/>
      </c>
      <c r="W824" t="str">
        <f>IF(S824="","",IFERROR(AVERAGEIFS(nNOTA,nNIA,S824,nEVAL,CONFIG_METADATA!$B$4,nASIG,"&lt;&gt;Lenguaje Musical",nASIG,"&lt;&gt;Coro",nASIG,"&lt;&gt;Conjunto"),""))</f>
        <v/>
      </c>
    </row>
    <row r="825" spans="2:23" x14ac:dyDescent="0.2">
      <c r="B825" t="str">
        <f>IF(A825="","",IFERROR(AVERAGEIFS(nNOTA,nNIA,A825,nEVAL,CONFIG_METADATA!$B$4,nASIG,"Lenguaje Musical"),""))</f>
        <v/>
      </c>
      <c r="C825" t="str">
        <f>IF(A825="","",IFERROR(AVERAGEIFS(nNOTA,nNIA,A825,nEVAL,CONFIG_METADATA!$B$4,nASIG,"Coro"),""))</f>
        <v/>
      </c>
      <c r="D825" t="str">
        <f>IF(A825="","",IFERROR(AVERAGEIFS(nNOTA,nNIA,A825,nEVAL,CONFIG_METADATA!$B$4,nASIG,"Conjunto"),""))</f>
        <v/>
      </c>
      <c r="E825" t="str">
        <f>IF(A825="","",IFERROR(AVERAGEIFS(nNOTA,nNIA,A825,nEVAL,CONFIG_METADATA!$B$4,nASIG,"&lt;&gt;Lenguaje Musical",nASIG,"&lt;&gt;Coro",nASIG,"&lt;&gt;Conjunto"),""))</f>
        <v/>
      </c>
      <c r="N825" t="str">
        <f>IF(M825="","",IFERROR(AVERAGEIFS(nNOTA,nNIA,M825,nEVAL,CONFIG_METADATA!$B$4,nASIG,"Lenguaje Musical"),""))</f>
        <v/>
      </c>
      <c r="O825" t="str">
        <f>IF(M825="","",IFERROR(AVERAGEIFS(nNOTA,nNIA,M825,nEVAL,CONFIG_METADATA!$B$4,nASIG,"Coro"),""))</f>
        <v/>
      </c>
      <c r="P825" t="str">
        <f>IF(M825="","",IFERROR(AVERAGEIFS(nNOTA,nNIA,M825,nEVAL,CONFIG_METADATA!$B$4,nASIG,"Conjunto"),""))</f>
        <v/>
      </c>
      <c r="Q825" t="str">
        <f>IF(M825="","",IFERROR(AVERAGEIFS(nNOTA,nNIA,M825,nEVAL,CONFIG_METADATA!$B$4,nASIG,"&lt;&gt;Lenguaje Musical",nASIG,"&lt;&gt;Coro",nASIG,"&lt;&gt;Conjunto"),""))</f>
        <v/>
      </c>
      <c r="T825" t="str">
        <f>IF(S825="","",IFERROR(AVERAGEIFS(nNOTA,nNIA,S825,nEVAL,CONFIG_METADATA!$B$4,nASIG,"Lenguaje Musical"),""))</f>
        <v/>
      </c>
      <c r="U825" t="str">
        <f>IF(S825="","",IFERROR(AVERAGEIFS(nNOTA,nNIA,S825,nEVAL,CONFIG_METADATA!$B$4,nASIG,"Coro"),""))</f>
        <v/>
      </c>
      <c r="V825" t="str">
        <f>IF(S825="","",IFERROR(AVERAGEIFS(nNOTA,nNIA,S825,nEVAL,CONFIG_METADATA!$B$4,nASIG,"Conjunto"),""))</f>
        <v/>
      </c>
      <c r="W825" t="str">
        <f>IF(S825="","",IFERROR(AVERAGEIFS(nNOTA,nNIA,S825,nEVAL,CONFIG_METADATA!$B$4,nASIG,"&lt;&gt;Lenguaje Musical",nASIG,"&lt;&gt;Coro",nASIG,"&lt;&gt;Conjunto"),""))</f>
        <v/>
      </c>
    </row>
    <row r="826" spans="2:23" x14ac:dyDescent="0.2">
      <c r="B826" t="str">
        <f>IF(A826="","",IFERROR(AVERAGEIFS(nNOTA,nNIA,A826,nEVAL,CONFIG_METADATA!$B$4,nASIG,"Lenguaje Musical"),""))</f>
        <v/>
      </c>
      <c r="C826" t="str">
        <f>IF(A826="","",IFERROR(AVERAGEIFS(nNOTA,nNIA,A826,nEVAL,CONFIG_METADATA!$B$4,nASIG,"Coro"),""))</f>
        <v/>
      </c>
      <c r="D826" t="str">
        <f>IF(A826="","",IFERROR(AVERAGEIFS(nNOTA,nNIA,A826,nEVAL,CONFIG_METADATA!$B$4,nASIG,"Conjunto"),""))</f>
        <v/>
      </c>
      <c r="E826" t="str">
        <f>IF(A826="","",IFERROR(AVERAGEIFS(nNOTA,nNIA,A826,nEVAL,CONFIG_METADATA!$B$4,nASIG,"&lt;&gt;Lenguaje Musical",nASIG,"&lt;&gt;Coro",nASIG,"&lt;&gt;Conjunto"),""))</f>
        <v/>
      </c>
      <c r="N826" t="str">
        <f>IF(M826="","",IFERROR(AVERAGEIFS(nNOTA,nNIA,M826,nEVAL,CONFIG_METADATA!$B$4,nASIG,"Lenguaje Musical"),""))</f>
        <v/>
      </c>
      <c r="O826" t="str">
        <f>IF(M826="","",IFERROR(AVERAGEIFS(nNOTA,nNIA,M826,nEVAL,CONFIG_METADATA!$B$4,nASIG,"Coro"),""))</f>
        <v/>
      </c>
      <c r="P826" t="str">
        <f>IF(M826="","",IFERROR(AVERAGEIFS(nNOTA,nNIA,M826,nEVAL,CONFIG_METADATA!$B$4,nASIG,"Conjunto"),""))</f>
        <v/>
      </c>
      <c r="Q826" t="str">
        <f>IF(M826="","",IFERROR(AVERAGEIFS(nNOTA,nNIA,M826,nEVAL,CONFIG_METADATA!$B$4,nASIG,"&lt;&gt;Lenguaje Musical",nASIG,"&lt;&gt;Coro",nASIG,"&lt;&gt;Conjunto"),""))</f>
        <v/>
      </c>
      <c r="T826" t="str">
        <f>IF(S826="","",IFERROR(AVERAGEIFS(nNOTA,nNIA,S826,nEVAL,CONFIG_METADATA!$B$4,nASIG,"Lenguaje Musical"),""))</f>
        <v/>
      </c>
      <c r="U826" t="str">
        <f>IF(S826="","",IFERROR(AVERAGEIFS(nNOTA,nNIA,S826,nEVAL,CONFIG_METADATA!$B$4,nASIG,"Coro"),""))</f>
        <v/>
      </c>
      <c r="V826" t="str">
        <f>IF(S826="","",IFERROR(AVERAGEIFS(nNOTA,nNIA,S826,nEVAL,CONFIG_METADATA!$B$4,nASIG,"Conjunto"),""))</f>
        <v/>
      </c>
      <c r="W826" t="str">
        <f>IF(S826="","",IFERROR(AVERAGEIFS(nNOTA,nNIA,S826,nEVAL,CONFIG_METADATA!$B$4,nASIG,"&lt;&gt;Lenguaje Musical",nASIG,"&lt;&gt;Coro",nASIG,"&lt;&gt;Conjunto"),""))</f>
        <v/>
      </c>
    </row>
    <row r="827" spans="2:23" x14ac:dyDescent="0.2">
      <c r="B827" t="str">
        <f>IF(A827="","",IFERROR(AVERAGEIFS(nNOTA,nNIA,A827,nEVAL,CONFIG_METADATA!$B$4,nASIG,"Lenguaje Musical"),""))</f>
        <v/>
      </c>
      <c r="C827" t="str">
        <f>IF(A827="","",IFERROR(AVERAGEIFS(nNOTA,nNIA,A827,nEVAL,CONFIG_METADATA!$B$4,nASIG,"Coro"),""))</f>
        <v/>
      </c>
      <c r="D827" t="str">
        <f>IF(A827="","",IFERROR(AVERAGEIFS(nNOTA,nNIA,A827,nEVAL,CONFIG_METADATA!$B$4,nASIG,"Conjunto"),""))</f>
        <v/>
      </c>
      <c r="E827" t="str">
        <f>IF(A827="","",IFERROR(AVERAGEIFS(nNOTA,nNIA,A827,nEVAL,CONFIG_METADATA!$B$4,nASIG,"&lt;&gt;Lenguaje Musical",nASIG,"&lt;&gt;Coro",nASIG,"&lt;&gt;Conjunto"),""))</f>
        <v/>
      </c>
      <c r="N827" t="str">
        <f>IF(M827="","",IFERROR(AVERAGEIFS(nNOTA,nNIA,M827,nEVAL,CONFIG_METADATA!$B$4,nASIG,"Lenguaje Musical"),""))</f>
        <v/>
      </c>
      <c r="O827" t="str">
        <f>IF(M827="","",IFERROR(AVERAGEIFS(nNOTA,nNIA,M827,nEVAL,CONFIG_METADATA!$B$4,nASIG,"Coro"),""))</f>
        <v/>
      </c>
      <c r="P827" t="str">
        <f>IF(M827="","",IFERROR(AVERAGEIFS(nNOTA,nNIA,M827,nEVAL,CONFIG_METADATA!$B$4,nASIG,"Conjunto"),""))</f>
        <v/>
      </c>
      <c r="Q827" t="str">
        <f>IF(M827="","",IFERROR(AVERAGEIFS(nNOTA,nNIA,M827,nEVAL,CONFIG_METADATA!$B$4,nASIG,"&lt;&gt;Lenguaje Musical",nASIG,"&lt;&gt;Coro",nASIG,"&lt;&gt;Conjunto"),""))</f>
        <v/>
      </c>
      <c r="T827" t="str">
        <f>IF(S827="","",IFERROR(AVERAGEIFS(nNOTA,nNIA,S827,nEVAL,CONFIG_METADATA!$B$4,nASIG,"Lenguaje Musical"),""))</f>
        <v/>
      </c>
      <c r="U827" t="str">
        <f>IF(S827="","",IFERROR(AVERAGEIFS(nNOTA,nNIA,S827,nEVAL,CONFIG_METADATA!$B$4,nASIG,"Coro"),""))</f>
        <v/>
      </c>
      <c r="V827" t="str">
        <f>IF(S827="","",IFERROR(AVERAGEIFS(nNOTA,nNIA,S827,nEVAL,CONFIG_METADATA!$B$4,nASIG,"Conjunto"),""))</f>
        <v/>
      </c>
      <c r="W827" t="str">
        <f>IF(S827="","",IFERROR(AVERAGEIFS(nNOTA,nNIA,S827,nEVAL,CONFIG_METADATA!$B$4,nASIG,"&lt;&gt;Lenguaje Musical",nASIG,"&lt;&gt;Coro",nASIG,"&lt;&gt;Conjunto"),""))</f>
        <v/>
      </c>
    </row>
    <row r="828" spans="2:23" x14ac:dyDescent="0.2">
      <c r="B828" t="str">
        <f>IF(A828="","",IFERROR(AVERAGEIFS(nNOTA,nNIA,A828,nEVAL,CONFIG_METADATA!$B$4,nASIG,"Lenguaje Musical"),""))</f>
        <v/>
      </c>
      <c r="C828" t="str">
        <f>IF(A828="","",IFERROR(AVERAGEIFS(nNOTA,nNIA,A828,nEVAL,CONFIG_METADATA!$B$4,nASIG,"Coro"),""))</f>
        <v/>
      </c>
      <c r="D828" t="str">
        <f>IF(A828="","",IFERROR(AVERAGEIFS(nNOTA,nNIA,A828,nEVAL,CONFIG_METADATA!$B$4,nASIG,"Conjunto"),""))</f>
        <v/>
      </c>
      <c r="E828" t="str">
        <f>IF(A828="","",IFERROR(AVERAGEIFS(nNOTA,nNIA,A828,nEVAL,CONFIG_METADATA!$B$4,nASIG,"&lt;&gt;Lenguaje Musical",nASIG,"&lt;&gt;Coro",nASIG,"&lt;&gt;Conjunto"),""))</f>
        <v/>
      </c>
      <c r="N828" t="str">
        <f>IF(M828="","",IFERROR(AVERAGEIFS(nNOTA,nNIA,M828,nEVAL,CONFIG_METADATA!$B$4,nASIG,"Lenguaje Musical"),""))</f>
        <v/>
      </c>
      <c r="O828" t="str">
        <f>IF(M828="","",IFERROR(AVERAGEIFS(nNOTA,nNIA,M828,nEVAL,CONFIG_METADATA!$B$4,nASIG,"Coro"),""))</f>
        <v/>
      </c>
      <c r="P828" t="str">
        <f>IF(M828="","",IFERROR(AVERAGEIFS(nNOTA,nNIA,M828,nEVAL,CONFIG_METADATA!$B$4,nASIG,"Conjunto"),""))</f>
        <v/>
      </c>
      <c r="Q828" t="str">
        <f>IF(M828="","",IFERROR(AVERAGEIFS(nNOTA,nNIA,M828,nEVAL,CONFIG_METADATA!$B$4,nASIG,"&lt;&gt;Lenguaje Musical",nASIG,"&lt;&gt;Coro",nASIG,"&lt;&gt;Conjunto"),""))</f>
        <v/>
      </c>
      <c r="T828" t="str">
        <f>IF(S828="","",IFERROR(AVERAGEIFS(nNOTA,nNIA,S828,nEVAL,CONFIG_METADATA!$B$4,nASIG,"Lenguaje Musical"),""))</f>
        <v/>
      </c>
      <c r="U828" t="str">
        <f>IF(S828="","",IFERROR(AVERAGEIFS(nNOTA,nNIA,S828,nEVAL,CONFIG_METADATA!$B$4,nASIG,"Coro"),""))</f>
        <v/>
      </c>
      <c r="V828" t="str">
        <f>IF(S828="","",IFERROR(AVERAGEIFS(nNOTA,nNIA,S828,nEVAL,CONFIG_METADATA!$B$4,nASIG,"Conjunto"),""))</f>
        <v/>
      </c>
      <c r="W828" t="str">
        <f>IF(S828="","",IFERROR(AVERAGEIFS(nNOTA,nNIA,S828,nEVAL,CONFIG_METADATA!$B$4,nASIG,"&lt;&gt;Lenguaje Musical",nASIG,"&lt;&gt;Coro",nASIG,"&lt;&gt;Conjunto"),""))</f>
        <v/>
      </c>
    </row>
    <row r="829" spans="2:23" x14ac:dyDescent="0.2">
      <c r="B829" t="str">
        <f>IF(A829="","",IFERROR(AVERAGEIFS(nNOTA,nNIA,A829,nEVAL,CONFIG_METADATA!$B$4,nASIG,"Lenguaje Musical"),""))</f>
        <v/>
      </c>
      <c r="C829" t="str">
        <f>IF(A829="","",IFERROR(AVERAGEIFS(nNOTA,nNIA,A829,nEVAL,CONFIG_METADATA!$B$4,nASIG,"Coro"),""))</f>
        <v/>
      </c>
      <c r="D829" t="str">
        <f>IF(A829="","",IFERROR(AVERAGEIFS(nNOTA,nNIA,A829,nEVAL,CONFIG_METADATA!$B$4,nASIG,"Conjunto"),""))</f>
        <v/>
      </c>
      <c r="E829" t="str">
        <f>IF(A829="","",IFERROR(AVERAGEIFS(nNOTA,nNIA,A829,nEVAL,CONFIG_METADATA!$B$4,nASIG,"&lt;&gt;Lenguaje Musical",nASIG,"&lt;&gt;Coro",nASIG,"&lt;&gt;Conjunto"),""))</f>
        <v/>
      </c>
      <c r="N829" t="str">
        <f>IF(M829="","",IFERROR(AVERAGEIFS(nNOTA,nNIA,M829,nEVAL,CONFIG_METADATA!$B$4,nASIG,"Lenguaje Musical"),""))</f>
        <v/>
      </c>
      <c r="O829" t="str">
        <f>IF(M829="","",IFERROR(AVERAGEIFS(nNOTA,nNIA,M829,nEVAL,CONFIG_METADATA!$B$4,nASIG,"Coro"),""))</f>
        <v/>
      </c>
      <c r="P829" t="str">
        <f>IF(M829="","",IFERROR(AVERAGEIFS(nNOTA,nNIA,M829,nEVAL,CONFIG_METADATA!$B$4,nASIG,"Conjunto"),""))</f>
        <v/>
      </c>
      <c r="Q829" t="str">
        <f>IF(M829="","",IFERROR(AVERAGEIFS(nNOTA,nNIA,M829,nEVAL,CONFIG_METADATA!$B$4,nASIG,"&lt;&gt;Lenguaje Musical",nASIG,"&lt;&gt;Coro",nASIG,"&lt;&gt;Conjunto"),""))</f>
        <v/>
      </c>
      <c r="T829" t="str">
        <f>IF(S829="","",IFERROR(AVERAGEIFS(nNOTA,nNIA,S829,nEVAL,CONFIG_METADATA!$B$4,nASIG,"Lenguaje Musical"),""))</f>
        <v/>
      </c>
      <c r="U829" t="str">
        <f>IF(S829="","",IFERROR(AVERAGEIFS(nNOTA,nNIA,S829,nEVAL,CONFIG_METADATA!$B$4,nASIG,"Coro"),""))</f>
        <v/>
      </c>
      <c r="V829" t="str">
        <f>IF(S829="","",IFERROR(AVERAGEIFS(nNOTA,nNIA,S829,nEVAL,CONFIG_METADATA!$B$4,nASIG,"Conjunto"),""))</f>
        <v/>
      </c>
      <c r="W829" t="str">
        <f>IF(S829="","",IFERROR(AVERAGEIFS(nNOTA,nNIA,S829,nEVAL,CONFIG_METADATA!$B$4,nASIG,"&lt;&gt;Lenguaje Musical",nASIG,"&lt;&gt;Coro",nASIG,"&lt;&gt;Conjunto"),""))</f>
        <v/>
      </c>
    </row>
    <row r="830" spans="2:23" x14ac:dyDescent="0.2">
      <c r="B830" t="str">
        <f>IF(A830="","",IFERROR(AVERAGEIFS(nNOTA,nNIA,A830,nEVAL,CONFIG_METADATA!$B$4,nASIG,"Lenguaje Musical"),""))</f>
        <v/>
      </c>
      <c r="C830" t="str">
        <f>IF(A830="","",IFERROR(AVERAGEIFS(nNOTA,nNIA,A830,nEVAL,CONFIG_METADATA!$B$4,nASIG,"Coro"),""))</f>
        <v/>
      </c>
      <c r="D830" t="str">
        <f>IF(A830="","",IFERROR(AVERAGEIFS(nNOTA,nNIA,A830,nEVAL,CONFIG_METADATA!$B$4,nASIG,"Conjunto"),""))</f>
        <v/>
      </c>
      <c r="E830" t="str">
        <f>IF(A830="","",IFERROR(AVERAGEIFS(nNOTA,nNIA,A830,nEVAL,CONFIG_METADATA!$B$4,nASIG,"&lt;&gt;Lenguaje Musical",nASIG,"&lt;&gt;Coro",nASIG,"&lt;&gt;Conjunto"),""))</f>
        <v/>
      </c>
      <c r="N830" t="str">
        <f>IF(M830="","",IFERROR(AVERAGEIFS(nNOTA,nNIA,M830,nEVAL,CONFIG_METADATA!$B$4,nASIG,"Lenguaje Musical"),""))</f>
        <v/>
      </c>
      <c r="O830" t="str">
        <f>IF(M830="","",IFERROR(AVERAGEIFS(nNOTA,nNIA,M830,nEVAL,CONFIG_METADATA!$B$4,nASIG,"Coro"),""))</f>
        <v/>
      </c>
      <c r="P830" t="str">
        <f>IF(M830="","",IFERROR(AVERAGEIFS(nNOTA,nNIA,M830,nEVAL,CONFIG_METADATA!$B$4,nASIG,"Conjunto"),""))</f>
        <v/>
      </c>
      <c r="Q830" t="str">
        <f>IF(M830="","",IFERROR(AVERAGEIFS(nNOTA,nNIA,M830,nEVAL,CONFIG_METADATA!$B$4,nASIG,"&lt;&gt;Lenguaje Musical",nASIG,"&lt;&gt;Coro",nASIG,"&lt;&gt;Conjunto"),""))</f>
        <v/>
      </c>
      <c r="T830" t="str">
        <f>IF(S830="","",IFERROR(AVERAGEIFS(nNOTA,nNIA,S830,nEVAL,CONFIG_METADATA!$B$4,nASIG,"Lenguaje Musical"),""))</f>
        <v/>
      </c>
      <c r="U830" t="str">
        <f>IF(S830="","",IFERROR(AVERAGEIFS(nNOTA,nNIA,S830,nEVAL,CONFIG_METADATA!$B$4,nASIG,"Coro"),""))</f>
        <v/>
      </c>
      <c r="V830" t="str">
        <f>IF(S830="","",IFERROR(AVERAGEIFS(nNOTA,nNIA,S830,nEVAL,CONFIG_METADATA!$B$4,nASIG,"Conjunto"),""))</f>
        <v/>
      </c>
      <c r="W830" t="str">
        <f>IF(S830="","",IFERROR(AVERAGEIFS(nNOTA,nNIA,S830,nEVAL,CONFIG_METADATA!$B$4,nASIG,"&lt;&gt;Lenguaje Musical",nASIG,"&lt;&gt;Coro",nASIG,"&lt;&gt;Conjunto"),""))</f>
        <v/>
      </c>
    </row>
    <row r="831" spans="2:23" x14ac:dyDescent="0.2">
      <c r="B831" t="str">
        <f>IF(A831="","",IFERROR(AVERAGEIFS(nNOTA,nNIA,A831,nEVAL,CONFIG_METADATA!$B$4,nASIG,"Lenguaje Musical"),""))</f>
        <v/>
      </c>
      <c r="C831" t="str">
        <f>IF(A831="","",IFERROR(AVERAGEIFS(nNOTA,nNIA,A831,nEVAL,CONFIG_METADATA!$B$4,nASIG,"Coro"),""))</f>
        <v/>
      </c>
      <c r="D831" t="str">
        <f>IF(A831="","",IFERROR(AVERAGEIFS(nNOTA,nNIA,A831,nEVAL,CONFIG_METADATA!$B$4,nASIG,"Conjunto"),""))</f>
        <v/>
      </c>
      <c r="E831" t="str">
        <f>IF(A831="","",IFERROR(AVERAGEIFS(nNOTA,nNIA,A831,nEVAL,CONFIG_METADATA!$B$4,nASIG,"&lt;&gt;Lenguaje Musical",nASIG,"&lt;&gt;Coro",nASIG,"&lt;&gt;Conjunto"),""))</f>
        <v/>
      </c>
      <c r="N831" t="str">
        <f>IF(M831="","",IFERROR(AVERAGEIFS(nNOTA,nNIA,M831,nEVAL,CONFIG_METADATA!$B$4,nASIG,"Lenguaje Musical"),""))</f>
        <v/>
      </c>
      <c r="O831" t="str">
        <f>IF(M831="","",IFERROR(AVERAGEIFS(nNOTA,nNIA,M831,nEVAL,CONFIG_METADATA!$B$4,nASIG,"Coro"),""))</f>
        <v/>
      </c>
      <c r="P831" t="str">
        <f>IF(M831="","",IFERROR(AVERAGEIFS(nNOTA,nNIA,M831,nEVAL,CONFIG_METADATA!$B$4,nASIG,"Conjunto"),""))</f>
        <v/>
      </c>
      <c r="Q831" t="str">
        <f>IF(M831="","",IFERROR(AVERAGEIFS(nNOTA,nNIA,M831,nEVAL,CONFIG_METADATA!$B$4,nASIG,"&lt;&gt;Lenguaje Musical",nASIG,"&lt;&gt;Coro",nASIG,"&lt;&gt;Conjunto"),""))</f>
        <v/>
      </c>
      <c r="T831" t="str">
        <f>IF(S831="","",IFERROR(AVERAGEIFS(nNOTA,nNIA,S831,nEVAL,CONFIG_METADATA!$B$4,nASIG,"Lenguaje Musical"),""))</f>
        <v/>
      </c>
      <c r="U831" t="str">
        <f>IF(S831="","",IFERROR(AVERAGEIFS(nNOTA,nNIA,S831,nEVAL,CONFIG_METADATA!$B$4,nASIG,"Coro"),""))</f>
        <v/>
      </c>
      <c r="V831" t="str">
        <f>IF(S831="","",IFERROR(AVERAGEIFS(nNOTA,nNIA,S831,nEVAL,CONFIG_METADATA!$B$4,nASIG,"Conjunto"),""))</f>
        <v/>
      </c>
      <c r="W831" t="str">
        <f>IF(S831="","",IFERROR(AVERAGEIFS(nNOTA,nNIA,S831,nEVAL,CONFIG_METADATA!$B$4,nASIG,"&lt;&gt;Lenguaje Musical",nASIG,"&lt;&gt;Coro",nASIG,"&lt;&gt;Conjunto"),""))</f>
        <v/>
      </c>
    </row>
    <row r="832" spans="2:23" x14ac:dyDescent="0.2">
      <c r="B832" t="str">
        <f>IF(A832="","",IFERROR(AVERAGEIFS(nNOTA,nNIA,A832,nEVAL,CONFIG_METADATA!$B$4,nASIG,"Lenguaje Musical"),""))</f>
        <v/>
      </c>
      <c r="C832" t="str">
        <f>IF(A832="","",IFERROR(AVERAGEIFS(nNOTA,nNIA,A832,nEVAL,CONFIG_METADATA!$B$4,nASIG,"Coro"),""))</f>
        <v/>
      </c>
      <c r="D832" t="str">
        <f>IF(A832="","",IFERROR(AVERAGEIFS(nNOTA,nNIA,A832,nEVAL,CONFIG_METADATA!$B$4,nASIG,"Conjunto"),""))</f>
        <v/>
      </c>
      <c r="E832" t="str">
        <f>IF(A832="","",IFERROR(AVERAGEIFS(nNOTA,nNIA,A832,nEVAL,CONFIG_METADATA!$B$4,nASIG,"&lt;&gt;Lenguaje Musical",nASIG,"&lt;&gt;Coro",nASIG,"&lt;&gt;Conjunto"),""))</f>
        <v/>
      </c>
      <c r="N832" t="str">
        <f>IF(M832="","",IFERROR(AVERAGEIFS(nNOTA,nNIA,M832,nEVAL,CONFIG_METADATA!$B$4,nASIG,"Lenguaje Musical"),""))</f>
        <v/>
      </c>
      <c r="O832" t="str">
        <f>IF(M832="","",IFERROR(AVERAGEIFS(nNOTA,nNIA,M832,nEVAL,CONFIG_METADATA!$B$4,nASIG,"Coro"),""))</f>
        <v/>
      </c>
      <c r="P832" t="str">
        <f>IF(M832="","",IFERROR(AVERAGEIFS(nNOTA,nNIA,M832,nEVAL,CONFIG_METADATA!$B$4,nASIG,"Conjunto"),""))</f>
        <v/>
      </c>
      <c r="Q832" t="str">
        <f>IF(M832="","",IFERROR(AVERAGEIFS(nNOTA,nNIA,M832,nEVAL,CONFIG_METADATA!$B$4,nASIG,"&lt;&gt;Lenguaje Musical",nASIG,"&lt;&gt;Coro",nASIG,"&lt;&gt;Conjunto"),""))</f>
        <v/>
      </c>
      <c r="T832" t="str">
        <f>IF(S832="","",IFERROR(AVERAGEIFS(nNOTA,nNIA,S832,nEVAL,CONFIG_METADATA!$B$4,nASIG,"Lenguaje Musical"),""))</f>
        <v/>
      </c>
      <c r="U832" t="str">
        <f>IF(S832="","",IFERROR(AVERAGEIFS(nNOTA,nNIA,S832,nEVAL,CONFIG_METADATA!$B$4,nASIG,"Coro"),""))</f>
        <v/>
      </c>
      <c r="V832" t="str">
        <f>IF(S832="","",IFERROR(AVERAGEIFS(nNOTA,nNIA,S832,nEVAL,CONFIG_METADATA!$B$4,nASIG,"Conjunto"),""))</f>
        <v/>
      </c>
      <c r="W832" t="str">
        <f>IF(S832="","",IFERROR(AVERAGEIFS(nNOTA,nNIA,S832,nEVAL,CONFIG_METADATA!$B$4,nASIG,"&lt;&gt;Lenguaje Musical",nASIG,"&lt;&gt;Coro",nASIG,"&lt;&gt;Conjunto"),""))</f>
        <v/>
      </c>
    </row>
    <row r="833" spans="2:23" x14ac:dyDescent="0.2">
      <c r="B833" t="str">
        <f>IF(A833="","",IFERROR(AVERAGEIFS(nNOTA,nNIA,A833,nEVAL,CONFIG_METADATA!$B$4,nASIG,"Lenguaje Musical"),""))</f>
        <v/>
      </c>
      <c r="C833" t="str">
        <f>IF(A833="","",IFERROR(AVERAGEIFS(nNOTA,nNIA,A833,nEVAL,CONFIG_METADATA!$B$4,nASIG,"Coro"),""))</f>
        <v/>
      </c>
      <c r="D833" t="str">
        <f>IF(A833="","",IFERROR(AVERAGEIFS(nNOTA,nNIA,A833,nEVAL,CONFIG_METADATA!$B$4,nASIG,"Conjunto"),""))</f>
        <v/>
      </c>
      <c r="E833" t="str">
        <f>IF(A833="","",IFERROR(AVERAGEIFS(nNOTA,nNIA,A833,nEVAL,CONFIG_METADATA!$B$4,nASIG,"&lt;&gt;Lenguaje Musical",nASIG,"&lt;&gt;Coro",nASIG,"&lt;&gt;Conjunto"),""))</f>
        <v/>
      </c>
      <c r="N833" t="str">
        <f>IF(M833="","",IFERROR(AVERAGEIFS(nNOTA,nNIA,M833,nEVAL,CONFIG_METADATA!$B$4,nASIG,"Lenguaje Musical"),""))</f>
        <v/>
      </c>
      <c r="O833" t="str">
        <f>IF(M833="","",IFERROR(AVERAGEIFS(nNOTA,nNIA,M833,nEVAL,CONFIG_METADATA!$B$4,nASIG,"Coro"),""))</f>
        <v/>
      </c>
      <c r="P833" t="str">
        <f>IF(M833="","",IFERROR(AVERAGEIFS(nNOTA,nNIA,M833,nEVAL,CONFIG_METADATA!$B$4,nASIG,"Conjunto"),""))</f>
        <v/>
      </c>
      <c r="Q833" t="str">
        <f>IF(M833="","",IFERROR(AVERAGEIFS(nNOTA,nNIA,M833,nEVAL,CONFIG_METADATA!$B$4,nASIG,"&lt;&gt;Lenguaje Musical",nASIG,"&lt;&gt;Coro",nASIG,"&lt;&gt;Conjunto"),""))</f>
        <v/>
      </c>
      <c r="T833" t="str">
        <f>IF(S833="","",IFERROR(AVERAGEIFS(nNOTA,nNIA,S833,nEVAL,CONFIG_METADATA!$B$4,nASIG,"Lenguaje Musical"),""))</f>
        <v/>
      </c>
      <c r="U833" t="str">
        <f>IF(S833="","",IFERROR(AVERAGEIFS(nNOTA,nNIA,S833,nEVAL,CONFIG_METADATA!$B$4,nASIG,"Coro"),""))</f>
        <v/>
      </c>
      <c r="V833" t="str">
        <f>IF(S833="","",IFERROR(AVERAGEIFS(nNOTA,nNIA,S833,nEVAL,CONFIG_METADATA!$B$4,nASIG,"Conjunto"),""))</f>
        <v/>
      </c>
      <c r="W833" t="str">
        <f>IF(S833="","",IFERROR(AVERAGEIFS(nNOTA,nNIA,S833,nEVAL,CONFIG_METADATA!$B$4,nASIG,"&lt;&gt;Lenguaje Musical",nASIG,"&lt;&gt;Coro",nASIG,"&lt;&gt;Conjunto"),""))</f>
        <v/>
      </c>
    </row>
    <row r="834" spans="2:23" x14ac:dyDescent="0.2">
      <c r="B834" t="str">
        <f>IF(A834="","",IFERROR(AVERAGEIFS(nNOTA,nNIA,A834,nEVAL,CONFIG_METADATA!$B$4,nASIG,"Lenguaje Musical"),""))</f>
        <v/>
      </c>
      <c r="C834" t="str">
        <f>IF(A834="","",IFERROR(AVERAGEIFS(nNOTA,nNIA,A834,nEVAL,CONFIG_METADATA!$B$4,nASIG,"Coro"),""))</f>
        <v/>
      </c>
      <c r="D834" t="str">
        <f>IF(A834="","",IFERROR(AVERAGEIFS(nNOTA,nNIA,A834,nEVAL,CONFIG_METADATA!$B$4,nASIG,"Conjunto"),""))</f>
        <v/>
      </c>
      <c r="E834" t="str">
        <f>IF(A834="","",IFERROR(AVERAGEIFS(nNOTA,nNIA,A834,nEVAL,CONFIG_METADATA!$B$4,nASIG,"&lt;&gt;Lenguaje Musical",nASIG,"&lt;&gt;Coro",nASIG,"&lt;&gt;Conjunto"),""))</f>
        <v/>
      </c>
      <c r="N834" t="str">
        <f>IF(M834="","",IFERROR(AVERAGEIFS(nNOTA,nNIA,M834,nEVAL,CONFIG_METADATA!$B$4,nASIG,"Lenguaje Musical"),""))</f>
        <v/>
      </c>
      <c r="O834" t="str">
        <f>IF(M834="","",IFERROR(AVERAGEIFS(nNOTA,nNIA,M834,nEVAL,CONFIG_METADATA!$B$4,nASIG,"Coro"),""))</f>
        <v/>
      </c>
      <c r="P834" t="str">
        <f>IF(M834="","",IFERROR(AVERAGEIFS(nNOTA,nNIA,M834,nEVAL,CONFIG_METADATA!$B$4,nASIG,"Conjunto"),""))</f>
        <v/>
      </c>
      <c r="Q834" t="str">
        <f>IF(M834="","",IFERROR(AVERAGEIFS(nNOTA,nNIA,M834,nEVAL,CONFIG_METADATA!$B$4,nASIG,"&lt;&gt;Lenguaje Musical",nASIG,"&lt;&gt;Coro",nASIG,"&lt;&gt;Conjunto"),""))</f>
        <v/>
      </c>
      <c r="T834" t="str">
        <f>IF(S834="","",IFERROR(AVERAGEIFS(nNOTA,nNIA,S834,nEVAL,CONFIG_METADATA!$B$4,nASIG,"Lenguaje Musical"),""))</f>
        <v/>
      </c>
      <c r="U834" t="str">
        <f>IF(S834="","",IFERROR(AVERAGEIFS(nNOTA,nNIA,S834,nEVAL,CONFIG_METADATA!$B$4,nASIG,"Coro"),""))</f>
        <v/>
      </c>
      <c r="V834" t="str">
        <f>IF(S834="","",IFERROR(AVERAGEIFS(nNOTA,nNIA,S834,nEVAL,CONFIG_METADATA!$B$4,nASIG,"Conjunto"),""))</f>
        <v/>
      </c>
      <c r="W834" t="str">
        <f>IF(S834="","",IFERROR(AVERAGEIFS(nNOTA,nNIA,S834,nEVAL,CONFIG_METADATA!$B$4,nASIG,"&lt;&gt;Lenguaje Musical",nASIG,"&lt;&gt;Coro",nASIG,"&lt;&gt;Conjunto"),""))</f>
        <v/>
      </c>
    </row>
    <row r="835" spans="2:23" x14ac:dyDescent="0.2">
      <c r="B835" t="str">
        <f>IF(A835="","",IFERROR(AVERAGEIFS(nNOTA,nNIA,A835,nEVAL,CONFIG_METADATA!$B$4,nASIG,"Lenguaje Musical"),""))</f>
        <v/>
      </c>
      <c r="C835" t="str">
        <f>IF(A835="","",IFERROR(AVERAGEIFS(nNOTA,nNIA,A835,nEVAL,CONFIG_METADATA!$B$4,nASIG,"Coro"),""))</f>
        <v/>
      </c>
      <c r="D835" t="str">
        <f>IF(A835="","",IFERROR(AVERAGEIFS(nNOTA,nNIA,A835,nEVAL,CONFIG_METADATA!$B$4,nASIG,"Conjunto"),""))</f>
        <v/>
      </c>
      <c r="E835" t="str">
        <f>IF(A835="","",IFERROR(AVERAGEIFS(nNOTA,nNIA,A835,nEVAL,CONFIG_METADATA!$B$4,nASIG,"&lt;&gt;Lenguaje Musical",nASIG,"&lt;&gt;Coro",nASIG,"&lt;&gt;Conjunto"),""))</f>
        <v/>
      </c>
      <c r="N835" t="str">
        <f>IF(M835="","",IFERROR(AVERAGEIFS(nNOTA,nNIA,M835,nEVAL,CONFIG_METADATA!$B$4,nASIG,"Lenguaje Musical"),""))</f>
        <v/>
      </c>
      <c r="O835" t="str">
        <f>IF(M835="","",IFERROR(AVERAGEIFS(nNOTA,nNIA,M835,nEVAL,CONFIG_METADATA!$B$4,nASIG,"Coro"),""))</f>
        <v/>
      </c>
      <c r="P835" t="str">
        <f>IF(M835="","",IFERROR(AVERAGEIFS(nNOTA,nNIA,M835,nEVAL,CONFIG_METADATA!$B$4,nASIG,"Conjunto"),""))</f>
        <v/>
      </c>
      <c r="Q835" t="str">
        <f>IF(M835="","",IFERROR(AVERAGEIFS(nNOTA,nNIA,M835,nEVAL,CONFIG_METADATA!$B$4,nASIG,"&lt;&gt;Lenguaje Musical",nASIG,"&lt;&gt;Coro",nASIG,"&lt;&gt;Conjunto"),""))</f>
        <v/>
      </c>
      <c r="T835" t="str">
        <f>IF(S835="","",IFERROR(AVERAGEIFS(nNOTA,nNIA,S835,nEVAL,CONFIG_METADATA!$B$4,nASIG,"Lenguaje Musical"),""))</f>
        <v/>
      </c>
      <c r="U835" t="str">
        <f>IF(S835="","",IFERROR(AVERAGEIFS(nNOTA,nNIA,S835,nEVAL,CONFIG_METADATA!$B$4,nASIG,"Coro"),""))</f>
        <v/>
      </c>
      <c r="V835" t="str">
        <f>IF(S835="","",IFERROR(AVERAGEIFS(nNOTA,nNIA,S835,nEVAL,CONFIG_METADATA!$B$4,nASIG,"Conjunto"),""))</f>
        <v/>
      </c>
      <c r="W835" t="str">
        <f>IF(S835="","",IFERROR(AVERAGEIFS(nNOTA,nNIA,S835,nEVAL,CONFIG_METADATA!$B$4,nASIG,"&lt;&gt;Lenguaje Musical",nASIG,"&lt;&gt;Coro",nASIG,"&lt;&gt;Conjunto"),""))</f>
        <v/>
      </c>
    </row>
    <row r="836" spans="2:23" x14ac:dyDescent="0.2">
      <c r="B836" t="str">
        <f>IF(A836="","",IFERROR(AVERAGEIFS(nNOTA,nNIA,A836,nEVAL,CONFIG_METADATA!$B$4,nASIG,"Lenguaje Musical"),""))</f>
        <v/>
      </c>
      <c r="C836" t="str">
        <f>IF(A836="","",IFERROR(AVERAGEIFS(nNOTA,nNIA,A836,nEVAL,CONFIG_METADATA!$B$4,nASIG,"Coro"),""))</f>
        <v/>
      </c>
      <c r="D836" t="str">
        <f>IF(A836="","",IFERROR(AVERAGEIFS(nNOTA,nNIA,A836,nEVAL,CONFIG_METADATA!$B$4,nASIG,"Conjunto"),""))</f>
        <v/>
      </c>
      <c r="E836" t="str">
        <f>IF(A836="","",IFERROR(AVERAGEIFS(nNOTA,nNIA,A836,nEVAL,CONFIG_METADATA!$B$4,nASIG,"&lt;&gt;Lenguaje Musical",nASIG,"&lt;&gt;Coro",nASIG,"&lt;&gt;Conjunto"),""))</f>
        <v/>
      </c>
      <c r="N836" t="str">
        <f>IF(M836="","",IFERROR(AVERAGEIFS(nNOTA,nNIA,M836,nEVAL,CONFIG_METADATA!$B$4,nASIG,"Lenguaje Musical"),""))</f>
        <v/>
      </c>
      <c r="O836" t="str">
        <f>IF(M836="","",IFERROR(AVERAGEIFS(nNOTA,nNIA,M836,nEVAL,CONFIG_METADATA!$B$4,nASIG,"Coro"),""))</f>
        <v/>
      </c>
      <c r="P836" t="str">
        <f>IF(M836="","",IFERROR(AVERAGEIFS(nNOTA,nNIA,M836,nEVAL,CONFIG_METADATA!$B$4,nASIG,"Conjunto"),""))</f>
        <v/>
      </c>
      <c r="Q836" t="str">
        <f>IF(M836="","",IFERROR(AVERAGEIFS(nNOTA,nNIA,M836,nEVAL,CONFIG_METADATA!$B$4,nASIG,"&lt;&gt;Lenguaje Musical",nASIG,"&lt;&gt;Coro",nASIG,"&lt;&gt;Conjunto"),""))</f>
        <v/>
      </c>
      <c r="T836" t="str">
        <f>IF(S836="","",IFERROR(AVERAGEIFS(nNOTA,nNIA,S836,nEVAL,CONFIG_METADATA!$B$4,nASIG,"Lenguaje Musical"),""))</f>
        <v/>
      </c>
      <c r="U836" t="str">
        <f>IF(S836="","",IFERROR(AVERAGEIFS(nNOTA,nNIA,S836,nEVAL,CONFIG_METADATA!$B$4,nASIG,"Coro"),""))</f>
        <v/>
      </c>
      <c r="V836" t="str">
        <f>IF(S836="","",IFERROR(AVERAGEIFS(nNOTA,nNIA,S836,nEVAL,CONFIG_METADATA!$B$4,nASIG,"Conjunto"),""))</f>
        <v/>
      </c>
      <c r="W836" t="str">
        <f>IF(S836="","",IFERROR(AVERAGEIFS(nNOTA,nNIA,S836,nEVAL,CONFIG_METADATA!$B$4,nASIG,"&lt;&gt;Lenguaje Musical",nASIG,"&lt;&gt;Coro",nASIG,"&lt;&gt;Conjunto"),""))</f>
        <v/>
      </c>
    </row>
    <row r="837" spans="2:23" x14ac:dyDescent="0.2">
      <c r="B837" t="str">
        <f>IF(A837="","",IFERROR(AVERAGEIFS(nNOTA,nNIA,A837,nEVAL,CONFIG_METADATA!$B$4,nASIG,"Lenguaje Musical"),""))</f>
        <v/>
      </c>
      <c r="C837" t="str">
        <f>IF(A837="","",IFERROR(AVERAGEIFS(nNOTA,nNIA,A837,nEVAL,CONFIG_METADATA!$B$4,nASIG,"Coro"),""))</f>
        <v/>
      </c>
      <c r="D837" t="str">
        <f>IF(A837="","",IFERROR(AVERAGEIFS(nNOTA,nNIA,A837,nEVAL,CONFIG_METADATA!$B$4,nASIG,"Conjunto"),""))</f>
        <v/>
      </c>
      <c r="E837" t="str">
        <f>IF(A837="","",IFERROR(AVERAGEIFS(nNOTA,nNIA,A837,nEVAL,CONFIG_METADATA!$B$4,nASIG,"&lt;&gt;Lenguaje Musical",nASIG,"&lt;&gt;Coro",nASIG,"&lt;&gt;Conjunto"),""))</f>
        <v/>
      </c>
      <c r="N837" t="str">
        <f>IF(M837="","",IFERROR(AVERAGEIFS(nNOTA,nNIA,M837,nEVAL,CONFIG_METADATA!$B$4,nASIG,"Lenguaje Musical"),""))</f>
        <v/>
      </c>
      <c r="O837" t="str">
        <f>IF(M837="","",IFERROR(AVERAGEIFS(nNOTA,nNIA,M837,nEVAL,CONFIG_METADATA!$B$4,nASIG,"Coro"),""))</f>
        <v/>
      </c>
      <c r="P837" t="str">
        <f>IF(M837="","",IFERROR(AVERAGEIFS(nNOTA,nNIA,M837,nEVAL,CONFIG_METADATA!$B$4,nASIG,"Conjunto"),""))</f>
        <v/>
      </c>
      <c r="Q837" t="str">
        <f>IF(M837="","",IFERROR(AVERAGEIFS(nNOTA,nNIA,M837,nEVAL,CONFIG_METADATA!$B$4,nASIG,"&lt;&gt;Lenguaje Musical",nASIG,"&lt;&gt;Coro",nASIG,"&lt;&gt;Conjunto"),""))</f>
        <v/>
      </c>
      <c r="T837" t="str">
        <f>IF(S837="","",IFERROR(AVERAGEIFS(nNOTA,nNIA,S837,nEVAL,CONFIG_METADATA!$B$4,nASIG,"Lenguaje Musical"),""))</f>
        <v/>
      </c>
      <c r="U837" t="str">
        <f>IF(S837="","",IFERROR(AVERAGEIFS(nNOTA,nNIA,S837,nEVAL,CONFIG_METADATA!$B$4,nASIG,"Coro"),""))</f>
        <v/>
      </c>
      <c r="V837" t="str">
        <f>IF(S837="","",IFERROR(AVERAGEIFS(nNOTA,nNIA,S837,nEVAL,CONFIG_METADATA!$B$4,nASIG,"Conjunto"),""))</f>
        <v/>
      </c>
      <c r="W837" t="str">
        <f>IF(S837="","",IFERROR(AVERAGEIFS(nNOTA,nNIA,S837,nEVAL,CONFIG_METADATA!$B$4,nASIG,"&lt;&gt;Lenguaje Musical",nASIG,"&lt;&gt;Coro",nASIG,"&lt;&gt;Conjunto"),""))</f>
        <v/>
      </c>
    </row>
    <row r="838" spans="2:23" x14ac:dyDescent="0.2">
      <c r="B838" t="str">
        <f>IF(A838="","",IFERROR(AVERAGEIFS(nNOTA,nNIA,A838,nEVAL,CONFIG_METADATA!$B$4,nASIG,"Lenguaje Musical"),""))</f>
        <v/>
      </c>
      <c r="C838" t="str">
        <f>IF(A838="","",IFERROR(AVERAGEIFS(nNOTA,nNIA,A838,nEVAL,CONFIG_METADATA!$B$4,nASIG,"Coro"),""))</f>
        <v/>
      </c>
      <c r="D838" t="str">
        <f>IF(A838="","",IFERROR(AVERAGEIFS(nNOTA,nNIA,A838,nEVAL,CONFIG_METADATA!$B$4,nASIG,"Conjunto"),""))</f>
        <v/>
      </c>
      <c r="E838" t="str">
        <f>IF(A838="","",IFERROR(AVERAGEIFS(nNOTA,nNIA,A838,nEVAL,CONFIG_METADATA!$B$4,nASIG,"&lt;&gt;Lenguaje Musical",nASIG,"&lt;&gt;Coro",nASIG,"&lt;&gt;Conjunto"),""))</f>
        <v/>
      </c>
      <c r="N838" t="str">
        <f>IF(M838="","",IFERROR(AVERAGEIFS(nNOTA,nNIA,M838,nEVAL,CONFIG_METADATA!$B$4,nASIG,"Lenguaje Musical"),""))</f>
        <v/>
      </c>
      <c r="O838" t="str">
        <f>IF(M838="","",IFERROR(AVERAGEIFS(nNOTA,nNIA,M838,nEVAL,CONFIG_METADATA!$B$4,nASIG,"Coro"),""))</f>
        <v/>
      </c>
      <c r="P838" t="str">
        <f>IF(M838="","",IFERROR(AVERAGEIFS(nNOTA,nNIA,M838,nEVAL,CONFIG_METADATA!$B$4,nASIG,"Conjunto"),""))</f>
        <v/>
      </c>
      <c r="Q838" t="str">
        <f>IF(M838="","",IFERROR(AVERAGEIFS(nNOTA,nNIA,M838,nEVAL,CONFIG_METADATA!$B$4,nASIG,"&lt;&gt;Lenguaje Musical",nASIG,"&lt;&gt;Coro",nASIG,"&lt;&gt;Conjunto"),""))</f>
        <v/>
      </c>
      <c r="T838" t="str">
        <f>IF(S838="","",IFERROR(AVERAGEIFS(nNOTA,nNIA,S838,nEVAL,CONFIG_METADATA!$B$4,nASIG,"Lenguaje Musical"),""))</f>
        <v/>
      </c>
      <c r="U838" t="str">
        <f>IF(S838="","",IFERROR(AVERAGEIFS(nNOTA,nNIA,S838,nEVAL,CONFIG_METADATA!$B$4,nASIG,"Coro"),""))</f>
        <v/>
      </c>
      <c r="V838" t="str">
        <f>IF(S838="","",IFERROR(AVERAGEIFS(nNOTA,nNIA,S838,nEVAL,CONFIG_METADATA!$B$4,nASIG,"Conjunto"),""))</f>
        <v/>
      </c>
      <c r="W838" t="str">
        <f>IF(S838="","",IFERROR(AVERAGEIFS(nNOTA,nNIA,S838,nEVAL,CONFIG_METADATA!$B$4,nASIG,"&lt;&gt;Lenguaje Musical",nASIG,"&lt;&gt;Coro",nASIG,"&lt;&gt;Conjunto"),""))</f>
        <v/>
      </c>
    </row>
    <row r="839" spans="2:23" x14ac:dyDescent="0.2">
      <c r="B839" t="str">
        <f>IF(A839="","",IFERROR(AVERAGEIFS(nNOTA,nNIA,A839,nEVAL,CONFIG_METADATA!$B$4,nASIG,"Lenguaje Musical"),""))</f>
        <v/>
      </c>
      <c r="C839" t="str">
        <f>IF(A839="","",IFERROR(AVERAGEIFS(nNOTA,nNIA,A839,nEVAL,CONFIG_METADATA!$B$4,nASIG,"Coro"),""))</f>
        <v/>
      </c>
      <c r="D839" t="str">
        <f>IF(A839="","",IFERROR(AVERAGEIFS(nNOTA,nNIA,A839,nEVAL,CONFIG_METADATA!$B$4,nASIG,"Conjunto"),""))</f>
        <v/>
      </c>
      <c r="E839" t="str">
        <f>IF(A839="","",IFERROR(AVERAGEIFS(nNOTA,nNIA,A839,nEVAL,CONFIG_METADATA!$B$4,nASIG,"&lt;&gt;Lenguaje Musical",nASIG,"&lt;&gt;Coro",nASIG,"&lt;&gt;Conjunto"),""))</f>
        <v/>
      </c>
      <c r="N839" t="str">
        <f>IF(M839="","",IFERROR(AVERAGEIFS(nNOTA,nNIA,M839,nEVAL,CONFIG_METADATA!$B$4,nASIG,"Lenguaje Musical"),""))</f>
        <v/>
      </c>
      <c r="O839" t="str">
        <f>IF(M839="","",IFERROR(AVERAGEIFS(nNOTA,nNIA,M839,nEVAL,CONFIG_METADATA!$B$4,nASIG,"Coro"),""))</f>
        <v/>
      </c>
      <c r="P839" t="str">
        <f>IF(M839="","",IFERROR(AVERAGEIFS(nNOTA,nNIA,M839,nEVAL,CONFIG_METADATA!$B$4,nASIG,"Conjunto"),""))</f>
        <v/>
      </c>
      <c r="Q839" t="str">
        <f>IF(M839="","",IFERROR(AVERAGEIFS(nNOTA,nNIA,M839,nEVAL,CONFIG_METADATA!$B$4,nASIG,"&lt;&gt;Lenguaje Musical",nASIG,"&lt;&gt;Coro",nASIG,"&lt;&gt;Conjunto"),""))</f>
        <v/>
      </c>
      <c r="T839" t="str">
        <f>IF(S839="","",IFERROR(AVERAGEIFS(nNOTA,nNIA,S839,nEVAL,CONFIG_METADATA!$B$4,nASIG,"Lenguaje Musical"),""))</f>
        <v/>
      </c>
      <c r="U839" t="str">
        <f>IF(S839="","",IFERROR(AVERAGEIFS(nNOTA,nNIA,S839,nEVAL,CONFIG_METADATA!$B$4,nASIG,"Coro"),""))</f>
        <v/>
      </c>
      <c r="V839" t="str">
        <f>IF(S839="","",IFERROR(AVERAGEIFS(nNOTA,nNIA,S839,nEVAL,CONFIG_METADATA!$B$4,nASIG,"Conjunto"),""))</f>
        <v/>
      </c>
      <c r="W839" t="str">
        <f>IF(S839="","",IFERROR(AVERAGEIFS(nNOTA,nNIA,S839,nEVAL,CONFIG_METADATA!$B$4,nASIG,"&lt;&gt;Lenguaje Musical",nASIG,"&lt;&gt;Coro",nASIG,"&lt;&gt;Conjunto"),""))</f>
        <v/>
      </c>
    </row>
    <row r="840" spans="2:23" x14ac:dyDescent="0.2">
      <c r="B840" t="str">
        <f>IF(A840="","",IFERROR(AVERAGEIFS(nNOTA,nNIA,A840,nEVAL,CONFIG_METADATA!$B$4,nASIG,"Lenguaje Musical"),""))</f>
        <v/>
      </c>
      <c r="C840" t="str">
        <f>IF(A840="","",IFERROR(AVERAGEIFS(nNOTA,nNIA,A840,nEVAL,CONFIG_METADATA!$B$4,nASIG,"Coro"),""))</f>
        <v/>
      </c>
      <c r="D840" t="str">
        <f>IF(A840="","",IFERROR(AVERAGEIFS(nNOTA,nNIA,A840,nEVAL,CONFIG_METADATA!$B$4,nASIG,"Conjunto"),""))</f>
        <v/>
      </c>
      <c r="E840" t="str">
        <f>IF(A840="","",IFERROR(AVERAGEIFS(nNOTA,nNIA,A840,nEVAL,CONFIG_METADATA!$B$4,nASIG,"&lt;&gt;Lenguaje Musical",nASIG,"&lt;&gt;Coro",nASIG,"&lt;&gt;Conjunto"),""))</f>
        <v/>
      </c>
      <c r="N840" t="str">
        <f>IF(M840="","",IFERROR(AVERAGEIFS(nNOTA,nNIA,M840,nEVAL,CONFIG_METADATA!$B$4,nASIG,"Lenguaje Musical"),""))</f>
        <v/>
      </c>
      <c r="O840" t="str">
        <f>IF(M840="","",IFERROR(AVERAGEIFS(nNOTA,nNIA,M840,nEVAL,CONFIG_METADATA!$B$4,nASIG,"Coro"),""))</f>
        <v/>
      </c>
      <c r="P840" t="str">
        <f>IF(M840="","",IFERROR(AVERAGEIFS(nNOTA,nNIA,M840,nEVAL,CONFIG_METADATA!$B$4,nASIG,"Conjunto"),""))</f>
        <v/>
      </c>
      <c r="Q840" t="str">
        <f>IF(M840="","",IFERROR(AVERAGEIFS(nNOTA,nNIA,M840,nEVAL,CONFIG_METADATA!$B$4,nASIG,"&lt;&gt;Lenguaje Musical",nASIG,"&lt;&gt;Coro",nASIG,"&lt;&gt;Conjunto"),""))</f>
        <v/>
      </c>
      <c r="T840" t="str">
        <f>IF(S840="","",IFERROR(AVERAGEIFS(nNOTA,nNIA,S840,nEVAL,CONFIG_METADATA!$B$4,nASIG,"Lenguaje Musical"),""))</f>
        <v/>
      </c>
      <c r="U840" t="str">
        <f>IF(S840="","",IFERROR(AVERAGEIFS(nNOTA,nNIA,S840,nEVAL,CONFIG_METADATA!$B$4,nASIG,"Coro"),""))</f>
        <v/>
      </c>
      <c r="V840" t="str">
        <f>IF(S840="","",IFERROR(AVERAGEIFS(nNOTA,nNIA,S840,nEVAL,CONFIG_METADATA!$B$4,nASIG,"Conjunto"),""))</f>
        <v/>
      </c>
      <c r="W840" t="str">
        <f>IF(S840="","",IFERROR(AVERAGEIFS(nNOTA,nNIA,S840,nEVAL,CONFIG_METADATA!$B$4,nASIG,"&lt;&gt;Lenguaje Musical",nASIG,"&lt;&gt;Coro",nASIG,"&lt;&gt;Conjunto"),""))</f>
        <v/>
      </c>
    </row>
    <row r="841" spans="2:23" x14ac:dyDescent="0.2">
      <c r="B841" t="str">
        <f>IF(A841="","",IFERROR(AVERAGEIFS(nNOTA,nNIA,A841,nEVAL,CONFIG_METADATA!$B$4,nASIG,"Lenguaje Musical"),""))</f>
        <v/>
      </c>
      <c r="C841" t="str">
        <f>IF(A841="","",IFERROR(AVERAGEIFS(nNOTA,nNIA,A841,nEVAL,CONFIG_METADATA!$B$4,nASIG,"Coro"),""))</f>
        <v/>
      </c>
      <c r="D841" t="str">
        <f>IF(A841="","",IFERROR(AVERAGEIFS(nNOTA,nNIA,A841,nEVAL,CONFIG_METADATA!$B$4,nASIG,"Conjunto"),""))</f>
        <v/>
      </c>
      <c r="E841" t="str">
        <f>IF(A841="","",IFERROR(AVERAGEIFS(nNOTA,nNIA,A841,nEVAL,CONFIG_METADATA!$B$4,nASIG,"&lt;&gt;Lenguaje Musical",nASIG,"&lt;&gt;Coro",nASIG,"&lt;&gt;Conjunto"),""))</f>
        <v/>
      </c>
      <c r="N841" t="str">
        <f>IF(M841="","",IFERROR(AVERAGEIFS(nNOTA,nNIA,M841,nEVAL,CONFIG_METADATA!$B$4,nASIG,"Lenguaje Musical"),""))</f>
        <v/>
      </c>
      <c r="O841" t="str">
        <f>IF(M841="","",IFERROR(AVERAGEIFS(nNOTA,nNIA,M841,nEVAL,CONFIG_METADATA!$B$4,nASIG,"Coro"),""))</f>
        <v/>
      </c>
      <c r="P841" t="str">
        <f>IF(M841="","",IFERROR(AVERAGEIFS(nNOTA,nNIA,M841,nEVAL,CONFIG_METADATA!$B$4,nASIG,"Conjunto"),""))</f>
        <v/>
      </c>
      <c r="Q841" t="str">
        <f>IF(M841="","",IFERROR(AVERAGEIFS(nNOTA,nNIA,M841,nEVAL,CONFIG_METADATA!$B$4,nASIG,"&lt;&gt;Lenguaje Musical",nASIG,"&lt;&gt;Coro",nASIG,"&lt;&gt;Conjunto"),""))</f>
        <v/>
      </c>
      <c r="T841" t="str">
        <f>IF(S841="","",IFERROR(AVERAGEIFS(nNOTA,nNIA,S841,nEVAL,CONFIG_METADATA!$B$4,nASIG,"Lenguaje Musical"),""))</f>
        <v/>
      </c>
      <c r="U841" t="str">
        <f>IF(S841="","",IFERROR(AVERAGEIFS(nNOTA,nNIA,S841,nEVAL,CONFIG_METADATA!$B$4,nASIG,"Coro"),""))</f>
        <v/>
      </c>
      <c r="V841" t="str">
        <f>IF(S841="","",IFERROR(AVERAGEIFS(nNOTA,nNIA,S841,nEVAL,CONFIG_METADATA!$B$4,nASIG,"Conjunto"),""))</f>
        <v/>
      </c>
      <c r="W841" t="str">
        <f>IF(S841="","",IFERROR(AVERAGEIFS(nNOTA,nNIA,S841,nEVAL,CONFIG_METADATA!$B$4,nASIG,"&lt;&gt;Lenguaje Musical",nASIG,"&lt;&gt;Coro",nASIG,"&lt;&gt;Conjunto"),""))</f>
        <v/>
      </c>
    </row>
    <row r="842" spans="2:23" x14ac:dyDescent="0.2">
      <c r="B842" t="str">
        <f>IF(A842="","",IFERROR(AVERAGEIFS(nNOTA,nNIA,A842,nEVAL,CONFIG_METADATA!$B$4,nASIG,"Lenguaje Musical"),""))</f>
        <v/>
      </c>
      <c r="C842" t="str">
        <f>IF(A842="","",IFERROR(AVERAGEIFS(nNOTA,nNIA,A842,nEVAL,CONFIG_METADATA!$B$4,nASIG,"Coro"),""))</f>
        <v/>
      </c>
      <c r="D842" t="str">
        <f>IF(A842="","",IFERROR(AVERAGEIFS(nNOTA,nNIA,A842,nEVAL,CONFIG_METADATA!$B$4,nASIG,"Conjunto"),""))</f>
        <v/>
      </c>
      <c r="E842" t="str">
        <f>IF(A842="","",IFERROR(AVERAGEIFS(nNOTA,nNIA,A842,nEVAL,CONFIG_METADATA!$B$4,nASIG,"&lt;&gt;Lenguaje Musical",nASIG,"&lt;&gt;Coro",nASIG,"&lt;&gt;Conjunto"),""))</f>
        <v/>
      </c>
      <c r="N842" t="str">
        <f>IF(M842="","",IFERROR(AVERAGEIFS(nNOTA,nNIA,M842,nEVAL,CONFIG_METADATA!$B$4,nASIG,"Lenguaje Musical"),""))</f>
        <v/>
      </c>
      <c r="O842" t="str">
        <f>IF(M842="","",IFERROR(AVERAGEIFS(nNOTA,nNIA,M842,nEVAL,CONFIG_METADATA!$B$4,nASIG,"Coro"),""))</f>
        <v/>
      </c>
      <c r="P842" t="str">
        <f>IF(M842="","",IFERROR(AVERAGEIFS(nNOTA,nNIA,M842,nEVAL,CONFIG_METADATA!$B$4,nASIG,"Conjunto"),""))</f>
        <v/>
      </c>
      <c r="Q842" t="str">
        <f>IF(M842="","",IFERROR(AVERAGEIFS(nNOTA,nNIA,M842,nEVAL,CONFIG_METADATA!$B$4,nASIG,"&lt;&gt;Lenguaje Musical",nASIG,"&lt;&gt;Coro",nASIG,"&lt;&gt;Conjunto"),""))</f>
        <v/>
      </c>
      <c r="T842" t="str">
        <f>IF(S842="","",IFERROR(AVERAGEIFS(nNOTA,nNIA,S842,nEVAL,CONFIG_METADATA!$B$4,nASIG,"Lenguaje Musical"),""))</f>
        <v/>
      </c>
      <c r="U842" t="str">
        <f>IF(S842="","",IFERROR(AVERAGEIFS(nNOTA,nNIA,S842,nEVAL,CONFIG_METADATA!$B$4,nASIG,"Coro"),""))</f>
        <v/>
      </c>
      <c r="V842" t="str">
        <f>IF(S842="","",IFERROR(AVERAGEIFS(nNOTA,nNIA,S842,nEVAL,CONFIG_METADATA!$B$4,nASIG,"Conjunto"),""))</f>
        <v/>
      </c>
      <c r="W842" t="str">
        <f>IF(S842="","",IFERROR(AVERAGEIFS(nNOTA,nNIA,S842,nEVAL,CONFIG_METADATA!$B$4,nASIG,"&lt;&gt;Lenguaje Musical",nASIG,"&lt;&gt;Coro",nASIG,"&lt;&gt;Conjunto"),""))</f>
        <v/>
      </c>
    </row>
    <row r="843" spans="2:23" x14ac:dyDescent="0.2">
      <c r="B843" t="str">
        <f>IF(A843="","",IFERROR(AVERAGEIFS(nNOTA,nNIA,A843,nEVAL,CONFIG_METADATA!$B$4,nASIG,"Lenguaje Musical"),""))</f>
        <v/>
      </c>
      <c r="C843" t="str">
        <f>IF(A843="","",IFERROR(AVERAGEIFS(nNOTA,nNIA,A843,nEVAL,CONFIG_METADATA!$B$4,nASIG,"Coro"),""))</f>
        <v/>
      </c>
      <c r="D843" t="str">
        <f>IF(A843="","",IFERROR(AVERAGEIFS(nNOTA,nNIA,A843,nEVAL,CONFIG_METADATA!$B$4,nASIG,"Conjunto"),""))</f>
        <v/>
      </c>
      <c r="E843" t="str">
        <f>IF(A843="","",IFERROR(AVERAGEIFS(nNOTA,nNIA,A843,nEVAL,CONFIG_METADATA!$B$4,nASIG,"&lt;&gt;Lenguaje Musical",nASIG,"&lt;&gt;Coro",nASIG,"&lt;&gt;Conjunto"),""))</f>
        <v/>
      </c>
      <c r="N843" t="str">
        <f>IF(M843="","",IFERROR(AVERAGEIFS(nNOTA,nNIA,M843,nEVAL,CONFIG_METADATA!$B$4,nASIG,"Lenguaje Musical"),""))</f>
        <v/>
      </c>
      <c r="O843" t="str">
        <f>IF(M843="","",IFERROR(AVERAGEIFS(nNOTA,nNIA,M843,nEVAL,CONFIG_METADATA!$B$4,nASIG,"Coro"),""))</f>
        <v/>
      </c>
      <c r="P843" t="str">
        <f>IF(M843="","",IFERROR(AVERAGEIFS(nNOTA,nNIA,M843,nEVAL,CONFIG_METADATA!$B$4,nASIG,"Conjunto"),""))</f>
        <v/>
      </c>
      <c r="Q843" t="str">
        <f>IF(M843="","",IFERROR(AVERAGEIFS(nNOTA,nNIA,M843,nEVAL,CONFIG_METADATA!$B$4,nASIG,"&lt;&gt;Lenguaje Musical",nASIG,"&lt;&gt;Coro",nASIG,"&lt;&gt;Conjunto"),""))</f>
        <v/>
      </c>
      <c r="T843" t="str">
        <f>IF(S843="","",IFERROR(AVERAGEIFS(nNOTA,nNIA,S843,nEVAL,CONFIG_METADATA!$B$4,nASIG,"Lenguaje Musical"),""))</f>
        <v/>
      </c>
      <c r="U843" t="str">
        <f>IF(S843="","",IFERROR(AVERAGEIFS(nNOTA,nNIA,S843,nEVAL,CONFIG_METADATA!$B$4,nASIG,"Coro"),""))</f>
        <v/>
      </c>
      <c r="V843" t="str">
        <f>IF(S843="","",IFERROR(AVERAGEIFS(nNOTA,nNIA,S843,nEVAL,CONFIG_METADATA!$B$4,nASIG,"Conjunto"),""))</f>
        <v/>
      </c>
      <c r="W843" t="str">
        <f>IF(S843="","",IFERROR(AVERAGEIFS(nNOTA,nNIA,S843,nEVAL,CONFIG_METADATA!$B$4,nASIG,"&lt;&gt;Lenguaje Musical",nASIG,"&lt;&gt;Coro",nASIG,"&lt;&gt;Conjunto"),""))</f>
        <v/>
      </c>
    </row>
    <row r="844" spans="2:23" x14ac:dyDescent="0.2">
      <c r="B844" t="str">
        <f>IF(A844="","",IFERROR(AVERAGEIFS(nNOTA,nNIA,A844,nEVAL,CONFIG_METADATA!$B$4,nASIG,"Lenguaje Musical"),""))</f>
        <v/>
      </c>
      <c r="C844" t="str">
        <f>IF(A844="","",IFERROR(AVERAGEIFS(nNOTA,nNIA,A844,nEVAL,CONFIG_METADATA!$B$4,nASIG,"Coro"),""))</f>
        <v/>
      </c>
      <c r="D844" t="str">
        <f>IF(A844="","",IFERROR(AVERAGEIFS(nNOTA,nNIA,A844,nEVAL,CONFIG_METADATA!$B$4,nASIG,"Conjunto"),""))</f>
        <v/>
      </c>
      <c r="E844" t="str">
        <f>IF(A844="","",IFERROR(AVERAGEIFS(nNOTA,nNIA,A844,nEVAL,CONFIG_METADATA!$B$4,nASIG,"&lt;&gt;Lenguaje Musical",nASIG,"&lt;&gt;Coro",nASIG,"&lt;&gt;Conjunto"),""))</f>
        <v/>
      </c>
      <c r="N844" t="str">
        <f>IF(M844="","",IFERROR(AVERAGEIFS(nNOTA,nNIA,M844,nEVAL,CONFIG_METADATA!$B$4,nASIG,"Lenguaje Musical"),""))</f>
        <v/>
      </c>
      <c r="O844" t="str">
        <f>IF(M844="","",IFERROR(AVERAGEIFS(nNOTA,nNIA,M844,nEVAL,CONFIG_METADATA!$B$4,nASIG,"Coro"),""))</f>
        <v/>
      </c>
      <c r="P844" t="str">
        <f>IF(M844="","",IFERROR(AVERAGEIFS(nNOTA,nNIA,M844,nEVAL,CONFIG_METADATA!$B$4,nASIG,"Conjunto"),""))</f>
        <v/>
      </c>
      <c r="Q844" t="str">
        <f>IF(M844="","",IFERROR(AVERAGEIFS(nNOTA,nNIA,M844,nEVAL,CONFIG_METADATA!$B$4,nASIG,"&lt;&gt;Lenguaje Musical",nASIG,"&lt;&gt;Coro",nASIG,"&lt;&gt;Conjunto"),""))</f>
        <v/>
      </c>
      <c r="T844" t="str">
        <f>IF(S844="","",IFERROR(AVERAGEIFS(nNOTA,nNIA,S844,nEVAL,CONFIG_METADATA!$B$4,nASIG,"Lenguaje Musical"),""))</f>
        <v/>
      </c>
      <c r="U844" t="str">
        <f>IF(S844="","",IFERROR(AVERAGEIFS(nNOTA,nNIA,S844,nEVAL,CONFIG_METADATA!$B$4,nASIG,"Coro"),""))</f>
        <v/>
      </c>
      <c r="V844" t="str">
        <f>IF(S844="","",IFERROR(AVERAGEIFS(nNOTA,nNIA,S844,nEVAL,CONFIG_METADATA!$B$4,nASIG,"Conjunto"),""))</f>
        <v/>
      </c>
      <c r="W844" t="str">
        <f>IF(S844="","",IFERROR(AVERAGEIFS(nNOTA,nNIA,S844,nEVAL,CONFIG_METADATA!$B$4,nASIG,"&lt;&gt;Lenguaje Musical",nASIG,"&lt;&gt;Coro",nASIG,"&lt;&gt;Conjunto"),""))</f>
        <v/>
      </c>
    </row>
    <row r="845" spans="2:23" x14ac:dyDescent="0.2">
      <c r="B845" t="str">
        <f>IF(A845="","",IFERROR(AVERAGEIFS(nNOTA,nNIA,A845,nEVAL,CONFIG_METADATA!$B$4,nASIG,"Lenguaje Musical"),""))</f>
        <v/>
      </c>
      <c r="C845" t="str">
        <f>IF(A845="","",IFERROR(AVERAGEIFS(nNOTA,nNIA,A845,nEVAL,CONFIG_METADATA!$B$4,nASIG,"Coro"),""))</f>
        <v/>
      </c>
      <c r="D845" t="str">
        <f>IF(A845="","",IFERROR(AVERAGEIFS(nNOTA,nNIA,A845,nEVAL,CONFIG_METADATA!$B$4,nASIG,"Conjunto"),""))</f>
        <v/>
      </c>
      <c r="E845" t="str">
        <f>IF(A845="","",IFERROR(AVERAGEIFS(nNOTA,nNIA,A845,nEVAL,CONFIG_METADATA!$B$4,nASIG,"&lt;&gt;Lenguaje Musical",nASIG,"&lt;&gt;Coro",nASIG,"&lt;&gt;Conjunto"),""))</f>
        <v/>
      </c>
      <c r="N845" t="str">
        <f>IF(M845="","",IFERROR(AVERAGEIFS(nNOTA,nNIA,M845,nEVAL,CONFIG_METADATA!$B$4,nASIG,"Lenguaje Musical"),""))</f>
        <v/>
      </c>
      <c r="O845" t="str">
        <f>IF(M845="","",IFERROR(AVERAGEIFS(nNOTA,nNIA,M845,nEVAL,CONFIG_METADATA!$B$4,nASIG,"Coro"),""))</f>
        <v/>
      </c>
      <c r="P845" t="str">
        <f>IF(M845="","",IFERROR(AVERAGEIFS(nNOTA,nNIA,M845,nEVAL,CONFIG_METADATA!$B$4,nASIG,"Conjunto"),""))</f>
        <v/>
      </c>
      <c r="Q845" t="str">
        <f>IF(M845="","",IFERROR(AVERAGEIFS(nNOTA,nNIA,M845,nEVAL,CONFIG_METADATA!$B$4,nASIG,"&lt;&gt;Lenguaje Musical",nASIG,"&lt;&gt;Coro",nASIG,"&lt;&gt;Conjunto"),""))</f>
        <v/>
      </c>
    </row>
    <row r="846" spans="2:23" x14ac:dyDescent="0.2">
      <c r="B846" t="str">
        <f>IF(A846="","",IFERROR(AVERAGEIFS(nNOTA,nNIA,A846,nEVAL,CONFIG_METADATA!$B$4,nASIG,"Lenguaje Musical"),""))</f>
        <v/>
      </c>
      <c r="C846" t="str">
        <f>IF(A846="","",IFERROR(AVERAGEIFS(nNOTA,nNIA,A846,nEVAL,CONFIG_METADATA!$B$4,nASIG,"Coro"),""))</f>
        <v/>
      </c>
      <c r="D846" t="str">
        <f>IF(A846="","",IFERROR(AVERAGEIFS(nNOTA,nNIA,A846,nEVAL,CONFIG_METADATA!$B$4,nASIG,"Conjunto"),""))</f>
        <v/>
      </c>
      <c r="E846" t="str">
        <f>IF(A846="","",IFERROR(AVERAGEIFS(nNOTA,nNIA,A846,nEVAL,CONFIG_METADATA!$B$4,nASIG,"&lt;&gt;Lenguaje Musical",nASIG,"&lt;&gt;Coro",nASIG,"&lt;&gt;Conjunto"),""))</f>
        <v/>
      </c>
      <c r="N846" t="str">
        <f>IF(M846="","",IFERROR(AVERAGEIFS(nNOTA,nNIA,M846,nEVAL,CONFIG_METADATA!$B$4,nASIG,"Lenguaje Musical"),""))</f>
        <v/>
      </c>
      <c r="O846" t="str">
        <f>IF(M846="","",IFERROR(AVERAGEIFS(nNOTA,nNIA,M846,nEVAL,CONFIG_METADATA!$B$4,nASIG,"Coro"),""))</f>
        <v/>
      </c>
      <c r="P846" t="str">
        <f>IF(M846="","",IFERROR(AVERAGEIFS(nNOTA,nNIA,M846,nEVAL,CONFIG_METADATA!$B$4,nASIG,"Conjunto"),""))</f>
        <v/>
      </c>
      <c r="Q846" t="str">
        <f>IF(M846="","",IFERROR(AVERAGEIFS(nNOTA,nNIA,M846,nEVAL,CONFIG_METADATA!$B$4,nASIG,"&lt;&gt;Lenguaje Musical",nASIG,"&lt;&gt;Coro",nASIG,"&lt;&gt;Conjunto"),""))</f>
        <v/>
      </c>
    </row>
    <row r="847" spans="2:23" x14ac:dyDescent="0.2">
      <c r="B847" t="str">
        <f>IF(A847="","",IFERROR(AVERAGEIFS(nNOTA,nNIA,A847,nEVAL,CONFIG_METADATA!$B$4,nASIG,"Lenguaje Musical"),""))</f>
        <v/>
      </c>
      <c r="C847" t="str">
        <f>IF(A847="","",IFERROR(AVERAGEIFS(nNOTA,nNIA,A847,nEVAL,CONFIG_METADATA!$B$4,nASIG,"Coro"),""))</f>
        <v/>
      </c>
      <c r="D847" t="str">
        <f>IF(A847="","",IFERROR(AVERAGEIFS(nNOTA,nNIA,A847,nEVAL,CONFIG_METADATA!$B$4,nASIG,"Conjunto"),""))</f>
        <v/>
      </c>
      <c r="E847" t="str">
        <f>IF(A847="","",IFERROR(AVERAGEIFS(nNOTA,nNIA,A847,nEVAL,CONFIG_METADATA!$B$4,nASIG,"&lt;&gt;Lenguaje Musical",nASIG,"&lt;&gt;Coro",nASIG,"&lt;&gt;Conjunto"),""))</f>
        <v/>
      </c>
      <c r="N847" t="str">
        <f>IF(M847="","",IFERROR(AVERAGEIFS(nNOTA,nNIA,M847,nEVAL,CONFIG_METADATA!$B$4,nASIG,"Lenguaje Musical"),""))</f>
        <v/>
      </c>
      <c r="O847" t="str">
        <f>IF(M847="","",IFERROR(AVERAGEIFS(nNOTA,nNIA,M847,nEVAL,CONFIG_METADATA!$B$4,nASIG,"Coro"),""))</f>
        <v/>
      </c>
      <c r="P847" t="str">
        <f>IF(M847="","",IFERROR(AVERAGEIFS(nNOTA,nNIA,M847,nEVAL,CONFIG_METADATA!$B$4,nASIG,"Conjunto"),""))</f>
        <v/>
      </c>
      <c r="Q847" t="str">
        <f>IF(M847="","",IFERROR(AVERAGEIFS(nNOTA,nNIA,M847,nEVAL,CONFIG_METADATA!$B$4,nASIG,"&lt;&gt;Lenguaje Musical",nASIG,"&lt;&gt;Coro",nASIG,"&lt;&gt;Conjunto"),""))</f>
        <v/>
      </c>
    </row>
    <row r="848" spans="2:23" x14ac:dyDescent="0.2">
      <c r="B848" t="str">
        <f>IF(A848="","",IFERROR(AVERAGEIFS(nNOTA,nNIA,A848,nEVAL,CONFIG_METADATA!$B$4,nASIG,"Lenguaje Musical"),""))</f>
        <v/>
      </c>
      <c r="C848" t="str">
        <f>IF(A848="","",IFERROR(AVERAGEIFS(nNOTA,nNIA,A848,nEVAL,CONFIG_METADATA!$B$4,nASIG,"Coro"),""))</f>
        <v/>
      </c>
      <c r="D848" t="str">
        <f>IF(A848="","",IFERROR(AVERAGEIFS(nNOTA,nNIA,A848,nEVAL,CONFIG_METADATA!$B$4,nASIG,"Conjunto"),""))</f>
        <v/>
      </c>
      <c r="E848" t="str">
        <f>IF(A848="","",IFERROR(AVERAGEIFS(nNOTA,nNIA,A848,nEVAL,CONFIG_METADATA!$B$4,nASIG,"&lt;&gt;Lenguaje Musical",nASIG,"&lt;&gt;Coro",nASIG,"&lt;&gt;Conjunto"),""))</f>
        <v/>
      </c>
      <c r="N848" t="str">
        <f>IF(M848="","",IFERROR(AVERAGEIFS(nNOTA,nNIA,M848,nEVAL,CONFIG_METADATA!$B$4,nASIG,"Lenguaje Musical"),""))</f>
        <v/>
      </c>
      <c r="O848" t="str">
        <f>IF(M848="","",IFERROR(AVERAGEIFS(nNOTA,nNIA,M848,nEVAL,CONFIG_METADATA!$B$4,nASIG,"Coro"),""))</f>
        <v/>
      </c>
      <c r="P848" t="str">
        <f>IF(M848="","",IFERROR(AVERAGEIFS(nNOTA,nNIA,M848,nEVAL,CONFIG_METADATA!$B$4,nASIG,"Conjunto"),""))</f>
        <v/>
      </c>
      <c r="Q848" t="str">
        <f>IF(M848="","",IFERROR(AVERAGEIFS(nNOTA,nNIA,M848,nEVAL,CONFIG_METADATA!$B$4,nASIG,"&lt;&gt;Lenguaje Musical",nASIG,"&lt;&gt;Coro",nASIG,"&lt;&gt;Conjunto"),""))</f>
        <v/>
      </c>
    </row>
    <row r="849" spans="2:17" x14ac:dyDescent="0.2">
      <c r="B849" t="str">
        <f>IF(A849="","",IFERROR(AVERAGEIFS(nNOTA,nNIA,A849,nEVAL,CONFIG_METADATA!$B$4,nASIG,"Lenguaje Musical"),""))</f>
        <v/>
      </c>
      <c r="C849" t="str">
        <f>IF(A849="","",IFERROR(AVERAGEIFS(nNOTA,nNIA,A849,nEVAL,CONFIG_METADATA!$B$4,nASIG,"Coro"),""))</f>
        <v/>
      </c>
      <c r="D849" t="str">
        <f>IF(A849="","",IFERROR(AVERAGEIFS(nNOTA,nNIA,A849,nEVAL,CONFIG_METADATA!$B$4,nASIG,"Conjunto"),""))</f>
        <v/>
      </c>
      <c r="E849" t="str">
        <f>IF(A849="","",IFERROR(AVERAGEIFS(nNOTA,nNIA,A849,nEVAL,CONFIG_METADATA!$B$4,nASIG,"&lt;&gt;Lenguaje Musical",nASIG,"&lt;&gt;Coro",nASIG,"&lt;&gt;Conjunto"),""))</f>
        <v/>
      </c>
      <c r="N849" t="str">
        <f>IF(M849="","",IFERROR(AVERAGEIFS(nNOTA,nNIA,M849,nEVAL,CONFIG_METADATA!$B$4,nASIG,"Lenguaje Musical"),""))</f>
        <v/>
      </c>
      <c r="O849" t="str">
        <f>IF(M849="","",IFERROR(AVERAGEIFS(nNOTA,nNIA,M849,nEVAL,CONFIG_METADATA!$B$4,nASIG,"Coro"),""))</f>
        <v/>
      </c>
      <c r="P849" t="str">
        <f>IF(M849="","",IFERROR(AVERAGEIFS(nNOTA,nNIA,M849,nEVAL,CONFIG_METADATA!$B$4,nASIG,"Conjunto"),""))</f>
        <v/>
      </c>
      <c r="Q849" t="str">
        <f>IF(M849="","",IFERROR(AVERAGEIFS(nNOTA,nNIA,M849,nEVAL,CONFIG_METADATA!$B$4,nASIG,"&lt;&gt;Lenguaje Musical",nASIG,"&lt;&gt;Coro",nASIG,"&lt;&gt;Conjunto"),""))</f>
        <v/>
      </c>
    </row>
    <row r="850" spans="2:17" x14ac:dyDescent="0.2">
      <c r="B850" t="str">
        <f>IF(A850="","",IFERROR(AVERAGEIFS(nNOTA,nNIA,A850,nEVAL,CONFIG_METADATA!$B$4,nASIG,"Lenguaje Musical"),""))</f>
        <v/>
      </c>
      <c r="C850" t="str">
        <f>IF(A850="","",IFERROR(AVERAGEIFS(nNOTA,nNIA,A850,nEVAL,CONFIG_METADATA!$B$4,nASIG,"Coro"),""))</f>
        <v/>
      </c>
      <c r="D850" t="str">
        <f>IF(A850="","",IFERROR(AVERAGEIFS(nNOTA,nNIA,A850,nEVAL,CONFIG_METADATA!$B$4,nASIG,"Conjunto"),""))</f>
        <v/>
      </c>
      <c r="E850" t="str">
        <f>IF(A850="","",IFERROR(AVERAGEIFS(nNOTA,nNIA,A850,nEVAL,CONFIG_METADATA!$B$4,nASIG,"&lt;&gt;Lenguaje Musical",nASIG,"&lt;&gt;Coro",nASIG,"&lt;&gt;Conjunto"),""))</f>
        <v/>
      </c>
      <c r="N850" t="str">
        <f>IF(M850="","",IFERROR(AVERAGEIFS(nNOTA,nNIA,M850,nEVAL,CONFIG_METADATA!$B$4,nASIG,"Lenguaje Musical"),""))</f>
        <v/>
      </c>
      <c r="O850" t="str">
        <f>IF(M850="","",IFERROR(AVERAGEIFS(nNOTA,nNIA,M850,nEVAL,CONFIG_METADATA!$B$4,nASIG,"Coro"),""))</f>
        <v/>
      </c>
      <c r="P850" t="str">
        <f>IF(M850="","",IFERROR(AVERAGEIFS(nNOTA,nNIA,M850,nEVAL,CONFIG_METADATA!$B$4,nASIG,"Conjunto"),""))</f>
        <v/>
      </c>
      <c r="Q850" t="str">
        <f>IF(M850="","",IFERROR(AVERAGEIFS(nNOTA,nNIA,M850,nEVAL,CONFIG_METADATA!$B$4,nASIG,"&lt;&gt;Lenguaje Musical",nASIG,"&lt;&gt;Coro",nASIG,"&lt;&gt;Conjunto"),""))</f>
        <v/>
      </c>
    </row>
    <row r="851" spans="2:17" x14ac:dyDescent="0.2">
      <c r="B851" t="str">
        <f>IF(A851="","",IFERROR(AVERAGEIFS(nNOTA,nNIA,A851,nEVAL,CONFIG_METADATA!$B$4,nASIG,"Lenguaje Musical"),""))</f>
        <v/>
      </c>
      <c r="C851" t="str">
        <f>IF(A851="","",IFERROR(AVERAGEIFS(nNOTA,nNIA,A851,nEVAL,CONFIG_METADATA!$B$4,nASIG,"Coro"),""))</f>
        <v/>
      </c>
      <c r="D851" t="str">
        <f>IF(A851="","",IFERROR(AVERAGEIFS(nNOTA,nNIA,A851,nEVAL,CONFIG_METADATA!$B$4,nASIG,"Conjunto"),""))</f>
        <v/>
      </c>
      <c r="E851" t="str">
        <f>IF(A851="","",IFERROR(AVERAGEIFS(nNOTA,nNIA,A851,nEVAL,CONFIG_METADATA!$B$4,nASIG,"&lt;&gt;Lenguaje Musical",nASIG,"&lt;&gt;Coro",nASIG,"&lt;&gt;Conjunto"),""))</f>
        <v/>
      </c>
      <c r="N851" t="str">
        <f>IF(M851="","",IFERROR(AVERAGEIFS(nNOTA,nNIA,M851,nEVAL,CONFIG_METADATA!$B$4,nASIG,"Lenguaje Musical"),""))</f>
        <v/>
      </c>
      <c r="O851" t="str">
        <f>IF(M851="","",IFERROR(AVERAGEIFS(nNOTA,nNIA,M851,nEVAL,CONFIG_METADATA!$B$4,nASIG,"Coro"),""))</f>
        <v/>
      </c>
      <c r="P851" t="str">
        <f>IF(M851="","",IFERROR(AVERAGEIFS(nNOTA,nNIA,M851,nEVAL,CONFIG_METADATA!$B$4,nASIG,"Conjunto"),""))</f>
        <v/>
      </c>
      <c r="Q851" t="str">
        <f>IF(M851="","",IFERROR(AVERAGEIFS(nNOTA,nNIA,M851,nEVAL,CONFIG_METADATA!$B$4,nASIG,"&lt;&gt;Lenguaje Musical",nASIG,"&lt;&gt;Coro",nASIG,"&lt;&gt;Conjunto"),""))</f>
        <v/>
      </c>
    </row>
    <row r="852" spans="2:17" x14ac:dyDescent="0.2">
      <c r="B852" t="str">
        <f>IF(A852="","",IFERROR(AVERAGEIFS(nNOTA,nNIA,A852,nEVAL,CONFIG_METADATA!$B$4,nASIG,"Lenguaje Musical"),""))</f>
        <v/>
      </c>
      <c r="C852" t="str">
        <f>IF(A852="","",IFERROR(AVERAGEIFS(nNOTA,nNIA,A852,nEVAL,CONFIG_METADATA!$B$4,nASIG,"Coro"),""))</f>
        <v/>
      </c>
      <c r="D852" t="str">
        <f>IF(A852="","",IFERROR(AVERAGEIFS(nNOTA,nNIA,A852,nEVAL,CONFIG_METADATA!$B$4,nASIG,"Conjunto"),""))</f>
        <v/>
      </c>
      <c r="E852" t="str">
        <f>IF(A852="","",IFERROR(AVERAGEIFS(nNOTA,nNIA,A852,nEVAL,CONFIG_METADATA!$B$4,nASIG,"&lt;&gt;Lenguaje Musical",nASIG,"&lt;&gt;Coro",nASIG,"&lt;&gt;Conjunto"),""))</f>
        <v/>
      </c>
      <c r="N852" t="str">
        <f>IF(M852="","",IFERROR(AVERAGEIFS(nNOTA,nNIA,M852,nEVAL,CONFIG_METADATA!$B$4,nASIG,"Lenguaje Musical"),""))</f>
        <v/>
      </c>
      <c r="O852" t="str">
        <f>IF(M852="","",IFERROR(AVERAGEIFS(nNOTA,nNIA,M852,nEVAL,CONFIG_METADATA!$B$4,nASIG,"Coro"),""))</f>
        <v/>
      </c>
      <c r="P852" t="str">
        <f>IF(M852="","",IFERROR(AVERAGEIFS(nNOTA,nNIA,M852,nEVAL,CONFIG_METADATA!$B$4,nASIG,"Conjunto"),""))</f>
        <v/>
      </c>
      <c r="Q852" t="str">
        <f>IF(M852="","",IFERROR(AVERAGEIFS(nNOTA,nNIA,M852,nEVAL,CONFIG_METADATA!$B$4,nASIG,"&lt;&gt;Lenguaje Musical",nASIG,"&lt;&gt;Coro",nASIG,"&lt;&gt;Conjunto"),""))</f>
        <v/>
      </c>
    </row>
    <row r="853" spans="2:17" x14ac:dyDescent="0.2">
      <c r="B853" t="str">
        <f>IF(A853="","",IFERROR(AVERAGEIFS(nNOTA,nNIA,A853,nEVAL,CONFIG_METADATA!$B$4,nASIG,"Lenguaje Musical"),""))</f>
        <v/>
      </c>
      <c r="C853" t="str">
        <f>IF(A853="","",IFERROR(AVERAGEIFS(nNOTA,nNIA,A853,nEVAL,CONFIG_METADATA!$B$4,nASIG,"Coro"),""))</f>
        <v/>
      </c>
      <c r="D853" t="str">
        <f>IF(A853="","",IFERROR(AVERAGEIFS(nNOTA,nNIA,A853,nEVAL,CONFIG_METADATA!$B$4,nASIG,"Conjunto"),""))</f>
        <v/>
      </c>
      <c r="E853" t="str">
        <f>IF(A853="","",IFERROR(AVERAGEIFS(nNOTA,nNIA,A853,nEVAL,CONFIG_METADATA!$B$4,nASIG,"&lt;&gt;Lenguaje Musical",nASIG,"&lt;&gt;Coro",nASIG,"&lt;&gt;Conjunto"),""))</f>
        <v/>
      </c>
      <c r="N853" t="str">
        <f>IF(M853="","",IFERROR(AVERAGEIFS(nNOTA,nNIA,M853,nEVAL,CONFIG_METADATA!$B$4,nASIG,"Lenguaje Musical"),""))</f>
        <v/>
      </c>
      <c r="O853" t="str">
        <f>IF(M853="","",IFERROR(AVERAGEIFS(nNOTA,nNIA,M853,nEVAL,CONFIG_METADATA!$B$4,nASIG,"Coro"),""))</f>
        <v/>
      </c>
      <c r="P853" t="str">
        <f>IF(M853="","",IFERROR(AVERAGEIFS(nNOTA,nNIA,M853,nEVAL,CONFIG_METADATA!$B$4,nASIG,"Conjunto"),""))</f>
        <v/>
      </c>
      <c r="Q853" t="str">
        <f>IF(M853="","",IFERROR(AVERAGEIFS(nNOTA,nNIA,M853,nEVAL,CONFIG_METADATA!$B$4,nASIG,"&lt;&gt;Lenguaje Musical",nASIG,"&lt;&gt;Coro",nASIG,"&lt;&gt;Conjunto"),""))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9"/>
  <sheetViews>
    <sheetView zoomScaleNormal="100" workbookViewId="0">
      <selection activeCell="D2" sqref="D2"/>
    </sheetView>
  </sheetViews>
  <sheetFormatPr baseColWidth="10" defaultColWidth="8.6640625" defaultRowHeight="15" x14ac:dyDescent="0.2"/>
  <cols>
    <col min="1" max="1" width="8" customWidth="1"/>
    <col min="2" max="3" width="18" customWidth="1"/>
    <col min="4" max="5" width="12" customWidth="1"/>
    <col min="6" max="6" width="14" customWidth="1"/>
    <col min="8" max="9" width="12" customWidth="1"/>
    <col min="10" max="10" width="45" customWidth="1"/>
  </cols>
  <sheetData>
    <row r="1" spans="1:10" ht="15" customHeight="1" x14ac:dyDescent="0.2">
      <c r="A1" s="2" t="s">
        <v>57</v>
      </c>
      <c r="B1" s="2" t="s">
        <v>58</v>
      </c>
      <c r="C1" s="2" t="s">
        <v>59</v>
      </c>
      <c r="D1" s="2" t="s">
        <v>108</v>
      </c>
      <c r="E1" s="2" t="s">
        <v>109</v>
      </c>
      <c r="F1" s="2" t="s">
        <v>110</v>
      </c>
      <c r="H1" s="6" t="s">
        <v>111</v>
      </c>
    </row>
    <row r="2" spans="1:10" ht="15" customHeight="1" x14ac:dyDescent="0.2">
      <c r="A2" t="s">
        <v>15</v>
      </c>
      <c r="B2" t="s">
        <v>10</v>
      </c>
      <c r="C2" t="s">
        <v>16</v>
      </c>
      <c r="D2" s="14" t="str">
        <f>IFERROR(CORREL(DAT_CORRELACION!B$6:B$1000,DAT_CORRELACION!C$6:C$1000),"")</f>
        <v/>
      </c>
      <c r="E2" cm="1">
        <f t="array" ref="E2">SUMPRODUCT((DAT_CORRELACION!A$6:A$1000&lt;&gt;"")*1)</f>
        <v>0</v>
      </c>
      <c r="F2" t="str">
        <f t="shared" ref="F2:F19" si="0">IF(D2="","",IF(D2&gt;=0.8,"Muy fuerte",IF(D2&gt;=0.6,"Fuerte",IF(D2&gt;=0.4,"Moderada",IF(D2&gt;=0.2,"Débil",IF(D2&gt;=0,"Muy débil","Inversa"))))))</f>
        <v/>
      </c>
      <c r="H2" t="s">
        <v>112</v>
      </c>
      <c r="I2" t="s">
        <v>113</v>
      </c>
      <c r="J2" t="s">
        <v>114</v>
      </c>
    </row>
    <row r="3" spans="1:10" ht="15" customHeight="1" x14ac:dyDescent="0.2">
      <c r="A3" t="s">
        <v>15</v>
      </c>
      <c r="B3" t="s">
        <v>10</v>
      </c>
      <c r="C3" t="s">
        <v>20</v>
      </c>
      <c r="D3" s="14" t="str">
        <f>IFERROR(CORREL(DAT_CORRELACION!B$6:B$1000,DAT_CORRELACION!E$6:E$1000),"")</f>
        <v/>
      </c>
      <c r="E3" cm="1">
        <f t="array" ref="E3">SUMPRODUCT((DAT_CORRELACION!A$6:A$1000&lt;&gt;"")*1)</f>
        <v>0</v>
      </c>
      <c r="F3" t="str">
        <f t="shared" si="0"/>
        <v/>
      </c>
      <c r="H3" t="s">
        <v>115</v>
      </c>
      <c r="I3" t="s">
        <v>116</v>
      </c>
      <c r="J3" t="s">
        <v>117</v>
      </c>
    </row>
    <row r="4" spans="1:10" ht="15" customHeight="1" x14ac:dyDescent="0.2">
      <c r="A4" t="s">
        <v>15</v>
      </c>
      <c r="B4" t="s">
        <v>16</v>
      </c>
      <c r="C4" t="s">
        <v>20</v>
      </c>
      <c r="D4" s="14" t="str">
        <f>IFERROR(CORREL(DAT_CORRELACION!C$6:C$1000,DAT_CORRELACION!E$6:E$1000),"")</f>
        <v/>
      </c>
      <c r="E4" cm="1">
        <f t="array" ref="E4">SUMPRODUCT((DAT_CORRELACION!A$6:A$1000&lt;&gt;"")*1)</f>
        <v>0</v>
      </c>
      <c r="F4" t="str">
        <f t="shared" si="0"/>
        <v/>
      </c>
      <c r="H4" t="s">
        <v>118</v>
      </c>
      <c r="I4" t="s">
        <v>119</v>
      </c>
      <c r="J4" t="s">
        <v>120</v>
      </c>
    </row>
    <row r="5" spans="1:10" ht="15" customHeight="1" x14ac:dyDescent="0.2">
      <c r="A5" t="s">
        <v>19</v>
      </c>
      <c r="B5" t="s">
        <v>10</v>
      </c>
      <c r="C5" t="s">
        <v>16</v>
      </c>
      <c r="D5" s="14" t="str">
        <f>IFERROR(CORREL(DAT_CORRELACION!H$6:H$1000,DAT_CORRELACION!I$6:I$1000),"")</f>
        <v/>
      </c>
      <c r="E5" cm="1">
        <f t="array" ref="E5">SUMPRODUCT((DAT_CORRELACION!G$6:G$1000&lt;&gt;"")*1)</f>
        <v>0</v>
      </c>
      <c r="F5" t="str">
        <f t="shared" si="0"/>
        <v/>
      </c>
      <c r="H5" t="s">
        <v>121</v>
      </c>
      <c r="I5" t="s">
        <v>122</v>
      </c>
      <c r="J5" t="s">
        <v>123</v>
      </c>
    </row>
    <row r="6" spans="1:10" ht="15" customHeight="1" x14ac:dyDescent="0.2">
      <c r="A6" t="s">
        <v>19</v>
      </c>
      <c r="B6" t="s">
        <v>10</v>
      </c>
      <c r="C6" t="s">
        <v>20</v>
      </c>
      <c r="D6" s="14" t="str">
        <f>IFERROR(CORREL(DAT_CORRELACION!H$6:H$1000,DAT_CORRELACION!K$6:K$1000),"")</f>
        <v/>
      </c>
      <c r="E6" cm="1">
        <f t="array" ref="E6">SUMPRODUCT((DAT_CORRELACION!G$6:G$1000&lt;&gt;"")*1)</f>
        <v>0</v>
      </c>
      <c r="F6" t="str">
        <f t="shared" si="0"/>
        <v/>
      </c>
      <c r="H6" t="s">
        <v>124</v>
      </c>
      <c r="I6" t="s">
        <v>125</v>
      </c>
      <c r="J6" t="s">
        <v>126</v>
      </c>
    </row>
    <row r="7" spans="1:10" ht="15" customHeight="1" x14ac:dyDescent="0.2">
      <c r="A7" t="s">
        <v>19</v>
      </c>
      <c r="B7" t="s">
        <v>16</v>
      </c>
      <c r="C7" t="s">
        <v>20</v>
      </c>
      <c r="D7" s="14" t="str">
        <f>IFERROR(CORREL(DAT_CORRELACION!I$6:I$1000,DAT_CORRELACION!K$6:K$1000),"")</f>
        <v/>
      </c>
      <c r="E7" cm="1">
        <f t="array" ref="E7">SUMPRODUCT((DAT_CORRELACION!G$6:G$1000&lt;&gt;"")*1)</f>
        <v>0</v>
      </c>
      <c r="F7" t="str">
        <f t="shared" si="0"/>
        <v/>
      </c>
      <c r="H7" t="s">
        <v>127</v>
      </c>
      <c r="I7" t="s">
        <v>128</v>
      </c>
      <c r="J7" t="s">
        <v>129</v>
      </c>
    </row>
    <row r="8" spans="1:10" ht="15" customHeight="1" x14ac:dyDescent="0.2">
      <c r="A8" t="s">
        <v>23</v>
      </c>
      <c r="B8" t="s">
        <v>10</v>
      </c>
      <c r="C8" t="s">
        <v>16</v>
      </c>
      <c r="D8" s="14" t="str">
        <f>IFERROR(CORREL(DAT_CORRELACION!N$6:N$1000,DAT_CORRELACION!O$6:O$1000),"")</f>
        <v/>
      </c>
      <c r="E8" cm="1">
        <f t="array" ref="E8">SUMPRODUCT((DAT_CORRELACION!M$6:M$1000&lt;&gt;"")*1)</f>
        <v>0</v>
      </c>
      <c r="F8" t="str">
        <f t="shared" si="0"/>
        <v/>
      </c>
    </row>
    <row r="9" spans="1:10" ht="15" customHeight="1" x14ac:dyDescent="0.2">
      <c r="A9" t="s">
        <v>23</v>
      </c>
      <c r="B9" t="s">
        <v>10</v>
      </c>
      <c r="C9" t="s">
        <v>21</v>
      </c>
      <c r="D9" s="14" t="str">
        <f>IFERROR(CORREL(DAT_CORRELACION!N$6:N$1000,DAT_CORRELACION!P$6:P$1000),"")</f>
        <v/>
      </c>
      <c r="E9" cm="1">
        <f t="array" ref="E9">SUMPRODUCT((DAT_CORRELACION!M$6:M$1000&lt;&gt;"")*1)</f>
        <v>0</v>
      </c>
      <c r="F9" t="str">
        <f t="shared" si="0"/>
        <v/>
      </c>
    </row>
    <row r="10" spans="1:10" ht="15" customHeight="1" x14ac:dyDescent="0.2">
      <c r="A10" t="s">
        <v>23</v>
      </c>
      <c r="B10" t="s">
        <v>10</v>
      </c>
      <c r="C10" t="s">
        <v>20</v>
      </c>
      <c r="D10" s="14" t="str">
        <f>IFERROR(CORREL(DAT_CORRELACION!N$6:N$1000,DAT_CORRELACION!Q$6:Q$1000),"")</f>
        <v/>
      </c>
      <c r="E10" cm="1">
        <f t="array" ref="E10">SUMPRODUCT((DAT_CORRELACION!M$6:M$1000&lt;&gt;"")*1)</f>
        <v>0</v>
      </c>
      <c r="F10" t="str">
        <f t="shared" si="0"/>
        <v/>
      </c>
    </row>
    <row r="11" spans="1:10" ht="15" customHeight="1" x14ac:dyDescent="0.2">
      <c r="A11" t="s">
        <v>23</v>
      </c>
      <c r="B11" t="s">
        <v>16</v>
      </c>
      <c r="C11" t="s">
        <v>21</v>
      </c>
      <c r="D11" s="14" t="str">
        <f>IFERROR(CORREL(DAT_CORRELACION!O$6:O$1000,DAT_CORRELACION!P$6:P$1000),"")</f>
        <v/>
      </c>
      <c r="E11" cm="1">
        <f t="array" ref="E11">SUMPRODUCT((DAT_CORRELACION!M$6:M$1000&lt;&gt;"")*1)</f>
        <v>0</v>
      </c>
      <c r="F11" t="str">
        <f t="shared" si="0"/>
        <v/>
      </c>
    </row>
    <row r="12" spans="1:10" ht="15" customHeight="1" x14ac:dyDescent="0.2">
      <c r="A12" t="s">
        <v>23</v>
      </c>
      <c r="B12" t="s">
        <v>16</v>
      </c>
      <c r="C12" t="s">
        <v>20</v>
      </c>
      <c r="D12" s="14" t="str">
        <f>IFERROR(CORREL(DAT_CORRELACION!O$6:O$1000,DAT_CORRELACION!Q$6:Q$1000),"")</f>
        <v/>
      </c>
      <c r="E12" cm="1">
        <f t="array" ref="E12">SUMPRODUCT((DAT_CORRELACION!M$6:M$1000&lt;&gt;"")*1)</f>
        <v>0</v>
      </c>
      <c r="F12" t="str">
        <f t="shared" si="0"/>
        <v/>
      </c>
    </row>
    <row r="13" spans="1:10" ht="15" customHeight="1" x14ac:dyDescent="0.2">
      <c r="A13" t="s">
        <v>23</v>
      </c>
      <c r="B13" t="s">
        <v>21</v>
      </c>
      <c r="C13" t="s">
        <v>20</v>
      </c>
      <c r="D13" s="14" t="str">
        <f>IFERROR(CORREL(DAT_CORRELACION!P$6:P$1000,DAT_CORRELACION!Q$6:Q$1000),"")</f>
        <v/>
      </c>
      <c r="E13" cm="1">
        <f t="array" ref="E13">SUMPRODUCT((DAT_CORRELACION!M$6:M$1000&lt;&gt;"")*1)</f>
        <v>0</v>
      </c>
      <c r="F13" t="str">
        <f t="shared" si="0"/>
        <v/>
      </c>
    </row>
    <row r="14" spans="1:10" ht="15" customHeight="1" x14ac:dyDescent="0.2">
      <c r="A14" t="s">
        <v>26</v>
      </c>
      <c r="B14" t="s">
        <v>10</v>
      </c>
      <c r="C14" t="s">
        <v>16</v>
      </c>
      <c r="D14" s="14" t="str">
        <f>IFERROR(CORREL(DAT_CORRELACION!T$6:T$1000,DAT_CORRELACION!U$6:U$1000),"")</f>
        <v/>
      </c>
      <c r="E14" cm="1">
        <f t="array" ref="E14">SUMPRODUCT((DAT_CORRELACION!S$6:S$1000&lt;&gt;"")*1)</f>
        <v>0</v>
      </c>
      <c r="F14" t="str">
        <f t="shared" si="0"/>
        <v/>
      </c>
    </row>
    <row r="15" spans="1:10" ht="15" customHeight="1" x14ac:dyDescent="0.2">
      <c r="A15" t="s">
        <v>26</v>
      </c>
      <c r="B15" t="s">
        <v>10</v>
      </c>
      <c r="C15" t="s">
        <v>21</v>
      </c>
      <c r="D15" s="14" t="str">
        <f>IFERROR(CORREL(DAT_CORRELACION!T$6:T$1000,DAT_CORRELACION!V$6:V$1000),"")</f>
        <v/>
      </c>
      <c r="E15" cm="1">
        <f t="array" ref="E15">SUMPRODUCT((DAT_CORRELACION!S$6:S$1000&lt;&gt;"")*1)</f>
        <v>0</v>
      </c>
      <c r="F15" t="str">
        <f t="shared" si="0"/>
        <v/>
      </c>
    </row>
    <row r="16" spans="1:10" ht="15" customHeight="1" x14ac:dyDescent="0.2">
      <c r="A16" t="s">
        <v>26</v>
      </c>
      <c r="B16" t="s">
        <v>10</v>
      </c>
      <c r="C16" t="s">
        <v>20</v>
      </c>
      <c r="D16" s="14" t="str">
        <f>IFERROR(CORREL(DAT_CORRELACION!T$6:T$1000,DAT_CORRELACION!W$6:W$1000),"")</f>
        <v/>
      </c>
      <c r="E16" cm="1">
        <f t="array" ref="E16">SUMPRODUCT((DAT_CORRELACION!S$6:S$1000&lt;&gt;"")*1)</f>
        <v>0</v>
      </c>
      <c r="F16" t="str">
        <f t="shared" si="0"/>
        <v/>
      </c>
    </row>
    <row r="17" spans="1:6" ht="15" customHeight="1" x14ac:dyDescent="0.2">
      <c r="A17" t="s">
        <v>26</v>
      </c>
      <c r="B17" t="s">
        <v>16</v>
      </c>
      <c r="C17" t="s">
        <v>21</v>
      </c>
      <c r="D17" s="14" t="str">
        <f>IFERROR(CORREL(DAT_CORRELACION!U$6:U$1000,DAT_CORRELACION!V$6:V$1000),"")</f>
        <v/>
      </c>
      <c r="E17" cm="1">
        <f t="array" ref="E17">SUMPRODUCT((DAT_CORRELACION!S$6:S$1000&lt;&gt;"")*1)</f>
        <v>0</v>
      </c>
      <c r="F17" t="str">
        <f t="shared" si="0"/>
        <v/>
      </c>
    </row>
    <row r="18" spans="1:6" ht="15" customHeight="1" x14ac:dyDescent="0.2">
      <c r="A18" t="s">
        <v>26</v>
      </c>
      <c r="B18" t="s">
        <v>16</v>
      </c>
      <c r="C18" t="s">
        <v>20</v>
      </c>
      <c r="D18" s="14" t="str">
        <f>IFERROR(CORREL(DAT_CORRELACION!U$6:U$1000,DAT_CORRELACION!W$6:W$1000),"")</f>
        <v/>
      </c>
      <c r="E18" cm="1">
        <f t="array" ref="E18">SUMPRODUCT((DAT_CORRELACION!S$6:S$1000&lt;&gt;"")*1)</f>
        <v>0</v>
      </c>
      <c r="F18" t="str">
        <f t="shared" si="0"/>
        <v/>
      </c>
    </row>
    <row r="19" spans="1:6" ht="15" customHeight="1" x14ac:dyDescent="0.2">
      <c r="A19" t="s">
        <v>26</v>
      </c>
      <c r="B19" t="s">
        <v>21</v>
      </c>
      <c r="C19" t="s">
        <v>20</v>
      </c>
      <c r="D19" s="14" t="str">
        <f>IFERROR(CORREL(DAT_CORRELACION!V$6:V$1000,DAT_CORRELACION!W$6:W$1000),"")</f>
        <v/>
      </c>
      <c r="E19" cm="1">
        <f t="array" ref="E19">SUMPRODUCT((DAT_CORRELACION!S$6:S$1000&lt;&gt;"")*1)</f>
        <v>0</v>
      </c>
      <c r="F19" t="str">
        <f t="shared" si="0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409"/>
  <sheetViews>
    <sheetView topLeftCell="A118" zoomScaleNormal="100" workbookViewId="0">
      <selection activeCell="D141" sqref="D141"/>
    </sheetView>
  </sheetViews>
  <sheetFormatPr baseColWidth="10" defaultColWidth="8.6640625" defaultRowHeight="15" x14ac:dyDescent="0.2"/>
  <cols>
    <col min="1" max="1" width="15" customWidth="1"/>
    <col min="2" max="2" width="12" customWidth="1"/>
    <col min="3" max="3" width="20" customWidth="1"/>
    <col min="4" max="21" width="12" customWidth="1"/>
  </cols>
  <sheetData>
    <row r="1">
      <c r="A1" t="inlineStr">
        <is>
          <t xml:space="preserve">#METADATA</t>
        </is>
      </c>
    </row>
    <row r="2">
      <c r="A2" t="inlineStr">
        <is>
          <t xml:space="preserve">Campo</t>
        </is>
      </c>
      <c r="B2" t="inlineStr">
        <is>
          <t xml:space="preserve">Valor</t>
        </is>
      </c>
    </row>
    <row r="3">
      <c r="A3" t="inlineStr">
        <is>
          <t xml:space="preserve">Centro</t>
        </is>
      </c>
      <c r="B3">
        <f>CONFIG_METADATA!B2</f>
      </c>
    </row>
    <row r="4">
      <c r="A4" t="inlineStr">
        <is>
          <t xml:space="preserve">CursoAcademico</t>
        </is>
      </c>
      <c r="B4">
        <f>CONFIG_METADATA!B3</f>
      </c>
    </row>
    <row r="5">
      <c r="A5" t="inlineStr">
        <is>
          <t xml:space="preserve">Trimestre</t>
        </is>
      </c>
      <c r="B5">
        <f>CONFIG_METADATA!B4</f>
      </c>
    </row>
    <row r="6">
      <c r="A6" t="inlineStr">
        <is>
          <t xml:space="preserve">DobleEspecialidad</t>
        </is>
      </c>
      <c r="B6">
        <f>CONFIG_METADATA!B6</f>
      </c>
    </row>
    <row r="7">
      <c r="A7" t="inlineStr">
        <is>
          <t xml:space="preserve">FueraDeLasCifras</t>
        </is>
      </c>
      <c r="B7">
        <f>CONFIG_METADATA!B7</f>
      </c>
    </row>
    <row r="8">
      <c r="A8" t="inlineStr">
        <is>
          <t xml:space="preserve">FilasConDatos</t>
        </is>
      </c>
      <c r="B8">
        <f>CONFIG_METADATA!B8</f>
      </c>
    </row>
    <row r="10">
      <c r="A10" t="inlineStr">
        <is>
          <t xml:space="preserve">#ESTADISTICAS</t>
        </is>
      </c>
    </row>
    <row r="11" spans="1:21" ht="15" customHeight="1" x14ac:dyDescent="0.2">
      <c r="A11" s="2" t="s">
        <v>133</v>
      </c>
      <c r="B11" s="2" t="s">
        <v>75</v>
      </c>
      <c r="C11" s="2" t="s">
        <v>2</v>
      </c>
      <c r="D11" s="2" t="s">
        <v>77</v>
      </c>
      <c r="E11" s="2" t="s">
        <v>78</v>
      </c>
      <c r="F11" s="2" t="s">
        <v>79</v>
      </c>
      <c r="G11" s="2" t="s">
        <v>80</v>
      </c>
      <c r="H11" s="2" t="s">
        <v>81</v>
      </c>
      <c r="I11" s="2" t="s">
        <v>82</v>
      </c>
      <c r="J11" s="2" t="s">
        <v>83</v>
      </c>
      <c r="K11" s="2" t="s">
        <v>84</v>
      </c>
      <c r="L11" s="2" t="s">
        <v>85</v>
      </c>
      <c r="M11" s="2" t="s">
        <v>86</v>
      </c>
      <c r="N11" s="2" t="s">
        <v>87</v>
      </c>
      <c r="O11" s="2" t="s">
        <v>88</v>
      </c>
      <c r="P11" s="2" t="s">
        <v>89</v>
      </c>
      <c r="Q11" s="2" t="s">
        <v>90</v>
      </c>
      <c r="R11" s="2" t="s">
        <v>91</v>
      </c>
      <c r="S11" s="2" t="s">
        <v>92</v>
      </c>
      <c r="T11" s="2" t="s">
        <v>93</v>
      </c>
      <c r="U11" s="2" t="s">
        <v>94</v>
      </c>
    </row>
    <row r="12" spans="1:24">
      <c r="A12" t="str">
        <f>IF(CALC_EEM!$B2="","",IF(CALC_EEM!A2="GLOBAL","GLOBAL",IF(CALC_EEM!C2="Total","CURSO_TOTAL",IF(CALC_EEM!C2="TotalEsp","CURSO_ESP",IF(CALC_EEM!C2="TotalNoEsp","CURSO_NOESP","CURSO_ASIG")))))</f>
      </c>
      <c r="B12" t="str">
        <f>IF(CALC_EEM!$B2="","",CALC_EEM!A2)</f>
      </c>
      <c r="C12" t="str">
        <f>IF(CALC_EEM!$B2="","",CALC_EEM!B2)</f>
      </c>
      <c r="D12">
        <f>IF(CALC_EEM!$B2="","",CALC_EEM!D2)</f>
      </c>
      <c r="E12" s="14" t="str">
        <f>IF(CALC_EEM!$B2="","",CALC_EEM!E2)</f>
      </c>
      <c r="F12" s="14" t="str">
        <f>IF(CALC_EEM!$B2="","",CALC_EEM!F2)</f>
      </c>
      <c r="G12" t="str">
        <f>IF(CALC_EEM!$B2="","",CALC_EEM!G2)</f>
      </c>
      <c r="H12" s="16" t="str">
        <f>IF(CALC_EEM!$B2="","",CALC_EEM!H2)</f>
      </c>
      <c r="I12" s="16" t="str">
        <f>IF(CALC_EEM!$B2="","",CALC_EEM!I2)</f>
      </c>
      <c r="J12" t="str">
        <f>IF(CALC_EEM!$B2="","",CALC_EEM!J2)</f>
      </c>
      <c r="K12" t="str">
        <f>IF(CALC_EEM!$B2="","",CALC_EEM!K2)</f>
      </c>
      <c r="L12">
        <f>IF(CALC_EEM!$B2="","",CALC_EEM!L2)</f>
      </c>
      <c r="M12">
        <f>IF(CALC_EEM!$B2="","",CALC_EEM!M2)</f>
      </c>
      <c r="N12">
        <f>IF(CALC_EEM!$B2="","",CALC_EEM!N2)</f>
      </c>
      <c r="O12">
        <f>IF(CALC_EEM!$B2="","",CALC_EEM!O2)</f>
      </c>
      <c r="P12">
        <f>IF(CALC_EEM!$B2="","",CALC_EEM!P2)</f>
      </c>
      <c r="Q12">
        <f>IF(CALC_EEM!$B2="","",CALC_EEM!Q2)</f>
      </c>
      <c r="R12">
        <f>IF(CALC_EEM!$B2="","",CALC_EEM!R2)</f>
      </c>
      <c r="S12">
        <f>IF(CALC_EEM!$B2="","",CALC_EEM!S2)</f>
      </c>
      <c r="T12">
        <f>IF(CALC_EEM!$B2="","",CALC_EEM!T2)</f>
      </c>
      <c r="U12">
        <f>IF(CALC_EEM!$B2="","",CALC_EEM!U2)</f>
      </c>
    </row>
    <row r="13" spans="1:24">
      <c r="A13" t="str">
        <f>IF(CALC_EEM!$B3="","",IF(CALC_EEM!A3="GLOBAL","GLOBAL",IF(CALC_EEM!C3="Total","CURSO_TOTAL",IF(CALC_EEM!C3="TotalEsp","CURSO_ESP",IF(CALC_EEM!C3="TotalNoEsp","CURSO_NOESP","CURSO_ASIG")))))</f>
      </c>
      <c r="B13" t="str">
        <f>IF(CALC_EEM!$B3="","",CALC_EEM!A3)</f>
      </c>
      <c r="C13" t="str">
        <f>IF(CALC_EEM!$B3="","",CALC_EEM!B3)</f>
      </c>
      <c r="D13">
        <f>IF(CALC_EEM!$B3="","",CALC_EEM!D3)</f>
      </c>
      <c r="E13" s="14" t="str">
        <f>IF(CALC_EEM!$B3="","",CALC_EEM!E3)</f>
      </c>
      <c r="F13" s="14" t="str">
        <f>IF(CALC_EEM!$B3="","",CALC_EEM!F3)</f>
      </c>
      <c r="G13" t="str">
        <f>IF(CALC_EEM!$B3="","",CALC_EEM!G3)</f>
      </c>
      <c r="H13" s="16" t="str">
        <f>IF(CALC_EEM!$B3="","",CALC_EEM!H3)</f>
      </c>
      <c r="I13" s="16" t="str">
        <f>IF(CALC_EEM!$B3="","",CALC_EEM!I3)</f>
      </c>
      <c r="J13" t="str">
        <f>IF(CALC_EEM!$B3="","",CALC_EEM!J3)</f>
      </c>
      <c r="K13" t="str">
        <f>IF(CALC_EEM!$B3="","",CALC_EEM!K3)</f>
      </c>
      <c r="L13">
        <f>IF(CALC_EEM!$B3="","",CALC_EEM!L3)</f>
      </c>
      <c r="M13">
        <f>IF(CALC_EEM!$B3="","",CALC_EEM!M3)</f>
      </c>
      <c r="N13">
        <f>IF(CALC_EEM!$B3="","",CALC_EEM!N3)</f>
      </c>
      <c r="O13">
        <f>IF(CALC_EEM!$B3="","",CALC_EEM!O3)</f>
      </c>
      <c r="P13">
        <f>IF(CALC_EEM!$B3="","",CALC_EEM!P3)</f>
      </c>
      <c r="Q13">
        <f>IF(CALC_EEM!$B3="","",CALC_EEM!Q3)</f>
      </c>
      <c r="R13">
        <f>IF(CALC_EEM!$B3="","",CALC_EEM!R3)</f>
      </c>
      <c r="S13">
        <f>IF(CALC_EEM!$B3="","",CALC_EEM!S3)</f>
      </c>
      <c r="T13">
        <f>IF(CALC_EEM!$B3="","",CALC_EEM!T3)</f>
      </c>
      <c r="U13">
        <f>IF(CALC_EEM!$B3="","",CALC_EEM!U3)</f>
      </c>
    </row>
    <row r="14" spans="1:24">
      <c r="A14" t="str">
        <f>IF(CALC_EEM!$B4="","",IF(CALC_EEM!A4="GLOBAL","GLOBAL",IF(CALC_EEM!C4="Total","CURSO_TOTAL",IF(CALC_EEM!C4="TotalEsp","CURSO_ESP",IF(CALC_EEM!C4="TotalNoEsp","CURSO_NOESP","CURSO_ASIG")))))</f>
      </c>
      <c r="B14" t="str">
        <f>IF(CALC_EEM!$B4="","",CALC_EEM!A4)</f>
      </c>
      <c r="C14" t="str">
        <f>IF(CALC_EEM!$B4="","",CALC_EEM!B4)</f>
      </c>
      <c r="D14">
        <f>IF(CALC_EEM!$B4="","",CALC_EEM!D4)</f>
      </c>
      <c r="E14" s="14" t="str">
        <f>IF(CALC_EEM!$B4="","",CALC_EEM!E4)</f>
      </c>
      <c r="F14" s="14" t="str">
        <f>IF(CALC_EEM!$B4="","",CALC_EEM!F4)</f>
      </c>
      <c r="G14" t="str">
        <f>IF(CALC_EEM!$B4="","",CALC_EEM!G4)</f>
      </c>
      <c r="H14" s="16" t="str">
        <f>IF(CALC_EEM!$B4="","",CALC_EEM!H4)</f>
      </c>
      <c r="I14" s="16" t="str">
        <f>IF(CALC_EEM!$B4="","",CALC_EEM!I4)</f>
      </c>
      <c r="J14" t="str">
        <f>IF(CALC_EEM!$B4="","",CALC_EEM!J4)</f>
      </c>
      <c r="K14" t="str">
        <f>IF(CALC_EEM!$B4="","",CALC_EEM!K4)</f>
      </c>
      <c r="L14">
        <f>IF(CALC_EEM!$B4="","",CALC_EEM!L4)</f>
      </c>
      <c r="M14">
        <f>IF(CALC_EEM!$B4="","",CALC_EEM!M4)</f>
      </c>
      <c r="N14">
        <f>IF(CALC_EEM!$B4="","",CALC_EEM!N4)</f>
      </c>
      <c r="O14">
        <f>IF(CALC_EEM!$B4="","",CALC_EEM!O4)</f>
      </c>
      <c r="P14">
        <f>IF(CALC_EEM!$B4="","",CALC_EEM!P4)</f>
      </c>
      <c r="Q14">
        <f>IF(CALC_EEM!$B4="","",CALC_EEM!Q4)</f>
      </c>
      <c r="R14">
        <f>IF(CALC_EEM!$B4="","",CALC_EEM!R4)</f>
      </c>
      <c r="S14">
        <f>IF(CALC_EEM!$B4="","",CALC_EEM!S4)</f>
      </c>
      <c r="T14">
        <f>IF(CALC_EEM!$B4="","",CALC_EEM!T4)</f>
      </c>
      <c r="U14">
        <f>IF(CALC_EEM!$B4="","",CALC_EEM!U4)</f>
      </c>
    </row>
    <row r="15" spans="1:24">
      <c r="A15" t="str">
        <f>IF(CALC_EEM!$B5="","",IF(CALC_EEM!A5="GLOBAL","GLOBAL",IF(CALC_EEM!C5="Total","CURSO_TOTAL",IF(CALC_EEM!C5="TotalEsp","CURSO_ESP",IF(CALC_EEM!C5="TotalNoEsp","CURSO_NOESP","CURSO_ASIG")))))</f>
      </c>
      <c r="B15" t="str">
        <f>IF(CALC_EEM!$B5="","",CALC_EEM!A5)</f>
      </c>
      <c r="C15" t="str">
        <f>IF(CALC_EEM!$B5="","",CALC_EEM!B5)</f>
      </c>
      <c r="D15">
        <f>IF(CALC_EEM!$B5="","",CALC_EEM!D5)</f>
      </c>
      <c r="E15" s="14" t="str">
        <f>IF(CALC_EEM!$B5="","",CALC_EEM!E5)</f>
      </c>
      <c r="F15" s="14" t="str">
        <f>IF(CALC_EEM!$B5="","",CALC_EEM!F5)</f>
      </c>
      <c r="G15" t="str">
        <f>IF(CALC_EEM!$B5="","",CALC_EEM!G5)</f>
      </c>
      <c r="H15" s="16" t="str">
        <f>IF(CALC_EEM!$B5="","",CALC_EEM!H5)</f>
      </c>
      <c r="I15" s="16" t="str">
        <f>IF(CALC_EEM!$B5="","",CALC_EEM!I5)</f>
      </c>
      <c r="J15" t="str">
        <f>IF(CALC_EEM!$B5="","",CALC_EEM!J5)</f>
      </c>
      <c r="K15" t="str">
        <f>IF(CALC_EEM!$B5="","",CALC_EEM!K5)</f>
      </c>
      <c r="L15">
        <f>IF(CALC_EEM!$B5="","",CALC_EEM!L5)</f>
      </c>
      <c r="M15">
        <f>IF(CALC_EEM!$B5="","",CALC_EEM!M5)</f>
      </c>
      <c r="N15">
        <f>IF(CALC_EEM!$B5="","",CALC_EEM!N5)</f>
      </c>
      <c r="O15">
        <f>IF(CALC_EEM!$B5="","",CALC_EEM!O5)</f>
      </c>
      <c r="P15">
        <f>IF(CALC_EEM!$B5="","",CALC_EEM!P5)</f>
      </c>
      <c r="Q15">
        <f>IF(CALC_EEM!$B5="","",CALC_EEM!Q5)</f>
      </c>
      <c r="R15">
        <f>IF(CALC_EEM!$B5="","",CALC_EEM!R5)</f>
      </c>
      <c r="S15">
        <f>IF(CALC_EEM!$B5="","",CALC_EEM!S5)</f>
      </c>
      <c r="T15">
        <f>IF(CALC_EEM!$B5="","",CALC_EEM!T5)</f>
      </c>
      <c r="U15">
        <f>IF(CALC_EEM!$B5="","",CALC_EEM!U5)</f>
      </c>
    </row>
    <row r="16" spans="1:24">
      <c r="A16" t="str">
        <f>IF(CALC_EEM!$B6="","",IF(CALC_EEM!A6="GLOBAL","GLOBAL",IF(CALC_EEM!C6="Total","CURSO_TOTAL",IF(CALC_EEM!C6="TotalEsp","CURSO_ESP",IF(CALC_EEM!C6="TotalNoEsp","CURSO_NOESP","CURSO_ASIG")))))</f>
      </c>
      <c r="B16" t="str">
        <f>IF(CALC_EEM!$B6="","",CALC_EEM!A6)</f>
      </c>
      <c r="C16" t="str">
        <f>IF(CALC_EEM!$B6="","",CALC_EEM!B6)</f>
      </c>
      <c r="D16">
        <f>IF(CALC_EEM!$B6="","",CALC_EEM!D6)</f>
      </c>
      <c r="E16" s="14" t="str">
        <f>IF(CALC_EEM!$B6="","",CALC_EEM!E6)</f>
      </c>
      <c r="F16" s="14" t="str">
        <f>IF(CALC_EEM!$B6="","",CALC_EEM!F6)</f>
      </c>
      <c r="G16" t="str">
        <f>IF(CALC_EEM!$B6="","",CALC_EEM!G6)</f>
      </c>
      <c r="H16" s="16" t="str">
        <f>IF(CALC_EEM!$B6="","",CALC_EEM!H6)</f>
      </c>
      <c r="I16" s="16" t="str">
        <f>IF(CALC_EEM!$B6="","",CALC_EEM!I6)</f>
      </c>
      <c r="J16" t="str">
        <f>IF(CALC_EEM!$B6="","",CALC_EEM!J6)</f>
      </c>
      <c r="K16" t="str">
        <f>IF(CALC_EEM!$B6="","",CALC_EEM!K6)</f>
      </c>
      <c r="L16">
        <f>IF(CALC_EEM!$B6="","",CALC_EEM!L6)</f>
      </c>
      <c r="M16">
        <f>IF(CALC_EEM!$B6="","",CALC_EEM!M6)</f>
      </c>
      <c r="N16">
        <f>IF(CALC_EEM!$B6="","",CALC_EEM!N6)</f>
      </c>
      <c r="O16">
        <f>IF(CALC_EEM!$B6="","",CALC_EEM!O6)</f>
      </c>
      <c r="P16">
        <f>IF(CALC_EEM!$B6="","",CALC_EEM!P6)</f>
      </c>
      <c r="Q16">
        <f>IF(CALC_EEM!$B6="","",CALC_EEM!Q6)</f>
      </c>
      <c r="R16">
        <f>IF(CALC_EEM!$B6="","",CALC_EEM!R6)</f>
      </c>
      <c r="S16">
        <f>IF(CALC_EEM!$B6="","",CALC_EEM!S6)</f>
      </c>
      <c r="T16">
        <f>IF(CALC_EEM!$B6="","",CALC_EEM!T6)</f>
      </c>
      <c r="U16">
        <f>IF(CALC_EEM!$B6="","",CALC_EEM!U6)</f>
      </c>
    </row>
    <row r="17" spans="1:24">
      <c r="A17" t="str">
        <f>IF(CALC_EEM!$B7="","",IF(CALC_EEM!A7="GLOBAL","GLOBAL",IF(CALC_EEM!C7="Total","CURSO_TOTAL",IF(CALC_EEM!C7="TotalEsp","CURSO_ESP",IF(CALC_EEM!C7="TotalNoEsp","CURSO_NOESP","CURSO_ASIG")))))</f>
      </c>
      <c r="B17" t="str">
        <f>IF(CALC_EEM!$B7="","",CALC_EEM!A7)</f>
      </c>
      <c r="C17" t="str">
        <f>IF(CALC_EEM!$B7="","",CALC_EEM!B7)</f>
      </c>
      <c r="D17">
        <f>IF(CALC_EEM!$B7="","",CALC_EEM!D7)</f>
      </c>
      <c r="E17" s="14" t="str">
        <f>IF(CALC_EEM!$B7="","",CALC_EEM!E7)</f>
      </c>
      <c r="F17" s="14" t="str">
        <f>IF(CALC_EEM!$B7="","",CALC_EEM!F7)</f>
      </c>
      <c r="G17" t="str">
        <f>IF(CALC_EEM!$B7="","",CALC_EEM!G7)</f>
      </c>
      <c r="H17" s="16" t="str">
        <f>IF(CALC_EEM!$B7="","",CALC_EEM!H7)</f>
      </c>
      <c r="I17" s="16" t="str">
        <f>IF(CALC_EEM!$B7="","",CALC_EEM!I7)</f>
      </c>
      <c r="J17" t="str">
        <f>IF(CALC_EEM!$B7="","",CALC_EEM!J7)</f>
      </c>
      <c r="K17" t="str">
        <f>IF(CALC_EEM!$B7="","",CALC_EEM!K7)</f>
      </c>
      <c r="L17">
        <f>IF(CALC_EEM!$B7="","",CALC_EEM!L7)</f>
      </c>
      <c r="M17">
        <f>IF(CALC_EEM!$B7="","",CALC_EEM!M7)</f>
      </c>
      <c r="N17">
        <f>IF(CALC_EEM!$B7="","",CALC_EEM!N7)</f>
      </c>
      <c r="O17">
        <f>IF(CALC_EEM!$B7="","",CALC_EEM!O7)</f>
      </c>
      <c r="P17">
        <f>IF(CALC_EEM!$B7="","",CALC_EEM!P7)</f>
      </c>
      <c r="Q17">
        <f>IF(CALC_EEM!$B7="","",CALC_EEM!Q7)</f>
      </c>
      <c r="R17">
        <f>IF(CALC_EEM!$B7="","",CALC_EEM!R7)</f>
      </c>
      <c r="S17">
        <f>IF(CALC_EEM!$B7="","",CALC_EEM!S7)</f>
      </c>
      <c r="T17">
        <f>IF(CALC_EEM!$B7="","",CALC_EEM!T7)</f>
      </c>
      <c r="U17">
        <f>IF(CALC_EEM!$B7="","",CALC_EEM!U7)</f>
      </c>
    </row>
    <row r="18" spans="1:24">
      <c r="A18" t="str">
        <f>IF(CALC_EEM!$B8="","",IF(CALC_EEM!A8="GLOBAL","GLOBAL",IF(CALC_EEM!C8="Total","CURSO_TOTAL",IF(CALC_EEM!C8="TotalEsp","CURSO_ESP",IF(CALC_EEM!C8="TotalNoEsp","CURSO_NOESP","CURSO_ASIG")))))</f>
      </c>
      <c r="B18" t="str">
        <f>IF(CALC_EEM!$B8="","",CALC_EEM!A8)</f>
      </c>
      <c r="C18" t="str">
        <f>IF(CALC_EEM!$B8="","",CALC_EEM!B8)</f>
      </c>
      <c r="D18">
        <f>IF(CALC_EEM!$B8="","",CALC_EEM!D8)</f>
      </c>
      <c r="E18" s="14" t="str">
        <f>IF(CALC_EEM!$B8="","",CALC_EEM!E8)</f>
      </c>
      <c r="F18" s="14" t="str">
        <f>IF(CALC_EEM!$B8="","",CALC_EEM!F8)</f>
      </c>
      <c r="G18" t="str">
        <f>IF(CALC_EEM!$B8="","",CALC_EEM!G8)</f>
      </c>
      <c r="H18" s="16" t="str">
        <f>IF(CALC_EEM!$B8="","",CALC_EEM!H8)</f>
      </c>
      <c r="I18" s="16" t="str">
        <f>IF(CALC_EEM!$B8="","",CALC_EEM!I8)</f>
      </c>
      <c r="J18" t="str">
        <f>IF(CALC_EEM!$B8="","",CALC_EEM!J8)</f>
      </c>
      <c r="K18" t="str">
        <f>IF(CALC_EEM!$B8="","",CALC_EEM!K8)</f>
      </c>
      <c r="L18">
        <f>IF(CALC_EEM!$B8="","",CALC_EEM!L8)</f>
      </c>
      <c r="M18">
        <f>IF(CALC_EEM!$B8="","",CALC_EEM!M8)</f>
      </c>
      <c r="N18">
        <f>IF(CALC_EEM!$B8="","",CALC_EEM!N8)</f>
      </c>
      <c r="O18">
        <f>IF(CALC_EEM!$B8="","",CALC_EEM!O8)</f>
      </c>
      <c r="P18">
        <f>IF(CALC_EEM!$B8="","",CALC_EEM!P8)</f>
      </c>
      <c r="Q18">
        <f>IF(CALC_EEM!$B8="","",CALC_EEM!Q8)</f>
      </c>
      <c r="R18">
        <f>IF(CALC_EEM!$B8="","",CALC_EEM!R8)</f>
      </c>
      <c r="S18">
        <f>IF(CALC_EEM!$B8="","",CALC_EEM!S8)</f>
      </c>
      <c r="T18">
        <f>IF(CALC_EEM!$B8="","",CALC_EEM!T8)</f>
      </c>
      <c r="U18">
        <f>IF(CALC_EEM!$B8="","",CALC_EEM!U8)</f>
      </c>
    </row>
    <row r="19" spans="1:24">
      <c r="A19" t="str">
        <f>IF(CALC_EEM!$B9="","",IF(CALC_EEM!A9="GLOBAL","GLOBAL",IF(CALC_EEM!C9="Total","CURSO_TOTAL",IF(CALC_EEM!C9="TotalEsp","CURSO_ESP",IF(CALC_EEM!C9="TotalNoEsp","CURSO_NOESP","CURSO_ASIG")))))</f>
      </c>
      <c r="B19" t="str">
        <f>IF(CALC_EEM!$B9="","",CALC_EEM!A9)</f>
      </c>
      <c r="C19" t="str">
        <f>IF(CALC_EEM!$B9="","",CALC_EEM!B9)</f>
      </c>
      <c r="D19">
        <f>IF(CALC_EEM!$B9="","",CALC_EEM!D9)</f>
      </c>
      <c r="E19" s="14" t="str">
        <f>IF(CALC_EEM!$B9="","",CALC_EEM!E9)</f>
      </c>
      <c r="F19" s="14" t="str">
        <f>IF(CALC_EEM!$B9="","",CALC_EEM!F9)</f>
      </c>
      <c r="G19" t="str">
        <f>IF(CALC_EEM!$B9="","",CALC_EEM!G9)</f>
      </c>
      <c r="H19" s="16" t="str">
        <f>IF(CALC_EEM!$B9="","",CALC_EEM!H9)</f>
      </c>
      <c r="I19" s="16" t="str">
        <f>IF(CALC_EEM!$B9="","",CALC_EEM!I9)</f>
      </c>
      <c r="J19" t="str">
        <f>IF(CALC_EEM!$B9="","",CALC_EEM!J9)</f>
      </c>
      <c r="K19" t="str">
        <f>IF(CALC_EEM!$B9="","",CALC_EEM!K9)</f>
      </c>
      <c r="L19">
        <f>IF(CALC_EEM!$B9="","",CALC_EEM!L9)</f>
      </c>
      <c r="M19">
        <f>IF(CALC_EEM!$B9="","",CALC_EEM!M9)</f>
      </c>
      <c r="N19">
        <f>IF(CALC_EEM!$B9="","",CALC_EEM!N9)</f>
      </c>
      <c r="O19">
        <f>IF(CALC_EEM!$B9="","",CALC_EEM!O9)</f>
      </c>
      <c r="P19">
        <f>IF(CALC_EEM!$B9="","",CALC_EEM!P9)</f>
      </c>
      <c r="Q19">
        <f>IF(CALC_EEM!$B9="","",CALC_EEM!Q9)</f>
      </c>
      <c r="R19">
        <f>IF(CALC_EEM!$B9="","",CALC_EEM!R9)</f>
      </c>
      <c r="S19">
        <f>IF(CALC_EEM!$B9="","",CALC_EEM!S9)</f>
      </c>
      <c r="T19">
        <f>IF(CALC_EEM!$B9="","",CALC_EEM!T9)</f>
      </c>
      <c r="U19">
        <f>IF(CALC_EEM!$B9="","",CALC_EEM!U9)</f>
      </c>
    </row>
    <row r="20" spans="1:24">
      <c r="A20" t="str">
        <f>IF(CALC_EEM!$B10="","",IF(CALC_EEM!A10="GLOBAL","GLOBAL",IF(CALC_EEM!C10="Total","CURSO_TOTAL",IF(CALC_EEM!C10="TotalEsp","CURSO_ESP",IF(CALC_EEM!C10="TotalNoEsp","CURSO_NOESP","CURSO_ASIG")))))</f>
      </c>
      <c r="B20" t="str">
        <f>IF(CALC_EEM!$B10="","",CALC_EEM!A10)</f>
      </c>
      <c r="C20" t="str">
        <f>IF(CALC_EEM!$B10="","",CALC_EEM!B10)</f>
      </c>
      <c r="D20">
        <f>IF(CALC_EEM!$B10="","",CALC_EEM!D10)</f>
      </c>
      <c r="E20" s="14" t="str">
        <f>IF(CALC_EEM!$B10="","",CALC_EEM!E10)</f>
      </c>
      <c r="F20" s="14" t="str">
        <f>IF(CALC_EEM!$B10="","",CALC_EEM!F10)</f>
      </c>
      <c r="G20" t="str">
        <f>IF(CALC_EEM!$B10="","",CALC_EEM!G10)</f>
      </c>
      <c r="H20" s="16" t="str">
        <f>IF(CALC_EEM!$B10="","",CALC_EEM!H10)</f>
      </c>
      <c r="I20" s="16" t="str">
        <f>IF(CALC_EEM!$B10="","",CALC_EEM!I10)</f>
      </c>
      <c r="J20" t="str">
        <f>IF(CALC_EEM!$B10="","",CALC_EEM!J10)</f>
      </c>
      <c r="K20" t="str">
        <f>IF(CALC_EEM!$B10="","",CALC_EEM!K10)</f>
      </c>
      <c r="L20">
        <f>IF(CALC_EEM!$B10="","",CALC_EEM!L10)</f>
      </c>
      <c r="M20">
        <f>IF(CALC_EEM!$B10="","",CALC_EEM!M10)</f>
      </c>
      <c r="N20">
        <f>IF(CALC_EEM!$B10="","",CALC_EEM!N10)</f>
      </c>
      <c r="O20">
        <f>IF(CALC_EEM!$B10="","",CALC_EEM!O10)</f>
      </c>
      <c r="P20">
        <f>IF(CALC_EEM!$B10="","",CALC_EEM!P10)</f>
      </c>
      <c r="Q20">
        <f>IF(CALC_EEM!$B10="","",CALC_EEM!Q10)</f>
      </c>
      <c r="R20">
        <f>IF(CALC_EEM!$B10="","",CALC_EEM!R10)</f>
      </c>
      <c r="S20">
        <f>IF(CALC_EEM!$B10="","",CALC_EEM!S10)</f>
      </c>
      <c r="T20">
        <f>IF(CALC_EEM!$B10="","",CALC_EEM!T10)</f>
      </c>
      <c r="U20">
        <f>IF(CALC_EEM!$B10="","",CALC_EEM!U10)</f>
      </c>
    </row>
    <row r="21" spans="1:24">
      <c r="A21" t="str">
        <f>IF(CALC_EEM!$B11="","",IF(CALC_EEM!A11="GLOBAL","GLOBAL",IF(CALC_EEM!C11="Total","CURSO_TOTAL",IF(CALC_EEM!C11="TotalEsp","CURSO_ESP",IF(CALC_EEM!C11="TotalNoEsp","CURSO_NOESP","CURSO_ASIG")))))</f>
      </c>
      <c r="B21" t="str">
        <f>IF(CALC_EEM!$B11="","",CALC_EEM!A11)</f>
      </c>
      <c r="C21" t="str">
        <f>IF(CALC_EEM!$B11="","",CALC_EEM!B11)</f>
      </c>
      <c r="D21">
        <f>IF(CALC_EEM!$B11="","",CALC_EEM!D11)</f>
      </c>
      <c r="E21" s="14" t="str">
        <f>IF(CALC_EEM!$B11="","",CALC_EEM!E11)</f>
      </c>
      <c r="F21" s="14" t="str">
        <f>IF(CALC_EEM!$B11="","",CALC_EEM!F11)</f>
      </c>
      <c r="G21" t="str">
        <f>IF(CALC_EEM!$B11="","",CALC_EEM!G11)</f>
      </c>
      <c r="H21" s="16" t="str">
        <f>IF(CALC_EEM!$B11="","",CALC_EEM!H11)</f>
      </c>
      <c r="I21" s="16" t="str">
        <f>IF(CALC_EEM!$B11="","",CALC_EEM!I11)</f>
      </c>
      <c r="J21" t="str">
        <f>IF(CALC_EEM!$B11="","",CALC_EEM!J11)</f>
      </c>
      <c r="K21" t="str">
        <f>IF(CALC_EEM!$B11="","",CALC_EEM!K11)</f>
      </c>
      <c r="L21">
        <f>IF(CALC_EEM!$B11="","",CALC_EEM!L11)</f>
      </c>
      <c r="M21">
        <f>IF(CALC_EEM!$B11="","",CALC_EEM!M11)</f>
      </c>
      <c r="N21">
        <f>IF(CALC_EEM!$B11="","",CALC_EEM!N11)</f>
      </c>
      <c r="O21">
        <f>IF(CALC_EEM!$B11="","",CALC_EEM!O11)</f>
      </c>
      <c r="P21">
        <f>IF(CALC_EEM!$B11="","",CALC_EEM!P11)</f>
      </c>
      <c r="Q21">
        <f>IF(CALC_EEM!$B11="","",CALC_EEM!Q11)</f>
      </c>
      <c r="R21">
        <f>IF(CALC_EEM!$B11="","",CALC_EEM!R11)</f>
      </c>
      <c r="S21">
        <f>IF(CALC_EEM!$B11="","",CALC_EEM!S11)</f>
      </c>
      <c r="T21">
        <f>IF(CALC_EEM!$B11="","",CALC_EEM!T11)</f>
      </c>
      <c r="U21">
        <f>IF(CALC_EEM!$B11="","",CALC_EEM!U11)</f>
      </c>
    </row>
    <row r="22" spans="1:24">
      <c r="A22" t="str">
        <f>IF(CALC_EEM!$B12="","",IF(CALC_EEM!A12="GLOBAL","GLOBAL",IF(CALC_EEM!C12="Total","CURSO_TOTAL",IF(CALC_EEM!C12="TotalEsp","CURSO_ESP",IF(CALC_EEM!C12="TotalNoEsp","CURSO_NOESP","CURSO_ASIG")))))</f>
      </c>
      <c r="B22" t="str">
        <f>IF(CALC_EEM!$B12="","",CALC_EEM!A12)</f>
      </c>
      <c r="C22" t="str">
        <f>IF(CALC_EEM!$B12="","",CALC_EEM!B12)</f>
      </c>
      <c r="D22">
        <f>IF(CALC_EEM!$B12="","",CALC_EEM!D12)</f>
      </c>
      <c r="E22" s="14" t="str">
        <f>IF(CALC_EEM!$B12="","",CALC_EEM!E12)</f>
      </c>
      <c r="F22" s="14" t="str">
        <f>IF(CALC_EEM!$B12="","",CALC_EEM!F12)</f>
      </c>
      <c r="G22" t="str">
        <f>IF(CALC_EEM!$B12="","",CALC_EEM!G12)</f>
      </c>
      <c r="H22" s="16" t="str">
        <f>IF(CALC_EEM!$B12="","",CALC_EEM!H12)</f>
      </c>
      <c r="I22" s="16" t="str">
        <f>IF(CALC_EEM!$B12="","",CALC_EEM!I12)</f>
      </c>
      <c r="J22" t="str">
        <f>IF(CALC_EEM!$B12="","",CALC_EEM!J12)</f>
      </c>
      <c r="K22" t="str">
        <f>IF(CALC_EEM!$B12="","",CALC_EEM!K12)</f>
      </c>
      <c r="L22">
        <f>IF(CALC_EEM!$B12="","",CALC_EEM!L12)</f>
      </c>
      <c r="M22">
        <f>IF(CALC_EEM!$B12="","",CALC_EEM!M12)</f>
      </c>
      <c r="N22">
        <f>IF(CALC_EEM!$B12="","",CALC_EEM!N12)</f>
      </c>
      <c r="O22">
        <f>IF(CALC_EEM!$B12="","",CALC_EEM!O12)</f>
      </c>
      <c r="P22">
        <f>IF(CALC_EEM!$B12="","",CALC_EEM!P12)</f>
      </c>
      <c r="Q22">
        <f>IF(CALC_EEM!$B12="","",CALC_EEM!Q12)</f>
      </c>
      <c r="R22">
        <f>IF(CALC_EEM!$B12="","",CALC_EEM!R12)</f>
      </c>
      <c r="S22">
        <f>IF(CALC_EEM!$B12="","",CALC_EEM!S12)</f>
      </c>
      <c r="T22">
        <f>IF(CALC_EEM!$B12="","",CALC_EEM!T12)</f>
      </c>
      <c r="U22">
        <f>IF(CALC_EEM!$B12="","",CALC_EEM!U12)</f>
      </c>
    </row>
    <row r="23" spans="1:24">
      <c r="A23" t="str">
        <f>IF(CALC_EEM!$B13="","",IF(CALC_EEM!A13="GLOBAL","GLOBAL",IF(CALC_EEM!C13="Total","CURSO_TOTAL",IF(CALC_EEM!C13="TotalEsp","CURSO_ESP",IF(CALC_EEM!C13="TotalNoEsp","CURSO_NOESP","CURSO_ASIG")))))</f>
      </c>
      <c r="B23" t="str">
        <f>IF(CALC_EEM!$B13="","",CALC_EEM!A13)</f>
      </c>
      <c r="C23" t="str">
        <f>IF(CALC_EEM!$B13="","",CALC_EEM!B13)</f>
      </c>
      <c r="D23">
        <f>IF(CALC_EEM!$B13="","",CALC_EEM!D13)</f>
      </c>
      <c r="E23" s="14" t="str">
        <f>IF(CALC_EEM!$B13="","",CALC_EEM!E13)</f>
      </c>
      <c r="F23" s="14" t="str">
        <f>IF(CALC_EEM!$B13="","",CALC_EEM!F13)</f>
      </c>
      <c r="G23" t="str">
        <f>IF(CALC_EEM!$B13="","",CALC_EEM!G13)</f>
      </c>
      <c r="H23" s="16" t="str">
        <f>IF(CALC_EEM!$B13="","",CALC_EEM!H13)</f>
      </c>
      <c r="I23" s="16" t="str">
        <f>IF(CALC_EEM!$B13="","",CALC_EEM!I13)</f>
      </c>
      <c r="J23" t="str">
        <f>IF(CALC_EEM!$B13="","",CALC_EEM!J13)</f>
      </c>
      <c r="K23" t="str">
        <f>IF(CALC_EEM!$B13="","",CALC_EEM!K13)</f>
      </c>
      <c r="L23">
        <f>IF(CALC_EEM!$B13="","",CALC_EEM!L13)</f>
      </c>
      <c r="M23">
        <f>IF(CALC_EEM!$B13="","",CALC_EEM!M13)</f>
      </c>
      <c r="N23">
        <f>IF(CALC_EEM!$B13="","",CALC_EEM!N13)</f>
      </c>
      <c r="O23">
        <f>IF(CALC_EEM!$B13="","",CALC_EEM!O13)</f>
      </c>
      <c r="P23">
        <f>IF(CALC_EEM!$B13="","",CALC_EEM!P13)</f>
      </c>
      <c r="Q23">
        <f>IF(CALC_EEM!$B13="","",CALC_EEM!Q13)</f>
      </c>
      <c r="R23">
        <f>IF(CALC_EEM!$B13="","",CALC_EEM!R13)</f>
      </c>
      <c r="S23">
        <f>IF(CALC_EEM!$B13="","",CALC_EEM!S13)</f>
      </c>
      <c r="T23">
        <f>IF(CALC_EEM!$B13="","",CALC_EEM!T13)</f>
      </c>
      <c r="U23">
        <f>IF(CALC_EEM!$B13="","",CALC_EEM!U13)</f>
      </c>
    </row>
    <row r="24" spans="1:24">
      <c r="A24" t="str">
        <f>IF(CALC_EEM!$B14="","",IF(CALC_EEM!A14="GLOBAL","GLOBAL",IF(CALC_EEM!C14="Total","CURSO_TOTAL",IF(CALC_EEM!C14="TotalEsp","CURSO_ESP",IF(CALC_EEM!C14="TotalNoEsp","CURSO_NOESP","CURSO_ASIG")))))</f>
      </c>
      <c r="B24" t="str">
        <f>IF(CALC_EEM!$B14="","",CALC_EEM!A14)</f>
      </c>
      <c r="C24" t="str">
        <f>IF(CALC_EEM!$B14="","",CALC_EEM!B14)</f>
      </c>
      <c r="D24">
        <f>IF(CALC_EEM!$B14="","",CALC_EEM!D14)</f>
      </c>
      <c r="E24" s="14" t="str">
        <f>IF(CALC_EEM!$B14="","",CALC_EEM!E14)</f>
      </c>
      <c r="F24" s="14" t="str">
        <f>IF(CALC_EEM!$B14="","",CALC_EEM!F14)</f>
      </c>
      <c r="G24" t="str">
        <f>IF(CALC_EEM!$B14="","",CALC_EEM!G14)</f>
      </c>
      <c r="H24" s="16" t="str">
        <f>IF(CALC_EEM!$B14="","",CALC_EEM!H14)</f>
      </c>
      <c r="I24" s="16" t="str">
        <f>IF(CALC_EEM!$B14="","",CALC_EEM!I14)</f>
      </c>
      <c r="J24" t="str">
        <f>IF(CALC_EEM!$B14="","",CALC_EEM!J14)</f>
      </c>
      <c r="K24" t="str">
        <f>IF(CALC_EEM!$B14="","",CALC_EEM!K14)</f>
      </c>
      <c r="L24">
        <f>IF(CALC_EEM!$B14="","",CALC_EEM!L14)</f>
      </c>
      <c r="M24">
        <f>IF(CALC_EEM!$B14="","",CALC_EEM!M14)</f>
      </c>
      <c r="N24">
        <f>IF(CALC_EEM!$B14="","",CALC_EEM!N14)</f>
      </c>
      <c r="O24">
        <f>IF(CALC_EEM!$B14="","",CALC_EEM!O14)</f>
      </c>
      <c r="P24">
        <f>IF(CALC_EEM!$B14="","",CALC_EEM!P14)</f>
      </c>
      <c r="Q24">
        <f>IF(CALC_EEM!$B14="","",CALC_EEM!Q14)</f>
      </c>
      <c r="R24">
        <f>IF(CALC_EEM!$B14="","",CALC_EEM!R14)</f>
      </c>
      <c r="S24">
        <f>IF(CALC_EEM!$B14="","",CALC_EEM!S14)</f>
      </c>
      <c r="T24">
        <f>IF(CALC_EEM!$B14="","",CALC_EEM!T14)</f>
      </c>
      <c r="U24">
        <f>IF(CALC_EEM!$B14="","",CALC_EEM!U14)</f>
      </c>
    </row>
    <row r="25" spans="1:24">
      <c r="A25" t="str">
        <f>IF(CALC_EEM!$B15="","",IF(CALC_EEM!A15="GLOBAL","GLOBAL",IF(CALC_EEM!C15="Total","CURSO_TOTAL",IF(CALC_EEM!C15="TotalEsp","CURSO_ESP",IF(CALC_EEM!C15="TotalNoEsp","CURSO_NOESP","CURSO_ASIG")))))</f>
      </c>
      <c r="B25" t="str">
        <f>IF(CALC_EEM!$B15="","",CALC_EEM!A15)</f>
      </c>
      <c r="C25" t="str">
        <f>IF(CALC_EEM!$B15="","",CALC_EEM!B15)</f>
      </c>
      <c r="D25">
        <f>IF(CALC_EEM!$B15="","",CALC_EEM!D15)</f>
      </c>
      <c r="E25" s="14" t="str">
        <f>IF(CALC_EEM!$B15="","",CALC_EEM!E15)</f>
      </c>
      <c r="F25" s="14" t="str">
        <f>IF(CALC_EEM!$B15="","",CALC_EEM!F15)</f>
      </c>
      <c r="G25" t="str">
        <f>IF(CALC_EEM!$B15="","",CALC_EEM!G15)</f>
      </c>
      <c r="H25" s="16" t="str">
        <f>IF(CALC_EEM!$B15="","",CALC_EEM!H15)</f>
      </c>
      <c r="I25" s="16" t="str">
        <f>IF(CALC_EEM!$B15="","",CALC_EEM!I15)</f>
      </c>
      <c r="J25" t="str">
        <f>IF(CALC_EEM!$B15="","",CALC_EEM!J15)</f>
      </c>
      <c r="K25" t="str">
        <f>IF(CALC_EEM!$B15="","",CALC_EEM!K15)</f>
      </c>
      <c r="L25">
        <f>IF(CALC_EEM!$B15="","",CALC_EEM!L15)</f>
      </c>
      <c r="M25">
        <f>IF(CALC_EEM!$B15="","",CALC_EEM!M15)</f>
      </c>
      <c r="N25">
        <f>IF(CALC_EEM!$B15="","",CALC_EEM!N15)</f>
      </c>
      <c r="O25">
        <f>IF(CALC_EEM!$B15="","",CALC_EEM!O15)</f>
      </c>
      <c r="P25">
        <f>IF(CALC_EEM!$B15="","",CALC_EEM!P15)</f>
      </c>
      <c r="Q25">
        <f>IF(CALC_EEM!$B15="","",CALC_EEM!Q15)</f>
      </c>
      <c r="R25">
        <f>IF(CALC_EEM!$B15="","",CALC_EEM!R15)</f>
      </c>
      <c r="S25">
        <f>IF(CALC_EEM!$B15="","",CALC_EEM!S15)</f>
      </c>
      <c r="T25">
        <f>IF(CALC_EEM!$B15="","",CALC_EEM!T15)</f>
      </c>
      <c r="U25">
        <f>IF(CALC_EEM!$B15="","",CALC_EEM!U15)</f>
      </c>
    </row>
    <row r="26" spans="1:24">
      <c r="A26" t="str">
        <f>IF(CALC_EEM!$B16="","",IF(CALC_EEM!A16="GLOBAL","GLOBAL",IF(CALC_EEM!C16="Total","CURSO_TOTAL",IF(CALC_EEM!C16="TotalEsp","CURSO_ESP",IF(CALC_EEM!C16="TotalNoEsp","CURSO_NOESP","CURSO_ASIG")))))</f>
      </c>
      <c r="B26" t="str">
        <f>IF(CALC_EEM!$B16="","",CALC_EEM!A16)</f>
      </c>
      <c r="C26" t="str">
        <f>IF(CALC_EEM!$B16="","",CALC_EEM!B16)</f>
      </c>
      <c r="D26">
        <f>IF(CALC_EEM!$B16="","",CALC_EEM!D16)</f>
      </c>
      <c r="E26" s="14" t="str">
        <f>IF(CALC_EEM!$B16="","",CALC_EEM!E16)</f>
      </c>
      <c r="F26" s="14" t="str">
        <f>IF(CALC_EEM!$B16="","",CALC_EEM!F16)</f>
      </c>
      <c r="G26" t="str">
        <f>IF(CALC_EEM!$B16="","",CALC_EEM!G16)</f>
      </c>
      <c r="H26" s="16" t="str">
        <f>IF(CALC_EEM!$B16="","",CALC_EEM!H16)</f>
      </c>
      <c r="I26" s="16" t="str">
        <f>IF(CALC_EEM!$B16="","",CALC_EEM!I16)</f>
      </c>
      <c r="J26" t="str">
        <f>IF(CALC_EEM!$B16="","",CALC_EEM!J16)</f>
      </c>
      <c r="K26" t="str">
        <f>IF(CALC_EEM!$B16="","",CALC_EEM!K16)</f>
      </c>
      <c r="L26">
        <f>IF(CALC_EEM!$B16="","",CALC_EEM!L16)</f>
      </c>
      <c r="M26">
        <f>IF(CALC_EEM!$B16="","",CALC_EEM!M16)</f>
      </c>
      <c r="N26">
        <f>IF(CALC_EEM!$B16="","",CALC_EEM!N16)</f>
      </c>
      <c r="O26">
        <f>IF(CALC_EEM!$B16="","",CALC_EEM!O16)</f>
      </c>
      <c r="P26">
        <f>IF(CALC_EEM!$B16="","",CALC_EEM!P16)</f>
      </c>
      <c r="Q26">
        <f>IF(CALC_EEM!$B16="","",CALC_EEM!Q16)</f>
      </c>
      <c r="R26">
        <f>IF(CALC_EEM!$B16="","",CALC_EEM!R16)</f>
      </c>
      <c r="S26">
        <f>IF(CALC_EEM!$B16="","",CALC_EEM!S16)</f>
      </c>
      <c r="T26">
        <f>IF(CALC_EEM!$B16="","",CALC_EEM!T16)</f>
      </c>
      <c r="U26">
        <f>IF(CALC_EEM!$B16="","",CALC_EEM!U16)</f>
      </c>
    </row>
    <row r="27" spans="1:24">
      <c r="A27" t="str">
        <f>IF(CALC_EEM!$B17="","",IF(CALC_EEM!A17="GLOBAL","GLOBAL",IF(CALC_EEM!C17="Total","CURSO_TOTAL",IF(CALC_EEM!C17="TotalEsp","CURSO_ESP",IF(CALC_EEM!C17="TotalNoEsp","CURSO_NOESP","CURSO_ASIG")))))</f>
      </c>
      <c r="B27" t="str">
        <f>IF(CALC_EEM!$B17="","",CALC_EEM!A17)</f>
      </c>
      <c r="C27" t="str">
        <f>IF(CALC_EEM!$B17="","",CALC_EEM!B17)</f>
      </c>
      <c r="D27">
        <f>IF(CALC_EEM!$B17="","",CALC_EEM!D17)</f>
      </c>
      <c r="E27" s="14" t="str">
        <f>IF(CALC_EEM!$B17="","",CALC_EEM!E17)</f>
      </c>
      <c r="F27" s="14" t="str">
        <f>IF(CALC_EEM!$B17="","",CALC_EEM!F17)</f>
      </c>
      <c r="G27" t="str">
        <f>IF(CALC_EEM!$B17="","",CALC_EEM!G17)</f>
      </c>
      <c r="H27" s="16" t="str">
        <f>IF(CALC_EEM!$B17="","",CALC_EEM!H17)</f>
      </c>
      <c r="I27" s="16" t="str">
        <f>IF(CALC_EEM!$B17="","",CALC_EEM!I17)</f>
      </c>
      <c r="J27" t="str">
        <f>IF(CALC_EEM!$B17="","",CALC_EEM!J17)</f>
      </c>
      <c r="K27" t="str">
        <f>IF(CALC_EEM!$B17="","",CALC_EEM!K17)</f>
      </c>
      <c r="L27">
        <f>IF(CALC_EEM!$B17="","",CALC_EEM!L17)</f>
      </c>
      <c r="M27">
        <f>IF(CALC_EEM!$B17="","",CALC_EEM!M17)</f>
      </c>
      <c r="N27">
        <f>IF(CALC_EEM!$B17="","",CALC_EEM!N17)</f>
      </c>
      <c r="O27">
        <f>IF(CALC_EEM!$B17="","",CALC_EEM!O17)</f>
      </c>
      <c r="P27">
        <f>IF(CALC_EEM!$B17="","",CALC_EEM!P17)</f>
      </c>
      <c r="Q27">
        <f>IF(CALC_EEM!$B17="","",CALC_EEM!Q17)</f>
      </c>
      <c r="R27">
        <f>IF(CALC_EEM!$B17="","",CALC_EEM!R17)</f>
      </c>
      <c r="S27">
        <f>IF(CALC_EEM!$B17="","",CALC_EEM!S17)</f>
      </c>
      <c r="T27">
        <f>IF(CALC_EEM!$B17="","",CALC_EEM!T17)</f>
      </c>
      <c r="U27">
        <f>IF(CALC_EEM!$B17="","",CALC_EEM!U17)</f>
      </c>
    </row>
    <row r="28" spans="1:24">
      <c r="A28" t="str">
        <f>IF(CALC_EEM!$B18="","",IF(CALC_EEM!A18="GLOBAL","GLOBAL",IF(CALC_EEM!C18="Total","CURSO_TOTAL",IF(CALC_EEM!C18="TotalEsp","CURSO_ESP",IF(CALC_EEM!C18="TotalNoEsp","CURSO_NOESP","CURSO_ASIG")))))</f>
      </c>
      <c r="B28" t="str">
        <f>IF(CALC_EEM!$B18="","",CALC_EEM!A18)</f>
      </c>
      <c r="C28" t="str">
        <f>IF(CALC_EEM!$B18="","",CALC_EEM!B18)</f>
      </c>
      <c r="D28">
        <f>IF(CALC_EEM!$B18="","",CALC_EEM!D18)</f>
      </c>
      <c r="E28" s="14" t="str">
        <f>IF(CALC_EEM!$B18="","",CALC_EEM!E18)</f>
      </c>
      <c r="F28" s="14" t="str">
        <f>IF(CALC_EEM!$B18="","",CALC_EEM!F18)</f>
      </c>
      <c r="G28" t="str">
        <f>IF(CALC_EEM!$B18="","",CALC_EEM!G18)</f>
      </c>
      <c r="H28" s="16" t="str">
        <f>IF(CALC_EEM!$B18="","",CALC_EEM!H18)</f>
      </c>
      <c r="I28" s="16" t="str">
        <f>IF(CALC_EEM!$B18="","",CALC_EEM!I18)</f>
      </c>
      <c r="J28" t="str">
        <f>IF(CALC_EEM!$B18="","",CALC_EEM!J18)</f>
      </c>
      <c r="K28" t="str">
        <f>IF(CALC_EEM!$B18="","",CALC_EEM!K18)</f>
      </c>
      <c r="L28">
        <f>IF(CALC_EEM!$B18="","",CALC_EEM!L18)</f>
      </c>
      <c r="M28">
        <f>IF(CALC_EEM!$B18="","",CALC_EEM!M18)</f>
      </c>
      <c r="N28">
        <f>IF(CALC_EEM!$B18="","",CALC_EEM!N18)</f>
      </c>
      <c r="O28">
        <f>IF(CALC_EEM!$B18="","",CALC_EEM!O18)</f>
      </c>
      <c r="P28">
        <f>IF(CALC_EEM!$B18="","",CALC_EEM!P18)</f>
      </c>
      <c r="Q28">
        <f>IF(CALC_EEM!$B18="","",CALC_EEM!Q18)</f>
      </c>
      <c r="R28">
        <f>IF(CALC_EEM!$B18="","",CALC_EEM!R18)</f>
      </c>
      <c r="S28">
        <f>IF(CALC_EEM!$B18="","",CALC_EEM!S18)</f>
      </c>
      <c r="T28">
        <f>IF(CALC_EEM!$B18="","",CALC_EEM!T18)</f>
      </c>
      <c r="U28">
        <f>IF(CALC_EEM!$B18="","",CALC_EEM!U18)</f>
      </c>
    </row>
    <row r="29" spans="1:24">
      <c r="A29" t="str">
        <f>IF(CALC_EEM!$B19="","",IF(CALC_EEM!A19="GLOBAL","GLOBAL",IF(CALC_EEM!C19="Total","CURSO_TOTAL",IF(CALC_EEM!C19="TotalEsp","CURSO_ESP",IF(CALC_EEM!C19="TotalNoEsp","CURSO_NOESP","CURSO_ASIG")))))</f>
      </c>
      <c r="B29" t="str">
        <f>IF(CALC_EEM!$B19="","",CALC_EEM!A19)</f>
      </c>
      <c r="C29" t="str">
        <f>IF(CALC_EEM!$B19="","",CALC_EEM!B19)</f>
      </c>
      <c r="D29">
        <f>IF(CALC_EEM!$B19="","",CALC_EEM!D19)</f>
      </c>
      <c r="E29" s="14" t="str">
        <f>IF(CALC_EEM!$B19="","",CALC_EEM!E19)</f>
      </c>
      <c r="F29" s="14" t="str">
        <f>IF(CALC_EEM!$B19="","",CALC_EEM!F19)</f>
      </c>
      <c r="G29" t="str">
        <f>IF(CALC_EEM!$B19="","",CALC_EEM!G19)</f>
      </c>
      <c r="H29" s="16" t="str">
        <f>IF(CALC_EEM!$B19="","",CALC_EEM!H19)</f>
      </c>
      <c r="I29" s="16" t="str">
        <f>IF(CALC_EEM!$B19="","",CALC_EEM!I19)</f>
      </c>
      <c r="J29" t="str">
        <f>IF(CALC_EEM!$B19="","",CALC_EEM!J19)</f>
      </c>
      <c r="K29" t="str">
        <f>IF(CALC_EEM!$B19="","",CALC_EEM!K19)</f>
      </c>
      <c r="L29">
        <f>IF(CALC_EEM!$B19="","",CALC_EEM!L19)</f>
      </c>
      <c r="M29">
        <f>IF(CALC_EEM!$B19="","",CALC_EEM!M19)</f>
      </c>
      <c r="N29">
        <f>IF(CALC_EEM!$B19="","",CALC_EEM!N19)</f>
      </c>
      <c r="O29">
        <f>IF(CALC_EEM!$B19="","",CALC_EEM!O19)</f>
      </c>
      <c r="P29">
        <f>IF(CALC_EEM!$B19="","",CALC_EEM!P19)</f>
      </c>
      <c r="Q29">
        <f>IF(CALC_EEM!$B19="","",CALC_EEM!Q19)</f>
      </c>
      <c r="R29">
        <f>IF(CALC_EEM!$B19="","",CALC_EEM!R19)</f>
      </c>
      <c r="S29">
        <f>IF(CALC_EEM!$B19="","",CALC_EEM!S19)</f>
      </c>
      <c r="T29">
        <f>IF(CALC_EEM!$B19="","",CALC_EEM!T19)</f>
      </c>
      <c r="U29">
        <f>IF(CALC_EEM!$B19="","",CALC_EEM!U19)</f>
      </c>
    </row>
    <row r="30" spans="1:24">
      <c r="A30" t="str">
        <f>IF(CALC_EEM!$B20="","",IF(CALC_EEM!A20="GLOBAL","GLOBAL",IF(CALC_EEM!C20="Total","CURSO_TOTAL",IF(CALC_EEM!C20="TotalEsp","CURSO_ESP",IF(CALC_EEM!C20="TotalNoEsp","CURSO_NOESP","CURSO_ASIG")))))</f>
      </c>
      <c r="B30" t="str">
        <f>IF(CALC_EEM!$B20="","",CALC_EEM!A20)</f>
      </c>
      <c r="C30" t="str">
        <f>IF(CALC_EEM!$B20="","",CALC_EEM!B20)</f>
      </c>
      <c r="D30">
        <f>IF(CALC_EEM!$B20="","",CALC_EEM!D20)</f>
      </c>
      <c r="E30" s="14" t="str">
        <f>IF(CALC_EEM!$B20="","",CALC_EEM!E20)</f>
      </c>
      <c r="F30" s="14" t="str">
        <f>IF(CALC_EEM!$B20="","",CALC_EEM!F20)</f>
      </c>
      <c r="G30" t="str">
        <f>IF(CALC_EEM!$B20="","",CALC_EEM!G20)</f>
      </c>
      <c r="H30" s="16" t="str">
        <f>IF(CALC_EEM!$B20="","",CALC_EEM!H20)</f>
      </c>
      <c r="I30" s="16" t="str">
        <f>IF(CALC_EEM!$B20="","",CALC_EEM!I20)</f>
      </c>
      <c r="J30" t="str">
        <f>IF(CALC_EEM!$B20="","",CALC_EEM!J20)</f>
      </c>
      <c r="K30" t="str">
        <f>IF(CALC_EEM!$B20="","",CALC_EEM!K20)</f>
      </c>
      <c r="L30">
        <f>IF(CALC_EEM!$B20="","",CALC_EEM!L20)</f>
      </c>
      <c r="M30">
        <f>IF(CALC_EEM!$B20="","",CALC_EEM!M20)</f>
      </c>
      <c r="N30">
        <f>IF(CALC_EEM!$B20="","",CALC_EEM!N20)</f>
      </c>
      <c r="O30">
        <f>IF(CALC_EEM!$B20="","",CALC_EEM!O20)</f>
      </c>
      <c r="P30">
        <f>IF(CALC_EEM!$B20="","",CALC_EEM!P20)</f>
      </c>
      <c r="Q30">
        <f>IF(CALC_EEM!$B20="","",CALC_EEM!Q20)</f>
      </c>
      <c r="R30">
        <f>IF(CALC_EEM!$B20="","",CALC_EEM!R20)</f>
      </c>
      <c r="S30">
        <f>IF(CALC_EEM!$B20="","",CALC_EEM!S20)</f>
      </c>
      <c r="T30">
        <f>IF(CALC_EEM!$B20="","",CALC_EEM!T20)</f>
      </c>
      <c r="U30">
        <f>IF(CALC_EEM!$B20="","",CALC_EEM!U20)</f>
      </c>
    </row>
    <row r="31" spans="1:24">
      <c r="A31" t="str">
        <f>IF(CALC_EEM!$B21="","",IF(CALC_EEM!A21="GLOBAL","GLOBAL",IF(CALC_EEM!C21="Total","CURSO_TOTAL",IF(CALC_EEM!C21="TotalEsp","CURSO_ESP",IF(CALC_EEM!C21="TotalNoEsp","CURSO_NOESP","CURSO_ASIG")))))</f>
      </c>
      <c r="B31" t="str">
        <f>IF(CALC_EEM!$B21="","",CALC_EEM!A21)</f>
      </c>
      <c r="C31" t="str">
        <f>IF(CALC_EEM!$B21="","",CALC_EEM!B21)</f>
      </c>
      <c r="D31">
        <f>IF(CALC_EEM!$B21="","",CALC_EEM!D21)</f>
      </c>
      <c r="E31" s="14" t="str">
        <f>IF(CALC_EEM!$B21="","",CALC_EEM!E21)</f>
      </c>
      <c r="F31" s="14" t="str">
        <f>IF(CALC_EEM!$B21="","",CALC_EEM!F21)</f>
      </c>
      <c r="G31" t="str">
        <f>IF(CALC_EEM!$B21="","",CALC_EEM!G21)</f>
      </c>
      <c r="H31" s="16" t="str">
        <f>IF(CALC_EEM!$B21="","",CALC_EEM!H21)</f>
      </c>
      <c r="I31" s="16" t="str">
        <f>IF(CALC_EEM!$B21="","",CALC_EEM!I21)</f>
      </c>
      <c r="J31" t="str">
        <f>IF(CALC_EEM!$B21="","",CALC_EEM!J21)</f>
      </c>
      <c r="K31" t="str">
        <f>IF(CALC_EEM!$B21="","",CALC_EEM!K21)</f>
      </c>
      <c r="L31">
        <f>IF(CALC_EEM!$B21="","",CALC_EEM!L21)</f>
      </c>
      <c r="M31">
        <f>IF(CALC_EEM!$B21="","",CALC_EEM!M21)</f>
      </c>
      <c r="N31">
        <f>IF(CALC_EEM!$B21="","",CALC_EEM!N21)</f>
      </c>
      <c r="O31">
        <f>IF(CALC_EEM!$B21="","",CALC_EEM!O21)</f>
      </c>
      <c r="P31">
        <f>IF(CALC_EEM!$B21="","",CALC_EEM!P21)</f>
      </c>
      <c r="Q31">
        <f>IF(CALC_EEM!$B21="","",CALC_EEM!Q21)</f>
      </c>
      <c r="R31">
        <f>IF(CALC_EEM!$B21="","",CALC_EEM!R21)</f>
      </c>
      <c r="S31">
        <f>IF(CALC_EEM!$B21="","",CALC_EEM!S21)</f>
      </c>
      <c r="T31">
        <f>IF(CALC_EEM!$B21="","",CALC_EEM!T21)</f>
      </c>
      <c r="U31">
        <f>IF(CALC_EEM!$B21="","",CALC_EEM!U21)</f>
      </c>
    </row>
    <row r="32" spans="1:24">
      <c r="A32" t="str">
        <f>IF(CALC_EEM!$B22="","",IF(CALC_EEM!A22="GLOBAL","GLOBAL",IF(CALC_EEM!C22="Total","CURSO_TOTAL",IF(CALC_EEM!C22="TotalEsp","CURSO_ESP",IF(CALC_EEM!C22="TotalNoEsp","CURSO_NOESP","CURSO_ASIG")))))</f>
      </c>
      <c r="B32" t="str">
        <f>IF(CALC_EEM!$B22="","",CALC_EEM!A22)</f>
      </c>
      <c r="C32" t="str">
        <f>IF(CALC_EEM!$B22="","",CALC_EEM!B22)</f>
      </c>
      <c r="D32">
        <f>IF(CALC_EEM!$B22="","",CALC_EEM!D22)</f>
      </c>
      <c r="E32" s="14" t="str">
        <f>IF(CALC_EEM!$B22="","",CALC_EEM!E22)</f>
      </c>
      <c r="F32" s="14" t="str">
        <f>IF(CALC_EEM!$B22="","",CALC_EEM!F22)</f>
      </c>
      <c r="G32" t="str">
        <f>IF(CALC_EEM!$B22="","",CALC_EEM!G22)</f>
      </c>
      <c r="H32" s="16" t="str">
        <f>IF(CALC_EEM!$B22="","",CALC_EEM!H22)</f>
      </c>
      <c r="I32" s="16" t="str">
        <f>IF(CALC_EEM!$B22="","",CALC_EEM!I22)</f>
      </c>
      <c r="J32" t="str">
        <f>IF(CALC_EEM!$B22="","",CALC_EEM!J22)</f>
      </c>
      <c r="K32" t="str">
        <f>IF(CALC_EEM!$B22="","",CALC_EEM!K22)</f>
      </c>
      <c r="L32">
        <f>IF(CALC_EEM!$B22="","",CALC_EEM!L22)</f>
      </c>
      <c r="M32">
        <f>IF(CALC_EEM!$B22="","",CALC_EEM!M22)</f>
      </c>
      <c r="N32">
        <f>IF(CALC_EEM!$B22="","",CALC_EEM!N22)</f>
      </c>
      <c r="O32">
        <f>IF(CALC_EEM!$B22="","",CALC_EEM!O22)</f>
      </c>
      <c r="P32">
        <f>IF(CALC_EEM!$B22="","",CALC_EEM!P22)</f>
      </c>
      <c r="Q32">
        <f>IF(CALC_EEM!$B22="","",CALC_EEM!Q22)</f>
      </c>
      <c r="R32">
        <f>IF(CALC_EEM!$B22="","",CALC_EEM!R22)</f>
      </c>
      <c r="S32">
        <f>IF(CALC_EEM!$B22="","",CALC_EEM!S22)</f>
      </c>
      <c r="T32">
        <f>IF(CALC_EEM!$B22="","",CALC_EEM!T22)</f>
      </c>
      <c r="U32">
        <f>IF(CALC_EEM!$B22="","",CALC_EEM!U22)</f>
      </c>
    </row>
    <row r="33" spans="1:24">
      <c r="A33" t="str">
        <f>IF(CALC_EEM!$B23="","",IF(CALC_EEM!A23="GLOBAL","GLOBAL",IF(CALC_EEM!C23="Total","CURSO_TOTAL",IF(CALC_EEM!C23="TotalEsp","CURSO_ESP",IF(CALC_EEM!C23="TotalNoEsp","CURSO_NOESP","CURSO_ASIG")))))</f>
      </c>
      <c r="B33" t="str">
        <f>IF(CALC_EEM!$B23="","",CALC_EEM!A23)</f>
      </c>
      <c r="C33" t="str">
        <f>IF(CALC_EEM!$B23="","",CALC_EEM!B23)</f>
      </c>
      <c r="D33">
        <f>IF(CALC_EEM!$B23="","",CALC_EEM!D23)</f>
      </c>
      <c r="E33" s="14" t="str">
        <f>IF(CALC_EEM!$B23="","",CALC_EEM!E23)</f>
      </c>
      <c r="F33" s="14" t="str">
        <f>IF(CALC_EEM!$B23="","",CALC_EEM!F23)</f>
      </c>
      <c r="G33" t="str">
        <f>IF(CALC_EEM!$B23="","",CALC_EEM!G23)</f>
      </c>
      <c r="H33" s="16" t="str">
        <f>IF(CALC_EEM!$B23="","",CALC_EEM!H23)</f>
      </c>
      <c r="I33" s="16" t="str">
        <f>IF(CALC_EEM!$B23="","",CALC_EEM!I23)</f>
      </c>
      <c r="J33" t="str">
        <f>IF(CALC_EEM!$B23="","",CALC_EEM!J23)</f>
      </c>
      <c r="K33" t="str">
        <f>IF(CALC_EEM!$B23="","",CALC_EEM!K23)</f>
      </c>
      <c r="L33">
        <f>IF(CALC_EEM!$B23="","",CALC_EEM!L23)</f>
      </c>
      <c r="M33">
        <f>IF(CALC_EEM!$B23="","",CALC_EEM!M23)</f>
      </c>
      <c r="N33">
        <f>IF(CALC_EEM!$B23="","",CALC_EEM!N23)</f>
      </c>
      <c r="O33">
        <f>IF(CALC_EEM!$B23="","",CALC_EEM!O23)</f>
      </c>
      <c r="P33">
        <f>IF(CALC_EEM!$B23="","",CALC_EEM!P23)</f>
      </c>
      <c r="Q33">
        <f>IF(CALC_EEM!$B23="","",CALC_EEM!Q23)</f>
      </c>
      <c r="R33">
        <f>IF(CALC_EEM!$B23="","",CALC_EEM!R23)</f>
      </c>
      <c r="S33">
        <f>IF(CALC_EEM!$B23="","",CALC_EEM!S23)</f>
      </c>
      <c r="T33">
        <f>IF(CALC_EEM!$B23="","",CALC_EEM!T23)</f>
      </c>
      <c r="U33">
        <f>IF(CALC_EEM!$B23="","",CALC_EEM!U23)</f>
      </c>
    </row>
    <row r="34" spans="1:24">
      <c r="A34" t="str">
        <f>IF(CALC_EEM!$B24="","",IF(CALC_EEM!A24="GLOBAL","GLOBAL",IF(CALC_EEM!C24="Total","CURSO_TOTAL",IF(CALC_EEM!C24="TotalEsp","CURSO_ESP",IF(CALC_EEM!C24="TotalNoEsp","CURSO_NOESP","CURSO_ASIG")))))</f>
      </c>
      <c r="B34" t="str">
        <f>IF(CALC_EEM!$B24="","",CALC_EEM!A24)</f>
      </c>
      <c r="C34" t="str">
        <f>IF(CALC_EEM!$B24="","",CALC_EEM!B24)</f>
      </c>
      <c r="D34">
        <f>IF(CALC_EEM!$B24="","",CALC_EEM!D24)</f>
      </c>
      <c r="E34" s="14" t="str">
        <f>IF(CALC_EEM!$B24="","",CALC_EEM!E24)</f>
      </c>
      <c r="F34" s="14" t="str">
        <f>IF(CALC_EEM!$B24="","",CALC_EEM!F24)</f>
      </c>
      <c r="G34" t="str">
        <f>IF(CALC_EEM!$B24="","",CALC_EEM!G24)</f>
      </c>
      <c r="H34" s="16" t="str">
        <f>IF(CALC_EEM!$B24="","",CALC_EEM!H24)</f>
      </c>
      <c r="I34" s="16" t="str">
        <f>IF(CALC_EEM!$B24="","",CALC_EEM!I24)</f>
      </c>
      <c r="J34" t="str">
        <f>IF(CALC_EEM!$B24="","",CALC_EEM!J24)</f>
      </c>
      <c r="K34" t="str">
        <f>IF(CALC_EEM!$B24="","",CALC_EEM!K24)</f>
      </c>
      <c r="L34">
        <f>IF(CALC_EEM!$B24="","",CALC_EEM!L24)</f>
      </c>
      <c r="M34">
        <f>IF(CALC_EEM!$B24="","",CALC_EEM!M24)</f>
      </c>
      <c r="N34">
        <f>IF(CALC_EEM!$B24="","",CALC_EEM!N24)</f>
      </c>
      <c r="O34">
        <f>IF(CALC_EEM!$B24="","",CALC_EEM!O24)</f>
      </c>
      <c r="P34">
        <f>IF(CALC_EEM!$B24="","",CALC_EEM!P24)</f>
      </c>
      <c r="Q34">
        <f>IF(CALC_EEM!$B24="","",CALC_EEM!Q24)</f>
      </c>
      <c r="R34">
        <f>IF(CALC_EEM!$B24="","",CALC_EEM!R24)</f>
      </c>
      <c r="S34">
        <f>IF(CALC_EEM!$B24="","",CALC_EEM!S24)</f>
      </c>
      <c r="T34">
        <f>IF(CALC_EEM!$B24="","",CALC_EEM!T24)</f>
      </c>
      <c r="U34">
        <f>IF(CALC_EEM!$B24="","",CALC_EEM!U24)</f>
      </c>
    </row>
    <row r="35" spans="1:24">
      <c r="A35" t="str">
        <f>IF(CALC_EEM!$B25="","",IF(CALC_EEM!A25="GLOBAL","GLOBAL",IF(CALC_EEM!C25="Total","CURSO_TOTAL",IF(CALC_EEM!C25="TotalEsp","CURSO_ESP",IF(CALC_EEM!C25="TotalNoEsp","CURSO_NOESP","CURSO_ASIG")))))</f>
      </c>
      <c r="B35" t="str">
        <f>IF(CALC_EEM!$B25="","",CALC_EEM!A25)</f>
      </c>
      <c r="C35" t="str">
        <f>IF(CALC_EEM!$B25="","",CALC_EEM!B25)</f>
      </c>
      <c r="D35">
        <f>IF(CALC_EEM!$B25="","",CALC_EEM!D25)</f>
      </c>
      <c r="E35" s="14" t="str">
        <f>IF(CALC_EEM!$B25="","",CALC_EEM!E25)</f>
      </c>
      <c r="F35" s="14" t="str">
        <f>IF(CALC_EEM!$B25="","",CALC_EEM!F25)</f>
      </c>
      <c r="G35" t="str">
        <f>IF(CALC_EEM!$B25="","",CALC_EEM!G25)</f>
      </c>
      <c r="H35" s="16" t="str">
        <f>IF(CALC_EEM!$B25="","",CALC_EEM!H25)</f>
      </c>
      <c r="I35" s="16" t="str">
        <f>IF(CALC_EEM!$B25="","",CALC_EEM!I25)</f>
      </c>
      <c r="J35" t="str">
        <f>IF(CALC_EEM!$B25="","",CALC_EEM!J25)</f>
      </c>
      <c r="K35" t="str">
        <f>IF(CALC_EEM!$B25="","",CALC_EEM!K25)</f>
      </c>
      <c r="L35">
        <f>IF(CALC_EEM!$B25="","",CALC_EEM!L25)</f>
      </c>
      <c r="M35">
        <f>IF(CALC_EEM!$B25="","",CALC_EEM!M25)</f>
      </c>
      <c r="N35">
        <f>IF(CALC_EEM!$B25="","",CALC_EEM!N25)</f>
      </c>
      <c r="O35">
        <f>IF(CALC_EEM!$B25="","",CALC_EEM!O25)</f>
      </c>
      <c r="P35">
        <f>IF(CALC_EEM!$B25="","",CALC_EEM!P25)</f>
      </c>
      <c r="Q35">
        <f>IF(CALC_EEM!$B25="","",CALC_EEM!Q25)</f>
      </c>
      <c r="R35">
        <f>IF(CALC_EEM!$B25="","",CALC_EEM!R25)</f>
      </c>
      <c r="S35">
        <f>IF(CALC_EEM!$B25="","",CALC_EEM!S25)</f>
      </c>
      <c r="T35">
        <f>IF(CALC_EEM!$B25="","",CALC_EEM!T25)</f>
      </c>
      <c r="U35">
        <f>IF(CALC_EEM!$B25="","",CALC_EEM!U25)</f>
      </c>
    </row>
    <row r="36" spans="1:24">
      <c r="A36" t="str">
        <f>IF(CALC_EEM!$B26="","",IF(CALC_EEM!A26="GLOBAL","GLOBAL",IF(CALC_EEM!C26="Total","CURSO_TOTAL",IF(CALC_EEM!C26="TotalEsp","CURSO_ESP",IF(CALC_EEM!C26="TotalNoEsp","CURSO_NOESP","CURSO_ASIG")))))</f>
      </c>
      <c r="B36" t="str">
        <f>IF(CALC_EEM!$B26="","",CALC_EEM!A26)</f>
      </c>
      <c r="C36" t="str">
        <f>IF(CALC_EEM!$B26="","",CALC_EEM!B26)</f>
      </c>
      <c r="D36">
        <f>IF(CALC_EEM!$B26="","",CALC_EEM!D26)</f>
      </c>
      <c r="E36" s="14" t="str">
        <f>IF(CALC_EEM!$B26="","",CALC_EEM!E26)</f>
      </c>
      <c r="F36" s="14" t="str">
        <f>IF(CALC_EEM!$B26="","",CALC_EEM!F26)</f>
      </c>
      <c r="G36" t="str">
        <f>IF(CALC_EEM!$B26="","",CALC_EEM!G26)</f>
      </c>
      <c r="H36" s="16" t="str">
        <f>IF(CALC_EEM!$B26="","",CALC_EEM!H26)</f>
      </c>
      <c r="I36" s="16" t="str">
        <f>IF(CALC_EEM!$B26="","",CALC_EEM!I26)</f>
      </c>
      <c r="J36" t="str">
        <f>IF(CALC_EEM!$B26="","",CALC_EEM!J26)</f>
      </c>
      <c r="K36" t="str">
        <f>IF(CALC_EEM!$B26="","",CALC_EEM!K26)</f>
      </c>
      <c r="L36">
        <f>IF(CALC_EEM!$B26="","",CALC_EEM!L26)</f>
      </c>
      <c r="M36">
        <f>IF(CALC_EEM!$B26="","",CALC_EEM!M26)</f>
      </c>
      <c r="N36">
        <f>IF(CALC_EEM!$B26="","",CALC_EEM!N26)</f>
      </c>
      <c r="O36">
        <f>IF(CALC_EEM!$B26="","",CALC_EEM!O26)</f>
      </c>
      <c r="P36">
        <f>IF(CALC_EEM!$B26="","",CALC_EEM!P26)</f>
      </c>
      <c r="Q36">
        <f>IF(CALC_EEM!$B26="","",CALC_EEM!Q26)</f>
      </c>
      <c r="R36">
        <f>IF(CALC_EEM!$B26="","",CALC_EEM!R26)</f>
      </c>
      <c r="S36">
        <f>IF(CALC_EEM!$B26="","",CALC_EEM!S26)</f>
      </c>
      <c r="T36">
        <f>IF(CALC_EEM!$B26="","",CALC_EEM!T26)</f>
      </c>
      <c r="U36">
        <f>IF(CALC_EEM!$B26="","",CALC_EEM!U26)</f>
      </c>
    </row>
    <row r="37" spans="1:24">
      <c r="A37" t="str">
        <f>IF(CALC_EEM!$B27="","",IF(CALC_EEM!A27="GLOBAL","GLOBAL",IF(CALC_EEM!C27="Total","CURSO_TOTAL",IF(CALC_EEM!C27="TotalEsp","CURSO_ESP",IF(CALC_EEM!C27="TotalNoEsp","CURSO_NOESP","CURSO_ASIG")))))</f>
      </c>
      <c r="B37" t="str">
        <f>IF(CALC_EEM!$B27="","",CALC_EEM!A27)</f>
      </c>
      <c r="C37" t="str">
        <f>IF(CALC_EEM!$B27="","",CALC_EEM!B27)</f>
      </c>
      <c r="D37">
        <f>IF(CALC_EEM!$B27="","",CALC_EEM!D27)</f>
      </c>
      <c r="E37" s="14" t="str">
        <f>IF(CALC_EEM!$B27="","",CALC_EEM!E27)</f>
      </c>
      <c r="F37" s="14" t="str">
        <f>IF(CALC_EEM!$B27="","",CALC_EEM!F27)</f>
      </c>
      <c r="G37" t="str">
        <f>IF(CALC_EEM!$B27="","",CALC_EEM!G27)</f>
      </c>
      <c r="H37" s="16" t="str">
        <f>IF(CALC_EEM!$B27="","",CALC_EEM!H27)</f>
      </c>
      <c r="I37" s="16" t="str">
        <f>IF(CALC_EEM!$B27="","",CALC_EEM!I27)</f>
      </c>
      <c r="J37" t="str">
        <f>IF(CALC_EEM!$B27="","",CALC_EEM!J27)</f>
      </c>
      <c r="K37" t="str">
        <f>IF(CALC_EEM!$B27="","",CALC_EEM!K27)</f>
      </c>
      <c r="L37">
        <f>IF(CALC_EEM!$B27="","",CALC_EEM!L27)</f>
      </c>
      <c r="M37">
        <f>IF(CALC_EEM!$B27="","",CALC_EEM!M27)</f>
      </c>
      <c r="N37">
        <f>IF(CALC_EEM!$B27="","",CALC_EEM!N27)</f>
      </c>
      <c r="O37">
        <f>IF(CALC_EEM!$B27="","",CALC_EEM!O27)</f>
      </c>
      <c r="P37">
        <f>IF(CALC_EEM!$B27="","",CALC_EEM!P27)</f>
      </c>
      <c r="Q37">
        <f>IF(CALC_EEM!$B27="","",CALC_EEM!Q27)</f>
      </c>
      <c r="R37">
        <f>IF(CALC_EEM!$B27="","",CALC_EEM!R27)</f>
      </c>
      <c r="S37">
        <f>IF(CALC_EEM!$B27="","",CALC_EEM!S27)</f>
      </c>
      <c r="T37">
        <f>IF(CALC_EEM!$B27="","",CALC_EEM!T27)</f>
      </c>
      <c r="U37">
        <f>IF(CALC_EEM!$B27="","",CALC_EEM!U27)</f>
      </c>
    </row>
    <row r="38" spans="1:24">
      <c r="A38" t="str">
        <f>IF(CALC_EEM!$B28="","",IF(CALC_EEM!A28="GLOBAL","GLOBAL",IF(CALC_EEM!C28="Total","CURSO_TOTAL",IF(CALC_EEM!C28="TotalEsp","CURSO_ESP",IF(CALC_EEM!C28="TotalNoEsp","CURSO_NOESP","CURSO_ASIG")))))</f>
      </c>
      <c r="B38" t="str">
        <f>IF(CALC_EEM!$B28="","",CALC_EEM!A28)</f>
      </c>
      <c r="C38" t="str">
        <f>IF(CALC_EEM!$B28="","",CALC_EEM!B28)</f>
      </c>
      <c r="D38">
        <f>IF(CALC_EEM!$B28="","",CALC_EEM!D28)</f>
      </c>
      <c r="E38" s="14" t="str">
        <f>IF(CALC_EEM!$B28="","",CALC_EEM!E28)</f>
      </c>
      <c r="F38" s="14" t="str">
        <f>IF(CALC_EEM!$B28="","",CALC_EEM!F28)</f>
      </c>
      <c r="G38" t="str">
        <f>IF(CALC_EEM!$B28="","",CALC_EEM!G28)</f>
      </c>
      <c r="H38" s="16" t="str">
        <f>IF(CALC_EEM!$B28="","",CALC_EEM!H28)</f>
      </c>
      <c r="I38" s="16" t="str">
        <f>IF(CALC_EEM!$B28="","",CALC_EEM!I28)</f>
      </c>
      <c r="J38" t="str">
        <f>IF(CALC_EEM!$B28="","",CALC_EEM!J28)</f>
      </c>
      <c r="K38" t="str">
        <f>IF(CALC_EEM!$B28="","",CALC_EEM!K28)</f>
      </c>
      <c r="L38">
        <f>IF(CALC_EEM!$B28="","",CALC_EEM!L28)</f>
      </c>
      <c r="M38">
        <f>IF(CALC_EEM!$B28="","",CALC_EEM!M28)</f>
      </c>
      <c r="N38">
        <f>IF(CALC_EEM!$B28="","",CALC_EEM!N28)</f>
      </c>
      <c r="O38">
        <f>IF(CALC_EEM!$B28="","",CALC_EEM!O28)</f>
      </c>
      <c r="P38">
        <f>IF(CALC_EEM!$B28="","",CALC_EEM!P28)</f>
      </c>
      <c r="Q38">
        <f>IF(CALC_EEM!$B28="","",CALC_EEM!Q28)</f>
      </c>
      <c r="R38">
        <f>IF(CALC_EEM!$B28="","",CALC_EEM!R28)</f>
      </c>
      <c r="S38">
        <f>IF(CALC_EEM!$B28="","",CALC_EEM!S28)</f>
      </c>
      <c r="T38">
        <f>IF(CALC_EEM!$B28="","",CALC_EEM!T28)</f>
      </c>
      <c r="U38">
        <f>IF(CALC_EEM!$B28="","",CALC_EEM!U28)</f>
      </c>
    </row>
    <row r="39" spans="1:24">
      <c r="A39" t="str">
        <f>IF(CALC_EEM!$B29="","",IF(CALC_EEM!A29="GLOBAL","GLOBAL",IF(CALC_EEM!C29="Total","CURSO_TOTAL",IF(CALC_EEM!C29="TotalEsp","CURSO_ESP",IF(CALC_EEM!C29="TotalNoEsp","CURSO_NOESP","CURSO_ASIG")))))</f>
      </c>
      <c r="B39" t="str">
        <f>IF(CALC_EEM!$B29="","",CALC_EEM!A29)</f>
      </c>
      <c r="C39" t="str">
        <f>IF(CALC_EEM!$B29="","",CALC_EEM!B29)</f>
      </c>
      <c r="D39">
        <f>IF(CALC_EEM!$B29="","",CALC_EEM!D29)</f>
      </c>
      <c r="E39" s="14" t="str">
        <f>IF(CALC_EEM!$B29="","",CALC_EEM!E29)</f>
      </c>
      <c r="F39" s="14" t="str">
        <f>IF(CALC_EEM!$B29="","",CALC_EEM!F29)</f>
      </c>
      <c r="G39" t="str">
        <f>IF(CALC_EEM!$B29="","",CALC_EEM!G29)</f>
      </c>
      <c r="H39" s="16" t="str">
        <f>IF(CALC_EEM!$B29="","",CALC_EEM!H29)</f>
      </c>
      <c r="I39" s="16" t="str">
        <f>IF(CALC_EEM!$B29="","",CALC_EEM!I29)</f>
      </c>
      <c r="J39" t="str">
        <f>IF(CALC_EEM!$B29="","",CALC_EEM!J29)</f>
      </c>
      <c r="K39" t="str">
        <f>IF(CALC_EEM!$B29="","",CALC_EEM!K29)</f>
      </c>
      <c r="L39">
        <f>IF(CALC_EEM!$B29="","",CALC_EEM!L29)</f>
      </c>
      <c r="M39">
        <f>IF(CALC_EEM!$B29="","",CALC_EEM!M29)</f>
      </c>
      <c r="N39">
        <f>IF(CALC_EEM!$B29="","",CALC_EEM!N29)</f>
      </c>
      <c r="O39">
        <f>IF(CALC_EEM!$B29="","",CALC_EEM!O29)</f>
      </c>
      <c r="P39">
        <f>IF(CALC_EEM!$B29="","",CALC_EEM!P29)</f>
      </c>
      <c r="Q39">
        <f>IF(CALC_EEM!$B29="","",CALC_EEM!Q29)</f>
      </c>
      <c r="R39">
        <f>IF(CALC_EEM!$B29="","",CALC_EEM!R29)</f>
      </c>
      <c r="S39">
        <f>IF(CALC_EEM!$B29="","",CALC_EEM!S29)</f>
      </c>
      <c r="T39">
        <f>IF(CALC_EEM!$B29="","",CALC_EEM!T29)</f>
      </c>
      <c r="U39">
        <f>IF(CALC_EEM!$B29="","",CALC_EEM!U29)</f>
      </c>
    </row>
    <row r="40" spans="1:24">
      <c r="A40" t="str">
        <f>IF(CALC_EEM!$B30="","",IF(CALC_EEM!A30="GLOBAL","GLOBAL",IF(CALC_EEM!C30="Total","CURSO_TOTAL",IF(CALC_EEM!C30="TotalEsp","CURSO_ESP",IF(CALC_EEM!C30="TotalNoEsp","CURSO_NOESP","CURSO_ASIG")))))</f>
      </c>
      <c r="B40" t="str">
        <f>IF(CALC_EEM!$B30="","",CALC_EEM!A30)</f>
      </c>
      <c r="C40" t="str">
        <f>IF(CALC_EEM!$B30="","",CALC_EEM!B30)</f>
      </c>
      <c r="D40">
        <f>IF(CALC_EEM!$B30="","",CALC_EEM!D30)</f>
      </c>
      <c r="E40" s="14" t="str">
        <f>IF(CALC_EEM!$B30="","",CALC_EEM!E30)</f>
      </c>
      <c r="F40" s="14" t="str">
        <f>IF(CALC_EEM!$B30="","",CALC_EEM!F30)</f>
      </c>
      <c r="G40" t="str">
        <f>IF(CALC_EEM!$B30="","",CALC_EEM!G30)</f>
      </c>
      <c r="H40" s="16" t="str">
        <f>IF(CALC_EEM!$B30="","",CALC_EEM!H30)</f>
      </c>
      <c r="I40" s="16" t="str">
        <f>IF(CALC_EEM!$B30="","",CALC_EEM!I30)</f>
      </c>
      <c r="J40" t="str">
        <f>IF(CALC_EEM!$B30="","",CALC_EEM!J30)</f>
      </c>
      <c r="K40" t="str">
        <f>IF(CALC_EEM!$B30="","",CALC_EEM!K30)</f>
      </c>
      <c r="L40">
        <f>IF(CALC_EEM!$B30="","",CALC_EEM!L30)</f>
      </c>
      <c r="M40">
        <f>IF(CALC_EEM!$B30="","",CALC_EEM!M30)</f>
      </c>
      <c r="N40">
        <f>IF(CALC_EEM!$B30="","",CALC_EEM!N30)</f>
      </c>
      <c r="O40">
        <f>IF(CALC_EEM!$B30="","",CALC_EEM!O30)</f>
      </c>
      <c r="P40">
        <f>IF(CALC_EEM!$B30="","",CALC_EEM!P30)</f>
      </c>
      <c r="Q40">
        <f>IF(CALC_EEM!$B30="","",CALC_EEM!Q30)</f>
      </c>
      <c r="R40">
        <f>IF(CALC_EEM!$B30="","",CALC_EEM!R30)</f>
      </c>
      <c r="S40">
        <f>IF(CALC_EEM!$B30="","",CALC_EEM!S30)</f>
      </c>
      <c r="T40">
        <f>IF(CALC_EEM!$B30="","",CALC_EEM!T30)</f>
      </c>
      <c r="U40">
        <f>IF(CALC_EEM!$B30="","",CALC_EEM!U30)</f>
      </c>
    </row>
    <row r="41" spans="1:24">
      <c r="A41" t="str">
        <f>IF(CALC_EEM!$B31="","",IF(CALC_EEM!A31="GLOBAL","GLOBAL",IF(CALC_EEM!C31="Total","CURSO_TOTAL",IF(CALC_EEM!C31="TotalEsp","CURSO_ESP",IF(CALC_EEM!C31="TotalNoEsp","CURSO_NOESP","CURSO_ASIG")))))</f>
      </c>
      <c r="B41" t="str">
        <f>IF(CALC_EEM!$B31="","",CALC_EEM!A31)</f>
      </c>
      <c r="C41" t="str">
        <f>IF(CALC_EEM!$B31="","",CALC_EEM!B31)</f>
      </c>
      <c r="D41">
        <f>IF(CALC_EEM!$B31="","",CALC_EEM!D31)</f>
      </c>
      <c r="E41" s="14" t="str">
        <f>IF(CALC_EEM!$B31="","",CALC_EEM!E31)</f>
      </c>
      <c r="F41" s="14" t="str">
        <f>IF(CALC_EEM!$B31="","",CALC_EEM!F31)</f>
      </c>
      <c r="G41" t="str">
        <f>IF(CALC_EEM!$B31="","",CALC_EEM!G31)</f>
      </c>
      <c r="H41" s="16" t="str">
        <f>IF(CALC_EEM!$B31="","",CALC_EEM!H31)</f>
      </c>
      <c r="I41" s="16" t="str">
        <f>IF(CALC_EEM!$B31="","",CALC_EEM!I31)</f>
      </c>
      <c r="J41" t="str">
        <f>IF(CALC_EEM!$B31="","",CALC_EEM!J31)</f>
      </c>
      <c r="K41" t="str">
        <f>IF(CALC_EEM!$B31="","",CALC_EEM!K31)</f>
      </c>
      <c r="L41">
        <f>IF(CALC_EEM!$B31="","",CALC_EEM!L31)</f>
      </c>
      <c r="M41">
        <f>IF(CALC_EEM!$B31="","",CALC_EEM!M31)</f>
      </c>
      <c r="N41">
        <f>IF(CALC_EEM!$B31="","",CALC_EEM!N31)</f>
      </c>
      <c r="O41">
        <f>IF(CALC_EEM!$B31="","",CALC_EEM!O31)</f>
      </c>
      <c r="P41">
        <f>IF(CALC_EEM!$B31="","",CALC_EEM!P31)</f>
      </c>
      <c r="Q41">
        <f>IF(CALC_EEM!$B31="","",CALC_EEM!Q31)</f>
      </c>
      <c r="R41">
        <f>IF(CALC_EEM!$B31="","",CALC_EEM!R31)</f>
      </c>
      <c r="S41">
        <f>IF(CALC_EEM!$B31="","",CALC_EEM!S31)</f>
      </c>
      <c r="T41">
        <f>IF(CALC_EEM!$B31="","",CALC_EEM!T31)</f>
      </c>
      <c r="U41">
        <f>IF(CALC_EEM!$B31="","",CALC_EEM!U31)</f>
      </c>
    </row>
    <row r="42" spans="1:24">
      <c r="A42" t="str">
        <f>IF(CALC_EEM!$B32="","",IF(CALC_EEM!A32="GLOBAL","GLOBAL",IF(CALC_EEM!C32="Total","CURSO_TOTAL",IF(CALC_EEM!C32="TotalEsp","CURSO_ESP",IF(CALC_EEM!C32="TotalNoEsp","CURSO_NOESP","CURSO_ASIG")))))</f>
      </c>
      <c r="B42" t="str">
        <f>IF(CALC_EEM!$B32="","",CALC_EEM!A32)</f>
      </c>
      <c r="C42" t="str">
        <f>IF(CALC_EEM!$B32="","",CALC_EEM!B32)</f>
      </c>
      <c r="D42">
        <f>IF(CALC_EEM!$B32="","",CALC_EEM!D32)</f>
      </c>
      <c r="E42" s="14" t="str">
        <f>IF(CALC_EEM!$B32="","",CALC_EEM!E32)</f>
      </c>
      <c r="F42" s="14" t="str">
        <f>IF(CALC_EEM!$B32="","",CALC_EEM!F32)</f>
      </c>
      <c r="G42" t="str">
        <f>IF(CALC_EEM!$B32="","",CALC_EEM!G32)</f>
      </c>
      <c r="H42" s="16" t="str">
        <f>IF(CALC_EEM!$B32="","",CALC_EEM!H32)</f>
      </c>
      <c r="I42" s="16" t="str">
        <f>IF(CALC_EEM!$B32="","",CALC_EEM!I32)</f>
      </c>
      <c r="J42" t="str">
        <f>IF(CALC_EEM!$B32="","",CALC_EEM!J32)</f>
      </c>
      <c r="K42" t="str">
        <f>IF(CALC_EEM!$B32="","",CALC_EEM!K32)</f>
      </c>
      <c r="L42">
        <f>IF(CALC_EEM!$B32="","",CALC_EEM!L32)</f>
      </c>
      <c r="M42">
        <f>IF(CALC_EEM!$B32="","",CALC_EEM!M32)</f>
      </c>
      <c r="N42">
        <f>IF(CALC_EEM!$B32="","",CALC_EEM!N32)</f>
      </c>
      <c r="O42">
        <f>IF(CALC_EEM!$B32="","",CALC_EEM!O32)</f>
      </c>
      <c r="P42">
        <f>IF(CALC_EEM!$B32="","",CALC_EEM!P32)</f>
      </c>
      <c r="Q42">
        <f>IF(CALC_EEM!$B32="","",CALC_EEM!Q32)</f>
      </c>
      <c r="R42">
        <f>IF(CALC_EEM!$B32="","",CALC_EEM!R32)</f>
      </c>
      <c r="S42">
        <f>IF(CALC_EEM!$B32="","",CALC_EEM!S32)</f>
      </c>
      <c r="T42">
        <f>IF(CALC_EEM!$B32="","",CALC_EEM!T32)</f>
      </c>
      <c r="U42">
        <f>IF(CALC_EEM!$B32="","",CALC_EEM!U32)</f>
      </c>
    </row>
    <row r="43" spans="1:24">
      <c r="A43" t="str">
        <f>IF(CALC_EEM!$B33="","",IF(CALC_EEM!A33="GLOBAL","GLOBAL",IF(CALC_EEM!C33="Total","CURSO_TOTAL",IF(CALC_EEM!C33="TotalEsp","CURSO_ESP",IF(CALC_EEM!C33="TotalNoEsp","CURSO_NOESP","CURSO_ASIG")))))</f>
      </c>
      <c r="B43" t="str">
        <f>IF(CALC_EEM!$B33="","",CALC_EEM!A33)</f>
      </c>
      <c r="C43" t="str">
        <f>IF(CALC_EEM!$B33="","",CALC_EEM!B33)</f>
      </c>
      <c r="D43">
        <f>IF(CALC_EEM!$B33="","",CALC_EEM!D33)</f>
      </c>
      <c r="E43" s="14" t="str">
        <f>IF(CALC_EEM!$B33="","",CALC_EEM!E33)</f>
      </c>
      <c r="F43" s="14" t="str">
        <f>IF(CALC_EEM!$B33="","",CALC_EEM!F33)</f>
      </c>
      <c r="G43" t="str">
        <f>IF(CALC_EEM!$B33="","",CALC_EEM!G33)</f>
      </c>
      <c r="H43" s="16" t="str">
        <f>IF(CALC_EEM!$B33="","",CALC_EEM!H33)</f>
      </c>
      <c r="I43" s="16" t="str">
        <f>IF(CALC_EEM!$B33="","",CALC_EEM!I33)</f>
      </c>
      <c r="J43" t="str">
        <f>IF(CALC_EEM!$B33="","",CALC_EEM!J33)</f>
      </c>
      <c r="K43" t="str">
        <f>IF(CALC_EEM!$B33="","",CALC_EEM!K33)</f>
      </c>
      <c r="L43">
        <f>IF(CALC_EEM!$B33="","",CALC_EEM!L33)</f>
      </c>
      <c r="M43">
        <f>IF(CALC_EEM!$B33="","",CALC_EEM!M33)</f>
      </c>
      <c r="N43">
        <f>IF(CALC_EEM!$B33="","",CALC_EEM!N33)</f>
      </c>
      <c r="O43">
        <f>IF(CALC_EEM!$B33="","",CALC_EEM!O33)</f>
      </c>
      <c r="P43">
        <f>IF(CALC_EEM!$B33="","",CALC_EEM!P33)</f>
      </c>
      <c r="Q43">
        <f>IF(CALC_EEM!$B33="","",CALC_EEM!Q33)</f>
      </c>
      <c r="R43">
        <f>IF(CALC_EEM!$B33="","",CALC_EEM!R33)</f>
      </c>
      <c r="S43">
        <f>IF(CALC_EEM!$B33="","",CALC_EEM!S33)</f>
      </c>
      <c r="T43">
        <f>IF(CALC_EEM!$B33="","",CALC_EEM!T33)</f>
      </c>
      <c r="U43">
        <f>IF(CALC_EEM!$B33="","",CALC_EEM!U33)</f>
      </c>
    </row>
    <row r="44" spans="1:24">
      <c r="A44" t="str">
        <f>IF(CALC_EEM!$B34="","",IF(CALC_EEM!A34="GLOBAL","GLOBAL",IF(CALC_EEM!C34="Total","CURSO_TOTAL",IF(CALC_EEM!C34="TotalEsp","CURSO_ESP",IF(CALC_EEM!C34="TotalNoEsp","CURSO_NOESP","CURSO_ASIG")))))</f>
      </c>
      <c r="B44" t="str">
        <f>IF(CALC_EEM!$B34="","",CALC_EEM!A34)</f>
      </c>
      <c r="C44" t="str">
        <f>IF(CALC_EEM!$B34="","",CALC_EEM!B34)</f>
      </c>
      <c r="D44">
        <f>IF(CALC_EEM!$B34="","",CALC_EEM!D34)</f>
      </c>
      <c r="E44" s="14" t="str">
        <f>IF(CALC_EEM!$B34="","",CALC_EEM!E34)</f>
      </c>
      <c r="F44" s="14" t="str">
        <f>IF(CALC_EEM!$B34="","",CALC_EEM!F34)</f>
      </c>
      <c r="G44" t="str">
        <f>IF(CALC_EEM!$B34="","",CALC_EEM!G34)</f>
      </c>
      <c r="H44" s="16" t="str">
        <f>IF(CALC_EEM!$B34="","",CALC_EEM!H34)</f>
      </c>
      <c r="I44" s="16" t="str">
        <f>IF(CALC_EEM!$B34="","",CALC_EEM!I34)</f>
      </c>
      <c r="J44" t="str">
        <f>IF(CALC_EEM!$B34="","",CALC_EEM!J34)</f>
      </c>
      <c r="K44" t="str">
        <f>IF(CALC_EEM!$B34="","",CALC_EEM!K34)</f>
      </c>
      <c r="L44">
        <f>IF(CALC_EEM!$B34="","",CALC_EEM!L34)</f>
      </c>
      <c r="M44">
        <f>IF(CALC_EEM!$B34="","",CALC_EEM!M34)</f>
      </c>
      <c r="N44">
        <f>IF(CALC_EEM!$B34="","",CALC_EEM!N34)</f>
      </c>
      <c r="O44">
        <f>IF(CALC_EEM!$B34="","",CALC_EEM!O34)</f>
      </c>
      <c r="P44">
        <f>IF(CALC_EEM!$B34="","",CALC_EEM!P34)</f>
      </c>
      <c r="Q44">
        <f>IF(CALC_EEM!$B34="","",CALC_EEM!Q34)</f>
      </c>
      <c r="R44">
        <f>IF(CALC_EEM!$B34="","",CALC_EEM!R34)</f>
      </c>
      <c r="S44">
        <f>IF(CALC_EEM!$B34="","",CALC_EEM!S34)</f>
      </c>
      <c r="T44">
        <f>IF(CALC_EEM!$B34="","",CALC_EEM!T34)</f>
      </c>
      <c r="U44">
        <f>IF(CALC_EEM!$B34="","",CALC_EEM!U34)</f>
      </c>
    </row>
    <row r="45" spans="1:24">
      <c r="A45" t="str">
        <f>IF(CALC_EEM!$B35="","",IF(CALC_EEM!A35="GLOBAL","GLOBAL",IF(CALC_EEM!C35="Total","CURSO_TOTAL",IF(CALC_EEM!C35="TotalEsp","CURSO_ESP",IF(CALC_EEM!C35="TotalNoEsp","CURSO_NOESP","CURSO_ASIG")))))</f>
      </c>
      <c r="B45" t="str">
        <f>IF(CALC_EEM!$B35="","",CALC_EEM!A35)</f>
      </c>
      <c r="C45" t="str">
        <f>IF(CALC_EEM!$B35="","",CALC_EEM!B35)</f>
      </c>
      <c r="D45">
        <f>IF(CALC_EEM!$B35="","",CALC_EEM!D35)</f>
      </c>
      <c r="E45" s="14" t="str">
        <f>IF(CALC_EEM!$B35="","",CALC_EEM!E35)</f>
      </c>
      <c r="F45" s="14" t="str">
        <f>IF(CALC_EEM!$B35="","",CALC_EEM!F35)</f>
      </c>
      <c r="G45" t="str">
        <f>IF(CALC_EEM!$B35="","",CALC_EEM!G35)</f>
      </c>
      <c r="H45" s="16" t="str">
        <f>IF(CALC_EEM!$B35="","",CALC_EEM!H35)</f>
      </c>
      <c r="I45" s="16" t="str">
        <f>IF(CALC_EEM!$B35="","",CALC_EEM!I35)</f>
      </c>
      <c r="J45" t="str">
        <f>IF(CALC_EEM!$B35="","",CALC_EEM!J35)</f>
      </c>
      <c r="K45" t="str">
        <f>IF(CALC_EEM!$B35="","",CALC_EEM!K35)</f>
      </c>
      <c r="L45">
        <f>IF(CALC_EEM!$B35="","",CALC_EEM!L35)</f>
      </c>
      <c r="M45">
        <f>IF(CALC_EEM!$B35="","",CALC_EEM!M35)</f>
      </c>
      <c r="N45">
        <f>IF(CALC_EEM!$B35="","",CALC_EEM!N35)</f>
      </c>
      <c r="O45">
        <f>IF(CALC_EEM!$B35="","",CALC_EEM!O35)</f>
      </c>
      <c r="P45">
        <f>IF(CALC_EEM!$B35="","",CALC_EEM!P35)</f>
      </c>
      <c r="Q45">
        <f>IF(CALC_EEM!$B35="","",CALC_EEM!Q35)</f>
      </c>
      <c r="R45">
        <f>IF(CALC_EEM!$B35="","",CALC_EEM!R35)</f>
      </c>
      <c r="S45">
        <f>IF(CALC_EEM!$B35="","",CALC_EEM!S35)</f>
      </c>
      <c r="T45">
        <f>IF(CALC_EEM!$B35="","",CALC_EEM!T35)</f>
      </c>
      <c r="U45">
        <f>IF(CALC_EEM!$B35="","",CALC_EEM!U35)</f>
      </c>
    </row>
    <row r="46" spans="1:24">
      <c r="A46" t="str">
        <f>IF(CALC_EEM!$B36="","",IF(CALC_EEM!A36="GLOBAL","GLOBAL",IF(CALC_EEM!C36="Total","CURSO_TOTAL",IF(CALC_EEM!C36="TotalEsp","CURSO_ESP",IF(CALC_EEM!C36="TotalNoEsp","CURSO_NOESP","CURSO_ASIG")))))</f>
      </c>
      <c r="B46" t="str">
        <f>IF(CALC_EEM!$B36="","",CALC_EEM!A36)</f>
      </c>
      <c r="C46" t="str">
        <f>IF(CALC_EEM!$B36="","",CALC_EEM!B36)</f>
      </c>
      <c r="D46">
        <f>IF(CALC_EEM!$B36="","",CALC_EEM!D36)</f>
      </c>
      <c r="E46" s="14" t="str">
        <f>IF(CALC_EEM!$B36="","",CALC_EEM!E36)</f>
      </c>
      <c r="F46" s="14" t="str">
        <f>IF(CALC_EEM!$B36="","",CALC_EEM!F36)</f>
      </c>
      <c r="G46" t="str">
        <f>IF(CALC_EEM!$B36="","",CALC_EEM!G36)</f>
      </c>
      <c r="H46" s="16" t="str">
        <f>IF(CALC_EEM!$B36="","",CALC_EEM!H36)</f>
      </c>
      <c r="I46" s="16" t="str">
        <f>IF(CALC_EEM!$B36="","",CALC_EEM!I36)</f>
      </c>
      <c r="J46" t="str">
        <f>IF(CALC_EEM!$B36="","",CALC_EEM!J36)</f>
      </c>
      <c r="K46" t="str">
        <f>IF(CALC_EEM!$B36="","",CALC_EEM!K36)</f>
      </c>
      <c r="L46">
        <f>IF(CALC_EEM!$B36="","",CALC_EEM!L36)</f>
      </c>
      <c r="M46">
        <f>IF(CALC_EEM!$B36="","",CALC_EEM!M36)</f>
      </c>
      <c r="N46">
        <f>IF(CALC_EEM!$B36="","",CALC_EEM!N36)</f>
      </c>
      <c r="O46">
        <f>IF(CALC_EEM!$B36="","",CALC_EEM!O36)</f>
      </c>
      <c r="P46">
        <f>IF(CALC_EEM!$B36="","",CALC_EEM!P36)</f>
      </c>
      <c r="Q46">
        <f>IF(CALC_EEM!$B36="","",CALC_EEM!Q36)</f>
      </c>
      <c r="R46">
        <f>IF(CALC_EEM!$B36="","",CALC_EEM!R36)</f>
      </c>
      <c r="S46">
        <f>IF(CALC_EEM!$B36="","",CALC_EEM!S36)</f>
      </c>
      <c r="T46">
        <f>IF(CALC_EEM!$B36="","",CALC_EEM!T36)</f>
      </c>
      <c r="U46">
        <f>IF(CALC_EEM!$B36="","",CALC_EEM!U36)</f>
      </c>
    </row>
    <row r="47" spans="1:24">
      <c r="A47" t="str">
        <f>IF(CALC_EEM!$B37="","",IF(CALC_EEM!A37="GLOBAL","GLOBAL",IF(CALC_EEM!C37="Total","CURSO_TOTAL",IF(CALC_EEM!C37="TotalEsp","CURSO_ESP",IF(CALC_EEM!C37="TotalNoEsp","CURSO_NOESP","CURSO_ASIG")))))</f>
      </c>
      <c r="B47" t="str">
        <f>IF(CALC_EEM!$B37="","",CALC_EEM!A37)</f>
      </c>
      <c r="C47" t="str">
        <f>IF(CALC_EEM!$B37="","",CALC_EEM!B37)</f>
      </c>
      <c r="D47">
        <f>IF(CALC_EEM!$B37="","",CALC_EEM!D37)</f>
      </c>
      <c r="E47" s="14" t="str">
        <f>IF(CALC_EEM!$B37="","",CALC_EEM!E37)</f>
      </c>
      <c r="F47" s="14" t="str">
        <f>IF(CALC_EEM!$B37="","",CALC_EEM!F37)</f>
      </c>
      <c r="G47" t="str">
        <f>IF(CALC_EEM!$B37="","",CALC_EEM!G37)</f>
      </c>
      <c r="H47" s="16" t="str">
        <f>IF(CALC_EEM!$B37="","",CALC_EEM!H37)</f>
      </c>
      <c r="I47" s="16" t="str">
        <f>IF(CALC_EEM!$B37="","",CALC_EEM!I37)</f>
      </c>
      <c r="J47" t="str">
        <f>IF(CALC_EEM!$B37="","",CALC_EEM!J37)</f>
      </c>
      <c r="K47" t="str">
        <f>IF(CALC_EEM!$B37="","",CALC_EEM!K37)</f>
      </c>
      <c r="L47">
        <f>IF(CALC_EEM!$B37="","",CALC_EEM!L37)</f>
      </c>
      <c r="M47">
        <f>IF(CALC_EEM!$B37="","",CALC_EEM!M37)</f>
      </c>
      <c r="N47">
        <f>IF(CALC_EEM!$B37="","",CALC_EEM!N37)</f>
      </c>
      <c r="O47">
        <f>IF(CALC_EEM!$B37="","",CALC_EEM!O37)</f>
      </c>
      <c r="P47">
        <f>IF(CALC_EEM!$B37="","",CALC_EEM!P37)</f>
      </c>
      <c r="Q47">
        <f>IF(CALC_EEM!$B37="","",CALC_EEM!Q37)</f>
      </c>
      <c r="R47">
        <f>IF(CALC_EEM!$B37="","",CALC_EEM!R37)</f>
      </c>
      <c r="S47">
        <f>IF(CALC_EEM!$B37="","",CALC_EEM!S37)</f>
      </c>
      <c r="T47">
        <f>IF(CALC_EEM!$B37="","",CALC_EEM!T37)</f>
      </c>
      <c r="U47">
        <f>IF(CALC_EEM!$B37="","",CALC_EEM!U37)</f>
      </c>
    </row>
    <row r="48" spans="1:24">
      <c r="A48" t="str">
        <f>IF(CALC_EEM!$B38="","",IF(CALC_EEM!A38="GLOBAL","GLOBAL",IF(CALC_EEM!C38="Total","CURSO_TOTAL",IF(CALC_EEM!C38="TotalEsp","CURSO_ESP",IF(CALC_EEM!C38="TotalNoEsp","CURSO_NOESP","CURSO_ASIG")))))</f>
      </c>
      <c r="B48" t="str">
        <f>IF(CALC_EEM!$B38="","",CALC_EEM!A38)</f>
      </c>
      <c r="C48" t="str">
        <f>IF(CALC_EEM!$B38="","",CALC_EEM!B38)</f>
      </c>
      <c r="D48">
        <f>IF(CALC_EEM!$B38="","",CALC_EEM!D38)</f>
      </c>
      <c r="E48" s="14" t="str">
        <f>IF(CALC_EEM!$B38="","",CALC_EEM!E38)</f>
      </c>
      <c r="F48" s="14" t="str">
        <f>IF(CALC_EEM!$B38="","",CALC_EEM!F38)</f>
      </c>
      <c r="G48" t="str">
        <f>IF(CALC_EEM!$B38="","",CALC_EEM!G38)</f>
      </c>
      <c r="H48" s="16" t="str">
        <f>IF(CALC_EEM!$B38="","",CALC_EEM!H38)</f>
      </c>
      <c r="I48" s="16" t="str">
        <f>IF(CALC_EEM!$B38="","",CALC_EEM!I38)</f>
      </c>
      <c r="J48" t="str">
        <f>IF(CALC_EEM!$B38="","",CALC_EEM!J38)</f>
      </c>
      <c r="K48" t="str">
        <f>IF(CALC_EEM!$B38="","",CALC_EEM!K38)</f>
      </c>
      <c r="L48">
        <f>IF(CALC_EEM!$B38="","",CALC_EEM!L38)</f>
      </c>
      <c r="M48">
        <f>IF(CALC_EEM!$B38="","",CALC_EEM!M38)</f>
      </c>
      <c r="N48">
        <f>IF(CALC_EEM!$B38="","",CALC_EEM!N38)</f>
      </c>
      <c r="O48">
        <f>IF(CALC_EEM!$B38="","",CALC_EEM!O38)</f>
      </c>
      <c r="P48">
        <f>IF(CALC_EEM!$B38="","",CALC_EEM!P38)</f>
      </c>
      <c r="Q48">
        <f>IF(CALC_EEM!$B38="","",CALC_EEM!Q38)</f>
      </c>
      <c r="R48">
        <f>IF(CALC_EEM!$B38="","",CALC_EEM!R38)</f>
      </c>
      <c r="S48">
        <f>IF(CALC_EEM!$B38="","",CALC_EEM!S38)</f>
      </c>
      <c r="T48">
        <f>IF(CALC_EEM!$B38="","",CALC_EEM!T38)</f>
      </c>
      <c r="U48">
        <f>IF(CALC_EEM!$B38="","",CALC_EEM!U38)</f>
      </c>
    </row>
    <row r="49" spans="1:24">
      <c r="A49" t="str">
        <f>IF(CALC_EEM!$B39="","",IF(CALC_EEM!A39="GLOBAL","GLOBAL",IF(CALC_EEM!C39="Total","CURSO_TOTAL",IF(CALC_EEM!C39="TotalEsp","CURSO_ESP",IF(CALC_EEM!C39="TotalNoEsp","CURSO_NOESP","CURSO_ASIG")))))</f>
      </c>
      <c r="B49" t="str">
        <f>IF(CALC_EEM!$B39="","",CALC_EEM!A39)</f>
      </c>
      <c r="C49" t="str">
        <f>IF(CALC_EEM!$B39="","",CALC_EEM!B39)</f>
      </c>
      <c r="D49">
        <f>IF(CALC_EEM!$B39="","",CALC_EEM!D39)</f>
      </c>
      <c r="E49" s="14" t="str">
        <f>IF(CALC_EEM!$B39="","",CALC_EEM!E39)</f>
      </c>
      <c r="F49" s="14" t="str">
        <f>IF(CALC_EEM!$B39="","",CALC_EEM!F39)</f>
      </c>
      <c r="G49" t="str">
        <f>IF(CALC_EEM!$B39="","",CALC_EEM!G39)</f>
      </c>
      <c r="H49" s="16" t="str">
        <f>IF(CALC_EEM!$B39="","",CALC_EEM!H39)</f>
      </c>
      <c r="I49" s="16" t="str">
        <f>IF(CALC_EEM!$B39="","",CALC_EEM!I39)</f>
      </c>
      <c r="J49" t="str">
        <f>IF(CALC_EEM!$B39="","",CALC_EEM!J39)</f>
      </c>
      <c r="K49" t="str">
        <f>IF(CALC_EEM!$B39="","",CALC_EEM!K39)</f>
      </c>
      <c r="L49">
        <f>IF(CALC_EEM!$B39="","",CALC_EEM!L39)</f>
      </c>
      <c r="M49">
        <f>IF(CALC_EEM!$B39="","",CALC_EEM!M39)</f>
      </c>
      <c r="N49">
        <f>IF(CALC_EEM!$B39="","",CALC_EEM!N39)</f>
      </c>
      <c r="O49">
        <f>IF(CALC_EEM!$B39="","",CALC_EEM!O39)</f>
      </c>
      <c r="P49">
        <f>IF(CALC_EEM!$B39="","",CALC_EEM!P39)</f>
      </c>
      <c r="Q49">
        <f>IF(CALC_EEM!$B39="","",CALC_EEM!Q39)</f>
      </c>
      <c r="R49">
        <f>IF(CALC_EEM!$B39="","",CALC_EEM!R39)</f>
      </c>
      <c r="S49">
        <f>IF(CALC_EEM!$B39="","",CALC_EEM!S39)</f>
      </c>
      <c r="T49">
        <f>IF(CALC_EEM!$B39="","",CALC_EEM!T39)</f>
      </c>
      <c r="U49">
        <f>IF(CALC_EEM!$B39="","",CALC_EEM!U39)</f>
      </c>
    </row>
    <row r="50" spans="1:24">
      <c r="A50" t="str">
        <f>IF(CALC_EEM!$B40="","",IF(CALC_EEM!A40="GLOBAL","GLOBAL",IF(CALC_EEM!C40="Total","CURSO_TOTAL",IF(CALC_EEM!C40="TotalEsp","CURSO_ESP",IF(CALC_EEM!C40="TotalNoEsp","CURSO_NOESP","CURSO_ASIG")))))</f>
      </c>
      <c r="B50" t="str">
        <f>IF(CALC_EEM!$B40="","",CALC_EEM!A40)</f>
      </c>
      <c r="C50" t="str">
        <f>IF(CALC_EEM!$B40="","",CALC_EEM!B40)</f>
      </c>
      <c r="D50">
        <f>IF(CALC_EEM!$B40="","",CALC_EEM!D40)</f>
      </c>
      <c r="E50" s="14" t="str">
        <f>IF(CALC_EEM!$B40="","",CALC_EEM!E40)</f>
      </c>
      <c r="F50" s="14" t="str">
        <f>IF(CALC_EEM!$B40="","",CALC_EEM!F40)</f>
      </c>
      <c r="G50" t="str">
        <f>IF(CALC_EEM!$B40="","",CALC_EEM!G40)</f>
      </c>
      <c r="H50" s="16" t="str">
        <f>IF(CALC_EEM!$B40="","",CALC_EEM!H40)</f>
      </c>
      <c r="I50" s="16" t="str">
        <f>IF(CALC_EEM!$B40="","",CALC_EEM!I40)</f>
      </c>
      <c r="J50" t="str">
        <f>IF(CALC_EEM!$B40="","",CALC_EEM!J40)</f>
      </c>
      <c r="K50" t="str">
        <f>IF(CALC_EEM!$B40="","",CALC_EEM!K40)</f>
      </c>
      <c r="L50">
        <f>IF(CALC_EEM!$B40="","",CALC_EEM!L40)</f>
      </c>
      <c r="M50">
        <f>IF(CALC_EEM!$B40="","",CALC_EEM!M40)</f>
      </c>
      <c r="N50">
        <f>IF(CALC_EEM!$B40="","",CALC_EEM!N40)</f>
      </c>
      <c r="O50">
        <f>IF(CALC_EEM!$B40="","",CALC_EEM!O40)</f>
      </c>
      <c r="P50">
        <f>IF(CALC_EEM!$B40="","",CALC_EEM!P40)</f>
      </c>
      <c r="Q50">
        <f>IF(CALC_EEM!$B40="","",CALC_EEM!Q40)</f>
      </c>
      <c r="R50">
        <f>IF(CALC_EEM!$B40="","",CALC_EEM!R40)</f>
      </c>
      <c r="S50">
        <f>IF(CALC_EEM!$B40="","",CALC_EEM!S40)</f>
      </c>
      <c r="T50">
        <f>IF(CALC_EEM!$B40="","",CALC_EEM!T40)</f>
      </c>
      <c r="U50">
        <f>IF(CALC_EEM!$B40="","",CALC_EEM!U40)</f>
      </c>
    </row>
    <row r="51" spans="1:24">
      <c r="A51" t="str">
        <f>IF(CALC_EEM!$B41="","",IF(CALC_EEM!A41="GLOBAL","GLOBAL",IF(CALC_EEM!C41="Total","CURSO_TOTAL",IF(CALC_EEM!C41="TotalEsp","CURSO_ESP",IF(CALC_EEM!C41="TotalNoEsp","CURSO_NOESP","CURSO_ASIG")))))</f>
      </c>
      <c r="B51" t="str">
        <f>IF(CALC_EEM!$B41="","",CALC_EEM!A41)</f>
      </c>
      <c r="C51" t="str">
        <f>IF(CALC_EEM!$B41="","",CALC_EEM!B41)</f>
      </c>
      <c r="D51">
        <f>IF(CALC_EEM!$B41="","",CALC_EEM!D41)</f>
      </c>
      <c r="E51" s="14" t="str">
        <f>IF(CALC_EEM!$B41="","",CALC_EEM!E41)</f>
      </c>
      <c r="F51" s="14" t="str">
        <f>IF(CALC_EEM!$B41="","",CALC_EEM!F41)</f>
      </c>
      <c r="G51" t="str">
        <f>IF(CALC_EEM!$B41="","",CALC_EEM!G41)</f>
      </c>
      <c r="H51" s="16" t="str">
        <f>IF(CALC_EEM!$B41="","",CALC_EEM!H41)</f>
      </c>
      <c r="I51" s="16" t="str">
        <f>IF(CALC_EEM!$B41="","",CALC_EEM!I41)</f>
      </c>
      <c r="J51" t="str">
        <f>IF(CALC_EEM!$B41="","",CALC_EEM!J41)</f>
      </c>
      <c r="K51" t="str">
        <f>IF(CALC_EEM!$B41="","",CALC_EEM!K41)</f>
      </c>
      <c r="L51">
        <f>IF(CALC_EEM!$B41="","",CALC_EEM!L41)</f>
      </c>
      <c r="M51">
        <f>IF(CALC_EEM!$B41="","",CALC_EEM!M41)</f>
      </c>
      <c r="N51">
        <f>IF(CALC_EEM!$B41="","",CALC_EEM!N41)</f>
      </c>
      <c r="O51">
        <f>IF(CALC_EEM!$B41="","",CALC_EEM!O41)</f>
      </c>
      <c r="P51">
        <f>IF(CALC_EEM!$B41="","",CALC_EEM!P41)</f>
      </c>
      <c r="Q51">
        <f>IF(CALC_EEM!$B41="","",CALC_EEM!Q41)</f>
      </c>
      <c r="R51">
        <f>IF(CALC_EEM!$B41="","",CALC_EEM!R41)</f>
      </c>
      <c r="S51">
        <f>IF(CALC_EEM!$B41="","",CALC_EEM!S41)</f>
      </c>
      <c r="T51">
        <f>IF(CALC_EEM!$B41="","",CALC_EEM!T41)</f>
      </c>
      <c r="U51">
        <f>IF(CALC_EEM!$B41="","",CALC_EEM!U41)</f>
      </c>
    </row>
    <row r="52" spans="1:24">
      <c r="A52" t="str">
        <f>IF(CALC_EEM!$B42="","",IF(CALC_EEM!A42="GLOBAL","GLOBAL",IF(CALC_EEM!C42="Total","CURSO_TOTAL",IF(CALC_EEM!C42="TotalEsp","CURSO_ESP",IF(CALC_EEM!C42="TotalNoEsp","CURSO_NOESP","CURSO_ASIG")))))</f>
      </c>
      <c r="B52" t="str">
        <f>IF(CALC_EEM!$B42="","",CALC_EEM!A42)</f>
      </c>
      <c r="C52" t="str">
        <f>IF(CALC_EEM!$B42="","",CALC_EEM!B42)</f>
      </c>
      <c r="D52">
        <f>IF(CALC_EEM!$B42="","",CALC_EEM!D42)</f>
      </c>
      <c r="E52" s="14" t="str">
        <f>IF(CALC_EEM!$B42="","",CALC_EEM!E42)</f>
      </c>
      <c r="F52" s="14" t="str">
        <f>IF(CALC_EEM!$B42="","",CALC_EEM!F42)</f>
      </c>
      <c r="G52" t="str">
        <f>IF(CALC_EEM!$B42="","",CALC_EEM!G42)</f>
      </c>
      <c r="H52" s="16" t="str">
        <f>IF(CALC_EEM!$B42="","",CALC_EEM!H42)</f>
      </c>
      <c r="I52" s="16" t="str">
        <f>IF(CALC_EEM!$B42="","",CALC_EEM!I42)</f>
      </c>
      <c r="J52" t="str">
        <f>IF(CALC_EEM!$B42="","",CALC_EEM!J42)</f>
      </c>
      <c r="K52" t="str">
        <f>IF(CALC_EEM!$B42="","",CALC_EEM!K42)</f>
      </c>
      <c r="L52">
        <f>IF(CALC_EEM!$B42="","",CALC_EEM!L42)</f>
      </c>
      <c r="M52">
        <f>IF(CALC_EEM!$B42="","",CALC_EEM!M42)</f>
      </c>
      <c r="N52">
        <f>IF(CALC_EEM!$B42="","",CALC_EEM!N42)</f>
      </c>
      <c r="O52">
        <f>IF(CALC_EEM!$B42="","",CALC_EEM!O42)</f>
      </c>
      <c r="P52">
        <f>IF(CALC_EEM!$B42="","",CALC_EEM!P42)</f>
      </c>
      <c r="Q52">
        <f>IF(CALC_EEM!$B42="","",CALC_EEM!Q42)</f>
      </c>
      <c r="R52">
        <f>IF(CALC_EEM!$B42="","",CALC_EEM!R42)</f>
      </c>
      <c r="S52">
        <f>IF(CALC_EEM!$B42="","",CALC_EEM!S42)</f>
      </c>
      <c r="T52">
        <f>IF(CALC_EEM!$B42="","",CALC_EEM!T42)</f>
      </c>
      <c r="U52">
        <f>IF(CALC_EEM!$B42="","",CALC_EEM!U42)</f>
      </c>
    </row>
    <row r="53" spans="1:24">
      <c r="A53" t="str">
        <f>IF(CALC_EEM!$B43="","",IF(CALC_EEM!A43="GLOBAL","GLOBAL",IF(CALC_EEM!C43="Total","CURSO_TOTAL",IF(CALC_EEM!C43="TotalEsp","CURSO_ESP",IF(CALC_EEM!C43="TotalNoEsp","CURSO_NOESP","CURSO_ASIG")))))</f>
      </c>
      <c r="B53" t="str">
        <f>IF(CALC_EEM!$B43="","",CALC_EEM!A43)</f>
      </c>
      <c r="C53" t="str">
        <f>IF(CALC_EEM!$B43="","",CALC_EEM!B43)</f>
      </c>
      <c r="D53">
        <f>IF(CALC_EEM!$B43="","",CALC_EEM!D43)</f>
      </c>
      <c r="E53" s="14" t="str">
        <f>IF(CALC_EEM!$B43="","",CALC_EEM!E43)</f>
      </c>
      <c r="F53" s="14" t="str">
        <f>IF(CALC_EEM!$B43="","",CALC_EEM!F43)</f>
      </c>
      <c r="G53" t="str">
        <f>IF(CALC_EEM!$B43="","",CALC_EEM!G43)</f>
      </c>
      <c r="H53" s="16" t="str">
        <f>IF(CALC_EEM!$B43="","",CALC_EEM!H43)</f>
      </c>
      <c r="I53" s="16" t="str">
        <f>IF(CALC_EEM!$B43="","",CALC_EEM!I43)</f>
      </c>
      <c r="J53" t="str">
        <f>IF(CALC_EEM!$B43="","",CALC_EEM!J43)</f>
      </c>
      <c r="K53" t="str">
        <f>IF(CALC_EEM!$B43="","",CALC_EEM!K43)</f>
      </c>
      <c r="L53">
        <f>IF(CALC_EEM!$B43="","",CALC_EEM!L43)</f>
      </c>
      <c r="M53">
        <f>IF(CALC_EEM!$B43="","",CALC_EEM!M43)</f>
      </c>
      <c r="N53">
        <f>IF(CALC_EEM!$B43="","",CALC_EEM!N43)</f>
      </c>
      <c r="O53">
        <f>IF(CALC_EEM!$B43="","",CALC_EEM!O43)</f>
      </c>
      <c r="P53">
        <f>IF(CALC_EEM!$B43="","",CALC_EEM!P43)</f>
      </c>
      <c r="Q53">
        <f>IF(CALC_EEM!$B43="","",CALC_EEM!Q43)</f>
      </c>
      <c r="R53">
        <f>IF(CALC_EEM!$B43="","",CALC_EEM!R43)</f>
      </c>
      <c r="S53">
        <f>IF(CALC_EEM!$B43="","",CALC_EEM!S43)</f>
      </c>
      <c r="T53">
        <f>IF(CALC_EEM!$B43="","",CALC_EEM!T43)</f>
      </c>
      <c r="U53">
        <f>IF(CALC_EEM!$B43="","",CALC_EEM!U43)</f>
      </c>
    </row>
    <row r="54" spans="1:24">
      <c r="A54" t="str">
        <f>IF(CALC_EEM!$B44="","",IF(CALC_EEM!A44="GLOBAL","GLOBAL",IF(CALC_EEM!C44="Total","CURSO_TOTAL",IF(CALC_EEM!C44="TotalEsp","CURSO_ESP",IF(CALC_EEM!C44="TotalNoEsp","CURSO_NOESP","CURSO_ASIG")))))</f>
      </c>
      <c r="B54" t="str">
        <f>IF(CALC_EEM!$B44="","",CALC_EEM!A44)</f>
      </c>
      <c r="C54" t="str">
        <f>IF(CALC_EEM!$B44="","",CALC_EEM!B44)</f>
      </c>
      <c r="D54">
        <f>IF(CALC_EEM!$B44="","",CALC_EEM!D44)</f>
      </c>
      <c r="E54" s="14" t="str">
        <f>IF(CALC_EEM!$B44="","",CALC_EEM!E44)</f>
      </c>
      <c r="F54" s="14" t="str">
        <f>IF(CALC_EEM!$B44="","",CALC_EEM!F44)</f>
      </c>
      <c r="G54" t="str">
        <f>IF(CALC_EEM!$B44="","",CALC_EEM!G44)</f>
      </c>
      <c r="H54" s="16" t="str">
        <f>IF(CALC_EEM!$B44="","",CALC_EEM!H44)</f>
      </c>
      <c r="I54" s="16" t="str">
        <f>IF(CALC_EEM!$B44="","",CALC_EEM!I44)</f>
      </c>
      <c r="J54" t="str">
        <f>IF(CALC_EEM!$B44="","",CALC_EEM!J44)</f>
      </c>
      <c r="K54" t="str">
        <f>IF(CALC_EEM!$B44="","",CALC_EEM!K44)</f>
      </c>
      <c r="L54">
        <f>IF(CALC_EEM!$B44="","",CALC_EEM!L44)</f>
      </c>
      <c r="M54">
        <f>IF(CALC_EEM!$B44="","",CALC_EEM!M44)</f>
      </c>
      <c r="N54">
        <f>IF(CALC_EEM!$B44="","",CALC_EEM!N44)</f>
      </c>
      <c r="O54">
        <f>IF(CALC_EEM!$B44="","",CALC_EEM!O44)</f>
      </c>
      <c r="P54">
        <f>IF(CALC_EEM!$B44="","",CALC_EEM!P44)</f>
      </c>
      <c r="Q54">
        <f>IF(CALC_EEM!$B44="","",CALC_EEM!Q44)</f>
      </c>
      <c r="R54">
        <f>IF(CALC_EEM!$B44="","",CALC_EEM!R44)</f>
      </c>
      <c r="S54">
        <f>IF(CALC_EEM!$B44="","",CALC_EEM!S44)</f>
      </c>
      <c r="T54">
        <f>IF(CALC_EEM!$B44="","",CALC_EEM!T44)</f>
      </c>
      <c r="U54">
        <f>IF(CALC_EEM!$B44="","",CALC_EEM!U44)</f>
      </c>
    </row>
    <row r="55" spans="1:24">
      <c r="A55" t="str">
        <f>IF(CALC_EEM!$B45="","",IF(CALC_EEM!A45="GLOBAL","GLOBAL",IF(CALC_EEM!C45="Total","CURSO_TOTAL",IF(CALC_EEM!C45="TotalEsp","CURSO_ESP",IF(CALC_EEM!C45="TotalNoEsp","CURSO_NOESP","CURSO_ASIG")))))</f>
      </c>
      <c r="B55" t="str">
        <f>IF(CALC_EEM!$B45="","",CALC_EEM!A45)</f>
      </c>
      <c r="C55" t="str">
        <f>IF(CALC_EEM!$B45="","",CALC_EEM!B45)</f>
      </c>
      <c r="D55">
        <f>IF(CALC_EEM!$B45="","",CALC_EEM!D45)</f>
      </c>
      <c r="E55" s="14" t="str">
        <f>IF(CALC_EEM!$B45="","",CALC_EEM!E45)</f>
      </c>
      <c r="F55" s="14" t="str">
        <f>IF(CALC_EEM!$B45="","",CALC_EEM!F45)</f>
      </c>
      <c r="G55" t="str">
        <f>IF(CALC_EEM!$B45="","",CALC_EEM!G45)</f>
      </c>
      <c r="H55" s="16" t="str">
        <f>IF(CALC_EEM!$B45="","",CALC_EEM!H45)</f>
      </c>
      <c r="I55" s="16" t="str">
        <f>IF(CALC_EEM!$B45="","",CALC_EEM!I45)</f>
      </c>
      <c r="J55" t="str">
        <f>IF(CALC_EEM!$B45="","",CALC_EEM!J45)</f>
      </c>
      <c r="K55" t="str">
        <f>IF(CALC_EEM!$B45="","",CALC_EEM!K45)</f>
      </c>
      <c r="L55">
        <f>IF(CALC_EEM!$B45="","",CALC_EEM!L45)</f>
      </c>
      <c r="M55">
        <f>IF(CALC_EEM!$B45="","",CALC_EEM!M45)</f>
      </c>
      <c r="N55">
        <f>IF(CALC_EEM!$B45="","",CALC_EEM!N45)</f>
      </c>
      <c r="O55">
        <f>IF(CALC_EEM!$B45="","",CALC_EEM!O45)</f>
      </c>
      <c r="P55">
        <f>IF(CALC_EEM!$B45="","",CALC_EEM!P45)</f>
      </c>
      <c r="Q55">
        <f>IF(CALC_EEM!$B45="","",CALC_EEM!Q45)</f>
      </c>
      <c r="R55">
        <f>IF(CALC_EEM!$B45="","",CALC_EEM!R45)</f>
      </c>
      <c r="S55">
        <f>IF(CALC_EEM!$B45="","",CALC_EEM!S45)</f>
      </c>
      <c r="T55">
        <f>IF(CALC_EEM!$B45="","",CALC_EEM!T45)</f>
      </c>
      <c r="U55">
        <f>IF(CALC_EEM!$B45="","",CALC_EEM!U45)</f>
      </c>
    </row>
    <row r="56" spans="1:24">
      <c r="A56" t="str">
        <f>IF(CALC_EEM!$B46="","",IF(CALC_EEM!A46="GLOBAL","GLOBAL",IF(CALC_EEM!C46="Total","CURSO_TOTAL",IF(CALC_EEM!C46="TotalEsp","CURSO_ESP",IF(CALC_EEM!C46="TotalNoEsp","CURSO_NOESP","CURSO_ASIG")))))</f>
      </c>
      <c r="B56" t="str">
        <f>IF(CALC_EEM!$B46="","",CALC_EEM!A46)</f>
      </c>
      <c r="C56" t="str">
        <f>IF(CALC_EEM!$B46="","",CALC_EEM!B46)</f>
      </c>
      <c r="D56">
        <f>IF(CALC_EEM!$B46="","",CALC_EEM!D46)</f>
      </c>
      <c r="E56" s="14" t="str">
        <f>IF(CALC_EEM!$B46="","",CALC_EEM!E46)</f>
      </c>
      <c r="F56" s="14" t="str">
        <f>IF(CALC_EEM!$B46="","",CALC_EEM!F46)</f>
      </c>
      <c r="G56" t="str">
        <f>IF(CALC_EEM!$B46="","",CALC_EEM!G46)</f>
      </c>
      <c r="H56" s="16" t="str">
        <f>IF(CALC_EEM!$B46="","",CALC_EEM!H46)</f>
      </c>
      <c r="I56" s="16" t="str">
        <f>IF(CALC_EEM!$B46="","",CALC_EEM!I46)</f>
      </c>
      <c r="J56" t="str">
        <f>IF(CALC_EEM!$B46="","",CALC_EEM!J46)</f>
      </c>
      <c r="K56" t="str">
        <f>IF(CALC_EEM!$B46="","",CALC_EEM!K46)</f>
      </c>
      <c r="L56">
        <f>IF(CALC_EEM!$B46="","",CALC_EEM!L46)</f>
      </c>
      <c r="M56">
        <f>IF(CALC_EEM!$B46="","",CALC_EEM!M46)</f>
      </c>
      <c r="N56">
        <f>IF(CALC_EEM!$B46="","",CALC_EEM!N46)</f>
      </c>
      <c r="O56">
        <f>IF(CALC_EEM!$B46="","",CALC_EEM!O46)</f>
      </c>
      <c r="P56">
        <f>IF(CALC_EEM!$B46="","",CALC_EEM!P46)</f>
      </c>
      <c r="Q56">
        <f>IF(CALC_EEM!$B46="","",CALC_EEM!Q46)</f>
      </c>
      <c r="R56">
        <f>IF(CALC_EEM!$B46="","",CALC_EEM!R46)</f>
      </c>
      <c r="S56">
        <f>IF(CALC_EEM!$B46="","",CALC_EEM!S46)</f>
      </c>
      <c r="T56">
        <f>IF(CALC_EEM!$B46="","",CALC_EEM!T46)</f>
      </c>
      <c r="U56">
        <f>IF(CALC_EEM!$B46="","",CALC_EEM!U46)</f>
      </c>
    </row>
    <row r="57" spans="1:24">
      <c r="A57" t="str">
        <f>IF(CALC_EEM!$B47="","",IF(CALC_EEM!A47="GLOBAL","GLOBAL",IF(CALC_EEM!C47="Total","CURSO_TOTAL",IF(CALC_EEM!C47="TotalEsp","CURSO_ESP",IF(CALC_EEM!C47="TotalNoEsp","CURSO_NOESP","CURSO_ASIG")))))</f>
      </c>
      <c r="B57" t="str">
        <f>IF(CALC_EEM!$B47="","",CALC_EEM!A47)</f>
      </c>
      <c r="C57" t="str">
        <f>IF(CALC_EEM!$B47="","",CALC_EEM!B47)</f>
      </c>
      <c r="D57">
        <f>IF(CALC_EEM!$B47="","",CALC_EEM!D47)</f>
      </c>
      <c r="E57" s="14" t="str">
        <f>IF(CALC_EEM!$B47="","",CALC_EEM!E47)</f>
      </c>
      <c r="F57" s="14" t="str">
        <f>IF(CALC_EEM!$B47="","",CALC_EEM!F47)</f>
      </c>
      <c r="G57" t="str">
        <f>IF(CALC_EEM!$B47="","",CALC_EEM!G47)</f>
      </c>
      <c r="H57" s="16" t="str">
        <f>IF(CALC_EEM!$B47="","",CALC_EEM!H47)</f>
      </c>
      <c r="I57" s="16" t="str">
        <f>IF(CALC_EEM!$B47="","",CALC_EEM!I47)</f>
      </c>
      <c r="J57" t="str">
        <f>IF(CALC_EEM!$B47="","",CALC_EEM!J47)</f>
      </c>
      <c r="K57" t="str">
        <f>IF(CALC_EEM!$B47="","",CALC_EEM!K47)</f>
      </c>
      <c r="L57">
        <f>IF(CALC_EEM!$B47="","",CALC_EEM!L47)</f>
      </c>
      <c r="M57">
        <f>IF(CALC_EEM!$B47="","",CALC_EEM!M47)</f>
      </c>
      <c r="N57">
        <f>IF(CALC_EEM!$B47="","",CALC_EEM!N47)</f>
      </c>
      <c r="O57">
        <f>IF(CALC_EEM!$B47="","",CALC_EEM!O47)</f>
      </c>
      <c r="P57">
        <f>IF(CALC_EEM!$B47="","",CALC_EEM!P47)</f>
      </c>
      <c r="Q57">
        <f>IF(CALC_EEM!$B47="","",CALC_EEM!Q47)</f>
      </c>
      <c r="R57">
        <f>IF(CALC_EEM!$B47="","",CALC_EEM!R47)</f>
      </c>
      <c r="S57">
        <f>IF(CALC_EEM!$B47="","",CALC_EEM!S47)</f>
      </c>
      <c r="T57">
        <f>IF(CALC_EEM!$B47="","",CALC_EEM!T47)</f>
      </c>
      <c r="U57">
        <f>IF(CALC_EEM!$B47="","",CALC_EEM!U47)</f>
      </c>
    </row>
    <row r="58" spans="1:24">
      <c r="A58" t="str">
        <f>IF(CALC_EEM!$B48="","",IF(CALC_EEM!A48="GLOBAL","GLOBAL",IF(CALC_EEM!C48="Total","CURSO_TOTAL",IF(CALC_EEM!C48="TotalEsp","CURSO_ESP",IF(CALC_EEM!C48="TotalNoEsp","CURSO_NOESP","CURSO_ASIG")))))</f>
      </c>
      <c r="B58" t="str">
        <f>IF(CALC_EEM!$B48="","",CALC_EEM!A48)</f>
      </c>
      <c r="C58" t="str">
        <f>IF(CALC_EEM!$B48="","",CALC_EEM!B48)</f>
      </c>
      <c r="D58">
        <f>IF(CALC_EEM!$B48="","",CALC_EEM!D48)</f>
      </c>
      <c r="E58" s="14" t="str">
        <f>IF(CALC_EEM!$B48="","",CALC_EEM!E48)</f>
      </c>
      <c r="F58" s="14" t="str">
        <f>IF(CALC_EEM!$B48="","",CALC_EEM!F48)</f>
      </c>
      <c r="G58" t="str">
        <f>IF(CALC_EEM!$B48="","",CALC_EEM!G48)</f>
      </c>
      <c r="H58" s="16" t="str">
        <f>IF(CALC_EEM!$B48="","",CALC_EEM!H48)</f>
      </c>
      <c r="I58" s="16" t="str">
        <f>IF(CALC_EEM!$B48="","",CALC_EEM!I48)</f>
      </c>
      <c r="J58" t="str">
        <f>IF(CALC_EEM!$B48="","",CALC_EEM!J48)</f>
      </c>
      <c r="K58" t="str">
        <f>IF(CALC_EEM!$B48="","",CALC_EEM!K48)</f>
      </c>
      <c r="L58">
        <f>IF(CALC_EEM!$B48="","",CALC_EEM!L48)</f>
      </c>
      <c r="M58">
        <f>IF(CALC_EEM!$B48="","",CALC_EEM!M48)</f>
      </c>
      <c r="N58">
        <f>IF(CALC_EEM!$B48="","",CALC_EEM!N48)</f>
      </c>
      <c r="O58">
        <f>IF(CALC_EEM!$B48="","",CALC_EEM!O48)</f>
      </c>
      <c r="P58">
        <f>IF(CALC_EEM!$B48="","",CALC_EEM!P48)</f>
      </c>
      <c r="Q58">
        <f>IF(CALC_EEM!$B48="","",CALC_EEM!Q48)</f>
      </c>
      <c r="R58">
        <f>IF(CALC_EEM!$B48="","",CALC_EEM!R48)</f>
      </c>
      <c r="S58">
        <f>IF(CALC_EEM!$B48="","",CALC_EEM!S48)</f>
      </c>
      <c r="T58">
        <f>IF(CALC_EEM!$B48="","",CALC_EEM!T48)</f>
      </c>
      <c r="U58">
        <f>IF(CALC_EEM!$B48="","",CALC_EEM!U48)</f>
      </c>
    </row>
    <row r="59" spans="1:24">
      <c r="A59" t="str">
        <f>IF(CALC_EEM!$B49="","",IF(CALC_EEM!A49="GLOBAL","GLOBAL",IF(CALC_EEM!C49="Total","CURSO_TOTAL",IF(CALC_EEM!C49="TotalEsp","CURSO_ESP",IF(CALC_EEM!C49="TotalNoEsp","CURSO_NOESP","CURSO_ASIG")))))</f>
      </c>
      <c r="B59" t="str">
        <f>IF(CALC_EEM!$B49="","",CALC_EEM!A49)</f>
      </c>
      <c r="C59" t="str">
        <f>IF(CALC_EEM!$B49="","",CALC_EEM!B49)</f>
      </c>
      <c r="D59">
        <f>IF(CALC_EEM!$B49="","",CALC_EEM!D49)</f>
      </c>
      <c r="E59" s="14" t="str">
        <f>IF(CALC_EEM!$B49="","",CALC_EEM!E49)</f>
      </c>
      <c r="F59" s="14" t="str">
        <f>IF(CALC_EEM!$B49="","",CALC_EEM!F49)</f>
      </c>
      <c r="G59" t="str">
        <f>IF(CALC_EEM!$B49="","",CALC_EEM!G49)</f>
      </c>
      <c r="H59" s="16" t="str">
        <f>IF(CALC_EEM!$B49="","",CALC_EEM!H49)</f>
      </c>
      <c r="I59" s="16" t="str">
        <f>IF(CALC_EEM!$B49="","",CALC_EEM!I49)</f>
      </c>
      <c r="J59" t="str">
        <f>IF(CALC_EEM!$B49="","",CALC_EEM!J49)</f>
      </c>
      <c r="K59" t="str">
        <f>IF(CALC_EEM!$B49="","",CALC_EEM!K49)</f>
      </c>
      <c r="L59">
        <f>IF(CALC_EEM!$B49="","",CALC_EEM!L49)</f>
      </c>
      <c r="M59">
        <f>IF(CALC_EEM!$B49="","",CALC_EEM!M49)</f>
      </c>
      <c r="N59">
        <f>IF(CALC_EEM!$B49="","",CALC_EEM!N49)</f>
      </c>
      <c r="O59">
        <f>IF(CALC_EEM!$B49="","",CALC_EEM!O49)</f>
      </c>
      <c r="P59">
        <f>IF(CALC_EEM!$B49="","",CALC_EEM!P49)</f>
      </c>
      <c r="Q59">
        <f>IF(CALC_EEM!$B49="","",CALC_EEM!Q49)</f>
      </c>
      <c r="R59">
        <f>IF(CALC_EEM!$B49="","",CALC_EEM!R49)</f>
      </c>
      <c r="S59">
        <f>IF(CALC_EEM!$B49="","",CALC_EEM!S49)</f>
      </c>
      <c r="T59">
        <f>IF(CALC_EEM!$B49="","",CALC_EEM!T49)</f>
      </c>
      <c r="U59">
        <f>IF(CALC_EEM!$B49="","",CALC_EEM!U49)</f>
      </c>
    </row>
    <row r="60" spans="1:24">
      <c r="A60" t="str">
        <f>IF(CALC_EEM!$B50="","",IF(CALC_EEM!A50="GLOBAL","GLOBAL",IF(CALC_EEM!C50="Total","CURSO_TOTAL",IF(CALC_EEM!C50="TotalEsp","CURSO_ESP",IF(CALC_EEM!C50="TotalNoEsp","CURSO_NOESP","CURSO_ASIG")))))</f>
      </c>
      <c r="B60" t="str">
        <f>IF(CALC_EEM!$B50="","",CALC_EEM!A50)</f>
      </c>
      <c r="C60" t="str">
        <f>IF(CALC_EEM!$B50="","",CALC_EEM!B50)</f>
      </c>
      <c r="D60">
        <f>IF(CALC_EEM!$B50="","",CALC_EEM!D50)</f>
      </c>
      <c r="E60" s="14" t="str">
        <f>IF(CALC_EEM!$B50="","",CALC_EEM!E50)</f>
      </c>
      <c r="F60" s="14" t="str">
        <f>IF(CALC_EEM!$B50="","",CALC_EEM!F50)</f>
      </c>
      <c r="G60" t="str">
        <f>IF(CALC_EEM!$B50="","",CALC_EEM!G50)</f>
      </c>
      <c r="H60" s="16" t="str">
        <f>IF(CALC_EEM!$B50="","",CALC_EEM!H50)</f>
      </c>
      <c r="I60" s="16" t="str">
        <f>IF(CALC_EEM!$B50="","",CALC_EEM!I50)</f>
      </c>
      <c r="J60" t="str">
        <f>IF(CALC_EEM!$B50="","",CALC_EEM!J50)</f>
      </c>
      <c r="K60" t="str">
        <f>IF(CALC_EEM!$B50="","",CALC_EEM!K50)</f>
      </c>
      <c r="L60">
        <f>IF(CALC_EEM!$B50="","",CALC_EEM!L50)</f>
      </c>
      <c r="M60">
        <f>IF(CALC_EEM!$B50="","",CALC_EEM!M50)</f>
      </c>
      <c r="N60">
        <f>IF(CALC_EEM!$B50="","",CALC_EEM!N50)</f>
      </c>
      <c r="O60">
        <f>IF(CALC_EEM!$B50="","",CALC_EEM!O50)</f>
      </c>
      <c r="P60">
        <f>IF(CALC_EEM!$B50="","",CALC_EEM!P50)</f>
      </c>
      <c r="Q60">
        <f>IF(CALC_EEM!$B50="","",CALC_EEM!Q50)</f>
      </c>
      <c r="R60">
        <f>IF(CALC_EEM!$B50="","",CALC_EEM!R50)</f>
      </c>
      <c r="S60">
        <f>IF(CALC_EEM!$B50="","",CALC_EEM!S50)</f>
      </c>
      <c r="T60">
        <f>IF(CALC_EEM!$B50="","",CALC_EEM!T50)</f>
      </c>
      <c r="U60">
        <f>IF(CALC_EEM!$B50="","",CALC_EEM!U50)</f>
      </c>
    </row>
    <row r="61" spans="1:24">
      <c r="A61" t="str">
        <f>IF(CALC_EEM!$B51="","",IF(CALC_EEM!A51="GLOBAL","GLOBAL",IF(CALC_EEM!C51="Total","CURSO_TOTAL",IF(CALC_EEM!C51="TotalEsp","CURSO_ESP",IF(CALC_EEM!C51="TotalNoEsp","CURSO_NOESP","CURSO_ASIG")))))</f>
      </c>
      <c r="B61" t="str">
        <f>IF(CALC_EEM!$B51="","",CALC_EEM!A51)</f>
      </c>
      <c r="C61" t="str">
        <f>IF(CALC_EEM!$B51="","",CALC_EEM!B51)</f>
      </c>
      <c r="D61">
        <f>IF(CALC_EEM!$B51="","",CALC_EEM!D51)</f>
      </c>
      <c r="E61" s="14" t="str">
        <f>IF(CALC_EEM!$B51="","",CALC_EEM!E51)</f>
      </c>
      <c r="F61" s="14" t="str">
        <f>IF(CALC_EEM!$B51="","",CALC_EEM!F51)</f>
      </c>
      <c r="G61" t="str">
        <f>IF(CALC_EEM!$B51="","",CALC_EEM!G51)</f>
      </c>
      <c r="H61" s="16" t="str">
        <f>IF(CALC_EEM!$B51="","",CALC_EEM!H51)</f>
      </c>
      <c r="I61" s="16" t="str">
        <f>IF(CALC_EEM!$B51="","",CALC_EEM!I51)</f>
      </c>
      <c r="J61" t="str">
        <f>IF(CALC_EEM!$B51="","",CALC_EEM!J51)</f>
      </c>
      <c r="K61" t="str">
        <f>IF(CALC_EEM!$B51="","",CALC_EEM!K51)</f>
      </c>
      <c r="L61">
        <f>IF(CALC_EEM!$B51="","",CALC_EEM!L51)</f>
      </c>
      <c r="M61">
        <f>IF(CALC_EEM!$B51="","",CALC_EEM!M51)</f>
      </c>
      <c r="N61">
        <f>IF(CALC_EEM!$B51="","",CALC_EEM!N51)</f>
      </c>
      <c r="O61">
        <f>IF(CALC_EEM!$B51="","",CALC_EEM!O51)</f>
      </c>
      <c r="P61">
        <f>IF(CALC_EEM!$B51="","",CALC_EEM!P51)</f>
      </c>
      <c r="Q61">
        <f>IF(CALC_EEM!$B51="","",CALC_EEM!Q51)</f>
      </c>
      <c r="R61">
        <f>IF(CALC_EEM!$B51="","",CALC_EEM!R51)</f>
      </c>
      <c r="S61">
        <f>IF(CALC_EEM!$B51="","",CALC_EEM!S51)</f>
      </c>
      <c r="T61">
        <f>IF(CALC_EEM!$B51="","",CALC_EEM!T51)</f>
      </c>
      <c r="U61">
        <f>IF(CALC_EEM!$B51="","",CALC_EEM!U51)</f>
      </c>
    </row>
    <row r="62" spans="1:24">
      <c r="A62" t="str">
        <f>IF(CALC_EEM!$B52="","",IF(CALC_EEM!A52="GLOBAL","GLOBAL",IF(CALC_EEM!C52="Total","CURSO_TOTAL",IF(CALC_EEM!C52="TotalEsp","CURSO_ESP",IF(CALC_EEM!C52="TotalNoEsp","CURSO_NOESP","CURSO_ASIG")))))</f>
      </c>
      <c r="B62" t="str">
        <f>IF(CALC_EEM!$B52="","",CALC_EEM!A52)</f>
      </c>
      <c r="C62" t="str">
        <f>IF(CALC_EEM!$B52="","",CALC_EEM!B52)</f>
      </c>
      <c r="D62">
        <f>IF(CALC_EEM!$B52="","",CALC_EEM!D52)</f>
      </c>
      <c r="E62" s="14" t="str">
        <f>IF(CALC_EEM!$B52="","",CALC_EEM!E52)</f>
      </c>
      <c r="F62" s="14" t="str">
        <f>IF(CALC_EEM!$B52="","",CALC_EEM!F52)</f>
      </c>
      <c r="G62" t="str">
        <f>IF(CALC_EEM!$B52="","",CALC_EEM!G52)</f>
      </c>
      <c r="H62" s="16" t="str">
        <f>IF(CALC_EEM!$B52="","",CALC_EEM!H52)</f>
      </c>
      <c r="I62" s="16" t="str">
        <f>IF(CALC_EEM!$B52="","",CALC_EEM!I52)</f>
      </c>
      <c r="J62" t="str">
        <f>IF(CALC_EEM!$B52="","",CALC_EEM!J52)</f>
      </c>
      <c r="K62" t="str">
        <f>IF(CALC_EEM!$B52="","",CALC_EEM!K52)</f>
      </c>
      <c r="L62">
        <f>IF(CALC_EEM!$B52="","",CALC_EEM!L52)</f>
      </c>
      <c r="M62">
        <f>IF(CALC_EEM!$B52="","",CALC_EEM!M52)</f>
      </c>
      <c r="N62">
        <f>IF(CALC_EEM!$B52="","",CALC_EEM!N52)</f>
      </c>
      <c r="O62">
        <f>IF(CALC_EEM!$B52="","",CALC_EEM!O52)</f>
      </c>
      <c r="P62">
        <f>IF(CALC_EEM!$B52="","",CALC_EEM!P52)</f>
      </c>
      <c r="Q62">
        <f>IF(CALC_EEM!$B52="","",CALC_EEM!Q52)</f>
      </c>
      <c r="R62">
        <f>IF(CALC_EEM!$B52="","",CALC_EEM!R52)</f>
      </c>
      <c r="S62">
        <f>IF(CALC_EEM!$B52="","",CALC_EEM!S52)</f>
      </c>
      <c r="T62">
        <f>IF(CALC_EEM!$B52="","",CALC_EEM!T52)</f>
      </c>
      <c r="U62">
        <f>IF(CALC_EEM!$B52="","",CALC_EEM!U52)</f>
      </c>
    </row>
    <row r="63" spans="1:24">
      <c r="A63" t="str">
        <f>IF(CALC_EEM!$B53="","",IF(CALC_EEM!A53="GLOBAL","GLOBAL",IF(CALC_EEM!C53="Total","CURSO_TOTAL",IF(CALC_EEM!C53="TotalEsp","CURSO_ESP",IF(CALC_EEM!C53="TotalNoEsp","CURSO_NOESP","CURSO_ASIG")))))</f>
      </c>
      <c r="B63" t="str">
        <f>IF(CALC_EEM!$B53="","",CALC_EEM!A53)</f>
      </c>
      <c r="C63" t="str">
        <f>IF(CALC_EEM!$B53="","",CALC_EEM!B53)</f>
      </c>
      <c r="D63">
        <f>IF(CALC_EEM!$B53="","",CALC_EEM!D53)</f>
      </c>
      <c r="E63" s="14" t="str">
        <f>IF(CALC_EEM!$B53="","",CALC_EEM!E53)</f>
      </c>
      <c r="F63" s="14" t="str">
        <f>IF(CALC_EEM!$B53="","",CALC_EEM!F53)</f>
      </c>
      <c r="G63" t="str">
        <f>IF(CALC_EEM!$B53="","",CALC_EEM!G53)</f>
      </c>
      <c r="H63" s="16" t="str">
        <f>IF(CALC_EEM!$B53="","",CALC_EEM!H53)</f>
      </c>
      <c r="I63" s="16" t="str">
        <f>IF(CALC_EEM!$B53="","",CALC_EEM!I53)</f>
      </c>
      <c r="J63" t="str">
        <f>IF(CALC_EEM!$B53="","",CALC_EEM!J53)</f>
      </c>
      <c r="K63" t="str">
        <f>IF(CALC_EEM!$B53="","",CALC_EEM!K53)</f>
      </c>
      <c r="L63">
        <f>IF(CALC_EEM!$B53="","",CALC_EEM!L53)</f>
      </c>
      <c r="M63">
        <f>IF(CALC_EEM!$B53="","",CALC_EEM!M53)</f>
      </c>
      <c r="N63">
        <f>IF(CALC_EEM!$B53="","",CALC_EEM!N53)</f>
      </c>
      <c r="O63">
        <f>IF(CALC_EEM!$B53="","",CALC_EEM!O53)</f>
      </c>
      <c r="P63">
        <f>IF(CALC_EEM!$B53="","",CALC_EEM!P53)</f>
      </c>
      <c r="Q63">
        <f>IF(CALC_EEM!$B53="","",CALC_EEM!Q53)</f>
      </c>
      <c r="R63">
        <f>IF(CALC_EEM!$B53="","",CALC_EEM!R53)</f>
      </c>
      <c r="S63">
        <f>IF(CALC_EEM!$B53="","",CALC_EEM!S53)</f>
      </c>
      <c r="T63">
        <f>IF(CALC_EEM!$B53="","",CALC_EEM!T53)</f>
      </c>
      <c r="U63">
        <f>IF(CALC_EEM!$B53="","",CALC_EEM!U53)</f>
      </c>
    </row>
    <row r="64" spans="1:24">
      <c r="A64" t="str">
        <f>IF(CALC_EEM!$B54="","",IF(CALC_EEM!A54="GLOBAL","GLOBAL",IF(CALC_EEM!C54="Total","CURSO_TOTAL",IF(CALC_EEM!C54="TotalEsp","CURSO_ESP",IF(CALC_EEM!C54="TotalNoEsp","CURSO_NOESP","CURSO_ASIG")))))</f>
      </c>
      <c r="B64" t="str">
        <f>IF(CALC_EEM!$B54="","",CALC_EEM!A54)</f>
      </c>
      <c r="C64" t="str">
        <f>IF(CALC_EEM!$B54="","",CALC_EEM!B54)</f>
      </c>
      <c r="D64">
        <f>IF(CALC_EEM!$B54="","",CALC_EEM!D54)</f>
      </c>
      <c r="E64" s="14" t="str">
        <f>IF(CALC_EEM!$B54="","",CALC_EEM!E54)</f>
      </c>
      <c r="F64" s="14" t="str">
        <f>IF(CALC_EEM!$B54="","",CALC_EEM!F54)</f>
      </c>
      <c r="G64" t="str">
        <f>IF(CALC_EEM!$B54="","",CALC_EEM!G54)</f>
      </c>
      <c r="H64" s="16" t="str">
        <f>IF(CALC_EEM!$B54="","",CALC_EEM!H54)</f>
      </c>
      <c r="I64" s="16" t="str">
        <f>IF(CALC_EEM!$B54="","",CALC_EEM!I54)</f>
      </c>
      <c r="J64" t="str">
        <f>IF(CALC_EEM!$B54="","",CALC_EEM!J54)</f>
      </c>
      <c r="K64" t="str">
        <f>IF(CALC_EEM!$B54="","",CALC_EEM!K54)</f>
      </c>
      <c r="L64">
        <f>IF(CALC_EEM!$B54="","",CALC_EEM!L54)</f>
      </c>
      <c r="M64">
        <f>IF(CALC_EEM!$B54="","",CALC_EEM!M54)</f>
      </c>
      <c r="N64">
        <f>IF(CALC_EEM!$B54="","",CALC_EEM!N54)</f>
      </c>
      <c r="O64">
        <f>IF(CALC_EEM!$B54="","",CALC_EEM!O54)</f>
      </c>
      <c r="P64">
        <f>IF(CALC_EEM!$B54="","",CALC_EEM!P54)</f>
      </c>
      <c r="Q64">
        <f>IF(CALC_EEM!$B54="","",CALC_EEM!Q54)</f>
      </c>
      <c r="R64">
        <f>IF(CALC_EEM!$B54="","",CALC_EEM!R54)</f>
      </c>
      <c r="S64">
        <f>IF(CALC_EEM!$B54="","",CALC_EEM!S54)</f>
      </c>
      <c r="T64">
        <f>IF(CALC_EEM!$B54="","",CALC_EEM!T54)</f>
      </c>
      <c r="U64">
        <f>IF(CALC_EEM!$B54="","",CALC_EEM!U54)</f>
      </c>
    </row>
    <row r="65" spans="1:24">
      <c r="A65" t="str">
        <f>IF(CALC_EEM!$B55="","",IF(CALC_EEM!A55="GLOBAL","GLOBAL",IF(CALC_EEM!C55="Total","CURSO_TOTAL",IF(CALC_EEM!C55="TotalEsp","CURSO_ESP",IF(CALC_EEM!C55="TotalNoEsp","CURSO_NOESP","CURSO_ASIG")))))</f>
      </c>
      <c r="B65" t="str">
        <f>IF(CALC_EEM!$B55="","",CALC_EEM!A55)</f>
      </c>
      <c r="C65" t="str">
        <f>IF(CALC_EEM!$B55="","",CALC_EEM!B55)</f>
      </c>
      <c r="D65">
        <f>IF(CALC_EEM!$B55="","",CALC_EEM!D55)</f>
      </c>
      <c r="E65" s="14" t="str">
        <f>IF(CALC_EEM!$B55="","",CALC_EEM!E55)</f>
      </c>
      <c r="F65" s="14" t="str">
        <f>IF(CALC_EEM!$B55="","",CALC_EEM!F55)</f>
      </c>
      <c r="G65" t="str">
        <f>IF(CALC_EEM!$B55="","",CALC_EEM!G55)</f>
      </c>
      <c r="H65" s="16" t="str">
        <f>IF(CALC_EEM!$B55="","",CALC_EEM!H55)</f>
      </c>
      <c r="I65" s="16" t="str">
        <f>IF(CALC_EEM!$B55="","",CALC_EEM!I55)</f>
      </c>
      <c r="J65" t="str">
        <f>IF(CALC_EEM!$B55="","",CALC_EEM!J55)</f>
      </c>
      <c r="K65" t="str">
        <f>IF(CALC_EEM!$B55="","",CALC_EEM!K55)</f>
      </c>
      <c r="L65">
        <f>IF(CALC_EEM!$B55="","",CALC_EEM!L55)</f>
      </c>
      <c r="M65">
        <f>IF(CALC_EEM!$B55="","",CALC_EEM!M55)</f>
      </c>
      <c r="N65">
        <f>IF(CALC_EEM!$B55="","",CALC_EEM!N55)</f>
      </c>
      <c r="O65">
        <f>IF(CALC_EEM!$B55="","",CALC_EEM!O55)</f>
      </c>
      <c r="P65">
        <f>IF(CALC_EEM!$B55="","",CALC_EEM!P55)</f>
      </c>
      <c r="Q65">
        <f>IF(CALC_EEM!$B55="","",CALC_EEM!Q55)</f>
      </c>
      <c r="R65">
        <f>IF(CALC_EEM!$B55="","",CALC_EEM!R55)</f>
      </c>
      <c r="S65">
        <f>IF(CALC_EEM!$B55="","",CALC_EEM!S55)</f>
      </c>
      <c r="T65">
        <f>IF(CALC_EEM!$B55="","",CALC_EEM!T55)</f>
      </c>
      <c r="U65">
        <f>IF(CALC_EEM!$B55="","",CALC_EEM!U55)</f>
      </c>
    </row>
    <row r="66" spans="1:24">
      <c r="A66" t="str">
        <f>IF(CALC_EEM!$B56="","",IF(CALC_EEM!A56="GLOBAL","GLOBAL",IF(CALC_EEM!C56="Total","CURSO_TOTAL",IF(CALC_EEM!C56="TotalEsp","CURSO_ESP",IF(CALC_EEM!C56="TotalNoEsp","CURSO_NOESP","CURSO_ASIG")))))</f>
      </c>
      <c r="B66" t="str">
        <f>IF(CALC_EEM!$B56="","",CALC_EEM!A56)</f>
      </c>
      <c r="C66" t="str">
        <f>IF(CALC_EEM!$B56="","",CALC_EEM!B56)</f>
      </c>
      <c r="D66">
        <f>IF(CALC_EEM!$B56="","",CALC_EEM!D56)</f>
      </c>
      <c r="E66" s="14" t="str">
        <f>IF(CALC_EEM!$B56="","",CALC_EEM!E56)</f>
      </c>
      <c r="F66" s="14" t="str">
        <f>IF(CALC_EEM!$B56="","",CALC_EEM!F56)</f>
      </c>
      <c r="G66" t="str">
        <f>IF(CALC_EEM!$B56="","",CALC_EEM!G56)</f>
      </c>
      <c r="H66" s="16" t="str">
        <f>IF(CALC_EEM!$B56="","",CALC_EEM!H56)</f>
      </c>
      <c r="I66" s="16" t="str">
        <f>IF(CALC_EEM!$B56="","",CALC_EEM!I56)</f>
      </c>
      <c r="J66" t="str">
        <f>IF(CALC_EEM!$B56="","",CALC_EEM!J56)</f>
      </c>
      <c r="K66" t="str">
        <f>IF(CALC_EEM!$B56="","",CALC_EEM!K56)</f>
      </c>
      <c r="L66">
        <f>IF(CALC_EEM!$B56="","",CALC_EEM!L56)</f>
      </c>
      <c r="M66">
        <f>IF(CALC_EEM!$B56="","",CALC_EEM!M56)</f>
      </c>
      <c r="N66">
        <f>IF(CALC_EEM!$B56="","",CALC_EEM!N56)</f>
      </c>
      <c r="O66">
        <f>IF(CALC_EEM!$B56="","",CALC_EEM!O56)</f>
      </c>
      <c r="P66">
        <f>IF(CALC_EEM!$B56="","",CALC_EEM!P56)</f>
      </c>
      <c r="Q66">
        <f>IF(CALC_EEM!$B56="","",CALC_EEM!Q56)</f>
      </c>
      <c r="R66">
        <f>IF(CALC_EEM!$B56="","",CALC_EEM!R56)</f>
      </c>
      <c r="S66">
        <f>IF(CALC_EEM!$B56="","",CALC_EEM!S56)</f>
      </c>
      <c r="T66">
        <f>IF(CALC_EEM!$B56="","",CALC_EEM!T56)</f>
      </c>
      <c r="U66">
        <f>IF(CALC_EEM!$B56="","",CALC_EEM!U56)</f>
      </c>
    </row>
    <row r="67" spans="1:24">
      <c r="A67" t="str">
        <f>IF(CALC_EEM!$B57="","",IF(CALC_EEM!A57="GLOBAL","GLOBAL",IF(CALC_EEM!C57="Total","CURSO_TOTAL",IF(CALC_EEM!C57="TotalEsp","CURSO_ESP",IF(CALC_EEM!C57="TotalNoEsp","CURSO_NOESP","CURSO_ASIG")))))</f>
      </c>
      <c r="B67" t="str">
        <f>IF(CALC_EEM!$B57="","",CALC_EEM!A57)</f>
      </c>
      <c r="C67" t="str">
        <f>IF(CALC_EEM!$B57="","",CALC_EEM!B57)</f>
      </c>
      <c r="D67">
        <f>IF(CALC_EEM!$B57="","",CALC_EEM!D57)</f>
      </c>
      <c r="E67" s="14" t="str">
        <f>IF(CALC_EEM!$B57="","",CALC_EEM!E57)</f>
      </c>
      <c r="F67" s="14" t="str">
        <f>IF(CALC_EEM!$B57="","",CALC_EEM!F57)</f>
      </c>
      <c r="G67" t="str">
        <f>IF(CALC_EEM!$B57="","",CALC_EEM!G57)</f>
      </c>
      <c r="H67" s="16" t="str">
        <f>IF(CALC_EEM!$B57="","",CALC_EEM!H57)</f>
      </c>
      <c r="I67" s="16" t="str">
        <f>IF(CALC_EEM!$B57="","",CALC_EEM!I57)</f>
      </c>
      <c r="J67" t="str">
        <f>IF(CALC_EEM!$B57="","",CALC_EEM!J57)</f>
      </c>
      <c r="K67" t="str">
        <f>IF(CALC_EEM!$B57="","",CALC_EEM!K57)</f>
      </c>
      <c r="L67">
        <f>IF(CALC_EEM!$B57="","",CALC_EEM!L57)</f>
      </c>
      <c r="M67">
        <f>IF(CALC_EEM!$B57="","",CALC_EEM!M57)</f>
      </c>
      <c r="N67">
        <f>IF(CALC_EEM!$B57="","",CALC_EEM!N57)</f>
      </c>
      <c r="O67">
        <f>IF(CALC_EEM!$B57="","",CALC_EEM!O57)</f>
      </c>
      <c r="P67">
        <f>IF(CALC_EEM!$B57="","",CALC_EEM!P57)</f>
      </c>
      <c r="Q67">
        <f>IF(CALC_EEM!$B57="","",CALC_EEM!Q57)</f>
      </c>
      <c r="R67">
        <f>IF(CALC_EEM!$B57="","",CALC_EEM!R57)</f>
      </c>
      <c r="S67">
        <f>IF(CALC_EEM!$B57="","",CALC_EEM!S57)</f>
      </c>
      <c r="T67">
        <f>IF(CALC_EEM!$B57="","",CALC_EEM!T57)</f>
      </c>
      <c r="U67">
        <f>IF(CALC_EEM!$B57="","",CALC_EEM!U57)</f>
      </c>
    </row>
    <row r="68" spans="1:24">
      <c r="A68" t="str">
        <f>IF(CALC_EEM!$B58="","",IF(CALC_EEM!A58="GLOBAL","GLOBAL",IF(CALC_EEM!C58="Total","CURSO_TOTAL",IF(CALC_EEM!C58="TotalEsp","CURSO_ESP",IF(CALC_EEM!C58="TotalNoEsp","CURSO_NOESP","CURSO_ASIG")))))</f>
      </c>
      <c r="B68" t="str">
        <f>IF(CALC_EEM!$B58="","",CALC_EEM!A58)</f>
      </c>
      <c r="C68" t="str">
        <f>IF(CALC_EEM!$B58="","",CALC_EEM!B58)</f>
      </c>
      <c r="D68">
        <f>IF(CALC_EEM!$B58="","",CALC_EEM!D58)</f>
      </c>
      <c r="E68" s="14" t="str">
        <f>IF(CALC_EEM!$B58="","",CALC_EEM!E58)</f>
      </c>
      <c r="F68" s="14" t="str">
        <f>IF(CALC_EEM!$B58="","",CALC_EEM!F58)</f>
      </c>
      <c r="G68" t="str">
        <f>IF(CALC_EEM!$B58="","",CALC_EEM!G58)</f>
      </c>
      <c r="H68" s="16" t="str">
        <f>IF(CALC_EEM!$B58="","",CALC_EEM!H58)</f>
      </c>
      <c r="I68" s="16" t="str">
        <f>IF(CALC_EEM!$B58="","",CALC_EEM!I58)</f>
      </c>
      <c r="J68" t="str">
        <f>IF(CALC_EEM!$B58="","",CALC_EEM!J58)</f>
      </c>
      <c r="K68" t="str">
        <f>IF(CALC_EEM!$B58="","",CALC_EEM!K58)</f>
      </c>
      <c r="L68">
        <f>IF(CALC_EEM!$B58="","",CALC_EEM!L58)</f>
      </c>
      <c r="M68">
        <f>IF(CALC_EEM!$B58="","",CALC_EEM!M58)</f>
      </c>
      <c r="N68">
        <f>IF(CALC_EEM!$B58="","",CALC_EEM!N58)</f>
      </c>
      <c r="O68">
        <f>IF(CALC_EEM!$B58="","",CALC_EEM!O58)</f>
      </c>
      <c r="P68">
        <f>IF(CALC_EEM!$B58="","",CALC_EEM!P58)</f>
      </c>
      <c r="Q68">
        <f>IF(CALC_EEM!$B58="","",CALC_EEM!Q58)</f>
      </c>
      <c r="R68">
        <f>IF(CALC_EEM!$B58="","",CALC_EEM!R58)</f>
      </c>
      <c r="S68">
        <f>IF(CALC_EEM!$B58="","",CALC_EEM!S58)</f>
      </c>
      <c r="T68">
        <f>IF(CALC_EEM!$B58="","",CALC_EEM!T58)</f>
      </c>
      <c r="U68">
        <f>IF(CALC_EEM!$B58="","",CALC_EEM!U58)</f>
      </c>
    </row>
    <row r="69" spans="1:24">
      <c r="A69" t="str">
        <f>IF(CALC_EEM!$B59="","",IF(CALC_EEM!A59="GLOBAL","GLOBAL",IF(CALC_EEM!C59="Total","CURSO_TOTAL",IF(CALC_EEM!C59="TotalEsp","CURSO_ESP",IF(CALC_EEM!C59="TotalNoEsp","CURSO_NOESP","CURSO_ASIG")))))</f>
      </c>
      <c r="B69" t="str">
        <f>IF(CALC_EEM!$B59="","",CALC_EEM!A59)</f>
      </c>
      <c r="C69" t="str">
        <f>IF(CALC_EEM!$B59="","",CALC_EEM!B59)</f>
      </c>
      <c r="D69">
        <f>IF(CALC_EEM!$B59="","",CALC_EEM!D59)</f>
      </c>
      <c r="E69" s="14" t="str">
        <f>IF(CALC_EEM!$B59="","",CALC_EEM!E59)</f>
      </c>
      <c r="F69" s="14" t="str">
        <f>IF(CALC_EEM!$B59="","",CALC_EEM!F59)</f>
      </c>
      <c r="G69" t="str">
        <f>IF(CALC_EEM!$B59="","",CALC_EEM!G59)</f>
      </c>
      <c r="H69" s="16" t="str">
        <f>IF(CALC_EEM!$B59="","",CALC_EEM!H59)</f>
      </c>
      <c r="I69" s="16" t="str">
        <f>IF(CALC_EEM!$B59="","",CALC_EEM!I59)</f>
      </c>
      <c r="J69" t="str">
        <f>IF(CALC_EEM!$B59="","",CALC_EEM!J59)</f>
      </c>
      <c r="K69" t="str">
        <f>IF(CALC_EEM!$B59="","",CALC_EEM!K59)</f>
      </c>
      <c r="L69">
        <f>IF(CALC_EEM!$B59="","",CALC_EEM!L59)</f>
      </c>
      <c r="M69">
        <f>IF(CALC_EEM!$B59="","",CALC_EEM!M59)</f>
      </c>
      <c r="N69">
        <f>IF(CALC_EEM!$B59="","",CALC_EEM!N59)</f>
      </c>
      <c r="O69">
        <f>IF(CALC_EEM!$B59="","",CALC_EEM!O59)</f>
      </c>
      <c r="P69">
        <f>IF(CALC_EEM!$B59="","",CALC_EEM!P59)</f>
      </c>
      <c r="Q69">
        <f>IF(CALC_EEM!$B59="","",CALC_EEM!Q59)</f>
      </c>
      <c r="R69">
        <f>IF(CALC_EEM!$B59="","",CALC_EEM!R59)</f>
      </c>
      <c r="S69">
        <f>IF(CALC_EEM!$B59="","",CALC_EEM!S59)</f>
      </c>
      <c r="T69">
        <f>IF(CALC_EEM!$B59="","",CALC_EEM!T59)</f>
      </c>
      <c r="U69">
        <f>IF(CALC_EEM!$B59="","",CALC_EEM!U59)</f>
      </c>
    </row>
    <row r="70" spans="1:24">
      <c r="A70" t="str">
        <f>IF(CALC_EEM!$B60="","",IF(CALC_EEM!A60="GLOBAL","GLOBAL",IF(CALC_EEM!C60="Total","CURSO_TOTAL",IF(CALC_EEM!C60="TotalEsp","CURSO_ESP",IF(CALC_EEM!C60="TotalNoEsp","CURSO_NOESP","CURSO_ASIG")))))</f>
      </c>
      <c r="B70" t="str">
        <f>IF(CALC_EEM!$B60="","",CALC_EEM!A60)</f>
      </c>
      <c r="C70" t="str">
        <f>IF(CALC_EEM!$B60="","",CALC_EEM!B60)</f>
      </c>
      <c r="D70">
        <f>IF(CALC_EEM!$B60="","",CALC_EEM!D60)</f>
      </c>
      <c r="E70" s="14" t="str">
        <f>IF(CALC_EEM!$B60="","",CALC_EEM!E60)</f>
      </c>
      <c r="F70" s="14" t="str">
        <f>IF(CALC_EEM!$B60="","",CALC_EEM!F60)</f>
      </c>
      <c r="G70" t="str">
        <f>IF(CALC_EEM!$B60="","",CALC_EEM!G60)</f>
      </c>
      <c r="H70" s="16" t="str">
        <f>IF(CALC_EEM!$B60="","",CALC_EEM!H60)</f>
      </c>
      <c r="I70" s="16" t="str">
        <f>IF(CALC_EEM!$B60="","",CALC_EEM!I60)</f>
      </c>
      <c r="J70" t="str">
        <f>IF(CALC_EEM!$B60="","",CALC_EEM!J60)</f>
      </c>
      <c r="K70" t="str">
        <f>IF(CALC_EEM!$B60="","",CALC_EEM!K60)</f>
      </c>
      <c r="L70">
        <f>IF(CALC_EEM!$B60="","",CALC_EEM!L60)</f>
      </c>
      <c r="M70">
        <f>IF(CALC_EEM!$B60="","",CALC_EEM!M60)</f>
      </c>
      <c r="N70">
        <f>IF(CALC_EEM!$B60="","",CALC_EEM!N60)</f>
      </c>
      <c r="O70">
        <f>IF(CALC_EEM!$B60="","",CALC_EEM!O60)</f>
      </c>
      <c r="P70">
        <f>IF(CALC_EEM!$B60="","",CALC_EEM!P60)</f>
      </c>
      <c r="Q70">
        <f>IF(CALC_EEM!$B60="","",CALC_EEM!Q60)</f>
      </c>
      <c r="R70">
        <f>IF(CALC_EEM!$B60="","",CALC_EEM!R60)</f>
      </c>
      <c r="S70">
        <f>IF(CALC_EEM!$B60="","",CALC_EEM!S60)</f>
      </c>
      <c r="T70">
        <f>IF(CALC_EEM!$B60="","",CALC_EEM!T60)</f>
      </c>
      <c r="U70">
        <f>IF(CALC_EEM!$B60="","",CALC_EEM!U60)</f>
      </c>
    </row>
    <row r="71" spans="1:24">
      <c r="A71" t="str">
        <f>IF(CALC_EEM!$B61="","",IF(CALC_EEM!A61="GLOBAL","GLOBAL",IF(CALC_EEM!C61="Total","CURSO_TOTAL",IF(CALC_EEM!C61="TotalEsp","CURSO_ESP",IF(CALC_EEM!C61="TotalNoEsp","CURSO_NOESP","CURSO_ASIG")))))</f>
      </c>
      <c r="B71" t="str">
        <f>IF(CALC_EEM!$B61="","",CALC_EEM!A61)</f>
      </c>
      <c r="C71" t="str">
        <f>IF(CALC_EEM!$B61="","",CALC_EEM!B61)</f>
      </c>
      <c r="D71">
        <f>IF(CALC_EEM!$B61="","",CALC_EEM!D61)</f>
      </c>
      <c r="E71" s="14" t="str">
        <f>IF(CALC_EEM!$B61="","",CALC_EEM!E61)</f>
      </c>
      <c r="F71" s="14" t="str">
        <f>IF(CALC_EEM!$B61="","",CALC_EEM!F61)</f>
      </c>
      <c r="G71" t="str">
        <f>IF(CALC_EEM!$B61="","",CALC_EEM!G61)</f>
      </c>
      <c r="H71" s="16" t="str">
        <f>IF(CALC_EEM!$B61="","",CALC_EEM!H61)</f>
      </c>
      <c r="I71" s="16" t="str">
        <f>IF(CALC_EEM!$B61="","",CALC_EEM!I61)</f>
      </c>
      <c r="J71" t="str">
        <f>IF(CALC_EEM!$B61="","",CALC_EEM!J61)</f>
      </c>
      <c r="K71" t="str">
        <f>IF(CALC_EEM!$B61="","",CALC_EEM!K61)</f>
      </c>
      <c r="L71">
        <f>IF(CALC_EEM!$B61="","",CALC_EEM!L61)</f>
      </c>
      <c r="M71">
        <f>IF(CALC_EEM!$B61="","",CALC_EEM!M61)</f>
      </c>
      <c r="N71">
        <f>IF(CALC_EEM!$B61="","",CALC_EEM!N61)</f>
      </c>
      <c r="O71">
        <f>IF(CALC_EEM!$B61="","",CALC_EEM!O61)</f>
      </c>
      <c r="P71">
        <f>IF(CALC_EEM!$B61="","",CALC_EEM!P61)</f>
      </c>
      <c r="Q71">
        <f>IF(CALC_EEM!$B61="","",CALC_EEM!Q61)</f>
      </c>
      <c r="R71">
        <f>IF(CALC_EEM!$B61="","",CALC_EEM!R61)</f>
      </c>
      <c r="S71">
        <f>IF(CALC_EEM!$B61="","",CALC_EEM!S61)</f>
      </c>
      <c r="T71">
        <f>IF(CALC_EEM!$B61="","",CALC_EEM!T61)</f>
      </c>
      <c r="U71">
        <f>IF(CALC_EEM!$B61="","",CALC_EEM!U61)</f>
      </c>
    </row>
    <row r="72" spans="1:24">
      <c r="A72" t="str">
        <f>IF(CALC_EEM!$B62="","",IF(CALC_EEM!A62="GLOBAL","GLOBAL",IF(CALC_EEM!C62="Total","CURSO_TOTAL",IF(CALC_EEM!C62="TotalEsp","CURSO_ESP",IF(CALC_EEM!C62="TotalNoEsp","CURSO_NOESP","CURSO_ASIG")))))</f>
      </c>
      <c r="B72" t="str">
        <f>IF(CALC_EEM!$B62="","",CALC_EEM!A62)</f>
      </c>
      <c r="C72" t="str">
        <f>IF(CALC_EEM!$B62="","",CALC_EEM!B62)</f>
      </c>
      <c r="D72">
        <f>IF(CALC_EEM!$B62="","",CALC_EEM!D62)</f>
      </c>
      <c r="E72" s="14" t="str">
        <f>IF(CALC_EEM!$B62="","",CALC_EEM!E62)</f>
      </c>
      <c r="F72" s="14" t="str">
        <f>IF(CALC_EEM!$B62="","",CALC_EEM!F62)</f>
      </c>
      <c r="G72" t="str">
        <f>IF(CALC_EEM!$B62="","",CALC_EEM!G62)</f>
      </c>
      <c r="H72" s="16" t="str">
        <f>IF(CALC_EEM!$B62="","",CALC_EEM!H62)</f>
      </c>
      <c r="I72" s="16" t="str">
        <f>IF(CALC_EEM!$B62="","",CALC_EEM!I62)</f>
      </c>
      <c r="J72" t="str">
        <f>IF(CALC_EEM!$B62="","",CALC_EEM!J62)</f>
      </c>
      <c r="K72" t="str">
        <f>IF(CALC_EEM!$B62="","",CALC_EEM!K62)</f>
      </c>
      <c r="L72">
        <f>IF(CALC_EEM!$B62="","",CALC_EEM!L62)</f>
      </c>
      <c r="M72">
        <f>IF(CALC_EEM!$B62="","",CALC_EEM!M62)</f>
      </c>
      <c r="N72">
        <f>IF(CALC_EEM!$B62="","",CALC_EEM!N62)</f>
      </c>
      <c r="O72">
        <f>IF(CALC_EEM!$B62="","",CALC_EEM!O62)</f>
      </c>
      <c r="P72">
        <f>IF(CALC_EEM!$B62="","",CALC_EEM!P62)</f>
      </c>
      <c r="Q72">
        <f>IF(CALC_EEM!$B62="","",CALC_EEM!Q62)</f>
      </c>
      <c r="R72">
        <f>IF(CALC_EEM!$B62="","",CALC_EEM!R62)</f>
      </c>
      <c r="S72">
        <f>IF(CALC_EEM!$B62="","",CALC_EEM!S62)</f>
      </c>
      <c r="T72">
        <f>IF(CALC_EEM!$B62="","",CALC_EEM!T62)</f>
      </c>
      <c r="U72">
        <f>IF(CALC_EEM!$B62="","",CALC_EEM!U62)</f>
      </c>
    </row>
    <row r="73" spans="1:24">
      <c r="A73" t="str">
        <f>IF(CALC_EEM!$B63="","",IF(CALC_EEM!A63="GLOBAL","GLOBAL",IF(CALC_EEM!C63="Total","CURSO_TOTAL",IF(CALC_EEM!C63="TotalEsp","CURSO_ESP",IF(CALC_EEM!C63="TotalNoEsp","CURSO_NOESP","CURSO_ASIG")))))</f>
      </c>
      <c r="B73" t="str">
        <f>IF(CALC_EEM!$B63="","",CALC_EEM!A63)</f>
      </c>
      <c r="C73" t="str">
        <f>IF(CALC_EEM!$B63="","",CALC_EEM!B63)</f>
      </c>
      <c r="D73">
        <f>IF(CALC_EEM!$B63="","",CALC_EEM!D63)</f>
      </c>
      <c r="E73" s="14" t="str">
        <f>IF(CALC_EEM!$B63="","",CALC_EEM!E63)</f>
      </c>
      <c r="F73" s="14" t="str">
        <f>IF(CALC_EEM!$B63="","",CALC_EEM!F63)</f>
      </c>
      <c r="G73" t="str">
        <f>IF(CALC_EEM!$B63="","",CALC_EEM!G63)</f>
      </c>
      <c r="H73" s="16" t="str">
        <f>IF(CALC_EEM!$B63="","",CALC_EEM!H63)</f>
      </c>
      <c r="I73" s="16" t="str">
        <f>IF(CALC_EEM!$B63="","",CALC_EEM!I63)</f>
      </c>
      <c r="J73" t="str">
        <f>IF(CALC_EEM!$B63="","",CALC_EEM!J63)</f>
      </c>
      <c r="K73" t="str">
        <f>IF(CALC_EEM!$B63="","",CALC_EEM!K63)</f>
      </c>
      <c r="L73">
        <f>IF(CALC_EEM!$B63="","",CALC_EEM!L63)</f>
      </c>
      <c r="M73">
        <f>IF(CALC_EEM!$B63="","",CALC_EEM!M63)</f>
      </c>
      <c r="N73">
        <f>IF(CALC_EEM!$B63="","",CALC_EEM!N63)</f>
      </c>
      <c r="O73">
        <f>IF(CALC_EEM!$B63="","",CALC_EEM!O63)</f>
      </c>
      <c r="P73">
        <f>IF(CALC_EEM!$B63="","",CALC_EEM!P63)</f>
      </c>
      <c r="Q73">
        <f>IF(CALC_EEM!$B63="","",CALC_EEM!Q63)</f>
      </c>
      <c r="R73">
        <f>IF(CALC_EEM!$B63="","",CALC_EEM!R63)</f>
      </c>
      <c r="S73">
        <f>IF(CALC_EEM!$B63="","",CALC_EEM!S63)</f>
      </c>
      <c r="T73">
        <f>IF(CALC_EEM!$B63="","",CALC_EEM!T63)</f>
      </c>
      <c r="U73">
        <f>IF(CALC_EEM!$B63="","",CALC_EEM!U63)</f>
      </c>
    </row>
    <row r="74" spans="1:24">
      <c r="A74" t="str">
        <f>IF(CALC_EEM!$B64="","",IF(CALC_EEM!A64="GLOBAL","GLOBAL",IF(CALC_EEM!C64="Total","CURSO_TOTAL",IF(CALC_EEM!C64="TotalEsp","CURSO_ESP",IF(CALC_EEM!C64="TotalNoEsp","CURSO_NOESP","CURSO_ASIG")))))</f>
      </c>
      <c r="B74" t="str">
        <f>IF(CALC_EEM!$B64="","",CALC_EEM!A64)</f>
      </c>
      <c r="C74" t="str">
        <f>IF(CALC_EEM!$B64="","",CALC_EEM!B64)</f>
      </c>
      <c r="D74">
        <f>IF(CALC_EEM!$B64="","",CALC_EEM!D64)</f>
      </c>
      <c r="E74" s="14" t="str">
        <f>IF(CALC_EEM!$B64="","",CALC_EEM!E64)</f>
      </c>
      <c r="F74" s="14" t="str">
        <f>IF(CALC_EEM!$B64="","",CALC_EEM!F64)</f>
      </c>
      <c r="G74" t="str">
        <f>IF(CALC_EEM!$B64="","",CALC_EEM!G64)</f>
      </c>
      <c r="H74" s="16" t="str">
        <f>IF(CALC_EEM!$B64="","",CALC_EEM!H64)</f>
      </c>
      <c r="I74" s="16" t="str">
        <f>IF(CALC_EEM!$B64="","",CALC_EEM!I64)</f>
      </c>
      <c r="J74" t="str">
        <f>IF(CALC_EEM!$B64="","",CALC_EEM!J64)</f>
      </c>
      <c r="K74" t="str">
        <f>IF(CALC_EEM!$B64="","",CALC_EEM!K64)</f>
      </c>
      <c r="L74">
        <f>IF(CALC_EEM!$B64="","",CALC_EEM!L64)</f>
      </c>
      <c r="M74">
        <f>IF(CALC_EEM!$B64="","",CALC_EEM!M64)</f>
      </c>
      <c r="N74">
        <f>IF(CALC_EEM!$B64="","",CALC_EEM!N64)</f>
      </c>
      <c r="O74">
        <f>IF(CALC_EEM!$B64="","",CALC_EEM!O64)</f>
      </c>
      <c r="P74">
        <f>IF(CALC_EEM!$B64="","",CALC_EEM!P64)</f>
      </c>
      <c r="Q74">
        <f>IF(CALC_EEM!$B64="","",CALC_EEM!Q64)</f>
      </c>
      <c r="R74">
        <f>IF(CALC_EEM!$B64="","",CALC_EEM!R64)</f>
      </c>
      <c r="S74">
        <f>IF(CALC_EEM!$B64="","",CALC_EEM!S64)</f>
      </c>
      <c r="T74">
        <f>IF(CALC_EEM!$B64="","",CALC_EEM!T64)</f>
      </c>
      <c r="U74">
        <f>IF(CALC_EEM!$B64="","",CALC_EEM!U64)</f>
      </c>
    </row>
    <row r="75" spans="1:24">
      <c r="A75" t="str">
        <f>IF(CALC_EEM!$B65="","",IF(CALC_EEM!A65="GLOBAL","GLOBAL",IF(CALC_EEM!C65="Total","CURSO_TOTAL",IF(CALC_EEM!C65="TotalEsp","CURSO_ESP",IF(CALC_EEM!C65="TotalNoEsp","CURSO_NOESP","CURSO_ASIG")))))</f>
      </c>
      <c r="B75" t="str">
        <f>IF(CALC_EEM!$B65="","",CALC_EEM!A65)</f>
      </c>
      <c r="C75" t="str">
        <f>IF(CALC_EEM!$B65="","",CALC_EEM!B65)</f>
      </c>
      <c r="D75">
        <f>IF(CALC_EEM!$B65="","",CALC_EEM!D65)</f>
      </c>
      <c r="E75" s="14" t="str">
        <f>IF(CALC_EEM!$B65="","",CALC_EEM!E65)</f>
      </c>
      <c r="F75" s="14" t="str">
        <f>IF(CALC_EEM!$B65="","",CALC_EEM!F65)</f>
      </c>
      <c r="G75" t="str">
        <f>IF(CALC_EEM!$B65="","",CALC_EEM!G65)</f>
      </c>
      <c r="H75" s="16" t="str">
        <f>IF(CALC_EEM!$B65="","",CALC_EEM!H65)</f>
      </c>
      <c r="I75" s="16" t="str">
        <f>IF(CALC_EEM!$B65="","",CALC_EEM!I65)</f>
      </c>
      <c r="J75" t="str">
        <f>IF(CALC_EEM!$B65="","",CALC_EEM!J65)</f>
      </c>
      <c r="K75" t="str">
        <f>IF(CALC_EEM!$B65="","",CALC_EEM!K65)</f>
      </c>
      <c r="L75">
        <f>IF(CALC_EEM!$B65="","",CALC_EEM!L65)</f>
      </c>
      <c r="M75">
        <f>IF(CALC_EEM!$B65="","",CALC_EEM!M65)</f>
      </c>
      <c r="N75">
        <f>IF(CALC_EEM!$B65="","",CALC_EEM!N65)</f>
      </c>
      <c r="O75">
        <f>IF(CALC_EEM!$B65="","",CALC_EEM!O65)</f>
      </c>
      <c r="P75">
        <f>IF(CALC_EEM!$B65="","",CALC_EEM!P65)</f>
      </c>
      <c r="Q75">
        <f>IF(CALC_EEM!$B65="","",CALC_EEM!Q65)</f>
      </c>
      <c r="R75">
        <f>IF(CALC_EEM!$B65="","",CALC_EEM!R65)</f>
      </c>
      <c r="S75">
        <f>IF(CALC_EEM!$B65="","",CALC_EEM!S65)</f>
      </c>
      <c r="T75">
        <f>IF(CALC_EEM!$B65="","",CALC_EEM!T65)</f>
      </c>
      <c r="U75">
        <f>IF(CALC_EEM!$B65="","",CALC_EEM!U65)</f>
      </c>
    </row>
    <row r="76" spans="1:24">
      <c r="A76" t="str">
        <f>IF(CALC_EEM!$B66="","",IF(CALC_EEM!A66="GLOBAL","GLOBAL",IF(CALC_EEM!C66="Total","CURSO_TOTAL",IF(CALC_EEM!C66="TotalEsp","CURSO_ESP",IF(CALC_EEM!C66="TotalNoEsp","CURSO_NOESP","CURSO_ASIG")))))</f>
      </c>
      <c r="B76" t="str">
        <f>IF(CALC_EEM!$B66="","",CALC_EEM!A66)</f>
      </c>
      <c r="C76" t="str">
        <f>IF(CALC_EEM!$B66="","",CALC_EEM!B66)</f>
      </c>
      <c r="D76">
        <f>IF(CALC_EEM!$B66="","",CALC_EEM!D66)</f>
      </c>
      <c r="E76" s="14" t="str">
        <f>IF(CALC_EEM!$B66="","",CALC_EEM!E66)</f>
      </c>
      <c r="F76" s="14" t="str">
        <f>IF(CALC_EEM!$B66="","",CALC_EEM!F66)</f>
      </c>
      <c r="G76" t="str">
        <f>IF(CALC_EEM!$B66="","",CALC_EEM!G66)</f>
      </c>
      <c r="H76" s="16" t="str">
        <f>IF(CALC_EEM!$B66="","",CALC_EEM!H66)</f>
      </c>
      <c r="I76" s="16" t="str">
        <f>IF(CALC_EEM!$B66="","",CALC_EEM!I66)</f>
      </c>
      <c r="J76" t="str">
        <f>IF(CALC_EEM!$B66="","",CALC_EEM!J66)</f>
      </c>
      <c r="K76" t="str">
        <f>IF(CALC_EEM!$B66="","",CALC_EEM!K66)</f>
      </c>
      <c r="L76">
        <f>IF(CALC_EEM!$B66="","",CALC_EEM!L66)</f>
      </c>
      <c r="M76">
        <f>IF(CALC_EEM!$B66="","",CALC_EEM!M66)</f>
      </c>
      <c r="N76">
        <f>IF(CALC_EEM!$B66="","",CALC_EEM!N66)</f>
      </c>
      <c r="O76">
        <f>IF(CALC_EEM!$B66="","",CALC_EEM!O66)</f>
      </c>
      <c r="P76">
        <f>IF(CALC_EEM!$B66="","",CALC_EEM!P66)</f>
      </c>
      <c r="Q76">
        <f>IF(CALC_EEM!$B66="","",CALC_EEM!Q66)</f>
      </c>
      <c r="R76">
        <f>IF(CALC_EEM!$B66="","",CALC_EEM!R66)</f>
      </c>
      <c r="S76">
        <f>IF(CALC_EEM!$B66="","",CALC_EEM!S66)</f>
      </c>
      <c r="T76">
        <f>IF(CALC_EEM!$B66="","",CALC_EEM!T66)</f>
      </c>
      <c r="U76">
        <f>IF(CALC_EEM!$B66="","",CALC_EEM!U66)</f>
      </c>
    </row>
    <row r="77" spans="1:24">
      <c r="A77" t="str">
        <f>IF(CALC_EEM!$B67="","",IF(CALC_EEM!A67="GLOBAL","GLOBAL",IF(CALC_EEM!C67="Total","CURSO_TOTAL",IF(CALC_EEM!C67="TotalEsp","CURSO_ESP",IF(CALC_EEM!C67="TotalNoEsp","CURSO_NOESP","CURSO_ASIG")))))</f>
      </c>
      <c r="B77" t="str">
        <f>IF(CALC_EEM!$B67="","",CALC_EEM!A67)</f>
      </c>
      <c r="C77" t="str">
        <f>IF(CALC_EEM!$B67="","",CALC_EEM!B67)</f>
      </c>
      <c r="D77">
        <f>IF(CALC_EEM!$B67="","",CALC_EEM!D67)</f>
      </c>
      <c r="E77" s="14" t="str">
        <f>IF(CALC_EEM!$B67="","",CALC_EEM!E67)</f>
      </c>
      <c r="F77" s="14" t="str">
        <f>IF(CALC_EEM!$B67="","",CALC_EEM!F67)</f>
      </c>
      <c r="G77" t="str">
        <f>IF(CALC_EEM!$B67="","",CALC_EEM!G67)</f>
      </c>
      <c r="H77" s="16" t="str">
        <f>IF(CALC_EEM!$B67="","",CALC_EEM!H67)</f>
      </c>
      <c r="I77" s="16" t="str">
        <f>IF(CALC_EEM!$B67="","",CALC_EEM!I67)</f>
      </c>
      <c r="J77" t="str">
        <f>IF(CALC_EEM!$B67="","",CALC_EEM!J67)</f>
      </c>
      <c r="K77" t="str">
        <f>IF(CALC_EEM!$B67="","",CALC_EEM!K67)</f>
      </c>
      <c r="L77">
        <f>IF(CALC_EEM!$B67="","",CALC_EEM!L67)</f>
      </c>
      <c r="M77">
        <f>IF(CALC_EEM!$B67="","",CALC_EEM!M67)</f>
      </c>
      <c r="N77">
        <f>IF(CALC_EEM!$B67="","",CALC_EEM!N67)</f>
      </c>
      <c r="O77">
        <f>IF(CALC_EEM!$B67="","",CALC_EEM!O67)</f>
      </c>
      <c r="P77">
        <f>IF(CALC_EEM!$B67="","",CALC_EEM!P67)</f>
      </c>
      <c r="Q77">
        <f>IF(CALC_EEM!$B67="","",CALC_EEM!Q67)</f>
      </c>
      <c r="R77">
        <f>IF(CALC_EEM!$B67="","",CALC_EEM!R67)</f>
      </c>
      <c r="S77">
        <f>IF(CALC_EEM!$B67="","",CALC_EEM!S67)</f>
      </c>
      <c r="T77">
        <f>IF(CALC_EEM!$B67="","",CALC_EEM!T67)</f>
      </c>
      <c r="U77">
        <f>IF(CALC_EEM!$B67="","",CALC_EEM!U67)</f>
      </c>
    </row>
    <row r="78" spans="1:24">
      <c r="A78" t="str">
        <f>IF(CALC_EEM!$B68="","",IF(CALC_EEM!A68="GLOBAL","GLOBAL",IF(CALC_EEM!C68="Total","CURSO_TOTAL",IF(CALC_EEM!C68="TotalEsp","CURSO_ESP",IF(CALC_EEM!C68="TotalNoEsp","CURSO_NOESP","CURSO_ASIG")))))</f>
      </c>
      <c r="B78" t="str">
        <f>IF(CALC_EEM!$B68="","",CALC_EEM!A68)</f>
      </c>
      <c r="C78" t="str">
        <f>IF(CALC_EEM!$B68="","",CALC_EEM!B68)</f>
      </c>
      <c r="D78">
        <f>IF(CALC_EEM!$B68="","",CALC_EEM!D68)</f>
      </c>
      <c r="E78" s="14" t="str">
        <f>IF(CALC_EEM!$B68="","",CALC_EEM!E68)</f>
      </c>
      <c r="F78" s="14" t="str">
        <f>IF(CALC_EEM!$B68="","",CALC_EEM!F68)</f>
      </c>
      <c r="G78" t="str">
        <f>IF(CALC_EEM!$B68="","",CALC_EEM!G68)</f>
      </c>
      <c r="H78" s="16" t="str">
        <f>IF(CALC_EEM!$B68="","",CALC_EEM!H68)</f>
      </c>
      <c r="I78" s="16" t="str">
        <f>IF(CALC_EEM!$B68="","",CALC_EEM!I68)</f>
      </c>
      <c r="J78" t="str">
        <f>IF(CALC_EEM!$B68="","",CALC_EEM!J68)</f>
      </c>
      <c r="K78" t="str">
        <f>IF(CALC_EEM!$B68="","",CALC_EEM!K68)</f>
      </c>
      <c r="L78">
        <f>IF(CALC_EEM!$B68="","",CALC_EEM!L68)</f>
      </c>
      <c r="M78">
        <f>IF(CALC_EEM!$B68="","",CALC_EEM!M68)</f>
      </c>
      <c r="N78">
        <f>IF(CALC_EEM!$B68="","",CALC_EEM!N68)</f>
      </c>
      <c r="O78">
        <f>IF(CALC_EEM!$B68="","",CALC_EEM!O68)</f>
      </c>
      <c r="P78">
        <f>IF(CALC_EEM!$B68="","",CALC_EEM!P68)</f>
      </c>
      <c r="Q78">
        <f>IF(CALC_EEM!$B68="","",CALC_EEM!Q68)</f>
      </c>
      <c r="R78">
        <f>IF(CALC_EEM!$B68="","",CALC_EEM!R68)</f>
      </c>
      <c r="S78">
        <f>IF(CALC_EEM!$B68="","",CALC_EEM!S68)</f>
      </c>
      <c r="T78">
        <f>IF(CALC_EEM!$B68="","",CALC_EEM!T68)</f>
      </c>
      <c r="U78">
        <f>IF(CALC_EEM!$B68="","",CALC_EEM!U68)</f>
      </c>
    </row>
    <row r="79" spans="1:24">
      <c r="A79" t="str">
        <f>IF(CALC_EEM!$B69="","",IF(CALC_EEM!A69="GLOBAL","GLOBAL",IF(CALC_EEM!C69="Total","CURSO_TOTAL",IF(CALC_EEM!C69="TotalEsp","CURSO_ESP",IF(CALC_EEM!C69="TotalNoEsp","CURSO_NOESP","CURSO_ASIG")))))</f>
      </c>
      <c r="B79" t="str">
        <f>IF(CALC_EEM!$B69="","",CALC_EEM!A69)</f>
      </c>
      <c r="C79" t="str">
        <f>IF(CALC_EEM!$B69="","",CALC_EEM!B69)</f>
      </c>
      <c r="D79">
        <f>IF(CALC_EEM!$B69="","",CALC_EEM!D69)</f>
      </c>
      <c r="E79" s="14" t="str">
        <f>IF(CALC_EEM!$B69="","",CALC_EEM!E69)</f>
      </c>
      <c r="F79" s="14" t="str">
        <f>IF(CALC_EEM!$B69="","",CALC_EEM!F69)</f>
      </c>
      <c r="G79" t="str">
        <f>IF(CALC_EEM!$B69="","",CALC_EEM!G69)</f>
      </c>
      <c r="H79" s="16" t="str">
        <f>IF(CALC_EEM!$B69="","",CALC_EEM!H69)</f>
      </c>
      <c r="I79" s="16" t="str">
        <f>IF(CALC_EEM!$B69="","",CALC_EEM!I69)</f>
      </c>
      <c r="J79" t="str">
        <f>IF(CALC_EEM!$B69="","",CALC_EEM!J69)</f>
      </c>
      <c r="K79" t="str">
        <f>IF(CALC_EEM!$B69="","",CALC_EEM!K69)</f>
      </c>
      <c r="L79">
        <f>IF(CALC_EEM!$B69="","",CALC_EEM!L69)</f>
      </c>
      <c r="M79">
        <f>IF(CALC_EEM!$B69="","",CALC_EEM!M69)</f>
      </c>
      <c r="N79">
        <f>IF(CALC_EEM!$B69="","",CALC_EEM!N69)</f>
      </c>
      <c r="O79">
        <f>IF(CALC_EEM!$B69="","",CALC_EEM!O69)</f>
      </c>
      <c r="P79">
        <f>IF(CALC_EEM!$B69="","",CALC_EEM!P69)</f>
      </c>
      <c r="Q79">
        <f>IF(CALC_EEM!$B69="","",CALC_EEM!Q69)</f>
      </c>
      <c r="R79">
        <f>IF(CALC_EEM!$B69="","",CALC_EEM!R69)</f>
      </c>
      <c r="S79">
        <f>IF(CALC_EEM!$B69="","",CALC_EEM!S69)</f>
      </c>
      <c r="T79">
        <f>IF(CALC_EEM!$B69="","",CALC_EEM!T69)</f>
      </c>
      <c r="U79">
        <f>IF(CALC_EEM!$B69="","",CALC_EEM!U69)</f>
      </c>
    </row>
    <row r="80" spans="1:24">
      <c r="A80" t="str">
        <f>IF(CALC_EEM!$B70="","",IF(CALC_EEM!A70="GLOBAL","GLOBAL",IF(CALC_EEM!C70="Total","CURSO_TOTAL",IF(CALC_EEM!C70="TotalEsp","CURSO_ESP",IF(CALC_EEM!C70="TotalNoEsp","CURSO_NOESP","CURSO_ASIG")))))</f>
      </c>
      <c r="B80" t="str">
        <f>IF(CALC_EEM!$B70="","",CALC_EEM!A70)</f>
      </c>
      <c r="C80" t="str">
        <f>IF(CALC_EEM!$B70="","",CALC_EEM!B70)</f>
      </c>
      <c r="D80">
        <f>IF(CALC_EEM!$B70="","",CALC_EEM!D70)</f>
      </c>
      <c r="E80" s="14" t="str">
        <f>IF(CALC_EEM!$B70="","",CALC_EEM!E70)</f>
      </c>
      <c r="F80" s="14" t="str">
        <f>IF(CALC_EEM!$B70="","",CALC_EEM!F70)</f>
      </c>
      <c r="G80" t="str">
        <f>IF(CALC_EEM!$B70="","",CALC_EEM!G70)</f>
      </c>
      <c r="H80" s="16" t="str">
        <f>IF(CALC_EEM!$B70="","",CALC_EEM!H70)</f>
      </c>
      <c r="I80" s="16" t="str">
        <f>IF(CALC_EEM!$B70="","",CALC_EEM!I70)</f>
      </c>
      <c r="J80" t="str">
        <f>IF(CALC_EEM!$B70="","",CALC_EEM!J70)</f>
      </c>
      <c r="K80" t="str">
        <f>IF(CALC_EEM!$B70="","",CALC_EEM!K70)</f>
      </c>
      <c r="L80">
        <f>IF(CALC_EEM!$B70="","",CALC_EEM!L70)</f>
      </c>
      <c r="M80">
        <f>IF(CALC_EEM!$B70="","",CALC_EEM!M70)</f>
      </c>
      <c r="N80">
        <f>IF(CALC_EEM!$B70="","",CALC_EEM!N70)</f>
      </c>
      <c r="O80">
        <f>IF(CALC_EEM!$B70="","",CALC_EEM!O70)</f>
      </c>
      <c r="P80">
        <f>IF(CALC_EEM!$B70="","",CALC_EEM!P70)</f>
      </c>
      <c r="Q80">
        <f>IF(CALC_EEM!$B70="","",CALC_EEM!Q70)</f>
      </c>
      <c r="R80">
        <f>IF(CALC_EEM!$B70="","",CALC_EEM!R70)</f>
      </c>
      <c r="S80">
        <f>IF(CALC_EEM!$B70="","",CALC_EEM!S70)</f>
      </c>
      <c r="T80">
        <f>IF(CALC_EEM!$B70="","",CALC_EEM!T70)</f>
      </c>
      <c r="U80">
        <f>IF(CALC_EEM!$B70="","",CALC_EEM!U70)</f>
      </c>
    </row>
    <row r="81" spans="1:24">
      <c r="A81" t="str">
        <f>IF(CALC_EEM!$B71="","",IF(CALC_EEM!A71="GLOBAL","GLOBAL",IF(CALC_EEM!C71="Total","CURSO_TOTAL",IF(CALC_EEM!C71="TotalEsp","CURSO_ESP",IF(CALC_EEM!C71="TotalNoEsp","CURSO_NOESP","CURSO_ASIG")))))</f>
      </c>
      <c r="B81" t="str">
        <f>IF(CALC_EEM!$B71="","",CALC_EEM!A71)</f>
      </c>
      <c r="C81" t="str">
        <f>IF(CALC_EEM!$B71="","",CALC_EEM!B71)</f>
      </c>
      <c r="D81">
        <f>IF(CALC_EEM!$B71="","",CALC_EEM!D71)</f>
      </c>
      <c r="E81" s="14" t="str">
        <f>IF(CALC_EEM!$B71="","",CALC_EEM!E71)</f>
      </c>
      <c r="F81" s="14" t="str">
        <f>IF(CALC_EEM!$B71="","",CALC_EEM!F71)</f>
      </c>
      <c r="G81" t="str">
        <f>IF(CALC_EEM!$B71="","",CALC_EEM!G71)</f>
      </c>
      <c r="H81" s="16" t="str">
        <f>IF(CALC_EEM!$B71="","",CALC_EEM!H71)</f>
      </c>
      <c r="I81" s="16" t="str">
        <f>IF(CALC_EEM!$B71="","",CALC_EEM!I71)</f>
      </c>
      <c r="J81" t="str">
        <f>IF(CALC_EEM!$B71="","",CALC_EEM!J71)</f>
      </c>
      <c r="K81" t="str">
        <f>IF(CALC_EEM!$B71="","",CALC_EEM!K71)</f>
      </c>
      <c r="L81">
        <f>IF(CALC_EEM!$B71="","",CALC_EEM!L71)</f>
      </c>
      <c r="M81">
        <f>IF(CALC_EEM!$B71="","",CALC_EEM!M71)</f>
      </c>
      <c r="N81">
        <f>IF(CALC_EEM!$B71="","",CALC_EEM!N71)</f>
      </c>
      <c r="O81">
        <f>IF(CALC_EEM!$B71="","",CALC_EEM!O71)</f>
      </c>
      <c r="P81">
        <f>IF(CALC_EEM!$B71="","",CALC_EEM!P71)</f>
      </c>
      <c r="Q81">
        <f>IF(CALC_EEM!$B71="","",CALC_EEM!Q71)</f>
      </c>
      <c r="R81">
        <f>IF(CALC_EEM!$B71="","",CALC_EEM!R71)</f>
      </c>
      <c r="S81">
        <f>IF(CALC_EEM!$B71="","",CALC_EEM!S71)</f>
      </c>
      <c r="T81">
        <f>IF(CALC_EEM!$B71="","",CALC_EEM!T71)</f>
      </c>
      <c r="U81">
        <f>IF(CALC_EEM!$B71="","",CALC_EEM!U71)</f>
      </c>
    </row>
    <row r="82" spans="1:24">
      <c r="A82" t="str">
        <f>IF(CALC_EEM!$B72="","",IF(CALC_EEM!A72="GLOBAL","GLOBAL",IF(CALC_EEM!C72="Total","CURSO_TOTAL",IF(CALC_EEM!C72="TotalEsp","CURSO_ESP",IF(CALC_EEM!C72="TotalNoEsp","CURSO_NOESP","CURSO_ASIG")))))</f>
      </c>
      <c r="B82" t="str">
        <f>IF(CALC_EEM!$B72="","",CALC_EEM!A72)</f>
      </c>
      <c r="C82" t="str">
        <f>IF(CALC_EEM!$B72="","",CALC_EEM!B72)</f>
      </c>
      <c r="D82">
        <f>IF(CALC_EEM!$B72="","",CALC_EEM!D72)</f>
      </c>
      <c r="E82" s="14" t="str">
        <f>IF(CALC_EEM!$B72="","",CALC_EEM!E72)</f>
      </c>
      <c r="F82" s="14" t="str">
        <f>IF(CALC_EEM!$B72="","",CALC_EEM!F72)</f>
      </c>
      <c r="G82" t="str">
        <f>IF(CALC_EEM!$B72="","",CALC_EEM!G72)</f>
      </c>
      <c r="H82" s="16" t="str">
        <f>IF(CALC_EEM!$B72="","",CALC_EEM!H72)</f>
      </c>
      <c r="I82" s="16" t="str">
        <f>IF(CALC_EEM!$B72="","",CALC_EEM!I72)</f>
      </c>
      <c r="J82" t="str">
        <f>IF(CALC_EEM!$B72="","",CALC_EEM!J72)</f>
      </c>
      <c r="K82" t="str">
        <f>IF(CALC_EEM!$B72="","",CALC_EEM!K72)</f>
      </c>
      <c r="L82">
        <f>IF(CALC_EEM!$B72="","",CALC_EEM!L72)</f>
      </c>
      <c r="M82">
        <f>IF(CALC_EEM!$B72="","",CALC_EEM!M72)</f>
      </c>
      <c r="N82">
        <f>IF(CALC_EEM!$B72="","",CALC_EEM!N72)</f>
      </c>
      <c r="O82">
        <f>IF(CALC_EEM!$B72="","",CALC_EEM!O72)</f>
      </c>
      <c r="P82">
        <f>IF(CALC_EEM!$B72="","",CALC_EEM!P72)</f>
      </c>
      <c r="Q82">
        <f>IF(CALC_EEM!$B72="","",CALC_EEM!Q72)</f>
      </c>
      <c r="R82">
        <f>IF(CALC_EEM!$B72="","",CALC_EEM!R72)</f>
      </c>
      <c r="S82">
        <f>IF(CALC_EEM!$B72="","",CALC_EEM!S72)</f>
      </c>
      <c r="T82">
        <f>IF(CALC_EEM!$B72="","",CALC_EEM!T72)</f>
      </c>
      <c r="U82">
        <f>IF(CALC_EEM!$B72="","",CALC_EEM!U72)</f>
      </c>
    </row>
    <row r="83" spans="1:24">
      <c r="A83" t="str">
        <f>IF(CALC_EEM!$B73="","",IF(CALC_EEM!A73="GLOBAL","GLOBAL",IF(CALC_EEM!C73="Total","CURSO_TOTAL",IF(CALC_EEM!C73="TotalEsp","CURSO_ESP",IF(CALC_EEM!C73="TotalNoEsp","CURSO_NOESP","CURSO_ASIG")))))</f>
      </c>
      <c r="B83" t="str">
        <f>IF(CALC_EEM!$B73="","",CALC_EEM!A73)</f>
      </c>
      <c r="C83" t="str">
        <f>IF(CALC_EEM!$B73="","",CALC_EEM!B73)</f>
      </c>
      <c r="D83">
        <f>IF(CALC_EEM!$B73="","",CALC_EEM!D73)</f>
      </c>
      <c r="E83" s="14" t="str">
        <f>IF(CALC_EEM!$B73="","",CALC_EEM!E73)</f>
      </c>
      <c r="F83" s="14" t="str">
        <f>IF(CALC_EEM!$B73="","",CALC_EEM!F73)</f>
      </c>
      <c r="G83" t="str">
        <f>IF(CALC_EEM!$B73="","",CALC_EEM!G73)</f>
      </c>
      <c r="H83" s="16" t="str">
        <f>IF(CALC_EEM!$B73="","",CALC_EEM!H73)</f>
      </c>
      <c r="I83" s="16" t="str">
        <f>IF(CALC_EEM!$B73="","",CALC_EEM!I73)</f>
      </c>
      <c r="J83" t="str">
        <f>IF(CALC_EEM!$B73="","",CALC_EEM!J73)</f>
      </c>
      <c r="K83" t="str">
        <f>IF(CALC_EEM!$B73="","",CALC_EEM!K73)</f>
      </c>
      <c r="L83">
        <f>IF(CALC_EEM!$B73="","",CALC_EEM!L73)</f>
      </c>
      <c r="M83">
        <f>IF(CALC_EEM!$B73="","",CALC_EEM!M73)</f>
      </c>
      <c r="N83">
        <f>IF(CALC_EEM!$B73="","",CALC_EEM!N73)</f>
      </c>
      <c r="O83">
        <f>IF(CALC_EEM!$B73="","",CALC_EEM!O73)</f>
      </c>
      <c r="P83">
        <f>IF(CALC_EEM!$B73="","",CALC_EEM!P73)</f>
      </c>
      <c r="Q83">
        <f>IF(CALC_EEM!$B73="","",CALC_EEM!Q73)</f>
      </c>
      <c r="R83">
        <f>IF(CALC_EEM!$B73="","",CALC_EEM!R73)</f>
      </c>
      <c r="S83">
        <f>IF(CALC_EEM!$B73="","",CALC_EEM!S73)</f>
      </c>
      <c r="T83">
        <f>IF(CALC_EEM!$B73="","",CALC_EEM!T73)</f>
      </c>
      <c r="U83">
        <f>IF(CALC_EEM!$B73="","",CALC_EEM!U73)</f>
      </c>
    </row>
    <row r="84" spans="1:24">
      <c r="A84" t="str">
        <f>IF(CALC_EEM!$B74="","",IF(CALC_EEM!A74="GLOBAL","GLOBAL",IF(CALC_EEM!C74="Total","CURSO_TOTAL",IF(CALC_EEM!C74="TotalEsp","CURSO_ESP",IF(CALC_EEM!C74="TotalNoEsp","CURSO_NOESP","CURSO_ASIG")))))</f>
      </c>
      <c r="B84" t="str">
        <f>IF(CALC_EEM!$B74="","",CALC_EEM!A74)</f>
      </c>
      <c r="C84" t="str">
        <f>IF(CALC_EEM!$B74="","",CALC_EEM!B74)</f>
      </c>
      <c r="D84">
        <f>IF(CALC_EEM!$B74="","",CALC_EEM!D74)</f>
      </c>
      <c r="E84" s="14" t="str">
        <f>IF(CALC_EEM!$B74="","",CALC_EEM!E74)</f>
      </c>
      <c r="F84" s="14" t="str">
        <f>IF(CALC_EEM!$B74="","",CALC_EEM!F74)</f>
      </c>
      <c r="G84" t="str">
        <f>IF(CALC_EEM!$B74="","",CALC_EEM!G74)</f>
      </c>
      <c r="H84" s="16" t="str">
        <f>IF(CALC_EEM!$B74="","",CALC_EEM!H74)</f>
      </c>
      <c r="I84" s="16" t="str">
        <f>IF(CALC_EEM!$B74="","",CALC_EEM!I74)</f>
      </c>
      <c r="J84" t="str">
        <f>IF(CALC_EEM!$B74="","",CALC_EEM!J74)</f>
      </c>
      <c r="K84" t="str">
        <f>IF(CALC_EEM!$B74="","",CALC_EEM!K74)</f>
      </c>
      <c r="L84">
        <f>IF(CALC_EEM!$B74="","",CALC_EEM!L74)</f>
      </c>
      <c r="M84">
        <f>IF(CALC_EEM!$B74="","",CALC_EEM!M74)</f>
      </c>
      <c r="N84">
        <f>IF(CALC_EEM!$B74="","",CALC_EEM!N74)</f>
      </c>
      <c r="O84">
        <f>IF(CALC_EEM!$B74="","",CALC_EEM!O74)</f>
      </c>
      <c r="P84">
        <f>IF(CALC_EEM!$B74="","",CALC_EEM!P74)</f>
      </c>
      <c r="Q84">
        <f>IF(CALC_EEM!$B74="","",CALC_EEM!Q74)</f>
      </c>
      <c r="R84">
        <f>IF(CALC_EEM!$B74="","",CALC_EEM!R74)</f>
      </c>
      <c r="S84">
        <f>IF(CALC_EEM!$B74="","",CALC_EEM!S74)</f>
      </c>
      <c r="T84">
        <f>IF(CALC_EEM!$B74="","",CALC_EEM!T74)</f>
      </c>
      <c r="U84">
        <f>IF(CALC_EEM!$B74="","",CALC_EEM!U74)</f>
      </c>
    </row>
    <row r="85" spans="1:24">
      <c r="A85" t="str">
        <f>IF(CALC_EEM!$B75="","",IF(CALC_EEM!A75="GLOBAL","GLOBAL",IF(CALC_EEM!C75="Total","CURSO_TOTAL",IF(CALC_EEM!C75="TotalEsp","CURSO_ESP",IF(CALC_EEM!C75="TotalNoEsp","CURSO_NOESP","CURSO_ASIG")))))</f>
      </c>
      <c r="B85" t="str">
        <f>IF(CALC_EEM!$B75="","",CALC_EEM!A75)</f>
      </c>
      <c r="C85" t="str">
        <f>IF(CALC_EEM!$B75="","",CALC_EEM!B75)</f>
      </c>
      <c r="D85">
        <f>IF(CALC_EEM!$B75="","",CALC_EEM!D75)</f>
      </c>
      <c r="E85" s="14" t="str">
        <f>IF(CALC_EEM!$B75="","",CALC_EEM!E75)</f>
      </c>
      <c r="F85" s="14" t="str">
        <f>IF(CALC_EEM!$B75="","",CALC_EEM!F75)</f>
      </c>
      <c r="G85" t="str">
        <f>IF(CALC_EEM!$B75="","",CALC_EEM!G75)</f>
      </c>
      <c r="H85" s="16" t="str">
        <f>IF(CALC_EEM!$B75="","",CALC_EEM!H75)</f>
      </c>
      <c r="I85" s="16" t="str">
        <f>IF(CALC_EEM!$B75="","",CALC_EEM!I75)</f>
      </c>
      <c r="J85" t="str">
        <f>IF(CALC_EEM!$B75="","",CALC_EEM!J75)</f>
      </c>
      <c r="K85" t="str">
        <f>IF(CALC_EEM!$B75="","",CALC_EEM!K75)</f>
      </c>
      <c r="L85">
        <f>IF(CALC_EEM!$B75="","",CALC_EEM!L75)</f>
      </c>
      <c r="M85">
        <f>IF(CALC_EEM!$B75="","",CALC_EEM!M75)</f>
      </c>
      <c r="N85">
        <f>IF(CALC_EEM!$B75="","",CALC_EEM!N75)</f>
      </c>
      <c r="O85">
        <f>IF(CALC_EEM!$B75="","",CALC_EEM!O75)</f>
      </c>
      <c r="P85">
        <f>IF(CALC_EEM!$B75="","",CALC_EEM!P75)</f>
      </c>
      <c r="Q85">
        <f>IF(CALC_EEM!$B75="","",CALC_EEM!Q75)</f>
      </c>
      <c r="R85">
        <f>IF(CALC_EEM!$B75="","",CALC_EEM!R75)</f>
      </c>
      <c r="S85">
        <f>IF(CALC_EEM!$B75="","",CALC_EEM!S75)</f>
      </c>
      <c r="T85">
        <f>IF(CALC_EEM!$B75="","",CALC_EEM!T75)</f>
      </c>
      <c r="U85">
        <f>IF(CALC_EEM!$B75="","",CALC_EEM!U75)</f>
      </c>
    </row>
    <row r="86" spans="1:24">
      <c r="A86" t="str">
        <f>IF(CALC_EEM!$B76="","",IF(CALC_EEM!A76="GLOBAL","GLOBAL",IF(CALC_EEM!C76="Total","CURSO_TOTAL",IF(CALC_EEM!C76="TotalEsp","CURSO_ESP",IF(CALC_EEM!C76="TotalNoEsp","CURSO_NOESP","CURSO_ASIG")))))</f>
      </c>
      <c r="B86" t="str">
        <f>IF(CALC_EEM!$B76="","",CALC_EEM!A76)</f>
      </c>
      <c r="C86" t="str">
        <f>IF(CALC_EEM!$B76="","",CALC_EEM!B76)</f>
      </c>
      <c r="D86">
        <f>IF(CALC_EEM!$B76="","",CALC_EEM!D76)</f>
      </c>
      <c r="E86" s="14" t="str">
        <f>IF(CALC_EEM!$B76="","",CALC_EEM!E76)</f>
      </c>
      <c r="F86" s="14" t="str">
        <f>IF(CALC_EEM!$B76="","",CALC_EEM!F76)</f>
      </c>
      <c r="G86" t="str">
        <f>IF(CALC_EEM!$B76="","",CALC_EEM!G76)</f>
      </c>
      <c r="H86" s="16" t="str">
        <f>IF(CALC_EEM!$B76="","",CALC_EEM!H76)</f>
      </c>
      <c r="I86" s="16" t="str">
        <f>IF(CALC_EEM!$B76="","",CALC_EEM!I76)</f>
      </c>
      <c r="J86" t="str">
        <f>IF(CALC_EEM!$B76="","",CALC_EEM!J76)</f>
      </c>
      <c r="K86" t="str">
        <f>IF(CALC_EEM!$B76="","",CALC_EEM!K76)</f>
      </c>
      <c r="L86">
        <f>IF(CALC_EEM!$B76="","",CALC_EEM!L76)</f>
      </c>
      <c r="M86">
        <f>IF(CALC_EEM!$B76="","",CALC_EEM!M76)</f>
      </c>
      <c r="N86">
        <f>IF(CALC_EEM!$B76="","",CALC_EEM!N76)</f>
      </c>
      <c r="O86">
        <f>IF(CALC_EEM!$B76="","",CALC_EEM!O76)</f>
      </c>
      <c r="P86">
        <f>IF(CALC_EEM!$B76="","",CALC_EEM!P76)</f>
      </c>
      <c r="Q86">
        <f>IF(CALC_EEM!$B76="","",CALC_EEM!Q76)</f>
      </c>
      <c r="R86">
        <f>IF(CALC_EEM!$B76="","",CALC_EEM!R76)</f>
      </c>
      <c r="S86">
        <f>IF(CALC_EEM!$B76="","",CALC_EEM!S76)</f>
      </c>
      <c r="T86">
        <f>IF(CALC_EEM!$B76="","",CALC_EEM!T76)</f>
      </c>
      <c r="U86">
        <f>IF(CALC_EEM!$B76="","",CALC_EEM!U76)</f>
      </c>
    </row>
    <row r="87" spans="1:24">
      <c r="A87" t="str">
        <f>IF(CALC_EEM!$B77="","",IF(CALC_EEM!A77="GLOBAL","GLOBAL",IF(CALC_EEM!C77="Total","CURSO_TOTAL",IF(CALC_EEM!C77="TotalEsp","CURSO_ESP",IF(CALC_EEM!C77="TotalNoEsp","CURSO_NOESP","CURSO_ASIG")))))</f>
      </c>
      <c r="B87" t="str">
        <f>IF(CALC_EEM!$B77="","",CALC_EEM!A77)</f>
      </c>
      <c r="C87" t="str">
        <f>IF(CALC_EEM!$B77="","",CALC_EEM!B77)</f>
      </c>
      <c r="D87">
        <f>IF(CALC_EEM!$B77="","",CALC_EEM!D77)</f>
      </c>
      <c r="E87" s="14" t="str">
        <f>IF(CALC_EEM!$B77="","",CALC_EEM!E77)</f>
      </c>
      <c r="F87" s="14" t="str">
        <f>IF(CALC_EEM!$B77="","",CALC_EEM!F77)</f>
      </c>
      <c r="G87" t="str">
        <f>IF(CALC_EEM!$B77="","",CALC_EEM!G77)</f>
      </c>
      <c r="H87" s="16" t="str">
        <f>IF(CALC_EEM!$B77="","",CALC_EEM!H77)</f>
      </c>
      <c r="I87" s="16" t="str">
        <f>IF(CALC_EEM!$B77="","",CALC_EEM!I77)</f>
      </c>
      <c r="J87" t="str">
        <f>IF(CALC_EEM!$B77="","",CALC_EEM!J77)</f>
      </c>
      <c r="K87" t="str">
        <f>IF(CALC_EEM!$B77="","",CALC_EEM!K77)</f>
      </c>
      <c r="L87">
        <f>IF(CALC_EEM!$B77="","",CALC_EEM!L77)</f>
      </c>
      <c r="M87">
        <f>IF(CALC_EEM!$B77="","",CALC_EEM!M77)</f>
      </c>
      <c r="N87">
        <f>IF(CALC_EEM!$B77="","",CALC_EEM!N77)</f>
      </c>
      <c r="O87">
        <f>IF(CALC_EEM!$B77="","",CALC_EEM!O77)</f>
      </c>
      <c r="P87">
        <f>IF(CALC_EEM!$B77="","",CALC_EEM!P77)</f>
      </c>
      <c r="Q87">
        <f>IF(CALC_EEM!$B77="","",CALC_EEM!Q77)</f>
      </c>
      <c r="R87">
        <f>IF(CALC_EEM!$B77="","",CALC_EEM!R77)</f>
      </c>
      <c r="S87">
        <f>IF(CALC_EEM!$B77="","",CALC_EEM!S77)</f>
      </c>
      <c r="T87">
        <f>IF(CALC_EEM!$B77="","",CALC_EEM!T77)</f>
      </c>
      <c r="U87">
        <f>IF(CALC_EEM!$B77="","",CALC_EEM!U77)</f>
      </c>
    </row>
    <row r="88" spans="1:24">
      <c r="A88" t="str">
        <f>IF(CALC_EEM!$B78="","",IF(CALC_EEM!A78="GLOBAL","GLOBAL",IF(CALC_EEM!C78="Total","CURSO_TOTAL",IF(CALC_EEM!C78="TotalEsp","CURSO_ESP",IF(CALC_EEM!C78="TotalNoEsp","CURSO_NOESP","CURSO_ASIG")))))</f>
      </c>
      <c r="B88" t="str">
        <f>IF(CALC_EEM!$B78="","",CALC_EEM!A78)</f>
      </c>
      <c r="C88" t="str">
        <f>IF(CALC_EEM!$B78="","",CALC_EEM!B78)</f>
      </c>
      <c r="D88">
        <f>IF(CALC_EEM!$B78="","",CALC_EEM!D78)</f>
      </c>
      <c r="E88" s="14" t="str">
        <f>IF(CALC_EEM!$B78="","",CALC_EEM!E78)</f>
      </c>
      <c r="F88" s="14" t="str">
        <f>IF(CALC_EEM!$B78="","",CALC_EEM!F78)</f>
      </c>
      <c r="G88" t="str">
        <f>IF(CALC_EEM!$B78="","",CALC_EEM!G78)</f>
      </c>
      <c r="H88" s="16" t="str">
        <f>IF(CALC_EEM!$B78="","",CALC_EEM!H78)</f>
      </c>
      <c r="I88" s="16" t="str">
        <f>IF(CALC_EEM!$B78="","",CALC_EEM!I78)</f>
      </c>
      <c r="J88" t="str">
        <f>IF(CALC_EEM!$B78="","",CALC_EEM!J78)</f>
      </c>
      <c r="K88" t="str">
        <f>IF(CALC_EEM!$B78="","",CALC_EEM!K78)</f>
      </c>
      <c r="L88">
        <f>IF(CALC_EEM!$B78="","",CALC_EEM!L78)</f>
      </c>
      <c r="M88">
        <f>IF(CALC_EEM!$B78="","",CALC_EEM!M78)</f>
      </c>
      <c r="N88">
        <f>IF(CALC_EEM!$B78="","",CALC_EEM!N78)</f>
      </c>
      <c r="O88">
        <f>IF(CALC_EEM!$B78="","",CALC_EEM!O78)</f>
      </c>
      <c r="P88">
        <f>IF(CALC_EEM!$B78="","",CALC_EEM!P78)</f>
      </c>
      <c r="Q88">
        <f>IF(CALC_EEM!$B78="","",CALC_EEM!Q78)</f>
      </c>
      <c r="R88">
        <f>IF(CALC_EEM!$B78="","",CALC_EEM!R78)</f>
      </c>
      <c r="S88">
        <f>IF(CALC_EEM!$B78="","",CALC_EEM!S78)</f>
      </c>
      <c r="T88">
        <f>IF(CALC_EEM!$B78="","",CALC_EEM!T78)</f>
      </c>
      <c r="U88">
        <f>IF(CALC_EEM!$B78="","",CALC_EEM!U78)</f>
      </c>
    </row>
    <row r="89" spans="1:24">
      <c r="A89" t="str">
        <f>IF(CALC_EEM!$B79="","",IF(CALC_EEM!A79="GLOBAL","GLOBAL",IF(CALC_EEM!C79="Total","CURSO_TOTAL",IF(CALC_EEM!C79="TotalEsp","CURSO_ESP",IF(CALC_EEM!C79="TotalNoEsp","CURSO_NOESP","CURSO_ASIG")))))</f>
      </c>
      <c r="B89" t="str">
        <f>IF(CALC_EEM!$B79="","",CALC_EEM!A79)</f>
      </c>
      <c r="C89" t="str">
        <f>IF(CALC_EEM!$B79="","",CALC_EEM!B79)</f>
      </c>
      <c r="D89">
        <f>IF(CALC_EEM!$B79="","",CALC_EEM!D79)</f>
      </c>
      <c r="E89" s="14" t="str">
        <f>IF(CALC_EEM!$B79="","",CALC_EEM!E79)</f>
      </c>
      <c r="F89" s="14" t="str">
        <f>IF(CALC_EEM!$B79="","",CALC_EEM!F79)</f>
      </c>
      <c r="G89" t="str">
        <f>IF(CALC_EEM!$B79="","",CALC_EEM!G79)</f>
      </c>
      <c r="H89" s="16" t="str">
        <f>IF(CALC_EEM!$B79="","",CALC_EEM!H79)</f>
      </c>
      <c r="I89" s="16" t="str">
        <f>IF(CALC_EEM!$B79="","",CALC_EEM!I79)</f>
      </c>
      <c r="J89" t="str">
        <f>IF(CALC_EEM!$B79="","",CALC_EEM!J79)</f>
      </c>
      <c r="K89" t="str">
        <f>IF(CALC_EEM!$B79="","",CALC_EEM!K79)</f>
      </c>
      <c r="L89">
        <f>IF(CALC_EEM!$B79="","",CALC_EEM!L79)</f>
      </c>
      <c r="M89">
        <f>IF(CALC_EEM!$B79="","",CALC_EEM!M79)</f>
      </c>
      <c r="N89">
        <f>IF(CALC_EEM!$B79="","",CALC_EEM!N79)</f>
      </c>
      <c r="O89">
        <f>IF(CALC_EEM!$B79="","",CALC_EEM!O79)</f>
      </c>
      <c r="P89">
        <f>IF(CALC_EEM!$B79="","",CALC_EEM!P79)</f>
      </c>
      <c r="Q89">
        <f>IF(CALC_EEM!$B79="","",CALC_EEM!Q79)</f>
      </c>
      <c r="R89">
        <f>IF(CALC_EEM!$B79="","",CALC_EEM!R79)</f>
      </c>
      <c r="S89">
        <f>IF(CALC_EEM!$B79="","",CALC_EEM!S79)</f>
      </c>
      <c r="T89">
        <f>IF(CALC_EEM!$B79="","",CALC_EEM!T79)</f>
      </c>
      <c r="U89">
        <f>IF(CALC_EEM!$B79="","",CALC_EEM!U79)</f>
      </c>
    </row>
    <row r="90" spans="1:24">
      <c r="A90" t="str">
        <f>IF(CALC_EEM!$B80="","",IF(CALC_EEM!A80="GLOBAL","GLOBAL",IF(CALC_EEM!C80="Total","CURSO_TOTAL",IF(CALC_EEM!C80="TotalEsp","CURSO_ESP",IF(CALC_EEM!C80="TotalNoEsp","CURSO_NOESP","CURSO_ASIG")))))</f>
      </c>
      <c r="B90" t="str">
        <f>IF(CALC_EEM!$B80="","",CALC_EEM!A80)</f>
      </c>
      <c r="C90" t="str">
        <f>IF(CALC_EEM!$B80="","",CALC_EEM!B80)</f>
      </c>
      <c r="D90">
        <f>IF(CALC_EEM!$B80="","",CALC_EEM!D80)</f>
      </c>
      <c r="E90" s="14" t="str">
        <f>IF(CALC_EEM!$B80="","",CALC_EEM!E80)</f>
      </c>
      <c r="F90" s="14" t="str">
        <f>IF(CALC_EEM!$B80="","",CALC_EEM!F80)</f>
      </c>
      <c r="G90" t="str">
        <f>IF(CALC_EEM!$B80="","",CALC_EEM!G80)</f>
      </c>
      <c r="H90" s="16" t="str">
        <f>IF(CALC_EEM!$B80="","",CALC_EEM!H80)</f>
      </c>
      <c r="I90" s="16" t="str">
        <f>IF(CALC_EEM!$B80="","",CALC_EEM!I80)</f>
      </c>
      <c r="J90" t="str">
        <f>IF(CALC_EEM!$B80="","",CALC_EEM!J80)</f>
      </c>
      <c r="K90" t="str">
        <f>IF(CALC_EEM!$B80="","",CALC_EEM!K80)</f>
      </c>
      <c r="L90">
        <f>IF(CALC_EEM!$B80="","",CALC_EEM!L80)</f>
      </c>
      <c r="M90">
        <f>IF(CALC_EEM!$B80="","",CALC_EEM!M80)</f>
      </c>
      <c r="N90">
        <f>IF(CALC_EEM!$B80="","",CALC_EEM!N80)</f>
      </c>
      <c r="O90">
        <f>IF(CALC_EEM!$B80="","",CALC_EEM!O80)</f>
      </c>
      <c r="P90">
        <f>IF(CALC_EEM!$B80="","",CALC_EEM!P80)</f>
      </c>
      <c r="Q90">
        <f>IF(CALC_EEM!$B80="","",CALC_EEM!Q80)</f>
      </c>
      <c r="R90">
        <f>IF(CALC_EEM!$B80="","",CALC_EEM!R80)</f>
      </c>
      <c r="S90">
        <f>IF(CALC_EEM!$B80="","",CALC_EEM!S80)</f>
      </c>
      <c r="T90">
        <f>IF(CALC_EEM!$B80="","",CALC_EEM!T80)</f>
      </c>
      <c r="U90">
        <f>IF(CALC_EEM!$B80="","",CALC_EEM!U80)</f>
      </c>
    </row>
    <row r="91" spans="1:24">
      <c r="A91" t="str">
        <f>IF(CALC_EEM!$B81="","",IF(CALC_EEM!A81="GLOBAL","GLOBAL",IF(CALC_EEM!C81="Total","CURSO_TOTAL",IF(CALC_EEM!C81="TotalEsp","CURSO_ESP",IF(CALC_EEM!C81="TotalNoEsp","CURSO_NOESP","CURSO_ASIG")))))</f>
      </c>
      <c r="B91" t="str">
        <f>IF(CALC_EEM!$B81="","",CALC_EEM!A81)</f>
      </c>
      <c r="C91" t="str">
        <f>IF(CALC_EEM!$B81="","",CALC_EEM!B81)</f>
      </c>
      <c r="D91">
        <f>IF(CALC_EEM!$B81="","",CALC_EEM!D81)</f>
      </c>
      <c r="E91" s="14" t="str">
        <f>IF(CALC_EEM!$B81="","",CALC_EEM!E81)</f>
      </c>
      <c r="F91" s="14" t="str">
        <f>IF(CALC_EEM!$B81="","",CALC_EEM!F81)</f>
      </c>
      <c r="G91" t="str">
        <f>IF(CALC_EEM!$B81="","",CALC_EEM!G81)</f>
      </c>
      <c r="H91" s="16" t="str">
        <f>IF(CALC_EEM!$B81="","",CALC_EEM!H81)</f>
      </c>
      <c r="I91" s="16" t="str">
        <f>IF(CALC_EEM!$B81="","",CALC_EEM!I81)</f>
      </c>
      <c r="J91" t="str">
        <f>IF(CALC_EEM!$B81="","",CALC_EEM!J81)</f>
      </c>
      <c r="K91" t="str">
        <f>IF(CALC_EEM!$B81="","",CALC_EEM!K81)</f>
      </c>
      <c r="L91">
        <f>IF(CALC_EEM!$B81="","",CALC_EEM!L81)</f>
      </c>
      <c r="M91">
        <f>IF(CALC_EEM!$B81="","",CALC_EEM!M81)</f>
      </c>
      <c r="N91">
        <f>IF(CALC_EEM!$B81="","",CALC_EEM!N81)</f>
      </c>
      <c r="O91">
        <f>IF(CALC_EEM!$B81="","",CALC_EEM!O81)</f>
      </c>
      <c r="P91">
        <f>IF(CALC_EEM!$B81="","",CALC_EEM!P81)</f>
      </c>
      <c r="Q91">
        <f>IF(CALC_EEM!$B81="","",CALC_EEM!Q81)</f>
      </c>
      <c r="R91">
        <f>IF(CALC_EEM!$B81="","",CALC_EEM!R81)</f>
      </c>
      <c r="S91">
        <f>IF(CALC_EEM!$B81="","",CALC_EEM!S81)</f>
      </c>
      <c r="T91">
        <f>IF(CALC_EEM!$B81="","",CALC_EEM!T81)</f>
      </c>
      <c r="U91">
        <f>IF(CALC_EEM!$B81="","",CALC_EEM!U81)</f>
      </c>
    </row>
    <row r="92" spans="1:24">
      <c r="A92" t="str">
        <f>IF(CALC_EEM!$B82="","",IF(CALC_EEM!A82="GLOBAL","GLOBAL",IF(CALC_EEM!C82="Total","CURSO_TOTAL",IF(CALC_EEM!C82="TotalEsp","CURSO_ESP",IF(CALC_EEM!C82="TotalNoEsp","CURSO_NOESP","CURSO_ASIG")))))</f>
      </c>
      <c r="B92" t="str">
        <f>IF(CALC_EEM!$B82="","",CALC_EEM!A82)</f>
      </c>
      <c r="C92" t="str">
        <f>IF(CALC_EEM!$B82="","",CALC_EEM!B82)</f>
      </c>
      <c r="D92">
        <f>IF(CALC_EEM!$B82="","",CALC_EEM!D82)</f>
      </c>
      <c r="E92" s="14" t="str">
        <f>IF(CALC_EEM!$B82="","",CALC_EEM!E82)</f>
      </c>
      <c r="F92" s="14" t="str">
        <f>IF(CALC_EEM!$B82="","",CALC_EEM!F82)</f>
      </c>
      <c r="G92" t="str">
        <f>IF(CALC_EEM!$B82="","",CALC_EEM!G82)</f>
      </c>
      <c r="H92" s="16" t="str">
        <f>IF(CALC_EEM!$B82="","",CALC_EEM!H82)</f>
      </c>
      <c r="I92" s="16" t="str">
        <f>IF(CALC_EEM!$B82="","",CALC_EEM!I82)</f>
      </c>
      <c r="J92" t="str">
        <f>IF(CALC_EEM!$B82="","",CALC_EEM!J82)</f>
      </c>
      <c r="K92" t="str">
        <f>IF(CALC_EEM!$B82="","",CALC_EEM!K82)</f>
      </c>
      <c r="L92">
        <f>IF(CALC_EEM!$B82="","",CALC_EEM!L82)</f>
      </c>
      <c r="M92">
        <f>IF(CALC_EEM!$B82="","",CALC_EEM!M82)</f>
      </c>
      <c r="N92">
        <f>IF(CALC_EEM!$B82="","",CALC_EEM!N82)</f>
      </c>
      <c r="O92">
        <f>IF(CALC_EEM!$B82="","",CALC_EEM!O82)</f>
      </c>
      <c r="P92">
        <f>IF(CALC_EEM!$B82="","",CALC_EEM!P82)</f>
      </c>
      <c r="Q92">
        <f>IF(CALC_EEM!$B82="","",CALC_EEM!Q82)</f>
      </c>
      <c r="R92">
        <f>IF(CALC_EEM!$B82="","",CALC_EEM!R82)</f>
      </c>
      <c r="S92">
        <f>IF(CALC_EEM!$B82="","",CALC_EEM!S82)</f>
      </c>
      <c r="T92">
        <f>IF(CALC_EEM!$B82="","",CALC_EEM!T82)</f>
      </c>
      <c r="U92">
        <f>IF(CALC_EEM!$B82="","",CALC_EEM!U82)</f>
      </c>
    </row>
    <row r="93" spans="1:24">
      <c r="A93" t="str">
        <f>IF(CALC_EEM!$B83="","",IF(CALC_EEM!A83="GLOBAL","GLOBAL",IF(CALC_EEM!C83="Total","CURSO_TOTAL",IF(CALC_EEM!C83="TotalEsp","CURSO_ESP",IF(CALC_EEM!C83="TotalNoEsp","CURSO_NOESP","CURSO_ASIG")))))</f>
      </c>
      <c r="B93" t="str">
        <f>IF(CALC_EEM!$B83="","",CALC_EEM!A83)</f>
      </c>
      <c r="C93" t="str">
        <f>IF(CALC_EEM!$B83="","",CALC_EEM!B83)</f>
      </c>
      <c r="D93">
        <f>IF(CALC_EEM!$B83="","",CALC_EEM!D83)</f>
      </c>
      <c r="E93" s="14" t="str">
        <f>IF(CALC_EEM!$B83="","",CALC_EEM!E83)</f>
      </c>
      <c r="F93" s="14" t="str">
        <f>IF(CALC_EEM!$B83="","",CALC_EEM!F83)</f>
      </c>
      <c r="G93" t="str">
        <f>IF(CALC_EEM!$B83="","",CALC_EEM!G83)</f>
      </c>
      <c r="H93" s="16" t="str">
        <f>IF(CALC_EEM!$B83="","",CALC_EEM!H83)</f>
      </c>
      <c r="I93" s="16" t="str">
        <f>IF(CALC_EEM!$B83="","",CALC_EEM!I83)</f>
      </c>
      <c r="J93" t="str">
        <f>IF(CALC_EEM!$B83="","",CALC_EEM!J83)</f>
      </c>
      <c r="K93" t="str">
        <f>IF(CALC_EEM!$B83="","",CALC_EEM!K83)</f>
      </c>
      <c r="L93">
        <f>IF(CALC_EEM!$B83="","",CALC_EEM!L83)</f>
      </c>
      <c r="M93">
        <f>IF(CALC_EEM!$B83="","",CALC_EEM!M83)</f>
      </c>
      <c r="N93">
        <f>IF(CALC_EEM!$B83="","",CALC_EEM!N83)</f>
      </c>
      <c r="O93">
        <f>IF(CALC_EEM!$B83="","",CALC_EEM!O83)</f>
      </c>
      <c r="P93">
        <f>IF(CALC_EEM!$B83="","",CALC_EEM!P83)</f>
      </c>
      <c r="Q93">
        <f>IF(CALC_EEM!$B83="","",CALC_EEM!Q83)</f>
      </c>
      <c r="R93">
        <f>IF(CALC_EEM!$B83="","",CALC_EEM!R83)</f>
      </c>
      <c r="S93">
        <f>IF(CALC_EEM!$B83="","",CALC_EEM!S83)</f>
      </c>
      <c r="T93">
        <f>IF(CALC_EEM!$B83="","",CALC_EEM!T83)</f>
      </c>
      <c r="U93">
        <f>IF(CALC_EEM!$B83="","",CALC_EEM!U83)</f>
      </c>
    </row>
    <row r="94" spans="1:24">
      <c r="A94" t="str">
        <f>IF(CALC_EEM!$B84="","",IF(CALC_EEM!A84="GLOBAL","GLOBAL",IF(CALC_EEM!C84="Total","CURSO_TOTAL",IF(CALC_EEM!C84="TotalEsp","CURSO_ESP",IF(CALC_EEM!C84="TotalNoEsp","CURSO_NOESP","CURSO_ASIG")))))</f>
      </c>
      <c r="B94" t="str">
        <f>IF(CALC_EEM!$B84="","",CALC_EEM!A84)</f>
      </c>
      <c r="C94" t="str">
        <f>IF(CALC_EEM!$B84="","",CALC_EEM!B84)</f>
      </c>
      <c r="D94">
        <f>IF(CALC_EEM!$B84="","",CALC_EEM!D84)</f>
      </c>
      <c r="E94" s="14" t="str">
        <f>IF(CALC_EEM!$B84="","",CALC_EEM!E84)</f>
      </c>
      <c r="F94" s="14" t="str">
        <f>IF(CALC_EEM!$B84="","",CALC_EEM!F84)</f>
      </c>
      <c r="G94" t="str">
        <f>IF(CALC_EEM!$B84="","",CALC_EEM!G84)</f>
      </c>
      <c r="H94" s="16" t="str">
        <f>IF(CALC_EEM!$B84="","",CALC_EEM!H84)</f>
      </c>
      <c r="I94" s="16" t="str">
        <f>IF(CALC_EEM!$B84="","",CALC_EEM!I84)</f>
      </c>
      <c r="J94" t="str">
        <f>IF(CALC_EEM!$B84="","",CALC_EEM!J84)</f>
      </c>
      <c r="K94" t="str">
        <f>IF(CALC_EEM!$B84="","",CALC_EEM!K84)</f>
      </c>
      <c r="L94">
        <f>IF(CALC_EEM!$B84="","",CALC_EEM!L84)</f>
      </c>
      <c r="M94">
        <f>IF(CALC_EEM!$B84="","",CALC_EEM!M84)</f>
      </c>
      <c r="N94">
        <f>IF(CALC_EEM!$B84="","",CALC_EEM!N84)</f>
      </c>
      <c r="O94">
        <f>IF(CALC_EEM!$B84="","",CALC_EEM!O84)</f>
      </c>
      <c r="P94">
        <f>IF(CALC_EEM!$B84="","",CALC_EEM!P84)</f>
      </c>
      <c r="Q94">
        <f>IF(CALC_EEM!$B84="","",CALC_EEM!Q84)</f>
      </c>
      <c r="R94">
        <f>IF(CALC_EEM!$B84="","",CALC_EEM!R84)</f>
      </c>
      <c r="S94">
        <f>IF(CALC_EEM!$B84="","",CALC_EEM!S84)</f>
      </c>
      <c r="T94">
        <f>IF(CALC_EEM!$B84="","",CALC_EEM!T84)</f>
      </c>
      <c r="U94">
        <f>IF(CALC_EEM!$B84="","",CALC_EEM!U84)</f>
      </c>
    </row>
    <row r="95" spans="1:24">
      <c r="A95" t="str">
        <f>IF(CALC_EEM!$B85="","",IF(CALC_EEM!A85="GLOBAL","GLOBAL",IF(CALC_EEM!C85="Total","CURSO_TOTAL",IF(CALC_EEM!C85="TotalEsp","CURSO_ESP",IF(CALC_EEM!C85="TotalNoEsp","CURSO_NOESP","CURSO_ASIG")))))</f>
      </c>
      <c r="B95" t="str">
        <f>IF(CALC_EEM!$B85="","",CALC_EEM!A85)</f>
      </c>
      <c r="C95" t="str">
        <f>IF(CALC_EEM!$B85="","",CALC_EEM!B85)</f>
      </c>
      <c r="D95">
        <f>IF(CALC_EEM!$B85="","",CALC_EEM!D85)</f>
      </c>
      <c r="E95" s="14" t="str">
        <f>IF(CALC_EEM!$B85="","",CALC_EEM!E85)</f>
      </c>
      <c r="F95" s="14" t="str">
        <f>IF(CALC_EEM!$B85="","",CALC_EEM!F85)</f>
      </c>
      <c r="G95" t="str">
        <f>IF(CALC_EEM!$B85="","",CALC_EEM!G85)</f>
      </c>
      <c r="H95" s="16" t="str">
        <f>IF(CALC_EEM!$B85="","",CALC_EEM!H85)</f>
      </c>
      <c r="I95" s="16" t="str">
        <f>IF(CALC_EEM!$B85="","",CALC_EEM!I85)</f>
      </c>
      <c r="J95" t="str">
        <f>IF(CALC_EEM!$B85="","",CALC_EEM!J85)</f>
      </c>
      <c r="K95" t="str">
        <f>IF(CALC_EEM!$B85="","",CALC_EEM!K85)</f>
      </c>
      <c r="L95">
        <f>IF(CALC_EEM!$B85="","",CALC_EEM!L85)</f>
      </c>
      <c r="M95">
        <f>IF(CALC_EEM!$B85="","",CALC_EEM!M85)</f>
      </c>
      <c r="N95">
        <f>IF(CALC_EEM!$B85="","",CALC_EEM!N85)</f>
      </c>
      <c r="O95">
        <f>IF(CALC_EEM!$B85="","",CALC_EEM!O85)</f>
      </c>
      <c r="P95">
        <f>IF(CALC_EEM!$B85="","",CALC_EEM!P85)</f>
      </c>
      <c r="Q95">
        <f>IF(CALC_EEM!$B85="","",CALC_EEM!Q85)</f>
      </c>
      <c r="R95">
        <f>IF(CALC_EEM!$B85="","",CALC_EEM!R85)</f>
      </c>
      <c r="S95">
        <f>IF(CALC_EEM!$B85="","",CALC_EEM!S85)</f>
      </c>
      <c r="T95">
        <f>IF(CALC_EEM!$B85="","",CALC_EEM!T85)</f>
      </c>
      <c r="U95">
        <f>IF(CALC_EEM!$B85="","",CALC_EEM!U85)</f>
      </c>
    </row>
    <row r="96" spans="1:24">
      <c r="A96" t="str">
        <f>IF(CALC_EEM!$B86="","",IF(CALC_EEM!A86="GLOBAL","GLOBAL",IF(CALC_EEM!C86="Total","CURSO_TOTAL",IF(CALC_EEM!C86="TotalEsp","CURSO_ESP",IF(CALC_EEM!C86="TotalNoEsp","CURSO_NOESP","CURSO_ASIG")))))</f>
      </c>
      <c r="B96" t="str">
        <f>IF(CALC_EEM!$B86="","",CALC_EEM!A86)</f>
      </c>
      <c r="C96" t="str">
        <f>IF(CALC_EEM!$B86="","",CALC_EEM!B86)</f>
      </c>
      <c r="D96">
        <f>IF(CALC_EEM!$B86="","",CALC_EEM!D86)</f>
      </c>
      <c r="E96" s="14" t="str">
        <f>IF(CALC_EEM!$B86="","",CALC_EEM!E86)</f>
      </c>
      <c r="F96" s="14" t="str">
        <f>IF(CALC_EEM!$B86="","",CALC_EEM!F86)</f>
      </c>
      <c r="G96" t="str">
        <f>IF(CALC_EEM!$B86="","",CALC_EEM!G86)</f>
      </c>
      <c r="H96" s="16" t="str">
        <f>IF(CALC_EEM!$B86="","",CALC_EEM!H86)</f>
      </c>
      <c r="I96" s="16" t="str">
        <f>IF(CALC_EEM!$B86="","",CALC_EEM!I86)</f>
      </c>
      <c r="J96" t="str">
        <f>IF(CALC_EEM!$B86="","",CALC_EEM!J86)</f>
      </c>
      <c r="K96" t="str">
        <f>IF(CALC_EEM!$B86="","",CALC_EEM!K86)</f>
      </c>
      <c r="L96">
        <f>IF(CALC_EEM!$B86="","",CALC_EEM!L86)</f>
      </c>
      <c r="M96">
        <f>IF(CALC_EEM!$B86="","",CALC_EEM!M86)</f>
      </c>
      <c r="N96">
        <f>IF(CALC_EEM!$B86="","",CALC_EEM!N86)</f>
      </c>
      <c r="O96">
        <f>IF(CALC_EEM!$B86="","",CALC_EEM!O86)</f>
      </c>
      <c r="P96">
        <f>IF(CALC_EEM!$B86="","",CALC_EEM!P86)</f>
      </c>
      <c r="Q96">
        <f>IF(CALC_EEM!$B86="","",CALC_EEM!Q86)</f>
      </c>
      <c r="R96">
        <f>IF(CALC_EEM!$B86="","",CALC_EEM!R86)</f>
      </c>
      <c r="S96">
        <f>IF(CALC_EEM!$B86="","",CALC_EEM!S86)</f>
      </c>
      <c r="T96">
        <f>IF(CALC_EEM!$B86="","",CALC_EEM!T86)</f>
      </c>
      <c r="U96">
        <f>IF(CALC_EEM!$B86="","",CALC_EEM!U86)</f>
      </c>
    </row>
    <row r="97" spans="1:24">
      <c r="A97" t="str">
        <f>IF(CALC_EEM!$B87="","",IF(CALC_EEM!A87="GLOBAL","GLOBAL",IF(CALC_EEM!C87="Total","CURSO_TOTAL",IF(CALC_EEM!C87="TotalEsp","CURSO_ESP",IF(CALC_EEM!C87="TotalNoEsp","CURSO_NOESP","CURSO_ASIG")))))</f>
      </c>
      <c r="B97" t="str">
        <f>IF(CALC_EEM!$B87="","",CALC_EEM!A87)</f>
      </c>
      <c r="C97" t="str">
        <f>IF(CALC_EEM!$B87="","",CALC_EEM!B87)</f>
      </c>
      <c r="D97">
        <f>IF(CALC_EEM!$B87="","",CALC_EEM!D87)</f>
      </c>
      <c r="E97" s="14" t="str">
        <f>IF(CALC_EEM!$B87="","",CALC_EEM!E87)</f>
      </c>
      <c r="F97" s="14" t="str">
        <f>IF(CALC_EEM!$B87="","",CALC_EEM!F87)</f>
      </c>
      <c r="G97" t="str">
        <f>IF(CALC_EEM!$B87="","",CALC_EEM!G87)</f>
      </c>
      <c r="H97" s="16" t="str">
        <f>IF(CALC_EEM!$B87="","",CALC_EEM!H87)</f>
      </c>
      <c r="I97" s="16" t="str">
        <f>IF(CALC_EEM!$B87="","",CALC_EEM!I87)</f>
      </c>
      <c r="J97" t="str">
        <f>IF(CALC_EEM!$B87="","",CALC_EEM!J87)</f>
      </c>
      <c r="K97" t="str">
        <f>IF(CALC_EEM!$B87="","",CALC_EEM!K87)</f>
      </c>
      <c r="L97">
        <f>IF(CALC_EEM!$B87="","",CALC_EEM!L87)</f>
      </c>
      <c r="M97">
        <f>IF(CALC_EEM!$B87="","",CALC_EEM!M87)</f>
      </c>
      <c r="N97">
        <f>IF(CALC_EEM!$B87="","",CALC_EEM!N87)</f>
      </c>
      <c r="O97">
        <f>IF(CALC_EEM!$B87="","",CALC_EEM!O87)</f>
      </c>
      <c r="P97">
        <f>IF(CALC_EEM!$B87="","",CALC_EEM!P87)</f>
      </c>
      <c r="Q97">
        <f>IF(CALC_EEM!$B87="","",CALC_EEM!Q87)</f>
      </c>
      <c r="R97">
        <f>IF(CALC_EEM!$B87="","",CALC_EEM!R87)</f>
      </c>
      <c r="S97">
        <f>IF(CALC_EEM!$B87="","",CALC_EEM!S87)</f>
      </c>
      <c r="T97">
        <f>IF(CALC_EEM!$B87="","",CALC_EEM!T87)</f>
      </c>
      <c r="U97">
        <f>IF(CALC_EEM!$B87="","",CALC_EEM!U87)</f>
      </c>
    </row>
    <row r="98" spans="1:24">
      <c r="A98" t="str">
        <f>IF(CALC_EEM!$B88="","",IF(CALC_EEM!A88="GLOBAL","GLOBAL",IF(CALC_EEM!C88="Total","CURSO_TOTAL",IF(CALC_EEM!C88="TotalEsp","CURSO_ESP",IF(CALC_EEM!C88="TotalNoEsp","CURSO_NOESP","CURSO_ASIG")))))</f>
      </c>
      <c r="B98" t="str">
        <f>IF(CALC_EEM!$B88="","",CALC_EEM!A88)</f>
      </c>
      <c r="C98" t="str">
        <f>IF(CALC_EEM!$B88="","",CALC_EEM!B88)</f>
      </c>
      <c r="D98">
        <f>IF(CALC_EEM!$B88="","",CALC_EEM!D88)</f>
      </c>
      <c r="E98" s="14" t="str">
        <f>IF(CALC_EEM!$B88="","",CALC_EEM!E88)</f>
      </c>
      <c r="F98" s="14" t="str">
        <f>IF(CALC_EEM!$B88="","",CALC_EEM!F88)</f>
      </c>
      <c r="G98" t="str">
        <f>IF(CALC_EEM!$B88="","",CALC_EEM!G88)</f>
      </c>
      <c r="H98" s="16" t="str">
        <f>IF(CALC_EEM!$B88="","",CALC_EEM!H88)</f>
      </c>
      <c r="I98" s="16" t="str">
        <f>IF(CALC_EEM!$B88="","",CALC_EEM!I88)</f>
      </c>
      <c r="J98" t="str">
        <f>IF(CALC_EEM!$B88="","",CALC_EEM!J88)</f>
      </c>
      <c r="K98" t="str">
        <f>IF(CALC_EEM!$B88="","",CALC_EEM!K88)</f>
      </c>
      <c r="L98">
        <f>IF(CALC_EEM!$B88="","",CALC_EEM!L88)</f>
      </c>
      <c r="M98">
        <f>IF(CALC_EEM!$B88="","",CALC_EEM!M88)</f>
      </c>
      <c r="N98">
        <f>IF(CALC_EEM!$B88="","",CALC_EEM!N88)</f>
      </c>
      <c r="O98">
        <f>IF(CALC_EEM!$B88="","",CALC_EEM!O88)</f>
      </c>
      <c r="P98">
        <f>IF(CALC_EEM!$B88="","",CALC_EEM!P88)</f>
      </c>
      <c r="Q98">
        <f>IF(CALC_EEM!$B88="","",CALC_EEM!Q88)</f>
      </c>
      <c r="R98">
        <f>IF(CALC_EEM!$B88="","",CALC_EEM!R88)</f>
      </c>
      <c r="S98">
        <f>IF(CALC_EEM!$B88="","",CALC_EEM!S88)</f>
      </c>
      <c r="T98">
        <f>IF(CALC_EEM!$B88="","",CALC_EEM!T88)</f>
      </c>
      <c r="U98">
        <f>IF(CALC_EEM!$B88="","",CALC_EEM!U88)</f>
      </c>
    </row>
    <row r="99" spans="1:24">
      <c r="A99" t="str">
        <f>IF(CALC_EEM!$B89="","",IF(CALC_EEM!A89="GLOBAL","GLOBAL",IF(CALC_EEM!C89="Total","CURSO_TOTAL",IF(CALC_EEM!C89="TotalEsp","CURSO_ESP",IF(CALC_EEM!C89="TotalNoEsp","CURSO_NOESP","CURSO_ASIG")))))</f>
      </c>
      <c r="B99" t="str">
        <f>IF(CALC_EEM!$B89="","",CALC_EEM!A89)</f>
      </c>
      <c r="C99" t="str">
        <f>IF(CALC_EEM!$B89="","",CALC_EEM!B89)</f>
      </c>
      <c r="D99">
        <f>IF(CALC_EEM!$B89="","",CALC_EEM!D89)</f>
      </c>
      <c r="E99" s="14" t="str">
        <f>IF(CALC_EEM!$B89="","",CALC_EEM!E89)</f>
      </c>
      <c r="F99" s="14" t="str">
        <f>IF(CALC_EEM!$B89="","",CALC_EEM!F89)</f>
      </c>
      <c r="G99" t="str">
        <f>IF(CALC_EEM!$B89="","",CALC_EEM!G89)</f>
      </c>
      <c r="H99" s="16" t="str">
        <f>IF(CALC_EEM!$B89="","",CALC_EEM!H89)</f>
      </c>
      <c r="I99" s="16" t="str">
        <f>IF(CALC_EEM!$B89="","",CALC_EEM!I89)</f>
      </c>
      <c r="J99" t="str">
        <f>IF(CALC_EEM!$B89="","",CALC_EEM!J89)</f>
      </c>
      <c r="K99" t="str">
        <f>IF(CALC_EEM!$B89="","",CALC_EEM!K89)</f>
      </c>
      <c r="L99">
        <f>IF(CALC_EEM!$B89="","",CALC_EEM!L89)</f>
      </c>
      <c r="M99">
        <f>IF(CALC_EEM!$B89="","",CALC_EEM!M89)</f>
      </c>
      <c r="N99">
        <f>IF(CALC_EEM!$B89="","",CALC_EEM!N89)</f>
      </c>
      <c r="O99">
        <f>IF(CALC_EEM!$B89="","",CALC_EEM!O89)</f>
      </c>
      <c r="P99">
        <f>IF(CALC_EEM!$B89="","",CALC_EEM!P89)</f>
      </c>
      <c r="Q99">
        <f>IF(CALC_EEM!$B89="","",CALC_EEM!Q89)</f>
      </c>
      <c r="R99">
        <f>IF(CALC_EEM!$B89="","",CALC_EEM!R89)</f>
      </c>
      <c r="S99">
        <f>IF(CALC_EEM!$B89="","",CALC_EEM!S89)</f>
      </c>
      <c r="T99">
        <f>IF(CALC_EEM!$B89="","",CALC_EEM!T89)</f>
      </c>
      <c r="U99">
        <f>IF(CALC_EEM!$B89="","",CALC_EEM!U89)</f>
      </c>
    </row>
    <row r="100" spans="1:24">
      <c r="A100" t="str">
        <f>IF(CALC_EEM!$B90="","",IF(CALC_EEM!A90="GLOBAL","GLOBAL",IF(CALC_EEM!C90="Total","CURSO_TOTAL",IF(CALC_EEM!C90="TotalEsp","CURSO_ESP",IF(CALC_EEM!C90="TotalNoEsp","CURSO_NOESP","CURSO_ASIG")))))</f>
      </c>
      <c r="B100" t="str">
        <f>IF(CALC_EEM!$B90="","",CALC_EEM!A90)</f>
      </c>
      <c r="C100" t="str">
        <f>IF(CALC_EEM!$B90="","",CALC_EEM!B90)</f>
      </c>
      <c r="D100">
        <f>IF(CALC_EEM!$B90="","",CALC_EEM!D90)</f>
      </c>
      <c r="E100" s="14" t="str">
        <f>IF(CALC_EEM!$B90="","",CALC_EEM!E90)</f>
      </c>
      <c r="F100" s="14" t="str">
        <f>IF(CALC_EEM!$B90="","",CALC_EEM!F90)</f>
      </c>
      <c r="G100" t="str">
        <f>IF(CALC_EEM!$B90="","",CALC_EEM!G90)</f>
      </c>
      <c r="H100" s="16" t="str">
        <f>IF(CALC_EEM!$B90="","",CALC_EEM!H90)</f>
      </c>
      <c r="I100" s="16" t="str">
        <f>IF(CALC_EEM!$B90="","",CALC_EEM!I90)</f>
      </c>
      <c r="J100" t="str">
        <f>IF(CALC_EEM!$B90="","",CALC_EEM!J90)</f>
      </c>
      <c r="K100" t="str">
        <f>IF(CALC_EEM!$B90="","",CALC_EEM!K90)</f>
      </c>
      <c r="L100">
        <f>IF(CALC_EEM!$B90="","",CALC_EEM!L90)</f>
      </c>
      <c r="M100">
        <f>IF(CALC_EEM!$B90="","",CALC_EEM!M90)</f>
      </c>
      <c r="N100">
        <f>IF(CALC_EEM!$B90="","",CALC_EEM!N90)</f>
      </c>
      <c r="O100">
        <f>IF(CALC_EEM!$B90="","",CALC_EEM!O90)</f>
      </c>
      <c r="P100">
        <f>IF(CALC_EEM!$B90="","",CALC_EEM!P90)</f>
      </c>
      <c r="Q100">
        <f>IF(CALC_EEM!$B90="","",CALC_EEM!Q90)</f>
      </c>
      <c r="R100">
        <f>IF(CALC_EEM!$B90="","",CALC_EEM!R90)</f>
      </c>
      <c r="S100">
        <f>IF(CALC_EEM!$B90="","",CALC_EEM!S90)</f>
      </c>
      <c r="T100">
        <f>IF(CALC_EEM!$B90="","",CALC_EEM!T90)</f>
      </c>
      <c r="U100">
        <f>IF(CALC_EEM!$B90="","",CALC_EEM!U90)</f>
      </c>
    </row>
    <row r="101" spans="1:24">
      <c r="A101" t="str">
        <f>IF(CALC_EEM!$B91="","",IF(CALC_EEM!A91="GLOBAL","GLOBAL",IF(CALC_EEM!C91="Total","CURSO_TOTAL",IF(CALC_EEM!C91="TotalEsp","CURSO_ESP",IF(CALC_EEM!C91="TotalNoEsp","CURSO_NOESP","CURSO_ASIG")))))</f>
      </c>
      <c r="B101" t="str">
        <f>IF(CALC_EEM!$B91="","",CALC_EEM!A91)</f>
      </c>
      <c r="C101" t="str">
        <f>IF(CALC_EEM!$B91="","",CALC_EEM!B91)</f>
      </c>
      <c r="D101">
        <f>IF(CALC_EEM!$B91="","",CALC_EEM!D91)</f>
      </c>
      <c r="E101" s="14" t="str">
        <f>IF(CALC_EEM!$B91="","",CALC_EEM!E91)</f>
      </c>
      <c r="F101" s="14" t="str">
        <f>IF(CALC_EEM!$B91="","",CALC_EEM!F91)</f>
      </c>
      <c r="G101" t="str">
        <f>IF(CALC_EEM!$B91="","",CALC_EEM!G91)</f>
      </c>
      <c r="H101" s="16" t="str">
        <f>IF(CALC_EEM!$B91="","",CALC_EEM!H91)</f>
      </c>
      <c r="I101" s="16" t="str">
        <f>IF(CALC_EEM!$B91="","",CALC_EEM!I91)</f>
      </c>
      <c r="J101" t="str">
        <f>IF(CALC_EEM!$B91="","",CALC_EEM!J91)</f>
      </c>
      <c r="K101" t="str">
        <f>IF(CALC_EEM!$B91="","",CALC_EEM!K91)</f>
      </c>
      <c r="L101">
        <f>IF(CALC_EEM!$B91="","",CALC_EEM!L91)</f>
      </c>
      <c r="M101">
        <f>IF(CALC_EEM!$B91="","",CALC_EEM!M91)</f>
      </c>
      <c r="N101">
        <f>IF(CALC_EEM!$B91="","",CALC_EEM!N91)</f>
      </c>
      <c r="O101">
        <f>IF(CALC_EEM!$B91="","",CALC_EEM!O91)</f>
      </c>
      <c r="P101">
        <f>IF(CALC_EEM!$B91="","",CALC_EEM!P91)</f>
      </c>
      <c r="Q101">
        <f>IF(CALC_EEM!$B91="","",CALC_EEM!Q91)</f>
      </c>
      <c r="R101">
        <f>IF(CALC_EEM!$B91="","",CALC_EEM!R91)</f>
      </c>
      <c r="S101">
        <f>IF(CALC_EEM!$B91="","",CALC_EEM!S91)</f>
      </c>
      <c r="T101">
        <f>IF(CALC_EEM!$B91="","",CALC_EEM!T91)</f>
      </c>
      <c r="U101">
        <f>IF(CALC_EEM!$B91="","",CALC_EEM!U91)</f>
      </c>
    </row>
    <row r="102" spans="1:24">
      <c r="A102" t="str">
        <f>IF(CALC_EEM!$B92="","",IF(CALC_EEM!A92="GLOBAL","GLOBAL",IF(CALC_EEM!C92="Total","CURSO_TOTAL",IF(CALC_EEM!C92="TotalEsp","CURSO_ESP",IF(CALC_EEM!C92="TotalNoEsp","CURSO_NOESP","CURSO_ASIG")))))</f>
      </c>
      <c r="B102" t="str">
        <f>IF(CALC_EEM!$B92="","",CALC_EEM!A92)</f>
      </c>
      <c r="C102" t="str">
        <f>IF(CALC_EEM!$B92="","",CALC_EEM!B92)</f>
      </c>
      <c r="D102">
        <f>IF(CALC_EEM!$B92="","",CALC_EEM!D92)</f>
      </c>
      <c r="E102" s="14" t="str">
        <f>IF(CALC_EEM!$B92="","",CALC_EEM!E92)</f>
      </c>
      <c r="F102" s="14" t="str">
        <f>IF(CALC_EEM!$B92="","",CALC_EEM!F92)</f>
      </c>
      <c r="G102" t="str">
        <f>IF(CALC_EEM!$B92="","",CALC_EEM!G92)</f>
      </c>
      <c r="H102" s="16" t="str">
        <f>IF(CALC_EEM!$B92="","",CALC_EEM!H92)</f>
      </c>
      <c r="I102" s="16" t="str">
        <f>IF(CALC_EEM!$B92="","",CALC_EEM!I92)</f>
      </c>
      <c r="J102" t="str">
        <f>IF(CALC_EEM!$B92="","",CALC_EEM!J92)</f>
      </c>
      <c r="K102" t="str">
        <f>IF(CALC_EEM!$B92="","",CALC_EEM!K92)</f>
      </c>
      <c r="L102">
        <f>IF(CALC_EEM!$B92="","",CALC_EEM!L92)</f>
      </c>
      <c r="M102">
        <f>IF(CALC_EEM!$B92="","",CALC_EEM!M92)</f>
      </c>
      <c r="N102">
        <f>IF(CALC_EEM!$B92="","",CALC_EEM!N92)</f>
      </c>
      <c r="O102">
        <f>IF(CALC_EEM!$B92="","",CALC_EEM!O92)</f>
      </c>
      <c r="P102">
        <f>IF(CALC_EEM!$B92="","",CALC_EEM!P92)</f>
      </c>
      <c r="Q102">
        <f>IF(CALC_EEM!$B92="","",CALC_EEM!Q92)</f>
      </c>
      <c r="R102">
        <f>IF(CALC_EEM!$B92="","",CALC_EEM!R92)</f>
      </c>
      <c r="S102">
        <f>IF(CALC_EEM!$B92="","",CALC_EEM!S92)</f>
      </c>
      <c r="T102">
        <f>IF(CALC_EEM!$B92="","",CALC_EEM!T92)</f>
      </c>
      <c r="U102">
        <f>IF(CALC_EEM!$B92="","",CALC_EEM!U92)</f>
      </c>
    </row>
    <row r="103" spans="1:24">
      <c r="A103" t="str">
        <f>IF(CALC_EEM!$B93="","",IF(CALC_EEM!A93="GLOBAL","GLOBAL",IF(CALC_EEM!C93="Total","CURSO_TOTAL",IF(CALC_EEM!C93="TotalEsp","CURSO_ESP",IF(CALC_EEM!C93="TotalNoEsp","CURSO_NOESP","CURSO_ASIG")))))</f>
      </c>
      <c r="B103" t="str">
        <f>IF(CALC_EEM!$B93="","",CALC_EEM!A93)</f>
      </c>
      <c r="C103" t="str">
        <f>IF(CALC_EEM!$B93="","",CALC_EEM!B93)</f>
      </c>
      <c r="D103">
        <f>IF(CALC_EEM!$B93="","",CALC_EEM!D93)</f>
      </c>
      <c r="E103" s="14" t="str">
        <f>IF(CALC_EEM!$B93="","",CALC_EEM!E93)</f>
      </c>
      <c r="F103" s="14" t="str">
        <f>IF(CALC_EEM!$B93="","",CALC_EEM!F93)</f>
      </c>
      <c r="G103" t="str">
        <f>IF(CALC_EEM!$B93="","",CALC_EEM!G93)</f>
      </c>
      <c r="H103" s="16" t="str">
        <f>IF(CALC_EEM!$B93="","",CALC_EEM!H93)</f>
      </c>
      <c r="I103" s="16" t="str">
        <f>IF(CALC_EEM!$B93="","",CALC_EEM!I93)</f>
      </c>
      <c r="J103" t="str">
        <f>IF(CALC_EEM!$B93="","",CALC_EEM!J93)</f>
      </c>
      <c r="K103" t="str">
        <f>IF(CALC_EEM!$B93="","",CALC_EEM!K93)</f>
      </c>
      <c r="L103">
        <f>IF(CALC_EEM!$B93="","",CALC_EEM!L93)</f>
      </c>
      <c r="M103">
        <f>IF(CALC_EEM!$B93="","",CALC_EEM!M93)</f>
      </c>
      <c r="N103">
        <f>IF(CALC_EEM!$B93="","",CALC_EEM!N93)</f>
      </c>
      <c r="O103">
        <f>IF(CALC_EEM!$B93="","",CALC_EEM!O93)</f>
      </c>
      <c r="P103">
        <f>IF(CALC_EEM!$B93="","",CALC_EEM!P93)</f>
      </c>
      <c r="Q103">
        <f>IF(CALC_EEM!$B93="","",CALC_EEM!Q93)</f>
      </c>
      <c r="R103">
        <f>IF(CALC_EEM!$B93="","",CALC_EEM!R93)</f>
      </c>
      <c r="S103">
        <f>IF(CALC_EEM!$B93="","",CALC_EEM!S93)</f>
      </c>
      <c r="T103">
        <f>IF(CALC_EEM!$B93="","",CALC_EEM!T93)</f>
      </c>
      <c r="U103">
        <f>IF(CALC_EEM!$B93="","",CALC_EEM!U93)</f>
      </c>
    </row>
    <row r="104" spans="1:24">
      <c r="A104" t="str">
        <f>IF(CALC_EEM!$B94="","",IF(CALC_EEM!A94="GLOBAL","GLOBAL",IF(CALC_EEM!C94="Total","CURSO_TOTAL",IF(CALC_EEM!C94="TotalEsp","CURSO_ESP",IF(CALC_EEM!C94="TotalNoEsp","CURSO_NOESP","CURSO_ASIG")))))</f>
      </c>
      <c r="B104" t="str">
        <f>IF(CALC_EEM!$B94="","",CALC_EEM!A94)</f>
      </c>
      <c r="C104" t="str">
        <f>IF(CALC_EEM!$B94="","",CALC_EEM!B94)</f>
      </c>
      <c r="D104">
        <f>IF(CALC_EEM!$B94="","",CALC_EEM!D94)</f>
      </c>
      <c r="E104" s="14" t="str">
        <f>IF(CALC_EEM!$B94="","",CALC_EEM!E94)</f>
      </c>
      <c r="F104" s="14" t="str">
        <f>IF(CALC_EEM!$B94="","",CALC_EEM!F94)</f>
      </c>
      <c r="G104" t="str">
        <f>IF(CALC_EEM!$B94="","",CALC_EEM!G94)</f>
      </c>
      <c r="H104" s="16" t="str">
        <f>IF(CALC_EEM!$B94="","",CALC_EEM!H94)</f>
      </c>
      <c r="I104" s="16" t="str">
        <f>IF(CALC_EEM!$B94="","",CALC_EEM!I94)</f>
      </c>
      <c r="J104" t="str">
        <f>IF(CALC_EEM!$B94="","",CALC_EEM!J94)</f>
      </c>
      <c r="K104" t="str">
        <f>IF(CALC_EEM!$B94="","",CALC_EEM!K94)</f>
      </c>
      <c r="L104">
        <f>IF(CALC_EEM!$B94="","",CALC_EEM!L94)</f>
      </c>
      <c r="M104">
        <f>IF(CALC_EEM!$B94="","",CALC_EEM!M94)</f>
      </c>
      <c r="N104">
        <f>IF(CALC_EEM!$B94="","",CALC_EEM!N94)</f>
      </c>
      <c r="O104">
        <f>IF(CALC_EEM!$B94="","",CALC_EEM!O94)</f>
      </c>
      <c r="P104">
        <f>IF(CALC_EEM!$B94="","",CALC_EEM!P94)</f>
      </c>
      <c r="Q104">
        <f>IF(CALC_EEM!$B94="","",CALC_EEM!Q94)</f>
      </c>
      <c r="R104">
        <f>IF(CALC_EEM!$B94="","",CALC_EEM!R94)</f>
      </c>
      <c r="S104">
        <f>IF(CALC_EEM!$B94="","",CALC_EEM!S94)</f>
      </c>
      <c r="T104">
        <f>IF(CALC_EEM!$B94="","",CALC_EEM!T94)</f>
      </c>
      <c r="U104">
        <f>IF(CALC_EEM!$B94="","",CALC_EEM!U94)</f>
      </c>
    </row>
    <row r="105" spans="1:24">
      <c r="A105" t="str">
        <f>IF(CALC_EEM!$B95="","",IF(CALC_EEM!A95="GLOBAL","GLOBAL",IF(CALC_EEM!C95="Total","CURSO_TOTAL",IF(CALC_EEM!C95="TotalEsp","CURSO_ESP",IF(CALC_EEM!C95="TotalNoEsp","CURSO_NOESP","CURSO_ASIG")))))</f>
      </c>
      <c r="B105" t="str">
        <f>IF(CALC_EEM!$B95="","",CALC_EEM!A95)</f>
      </c>
      <c r="C105" t="str">
        <f>IF(CALC_EEM!$B95="","",CALC_EEM!B95)</f>
      </c>
      <c r="D105">
        <f>IF(CALC_EEM!$B95="","",CALC_EEM!D95)</f>
      </c>
      <c r="E105" s="14" t="str">
        <f>IF(CALC_EEM!$B95="","",CALC_EEM!E95)</f>
      </c>
      <c r="F105" s="14" t="str">
        <f>IF(CALC_EEM!$B95="","",CALC_EEM!F95)</f>
      </c>
      <c r="G105" t="str">
        <f>IF(CALC_EEM!$B95="","",CALC_EEM!G95)</f>
      </c>
      <c r="H105" s="16" t="str">
        <f>IF(CALC_EEM!$B95="","",CALC_EEM!H95)</f>
      </c>
      <c r="I105" s="16" t="str">
        <f>IF(CALC_EEM!$B95="","",CALC_EEM!I95)</f>
      </c>
      <c r="J105" t="str">
        <f>IF(CALC_EEM!$B95="","",CALC_EEM!J95)</f>
      </c>
      <c r="K105" t="str">
        <f>IF(CALC_EEM!$B95="","",CALC_EEM!K95)</f>
      </c>
      <c r="L105">
        <f>IF(CALC_EEM!$B95="","",CALC_EEM!L95)</f>
      </c>
      <c r="M105">
        <f>IF(CALC_EEM!$B95="","",CALC_EEM!M95)</f>
      </c>
      <c r="N105">
        <f>IF(CALC_EEM!$B95="","",CALC_EEM!N95)</f>
      </c>
      <c r="O105">
        <f>IF(CALC_EEM!$B95="","",CALC_EEM!O95)</f>
      </c>
      <c r="P105">
        <f>IF(CALC_EEM!$B95="","",CALC_EEM!P95)</f>
      </c>
      <c r="Q105">
        <f>IF(CALC_EEM!$B95="","",CALC_EEM!Q95)</f>
      </c>
      <c r="R105">
        <f>IF(CALC_EEM!$B95="","",CALC_EEM!R95)</f>
      </c>
      <c r="S105">
        <f>IF(CALC_EEM!$B95="","",CALC_EEM!S95)</f>
      </c>
      <c r="T105">
        <f>IF(CALC_EEM!$B95="","",CALC_EEM!T95)</f>
      </c>
      <c r="U105">
        <f>IF(CALC_EEM!$B95="","",CALC_EEM!U95)</f>
      </c>
    </row>
    <row r="106" spans="1:24">
      <c r="A106" t="str">
        <f>IF(CALC_EEM!$B96="","",IF(CALC_EEM!A96="GLOBAL","GLOBAL",IF(CALC_EEM!C96="Total","CURSO_TOTAL",IF(CALC_EEM!C96="TotalEsp","CURSO_ESP",IF(CALC_EEM!C96="TotalNoEsp","CURSO_NOESP","CURSO_ASIG")))))</f>
      </c>
      <c r="B106" t="str">
        <f>IF(CALC_EEM!$B96="","",CALC_EEM!A96)</f>
      </c>
      <c r="C106" t="str">
        <f>IF(CALC_EEM!$B96="","",CALC_EEM!B96)</f>
      </c>
      <c r="D106">
        <f>IF(CALC_EEM!$B96="","",CALC_EEM!D96)</f>
      </c>
      <c r="E106" s="14" t="str">
        <f>IF(CALC_EEM!$B96="","",CALC_EEM!E96)</f>
      </c>
      <c r="F106" s="14" t="str">
        <f>IF(CALC_EEM!$B96="","",CALC_EEM!F96)</f>
      </c>
      <c r="G106" t="str">
        <f>IF(CALC_EEM!$B96="","",CALC_EEM!G96)</f>
      </c>
      <c r="H106" s="16" t="str">
        <f>IF(CALC_EEM!$B96="","",CALC_EEM!H96)</f>
      </c>
      <c r="I106" s="16" t="str">
        <f>IF(CALC_EEM!$B96="","",CALC_EEM!I96)</f>
      </c>
      <c r="J106" t="str">
        <f>IF(CALC_EEM!$B96="","",CALC_EEM!J96)</f>
      </c>
      <c r="K106" t="str">
        <f>IF(CALC_EEM!$B96="","",CALC_EEM!K96)</f>
      </c>
      <c r="L106">
        <f>IF(CALC_EEM!$B96="","",CALC_EEM!L96)</f>
      </c>
      <c r="M106">
        <f>IF(CALC_EEM!$B96="","",CALC_EEM!M96)</f>
      </c>
      <c r="N106">
        <f>IF(CALC_EEM!$B96="","",CALC_EEM!N96)</f>
      </c>
      <c r="O106">
        <f>IF(CALC_EEM!$B96="","",CALC_EEM!O96)</f>
      </c>
      <c r="P106">
        <f>IF(CALC_EEM!$B96="","",CALC_EEM!P96)</f>
      </c>
      <c r="Q106">
        <f>IF(CALC_EEM!$B96="","",CALC_EEM!Q96)</f>
      </c>
      <c r="R106">
        <f>IF(CALC_EEM!$B96="","",CALC_EEM!R96)</f>
      </c>
      <c r="S106">
        <f>IF(CALC_EEM!$B96="","",CALC_EEM!S96)</f>
      </c>
      <c r="T106">
        <f>IF(CALC_EEM!$B96="","",CALC_EEM!T96)</f>
      </c>
      <c r="U106">
        <f>IF(CALC_EEM!$B96="","",CALC_EEM!U96)</f>
      </c>
    </row>
    <row r="107" spans="1:24">
      <c r="A107" t="str">
        <f>IF(CALC_EEM!$B97="","",IF(CALC_EEM!A97="GLOBAL","GLOBAL",IF(CALC_EEM!C97="Total","CURSO_TOTAL",IF(CALC_EEM!C97="TotalEsp","CURSO_ESP",IF(CALC_EEM!C97="TotalNoEsp","CURSO_NOESP","CURSO_ASIG")))))</f>
      </c>
      <c r="B107" t="str">
        <f>IF(CALC_EEM!$B97="","",CALC_EEM!A97)</f>
      </c>
      <c r="C107" t="str">
        <f>IF(CALC_EEM!$B97="","",CALC_EEM!B97)</f>
      </c>
      <c r="D107">
        <f>IF(CALC_EEM!$B97="","",CALC_EEM!D97)</f>
      </c>
      <c r="E107" s="14" t="str">
        <f>IF(CALC_EEM!$B97="","",CALC_EEM!E97)</f>
      </c>
      <c r="F107" s="14" t="str">
        <f>IF(CALC_EEM!$B97="","",CALC_EEM!F97)</f>
      </c>
      <c r="G107" t="str">
        <f>IF(CALC_EEM!$B97="","",CALC_EEM!G97)</f>
      </c>
      <c r="H107" s="16" t="str">
        <f>IF(CALC_EEM!$B97="","",CALC_EEM!H97)</f>
      </c>
      <c r="I107" s="16" t="str">
        <f>IF(CALC_EEM!$B97="","",CALC_EEM!I97)</f>
      </c>
      <c r="J107" t="str">
        <f>IF(CALC_EEM!$B97="","",CALC_EEM!J97)</f>
      </c>
      <c r="K107" t="str">
        <f>IF(CALC_EEM!$B97="","",CALC_EEM!K97)</f>
      </c>
      <c r="L107">
        <f>IF(CALC_EEM!$B97="","",CALC_EEM!L97)</f>
      </c>
      <c r="M107">
        <f>IF(CALC_EEM!$B97="","",CALC_EEM!M97)</f>
      </c>
      <c r="N107">
        <f>IF(CALC_EEM!$B97="","",CALC_EEM!N97)</f>
      </c>
      <c r="O107">
        <f>IF(CALC_EEM!$B97="","",CALC_EEM!O97)</f>
      </c>
      <c r="P107">
        <f>IF(CALC_EEM!$B97="","",CALC_EEM!P97)</f>
      </c>
      <c r="Q107">
        <f>IF(CALC_EEM!$B97="","",CALC_EEM!Q97)</f>
      </c>
      <c r="R107">
        <f>IF(CALC_EEM!$B97="","",CALC_EEM!R97)</f>
      </c>
      <c r="S107">
        <f>IF(CALC_EEM!$B97="","",CALC_EEM!S97)</f>
      </c>
      <c r="T107">
        <f>IF(CALC_EEM!$B97="","",CALC_EEM!T97)</f>
      </c>
      <c r="U107">
        <f>IF(CALC_EEM!$B97="","",CALC_EEM!U97)</f>
      </c>
    </row>
    <row r="108" spans="1:24">
      <c r="A108" t="str">
        <f>IF(CALC_EEM!$B98="","",IF(CALC_EEM!A98="GLOBAL","GLOBAL",IF(CALC_EEM!C98="Total","CURSO_TOTAL",IF(CALC_EEM!C98="TotalEsp","CURSO_ESP",IF(CALC_EEM!C98="TotalNoEsp","CURSO_NOESP","CURSO_ASIG")))))</f>
      </c>
      <c r="B108" t="str">
        <f>IF(CALC_EEM!$B98="","",CALC_EEM!A98)</f>
      </c>
      <c r="C108" t="str">
        <f>IF(CALC_EEM!$B98="","",CALC_EEM!B98)</f>
      </c>
      <c r="D108">
        <f>IF(CALC_EEM!$B98="","",CALC_EEM!D98)</f>
      </c>
      <c r="E108" s="14" t="str">
        <f>IF(CALC_EEM!$B98="","",CALC_EEM!E98)</f>
      </c>
      <c r="F108" s="14" t="str">
        <f>IF(CALC_EEM!$B98="","",CALC_EEM!F98)</f>
      </c>
      <c r="G108" t="str">
        <f>IF(CALC_EEM!$B98="","",CALC_EEM!G98)</f>
      </c>
      <c r="H108" s="16" t="str">
        <f>IF(CALC_EEM!$B98="","",CALC_EEM!H98)</f>
      </c>
      <c r="I108" s="16" t="str">
        <f>IF(CALC_EEM!$B98="","",CALC_EEM!I98)</f>
      </c>
      <c r="J108" t="str">
        <f>IF(CALC_EEM!$B98="","",CALC_EEM!J98)</f>
      </c>
      <c r="K108" t="str">
        <f>IF(CALC_EEM!$B98="","",CALC_EEM!K98)</f>
      </c>
      <c r="L108">
        <f>IF(CALC_EEM!$B98="","",CALC_EEM!L98)</f>
      </c>
      <c r="M108">
        <f>IF(CALC_EEM!$B98="","",CALC_EEM!M98)</f>
      </c>
      <c r="N108">
        <f>IF(CALC_EEM!$B98="","",CALC_EEM!N98)</f>
      </c>
      <c r="O108">
        <f>IF(CALC_EEM!$B98="","",CALC_EEM!O98)</f>
      </c>
      <c r="P108">
        <f>IF(CALC_EEM!$B98="","",CALC_EEM!P98)</f>
      </c>
      <c r="Q108">
        <f>IF(CALC_EEM!$B98="","",CALC_EEM!Q98)</f>
      </c>
      <c r="R108">
        <f>IF(CALC_EEM!$B98="","",CALC_EEM!R98)</f>
      </c>
      <c r="S108">
        <f>IF(CALC_EEM!$B98="","",CALC_EEM!S98)</f>
      </c>
      <c r="T108">
        <f>IF(CALC_EEM!$B98="","",CALC_EEM!T98)</f>
      </c>
      <c r="U108">
        <f>IF(CALC_EEM!$B98="","",CALC_EEM!U98)</f>
      </c>
    </row>
    <row r="109" spans="1:24">
      <c r="A109" t="str">
        <f>IF(CALC_EEM!$B99="","",IF(CALC_EEM!A99="GLOBAL","GLOBAL",IF(CALC_EEM!C99="Total","CURSO_TOTAL",IF(CALC_EEM!C99="TotalEsp","CURSO_ESP",IF(CALC_EEM!C99="TotalNoEsp","CURSO_NOESP","CURSO_ASIG")))))</f>
      </c>
      <c r="B109" t="str">
        <f>IF(CALC_EEM!$B99="","",CALC_EEM!A99)</f>
      </c>
      <c r="C109" t="str">
        <f>IF(CALC_EEM!$B99="","",CALC_EEM!B99)</f>
      </c>
      <c r="D109">
        <f>IF(CALC_EEM!$B99="","",CALC_EEM!D99)</f>
      </c>
      <c r="E109" s="14" t="str">
        <f>IF(CALC_EEM!$B99="","",CALC_EEM!E99)</f>
      </c>
      <c r="F109" s="14" t="str">
        <f>IF(CALC_EEM!$B99="","",CALC_EEM!F99)</f>
      </c>
      <c r="G109" t="str">
        <f>IF(CALC_EEM!$B99="","",CALC_EEM!G99)</f>
      </c>
      <c r="H109" s="16" t="str">
        <f>IF(CALC_EEM!$B99="","",CALC_EEM!H99)</f>
      </c>
      <c r="I109" s="16" t="str">
        <f>IF(CALC_EEM!$B99="","",CALC_EEM!I99)</f>
      </c>
      <c r="J109" t="str">
        <f>IF(CALC_EEM!$B99="","",CALC_EEM!J99)</f>
      </c>
      <c r="K109" t="str">
        <f>IF(CALC_EEM!$B99="","",CALC_EEM!K99)</f>
      </c>
      <c r="L109">
        <f>IF(CALC_EEM!$B99="","",CALC_EEM!L99)</f>
      </c>
      <c r="M109">
        <f>IF(CALC_EEM!$B99="","",CALC_EEM!M99)</f>
      </c>
      <c r="N109">
        <f>IF(CALC_EEM!$B99="","",CALC_EEM!N99)</f>
      </c>
      <c r="O109">
        <f>IF(CALC_EEM!$B99="","",CALC_EEM!O99)</f>
      </c>
      <c r="P109">
        <f>IF(CALC_EEM!$B99="","",CALC_EEM!P99)</f>
      </c>
      <c r="Q109">
        <f>IF(CALC_EEM!$B99="","",CALC_EEM!Q99)</f>
      </c>
      <c r="R109">
        <f>IF(CALC_EEM!$B99="","",CALC_EEM!R99)</f>
      </c>
      <c r="S109">
        <f>IF(CALC_EEM!$B99="","",CALC_EEM!S99)</f>
      </c>
      <c r="T109">
        <f>IF(CALC_EEM!$B99="","",CALC_EEM!T99)</f>
      </c>
      <c r="U109">
        <f>IF(CALC_EEM!$B99="","",CALC_EEM!U99)</f>
      </c>
    </row>
    <row r="110" spans="1:24">
      <c r="A110" t="str">
        <f>IF(CALC_EEM!$B100="","",IF(CALC_EEM!A100="GLOBAL","GLOBAL",IF(CALC_EEM!C100="Total","CURSO_TOTAL",IF(CALC_EEM!C100="TotalEsp","CURSO_ESP",IF(CALC_EEM!C100="TotalNoEsp","CURSO_NOESP","CURSO_ASIG")))))</f>
      </c>
      <c r="B110" t="str">
        <f>IF(CALC_EEM!$B100="","",CALC_EEM!A100)</f>
      </c>
      <c r="C110" t="str">
        <f>IF(CALC_EEM!$B100="","",CALC_EEM!B100)</f>
      </c>
      <c r="D110">
        <f>IF(CALC_EEM!$B100="","",CALC_EEM!D100)</f>
      </c>
      <c r="E110" s="14" t="str">
        <f>IF(CALC_EEM!$B100="","",CALC_EEM!E100)</f>
      </c>
      <c r="F110" s="14" t="str">
        <f>IF(CALC_EEM!$B100="","",CALC_EEM!F100)</f>
      </c>
      <c r="G110" t="str">
        <f>IF(CALC_EEM!$B100="","",CALC_EEM!G100)</f>
      </c>
      <c r="H110" s="16" t="str">
        <f>IF(CALC_EEM!$B100="","",CALC_EEM!H100)</f>
      </c>
      <c r="I110" s="16" t="str">
        <f>IF(CALC_EEM!$B100="","",CALC_EEM!I100)</f>
      </c>
      <c r="J110" t="str">
        <f>IF(CALC_EEM!$B100="","",CALC_EEM!J100)</f>
      </c>
      <c r="K110" t="str">
        <f>IF(CALC_EEM!$B100="","",CALC_EEM!K100)</f>
      </c>
      <c r="L110">
        <f>IF(CALC_EEM!$B100="","",CALC_EEM!L100)</f>
      </c>
      <c r="M110">
        <f>IF(CALC_EEM!$B100="","",CALC_EEM!M100)</f>
      </c>
      <c r="N110">
        <f>IF(CALC_EEM!$B100="","",CALC_EEM!N100)</f>
      </c>
      <c r="O110">
        <f>IF(CALC_EEM!$B100="","",CALC_EEM!O100)</f>
      </c>
      <c r="P110">
        <f>IF(CALC_EEM!$B100="","",CALC_EEM!P100)</f>
      </c>
      <c r="Q110">
        <f>IF(CALC_EEM!$B100="","",CALC_EEM!Q100)</f>
      </c>
      <c r="R110">
        <f>IF(CALC_EEM!$B100="","",CALC_EEM!R100)</f>
      </c>
      <c r="S110">
        <f>IF(CALC_EEM!$B100="","",CALC_EEM!S100)</f>
      </c>
      <c r="T110">
        <f>IF(CALC_EEM!$B100="","",CALC_EEM!T100)</f>
      </c>
      <c r="U110">
        <f>IF(CALC_EEM!$B100="","",CALC_EEM!U100)</f>
      </c>
    </row>
    <row r="111" spans="1:24">
      <c r="A111" t="str">
        <f>IF(CALC_EEM!$B101="","",IF(CALC_EEM!A101="GLOBAL","GLOBAL",IF(CALC_EEM!C101="Total","CURSO_TOTAL",IF(CALC_EEM!C101="TotalEsp","CURSO_ESP",IF(CALC_EEM!C101="TotalNoEsp","CURSO_NOESP","CURSO_ASIG")))))</f>
      </c>
      <c r="B111" t="str">
        <f>IF(CALC_EEM!$B101="","",CALC_EEM!A101)</f>
      </c>
      <c r="C111" t="str">
        <f>IF(CALC_EEM!$B101="","",CALC_EEM!B101)</f>
      </c>
      <c r="D111">
        <f>IF(CALC_EEM!$B101="","",CALC_EEM!D101)</f>
      </c>
      <c r="E111" s="14" t="str">
        <f>IF(CALC_EEM!$B101="","",CALC_EEM!E101)</f>
      </c>
      <c r="F111" s="14" t="str">
        <f>IF(CALC_EEM!$B101="","",CALC_EEM!F101)</f>
      </c>
      <c r="G111" t="str">
        <f>IF(CALC_EEM!$B101="","",CALC_EEM!G101)</f>
      </c>
      <c r="H111" s="16" t="str">
        <f>IF(CALC_EEM!$B101="","",CALC_EEM!H101)</f>
      </c>
      <c r="I111" s="16" t="str">
        <f>IF(CALC_EEM!$B101="","",CALC_EEM!I101)</f>
      </c>
      <c r="J111" t="str">
        <f>IF(CALC_EEM!$B101="","",CALC_EEM!J101)</f>
      </c>
      <c r="K111" t="str">
        <f>IF(CALC_EEM!$B101="","",CALC_EEM!K101)</f>
      </c>
      <c r="L111">
        <f>IF(CALC_EEM!$B101="","",CALC_EEM!L101)</f>
      </c>
      <c r="M111">
        <f>IF(CALC_EEM!$B101="","",CALC_EEM!M101)</f>
      </c>
      <c r="N111">
        <f>IF(CALC_EEM!$B101="","",CALC_EEM!N101)</f>
      </c>
      <c r="O111">
        <f>IF(CALC_EEM!$B101="","",CALC_EEM!O101)</f>
      </c>
      <c r="P111">
        <f>IF(CALC_EEM!$B101="","",CALC_EEM!P101)</f>
      </c>
      <c r="Q111">
        <f>IF(CALC_EEM!$B101="","",CALC_EEM!Q101)</f>
      </c>
      <c r="R111">
        <f>IF(CALC_EEM!$B101="","",CALC_EEM!R101)</f>
      </c>
      <c r="S111">
        <f>IF(CALC_EEM!$B101="","",CALC_EEM!S101)</f>
      </c>
      <c r="T111">
        <f>IF(CALC_EEM!$B101="","",CALC_EEM!T101)</f>
      </c>
      <c r="U111">
        <f>IF(CALC_EEM!$B101="","",CALC_EEM!U101)</f>
      </c>
    </row>
    <row r="112" spans="1:24">
      <c r="A112" t="str">
        <f>IF(CALC_EEM!$B102="","",IF(CALC_EEM!A102="GLOBAL","GLOBAL",IF(CALC_EEM!C102="Total","CURSO_TOTAL",IF(CALC_EEM!C102="TotalEsp","CURSO_ESP",IF(CALC_EEM!C102="TotalNoEsp","CURSO_NOESP","CURSO_ASIG")))))</f>
      </c>
      <c r="B112" t="str">
        <f>IF(CALC_EEM!$B102="","",CALC_EEM!A102)</f>
      </c>
      <c r="C112" t="str">
        <f>IF(CALC_EEM!$B102="","",CALC_EEM!B102)</f>
      </c>
      <c r="D112">
        <f>IF(CALC_EEM!$B102="","",CALC_EEM!D102)</f>
      </c>
      <c r="E112" s="14" t="str">
        <f>IF(CALC_EEM!$B102="","",CALC_EEM!E102)</f>
      </c>
      <c r="F112" s="14" t="str">
        <f>IF(CALC_EEM!$B102="","",CALC_EEM!F102)</f>
      </c>
      <c r="G112" t="str">
        <f>IF(CALC_EEM!$B102="","",CALC_EEM!G102)</f>
      </c>
      <c r="H112" s="16" t="str">
        <f>IF(CALC_EEM!$B102="","",CALC_EEM!H102)</f>
      </c>
      <c r="I112" s="16" t="str">
        <f>IF(CALC_EEM!$B102="","",CALC_EEM!I102)</f>
      </c>
      <c r="J112" t="str">
        <f>IF(CALC_EEM!$B102="","",CALC_EEM!J102)</f>
      </c>
      <c r="K112" t="str">
        <f>IF(CALC_EEM!$B102="","",CALC_EEM!K102)</f>
      </c>
      <c r="L112">
        <f>IF(CALC_EEM!$B102="","",CALC_EEM!L102)</f>
      </c>
      <c r="M112">
        <f>IF(CALC_EEM!$B102="","",CALC_EEM!M102)</f>
      </c>
      <c r="N112">
        <f>IF(CALC_EEM!$B102="","",CALC_EEM!N102)</f>
      </c>
      <c r="O112">
        <f>IF(CALC_EEM!$B102="","",CALC_EEM!O102)</f>
      </c>
      <c r="P112">
        <f>IF(CALC_EEM!$B102="","",CALC_EEM!P102)</f>
      </c>
      <c r="Q112">
        <f>IF(CALC_EEM!$B102="","",CALC_EEM!Q102)</f>
      </c>
      <c r="R112">
        <f>IF(CALC_EEM!$B102="","",CALC_EEM!R102)</f>
      </c>
      <c r="S112">
        <f>IF(CALC_EEM!$B102="","",CALC_EEM!S102)</f>
      </c>
      <c r="T112">
        <f>IF(CALC_EEM!$B102="","",CALC_EEM!T102)</f>
      </c>
      <c r="U112">
        <f>IF(CALC_EEM!$B102="","",CALC_EEM!U102)</f>
      </c>
    </row>
    <row r="113" spans="1:24">
      <c r="A113" t="str">
        <f>IF(CALC_EEM!$B103="","",IF(CALC_EEM!A103="GLOBAL","GLOBAL",IF(CALC_EEM!C103="Total","CURSO_TOTAL",IF(CALC_EEM!C103="TotalEsp","CURSO_ESP",IF(CALC_EEM!C103="TotalNoEsp","CURSO_NOESP","CURSO_ASIG")))))</f>
      </c>
      <c r="B113" t="str">
        <f>IF(CALC_EEM!$B103="","",CALC_EEM!A103)</f>
      </c>
      <c r="C113" t="str">
        <f>IF(CALC_EEM!$B103="","",CALC_EEM!B103)</f>
      </c>
      <c r="D113">
        <f>IF(CALC_EEM!$B103="","",CALC_EEM!D103)</f>
      </c>
      <c r="E113" s="14" t="str">
        <f>IF(CALC_EEM!$B103="","",CALC_EEM!E103)</f>
      </c>
      <c r="F113" s="14" t="str">
        <f>IF(CALC_EEM!$B103="","",CALC_EEM!F103)</f>
      </c>
      <c r="G113" t="str">
        <f>IF(CALC_EEM!$B103="","",CALC_EEM!G103)</f>
      </c>
      <c r="H113" s="16" t="str">
        <f>IF(CALC_EEM!$B103="","",CALC_EEM!H103)</f>
      </c>
      <c r="I113" s="16" t="str">
        <f>IF(CALC_EEM!$B103="","",CALC_EEM!I103)</f>
      </c>
      <c r="J113" t="str">
        <f>IF(CALC_EEM!$B103="","",CALC_EEM!J103)</f>
      </c>
      <c r="K113" t="str">
        <f>IF(CALC_EEM!$B103="","",CALC_EEM!K103)</f>
      </c>
      <c r="L113">
        <f>IF(CALC_EEM!$B103="","",CALC_EEM!L103)</f>
      </c>
      <c r="M113">
        <f>IF(CALC_EEM!$B103="","",CALC_EEM!M103)</f>
      </c>
      <c r="N113">
        <f>IF(CALC_EEM!$B103="","",CALC_EEM!N103)</f>
      </c>
      <c r="O113">
        <f>IF(CALC_EEM!$B103="","",CALC_EEM!O103)</f>
      </c>
      <c r="P113">
        <f>IF(CALC_EEM!$B103="","",CALC_EEM!P103)</f>
      </c>
      <c r="Q113">
        <f>IF(CALC_EEM!$B103="","",CALC_EEM!Q103)</f>
      </c>
      <c r="R113">
        <f>IF(CALC_EEM!$B103="","",CALC_EEM!R103)</f>
      </c>
      <c r="S113">
        <f>IF(CALC_EEM!$B103="","",CALC_EEM!S103)</f>
      </c>
      <c r="T113">
        <f>IF(CALC_EEM!$B103="","",CALC_EEM!T103)</f>
      </c>
      <c r="U113">
        <f>IF(CALC_EEM!$B103="","",CALC_EEM!U103)</f>
      </c>
    </row>
    <row r="114" spans="1:24">
      <c r="A114" t="str">
        <f>IF(CALC_EEM!$B104="","",IF(CALC_EEM!A104="GLOBAL","GLOBAL",IF(CALC_EEM!C104="Total","CURSO_TOTAL",IF(CALC_EEM!C104="TotalEsp","CURSO_ESP",IF(CALC_EEM!C104="TotalNoEsp","CURSO_NOESP","CURSO_ASIG")))))</f>
      </c>
      <c r="B114" t="str">
        <f>IF(CALC_EEM!$B104="","",CALC_EEM!A104)</f>
      </c>
      <c r="C114" t="str">
        <f>IF(CALC_EEM!$B104="","",CALC_EEM!B104)</f>
      </c>
      <c r="D114">
        <f>IF(CALC_EEM!$B104="","",CALC_EEM!D104)</f>
      </c>
      <c r="E114" s="14" t="str">
        <f>IF(CALC_EEM!$B104="","",CALC_EEM!E104)</f>
      </c>
      <c r="F114" s="14" t="str">
        <f>IF(CALC_EEM!$B104="","",CALC_EEM!F104)</f>
      </c>
      <c r="G114" t="str">
        <f>IF(CALC_EEM!$B104="","",CALC_EEM!G104)</f>
      </c>
      <c r="H114" s="16" t="str">
        <f>IF(CALC_EEM!$B104="","",CALC_EEM!H104)</f>
      </c>
      <c r="I114" s="16" t="str">
        <f>IF(CALC_EEM!$B104="","",CALC_EEM!I104)</f>
      </c>
      <c r="J114" t="str">
        <f>IF(CALC_EEM!$B104="","",CALC_EEM!J104)</f>
      </c>
      <c r="K114" t="str">
        <f>IF(CALC_EEM!$B104="","",CALC_EEM!K104)</f>
      </c>
      <c r="L114">
        <f>IF(CALC_EEM!$B104="","",CALC_EEM!L104)</f>
      </c>
      <c r="M114">
        <f>IF(CALC_EEM!$B104="","",CALC_EEM!M104)</f>
      </c>
      <c r="N114">
        <f>IF(CALC_EEM!$B104="","",CALC_EEM!N104)</f>
      </c>
      <c r="O114">
        <f>IF(CALC_EEM!$B104="","",CALC_EEM!O104)</f>
      </c>
      <c r="P114">
        <f>IF(CALC_EEM!$B104="","",CALC_EEM!P104)</f>
      </c>
      <c r="Q114">
        <f>IF(CALC_EEM!$B104="","",CALC_EEM!Q104)</f>
      </c>
      <c r="R114">
        <f>IF(CALC_EEM!$B104="","",CALC_EEM!R104)</f>
      </c>
      <c r="S114">
        <f>IF(CALC_EEM!$B104="","",CALC_EEM!S104)</f>
      </c>
      <c r="T114">
        <f>IF(CALC_EEM!$B104="","",CALC_EEM!T104)</f>
      </c>
      <c r="U114">
        <f>IF(CALC_EEM!$B104="","",CALC_EEM!U104)</f>
      </c>
    </row>
    <row r="115" spans="1:24">
      <c r="A115" t="str">
        <f>IF(CALC_EEM!$B105="","",IF(CALC_EEM!A105="GLOBAL","GLOBAL",IF(CALC_EEM!C105="Total","CURSO_TOTAL",IF(CALC_EEM!C105="TotalEsp","CURSO_ESP",IF(CALC_EEM!C105="TotalNoEsp","CURSO_NOESP","CURSO_ASIG")))))</f>
      </c>
      <c r="B115" t="str">
        <f>IF(CALC_EEM!$B105="","",CALC_EEM!A105)</f>
      </c>
      <c r="C115" t="str">
        <f>IF(CALC_EEM!$B105="","",CALC_EEM!B105)</f>
      </c>
      <c r="D115">
        <f>IF(CALC_EEM!$B105="","",CALC_EEM!D105)</f>
      </c>
      <c r="E115" s="14" t="str">
        <f>IF(CALC_EEM!$B105="","",CALC_EEM!E105)</f>
      </c>
      <c r="F115" s="14" t="str">
        <f>IF(CALC_EEM!$B105="","",CALC_EEM!F105)</f>
      </c>
      <c r="G115" t="str">
        <f>IF(CALC_EEM!$B105="","",CALC_EEM!G105)</f>
      </c>
      <c r="H115" s="16" t="str">
        <f>IF(CALC_EEM!$B105="","",CALC_EEM!H105)</f>
      </c>
      <c r="I115" s="16" t="str">
        <f>IF(CALC_EEM!$B105="","",CALC_EEM!I105)</f>
      </c>
      <c r="J115" t="str">
        <f>IF(CALC_EEM!$B105="","",CALC_EEM!J105)</f>
      </c>
      <c r="K115" t="str">
        <f>IF(CALC_EEM!$B105="","",CALC_EEM!K105)</f>
      </c>
      <c r="L115">
        <f>IF(CALC_EEM!$B105="","",CALC_EEM!L105)</f>
      </c>
      <c r="M115">
        <f>IF(CALC_EEM!$B105="","",CALC_EEM!M105)</f>
      </c>
      <c r="N115">
        <f>IF(CALC_EEM!$B105="","",CALC_EEM!N105)</f>
      </c>
      <c r="O115">
        <f>IF(CALC_EEM!$B105="","",CALC_EEM!O105)</f>
      </c>
      <c r="P115">
        <f>IF(CALC_EEM!$B105="","",CALC_EEM!P105)</f>
      </c>
      <c r="Q115">
        <f>IF(CALC_EEM!$B105="","",CALC_EEM!Q105)</f>
      </c>
      <c r="R115">
        <f>IF(CALC_EEM!$B105="","",CALC_EEM!R105)</f>
      </c>
      <c r="S115">
        <f>IF(CALC_EEM!$B105="","",CALC_EEM!S105)</f>
      </c>
      <c r="T115">
        <f>IF(CALC_EEM!$B105="","",CALC_EEM!T105)</f>
      </c>
      <c r="U115">
        <f>IF(CALC_EEM!$B105="","",CALC_EEM!U105)</f>
      </c>
    </row>
    <row r="116" spans="1:24">
      <c r="A116" t="str">
        <f>IF(CALC_EEM!$B106="","",IF(CALC_EEM!A106="GLOBAL","GLOBAL",IF(CALC_EEM!C106="Total","CURSO_TOTAL",IF(CALC_EEM!C106="TotalEsp","CURSO_ESP",IF(CALC_EEM!C106="TotalNoEsp","CURSO_NOESP","CURSO_ASIG")))))</f>
      </c>
      <c r="B116" t="str">
        <f>IF(CALC_EEM!$B106="","",CALC_EEM!A106)</f>
      </c>
      <c r="C116" t="str">
        <f>IF(CALC_EEM!$B106="","",CALC_EEM!B106)</f>
      </c>
      <c r="D116">
        <f>IF(CALC_EEM!$B106="","",CALC_EEM!D106)</f>
      </c>
      <c r="E116" s="14" t="str">
        <f>IF(CALC_EEM!$B106="","",CALC_EEM!E106)</f>
      </c>
      <c r="F116" s="14" t="str">
        <f>IF(CALC_EEM!$B106="","",CALC_EEM!F106)</f>
      </c>
      <c r="G116" t="str">
        <f>IF(CALC_EEM!$B106="","",CALC_EEM!G106)</f>
      </c>
      <c r="H116" s="16" t="str">
        <f>IF(CALC_EEM!$B106="","",CALC_EEM!H106)</f>
      </c>
      <c r="I116" s="16" t="str">
        <f>IF(CALC_EEM!$B106="","",CALC_EEM!I106)</f>
      </c>
      <c r="J116" t="str">
        <f>IF(CALC_EEM!$B106="","",CALC_EEM!J106)</f>
      </c>
      <c r="K116" t="str">
        <f>IF(CALC_EEM!$B106="","",CALC_EEM!K106)</f>
      </c>
      <c r="L116">
        <f>IF(CALC_EEM!$B106="","",CALC_EEM!L106)</f>
      </c>
      <c r="M116">
        <f>IF(CALC_EEM!$B106="","",CALC_EEM!M106)</f>
      </c>
      <c r="N116">
        <f>IF(CALC_EEM!$B106="","",CALC_EEM!N106)</f>
      </c>
      <c r="O116">
        <f>IF(CALC_EEM!$B106="","",CALC_EEM!O106)</f>
      </c>
      <c r="P116">
        <f>IF(CALC_EEM!$B106="","",CALC_EEM!P106)</f>
      </c>
      <c r="Q116">
        <f>IF(CALC_EEM!$B106="","",CALC_EEM!Q106)</f>
      </c>
      <c r="R116">
        <f>IF(CALC_EEM!$B106="","",CALC_EEM!R106)</f>
      </c>
      <c r="S116">
        <f>IF(CALC_EEM!$B106="","",CALC_EEM!S106)</f>
      </c>
      <c r="T116">
        <f>IF(CALC_EEM!$B106="","",CALC_EEM!T106)</f>
      </c>
      <c r="U116">
        <f>IF(CALC_EEM!$B106="","",CALC_EEM!U106)</f>
      </c>
    </row>
    <row r="117" spans="1:24">
      <c r="A117" t="str">
        <f>IF(CALC_EEM!$B107="","",IF(CALC_EEM!A107="GLOBAL","GLOBAL",IF(CALC_EEM!C107="Total","CURSO_TOTAL",IF(CALC_EEM!C107="TotalEsp","CURSO_ESP",IF(CALC_EEM!C107="TotalNoEsp","CURSO_NOESP","CURSO_ASIG")))))</f>
      </c>
      <c r="B117" t="str">
        <f>IF(CALC_EEM!$B107="","",CALC_EEM!A107)</f>
      </c>
      <c r="C117" t="str">
        <f>IF(CALC_EEM!$B107="","",CALC_EEM!B107)</f>
      </c>
      <c r="D117">
        <f>IF(CALC_EEM!$B107="","",CALC_EEM!D107)</f>
      </c>
      <c r="E117" s="14" t="str">
        <f>IF(CALC_EEM!$B107="","",CALC_EEM!E107)</f>
      </c>
      <c r="F117" s="14" t="str">
        <f>IF(CALC_EEM!$B107="","",CALC_EEM!F107)</f>
      </c>
      <c r="G117" t="str">
        <f>IF(CALC_EEM!$B107="","",CALC_EEM!G107)</f>
      </c>
      <c r="H117" s="16" t="str">
        <f>IF(CALC_EEM!$B107="","",CALC_EEM!H107)</f>
      </c>
      <c r="I117" s="16" t="str">
        <f>IF(CALC_EEM!$B107="","",CALC_EEM!I107)</f>
      </c>
      <c r="J117" t="str">
        <f>IF(CALC_EEM!$B107="","",CALC_EEM!J107)</f>
      </c>
      <c r="K117" t="str">
        <f>IF(CALC_EEM!$B107="","",CALC_EEM!K107)</f>
      </c>
      <c r="L117">
        <f>IF(CALC_EEM!$B107="","",CALC_EEM!L107)</f>
      </c>
      <c r="M117">
        <f>IF(CALC_EEM!$B107="","",CALC_EEM!M107)</f>
      </c>
      <c r="N117">
        <f>IF(CALC_EEM!$B107="","",CALC_EEM!N107)</f>
      </c>
      <c r="O117">
        <f>IF(CALC_EEM!$B107="","",CALC_EEM!O107)</f>
      </c>
      <c r="P117">
        <f>IF(CALC_EEM!$B107="","",CALC_EEM!P107)</f>
      </c>
      <c r="Q117">
        <f>IF(CALC_EEM!$B107="","",CALC_EEM!Q107)</f>
      </c>
      <c r="R117">
        <f>IF(CALC_EEM!$B107="","",CALC_EEM!R107)</f>
      </c>
      <c r="S117">
        <f>IF(CALC_EEM!$B107="","",CALC_EEM!S107)</f>
      </c>
      <c r="T117">
        <f>IF(CALC_EEM!$B107="","",CALC_EEM!T107)</f>
      </c>
      <c r="U117">
        <f>IF(CALC_EEM!$B107="","",CALC_EEM!U107)</f>
      </c>
    </row>
    <row r="118" spans="1:24">
      <c r="A118" t="str">
        <f>IF(CALC_EEM!$B108="","",IF(CALC_EEM!A108="GLOBAL","GLOBAL",IF(CALC_EEM!C108="Total","CURSO_TOTAL",IF(CALC_EEM!C108="TotalEsp","CURSO_ESP",IF(CALC_EEM!C108="TotalNoEsp","CURSO_NOESP","CURSO_ASIG")))))</f>
      </c>
      <c r="B118" t="str">
        <f>IF(CALC_EEM!$B108="","",CALC_EEM!A108)</f>
      </c>
      <c r="C118" t="str">
        <f>IF(CALC_EEM!$B108="","",CALC_EEM!B108)</f>
      </c>
      <c r="D118">
        <f>IF(CALC_EEM!$B108="","",CALC_EEM!D108)</f>
      </c>
      <c r="E118" s="14" t="str">
        <f>IF(CALC_EEM!$B108="","",CALC_EEM!E108)</f>
      </c>
      <c r="F118" s="14" t="str">
        <f>IF(CALC_EEM!$B108="","",CALC_EEM!F108)</f>
      </c>
      <c r="G118" t="str">
        <f>IF(CALC_EEM!$B108="","",CALC_EEM!G108)</f>
      </c>
      <c r="H118" s="16" t="str">
        <f>IF(CALC_EEM!$B108="","",CALC_EEM!H108)</f>
      </c>
      <c r="I118" s="16" t="str">
        <f>IF(CALC_EEM!$B108="","",CALC_EEM!I108)</f>
      </c>
      <c r="J118" t="str">
        <f>IF(CALC_EEM!$B108="","",CALC_EEM!J108)</f>
      </c>
      <c r="K118" t="str">
        <f>IF(CALC_EEM!$B108="","",CALC_EEM!K108)</f>
      </c>
      <c r="L118">
        <f>IF(CALC_EEM!$B108="","",CALC_EEM!L108)</f>
      </c>
      <c r="M118">
        <f>IF(CALC_EEM!$B108="","",CALC_EEM!M108)</f>
      </c>
      <c r="N118">
        <f>IF(CALC_EEM!$B108="","",CALC_EEM!N108)</f>
      </c>
      <c r="O118">
        <f>IF(CALC_EEM!$B108="","",CALC_EEM!O108)</f>
      </c>
      <c r="P118">
        <f>IF(CALC_EEM!$B108="","",CALC_EEM!P108)</f>
      </c>
      <c r="Q118">
        <f>IF(CALC_EEM!$B108="","",CALC_EEM!Q108)</f>
      </c>
      <c r="R118">
        <f>IF(CALC_EEM!$B108="","",CALC_EEM!R108)</f>
      </c>
      <c r="S118">
        <f>IF(CALC_EEM!$B108="","",CALC_EEM!S108)</f>
      </c>
      <c r="T118">
        <f>IF(CALC_EEM!$B108="","",CALC_EEM!T108)</f>
      </c>
      <c r="U118">
        <f>IF(CALC_EEM!$B108="","",CALC_EEM!U108)</f>
      </c>
    </row>
    <row r="119" spans="1:24">
      <c r="A119" t="str">
        <f>IF(CALC_EEM!$B109="","",IF(CALC_EEM!A109="GLOBAL","GLOBAL",IF(CALC_EEM!C109="Total","CURSO_TOTAL",IF(CALC_EEM!C109="TotalEsp","CURSO_ESP",IF(CALC_EEM!C109="TotalNoEsp","CURSO_NOESP","CURSO_ASIG")))))</f>
      </c>
      <c r="B119" t="str">
        <f>IF(CALC_EEM!$B109="","",CALC_EEM!A109)</f>
      </c>
      <c r="C119" t="str">
        <f>IF(CALC_EEM!$B109="","",CALC_EEM!B109)</f>
      </c>
      <c r="D119">
        <f>IF(CALC_EEM!$B109="","",CALC_EEM!D109)</f>
      </c>
      <c r="E119" s="14" t="str">
        <f>IF(CALC_EEM!$B109="","",CALC_EEM!E109)</f>
      </c>
      <c r="F119" s="14" t="str">
        <f>IF(CALC_EEM!$B109="","",CALC_EEM!F109)</f>
      </c>
      <c r="G119" t="str">
        <f>IF(CALC_EEM!$B109="","",CALC_EEM!G109)</f>
      </c>
      <c r="H119" s="16" t="str">
        <f>IF(CALC_EEM!$B109="","",CALC_EEM!H109)</f>
      </c>
      <c r="I119" s="16" t="str">
        <f>IF(CALC_EEM!$B109="","",CALC_EEM!I109)</f>
      </c>
      <c r="J119" t="str">
        <f>IF(CALC_EEM!$B109="","",CALC_EEM!J109)</f>
      </c>
      <c r="K119" t="str">
        <f>IF(CALC_EEM!$B109="","",CALC_EEM!K109)</f>
      </c>
      <c r="L119">
        <f>IF(CALC_EEM!$B109="","",CALC_EEM!L109)</f>
      </c>
      <c r="M119">
        <f>IF(CALC_EEM!$B109="","",CALC_EEM!M109)</f>
      </c>
      <c r="N119">
        <f>IF(CALC_EEM!$B109="","",CALC_EEM!N109)</f>
      </c>
      <c r="O119">
        <f>IF(CALC_EEM!$B109="","",CALC_EEM!O109)</f>
      </c>
      <c r="P119">
        <f>IF(CALC_EEM!$B109="","",CALC_EEM!P109)</f>
      </c>
      <c r="Q119">
        <f>IF(CALC_EEM!$B109="","",CALC_EEM!Q109)</f>
      </c>
      <c r="R119">
        <f>IF(CALC_EEM!$B109="","",CALC_EEM!R109)</f>
      </c>
      <c r="S119">
        <f>IF(CALC_EEM!$B109="","",CALC_EEM!S109)</f>
      </c>
      <c r="T119">
        <f>IF(CALC_EEM!$B109="","",CALC_EEM!T109)</f>
      </c>
      <c r="U119">
        <f>IF(CALC_EEM!$B109="","",CALC_EEM!U109)</f>
      </c>
    </row>
    <row r="120" spans="1:24">
      <c r="A120" t="str">
        <f>IF(CALC_EEM!$B110="","",IF(CALC_EEM!A110="GLOBAL","GLOBAL",IF(CALC_EEM!C110="Total","CURSO_TOTAL",IF(CALC_EEM!C110="TotalEsp","CURSO_ESP",IF(CALC_EEM!C110="TotalNoEsp","CURSO_NOESP","CURSO_ASIG")))))</f>
      </c>
      <c r="B120" t="str">
        <f>IF(CALC_EEM!$B110="","",CALC_EEM!A110)</f>
      </c>
      <c r="C120" t="str">
        <f>IF(CALC_EEM!$B110="","",CALC_EEM!B110)</f>
      </c>
      <c r="D120">
        <f>IF(CALC_EEM!$B110="","",CALC_EEM!D110)</f>
      </c>
      <c r="E120" s="14" t="str">
        <f>IF(CALC_EEM!$B110="","",CALC_EEM!E110)</f>
      </c>
      <c r="F120" s="14" t="str">
        <f>IF(CALC_EEM!$B110="","",CALC_EEM!F110)</f>
      </c>
      <c r="G120" t="str">
        <f>IF(CALC_EEM!$B110="","",CALC_EEM!G110)</f>
      </c>
      <c r="H120" s="16" t="str">
        <f>IF(CALC_EEM!$B110="","",CALC_EEM!H110)</f>
      </c>
      <c r="I120" s="16" t="str">
        <f>IF(CALC_EEM!$B110="","",CALC_EEM!I110)</f>
      </c>
      <c r="J120" t="str">
        <f>IF(CALC_EEM!$B110="","",CALC_EEM!J110)</f>
      </c>
      <c r="K120" t="str">
        <f>IF(CALC_EEM!$B110="","",CALC_EEM!K110)</f>
      </c>
      <c r="L120">
        <f>IF(CALC_EEM!$B110="","",CALC_EEM!L110)</f>
      </c>
      <c r="M120">
        <f>IF(CALC_EEM!$B110="","",CALC_EEM!M110)</f>
      </c>
      <c r="N120">
        <f>IF(CALC_EEM!$B110="","",CALC_EEM!N110)</f>
      </c>
      <c r="O120">
        <f>IF(CALC_EEM!$B110="","",CALC_EEM!O110)</f>
      </c>
      <c r="P120">
        <f>IF(CALC_EEM!$B110="","",CALC_EEM!P110)</f>
      </c>
      <c r="Q120">
        <f>IF(CALC_EEM!$B110="","",CALC_EEM!Q110)</f>
      </c>
      <c r="R120">
        <f>IF(CALC_EEM!$B110="","",CALC_EEM!R110)</f>
      </c>
      <c r="S120">
        <f>IF(CALC_EEM!$B110="","",CALC_EEM!S110)</f>
      </c>
      <c r="T120">
        <f>IF(CALC_EEM!$B110="","",CALC_EEM!T110)</f>
      </c>
      <c r="U120">
        <f>IF(CALC_EEM!$B110="","",CALC_EEM!U110)</f>
      </c>
    </row>
    <row r="121" spans="1:24">
      <c r="A121" t="str">
        <f>IF(CALC_EEM!$B111="","",IF(CALC_EEM!A111="GLOBAL","GLOBAL",IF(CALC_EEM!C111="Total","CURSO_TOTAL",IF(CALC_EEM!C111="TotalEsp","CURSO_ESP",IF(CALC_EEM!C111="TotalNoEsp","CURSO_NOESP","CURSO_ASIG")))))</f>
      </c>
      <c r="B121" t="str">
        <f>IF(CALC_EEM!$B111="","",CALC_EEM!A111)</f>
      </c>
      <c r="C121" t="str">
        <f>IF(CALC_EEM!$B111="","",CALC_EEM!B111)</f>
      </c>
      <c r="D121">
        <f>IF(CALC_EEM!$B111="","",CALC_EEM!D111)</f>
      </c>
      <c r="E121" s="14" t="str">
        <f>IF(CALC_EEM!$B111="","",CALC_EEM!E111)</f>
      </c>
      <c r="F121" s="14" t="str">
        <f>IF(CALC_EEM!$B111="","",CALC_EEM!F111)</f>
      </c>
      <c r="G121" t="str">
        <f>IF(CALC_EEM!$B111="","",CALC_EEM!G111)</f>
      </c>
      <c r="H121" s="16" t="str">
        <f>IF(CALC_EEM!$B111="","",CALC_EEM!H111)</f>
      </c>
      <c r="I121" s="16" t="str">
        <f>IF(CALC_EEM!$B111="","",CALC_EEM!I111)</f>
      </c>
      <c r="J121" t="str">
        <f>IF(CALC_EEM!$B111="","",CALC_EEM!J111)</f>
      </c>
      <c r="K121" t="str">
        <f>IF(CALC_EEM!$B111="","",CALC_EEM!K111)</f>
      </c>
      <c r="L121">
        <f>IF(CALC_EEM!$B111="","",CALC_EEM!L111)</f>
      </c>
      <c r="M121">
        <f>IF(CALC_EEM!$B111="","",CALC_EEM!M111)</f>
      </c>
      <c r="N121">
        <f>IF(CALC_EEM!$B111="","",CALC_EEM!N111)</f>
      </c>
      <c r="O121">
        <f>IF(CALC_EEM!$B111="","",CALC_EEM!O111)</f>
      </c>
      <c r="P121">
        <f>IF(CALC_EEM!$B111="","",CALC_EEM!P111)</f>
      </c>
      <c r="Q121">
        <f>IF(CALC_EEM!$B111="","",CALC_EEM!Q111)</f>
      </c>
      <c r="R121">
        <f>IF(CALC_EEM!$B111="","",CALC_EEM!R111)</f>
      </c>
      <c r="S121">
        <f>IF(CALC_EEM!$B111="","",CALC_EEM!S111)</f>
      </c>
      <c r="T121">
        <f>IF(CALC_EEM!$B111="","",CALC_EEM!T111)</f>
      </c>
      <c r="U121">
        <f>IF(CALC_EEM!$B111="","",CALC_EEM!U111)</f>
      </c>
    </row>
    <row r="122" spans="1:24">
      <c r="A122" t="str">
        <f>IF(CALC_EEM!$B112="","",IF(CALC_EEM!A112="GLOBAL","GLOBAL",IF(CALC_EEM!C112="Total","CURSO_TOTAL",IF(CALC_EEM!C112="TotalEsp","CURSO_ESP",IF(CALC_EEM!C112="TotalNoEsp","CURSO_NOESP","CURSO_ASIG")))))</f>
      </c>
      <c r="B122" t="str">
        <f>IF(CALC_EEM!$B112="","",CALC_EEM!A112)</f>
      </c>
      <c r="C122" t="str">
        <f>IF(CALC_EEM!$B112="","",CALC_EEM!B112)</f>
      </c>
      <c r="D122">
        <f>IF(CALC_EEM!$B112="","",CALC_EEM!D112)</f>
      </c>
      <c r="E122" s="14" t="str">
        <f>IF(CALC_EEM!$B112="","",CALC_EEM!E112)</f>
      </c>
      <c r="F122" s="14" t="str">
        <f>IF(CALC_EEM!$B112="","",CALC_EEM!F112)</f>
      </c>
      <c r="G122" t="str">
        <f>IF(CALC_EEM!$B112="","",CALC_EEM!G112)</f>
      </c>
      <c r="H122" s="16" t="str">
        <f>IF(CALC_EEM!$B112="","",CALC_EEM!H112)</f>
      </c>
      <c r="I122" s="16" t="str">
        <f>IF(CALC_EEM!$B112="","",CALC_EEM!I112)</f>
      </c>
      <c r="J122" t="str">
        <f>IF(CALC_EEM!$B112="","",CALC_EEM!J112)</f>
      </c>
      <c r="K122" t="str">
        <f>IF(CALC_EEM!$B112="","",CALC_EEM!K112)</f>
      </c>
      <c r="L122">
        <f>IF(CALC_EEM!$B112="","",CALC_EEM!L112)</f>
      </c>
      <c r="M122">
        <f>IF(CALC_EEM!$B112="","",CALC_EEM!M112)</f>
      </c>
      <c r="N122">
        <f>IF(CALC_EEM!$B112="","",CALC_EEM!N112)</f>
      </c>
      <c r="O122">
        <f>IF(CALC_EEM!$B112="","",CALC_EEM!O112)</f>
      </c>
      <c r="P122">
        <f>IF(CALC_EEM!$B112="","",CALC_EEM!P112)</f>
      </c>
      <c r="Q122">
        <f>IF(CALC_EEM!$B112="","",CALC_EEM!Q112)</f>
      </c>
      <c r="R122">
        <f>IF(CALC_EEM!$B112="","",CALC_EEM!R112)</f>
      </c>
      <c r="S122">
        <f>IF(CALC_EEM!$B112="","",CALC_EEM!S112)</f>
      </c>
      <c r="T122">
        <f>IF(CALC_EEM!$B112="","",CALC_EEM!T112)</f>
      </c>
      <c r="U122">
        <f>IF(CALC_EEM!$B112="","",CALC_EEM!U112)</f>
      </c>
    </row>
    <row r="123" spans="1:24">
      <c r="A123" t="str">
        <f>IF(CALC_EEM!$B113="","",IF(CALC_EEM!A113="GLOBAL","GLOBAL",IF(CALC_EEM!C113="Total","CURSO_TOTAL",IF(CALC_EEM!C113="TotalEsp","CURSO_ESP",IF(CALC_EEM!C113="TotalNoEsp","CURSO_NOESP","CURSO_ASIG")))))</f>
      </c>
      <c r="B123" t="str">
        <f>IF(CALC_EEM!$B113="","",CALC_EEM!A113)</f>
      </c>
      <c r="C123" t="str">
        <f>IF(CALC_EEM!$B113="","",CALC_EEM!B113)</f>
      </c>
      <c r="D123">
        <f>IF(CALC_EEM!$B113="","",CALC_EEM!D113)</f>
      </c>
      <c r="E123" s="14" t="str">
        <f>IF(CALC_EEM!$B113="","",CALC_EEM!E113)</f>
      </c>
      <c r="F123" s="14" t="str">
        <f>IF(CALC_EEM!$B113="","",CALC_EEM!F113)</f>
      </c>
      <c r="G123" t="str">
        <f>IF(CALC_EEM!$B113="","",CALC_EEM!G113)</f>
      </c>
      <c r="H123" s="16" t="str">
        <f>IF(CALC_EEM!$B113="","",CALC_EEM!H113)</f>
      </c>
      <c r="I123" s="16" t="str">
        <f>IF(CALC_EEM!$B113="","",CALC_EEM!I113)</f>
      </c>
      <c r="J123" t="str">
        <f>IF(CALC_EEM!$B113="","",CALC_EEM!J113)</f>
      </c>
      <c r="K123" t="str">
        <f>IF(CALC_EEM!$B113="","",CALC_EEM!K113)</f>
      </c>
      <c r="L123">
        <f>IF(CALC_EEM!$B113="","",CALC_EEM!L113)</f>
      </c>
      <c r="M123">
        <f>IF(CALC_EEM!$B113="","",CALC_EEM!M113)</f>
      </c>
      <c r="N123">
        <f>IF(CALC_EEM!$B113="","",CALC_EEM!N113)</f>
      </c>
      <c r="O123">
        <f>IF(CALC_EEM!$B113="","",CALC_EEM!O113)</f>
      </c>
      <c r="P123">
        <f>IF(CALC_EEM!$B113="","",CALC_EEM!P113)</f>
      </c>
      <c r="Q123">
        <f>IF(CALC_EEM!$B113="","",CALC_EEM!Q113)</f>
      </c>
      <c r="R123">
        <f>IF(CALC_EEM!$B113="","",CALC_EEM!R113)</f>
      </c>
      <c r="S123">
        <f>IF(CALC_EEM!$B113="","",CALC_EEM!S113)</f>
      </c>
      <c r="T123">
        <f>IF(CALC_EEM!$B113="","",CALC_EEM!T113)</f>
      </c>
      <c r="U123">
        <f>IF(CALC_EEM!$B113="","",CALC_EEM!U113)</f>
      </c>
    </row>
    <row r="124" spans="1:24">
      <c r="A124" t="str">
        <f>IF(CALC_EEM!$B114="","",IF(CALC_EEM!A114="GLOBAL","GLOBAL",IF(CALC_EEM!C114="Total","CURSO_TOTAL",IF(CALC_EEM!C114="TotalEsp","CURSO_ESP",IF(CALC_EEM!C114="TotalNoEsp","CURSO_NOESP","CURSO_ASIG")))))</f>
      </c>
      <c r="B124" t="str">
        <f>IF(CALC_EEM!$B114="","",CALC_EEM!A114)</f>
      </c>
      <c r="C124" t="str">
        <f>IF(CALC_EEM!$B114="","",CALC_EEM!B114)</f>
      </c>
      <c r="D124">
        <f>IF(CALC_EEM!$B114="","",CALC_EEM!D114)</f>
      </c>
      <c r="E124" s="14" t="str">
        <f>IF(CALC_EEM!$B114="","",CALC_EEM!E114)</f>
      </c>
      <c r="F124" s="14" t="str">
        <f>IF(CALC_EEM!$B114="","",CALC_EEM!F114)</f>
      </c>
      <c r="G124" t="str">
        <f>IF(CALC_EEM!$B114="","",CALC_EEM!G114)</f>
      </c>
      <c r="H124" s="16" t="str">
        <f>IF(CALC_EEM!$B114="","",CALC_EEM!H114)</f>
      </c>
      <c r="I124" s="16" t="str">
        <f>IF(CALC_EEM!$B114="","",CALC_EEM!I114)</f>
      </c>
      <c r="J124" t="str">
        <f>IF(CALC_EEM!$B114="","",CALC_EEM!J114)</f>
      </c>
      <c r="K124" t="str">
        <f>IF(CALC_EEM!$B114="","",CALC_EEM!K114)</f>
      </c>
      <c r="L124">
        <f>IF(CALC_EEM!$B114="","",CALC_EEM!L114)</f>
      </c>
      <c r="M124">
        <f>IF(CALC_EEM!$B114="","",CALC_EEM!M114)</f>
      </c>
      <c r="N124">
        <f>IF(CALC_EEM!$B114="","",CALC_EEM!N114)</f>
      </c>
      <c r="O124">
        <f>IF(CALC_EEM!$B114="","",CALC_EEM!O114)</f>
      </c>
      <c r="P124">
        <f>IF(CALC_EEM!$B114="","",CALC_EEM!P114)</f>
      </c>
      <c r="Q124">
        <f>IF(CALC_EEM!$B114="","",CALC_EEM!Q114)</f>
      </c>
      <c r="R124">
        <f>IF(CALC_EEM!$B114="","",CALC_EEM!R114)</f>
      </c>
      <c r="S124">
        <f>IF(CALC_EEM!$B114="","",CALC_EEM!S114)</f>
      </c>
      <c r="T124">
        <f>IF(CALC_EEM!$B114="","",CALC_EEM!T114)</f>
      </c>
      <c r="U124">
        <f>IF(CALC_EEM!$B114="","",CALC_EEM!U114)</f>
      </c>
    </row>
    <row r="125" spans="1:24">
      <c r="A125" t="str">
        <f>IF(CALC_EEM!$B115="","",IF(CALC_EEM!A115="GLOBAL","GLOBAL",IF(CALC_EEM!C115="Total","CURSO_TOTAL",IF(CALC_EEM!C115="TotalEsp","CURSO_ESP",IF(CALC_EEM!C115="TotalNoEsp","CURSO_NOESP","CURSO_ASIG")))))</f>
      </c>
      <c r="B125" t="str">
        <f>IF(CALC_EEM!$B115="","",CALC_EEM!A115)</f>
      </c>
      <c r="C125" t="str">
        <f>IF(CALC_EEM!$B115="","",CALC_EEM!B115)</f>
      </c>
      <c r="D125">
        <f>IF(CALC_EEM!$B115="","",CALC_EEM!D115)</f>
      </c>
      <c r="E125" s="14" t="str">
        <f>IF(CALC_EEM!$B115="","",CALC_EEM!E115)</f>
      </c>
      <c r="F125" s="14" t="str">
        <f>IF(CALC_EEM!$B115="","",CALC_EEM!F115)</f>
      </c>
      <c r="G125" t="str">
        <f>IF(CALC_EEM!$B115="","",CALC_EEM!G115)</f>
      </c>
      <c r="H125" s="16" t="str">
        <f>IF(CALC_EEM!$B115="","",CALC_EEM!H115)</f>
      </c>
      <c r="I125" s="16" t="str">
        <f>IF(CALC_EEM!$B115="","",CALC_EEM!I115)</f>
      </c>
      <c r="J125" t="str">
        <f>IF(CALC_EEM!$B115="","",CALC_EEM!J115)</f>
      </c>
      <c r="K125" t="str">
        <f>IF(CALC_EEM!$B115="","",CALC_EEM!K115)</f>
      </c>
      <c r="L125">
        <f>IF(CALC_EEM!$B115="","",CALC_EEM!L115)</f>
      </c>
      <c r="M125">
        <f>IF(CALC_EEM!$B115="","",CALC_EEM!M115)</f>
      </c>
      <c r="N125">
        <f>IF(CALC_EEM!$B115="","",CALC_EEM!N115)</f>
      </c>
      <c r="O125">
        <f>IF(CALC_EEM!$B115="","",CALC_EEM!O115)</f>
      </c>
      <c r="P125">
        <f>IF(CALC_EEM!$B115="","",CALC_EEM!P115)</f>
      </c>
      <c r="Q125">
        <f>IF(CALC_EEM!$B115="","",CALC_EEM!Q115)</f>
      </c>
      <c r="R125">
        <f>IF(CALC_EEM!$B115="","",CALC_EEM!R115)</f>
      </c>
      <c r="S125">
        <f>IF(CALC_EEM!$B115="","",CALC_EEM!S115)</f>
      </c>
      <c r="T125">
        <f>IF(CALC_EEM!$B115="","",CALC_EEM!T115)</f>
      </c>
      <c r="U125">
        <f>IF(CALC_EEM!$B115="","",CALC_EEM!U115)</f>
      </c>
    </row>
    <row r="126" spans="1:24">
      <c r="A126" t="str">
        <f>IF(CALC_EEM!$B116="","",IF(CALC_EEM!A116="GLOBAL","GLOBAL",IF(CALC_EEM!C116="Total","CURSO_TOTAL",IF(CALC_EEM!C116="TotalEsp","CURSO_ESP",IF(CALC_EEM!C116="TotalNoEsp","CURSO_NOESP","CURSO_ASIG")))))</f>
      </c>
      <c r="B126" t="str">
        <f>IF(CALC_EEM!$B116="","",CALC_EEM!A116)</f>
      </c>
      <c r="C126" t="str">
        <f>IF(CALC_EEM!$B116="","",CALC_EEM!B116)</f>
      </c>
      <c r="D126">
        <f>IF(CALC_EEM!$B116="","",CALC_EEM!D116)</f>
      </c>
      <c r="E126" s="14" t="str">
        <f>IF(CALC_EEM!$B116="","",CALC_EEM!E116)</f>
      </c>
      <c r="F126" s="14" t="str">
        <f>IF(CALC_EEM!$B116="","",CALC_EEM!F116)</f>
      </c>
      <c r="G126" t="str">
        <f>IF(CALC_EEM!$B116="","",CALC_EEM!G116)</f>
      </c>
      <c r="H126" s="16" t="str">
        <f>IF(CALC_EEM!$B116="","",CALC_EEM!H116)</f>
      </c>
      <c r="I126" s="16" t="str">
        <f>IF(CALC_EEM!$B116="","",CALC_EEM!I116)</f>
      </c>
      <c r="J126" t="str">
        <f>IF(CALC_EEM!$B116="","",CALC_EEM!J116)</f>
      </c>
      <c r="K126" t="str">
        <f>IF(CALC_EEM!$B116="","",CALC_EEM!K116)</f>
      </c>
      <c r="L126">
        <f>IF(CALC_EEM!$B116="","",CALC_EEM!L116)</f>
      </c>
      <c r="M126">
        <f>IF(CALC_EEM!$B116="","",CALC_EEM!M116)</f>
      </c>
      <c r="N126">
        <f>IF(CALC_EEM!$B116="","",CALC_EEM!N116)</f>
      </c>
      <c r="O126">
        <f>IF(CALC_EEM!$B116="","",CALC_EEM!O116)</f>
      </c>
      <c r="P126">
        <f>IF(CALC_EEM!$B116="","",CALC_EEM!P116)</f>
      </c>
      <c r="Q126">
        <f>IF(CALC_EEM!$B116="","",CALC_EEM!Q116)</f>
      </c>
      <c r="R126">
        <f>IF(CALC_EEM!$B116="","",CALC_EEM!R116)</f>
      </c>
      <c r="S126">
        <f>IF(CALC_EEM!$B116="","",CALC_EEM!S116)</f>
      </c>
      <c r="T126">
        <f>IF(CALC_EEM!$B116="","",CALC_EEM!T116)</f>
      </c>
      <c r="U126">
        <f>IF(CALC_EEM!$B116="","",CALC_EEM!U116)</f>
      </c>
    </row>
    <row r="127" spans="1:24">
      <c r="A127" t="str">
        <f>IF(CALC_EEM!$B117="","",IF(CALC_EEM!A117="GLOBAL","GLOBAL",IF(CALC_EEM!C117="Total","CURSO_TOTAL",IF(CALC_EEM!C117="TotalEsp","CURSO_ESP",IF(CALC_EEM!C117="TotalNoEsp","CURSO_NOESP","CURSO_ASIG")))))</f>
      </c>
      <c r="B127" t="str">
        <f>IF(CALC_EEM!$B117="","",CALC_EEM!A117)</f>
      </c>
      <c r="C127" t="str">
        <f>IF(CALC_EEM!$B117="","",CALC_EEM!B117)</f>
      </c>
      <c r="D127">
        <f>IF(CALC_EEM!$B117="","",CALC_EEM!D117)</f>
      </c>
      <c r="E127" s="14" t="str">
        <f>IF(CALC_EEM!$B117="","",CALC_EEM!E117)</f>
      </c>
      <c r="F127" s="14" t="str">
        <f>IF(CALC_EEM!$B117="","",CALC_EEM!F117)</f>
      </c>
      <c r="G127" t="str">
        <f>IF(CALC_EEM!$B117="","",CALC_EEM!G117)</f>
      </c>
      <c r="H127" s="16" t="str">
        <f>IF(CALC_EEM!$B117="","",CALC_EEM!H117)</f>
      </c>
      <c r="I127" s="16" t="str">
        <f>IF(CALC_EEM!$B117="","",CALC_EEM!I117)</f>
      </c>
      <c r="J127" t="str">
        <f>IF(CALC_EEM!$B117="","",CALC_EEM!J117)</f>
      </c>
      <c r="K127" t="str">
        <f>IF(CALC_EEM!$B117="","",CALC_EEM!K117)</f>
      </c>
      <c r="L127">
        <f>IF(CALC_EEM!$B117="","",CALC_EEM!L117)</f>
      </c>
      <c r="M127">
        <f>IF(CALC_EEM!$B117="","",CALC_EEM!M117)</f>
      </c>
      <c r="N127">
        <f>IF(CALC_EEM!$B117="","",CALC_EEM!N117)</f>
      </c>
      <c r="O127">
        <f>IF(CALC_EEM!$B117="","",CALC_EEM!O117)</f>
      </c>
      <c r="P127">
        <f>IF(CALC_EEM!$B117="","",CALC_EEM!P117)</f>
      </c>
      <c r="Q127">
        <f>IF(CALC_EEM!$B117="","",CALC_EEM!Q117)</f>
      </c>
      <c r="R127">
        <f>IF(CALC_EEM!$B117="","",CALC_EEM!R117)</f>
      </c>
      <c r="S127">
        <f>IF(CALC_EEM!$B117="","",CALC_EEM!S117)</f>
      </c>
      <c r="T127">
        <f>IF(CALC_EEM!$B117="","",CALC_EEM!T117)</f>
      </c>
      <c r="U127">
        <f>IF(CALC_EEM!$B117="","",CALC_EEM!U117)</f>
      </c>
    </row>
    <row r="128" spans="1:24">
      <c r="A128" t="str">
        <f>IF(CALC_EEM!$B118="","",IF(CALC_EEM!A118="GLOBAL","GLOBAL",IF(CALC_EEM!C118="Total","CURSO_TOTAL",IF(CALC_EEM!C118="TotalEsp","CURSO_ESP",IF(CALC_EEM!C118="TotalNoEsp","CURSO_NOESP","CURSO_ASIG")))))</f>
      </c>
      <c r="B128" t="str">
        <f>IF(CALC_EEM!$B118="","",CALC_EEM!A118)</f>
      </c>
      <c r="C128" t="str">
        <f>IF(CALC_EEM!$B118="","",CALC_EEM!B118)</f>
      </c>
      <c r="D128">
        <f>IF(CALC_EEM!$B118="","",CALC_EEM!D118)</f>
      </c>
      <c r="E128" s="14" t="str">
        <f>IF(CALC_EEM!$B118="","",CALC_EEM!E118)</f>
      </c>
      <c r="F128" s="14" t="str">
        <f>IF(CALC_EEM!$B118="","",CALC_EEM!F118)</f>
      </c>
      <c r="G128" t="str">
        <f>IF(CALC_EEM!$B118="","",CALC_EEM!G118)</f>
      </c>
      <c r="H128" s="16" t="str">
        <f>IF(CALC_EEM!$B118="","",CALC_EEM!H118)</f>
      </c>
      <c r="I128" s="16" t="str">
        <f>IF(CALC_EEM!$B118="","",CALC_EEM!I118)</f>
      </c>
      <c r="J128" t="str">
        <f>IF(CALC_EEM!$B118="","",CALC_EEM!J118)</f>
      </c>
      <c r="K128" t="str">
        <f>IF(CALC_EEM!$B118="","",CALC_EEM!K118)</f>
      </c>
      <c r="L128">
        <f>IF(CALC_EEM!$B118="","",CALC_EEM!L118)</f>
      </c>
      <c r="M128">
        <f>IF(CALC_EEM!$B118="","",CALC_EEM!M118)</f>
      </c>
      <c r="N128">
        <f>IF(CALC_EEM!$B118="","",CALC_EEM!N118)</f>
      </c>
      <c r="O128">
        <f>IF(CALC_EEM!$B118="","",CALC_EEM!O118)</f>
      </c>
      <c r="P128">
        <f>IF(CALC_EEM!$B118="","",CALC_EEM!P118)</f>
      </c>
      <c r="Q128">
        <f>IF(CALC_EEM!$B118="","",CALC_EEM!Q118)</f>
      </c>
      <c r="R128">
        <f>IF(CALC_EEM!$B118="","",CALC_EEM!R118)</f>
      </c>
      <c r="S128">
        <f>IF(CALC_EEM!$B118="","",CALC_EEM!S118)</f>
      </c>
      <c r="T128">
        <f>IF(CALC_EEM!$B118="","",CALC_EEM!T118)</f>
      </c>
      <c r="U128">
        <f>IF(CALC_EEM!$B118="","",CALC_EEM!U118)</f>
      </c>
    </row>
    <row r="129" spans="1:24">
      <c r="A129" t="str">
        <f>IF(CALC_EEM!$B119="","",IF(CALC_EEM!A119="GLOBAL","GLOBAL",IF(CALC_EEM!C119="Total","CURSO_TOTAL",IF(CALC_EEM!C119="TotalEsp","CURSO_ESP",IF(CALC_EEM!C119="TotalNoEsp","CURSO_NOESP","CURSO_ASIG")))))</f>
      </c>
      <c r="B129" t="str">
        <f>IF(CALC_EEM!$B119="","",CALC_EEM!A119)</f>
      </c>
      <c r="C129" t="str">
        <f>IF(CALC_EEM!$B119="","",CALC_EEM!B119)</f>
      </c>
      <c r="D129">
        <f>IF(CALC_EEM!$B119="","",CALC_EEM!D119)</f>
      </c>
      <c r="E129" s="14" t="str">
        <f>IF(CALC_EEM!$B119="","",CALC_EEM!E119)</f>
      </c>
      <c r="F129" s="14" t="str">
        <f>IF(CALC_EEM!$B119="","",CALC_EEM!F119)</f>
      </c>
      <c r="G129" t="str">
        <f>IF(CALC_EEM!$B119="","",CALC_EEM!G119)</f>
      </c>
      <c r="H129" s="16" t="str">
        <f>IF(CALC_EEM!$B119="","",CALC_EEM!H119)</f>
      </c>
      <c r="I129" s="16" t="str">
        <f>IF(CALC_EEM!$B119="","",CALC_EEM!I119)</f>
      </c>
      <c r="J129" t="str">
        <f>IF(CALC_EEM!$B119="","",CALC_EEM!J119)</f>
      </c>
      <c r="K129" t="str">
        <f>IF(CALC_EEM!$B119="","",CALC_EEM!K119)</f>
      </c>
      <c r="L129">
        <f>IF(CALC_EEM!$B119="","",CALC_EEM!L119)</f>
      </c>
      <c r="M129">
        <f>IF(CALC_EEM!$B119="","",CALC_EEM!M119)</f>
      </c>
      <c r="N129">
        <f>IF(CALC_EEM!$B119="","",CALC_EEM!N119)</f>
      </c>
      <c r="O129">
        <f>IF(CALC_EEM!$B119="","",CALC_EEM!O119)</f>
      </c>
      <c r="P129">
        <f>IF(CALC_EEM!$B119="","",CALC_EEM!P119)</f>
      </c>
      <c r="Q129">
        <f>IF(CALC_EEM!$B119="","",CALC_EEM!Q119)</f>
      </c>
      <c r="R129">
        <f>IF(CALC_EEM!$B119="","",CALC_EEM!R119)</f>
      </c>
      <c r="S129">
        <f>IF(CALC_EEM!$B119="","",CALC_EEM!S119)</f>
      </c>
      <c r="T129">
        <f>IF(CALC_EEM!$B119="","",CALC_EEM!T119)</f>
      </c>
      <c r="U129">
        <f>IF(CALC_EEM!$B119="","",CALC_EEM!U119)</f>
      </c>
    </row>
    <row r="130" spans="1:24">
      <c r="A130" t="str">
        <f>IF(CALC_EEM!$B120="","",IF(CALC_EEM!A120="GLOBAL","GLOBAL",IF(CALC_EEM!C120="Total","CURSO_TOTAL",IF(CALC_EEM!C120="TotalEsp","CURSO_ESP",IF(CALC_EEM!C120="TotalNoEsp","CURSO_NOESP","CURSO_ASIG")))))</f>
      </c>
      <c r="B130" t="str">
        <f>IF(CALC_EEM!$B120="","",CALC_EEM!A120)</f>
      </c>
      <c r="C130" t="str">
        <f>IF(CALC_EEM!$B120="","",CALC_EEM!B120)</f>
      </c>
      <c r="D130">
        <f>IF(CALC_EEM!$B120="","",CALC_EEM!D120)</f>
      </c>
      <c r="E130" s="14" t="str">
        <f>IF(CALC_EEM!$B120="","",CALC_EEM!E120)</f>
      </c>
      <c r="F130" s="14" t="str">
        <f>IF(CALC_EEM!$B120="","",CALC_EEM!F120)</f>
      </c>
      <c r="G130" t="str">
        <f>IF(CALC_EEM!$B120="","",CALC_EEM!G120)</f>
      </c>
      <c r="H130" s="16" t="str">
        <f>IF(CALC_EEM!$B120="","",CALC_EEM!H120)</f>
      </c>
      <c r="I130" s="16" t="str">
        <f>IF(CALC_EEM!$B120="","",CALC_EEM!I120)</f>
      </c>
      <c r="J130" t="str">
        <f>IF(CALC_EEM!$B120="","",CALC_EEM!J120)</f>
      </c>
      <c r="K130" t="str">
        <f>IF(CALC_EEM!$B120="","",CALC_EEM!K120)</f>
      </c>
      <c r="L130">
        <f>IF(CALC_EEM!$B120="","",CALC_EEM!L120)</f>
      </c>
      <c r="M130">
        <f>IF(CALC_EEM!$B120="","",CALC_EEM!M120)</f>
      </c>
      <c r="N130">
        <f>IF(CALC_EEM!$B120="","",CALC_EEM!N120)</f>
      </c>
      <c r="O130">
        <f>IF(CALC_EEM!$B120="","",CALC_EEM!O120)</f>
      </c>
      <c r="P130">
        <f>IF(CALC_EEM!$B120="","",CALC_EEM!P120)</f>
      </c>
      <c r="Q130">
        <f>IF(CALC_EEM!$B120="","",CALC_EEM!Q120)</f>
      </c>
      <c r="R130">
        <f>IF(CALC_EEM!$B120="","",CALC_EEM!R120)</f>
      </c>
      <c r="S130">
        <f>IF(CALC_EEM!$B120="","",CALC_EEM!S120)</f>
      </c>
      <c r="T130">
        <f>IF(CALC_EEM!$B120="","",CALC_EEM!T120)</f>
      </c>
      <c r="U130">
        <f>IF(CALC_EEM!$B120="","",CALC_EEM!U120)</f>
      </c>
    </row>
    <row r="131" spans="1:24">
      <c r="A131" t="str">
        <f>IF(CALC_EEM!$B121="","",IF(CALC_EEM!A121="GLOBAL","GLOBAL",IF(CALC_EEM!C121="Total","CURSO_TOTAL",IF(CALC_EEM!C121="TotalEsp","CURSO_ESP",IF(CALC_EEM!C121="TotalNoEsp","CURSO_NOESP","CURSO_ASIG")))))</f>
      </c>
      <c r="B131" t="str">
        <f>IF(CALC_EEM!$B121="","",CALC_EEM!A121)</f>
      </c>
      <c r="C131" t="str">
        <f>IF(CALC_EEM!$B121="","",CALC_EEM!B121)</f>
      </c>
      <c r="D131">
        <f>IF(CALC_EEM!$B121="","",CALC_EEM!D121)</f>
      </c>
      <c r="E131" s="14" t="str">
        <f>IF(CALC_EEM!$B121="","",CALC_EEM!E121)</f>
      </c>
      <c r="F131" s="14" t="str">
        <f>IF(CALC_EEM!$B121="","",CALC_EEM!F121)</f>
      </c>
      <c r="G131" t="str">
        <f>IF(CALC_EEM!$B121="","",CALC_EEM!G121)</f>
      </c>
      <c r="H131" s="16" t="str">
        <f>IF(CALC_EEM!$B121="","",CALC_EEM!H121)</f>
      </c>
      <c r="I131" s="16" t="str">
        <f>IF(CALC_EEM!$B121="","",CALC_EEM!I121)</f>
      </c>
      <c r="J131" t="str">
        <f>IF(CALC_EEM!$B121="","",CALC_EEM!J121)</f>
      </c>
      <c r="K131" t="str">
        <f>IF(CALC_EEM!$B121="","",CALC_EEM!K121)</f>
      </c>
      <c r="L131">
        <f>IF(CALC_EEM!$B121="","",CALC_EEM!L121)</f>
      </c>
      <c r="M131">
        <f>IF(CALC_EEM!$B121="","",CALC_EEM!M121)</f>
      </c>
      <c r="N131">
        <f>IF(CALC_EEM!$B121="","",CALC_EEM!N121)</f>
      </c>
      <c r="O131">
        <f>IF(CALC_EEM!$B121="","",CALC_EEM!O121)</f>
      </c>
      <c r="P131">
        <f>IF(CALC_EEM!$B121="","",CALC_EEM!P121)</f>
      </c>
      <c r="Q131">
        <f>IF(CALC_EEM!$B121="","",CALC_EEM!Q121)</f>
      </c>
      <c r="R131">
        <f>IF(CALC_EEM!$B121="","",CALC_EEM!R121)</f>
      </c>
      <c r="S131">
        <f>IF(CALC_EEM!$B121="","",CALC_EEM!S121)</f>
      </c>
      <c r="T131">
        <f>IF(CALC_EEM!$B121="","",CALC_EEM!T121)</f>
      </c>
      <c r="U131">
        <f>IF(CALC_EEM!$B121="","",CALC_EEM!U121)</f>
      </c>
    </row>
    <row r="132" spans="1:24">
      <c r="A132" t="str">
        <f>IF(CALC_EEM!$B122="","",IF(CALC_EEM!A122="GLOBAL","GLOBAL",IF(CALC_EEM!C122="Total","CURSO_TOTAL",IF(CALC_EEM!C122="TotalEsp","CURSO_ESP",IF(CALC_EEM!C122="TotalNoEsp","CURSO_NOESP","CURSO_ASIG")))))</f>
      </c>
      <c r="B132" t="str">
        <f>IF(CALC_EEM!$B122="","",CALC_EEM!A122)</f>
      </c>
      <c r="C132" t="str">
        <f>IF(CALC_EEM!$B122="","",CALC_EEM!B122)</f>
      </c>
      <c r="D132">
        <f>IF(CALC_EEM!$B122="","",CALC_EEM!D122)</f>
      </c>
      <c r="E132" s="14" t="str">
        <f>IF(CALC_EEM!$B122="","",CALC_EEM!E122)</f>
      </c>
      <c r="F132" s="14" t="str">
        <f>IF(CALC_EEM!$B122="","",CALC_EEM!F122)</f>
      </c>
      <c r="G132" t="str">
        <f>IF(CALC_EEM!$B122="","",CALC_EEM!G122)</f>
      </c>
      <c r="H132" s="16" t="str">
        <f>IF(CALC_EEM!$B122="","",CALC_EEM!H122)</f>
      </c>
      <c r="I132" s="16" t="str">
        <f>IF(CALC_EEM!$B122="","",CALC_EEM!I122)</f>
      </c>
      <c r="J132" t="str">
        <f>IF(CALC_EEM!$B122="","",CALC_EEM!J122)</f>
      </c>
      <c r="K132" t="str">
        <f>IF(CALC_EEM!$B122="","",CALC_EEM!K122)</f>
      </c>
      <c r="L132">
        <f>IF(CALC_EEM!$B122="","",CALC_EEM!L122)</f>
      </c>
      <c r="M132">
        <f>IF(CALC_EEM!$B122="","",CALC_EEM!M122)</f>
      </c>
      <c r="N132">
        <f>IF(CALC_EEM!$B122="","",CALC_EEM!N122)</f>
      </c>
      <c r="O132">
        <f>IF(CALC_EEM!$B122="","",CALC_EEM!O122)</f>
      </c>
      <c r="P132">
        <f>IF(CALC_EEM!$B122="","",CALC_EEM!P122)</f>
      </c>
      <c r="Q132">
        <f>IF(CALC_EEM!$B122="","",CALC_EEM!Q122)</f>
      </c>
      <c r="R132">
        <f>IF(CALC_EEM!$B122="","",CALC_EEM!R122)</f>
      </c>
      <c r="S132">
        <f>IF(CALC_EEM!$B122="","",CALC_EEM!S122)</f>
      </c>
      <c r="T132">
        <f>IF(CALC_EEM!$B122="","",CALC_EEM!T122)</f>
      </c>
      <c r="U132">
        <f>IF(CALC_EEM!$B122="","",CALC_EEM!U122)</f>
      </c>
    </row>
    <row r="133" spans="1:24">
      <c r="A133" t="str">
        <f>IF(CALC_EEM!$B123="","",IF(CALC_EEM!A123="GLOBAL","GLOBAL",IF(CALC_EEM!C123="Total","CURSO_TOTAL",IF(CALC_EEM!C123="TotalEsp","CURSO_ESP",IF(CALC_EEM!C123="TotalNoEsp","CURSO_NOESP","CURSO_ASIG")))))</f>
      </c>
      <c r="B133" t="str">
        <f>IF(CALC_EEM!$B123="","",CALC_EEM!A123)</f>
      </c>
      <c r="C133" t="str">
        <f>IF(CALC_EEM!$B123="","",CALC_EEM!B123)</f>
      </c>
      <c r="D133">
        <f>IF(CALC_EEM!$B123="","",CALC_EEM!D123)</f>
      </c>
      <c r="E133" s="14" t="str">
        <f>IF(CALC_EEM!$B123="","",CALC_EEM!E123)</f>
      </c>
      <c r="F133" s="14" t="str">
        <f>IF(CALC_EEM!$B123="","",CALC_EEM!F123)</f>
      </c>
      <c r="G133" t="str">
        <f>IF(CALC_EEM!$B123="","",CALC_EEM!G123)</f>
      </c>
      <c r="H133" s="16" t="str">
        <f>IF(CALC_EEM!$B123="","",CALC_EEM!H123)</f>
      </c>
      <c r="I133" s="16" t="str">
        <f>IF(CALC_EEM!$B123="","",CALC_EEM!I123)</f>
      </c>
      <c r="J133" t="str">
        <f>IF(CALC_EEM!$B123="","",CALC_EEM!J123)</f>
      </c>
      <c r="K133" t="str">
        <f>IF(CALC_EEM!$B123="","",CALC_EEM!K123)</f>
      </c>
      <c r="L133">
        <f>IF(CALC_EEM!$B123="","",CALC_EEM!L123)</f>
      </c>
      <c r="M133">
        <f>IF(CALC_EEM!$B123="","",CALC_EEM!M123)</f>
      </c>
      <c r="N133">
        <f>IF(CALC_EEM!$B123="","",CALC_EEM!N123)</f>
      </c>
      <c r="O133">
        <f>IF(CALC_EEM!$B123="","",CALC_EEM!O123)</f>
      </c>
      <c r="P133">
        <f>IF(CALC_EEM!$B123="","",CALC_EEM!P123)</f>
      </c>
      <c r="Q133">
        <f>IF(CALC_EEM!$B123="","",CALC_EEM!Q123)</f>
      </c>
      <c r="R133">
        <f>IF(CALC_EEM!$B123="","",CALC_EEM!R123)</f>
      </c>
      <c r="S133">
        <f>IF(CALC_EEM!$B123="","",CALC_EEM!S123)</f>
      </c>
      <c r="T133">
        <f>IF(CALC_EEM!$B123="","",CALC_EEM!T123)</f>
      </c>
      <c r="U133">
        <f>IF(CALC_EEM!$B123="","",CALC_EEM!U123)</f>
      </c>
    </row>
    <row r="134" spans="1:24">
      <c r="A134" t="str">
        <f>IF(CALC_EEM!$B124="","",IF(CALC_EEM!A124="GLOBAL","GLOBAL",IF(CALC_EEM!C124="Total","CURSO_TOTAL",IF(CALC_EEM!C124="TotalEsp","CURSO_ESP",IF(CALC_EEM!C124="TotalNoEsp","CURSO_NOESP","CURSO_ASIG")))))</f>
      </c>
      <c r="B134" t="str">
        <f>IF(CALC_EEM!$B124="","",CALC_EEM!A124)</f>
      </c>
      <c r="C134" t="str">
        <f>IF(CALC_EEM!$B124="","",CALC_EEM!B124)</f>
      </c>
      <c r="D134">
        <f>IF(CALC_EEM!$B124="","",CALC_EEM!D124)</f>
      </c>
      <c r="E134" s="14" t="str">
        <f>IF(CALC_EEM!$B124="","",CALC_EEM!E124)</f>
      </c>
      <c r="F134" s="14" t="str">
        <f>IF(CALC_EEM!$B124="","",CALC_EEM!F124)</f>
      </c>
      <c r="G134" t="str">
        <f>IF(CALC_EEM!$B124="","",CALC_EEM!G124)</f>
      </c>
      <c r="H134" s="16" t="str">
        <f>IF(CALC_EEM!$B124="","",CALC_EEM!H124)</f>
      </c>
      <c r="I134" s="16" t="str">
        <f>IF(CALC_EEM!$B124="","",CALC_EEM!I124)</f>
      </c>
      <c r="J134" t="str">
        <f>IF(CALC_EEM!$B124="","",CALC_EEM!J124)</f>
      </c>
      <c r="K134" t="str">
        <f>IF(CALC_EEM!$B124="","",CALC_EEM!K124)</f>
      </c>
      <c r="L134">
        <f>IF(CALC_EEM!$B124="","",CALC_EEM!L124)</f>
      </c>
      <c r="M134">
        <f>IF(CALC_EEM!$B124="","",CALC_EEM!M124)</f>
      </c>
      <c r="N134">
        <f>IF(CALC_EEM!$B124="","",CALC_EEM!N124)</f>
      </c>
      <c r="O134">
        <f>IF(CALC_EEM!$B124="","",CALC_EEM!O124)</f>
      </c>
      <c r="P134">
        <f>IF(CALC_EEM!$B124="","",CALC_EEM!P124)</f>
      </c>
      <c r="Q134">
        <f>IF(CALC_EEM!$B124="","",CALC_EEM!Q124)</f>
      </c>
      <c r="R134">
        <f>IF(CALC_EEM!$B124="","",CALC_EEM!R124)</f>
      </c>
      <c r="S134">
        <f>IF(CALC_EEM!$B124="","",CALC_EEM!S124)</f>
      </c>
      <c r="T134">
        <f>IF(CALC_EEM!$B124="","",CALC_EEM!T124)</f>
      </c>
      <c r="U134">
        <f>IF(CALC_EEM!$B124="","",CALC_EEM!U124)</f>
      </c>
    </row>
    <row r="135" spans="1:24">
      <c r="A135" t="str">
        <f>IF(CALC_EEM!$B125="","",IF(CALC_EEM!A125="GLOBAL","GLOBAL",IF(CALC_EEM!C125="Total","CURSO_TOTAL",IF(CALC_EEM!C125="TotalEsp","CURSO_ESP",IF(CALC_EEM!C125="TotalNoEsp","CURSO_NOESP","CURSO_ASIG")))))</f>
      </c>
      <c r="B135" t="str">
        <f>IF(CALC_EEM!$B125="","",CALC_EEM!A125)</f>
      </c>
      <c r="C135" t="str">
        <f>IF(CALC_EEM!$B125="","",CALC_EEM!B125)</f>
      </c>
      <c r="D135">
        <f>IF(CALC_EEM!$B125="","",CALC_EEM!D125)</f>
      </c>
      <c r="E135" s="14" t="str">
        <f>IF(CALC_EEM!$B125="","",CALC_EEM!E125)</f>
      </c>
      <c r="F135" s="14" t="str">
        <f>IF(CALC_EEM!$B125="","",CALC_EEM!F125)</f>
      </c>
      <c r="G135" t="str">
        <f>IF(CALC_EEM!$B125="","",CALC_EEM!G125)</f>
      </c>
      <c r="H135" s="16" t="str">
        <f>IF(CALC_EEM!$B125="","",CALC_EEM!H125)</f>
      </c>
      <c r="I135" s="16" t="str">
        <f>IF(CALC_EEM!$B125="","",CALC_EEM!I125)</f>
      </c>
      <c r="J135" t="str">
        <f>IF(CALC_EEM!$B125="","",CALC_EEM!J125)</f>
      </c>
      <c r="K135" t="str">
        <f>IF(CALC_EEM!$B125="","",CALC_EEM!K125)</f>
      </c>
      <c r="L135">
        <f>IF(CALC_EEM!$B125="","",CALC_EEM!L125)</f>
      </c>
      <c r="M135">
        <f>IF(CALC_EEM!$B125="","",CALC_EEM!M125)</f>
      </c>
      <c r="N135">
        <f>IF(CALC_EEM!$B125="","",CALC_EEM!N125)</f>
      </c>
      <c r="O135">
        <f>IF(CALC_EEM!$B125="","",CALC_EEM!O125)</f>
      </c>
      <c r="P135">
        <f>IF(CALC_EEM!$B125="","",CALC_EEM!P125)</f>
      </c>
      <c r="Q135">
        <f>IF(CALC_EEM!$B125="","",CALC_EEM!Q125)</f>
      </c>
      <c r="R135">
        <f>IF(CALC_EEM!$B125="","",CALC_EEM!R125)</f>
      </c>
      <c r="S135">
        <f>IF(CALC_EEM!$B125="","",CALC_EEM!S125)</f>
      </c>
      <c r="T135">
        <f>IF(CALC_EEM!$B125="","",CALC_EEM!T125)</f>
      </c>
      <c r="U135">
        <f>IF(CALC_EEM!$B125="","",CALC_EEM!U125)</f>
      </c>
    </row>
    <row r="136" spans="1:24">
      <c r="A136" t="str">
        <f>IF(CALC_EEM!$B126="","",IF(CALC_EEM!A126="GLOBAL","GLOBAL",IF(CALC_EEM!C126="Total","CURSO_TOTAL",IF(CALC_EEM!C126="TotalEsp","CURSO_ESP",IF(CALC_EEM!C126="TotalNoEsp","CURSO_NOESP","CURSO_ASIG")))))</f>
      </c>
      <c r="B136" t="str">
        <f>IF(CALC_EEM!$B126="","",CALC_EEM!A126)</f>
      </c>
      <c r="C136" t="str">
        <f>IF(CALC_EEM!$B126="","",CALC_EEM!B126)</f>
      </c>
      <c r="D136">
        <f>IF(CALC_EEM!$B126="","",CALC_EEM!D126)</f>
      </c>
      <c r="E136" s="14" t="str">
        <f>IF(CALC_EEM!$B126="","",CALC_EEM!E126)</f>
      </c>
      <c r="F136" s="14" t="str">
        <f>IF(CALC_EEM!$B126="","",CALC_EEM!F126)</f>
      </c>
      <c r="G136" t="str">
        <f>IF(CALC_EEM!$B126="","",CALC_EEM!G126)</f>
      </c>
      <c r="H136" s="16" t="str">
        <f>IF(CALC_EEM!$B126="","",CALC_EEM!H126)</f>
      </c>
      <c r="I136" s="16" t="str">
        <f>IF(CALC_EEM!$B126="","",CALC_EEM!I126)</f>
      </c>
      <c r="J136" t="str">
        <f>IF(CALC_EEM!$B126="","",CALC_EEM!J126)</f>
      </c>
      <c r="K136" t="str">
        <f>IF(CALC_EEM!$B126="","",CALC_EEM!K126)</f>
      </c>
      <c r="L136">
        <f>IF(CALC_EEM!$B126="","",CALC_EEM!L126)</f>
      </c>
      <c r="M136">
        <f>IF(CALC_EEM!$B126="","",CALC_EEM!M126)</f>
      </c>
      <c r="N136">
        <f>IF(CALC_EEM!$B126="","",CALC_EEM!N126)</f>
      </c>
      <c r="O136">
        <f>IF(CALC_EEM!$B126="","",CALC_EEM!O126)</f>
      </c>
      <c r="P136">
        <f>IF(CALC_EEM!$B126="","",CALC_EEM!P126)</f>
      </c>
      <c r="Q136">
        <f>IF(CALC_EEM!$B126="","",CALC_EEM!Q126)</f>
      </c>
      <c r="R136">
        <f>IF(CALC_EEM!$B126="","",CALC_EEM!R126)</f>
      </c>
      <c r="S136">
        <f>IF(CALC_EEM!$B126="","",CALC_EEM!S126)</f>
      </c>
      <c r="T136">
        <f>IF(CALC_EEM!$B126="","",CALC_EEM!T126)</f>
      </c>
      <c r="U136">
        <f>IF(CALC_EEM!$B126="","",CALC_EEM!U126)</f>
      </c>
    </row>
    <row r="137" spans="1:24">
      <c r="A137" t="str">
        <f>IF(CALC_EEM!$B127="","",IF(CALC_EEM!A127="GLOBAL","GLOBAL",IF(CALC_EEM!C127="Total","CURSO_TOTAL",IF(CALC_EEM!C127="TotalEsp","CURSO_ESP",IF(CALC_EEM!C127="TotalNoEsp","CURSO_NOESP","CURSO_ASIG")))))</f>
      </c>
      <c r="B137" t="str">
        <f>IF(CALC_EEM!$B127="","",CALC_EEM!A127)</f>
      </c>
      <c r="C137" t="str">
        <f>IF(CALC_EEM!$B127="","",CALC_EEM!B127)</f>
      </c>
      <c r="D137">
        <f>IF(CALC_EEM!$B127="","",CALC_EEM!D127)</f>
      </c>
      <c r="E137" s="14" t="str">
        <f>IF(CALC_EEM!$B127="","",CALC_EEM!E127)</f>
      </c>
      <c r="F137" s="14" t="str">
        <f>IF(CALC_EEM!$B127="","",CALC_EEM!F127)</f>
      </c>
      <c r="G137" t="str">
        <f>IF(CALC_EEM!$B127="","",CALC_EEM!G127)</f>
      </c>
      <c r="H137" s="16" t="str">
        <f>IF(CALC_EEM!$B127="","",CALC_EEM!H127)</f>
      </c>
      <c r="I137" s="16" t="str">
        <f>IF(CALC_EEM!$B127="","",CALC_EEM!I127)</f>
      </c>
      <c r="J137" t="str">
        <f>IF(CALC_EEM!$B127="","",CALC_EEM!J127)</f>
      </c>
      <c r="K137" t="str">
        <f>IF(CALC_EEM!$B127="","",CALC_EEM!K127)</f>
      </c>
      <c r="L137">
        <f>IF(CALC_EEM!$B127="","",CALC_EEM!L127)</f>
      </c>
      <c r="M137">
        <f>IF(CALC_EEM!$B127="","",CALC_EEM!M127)</f>
      </c>
      <c r="N137">
        <f>IF(CALC_EEM!$B127="","",CALC_EEM!N127)</f>
      </c>
      <c r="O137">
        <f>IF(CALC_EEM!$B127="","",CALC_EEM!O127)</f>
      </c>
      <c r="P137">
        <f>IF(CALC_EEM!$B127="","",CALC_EEM!P127)</f>
      </c>
      <c r="Q137">
        <f>IF(CALC_EEM!$B127="","",CALC_EEM!Q127)</f>
      </c>
      <c r="R137">
        <f>IF(CALC_EEM!$B127="","",CALC_EEM!R127)</f>
      </c>
      <c r="S137">
        <f>IF(CALC_EEM!$B127="","",CALC_EEM!S127)</f>
      </c>
      <c r="T137">
        <f>IF(CALC_EEM!$B127="","",CALC_EEM!T127)</f>
      </c>
      <c r="U137">
        <f>IF(CALC_EEM!$B127="","",CALC_EEM!U127)</f>
      </c>
    </row>
    <row r="138" spans="1:24">
      <c r="A138" t="str">
        <f>IF(CALC_EEM!$B128="","",IF(CALC_EEM!A128="GLOBAL","GLOBAL",IF(CALC_EEM!C128="Total","CURSO_TOTAL",IF(CALC_EEM!C128="TotalEsp","CURSO_ESP",IF(CALC_EEM!C128="TotalNoEsp","CURSO_NOESP","CURSO_ASIG")))))</f>
      </c>
      <c r="B138" t="str">
        <f>IF(CALC_EEM!$B128="","",CALC_EEM!A128)</f>
      </c>
      <c r="C138" t="str">
        <f>IF(CALC_EEM!$B128="","",CALC_EEM!B128)</f>
      </c>
      <c r="D138">
        <f>IF(CALC_EEM!$B128="","",CALC_EEM!D128)</f>
      </c>
      <c r="E138" s="14" t="str">
        <f>IF(CALC_EEM!$B128="","",CALC_EEM!E128)</f>
      </c>
      <c r="F138" s="14" t="str">
        <f>IF(CALC_EEM!$B128="","",CALC_EEM!F128)</f>
      </c>
      <c r="G138" t="str">
        <f>IF(CALC_EEM!$B128="","",CALC_EEM!G128)</f>
      </c>
      <c r="H138" s="16" t="str">
        <f>IF(CALC_EEM!$B128="","",CALC_EEM!H128)</f>
      </c>
      <c r="I138" s="16" t="str">
        <f>IF(CALC_EEM!$B128="","",CALC_EEM!I128)</f>
      </c>
      <c r="J138" t="str">
        <f>IF(CALC_EEM!$B128="","",CALC_EEM!J128)</f>
      </c>
      <c r="K138" t="str">
        <f>IF(CALC_EEM!$B128="","",CALC_EEM!K128)</f>
      </c>
      <c r="L138">
        <f>IF(CALC_EEM!$B128="","",CALC_EEM!L128)</f>
      </c>
      <c r="M138">
        <f>IF(CALC_EEM!$B128="","",CALC_EEM!M128)</f>
      </c>
      <c r="N138">
        <f>IF(CALC_EEM!$B128="","",CALC_EEM!N128)</f>
      </c>
      <c r="O138">
        <f>IF(CALC_EEM!$B128="","",CALC_EEM!O128)</f>
      </c>
      <c r="P138">
        <f>IF(CALC_EEM!$B128="","",CALC_EEM!P128)</f>
      </c>
      <c r="Q138">
        <f>IF(CALC_EEM!$B128="","",CALC_EEM!Q128)</f>
      </c>
      <c r="R138">
        <f>IF(CALC_EEM!$B128="","",CALC_EEM!R128)</f>
      </c>
      <c r="S138">
        <f>IF(CALC_EEM!$B128="","",CALC_EEM!S128)</f>
      </c>
      <c r="T138">
        <f>IF(CALC_EEM!$B128="","",CALC_EEM!T128)</f>
      </c>
      <c r="U138">
        <f>IF(CALC_EEM!$B128="","",CALC_EEM!U128)</f>
      </c>
    </row>
    <row r="139" spans="1:24">
      <c r="A139" t="str">
        <f>IF(CALC_EEM!$B129="","",IF(CALC_EEM!A129="GLOBAL","GLOBAL",IF(CALC_EEM!C129="Total","CURSO_TOTAL",IF(CALC_EEM!C129="TotalEsp","CURSO_ESP",IF(CALC_EEM!C129="TotalNoEsp","CURSO_NOESP","CURSO_ASIG")))))</f>
      </c>
      <c r="B139" t="str">
        <f>IF(CALC_EEM!$B129="","",CALC_EEM!A129)</f>
      </c>
      <c r="C139" t="str">
        <f>IF(CALC_EEM!$B129="","",CALC_EEM!B129)</f>
      </c>
      <c r="D139">
        <f>IF(CALC_EEM!$B129="","",CALC_EEM!D129)</f>
      </c>
      <c r="E139" s="14" t="str">
        <f>IF(CALC_EEM!$B129="","",CALC_EEM!E129)</f>
      </c>
      <c r="F139" s="14" t="str">
        <f>IF(CALC_EEM!$B129="","",CALC_EEM!F129)</f>
      </c>
      <c r="G139" t="str">
        <f>IF(CALC_EEM!$B129="","",CALC_EEM!G129)</f>
      </c>
      <c r="H139" s="16" t="str">
        <f>IF(CALC_EEM!$B129="","",CALC_EEM!H129)</f>
      </c>
      <c r="I139" s="16" t="str">
        <f>IF(CALC_EEM!$B129="","",CALC_EEM!I129)</f>
      </c>
      <c r="J139" t="str">
        <f>IF(CALC_EEM!$B129="","",CALC_EEM!J129)</f>
      </c>
      <c r="K139" t="str">
        <f>IF(CALC_EEM!$B129="","",CALC_EEM!K129)</f>
      </c>
      <c r="L139">
        <f>IF(CALC_EEM!$B129="","",CALC_EEM!L129)</f>
      </c>
      <c r="M139">
        <f>IF(CALC_EEM!$B129="","",CALC_EEM!M129)</f>
      </c>
      <c r="N139">
        <f>IF(CALC_EEM!$B129="","",CALC_EEM!N129)</f>
      </c>
      <c r="O139">
        <f>IF(CALC_EEM!$B129="","",CALC_EEM!O129)</f>
      </c>
      <c r="P139">
        <f>IF(CALC_EEM!$B129="","",CALC_EEM!P129)</f>
      </c>
      <c r="Q139">
        <f>IF(CALC_EEM!$B129="","",CALC_EEM!Q129)</f>
      </c>
      <c r="R139">
        <f>IF(CALC_EEM!$B129="","",CALC_EEM!R129)</f>
      </c>
      <c r="S139">
        <f>IF(CALC_EEM!$B129="","",CALC_EEM!S129)</f>
      </c>
      <c r="T139">
        <f>IF(CALC_EEM!$B129="","",CALC_EEM!T129)</f>
      </c>
      <c r="U139">
        <f>IF(CALC_EEM!$B129="","",CALC_EEM!U129)</f>
      </c>
    </row>
    <row r="140" spans="1:24">
      <c r="A140" t="str">
        <f>IF(CALC_EEM!$B130="","",IF(CALC_EEM!A130="GLOBAL","GLOBAL",IF(CALC_EEM!C130="Total","CURSO_TOTAL",IF(CALC_EEM!C130="TotalEsp","CURSO_ESP",IF(CALC_EEM!C130="TotalNoEsp","CURSO_NOESP","CURSO_ASIG")))))</f>
      </c>
      <c r="B140" t="str">
        <f>IF(CALC_EEM!$B130="","",CALC_EEM!A130)</f>
      </c>
      <c r="C140" t="str">
        <f>IF(CALC_EEM!$B130="","",CALC_EEM!B130)</f>
      </c>
      <c r="D140">
        <f>IF(CALC_EEM!$B130="","",CALC_EEM!D130)</f>
      </c>
      <c r="E140" s="14" t="str">
        <f>IF(CALC_EEM!$B130="","",CALC_EEM!E130)</f>
      </c>
      <c r="F140" s="14" t="str">
        <f>IF(CALC_EEM!$B130="","",CALC_EEM!F130)</f>
      </c>
      <c r="G140" t="str">
        <f>IF(CALC_EEM!$B130="","",CALC_EEM!G130)</f>
      </c>
      <c r="H140" s="16" t="str">
        <f>IF(CALC_EEM!$B130="","",CALC_EEM!H130)</f>
      </c>
      <c r="I140" s="16" t="str">
        <f>IF(CALC_EEM!$B130="","",CALC_EEM!I130)</f>
      </c>
      <c r="J140" t="str">
        <f>IF(CALC_EEM!$B130="","",CALC_EEM!J130)</f>
      </c>
      <c r="K140" t="str">
        <f>IF(CALC_EEM!$B130="","",CALC_EEM!K130)</f>
      </c>
      <c r="L140">
        <f>IF(CALC_EEM!$B130="","",CALC_EEM!L130)</f>
      </c>
      <c r="M140">
        <f>IF(CALC_EEM!$B130="","",CALC_EEM!M130)</f>
      </c>
      <c r="N140">
        <f>IF(CALC_EEM!$B130="","",CALC_EEM!N130)</f>
      </c>
      <c r="O140">
        <f>IF(CALC_EEM!$B130="","",CALC_EEM!O130)</f>
      </c>
      <c r="P140">
        <f>IF(CALC_EEM!$B130="","",CALC_EEM!P130)</f>
      </c>
      <c r="Q140">
        <f>IF(CALC_EEM!$B130="","",CALC_EEM!Q130)</f>
      </c>
      <c r="R140">
        <f>IF(CALC_EEM!$B130="","",CALC_EEM!R130)</f>
      </c>
      <c r="S140">
        <f>IF(CALC_EEM!$B130="","",CALC_EEM!S130)</f>
      </c>
      <c r="T140">
        <f>IF(CALC_EEM!$B130="","",CALC_EEM!T130)</f>
      </c>
      <c r="U140">
        <f>IF(CALC_EEM!$B130="","",CALC_EEM!U130)</f>
      </c>
    </row>
    <row r="141" spans="1:24">
      <c r="A141" t="str">
        <f>IF(CALC_EEM!$B131="","",IF(CALC_EEM!A131="GLOBAL","GLOBAL",IF(CALC_EEM!C131="Total","CURSO_TOTAL",IF(CALC_EEM!C131="TotalEsp","CURSO_ESP",IF(CALC_EEM!C131="TotalNoEsp","CURSO_NOESP","CURSO_ASIG")))))</f>
      </c>
      <c r="B141" t="str">
        <f>IF(CALC_EEM!$B131="","",CALC_EEM!A131)</f>
      </c>
      <c r="C141" t="str">
        <f>IF(CALC_EEM!$B131="","",CALC_EEM!B131)</f>
      </c>
      <c r="D141">
        <f>IF(CALC_EEM!$B131="","",CALC_EEM!D131)</f>
      </c>
      <c r="E141" s="14" t="str">
        <f>IF(CALC_EEM!$B131="","",CALC_EEM!E131)</f>
      </c>
      <c r="F141" s="14" t="str">
        <f>IF(CALC_EEM!$B131="","",CALC_EEM!F131)</f>
      </c>
      <c r="G141" t="str">
        <f>IF(CALC_EEM!$B131="","",CALC_EEM!G131)</f>
      </c>
      <c r="H141" s="16" t="str">
        <f>IF(CALC_EEM!$B131="","",CALC_EEM!H131)</f>
      </c>
      <c r="I141" s="16" t="str">
        <f>IF(CALC_EEM!$B131="","",CALC_EEM!I131)</f>
      </c>
      <c r="J141" t="str">
        <f>IF(CALC_EEM!$B131="","",CALC_EEM!J131)</f>
      </c>
      <c r="K141" t="str">
        <f>IF(CALC_EEM!$B131="","",CALC_EEM!K131)</f>
      </c>
      <c r="L141">
        <f>IF(CALC_EEM!$B131="","",CALC_EEM!L131)</f>
      </c>
      <c r="M141">
        <f>IF(CALC_EEM!$B131="","",CALC_EEM!M131)</f>
      </c>
      <c r="N141">
        <f>IF(CALC_EEM!$B131="","",CALC_EEM!N131)</f>
      </c>
      <c r="O141">
        <f>IF(CALC_EEM!$B131="","",CALC_EEM!O131)</f>
      </c>
      <c r="P141">
        <f>IF(CALC_EEM!$B131="","",CALC_EEM!P131)</f>
      </c>
      <c r="Q141">
        <f>IF(CALC_EEM!$B131="","",CALC_EEM!Q131)</f>
      </c>
      <c r="R141">
        <f>IF(CALC_EEM!$B131="","",CALC_EEM!R131)</f>
      </c>
      <c r="S141">
        <f>IF(CALC_EEM!$B131="","",CALC_EEM!S131)</f>
      </c>
      <c r="T141">
        <f>IF(CALC_EEM!$B131="","",CALC_EEM!T131)</f>
      </c>
      <c r="U141">
        <f>IF(CALC_EEM!$B131="","",CALC_EEM!U131)</f>
      </c>
    </row>
    <row r="142" spans="1:24">
      <c r="A142" t="str">
        <f>IF(CALC_EEM!$B132="","",IF(CALC_EEM!A132="GLOBAL","GLOBAL",IF(CALC_EEM!C132="Total","CURSO_TOTAL",IF(CALC_EEM!C132="TotalEsp","CURSO_ESP",IF(CALC_EEM!C132="TotalNoEsp","CURSO_NOESP","CURSO_ASIG")))))</f>
      </c>
      <c r="B142" t="str">
        <f>IF(CALC_EEM!$B132="","",CALC_EEM!A132)</f>
      </c>
      <c r="C142" t="str">
        <f>IF(CALC_EEM!$B132="","",CALC_EEM!B132)</f>
      </c>
      <c r="D142">
        <f>IF(CALC_EEM!$B132="","",CALC_EEM!D132)</f>
      </c>
      <c r="E142" s="14" t="str">
        <f>IF(CALC_EEM!$B132="","",CALC_EEM!E132)</f>
      </c>
      <c r="F142" s="14" t="str">
        <f>IF(CALC_EEM!$B132="","",CALC_EEM!F132)</f>
      </c>
      <c r="G142" t="str">
        <f>IF(CALC_EEM!$B132="","",CALC_EEM!G132)</f>
      </c>
      <c r="H142" s="16" t="str">
        <f>IF(CALC_EEM!$B132="","",CALC_EEM!H132)</f>
      </c>
      <c r="I142" s="16" t="str">
        <f>IF(CALC_EEM!$B132="","",CALC_EEM!I132)</f>
      </c>
      <c r="J142" t="str">
        <f>IF(CALC_EEM!$B132="","",CALC_EEM!J132)</f>
      </c>
      <c r="K142" t="str">
        <f>IF(CALC_EEM!$B132="","",CALC_EEM!K132)</f>
      </c>
      <c r="L142">
        <f>IF(CALC_EEM!$B132="","",CALC_EEM!L132)</f>
      </c>
      <c r="M142">
        <f>IF(CALC_EEM!$B132="","",CALC_EEM!M132)</f>
      </c>
      <c r="N142">
        <f>IF(CALC_EEM!$B132="","",CALC_EEM!N132)</f>
      </c>
      <c r="O142">
        <f>IF(CALC_EEM!$B132="","",CALC_EEM!O132)</f>
      </c>
      <c r="P142">
        <f>IF(CALC_EEM!$B132="","",CALC_EEM!P132)</f>
      </c>
      <c r="Q142">
        <f>IF(CALC_EEM!$B132="","",CALC_EEM!Q132)</f>
      </c>
      <c r="R142">
        <f>IF(CALC_EEM!$B132="","",CALC_EEM!R132)</f>
      </c>
      <c r="S142">
        <f>IF(CALC_EEM!$B132="","",CALC_EEM!S132)</f>
      </c>
      <c r="T142">
        <f>IF(CALC_EEM!$B132="","",CALC_EEM!T132)</f>
      </c>
      <c r="U142">
        <f>IF(CALC_EEM!$B132="","",CALC_EEM!U132)</f>
      </c>
    </row>
    <row r="143" spans="1:24">
      <c r="A143" t="str">
        <f>IF(CALC_EEM!$B133="","",IF(CALC_EEM!A133="GLOBAL","GLOBAL",IF(CALC_EEM!C133="Total","CURSO_TOTAL",IF(CALC_EEM!C133="TotalEsp","CURSO_ESP",IF(CALC_EEM!C133="TotalNoEsp","CURSO_NOESP","CURSO_ASIG")))))</f>
      </c>
      <c r="B143" t="str">
        <f>IF(CALC_EEM!$B133="","",CALC_EEM!A133)</f>
      </c>
      <c r="C143" t="str">
        <f>IF(CALC_EEM!$B133="","",CALC_EEM!B133)</f>
      </c>
      <c r="D143">
        <f>IF(CALC_EEM!$B133="","",CALC_EEM!D133)</f>
      </c>
      <c r="E143" s="14" t="str">
        <f>IF(CALC_EEM!$B133="","",CALC_EEM!E133)</f>
      </c>
      <c r="F143" s="14" t="str">
        <f>IF(CALC_EEM!$B133="","",CALC_EEM!F133)</f>
      </c>
      <c r="G143" t="str">
        <f>IF(CALC_EEM!$B133="","",CALC_EEM!G133)</f>
      </c>
      <c r="H143" s="16" t="str">
        <f>IF(CALC_EEM!$B133="","",CALC_EEM!H133)</f>
      </c>
      <c r="I143" s="16" t="str">
        <f>IF(CALC_EEM!$B133="","",CALC_EEM!I133)</f>
      </c>
      <c r="J143" t="str">
        <f>IF(CALC_EEM!$B133="","",CALC_EEM!J133)</f>
      </c>
      <c r="K143" t="str">
        <f>IF(CALC_EEM!$B133="","",CALC_EEM!K133)</f>
      </c>
      <c r="L143">
        <f>IF(CALC_EEM!$B133="","",CALC_EEM!L133)</f>
      </c>
      <c r="M143">
        <f>IF(CALC_EEM!$B133="","",CALC_EEM!M133)</f>
      </c>
      <c r="N143">
        <f>IF(CALC_EEM!$B133="","",CALC_EEM!N133)</f>
      </c>
      <c r="O143">
        <f>IF(CALC_EEM!$B133="","",CALC_EEM!O133)</f>
      </c>
      <c r="P143">
        <f>IF(CALC_EEM!$B133="","",CALC_EEM!P133)</f>
      </c>
      <c r="Q143">
        <f>IF(CALC_EEM!$B133="","",CALC_EEM!Q133)</f>
      </c>
      <c r="R143">
        <f>IF(CALC_EEM!$B133="","",CALC_EEM!R133)</f>
      </c>
      <c r="S143">
        <f>IF(CALC_EEM!$B133="","",CALC_EEM!S133)</f>
      </c>
      <c r="T143">
        <f>IF(CALC_EEM!$B133="","",CALC_EEM!T133)</f>
      </c>
      <c r="U143">
        <f>IF(CALC_EEM!$B133="","",CALC_EEM!U133)</f>
      </c>
    </row>
    <row r="144" spans="1:24">
      <c r="A144" t="str">
        <f>IF(CALC_EEM!$B134="","",IF(CALC_EEM!A134="GLOBAL","GLOBAL",IF(CALC_EEM!C134="Total","CURSO_TOTAL",IF(CALC_EEM!C134="TotalEsp","CURSO_ESP",IF(CALC_EEM!C134="TotalNoEsp","CURSO_NOESP","CURSO_ASIG")))))</f>
      </c>
      <c r="B144" t="str">
        <f>IF(CALC_EEM!$B134="","",CALC_EEM!A134)</f>
      </c>
      <c r="C144" t="str">
        <f>IF(CALC_EEM!$B134="","",CALC_EEM!B134)</f>
      </c>
      <c r="D144">
        <f>IF(CALC_EEM!$B134="","",CALC_EEM!D134)</f>
      </c>
      <c r="E144" s="14" t="str">
        <f>IF(CALC_EEM!$B134="","",CALC_EEM!E134)</f>
      </c>
      <c r="F144" s="14" t="str">
        <f>IF(CALC_EEM!$B134="","",CALC_EEM!F134)</f>
      </c>
      <c r="G144" t="str">
        <f>IF(CALC_EEM!$B134="","",CALC_EEM!G134)</f>
      </c>
      <c r="H144" s="16" t="str">
        <f>IF(CALC_EEM!$B134="","",CALC_EEM!H134)</f>
      </c>
      <c r="I144" s="16" t="str">
        <f>IF(CALC_EEM!$B134="","",CALC_EEM!I134)</f>
      </c>
      <c r="J144" t="str">
        <f>IF(CALC_EEM!$B134="","",CALC_EEM!J134)</f>
      </c>
      <c r="K144" t="str">
        <f>IF(CALC_EEM!$B134="","",CALC_EEM!K134)</f>
      </c>
      <c r="L144">
        <f>IF(CALC_EEM!$B134="","",CALC_EEM!L134)</f>
      </c>
      <c r="M144">
        <f>IF(CALC_EEM!$B134="","",CALC_EEM!M134)</f>
      </c>
      <c r="N144">
        <f>IF(CALC_EEM!$B134="","",CALC_EEM!N134)</f>
      </c>
      <c r="O144">
        <f>IF(CALC_EEM!$B134="","",CALC_EEM!O134)</f>
      </c>
      <c r="P144">
        <f>IF(CALC_EEM!$B134="","",CALC_EEM!P134)</f>
      </c>
      <c r="Q144">
        <f>IF(CALC_EEM!$B134="","",CALC_EEM!Q134)</f>
      </c>
      <c r="R144">
        <f>IF(CALC_EEM!$B134="","",CALC_EEM!R134)</f>
      </c>
      <c r="S144">
        <f>IF(CALC_EEM!$B134="","",CALC_EEM!S134)</f>
      </c>
      <c r="T144">
        <f>IF(CALC_EEM!$B134="","",CALC_EEM!T134)</f>
      </c>
      <c r="U144">
        <f>IF(CALC_EEM!$B134="","",CALC_EEM!U134)</f>
      </c>
    </row>
    <row r="145" spans="1:24">
      <c r="A145" t="str">
        <f>IF(CALC_EEM!$B135="","",IF(CALC_EEM!A135="GLOBAL","GLOBAL",IF(CALC_EEM!C135="Total","CURSO_TOTAL",IF(CALC_EEM!C135="TotalEsp","CURSO_ESP",IF(CALC_EEM!C135="TotalNoEsp","CURSO_NOESP","CURSO_ASIG")))))</f>
      </c>
      <c r="B145" t="str">
        <f>IF(CALC_EEM!$B135="","",CALC_EEM!A135)</f>
      </c>
      <c r="C145" t="str">
        <f>IF(CALC_EEM!$B135="","",CALC_EEM!B135)</f>
      </c>
      <c r="D145">
        <f>IF(CALC_EEM!$B135="","",CALC_EEM!D135)</f>
      </c>
      <c r="E145" s="14" t="str">
        <f>IF(CALC_EEM!$B135="","",CALC_EEM!E135)</f>
      </c>
      <c r="F145" s="14" t="str">
        <f>IF(CALC_EEM!$B135="","",CALC_EEM!F135)</f>
      </c>
      <c r="G145" t="str">
        <f>IF(CALC_EEM!$B135="","",CALC_EEM!G135)</f>
      </c>
      <c r="H145" s="16" t="str">
        <f>IF(CALC_EEM!$B135="","",CALC_EEM!H135)</f>
      </c>
      <c r="I145" s="16" t="str">
        <f>IF(CALC_EEM!$B135="","",CALC_EEM!I135)</f>
      </c>
      <c r="J145" t="str">
        <f>IF(CALC_EEM!$B135="","",CALC_EEM!J135)</f>
      </c>
      <c r="K145" t="str">
        <f>IF(CALC_EEM!$B135="","",CALC_EEM!K135)</f>
      </c>
      <c r="L145">
        <f>IF(CALC_EEM!$B135="","",CALC_EEM!L135)</f>
      </c>
      <c r="M145">
        <f>IF(CALC_EEM!$B135="","",CALC_EEM!M135)</f>
      </c>
      <c r="N145">
        <f>IF(CALC_EEM!$B135="","",CALC_EEM!N135)</f>
      </c>
      <c r="O145">
        <f>IF(CALC_EEM!$B135="","",CALC_EEM!O135)</f>
      </c>
      <c r="P145">
        <f>IF(CALC_EEM!$B135="","",CALC_EEM!P135)</f>
      </c>
      <c r="Q145">
        <f>IF(CALC_EEM!$B135="","",CALC_EEM!Q135)</f>
      </c>
      <c r="R145">
        <f>IF(CALC_EEM!$B135="","",CALC_EEM!R135)</f>
      </c>
      <c r="S145">
        <f>IF(CALC_EEM!$B135="","",CALC_EEM!S135)</f>
      </c>
      <c r="T145">
        <f>IF(CALC_EEM!$B135="","",CALC_EEM!T135)</f>
      </c>
      <c r="U145">
        <f>IF(CALC_EEM!$B135="","",CALC_EEM!U135)</f>
      </c>
    </row>
    <row r="146" spans="1:24">
      <c r="A146" t="str">
        <f>IF(CALC_EEM!$B136="","",IF(CALC_EEM!A136="GLOBAL","GLOBAL",IF(CALC_EEM!C136="Total","CURSO_TOTAL",IF(CALC_EEM!C136="TotalEsp","CURSO_ESP",IF(CALC_EEM!C136="TotalNoEsp","CURSO_NOESP","CURSO_ASIG")))))</f>
      </c>
      <c r="B146" t="str">
        <f>IF(CALC_EEM!$B136="","",CALC_EEM!A136)</f>
      </c>
      <c r="C146" t="str">
        <f>IF(CALC_EEM!$B136="","",CALC_EEM!B136)</f>
      </c>
      <c r="D146">
        <f>IF(CALC_EEM!$B136="","",CALC_EEM!D136)</f>
      </c>
      <c r="E146" s="14" t="str">
        <f>IF(CALC_EEM!$B136="","",CALC_EEM!E136)</f>
      </c>
      <c r="F146" s="14" t="str">
        <f>IF(CALC_EEM!$B136="","",CALC_EEM!F136)</f>
      </c>
      <c r="G146" t="str">
        <f>IF(CALC_EEM!$B136="","",CALC_EEM!G136)</f>
      </c>
      <c r="H146" s="16" t="str">
        <f>IF(CALC_EEM!$B136="","",CALC_EEM!H136)</f>
      </c>
      <c r="I146" s="16" t="str">
        <f>IF(CALC_EEM!$B136="","",CALC_EEM!I136)</f>
      </c>
      <c r="J146" t="str">
        <f>IF(CALC_EEM!$B136="","",CALC_EEM!J136)</f>
      </c>
      <c r="K146" t="str">
        <f>IF(CALC_EEM!$B136="","",CALC_EEM!K136)</f>
      </c>
      <c r="L146">
        <f>IF(CALC_EEM!$B136="","",CALC_EEM!L136)</f>
      </c>
      <c r="M146">
        <f>IF(CALC_EEM!$B136="","",CALC_EEM!M136)</f>
      </c>
      <c r="N146">
        <f>IF(CALC_EEM!$B136="","",CALC_EEM!N136)</f>
      </c>
      <c r="O146">
        <f>IF(CALC_EEM!$B136="","",CALC_EEM!O136)</f>
      </c>
      <c r="P146">
        <f>IF(CALC_EEM!$B136="","",CALC_EEM!P136)</f>
      </c>
      <c r="Q146">
        <f>IF(CALC_EEM!$B136="","",CALC_EEM!Q136)</f>
      </c>
      <c r="R146">
        <f>IF(CALC_EEM!$B136="","",CALC_EEM!R136)</f>
      </c>
      <c r="S146">
        <f>IF(CALC_EEM!$B136="","",CALC_EEM!S136)</f>
      </c>
      <c r="T146">
        <f>IF(CALC_EEM!$B136="","",CALC_EEM!T136)</f>
      </c>
      <c r="U146">
        <f>IF(CALC_EEM!$B136="","",CALC_EEM!U136)</f>
      </c>
    </row>
    <row r="147" spans="1:24">
      <c r="A147" t="str">
        <f>IF(CALC_EEM!$B137="","",IF(CALC_EEM!A137="GLOBAL","GLOBAL",IF(CALC_EEM!C137="Total","CURSO_TOTAL",IF(CALC_EEM!C137="TotalEsp","CURSO_ESP",IF(CALC_EEM!C137="TotalNoEsp","CURSO_NOESP","CURSO_ASIG")))))</f>
      </c>
      <c r="B147" t="str">
        <f>IF(CALC_EEM!$B137="","",CALC_EEM!A137)</f>
      </c>
      <c r="C147" t="str">
        <f>IF(CALC_EEM!$B137="","",CALC_EEM!B137)</f>
      </c>
      <c r="D147">
        <f>IF(CALC_EEM!$B137="","",CALC_EEM!D137)</f>
      </c>
      <c r="E147" s="14" t="str">
        <f>IF(CALC_EEM!$B137="","",CALC_EEM!E137)</f>
      </c>
      <c r="F147" s="14" t="str">
        <f>IF(CALC_EEM!$B137="","",CALC_EEM!F137)</f>
      </c>
      <c r="G147" t="str">
        <f>IF(CALC_EEM!$B137="","",CALC_EEM!G137)</f>
      </c>
      <c r="H147" s="16" t="str">
        <f>IF(CALC_EEM!$B137="","",CALC_EEM!H137)</f>
      </c>
      <c r="I147" s="16" t="str">
        <f>IF(CALC_EEM!$B137="","",CALC_EEM!I137)</f>
      </c>
      <c r="J147" t="str">
        <f>IF(CALC_EEM!$B137="","",CALC_EEM!J137)</f>
      </c>
      <c r="K147" t="str">
        <f>IF(CALC_EEM!$B137="","",CALC_EEM!K137)</f>
      </c>
      <c r="L147">
        <f>IF(CALC_EEM!$B137="","",CALC_EEM!L137)</f>
      </c>
      <c r="M147">
        <f>IF(CALC_EEM!$B137="","",CALC_EEM!M137)</f>
      </c>
      <c r="N147">
        <f>IF(CALC_EEM!$B137="","",CALC_EEM!N137)</f>
      </c>
      <c r="O147">
        <f>IF(CALC_EEM!$B137="","",CALC_EEM!O137)</f>
      </c>
      <c r="P147">
        <f>IF(CALC_EEM!$B137="","",CALC_EEM!P137)</f>
      </c>
      <c r="Q147">
        <f>IF(CALC_EEM!$B137="","",CALC_EEM!Q137)</f>
      </c>
      <c r="R147">
        <f>IF(CALC_EEM!$B137="","",CALC_EEM!R137)</f>
      </c>
      <c r="S147">
        <f>IF(CALC_EEM!$B137="","",CALC_EEM!S137)</f>
      </c>
      <c r="T147">
        <f>IF(CALC_EEM!$B137="","",CALC_EEM!T137)</f>
      </c>
      <c r="U147">
        <f>IF(CALC_EEM!$B137="","",CALC_EEM!U137)</f>
      </c>
    </row>
    <row r="148" spans="1:24">
      <c r="A148" t="str">
        <f>IF(CALC_EEM!$B138="","",IF(CALC_EEM!A138="GLOBAL","GLOBAL",IF(CALC_EEM!C138="Total","CURSO_TOTAL",IF(CALC_EEM!C138="TotalEsp","CURSO_ESP",IF(CALC_EEM!C138="TotalNoEsp","CURSO_NOESP","CURSO_ASIG")))))</f>
      </c>
      <c r="B148" t="str">
        <f>IF(CALC_EEM!$B138="","",CALC_EEM!A138)</f>
      </c>
      <c r="C148" t="str">
        <f>IF(CALC_EEM!$B138="","",CALC_EEM!B138)</f>
      </c>
      <c r="D148">
        <f>IF(CALC_EEM!$B138="","",CALC_EEM!D138)</f>
      </c>
      <c r="E148" s="14" t="str">
        <f>IF(CALC_EEM!$B138="","",CALC_EEM!E138)</f>
      </c>
      <c r="F148" s="14" t="str">
        <f>IF(CALC_EEM!$B138="","",CALC_EEM!F138)</f>
      </c>
      <c r="G148" t="str">
        <f>IF(CALC_EEM!$B138="","",CALC_EEM!G138)</f>
      </c>
      <c r="H148" s="16" t="str">
        <f>IF(CALC_EEM!$B138="","",CALC_EEM!H138)</f>
      </c>
      <c r="I148" s="16" t="str">
        <f>IF(CALC_EEM!$B138="","",CALC_EEM!I138)</f>
      </c>
      <c r="J148" t="str">
        <f>IF(CALC_EEM!$B138="","",CALC_EEM!J138)</f>
      </c>
      <c r="K148" t="str">
        <f>IF(CALC_EEM!$B138="","",CALC_EEM!K138)</f>
      </c>
      <c r="L148">
        <f>IF(CALC_EEM!$B138="","",CALC_EEM!L138)</f>
      </c>
      <c r="M148">
        <f>IF(CALC_EEM!$B138="","",CALC_EEM!M138)</f>
      </c>
      <c r="N148">
        <f>IF(CALC_EEM!$B138="","",CALC_EEM!N138)</f>
      </c>
      <c r="O148">
        <f>IF(CALC_EEM!$B138="","",CALC_EEM!O138)</f>
      </c>
      <c r="P148">
        <f>IF(CALC_EEM!$B138="","",CALC_EEM!P138)</f>
      </c>
      <c r="Q148">
        <f>IF(CALC_EEM!$B138="","",CALC_EEM!Q138)</f>
      </c>
      <c r="R148">
        <f>IF(CALC_EEM!$B138="","",CALC_EEM!R138)</f>
      </c>
      <c r="S148">
        <f>IF(CALC_EEM!$B138="","",CALC_EEM!S138)</f>
      </c>
      <c r="T148">
        <f>IF(CALC_EEM!$B138="","",CALC_EEM!T138)</f>
      </c>
      <c r="U148">
        <f>IF(CALC_EEM!$B138="","",CALC_EEM!U138)</f>
      </c>
    </row>
    <row r="149" spans="1:24">
      <c r="A149" t="str">
        <f>IF(CALC_EEM!$B139="","",IF(CALC_EEM!A139="GLOBAL","GLOBAL",IF(CALC_EEM!C139="Total","CURSO_TOTAL",IF(CALC_EEM!C139="TotalEsp","CURSO_ESP",IF(CALC_EEM!C139="TotalNoEsp","CURSO_NOESP","CURSO_ASIG")))))</f>
      </c>
      <c r="B149" t="str">
        <f>IF(CALC_EEM!$B139="","",CALC_EEM!A139)</f>
      </c>
      <c r="C149" t="str">
        <f>IF(CALC_EEM!$B139="","",CALC_EEM!B139)</f>
      </c>
      <c r="D149">
        <f>IF(CALC_EEM!$B139="","",CALC_EEM!D139)</f>
      </c>
      <c r="E149" s="14" t="str">
        <f>IF(CALC_EEM!$B139="","",CALC_EEM!E139)</f>
      </c>
      <c r="F149" s="14" t="str">
        <f>IF(CALC_EEM!$B139="","",CALC_EEM!F139)</f>
      </c>
      <c r="G149" t="str">
        <f>IF(CALC_EEM!$B139="","",CALC_EEM!G139)</f>
      </c>
      <c r="H149" s="16" t="str">
        <f>IF(CALC_EEM!$B139="","",CALC_EEM!H139)</f>
      </c>
      <c r="I149" s="16" t="str">
        <f>IF(CALC_EEM!$B139="","",CALC_EEM!I139)</f>
      </c>
      <c r="J149" t="str">
        <f>IF(CALC_EEM!$B139="","",CALC_EEM!J139)</f>
      </c>
      <c r="K149" t="str">
        <f>IF(CALC_EEM!$B139="","",CALC_EEM!K139)</f>
      </c>
      <c r="L149">
        <f>IF(CALC_EEM!$B139="","",CALC_EEM!L139)</f>
      </c>
      <c r="M149">
        <f>IF(CALC_EEM!$B139="","",CALC_EEM!M139)</f>
      </c>
      <c r="N149">
        <f>IF(CALC_EEM!$B139="","",CALC_EEM!N139)</f>
      </c>
      <c r="O149">
        <f>IF(CALC_EEM!$B139="","",CALC_EEM!O139)</f>
      </c>
      <c r="P149">
        <f>IF(CALC_EEM!$B139="","",CALC_EEM!P139)</f>
      </c>
      <c r="Q149">
        <f>IF(CALC_EEM!$B139="","",CALC_EEM!Q139)</f>
      </c>
      <c r="R149">
        <f>IF(CALC_EEM!$B139="","",CALC_EEM!R139)</f>
      </c>
      <c r="S149">
        <f>IF(CALC_EEM!$B139="","",CALC_EEM!S139)</f>
      </c>
      <c r="T149">
        <f>IF(CALC_EEM!$B139="","",CALC_EEM!T139)</f>
      </c>
      <c r="U149">
        <f>IF(CALC_EEM!$B139="","",CALC_EEM!U139)</f>
      </c>
    </row>
    <row r="150" spans="1:24">
      <c r="A150" t="str">
        <f>IF(CALC_EEM!$B140="","",IF(CALC_EEM!A140="GLOBAL","GLOBAL",IF(CALC_EEM!C140="Total","CURSO_TOTAL",IF(CALC_EEM!C140="TotalEsp","CURSO_ESP",IF(CALC_EEM!C140="TotalNoEsp","CURSO_NOESP","CURSO_ASIG")))))</f>
      </c>
      <c r="B150" t="str">
        <f>IF(CALC_EEM!$B140="","",CALC_EEM!A140)</f>
      </c>
      <c r="C150" t="str">
        <f>IF(CALC_EEM!$B140="","",CALC_EEM!B140)</f>
      </c>
      <c r="D150">
        <f>IF(CALC_EEM!$B140="","",CALC_EEM!D140)</f>
      </c>
      <c r="E150" s="14" t="str">
        <f>IF(CALC_EEM!$B140="","",CALC_EEM!E140)</f>
      </c>
      <c r="F150" s="14" t="str">
        <f>IF(CALC_EEM!$B140="","",CALC_EEM!F140)</f>
      </c>
      <c r="G150" t="str">
        <f>IF(CALC_EEM!$B140="","",CALC_EEM!G140)</f>
      </c>
      <c r="H150" s="16" t="str">
        <f>IF(CALC_EEM!$B140="","",CALC_EEM!H140)</f>
      </c>
      <c r="I150" s="16" t="str">
        <f>IF(CALC_EEM!$B140="","",CALC_EEM!I140)</f>
      </c>
      <c r="J150" t="str">
        <f>IF(CALC_EEM!$B140="","",CALC_EEM!J140)</f>
      </c>
      <c r="K150" t="str">
        <f>IF(CALC_EEM!$B140="","",CALC_EEM!K140)</f>
      </c>
      <c r="L150">
        <f>IF(CALC_EEM!$B140="","",CALC_EEM!L140)</f>
      </c>
      <c r="M150">
        <f>IF(CALC_EEM!$B140="","",CALC_EEM!M140)</f>
      </c>
      <c r="N150">
        <f>IF(CALC_EEM!$B140="","",CALC_EEM!N140)</f>
      </c>
      <c r="O150">
        <f>IF(CALC_EEM!$B140="","",CALC_EEM!O140)</f>
      </c>
      <c r="P150">
        <f>IF(CALC_EEM!$B140="","",CALC_EEM!P140)</f>
      </c>
      <c r="Q150">
        <f>IF(CALC_EEM!$B140="","",CALC_EEM!Q140)</f>
      </c>
      <c r="R150">
        <f>IF(CALC_EEM!$B140="","",CALC_EEM!R140)</f>
      </c>
      <c r="S150">
        <f>IF(CALC_EEM!$B140="","",CALC_EEM!S140)</f>
      </c>
      <c r="T150">
        <f>IF(CALC_EEM!$B140="","",CALC_EEM!T140)</f>
      </c>
      <c r="U150">
        <f>IF(CALC_EEM!$B140="","",CALC_EEM!U140)</f>
      </c>
    </row>
    <row r="151" spans="1:24">
      <c r="A151" t="str">
        <f>IF(CALC_EEM!$B141="","",IF(CALC_EEM!A141="GLOBAL","GLOBAL",IF(CALC_EEM!C141="Total","CURSO_TOTAL",IF(CALC_EEM!C141="TotalEsp","CURSO_ESP",IF(CALC_EEM!C141="TotalNoEsp","CURSO_NOESP","CURSO_ASIG")))))</f>
      </c>
      <c r="B151" t="str">
        <f>IF(CALC_EEM!$B141="","",CALC_EEM!A141)</f>
      </c>
      <c r="C151" t="str">
        <f>IF(CALC_EEM!$B141="","",CALC_EEM!B141)</f>
      </c>
      <c r="D151">
        <f>IF(CALC_EEM!$B141="","",CALC_EEM!D141)</f>
      </c>
      <c r="E151" s="14" t="str">
        <f>IF(CALC_EEM!$B141="","",CALC_EEM!E141)</f>
      </c>
      <c r="F151" s="14" t="str">
        <f>IF(CALC_EEM!$B141="","",CALC_EEM!F141)</f>
      </c>
      <c r="G151" t="str">
        <f>IF(CALC_EEM!$B141="","",CALC_EEM!G141)</f>
      </c>
      <c r="H151" s="16" t="str">
        <f>IF(CALC_EEM!$B141="","",CALC_EEM!H141)</f>
      </c>
      <c r="I151" s="16" t="str">
        <f>IF(CALC_EEM!$B141="","",CALC_EEM!I141)</f>
      </c>
      <c r="J151" t="str">
        <f>IF(CALC_EEM!$B141="","",CALC_EEM!J141)</f>
      </c>
      <c r="K151" t="str">
        <f>IF(CALC_EEM!$B141="","",CALC_EEM!K141)</f>
      </c>
      <c r="L151">
        <f>IF(CALC_EEM!$B141="","",CALC_EEM!L141)</f>
      </c>
      <c r="M151">
        <f>IF(CALC_EEM!$B141="","",CALC_EEM!M141)</f>
      </c>
      <c r="N151">
        <f>IF(CALC_EEM!$B141="","",CALC_EEM!N141)</f>
      </c>
      <c r="O151">
        <f>IF(CALC_EEM!$B141="","",CALC_EEM!O141)</f>
      </c>
      <c r="P151">
        <f>IF(CALC_EEM!$B141="","",CALC_EEM!P141)</f>
      </c>
      <c r="Q151">
        <f>IF(CALC_EEM!$B141="","",CALC_EEM!Q141)</f>
      </c>
      <c r="R151">
        <f>IF(CALC_EEM!$B141="","",CALC_EEM!R141)</f>
      </c>
      <c r="S151">
        <f>IF(CALC_EEM!$B141="","",CALC_EEM!S141)</f>
      </c>
      <c r="T151">
        <f>IF(CALC_EEM!$B141="","",CALC_EEM!T141)</f>
      </c>
      <c r="U151">
        <f>IF(CALC_EEM!$B141="","",CALC_EEM!U141)</f>
      </c>
    </row>
    <row r="152" spans="1:24">
      <c r="A152" t="str">
        <f>IF(CALC_EEM!$B142="","",IF(CALC_EEM!A142="GLOBAL","GLOBAL",IF(CALC_EEM!C142="Total","CURSO_TOTAL",IF(CALC_EEM!C142="TotalEsp","CURSO_ESP",IF(CALC_EEM!C142="TotalNoEsp","CURSO_NOESP","CURSO_ASIG")))))</f>
      </c>
      <c r="B152" t="str">
        <f>IF(CALC_EEM!$B142="","",CALC_EEM!A142)</f>
      </c>
      <c r="C152" t="str">
        <f>IF(CALC_EEM!$B142="","",CALC_EEM!B142)</f>
      </c>
      <c r="D152">
        <f>IF(CALC_EEM!$B142="","",CALC_EEM!D142)</f>
      </c>
      <c r="E152" s="14" t="str">
        <f>IF(CALC_EEM!$B142="","",CALC_EEM!E142)</f>
      </c>
      <c r="F152" s="14" t="str">
        <f>IF(CALC_EEM!$B142="","",CALC_EEM!F142)</f>
      </c>
      <c r="G152" t="str">
        <f>IF(CALC_EEM!$B142="","",CALC_EEM!G142)</f>
      </c>
      <c r="H152" s="16" t="str">
        <f>IF(CALC_EEM!$B142="","",CALC_EEM!H142)</f>
      </c>
      <c r="I152" s="16" t="str">
        <f>IF(CALC_EEM!$B142="","",CALC_EEM!I142)</f>
      </c>
      <c r="J152" t="str">
        <f>IF(CALC_EEM!$B142="","",CALC_EEM!J142)</f>
      </c>
      <c r="K152" t="str">
        <f>IF(CALC_EEM!$B142="","",CALC_EEM!K142)</f>
      </c>
      <c r="L152">
        <f>IF(CALC_EEM!$B142="","",CALC_EEM!L142)</f>
      </c>
      <c r="M152">
        <f>IF(CALC_EEM!$B142="","",CALC_EEM!M142)</f>
      </c>
      <c r="N152">
        <f>IF(CALC_EEM!$B142="","",CALC_EEM!N142)</f>
      </c>
      <c r="O152">
        <f>IF(CALC_EEM!$B142="","",CALC_EEM!O142)</f>
      </c>
      <c r="P152">
        <f>IF(CALC_EEM!$B142="","",CALC_EEM!P142)</f>
      </c>
      <c r="Q152">
        <f>IF(CALC_EEM!$B142="","",CALC_EEM!Q142)</f>
      </c>
      <c r="R152">
        <f>IF(CALC_EEM!$B142="","",CALC_EEM!R142)</f>
      </c>
      <c r="S152">
        <f>IF(CALC_EEM!$B142="","",CALC_EEM!S142)</f>
      </c>
      <c r="T152">
        <f>IF(CALC_EEM!$B142="","",CALC_EEM!T142)</f>
      </c>
      <c r="U152">
        <f>IF(CALC_EEM!$B142="","",CALC_EEM!U142)</f>
      </c>
    </row>
    <row r="153" spans="1:24">
      <c r="A153" t="str">
        <f>IF(CALC_EEM!$B143="","",IF(CALC_EEM!A143="GLOBAL","GLOBAL",IF(CALC_EEM!C143="Total","CURSO_TOTAL",IF(CALC_EEM!C143="TotalEsp","CURSO_ESP",IF(CALC_EEM!C143="TotalNoEsp","CURSO_NOESP","CURSO_ASIG")))))</f>
      </c>
      <c r="B153" t="str">
        <f>IF(CALC_EEM!$B143="","",CALC_EEM!A143)</f>
      </c>
      <c r="C153" t="str">
        <f>IF(CALC_EEM!$B143="","",CALC_EEM!B143)</f>
      </c>
      <c r="D153">
        <f>IF(CALC_EEM!$B143="","",CALC_EEM!D143)</f>
      </c>
      <c r="E153" s="14" t="str">
        <f>IF(CALC_EEM!$B143="","",CALC_EEM!E143)</f>
      </c>
      <c r="F153" s="14" t="str">
        <f>IF(CALC_EEM!$B143="","",CALC_EEM!F143)</f>
      </c>
      <c r="G153" t="str">
        <f>IF(CALC_EEM!$B143="","",CALC_EEM!G143)</f>
      </c>
      <c r="H153" s="16" t="str">
        <f>IF(CALC_EEM!$B143="","",CALC_EEM!H143)</f>
      </c>
      <c r="I153" s="16" t="str">
        <f>IF(CALC_EEM!$B143="","",CALC_EEM!I143)</f>
      </c>
      <c r="J153" t="str">
        <f>IF(CALC_EEM!$B143="","",CALC_EEM!J143)</f>
      </c>
      <c r="K153" t="str">
        <f>IF(CALC_EEM!$B143="","",CALC_EEM!K143)</f>
      </c>
      <c r="L153">
        <f>IF(CALC_EEM!$B143="","",CALC_EEM!L143)</f>
      </c>
      <c r="M153">
        <f>IF(CALC_EEM!$B143="","",CALC_EEM!M143)</f>
      </c>
      <c r="N153">
        <f>IF(CALC_EEM!$B143="","",CALC_EEM!N143)</f>
      </c>
      <c r="O153">
        <f>IF(CALC_EEM!$B143="","",CALC_EEM!O143)</f>
      </c>
      <c r="P153">
        <f>IF(CALC_EEM!$B143="","",CALC_EEM!P143)</f>
      </c>
      <c r="Q153">
        <f>IF(CALC_EEM!$B143="","",CALC_EEM!Q143)</f>
      </c>
      <c r="R153">
        <f>IF(CALC_EEM!$B143="","",CALC_EEM!R143)</f>
      </c>
      <c r="S153">
        <f>IF(CALC_EEM!$B143="","",CALC_EEM!S143)</f>
      </c>
      <c r="T153">
        <f>IF(CALC_EEM!$B143="","",CALC_EEM!T143)</f>
      </c>
      <c r="U153">
        <f>IF(CALC_EEM!$B143="","",CALC_EEM!U143)</f>
      </c>
    </row>
    <row r="154" spans="1:24">
      <c r="A154" t="str">
        <f>IF(CALC_EEM!$B144="","",IF(CALC_EEM!A144="GLOBAL","GLOBAL",IF(CALC_EEM!C144="Total","CURSO_TOTAL",IF(CALC_EEM!C144="TotalEsp","CURSO_ESP",IF(CALC_EEM!C144="TotalNoEsp","CURSO_NOESP","CURSO_ASIG")))))</f>
      </c>
      <c r="B154" t="str">
        <f>IF(CALC_EEM!$B144="","",CALC_EEM!A144)</f>
      </c>
      <c r="C154" t="str">
        <f>IF(CALC_EEM!$B144="","",CALC_EEM!B144)</f>
      </c>
      <c r="D154">
        <f>IF(CALC_EEM!$B144="","",CALC_EEM!D144)</f>
      </c>
      <c r="E154" s="14" t="str">
        <f>IF(CALC_EEM!$B144="","",CALC_EEM!E144)</f>
      </c>
      <c r="F154" s="14" t="str">
        <f>IF(CALC_EEM!$B144="","",CALC_EEM!F144)</f>
      </c>
      <c r="G154" t="str">
        <f>IF(CALC_EEM!$B144="","",CALC_EEM!G144)</f>
      </c>
      <c r="H154" s="16" t="str">
        <f>IF(CALC_EEM!$B144="","",CALC_EEM!H144)</f>
      </c>
      <c r="I154" s="16" t="str">
        <f>IF(CALC_EEM!$B144="","",CALC_EEM!I144)</f>
      </c>
      <c r="J154" t="str">
        <f>IF(CALC_EEM!$B144="","",CALC_EEM!J144)</f>
      </c>
      <c r="K154" t="str">
        <f>IF(CALC_EEM!$B144="","",CALC_EEM!K144)</f>
      </c>
      <c r="L154">
        <f>IF(CALC_EEM!$B144="","",CALC_EEM!L144)</f>
      </c>
      <c r="M154">
        <f>IF(CALC_EEM!$B144="","",CALC_EEM!M144)</f>
      </c>
      <c r="N154">
        <f>IF(CALC_EEM!$B144="","",CALC_EEM!N144)</f>
      </c>
      <c r="O154">
        <f>IF(CALC_EEM!$B144="","",CALC_EEM!O144)</f>
      </c>
      <c r="P154">
        <f>IF(CALC_EEM!$B144="","",CALC_EEM!P144)</f>
      </c>
      <c r="Q154">
        <f>IF(CALC_EEM!$B144="","",CALC_EEM!Q144)</f>
      </c>
      <c r="R154">
        <f>IF(CALC_EEM!$B144="","",CALC_EEM!R144)</f>
      </c>
      <c r="S154">
        <f>IF(CALC_EEM!$B144="","",CALC_EEM!S144)</f>
      </c>
      <c r="T154">
        <f>IF(CALC_EEM!$B144="","",CALC_EEM!T144)</f>
      </c>
      <c r="U154">
        <f>IF(CALC_EEM!$B144="","",CALC_EEM!U144)</f>
      </c>
    </row>
    <row r="155" spans="1:24">
      <c r="A155" t="str">
        <f>IF(CALC_EEM!$B145="","",IF(CALC_EEM!A145="GLOBAL","GLOBAL",IF(CALC_EEM!C145="Total","CURSO_TOTAL",IF(CALC_EEM!C145="TotalEsp","CURSO_ESP",IF(CALC_EEM!C145="TotalNoEsp","CURSO_NOESP","CURSO_ASIG")))))</f>
      </c>
      <c r="B155" t="str">
        <f>IF(CALC_EEM!$B145="","",CALC_EEM!A145)</f>
      </c>
      <c r="C155" t="str">
        <f>IF(CALC_EEM!$B145="","",CALC_EEM!B145)</f>
      </c>
      <c r="D155">
        <f>IF(CALC_EEM!$B145="","",CALC_EEM!D145)</f>
      </c>
      <c r="E155" s="14" t="str">
        <f>IF(CALC_EEM!$B145="","",CALC_EEM!E145)</f>
      </c>
      <c r="F155" s="14" t="str">
        <f>IF(CALC_EEM!$B145="","",CALC_EEM!F145)</f>
      </c>
      <c r="G155" t="str">
        <f>IF(CALC_EEM!$B145="","",CALC_EEM!G145)</f>
      </c>
      <c r="H155" s="16" t="str">
        <f>IF(CALC_EEM!$B145="","",CALC_EEM!H145)</f>
      </c>
      <c r="I155" s="16" t="str">
        <f>IF(CALC_EEM!$B145="","",CALC_EEM!I145)</f>
      </c>
      <c r="J155" t="str">
        <f>IF(CALC_EEM!$B145="","",CALC_EEM!J145)</f>
      </c>
      <c r="K155" t="str">
        <f>IF(CALC_EEM!$B145="","",CALC_EEM!K145)</f>
      </c>
      <c r="L155">
        <f>IF(CALC_EEM!$B145="","",CALC_EEM!L145)</f>
      </c>
      <c r="M155">
        <f>IF(CALC_EEM!$B145="","",CALC_EEM!M145)</f>
      </c>
      <c r="N155">
        <f>IF(CALC_EEM!$B145="","",CALC_EEM!N145)</f>
      </c>
      <c r="O155">
        <f>IF(CALC_EEM!$B145="","",CALC_EEM!O145)</f>
      </c>
      <c r="P155">
        <f>IF(CALC_EEM!$B145="","",CALC_EEM!P145)</f>
      </c>
      <c r="Q155">
        <f>IF(CALC_EEM!$B145="","",CALC_EEM!Q145)</f>
      </c>
      <c r="R155">
        <f>IF(CALC_EEM!$B145="","",CALC_EEM!R145)</f>
      </c>
      <c r="S155">
        <f>IF(CALC_EEM!$B145="","",CALC_EEM!S145)</f>
      </c>
      <c r="T155">
        <f>IF(CALC_EEM!$B145="","",CALC_EEM!T145)</f>
      </c>
      <c r="U155">
        <f>IF(CALC_EEM!$B145="","",CALC_EEM!U145)</f>
      </c>
    </row>
    <row r="156" spans="1:24">
      <c r="A156" t="str">
        <f>IF(CALC_EEM!$B146="","",IF(CALC_EEM!A146="GLOBAL","GLOBAL",IF(CALC_EEM!C146="Total","CURSO_TOTAL",IF(CALC_EEM!C146="TotalEsp","CURSO_ESP",IF(CALC_EEM!C146="TotalNoEsp","CURSO_NOESP","CURSO_ASIG")))))</f>
      </c>
      <c r="B156" t="str">
        <f>IF(CALC_EEM!$B146="","",CALC_EEM!A146)</f>
      </c>
      <c r="C156" t="str">
        <f>IF(CALC_EEM!$B146="","",CALC_EEM!B146)</f>
      </c>
      <c r="D156">
        <f>IF(CALC_EEM!$B146="","",CALC_EEM!D146)</f>
      </c>
      <c r="E156" s="14" t="str">
        <f>IF(CALC_EEM!$B146="","",CALC_EEM!E146)</f>
      </c>
      <c r="F156" s="14" t="str">
        <f>IF(CALC_EEM!$B146="","",CALC_EEM!F146)</f>
      </c>
      <c r="G156" t="str">
        <f>IF(CALC_EEM!$B146="","",CALC_EEM!G146)</f>
      </c>
      <c r="H156" s="16" t="str">
        <f>IF(CALC_EEM!$B146="","",CALC_EEM!H146)</f>
      </c>
      <c r="I156" s="16" t="str">
        <f>IF(CALC_EEM!$B146="","",CALC_EEM!I146)</f>
      </c>
      <c r="J156" t="str">
        <f>IF(CALC_EEM!$B146="","",CALC_EEM!J146)</f>
      </c>
      <c r="K156" t="str">
        <f>IF(CALC_EEM!$B146="","",CALC_EEM!K146)</f>
      </c>
      <c r="L156">
        <f>IF(CALC_EEM!$B146="","",CALC_EEM!L146)</f>
      </c>
      <c r="M156">
        <f>IF(CALC_EEM!$B146="","",CALC_EEM!M146)</f>
      </c>
      <c r="N156">
        <f>IF(CALC_EEM!$B146="","",CALC_EEM!N146)</f>
      </c>
      <c r="O156">
        <f>IF(CALC_EEM!$B146="","",CALC_EEM!O146)</f>
      </c>
      <c r="P156">
        <f>IF(CALC_EEM!$B146="","",CALC_EEM!P146)</f>
      </c>
      <c r="Q156">
        <f>IF(CALC_EEM!$B146="","",CALC_EEM!Q146)</f>
      </c>
      <c r="R156">
        <f>IF(CALC_EEM!$B146="","",CALC_EEM!R146)</f>
      </c>
      <c r="S156">
        <f>IF(CALC_EEM!$B146="","",CALC_EEM!S146)</f>
      </c>
      <c r="T156">
        <f>IF(CALC_EEM!$B146="","",CALC_EEM!T146)</f>
      </c>
      <c r="U156">
        <f>IF(CALC_EEM!$B146="","",CALC_EEM!U146)</f>
      </c>
    </row>
    <row r="157" spans="1:24">
      <c r="A157" t="str">
        <f>IF(CALC_EEM!$B147="","",IF(CALC_EEM!A147="GLOBAL","GLOBAL",IF(CALC_EEM!C147="Total","CURSO_TOTAL",IF(CALC_EEM!C147="TotalEsp","CURSO_ESP",IF(CALC_EEM!C147="TotalNoEsp","CURSO_NOESP","CURSO_ASIG")))))</f>
      </c>
      <c r="B157" t="str">
        <f>IF(CALC_EEM!$B147="","",CALC_EEM!A147)</f>
      </c>
      <c r="C157" t="str">
        <f>IF(CALC_EEM!$B147="","",CALC_EEM!B147)</f>
      </c>
      <c r="D157">
        <f>IF(CALC_EEM!$B147="","",CALC_EEM!D147)</f>
      </c>
      <c r="E157" s="14" t="str">
        <f>IF(CALC_EEM!$B147="","",CALC_EEM!E147)</f>
      </c>
      <c r="F157" s="14" t="str">
        <f>IF(CALC_EEM!$B147="","",CALC_EEM!F147)</f>
      </c>
      <c r="G157" t="str">
        <f>IF(CALC_EEM!$B147="","",CALC_EEM!G147)</f>
      </c>
      <c r="H157" s="16" t="str">
        <f>IF(CALC_EEM!$B147="","",CALC_EEM!H147)</f>
      </c>
      <c r="I157" s="16" t="str">
        <f>IF(CALC_EEM!$B147="","",CALC_EEM!I147)</f>
      </c>
      <c r="J157" t="str">
        <f>IF(CALC_EEM!$B147="","",CALC_EEM!J147)</f>
      </c>
      <c r="K157" t="str">
        <f>IF(CALC_EEM!$B147="","",CALC_EEM!K147)</f>
      </c>
      <c r="L157">
        <f>IF(CALC_EEM!$B147="","",CALC_EEM!L147)</f>
      </c>
      <c r="M157">
        <f>IF(CALC_EEM!$B147="","",CALC_EEM!M147)</f>
      </c>
      <c r="N157">
        <f>IF(CALC_EEM!$B147="","",CALC_EEM!N147)</f>
      </c>
      <c r="O157">
        <f>IF(CALC_EEM!$B147="","",CALC_EEM!O147)</f>
      </c>
      <c r="P157">
        <f>IF(CALC_EEM!$B147="","",CALC_EEM!P147)</f>
      </c>
      <c r="Q157">
        <f>IF(CALC_EEM!$B147="","",CALC_EEM!Q147)</f>
      </c>
      <c r="R157">
        <f>IF(CALC_EEM!$B147="","",CALC_EEM!R147)</f>
      </c>
      <c r="S157">
        <f>IF(CALC_EEM!$B147="","",CALC_EEM!S147)</f>
      </c>
      <c r="T157">
        <f>IF(CALC_EEM!$B147="","",CALC_EEM!T147)</f>
      </c>
      <c r="U157">
        <f>IF(CALC_EEM!$B147="","",CALC_EEM!U147)</f>
      </c>
    </row>
    <row r="158" spans="1:24">
      <c r="A158" t="str">
        <f>IF(CALC_EEM!$B148="","",IF(CALC_EEM!A148="GLOBAL","GLOBAL",IF(CALC_EEM!C148="Total","CURSO_TOTAL",IF(CALC_EEM!C148="TotalEsp","CURSO_ESP",IF(CALC_EEM!C148="TotalNoEsp","CURSO_NOESP","CURSO_ASIG")))))</f>
      </c>
      <c r="B158" t="str">
        <f>IF(CALC_EEM!$B148="","",CALC_EEM!A148)</f>
      </c>
      <c r="C158" t="str">
        <f>IF(CALC_EEM!$B148="","",CALC_EEM!B148)</f>
      </c>
      <c r="D158">
        <f>IF(CALC_EEM!$B148="","",CALC_EEM!D148)</f>
      </c>
      <c r="E158" s="14" t="str">
        <f>IF(CALC_EEM!$B148="","",CALC_EEM!E148)</f>
      </c>
      <c r="F158" s="14" t="str">
        <f>IF(CALC_EEM!$B148="","",CALC_EEM!F148)</f>
      </c>
      <c r="G158" t="str">
        <f>IF(CALC_EEM!$B148="","",CALC_EEM!G148)</f>
      </c>
      <c r="H158" s="16" t="str">
        <f>IF(CALC_EEM!$B148="","",CALC_EEM!H148)</f>
      </c>
      <c r="I158" s="16" t="str">
        <f>IF(CALC_EEM!$B148="","",CALC_EEM!I148)</f>
      </c>
      <c r="J158" t="str">
        <f>IF(CALC_EEM!$B148="","",CALC_EEM!J148)</f>
      </c>
      <c r="K158" t="str">
        <f>IF(CALC_EEM!$B148="","",CALC_EEM!K148)</f>
      </c>
      <c r="L158">
        <f>IF(CALC_EEM!$B148="","",CALC_EEM!L148)</f>
      </c>
      <c r="M158">
        <f>IF(CALC_EEM!$B148="","",CALC_EEM!M148)</f>
      </c>
      <c r="N158">
        <f>IF(CALC_EEM!$B148="","",CALC_EEM!N148)</f>
      </c>
      <c r="O158">
        <f>IF(CALC_EEM!$B148="","",CALC_EEM!O148)</f>
      </c>
      <c r="P158">
        <f>IF(CALC_EEM!$B148="","",CALC_EEM!P148)</f>
      </c>
      <c r="Q158">
        <f>IF(CALC_EEM!$B148="","",CALC_EEM!Q148)</f>
      </c>
      <c r="R158">
        <f>IF(CALC_EEM!$B148="","",CALC_EEM!R148)</f>
      </c>
      <c r="S158">
        <f>IF(CALC_EEM!$B148="","",CALC_EEM!S148)</f>
      </c>
      <c r="T158">
        <f>IF(CALC_EEM!$B148="","",CALC_EEM!T148)</f>
      </c>
      <c r="U158">
        <f>IF(CALC_EEM!$B148="","",CALC_EEM!U148)</f>
      </c>
    </row>
    <row r="159" spans="1:24">
      <c r="A159" t="str">
        <f>IF(CALC_EEM!$B149="","",IF(CALC_EEM!A149="GLOBAL","GLOBAL",IF(CALC_EEM!C149="Total","CURSO_TOTAL",IF(CALC_EEM!C149="TotalEsp","CURSO_ESP",IF(CALC_EEM!C149="TotalNoEsp","CURSO_NOESP","CURSO_ASIG")))))</f>
      </c>
      <c r="B159" t="str">
        <f>IF(CALC_EEM!$B149="","",CALC_EEM!A149)</f>
      </c>
      <c r="C159" t="str">
        <f>IF(CALC_EEM!$B149="","",CALC_EEM!B149)</f>
      </c>
      <c r="D159">
        <f>IF(CALC_EEM!$B149="","",CALC_EEM!D149)</f>
      </c>
      <c r="E159" s="14" t="str">
        <f>IF(CALC_EEM!$B149="","",CALC_EEM!E149)</f>
      </c>
      <c r="F159" s="14" t="str">
        <f>IF(CALC_EEM!$B149="","",CALC_EEM!F149)</f>
      </c>
      <c r="G159" t="str">
        <f>IF(CALC_EEM!$B149="","",CALC_EEM!G149)</f>
      </c>
      <c r="H159" s="16" t="str">
        <f>IF(CALC_EEM!$B149="","",CALC_EEM!H149)</f>
      </c>
      <c r="I159" s="16" t="str">
        <f>IF(CALC_EEM!$B149="","",CALC_EEM!I149)</f>
      </c>
      <c r="J159" t="str">
        <f>IF(CALC_EEM!$B149="","",CALC_EEM!J149)</f>
      </c>
      <c r="K159" t="str">
        <f>IF(CALC_EEM!$B149="","",CALC_EEM!K149)</f>
      </c>
      <c r="L159">
        <f>IF(CALC_EEM!$B149="","",CALC_EEM!L149)</f>
      </c>
      <c r="M159">
        <f>IF(CALC_EEM!$B149="","",CALC_EEM!M149)</f>
      </c>
      <c r="N159">
        <f>IF(CALC_EEM!$B149="","",CALC_EEM!N149)</f>
      </c>
      <c r="O159">
        <f>IF(CALC_EEM!$B149="","",CALC_EEM!O149)</f>
      </c>
      <c r="P159">
        <f>IF(CALC_EEM!$B149="","",CALC_EEM!P149)</f>
      </c>
      <c r="Q159">
        <f>IF(CALC_EEM!$B149="","",CALC_EEM!Q149)</f>
      </c>
      <c r="R159">
        <f>IF(CALC_EEM!$B149="","",CALC_EEM!R149)</f>
      </c>
      <c r="S159">
        <f>IF(CALC_EEM!$B149="","",CALC_EEM!S149)</f>
      </c>
      <c r="T159">
        <f>IF(CALC_EEM!$B149="","",CALC_EEM!T149)</f>
      </c>
      <c r="U159">
        <f>IF(CALC_EEM!$B149="","",CALC_EEM!U149)</f>
      </c>
    </row>
    <row r="160" spans="1:24">
      <c r="A160" t="str">
        <f>IF(CALC_EEM!$B150="","",IF(CALC_EEM!A150="GLOBAL","GLOBAL",IF(CALC_EEM!C150="Total","CURSO_TOTAL",IF(CALC_EEM!C150="TotalEsp","CURSO_ESP",IF(CALC_EEM!C150="TotalNoEsp","CURSO_NOESP","CURSO_ASIG")))))</f>
      </c>
      <c r="B160" t="str">
        <f>IF(CALC_EEM!$B150="","",CALC_EEM!A150)</f>
      </c>
      <c r="C160" t="str">
        <f>IF(CALC_EEM!$B150="","",CALC_EEM!B150)</f>
      </c>
      <c r="D160">
        <f>IF(CALC_EEM!$B150="","",CALC_EEM!D150)</f>
      </c>
      <c r="E160" s="14" t="str">
        <f>IF(CALC_EEM!$B150="","",CALC_EEM!E150)</f>
      </c>
      <c r="F160" s="14" t="str">
        <f>IF(CALC_EEM!$B150="","",CALC_EEM!F150)</f>
      </c>
      <c r="G160" t="str">
        <f>IF(CALC_EEM!$B150="","",CALC_EEM!G150)</f>
      </c>
      <c r="H160" s="16" t="str">
        <f>IF(CALC_EEM!$B150="","",CALC_EEM!H150)</f>
      </c>
      <c r="I160" s="16" t="str">
        <f>IF(CALC_EEM!$B150="","",CALC_EEM!I150)</f>
      </c>
      <c r="J160" t="str">
        <f>IF(CALC_EEM!$B150="","",CALC_EEM!J150)</f>
      </c>
      <c r="K160" t="str">
        <f>IF(CALC_EEM!$B150="","",CALC_EEM!K150)</f>
      </c>
      <c r="L160">
        <f>IF(CALC_EEM!$B150="","",CALC_EEM!L150)</f>
      </c>
      <c r="M160">
        <f>IF(CALC_EEM!$B150="","",CALC_EEM!M150)</f>
      </c>
      <c r="N160">
        <f>IF(CALC_EEM!$B150="","",CALC_EEM!N150)</f>
      </c>
      <c r="O160">
        <f>IF(CALC_EEM!$B150="","",CALC_EEM!O150)</f>
      </c>
      <c r="P160">
        <f>IF(CALC_EEM!$B150="","",CALC_EEM!P150)</f>
      </c>
      <c r="Q160">
        <f>IF(CALC_EEM!$B150="","",CALC_EEM!Q150)</f>
      </c>
      <c r="R160">
        <f>IF(CALC_EEM!$B150="","",CALC_EEM!R150)</f>
      </c>
      <c r="S160">
        <f>IF(CALC_EEM!$B150="","",CALC_EEM!S150)</f>
      </c>
      <c r="T160">
        <f>IF(CALC_EEM!$B150="","",CALC_EEM!T150)</f>
      </c>
      <c r="U160">
        <f>IF(CALC_EEM!$B150="","",CALC_EEM!U150)</f>
      </c>
    </row>
    <row r="161" spans="1:24">
      <c r="A161" t="str">
        <f>IF(CALC_EEM!$B151="","",IF(CALC_EEM!A151="GLOBAL","GLOBAL",IF(CALC_EEM!C151="Total","CURSO_TOTAL",IF(CALC_EEM!C151="TotalEsp","CURSO_ESP",IF(CALC_EEM!C151="TotalNoEsp","CURSO_NOESP","CURSO_ASIG")))))</f>
      </c>
      <c r="B161" t="str">
        <f>IF(CALC_EEM!$B151="","",CALC_EEM!A151)</f>
      </c>
      <c r="C161" t="str">
        <f>IF(CALC_EEM!$B151="","",CALC_EEM!B151)</f>
      </c>
      <c r="D161">
        <f>IF(CALC_EEM!$B151="","",CALC_EEM!D151)</f>
      </c>
      <c r="E161" s="14" t="str">
        <f>IF(CALC_EEM!$B151="","",CALC_EEM!E151)</f>
      </c>
      <c r="F161" s="14" t="str">
        <f>IF(CALC_EEM!$B151="","",CALC_EEM!F151)</f>
      </c>
      <c r="G161" t="str">
        <f>IF(CALC_EEM!$B151="","",CALC_EEM!G151)</f>
      </c>
      <c r="H161" s="16" t="str">
        <f>IF(CALC_EEM!$B151="","",CALC_EEM!H151)</f>
      </c>
      <c r="I161" s="16" t="str">
        <f>IF(CALC_EEM!$B151="","",CALC_EEM!I151)</f>
      </c>
      <c r="J161" t="str">
        <f>IF(CALC_EEM!$B151="","",CALC_EEM!J151)</f>
      </c>
      <c r="K161" t="str">
        <f>IF(CALC_EEM!$B151="","",CALC_EEM!K151)</f>
      </c>
      <c r="L161">
        <f>IF(CALC_EEM!$B151="","",CALC_EEM!L151)</f>
      </c>
      <c r="M161">
        <f>IF(CALC_EEM!$B151="","",CALC_EEM!M151)</f>
      </c>
      <c r="N161">
        <f>IF(CALC_EEM!$B151="","",CALC_EEM!N151)</f>
      </c>
      <c r="O161">
        <f>IF(CALC_EEM!$B151="","",CALC_EEM!O151)</f>
      </c>
      <c r="P161">
        <f>IF(CALC_EEM!$B151="","",CALC_EEM!P151)</f>
      </c>
      <c r="Q161">
        <f>IF(CALC_EEM!$B151="","",CALC_EEM!Q151)</f>
      </c>
      <c r="R161">
        <f>IF(CALC_EEM!$B151="","",CALC_EEM!R151)</f>
      </c>
      <c r="S161">
        <f>IF(CALC_EEM!$B151="","",CALC_EEM!S151)</f>
      </c>
      <c r="T161">
        <f>IF(CALC_EEM!$B151="","",CALC_EEM!T151)</f>
      </c>
      <c r="U161">
        <f>IF(CALC_EEM!$B151="","",CALC_EEM!U151)</f>
      </c>
    </row>
    <row r="162" spans="1:24">
      <c r="A162" t="str">
        <f>IF(CALC_EEM!$B152="","",IF(CALC_EEM!A152="GLOBAL","GLOBAL",IF(CALC_EEM!C152="Total","CURSO_TOTAL",IF(CALC_EEM!C152="TotalEsp","CURSO_ESP",IF(CALC_EEM!C152="TotalNoEsp","CURSO_NOESP","CURSO_ASIG")))))</f>
      </c>
      <c r="B162" t="str">
        <f>IF(CALC_EEM!$B152="","",CALC_EEM!A152)</f>
      </c>
      <c r="C162" t="str">
        <f>IF(CALC_EEM!$B152="","",CALC_EEM!B152)</f>
      </c>
      <c r="D162">
        <f>IF(CALC_EEM!$B152="","",CALC_EEM!D152)</f>
      </c>
      <c r="E162" s="14" t="str">
        <f>IF(CALC_EEM!$B152="","",CALC_EEM!E152)</f>
      </c>
      <c r="F162" s="14" t="str">
        <f>IF(CALC_EEM!$B152="","",CALC_EEM!F152)</f>
      </c>
      <c r="G162" t="str">
        <f>IF(CALC_EEM!$B152="","",CALC_EEM!G152)</f>
      </c>
      <c r="H162" s="16" t="str">
        <f>IF(CALC_EEM!$B152="","",CALC_EEM!H152)</f>
      </c>
      <c r="I162" s="16" t="str">
        <f>IF(CALC_EEM!$B152="","",CALC_EEM!I152)</f>
      </c>
      <c r="J162" t="str">
        <f>IF(CALC_EEM!$B152="","",CALC_EEM!J152)</f>
      </c>
      <c r="K162" t="str">
        <f>IF(CALC_EEM!$B152="","",CALC_EEM!K152)</f>
      </c>
      <c r="L162">
        <f>IF(CALC_EEM!$B152="","",CALC_EEM!L152)</f>
      </c>
      <c r="M162">
        <f>IF(CALC_EEM!$B152="","",CALC_EEM!M152)</f>
      </c>
      <c r="N162">
        <f>IF(CALC_EEM!$B152="","",CALC_EEM!N152)</f>
      </c>
      <c r="O162">
        <f>IF(CALC_EEM!$B152="","",CALC_EEM!O152)</f>
      </c>
      <c r="P162">
        <f>IF(CALC_EEM!$B152="","",CALC_EEM!P152)</f>
      </c>
      <c r="Q162">
        <f>IF(CALC_EEM!$B152="","",CALC_EEM!Q152)</f>
      </c>
      <c r="R162">
        <f>IF(CALC_EEM!$B152="","",CALC_EEM!R152)</f>
      </c>
      <c r="S162">
        <f>IF(CALC_EEM!$B152="","",CALC_EEM!S152)</f>
      </c>
      <c r="T162">
        <f>IF(CALC_EEM!$B152="","",CALC_EEM!T152)</f>
      </c>
      <c r="U162">
        <f>IF(CALC_EEM!$B152="","",CALC_EEM!U152)</f>
      </c>
    </row>
    <row r="163" spans="1:24">
      <c r="A163" t="str">
        <f>IF(CALC_EEM!$B153="","",IF(CALC_EEM!A153="GLOBAL","GLOBAL",IF(CALC_EEM!C153="Total","CURSO_TOTAL",IF(CALC_EEM!C153="TotalEsp","CURSO_ESP",IF(CALC_EEM!C153="TotalNoEsp","CURSO_NOESP","CURSO_ASIG")))))</f>
      </c>
      <c r="B163" t="str">
        <f>IF(CALC_EEM!$B153="","",CALC_EEM!A153)</f>
      </c>
      <c r="C163" t="str">
        <f>IF(CALC_EEM!$B153="","",CALC_EEM!B153)</f>
      </c>
      <c r="D163">
        <f>IF(CALC_EEM!$B153="","",CALC_EEM!D153)</f>
      </c>
      <c r="E163" s="14" t="str">
        <f>IF(CALC_EEM!$B153="","",CALC_EEM!E153)</f>
      </c>
      <c r="F163" s="14" t="str">
        <f>IF(CALC_EEM!$B153="","",CALC_EEM!F153)</f>
      </c>
      <c r="G163" t="str">
        <f>IF(CALC_EEM!$B153="","",CALC_EEM!G153)</f>
      </c>
      <c r="H163" s="16" t="str">
        <f>IF(CALC_EEM!$B153="","",CALC_EEM!H153)</f>
      </c>
      <c r="I163" s="16" t="str">
        <f>IF(CALC_EEM!$B153="","",CALC_EEM!I153)</f>
      </c>
      <c r="J163" t="str">
        <f>IF(CALC_EEM!$B153="","",CALC_EEM!J153)</f>
      </c>
      <c r="K163" t="str">
        <f>IF(CALC_EEM!$B153="","",CALC_EEM!K153)</f>
      </c>
      <c r="L163">
        <f>IF(CALC_EEM!$B153="","",CALC_EEM!L153)</f>
      </c>
      <c r="M163">
        <f>IF(CALC_EEM!$B153="","",CALC_EEM!M153)</f>
      </c>
      <c r="N163">
        <f>IF(CALC_EEM!$B153="","",CALC_EEM!N153)</f>
      </c>
      <c r="O163">
        <f>IF(CALC_EEM!$B153="","",CALC_EEM!O153)</f>
      </c>
      <c r="P163">
        <f>IF(CALC_EEM!$B153="","",CALC_EEM!P153)</f>
      </c>
      <c r="Q163">
        <f>IF(CALC_EEM!$B153="","",CALC_EEM!Q153)</f>
      </c>
      <c r="R163">
        <f>IF(CALC_EEM!$B153="","",CALC_EEM!R153)</f>
      </c>
      <c r="S163">
        <f>IF(CALC_EEM!$B153="","",CALC_EEM!S153)</f>
      </c>
      <c r="T163">
        <f>IF(CALC_EEM!$B153="","",CALC_EEM!T153)</f>
      </c>
      <c r="U163">
        <f>IF(CALC_EEM!$B153="","",CALC_EEM!U153)</f>
      </c>
    </row>
    <row r="164" spans="1:24">
      <c r="A164" t="str">
        <f>IF(CALC_EEM!$B154="","",IF(CALC_EEM!A154="GLOBAL","GLOBAL",IF(CALC_EEM!C154="Total","CURSO_TOTAL",IF(CALC_EEM!C154="TotalEsp","CURSO_ESP",IF(CALC_EEM!C154="TotalNoEsp","CURSO_NOESP","CURSO_ASIG")))))</f>
      </c>
      <c r="B164" t="str">
        <f>IF(CALC_EEM!$B154="","",CALC_EEM!A154)</f>
      </c>
      <c r="C164" t="str">
        <f>IF(CALC_EEM!$B154="","",CALC_EEM!B154)</f>
      </c>
      <c r="D164">
        <f>IF(CALC_EEM!$B154="","",CALC_EEM!D154)</f>
      </c>
      <c r="E164" s="14" t="str">
        <f>IF(CALC_EEM!$B154="","",CALC_EEM!E154)</f>
      </c>
      <c r="F164" s="14" t="str">
        <f>IF(CALC_EEM!$B154="","",CALC_EEM!F154)</f>
      </c>
      <c r="G164" t="str">
        <f>IF(CALC_EEM!$B154="","",CALC_EEM!G154)</f>
      </c>
      <c r="H164" s="16" t="str">
        <f>IF(CALC_EEM!$B154="","",CALC_EEM!H154)</f>
      </c>
      <c r="I164" s="16" t="str">
        <f>IF(CALC_EEM!$B154="","",CALC_EEM!I154)</f>
      </c>
      <c r="J164" t="str">
        <f>IF(CALC_EEM!$B154="","",CALC_EEM!J154)</f>
      </c>
      <c r="K164" t="str">
        <f>IF(CALC_EEM!$B154="","",CALC_EEM!K154)</f>
      </c>
      <c r="L164">
        <f>IF(CALC_EEM!$B154="","",CALC_EEM!L154)</f>
      </c>
      <c r="M164">
        <f>IF(CALC_EEM!$B154="","",CALC_EEM!M154)</f>
      </c>
      <c r="N164">
        <f>IF(CALC_EEM!$B154="","",CALC_EEM!N154)</f>
      </c>
      <c r="O164">
        <f>IF(CALC_EEM!$B154="","",CALC_EEM!O154)</f>
      </c>
      <c r="P164">
        <f>IF(CALC_EEM!$B154="","",CALC_EEM!P154)</f>
      </c>
      <c r="Q164">
        <f>IF(CALC_EEM!$B154="","",CALC_EEM!Q154)</f>
      </c>
      <c r="R164">
        <f>IF(CALC_EEM!$B154="","",CALC_EEM!R154)</f>
      </c>
      <c r="S164">
        <f>IF(CALC_EEM!$B154="","",CALC_EEM!S154)</f>
      </c>
      <c r="T164">
        <f>IF(CALC_EEM!$B154="","",CALC_EEM!T154)</f>
      </c>
      <c r="U164">
        <f>IF(CALC_EEM!$B154="","",CALC_EEM!U154)</f>
      </c>
    </row>
    <row r="165" spans="1:24">
      <c r="A165" t="str">
        <f>IF(CALC_EEM!$B155="","",IF(CALC_EEM!A155="GLOBAL","GLOBAL",IF(CALC_EEM!C155="Total","CURSO_TOTAL",IF(CALC_EEM!C155="TotalEsp","CURSO_ESP",IF(CALC_EEM!C155="TotalNoEsp","CURSO_NOESP","CURSO_ASIG")))))</f>
      </c>
      <c r="B165" t="str">
        <f>IF(CALC_EEM!$B155="","",CALC_EEM!A155)</f>
      </c>
      <c r="C165" t="str">
        <f>IF(CALC_EEM!$B155="","",CALC_EEM!B155)</f>
      </c>
      <c r="D165">
        <f>IF(CALC_EEM!$B155="","",CALC_EEM!D155)</f>
      </c>
      <c r="E165" s="14" t="str">
        <f>IF(CALC_EEM!$B155="","",CALC_EEM!E155)</f>
      </c>
      <c r="F165" s="14" t="str">
        <f>IF(CALC_EEM!$B155="","",CALC_EEM!F155)</f>
      </c>
      <c r="G165" t="str">
        <f>IF(CALC_EEM!$B155="","",CALC_EEM!G155)</f>
      </c>
      <c r="H165" s="16" t="str">
        <f>IF(CALC_EEM!$B155="","",CALC_EEM!H155)</f>
      </c>
      <c r="I165" s="16" t="str">
        <f>IF(CALC_EEM!$B155="","",CALC_EEM!I155)</f>
      </c>
      <c r="J165" t="str">
        <f>IF(CALC_EEM!$B155="","",CALC_EEM!J155)</f>
      </c>
      <c r="K165" t="str">
        <f>IF(CALC_EEM!$B155="","",CALC_EEM!K155)</f>
      </c>
      <c r="L165">
        <f>IF(CALC_EEM!$B155="","",CALC_EEM!L155)</f>
      </c>
      <c r="M165">
        <f>IF(CALC_EEM!$B155="","",CALC_EEM!M155)</f>
      </c>
      <c r="N165">
        <f>IF(CALC_EEM!$B155="","",CALC_EEM!N155)</f>
      </c>
      <c r="O165">
        <f>IF(CALC_EEM!$B155="","",CALC_EEM!O155)</f>
      </c>
      <c r="P165">
        <f>IF(CALC_EEM!$B155="","",CALC_EEM!P155)</f>
      </c>
      <c r="Q165">
        <f>IF(CALC_EEM!$B155="","",CALC_EEM!Q155)</f>
      </c>
      <c r="R165">
        <f>IF(CALC_EEM!$B155="","",CALC_EEM!R155)</f>
      </c>
      <c r="S165">
        <f>IF(CALC_EEM!$B155="","",CALC_EEM!S155)</f>
      </c>
      <c r="T165">
        <f>IF(CALC_EEM!$B155="","",CALC_EEM!T155)</f>
      </c>
      <c r="U165">
        <f>IF(CALC_EEM!$B155="","",CALC_EEM!U155)</f>
      </c>
    </row>
    <row r="166" spans="1:24">
      <c r="A166" t="str">
        <f>IF(CALC_EEM!$B156="","",IF(CALC_EEM!A156="GLOBAL","GLOBAL",IF(CALC_EEM!C156="Total","CURSO_TOTAL",IF(CALC_EEM!C156="TotalEsp","CURSO_ESP",IF(CALC_EEM!C156="TotalNoEsp","CURSO_NOESP","CURSO_ASIG")))))</f>
      </c>
      <c r="B166" t="str">
        <f>IF(CALC_EEM!$B156="","",CALC_EEM!A156)</f>
      </c>
      <c r="C166" t="str">
        <f>IF(CALC_EEM!$B156="","",CALC_EEM!B156)</f>
      </c>
      <c r="D166">
        <f>IF(CALC_EEM!$B156="","",CALC_EEM!D156)</f>
      </c>
      <c r="E166" s="14" t="str">
        <f>IF(CALC_EEM!$B156="","",CALC_EEM!E156)</f>
      </c>
      <c r="F166" s="14" t="str">
        <f>IF(CALC_EEM!$B156="","",CALC_EEM!F156)</f>
      </c>
      <c r="G166" t="str">
        <f>IF(CALC_EEM!$B156="","",CALC_EEM!G156)</f>
      </c>
      <c r="H166" s="16" t="str">
        <f>IF(CALC_EEM!$B156="","",CALC_EEM!H156)</f>
      </c>
      <c r="I166" s="16" t="str">
        <f>IF(CALC_EEM!$B156="","",CALC_EEM!I156)</f>
      </c>
      <c r="J166" t="str">
        <f>IF(CALC_EEM!$B156="","",CALC_EEM!J156)</f>
      </c>
      <c r="K166" t="str">
        <f>IF(CALC_EEM!$B156="","",CALC_EEM!K156)</f>
      </c>
      <c r="L166">
        <f>IF(CALC_EEM!$B156="","",CALC_EEM!L156)</f>
      </c>
      <c r="M166">
        <f>IF(CALC_EEM!$B156="","",CALC_EEM!M156)</f>
      </c>
      <c r="N166">
        <f>IF(CALC_EEM!$B156="","",CALC_EEM!N156)</f>
      </c>
      <c r="O166">
        <f>IF(CALC_EEM!$B156="","",CALC_EEM!O156)</f>
      </c>
      <c r="P166">
        <f>IF(CALC_EEM!$B156="","",CALC_EEM!P156)</f>
      </c>
      <c r="Q166">
        <f>IF(CALC_EEM!$B156="","",CALC_EEM!Q156)</f>
      </c>
      <c r="R166">
        <f>IF(CALC_EEM!$B156="","",CALC_EEM!R156)</f>
      </c>
      <c r="S166">
        <f>IF(CALC_EEM!$B156="","",CALC_EEM!S156)</f>
      </c>
      <c r="T166">
        <f>IF(CALC_EEM!$B156="","",CALC_EEM!T156)</f>
      </c>
      <c r="U166">
        <f>IF(CALC_EEM!$B156="","",CALC_EEM!U156)</f>
      </c>
    </row>
    <row r="167" spans="1:24">
      <c r="A167" t="str">
        <f>IF(CALC_EEM!$B157="","",IF(CALC_EEM!A157="GLOBAL","GLOBAL",IF(CALC_EEM!C157="Total","CURSO_TOTAL",IF(CALC_EEM!C157="TotalEsp","CURSO_ESP",IF(CALC_EEM!C157="TotalNoEsp","CURSO_NOESP","CURSO_ASIG")))))</f>
      </c>
      <c r="B167" t="str">
        <f>IF(CALC_EEM!$B157="","",CALC_EEM!A157)</f>
      </c>
      <c r="C167" t="str">
        <f>IF(CALC_EEM!$B157="","",CALC_EEM!B157)</f>
      </c>
      <c r="D167">
        <f>IF(CALC_EEM!$B157="","",CALC_EEM!D157)</f>
      </c>
      <c r="E167" s="14" t="str">
        <f>IF(CALC_EEM!$B157="","",CALC_EEM!E157)</f>
      </c>
      <c r="F167" s="14" t="str">
        <f>IF(CALC_EEM!$B157="","",CALC_EEM!F157)</f>
      </c>
      <c r="G167" t="str">
        <f>IF(CALC_EEM!$B157="","",CALC_EEM!G157)</f>
      </c>
      <c r="H167" s="16" t="str">
        <f>IF(CALC_EEM!$B157="","",CALC_EEM!H157)</f>
      </c>
      <c r="I167" s="16" t="str">
        <f>IF(CALC_EEM!$B157="","",CALC_EEM!I157)</f>
      </c>
      <c r="J167" t="str">
        <f>IF(CALC_EEM!$B157="","",CALC_EEM!J157)</f>
      </c>
      <c r="K167" t="str">
        <f>IF(CALC_EEM!$B157="","",CALC_EEM!K157)</f>
      </c>
      <c r="L167">
        <f>IF(CALC_EEM!$B157="","",CALC_EEM!L157)</f>
      </c>
      <c r="M167">
        <f>IF(CALC_EEM!$B157="","",CALC_EEM!M157)</f>
      </c>
      <c r="N167">
        <f>IF(CALC_EEM!$B157="","",CALC_EEM!N157)</f>
      </c>
      <c r="O167">
        <f>IF(CALC_EEM!$B157="","",CALC_EEM!O157)</f>
      </c>
      <c r="P167">
        <f>IF(CALC_EEM!$B157="","",CALC_EEM!P157)</f>
      </c>
      <c r="Q167">
        <f>IF(CALC_EEM!$B157="","",CALC_EEM!Q157)</f>
      </c>
      <c r="R167">
        <f>IF(CALC_EEM!$B157="","",CALC_EEM!R157)</f>
      </c>
      <c r="S167">
        <f>IF(CALC_EEM!$B157="","",CALC_EEM!S157)</f>
      </c>
      <c r="T167">
        <f>IF(CALC_EEM!$B157="","",CALC_EEM!T157)</f>
      </c>
      <c r="U167">
        <f>IF(CALC_EEM!$B157="","",CALC_EEM!U157)</f>
      </c>
    </row>
    <row r="168" spans="1:24">
      <c r="A168" t="str">
        <f>IF(CALC_EEM!$B158="","",IF(CALC_EEM!A158="GLOBAL","GLOBAL",IF(CALC_EEM!C158="Total","CURSO_TOTAL",IF(CALC_EEM!C158="TotalEsp","CURSO_ESP",IF(CALC_EEM!C158="TotalNoEsp","CURSO_NOESP","CURSO_ASIG")))))</f>
      </c>
      <c r="B168" t="str">
        <f>IF(CALC_EEM!$B158="","",CALC_EEM!A158)</f>
      </c>
      <c r="C168" t="str">
        <f>IF(CALC_EEM!$B158="","",CALC_EEM!B158)</f>
      </c>
      <c r="D168">
        <f>IF(CALC_EEM!$B158="","",CALC_EEM!D158)</f>
      </c>
      <c r="E168" s="14" t="str">
        <f>IF(CALC_EEM!$B158="","",CALC_EEM!E158)</f>
      </c>
      <c r="F168" s="14" t="str">
        <f>IF(CALC_EEM!$B158="","",CALC_EEM!F158)</f>
      </c>
      <c r="G168" t="str">
        <f>IF(CALC_EEM!$B158="","",CALC_EEM!G158)</f>
      </c>
      <c r="H168" s="16" t="str">
        <f>IF(CALC_EEM!$B158="","",CALC_EEM!H158)</f>
      </c>
      <c r="I168" s="16" t="str">
        <f>IF(CALC_EEM!$B158="","",CALC_EEM!I158)</f>
      </c>
      <c r="J168" t="str">
        <f>IF(CALC_EEM!$B158="","",CALC_EEM!J158)</f>
      </c>
      <c r="K168" t="str">
        <f>IF(CALC_EEM!$B158="","",CALC_EEM!K158)</f>
      </c>
      <c r="L168">
        <f>IF(CALC_EEM!$B158="","",CALC_EEM!L158)</f>
      </c>
      <c r="M168">
        <f>IF(CALC_EEM!$B158="","",CALC_EEM!M158)</f>
      </c>
      <c r="N168">
        <f>IF(CALC_EEM!$B158="","",CALC_EEM!N158)</f>
      </c>
      <c r="O168">
        <f>IF(CALC_EEM!$B158="","",CALC_EEM!O158)</f>
      </c>
      <c r="P168">
        <f>IF(CALC_EEM!$B158="","",CALC_EEM!P158)</f>
      </c>
      <c r="Q168">
        <f>IF(CALC_EEM!$B158="","",CALC_EEM!Q158)</f>
      </c>
      <c r="R168">
        <f>IF(CALC_EEM!$B158="","",CALC_EEM!R158)</f>
      </c>
      <c r="S168">
        <f>IF(CALC_EEM!$B158="","",CALC_EEM!S158)</f>
      </c>
      <c r="T168">
        <f>IF(CALC_EEM!$B158="","",CALC_EEM!T158)</f>
      </c>
      <c r="U168">
        <f>IF(CALC_EEM!$B158="","",CALC_EEM!U158)</f>
      </c>
    </row>
    <row r="169" spans="1:24">
      <c r="A169" t="str">
        <f>IF(CALC_EEM!$B159="","",IF(CALC_EEM!A159="GLOBAL","GLOBAL",IF(CALC_EEM!C159="Total","CURSO_TOTAL",IF(CALC_EEM!C159="TotalEsp","CURSO_ESP",IF(CALC_EEM!C159="TotalNoEsp","CURSO_NOESP","CURSO_ASIG")))))</f>
      </c>
      <c r="B169" t="str">
        <f>IF(CALC_EEM!$B159="","",CALC_EEM!A159)</f>
      </c>
      <c r="C169" t="str">
        <f>IF(CALC_EEM!$B159="","",CALC_EEM!B159)</f>
      </c>
      <c r="D169">
        <f>IF(CALC_EEM!$B159="","",CALC_EEM!D159)</f>
      </c>
      <c r="E169" s="14" t="str">
        <f>IF(CALC_EEM!$B159="","",CALC_EEM!E159)</f>
      </c>
      <c r="F169" s="14" t="str">
        <f>IF(CALC_EEM!$B159="","",CALC_EEM!F159)</f>
      </c>
      <c r="G169" t="str">
        <f>IF(CALC_EEM!$B159="","",CALC_EEM!G159)</f>
      </c>
      <c r="H169" s="16" t="str">
        <f>IF(CALC_EEM!$B159="","",CALC_EEM!H159)</f>
      </c>
      <c r="I169" s="16" t="str">
        <f>IF(CALC_EEM!$B159="","",CALC_EEM!I159)</f>
      </c>
      <c r="J169" t="str">
        <f>IF(CALC_EEM!$B159="","",CALC_EEM!J159)</f>
      </c>
      <c r="K169" t="str">
        <f>IF(CALC_EEM!$B159="","",CALC_EEM!K159)</f>
      </c>
      <c r="L169">
        <f>IF(CALC_EEM!$B159="","",CALC_EEM!L159)</f>
      </c>
      <c r="M169">
        <f>IF(CALC_EEM!$B159="","",CALC_EEM!M159)</f>
      </c>
      <c r="N169">
        <f>IF(CALC_EEM!$B159="","",CALC_EEM!N159)</f>
      </c>
      <c r="O169">
        <f>IF(CALC_EEM!$B159="","",CALC_EEM!O159)</f>
      </c>
      <c r="P169">
        <f>IF(CALC_EEM!$B159="","",CALC_EEM!P159)</f>
      </c>
      <c r="Q169">
        <f>IF(CALC_EEM!$B159="","",CALC_EEM!Q159)</f>
      </c>
      <c r="R169">
        <f>IF(CALC_EEM!$B159="","",CALC_EEM!R159)</f>
      </c>
      <c r="S169">
        <f>IF(CALC_EEM!$B159="","",CALC_EEM!S159)</f>
      </c>
      <c r="T169">
        <f>IF(CALC_EEM!$B159="","",CALC_EEM!T159)</f>
      </c>
      <c r="U169">
        <f>IF(CALC_EEM!$B159="","",CALC_EEM!U159)</f>
      </c>
    </row>
    <row r="170" spans="1:24">
      <c r="A170" t="str">
        <f>IF(CALC_EEM!$B160="","",IF(CALC_EEM!A160="GLOBAL","GLOBAL",IF(CALC_EEM!C160="Total","CURSO_TOTAL",IF(CALC_EEM!C160="TotalEsp","CURSO_ESP",IF(CALC_EEM!C160="TotalNoEsp","CURSO_NOESP","CURSO_ASIG")))))</f>
      </c>
      <c r="B170" t="str">
        <f>IF(CALC_EEM!$B160="","",CALC_EEM!A160)</f>
      </c>
      <c r="C170" t="str">
        <f>IF(CALC_EEM!$B160="","",CALC_EEM!B160)</f>
      </c>
      <c r="D170">
        <f>IF(CALC_EEM!$B160="","",CALC_EEM!D160)</f>
      </c>
      <c r="E170" s="14" t="str">
        <f>IF(CALC_EEM!$B160="","",CALC_EEM!E160)</f>
      </c>
      <c r="F170" s="14" t="str">
        <f>IF(CALC_EEM!$B160="","",CALC_EEM!F160)</f>
      </c>
      <c r="G170" t="str">
        <f>IF(CALC_EEM!$B160="","",CALC_EEM!G160)</f>
      </c>
      <c r="H170" s="16" t="str">
        <f>IF(CALC_EEM!$B160="","",CALC_EEM!H160)</f>
      </c>
      <c r="I170" s="16" t="str">
        <f>IF(CALC_EEM!$B160="","",CALC_EEM!I160)</f>
      </c>
      <c r="J170" t="str">
        <f>IF(CALC_EEM!$B160="","",CALC_EEM!J160)</f>
      </c>
      <c r="K170" t="str">
        <f>IF(CALC_EEM!$B160="","",CALC_EEM!K160)</f>
      </c>
      <c r="L170">
        <f>IF(CALC_EEM!$B160="","",CALC_EEM!L160)</f>
      </c>
      <c r="M170">
        <f>IF(CALC_EEM!$B160="","",CALC_EEM!M160)</f>
      </c>
      <c r="N170">
        <f>IF(CALC_EEM!$B160="","",CALC_EEM!N160)</f>
      </c>
      <c r="O170">
        <f>IF(CALC_EEM!$B160="","",CALC_EEM!O160)</f>
      </c>
      <c r="P170">
        <f>IF(CALC_EEM!$B160="","",CALC_EEM!P160)</f>
      </c>
      <c r="Q170">
        <f>IF(CALC_EEM!$B160="","",CALC_EEM!Q160)</f>
      </c>
      <c r="R170">
        <f>IF(CALC_EEM!$B160="","",CALC_EEM!R160)</f>
      </c>
      <c r="S170">
        <f>IF(CALC_EEM!$B160="","",CALC_EEM!S160)</f>
      </c>
      <c r="T170">
        <f>IF(CALC_EEM!$B160="","",CALC_EEM!T160)</f>
      </c>
      <c r="U170">
        <f>IF(CALC_EEM!$B160="","",CALC_EEM!U160)</f>
      </c>
    </row>
    <row r="171" spans="1:24">
      <c r="A171" t="str">
        <f>IF(CALC_EEM!$B161="","",IF(CALC_EEM!A161="GLOBAL","GLOBAL",IF(CALC_EEM!C161="Total","CURSO_TOTAL",IF(CALC_EEM!C161="TotalEsp","CURSO_ESP",IF(CALC_EEM!C161="TotalNoEsp","CURSO_NOESP","CURSO_ASIG")))))</f>
      </c>
      <c r="B171" t="str">
        <f>IF(CALC_EEM!$B161="","",CALC_EEM!A161)</f>
      </c>
      <c r="C171" t="str">
        <f>IF(CALC_EEM!$B161="","",CALC_EEM!B161)</f>
      </c>
      <c r="D171">
        <f>IF(CALC_EEM!$B161="","",CALC_EEM!D161)</f>
      </c>
      <c r="E171" s="14" t="str">
        <f>IF(CALC_EEM!$B161="","",CALC_EEM!E161)</f>
      </c>
      <c r="F171" s="14" t="str">
        <f>IF(CALC_EEM!$B161="","",CALC_EEM!F161)</f>
      </c>
      <c r="G171" t="str">
        <f>IF(CALC_EEM!$B161="","",CALC_EEM!G161)</f>
      </c>
      <c r="H171" s="16" t="str">
        <f>IF(CALC_EEM!$B161="","",CALC_EEM!H161)</f>
      </c>
      <c r="I171" s="16" t="str">
        <f>IF(CALC_EEM!$B161="","",CALC_EEM!I161)</f>
      </c>
      <c r="J171" t="str">
        <f>IF(CALC_EEM!$B161="","",CALC_EEM!J161)</f>
      </c>
      <c r="K171" t="str">
        <f>IF(CALC_EEM!$B161="","",CALC_EEM!K161)</f>
      </c>
      <c r="L171">
        <f>IF(CALC_EEM!$B161="","",CALC_EEM!L161)</f>
      </c>
      <c r="M171">
        <f>IF(CALC_EEM!$B161="","",CALC_EEM!M161)</f>
      </c>
      <c r="N171">
        <f>IF(CALC_EEM!$B161="","",CALC_EEM!N161)</f>
      </c>
      <c r="O171">
        <f>IF(CALC_EEM!$B161="","",CALC_EEM!O161)</f>
      </c>
      <c r="P171">
        <f>IF(CALC_EEM!$B161="","",CALC_EEM!P161)</f>
      </c>
      <c r="Q171">
        <f>IF(CALC_EEM!$B161="","",CALC_EEM!Q161)</f>
      </c>
      <c r="R171">
        <f>IF(CALC_EEM!$B161="","",CALC_EEM!R161)</f>
      </c>
      <c r="S171">
        <f>IF(CALC_EEM!$B161="","",CALC_EEM!S161)</f>
      </c>
      <c r="T171">
        <f>IF(CALC_EEM!$B161="","",CALC_EEM!T161)</f>
      </c>
      <c r="U171">
        <f>IF(CALC_EEM!$B161="","",CALC_EEM!U161)</f>
      </c>
    </row>
    <row r="172" spans="1:24">
      <c r="A172" t="str">
        <f>IF(CALC_EEM!$B162="","",IF(CALC_EEM!A162="GLOBAL","GLOBAL",IF(CALC_EEM!C162="Total","CURSO_TOTAL",IF(CALC_EEM!C162="TotalEsp","CURSO_ESP",IF(CALC_EEM!C162="TotalNoEsp","CURSO_NOESP","CURSO_ASIG")))))</f>
      </c>
      <c r="B172" t="str">
        <f>IF(CALC_EEM!$B162="","",CALC_EEM!A162)</f>
      </c>
      <c r="C172" t="str">
        <f>IF(CALC_EEM!$B162="","",CALC_EEM!B162)</f>
      </c>
      <c r="D172">
        <f>IF(CALC_EEM!$B162="","",CALC_EEM!D162)</f>
      </c>
      <c r="E172" s="14" t="str">
        <f>IF(CALC_EEM!$B162="","",CALC_EEM!E162)</f>
      </c>
      <c r="F172" s="14" t="str">
        <f>IF(CALC_EEM!$B162="","",CALC_EEM!F162)</f>
      </c>
      <c r="G172" t="str">
        <f>IF(CALC_EEM!$B162="","",CALC_EEM!G162)</f>
      </c>
      <c r="H172" s="16" t="str">
        <f>IF(CALC_EEM!$B162="","",CALC_EEM!H162)</f>
      </c>
      <c r="I172" s="16" t="str">
        <f>IF(CALC_EEM!$B162="","",CALC_EEM!I162)</f>
      </c>
      <c r="J172" t="str">
        <f>IF(CALC_EEM!$B162="","",CALC_EEM!J162)</f>
      </c>
      <c r="K172" t="str">
        <f>IF(CALC_EEM!$B162="","",CALC_EEM!K162)</f>
      </c>
      <c r="L172">
        <f>IF(CALC_EEM!$B162="","",CALC_EEM!L162)</f>
      </c>
      <c r="M172">
        <f>IF(CALC_EEM!$B162="","",CALC_EEM!M162)</f>
      </c>
      <c r="N172">
        <f>IF(CALC_EEM!$B162="","",CALC_EEM!N162)</f>
      </c>
      <c r="O172">
        <f>IF(CALC_EEM!$B162="","",CALC_EEM!O162)</f>
      </c>
      <c r="P172">
        <f>IF(CALC_EEM!$B162="","",CALC_EEM!P162)</f>
      </c>
      <c r="Q172">
        <f>IF(CALC_EEM!$B162="","",CALC_EEM!Q162)</f>
      </c>
      <c r="R172">
        <f>IF(CALC_EEM!$B162="","",CALC_EEM!R162)</f>
      </c>
      <c r="S172">
        <f>IF(CALC_EEM!$B162="","",CALC_EEM!S162)</f>
      </c>
      <c r="T172">
        <f>IF(CALC_EEM!$B162="","",CALC_EEM!T162)</f>
      </c>
      <c r="U172">
        <f>IF(CALC_EEM!$B162="","",CALC_EEM!U162)</f>
      </c>
    </row>
    <row r="173" spans="1:24">
      <c r="A173" t="str">
        <f>IF(CALC_EEM!$B163="","",IF(CALC_EEM!A163="GLOBAL","GLOBAL",IF(CALC_EEM!C163="Total","CURSO_TOTAL",IF(CALC_EEM!C163="TotalEsp","CURSO_ESP",IF(CALC_EEM!C163="TotalNoEsp","CURSO_NOESP","CURSO_ASIG")))))</f>
      </c>
      <c r="B173" t="str">
        <f>IF(CALC_EEM!$B163="","",CALC_EEM!A163)</f>
      </c>
      <c r="C173" t="str">
        <f>IF(CALC_EEM!$B163="","",CALC_EEM!B163)</f>
      </c>
      <c r="D173">
        <f>IF(CALC_EEM!$B163="","",CALC_EEM!D163)</f>
      </c>
      <c r="E173" s="14" t="str">
        <f>IF(CALC_EEM!$B163="","",CALC_EEM!E163)</f>
      </c>
      <c r="F173" s="14" t="str">
        <f>IF(CALC_EEM!$B163="","",CALC_EEM!F163)</f>
      </c>
      <c r="G173" t="str">
        <f>IF(CALC_EEM!$B163="","",CALC_EEM!G163)</f>
      </c>
      <c r="H173" s="16" t="str">
        <f>IF(CALC_EEM!$B163="","",CALC_EEM!H163)</f>
      </c>
      <c r="I173" s="16" t="str">
        <f>IF(CALC_EEM!$B163="","",CALC_EEM!I163)</f>
      </c>
      <c r="J173" t="str">
        <f>IF(CALC_EEM!$B163="","",CALC_EEM!J163)</f>
      </c>
      <c r="K173" t="str">
        <f>IF(CALC_EEM!$B163="","",CALC_EEM!K163)</f>
      </c>
      <c r="L173">
        <f>IF(CALC_EEM!$B163="","",CALC_EEM!L163)</f>
      </c>
      <c r="M173">
        <f>IF(CALC_EEM!$B163="","",CALC_EEM!M163)</f>
      </c>
      <c r="N173">
        <f>IF(CALC_EEM!$B163="","",CALC_EEM!N163)</f>
      </c>
      <c r="O173">
        <f>IF(CALC_EEM!$B163="","",CALC_EEM!O163)</f>
      </c>
      <c r="P173">
        <f>IF(CALC_EEM!$B163="","",CALC_EEM!P163)</f>
      </c>
      <c r="Q173">
        <f>IF(CALC_EEM!$B163="","",CALC_EEM!Q163)</f>
      </c>
      <c r="R173">
        <f>IF(CALC_EEM!$B163="","",CALC_EEM!R163)</f>
      </c>
      <c r="S173">
        <f>IF(CALC_EEM!$B163="","",CALC_EEM!S163)</f>
      </c>
      <c r="T173">
        <f>IF(CALC_EEM!$B163="","",CALC_EEM!T163)</f>
      </c>
      <c r="U173">
        <f>IF(CALC_EEM!$B163="","",CALC_EEM!U163)</f>
      </c>
    </row>
    <row r="174" spans="1:24">
      <c r="A174" t="str">
        <f>IF(CALC_EEM!$B164="","",IF(CALC_EEM!A164="GLOBAL","GLOBAL",IF(CALC_EEM!C164="Total","CURSO_TOTAL",IF(CALC_EEM!C164="TotalEsp","CURSO_ESP",IF(CALC_EEM!C164="TotalNoEsp","CURSO_NOESP","CURSO_ASIG")))))</f>
      </c>
      <c r="B174" t="str">
        <f>IF(CALC_EEM!$B164="","",CALC_EEM!A164)</f>
      </c>
      <c r="C174" t="str">
        <f>IF(CALC_EEM!$B164="","",CALC_EEM!B164)</f>
      </c>
      <c r="D174">
        <f>IF(CALC_EEM!$B164="","",CALC_EEM!D164)</f>
      </c>
      <c r="E174" s="14" t="str">
        <f>IF(CALC_EEM!$B164="","",CALC_EEM!E164)</f>
      </c>
      <c r="F174" s="14" t="str">
        <f>IF(CALC_EEM!$B164="","",CALC_EEM!F164)</f>
      </c>
      <c r="G174" t="str">
        <f>IF(CALC_EEM!$B164="","",CALC_EEM!G164)</f>
      </c>
      <c r="H174" s="16" t="str">
        <f>IF(CALC_EEM!$B164="","",CALC_EEM!H164)</f>
      </c>
      <c r="I174" s="16" t="str">
        <f>IF(CALC_EEM!$B164="","",CALC_EEM!I164)</f>
      </c>
      <c r="J174" t="str">
        <f>IF(CALC_EEM!$B164="","",CALC_EEM!J164)</f>
      </c>
      <c r="K174" t="str">
        <f>IF(CALC_EEM!$B164="","",CALC_EEM!K164)</f>
      </c>
      <c r="L174">
        <f>IF(CALC_EEM!$B164="","",CALC_EEM!L164)</f>
      </c>
      <c r="M174">
        <f>IF(CALC_EEM!$B164="","",CALC_EEM!M164)</f>
      </c>
      <c r="N174">
        <f>IF(CALC_EEM!$B164="","",CALC_EEM!N164)</f>
      </c>
      <c r="O174">
        <f>IF(CALC_EEM!$B164="","",CALC_EEM!O164)</f>
      </c>
      <c r="P174">
        <f>IF(CALC_EEM!$B164="","",CALC_EEM!P164)</f>
      </c>
      <c r="Q174">
        <f>IF(CALC_EEM!$B164="","",CALC_EEM!Q164)</f>
      </c>
      <c r="R174">
        <f>IF(CALC_EEM!$B164="","",CALC_EEM!R164)</f>
      </c>
      <c r="S174">
        <f>IF(CALC_EEM!$B164="","",CALC_EEM!S164)</f>
      </c>
      <c r="T174">
        <f>IF(CALC_EEM!$B164="","",CALC_EEM!T164)</f>
      </c>
      <c r="U174">
        <f>IF(CALC_EEM!$B164="","",CALC_EEM!U164)</f>
      </c>
    </row>
    <row r="175" spans="1:24">
      <c r="A175" t="str">
        <f>IF(CALC_EEM!$B165="","",IF(CALC_EEM!A165="GLOBAL","GLOBAL",IF(CALC_EEM!C165="Total","CURSO_TOTAL",IF(CALC_EEM!C165="TotalEsp","CURSO_ESP",IF(CALC_EEM!C165="TotalNoEsp","CURSO_NOESP","CURSO_ASIG")))))</f>
      </c>
      <c r="B175" t="str">
        <f>IF(CALC_EEM!$B165="","",CALC_EEM!A165)</f>
      </c>
      <c r="C175" t="str">
        <f>IF(CALC_EEM!$B165="","",CALC_EEM!B165)</f>
      </c>
      <c r="D175">
        <f>IF(CALC_EEM!$B165="","",CALC_EEM!D165)</f>
      </c>
      <c r="E175" s="14" t="str">
        <f>IF(CALC_EEM!$B165="","",CALC_EEM!E165)</f>
      </c>
      <c r="F175" s="14" t="str">
        <f>IF(CALC_EEM!$B165="","",CALC_EEM!F165)</f>
      </c>
      <c r="G175" t="str">
        <f>IF(CALC_EEM!$B165="","",CALC_EEM!G165)</f>
      </c>
      <c r="H175" s="16" t="str">
        <f>IF(CALC_EEM!$B165="","",CALC_EEM!H165)</f>
      </c>
      <c r="I175" s="16" t="str">
        <f>IF(CALC_EEM!$B165="","",CALC_EEM!I165)</f>
      </c>
      <c r="J175" t="str">
        <f>IF(CALC_EEM!$B165="","",CALC_EEM!J165)</f>
      </c>
      <c r="K175" t="str">
        <f>IF(CALC_EEM!$B165="","",CALC_EEM!K165)</f>
      </c>
      <c r="L175">
        <f>IF(CALC_EEM!$B165="","",CALC_EEM!L165)</f>
      </c>
      <c r="M175">
        <f>IF(CALC_EEM!$B165="","",CALC_EEM!M165)</f>
      </c>
      <c r="N175">
        <f>IF(CALC_EEM!$B165="","",CALC_EEM!N165)</f>
      </c>
      <c r="O175">
        <f>IF(CALC_EEM!$B165="","",CALC_EEM!O165)</f>
      </c>
      <c r="P175">
        <f>IF(CALC_EEM!$B165="","",CALC_EEM!P165)</f>
      </c>
      <c r="Q175">
        <f>IF(CALC_EEM!$B165="","",CALC_EEM!Q165)</f>
      </c>
      <c r="R175">
        <f>IF(CALC_EEM!$B165="","",CALC_EEM!R165)</f>
      </c>
      <c r="S175">
        <f>IF(CALC_EEM!$B165="","",CALC_EEM!S165)</f>
      </c>
      <c r="T175">
        <f>IF(CALC_EEM!$B165="","",CALC_EEM!T165)</f>
      </c>
      <c r="U175">
        <f>IF(CALC_EEM!$B165="","",CALC_EEM!U165)</f>
      </c>
    </row>
    <row r="176" spans="1:24">
      <c r="A176" t="str">
        <f>IF(CALC_EEM!$B166="","",IF(CALC_EEM!A166="GLOBAL","GLOBAL",IF(CALC_EEM!C166="Total","CURSO_TOTAL",IF(CALC_EEM!C166="TotalEsp","CURSO_ESP",IF(CALC_EEM!C166="TotalNoEsp","CURSO_NOESP","CURSO_ASIG")))))</f>
      </c>
      <c r="B176" t="str">
        <f>IF(CALC_EEM!$B166="","",CALC_EEM!A166)</f>
      </c>
      <c r="C176" t="str">
        <f>IF(CALC_EEM!$B166="","",CALC_EEM!B166)</f>
      </c>
      <c r="D176">
        <f>IF(CALC_EEM!$B166="","",CALC_EEM!D166)</f>
      </c>
      <c r="E176" s="14" t="str">
        <f>IF(CALC_EEM!$B166="","",CALC_EEM!E166)</f>
      </c>
      <c r="F176" s="14" t="str">
        <f>IF(CALC_EEM!$B166="","",CALC_EEM!F166)</f>
      </c>
      <c r="G176" t="str">
        <f>IF(CALC_EEM!$B166="","",CALC_EEM!G166)</f>
      </c>
      <c r="H176" s="16" t="str">
        <f>IF(CALC_EEM!$B166="","",CALC_EEM!H166)</f>
      </c>
      <c r="I176" s="16" t="str">
        <f>IF(CALC_EEM!$B166="","",CALC_EEM!I166)</f>
      </c>
      <c r="J176" t="str">
        <f>IF(CALC_EEM!$B166="","",CALC_EEM!J166)</f>
      </c>
      <c r="K176" t="str">
        <f>IF(CALC_EEM!$B166="","",CALC_EEM!K166)</f>
      </c>
      <c r="L176">
        <f>IF(CALC_EEM!$B166="","",CALC_EEM!L166)</f>
      </c>
      <c r="M176">
        <f>IF(CALC_EEM!$B166="","",CALC_EEM!M166)</f>
      </c>
      <c r="N176">
        <f>IF(CALC_EEM!$B166="","",CALC_EEM!N166)</f>
      </c>
      <c r="O176">
        <f>IF(CALC_EEM!$B166="","",CALC_EEM!O166)</f>
      </c>
      <c r="P176">
        <f>IF(CALC_EEM!$B166="","",CALC_EEM!P166)</f>
      </c>
      <c r="Q176">
        <f>IF(CALC_EEM!$B166="","",CALC_EEM!Q166)</f>
      </c>
      <c r="R176">
        <f>IF(CALC_EEM!$B166="","",CALC_EEM!R166)</f>
      </c>
      <c r="S176">
        <f>IF(CALC_EEM!$B166="","",CALC_EEM!S166)</f>
      </c>
      <c r="T176">
        <f>IF(CALC_EEM!$B166="","",CALC_EEM!T166)</f>
      </c>
      <c r="U176">
        <f>IF(CALC_EEM!$B166="","",CALC_EEM!U166)</f>
      </c>
    </row>
    <row r="177" spans="1:24">
      <c r="A177" t="str">
        <f>IF(CALC_EEM!$B167="","",IF(CALC_EEM!A167="GLOBAL","GLOBAL",IF(CALC_EEM!C167="Total","CURSO_TOTAL",IF(CALC_EEM!C167="TotalEsp","CURSO_ESP",IF(CALC_EEM!C167="TotalNoEsp","CURSO_NOESP","CURSO_ASIG")))))</f>
      </c>
      <c r="B177" t="str">
        <f>IF(CALC_EEM!$B167="","",CALC_EEM!A167)</f>
      </c>
      <c r="C177" t="str">
        <f>IF(CALC_EEM!$B167="","",CALC_EEM!B167)</f>
      </c>
      <c r="D177">
        <f>IF(CALC_EEM!$B167="","",CALC_EEM!D167)</f>
      </c>
      <c r="E177" s="14" t="str">
        <f>IF(CALC_EEM!$B167="","",CALC_EEM!E167)</f>
      </c>
      <c r="F177" s="14" t="str">
        <f>IF(CALC_EEM!$B167="","",CALC_EEM!F167)</f>
      </c>
      <c r="G177" t="str">
        <f>IF(CALC_EEM!$B167="","",CALC_EEM!G167)</f>
      </c>
      <c r="H177" s="16" t="str">
        <f>IF(CALC_EEM!$B167="","",CALC_EEM!H167)</f>
      </c>
      <c r="I177" s="16" t="str">
        <f>IF(CALC_EEM!$B167="","",CALC_EEM!I167)</f>
      </c>
      <c r="J177" t="str">
        <f>IF(CALC_EEM!$B167="","",CALC_EEM!J167)</f>
      </c>
      <c r="K177" t="str">
        <f>IF(CALC_EEM!$B167="","",CALC_EEM!K167)</f>
      </c>
      <c r="L177">
        <f>IF(CALC_EEM!$B167="","",CALC_EEM!L167)</f>
      </c>
      <c r="M177">
        <f>IF(CALC_EEM!$B167="","",CALC_EEM!M167)</f>
      </c>
      <c r="N177">
        <f>IF(CALC_EEM!$B167="","",CALC_EEM!N167)</f>
      </c>
      <c r="O177">
        <f>IF(CALC_EEM!$B167="","",CALC_EEM!O167)</f>
      </c>
      <c r="P177">
        <f>IF(CALC_EEM!$B167="","",CALC_EEM!P167)</f>
      </c>
      <c r="Q177">
        <f>IF(CALC_EEM!$B167="","",CALC_EEM!Q167)</f>
      </c>
      <c r="R177">
        <f>IF(CALC_EEM!$B167="","",CALC_EEM!R167)</f>
      </c>
      <c r="S177">
        <f>IF(CALC_EEM!$B167="","",CALC_EEM!S167)</f>
      </c>
      <c r="T177">
        <f>IF(CALC_EEM!$B167="","",CALC_EEM!T167)</f>
      </c>
      <c r="U177">
        <f>IF(CALC_EEM!$B167="","",CALC_EEM!U167)</f>
      </c>
    </row>
    <row r="178" spans="1:24">
      <c r="A178" t="str">
        <f>IF(CALC_EEM!$B168="","",IF(CALC_EEM!A168="GLOBAL","GLOBAL",IF(CALC_EEM!C168="Total","CURSO_TOTAL",IF(CALC_EEM!C168="TotalEsp","CURSO_ESP",IF(CALC_EEM!C168="TotalNoEsp","CURSO_NOESP","CURSO_ASIG")))))</f>
      </c>
      <c r="B178" t="str">
        <f>IF(CALC_EEM!$B168="","",CALC_EEM!A168)</f>
      </c>
      <c r="C178" t="str">
        <f>IF(CALC_EEM!$B168="","",CALC_EEM!B168)</f>
      </c>
      <c r="D178">
        <f>IF(CALC_EEM!$B168="","",CALC_EEM!D168)</f>
      </c>
      <c r="E178" s="14" t="str">
        <f>IF(CALC_EEM!$B168="","",CALC_EEM!E168)</f>
      </c>
      <c r="F178" s="14" t="str">
        <f>IF(CALC_EEM!$B168="","",CALC_EEM!F168)</f>
      </c>
      <c r="G178" t="str">
        <f>IF(CALC_EEM!$B168="","",CALC_EEM!G168)</f>
      </c>
      <c r="H178" s="16" t="str">
        <f>IF(CALC_EEM!$B168="","",CALC_EEM!H168)</f>
      </c>
      <c r="I178" s="16" t="str">
        <f>IF(CALC_EEM!$B168="","",CALC_EEM!I168)</f>
      </c>
      <c r="J178" t="str">
        <f>IF(CALC_EEM!$B168="","",CALC_EEM!J168)</f>
      </c>
      <c r="K178" t="str">
        <f>IF(CALC_EEM!$B168="","",CALC_EEM!K168)</f>
      </c>
      <c r="L178">
        <f>IF(CALC_EEM!$B168="","",CALC_EEM!L168)</f>
      </c>
      <c r="M178">
        <f>IF(CALC_EEM!$B168="","",CALC_EEM!M168)</f>
      </c>
      <c r="N178">
        <f>IF(CALC_EEM!$B168="","",CALC_EEM!N168)</f>
      </c>
      <c r="O178">
        <f>IF(CALC_EEM!$B168="","",CALC_EEM!O168)</f>
      </c>
      <c r="P178">
        <f>IF(CALC_EEM!$B168="","",CALC_EEM!P168)</f>
      </c>
      <c r="Q178">
        <f>IF(CALC_EEM!$B168="","",CALC_EEM!Q168)</f>
      </c>
      <c r="R178">
        <f>IF(CALC_EEM!$B168="","",CALC_EEM!R168)</f>
      </c>
      <c r="S178">
        <f>IF(CALC_EEM!$B168="","",CALC_EEM!S168)</f>
      </c>
      <c r="T178">
        <f>IF(CALC_EEM!$B168="","",CALC_EEM!T168)</f>
      </c>
      <c r="U178">
        <f>IF(CALC_EEM!$B168="","",CALC_EEM!U168)</f>
      </c>
    </row>
    <row r="179" spans="1:24">
      <c r="A179" t="str">
        <f>IF(CALC_EEM!$B169="","",IF(CALC_EEM!A169="GLOBAL","GLOBAL",IF(CALC_EEM!C169="Total","CURSO_TOTAL",IF(CALC_EEM!C169="TotalEsp","CURSO_ESP",IF(CALC_EEM!C169="TotalNoEsp","CURSO_NOESP","CURSO_ASIG")))))</f>
      </c>
      <c r="B179" t="str">
        <f>IF(CALC_EEM!$B169="","",CALC_EEM!A169)</f>
      </c>
      <c r="C179" t="str">
        <f>IF(CALC_EEM!$B169="","",CALC_EEM!B169)</f>
      </c>
      <c r="D179">
        <f>IF(CALC_EEM!$B169="","",CALC_EEM!D169)</f>
      </c>
      <c r="E179" s="14" t="str">
        <f>IF(CALC_EEM!$B169="","",CALC_EEM!E169)</f>
      </c>
      <c r="F179" s="14" t="str">
        <f>IF(CALC_EEM!$B169="","",CALC_EEM!F169)</f>
      </c>
      <c r="G179" t="str">
        <f>IF(CALC_EEM!$B169="","",CALC_EEM!G169)</f>
      </c>
      <c r="H179" s="16" t="str">
        <f>IF(CALC_EEM!$B169="","",CALC_EEM!H169)</f>
      </c>
      <c r="I179" s="16" t="str">
        <f>IF(CALC_EEM!$B169="","",CALC_EEM!I169)</f>
      </c>
      <c r="J179" t="str">
        <f>IF(CALC_EEM!$B169="","",CALC_EEM!J169)</f>
      </c>
      <c r="K179" t="str">
        <f>IF(CALC_EEM!$B169="","",CALC_EEM!K169)</f>
      </c>
      <c r="L179">
        <f>IF(CALC_EEM!$B169="","",CALC_EEM!L169)</f>
      </c>
      <c r="M179">
        <f>IF(CALC_EEM!$B169="","",CALC_EEM!M169)</f>
      </c>
      <c r="N179">
        <f>IF(CALC_EEM!$B169="","",CALC_EEM!N169)</f>
      </c>
      <c r="O179">
        <f>IF(CALC_EEM!$B169="","",CALC_EEM!O169)</f>
      </c>
      <c r="P179">
        <f>IF(CALC_EEM!$B169="","",CALC_EEM!P169)</f>
      </c>
      <c r="Q179">
        <f>IF(CALC_EEM!$B169="","",CALC_EEM!Q169)</f>
      </c>
      <c r="R179">
        <f>IF(CALC_EEM!$B169="","",CALC_EEM!R169)</f>
      </c>
      <c r="S179">
        <f>IF(CALC_EEM!$B169="","",CALC_EEM!S169)</f>
      </c>
      <c r="T179">
        <f>IF(CALC_EEM!$B169="","",CALC_EEM!T169)</f>
      </c>
      <c r="U179">
        <f>IF(CALC_EEM!$B169="","",CALC_EEM!U169)</f>
      </c>
    </row>
    <row r="180" spans="1:24">
      <c r="A180" t="str">
        <f>IF(CALC_EEM!$B170="","",IF(CALC_EEM!A170="GLOBAL","GLOBAL",IF(CALC_EEM!C170="Total","CURSO_TOTAL",IF(CALC_EEM!C170="TotalEsp","CURSO_ESP",IF(CALC_EEM!C170="TotalNoEsp","CURSO_NOESP","CURSO_ASIG")))))</f>
      </c>
      <c r="B180" t="str">
        <f>IF(CALC_EEM!$B170="","",CALC_EEM!A170)</f>
      </c>
      <c r="C180" t="str">
        <f>IF(CALC_EEM!$B170="","",CALC_EEM!B170)</f>
      </c>
      <c r="D180">
        <f>IF(CALC_EEM!$B170="","",CALC_EEM!D170)</f>
      </c>
      <c r="E180" s="14" t="str">
        <f>IF(CALC_EEM!$B170="","",CALC_EEM!E170)</f>
      </c>
      <c r="F180" s="14" t="str">
        <f>IF(CALC_EEM!$B170="","",CALC_EEM!F170)</f>
      </c>
      <c r="G180" t="str">
        <f>IF(CALC_EEM!$B170="","",CALC_EEM!G170)</f>
      </c>
      <c r="H180" s="16" t="str">
        <f>IF(CALC_EEM!$B170="","",CALC_EEM!H170)</f>
      </c>
      <c r="I180" s="16" t="str">
        <f>IF(CALC_EEM!$B170="","",CALC_EEM!I170)</f>
      </c>
      <c r="J180" t="str">
        <f>IF(CALC_EEM!$B170="","",CALC_EEM!J170)</f>
      </c>
      <c r="K180" t="str">
        <f>IF(CALC_EEM!$B170="","",CALC_EEM!K170)</f>
      </c>
      <c r="L180">
        <f>IF(CALC_EEM!$B170="","",CALC_EEM!L170)</f>
      </c>
      <c r="M180">
        <f>IF(CALC_EEM!$B170="","",CALC_EEM!M170)</f>
      </c>
      <c r="N180">
        <f>IF(CALC_EEM!$B170="","",CALC_EEM!N170)</f>
      </c>
      <c r="O180">
        <f>IF(CALC_EEM!$B170="","",CALC_EEM!O170)</f>
      </c>
      <c r="P180">
        <f>IF(CALC_EEM!$B170="","",CALC_EEM!P170)</f>
      </c>
      <c r="Q180">
        <f>IF(CALC_EEM!$B170="","",CALC_EEM!Q170)</f>
      </c>
      <c r="R180">
        <f>IF(CALC_EEM!$B170="","",CALC_EEM!R170)</f>
      </c>
      <c r="S180">
        <f>IF(CALC_EEM!$B170="","",CALC_EEM!S170)</f>
      </c>
      <c r="T180">
        <f>IF(CALC_EEM!$B170="","",CALC_EEM!T170)</f>
      </c>
      <c r="U180">
        <f>IF(CALC_EEM!$B170="","",CALC_EEM!U170)</f>
      </c>
    </row>
    <row r="181" spans="1:24">
      <c r="A181" t="str">
        <f>IF(CALC_EEM!$B171="","",IF(CALC_EEM!A171="GLOBAL","GLOBAL",IF(CALC_EEM!C171="Total","CURSO_TOTAL",IF(CALC_EEM!C171="TotalEsp","CURSO_ESP",IF(CALC_EEM!C171="TotalNoEsp","CURSO_NOESP","CURSO_ASIG")))))</f>
      </c>
      <c r="B181" t="str">
        <f>IF(CALC_EEM!$B171="","",CALC_EEM!A171)</f>
      </c>
      <c r="C181" t="str">
        <f>IF(CALC_EEM!$B171="","",CALC_EEM!B171)</f>
      </c>
      <c r="D181">
        <f>IF(CALC_EEM!$B171="","",CALC_EEM!D171)</f>
      </c>
      <c r="E181" s="14" t="str">
        <f>IF(CALC_EEM!$B171="","",CALC_EEM!E171)</f>
      </c>
      <c r="F181" s="14" t="str">
        <f>IF(CALC_EEM!$B171="","",CALC_EEM!F171)</f>
      </c>
      <c r="G181" t="str">
        <f>IF(CALC_EEM!$B171="","",CALC_EEM!G171)</f>
      </c>
      <c r="H181" s="16" t="str">
        <f>IF(CALC_EEM!$B171="","",CALC_EEM!H171)</f>
      </c>
      <c r="I181" s="16" t="str">
        <f>IF(CALC_EEM!$B171="","",CALC_EEM!I171)</f>
      </c>
      <c r="J181" t="str">
        <f>IF(CALC_EEM!$B171="","",CALC_EEM!J171)</f>
      </c>
      <c r="K181" t="str">
        <f>IF(CALC_EEM!$B171="","",CALC_EEM!K171)</f>
      </c>
      <c r="L181">
        <f>IF(CALC_EEM!$B171="","",CALC_EEM!L171)</f>
      </c>
      <c r="M181">
        <f>IF(CALC_EEM!$B171="","",CALC_EEM!M171)</f>
      </c>
      <c r="N181">
        <f>IF(CALC_EEM!$B171="","",CALC_EEM!N171)</f>
      </c>
      <c r="O181">
        <f>IF(CALC_EEM!$B171="","",CALC_EEM!O171)</f>
      </c>
      <c r="P181">
        <f>IF(CALC_EEM!$B171="","",CALC_EEM!P171)</f>
      </c>
      <c r="Q181">
        <f>IF(CALC_EEM!$B171="","",CALC_EEM!Q171)</f>
      </c>
      <c r="R181">
        <f>IF(CALC_EEM!$B171="","",CALC_EEM!R171)</f>
      </c>
      <c r="S181">
        <f>IF(CALC_EEM!$B171="","",CALC_EEM!S171)</f>
      </c>
      <c r="T181">
        <f>IF(CALC_EEM!$B171="","",CALC_EEM!T171)</f>
      </c>
      <c r="U181">
        <f>IF(CALC_EEM!$B171="","",CALC_EEM!U171)</f>
      </c>
    </row>
    <row r="182" spans="1:24">
      <c r="A182" t="str">
        <f>IF(CALC_EEM!$B172="","",IF(CALC_EEM!A172="GLOBAL","GLOBAL",IF(CALC_EEM!C172="Total","CURSO_TOTAL",IF(CALC_EEM!C172="TotalEsp","CURSO_ESP",IF(CALC_EEM!C172="TotalNoEsp","CURSO_NOESP","CURSO_ASIG")))))</f>
      </c>
      <c r="B182" t="str">
        <f>IF(CALC_EEM!$B172="","",CALC_EEM!A172)</f>
      </c>
      <c r="C182" t="str">
        <f>IF(CALC_EEM!$B172="","",CALC_EEM!B172)</f>
      </c>
      <c r="D182">
        <f>IF(CALC_EEM!$B172="","",CALC_EEM!D172)</f>
      </c>
      <c r="E182" s="14" t="str">
        <f>IF(CALC_EEM!$B172="","",CALC_EEM!E172)</f>
      </c>
      <c r="F182" s="14" t="str">
        <f>IF(CALC_EEM!$B172="","",CALC_EEM!F172)</f>
      </c>
      <c r="G182" t="str">
        <f>IF(CALC_EEM!$B172="","",CALC_EEM!G172)</f>
      </c>
      <c r="H182" s="16" t="str">
        <f>IF(CALC_EEM!$B172="","",CALC_EEM!H172)</f>
      </c>
      <c r="I182" s="16" t="str">
        <f>IF(CALC_EEM!$B172="","",CALC_EEM!I172)</f>
      </c>
      <c r="J182" t="str">
        <f>IF(CALC_EEM!$B172="","",CALC_EEM!J172)</f>
      </c>
      <c r="K182" t="str">
        <f>IF(CALC_EEM!$B172="","",CALC_EEM!K172)</f>
      </c>
      <c r="L182">
        <f>IF(CALC_EEM!$B172="","",CALC_EEM!L172)</f>
      </c>
      <c r="M182">
        <f>IF(CALC_EEM!$B172="","",CALC_EEM!M172)</f>
      </c>
      <c r="N182">
        <f>IF(CALC_EEM!$B172="","",CALC_EEM!N172)</f>
      </c>
      <c r="O182">
        <f>IF(CALC_EEM!$B172="","",CALC_EEM!O172)</f>
      </c>
      <c r="P182">
        <f>IF(CALC_EEM!$B172="","",CALC_EEM!P172)</f>
      </c>
      <c r="Q182">
        <f>IF(CALC_EEM!$B172="","",CALC_EEM!Q172)</f>
      </c>
      <c r="R182">
        <f>IF(CALC_EEM!$B172="","",CALC_EEM!R172)</f>
      </c>
      <c r="S182">
        <f>IF(CALC_EEM!$B172="","",CALC_EEM!S172)</f>
      </c>
      <c r="T182">
        <f>IF(CALC_EEM!$B172="","",CALC_EEM!T172)</f>
      </c>
      <c r="U182">
        <f>IF(CALC_EEM!$B172="","",CALC_EEM!U172)</f>
      </c>
    </row>
    <row r="183" spans="1:24">
      <c r="A183" t="str">
        <f>IF(CALC_EEM!$B173="","",IF(CALC_EEM!A173="GLOBAL","GLOBAL",IF(CALC_EEM!C173="Total","CURSO_TOTAL",IF(CALC_EEM!C173="TotalEsp","CURSO_ESP",IF(CALC_EEM!C173="TotalNoEsp","CURSO_NOESP","CURSO_ASIG")))))</f>
      </c>
      <c r="B183" t="str">
        <f>IF(CALC_EEM!$B173="","",CALC_EEM!A173)</f>
      </c>
      <c r="C183" t="str">
        <f>IF(CALC_EEM!$B173="","",CALC_EEM!B173)</f>
      </c>
      <c r="D183">
        <f>IF(CALC_EEM!$B173="","",CALC_EEM!D173)</f>
      </c>
      <c r="E183" s="14" t="str">
        <f>IF(CALC_EEM!$B173="","",CALC_EEM!E173)</f>
      </c>
      <c r="F183" s="14" t="str">
        <f>IF(CALC_EEM!$B173="","",CALC_EEM!F173)</f>
      </c>
      <c r="G183" t="str">
        <f>IF(CALC_EEM!$B173="","",CALC_EEM!G173)</f>
      </c>
      <c r="H183" s="16" t="str">
        <f>IF(CALC_EEM!$B173="","",CALC_EEM!H173)</f>
      </c>
      <c r="I183" s="16" t="str">
        <f>IF(CALC_EEM!$B173="","",CALC_EEM!I173)</f>
      </c>
      <c r="J183" t="str">
        <f>IF(CALC_EEM!$B173="","",CALC_EEM!J173)</f>
      </c>
      <c r="K183" t="str">
        <f>IF(CALC_EEM!$B173="","",CALC_EEM!K173)</f>
      </c>
      <c r="L183">
        <f>IF(CALC_EEM!$B173="","",CALC_EEM!L173)</f>
      </c>
      <c r="M183">
        <f>IF(CALC_EEM!$B173="","",CALC_EEM!M173)</f>
      </c>
      <c r="N183">
        <f>IF(CALC_EEM!$B173="","",CALC_EEM!N173)</f>
      </c>
      <c r="O183">
        <f>IF(CALC_EEM!$B173="","",CALC_EEM!O173)</f>
      </c>
      <c r="P183">
        <f>IF(CALC_EEM!$B173="","",CALC_EEM!P173)</f>
      </c>
      <c r="Q183">
        <f>IF(CALC_EEM!$B173="","",CALC_EEM!Q173)</f>
      </c>
      <c r="R183">
        <f>IF(CALC_EEM!$B173="","",CALC_EEM!R173)</f>
      </c>
      <c r="S183">
        <f>IF(CALC_EEM!$B173="","",CALC_EEM!S173)</f>
      </c>
      <c r="T183">
        <f>IF(CALC_EEM!$B173="","",CALC_EEM!T173)</f>
      </c>
      <c r="U183">
        <f>IF(CALC_EEM!$B173="","",CALC_EEM!U173)</f>
      </c>
    </row>
    <row r="184" spans="1:24">
      <c r="A184" t="str">
        <f>IF(CALC_EEM!$B174="","",IF(CALC_EEM!A174="GLOBAL","GLOBAL",IF(CALC_EEM!C174="Total","CURSO_TOTAL",IF(CALC_EEM!C174="TotalEsp","CURSO_ESP",IF(CALC_EEM!C174="TotalNoEsp","CURSO_NOESP","CURSO_ASIG")))))</f>
      </c>
      <c r="B184" t="str">
        <f>IF(CALC_EEM!$B174="","",CALC_EEM!A174)</f>
      </c>
      <c r="C184" t="str">
        <f>IF(CALC_EEM!$B174="","",CALC_EEM!B174)</f>
      </c>
      <c r="D184">
        <f>IF(CALC_EEM!$B174="","",CALC_EEM!D174)</f>
      </c>
      <c r="E184" s="14" t="str">
        <f>IF(CALC_EEM!$B174="","",CALC_EEM!E174)</f>
      </c>
      <c r="F184" s="14" t="str">
        <f>IF(CALC_EEM!$B174="","",CALC_EEM!F174)</f>
      </c>
      <c r="G184" t="str">
        <f>IF(CALC_EEM!$B174="","",CALC_EEM!G174)</f>
      </c>
      <c r="H184" s="16" t="str">
        <f>IF(CALC_EEM!$B174="","",CALC_EEM!H174)</f>
      </c>
      <c r="I184" s="16" t="str">
        <f>IF(CALC_EEM!$B174="","",CALC_EEM!I174)</f>
      </c>
      <c r="J184" t="str">
        <f>IF(CALC_EEM!$B174="","",CALC_EEM!J174)</f>
      </c>
      <c r="K184" t="str">
        <f>IF(CALC_EEM!$B174="","",CALC_EEM!K174)</f>
      </c>
      <c r="L184">
        <f>IF(CALC_EEM!$B174="","",CALC_EEM!L174)</f>
      </c>
      <c r="M184">
        <f>IF(CALC_EEM!$B174="","",CALC_EEM!M174)</f>
      </c>
      <c r="N184">
        <f>IF(CALC_EEM!$B174="","",CALC_EEM!N174)</f>
      </c>
      <c r="O184">
        <f>IF(CALC_EEM!$B174="","",CALC_EEM!O174)</f>
      </c>
      <c r="P184">
        <f>IF(CALC_EEM!$B174="","",CALC_EEM!P174)</f>
      </c>
      <c r="Q184">
        <f>IF(CALC_EEM!$B174="","",CALC_EEM!Q174)</f>
      </c>
      <c r="R184">
        <f>IF(CALC_EEM!$B174="","",CALC_EEM!R174)</f>
      </c>
      <c r="S184">
        <f>IF(CALC_EEM!$B174="","",CALC_EEM!S174)</f>
      </c>
      <c r="T184">
        <f>IF(CALC_EEM!$B174="","",CALC_EEM!T174)</f>
      </c>
      <c r="U184">
        <f>IF(CALC_EEM!$B174="","",CALC_EEM!U174)</f>
      </c>
    </row>
    <row r="185" spans="1:24">
      <c r="A185" t="str">
        <f>IF(CALC_EEM!$B175="","",IF(CALC_EEM!A175="GLOBAL","GLOBAL",IF(CALC_EEM!C175="Total","CURSO_TOTAL",IF(CALC_EEM!C175="TotalEsp","CURSO_ESP",IF(CALC_EEM!C175="TotalNoEsp","CURSO_NOESP","CURSO_ASIG")))))</f>
      </c>
      <c r="B185" t="str">
        <f>IF(CALC_EEM!$B175="","",CALC_EEM!A175)</f>
      </c>
      <c r="C185" t="str">
        <f>IF(CALC_EEM!$B175="","",CALC_EEM!B175)</f>
      </c>
      <c r="D185">
        <f>IF(CALC_EEM!$B175="","",CALC_EEM!D175)</f>
      </c>
      <c r="E185" s="14" t="str">
        <f>IF(CALC_EEM!$B175="","",CALC_EEM!E175)</f>
      </c>
      <c r="F185" s="14" t="str">
        <f>IF(CALC_EEM!$B175="","",CALC_EEM!F175)</f>
      </c>
      <c r="G185" t="str">
        <f>IF(CALC_EEM!$B175="","",CALC_EEM!G175)</f>
      </c>
      <c r="H185" s="16" t="str">
        <f>IF(CALC_EEM!$B175="","",CALC_EEM!H175)</f>
      </c>
      <c r="I185" s="16" t="str">
        <f>IF(CALC_EEM!$B175="","",CALC_EEM!I175)</f>
      </c>
      <c r="J185" t="str">
        <f>IF(CALC_EEM!$B175="","",CALC_EEM!J175)</f>
      </c>
      <c r="K185" t="str">
        <f>IF(CALC_EEM!$B175="","",CALC_EEM!K175)</f>
      </c>
      <c r="L185">
        <f>IF(CALC_EEM!$B175="","",CALC_EEM!L175)</f>
      </c>
      <c r="M185">
        <f>IF(CALC_EEM!$B175="","",CALC_EEM!M175)</f>
      </c>
      <c r="N185">
        <f>IF(CALC_EEM!$B175="","",CALC_EEM!N175)</f>
      </c>
      <c r="O185">
        <f>IF(CALC_EEM!$B175="","",CALC_EEM!O175)</f>
      </c>
      <c r="P185">
        <f>IF(CALC_EEM!$B175="","",CALC_EEM!P175)</f>
      </c>
      <c r="Q185">
        <f>IF(CALC_EEM!$B175="","",CALC_EEM!Q175)</f>
      </c>
      <c r="R185">
        <f>IF(CALC_EEM!$B175="","",CALC_EEM!R175)</f>
      </c>
      <c r="S185">
        <f>IF(CALC_EEM!$B175="","",CALC_EEM!S175)</f>
      </c>
      <c r="T185">
        <f>IF(CALC_EEM!$B175="","",CALC_EEM!T175)</f>
      </c>
      <c r="U185">
        <f>IF(CALC_EEM!$B175="","",CALC_EEM!U175)</f>
      </c>
    </row>
    <row r="186" spans="1:24">
      <c r="A186" t="str">
        <f>IF(CALC_EEM!$B176="","",IF(CALC_EEM!A176="GLOBAL","GLOBAL",IF(CALC_EEM!C176="Total","CURSO_TOTAL",IF(CALC_EEM!C176="TotalEsp","CURSO_ESP",IF(CALC_EEM!C176="TotalNoEsp","CURSO_NOESP","CURSO_ASIG")))))</f>
      </c>
      <c r="B186" t="str">
        <f>IF(CALC_EEM!$B176="","",CALC_EEM!A176)</f>
      </c>
      <c r="C186" t="str">
        <f>IF(CALC_EEM!$B176="","",CALC_EEM!B176)</f>
      </c>
      <c r="D186">
        <f>IF(CALC_EEM!$B176="","",CALC_EEM!D176)</f>
      </c>
      <c r="E186" s="14" t="str">
        <f>IF(CALC_EEM!$B176="","",CALC_EEM!E176)</f>
      </c>
      <c r="F186" s="14" t="str">
        <f>IF(CALC_EEM!$B176="","",CALC_EEM!F176)</f>
      </c>
      <c r="G186" t="str">
        <f>IF(CALC_EEM!$B176="","",CALC_EEM!G176)</f>
      </c>
      <c r="H186" s="16" t="str">
        <f>IF(CALC_EEM!$B176="","",CALC_EEM!H176)</f>
      </c>
      <c r="I186" s="16" t="str">
        <f>IF(CALC_EEM!$B176="","",CALC_EEM!I176)</f>
      </c>
      <c r="J186" t="str">
        <f>IF(CALC_EEM!$B176="","",CALC_EEM!J176)</f>
      </c>
      <c r="K186" t="str">
        <f>IF(CALC_EEM!$B176="","",CALC_EEM!K176)</f>
      </c>
      <c r="L186">
        <f>IF(CALC_EEM!$B176="","",CALC_EEM!L176)</f>
      </c>
      <c r="M186">
        <f>IF(CALC_EEM!$B176="","",CALC_EEM!M176)</f>
      </c>
      <c r="N186">
        <f>IF(CALC_EEM!$B176="","",CALC_EEM!N176)</f>
      </c>
      <c r="O186">
        <f>IF(CALC_EEM!$B176="","",CALC_EEM!O176)</f>
      </c>
      <c r="P186">
        <f>IF(CALC_EEM!$B176="","",CALC_EEM!P176)</f>
      </c>
      <c r="Q186">
        <f>IF(CALC_EEM!$B176="","",CALC_EEM!Q176)</f>
      </c>
      <c r="R186">
        <f>IF(CALC_EEM!$B176="","",CALC_EEM!R176)</f>
      </c>
      <c r="S186">
        <f>IF(CALC_EEM!$B176="","",CALC_EEM!S176)</f>
      </c>
      <c r="T186">
        <f>IF(CALC_EEM!$B176="","",CALC_EEM!T176)</f>
      </c>
      <c r="U186">
        <f>IF(CALC_EEM!$B176="","",CALC_EEM!U176)</f>
      </c>
    </row>
    <row r="187" spans="1:24">
      <c r="A187" t="str">
        <f>IF(CALC_EEM!$B177="","",IF(CALC_EEM!A177="GLOBAL","GLOBAL",IF(CALC_EEM!C177="Total","CURSO_TOTAL",IF(CALC_EEM!C177="TotalEsp","CURSO_ESP",IF(CALC_EEM!C177="TotalNoEsp","CURSO_NOESP","CURSO_ASIG")))))</f>
      </c>
      <c r="B187" t="str">
        <f>IF(CALC_EEM!$B177="","",CALC_EEM!A177)</f>
      </c>
      <c r="C187" t="str">
        <f>IF(CALC_EEM!$B177="","",CALC_EEM!B177)</f>
      </c>
      <c r="D187">
        <f>IF(CALC_EEM!$B177="","",CALC_EEM!D177)</f>
      </c>
      <c r="E187" s="14" t="str">
        <f>IF(CALC_EEM!$B177="","",CALC_EEM!E177)</f>
      </c>
      <c r="F187" s="14" t="str">
        <f>IF(CALC_EEM!$B177="","",CALC_EEM!F177)</f>
      </c>
      <c r="G187" t="str">
        <f>IF(CALC_EEM!$B177="","",CALC_EEM!G177)</f>
      </c>
      <c r="H187" s="16" t="str">
        <f>IF(CALC_EEM!$B177="","",CALC_EEM!H177)</f>
      </c>
      <c r="I187" s="16" t="str">
        <f>IF(CALC_EEM!$B177="","",CALC_EEM!I177)</f>
      </c>
      <c r="J187" t="str">
        <f>IF(CALC_EEM!$B177="","",CALC_EEM!J177)</f>
      </c>
      <c r="K187" t="str">
        <f>IF(CALC_EEM!$B177="","",CALC_EEM!K177)</f>
      </c>
      <c r="L187">
        <f>IF(CALC_EEM!$B177="","",CALC_EEM!L177)</f>
      </c>
      <c r="M187">
        <f>IF(CALC_EEM!$B177="","",CALC_EEM!M177)</f>
      </c>
      <c r="N187">
        <f>IF(CALC_EEM!$B177="","",CALC_EEM!N177)</f>
      </c>
      <c r="O187">
        <f>IF(CALC_EEM!$B177="","",CALC_EEM!O177)</f>
      </c>
      <c r="P187">
        <f>IF(CALC_EEM!$B177="","",CALC_EEM!P177)</f>
      </c>
      <c r="Q187">
        <f>IF(CALC_EEM!$B177="","",CALC_EEM!Q177)</f>
      </c>
      <c r="R187">
        <f>IF(CALC_EEM!$B177="","",CALC_EEM!R177)</f>
      </c>
      <c r="S187">
        <f>IF(CALC_EEM!$B177="","",CALC_EEM!S177)</f>
      </c>
      <c r="T187">
        <f>IF(CALC_EEM!$B177="","",CALC_EEM!T177)</f>
      </c>
      <c r="U187">
        <f>IF(CALC_EEM!$B177="","",CALC_EEM!U177)</f>
      </c>
    </row>
    <row r="188" spans="1:24">
      <c r="A188" t="str">
        <f>IF(CALC_EEM!$B178="","",IF(CALC_EEM!A178="GLOBAL","GLOBAL",IF(CALC_EEM!C178="Total","CURSO_TOTAL",IF(CALC_EEM!C178="TotalEsp","CURSO_ESP",IF(CALC_EEM!C178="TotalNoEsp","CURSO_NOESP","CURSO_ASIG")))))</f>
      </c>
      <c r="B188" t="str">
        <f>IF(CALC_EEM!$B178="","",CALC_EEM!A178)</f>
      </c>
      <c r="C188" t="str">
        <f>IF(CALC_EEM!$B178="","",CALC_EEM!B178)</f>
      </c>
      <c r="D188">
        <f>IF(CALC_EEM!$B178="","",CALC_EEM!D178)</f>
      </c>
      <c r="E188" s="14" t="str">
        <f>IF(CALC_EEM!$B178="","",CALC_EEM!E178)</f>
      </c>
      <c r="F188" s="14" t="str">
        <f>IF(CALC_EEM!$B178="","",CALC_EEM!F178)</f>
      </c>
      <c r="G188" t="str">
        <f>IF(CALC_EEM!$B178="","",CALC_EEM!G178)</f>
      </c>
      <c r="H188" s="16" t="str">
        <f>IF(CALC_EEM!$B178="","",CALC_EEM!H178)</f>
      </c>
      <c r="I188" s="16" t="str">
        <f>IF(CALC_EEM!$B178="","",CALC_EEM!I178)</f>
      </c>
      <c r="J188" t="str">
        <f>IF(CALC_EEM!$B178="","",CALC_EEM!J178)</f>
      </c>
      <c r="K188" t="str">
        <f>IF(CALC_EEM!$B178="","",CALC_EEM!K178)</f>
      </c>
      <c r="L188">
        <f>IF(CALC_EEM!$B178="","",CALC_EEM!L178)</f>
      </c>
      <c r="M188">
        <f>IF(CALC_EEM!$B178="","",CALC_EEM!M178)</f>
      </c>
      <c r="N188">
        <f>IF(CALC_EEM!$B178="","",CALC_EEM!N178)</f>
      </c>
      <c r="O188">
        <f>IF(CALC_EEM!$B178="","",CALC_EEM!O178)</f>
      </c>
      <c r="P188">
        <f>IF(CALC_EEM!$B178="","",CALC_EEM!P178)</f>
      </c>
      <c r="Q188">
        <f>IF(CALC_EEM!$B178="","",CALC_EEM!Q178)</f>
      </c>
      <c r="R188">
        <f>IF(CALC_EEM!$B178="","",CALC_EEM!R178)</f>
      </c>
      <c r="S188">
        <f>IF(CALC_EEM!$B178="","",CALC_EEM!S178)</f>
      </c>
      <c r="T188">
        <f>IF(CALC_EEM!$B178="","",CALC_EEM!T178)</f>
      </c>
      <c r="U188">
        <f>IF(CALC_EEM!$B178="","",CALC_EEM!U178)</f>
      </c>
    </row>
    <row r="189" spans="1:24">
      <c r="A189" t="str">
        <f>IF(CALC_EEM!$B179="","",IF(CALC_EEM!A179="GLOBAL","GLOBAL",IF(CALC_EEM!C179="Total","CURSO_TOTAL",IF(CALC_EEM!C179="TotalEsp","CURSO_ESP",IF(CALC_EEM!C179="TotalNoEsp","CURSO_NOESP","CURSO_ASIG")))))</f>
      </c>
      <c r="B189" t="str">
        <f>IF(CALC_EEM!$B179="","",CALC_EEM!A179)</f>
      </c>
      <c r="C189" t="str">
        <f>IF(CALC_EEM!$B179="","",CALC_EEM!B179)</f>
      </c>
      <c r="D189">
        <f>IF(CALC_EEM!$B179="","",CALC_EEM!D179)</f>
      </c>
      <c r="E189" s="14" t="str">
        <f>IF(CALC_EEM!$B179="","",CALC_EEM!E179)</f>
      </c>
      <c r="F189" s="14" t="str">
        <f>IF(CALC_EEM!$B179="","",CALC_EEM!F179)</f>
      </c>
      <c r="G189" t="str">
        <f>IF(CALC_EEM!$B179="","",CALC_EEM!G179)</f>
      </c>
      <c r="H189" s="16" t="str">
        <f>IF(CALC_EEM!$B179="","",CALC_EEM!H179)</f>
      </c>
      <c r="I189" s="16" t="str">
        <f>IF(CALC_EEM!$B179="","",CALC_EEM!I179)</f>
      </c>
      <c r="J189" t="str">
        <f>IF(CALC_EEM!$B179="","",CALC_EEM!J179)</f>
      </c>
      <c r="K189" t="str">
        <f>IF(CALC_EEM!$B179="","",CALC_EEM!K179)</f>
      </c>
      <c r="L189">
        <f>IF(CALC_EEM!$B179="","",CALC_EEM!L179)</f>
      </c>
      <c r="M189">
        <f>IF(CALC_EEM!$B179="","",CALC_EEM!M179)</f>
      </c>
      <c r="N189">
        <f>IF(CALC_EEM!$B179="","",CALC_EEM!N179)</f>
      </c>
      <c r="O189">
        <f>IF(CALC_EEM!$B179="","",CALC_EEM!O179)</f>
      </c>
      <c r="P189">
        <f>IF(CALC_EEM!$B179="","",CALC_EEM!P179)</f>
      </c>
      <c r="Q189">
        <f>IF(CALC_EEM!$B179="","",CALC_EEM!Q179)</f>
      </c>
      <c r="R189">
        <f>IF(CALC_EEM!$B179="","",CALC_EEM!R179)</f>
      </c>
      <c r="S189">
        <f>IF(CALC_EEM!$B179="","",CALC_EEM!S179)</f>
      </c>
      <c r="T189">
        <f>IF(CALC_EEM!$B179="","",CALC_EEM!T179)</f>
      </c>
      <c r="U189">
        <f>IF(CALC_EEM!$B179="","",CALC_EEM!U179)</f>
      </c>
    </row>
    <row r="190" spans="1:24">
      <c r="A190" t="str">
        <f>IF(CALC_EEM!$B180="","",IF(CALC_EEM!A180="GLOBAL","GLOBAL",IF(CALC_EEM!C180="Total","CURSO_TOTAL",IF(CALC_EEM!C180="TotalEsp","CURSO_ESP",IF(CALC_EEM!C180="TotalNoEsp","CURSO_NOESP","CURSO_ASIG")))))</f>
      </c>
      <c r="B190" t="str">
        <f>IF(CALC_EEM!$B180="","",CALC_EEM!A180)</f>
      </c>
      <c r="C190" t="str">
        <f>IF(CALC_EEM!$B180="","",CALC_EEM!B180)</f>
      </c>
      <c r="D190">
        <f>IF(CALC_EEM!$B180="","",CALC_EEM!D180)</f>
      </c>
      <c r="E190" s="14" t="str">
        <f>IF(CALC_EEM!$B180="","",CALC_EEM!E180)</f>
      </c>
      <c r="F190" s="14" t="str">
        <f>IF(CALC_EEM!$B180="","",CALC_EEM!F180)</f>
      </c>
      <c r="G190" t="str">
        <f>IF(CALC_EEM!$B180="","",CALC_EEM!G180)</f>
      </c>
      <c r="H190" s="16" t="str">
        <f>IF(CALC_EEM!$B180="","",CALC_EEM!H180)</f>
      </c>
      <c r="I190" s="16" t="str">
        <f>IF(CALC_EEM!$B180="","",CALC_EEM!I180)</f>
      </c>
      <c r="J190" t="str">
        <f>IF(CALC_EEM!$B180="","",CALC_EEM!J180)</f>
      </c>
      <c r="K190" t="str">
        <f>IF(CALC_EEM!$B180="","",CALC_EEM!K180)</f>
      </c>
      <c r="L190">
        <f>IF(CALC_EEM!$B180="","",CALC_EEM!L180)</f>
      </c>
      <c r="M190">
        <f>IF(CALC_EEM!$B180="","",CALC_EEM!M180)</f>
      </c>
      <c r="N190">
        <f>IF(CALC_EEM!$B180="","",CALC_EEM!N180)</f>
      </c>
      <c r="O190">
        <f>IF(CALC_EEM!$B180="","",CALC_EEM!O180)</f>
      </c>
      <c r="P190">
        <f>IF(CALC_EEM!$B180="","",CALC_EEM!P180)</f>
      </c>
      <c r="Q190">
        <f>IF(CALC_EEM!$B180="","",CALC_EEM!Q180)</f>
      </c>
      <c r="R190">
        <f>IF(CALC_EEM!$B180="","",CALC_EEM!R180)</f>
      </c>
      <c r="S190">
        <f>IF(CALC_EEM!$B180="","",CALC_EEM!S180)</f>
      </c>
      <c r="T190">
        <f>IF(CALC_EEM!$B180="","",CALC_EEM!T180)</f>
      </c>
      <c r="U190">
        <f>IF(CALC_EEM!$B180="","",CALC_EEM!U180)</f>
      </c>
    </row>
    <row r="191" spans="1:24">
      <c r="A191" t="str">
        <f>IF(CALC_EEM!$B181="","",IF(CALC_EEM!A181="GLOBAL","GLOBAL",IF(CALC_EEM!C181="Total","CURSO_TOTAL",IF(CALC_EEM!C181="TotalEsp","CURSO_ESP",IF(CALC_EEM!C181="TotalNoEsp","CURSO_NOESP","CURSO_ASIG")))))</f>
      </c>
      <c r="B191" t="str">
        <f>IF(CALC_EEM!$B181="","",CALC_EEM!A181)</f>
      </c>
      <c r="C191" t="str">
        <f>IF(CALC_EEM!$B181="","",CALC_EEM!B181)</f>
      </c>
      <c r="D191">
        <f>IF(CALC_EEM!$B181="","",CALC_EEM!D181)</f>
      </c>
      <c r="E191" s="14" t="str">
        <f>IF(CALC_EEM!$B181="","",CALC_EEM!E181)</f>
      </c>
      <c r="F191" s="14" t="str">
        <f>IF(CALC_EEM!$B181="","",CALC_EEM!F181)</f>
      </c>
      <c r="G191" t="str">
        <f>IF(CALC_EEM!$B181="","",CALC_EEM!G181)</f>
      </c>
      <c r="H191" s="16" t="str">
        <f>IF(CALC_EEM!$B181="","",CALC_EEM!H181)</f>
      </c>
      <c r="I191" s="16" t="str">
        <f>IF(CALC_EEM!$B181="","",CALC_EEM!I181)</f>
      </c>
      <c r="J191" t="str">
        <f>IF(CALC_EEM!$B181="","",CALC_EEM!J181)</f>
      </c>
      <c r="K191" t="str">
        <f>IF(CALC_EEM!$B181="","",CALC_EEM!K181)</f>
      </c>
      <c r="L191">
        <f>IF(CALC_EEM!$B181="","",CALC_EEM!L181)</f>
      </c>
      <c r="M191">
        <f>IF(CALC_EEM!$B181="","",CALC_EEM!M181)</f>
      </c>
      <c r="N191">
        <f>IF(CALC_EEM!$B181="","",CALC_EEM!N181)</f>
      </c>
      <c r="O191">
        <f>IF(CALC_EEM!$B181="","",CALC_EEM!O181)</f>
      </c>
      <c r="P191">
        <f>IF(CALC_EEM!$B181="","",CALC_EEM!P181)</f>
      </c>
      <c r="Q191">
        <f>IF(CALC_EEM!$B181="","",CALC_EEM!Q181)</f>
      </c>
      <c r="R191">
        <f>IF(CALC_EEM!$B181="","",CALC_EEM!R181)</f>
      </c>
      <c r="S191">
        <f>IF(CALC_EEM!$B181="","",CALC_EEM!S181)</f>
      </c>
      <c r="T191">
        <f>IF(CALC_EEM!$B181="","",CALC_EEM!T181)</f>
      </c>
      <c r="U191">
        <f>IF(CALC_EEM!$B181="","",CALC_EEM!U181)</f>
      </c>
    </row>
    <row r="192" spans="1:24">
      <c r="A192" t="str">
        <f>IF(CALC_EEM!$B182="","",IF(CALC_EEM!A182="GLOBAL","GLOBAL",IF(CALC_EEM!C182="Total","CURSO_TOTAL",IF(CALC_EEM!C182="TotalEsp","CURSO_ESP",IF(CALC_EEM!C182="TotalNoEsp","CURSO_NOESP","CURSO_ASIG")))))</f>
      </c>
      <c r="B192" t="str">
        <f>IF(CALC_EEM!$B182="","",CALC_EEM!A182)</f>
      </c>
      <c r="C192" t="str">
        <f>IF(CALC_EEM!$B182="","",CALC_EEM!B182)</f>
      </c>
      <c r="D192">
        <f>IF(CALC_EEM!$B182="","",CALC_EEM!D182)</f>
      </c>
      <c r="E192" s="14" t="str">
        <f>IF(CALC_EEM!$B182="","",CALC_EEM!E182)</f>
      </c>
      <c r="F192" s="14" t="str">
        <f>IF(CALC_EEM!$B182="","",CALC_EEM!F182)</f>
      </c>
      <c r="G192" t="str">
        <f>IF(CALC_EEM!$B182="","",CALC_EEM!G182)</f>
      </c>
      <c r="H192" s="16" t="str">
        <f>IF(CALC_EEM!$B182="","",CALC_EEM!H182)</f>
      </c>
      <c r="I192" s="16" t="str">
        <f>IF(CALC_EEM!$B182="","",CALC_EEM!I182)</f>
      </c>
      <c r="J192" t="str">
        <f>IF(CALC_EEM!$B182="","",CALC_EEM!J182)</f>
      </c>
      <c r="K192" t="str">
        <f>IF(CALC_EEM!$B182="","",CALC_EEM!K182)</f>
      </c>
      <c r="L192">
        <f>IF(CALC_EEM!$B182="","",CALC_EEM!L182)</f>
      </c>
      <c r="M192">
        <f>IF(CALC_EEM!$B182="","",CALC_EEM!M182)</f>
      </c>
      <c r="N192">
        <f>IF(CALC_EEM!$B182="","",CALC_EEM!N182)</f>
      </c>
      <c r="O192">
        <f>IF(CALC_EEM!$B182="","",CALC_EEM!O182)</f>
      </c>
      <c r="P192">
        <f>IF(CALC_EEM!$B182="","",CALC_EEM!P182)</f>
      </c>
      <c r="Q192">
        <f>IF(CALC_EEM!$B182="","",CALC_EEM!Q182)</f>
      </c>
      <c r="R192">
        <f>IF(CALC_EEM!$B182="","",CALC_EEM!R182)</f>
      </c>
      <c r="S192">
        <f>IF(CALC_EEM!$B182="","",CALC_EEM!S182)</f>
      </c>
      <c r="T192">
        <f>IF(CALC_EEM!$B182="","",CALC_EEM!T182)</f>
      </c>
      <c r="U192">
        <f>IF(CALC_EEM!$B182="","",CALC_EEM!U182)</f>
      </c>
    </row>
    <row r="193" spans="1:24">
      <c r="A193" t="str">
        <f>IF(CALC_EEM!$B183="","",IF(CALC_EEM!A183="GLOBAL","GLOBAL",IF(CALC_EEM!C183="Total","CURSO_TOTAL",IF(CALC_EEM!C183="TotalEsp","CURSO_ESP",IF(CALC_EEM!C183="TotalNoEsp","CURSO_NOESP","CURSO_ASIG")))))</f>
      </c>
      <c r="B193" t="str">
        <f>IF(CALC_EEM!$B183="","",CALC_EEM!A183)</f>
      </c>
      <c r="C193" t="str">
        <f>IF(CALC_EEM!$B183="","",CALC_EEM!B183)</f>
      </c>
      <c r="D193">
        <f>IF(CALC_EEM!$B183="","",CALC_EEM!D183)</f>
      </c>
      <c r="E193" s="14" t="str">
        <f>IF(CALC_EEM!$B183="","",CALC_EEM!E183)</f>
      </c>
      <c r="F193" s="14" t="str">
        <f>IF(CALC_EEM!$B183="","",CALC_EEM!F183)</f>
      </c>
      <c r="G193" t="str">
        <f>IF(CALC_EEM!$B183="","",CALC_EEM!G183)</f>
      </c>
      <c r="H193" s="16" t="str">
        <f>IF(CALC_EEM!$B183="","",CALC_EEM!H183)</f>
      </c>
      <c r="I193" s="16" t="str">
        <f>IF(CALC_EEM!$B183="","",CALC_EEM!I183)</f>
      </c>
      <c r="J193" t="str">
        <f>IF(CALC_EEM!$B183="","",CALC_EEM!J183)</f>
      </c>
      <c r="K193" t="str">
        <f>IF(CALC_EEM!$B183="","",CALC_EEM!K183)</f>
      </c>
      <c r="L193">
        <f>IF(CALC_EEM!$B183="","",CALC_EEM!L183)</f>
      </c>
      <c r="M193">
        <f>IF(CALC_EEM!$B183="","",CALC_EEM!M183)</f>
      </c>
      <c r="N193">
        <f>IF(CALC_EEM!$B183="","",CALC_EEM!N183)</f>
      </c>
      <c r="O193">
        <f>IF(CALC_EEM!$B183="","",CALC_EEM!O183)</f>
      </c>
      <c r="P193">
        <f>IF(CALC_EEM!$B183="","",CALC_EEM!P183)</f>
      </c>
      <c r="Q193">
        <f>IF(CALC_EEM!$B183="","",CALC_EEM!Q183)</f>
      </c>
      <c r="R193">
        <f>IF(CALC_EEM!$B183="","",CALC_EEM!R183)</f>
      </c>
      <c r="S193">
        <f>IF(CALC_EEM!$B183="","",CALC_EEM!S183)</f>
      </c>
      <c r="T193">
        <f>IF(CALC_EEM!$B183="","",CALC_EEM!T183)</f>
      </c>
      <c r="U193">
        <f>IF(CALC_EEM!$B183="","",CALC_EEM!U183)</f>
      </c>
    </row>
    <row r="194" spans="1:24">
      <c r="A194" t="str">
        <f>IF(CALC_EEM!$B184="","",IF(CALC_EEM!A184="GLOBAL","GLOBAL",IF(CALC_EEM!C184="Total","CURSO_TOTAL",IF(CALC_EEM!C184="TotalEsp","CURSO_ESP",IF(CALC_EEM!C184="TotalNoEsp","CURSO_NOESP","CURSO_ASIG")))))</f>
      </c>
      <c r="B194" t="str">
        <f>IF(CALC_EEM!$B184="","",CALC_EEM!A184)</f>
      </c>
      <c r="C194" t="str">
        <f>IF(CALC_EEM!$B184="","",CALC_EEM!B184)</f>
      </c>
      <c r="D194">
        <f>IF(CALC_EEM!$B184="","",CALC_EEM!D184)</f>
      </c>
      <c r="E194" s="14" t="str">
        <f>IF(CALC_EEM!$B184="","",CALC_EEM!E184)</f>
      </c>
      <c r="F194" s="14" t="str">
        <f>IF(CALC_EEM!$B184="","",CALC_EEM!F184)</f>
      </c>
      <c r="G194" t="str">
        <f>IF(CALC_EEM!$B184="","",CALC_EEM!G184)</f>
      </c>
      <c r="H194" s="16" t="str">
        <f>IF(CALC_EEM!$B184="","",CALC_EEM!H184)</f>
      </c>
      <c r="I194" s="16" t="str">
        <f>IF(CALC_EEM!$B184="","",CALC_EEM!I184)</f>
      </c>
      <c r="J194" t="str">
        <f>IF(CALC_EEM!$B184="","",CALC_EEM!J184)</f>
      </c>
      <c r="K194" t="str">
        <f>IF(CALC_EEM!$B184="","",CALC_EEM!K184)</f>
      </c>
      <c r="L194">
        <f>IF(CALC_EEM!$B184="","",CALC_EEM!L184)</f>
      </c>
      <c r="M194">
        <f>IF(CALC_EEM!$B184="","",CALC_EEM!M184)</f>
      </c>
      <c r="N194">
        <f>IF(CALC_EEM!$B184="","",CALC_EEM!N184)</f>
      </c>
      <c r="O194">
        <f>IF(CALC_EEM!$B184="","",CALC_EEM!O184)</f>
      </c>
      <c r="P194">
        <f>IF(CALC_EEM!$B184="","",CALC_EEM!P184)</f>
      </c>
      <c r="Q194">
        <f>IF(CALC_EEM!$B184="","",CALC_EEM!Q184)</f>
      </c>
      <c r="R194">
        <f>IF(CALC_EEM!$B184="","",CALC_EEM!R184)</f>
      </c>
      <c r="S194">
        <f>IF(CALC_EEM!$B184="","",CALC_EEM!S184)</f>
      </c>
      <c r="T194">
        <f>IF(CALC_EEM!$B184="","",CALC_EEM!T184)</f>
      </c>
      <c r="U194">
        <f>IF(CALC_EEM!$B184="","",CALC_EEM!U184)</f>
      </c>
    </row>
    <row r="195" spans="1:24">
      <c r="A195" t="str">
        <f>IF(CALC_EEM!$B185="","",IF(CALC_EEM!A185="GLOBAL","GLOBAL",IF(CALC_EEM!C185="Total","CURSO_TOTAL",IF(CALC_EEM!C185="TotalEsp","CURSO_ESP",IF(CALC_EEM!C185="TotalNoEsp","CURSO_NOESP","CURSO_ASIG")))))</f>
      </c>
      <c r="B195" t="str">
        <f>IF(CALC_EEM!$B185="","",CALC_EEM!A185)</f>
      </c>
      <c r="C195" t="str">
        <f>IF(CALC_EEM!$B185="","",CALC_EEM!B185)</f>
      </c>
      <c r="D195">
        <f>IF(CALC_EEM!$B185="","",CALC_EEM!D185)</f>
      </c>
      <c r="E195" s="14" t="str">
        <f>IF(CALC_EEM!$B185="","",CALC_EEM!E185)</f>
      </c>
      <c r="F195" s="14" t="str">
        <f>IF(CALC_EEM!$B185="","",CALC_EEM!F185)</f>
      </c>
      <c r="G195" t="str">
        <f>IF(CALC_EEM!$B185="","",CALC_EEM!G185)</f>
      </c>
      <c r="H195" s="16" t="str">
        <f>IF(CALC_EEM!$B185="","",CALC_EEM!H185)</f>
      </c>
      <c r="I195" s="16" t="str">
        <f>IF(CALC_EEM!$B185="","",CALC_EEM!I185)</f>
      </c>
      <c r="J195" t="str">
        <f>IF(CALC_EEM!$B185="","",CALC_EEM!J185)</f>
      </c>
      <c r="K195" t="str">
        <f>IF(CALC_EEM!$B185="","",CALC_EEM!K185)</f>
      </c>
      <c r="L195">
        <f>IF(CALC_EEM!$B185="","",CALC_EEM!L185)</f>
      </c>
      <c r="M195">
        <f>IF(CALC_EEM!$B185="","",CALC_EEM!M185)</f>
      </c>
      <c r="N195">
        <f>IF(CALC_EEM!$B185="","",CALC_EEM!N185)</f>
      </c>
      <c r="O195">
        <f>IF(CALC_EEM!$B185="","",CALC_EEM!O185)</f>
      </c>
      <c r="P195">
        <f>IF(CALC_EEM!$B185="","",CALC_EEM!P185)</f>
      </c>
      <c r="Q195">
        <f>IF(CALC_EEM!$B185="","",CALC_EEM!Q185)</f>
      </c>
      <c r="R195">
        <f>IF(CALC_EEM!$B185="","",CALC_EEM!R185)</f>
      </c>
      <c r="S195">
        <f>IF(CALC_EEM!$B185="","",CALC_EEM!S185)</f>
      </c>
      <c r="T195">
        <f>IF(CALC_EEM!$B185="","",CALC_EEM!T185)</f>
      </c>
      <c r="U195">
        <f>IF(CALC_EEM!$B185="","",CALC_EEM!U185)</f>
      </c>
    </row>
    <row r="196" spans="1:24">
      <c r="A196" t="str">
        <f>IF(CALC_EEM!$B186="","",IF(CALC_EEM!A186="GLOBAL","GLOBAL",IF(CALC_EEM!C186="Total","CURSO_TOTAL",IF(CALC_EEM!C186="TotalEsp","CURSO_ESP",IF(CALC_EEM!C186="TotalNoEsp","CURSO_NOESP","CURSO_ASIG")))))</f>
      </c>
      <c r="B196" t="str">
        <f>IF(CALC_EEM!$B186="","",CALC_EEM!A186)</f>
      </c>
      <c r="C196" t="str">
        <f>IF(CALC_EEM!$B186="","",CALC_EEM!B186)</f>
      </c>
      <c r="D196">
        <f>IF(CALC_EEM!$B186="","",CALC_EEM!D186)</f>
      </c>
      <c r="E196" s="14" t="str">
        <f>IF(CALC_EEM!$B186="","",CALC_EEM!E186)</f>
      </c>
      <c r="F196" s="14" t="str">
        <f>IF(CALC_EEM!$B186="","",CALC_EEM!F186)</f>
      </c>
      <c r="G196" t="str">
        <f>IF(CALC_EEM!$B186="","",CALC_EEM!G186)</f>
      </c>
      <c r="H196" s="16" t="str">
        <f>IF(CALC_EEM!$B186="","",CALC_EEM!H186)</f>
      </c>
      <c r="I196" s="16" t="str">
        <f>IF(CALC_EEM!$B186="","",CALC_EEM!I186)</f>
      </c>
      <c r="J196" t="str">
        <f>IF(CALC_EEM!$B186="","",CALC_EEM!J186)</f>
      </c>
      <c r="K196" t="str">
        <f>IF(CALC_EEM!$B186="","",CALC_EEM!K186)</f>
      </c>
      <c r="L196">
        <f>IF(CALC_EEM!$B186="","",CALC_EEM!L186)</f>
      </c>
      <c r="M196">
        <f>IF(CALC_EEM!$B186="","",CALC_EEM!M186)</f>
      </c>
      <c r="N196">
        <f>IF(CALC_EEM!$B186="","",CALC_EEM!N186)</f>
      </c>
      <c r="O196">
        <f>IF(CALC_EEM!$B186="","",CALC_EEM!O186)</f>
      </c>
      <c r="P196">
        <f>IF(CALC_EEM!$B186="","",CALC_EEM!P186)</f>
      </c>
      <c r="Q196">
        <f>IF(CALC_EEM!$B186="","",CALC_EEM!Q186)</f>
      </c>
      <c r="R196">
        <f>IF(CALC_EEM!$B186="","",CALC_EEM!R186)</f>
      </c>
      <c r="S196">
        <f>IF(CALC_EEM!$B186="","",CALC_EEM!S186)</f>
      </c>
      <c r="T196">
        <f>IF(CALC_EEM!$B186="","",CALC_EEM!T186)</f>
      </c>
      <c r="U196">
        <f>IF(CALC_EEM!$B186="","",CALC_EEM!U186)</f>
      </c>
    </row>
    <row r="197" spans="1:24">
      <c r="A197" t="str">
        <f>IF(CALC_EEM!$B187="","",IF(CALC_EEM!A187="GLOBAL","GLOBAL",IF(CALC_EEM!C187="Total","CURSO_TOTAL",IF(CALC_EEM!C187="TotalEsp","CURSO_ESP",IF(CALC_EEM!C187="TotalNoEsp","CURSO_NOESP","CURSO_ASIG")))))</f>
      </c>
      <c r="B197" t="str">
        <f>IF(CALC_EEM!$B187="","",CALC_EEM!A187)</f>
      </c>
      <c r="C197" t="str">
        <f>IF(CALC_EEM!$B187="","",CALC_EEM!B187)</f>
      </c>
      <c r="D197">
        <f>IF(CALC_EEM!$B187="","",CALC_EEM!D187)</f>
      </c>
      <c r="E197" s="14" t="str">
        <f>IF(CALC_EEM!$B187="","",CALC_EEM!E187)</f>
      </c>
      <c r="F197" s="14" t="str">
        <f>IF(CALC_EEM!$B187="","",CALC_EEM!F187)</f>
      </c>
      <c r="G197" t="str">
        <f>IF(CALC_EEM!$B187="","",CALC_EEM!G187)</f>
      </c>
      <c r="H197" s="16" t="str">
        <f>IF(CALC_EEM!$B187="","",CALC_EEM!H187)</f>
      </c>
      <c r="I197" s="16" t="str">
        <f>IF(CALC_EEM!$B187="","",CALC_EEM!I187)</f>
      </c>
      <c r="J197" t="str">
        <f>IF(CALC_EEM!$B187="","",CALC_EEM!J187)</f>
      </c>
      <c r="K197" t="str">
        <f>IF(CALC_EEM!$B187="","",CALC_EEM!K187)</f>
      </c>
      <c r="L197">
        <f>IF(CALC_EEM!$B187="","",CALC_EEM!L187)</f>
      </c>
      <c r="M197">
        <f>IF(CALC_EEM!$B187="","",CALC_EEM!M187)</f>
      </c>
      <c r="N197">
        <f>IF(CALC_EEM!$B187="","",CALC_EEM!N187)</f>
      </c>
      <c r="O197">
        <f>IF(CALC_EEM!$B187="","",CALC_EEM!O187)</f>
      </c>
      <c r="P197">
        <f>IF(CALC_EEM!$B187="","",CALC_EEM!P187)</f>
      </c>
      <c r="Q197">
        <f>IF(CALC_EEM!$B187="","",CALC_EEM!Q187)</f>
      </c>
      <c r="R197">
        <f>IF(CALC_EEM!$B187="","",CALC_EEM!R187)</f>
      </c>
      <c r="S197">
        <f>IF(CALC_EEM!$B187="","",CALC_EEM!S187)</f>
      </c>
      <c r="T197">
        <f>IF(CALC_EEM!$B187="","",CALC_EEM!T187)</f>
      </c>
      <c r="U197">
        <f>IF(CALC_EEM!$B187="","",CALC_EEM!U187)</f>
      </c>
    </row>
    <row r="198" spans="1:24">
      <c r="A198" t="str">
        <f>IF(CALC_EEM!$B188="","",IF(CALC_EEM!A188="GLOBAL","GLOBAL",IF(CALC_EEM!C188="Total","CURSO_TOTAL",IF(CALC_EEM!C188="TotalEsp","CURSO_ESP",IF(CALC_EEM!C188="TotalNoEsp","CURSO_NOESP","CURSO_ASIG")))))</f>
      </c>
      <c r="B198" t="str">
        <f>IF(CALC_EEM!$B188="","",CALC_EEM!A188)</f>
      </c>
      <c r="C198" t="str">
        <f>IF(CALC_EEM!$B188="","",CALC_EEM!B188)</f>
      </c>
      <c r="D198">
        <f>IF(CALC_EEM!$B188="","",CALC_EEM!D188)</f>
      </c>
      <c r="E198" s="14" t="str">
        <f>IF(CALC_EEM!$B188="","",CALC_EEM!E188)</f>
      </c>
      <c r="F198" s="14" t="str">
        <f>IF(CALC_EEM!$B188="","",CALC_EEM!F188)</f>
      </c>
      <c r="G198" t="str">
        <f>IF(CALC_EEM!$B188="","",CALC_EEM!G188)</f>
      </c>
      <c r="H198" s="16" t="str">
        <f>IF(CALC_EEM!$B188="","",CALC_EEM!H188)</f>
      </c>
      <c r="I198" s="16" t="str">
        <f>IF(CALC_EEM!$B188="","",CALC_EEM!I188)</f>
      </c>
      <c r="J198" t="str">
        <f>IF(CALC_EEM!$B188="","",CALC_EEM!J188)</f>
      </c>
      <c r="K198" t="str">
        <f>IF(CALC_EEM!$B188="","",CALC_EEM!K188)</f>
      </c>
      <c r="L198">
        <f>IF(CALC_EEM!$B188="","",CALC_EEM!L188)</f>
      </c>
      <c r="M198">
        <f>IF(CALC_EEM!$B188="","",CALC_EEM!M188)</f>
      </c>
      <c r="N198">
        <f>IF(CALC_EEM!$B188="","",CALC_EEM!N188)</f>
      </c>
      <c r="O198">
        <f>IF(CALC_EEM!$B188="","",CALC_EEM!O188)</f>
      </c>
      <c r="P198">
        <f>IF(CALC_EEM!$B188="","",CALC_EEM!P188)</f>
      </c>
      <c r="Q198">
        <f>IF(CALC_EEM!$B188="","",CALC_EEM!Q188)</f>
      </c>
      <c r="R198">
        <f>IF(CALC_EEM!$B188="","",CALC_EEM!R188)</f>
      </c>
      <c r="S198">
        <f>IF(CALC_EEM!$B188="","",CALC_EEM!S188)</f>
      </c>
      <c r="T198">
        <f>IF(CALC_EEM!$B188="","",CALC_EEM!T188)</f>
      </c>
      <c r="U198">
        <f>IF(CALC_EEM!$B188="","",CALC_EEM!U188)</f>
      </c>
    </row>
    <row r="199" spans="1:24">
      <c r="A199" t="str">
        <f>IF(CALC_EEM!$B189="","",IF(CALC_EEM!A189="GLOBAL","GLOBAL",IF(CALC_EEM!C189="Total","CURSO_TOTAL",IF(CALC_EEM!C189="TotalEsp","CURSO_ESP",IF(CALC_EEM!C189="TotalNoEsp","CURSO_NOESP","CURSO_ASIG")))))</f>
      </c>
      <c r="B199" t="str">
        <f>IF(CALC_EEM!$B189="","",CALC_EEM!A189)</f>
      </c>
      <c r="C199" t="str">
        <f>IF(CALC_EEM!$B189="","",CALC_EEM!B189)</f>
      </c>
      <c r="D199">
        <f>IF(CALC_EEM!$B189="","",CALC_EEM!D189)</f>
      </c>
      <c r="E199" s="14" t="str">
        <f>IF(CALC_EEM!$B189="","",CALC_EEM!E189)</f>
      </c>
      <c r="F199" s="14" t="str">
        <f>IF(CALC_EEM!$B189="","",CALC_EEM!F189)</f>
      </c>
      <c r="G199" t="str">
        <f>IF(CALC_EEM!$B189="","",CALC_EEM!G189)</f>
      </c>
      <c r="H199" s="16" t="str">
        <f>IF(CALC_EEM!$B189="","",CALC_EEM!H189)</f>
      </c>
      <c r="I199" s="16" t="str">
        <f>IF(CALC_EEM!$B189="","",CALC_EEM!I189)</f>
      </c>
      <c r="J199" t="str">
        <f>IF(CALC_EEM!$B189="","",CALC_EEM!J189)</f>
      </c>
      <c r="K199" t="str">
        <f>IF(CALC_EEM!$B189="","",CALC_EEM!K189)</f>
      </c>
      <c r="L199">
        <f>IF(CALC_EEM!$B189="","",CALC_EEM!L189)</f>
      </c>
      <c r="M199">
        <f>IF(CALC_EEM!$B189="","",CALC_EEM!M189)</f>
      </c>
      <c r="N199">
        <f>IF(CALC_EEM!$B189="","",CALC_EEM!N189)</f>
      </c>
      <c r="O199">
        <f>IF(CALC_EEM!$B189="","",CALC_EEM!O189)</f>
      </c>
      <c r="P199">
        <f>IF(CALC_EEM!$B189="","",CALC_EEM!P189)</f>
      </c>
      <c r="Q199">
        <f>IF(CALC_EEM!$B189="","",CALC_EEM!Q189)</f>
      </c>
      <c r="R199">
        <f>IF(CALC_EEM!$B189="","",CALC_EEM!R189)</f>
      </c>
      <c r="S199">
        <f>IF(CALC_EEM!$B189="","",CALC_EEM!S189)</f>
      </c>
      <c r="T199">
        <f>IF(CALC_EEM!$B189="","",CALC_EEM!T189)</f>
      </c>
      <c r="U199">
        <f>IF(CALC_EEM!$B189="","",CALC_EEM!U189)</f>
      </c>
    </row>
    <row r="200" spans="1:24">
      <c r="A200" t="str">
        <f>IF(CALC_EEM!$B190="","",IF(CALC_EEM!A190="GLOBAL","GLOBAL",IF(CALC_EEM!C190="Total","CURSO_TOTAL",IF(CALC_EEM!C190="TotalEsp","CURSO_ESP",IF(CALC_EEM!C190="TotalNoEsp","CURSO_NOESP","CURSO_ASIG")))))</f>
      </c>
      <c r="B200" t="str">
        <f>IF(CALC_EEM!$B190="","",CALC_EEM!A190)</f>
      </c>
      <c r="C200" t="str">
        <f>IF(CALC_EEM!$B190="","",CALC_EEM!B190)</f>
      </c>
      <c r="D200">
        <f>IF(CALC_EEM!$B190="","",CALC_EEM!D190)</f>
      </c>
      <c r="E200" s="14" t="str">
        <f>IF(CALC_EEM!$B190="","",CALC_EEM!E190)</f>
      </c>
      <c r="F200" s="14" t="str">
        <f>IF(CALC_EEM!$B190="","",CALC_EEM!F190)</f>
      </c>
      <c r="G200" t="str">
        <f>IF(CALC_EEM!$B190="","",CALC_EEM!G190)</f>
      </c>
      <c r="H200" s="16" t="str">
        <f>IF(CALC_EEM!$B190="","",CALC_EEM!H190)</f>
      </c>
      <c r="I200" s="16" t="str">
        <f>IF(CALC_EEM!$B190="","",CALC_EEM!I190)</f>
      </c>
      <c r="J200" t="str">
        <f>IF(CALC_EEM!$B190="","",CALC_EEM!J190)</f>
      </c>
      <c r="K200" t="str">
        <f>IF(CALC_EEM!$B190="","",CALC_EEM!K190)</f>
      </c>
      <c r="L200">
        <f>IF(CALC_EEM!$B190="","",CALC_EEM!L190)</f>
      </c>
      <c r="M200">
        <f>IF(CALC_EEM!$B190="","",CALC_EEM!M190)</f>
      </c>
      <c r="N200">
        <f>IF(CALC_EEM!$B190="","",CALC_EEM!N190)</f>
      </c>
      <c r="O200">
        <f>IF(CALC_EEM!$B190="","",CALC_EEM!O190)</f>
      </c>
      <c r="P200">
        <f>IF(CALC_EEM!$B190="","",CALC_EEM!P190)</f>
      </c>
      <c r="Q200">
        <f>IF(CALC_EEM!$B190="","",CALC_EEM!Q190)</f>
      </c>
      <c r="R200">
        <f>IF(CALC_EEM!$B190="","",CALC_EEM!R190)</f>
      </c>
      <c r="S200">
        <f>IF(CALC_EEM!$B190="","",CALC_EEM!S190)</f>
      </c>
      <c r="T200">
        <f>IF(CALC_EEM!$B190="","",CALC_EEM!T190)</f>
      </c>
      <c r="U200">
        <f>IF(CALC_EEM!$B190="","",CALC_EEM!U190)</f>
      </c>
    </row>
    <row r="201" spans="1:24">
      <c r="A201" t="str">
        <f>IF(CALC_EEM!$B191="","",IF(CALC_EEM!A191="GLOBAL","GLOBAL",IF(CALC_EEM!C191="Total","CURSO_TOTAL",IF(CALC_EEM!C191="TotalEsp","CURSO_ESP",IF(CALC_EEM!C191="TotalNoEsp","CURSO_NOESP","CURSO_ASIG")))))</f>
      </c>
      <c r="B201" t="str">
        <f>IF(CALC_EEM!$B191="","",CALC_EEM!A191)</f>
      </c>
      <c r="C201" t="str">
        <f>IF(CALC_EEM!$B191="","",CALC_EEM!B191)</f>
      </c>
      <c r="D201">
        <f>IF(CALC_EEM!$B191="","",CALC_EEM!D191)</f>
      </c>
      <c r="E201" s="14" t="str">
        <f>IF(CALC_EEM!$B191="","",CALC_EEM!E191)</f>
      </c>
      <c r="F201" s="14" t="str">
        <f>IF(CALC_EEM!$B191="","",CALC_EEM!F191)</f>
      </c>
      <c r="G201" t="str">
        <f>IF(CALC_EEM!$B191="","",CALC_EEM!G191)</f>
      </c>
      <c r="H201" s="16" t="str">
        <f>IF(CALC_EEM!$B191="","",CALC_EEM!H191)</f>
      </c>
      <c r="I201" s="16" t="str">
        <f>IF(CALC_EEM!$B191="","",CALC_EEM!I191)</f>
      </c>
      <c r="J201" t="str">
        <f>IF(CALC_EEM!$B191="","",CALC_EEM!J191)</f>
      </c>
      <c r="K201" t="str">
        <f>IF(CALC_EEM!$B191="","",CALC_EEM!K191)</f>
      </c>
      <c r="L201">
        <f>IF(CALC_EEM!$B191="","",CALC_EEM!L191)</f>
      </c>
      <c r="M201">
        <f>IF(CALC_EEM!$B191="","",CALC_EEM!M191)</f>
      </c>
      <c r="N201">
        <f>IF(CALC_EEM!$B191="","",CALC_EEM!N191)</f>
      </c>
      <c r="O201">
        <f>IF(CALC_EEM!$B191="","",CALC_EEM!O191)</f>
      </c>
      <c r="P201">
        <f>IF(CALC_EEM!$B191="","",CALC_EEM!P191)</f>
      </c>
      <c r="Q201">
        <f>IF(CALC_EEM!$B191="","",CALC_EEM!Q191)</f>
      </c>
      <c r="R201">
        <f>IF(CALC_EEM!$B191="","",CALC_EEM!R191)</f>
      </c>
      <c r="S201">
        <f>IF(CALC_EEM!$B191="","",CALC_EEM!S191)</f>
      </c>
      <c r="T201">
        <f>IF(CALC_EEM!$B191="","",CALC_EEM!T191)</f>
      </c>
      <c r="U201">
        <f>IF(CALC_EEM!$B191="","",CALC_EEM!U191)</f>
      </c>
    </row>
    <row r="202" spans="1:24">
      <c r="A202" t="str">
        <f>IF(CALC_EEM!$B192="","",IF(CALC_EEM!A192="GLOBAL","GLOBAL",IF(CALC_EEM!C192="Total","CURSO_TOTAL",IF(CALC_EEM!C192="TotalEsp","CURSO_ESP",IF(CALC_EEM!C192="TotalNoEsp","CURSO_NOESP","CURSO_ASIG")))))</f>
      </c>
      <c r="B202" t="str">
        <f>IF(CALC_EEM!$B192="","",CALC_EEM!A192)</f>
      </c>
      <c r="C202" t="str">
        <f>IF(CALC_EEM!$B192="","",CALC_EEM!B192)</f>
      </c>
      <c r="D202">
        <f>IF(CALC_EEM!$B192="","",CALC_EEM!D192)</f>
      </c>
      <c r="E202" s="14" t="str">
        <f>IF(CALC_EEM!$B192="","",CALC_EEM!E192)</f>
      </c>
      <c r="F202" s="14" t="str">
        <f>IF(CALC_EEM!$B192="","",CALC_EEM!F192)</f>
      </c>
      <c r="G202" t="str">
        <f>IF(CALC_EEM!$B192="","",CALC_EEM!G192)</f>
      </c>
      <c r="H202" s="16" t="str">
        <f>IF(CALC_EEM!$B192="","",CALC_EEM!H192)</f>
      </c>
      <c r="I202" s="16" t="str">
        <f>IF(CALC_EEM!$B192="","",CALC_EEM!I192)</f>
      </c>
      <c r="J202" t="str">
        <f>IF(CALC_EEM!$B192="","",CALC_EEM!J192)</f>
      </c>
      <c r="K202" t="str">
        <f>IF(CALC_EEM!$B192="","",CALC_EEM!K192)</f>
      </c>
      <c r="L202">
        <f>IF(CALC_EEM!$B192="","",CALC_EEM!L192)</f>
      </c>
      <c r="M202">
        <f>IF(CALC_EEM!$B192="","",CALC_EEM!M192)</f>
      </c>
      <c r="N202">
        <f>IF(CALC_EEM!$B192="","",CALC_EEM!N192)</f>
      </c>
      <c r="O202">
        <f>IF(CALC_EEM!$B192="","",CALC_EEM!O192)</f>
      </c>
      <c r="P202">
        <f>IF(CALC_EEM!$B192="","",CALC_EEM!P192)</f>
      </c>
      <c r="Q202">
        <f>IF(CALC_EEM!$B192="","",CALC_EEM!Q192)</f>
      </c>
      <c r="R202">
        <f>IF(CALC_EEM!$B192="","",CALC_EEM!R192)</f>
      </c>
      <c r="S202">
        <f>IF(CALC_EEM!$B192="","",CALC_EEM!S192)</f>
      </c>
      <c r="T202">
        <f>IF(CALC_EEM!$B192="","",CALC_EEM!T192)</f>
      </c>
      <c r="U202">
        <f>IF(CALC_EEM!$B192="","",CALC_EEM!U192)</f>
      </c>
    </row>
    <row r="203" spans="1:24">
      <c r="A203" t="str">
        <f>IF(CALC_EEM!$B193="","",IF(CALC_EEM!A193="GLOBAL","GLOBAL",IF(CALC_EEM!C193="Total","CURSO_TOTAL",IF(CALC_EEM!C193="TotalEsp","CURSO_ESP",IF(CALC_EEM!C193="TotalNoEsp","CURSO_NOESP","CURSO_ASIG")))))</f>
      </c>
      <c r="B203" t="str">
        <f>IF(CALC_EEM!$B193="","",CALC_EEM!A193)</f>
      </c>
      <c r="C203" t="str">
        <f>IF(CALC_EEM!$B193="","",CALC_EEM!B193)</f>
      </c>
      <c r="D203">
        <f>IF(CALC_EEM!$B193="","",CALC_EEM!D193)</f>
      </c>
      <c r="E203" s="14" t="str">
        <f>IF(CALC_EEM!$B193="","",CALC_EEM!E193)</f>
      </c>
      <c r="F203" s="14" t="str">
        <f>IF(CALC_EEM!$B193="","",CALC_EEM!F193)</f>
      </c>
      <c r="G203" t="str">
        <f>IF(CALC_EEM!$B193="","",CALC_EEM!G193)</f>
      </c>
      <c r="H203" s="16" t="str">
        <f>IF(CALC_EEM!$B193="","",CALC_EEM!H193)</f>
      </c>
      <c r="I203" s="16" t="str">
        <f>IF(CALC_EEM!$B193="","",CALC_EEM!I193)</f>
      </c>
      <c r="J203" t="str">
        <f>IF(CALC_EEM!$B193="","",CALC_EEM!J193)</f>
      </c>
      <c r="K203" t="str">
        <f>IF(CALC_EEM!$B193="","",CALC_EEM!K193)</f>
      </c>
      <c r="L203">
        <f>IF(CALC_EEM!$B193="","",CALC_EEM!L193)</f>
      </c>
      <c r="M203">
        <f>IF(CALC_EEM!$B193="","",CALC_EEM!M193)</f>
      </c>
      <c r="N203">
        <f>IF(CALC_EEM!$B193="","",CALC_EEM!N193)</f>
      </c>
      <c r="O203">
        <f>IF(CALC_EEM!$B193="","",CALC_EEM!O193)</f>
      </c>
      <c r="P203">
        <f>IF(CALC_EEM!$B193="","",CALC_EEM!P193)</f>
      </c>
      <c r="Q203">
        <f>IF(CALC_EEM!$B193="","",CALC_EEM!Q193)</f>
      </c>
      <c r="R203">
        <f>IF(CALC_EEM!$B193="","",CALC_EEM!R193)</f>
      </c>
      <c r="S203">
        <f>IF(CALC_EEM!$B193="","",CALC_EEM!S193)</f>
      </c>
      <c r="T203">
        <f>IF(CALC_EEM!$B193="","",CALC_EEM!T193)</f>
      </c>
      <c r="U203">
        <f>IF(CALC_EEM!$B193="","",CALC_EEM!U193)</f>
      </c>
    </row>
    <row r="204" spans="1:24">
      <c r="A204" t="str">
        <f>IF(CALC_EEM!$B194="","",IF(CALC_EEM!A194="GLOBAL","GLOBAL",IF(CALC_EEM!C194="Total","CURSO_TOTAL",IF(CALC_EEM!C194="TotalEsp","CURSO_ESP",IF(CALC_EEM!C194="TotalNoEsp","CURSO_NOESP","CURSO_ASIG")))))</f>
      </c>
      <c r="B204" t="str">
        <f>IF(CALC_EEM!$B194="","",CALC_EEM!A194)</f>
      </c>
      <c r="C204" t="str">
        <f>IF(CALC_EEM!$B194="","",CALC_EEM!B194)</f>
      </c>
      <c r="D204">
        <f>IF(CALC_EEM!$B194="","",CALC_EEM!D194)</f>
      </c>
      <c r="E204" s="14" t="str">
        <f>IF(CALC_EEM!$B194="","",CALC_EEM!E194)</f>
      </c>
      <c r="F204" s="14" t="str">
        <f>IF(CALC_EEM!$B194="","",CALC_EEM!F194)</f>
      </c>
      <c r="G204" t="str">
        <f>IF(CALC_EEM!$B194="","",CALC_EEM!G194)</f>
      </c>
      <c r="H204" s="16" t="str">
        <f>IF(CALC_EEM!$B194="","",CALC_EEM!H194)</f>
      </c>
      <c r="I204" s="16" t="str">
        <f>IF(CALC_EEM!$B194="","",CALC_EEM!I194)</f>
      </c>
      <c r="J204" t="str">
        <f>IF(CALC_EEM!$B194="","",CALC_EEM!J194)</f>
      </c>
      <c r="K204" t="str">
        <f>IF(CALC_EEM!$B194="","",CALC_EEM!K194)</f>
      </c>
      <c r="L204">
        <f>IF(CALC_EEM!$B194="","",CALC_EEM!L194)</f>
      </c>
      <c r="M204">
        <f>IF(CALC_EEM!$B194="","",CALC_EEM!M194)</f>
      </c>
      <c r="N204">
        <f>IF(CALC_EEM!$B194="","",CALC_EEM!N194)</f>
      </c>
      <c r="O204">
        <f>IF(CALC_EEM!$B194="","",CALC_EEM!O194)</f>
      </c>
      <c r="P204">
        <f>IF(CALC_EEM!$B194="","",CALC_EEM!P194)</f>
      </c>
      <c r="Q204">
        <f>IF(CALC_EEM!$B194="","",CALC_EEM!Q194)</f>
      </c>
      <c r="R204">
        <f>IF(CALC_EEM!$B194="","",CALC_EEM!R194)</f>
      </c>
      <c r="S204">
        <f>IF(CALC_EEM!$B194="","",CALC_EEM!S194)</f>
      </c>
      <c r="T204">
        <f>IF(CALC_EEM!$B194="","",CALC_EEM!T194)</f>
      </c>
      <c r="U204">
        <f>IF(CALC_EEM!$B194="","",CALC_EEM!U194)</f>
      </c>
    </row>
    <row r="205" spans="1:24">
      <c r="A205" t="str">
        <f>IF(CALC_EEM!$B195="","",IF(CALC_EEM!A195="GLOBAL","GLOBAL",IF(CALC_EEM!C195="Total","CURSO_TOTAL",IF(CALC_EEM!C195="TotalEsp","CURSO_ESP",IF(CALC_EEM!C195="TotalNoEsp","CURSO_NOESP","CURSO_ASIG")))))</f>
      </c>
      <c r="B205" t="str">
        <f>IF(CALC_EEM!$B195="","",CALC_EEM!A195)</f>
      </c>
      <c r="C205" t="str">
        <f>IF(CALC_EEM!$B195="","",CALC_EEM!B195)</f>
      </c>
      <c r="D205">
        <f>IF(CALC_EEM!$B195="","",CALC_EEM!D195)</f>
      </c>
      <c r="E205" s="14" t="str">
        <f>IF(CALC_EEM!$B195="","",CALC_EEM!E195)</f>
      </c>
      <c r="F205" s="14" t="str">
        <f>IF(CALC_EEM!$B195="","",CALC_EEM!F195)</f>
      </c>
      <c r="G205" t="str">
        <f>IF(CALC_EEM!$B195="","",CALC_EEM!G195)</f>
      </c>
      <c r="H205" s="16" t="str">
        <f>IF(CALC_EEM!$B195="","",CALC_EEM!H195)</f>
      </c>
      <c r="I205" s="16" t="str">
        <f>IF(CALC_EEM!$B195="","",CALC_EEM!I195)</f>
      </c>
      <c r="J205" t="str">
        <f>IF(CALC_EEM!$B195="","",CALC_EEM!J195)</f>
      </c>
      <c r="K205" t="str">
        <f>IF(CALC_EEM!$B195="","",CALC_EEM!K195)</f>
      </c>
      <c r="L205">
        <f>IF(CALC_EEM!$B195="","",CALC_EEM!L195)</f>
      </c>
      <c r="M205">
        <f>IF(CALC_EEM!$B195="","",CALC_EEM!M195)</f>
      </c>
      <c r="N205">
        <f>IF(CALC_EEM!$B195="","",CALC_EEM!N195)</f>
      </c>
      <c r="O205">
        <f>IF(CALC_EEM!$B195="","",CALC_EEM!O195)</f>
      </c>
      <c r="P205">
        <f>IF(CALC_EEM!$B195="","",CALC_EEM!P195)</f>
      </c>
      <c r="Q205">
        <f>IF(CALC_EEM!$B195="","",CALC_EEM!Q195)</f>
      </c>
      <c r="R205">
        <f>IF(CALC_EEM!$B195="","",CALC_EEM!R195)</f>
      </c>
      <c r="S205">
        <f>IF(CALC_EEM!$B195="","",CALC_EEM!S195)</f>
      </c>
      <c r="T205">
        <f>IF(CALC_EEM!$B195="","",CALC_EEM!T195)</f>
      </c>
      <c r="U205">
        <f>IF(CALC_EEM!$B195="","",CALC_EEM!U195)</f>
      </c>
    </row>
    <row r="206" spans="1:24">
      <c r="A206" t="str">
        <f>IF(CALC_EEM!$B196="","",IF(CALC_EEM!A196="GLOBAL","GLOBAL",IF(CALC_EEM!C196="Total","CURSO_TOTAL",IF(CALC_EEM!C196="TotalEsp","CURSO_ESP",IF(CALC_EEM!C196="TotalNoEsp","CURSO_NOESP","CURSO_ASIG")))))</f>
      </c>
      <c r="B206" t="str">
        <f>IF(CALC_EEM!$B196="","",CALC_EEM!A196)</f>
      </c>
      <c r="C206" t="str">
        <f>IF(CALC_EEM!$B196="","",CALC_EEM!B196)</f>
      </c>
      <c r="D206">
        <f>IF(CALC_EEM!$B196="","",CALC_EEM!D196)</f>
      </c>
      <c r="E206" s="14" t="str">
        <f>IF(CALC_EEM!$B196="","",CALC_EEM!E196)</f>
      </c>
      <c r="F206" s="14" t="str">
        <f>IF(CALC_EEM!$B196="","",CALC_EEM!F196)</f>
      </c>
      <c r="G206" t="str">
        <f>IF(CALC_EEM!$B196="","",CALC_EEM!G196)</f>
      </c>
      <c r="H206" s="16" t="str">
        <f>IF(CALC_EEM!$B196="","",CALC_EEM!H196)</f>
      </c>
      <c r="I206" s="16" t="str">
        <f>IF(CALC_EEM!$B196="","",CALC_EEM!I196)</f>
      </c>
      <c r="J206" t="str">
        <f>IF(CALC_EEM!$B196="","",CALC_EEM!J196)</f>
      </c>
      <c r="K206" t="str">
        <f>IF(CALC_EEM!$B196="","",CALC_EEM!K196)</f>
      </c>
      <c r="L206">
        <f>IF(CALC_EEM!$B196="","",CALC_EEM!L196)</f>
      </c>
      <c r="M206">
        <f>IF(CALC_EEM!$B196="","",CALC_EEM!M196)</f>
      </c>
      <c r="N206">
        <f>IF(CALC_EEM!$B196="","",CALC_EEM!N196)</f>
      </c>
      <c r="O206">
        <f>IF(CALC_EEM!$B196="","",CALC_EEM!O196)</f>
      </c>
      <c r="P206">
        <f>IF(CALC_EEM!$B196="","",CALC_EEM!P196)</f>
      </c>
      <c r="Q206">
        <f>IF(CALC_EEM!$B196="","",CALC_EEM!Q196)</f>
      </c>
      <c r="R206">
        <f>IF(CALC_EEM!$B196="","",CALC_EEM!R196)</f>
      </c>
      <c r="S206">
        <f>IF(CALC_EEM!$B196="","",CALC_EEM!S196)</f>
      </c>
      <c r="T206">
        <f>IF(CALC_EEM!$B196="","",CALC_EEM!T196)</f>
      </c>
      <c r="U206">
        <f>IF(CALC_EEM!$B196="","",CALC_EEM!U196)</f>
      </c>
    </row>
    <row r="207" spans="1:24">
      <c r="A207" t="str">
        <f>IF(CALC_EEM!$B197="","",IF(CALC_EEM!A197="GLOBAL","GLOBAL",IF(CALC_EEM!C197="Total","CURSO_TOTAL",IF(CALC_EEM!C197="TotalEsp","CURSO_ESP",IF(CALC_EEM!C197="TotalNoEsp","CURSO_NOESP","CURSO_ASIG")))))</f>
      </c>
      <c r="B207" t="str">
        <f>IF(CALC_EEM!$B197="","",CALC_EEM!A197)</f>
      </c>
      <c r="C207" t="str">
        <f>IF(CALC_EEM!$B197="","",CALC_EEM!B197)</f>
      </c>
      <c r="D207">
        <f>IF(CALC_EEM!$B197="","",CALC_EEM!D197)</f>
      </c>
      <c r="E207" s="14" t="str">
        <f>IF(CALC_EEM!$B197="","",CALC_EEM!E197)</f>
      </c>
      <c r="F207" s="14" t="str">
        <f>IF(CALC_EEM!$B197="","",CALC_EEM!F197)</f>
      </c>
      <c r="G207" t="str">
        <f>IF(CALC_EEM!$B197="","",CALC_EEM!G197)</f>
      </c>
      <c r="H207" s="16" t="str">
        <f>IF(CALC_EEM!$B197="","",CALC_EEM!H197)</f>
      </c>
      <c r="I207" s="16" t="str">
        <f>IF(CALC_EEM!$B197="","",CALC_EEM!I197)</f>
      </c>
      <c r="J207" t="str">
        <f>IF(CALC_EEM!$B197="","",CALC_EEM!J197)</f>
      </c>
      <c r="K207" t="str">
        <f>IF(CALC_EEM!$B197="","",CALC_EEM!K197)</f>
      </c>
      <c r="L207">
        <f>IF(CALC_EEM!$B197="","",CALC_EEM!L197)</f>
      </c>
      <c r="M207">
        <f>IF(CALC_EEM!$B197="","",CALC_EEM!M197)</f>
      </c>
      <c r="N207">
        <f>IF(CALC_EEM!$B197="","",CALC_EEM!N197)</f>
      </c>
      <c r="O207">
        <f>IF(CALC_EEM!$B197="","",CALC_EEM!O197)</f>
      </c>
      <c r="P207">
        <f>IF(CALC_EEM!$B197="","",CALC_EEM!P197)</f>
      </c>
      <c r="Q207">
        <f>IF(CALC_EEM!$B197="","",CALC_EEM!Q197)</f>
      </c>
      <c r="R207">
        <f>IF(CALC_EEM!$B197="","",CALC_EEM!R197)</f>
      </c>
      <c r="S207">
        <f>IF(CALC_EEM!$B197="","",CALC_EEM!S197)</f>
      </c>
      <c r="T207">
        <f>IF(CALC_EEM!$B197="","",CALC_EEM!T197)</f>
      </c>
      <c r="U207">
        <f>IF(CALC_EEM!$B197="","",CALC_EEM!U197)</f>
      </c>
    </row>
    <row r="208" spans="1:24">
      <c r="A208" t="str">
        <f>IF(CALC_EEM!$B198="","",IF(CALC_EEM!A198="GLOBAL","GLOBAL",IF(CALC_EEM!C198="Total","CURSO_TOTAL",IF(CALC_EEM!C198="TotalEsp","CURSO_ESP",IF(CALC_EEM!C198="TotalNoEsp","CURSO_NOESP","CURSO_ASIG")))))</f>
      </c>
      <c r="B208" t="str">
        <f>IF(CALC_EEM!$B198="","",CALC_EEM!A198)</f>
      </c>
      <c r="C208" t="str">
        <f>IF(CALC_EEM!$B198="","",CALC_EEM!B198)</f>
      </c>
      <c r="D208">
        <f>IF(CALC_EEM!$B198="","",CALC_EEM!D198)</f>
      </c>
      <c r="E208" s="14" t="str">
        <f>IF(CALC_EEM!$B198="","",CALC_EEM!E198)</f>
      </c>
      <c r="F208" s="14" t="str">
        <f>IF(CALC_EEM!$B198="","",CALC_EEM!F198)</f>
      </c>
      <c r="G208" t="str">
        <f>IF(CALC_EEM!$B198="","",CALC_EEM!G198)</f>
      </c>
      <c r="H208" s="16" t="str">
        <f>IF(CALC_EEM!$B198="","",CALC_EEM!H198)</f>
      </c>
      <c r="I208" s="16" t="str">
        <f>IF(CALC_EEM!$B198="","",CALC_EEM!I198)</f>
      </c>
      <c r="J208" t="str">
        <f>IF(CALC_EEM!$B198="","",CALC_EEM!J198)</f>
      </c>
      <c r="K208" t="str">
        <f>IF(CALC_EEM!$B198="","",CALC_EEM!K198)</f>
      </c>
      <c r="L208">
        <f>IF(CALC_EEM!$B198="","",CALC_EEM!L198)</f>
      </c>
      <c r="M208">
        <f>IF(CALC_EEM!$B198="","",CALC_EEM!M198)</f>
      </c>
      <c r="N208">
        <f>IF(CALC_EEM!$B198="","",CALC_EEM!N198)</f>
      </c>
      <c r="O208">
        <f>IF(CALC_EEM!$B198="","",CALC_EEM!O198)</f>
      </c>
      <c r="P208">
        <f>IF(CALC_EEM!$B198="","",CALC_EEM!P198)</f>
      </c>
      <c r="Q208">
        <f>IF(CALC_EEM!$B198="","",CALC_EEM!Q198)</f>
      </c>
      <c r="R208">
        <f>IF(CALC_EEM!$B198="","",CALC_EEM!R198)</f>
      </c>
      <c r="S208">
        <f>IF(CALC_EEM!$B198="","",CALC_EEM!S198)</f>
      </c>
      <c r="T208">
        <f>IF(CALC_EEM!$B198="","",CALC_EEM!T198)</f>
      </c>
      <c r="U208">
        <f>IF(CALC_EEM!$B198="","",CALC_EEM!U198)</f>
      </c>
    </row>
    <row r="209" spans="1:24">
      <c r="A209" t="str">
        <f>IF(CALC_EEM!$B199="","",IF(CALC_EEM!A199="GLOBAL","GLOBAL",IF(CALC_EEM!C199="Total","CURSO_TOTAL",IF(CALC_EEM!C199="TotalEsp","CURSO_ESP",IF(CALC_EEM!C199="TotalNoEsp","CURSO_NOESP","CURSO_ASIG")))))</f>
      </c>
      <c r="B209" t="str">
        <f>IF(CALC_EEM!$B199="","",CALC_EEM!A199)</f>
      </c>
      <c r="C209" t="str">
        <f>IF(CALC_EEM!$B199="","",CALC_EEM!B199)</f>
      </c>
      <c r="D209">
        <f>IF(CALC_EEM!$B199="","",CALC_EEM!D199)</f>
      </c>
      <c r="E209" s="14" t="str">
        <f>IF(CALC_EEM!$B199="","",CALC_EEM!E199)</f>
      </c>
      <c r="F209" s="14" t="str">
        <f>IF(CALC_EEM!$B199="","",CALC_EEM!F199)</f>
      </c>
      <c r="G209" t="str">
        <f>IF(CALC_EEM!$B199="","",CALC_EEM!G199)</f>
      </c>
      <c r="H209" s="16" t="str">
        <f>IF(CALC_EEM!$B199="","",CALC_EEM!H199)</f>
      </c>
      <c r="I209" s="16" t="str">
        <f>IF(CALC_EEM!$B199="","",CALC_EEM!I199)</f>
      </c>
      <c r="J209" t="str">
        <f>IF(CALC_EEM!$B199="","",CALC_EEM!J199)</f>
      </c>
      <c r="K209" t="str">
        <f>IF(CALC_EEM!$B199="","",CALC_EEM!K199)</f>
      </c>
      <c r="L209">
        <f>IF(CALC_EEM!$B199="","",CALC_EEM!L199)</f>
      </c>
      <c r="M209">
        <f>IF(CALC_EEM!$B199="","",CALC_EEM!M199)</f>
      </c>
      <c r="N209">
        <f>IF(CALC_EEM!$B199="","",CALC_EEM!N199)</f>
      </c>
      <c r="O209">
        <f>IF(CALC_EEM!$B199="","",CALC_EEM!O199)</f>
      </c>
      <c r="P209">
        <f>IF(CALC_EEM!$B199="","",CALC_EEM!P199)</f>
      </c>
      <c r="Q209">
        <f>IF(CALC_EEM!$B199="","",CALC_EEM!Q199)</f>
      </c>
      <c r="R209">
        <f>IF(CALC_EEM!$B199="","",CALC_EEM!R199)</f>
      </c>
      <c r="S209">
        <f>IF(CALC_EEM!$B199="","",CALC_EEM!S199)</f>
      </c>
      <c r="T209">
        <f>IF(CALC_EEM!$B199="","",CALC_EEM!T199)</f>
      </c>
      <c r="U209">
        <f>IF(CALC_EEM!$B199="","",CALC_EEM!U199)</f>
      </c>
    </row>
    <row r="210" spans="1:24">
      <c r="A210" t="str">
        <f>IF(CALC_EEM!$B200="","",IF(CALC_EEM!A200="GLOBAL","GLOBAL",IF(CALC_EEM!C200="Total","CURSO_TOTAL",IF(CALC_EEM!C200="TotalEsp","CURSO_ESP",IF(CALC_EEM!C200="TotalNoEsp","CURSO_NOESP","CURSO_ASIG")))))</f>
      </c>
      <c r="B210" t="str">
        <f>IF(CALC_EEM!$B200="","",CALC_EEM!A200)</f>
      </c>
      <c r="C210" t="str">
        <f>IF(CALC_EEM!$B200="","",CALC_EEM!B200)</f>
      </c>
      <c r="D210">
        <f>IF(CALC_EEM!$B200="","",CALC_EEM!D200)</f>
      </c>
      <c r="E210" s="14" t="str">
        <f>IF(CALC_EEM!$B200="","",CALC_EEM!E200)</f>
      </c>
      <c r="F210" s="14" t="str">
        <f>IF(CALC_EEM!$B200="","",CALC_EEM!F200)</f>
      </c>
      <c r="G210" t="str">
        <f>IF(CALC_EEM!$B200="","",CALC_EEM!G200)</f>
      </c>
      <c r="H210" s="16" t="str">
        <f>IF(CALC_EEM!$B200="","",CALC_EEM!H200)</f>
      </c>
      <c r="I210" s="16" t="str">
        <f>IF(CALC_EEM!$B200="","",CALC_EEM!I200)</f>
      </c>
      <c r="J210" t="str">
        <f>IF(CALC_EEM!$B200="","",CALC_EEM!J200)</f>
      </c>
      <c r="K210" t="str">
        <f>IF(CALC_EEM!$B200="","",CALC_EEM!K200)</f>
      </c>
      <c r="L210">
        <f>IF(CALC_EEM!$B200="","",CALC_EEM!L200)</f>
      </c>
      <c r="M210">
        <f>IF(CALC_EEM!$B200="","",CALC_EEM!M200)</f>
      </c>
      <c r="N210">
        <f>IF(CALC_EEM!$B200="","",CALC_EEM!N200)</f>
      </c>
      <c r="O210">
        <f>IF(CALC_EEM!$B200="","",CALC_EEM!O200)</f>
      </c>
      <c r="P210">
        <f>IF(CALC_EEM!$B200="","",CALC_EEM!P200)</f>
      </c>
      <c r="Q210">
        <f>IF(CALC_EEM!$B200="","",CALC_EEM!Q200)</f>
      </c>
      <c r="R210">
        <f>IF(CALC_EEM!$B200="","",CALC_EEM!R200)</f>
      </c>
      <c r="S210">
        <f>IF(CALC_EEM!$B200="","",CALC_EEM!S200)</f>
      </c>
      <c r="T210">
        <f>IF(CALC_EEM!$B200="","",CALC_EEM!T200)</f>
      </c>
      <c r="U210">
        <f>IF(CALC_EEM!$B200="","",CALC_EEM!U200)</f>
      </c>
    </row>
    <row r="211" spans="1:24">
      <c r="A211" t="str">
        <f>IF(CALC_EEM!$B201="","",IF(CALC_EEM!A201="GLOBAL","GLOBAL",IF(CALC_EEM!C201="Total","CURSO_TOTAL",IF(CALC_EEM!C201="TotalEsp","CURSO_ESP",IF(CALC_EEM!C201="TotalNoEsp","CURSO_NOESP","CURSO_ASIG")))))</f>
      </c>
      <c r="B211" t="str">
        <f>IF(CALC_EEM!$B201="","",CALC_EEM!A201)</f>
      </c>
      <c r="C211" t="str">
        <f>IF(CALC_EEM!$B201="","",CALC_EEM!B201)</f>
      </c>
      <c r="D211">
        <f>IF(CALC_EEM!$B201="","",CALC_EEM!D201)</f>
      </c>
      <c r="E211" s="14" t="str">
        <f>IF(CALC_EEM!$B201="","",CALC_EEM!E201)</f>
      </c>
      <c r="F211" s="14" t="str">
        <f>IF(CALC_EEM!$B201="","",CALC_EEM!F201)</f>
      </c>
      <c r="G211" t="str">
        <f>IF(CALC_EEM!$B201="","",CALC_EEM!G201)</f>
      </c>
      <c r="H211" s="16" t="str">
        <f>IF(CALC_EEM!$B201="","",CALC_EEM!H201)</f>
      </c>
      <c r="I211" s="16" t="str">
        <f>IF(CALC_EEM!$B201="","",CALC_EEM!I201)</f>
      </c>
      <c r="J211" t="str">
        <f>IF(CALC_EEM!$B201="","",CALC_EEM!J201)</f>
      </c>
      <c r="K211" t="str">
        <f>IF(CALC_EEM!$B201="","",CALC_EEM!K201)</f>
      </c>
      <c r="L211">
        <f>IF(CALC_EEM!$B201="","",CALC_EEM!L201)</f>
      </c>
      <c r="M211">
        <f>IF(CALC_EEM!$B201="","",CALC_EEM!M201)</f>
      </c>
      <c r="N211">
        <f>IF(CALC_EEM!$B201="","",CALC_EEM!N201)</f>
      </c>
      <c r="O211">
        <f>IF(CALC_EEM!$B201="","",CALC_EEM!O201)</f>
      </c>
      <c r="P211">
        <f>IF(CALC_EEM!$B201="","",CALC_EEM!P201)</f>
      </c>
      <c r="Q211">
        <f>IF(CALC_EEM!$B201="","",CALC_EEM!Q201)</f>
      </c>
      <c r="R211">
        <f>IF(CALC_EEM!$B201="","",CALC_EEM!R201)</f>
      </c>
      <c r="S211">
        <f>IF(CALC_EEM!$B201="","",CALC_EEM!S201)</f>
      </c>
      <c r="T211">
        <f>IF(CALC_EEM!$B201="","",CALC_EEM!T201)</f>
      </c>
      <c r="U211">
        <f>IF(CALC_EEM!$B201="","",CALC_EEM!U201)</f>
      </c>
    </row>
    <row r="212" spans="1:24">
      <c r="A212" t="str">
        <f>IF(CALC_EEM!$B202="","",IF(CALC_EEM!A202="GLOBAL","GLOBAL",IF(CALC_EEM!C202="Total","CURSO_TOTAL",IF(CALC_EEM!C202="TotalEsp","CURSO_ESP",IF(CALC_EEM!C202="TotalNoEsp","CURSO_NOESP","CURSO_ASIG")))))</f>
      </c>
      <c r="B212" t="str">
        <f>IF(CALC_EEM!$B202="","",CALC_EEM!A202)</f>
      </c>
      <c r="C212" t="str">
        <f>IF(CALC_EEM!$B202="","",CALC_EEM!B202)</f>
      </c>
      <c r="D212">
        <f>IF(CALC_EEM!$B202="","",CALC_EEM!D202)</f>
      </c>
      <c r="E212" s="14" t="str">
        <f>IF(CALC_EEM!$B202="","",CALC_EEM!E202)</f>
      </c>
      <c r="F212" s="14" t="str">
        <f>IF(CALC_EEM!$B202="","",CALC_EEM!F202)</f>
      </c>
      <c r="G212" t="str">
        <f>IF(CALC_EEM!$B202="","",CALC_EEM!G202)</f>
      </c>
      <c r="H212" s="16" t="str">
        <f>IF(CALC_EEM!$B202="","",CALC_EEM!H202)</f>
      </c>
      <c r="I212" s="16" t="str">
        <f>IF(CALC_EEM!$B202="","",CALC_EEM!I202)</f>
      </c>
      <c r="J212" t="str">
        <f>IF(CALC_EEM!$B202="","",CALC_EEM!J202)</f>
      </c>
      <c r="K212" t="str">
        <f>IF(CALC_EEM!$B202="","",CALC_EEM!K202)</f>
      </c>
      <c r="L212">
        <f>IF(CALC_EEM!$B202="","",CALC_EEM!L202)</f>
      </c>
      <c r="M212">
        <f>IF(CALC_EEM!$B202="","",CALC_EEM!M202)</f>
      </c>
      <c r="N212">
        <f>IF(CALC_EEM!$B202="","",CALC_EEM!N202)</f>
      </c>
      <c r="O212">
        <f>IF(CALC_EEM!$B202="","",CALC_EEM!O202)</f>
      </c>
      <c r="P212">
        <f>IF(CALC_EEM!$B202="","",CALC_EEM!P202)</f>
      </c>
      <c r="Q212">
        <f>IF(CALC_EEM!$B202="","",CALC_EEM!Q202)</f>
      </c>
      <c r="R212">
        <f>IF(CALC_EEM!$B202="","",CALC_EEM!R202)</f>
      </c>
      <c r="S212">
        <f>IF(CALC_EEM!$B202="","",CALC_EEM!S202)</f>
      </c>
      <c r="T212">
        <f>IF(CALC_EEM!$B202="","",CALC_EEM!T202)</f>
      </c>
      <c r="U212">
        <f>IF(CALC_EEM!$B202="","",CALC_EEM!U202)</f>
      </c>
    </row>
    <row r="213" spans="1:24">
      <c r="A213" t="str">
        <f>IF(CALC_EEM!$B203="","",IF(CALC_EEM!A203="GLOBAL","GLOBAL",IF(CALC_EEM!C203="Total","CURSO_TOTAL",IF(CALC_EEM!C203="TotalEsp","CURSO_ESP",IF(CALC_EEM!C203="TotalNoEsp","CURSO_NOESP","CURSO_ASIG")))))</f>
      </c>
      <c r="B213" t="str">
        <f>IF(CALC_EEM!$B203="","",CALC_EEM!A203)</f>
      </c>
      <c r="C213" t="str">
        <f>IF(CALC_EEM!$B203="","",CALC_EEM!B203)</f>
      </c>
      <c r="D213">
        <f>IF(CALC_EEM!$B203="","",CALC_EEM!D203)</f>
      </c>
      <c r="E213" s="14" t="str">
        <f>IF(CALC_EEM!$B203="","",CALC_EEM!E203)</f>
      </c>
      <c r="F213" s="14" t="str">
        <f>IF(CALC_EEM!$B203="","",CALC_EEM!F203)</f>
      </c>
      <c r="G213" t="str">
        <f>IF(CALC_EEM!$B203="","",CALC_EEM!G203)</f>
      </c>
      <c r="H213" s="16" t="str">
        <f>IF(CALC_EEM!$B203="","",CALC_EEM!H203)</f>
      </c>
      <c r="I213" s="16" t="str">
        <f>IF(CALC_EEM!$B203="","",CALC_EEM!I203)</f>
      </c>
      <c r="J213" t="str">
        <f>IF(CALC_EEM!$B203="","",CALC_EEM!J203)</f>
      </c>
      <c r="K213" t="str">
        <f>IF(CALC_EEM!$B203="","",CALC_EEM!K203)</f>
      </c>
      <c r="L213">
        <f>IF(CALC_EEM!$B203="","",CALC_EEM!L203)</f>
      </c>
      <c r="M213">
        <f>IF(CALC_EEM!$B203="","",CALC_EEM!M203)</f>
      </c>
      <c r="N213">
        <f>IF(CALC_EEM!$B203="","",CALC_EEM!N203)</f>
      </c>
      <c r="O213">
        <f>IF(CALC_EEM!$B203="","",CALC_EEM!O203)</f>
      </c>
      <c r="P213">
        <f>IF(CALC_EEM!$B203="","",CALC_EEM!P203)</f>
      </c>
      <c r="Q213">
        <f>IF(CALC_EEM!$B203="","",CALC_EEM!Q203)</f>
      </c>
      <c r="R213">
        <f>IF(CALC_EEM!$B203="","",CALC_EEM!R203)</f>
      </c>
      <c r="S213">
        <f>IF(CALC_EEM!$B203="","",CALC_EEM!S203)</f>
      </c>
      <c r="T213">
        <f>IF(CALC_EEM!$B203="","",CALC_EEM!T203)</f>
      </c>
      <c r="U213">
        <f>IF(CALC_EEM!$B203="","",CALC_EEM!U203)</f>
      </c>
    </row>
    <row r="214" spans="1:24">
      <c r="A214" t="str">
        <f>IF(CALC_EEM!$B204="","",IF(CALC_EEM!A204="GLOBAL","GLOBAL",IF(CALC_EEM!C204="Total","CURSO_TOTAL",IF(CALC_EEM!C204="TotalEsp","CURSO_ESP",IF(CALC_EEM!C204="TotalNoEsp","CURSO_NOESP","CURSO_ASIG")))))</f>
      </c>
      <c r="B214" t="str">
        <f>IF(CALC_EEM!$B204="","",CALC_EEM!A204)</f>
      </c>
      <c r="C214" t="str">
        <f>IF(CALC_EEM!$B204="","",CALC_EEM!B204)</f>
      </c>
      <c r="D214">
        <f>IF(CALC_EEM!$B204="","",CALC_EEM!D204)</f>
      </c>
      <c r="E214" s="14" t="str">
        <f>IF(CALC_EEM!$B204="","",CALC_EEM!E204)</f>
      </c>
      <c r="F214" s="14" t="str">
        <f>IF(CALC_EEM!$B204="","",CALC_EEM!F204)</f>
      </c>
      <c r="G214" t="str">
        <f>IF(CALC_EEM!$B204="","",CALC_EEM!G204)</f>
      </c>
      <c r="H214" s="16" t="str">
        <f>IF(CALC_EEM!$B204="","",CALC_EEM!H204)</f>
      </c>
      <c r="I214" s="16" t="str">
        <f>IF(CALC_EEM!$B204="","",CALC_EEM!I204)</f>
      </c>
      <c r="J214" t="str">
        <f>IF(CALC_EEM!$B204="","",CALC_EEM!J204)</f>
      </c>
      <c r="K214" t="str">
        <f>IF(CALC_EEM!$B204="","",CALC_EEM!K204)</f>
      </c>
      <c r="L214">
        <f>IF(CALC_EEM!$B204="","",CALC_EEM!L204)</f>
      </c>
      <c r="M214">
        <f>IF(CALC_EEM!$B204="","",CALC_EEM!M204)</f>
      </c>
      <c r="N214">
        <f>IF(CALC_EEM!$B204="","",CALC_EEM!N204)</f>
      </c>
      <c r="O214">
        <f>IF(CALC_EEM!$B204="","",CALC_EEM!O204)</f>
      </c>
      <c r="P214">
        <f>IF(CALC_EEM!$B204="","",CALC_EEM!P204)</f>
      </c>
      <c r="Q214">
        <f>IF(CALC_EEM!$B204="","",CALC_EEM!Q204)</f>
      </c>
      <c r="R214">
        <f>IF(CALC_EEM!$B204="","",CALC_EEM!R204)</f>
      </c>
      <c r="S214">
        <f>IF(CALC_EEM!$B204="","",CALC_EEM!S204)</f>
      </c>
      <c r="T214">
        <f>IF(CALC_EEM!$B204="","",CALC_EEM!T204)</f>
      </c>
      <c r="U214">
        <f>IF(CALC_EEM!$B204="","",CALC_EEM!U204)</f>
      </c>
    </row>
    <row r="215" spans="1:24">
      <c r="A215" t="str">
        <f>IF(CALC_EEM!$B205="","",IF(CALC_EEM!A205="GLOBAL","GLOBAL",IF(CALC_EEM!C205="Total","CURSO_TOTAL",IF(CALC_EEM!C205="TotalEsp","CURSO_ESP",IF(CALC_EEM!C205="TotalNoEsp","CURSO_NOESP","CURSO_ASIG")))))</f>
      </c>
      <c r="B215" t="str">
        <f>IF(CALC_EEM!$B205="","",CALC_EEM!A205)</f>
      </c>
      <c r="C215" t="str">
        <f>IF(CALC_EEM!$B205="","",CALC_EEM!B205)</f>
      </c>
      <c r="D215">
        <f>IF(CALC_EEM!$B205="","",CALC_EEM!D205)</f>
      </c>
      <c r="E215" s="14" t="str">
        <f>IF(CALC_EEM!$B205="","",CALC_EEM!E205)</f>
      </c>
      <c r="F215" s="14" t="str">
        <f>IF(CALC_EEM!$B205="","",CALC_EEM!F205)</f>
      </c>
      <c r="G215" t="str">
        <f>IF(CALC_EEM!$B205="","",CALC_EEM!G205)</f>
      </c>
      <c r="H215" s="16" t="str">
        <f>IF(CALC_EEM!$B205="","",CALC_EEM!H205)</f>
      </c>
      <c r="I215" s="16" t="str">
        <f>IF(CALC_EEM!$B205="","",CALC_EEM!I205)</f>
      </c>
      <c r="J215" t="str">
        <f>IF(CALC_EEM!$B205="","",CALC_EEM!J205)</f>
      </c>
      <c r="K215" t="str">
        <f>IF(CALC_EEM!$B205="","",CALC_EEM!K205)</f>
      </c>
      <c r="L215">
        <f>IF(CALC_EEM!$B205="","",CALC_EEM!L205)</f>
      </c>
      <c r="M215">
        <f>IF(CALC_EEM!$B205="","",CALC_EEM!M205)</f>
      </c>
      <c r="N215">
        <f>IF(CALC_EEM!$B205="","",CALC_EEM!N205)</f>
      </c>
      <c r="O215">
        <f>IF(CALC_EEM!$B205="","",CALC_EEM!O205)</f>
      </c>
      <c r="P215">
        <f>IF(CALC_EEM!$B205="","",CALC_EEM!P205)</f>
      </c>
      <c r="Q215">
        <f>IF(CALC_EEM!$B205="","",CALC_EEM!Q205)</f>
      </c>
      <c r="R215">
        <f>IF(CALC_EEM!$B205="","",CALC_EEM!R205)</f>
      </c>
      <c r="S215">
        <f>IF(CALC_EEM!$B205="","",CALC_EEM!S205)</f>
      </c>
      <c r="T215">
        <f>IF(CALC_EEM!$B205="","",CALC_EEM!T205)</f>
      </c>
      <c r="U215">
        <f>IF(CALC_EEM!$B205="","",CALC_EEM!U205)</f>
      </c>
    </row>
    <row r="216" spans="1:24">
      <c r="A216" t="str">
        <f>IF(CALC_EEM!$B206="","",IF(CALC_EEM!A206="GLOBAL","GLOBAL",IF(CALC_EEM!C206="Total","CURSO_TOTAL",IF(CALC_EEM!C206="TotalEsp","CURSO_ESP",IF(CALC_EEM!C206="TotalNoEsp","CURSO_NOESP","CURSO_ASIG")))))</f>
      </c>
      <c r="B216" t="str">
        <f>IF(CALC_EEM!$B206="","",CALC_EEM!A206)</f>
      </c>
      <c r="C216" t="str">
        <f>IF(CALC_EEM!$B206="","",CALC_EEM!B206)</f>
      </c>
      <c r="D216">
        <f>IF(CALC_EEM!$B206="","",CALC_EEM!D206)</f>
      </c>
      <c r="E216" s="14" t="str">
        <f>IF(CALC_EEM!$B206="","",CALC_EEM!E206)</f>
      </c>
      <c r="F216" s="14" t="str">
        <f>IF(CALC_EEM!$B206="","",CALC_EEM!F206)</f>
      </c>
      <c r="G216" t="str">
        <f>IF(CALC_EEM!$B206="","",CALC_EEM!G206)</f>
      </c>
      <c r="H216" s="16" t="str">
        <f>IF(CALC_EEM!$B206="","",CALC_EEM!H206)</f>
      </c>
      <c r="I216" s="16" t="str">
        <f>IF(CALC_EEM!$B206="","",CALC_EEM!I206)</f>
      </c>
      <c r="J216" t="str">
        <f>IF(CALC_EEM!$B206="","",CALC_EEM!J206)</f>
      </c>
      <c r="K216" t="str">
        <f>IF(CALC_EEM!$B206="","",CALC_EEM!K206)</f>
      </c>
      <c r="L216">
        <f>IF(CALC_EEM!$B206="","",CALC_EEM!L206)</f>
      </c>
      <c r="M216">
        <f>IF(CALC_EEM!$B206="","",CALC_EEM!M206)</f>
      </c>
      <c r="N216">
        <f>IF(CALC_EEM!$B206="","",CALC_EEM!N206)</f>
      </c>
      <c r="O216">
        <f>IF(CALC_EEM!$B206="","",CALC_EEM!O206)</f>
      </c>
      <c r="P216">
        <f>IF(CALC_EEM!$B206="","",CALC_EEM!P206)</f>
      </c>
      <c r="Q216">
        <f>IF(CALC_EEM!$B206="","",CALC_EEM!Q206)</f>
      </c>
      <c r="R216">
        <f>IF(CALC_EEM!$B206="","",CALC_EEM!R206)</f>
      </c>
      <c r="S216">
        <f>IF(CALC_EEM!$B206="","",CALC_EEM!S206)</f>
      </c>
      <c r="T216">
        <f>IF(CALC_EEM!$B206="","",CALC_EEM!T206)</f>
      </c>
      <c r="U216">
        <f>IF(CALC_EEM!$B206="","",CALC_EEM!U206)</f>
      </c>
    </row>
    <row r="217" spans="1:24">
      <c r="A217" t="str">
        <f>IF(CALC_EEM!$B207="","",IF(CALC_EEM!A207="GLOBAL","GLOBAL",IF(CALC_EEM!C207="Total","CURSO_TOTAL",IF(CALC_EEM!C207="TotalEsp","CURSO_ESP",IF(CALC_EEM!C207="TotalNoEsp","CURSO_NOESP","CURSO_ASIG")))))</f>
      </c>
      <c r="B217" t="str">
        <f>IF(CALC_EEM!$B207="","",CALC_EEM!A207)</f>
      </c>
      <c r="C217" t="str">
        <f>IF(CALC_EEM!$B207="","",CALC_EEM!B207)</f>
      </c>
      <c r="D217">
        <f>IF(CALC_EEM!$B207="","",CALC_EEM!D207)</f>
      </c>
      <c r="E217" s="14" t="str">
        <f>IF(CALC_EEM!$B207="","",CALC_EEM!E207)</f>
      </c>
      <c r="F217" s="14" t="str">
        <f>IF(CALC_EEM!$B207="","",CALC_EEM!F207)</f>
      </c>
      <c r="G217" t="str">
        <f>IF(CALC_EEM!$B207="","",CALC_EEM!G207)</f>
      </c>
      <c r="H217" s="16" t="str">
        <f>IF(CALC_EEM!$B207="","",CALC_EEM!H207)</f>
      </c>
      <c r="I217" s="16" t="str">
        <f>IF(CALC_EEM!$B207="","",CALC_EEM!I207)</f>
      </c>
      <c r="J217" t="str">
        <f>IF(CALC_EEM!$B207="","",CALC_EEM!J207)</f>
      </c>
      <c r="K217" t="str">
        <f>IF(CALC_EEM!$B207="","",CALC_EEM!K207)</f>
      </c>
      <c r="L217">
        <f>IF(CALC_EEM!$B207="","",CALC_EEM!L207)</f>
      </c>
      <c r="M217">
        <f>IF(CALC_EEM!$B207="","",CALC_EEM!M207)</f>
      </c>
      <c r="N217">
        <f>IF(CALC_EEM!$B207="","",CALC_EEM!N207)</f>
      </c>
      <c r="O217">
        <f>IF(CALC_EEM!$B207="","",CALC_EEM!O207)</f>
      </c>
      <c r="P217">
        <f>IF(CALC_EEM!$B207="","",CALC_EEM!P207)</f>
      </c>
      <c r="Q217">
        <f>IF(CALC_EEM!$B207="","",CALC_EEM!Q207)</f>
      </c>
      <c r="R217">
        <f>IF(CALC_EEM!$B207="","",CALC_EEM!R207)</f>
      </c>
      <c r="S217">
        <f>IF(CALC_EEM!$B207="","",CALC_EEM!S207)</f>
      </c>
      <c r="T217">
        <f>IF(CALC_EEM!$B207="","",CALC_EEM!T207)</f>
      </c>
      <c r="U217">
        <f>IF(CALC_EEM!$B207="","",CALC_EEM!U207)</f>
      </c>
    </row>
    <row r="218" spans="1:24">
      <c r="A218" t="str">
        <f>IF(CALC_EEM!$B208="","",IF(CALC_EEM!A208="GLOBAL","GLOBAL",IF(CALC_EEM!C208="Total","CURSO_TOTAL",IF(CALC_EEM!C208="TotalEsp","CURSO_ESP",IF(CALC_EEM!C208="TotalNoEsp","CURSO_NOESP","CURSO_ASIG")))))</f>
      </c>
      <c r="B218" t="str">
        <f>IF(CALC_EEM!$B208="","",CALC_EEM!A208)</f>
      </c>
      <c r="C218" t="str">
        <f>IF(CALC_EEM!$B208="","",CALC_EEM!B208)</f>
      </c>
      <c r="D218">
        <f>IF(CALC_EEM!$B208="","",CALC_EEM!D208)</f>
      </c>
      <c r="E218" s="14" t="str">
        <f>IF(CALC_EEM!$B208="","",CALC_EEM!E208)</f>
      </c>
      <c r="F218" s="14" t="str">
        <f>IF(CALC_EEM!$B208="","",CALC_EEM!F208)</f>
      </c>
      <c r="G218" t="str">
        <f>IF(CALC_EEM!$B208="","",CALC_EEM!G208)</f>
      </c>
      <c r="H218" s="16" t="str">
        <f>IF(CALC_EEM!$B208="","",CALC_EEM!H208)</f>
      </c>
      <c r="I218" s="16" t="str">
        <f>IF(CALC_EEM!$B208="","",CALC_EEM!I208)</f>
      </c>
      <c r="J218" t="str">
        <f>IF(CALC_EEM!$B208="","",CALC_EEM!J208)</f>
      </c>
      <c r="K218" t="str">
        <f>IF(CALC_EEM!$B208="","",CALC_EEM!K208)</f>
      </c>
      <c r="L218">
        <f>IF(CALC_EEM!$B208="","",CALC_EEM!L208)</f>
      </c>
      <c r="M218">
        <f>IF(CALC_EEM!$B208="","",CALC_EEM!M208)</f>
      </c>
      <c r="N218">
        <f>IF(CALC_EEM!$B208="","",CALC_EEM!N208)</f>
      </c>
      <c r="O218">
        <f>IF(CALC_EEM!$B208="","",CALC_EEM!O208)</f>
      </c>
      <c r="P218">
        <f>IF(CALC_EEM!$B208="","",CALC_EEM!P208)</f>
      </c>
      <c r="Q218">
        <f>IF(CALC_EEM!$B208="","",CALC_EEM!Q208)</f>
      </c>
      <c r="R218">
        <f>IF(CALC_EEM!$B208="","",CALC_EEM!R208)</f>
      </c>
      <c r="S218">
        <f>IF(CALC_EEM!$B208="","",CALC_EEM!S208)</f>
      </c>
      <c r="T218">
        <f>IF(CALC_EEM!$B208="","",CALC_EEM!T208)</f>
      </c>
      <c r="U218">
        <f>IF(CALC_EEM!$B208="","",CALC_EEM!U208)</f>
      </c>
    </row>
    <row r="219" spans="1:24">
      <c r="A219" t="str">
        <f>IF(CALC_EEM!$B209="","",IF(CALC_EEM!A209="GLOBAL","GLOBAL",IF(CALC_EEM!C209="Total","CURSO_TOTAL",IF(CALC_EEM!C209="TotalEsp","CURSO_ESP",IF(CALC_EEM!C209="TotalNoEsp","CURSO_NOESP","CURSO_ASIG")))))</f>
      </c>
      <c r="B219" t="str">
        <f>IF(CALC_EEM!$B209="","",CALC_EEM!A209)</f>
      </c>
      <c r="C219" t="str">
        <f>IF(CALC_EEM!$B209="","",CALC_EEM!B209)</f>
      </c>
      <c r="D219">
        <f>IF(CALC_EEM!$B209="","",CALC_EEM!D209)</f>
      </c>
      <c r="E219" s="14" t="str">
        <f>IF(CALC_EEM!$B209="","",CALC_EEM!E209)</f>
      </c>
      <c r="F219" s="14" t="str">
        <f>IF(CALC_EEM!$B209="","",CALC_EEM!F209)</f>
      </c>
      <c r="G219" t="str">
        <f>IF(CALC_EEM!$B209="","",CALC_EEM!G209)</f>
      </c>
      <c r="H219" s="16" t="str">
        <f>IF(CALC_EEM!$B209="","",CALC_EEM!H209)</f>
      </c>
      <c r="I219" s="16" t="str">
        <f>IF(CALC_EEM!$B209="","",CALC_EEM!I209)</f>
      </c>
      <c r="J219" t="str">
        <f>IF(CALC_EEM!$B209="","",CALC_EEM!J209)</f>
      </c>
      <c r="K219" t="str">
        <f>IF(CALC_EEM!$B209="","",CALC_EEM!K209)</f>
      </c>
      <c r="L219">
        <f>IF(CALC_EEM!$B209="","",CALC_EEM!L209)</f>
      </c>
      <c r="M219">
        <f>IF(CALC_EEM!$B209="","",CALC_EEM!M209)</f>
      </c>
      <c r="N219">
        <f>IF(CALC_EEM!$B209="","",CALC_EEM!N209)</f>
      </c>
      <c r="O219">
        <f>IF(CALC_EEM!$B209="","",CALC_EEM!O209)</f>
      </c>
      <c r="P219">
        <f>IF(CALC_EEM!$B209="","",CALC_EEM!P209)</f>
      </c>
      <c r="Q219">
        <f>IF(CALC_EEM!$B209="","",CALC_EEM!Q209)</f>
      </c>
      <c r="R219">
        <f>IF(CALC_EEM!$B209="","",CALC_EEM!R209)</f>
      </c>
      <c r="S219">
        <f>IF(CALC_EEM!$B209="","",CALC_EEM!S209)</f>
      </c>
      <c r="T219">
        <f>IF(CALC_EEM!$B209="","",CALC_EEM!T209)</f>
      </c>
      <c r="U219">
        <f>IF(CALC_EEM!$B209="","",CALC_EEM!U209)</f>
      </c>
    </row>
    <row r="220" spans="1:24">
      <c r="A220" t="str">
        <f>IF(CALC_EEM!$B210="","",IF(CALC_EEM!A210="GLOBAL","GLOBAL",IF(CALC_EEM!C210="Total","CURSO_TOTAL",IF(CALC_EEM!C210="TotalEsp","CURSO_ESP",IF(CALC_EEM!C210="TotalNoEsp","CURSO_NOESP","CURSO_ASIG")))))</f>
      </c>
      <c r="B220" t="str">
        <f>IF(CALC_EEM!$B210="","",CALC_EEM!A210)</f>
      </c>
      <c r="C220" t="str">
        <f>IF(CALC_EEM!$B210="","",CALC_EEM!B210)</f>
      </c>
      <c r="D220">
        <f>IF(CALC_EEM!$B210="","",CALC_EEM!D210)</f>
      </c>
      <c r="E220" s="14" t="str">
        <f>IF(CALC_EEM!$B210="","",CALC_EEM!E210)</f>
      </c>
      <c r="F220" s="14" t="str">
        <f>IF(CALC_EEM!$B210="","",CALC_EEM!F210)</f>
      </c>
      <c r="G220" t="str">
        <f>IF(CALC_EEM!$B210="","",CALC_EEM!G210)</f>
      </c>
      <c r="H220" s="16" t="str">
        <f>IF(CALC_EEM!$B210="","",CALC_EEM!H210)</f>
      </c>
      <c r="I220" s="16" t="str">
        <f>IF(CALC_EEM!$B210="","",CALC_EEM!I210)</f>
      </c>
      <c r="J220" t="str">
        <f>IF(CALC_EEM!$B210="","",CALC_EEM!J210)</f>
      </c>
      <c r="K220" t="str">
        <f>IF(CALC_EEM!$B210="","",CALC_EEM!K210)</f>
      </c>
      <c r="L220">
        <f>IF(CALC_EEM!$B210="","",CALC_EEM!L210)</f>
      </c>
      <c r="M220">
        <f>IF(CALC_EEM!$B210="","",CALC_EEM!M210)</f>
      </c>
      <c r="N220">
        <f>IF(CALC_EEM!$B210="","",CALC_EEM!N210)</f>
      </c>
      <c r="O220">
        <f>IF(CALC_EEM!$B210="","",CALC_EEM!O210)</f>
      </c>
      <c r="P220">
        <f>IF(CALC_EEM!$B210="","",CALC_EEM!P210)</f>
      </c>
      <c r="Q220">
        <f>IF(CALC_EEM!$B210="","",CALC_EEM!Q210)</f>
      </c>
      <c r="R220">
        <f>IF(CALC_EEM!$B210="","",CALC_EEM!R210)</f>
      </c>
      <c r="S220">
        <f>IF(CALC_EEM!$B210="","",CALC_EEM!S210)</f>
      </c>
      <c r="T220">
        <f>IF(CALC_EEM!$B210="","",CALC_EEM!T210)</f>
      </c>
      <c r="U220">
        <f>IF(CALC_EEM!$B210="","",CALC_EEM!U210)</f>
      </c>
    </row>
    <row r="221" spans="1:24">
      <c r="A221" t="str">
        <f>IF(CALC_EEM!$B211="","",IF(CALC_EEM!A211="GLOBAL","GLOBAL",IF(CALC_EEM!C211="Total","CURSO_TOTAL",IF(CALC_EEM!C211="TotalEsp","CURSO_ESP",IF(CALC_EEM!C211="TotalNoEsp","CURSO_NOESP","CURSO_ASIG")))))</f>
      </c>
      <c r="B221" t="str">
        <f>IF(CALC_EEM!$B211="","",CALC_EEM!A211)</f>
      </c>
      <c r="C221" t="str">
        <f>IF(CALC_EEM!$B211="","",CALC_EEM!B211)</f>
      </c>
      <c r="D221">
        <f>IF(CALC_EEM!$B211="","",CALC_EEM!D211)</f>
      </c>
      <c r="E221" s="14" t="str">
        <f>IF(CALC_EEM!$B211="","",CALC_EEM!E211)</f>
      </c>
      <c r="F221" s="14" t="str">
        <f>IF(CALC_EEM!$B211="","",CALC_EEM!F211)</f>
      </c>
      <c r="G221" t="str">
        <f>IF(CALC_EEM!$B211="","",CALC_EEM!G211)</f>
      </c>
      <c r="H221" s="16" t="str">
        <f>IF(CALC_EEM!$B211="","",CALC_EEM!H211)</f>
      </c>
      <c r="I221" s="16" t="str">
        <f>IF(CALC_EEM!$B211="","",CALC_EEM!I211)</f>
      </c>
      <c r="J221" t="str">
        <f>IF(CALC_EEM!$B211="","",CALC_EEM!J211)</f>
      </c>
      <c r="K221" t="str">
        <f>IF(CALC_EEM!$B211="","",CALC_EEM!K211)</f>
      </c>
      <c r="L221">
        <f>IF(CALC_EEM!$B211="","",CALC_EEM!L211)</f>
      </c>
      <c r="M221">
        <f>IF(CALC_EEM!$B211="","",CALC_EEM!M211)</f>
      </c>
      <c r="N221">
        <f>IF(CALC_EEM!$B211="","",CALC_EEM!N211)</f>
      </c>
      <c r="O221">
        <f>IF(CALC_EEM!$B211="","",CALC_EEM!O211)</f>
      </c>
      <c r="P221">
        <f>IF(CALC_EEM!$B211="","",CALC_EEM!P211)</f>
      </c>
      <c r="Q221">
        <f>IF(CALC_EEM!$B211="","",CALC_EEM!Q211)</f>
      </c>
      <c r="R221">
        <f>IF(CALC_EEM!$B211="","",CALC_EEM!R211)</f>
      </c>
      <c r="S221">
        <f>IF(CALC_EEM!$B211="","",CALC_EEM!S211)</f>
      </c>
      <c r="T221">
        <f>IF(CALC_EEM!$B211="","",CALC_EEM!T211)</f>
      </c>
      <c r="U221">
        <f>IF(CALC_EEM!$B211="","",CALC_EEM!U211)</f>
      </c>
    </row>
    <row r="222" spans="1:24">
      <c r="A222" t="str">
        <f>IF(CALC_EEM!$B212="","",IF(CALC_EEM!A212="GLOBAL","GLOBAL",IF(CALC_EEM!C212="Total","CURSO_TOTAL",IF(CALC_EEM!C212="TotalEsp","CURSO_ESP",IF(CALC_EEM!C212="TotalNoEsp","CURSO_NOESP","CURSO_ASIG")))))</f>
      </c>
      <c r="B222" t="str">
        <f>IF(CALC_EEM!$B212="","",CALC_EEM!A212)</f>
      </c>
      <c r="C222" t="str">
        <f>IF(CALC_EEM!$B212="","",CALC_EEM!B212)</f>
      </c>
      <c r="D222">
        <f>IF(CALC_EEM!$B212="","",CALC_EEM!D212)</f>
      </c>
      <c r="E222" s="14" t="str">
        <f>IF(CALC_EEM!$B212="","",CALC_EEM!E212)</f>
      </c>
      <c r="F222" s="14" t="str">
        <f>IF(CALC_EEM!$B212="","",CALC_EEM!F212)</f>
      </c>
      <c r="G222" t="str">
        <f>IF(CALC_EEM!$B212="","",CALC_EEM!G212)</f>
      </c>
      <c r="H222" s="16" t="str">
        <f>IF(CALC_EEM!$B212="","",CALC_EEM!H212)</f>
      </c>
      <c r="I222" s="16" t="str">
        <f>IF(CALC_EEM!$B212="","",CALC_EEM!I212)</f>
      </c>
      <c r="J222" t="str">
        <f>IF(CALC_EEM!$B212="","",CALC_EEM!J212)</f>
      </c>
      <c r="K222" t="str">
        <f>IF(CALC_EEM!$B212="","",CALC_EEM!K212)</f>
      </c>
      <c r="L222">
        <f>IF(CALC_EEM!$B212="","",CALC_EEM!L212)</f>
      </c>
      <c r="M222">
        <f>IF(CALC_EEM!$B212="","",CALC_EEM!M212)</f>
      </c>
      <c r="N222">
        <f>IF(CALC_EEM!$B212="","",CALC_EEM!N212)</f>
      </c>
      <c r="O222">
        <f>IF(CALC_EEM!$B212="","",CALC_EEM!O212)</f>
      </c>
      <c r="P222">
        <f>IF(CALC_EEM!$B212="","",CALC_EEM!P212)</f>
      </c>
      <c r="Q222">
        <f>IF(CALC_EEM!$B212="","",CALC_EEM!Q212)</f>
      </c>
      <c r="R222">
        <f>IF(CALC_EEM!$B212="","",CALC_EEM!R212)</f>
      </c>
      <c r="S222">
        <f>IF(CALC_EEM!$B212="","",CALC_EEM!S212)</f>
      </c>
      <c r="T222">
        <f>IF(CALC_EEM!$B212="","",CALC_EEM!T212)</f>
      </c>
      <c r="U222">
        <f>IF(CALC_EEM!$B212="","",CALC_EEM!U212)</f>
      </c>
    </row>
    <row r="223" spans="1:24">
      <c r="A223" t="str">
        <f>IF(CALC_EEM!$B213="","",IF(CALC_EEM!A213="GLOBAL","GLOBAL",IF(CALC_EEM!C213="Total","CURSO_TOTAL",IF(CALC_EEM!C213="TotalEsp","CURSO_ESP",IF(CALC_EEM!C213="TotalNoEsp","CURSO_NOESP","CURSO_ASIG")))))</f>
      </c>
      <c r="B223" t="str">
        <f>IF(CALC_EEM!$B213="","",CALC_EEM!A213)</f>
      </c>
      <c r="C223" t="str">
        <f>IF(CALC_EEM!$B213="","",CALC_EEM!B213)</f>
      </c>
      <c r="D223">
        <f>IF(CALC_EEM!$B213="","",CALC_EEM!D213)</f>
      </c>
      <c r="E223" s="14" t="str">
        <f>IF(CALC_EEM!$B213="","",CALC_EEM!E213)</f>
      </c>
      <c r="F223" s="14" t="str">
        <f>IF(CALC_EEM!$B213="","",CALC_EEM!F213)</f>
      </c>
      <c r="G223" t="str">
        <f>IF(CALC_EEM!$B213="","",CALC_EEM!G213)</f>
      </c>
      <c r="H223" s="16" t="str">
        <f>IF(CALC_EEM!$B213="","",CALC_EEM!H213)</f>
      </c>
      <c r="I223" s="16" t="str">
        <f>IF(CALC_EEM!$B213="","",CALC_EEM!I213)</f>
      </c>
      <c r="J223" t="str">
        <f>IF(CALC_EEM!$B213="","",CALC_EEM!J213)</f>
      </c>
      <c r="K223" t="str">
        <f>IF(CALC_EEM!$B213="","",CALC_EEM!K213)</f>
      </c>
      <c r="L223">
        <f>IF(CALC_EEM!$B213="","",CALC_EEM!L213)</f>
      </c>
      <c r="M223">
        <f>IF(CALC_EEM!$B213="","",CALC_EEM!M213)</f>
      </c>
      <c r="N223">
        <f>IF(CALC_EEM!$B213="","",CALC_EEM!N213)</f>
      </c>
      <c r="O223">
        <f>IF(CALC_EEM!$B213="","",CALC_EEM!O213)</f>
      </c>
      <c r="P223">
        <f>IF(CALC_EEM!$B213="","",CALC_EEM!P213)</f>
      </c>
      <c r="Q223">
        <f>IF(CALC_EEM!$B213="","",CALC_EEM!Q213)</f>
      </c>
      <c r="R223">
        <f>IF(CALC_EEM!$B213="","",CALC_EEM!R213)</f>
      </c>
      <c r="S223">
        <f>IF(CALC_EEM!$B213="","",CALC_EEM!S213)</f>
      </c>
      <c r="T223">
        <f>IF(CALC_EEM!$B213="","",CALC_EEM!T213)</f>
      </c>
      <c r="U223">
        <f>IF(CALC_EEM!$B213="","",CALC_EEM!U213)</f>
      </c>
    </row>
    <row r="224" spans="1:24">
      <c r="A224" t="str">
        <f>IF(CALC_EEM!$B214="","",IF(CALC_EEM!A214="GLOBAL","GLOBAL",IF(CALC_EEM!C214="Total","CURSO_TOTAL",IF(CALC_EEM!C214="TotalEsp","CURSO_ESP",IF(CALC_EEM!C214="TotalNoEsp","CURSO_NOESP","CURSO_ASIG")))))</f>
      </c>
      <c r="B224" t="str">
        <f>IF(CALC_EEM!$B214="","",CALC_EEM!A214)</f>
      </c>
      <c r="C224" t="str">
        <f>IF(CALC_EEM!$B214="","",CALC_EEM!B214)</f>
      </c>
      <c r="D224">
        <f>IF(CALC_EEM!$B214="","",CALC_EEM!D214)</f>
      </c>
      <c r="E224" s="14" t="str">
        <f>IF(CALC_EEM!$B214="","",CALC_EEM!E214)</f>
      </c>
      <c r="F224" s="14" t="str">
        <f>IF(CALC_EEM!$B214="","",CALC_EEM!F214)</f>
      </c>
      <c r="G224" t="str">
        <f>IF(CALC_EEM!$B214="","",CALC_EEM!G214)</f>
      </c>
      <c r="H224" s="16" t="str">
        <f>IF(CALC_EEM!$B214="","",CALC_EEM!H214)</f>
      </c>
      <c r="I224" s="16" t="str">
        <f>IF(CALC_EEM!$B214="","",CALC_EEM!I214)</f>
      </c>
      <c r="J224" t="str">
        <f>IF(CALC_EEM!$B214="","",CALC_EEM!J214)</f>
      </c>
      <c r="K224" t="str">
        <f>IF(CALC_EEM!$B214="","",CALC_EEM!K214)</f>
      </c>
      <c r="L224">
        <f>IF(CALC_EEM!$B214="","",CALC_EEM!L214)</f>
      </c>
      <c r="M224">
        <f>IF(CALC_EEM!$B214="","",CALC_EEM!M214)</f>
      </c>
      <c r="N224">
        <f>IF(CALC_EEM!$B214="","",CALC_EEM!N214)</f>
      </c>
      <c r="O224">
        <f>IF(CALC_EEM!$B214="","",CALC_EEM!O214)</f>
      </c>
      <c r="P224">
        <f>IF(CALC_EEM!$B214="","",CALC_EEM!P214)</f>
      </c>
      <c r="Q224">
        <f>IF(CALC_EEM!$B214="","",CALC_EEM!Q214)</f>
      </c>
      <c r="R224">
        <f>IF(CALC_EEM!$B214="","",CALC_EEM!R214)</f>
      </c>
      <c r="S224">
        <f>IF(CALC_EEM!$B214="","",CALC_EEM!S214)</f>
      </c>
      <c r="T224">
        <f>IF(CALC_EEM!$B214="","",CALC_EEM!T214)</f>
      </c>
      <c r="U224">
        <f>IF(CALC_EEM!$B214="","",CALC_EEM!U214)</f>
      </c>
    </row>
    <row r="225" spans="1:24">
      <c r="A225" t="str">
        <f>IF(CALC_EEM!$B215="","",IF(CALC_EEM!A215="GLOBAL","GLOBAL",IF(CALC_EEM!C215="Total","CURSO_TOTAL",IF(CALC_EEM!C215="TotalEsp","CURSO_ESP",IF(CALC_EEM!C215="TotalNoEsp","CURSO_NOESP","CURSO_ASIG")))))</f>
      </c>
      <c r="B225" t="str">
        <f>IF(CALC_EEM!$B215="","",CALC_EEM!A215)</f>
      </c>
      <c r="C225" t="str">
        <f>IF(CALC_EEM!$B215="","",CALC_EEM!B215)</f>
      </c>
      <c r="D225">
        <f>IF(CALC_EEM!$B215="","",CALC_EEM!D215)</f>
      </c>
      <c r="E225" s="14" t="str">
        <f>IF(CALC_EEM!$B215="","",CALC_EEM!E215)</f>
      </c>
      <c r="F225" s="14" t="str">
        <f>IF(CALC_EEM!$B215="","",CALC_EEM!F215)</f>
      </c>
      <c r="G225" t="str">
        <f>IF(CALC_EEM!$B215="","",CALC_EEM!G215)</f>
      </c>
      <c r="H225" s="16" t="str">
        <f>IF(CALC_EEM!$B215="","",CALC_EEM!H215)</f>
      </c>
      <c r="I225" s="16" t="str">
        <f>IF(CALC_EEM!$B215="","",CALC_EEM!I215)</f>
      </c>
      <c r="J225" t="str">
        <f>IF(CALC_EEM!$B215="","",CALC_EEM!J215)</f>
      </c>
      <c r="K225" t="str">
        <f>IF(CALC_EEM!$B215="","",CALC_EEM!K215)</f>
      </c>
      <c r="L225">
        <f>IF(CALC_EEM!$B215="","",CALC_EEM!L215)</f>
      </c>
      <c r="M225">
        <f>IF(CALC_EEM!$B215="","",CALC_EEM!M215)</f>
      </c>
      <c r="N225">
        <f>IF(CALC_EEM!$B215="","",CALC_EEM!N215)</f>
      </c>
      <c r="O225">
        <f>IF(CALC_EEM!$B215="","",CALC_EEM!O215)</f>
      </c>
      <c r="P225">
        <f>IF(CALC_EEM!$B215="","",CALC_EEM!P215)</f>
      </c>
      <c r="Q225">
        <f>IF(CALC_EEM!$B215="","",CALC_EEM!Q215)</f>
      </c>
      <c r="R225">
        <f>IF(CALC_EEM!$B215="","",CALC_EEM!R215)</f>
      </c>
      <c r="S225">
        <f>IF(CALC_EEM!$B215="","",CALC_EEM!S215)</f>
      </c>
      <c r="T225">
        <f>IF(CALC_EEM!$B215="","",CALC_EEM!T215)</f>
      </c>
      <c r="U225">
        <f>IF(CALC_EEM!$B215="","",CALC_EEM!U215)</f>
      </c>
    </row>
    <row r="226" spans="1:24">
      <c r="A226" t="str">
        <f>IF(CALC_EEM!$B216="","",IF(CALC_EEM!A216="GLOBAL","GLOBAL",IF(CALC_EEM!C216="Total","CURSO_TOTAL",IF(CALC_EEM!C216="TotalEsp","CURSO_ESP",IF(CALC_EEM!C216="TotalNoEsp","CURSO_NOESP","CURSO_ASIG")))))</f>
      </c>
      <c r="B226" t="str">
        <f>IF(CALC_EEM!$B216="","",CALC_EEM!A216)</f>
      </c>
      <c r="C226" t="str">
        <f>IF(CALC_EEM!$B216="","",CALC_EEM!B216)</f>
      </c>
      <c r="D226">
        <f>IF(CALC_EEM!$B216="","",CALC_EEM!D216)</f>
      </c>
      <c r="E226" s="14" t="str">
        <f>IF(CALC_EEM!$B216="","",CALC_EEM!E216)</f>
      </c>
      <c r="F226" s="14" t="str">
        <f>IF(CALC_EEM!$B216="","",CALC_EEM!F216)</f>
      </c>
      <c r="G226" t="str">
        <f>IF(CALC_EEM!$B216="","",CALC_EEM!G216)</f>
      </c>
      <c r="H226" s="16" t="str">
        <f>IF(CALC_EEM!$B216="","",CALC_EEM!H216)</f>
      </c>
      <c r="I226" s="16" t="str">
        <f>IF(CALC_EEM!$B216="","",CALC_EEM!I216)</f>
      </c>
      <c r="J226" t="str">
        <f>IF(CALC_EEM!$B216="","",CALC_EEM!J216)</f>
      </c>
      <c r="K226" t="str">
        <f>IF(CALC_EEM!$B216="","",CALC_EEM!K216)</f>
      </c>
      <c r="L226">
        <f>IF(CALC_EEM!$B216="","",CALC_EEM!L216)</f>
      </c>
      <c r="M226">
        <f>IF(CALC_EEM!$B216="","",CALC_EEM!M216)</f>
      </c>
      <c r="N226">
        <f>IF(CALC_EEM!$B216="","",CALC_EEM!N216)</f>
      </c>
      <c r="O226">
        <f>IF(CALC_EEM!$B216="","",CALC_EEM!O216)</f>
      </c>
      <c r="P226">
        <f>IF(CALC_EEM!$B216="","",CALC_EEM!P216)</f>
      </c>
      <c r="Q226">
        <f>IF(CALC_EEM!$B216="","",CALC_EEM!Q216)</f>
      </c>
      <c r="R226">
        <f>IF(CALC_EEM!$B216="","",CALC_EEM!R216)</f>
      </c>
      <c r="S226">
        <f>IF(CALC_EEM!$B216="","",CALC_EEM!S216)</f>
      </c>
      <c r="T226">
        <f>IF(CALC_EEM!$B216="","",CALC_EEM!T216)</f>
      </c>
      <c r="U226">
        <f>IF(CALC_EEM!$B216="","",CALC_EEM!U216)</f>
      </c>
    </row>
    <row r="227" spans="1:24">
      <c r="A227" t="str">
        <f>IF(CALC_EEM!$B217="","",IF(CALC_EEM!A217="GLOBAL","GLOBAL",IF(CALC_EEM!C217="Total","CURSO_TOTAL",IF(CALC_EEM!C217="TotalEsp","CURSO_ESP",IF(CALC_EEM!C217="TotalNoEsp","CURSO_NOESP","CURSO_ASIG")))))</f>
      </c>
      <c r="B227" t="str">
        <f>IF(CALC_EEM!$B217="","",CALC_EEM!A217)</f>
      </c>
      <c r="C227" t="str">
        <f>IF(CALC_EEM!$B217="","",CALC_EEM!B217)</f>
      </c>
      <c r="D227">
        <f>IF(CALC_EEM!$B217="","",CALC_EEM!D217)</f>
      </c>
      <c r="E227" s="14" t="str">
        <f>IF(CALC_EEM!$B217="","",CALC_EEM!E217)</f>
      </c>
      <c r="F227" s="14" t="str">
        <f>IF(CALC_EEM!$B217="","",CALC_EEM!F217)</f>
      </c>
      <c r="G227" t="str">
        <f>IF(CALC_EEM!$B217="","",CALC_EEM!G217)</f>
      </c>
      <c r="H227" s="16" t="str">
        <f>IF(CALC_EEM!$B217="","",CALC_EEM!H217)</f>
      </c>
      <c r="I227" s="16" t="str">
        <f>IF(CALC_EEM!$B217="","",CALC_EEM!I217)</f>
      </c>
      <c r="J227" t="str">
        <f>IF(CALC_EEM!$B217="","",CALC_EEM!J217)</f>
      </c>
      <c r="K227" t="str">
        <f>IF(CALC_EEM!$B217="","",CALC_EEM!K217)</f>
      </c>
      <c r="L227">
        <f>IF(CALC_EEM!$B217="","",CALC_EEM!L217)</f>
      </c>
      <c r="M227">
        <f>IF(CALC_EEM!$B217="","",CALC_EEM!M217)</f>
      </c>
      <c r="N227">
        <f>IF(CALC_EEM!$B217="","",CALC_EEM!N217)</f>
      </c>
      <c r="O227">
        <f>IF(CALC_EEM!$B217="","",CALC_EEM!O217)</f>
      </c>
      <c r="P227">
        <f>IF(CALC_EEM!$B217="","",CALC_EEM!P217)</f>
      </c>
      <c r="Q227">
        <f>IF(CALC_EEM!$B217="","",CALC_EEM!Q217)</f>
      </c>
      <c r="R227">
        <f>IF(CALC_EEM!$B217="","",CALC_EEM!R217)</f>
      </c>
      <c r="S227">
        <f>IF(CALC_EEM!$B217="","",CALC_EEM!S217)</f>
      </c>
      <c r="T227">
        <f>IF(CALC_EEM!$B217="","",CALC_EEM!T217)</f>
      </c>
      <c r="U227">
        <f>IF(CALC_EEM!$B217="","",CALC_EEM!U217)</f>
      </c>
    </row>
    <row r="228" spans="1:24">
      <c r="A228" t="str">
        <f>IF(CALC_EEM!$B218="","",IF(CALC_EEM!A218="GLOBAL","GLOBAL",IF(CALC_EEM!C218="Total","CURSO_TOTAL",IF(CALC_EEM!C218="TotalEsp","CURSO_ESP",IF(CALC_EEM!C218="TotalNoEsp","CURSO_NOESP","CURSO_ASIG")))))</f>
      </c>
      <c r="B228" t="str">
        <f>IF(CALC_EEM!$B218="","",CALC_EEM!A218)</f>
      </c>
      <c r="C228" t="str">
        <f>IF(CALC_EEM!$B218="","",CALC_EEM!B218)</f>
      </c>
      <c r="D228">
        <f>IF(CALC_EEM!$B218="","",CALC_EEM!D218)</f>
      </c>
      <c r="E228" s="14" t="str">
        <f>IF(CALC_EEM!$B218="","",CALC_EEM!E218)</f>
      </c>
      <c r="F228" s="14" t="str">
        <f>IF(CALC_EEM!$B218="","",CALC_EEM!F218)</f>
      </c>
      <c r="G228" t="str">
        <f>IF(CALC_EEM!$B218="","",CALC_EEM!G218)</f>
      </c>
      <c r="H228" s="16" t="str">
        <f>IF(CALC_EEM!$B218="","",CALC_EEM!H218)</f>
      </c>
      <c r="I228" s="16" t="str">
        <f>IF(CALC_EEM!$B218="","",CALC_EEM!I218)</f>
      </c>
      <c r="J228" t="str">
        <f>IF(CALC_EEM!$B218="","",CALC_EEM!J218)</f>
      </c>
      <c r="K228" t="str">
        <f>IF(CALC_EEM!$B218="","",CALC_EEM!K218)</f>
      </c>
      <c r="L228">
        <f>IF(CALC_EEM!$B218="","",CALC_EEM!L218)</f>
      </c>
      <c r="M228">
        <f>IF(CALC_EEM!$B218="","",CALC_EEM!M218)</f>
      </c>
      <c r="N228">
        <f>IF(CALC_EEM!$B218="","",CALC_EEM!N218)</f>
      </c>
      <c r="O228">
        <f>IF(CALC_EEM!$B218="","",CALC_EEM!O218)</f>
      </c>
      <c r="P228">
        <f>IF(CALC_EEM!$B218="","",CALC_EEM!P218)</f>
      </c>
      <c r="Q228">
        <f>IF(CALC_EEM!$B218="","",CALC_EEM!Q218)</f>
      </c>
      <c r="R228">
        <f>IF(CALC_EEM!$B218="","",CALC_EEM!R218)</f>
      </c>
      <c r="S228">
        <f>IF(CALC_EEM!$B218="","",CALC_EEM!S218)</f>
      </c>
      <c r="T228">
        <f>IF(CALC_EEM!$B218="","",CALC_EEM!T218)</f>
      </c>
      <c r="U228">
        <f>IF(CALC_EEM!$B218="","",CALC_EEM!U218)</f>
      </c>
    </row>
    <row r="229" spans="1:24">
      <c r="A229" t="str">
        <f>IF(CALC_EEM!$B219="","",IF(CALC_EEM!A219="GLOBAL","GLOBAL",IF(CALC_EEM!C219="Total","CURSO_TOTAL",IF(CALC_EEM!C219="TotalEsp","CURSO_ESP",IF(CALC_EEM!C219="TotalNoEsp","CURSO_NOESP","CURSO_ASIG")))))</f>
      </c>
      <c r="B229" t="str">
        <f>IF(CALC_EEM!$B219="","",CALC_EEM!A219)</f>
      </c>
      <c r="C229" t="str">
        <f>IF(CALC_EEM!$B219="","",CALC_EEM!B219)</f>
      </c>
      <c r="D229">
        <f>IF(CALC_EEM!$B219="","",CALC_EEM!D219)</f>
      </c>
      <c r="E229" s="14" t="str">
        <f>IF(CALC_EEM!$B219="","",CALC_EEM!E219)</f>
      </c>
      <c r="F229" s="14" t="str">
        <f>IF(CALC_EEM!$B219="","",CALC_EEM!F219)</f>
      </c>
      <c r="G229" t="str">
        <f>IF(CALC_EEM!$B219="","",CALC_EEM!G219)</f>
      </c>
      <c r="H229" s="16" t="str">
        <f>IF(CALC_EEM!$B219="","",CALC_EEM!H219)</f>
      </c>
      <c r="I229" s="16" t="str">
        <f>IF(CALC_EEM!$B219="","",CALC_EEM!I219)</f>
      </c>
      <c r="J229" t="str">
        <f>IF(CALC_EEM!$B219="","",CALC_EEM!J219)</f>
      </c>
      <c r="K229" t="str">
        <f>IF(CALC_EEM!$B219="","",CALC_EEM!K219)</f>
      </c>
      <c r="L229">
        <f>IF(CALC_EEM!$B219="","",CALC_EEM!L219)</f>
      </c>
      <c r="M229">
        <f>IF(CALC_EEM!$B219="","",CALC_EEM!M219)</f>
      </c>
      <c r="N229">
        <f>IF(CALC_EEM!$B219="","",CALC_EEM!N219)</f>
      </c>
      <c r="O229">
        <f>IF(CALC_EEM!$B219="","",CALC_EEM!O219)</f>
      </c>
      <c r="P229">
        <f>IF(CALC_EEM!$B219="","",CALC_EEM!P219)</f>
      </c>
      <c r="Q229">
        <f>IF(CALC_EEM!$B219="","",CALC_EEM!Q219)</f>
      </c>
      <c r="R229">
        <f>IF(CALC_EEM!$B219="","",CALC_EEM!R219)</f>
      </c>
      <c r="S229">
        <f>IF(CALC_EEM!$B219="","",CALC_EEM!S219)</f>
      </c>
      <c r="T229">
        <f>IF(CALC_EEM!$B219="","",CALC_EEM!T219)</f>
      </c>
      <c r="U229">
        <f>IF(CALC_EEM!$B219="","",CALC_EEM!U219)</f>
      </c>
    </row>
    <row r="230" spans="1:24">
      <c r="A230" t="str">
        <f>IF(CALC_EEM!$B220="","",IF(CALC_EEM!A220="GLOBAL","GLOBAL",IF(CALC_EEM!C220="Total","CURSO_TOTAL",IF(CALC_EEM!C220="TotalEsp","CURSO_ESP",IF(CALC_EEM!C220="TotalNoEsp","CURSO_NOESP","CURSO_ASIG")))))</f>
      </c>
      <c r="B230" t="str">
        <f>IF(CALC_EEM!$B220="","",CALC_EEM!A220)</f>
      </c>
      <c r="C230" t="str">
        <f>IF(CALC_EEM!$B220="","",CALC_EEM!B220)</f>
      </c>
      <c r="D230">
        <f>IF(CALC_EEM!$B220="","",CALC_EEM!D220)</f>
      </c>
      <c r="E230" s="14" t="str">
        <f>IF(CALC_EEM!$B220="","",CALC_EEM!E220)</f>
      </c>
      <c r="F230" s="14" t="str">
        <f>IF(CALC_EEM!$B220="","",CALC_EEM!F220)</f>
      </c>
      <c r="G230" t="str">
        <f>IF(CALC_EEM!$B220="","",CALC_EEM!G220)</f>
      </c>
      <c r="H230" s="16" t="str">
        <f>IF(CALC_EEM!$B220="","",CALC_EEM!H220)</f>
      </c>
      <c r="I230" s="16" t="str">
        <f>IF(CALC_EEM!$B220="","",CALC_EEM!I220)</f>
      </c>
      <c r="J230" t="str">
        <f>IF(CALC_EEM!$B220="","",CALC_EEM!J220)</f>
      </c>
      <c r="K230" t="str">
        <f>IF(CALC_EEM!$B220="","",CALC_EEM!K220)</f>
      </c>
      <c r="L230">
        <f>IF(CALC_EEM!$B220="","",CALC_EEM!L220)</f>
      </c>
      <c r="M230">
        <f>IF(CALC_EEM!$B220="","",CALC_EEM!M220)</f>
      </c>
      <c r="N230">
        <f>IF(CALC_EEM!$B220="","",CALC_EEM!N220)</f>
      </c>
      <c r="O230">
        <f>IF(CALC_EEM!$B220="","",CALC_EEM!O220)</f>
      </c>
      <c r="P230">
        <f>IF(CALC_EEM!$B220="","",CALC_EEM!P220)</f>
      </c>
      <c r="Q230">
        <f>IF(CALC_EEM!$B220="","",CALC_EEM!Q220)</f>
      </c>
      <c r="R230">
        <f>IF(CALC_EEM!$B220="","",CALC_EEM!R220)</f>
      </c>
      <c r="S230">
        <f>IF(CALC_EEM!$B220="","",CALC_EEM!S220)</f>
      </c>
      <c r="T230">
        <f>IF(CALC_EEM!$B220="","",CALC_EEM!T220)</f>
      </c>
      <c r="U230">
        <f>IF(CALC_EEM!$B220="","",CALC_EEM!U220)</f>
      </c>
    </row>
    <row r="231" spans="1:24">
      <c r="A231" t="str">
        <f>IF(CALC_EEM!$B221="","",IF(CALC_EEM!A221="GLOBAL","GLOBAL",IF(CALC_EEM!C221="Total","CURSO_TOTAL",IF(CALC_EEM!C221="TotalEsp","CURSO_ESP",IF(CALC_EEM!C221="TotalNoEsp","CURSO_NOESP","CURSO_ASIG")))))</f>
      </c>
      <c r="B231" t="str">
        <f>IF(CALC_EEM!$B221="","",CALC_EEM!A221)</f>
      </c>
      <c r="C231" t="str">
        <f>IF(CALC_EEM!$B221="","",CALC_EEM!B221)</f>
      </c>
      <c r="D231">
        <f>IF(CALC_EEM!$B221="","",CALC_EEM!D221)</f>
      </c>
      <c r="E231" s="14" t="str">
        <f>IF(CALC_EEM!$B221="","",CALC_EEM!E221)</f>
      </c>
      <c r="F231" s="14" t="str">
        <f>IF(CALC_EEM!$B221="","",CALC_EEM!F221)</f>
      </c>
      <c r="G231" t="str">
        <f>IF(CALC_EEM!$B221="","",CALC_EEM!G221)</f>
      </c>
      <c r="H231" s="16" t="str">
        <f>IF(CALC_EEM!$B221="","",CALC_EEM!H221)</f>
      </c>
      <c r="I231" s="16" t="str">
        <f>IF(CALC_EEM!$B221="","",CALC_EEM!I221)</f>
      </c>
      <c r="J231" t="str">
        <f>IF(CALC_EEM!$B221="","",CALC_EEM!J221)</f>
      </c>
      <c r="K231" t="str">
        <f>IF(CALC_EEM!$B221="","",CALC_EEM!K221)</f>
      </c>
      <c r="L231">
        <f>IF(CALC_EEM!$B221="","",CALC_EEM!L221)</f>
      </c>
      <c r="M231">
        <f>IF(CALC_EEM!$B221="","",CALC_EEM!M221)</f>
      </c>
      <c r="N231">
        <f>IF(CALC_EEM!$B221="","",CALC_EEM!N221)</f>
      </c>
      <c r="O231">
        <f>IF(CALC_EEM!$B221="","",CALC_EEM!O221)</f>
      </c>
      <c r="P231">
        <f>IF(CALC_EEM!$B221="","",CALC_EEM!P221)</f>
      </c>
      <c r="Q231">
        <f>IF(CALC_EEM!$B221="","",CALC_EEM!Q221)</f>
      </c>
      <c r="R231">
        <f>IF(CALC_EEM!$B221="","",CALC_EEM!R221)</f>
      </c>
      <c r="S231">
        <f>IF(CALC_EEM!$B221="","",CALC_EEM!S221)</f>
      </c>
      <c r="T231">
        <f>IF(CALC_EEM!$B221="","",CALC_EEM!T221)</f>
      </c>
      <c r="U231">
        <f>IF(CALC_EEM!$B221="","",CALC_EEM!U221)</f>
      </c>
    </row>
    <row r="232" spans="1:24">
      <c r="A232" t="str">
        <f>IF(CALC_EEM!$B222="","",IF(CALC_EEM!A222="GLOBAL","GLOBAL",IF(CALC_EEM!C222="Total","CURSO_TOTAL",IF(CALC_EEM!C222="TotalEsp","CURSO_ESP",IF(CALC_EEM!C222="TotalNoEsp","CURSO_NOESP","CURSO_ASIG")))))</f>
      </c>
      <c r="B232" t="str">
        <f>IF(CALC_EEM!$B222="","",CALC_EEM!A222)</f>
      </c>
      <c r="C232" t="str">
        <f>IF(CALC_EEM!$B222="","",CALC_EEM!B222)</f>
      </c>
      <c r="D232">
        <f>IF(CALC_EEM!$B222="","",CALC_EEM!D222)</f>
      </c>
      <c r="E232" s="14" t="str">
        <f>IF(CALC_EEM!$B222="","",CALC_EEM!E222)</f>
      </c>
      <c r="F232" s="14" t="str">
        <f>IF(CALC_EEM!$B222="","",CALC_EEM!F222)</f>
      </c>
      <c r="G232" t="str">
        <f>IF(CALC_EEM!$B222="","",CALC_EEM!G222)</f>
      </c>
      <c r="H232" s="16" t="str">
        <f>IF(CALC_EEM!$B222="","",CALC_EEM!H222)</f>
      </c>
      <c r="I232" s="16" t="str">
        <f>IF(CALC_EEM!$B222="","",CALC_EEM!I222)</f>
      </c>
      <c r="J232" t="str">
        <f>IF(CALC_EEM!$B222="","",CALC_EEM!J222)</f>
      </c>
      <c r="K232" t="str">
        <f>IF(CALC_EEM!$B222="","",CALC_EEM!K222)</f>
      </c>
      <c r="L232">
        <f>IF(CALC_EEM!$B222="","",CALC_EEM!L222)</f>
      </c>
      <c r="M232">
        <f>IF(CALC_EEM!$B222="","",CALC_EEM!M222)</f>
      </c>
      <c r="N232">
        <f>IF(CALC_EEM!$B222="","",CALC_EEM!N222)</f>
      </c>
      <c r="O232">
        <f>IF(CALC_EEM!$B222="","",CALC_EEM!O222)</f>
      </c>
      <c r="P232">
        <f>IF(CALC_EEM!$B222="","",CALC_EEM!P222)</f>
      </c>
      <c r="Q232">
        <f>IF(CALC_EEM!$B222="","",CALC_EEM!Q222)</f>
      </c>
      <c r="R232">
        <f>IF(CALC_EEM!$B222="","",CALC_EEM!R222)</f>
      </c>
      <c r="S232">
        <f>IF(CALC_EEM!$B222="","",CALC_EEM!S222)</f>
      </c>
      <c r="T232">
        <f>IF(CALC_EEM!$B222="","",CALC_EEM!T222)</f>
      </c>
      <c r="U232">
        <f>IF(CALC_EEM!$B222="","",CALC_EEM!U222)</f>
      </c>
    </row>
    <row r="233" spans="1:24">
      <c r="A233" t="str">
        <f>IF(CALC_EEM!$B223="","",IF(CALC_EEM!A223="GLOBAL","GLOBAL",IF(CALC_EEM!C223="Total","CURSO_TOTAL",IF(CALC_EEM!C223="TotalEsp","CURSO_ESP",IF(CALC_EEM!C223="TotalNoEsp","CURSO_NOESP","CURSO_ASIG")))))</f>
      </c>
      <c r="B233" t="str">
        <f>IF(CALC_EEM!$B223="","",CALC_EEM!A223)</f>
      </c>
      <c r="C233" t="str">
        <f>IF(CALC_EEM!$B223="","",CALC_EEM!B223)</f>
      </c>
      <c r="D233">
        <f>IF(CALC_EEM!$B223="","",CALC_EEM!D223)</f>
      </c>
      <c r="E233" s="14" t="str">
        <f>IF(CALC_EEM!$B223="","",CALC_EEM!E223)</f>
      </c>
      <c r="F233" s="14" t="str">
        <f>IF(CALC_EEM!$B223="","",CALC_EEM!F223)</f>
      </c>
      <c r="G233" t="str">
        <f>IF(CALC_EEM!$B223="","",CALC_EEM!G223)</f>
      </c>
      <c r="H233" s="16" t="str">
        <f>IF(CALC_EEM!$B223="","",CALC_EEM!H223)</f>
      </c>
      <c r="I233" s="16" t="str">
        <f>IF(CALC_EEM!$B223="","",CALC_EEM!I223)</f>
      </c>
      <c r="J233" t="str">
        <f>IF(CALC_EEM!$B223="","",CALC_EEM!J223)</f>
      </c>
      <c r="K233" t="str">
        <f>IF(CALC_EEM!$B223="","",CALC_EEM!K223)</f>
      </c>
      <c r="L233">
        <f>IF(CALC_EEM!$B223="","",CALC_EEM!L223)</f>
      </c>
      <c r="M233">
        <f>IF(CALC_EEM!$B223="","",CALC_EEM!M223)</f>
      </c>
      <c r="N233">
        <f>IF(CALC_EEM!$B223="","",CALC_EEM!N223)</f>
      </c>
      <c r="O233">
        <f>IF(CALC_EEM!$B223="","",CALC_EEM!O223)</f>
      </c>
      <c r="P233">
        <f>IF(CALC_EEM!$B223="","",CALC_EEM!P223)</f>
      </c>
      <c r="Q233">
        <f>IF(CALC_EEM!$B223="","",CALC_EEM!Q223)</f>
      </c>
      <c r="R233">
        <f>IF(CALC_EEM!$B223="","",CALC_EEM!R223)</f>
      </c>
      <c r="S233">
        <f>IF(CALC_EEM!$B223="","",CALC_EEM!S223)</f>
      </c>
      <c r="T233">
        <f>IF(CALC_EEM!$B223="","",CALC_EEM!T223)</f>
      </c>
      <c r="U233">
        <f>IF(CALC_EEM!$B223="","",CALC_EEM!U223)</f>
      </c>
    </row>
    <row r="234" spans="1:24">
      <c r="A234" t="str">
        <f>IF(CALC_EEM!$B224="","",IF(CALC_EEM!A224="GLOBAL","GLOBAL",IF(CALC_EEM!C224="Total","CURSO_TOTAL",IF(CALC_EEM!C224="TotalEsp","CURSO_ESP",IF(CALC_EEM!C224="TotalNoEsp","CURSO_NOESP","CURSO_ASIG")))))</f>
      </c>
      <c r="B234" t="str">
        <f>IF(CALC_EEM!$B224="","",CALC_EEM!A224)</f>
      </c>
      <c r="C234" t="str">
        <f>IF(CALC_EEM!$B224="","",CALC_EEM!B224)</f>
      </c>
      <c r="D234">
        <f>IF(CALC_EEM!$B224="","",CALC_EEM!D224)</f>
      </c>
      <c r="E234" s="14" t="str">
        <f>IF(CALC_EEM!$B224="","",CALC_EEM!E224)</f>
      </c>
      <c r="F234" s="14" t="str">
        <f>IF(CALC_EEM!$B224="","",CALC_EEM!F224)</f>
      </c>
      <c r="G234" t="str">
        <f>IF(CALC_EEM!$B224="","",CALC_EEM!G224)</f>
      </c>
      <c r="H234" s="16" t="str">
        <f>IF(CALC_EEM!$B224="","",CALC_EEM!H224)</f>
      </c>
      <c r="I234" s="16" t="str">
        <f>IF(CALC_EEM!$B224="","",CALC_EEM!I224)</f>
      </c>
      <c r="J234" t="str">
        <f>IF(CALC_EEM!$B224="","",CALC_EEM!J224)</f>
      </c>
      <c r="K234" t="str">
        <f>IF(CALC_EEM!$B224="","",CALC_EEM!K224)</f>
      </c>
      <c r="L234">
        <f>IF(CALC_EEM!$B224="","",CALC_EEM!L224)</f>
      </c>
      <c r="M234">
        <f>IF(CALC_EEM!$B224="","",CALC_EEM!M224)</f>
      </c>
      <c r="N234">
        <f>IF(CALC_EEM!$B224="","",CALC_EEM!N224)</f>
      </c>
      <c r="O234">
        <f>IF(CALC_EEM!$B224="","",CALC_EEM!O224)</f>
      </c>
      <c r="P234">
        <f>IF(CALC_EEM!$B224="","",CALC_EEM!P224)</f>
      </c>
      <c r="Q234">
        <f>IF(CALC_EEM!$B224="","",CALC_EEM!Q224)</f>
      </c>
      <c r="R234">
        <f>IF(CALC_EEM!$B224="","",CALC_EEM!R224)</f>
      </c>
      <c r="S234">
        <f>IF(CALC_EEM!$B224="","",CALC_EEM!S224)</f>
      </c>
      <c r="T234">
        <f>IF(CALC_EEM!$B224="","",CALC_EEM!T224)</f>
      </c>
      <c r="U234">
        <f>IF(CALC_EEM!$B224="","",CALC_EEM!U224)</f>
      </c>
    </row>
    <row r="235" spans="1:24">
      <c r="A235" t="str">
        <f>IF(CALC_EEM!$B225="","",IF(CALC_EEM!A225="GLOBAL","GLOBAL",IF(CALC_EEM!C225="Total","CURSO_TOTAL",IF(CALC_EEM!C225="TotalEsp","CURSO_ESP",IF(CALC_EEM!C225="TotalNoEsp","CURSO_NOESP","CURSO_ASIG")))))</f>
      </c>
      <c r="B235" t="str">
        <f>IF(CALC_EEM!$B225="","",CALC_EEM!A225)</f>
      </c>
      <c r="C235" t="str">
        <f>IF(CALC_EEM!$B225="","",CALC_EEM!B225)</f>
      </c>
      <c r="D235">
        <f>IF(CALC_EEM!$B225="","",CALC_EEM!D225)</f>
      </c>
      <c r="E235" s="14" t="str">
        <f>IF(CALC_EEM!$B225="","",CALC_EEM!E225)</f>
      </c>
      <c r="F235" s="14" t="str">
        <f>IF(CALC_EEM!$B225="","",CALC_EEM!F225)</f>
      </c>
      <c r="G235" t="str">
        <f>IF(CALC_EEM!$B225="","",CALC_EEM!G225)</f>
      </c>
      <c r="H235" s="16" t="str">
        <f>IF(CALC_EEM!$B225="","",CALC_EEM!H225)</f>
      </c>
      <c r="I235" s="16" t="str">
        <f>IF(CALC_EEM!$B225="","",CALC_EEM!I225)</f>
      </c>
      <c r="J235" t="str">
        <f>IF(CALC_EEM!$B225="","",CALC_EEM!J225)</f>
      </c>
      <c r="K235" t="str">
        <f>IF(CALC_EEM!$B225="","",CALC_EEM!K225)</f>
      </c>
      <c r="L235">
        <f>IF(CALC_EEM!$B225="","",CALC_EEM!L225)</f>
      </c>
      <c r="M235">
        <f>IF(CALC_EEM!$B225="","",CALC_EEM!M225)</f>
      </c>
      <c r="N235">
        <f>IF(CALC_EEM!$B225="","",CALC_EEM!N225)</f>
      </c>
      <c r="O235">
        <f>IF(CALC_EEM!$B225="","",CALC_EEM!O225)</f>
      </c>
      <c r="P235">
        <f>IF(CALC_EEM!$B225="","",CALC_EEM!P225)</f>
      </c>
      <c r="Q235">
        <f>IF(CALC_EEM!$B225="","",CALC_EEM!Q225)</f>
      </c>
      <c r="R235">
        <f>IF(CALC_EEM!$B225="","",CALC_EEM!R225)</f>
      </c>
      <c r="S235">
        <f>IF(CALC_EEM!$B225="","",CALC_EEM!S225)</f>
      </c>
      <c r="T235">
        <f>IF(CALC_EEM!$B225="","",CALC_EEM!T225)</f>
      </c>
      <c r="U235">
        <f>IF(CALC_EEM!$B225="","",CALC_EEM!U225)</f>
      </c>
    </row>
    <row r="236" spans="1:24">
      <c r="A236" t="str">
        <f>IF(CALC_EEM!$B226="","",IF(CALC_EEM!A226="GLOBAL","GLOBAL",IF(CALC_EEM!C226="Total","CURSO_TOTAL",IF(CALC_EEM!C226="TotalEsp","CURSO_ESP",IF(CALC_EEM!C226="TotalNoEsp","CURSO_NOESP","CURSO_ASIG")))))</f>
      </c>
      <c r="B236" t="str">
        <f>IF(CALC_EEM!$B226="","",CALC_EEM!A226)</f>
      </c>
      <c r="C236" t="str">
        <f>IF(CALC_EEM!$B226="","",CALC_EEM!B226)</f>
      </c>
      <c r="D236">
        <f>IF(CALC_EEM!$B226="","",CALC_EEM!D226)</f>
      </c>
      <c r="E236" s="14" t="str">
        <f>IF(CALC_EEM!$B226="","",CALC_EEM!E226)</f>
      </c>
      <c r="F236" s="14" t="str">
        <f>IF(CALC_EEM!$B226="","",CALC_EEM!F226)</f>
      </c>
      <c r="G236" t="str">
        <f>IF(CALC_EEM!$B226="","",CALC_EEM!G226)</f>
      </c>
      <c r="H236" s="16" t="str">
        <f>IF(CALC_EEM!$B226="","",CALC_EEM!H226)</f>
      </c>
      <c r="I236" s="16" t="str">
        <f>IF(CALC_EEM!$B226="","",CALC_EEM!I226)</f>
      </c>
      <c r="J236" t="str">
        <f>IF(CALC_EEM!$B226="","",CALC_EEM!J226)</f>
      </c>
      <c r="K236" t="str">
        <f>IF(CALC_EEM!$B226="","",CALC_EEM!K226)</f>
      </c>
      <c r="L236">
        <f>IF(CALC_EEM!$B226="","",CALC_EEM!L226)</f>
      </c>
      <c r="M236">
        <f>IF(CALC_EEM!$B226="","",CALC_EEM!M226)</f>
      </c>
      <c r="N236">
        <f>IF(CALC_EEM!$B226="","",CALC_EEM!N226)</f>
      </c>
      <c r="O236">
        <f>IF(CALC_EEM!$B226="","",CALC_EEM!O226)</f>
      </c>
      <c r="P236">
        <f>IF(CALC_EEM!$B226="","",CALC_EEM!P226)</f>
      </c>
      <c r="Q236">
        <f>IF(CALC_EEM!$B226="","",CALC_EEM!Q226)</f>
      </c>
      <c r="R236">
        <f>IF(CALC_EEM!$B226="","",CALC_EEM!R226)</f>
      </c>
      <c r="S236">
        <f>IF(CALC_EEM!$B226="","",CALC_EEM!S226)</f>
      </c>
      <c r="T236">
        <f>IF(CALC_EEM!$B226="","",CALC_EEM!T226)</f>
      </c>
      <c r="U236">
        <f>IF(CALC_EEM!$B226="","",CALC_EEM!U226)</f>
      </c>
    </row>
    <row r="237" spans="1:24">
      <c r="A237" t="str">
        <f>IF(CALC_EEM!$B227="","",IF(CALC_EEM!A227="GLOBAL","GLOBAL",IF(CALC_EEM!C227="Total","CURSO_TOTAL",IF(CALC_EEM!C227="TotalEsp","CURSO_ESP",IF(CALC_EEM!C227="TotalNoEsp","CURSO_NOESP","CURSO_ASIG")))))</f>
      </c>
      <c r="B237" t="str">
        <f>IF(CALC_EEM!$B227="","",CALC_EEM!A227)</f>
      </c>
      <c r="C237" t="str">
        <f>IF(CALC_EEM!$B227="","",CALC_EEM!B227)</f>
      </c>
      <c r="D237">
        <f>IF(CALC_EEM!$B227="","",CALC_EEM!D227)</f>
      </c>
      <c r="E237" s="14" t="str">
        <f>IF(CALC_EEM!$B227="","",CALC_EEM!E227)</f>
      </c>
      <c r="F237" s="14" t="str">
        <f>IF(CALC_EEM!$B227="","",CALC_EEM!F227)</f>
      </c>
      <c r="G237" t="str">
        <f>IF(CALC_EEM!$B227="","",CALC_EEM!G227)</f>
      </c>
      <c r="H237" s="16" t="str">
        <f>IF(CALC_EEM!$B227="","",CALC_EEM!H227)</f>
      </c>
      <c r="I237" s="16" t="str">
        <f>IF(CALC_EEM!$B227="","",CALC_EEM!I227)</f>
      </c>
      <c r="J237" t="str">
        <f>IF(CALC_EEM!$B227="","",CALC_EEM!J227)</f>
      </c>
      <c r="K237" t="str">
        <f>IF(CALC_EEM!$B227="","",CALC_EEM!K227)</f>
      </c>
      <c r="L237">
        <f>IF(CALC_EEM!$B227="","",CALC_EEM!L227)</f>
      </c>
      <c r="M237">
        <f>IF(CALC_EEM!$B227="","",CALC_EEM!M227)</f>
      </c>
      <c r="N237">
        <f>IF(CALC_EEM!$B227="","",CALC_EEM!N227)</f>
      </c>
      <c r="O237">
        <f>IF(CALC_EEM!$B227="","",CALC_EEM!O227)</f>
      </c>
      <c r="P237">
        <f>IF(CALC_EEM!$B227="","",CALC_EEM!P227)</f>
      </c>
      <c r="Q237">
        <f>IF(CALC_EEM!$B227="","",CALC_EEM!Q227)</f>
      </c>
      <c r="R237">
        <f>IF(CALC_EEM!$B227="","",CALC_EEM!R227)</f>
      </c>
      <c r="S237">
        <f>IF(CALC_EEM!$B227="","",CALC_EEM!S227)</f>
      </c>
      <c r="T237">
        <f>IF(CALC_EEM!$B227="","",CALC_EEM!T227)</f>
      </c>
      <c r="U237">
        <f>IF(CALC_EEM!$B227="","",CALC_EEM!U227)</f>
      </c>
    </row>
    <row r="238" spans="1:24">
      <c r="A238" t="str">
        <f>IF(CALC_EEM!$B228="","",IF(CALC_EEM!A228="GLOBAL","GLOBAL",IF(CALC_EEM!C228="Total","CURSO_TOTAL",IF(CALC_EEM!C228="TotalEsp","CURSO_ESP",IF(CALC_EEM!C228="TotalNoEsp","CURSO_NOESP","CURSO_ASIG")))))</f>
      </c>
      <c r="B238" t="str">
        <f>IF(CALC_EEM!$B228="","",CALC_EEM!A228)</f>
      </c>
      <c r="C238" t="str">
        <f>IF(CALC_EEM!$B228="","",CALC_EEM!B228)</f>
      </c>
      <c r="D238">
        <f>IF(CALC_EEM!$B228="","",CALC_EEM!D228)</f>
      </c>
      <c r="E238" s="14" t="str">
        <f>IF(CALC_EEM!$B228="","",CALC_EEM!E228)</f>
      </c>
      <c r="F238" s="14" t="str">
        <f>IF(CALC_EEM!$B228="","",CALC_EEM!F228)</f>
      </c>
      <c r="G238" t="str">
        <f>IF(CALC_EEM!$B228="","",CALC_EEM!G228)</f>
      </c>
      <c r="H238" s="16" t="str">
        <f>IF(CALC_EEM!$B228="","",CALC_EEM!H228)</f>
      </c>
      <c r="I238" s="16" t="str">
        <f>IF(CALC_EEM!$B228="","",CALC_EEM!I228)</f>
      </c>
      <c r="J238" t="str">
        <f>IF(CALC_EEM!$B228="","",CALC_EEM!J228)</f>
      </c>
      <c r="K238" t="str">
        <f>IF(CALC_EEM!$B228="","",CALC_EEM!K228)</f>
      </c>
      <c r="L238">
        <f>IF(CALC_EEM!$B228="","",CALC_EEM!L228)</f>
      </c>
      <c r="M238">
        <f>IF(CALC_EEM!$B228="","",CALC_EEM!M228)</f>
      </c>
      <c r="N238">
        <f>IF(CALC_EEM!$B228="","",CALC_EEM!N228)</f>
      </c>
      <c r="O238">
        <f>IF(CALC_EEM!$B228="","",CALC_EEM!O228)</f>
      </c>
      <c r="P238">
        <f>IF(CALC_EEM!$B228="","",CALC_EEM!P228)</f>
      </c>
      <c r="Q238">
        <f>IF(CALC_EEM!$B228="","",CALC_EEM!Q228)</f>
      </c>
      <c r="R238">
        <f>IF(CALC_EEM!$B228="","",CALC_EEM!R228)</f>
      </c>
      <c r="S238">
        <f>IF(CALC_EEM!$B228="","",CALC_EEM!S228)</f>
      </c>
      <c r="T238">
        <f>IF(CALC_EEM!$B228="","",CALC_EEM!T228)</f>
      </c>
      <c r="U238">
        <f>IF(CALC_EEM!$B228="","",CALC_EEM!U228)</f>
      </c>
    </row>
    <row r="239" spans="1:24">
      <c r="A239" t="str">
        <f>IF(CALC_EEM!$B229="","",IF(CALC_EEM!A229="GLOBAL","GLOBAL",IF(CALC_EEM!C229="Total","CURSO_TOTAL",IF(CALC_EEM!C229="TotalEsp","CURSO_ESP",IF(CALC_EEM!C229="TotalNoEsp","CURSO_NOESP","CURSO_ASIG")))))</f>
      </c>
      <c r="B239" t="str">
        <f>IF(CALC_EEM!$B229="","",CALC_EEM!A229)</f>
      </c>
      <c r="C239" t="str">
        <f>IF(CALC_EEM!$B229="","",CALC_EEM!B229)</f>
      </c>
      <c r="D239">
        <f>IF(CALC_EEM!$B229="","",CALC_EEM!D229)</f>
      </c>
      <c r="E239" s="14" t="str">
        <f>IF(CALC_EEM!$B229="","",CALC_EEM!E229)</f>
      </c>
      <c r="F239" s="14" t="str">
        <f>IF(CALC_EEM!$B229="","",CALC_EEM!F229)</f>
      </c>
      <c r="G239" t="str">
        <f>IF(CALC_EEM!$B229="","",CALC_EEM!G229)</f>
      </c>
      <c r="H239" s="16" t="str">
        <f>IF(CALC_EEM!$B229="","",CALC_EEM!H229)</f>
      </c>
      <c r="I239" s="16" t="str">
        <f>IF(CALC_EEM!$B229="","",CALC_EEM!I229)</f>
      </c>
      <c r="J239" t="str">
        <f>IF(CALC_EEM!$B229="","",CALC_EEM!J229)</f>
      </c>
      <c r="K239" t="str">
        <f>IF(CALC_EEM!$B229="","",CALC_EEM!K229)</f>
      </c>
      <c r="L239">
        <f>IF(CALC_EEM!$B229="","",CALC_EEM!L229)</f>
      </c>
      <c r="M239">
        <f>IF(CALC_EEM!$B229="","",CALC_EEM!M229)</f>
      </c>
      <c r="N239">
        <f>IF(CALC_EEM!$B229="","",CALC_EEM!N229)</f>
      </c>
      <c r="O239">
        <f>IF(CALC_EEM!$B229="","",CALC_EEM!O229)</f>
      </c>
      <c r="P239">
        <f>IF(CALC_EEM!$B229="","",CALC_EEM!P229)</f>
      </c>
      <c r="Q239">
        <f>IF(CALC_EEM!$B229="","",CALC_EEM!Q229)</f>
      </c>
      <c r="R239">
        <f>IF(CALC_EEM!$B229="","",CALC_EEM!R229)</f>
      </c>
      <c r="S239">
        <f>IF(CALC_EEM!$B229="","",CALC_EEM!S229)</f>
      </c>
      <c r="T239">
        <f>IF(CALC_EEM!$B229="","",CALC_EEM!T229)</f>
      </c>
      <c r="U239">
        <f>IF(CALC_EEM!$B229="","",CALC_EEM!U229)</f>
      </c>
    </row>
    <row r="240" spans="1:24">
      <c r="A240" t="str">
        <f>IF(CALC_EEM!$B230="","",IF(CALC_EEM!A230="GLOBAL","GLOBAL",IF(CALC_EEM!C230="Total","CURSO_TOTAL",IF(CALC_EEM!C230="TotalEsp","CURSO_ESP",IF(CALC_EEM!C230="TotalNoEsp","CURSO_NOESP","CURSO_ASIG")))))</f>
      </c>
      <c r="B240" t="str">
        <f>IF(CALC_EEM!$B230="","",CALC_EEM!A230)</f>
      </c>
      <c r="C240" t="str">
        <f>IF(CALC_EEM!$B230="","",CALC_EEM!B230)</f>
      </c>
      <c r="D240">
        <f>IF(CALC_EEM!$B230="","",CALC_EEM!D230)</f>
      </c>
      <c r="E240" s="14" t="str">
        <f>IF(CALC_EEM!$B230="","",CALC_EEM!E230)</f>
      </c>
      <c r="F240" s="14" t="str">
        <f>IF(CALC_EEM!$B230="","",CALC_EEM!F230)</f>
      </c>
      <c r="G240" t="str">
        <f>IF(CALC_EEM!$B230="","",CALC_EEM!G230)</f>
      </c>
      <c r="H240" s="16" t="str">
        <f>IF(CALC_EEM!$B230="","",CALC_EEM!H230)</f>
      </c>
      <c r="I240" s="16" t="str">
        <f>IF(CALC_EEM!$B230="","",CALC_EEM!I230)</f>
      </c>
      <c r="J240" t="str">
        <f>IF(CALC_EEM!$B230="","",CALC_EEM!J230)</f>
      </c>
      <c r="K240" t="str">
        <f>IF(CALC_EEM!$B230="","",CALC_EEM!K230)</f>
      </c>
      <c r="L240">
        <f>IF(CALC_EEM!$B230="","",CALC_EEM!L230)</f>
      </c>
      <c r="M240">
        <f>IF(CALC_EEM!$B230="","",CALC_EEM!M230)</f>
      </c>
      <c r="N240">
        <f>IF(CALC_EEM!$B230="","",CALC_EEM!N230)</f>
      </c>
      <c r="O240">
        <f>IF(CALC_EEM!$B230="","",CALC_EEM!O230)</f>
      </c>
      <c r="P240">
        <f>IF(CALC_EEM!$B230="","",CALC_EEM!P230)</f>
      </c>
      <c r="Q240">
        <f>IF(CALC_EEM!$B230="","",CALC_EEM!Q230)</f>
      </c>
      <c r="R240">
        <f>IF(CALC_EEM!$B230="","",CALC_EEM!R230)</f>
      </c>
      <c r="S240">
        <f>IF(CALC_EEM!$B230="","",CALC_EEM!S230)</f>
      </c>
      <c r="T240">
        <f>IF(CALC_EEM!$B230="","",CALC_EEM!T230)</f>
      </c>
      <c r="U240">
        <f>IF(CALC_EEM!$B230="","",CALC_EEM!U230)</f>
      </c>
    </row>
    <row r="241" spans="1:24">
      <c r="A241" t="str">
        <f>IF(CALC_EEM!$B231="","",IF(CALC_EEM!A231="GLOBAL","GLOBAL",IF(CALC_EEM!C231="Total","CURSO_TOTAL",IF(CALC_EEM!C231="TotalEsp","CURSO_ESP",IF(CALC_EEM!C231="TotalNoEsp","CURSO_NOESP","CURSO_ASIG")))))</f>
      </c>
      <c r="B241" t="str">
        <f>IF(CALC_EEM!$B231="","",CALC_EEM!A231)</f>
      </c>
      <c r="C241" t="str">
        <f>IF(CALC_EEM!$B231="","",CALC_EEM!B231)</f>
      </c>
      <c r="D241">
        <f>IF(CALC_EEM!$B231="","",CALC_EEM!D231)</f>
      </c>
      <c r="E241" s="14" t="str">
        <f>IF(CALC_EEM!$B231="","",CALC_EEM!E231)</f>
      </c>
      <c r="F241" s="14" t="str">
        <f>IF(CALC_EEM!$B231="","",CALC_EEM!F231)</f>
      </c>
      <c r="G241" t="str">
        <f>IF(CALC_EEM!$B231="","",CALC_EEM!G231)</f>
      </c>
      <c r="H241" s="16" t="str">
        <f>IF(CALC_EEM!$B231="","",CALC_EEM!H231)</f>
      </c>
      <c r="I241" s="16" t="str">
        <f>IF(CALC_EEM!$B231="","",CALC_EEM!I231)</f>
      </c>
      <c r="J241" t="str">
        <f>IF(CALC_EEM!$B231="","",CALC_EEM!J231)</f>
      </c>
      <c r="K241" t="str">
        <f>IF(CALC_EEM!$B231="","",CALC_EEM!K231)</f>
      </c>
      <c r="L241">
        <f>IF(CALC_EEM!$B231="","",CALC_EEM!L231)</f>
      </c>
      <c r="M241">
        <f>IF(CALC_EEM!$B231="","",CALC_EEM!M231)</f>
      </c>
      <c r="N241">
        <f>IF(CALC_EEM!$B231="","",CALC_EEM!N231)</f>
      </c>
      <c r="O241">
        <f>IF(CALC_EEM!$B231="","",CALC_EEM!O231)</f>
      </c>
      <c r="P241">
        <f>IF(CALC_EEM!$B231="","",CALC_EEM!P231)</f>
      </c>
      <c r="Q241">
        <f>IF(CALC_EEM!$B231="","",CALC_EEM!Q231)</f>
      </c>
      <c r="R241">
        <f>IF(CALC_EEM!$B231="","",CALC_EEM!R231)</f>
      </c>
      <c r="S241">
        <f>IF(CALC_EEM!$B231="","",CALC_EEM!S231)</f>
      </c>
      <c r="T241">
        <f>IF(CALC_EEM!$B231="","",CALC_EEM!T231)</f>
      </c>
      <c r="U241">
        <f>IF(CALC_EEM!$B231="","",CALC_EEM!U231)</f>
      </c>
    </row>
    <row r="242" spans="1:24">
      <c r="A242" t="str">
        <f>IF(CALC_EEM!$B232="","",IF(CALC_EEM!A232="GLOBAL","GLOBAL",IF(CALC_EEM!C232="Total","CURSO_TOTAL",IF(CALC_EEM!C232="TotalEsp","CURSO_ESP",IF(CALC_EEM!C232="TotalNoEsp","CURSO_NOESP","CURSO_ASIG")))))</f>
      </c>
      <c r="B242" t="str">
        <f>IF(CALC_EEM!$B232="","",CALC_EEM!A232)</f>
      </c>
      <c r="C242" t="str">
        <f>IF(CALC_EEM!$B232="","",CALC_EEM!B232)</f>
      </c>
      <c r="D242">
        <f>IF(CALC_EEM!$B232="","",CALC_EEM!D232)</f>
      </c>
      <c r="E242" s="14" t="str">
        <f>IF(CALC_EEM!$B232="","",CALC_EEM!E232)</f>
      </c>
      <c r="F242" s="14" t="str">
        <f>IF(CALC_EEM!$B232="","",CALC_EEM!F232)</f>
      </c>
      <c r="G242" t="str">
        <f>IF(CALC_EEM!$B232="","",CALC_EEM!G232)</f>
      </c>
      <c r="H242" s="16" t="str">
        <f>IF(CALC_EEM!$B232="","",CALC_EEM!H232)</f>
      </c>
      <c r="I242" s="16" t="str">
        <f>IF(CALC_EEM!$B232="","",CALC_EEM!I232)</f>
      </c>
      <c r="J242" t="str">
        <f>IF(CALC_EEM!$B232="","",CALC_EEM!J232)</f>
      </c>
      <c r="K242" t="str">
        <f>IF(CALC_EEM!$B232="","",CALC_EEM!K232)</f>
      </c>
      <c r="L242">
        <f>IF(CALC_EEM!$B232="","",CALC_EEM!L232)</f>
      </c>
      <c r="M242">
        <f>IF(CALC_EEM!$B232="","",CALC_EEM!M232)</f>
      </c>
      <c r="N242">
        <f>IF(CALC_EEM!$B232="","",CALC_EEM!N232)</f>
      </c>
      <c r="O242">
        <f>IF(CALC_EEM!$B232="","",CALC_EEM!O232)</f>
      </c>
      <c r="P242">
        <f>IF(CALC_EEM!$B232="","",CALC_EEM!P232)</f>
      </c>
      <c r="Q242">
        <f>IF(CALC_EEM!$B232="","",CALC_EEM!Q232)</f>
      </c>
      <c r="R242">
        <f>IF(CALC_EEM!$B232="","",CALC_EEM!R232)</f>
      </c>
      <c r="S242">
        <f>IF(CALC_EEM!$B232="","",CALC_EEM!S232)</f>
      </c>
      <c r="T242">
        <f>IF(CALC_EEM!$B232="","",CALC_EEM!T232)</f>
      </c>
      <c r="U242">
        <f>IF(CALC_EEM!$B232="","",CALC_EEM!U232)</f>
      </c>
    </row>
    <row r="243" spans="1:24">
      <c r="A243" t="str">
        <f>IF(CALC_EEM!$B233="","",IF(CALC_EEM!A233="GLOBAL","GLOBAL",IF(CALC_EEM!C233="Total","CURSO_TOTAL",IF(CALC_EEM!C233="TotalEsp","CURSO_ESP",IF(CALC_EEM!C233="TotalNoEsp","CURSO_NOESP","CURSO_ASIG")))))</f>
      </c>
      <c r="B243" t="str">
        <f>IF(CALC_EEM!$B233="","",CALC_EEM!A233)</f>
      </c>
      <c r="C243" t="str">
        <f>IF(CALC_EEM!$B233="","",CALC_EEM!B233)</f>
      </c>
      <c r="D243">
        <f>IF(CALC_EEM!$B233="","",CALC_EEM!D233)</f>
      </c>
      <c r="E243" s="14" t="str">
        <f>IF(CALC_EEM!$B233="","",CALC_EEM!E233)</f>
      </c>
      <c r="F243" s="14" t="str">
        <f>IF(CALC_EEM!$B233="","",CALC_EEM!F233)</f>
      </c>
      <c r="G243" t="str">
        <f>IF(CALC_EEM!$B233="","",CALC_EEM!G233)</f>
      </c>
      <c r="H243" s="16" t="str">
        <f>IF(CALC_EEM!$B233="","",CALC_EEM!H233)</f>
      </c>
      <c r="I243" s="16" t="str">
        <f>IF(CALC_EEM!$B233="","",CALC_EEM!I233)</f>
      </c>
      <c r="J243" t="str">
        <f>IF(CALC_EEM!$B233="","",CALC_EEM!J233)</f>
      </c>
      <c r="K243" t="str">
        <f>IF(CALC_EEM!$B233="","",CALC_EEM!K233)</f>
      </c>
      <c r="L243">
        <f>IF(CALC_EEM!$B233="","",CALC_EEM!L233)</f>
      </c>
      <c r="M243">
        <f>IF(CALC_EEM!$B233="","",CALC_EEM!M233)</f>
      </c>
      <c r="N243">
        <f>IF(CALC_EEM!$B233="","",CALC_EEM!N233)</f>
      </c>
      <c r="O243">
        <f>IF(CALC_EEM!$B233="","",CALC_EEM!O233)</f>
      </c>
      <c r="P243">
        <f>IF(CALC_EEM!$B233="","",CALC_EEM!P233)</f>
      </c>
      <c r="Q243">
        <f>IF(CALC_EEM!$B233="","",CALC_EEM!Q233)</f>
      </c>
      <c r="R243">
        <f>IF(CALC_EEM!$B233="","",CALC_EEM!R233)</f>
      </c>
      <c r="S243">
        <f>IF(CALC_EEM!$B233="","",CALC_EEM!S233)</f>
      </c>
      <c r="T243">
        <f>IF(CALC_EEM!$B233="","",CALC_EEM!T233)</f>
      </c>
      <c r="U243">
        <f>IF(CALC_EEM!$B233="","",CALC_EEM!U233)</f>
      </c>
    </row>
    <row r="244" spans="1:24">
      <c r="A244" t="str">
        <f>IF(CALC_EEM!$B234="","",IF(CALC_EEM!A234="GLOBAL","GLOBAL",IF(CALC_EEM!C234="Total","CURSO_TOTAL",IF(CALC_EEM!C234="TotalEsp","CURSO_ESP",IF(CALC_EEM!C234="TotalNoEsp","CURSO_NOESP","CURSO_ASIG")))))</f>
      </c>
      <c r="B244" t="str">
        <f>IF(CALC_EEM!$B234="","",CALC_EEM!A234)</f>
      </c>
      <c r="C244" t="str">
        <f>IF(CALC_EEM!$B234="","",CALC_EEM!B234)</f>
      </c>
      <c r="D244">
        <f>IF(CALC_EEM!$B234="","",CALC_EEM!D234)</f>
      </c>
      <c r="E244" s="14" t="str">
        <f>IF(CALC_EEM!$B234="","",CALC_EEM!E234)</f>
      </c>
      <c r="F244" s="14" t="str">
        <f>IF(CALC_EEM!$B234="","",CALC_EEM!F234)</f>
      </c>
      <c r="G244" t="str">
        <f>IF(CALC_EEM!$B234="","",CALC_EEM!G234)</f>
      </c>
      <c r="H244" s="16" t="str">
        <f>IF(CALC_EEM!$B234="","",CALC_EEM!H234)</f>
      </c>
      <c r="I244" s="16" t="str">
        <f>IF(CALC_EEM!$B234="","",CALC_EEM!I234)</f>
      </c>
      <c r="J244" t="str">
        <f>IF(CALC_EEM!$B234="","",CALC_EEM!J234)</f>
      </c>
      <c r="K244" t="str">
        <f>IF(CALC_EEM!$B234="","",CALC_EEM!K234)</f>
      </c>
      <c r="L244">
        <f>IF(CALC_EEM!$B234="","",CALC_EEM!L234)</f>
      </c>
      <c r="M244">
        <f>IF(CALC_EEM!$B234="","",CALC_EEM!M234)</f>
      </c>
      <c r="N244">
        <f>IF(CALC_EEM!$B234="","",CALC_EEM!N234)</f>
      </c>
      <c r="O244">
        <f>IF(CALC_EEM!$B234="","",CALC_EEM!O234)</f>
      </c>
      <c r="P244">
        <f>IF(CALC_EEM!$B234="","",CALC_EEM!P234)</f>
      </c>
      <c r="Q244">
        <f>IF(CALC_EEM!$B234="","",CALC_EEM!Q234)</f>
      </c>
      <c r="R244">
        <f>IF(CALC_EEM!$B234="","",CALC_EEM!R234)</f>
      </c>
      <c r="S244">
        <f>IF(CALC_EEM!$B234="","",CALC_EEM!S234)</f>
      </c>
      <c r="T244">
        <f>IF(CALC_EEM!$B234="","",CALC_EEM!T234)</f>
      </c>
      <c r="U244">
        <f>IF(CALC_EEM!$B234="","",CALC_EEM!U234)</f>
      </c>
    </row>
    <row r="245" spans="1:24">
      <c r="A245" t="str">
        <f>IF(CALC_EEM!$B235="","",IF(CALC_EEM!A235="GLOBAL","GLOBAL",IF(CALC_EEM!C235="Total","CURSO_TOTAL",IF(CALC_EEM!C235="TotalEsp","CURSO_ESP",IF(CALC_EEM!C235="TotalNoEsp","CURSO_NOESP","CURSO_ASIG")))))</f>
      </c>
      <c r="B245" t="str">
        <f>IF(CALC_EEM!$B235="","",CALC_EEM!A235)</f>
      </c>
      <c r="C245" t="str">
        <f>IF(CALC_EEM!$B235="","",CALC_EEM!B235)</f>
      </c>
      <c r="D245">
        <f>IF(CALC_EEM!$B235="","",CALC_EEM!D235)</f>
      </c>
      <c r="E245" s="14" t="str">
        <f>IF(CALC_EEM!$B235="","",CALC_EEM!E235)</f>
      </c>
      <c r="F245" s="14" t="str">
        <f>IF(CALC_EEM!$B235="","",CALC_EEM!F235)</f>
      </c>
      <c r="G245" t="str">
        <f>IF(CALC_EEM!$B235="","",CALC_EEM!G235)</f>
      </c>
      <c r="H245" s="16" t="str">
        <f>IF(CALC_EEM!$B235="","",CALC_EEM!H235)</f>
      </c>
      <c r="I245" s="16" t="str">
        <f>IF(CALC_EEM!$B235="","",CALC_EEM!I235)</f>
      </c>
      <c r="J245" t="str">
        <f>IF(CALC_EEM!$B235="","",CALC_EEM!J235)</f>
      </c>
      <c r="K245" t="str">
        <f>IF(CALC_EEM!$B235="","",CALC_EEM!K235)</f>
      </c>
      <c r="L245">
        <f>IF(CALC_EEM!$B235="","",CALC_EEM!L235)</f>
      </c>
      <c r="M245">
        <f>IF(CALC_EEM!$B235="","",CALC_EEM!M235)</f>
      </c>
      <c r="N245">
        <f>IF(CALC_EEM!$B235="","",CALC_EEM!N235)</f>
      </c>
      <c r="O245">
        <f>IF(CALC_EEM!$B235="","",CALC_EEM!O235)</f>
      </c>
      <c r="P245">
        <f>IF(CALC_EEM!$B235="","",CALC_EEM!P235)</f>
      </c>
      <c r="Q245">
        <f>IF(CALC_EEM!$B235="","",CALC_EEM!Q235)</f>
      </c>
      <c r="R245">
        <f>IF(CALC_EEM!$B235="","",CALC_EEM!R235)</f>
      </c>
      <c r="S245">
        <f>IF(CALC_EEM!$B235="","",CALC_EEM!S235)</f>
      </c>
      <c r="T245">
        <f>IF(CALC_EEM!$B235="","",CALC_EEM!T235)</f>
      </c>
      <c r="U245">
        <f>IF(CALC_EEM!$B235="","",CALC_EEM!U235)</f>
      </c>
    </row>
    <row r="246" spans="1:24">
      <c r="A246" t="str">
        <f>IF(CALC_EEM!$B236="","",IF(CALC_EEM!A236="GLOBAL","GLOBAL",IF(CALC_EEM!C236="Total","CURSO_TOTAL",IF(CALC_EEM!C236="TotalEsp","CURSO_ESP",IF(CALC_EEM!C236="TotalNoEsp","CURSO_NOESP","CURSO_ASIG")))))</f>
      </c>
      <c r="B246" t="str">
        <f>IF(CALC_EEM!$B236="","",CALC_EEM!A236)</f>
      </c>
      <c r="C246" t="str">
        <f>IF(CALC_EEM!$B236="","",CALC_EEM!B236)</f>
      </c>
      <c r="D246">
        <f>IF(CALC_EEM!$B236="","",CALC_EEM!D236)</f>
      </c>
      <c r="E246" s="14" t="str">
        <f>IF(CALC_EEM!$B236="","",CALC_EEM!E236)</f>
      </c>
      <c r="F246" s="14" t="str">
        <f>IF(CALC_EEM!$B236="","",CALC_EEM!F236)</f>
      </c>
      <c r="G246" t="str">
        <f>IF(CALC_EEM!$B236="","",CALC_EEM!G236)</f>
      </c>
      <c r="H246" s="16" t="str">
        <f>IF(CALC_EEM!$B236="","",CALC_EEM!H236)</f>
      </c>
      <c r="I246" s="16" t="str">
        <f>IF(CALC_EEM!$B236="","",CALC_EEM!I236)</f>
      </c>
      <c r="J246" t="str">
        <f>IF(CALC_EEM!$B236="","",CALC_EEM!J236)</f>
      </c>
      <c r="K246" t="str">
        <f>IF(CALC_EEM!$B236="","",CALC_EEM!K236)</f>
      </c>
      <c r="L246">
        <f>IF(CALC_EEM!$B236="","",CALC_EEM!L236)</f>
      </c>
      <c r="M246">
        <f>IF(CALC_EEM!$B236="","",CALC_EEM!M236)</f>
      </c>
      <c r="N246">
        <f>IF(CALC_EEM!$B236="","",CALC_EEM!N236)</f>
      </c>
      <c r="O246">
        <f>IF(CALC_EEM!$B236="","",CALC_EEM!O236)</f>
      </c>
      <c r="P246">
        <f>IF(CALC_EEM!$B236="","",CALC_EEM!P236)</f>
      </c>
      <c r="Q246">
        <f>IF(CALC_EEM!$B236="","",CALC_EEM!Q236)</f>
      </c>
      <c r="R246">
        <f>IF(CALC_EEM!$B236="","",CALC_EEM!R236)</f>
      </c>
      <c r="S246">
        <f>IF(CALC_EEM!$B236="","",CALC_EEM!S236)</f>
      </c>
      <c r="T246">
        <f>IF(CALC_EEM!$B236="","",CALC_EEM!T236)</f>
      </c>
      <c r="U246">
        <f>IF(CALC_EEM!$B236="","",CALC_EEM!U236)</f>
      </c>
    </row>
    <row r="247" spans="1:24">
      <c r="A247" t="str">
        <f>IF(CALC_EEM!$B237="","",IF(CALC_EEM!A237="GLOBAL","GLOBAL",IF(CALC_EEM!C237="Total","CURSO_TOTAL",IF(CALC_EEM!C237="TotalEsp","CURSO_ESP",IF(CALC_EEM!C237="TotalNoEsp","CURSO_NOESP","CURSO_ASIG")))))</f>
      </c>
      <c r="B247" t="str">
        <f>IF(CALC_EEM!$B237="","",CALC_EEM!A237)</f>
      </c>
      <c r="C247" t="str">
        <f>IF(CALC_EEM!$B237="","",CALC_EEM!B237)</f>
      </c>
      <c r="D247">
        <f>IF(CALC_EEM!$B237="","",CALC_EEM!D237)</f>
      </c>
      <c r="E247" s="14" t="str">
        <f>IF(CALC_EEM!$B237="","",CALC_EEM!E237)</f>
      </c>
      <c r="F247" s="14" t="str">
        <f>IF(CALC_EEM!$B237="","",CALC_EEM!F237)</f>
      </c>
      <c r="G247" t="str">
        <f>IF(CALC_EEM!$B237="","",CALC_EEM!G237)</f>
      </c>
      <c r="H247" s="16" t="str">
        <f>IF(CALC_EEM!$B237="","",CALC_EEM!H237)</f>
      </c>
      <c r="I247" s="16" t="str">
        <f>IF(CALC_EEM!$B237="","",CALC_EEM!I237)</f>
      </c>
      <c r="J247" t="str">
        <f>IF(CALC_EEM!$B237="","",CALC_EEM!J237)</f>
      </c>
      <c r="K247" t="str">
        <f>IF(CALC_EEM!$B237="","",CALC_EEM!K237)</f>
      </c>
      <c r="L247">
        <f>IF(CALC_EEM!$B237="","",CALC_EEM!L237)</f>
      </c>
      <c r="M247">
        <f>IF(CALC_EEM!$B237="","",CALC_EEM!M237)</f>
      </c>
      <c r="N247">
        <f>IF(CALC_EEM!$B237="","",CALC_EEM!N237)</f>
      </c>
      <c r="O247">
        <f>IF(CALC_EEM!$B237="","",CALC_EEM!O237)</f>
      </c>
      <c r="P247">
        <f>IF(CALC_EEM!$B237="","",CALC_EEM!P237)</f>
      </c>
      <c r="Q247">
        <f>IF(CALC_EEM!$B237="","",CALC_EEM!Q237)</f>
      </c>
      <c r="R247">
        <f>IF(CALC_EEM!$B237="","",CALC_EEM!R237)</f>
      </c>
      <c r="S247">
        <f>IF(CALC_EEM!$B237="","",CALC_EEM!S237)</f>
      </c>
      <c r="T247">
        <f>IF(CALC_EEM!$B237="","",CALC_EEM!T237)</f>
      </c>
      <c r="U247">
        <f>IF(CALC_EEM!$B237="","",CALC_EEM!U237)</f>
      </c>
    </row>
    <row r="248" spans="1:24">
      <c r="A248" t="str">
        <f>IF(CALC_EEM!$B238="","",IF(CALC_EEM!A238="GLOBAL","GLOBAL",IF(CALC_EEM!C238="Total","CURSO_TOTAL",IF(CALC_EEM!C238="TotalEsp","CURSO_ESP",IF(CALC_EEM!C238="TotalNoEsp","CURSO_NOESP","CURSO_ASIG")))))</f>
      </c>
      <c r="B248" t="str">
        <f>IF(CALC_EEM!$B238="","",CALC_EEM!A238)</f>
      </c>
      <c r="C248" t="str">
        <f>IF(CALC_EEM!$B238="","",CALC_EEM!B238)</f>
      </c>
      <c r="D248">
        <f>IF(CALC_EEM!$B238="","",CALC_EEM!D238)</f>
      </c>
      <c r="E248" s="14" t="str">
        <f>IF(CALC_EEM!$B238="","",CALC_EEM!E238)</f>
      </c>
      <c r="F248" s="14" t="str">
        <f>IF(CALC_EEM!$B238="","",CALC_EEM!F238)</f>
      </c>
      <c r="G248" t="str">
        <f>IF(CALC_EEM!$B238="","",CALC_EEM!G238)</f>
      </c>
      <c r="H248" s="16" t="str">
        <f>IF(CALC_EEM!$B238="","",CALC_EEM!H238)</f>
      </c>
      <c r="I248" s="16" t="str">
        <f>IF(CALC_EEM!$B238="","",CALC_EEM!I238)</f>
      </c>
      <c r="J248" t="str">
        <f>IF(CALC_EEM!$B238="","",CALC_EEM!J238)</f>
      </c>
      <c r="K248" t="str">
        <f>IF(CALC_EEM!$B238="","",CALC_EEM!K238)</f>
      </c>
      <c r="L248">
        <f>IF(CALC_EEM!$B238="","",CALC_EEM!L238)</f>
      </c>
      <c r="M248">
        <f>IF(CALC_EEM!$B238="","",CALC_EEM!M238)</f>
      </c>
      <c r="N248">
        <f>IF(CALC_EEM!$B238="","",CALC_EEM!N238)</f>
      </c>
      <c r="O248">
        <f>IF(CALC_EEM!$B238="","",CALC_EEM!O238)</f>
      </c>
      <c r="P248">
        <f>IF(CALC_EEM!$B238="","",CALC_EEM!P238)</f>
      </c>
      <c r="Q248">
        <f>IF(CALC_EEM!$B238="","",CALC_EEM!Q238)</f>
      </c>
      <c r="R248">
        <f>IF(CALC_EEM!$B238="","",CALC_EEM!R238)</f>
      </c>
      <c r="S248">
        <f>IF(CALC_EEM!$B238="","",CALC_EEM!S238)</f>
      </c>
      <c r="T248">
        <f>IF(CALC_EEM!$B238="","",CALC_EEM!T238)</f>
      </c>
      <c r="U248">
        <f>IF(CALC_EEM!$B238="","",CALC_EEM!U238)</f>
      </c>
    </row>
    <row r="249" spans="1:24">
      <c r="A249" t="str">
        <f>IF(CALC_EEM!$B239="","",IF(CALC_EEM!A239="GLOBAL","GLOBAL",IF(CALC_EEM!C239="Total","CURSO_TOTAL",IF(CALC_EEM!C239="TotalEsp","CURSO_ESP",IF(CALC_EEM!C239="TotalNoEsp","CURSO_NOESP","CURSO_ASIG")))))</f>
      </c>
      <c r="B249" t="str">
        <f>IF(CALC_EEM!$B239="","",CALC_EEM!A239)</f>
      </c>
      <c r="C249" t="str">
        <f>IF(CALC_EEM!$B239="","",CALC_EEM!B239)</f>
      </c>
      <c r="D249">
        <f>IF(CALC_EEM!$B239="","",CALC_EEM!D239)</f>
      </c>
      <c r="E249" s="14" t="str">
        <f>IF(CALC_EEM!$B239="","",CALC_EEM!E239)</f>
      </c>
      <c r="F249" s="14" t="str">
        <f>IF(CALC_EEM!$B239="","",CALC_EEM!F239)</f>
      </c>
      <c r="G249" t="str">
        <f>IF(CALC_EEM!$B239="","",CALC_EEM!G239)</f>
      </c>
      <c r="H249" s="16" t="str">
        <f>IF(CALC_EEM!$B239="","",CALC_EEM!H239)</f>
      </c>
      <c r="I249" s="16" t="str">
        <f>IF(CALC_EEM!$B239="","",CALC_EEM!I239)</f>
      </c>
      <c r="J249" t="str">
        <f>IF(CALC_EEM!$B239="","",CALC_EEM!J239)</f>
      </c>
      <c r="K249" t="str">
        <f>IF(CALC_EEM!$B239="","",CALC_EEM!K239)</f>
      </c>
      <c r="L249">
        <f>IF(CALC_EEM!$B239="","",CALC_EEM!L239)</f>
      </c>
      <c r="M249">
        <f>IF(CALC_EEM!$B239="","",CALC_EEM!M239)</f>
      </c>
      <c r="N249">
        <f>IF(CALC_EEM!$B239="","",CALC_EEM!N239)</f>
      </c>
      <c r="O249">
        <f>IF(CALC_EEM!$B239="","",CALC_EEM!O239)</f>
      </c>
      <c r="P249">
        <f>IF(CALC_EEM!$B239="","",CALC_EEM!P239)</f>
      </c>
      <c r="Q249">
        <f>IF(CALC_EEM!$B239="","",CALC_EEM!Q239)</f>
      </c>
      <c r="R249">
        <f>IF(CALC_EEM!$B239="","",CALC_EEM!R239)</f>
      </c>
      <c r="S249">
        <f>IF(CALC_EEM!$B239="","",CALC_EEM!S239)</f>
      </c>
      <c r="T249">
        <f>IF(CALC_EEM!$B239="","",CALC_EEM!T239)</f>
      </c>
      <c r="U249">
        <f>IF(CALC_EEM!$B239="","",CALC_EEM!U239)</f>
      </c>
    </row>
    <row r="250" spans="1:24">
      <c r="A250" t="str">
        <f>IF(CALC_EEM!$B240="","",IF(CALC_EEM!A240="GLOBAL","GLOBAL",IF(CALC_EEM!C240="Total","CURSO_TOTAL",IF(CALC_EEM!C240="TotalEsp","CURSO_ESP",IF(CALC_EEM!C240="TotalNoEsp","CURSO_NOESP","CURSO_ASIG")))))</f>
      </c>
      <c r="B250" t="str">
        <f>IF(CALC_EEM!$B240="","",CALC_EEM!A240)</f>
      </c>
      <c r="C250" t="str">
        <f>IF(CALC_EEM!$B240="","",CALC_EEM!B240)</f>
      </c>
      <c r="D250">
        <f>IF(CALC_EEM!$B240="","",CALC_EEM!D240)</f>
      </c>
      <c r="E250" s="14" t="str">
        <f>IF(CALC_EEM!$B240="","",CALC_EEM!E240)</f>
      </c>
      <c r="F250" s="14" t="str">
        <f>IF(CALC_EEM!$B240="","",CALC_EEM!F240)</f>
      </c>
      <c r="G250" t="str">
        <f>IF(CALC_EEM!$B240="","",CALC_EEM!G240)</f>
      </c>
      <c r="H250" s="16" t="str">
        <f>IF(CALC_EEM!$B240="","",CALC_EEM!H240)</f>
      </c>
      <c r="I250" s="16" t="str">
        <f>IF(CALC_EEM!$B240="","",CALC_EEM!I240)</f>
      </c>
      <c r="J250" t="str">
        <f>IF(CALC_EEM!$B240="","",CALC_EEM!J240)</f>
      </c>
      <c r="K250" t="str">
        <f>IF(CALC_EEM!$B240="","",CALC_EEM!K240)</f>
      </c>
      <c r="L250">
        <f>IF(CALC_EEM!$B240="","",CALC_EEM!L240)</f>
      </c>
      <c r="M250">
        <f>IF(CALC_EEM!$B240="","",CALC_EEM!M240)</f>
      </c>
      <c r="N250">
        <f>IF(CALC_EEM!$B240="","",CALC_EEM!N240)</f>
      </c>
      <c r="O250">
        <f>IF(CALC_EEM!$B240="","",CALC_EEM!O240)</f>
      </c>
      <c r="P250">
        <f>IF(CALC_EEM!$B240="","",CALC_EEM!P240)</f>
      </c>
      <c r="Q250">
        <f>IF(CALC_EEM!$B240="","",CALC_EEM!Q240)</f>
      </c>
      <c r="R250">
        <f>IF(CALC_EEM!$B240="","",CALC_EEM!R240)</f>
      </c>
      <c r="S250">
        <f>IF(CALC_EEM!$B240="","",CALC_EEM!S240)</f>
      </c>
      <c r="T250">
        <f>IF(CALC_EEM!$B240="","",CALC_EEM!T240)</f>
      </c>
      <c r="U250">
        <f>IF(CALC_EEM!$B240="","",CALC_EEM!U240)</f>
      </c>
    </row>
    <row r="251" spans="1:24">
      <c r="A251" t="str">
        <f>IF(CALC_EEM!$B241="","",IF(CALC_EEM!A241="GLOBAL","GLOBAL",IF(CALC_EEM!C241="Total","CURSO_TOTAL",IF(CALC_EEM!C241="TotalEsp","CURSO_ESP",IF(CALC_EEM!C241="TotalNoEsp","CURSO_NOESP","CURSO_ASIG")))))</f>
      </c>
      <c r="B251" t="str">
        <f>IF(CALC_EEM!$B241="","",CALC_EEM!A241)</f>
      </c>
      <c r="C251" t="str">
        <f>IF(CALC_EEM!$B241="","",CALC_EEM!B241)</f>
      </c>
      <c r="D251">
        <f>IF(CALC_EEM!$B241="","",CALC_EEM!D241)</f>
      </c>
      <c r="E251" s="14" t="str">
        <f>IF(CALC_EEM!$B241="","",CALC_EEM!E241)</f>
      </c>
      <c r="F251" s="14" t="str">
        <f>IF(CALC_EEM!$B241="","",CALC_EEM!F241)</f>
      </c>
      <c r="G251" t="str">
        <f>IF(CALC_EEM!$B241="","",CALC_EEM!G241)</f>
      </c>
      <c r="H251" s="16" t="str">
        <f>IF(CALC_EEM!$B241="","",CALC_EEM!H241)</f>
      </c>
      <c r="I251" s="16" t="str">
        <f>IF(CALC_EEM!$B241="","",CALC_EEM!I241)</f>
      </c>
      <c r="J251" t="str">
        <f>IF(CALC_EEM!$B241="","",CALC_EEM!J241)</f>
      </c>
      <c r="K251" t="str">
        <f>IF(CALC_EEM!$B241="","",CALC_EEM!K241)</f>
      </c>
      <c r="L251">
        <f>IF(CALC_EEM!$B241="","",CALC_EEM!L241)</f>
      </c>
      <c r="M251">
        <f>IF(CALC_EEM!$B241="","",CALC_EEM!M241)</f>
      </c>
      <c r="N251">
        <f>IF(CALC_EEM!$B241="","",CALC_EEM!N241)</f>
      </c>
      <c r="O251">
        <f>IF(CALC_EEM!$B241="","",CALC_EEM!O241)</f>
      </c>
      <c r="P251">
        <f>IF(CALC_EEM!$B241="","",CALC_EEM!P241)</f>
      </c>
      <c r="Q251">
        <f>IF(CALC_EEM!$B241="","",CALC_EEM!Q241)</f>
      </c>
      <c r="R251">
        <f>IF(CALC_EEM!$B241="","",CALC_EEM!R241)</f>
      </c>
      <c r="S251">
        <f>IF(CALC_EEM!$B241="","",CALC_EEM!S241)</f>
      </c>
      <c r="T251">
        <f>IF(CALC_EEM!$B241="","",CALC_EEM!T241)</f>
      </c>
      <c r="U251">
        <f>IF(CALC_EEM!$B241="","",CALC_EEM!U241)</f>
      </c>
    </row>
    <row r="252" spans="1:24">
      <c r="A252" t="str">
        <f>IF(CALC_EEM!$B242="","",IF(CALC_EEM!A242="GLOBAL","GLOBAL",IF(CALC_EEM!C242="Total","CURSO_TOTAL",IF(CALC_EEM!C242="TotalEsp","CURSO_ESP",IF(CALC_EEM!C242="TotalNoEsp","CURSO_NOESP","CURSO_ASIG")))))</f>
      </c>
      <c r="B252" t="str">
        <f>IF(CALC_EEM!$B242="","",CALC_EEM!A242)</f>
      </c>
      <c r="C252" t="str">
        <f>IF(CALC_EEM!$B242="","",CALC_EEM!B242)</f>
      </c>
      <c r="D252">
        <f>IF(CALC_EEM!$B242="","",CALC_EEM!D242)</f>
      </c>
      <c r="E252" s="14" t="str">
        <f>IF(CALC_EEM!$B242="","",CALC_EEM!E242)</f>
      </c>
      <c r="F252" s="14" t="str">
        <f>IF(CALC_EEM!$B242="","",CALC_EEM!F242)</f>
      </c>
      <c r="G252" t="str">
        <f>IF(CALC_EEM!$B242="","",CALC_EEM!G242)</f>
      </c>
      <c r="H252" s="16" t="str">
        <f>IF(CALC_EEM!$B242="","",CALC_EEM!H242)</f>
      </c>
      <c r="I252" s="16" t="str">
        <f>IF(CALC_EEM!$B242="","",CALC_EEM!I242)</f>
      </c>
      <c r="J252" t="str">
        <f>IF(CALC_EEM!$B242="","",CALC_EEM!J242)</f>
      </c>
      <c r="K252" t="str">
        <f>IF(CALC_EEM!$B242="","",CALC_EEM!K242)</f>
      </c>
      <c r="L252">
        <f>IF(CALC_EEM!$B242="","",CALC_EEM!L242)</f>
      </c>
      <c r="M252">
        <f>IF(CALC_EEM!$B242="","",CALC_EEM!M242)</f>
      </c>
      <c r="N252">
        <f>IF(CALC_EEM!$B242="","",CALC_EEM!N242)</f>
      </c>
      <c r="O252">
        <f>IF(CALC_EEM!$B242="","",CALC_EEM!O242)</f>
      </c>
      <c r="P252">
        <f>IF(CALC_EEM!$B242="","",CALC_EEM!P242)</f>
      </c>
      <c r="Q252">
        <f>IF(CALC_EEM!$B242="","",CALC_EEM!Q242)</f>
      </c>
      <c r="R252">
        <f>IF(CALC_EEM!$B242="","",CALC_EEM!R242)</f>
      </c>
      <c r="S252">
        <f>IF(CALC_EEM!$B242="","",CALC_EEM!S242)</f>
      </c>
      <c r="T252">
        <f>IF(CALC_EEM!$B242="","",CALC_EEM!T242)</f>
      </c>
      <c r="U252">
        <f>IF(CALC_EEM!$B242="","",CALC_EEM!U242)</f>
      </c>
    </row>
    <row r="253" spans="1:24">
      <c r="A253" t="str">
        <f>IF(CALC_EEM!$B243="","",IF(CALC_EEM!A243="GLOBAL","GLOBAL",IF(CALC_EEM!C243="Total","CURSO_TOTAL",IF(CALC_EEM!C243="TotalEsp","CURSO_ESP",IF(CALC_EEM!C243="TotalNoEsp","CURSO_NOESP","CURSO_ASIG")))))</f>
      </c>
      <c r="B253" t="str">
        <f>IF(CALC_EEM!$B243="","",CALC_EEM!A243)</f>
      </c>
      <c r="C253" t="str">
        <f>IF(CALC_EEM!$B243="","",CALC_EEM!B243)</f>
      </c>
      <c r="D253">
        <f>IF(CALC_EEM!$B243="","",CALC_EEM!D243)</f>
      </c>
      <c r="E253" s="14" t="str">
        <f>IF(CALC_EEM!$B243="","",CALC_EEM!E243)</f>
      </c>
      <c r="F253" s="14" t="str">
        <f>IF(CALC_EEM!$B243="","",CALC_EEM!F243)</f>
      </c>
      <c r="G253" t="str">
        <f>IF(CALC_EEM!$B243="","",CALC_EEM!G243)</f>
      </c>
      <c r="H253" s="16" t="str">
        <f>IF(CALC_EEM!$B243="","",CALC_EEM!H243)</f>
      </c>
      <c r="I253" s="16" t="str">
        <f>IF(CALC_EEM!$B243="","",CALC_EEM!I243)</f>
      </c>
      <c r="J253" t="str">
        <f>IF(CALC_EEM!$B243="","",CALC_EEM!J243)</f>
      </c>
      <c r="K253" t="str">
        <f>IF(CALC_EEM!$B243="","",CALC_EEM!K243)</f>
      </c>
      <c r="L253">
        <f>IF(CALC_EEM!$B243="","",CALC_EEM!L243)</f>
      </c>
      <c r="M253">
        <f>IF(CALC_EEM!$B243="","",CALC_EEM!M243)</f>
      </c>
      <c r="N253">
        <f>IF(CALC_EEM!$B243="","",CALC_EEM!N243)</f>
      </c>
      <c r="O253">
        <f>IF(CALC_EEM!$B243="","",CALC_EEM!O243)</f>
      </c>
      <c r="P253">
        <f>IF(CALC_EEM!$B243="","",CALC_EEM!P243)</f>
      </c>
      <c r="Q253">
        <f>IF(CALC_EEM!$B243="","",CALC_EEM!Q243)</f>
      </c>
      <c r="R253">
        <f>IF(CALC_EEM!$B243="","",CALC_EEM!R243)</f>
      </c>
      <c r="S253">
        <f>IF(CALC_EEM!$B243="","",CALC_EEM!S243)</f>
      </c>
      <c r="T253">
        <f>IF(CALC_EEM!$B243="","",CALC_EEM!T243)</f>
      </c>
      <c r="U253">
        <f>IF(CALC_EEM!$B243="","",CALC_EEM!U243)</f>
      </c>
    </row>
    <row r="254" spans="1:24">
      <c r="A254" t="str">
        <f>IF(CALC_EEM!$B244="","",IF(CALC_EEM!A244="GLOBAL","GLOBAL",IF(CALC_EEM!C244="Total","CURSO_TOTAL",IF(CALC_EEM!C244="TotalEsp","CURSO_ESP",IF(CALC_EEM!C244="TotalNoEsp","CURSO_NOESP","CURSO_ASIG")))))</f>
      </c>
      <c r="B254" t="str">
        <f>IF(CALC_EEM!$B244="","",CALC_EEM!A244)</f>
      </c>
      <c r="C254" t="str">
        <f>IF(CALC_EEM!$B244="","",CALC_EEM!B244)</f>
      </c>
      <c r="D254">
        <f>IF(CALC_EEM!$B244="","",CALC_EEM!D244)</f>
      </c>
      <c r="E254" s="14" t="str">
        <f>IF(CALC_EEM!$B244="","",CALC_EEM!E244)</f>
      </c>
      <c r="F254" s="14" t="str">
        <f>IF(CALC_EEM!$B244="","",CALC_EEM!F244)</f>
      </c>
      <c r="G254" t="str">
        <f>IF(CALC_EEM!$B244="","",CALC_EEM!G244)</f>
      </c>
      <c r="H254" s="16" t="str">
        <f>IF(CALC_EEM!$B244="","",CALC_EEM!H244)</f>
      </c>
      <c r="I254" s="16" t="str">
        <f>IF(CALC_EEM!$B244="","",CALC_EEM!I244)</f>
      </c>
      <c r="J254" t="str">
        <f>IF(CALC_EEM!$B244="","",CALC_EEM!J244)</f>
      </c>
      <c r="K254" t="str">
        <f>IF(CALC_EEM!$B244="","",CALC_EEM!K244)</f>
      </c>
      <c r="L254">
        <f>IF(CALC_EEM!$B244="","",CALC_EEM!L244)</f>
      </c>
      <c r="M254">
        <f>IF(CALC_EEM!$B244="","",CALC_EEM!M244)</f>
      </c>
      <c r="N254">
        <f>IF(CALC_EEM!$B244="","",CALC_EEM!N244)</f>
      </c>
      <c r="O254">
        <f>IF(CALC_EEM!$B244="","",CALC_EEM!O244)</f>
      </c>
      <c r="P254">
        <f>IF(CALC_EEM!$B244="","",CALC_EEM!P244)</f>
      </c>
      <c r="Q254">
        <f>IF(CALC_EEM!$B244="","",CALC_EEM!Q244)</f>
      </c>
      <c r="R254">
        <f>IF(CALC_EEM!$B244="","",CALC_EEM!R244)</f>
      </c>
      <c r="S254">
        <f>IF(CALC_EEM!$B244="","",CALC_EEM!S244)</f>
      </c>
      <c r="T254">
        <f>IF(CALC_EEM!$B244="","",CALC_EEM!T244)</f>
      </c>
      <c r="U254">
        <f>IF(CALC_EEM!$B244="","",CALC_EEM!U244)</f>
      </c>
    </row>
    <row r="255" spans="1:24">
      <c r="A255" t="str">
        <f>IF(CALC_EEM!$B245="","",IF(CALC_EEM!A245="GLOBAL","GLOBAL",IF(CALC_EEM!C245="Total","CURSO_TOTAL",IF(CALC_EEM!C245="TotalEsp","CURSO_ESP",IF(CALC_EEM!C245="TotalNoEsp","CURSO_NOESP","CURSO_ASIG")))))</f>
      </c>
      <c r="B255" t="str">
        <f>IF(CALC_EEM!$B245="","",CALC_EEM!A245)</f>
      </c>
      <c r="C255" t="str">
        <f>IF(CALC_EEM!$B245="","",CALC_EEM!B245)</f>
      </c>
      <c r="D255">
        <f>IF(CALC_EEM!$B245="","",CALC_EEM!D245)</f>
      </c>
      <c r="E255" s="14" t="str">
        <f>IF(CALC_EEM!$B245="","",CALC_EEM!E245)</f>
      </c>
      <c r="F255" s="14" t="str">
        <f>IF(CALC_EEM!$B245="","",CALC_EEM!F245)</f>
      </c>
      <c r="G255" t="str">
        <f>IF(CALC_EEM!$B245="","",CALC_EEM!G245)</f>
      </c>
      <c r="H255" s="16" t="str">
        <f>IF(CALC_EEM!$B245="","",CALC_EEM!H245)</f>
      </c>
      <c r="I255" s="16" t="str">
        <f>IF(CALC_EEM!$B245="","",CALC_EEM!I245)</f>
      </c>
      <c r="J255" t="str">
        <f>IF(CALC_EEM!$B245="","",CALC_EEM!J245)</f>
      </c>
      <c r="K255" t="str">
        <f>IF(CALC_EEM!$B245="","",CALC_EEM!K245)</f>
      </c>
      <c r="L255">
        <f>IF(CALC_EEM!$B245="","",CALC_EEM!L245)</f>
      </c>
      <c r="M255">
        <f>IF(CALC_EEM!$B245="","",CALC_EEM!M245)</f>
      </c>
      <c r="N255">
        <f>IF(CALC_EEM!$B245="","",CALC_EEM!N245)</f>
      </c>
      <c r="O255">
        <f>IF(CALC_EEM!$B245="","",CALC_EEM!O245)</f>
      </c>
      <c r="P255">
        <f>IF(CALC_EEM!$B245="","",CALC_EEM!P245)</f>
      </c>
      <c r="Q255">
        <f>IF(CALC_EEM!$B245="","",CALC_EEM!Q245)</f>
      </c>
      <c r="R255">
        <f>IF(CALC_EEM!$B245="","",CALC_EEM!R245)</f>
      </c>
      <c r="S255">
        <f>IF(CALC_EEM!$B245="","",CALC_EEM!S245)</f>
      </c>
      <c r="T255">
        <f>IF(CALC_EEM!$B245="","",CALC_EEM!T245)</f>
      </c>
      <c r="U255">
        <f>IF(CALC_EEM!$B245="","",CALC_EEM!U245)</f>
      </c>
    </row>
    <row r="256" spans="1:24">
      <c r="A256" t="str">
        <f>IF(CALC_EEM!$B246="","",IF(CALC_EEM!A246="GLOBAL","GLOBAL",IF(CALC_EEM!C246="Total","CURSO_TOTAL",IF(CALC_EEM!C246="TotalEsp","CURSO_ESP",IF(CALC_EEM!C246="TotalNoEsp","CURSO_NOESP","CURSO_ASIG")))))</f>
      </c>
      <c r="B256" t="str">
        <f>IF(CALC_EEM!$B246="","",CALC_EEM!A246)</f>
      </c>
      <c r="C256" t="str">
        <f>IF(CALC_EEM!$B246="","",CALC_EEM!B246)</f>
      </c>
      <c r="D256">
        <f>IF(CALC_EEM!$B246="","",CALC_EEM!D246)</f>
      </c>
      <c r="E256" s="14" t="str">
        <f>IF(CALC_EEM!$B246="","",CALC_EEM!E246)</f>
      </c>
      <c r="F256" s="14" t="str">
        <f>IF(CALC_EEM!$B246="","",CALC_EEM!F246)</f>
      </c>
      <c r="G256" t="str">
        <f>IF(CALC_EEM!$B246="","",CALC_EEM!G246)</f>
      </c>
      <c r="H256" s="16" t="str">
        <f>IF(CALC_EEM!$B246="","",CALC_EEM!H246)</f>
      </c>
      <c r="I256" s="16" t="str">
        <f>IF(CALC_EEM!$B246="","",CALC_EEM!I246)</f>
      </c>
      <c r="J256" t="str">
        <f>IF(CALC_EEM!$B246="","",CALC_EEM!J246)</f>
      </c>
      <c r="K256" t="str">
        <f>IF(CALC_EEM!$B246="","",CALC_EEM!K246)</f>
      </c>
      <c r="L256">
        <f>IF(CALC_EEM!$B246="","",CALC_EEM!L246)</f>
      </c>
      <c r="M256">
        <f>IF(CALC_EEM!$B246="","",CALC_EEM!M246)</f>
      </c>
      <c r="N256">
        <f>IF(CALC_EEM!$B246="","",CALC_EEM!N246)</f>
      </c>
      <c r="O256">
        <f>IF(CALC_EEM!$B246="","",CALC_EEM!O246)</f>
      </c>
      <c r="P256">
        <f>IF(CALC_EEM!$B246="","",CALC_EEM!P246)</f>
      </c>
      <c r="Q256">
        <f>IF(CALC_EEM!$B246="","",CALC_EEM!Q246)</f>
      </c>
      <c r="R256">
        <f>IF(CALC_EEM!$B246="","",CALC_EEM!R246)</f>
      </c>
      <c r="S256">
        <f>IF(CALC_EEM!$B246="","",CALC_EEM!S246)</f>
      </c>
      <c r="T256">
        <f>IF(CALC_EEM!$B246="","",CALC_EEM!T246)</f>
      </c>
      <c r="U256">
        <f>IF(CALC_EEM!$B246="","",CALC_EEM!U246)</f>
      </c>
    </row>
    <row r="257" spans="1:24">
      <c r="A257" t="str">
        <f>IF(CALC_EEM!$B247="","",IF(CALC_EEM!A247="GLOBAL","GLOBAL",IF(CALC_EEM!C247="Total","CURSO_TOTAL",IF(CALC_EEM!C247="TotalEsp","CURSO_ESP",IF(CALC_EEM!C247="TotalNoEsp","CURSO_NOESP","CURSO_ASIG")))))</f>
      </c>
      <c r="B257" t="str">
        <f>IF(CALC_EEM!$B247="","",CALC_EEM!A247)</f>
      </c>
      <c r="C257" t="str">
        <f>IF(CALC_EEM!$B247="","",CALC_EEM!B247)</f>
      </c>
      <c r="D257">
        <f>IF(CALC_EEM!$B247="","",CALC_EEM!D247)</f>
      </c>
      <c r="E257" s="14" t="str">
        <f>IF(CALC_EEM!$B247="","",CALC_EEM!E247)</f>
      </c>
      <c r="F257" s="14" t="str">
        <f>IF(CALC_EEM!$B247="","",CALC_EEM!F247)</f>
      </c>
      <c r="G257" t="str">
        <f>IF(CALC_EEM!$B247="","",CALC_EEM!G247)</f>
      </c>
      <c r="H257" s="16" t="str">
        <f>IF(CALC_EEM!$B247="","",CALC_EEM!H247)</f>
      </c>
      <c r="I257" s="16" t="str">
        <f>IF(CALC_EEM!$B247="","",CALC_EEM!I247)</f>
      </c>
      <c r="J257" t="str">
        <f>IF(CALC_EEM!$B247="","",CALC_EEM!J247)</f>
      </c>
      <c r="K257" t="str">
        <f>IF(CALC_EEM!$B247="","",CALC_EEM!K247)</f>
      </c>
      <c r="L257">
        <f>IF(CALC_EEM!$B247="","",CALC_EEM!L247)</f>
      </c>
      <c r="M257">
        <f>IF(CALC_EEM!$B247="","",CALC_EEM!M247)</f>
      </c>
      <c r="N257">
        <f>IF(CALC_EEM!$B247="","",CALC_EEM!N247)</f>
      </c>
      <c r="O257">
        <f>IF(CALC_EEM!$B247="","",CALC_EEM!O247)</f>
      </c>
      <c r="P257">
        <f>IF(CALC_EEM!$B247="","",CALC_EEM!P247)</f>
      </c>
      <c r="Q257">
        <f>IF(CALC_EEM!$B247="","",CALC_EEM!Q247)</f>
      </c>
      <c r="R257">
        <f>IF(CALC_EEM!$B247="","",CALC_EEM!R247)</f>
      </c>
      <c r="S257">
        <f>IF(CALC_EEM!$B247="","",CALC_EEM!S247)</f>
      </c>
      <c r="T257">
        <f>IF(CALC_EEM!$B247="","",CALC_EEM!T247)</f>
      </c>
      <c r="U257">
        <f>IF(CALC_EEM!$B247="","",CALC_EEM!U247)</f>
      </c>
    </row>
    <row r="258" spans="1:24">
      <c r="A258" t="str">
        <f>IF(CALC_EEM!$B248="","",IF(CALC_EEM!A248="GLOBAL","GLOBAL",IF(CALC_EEM!C248="Total","CURSO_TOTAL",IF(CALC_EEM!C248="TotalEsp","CURSO_ESP",IF(CALC_EEM!C248="TotalNoEsp","CURSO_NOESP","CURSO_ASIG")))))</f>
      </c>
      <c r="B258" t="str">
        <f>IF(CALC_EEM!$B248="","",CALC_EEM!A248)</f>
      </c>
      <c r="C258" t="str">
        <f>IF(CALC_EEM!$B248="","",CALC_EEM!B248)</f>
      </c>
      <c r="D258">
        <f>IF(CALC_EEM!$B248="","",CALC_EEM!D248)</f>
      </c>
      <c r="E258" s="14" t="str">
        <f>IF(CALC_EEM!$B248="","",CALC_EEM!E248)</f>
      </c>
      <c r="F258" s="14" t="str">
        <f>IF(CALC_EEM!$B248="","",CALC_EEM!F248)</f>
      </c>
      <c r="G258" t="str">
        <f>IF(CALC_EEM!$B248="","",CALC_EEM!G248)</f>
      </c>
      <c r="H258" s="16" t="str">
        <f>IF(CALC_EEM!$B248="","",CALC_EEM!H248)</f>
      </c>
      <c r="I258" s="16" t="str">
        <f>IF(CALC_EEM!$B248="","",CALC_EEM!I248)</f>
      </c>
      <c r="J258" t="str">
        <f>IF(CALC_EEM!$B248="","",CALC_EEM!J248)</f>
      </c>
      <c r="K258" t="str">
        <f>IF(CALC_EEM!$B248="","",CALC_EEM!K248)</f>
      </c>
      <c r="L258">
        <f>IF(CALC_EEM!$B248="","",CALC_EEM!L248)</f>
      </c>
      <c r="M258">
        <f>IF(CALC_EEM!$B248="","",CALC_EEM!M248)</f>
      </c>
      <c r="N258">
        <f>IF(CALC_EEM!$B248="","",CALC_EEM!N248)</f>
      </c>
      <c r="O258">
        <f>IF(CALC_EEM!$B248="","",CALC_EEM!O248)</f>
      </c>
      <c r="P258">
        <f>IF(CALC_EEM!$B248="","",CALC_EEM!P248)</f>
      </c>
      <c r="Q258">
        <f>IF(CALC_EEM!$B248="","",CALC_EEM!Q248)</f>
      </c>
      <c r="R258">
        <f>IF(CALC_EEM!$B248="","",CALC_EEM!R248)</f>
      </c>
      <c r="S258">
        <f>IF(CALC_EEM!$B248="","",CALC_EEM!S248)</f>
      </c>
      <c r="T258">
        <f>IF(CALC_EEM!$B248="","",CALC_EEM!T248)</f>
      </c>
      <c r="U258">
        <f>IF(CALC_EEM!$B248="","",CALC_EEM!U248)</f>
      </c>
    </row>
    <row r="259" spans="1:24">
      <c r="A259" t="str">
        <f>IF(CALC_EEM!$B249="","",IF(CALC_EEM!A249="GLOBAL","GLOBAL",IF(CALC_EEM!C249="Total","CURSO_TOTAL",IF(CALC_EEM!C249="TotalEsp","CURSO_ESP",IF(CALC_EEM!C249="TotalNoEsp","CURSO_NOESP","CURSO_ASIG")))))</f>
      </c>
      <c r="B259" t="str">
        <f>IF(CALC_EEM!$B249="","",CALC_EEM!A249)</f>
      </c>
      <c r="C259" t="str">
        <f>IF(CALC_EEM!$B249="","",CALC_EEM!B249)</f>
      </c>
      <c r="D259">
        <f>IF(CALC_EEM!$B249="","",CALC_EEM!D249)</f>
      </c>
      <c r="E259" s="14" t="str">
        <f>IF(CALC_EEM!$B249="","",CALC_EEM!E249)</f>
      </c>
      <c r="F259" s="14" t="str">
        <f>IF(CALC_EEM!$B249="","",CALC_EEM!F249)</f>
      </c>
      <c r="G259" t="str">
        <f>IF(CALC_EEM!$B249="","",CALC_EEM!G249)</f>
      </c>
      <c r="H259" s="16" t="str">
        <f>IF(CALC_EEM!$B249="","",CALC_EEM!H249)</f>
      </c>
      <c r="I259" s="16" t="str">
        <f>IF(CALC_EEM!$B249="","",CALC_EEM!I249)</f>
      </c>
      <c r="J259" t="str">
        <f>IF(CALC_EEM!$B249="","",CALC_EEM!J249)</f>
      </c>
      <c r="K259" t="str">
        <f>IF(CALC_EEM!$B249="","",CALC_EEM!K249)</f>
      </c>
      <c r="L259">
        <f>IF(CALC_EEM!$B249="","",CALC_EEM!L249)</f>
      </c>
      <c r="M259">
        <f>IF(CALC_EEM!$B249="","",CALC_EEM!M249)</f>
      </c>
      <c r="N259">
        <f>IF(CALC_EEM!$B249="","",CALC_EEM!N249)</f>
      </c>
      <c r="O259">
        <f>IF(CALC_EEM!$B249="","",CALC_EEM!O249)</f>
      </c>
      <c r="P259">
        <f>IF(CALC_EEM!$B249="","",CALC_EEM!P249)</f>
      </c>
      <c r="Q259">
        <f>IF(CALC_EEM!$B249="","",CALC_EEM!Q249)</f>
      </c>
      <c r="R259">
        <f>IF(CALC_EEM!$B249="","",CALC_EEM!R249)</f>
      </c>
      <c r="S259">
        <f>IF(CALC_EEM!$B249="","",CALC_EEM!S249)</f>
      </c>
      <c r="T259">
        <f>IF(CALC_EEM!$B249="","",CALC_EEM!T249)</f>
      </c>
      <c r="U259">
        <f>IF(CALC_EEM!$B249="","",CALC_EEM!U249)</f>
      </c>
    </row>
    <row r="260" spans="1:24">
      <c r="A260" t="str">
        <f>IF(CALC_EEM!$B250="","",IF(CALC_EEM!A250="GLOBAL","GLOBAL",IF(CALC_EEM!C250="Total","CURSO_TOTAL",IF(CALC_EEM!C250="TotalEsp","CURSO_ESP",IF(CALC_EEM!C250="TotalNoEsp","CURSO_NOESP","CURSO_ASIG")))))</f>
      </c>
      <c r="B260" t="str">
        <f>IF(CALC_EEM!$B250="","",CALC_EEM!A250)</f>
      </c>
      <c r="C260" t="str">
        <f>IF(CALC_EEM!$B250="","",CALC_EEM!B250)</f>
      </c>
      <c r="D260">
        <f>IF(CALC_EEM!$B250="","",CALC_EEM!D250)</f>
      </c>
      <c r="E260" s="14" t="str">
        <f>IF(CALC_EEM!$B250="","",CALC_EEM!E250)</f>
      </c>
      <c r="F260" s="14" t="str">
        <f>IF(CALC_EEM!$B250="","",CALC_EEM!F250)</f>
      </c>
      <c r="G260" t="str">
        <f>IF(CALC_EEM!$B250="","",CALC_EEM!G250)</f>
      </c>
      <c r="H260" s="16" t="str">
        <f>IF(CALC_EEM!$B250="","",CALC_EEM!H250)</f>
      </c>
      <c r="I260" s="16" t="str">
        <f>IF(CALC_EEM!$B250="","",CALC_EEM!I250)</f>
      </c>
      <c r="J260" t="str">
        <f>IF(CALC_EEM!$B250="","",CALC_EEM!J250)</f>
      </c>
      <c r="K260" t="str">
        <f>IF(CALC_EEM!$B250="","",CALC_EEM!K250)</f>
      </c>
      <c r="L260">
        <f>IF(CALC_EEM!$B250="","",CALC_EEM!L250)</f>
      </c>
      <c r="M260">
        <f>IF(CALC_EEM!$B250="","",CALC_EEM!M250)</f>
      </c>
      <c r="N260">
        <f>IF(CALC_EEM!$B250="","",CALC_EEM!N250)</f>
      </c>
      <c r="O260">
        <f>IF(CALC_EEM!$B250="","",CALC_EEM!O250)</f>
      </c>
      <c r="P260">
        <f>IF(CALC_EEM!$B250="","",CALC_EEM!P250)</f>
      </c>
      <c r="Q260">
        <f>IF(CALC_EEM!$B250="","",CALC_EEM!Q250)</f>
      </c>
      <c r="R260">
        <f>IF(CALC_EEM!$B250="","",CALC_EEM!R250)</f>
      </c>
      <c r="S260">
        <f>IF(CALC_EEM!$B250="","",CALC_EEM!S250)</f>
      </c>
      <c r="T260">
        <f>IF(CALC_EEM!$B250="","",CALC_EEM!T250)</f>
      </c>
      <c r="U260">
        <f>IF(CALC_EEM!$B250="","",CALC_EEM!U250)</f>
      </c>
    </row>
    <row r="261" spans="1:24">
      <c r="A261" t="str">
        <f>IF(CALC_EEM!$B251="","",IF(CALC_EEM!A251="GLOBAL","GLOBAL",IF(CALC_EEM!C251="Total","CURSO_TOTAL",IF(CALC_EEM!C251="TotalEsp","CURSO_ESP",IF(CALC_EEM!C251="TotalNoEsp","CURSO_NOESP","CURSO_ASIG")))))</f>
      </c>
      <c r="B261" t="str">
        <f>IF(CALC_EEM!$B251="","",CALC_EEM!A251)</f>
      </c>
      <c r="C261" t="str">
        <f>IF(CALC_EEM!$B251="","",CALC_EEM!B251)</f>
      </c>
      <c r="D261">
        <f>IF(CALC_EEM!$B251="","",CALC_EEM!D251)</f>
      </c>
      <c r="E261" s="14" t="str">
        <f>IF(CALC_EEM!$B251="","",CALC_EEM!E251)</f>
      </c>
      <c r="F261" s="14" t="str">
        <f>IF(CALC_EEM!$B251="","",CALC_EEM!F251)</f>
      </c>
      <c r="G261" t="str">
        <f>IF(CALC_EEM!$B251="","",CALC_EEM!G251)</f>
      </c>
      <c r="H261" s="16" t="str">
        <f>IF(CALC_EEM!$B251="","",CALC_EEM!H251)</f>
      </c>
      <c r="I261" s="16" t="str">
        <f>IF(CALC_EEM!$B251="","",CALC_EEM!I251)</f>
      </c>
      <c r="J261" t="str">
        <f>IF(CALC_EEM!$B251="","",CALC_EEM!J251)</f>
      </c>
      <c r="K261" t="str">
        <f>IF(CALC_EEM!$B251="","",CALC_EEM!K251)</f>
      </c>
      <c r="L261">
        <f>IF(CALC_EEM!$B251="","",CALC_EEM!L251)</f>
      </c>
      <c r="M261">
        <f>IF(CALC_EEM!$B251="","",CALC_EEM!M251)</f>
      </c>
      <c r="N261">
        <f>IF(CALC_EEM!$B251="","",CALC_EEM!N251)</f>
      </c>
      <c r="O261">
        <f>IF(CALC_EEM!$B251="","",CALC_EEM!O251)</f>
      </c>
      <c r="P261">
        <f>IF(CALC_EEM!$B251="","",CALC_EEM!P251)</f>
      </c>
      <c r="Q261">
        <f>IF(CALC_EEM!$B251="","",CALC_EEM!Q251)</f>
      </c>
      <c r="R261">
        <f>IF(CALC_EEM!$B251="","",CALC_EEM!R251)</f>
      </c>
      <c r="S261">
        <f>IF(CALC_EEM!$B251="","",CALC_EEM!S251)</f>
      </c>
      <c r="T261">
        <f>IF(CALC_EEM!$B251="","",CALC_EEM!T251)</f>
      </c>
      <c r="U261">
        <f>IF(CALC_EEM!$B251="","",CALC_EEM!U251)</f>
      </c>
    </row>
    <row r="262" spans="1:24">
      <c r="A262" t="str">
        <f>IF(CALC_EEM!$B252="","",IF(CALC_EEM!A252="GLOBAL","GLOBAL",IF(CALC_EEM!C252="Total","CURSO_TOTAL",IF(CALC_EEM!C252="TotalEsp","CURSO_ESP",IF(CALC_EEM!C252="TotalNoEsp","CURSO_NOESP","CURSO_ASIG")))))</f>
      </c>
      <c r="B262" t="str">
        <f>IF(CALC_EEM!$B252="","",CALC_EEM!A252)</f>
      </c>
      <c r="C262" t="str">
        <f>IF(CALC_EEM!$B252="","",CALC_EEM!B252)</f>
      </c>
      <c r="D262">
        <f>IF(CALC_EEM!$B252="","",CALC_EEM!D252)</f>
      </c>
      <c r="E262" s="14" t="str">
        <f>IF(CALC_EEM!$B252="","",CALC_EEM!E252)</f>
      </c>
      <c r="F262" s="14" t="str">
        <f>IF(CALC_EEM!$B252="","",CALC_EEM!F252)</f>
      </c>
      <c r="G262" t="str">
        <f>IF(CALC_EEM!$B252="","",CALC_EEM!G252)</f>
      </c>
      <c r="H262" s="16" t="str">
        <f>IF(CALC_EEM!$B252="","",CALC_EEM!H252)</f>
      </c>
      <c r="I262" s="16" t="str">
        <f>IF(CALC_EEM!$B252="","",CALC_EEM!I252)</f>
      </c>
      <c r="J262" t="str">
        <f>IF(CALC_EEM!$B252="","",CALC_EEM!J252)</f>
      </c>
      <c r="K262" t="str">
        <f>IF(CALC_EEM!$B252="","",CALC_EEM!K252)</f>
      </c>
      <c r="L262">
        <f>IF(CALC_EEM!$B252="","",CALC_EEM!L252)</f>
      </c>
      <c r="M262">
        <f>IF(CALC_EEM!$B252="","",CALC_EEM!M252)</f>
      </c>
      <c r="N262">
        <f>IF(CALC_EEM!$B252="","",CALC_EEM!N252)</f>
      </c>
      <c r="O262">
        <f>IF(CALC_EEM!$B252="","",CALC_EEM!O252)</f>
      </c>
      <c r="P262">
        <f>IF(CALC_EEM!$B252="","",CALC_EEM!P252)</f>
      </c>
      <c r="Q262">
        <f>IF(CALC_EEM!$B252="","",CALC_EEM!Q252)</f>
      </c>
      <c r="R262">
        <f>IF(CALC_EEM!$B252="","",CALC_EEM!R252)</f>
      </c>
      <c r="S262">
        <f>IF(CALC_EEM!$B252="","",CALC_EEM!S252)</f>
      </c>
      <c r="T262">
        <f>IF(CALC_EEM!$B252="","",CALC_EEM!T252)</f>
      </c>
      <c r="U262">
        <f>IF(CALC_EEM!$B252="","",CALC_EEM!U252)</f>
      </c>
    </row>
    <row r="263" spans="1:24">
      <c r="A263" t="str">
        <f>IF(CALC_EEM!$B253="","",IF(CALC_EEM!A253="GLOBAL","GLOBAL",IF(CALC_EEM!C253="Total","CURSO_TOTAL",IF(CALC_EEM!C253="TotalEsp","CURSO_ESP",IF(CALC_EEM!C253="TotalNoEsp","CURSO_NOESP","CURSO_ASIG")))))</f>
      </c>
      <c r="B263" t="str">
        <f>IF(CALC_EEM!$B253="","",CALC_EEM!A253)</f>
      </c>
      <c r="C263" t="str">
        <f>IF(CALC_EEM!$B253="","",CALC_EEM!B253)</f>
      </c>
      <c r="D263">
        <f>IF(CALC_EEM!$B253="","",CALC_EEM!D253)</f>
      </c>
      <c r="E263" s="14" t="str">
        <f>IF(CALC_EEM!$B253="","",CALC_EEM!E253)</f>
      </c>
      <c r="F263" s="14" t="str">
        <f>IF(CALC_EEM!$B253="","",CALC_EEM!F253)</f>
      </c>
      <c r="G263" t="str">
        <f>IF(CALC_EEM!$B253="","",CALC_EEM!G253)</f>
      </c>
      <c r="H263" s="16" t="str">
        <f>IF(CALC_EEM!$B253="","",CALC_EEM!H253)</f>
      </c>
      <c r="I263" s="16" t="str">
        <f>IF(CALC_EEM!$B253="","",CALC_EEM!I253)</f>
      </c>
      <c r="J263" t="str">
        <f>IF(CALC_EEM!$B253="","",CALC_EEM!J253)</f>
      </c>
      <c r="K263" t="str">
        <f>IF(CALC_EEM!$B253="","",CALC_EEM!K253)</f>
      </c>
      <c r="L263">
        <f>IF(CALC_EEM!$B253="","",CALC_EEM!L253)</f>
      </c>
      <c r="M263">
        <f>IF(CALC_EEM!$B253="","",CALC_EEM!M253)</f>
      </c>
      <c r="N263">
        <f>IF(CALC_EEM!$B253="","",CALC_EEM!N253)</f>
      </c>
      <c r="O263">
        <f>IF(CALC_EEM!$B253="","",CALC_EEM!O253)</f>
      </c>
      <c r="P263">
        <f>IF(CALC_EEM!$B253="","",CALC_EEM!P253)</f>
      </c>
      <c r="Q263">
        <f>IF(CALC_EEM!$B253="","",CALC_EEM!Q253)</f>
      </c>
      <c r="R263">
        <f>IF(CALC_EEM!$B253="","",CALC_EEM!R253)</f>
      </c>
      <c r="S263">
        <f>IF(CALC_EEM!$B253="","",CALC_EEM!S253)</f>
      </c>
      <c r="T263">
        <f>IF(CALC_EEM!$B253="","",CALC_EEM!T253)</f>
      </c>
      <c r="U263">
        <f>IF(CALC_EEM!$B253="","",CALC_EEM!U253)</f>
      </c>
    </row>
    <row r="264" spans="1:24">
      <c r="A264" t="str">
        <f>IF(CALC_EEM!$B254="","",IF(CALC_EEM!A254="GLOBAL","GLOBAL",IF(CALC_EEM!C254="Total","CURSO_TOTAL",IF(CALC_EEM!C254="TotalEsp","CURSO_ESP",IF(CALC_EEM!C254="TotalNoEsp","CURSO_NOESP","CURSO_ASIG")))))</f>
      </c>
      <c r="B264" t="str">
        <f>IF(CALC_EEM!$B254="","",CALC_EEM!A254)</f>
      </c>
      <c r="C264" t="str">
        <f>IF(CALC_EEM!$B254="","",CALC_EEM!B254)</f>
      </c>
      <c r="D264">
        <f>IF(CALC_EEM!$B254="","",CALC_EEM!D254)</f>
      </c>
      <c r="E264" s="14" t="str">
        <f>IF(CALC_EEM!$B254="","",CALC_EEM!E254)</f>
      </c>
      <c r="F264" s="14" t="str">
        <f>IF(CALC_EEM!$B254="","",CALC_EEM!F254)</f>
      </c>
      <c r="G264" t="str">
        <f>IF(CALC_EEM!$B254="","",CALC_EEM!G254)</f>
      </c>
      <c r="H264" s="16" t="str">
        <f>IF(CALC_EEM!$B254="","",CALC_EEM!H254)</f>
      </c>
      <c r="I264" s="16" t="str">
        <f>IF(CALC_EEM!$B254="","",CALC_EEM!I254)</f>
      </c>
      <c r="J264" t="str">
        <f>IF(CALC_EEM!$B254="","",CALC_EEM!J254)</f>
      </c>
      <c r="K264" t="str">
        <f>IF(CALC_EEM!$B254="","",CALC_EEM!K254)</f>
      </c>
      <c r="L264">
        <f>IF(CALC_EEM!$B254="","",CALC_EEM!L254)</f>
      </c>
      <c r="M264">
        <f>IF(CALC_EEM!$B254="","",CALC_EEM!M254)</f>
      </c>
      <c r="N264">
        <f>IF(CALC_EEM!$B254="","",CALC_EEM!N254)</f>
      </c>
      <c r="O264">
        <f>IF(CALC_EEM!$B254="","",CALC_EEM!O254)</f>
      </c>
      <c r="P264">
        <f>IF(CALC_EEM!$B254="","",CALC_EEM!P254)</f>
      </c>
      <c r="Q264">
        <f>IF(CALC_EEM!$B254="","",CALC_EEM!Q254)</f>
      </c>
      <c r="R264">
        <f>IF(CALC_EEM!$B254="","",CALC_EEM!R254)</f>
      </c>
      <c r="S264">
        <f>IF(CALC_EEM!$B254="","",CALC_EEM!S254)</f>
      </c>
      <c r="T264">
        <f>IF(CALC_EEM!$B254="","",CALC_EEM!T254)</f>
      </c>
      <c r="U264">
        <f>IF(CALC_EEM!$B254="","",CALC_EEM!U254)</f>
      </c>
    </row>
    <row r="265" spans="1:24">
      <c r="A265" t="str">
        <f>IF(CALC_EEM!$B255="","",IF(CALC_EEM!A255="GLOBAL","GLOBAL",IF(CALC_EEM!C255="Total","CURSO_TOTAL",IF(CALC_EEM!C255="TotalEsp","CURSO_ESP",IF(CALC_EEM!C255="TotalNoEsp","CURSO_NOESP","CURSO_ASIG")))))</f>
      </c>
      <c r="B265" t="str">
        <f>IF(CALC_EEM!$B255="","",CALC_EEM!A255)</f>
      </c>
      <c r="C265" t="str">
        <f>IF(CALC_EEM!$B255="","",CALC_EEM!B255)</f>
      </c>
      <c r="D265">
        <f>IF(CALC_EEM!$B255="","",CALC_EEM!D255)</f>
      </c>
      <c r="E265" s="14" t="str">
        <f>IF(CALC_EEM!$B255="","",CALC_EEM!E255)</f>
      </c>
      <c r="F265" s="14" t="str">
        <f>IF(CALC_EEM!$B255="","",CALC_EEM!F255)</f>
      </c>
      <c r="G265" t="str">
        <f>IF(CALC_EEM!$B255="","",CALC_EEM!G255)</f>
      </c>
      <c r="H265" s="16" t="str">
        <f>IF(CALC_EEM!$B255="","",CALC_EEM!H255)</f>
      </c>
      <c r="I265" s="16" t="str">
        <f>IF(CALC_EEM!$B255="","",CALC_EEM!I255)</f>
      </c>
      <c r="J265" t="str">
        <f>IF(CALC_EEM!$B255="","",CALC_EEM!J255)</f>
      </c>
      <c r="K265" t="str">
        <f>IF(CALC_EEM!$B255="","",CALC_EEM!K255)</f>
      </c>
      <c r="L265">
        <f>IF(CALC_EEM!$B255="","",CALC_EEM!L255)</f>
      </c>
      <c r="M265">
        <f>IF(CALC_EEM!$B255="","",CALC_EEM!M255)</f>
      </c>
      <c r="N265">
        <f>IF(CALC_EEM!$B255="","",CALC_EEM!N255)</f>
      </c>
      <c r="O265">
        <f>IF(CALC_EEM!$B255="","",CALC_EEM!O255)</f>
      </c>
      <c r="P265">
        <f>IF(CALC_EEM!$B255="","",CALC_EEM!P255)</f>
      </c>
      <c r="Q265">
        <f>IF(CALC_EEM!$B255="","",CALC_EEM!Q255)</f>
      </c>
      <c r="R265">
        <f>IF(CALC_EEM!$B255="","",CALC_EEM!R255)</f>
      </c>
      <c r="S265">
        <f>IF(CALC_EEM!$B255="","",CALC_EEM!S255)</f>
      </c>
      <c r="T265">
        <f>IF(CALC_EEM!$B255="","",CALC_EEM!T255)</f>
      </c>
      <c r="U265">
        <f>IF(CALC_EEM!$B255="","",CALC_EEM!U255)</f>
      </c>
    </row>
    <row r="266" spans="1:24">
      <c r="A266" t="str">
        <f>IF(CALC_EEM!$B256="","",IF(CALC_EEM!A256="GLOBAL","GLOBAL",IF(CALC_EEM!C256="Total","CURSO_TOTAL",IF(CALC_EEM!C256="TotalEsp","CURSO_ESP",IF(CALC_EEM!C256="TotalNoEsp","CURSO_NOESP","CURSO_ASIG")))))</f>
      </c>
      <c r="B266" t="str">
        <f>IF(CALC_EEM!$B256="","",CALC_EEM!A256)</f>
      </c>
      <c r="C266" t="str">
        <f>IF(CALC_EEM!$B256="","",CALC_EEM!B256)</f>
      </c>
      <c r="D266">
        <f>IF(CALC_EEM!$B256="","",CALC_EEM!D256)</f>
      </c>
      <c r="E266" s="14" t="str">
        <f>IF(CALC_EEM!$B256="","",CALC_EEM!E256)</f>
      </c>
      <c r="F266" s="14" t="str">
        <f>IF(CALC_EEM!$B256="","",CALC_EEM!F256)</f>
      </c>
      <c r="G266" t="str">
        <f>IF(CALC_EEM!$B256="","",CALC_EEM!G256)</f>
      </c>
      <c r="H266" s="16" t="str">
        <f>IF(CALC_EEM!$B256="","",CALC_EEM!H256)</f>
      </c>
      <c r="I266" s="16" t="str">
        <f>IF(CALC_EEM!$B256="","",CALC_EEM!I256)</f>
      </c>
      <c r="J266" t="str">
        <f>IF(CALC_EEM!$B256="","",CALC_EEM!J256)</f>
      </c>
      <c r="K266" t="str">
        <f>IF(CALC_EEM!$B256="","",CALC_EEM!K256)</f>
      </c>
      <c r="L266">
        <f>IF(CALC_EEM!$B256="","",CALC_EEM!L256)</f>
      </c>
      <c r="M266">
        <f>IF(CALC_EEM!$B256="","",CALC_EEM!M256)</f>
      </c>
      <c r="N266">
        <f>IF(CALC_EEM!$B256="","",CALC_EEM!N256)</f>
      </c>
      <c r="O266">
        <f>IF(CALC_EEM!$B256="","",CALC_EEM!O256)</f>
      </c>
      <c r="P266">
        <f>IF(CALC_EEM!$B256="","",CALC_EEM!P256)</f>
      </c>
      <c r="Q266">
        <f>IF(CALC_EEM!$B256="","",CALC_EEM!Q256)</f>
      </c>
      <c r="R266">
        <f>IF(CALC_EEM!$B256="","",CALC_EEM!R256)</f>
      </c>
      <c r="S266">
        <f>IF(CALC_EEM!$B256="","",CALC_EEM!S256)</f>
      </c>
      <c r="T266">
        <f>IF(CALC_EEM!$B256="","",CALC_EEM!T256)</f>
      </c>
      <c r="U266">
        <f>IF(CALC_EEM!$B256="","",CALC_EEM!U256)</f>
      </c>
    </row>
    <row r="267" spans="1:24">
      <c r="A267" t="str">
        <f>IF(CALC_EEM!$B257="","",IF(CALC_EEM!A257="GLOBAL","GLOBAL",IF(CALC_EEM!C257="Total","CURSO_TOTAL",IF(CALC_EEM!C257="TotalEsp","CURSO_ESP",IF(CALC_EEM!C257="TotalNoEsp","CURSO_NOESP","CURSO_ASIG")))))</f>
      </c>
      <c r="B267" t="str">
        <f>IF(CALC_EEM!$B257="","",CALC_EEM!A257)</f>
      </c>
      <c r="C267" t="str">
        <f>IF(CALC_EEM!$B257="","",CALC_EEM!B257)</f>
      </c>
      <c r="D267">
        <f>IF(CALC_EEM!$B257="","",CALC_EEM!D257)</f>
      </c>
      <c r="E267" s="14" t="str">
        <f>IF(CALC_EEM!$B257="","",CALC_EEM!E257)</f>
      </c>
      <c r="F267" s="14" t="str">
        <f>IF(CALC_EEM!$B257="","",CALC_EEM!F257)</f>
      </c>
      <c r="G267" t="str">
        <f>IF(CALC_EEM!$B257="","",CALC_EEM!G257)</f>
      </c>
      <c r="H267" s="16" t="str">
        <f>IF(CALC_EEM!$B257="","",CALC_EEM!H257)</f>
      </c>
      <c r="I267" s="16" t="str">
        <f>IF(CALC_EEM!$B257="","",CALC_EEM!I257)</f>
      </c>
      <c r="J267" t="str">
        <f>IF(CALC_EEM!$B257="","",CALC_EEM!J257)</f>
      </c>
      <c r="K267" t="str">
        <f>IF(CALC_EEM!$B257="","",CALC_EEM!K257)</f>
      </c>
      <c r="L267">
        <f>IF(CALC_EEM!$B257="","",CALC_EEM!L257)</f>
      </c>
      <c r="M267">
        <f>IF(CALC_EEM!$B257="","",CALC_EEM!M257)</f>
      </c>
      <c r="N267">
        <f>IF(CALC_EEM!$B257="","",CALC_EEM!N257)</f>
      </c>
      <c r="O267">
        <f>IF(CALC_EEM!$B257="","",CALC_EEM!O257)</f>
      </c>
      <c r="P267">
        <f>IF(CALC_EEM!$B257="","",CALC_EEM!P257)</f>
      </c>
      <c r="Q267">
        <f>IF(CALC_EEM!$B257="","",CALC_EEM!Q257)</f>
      </c>
      <c r="R267">
        <f>IF(CALC_EEM!$B257="","",CALC_EEM!R257)</f>
      </c>
      <c r="S267">
        <f>IF(CALC_EEM!$B257="","",CALC_EEM!S257)</f>
      </c>
      <c r="T267">
        <f>IF(CALC_EEM!$B257="","",CALC_EEM!T257)</f>
      </c>
      <c r="U267">
        <f>IF(CALC_EEM!$B257="","",CALC_EEM!U257)</f>
      </c>
    </row>
    <row r="268" spans="1:24">
      <c r="A268" t="str">
        <f>IF(CALC_EEM!$B258="","",IF(CALC_EEM!A258="GLOBAL","GLOBAL",IF(CALC_EEM!C258="Total","CURSO_TOTAL",IF(CALC_EEM!C258="TotalEsp","CURSO_ESP",IF(CALC_EEM!C258="TotalNoEsp","CURSO_NOESP","CURSO_ASIG")))))</f>
      </c>
      <c r="B268" t="str">
        <f>IF(CALC_EEM!$B258="","",CALC_EEM!A258)</f>
      </c>
      <c r="C268" t="str">
        <f>IF(CALC_EEM!$B258="","",CALC_EEM!B258)</f>
      </c>
      <c r="D268">
        <f>IF(CALC_EEM!$B258="","",CALC_EEM!D258)</f>
      </c>
      <c r="E268" s="14" t="str">
        <f>IF(CALC_EEM!$B258="","",CALC_EEM!E258)</f>
      </c>
      <c r="F268" s="14" t="str">
        <f>IF(CALC_EEM!$B258="","",CALC_EEM!F258)</f>
      </c>
      <c r="G268" t="str">
        <f>IF(CALC_EEM!$B258="","",CALC_EEM!G258)</f>
      </c>
      <c r="H268" s="16" t="str">
        <f>IF(CALC_EEM!$B258="","",CALC_EEM!H258)</f>
      </c>
      <c r="I268" s="16" t="str">
        <f>IF(CALC_EEM!$B258="","",CALC_EEM!I258)</f>
      </c>
      <c r="J268" t="str">
        <f>IF(CALC_EEM!$B258="","",CALC_EEM!J258)</f>
      </c>
      <c r="K268" t="str">
        <f>IF(CALC_EEM!$B258="","",CALC_EEM!K258)</f>
      </c>
      <c r="L268">
        <f>IF(CALC_EEM!$B258="","",CALC_EEM!L258)</f>
      </c>
      <c r="M268">
        <f>IF(CALC_EEM!$B258="","",CALC_EEM!M258)</f>
      </c>
      <c r="N268">
        <f>IF(CALC_EEM!$B258="","",CALC_EEM!N258)</f>
      </c>
      <c r="O268">
        <f>IF(CALC_EEM!$B258="","",CALC_EEM!O258)</f>
      </c>
      <c r="P268">
        <f>IF(CALC_EEM!$B258="","",CALC_EEM!P258)</f>
      </c>
      <c r="Q268">
        <f>IF(CALC_EEM!$B258="","",CALC_EEM!Q258)</f>
      </c>
      <c r="R268">
        <f>IF(CALC_EEM!$B258="","",CALC_EEM!R258)</f>
      </c>
      <c r="S268">
        <f>IF(CALC_EEM!$B258="","",CALC_EEM!S258)</f>
      </c>
      <c r="T268">
        <f>IF(CALC_EEM!$B258="","",CALC_EEM!T258)</f>
      </c>
      <c r="U268">
        <f>IF(CALC_EEM!$B258="","",CALC_EEM!U258)</f>
      </c>
    </row>
    <row r="269" spans="1:24">
      <c r="A269" t="str">
        <f>IF(CALC_EEM!$B259="","",IF(CALC_EEM!A259="GLOBAL","GLOBAL",IF(CALC_EEM!C259="Total","CURSO_TOTAL",IF(CALC_EEM!C259="TotalEsp","CURSO_ESP",IF(CALC_EEM!C259="TotalNoEsp","CURSO_NOESP","CURSO_ASIG")))))</f>
      </c>
      <c r="B269" t="str">
        <f>IF(CALC_EEM!$B259="","",CALC_EEM!A259)</f>
      </c>
      <c r="C269" t="str">
        <f>IF(CALC_EEM!$B259="","",CALC_EEM!B259)</f>
      </c>
      <c r="D269">
        <f>IF(CALC_EEM!$B259="","",CALC_EEM!D259)</f>
      </c>
      <c r="E269" s="14" t="str">
        <f>IF(CALC_EEM!$B259="","",CALC_EEM!E259)</f>
      </c>
      <c r="F269" s="14" t="str">
        <f>IF(CALC_EEM!$B259="","",CALC_EEM!F259)</f>
      </c>
      <c r="G269" t="str">
        <f>IF(CALC_EEM!$B259="","",CALC_EEM!G259)</f>
      </c>
      <c r="H269" s="16" t="str">
        <f>IF(CALC_EEM!$B259="","",CALC_EEM!H259)</f>
      </c>
      <c r="I269" s="16" t="str">
        <f>IF(CALC_EEM!$B259="","",CALC_EEM!I259)</f>
      </c>
      <c r="J269" t="str">
        <f>IF(CALC_EEM!$B259="","",CALC_EEM!J259)</f>
      </c>
      <c r="K269" t="str">
        <f>IF(CALC_EEM!$B259="","",CALC_EEM!K259)</f>
      </c>
      <c r="L269">
        <f>IF(CALC_EEM!$B259="","",CALC_EEM!L259)</f>
      </c>
      <c r="M269">
        <f>IF(CALC_EEM!$B259="","",CALC_EEM!M259)</f>
      </c>
      <c r="N269">
        <f>IF(CALC_EEM!$B259="","",CALC_EEM!N259)</f>
      </c>
      <c r="O269">
        <f>IF(CALC_EEM!$B259="","",CALC_EEM!O259)</f>
      </c>
      <c r="P269">
        <f>IF(CALC_EEM!$B259="","",CALC_EEM!P259)</f>
      </c>
      <c r="Q269">
        <f>IF(CALC_EEM!$B259="","",CALC_EEM!Q259)</f>
      </c>
      <c r="R269">
        <f>IF(CALC_EEM!$B259="","",CALC_EEM!R259)</f>
      </c>
      <c r="S269">
        <f>IF(CALC_EEM!$B259="","",CALC_EEM!S259)</f>
      </c>
      <c r="T269">
        <f>IF(CALC_EEM!$B259="","",CALC_EEM!T259)</f>
      </c>
      <c r="U269">
        <f>IF(CALC_EEM!$B259="","",CALC_EEM!U259)</f>
      </c>
    </row>
    <row r="270" spans="1:24">
      <c r="A270" t="str">
        <f>IF(CALC_EEM!$B260="","",IF(CALC_EEM!A260="GLOBAL","GLOBAL",IF(CALC_EEM!C260="Total","CURSO_TOTAL",IF(CALC_EEM!C260="TotalEsp","CURSO_ESP",IF(CALC_EEM!C260="TotalNoEsp","CURSO_NOESP","CURSO_ASIG")))))</f>
      </c>
      <c r="B270" t="str">
        <f>IF(CALC_EEM!$B260="","",CALC_EEM!A260)</f>
      </c>
      <c r="C270" t="str">
        <f>IF(CALC_EEM!$B260="","",CALC_EEM!B260)</f>
      </c>
      <c r="D270">
        <f>IF(CALC_EEM!$B260="","",CALC_EEM!D260)</f>
      </c>
      <c r="E270" s="14" t="str">
        <f>IF(CALC_EEM!$B260="","",CALC_EEM!E260)</f>
      </c>
      <c r="F270" s="14" t="str">
        <f>IF(CALC_EEM!$B260="","",CALC_EEM!F260)</f>
      </c>
      <c r="G270" t="str">
        <f>IF(CALC_EEM!$B260="","",CALC_EEM!G260)</f>
      </c>
      <c r="H270" s="16" t="str">
        <f>IF(CALC_EEM!$B260="","",CALC_EEM!H260)</f>
      </c>
      <c r="I270" s="16" t="str">
        <f>IF(CALC_EEM!$B260="","",CALC_EEM!I260)</f>
      </c>
      <c r="J270" t="str">
        <f>IF(CALC_EEM!$B260="","",CALC_EEM!J260)</f>
      </c>
      <c r="K270" t="str">
        <f>IF(CALC_EEM!$B260="","",CALC_EEM!K260)</f>
      </c>
      <c r="L270">
        <f>IF(CALC_EEM!$B260="","",CALC_EEM!L260)</f>
      </c>
      <c r="M270">
        <f>IF(CALC_EEM!$B260="","",CALC_EEM!M260)</f>
      </c>
      <c r="N270">
        <f>IF(CALC_EEM!$B260="","",CALC_EEM!N260)</f>
      </c>
      <c r="O270">
        <f>IF(CALC_EEM!$B260="","",CALC_EEM!O260)</f>
      </c>
      <c r="P270">
        <f>IF(CALC_EEM!$B260="","",CALC_EEM!P260)</f>
      </c>
      <c r="Q270">
        <f>IF(CALC_EEM!$B260="","",CALC_EEM!Q260)</f>
      </c>
      <c r="R270">
        <f>IF(CALC_EEM!$B260="","",CALC_EEM!R260)</f>
      </c>
      <c r="S270">
        <f>IF(CALC_EEM!$B260="","",CALC_EEM!S260)</f>
      </c>
      <c r="T270">
        <f>IF(CALC_EEM!$B260="","",CALC_EEM!T260)</f>
      </c>
      <c r="U270">
        <f>IF(CALC_EEM!$B260="","",CALC_EEM!U260)</f>
      </c>
    </row>
    <row r="271" spans="1:24">
      <c r="A271" t="str">
        <f>IF(CALC_EEM!$B261="","",IF(CALC_EEM!A261="GLOBAL","GLOBAL",IF(CALC_EEM!C261="Total","CURSO_TOTAL",IF(CALC_EEM!C261="TotalEsp","CURSO_ESP",IF(CALC_EEM!C261="TotalNoEsp","CURSO_NOESP","CURSO_ASIG")))))</f>
      </c>
      <c r="B271" t="str">
        <f>IF(CALC_EEM!$B261="","",CALC_EEM!A261)</f>
      </c>
      <c r="C271" t="str">
        <f>IF(CALC_EEM!$B261="","",CALC_EEM!B261)</f>
      </c>
      <c r="D271">
        <f>IF(CALC_EEM!$B261="","",CALC_EEM!D261)</f>
      </c>
      <c r="E271" s="14" t="str">
        <f>IF(CALC_EEM!$B261="","",CALC_EEM!E261)</f>
      </c>
      <c r="F271" s="14" t="str">
        <f>IF(CALC_EEM!$B261="","",CALC_EEM!F261)</f>
      </c>
      <c r="G271" t="str">
        <f>IF(CALC_EEM!$B261="","",CALC_EEM!G261)</f>
      </c>
      <c r="H271" s="16" t="str">
        <f>IF(CALC_EEM!$B261="","",CALC_EEM!H261)</f>
      </c>
      <c r="I271" s="16" t="str">
        <f>IF(CALC_EEM!$B261="","",CALC_EEM!I261)</f>
      </c>
      <c r="J271" t="str">
        <f>IF(CALC_EEM!$B261="","",CALC_EEM!J261)</f>
      </c>
      <c r="K271" t="str">
        <f>IF(CALC_EEM!$B261="","",CALC_EEM!K261)</f>
      </c>
      <c r="L271">
        <f>IF(CALC_EEM!$B261="","",CALC_EEM!L261)</f>
      </c>
      <c r="M271">
        <f>IF(CALC_EEM!$B261="","",CALC_EEM!M261)</f>
      </c>
      <c r="N271">
        <f>IF(CALC_EEM!$B261="","",CALC_EEM!N261)</f>
      </c>
      <c r="O271">
        <f>IF(CALC_EEM!$B261="","",CALC_EEM!O261)</f>
      </c>
      <c r="P271">
        <f>IF(CALC_EEM!$B261="","",CALC_EEM!P261)</f>
      </c>
      <c r="Q271">
        <f>IF(CALC_EEM!$B261="","",CALC_EEM!Q261)</f>
      </c>
      <c r="R271">
        <f>IF(CALC_EEM!$B261="","",CALC_EEM!R261)</f>
      </c>
      <c r="S271">
        <f>IF(CALC_EEM!$B261="","",CALC_EEM!S261)</f>
      </c>
      <c r="T271">
        <f>IF(CALC_EEM!$B261="","",CALC_EEM!T261)</f>
      </c>
      <c r="U271">
        <f>IF(CALC_EEM!$B261="","",CALC_EEM!U261)</f>
      </c>
    </row>
    <row r="272" spans="1:24">
      <c r="A272" t="str">
        <f>IF(CALC_EEM!$B262="","",IF(CALC_EEM!A262="GLOBAL","GLOBAL",IF(CALC_EEM!C262="Total","CURSO_TOTAL",IF(CALC_EEM!C262="TotalEsp","CURSO_ESP",IF(CALC_EEM!C262="TotalNoEsp","CURSO_NOESP","CURSO_ASIG")))))</f>
      </c>
      <c r="B272" t="str">
        <f>IF(CALC_EEM!$B262="","",CALC_EEM!A262)</f>
      </c>
      <c r="C272" t="str">
        <f>IF(CALC_EEM!$B262="","",CALC_EEM!B262)</f>
      </c>
      <c r="D272">
        <f>IF(CALC_EEM!$B262="","",CALC_EEM!D262)</f>
      </c>
      <c r="E272" s="14" t="str">
        <f>IF(CALC_EEM!$B262="","",CALC_EEM!E262)</f>
      </c>
      <c r="F272" s="14" t="str">
        <f>IF(CALC_EEM!$B262="","",CALC_EEM!F262)</f>
      </c>
      <c r="G272" t="str">
        <f>IF(CALC_EEM!$B262="","",CALC_EEM!G262)</f>
      </c>
      <c r="H272" s="16" t="str">
        <f>IF(CALC_EEM!$B262="","",CALC_EEM!H262)</f>
      </c>
      <c r="I272" s="16" t="str">
        <f>IF(CALC_EEM!$B262="","",CALC_EEM!I262)</f>
      </c>
      <c r="J272" t="str">
        <f>IF(CALC_EEM!$B262="","",CALC_EEM!J262)</f>
      </c>
      <c r="K272" t="str">
        <f>IF(CALC_EEM!$B262="","",CALC_EEM!K262)</f>
      </c>
      <c r="L272">
        <f>IF(CALC_EEM!$B262="","",CALC_EEM!L262)</f>
      </c>
      <c r="M272">
        <f>IF(CALC_EEM!$B262="","",CALC_EEM!M262)</f>
      </c>
      <c r="N272">
        <f>IF(CALC_EEM!$B262="","",CALC_EEM!N262)</f>
      </c>
      <c r="O272">
        <f>IF(CALC_EEM!$B262="","",CALC_EEM!O262)</f>
      </c>
      <c r="P272">
        <f>IF(CALC_EEM!$B262="","",CALC_EEM!P262)</f>
      </c>
      <c r="Q272">
        <f>IF(CALC_EEM!$B262="","",CALC_EEM!Q262)</f>
      </c>
      <c r="R272">
        <f>IF(CALC_EEM!$B262="","",CALC_EEM!R262)</f>
      </c>
      <c r="S272">
        <f>IF(CALC_EEM!$B262="","",CALC_EEM!S262)</f>
      </c>
      <c r="T272">
        <f>IF(CALC_EEM!$B262="","",CALC_EEM!T262)</f>
      </c>
      <c r="U272">
        <f>IF(CALC_EEM!$B262="","",CALC_EEM!U262)</f>
      </c>
    </row>
    <row r="273" spans="1:24">
      <c r="A273" t="str">
        <f>IF(CALC_EEM!$B263="","",IF(CALC_EEM!A263="GLOBAL","GLOBAL",IF(CALC_EEM!C263="Total","CURSO_TOTAL",IF(CALC_EEM!C263="TotalEsp","CURSO_ESP",IF(CALC_EEM!C263="TotalNoEsp","CURSO_NOESP","CURSO_ASIG")))))</f>
      </c>
      <c r="B273" t="str">
        <f>IF(CALC_EEM!$B263="","",CALC_EEM!A263)</f>
      </c>
      <c r="C273" t="str">
        <f>IF(CALC_EEM!$B263="","",CALC_EEM!B263)</f>
      </c>
      <c r="D273">
        <f>IF(CALC_EEM!$B263="","",CALC_EEM!D263)</f>
      </c>
      <c r="E273" s="14" t="str">
        <f>IF(CALC_EEM!$B263="","",CALC_EEM!E263)</f>
      </c>
      <c r="F273" s="14" t="str">
        <f>IF(CALC_EEM!$B263="","",CALC_EEM!F263)</f>
      </c>
      <c r="G273" t="str">
        <f>IF(CALC_EEM!$B263="","",CALC_EEM!G263)</f>
      </c>
      <c r="H273" s="16" t="str">
        <f>IF(CALC_EEM!$B263="","",CALC_EEM!H263)</f>
      </c>
      <c r="I273" s="16" t="str">
        <f>IF(CALC_EEM!$B263="","",CALC_EEM!I263)</f>
      </c>
      <c r="J273" t="str">
        <f>IF(CALC_EEM!$B263="","",CALC_EEM!J263)</f>
      </c>
      <c r="K273" t="str">
        <f>IF(CALC_EEM!$B263="","",CALC_EEM!K263)</f>
      </c>
      <c r="L273">
        <f>IF(CALC_EEM!$B263="","",CALC_EEM!L263)</f>
      </c>
      <c r="M273">
        <f>IF(CALC_EEM!$B263="","",CALC_EEM!M263)</f>
      </c>
      <c r="N273">
        <f>IF(CALC_EEM!$B263="","",CALC_EEM!N263)</f>
      </c>
      <c r="O273">
        <f>IF(CALC_EEM!$B263="","",CALC_EEM!O263)</f>
      </c>
      <c r="P273">
        <f>IF(CALC_EEM!$B263="","",CALC_EEM!P263)</f>
      </c>
      <c r="Q273">
        <f>IF(CALC_EEM!$B263="","",CALC_EEM!Q263)</f>
      </c>
      <c r="R273">
        <f>IF(CALC_EEM!$B263="","",CALC_EEM!R263)</f>
      </c>
      <c r="S273">
        <f>IF(CALC_EEM!$B263="","",CALC_EEM!S263)</f>
      </c>
      <c r="T273">
        <f>IF(CALC_EEM!$B263="","",CALC_EEM!T263)</f>
      </c>
      <c r="U273">
        <f>IF(CALC_EEM!$B263="","",CALC_EEM!U263)</f>
      </c>
    </row>
    <row r="274" spans="1:24">
      <c r="A274" t="str">
        <f>IF(CALC_EEM!$B264="","",IF(CALC_EEM!A264="GLOBAL","GLOBAL",IF(CALC_EEM!C264="Total","CURSO_TOTAL",IF(CALC_EEM!C264="TotalEsp","CURSO_ESP",IF(CALC_EEM!C264="TotalNoEsp","CURSO_NOESP","CURSO_ASIG")))))</f>
      </c>
      <c r="B274" t="str">
        <f>IF(CALC_EEM!$B264="","",CALC_EEM!A264)</f>
      </c>
      <c r="C274" t="str">
        <f>IF(CALC_EEM!$B264="","",CALC_EEM!B264)</f>
      </c>
      <c r="D274">
        <f>IF(CALC_EEM!$B264="","",CALC_EEM!D264)</f>
      </c>
      <c r="E274" s="14" t="str">
        <f>IF(CALC_EEM!$B264="","",CALC_EEM!E264)</f>
      </c>
      <c r="F274" s="14" t="str">
        <f>IF(CALC_EEM!$B264="","",CALC_EEM!F264)</f>
      </c>
      <c r="G274" t="str">
        <f>IF(CALC_EEM!$B264="","",CALC_EEM!G264)</f>
      </c>
      <c r="H274" s="16" t="str">
        <f>IF(CALC_EEM!$B264="","",CALC_EEM!H264)</f>
      </c>
      <c r="I274" s="16" t="str">
        <f>IF(CALC_EEM!$B264="","",CALC_EEM!I264)</f>
      </c>
      <c r="J274" t="str">
        <f>IF(CALC_EEM!$B264="","",CALC_EEM!J264)</f>
      </c>
      <c r="K274" t="str">
        <f>IF(CALC_EEM!$B264="","",CALC_EEM!K264)</f>
      </c>
      <c r="L274">
        <f>IF(CALC_EEM!$B264="","",CALC_EEM!L264)</f>
      </c>
      <c r="M274">
        <f>IF(CALC_EEM!$B264="","",CALC_EEM!M264)</f>
      </c>
      <c r="N274">
        <f>IF(CALC_EEM!$B264="","",CALC_EEM!N264)</f>
      </c>
      <c r="O274">
        <f>IF(CALC_EEM!$B264="","",CALC_EEM!O264)</f>
      </c>
      <c r="P274">
        <f>IF(CALC_EEM!$B264="","",CALC_EEM!P264)</f>
      </c>
      <c r="Q274">
        <f>IF(CALC_EEM!$B264="","",CALC_EEM!Q264)</f>
      </c>
      <c r="R274">
        <f>IF(CALC_EEM!$B264="","",CALC_EEM!R264)</f>
      </c>
      <c r="S274">
        <f>IF(CALC_EEM!$B264="","",CALC_EEM!S264)</f>
      </c>
      <c r="T274">
        <f>IF(CALC_EEM!$B264="","",CALC_EEM!T264)</f>
      </c>
      <c r="U274">
        <f>IF(CALC_EEM!$B264="","",CALC_EEM!U264)</f>
      </c>
    </row>
    <row r="275" spans="1:24">
      <c r="A275" t="str">
        <f>IF(CALC_EEM!$B265="","",IF(CALC_EEM!A265="GLOBAL","GLOBAL",IF(CALC_EEM!C265="Total","CURSO_TOTAL",IF(CALC_EEM!C265="TotalEsp","CURSO_ESP",IF(CALC_EEM!C265="TotalNoEsp","CURSO_NOESP","CURSO_ASIG")))))</f>
      </c>
      <c r="B275" t="str">
        <f>IF(CALC_EEM!$B265="","",CALC_EEM!A265)</f>
      </c>
      <c r="C275" t="str">
        <f>IF(CALC_EEM!$B265="","",CALC_EEM!B265)</f>
      </c>
      <c r="D275">
        <f>IF(CALC_EEM!$B265="","",CALC_EEM!D265)</f>
      </c>
      <c r="E275" s="14" t="str">
        <f>IF(CALC_EEM!$B265="","",CALC_EEM!E265)</f>
      </c>
      <c r="F275" s="14" t="str">
        <f>IF(CALC_EEM!$B265="","",CALC_EEM!F265)</f>
      </c>
      <c r="G275" t="str">
        <f>IF(CALC_EEM!$B265="","",CALC_EEM!G265)</f>
      </c>
      <c r="H275" s="16" t="str">
        <f>IF(CALC_EEM!$B265="","",CALC_EEM!H265)</f>
      </c>
      <c r="I275" s="16" t="str">
        <f>IF(CALC_EEM!$B265="","",CALC_EEM!I265)</f>
      </c>
      <c r="J275" t="str">
        <f>IF(CALC_EEM!$B265="","",CALC_EEM!J265)</f>
      </c>
      <c r="K275" t="str">
        <f>IF(CALC_EEM!$B265="","",CALC_EEM!K265)</f>
      </c>
      <c r="L275">
        <f>IF(CALC_EEM!$B265="","",CALC_EEM!L265)</f>
      </c>
      <c r="M275">
        <f>IF(CALC_EEM!$B265="","",CALC_EEM!M265)</f>
      </c>
      <c r="N275">
        <f>IF(CALC_EEM!$B265="","",CALC_EEM!N265)</f>
      </c>
      <c r="O275">
        <f>IF(CALC_EEM!$B265="","",CALC_EEM!O265)</f>
      </c>
      <c r="P275">
        <f>IF(CALC_EEM!$B265="","",CALC_EEM!P265)</f>
      </c>
      <c r="Q275">
        <f>IF(CALC_EEM!$B265="","",CALC_EEM!Q265)</f>
      </c>
      <c r="R275">
        <f>IF(CALC_EEM!$B265="","",CALC_EEM!R265)</f>
      </c>
      <c r="S275">
        <f>IF(CALC_EEM!$B265="","",CALC_EEM!S265)</f>
      </c>
      <c r="T275">
        <f>IF(CALC_EEM!$B265="","",CALC_EEM!T265)</f>
      </c>
      <c r="U275">
        <f>IF(CALC_EEM!$B265="","",CALC_EEM!U265)</f>
      </c>
    </row>
    <row r="276" spans="1:24">
      <c r="A276" t="str">
        <f>IF(CALC_EEM!$B266="","",IF(CALC_EEM!A266="GLOBAL","GLOBAL",IF(CALC_EEM!C266="Total","CURSO_TOTAL",IF(CALC_EEM!C266="TotalEsp","CURSO_ESP",IF(CALC_EEM!C266="TotalNoEsp","CURSO_NOESP","CURSO_ASIG")))))</f>
      </c>
      <c r="B276" t="str">
        <f>IF(CALC_EEM!$B266="","",CALC_EEM!A266)</f>
      </c>
      <c r="C276" t="str">
        <f>IF(CALC_EEM!$B266="","",CALC_EEM!B266)</f>
      </c>
      <c r="D276">
        <f>IF(CALC_EEM!$B266="","",CALC_EEM!D266)</f>
      </c>
      <c r="E276" s="14" t="str">
        <f>IF(CALC_EEM!$B266="","",CALC_EEM!E266)</f>
      </c>
      <c r="F276" s="14" t="str">
        <f>IF(CALC_EEM!$B266="","",CALC_EEM!F266)</f>
      </c>
      <c r="G276" t="str">
        <f>IF(CALC_EEM!$B266="","",CALC_EEM!G266)</f>
      </c>
      <c r="H276" s="16" t="str">
        <f>IF(CALC_EEM!$B266="","",CALC_EEM!H266)</f>
      </c>
      <c r="I276" s="16" t="str">
        <f>IF(CALC_EEM!$B266="","",CALC_EEM!I266)</f>
      </c>
      <c r="J276" t="str">
        <f>IF(CALC_EEM!$B266="","",CALC_EEM!J266)</f>
      </c>
      <c r="K276" t="str">
        <f>IF(CALC_EEM!$B266="","",CALC_EEM!K266)</f>
      </c>
      <c r="L276">
        <f>IF(CALC_EEM!$B266="","",CALC_EEM!L266)</f>
      </c>
      <c r="M276">
        <f>IF(CALC_EEM!$B266="","",CALC_EEM!M266)</f>
      </c>
      <c r="N276">
        <f>IF(CALC_EEM!$B266="","",CALC_EEM!N266)</f>
      </c>
      <c r="O276">
        <f>IF(CALC_EEM!$B266="","",CALC_EEM!O266)</f>
      </c>
      <c r="P276">
        <f>IF(CALC_EEM!$B266="","",CALC_EEM!P266)</f>
      </c>
      <c r="Q276">
        <f>IF(CALC_EEM!$B266="","",CALC_EEM!Q266)</f>
      </c>
      <c r="R276">
        <f>IF(CALC_EEM!$B266="","",CALC_EEM!R266)</f>
      </c>
      <c r="S276">
        <f>IF(CALC_EEM!$B266="","",CALC_EEM!S266)</f>
      </c>
      <c r="T276">
        <f>IF(CALC_EEM!$B266="","",CALC_EEM!T266)</f>
      </c>
      <c r="U276">
        <f>IF(CALC_EEM!$B266="","",CALC_EEM!U266)</f>
      </c>
    </row>
    <row r="277" spans="1:24">
      <c r="A277" t="str">
        <f>IF(CALC_EEM!$B267="","",IF(CALC_EEM!A267="GLOBAL","GLOBAL",IF(CALC_EEM!C267="Total","CURSO_TOTAL",IF(CALC_EEM!C267="TotalEsp","CURSO_ESP",IF(CALC_EEM!C267="TotalNoEsp","CURSO_NOESP","CURSO_ASIG")))))</f>
      </c>
      <c r="B277" t="str">
        <f>IF(CALC_EEM!$B267="","",CALC_EEM!A267)</f>
      </c>
      <c r="C277" t="str">
        <f>IF(CALC_EEM!$B267="","",CALC_EEM!B267)</f>
      </c>
      <c r="D277">
        <f>IF(CALC_EEM!$B267="","",CALC_EEM!D267)</f>
      </c>
      <c r="E277" s="14" t="str">
        <f>IF(CALC_EEM!$B267="","",CALC_EEM!E267)</f>
      </c>
      <c r="F277" s="14" t="str">
        <f>IF(CALC_EEM!$B267="","",CALC_EEM!F267)</f>
      </c>
      <c r="G277" t="str">
        <f>IF(CALC_EEM!$B267="","",CALC_EEM!G267)</f>
      </c>
      <c r="H277" s="16" t="str">
        <f>IF(CALC_EEM!$B267="","",CALC_EEM!H267)</f>
      </c>
      <c r="I277" s="16" t="str">
        <f>IF(CALC_EEM!$B267="","",CALC_EEM!I267)</f>
      </c>
      <c r="J277" t="str">
        <f>IF(CALC_EEM!$B267="","",CALC_EEM!J267)</f>
      </c>
      <c r="K277" t="str">
        <f>IF(CALC_EEM!$B267="","",CALC_EEM!K267)</f>
      </c>
      <c r="L277">
        <f>IF(CALC_EEM!$B267="","",CALC_EEM!L267)</f>
      </c>
      <c r="M277">
        <f>IF(CALC_EEM!$B267="","",CALC_EEM!M267)</f>
      </c>
      <c r="N277">
        <f>IF(CALC_EEM!$B267="","",CALC_EEM!N267)</f>
      </c>
      <c r="O277">
        <f>IF(CALC_EEM!$B267="","",CALC_EEM!O267)</f>
      </c>
      <c r="P277">
        <f>IF(CALC_EEM!$B267="","",CALC_EEM!P267)</f>
      </c>
      <c r="Q277">
        <f>IF(CALC_EEM!$B267="","",CALC_EEM!Q267)</f>
      </c>
      <c r="R277">
        <f>IF(CALC_EEM!$B267="","",CALC_EEM!R267)</f>
      </c>
      <c r="S277">
        <f>IF(CALC_EEM!$B267="","",CALC_EEM!S267)</f>
      </c>
      <c r="T277">
        <f>IF(CALC_EEM!$B267="","",CALC_EEM!T267)</f>
      </c>
      <c r="U277">
        <f>IF(CALC_EEM!$B267="","",CALC_EEM!U267)</f>
      </c>
    </row>
    <row r="278" spans="1:24">
      <c r="A278" t="str">
        <f>IF(CALC_EEM!$B268="","",IF(CALC_EEM!A268="GLOBAL","GLOBAL",IF(CALC_EEM!C268="Total","CURSO_TOTAL",IF(CALC_EEM!C268="TotalEsp","CURSO_ESP",IF(CALC_EEM!C268="TotalNoEsp","CURSO_NOESP","CURSO_ASIG")))))</f>
      </c>
      <c r="B278" t="str">
        <f>IF(CALC_EEM!$B268="","",CALC_EEM!A268)</f>
      </c>
      <c r="C278" t="str">
        <f>IF(CALC_EEM!$B268="","",CALC_EEM!B268)</f>
      </c>
      <c r="D278">
        <f>IF(CALC_EEM!$B268="","",CALC_EEM!D268)</f>
      </c>
      <c r="E278" s="14" t="str">
        <f>IF(CALC_EEM!$B268="","",CALC_EEM!E268)</f>
      </c>
      <c r="F278" s="14" t="str">
        <f>IF(CALC_EEM!$B268="","",CALC_EEM!F268)</f>
      </c>
      <c r="G278" t="str">
        <f>IF(CALC_EEM!$B268="","",CALC_EEM!G268)</f>
      </c>
      <c r="H278" s="16" t="str">
        <f>IF(CALC_EEM!$B268="","",CALC_EEM!H268)</f>
      </c>
      <c r="I278" s="16" t="str">
        <f>IF(CALC_EEM!$B268="","",CALC_EEM!I268)</f>
      </c>
      <c r="J278" t="str">
        <f>IF(CALC_EEM!$B268="","",CALC_EEM!J268)</f>
      </c>
      <c r="K278" t="str">
        <f>IF(CALC_EEM!$B268="","",CALC_EEM!K268)</f>
      </c>
      <c r="L278">
        <f>IF(CALC_EEM!$B268="","",CALC_EEM!L268)</f>
      </c>
      <c r="M278">
        <f>IF(CALC_EEM!$B268="","",CALC_EEM!M268)</f>
      </c>
      <c r="N278">
        <f>IF(CALC_EEM!$B268="","",CALC_EEM!N268)</f>
      </c>
      <c r="O278">
        <f>IF(CALC_EEM!$B268="","",CALC_EEM!O268)</f>
      </c>
      <c r="P278">
        <f>IF(CALC_EEM!$B268="","",CALC_EEM!P268)</f>
      </c>
      <c r="Q278">
        <f>IF(CALC_EEM!$B268="","",CALC_EEM!Q268)</f>
      </c>
      <c r="R278">
        <f>IF(CALC_EEM!$B268="","",CALC_EEM!R268)</f>
      </c>
      <c r="S278">
        <f>IF(CALC_EEM!$B268="","",CALC_EEM!S268)</f>
      </c>
      <c r="T278">
        <f>IF(CALC_EEM!$B268="","",CALC_EEM!T268)</f>
      </c>
      <c r="U278">
        <f>IF(CALC_EEM!$B268="","",CALC_EEM!U268)</f>
      </c>
    </row>
    <row r="279" spans="1:24">
      <c r="A279" t="str">
        <f>IF(CALC_EEM!$B269="","",IF(CALC_EEM!A269="GLOBAL","GLOBAL",IF(CALC_EEM!C269="Total","CURSO_TOTAL",IF(CALC_EEM!C269="TotalEsp","CURSO_ESP",IF(CALC_EEM!C269="TotalNoEsp","CURSO_NOESP","CURSO_ASIG")))))</f>
      </c>
      <c r="B279" t="str">
        <f>IF(CALC_EEM!$B269="","",CALC_EEM!A269)</f>
      </c>
      <c r="C279" t="str">
        <f>IF(CALC_EEM!$B269="","",CALC_EEM!B269)</f>
      </c>
      <c r="D279">
        <f>IF(CALC_EEM!$B269="","",CALC_EEM!D269)</f>
      </c>
      <c r="E279" s="14" t="str">
        <f>IF(CALC_EEM!$B269="","",CALC_EEM!E269)</f>
      </c>
      <c r="F279" s="14" t="str">
        <f>IF(CALC_EEM!$B269="","",CALC_EEM!F269)</f>
      </c>
      <c r="G279" t="str">
        <f>IF(CALC_EEM!$B269="","",CALC_EEM!G269)</f>
      </c>
      <c r="H279" s="16" t="str">
        <f>IF(CALC_EEM!$B269="","",CALC_EEM!H269)</f>
      </c>
      <c r="I279" s="16" t="str">
        <f>IF(CALC_EEM!$B269="","",CALC_EEM!I269)</f>
      </c>
      <c r="J279" t="str">
        <f>IF(CALC_EEM!$B269="","",CALC_EEM!J269)</f>
      </c>
      <c r="K279" t="str">
        <f>IF(CALC_EEM!$B269="","",CALC_EEM!K269)</f>
      </c>
      <c r="L279">
        <f>IF(CALC_EEM!$B269="","",CALC_EEM!L269)</f>
      </c>
      <c r="M279">
        <f>IF(CALC_EEM!$B269="","",CALC_EEM!M269)</f>
      </c>
      <c r="N279">
        <f>IF(CALC_EEM!$B269="","",CALC_EEM!N269)</f>
      </c>
      <c r="O279">
        <f>IF(CALC_EEM!$B269="","",CALC_EEM!O269)</f>
      </c>
      <c r="P279">
        <f>IF(CALC_EEM!$B269="","",CALC_EEM!P269)</f>
      </c>
      <c r="Q279">
        <f>IF(CALC_EEM!$B269="","",CALC_EEM!Q269)</f>
      </c>
      <c r="R279">
        <f>IF(CALC_EEM!$B269="","",CALC_EEM!R269)</f>
      </c>
      <c r="S279">
        <f>IF(CALC_EEM!$B269="","",CALC_EEM!S269)</f>
      </c>
      <c r="T279">
        <f>IF(CALC_EEM!$B269="","",CALC_EEM!T269)</f>
      </c>
      <c r="U279">
        <f>IF(CALC_EEM!$B269="","",CALC_EEM!U269)</f>
      </c>
    </row>
    <row r="280" spans="1:24">
      <c r="A280" t="str">
        <f>IF(CALC_EEM!$B270="","",IF(CALC_EEM!A270="GLOBAL","GLOBAL",IF(CALC_EEM!C270="Total","CURSO_TOTAL",IF(CALC_EEM!C270="TotalEsp","CURSO_ESP",IF(CALC_EEM!C270="TotalNoEsp","CURSO_NOESP","CURSO_ASIG")))))</f>
      </c>
      <c r="B280" t="str">
        <f>IF(CALC_EEM!$B270="","",CALC_EEM!A270)</f>
      </c>
      <c r="C280" t="str">
        <f>IF(CALC_EEM!$B270="","",CALC_EEM!B270)</f>
      </c>
      <c r="D280">
        <f>IF(CALC_EEM!$B270="","",CALC_EEM!D270)</f>
      </c>
      <c r="E280" s="14" t="str">
        <f>IF(CALC_EEM!$B270="","",CALC_EEM!E270)</f>
      </c>
      <c r="F280" s="14" t="str">
        <f>IF(CALC_EEM!$B270="","",CALC_EEM!F270)</f>
      </c>
      <c r="G280" t="str">
        <f>IF(CALC_EEM!$B270="","",CALC_EEM!G270)</f>
      </c>
      <c r="H280" s="16" t="str">
        <f>IF(CALC_EEM!$B270="","",CALC_EEM!H270)</f>
      </c>
      <c r="I280" s="16" t="str">
        <f>IF(CALC_EEM!$B270="","",CALC_EEM!I270)</f>
      </c>
      <c r="J280" t="str">
        <f>IF(CALC_EEM!$B270="","",CALC_EEM!J270)</f>
      </c>
      <c r="K280" t="str">
        <f>IF(CALC_EEM!$B270="","",CALC_EEM!K270)</f>
      </c>
      <c r="L280">
        <f>IF(CALC_EEM!$B270="","",CALC_EEM!L270)</f>
      </c>
      <c r="M280">
        <f>IF(CALC_EEM!$B270="","",CALC_EEM!M270)</f>
      </c>
      <c r="N280">
        <f>IF(CALC_EEM!$B270="","",CALC_EEM!N270)</f>
      </c>
      <c r="O280">
        <f>IF(CALC_EEM!$B270="","",CALC_EEM!O270)</f>
      </c>
      <c r="P280">
        <f>IF(CALC_EEM!$B270="","",CALC_EEM!P270)</f>
      </c>
      <c r="Q280">
        <f>IF(CALC_EEM!$B270="","",CALC_EEM!Q270)</f>
      </c>
      <c r="R280">
        <f>IF(CALC_EEM!$B270="","",CALC_EEM!R270)</f>
      </c>
      <c r="S280">
        <f>IF(CALC_EEM!$B270="","",CALC_EEM!S270)</f>
      </c>
      <c r="T280">
        <f>IF(CALC_EEM!$B270="","",CALC_EEM!T270)</f>
      </c>
      <c r="U280">
        <f>IF(CALC_EEM!$B270="","",CALC_EEM!U270)</f>
      </c>
    </row>
    <row r="281" spans="1:24">
      <c r="A281" t="str">
        <f>IF(CALC_EEM!$B271="","",IF(CALC_EEM!A271="GLOBAL","GLOBAL",IF(CALC_EEM!C271="Total","CURSO_TOTAL",IF(CALC_EEM!C271="TotalEsp","CURSO_ESP",IF(CALC_EEM!C271="TotalNoEsp","CURSO_NOESP","CURSO_ASIG")))))</f>
      </c>
      <c r="B281" t="str">
        <f>IF(CALC_EEM!$B271="","",CALC_EEM!A271)</f>
      </c>
      <c r="C281" t="str">
        <f>IF(CALC_EEM!$B271="","",CALC_EEM!B271)</f>
      </c>
      <c r="D281">
        <f>IF(CALC_EEM!$B271="","",CALC_EEM!D271)</f>
      </c>
      <c r="E281" s="14" t="str">
        <f>IF(CALC_EEM!$B271="","",CALC_EEM!E271)</f>
      </c>
      <c r="F281" s="14" t="str">
        <f>IF(CALC_EEM!$B271="","",CALC_EEM!F271)</f>
      </c>
      <c r="G281" t="str">
        <f>IF(CALC_EEM!$B271="","",CALC_EEM!G271)</f>
      </c>
      <c r="H281" s="16" t="str">
        <f>IF(CALC_EEM!$B271="","",CALC_EEM!H271)</f>
      </c>
      <c r="I281" s="16" t="str">
        <f>IF(CALC_EEM!$B271="","",CALC_EEM!I271)</f>
      </c>
      <c r="J281" t="str">
        <f>IF(CALC_EEM!$B271="","",CALC_EEM!J271)</f>
      </c>
      <c r="K281" t="str">
        <f>IF(CALC_EEM!$B271="","",CALC_EEM!K271)</f>
      </c>
      <c r="L281">
        <f>IF(CALC_EEM!$B271="","",CALC_EEM!L271)</f>
      </c>
      <c r="M281">
        <f>IF(CALC_EEM!$B271="","",CALC_EEM!M271)</f>
      </c>
      <c r="N281">
        <f>IF(CALC_EEM!$B271="","",CALC_EEM!N271)</f>
      </c>
      <c r="O281">
        <f>IF(CALC_EEM!$B271="","",CALC_EEM!O271)</f>
      </c>
      <c r="P281">
        <f>IF(CALC_EEM!$B271="","",CALC_EEM!P271)</f>
      </c>
      <c r="Q281">
        <f>IF(CALC_EEM!$B271="","",CALC_EEM!Q271)</f>
      </c>
      <c r="R281">
        <f>IF(CALC_EEM!$B271="","",CALC_EEM!R271)</f>
      </c>
      <c r="S281">
        <f>IF(CALC_EEM!$B271="","",CALC_EEM!S271)</f>
      </c>
      <c r="T281">
        <f>IF(CALC_EEM!$B271="","",CALC_EEM!T271)</f>
      </c>
      <c r="U281">
        <f>IF(CALC_EEM!$B271="","",CALC_EEM!U271)</f>
      </c>
    </row>
    <row r="282" spans="1:24">
      <c r="A282" t="str">
        <f>IF(CALC_EEM!$B272="","",IF(CALC_EEM!A272="GLOBAL","GLOBAL",IF(CALC_EEM!C272="Total","CURSO_TOTAL",IF(CALC_EEM!C272="TotalEsp","CURSO_ESP",IF(CALC_EEM!C272="TotalNoEsp","CURSO_NOESP","CURSO_ASIG")))))</f>
      </c>
      <c r="B282" t="str">
        <f>IF(CALC_EEM!$B272="","",CALC_EEM!A272)</f>
      </c>
      <c r="C282" t="str">
        <f>IF(CALC_EEM!$B272="","",CALC_EEM!B272)</f>
      </c>
      <c r="D282">
        <f>IF(CALC_EEM!$B272="","",CALC_EEM!D272)</f>
      </c>
      <c r="E282" s="14" t="str">
        <f>IF(CALC_EEM!$B272="","",CALC_EEM!E272)</f>
      </c>
      <c r="F282" s="14" t="str">
        <f>IF(CALC_EEM!$B272="","",CALC_EEM!F272)</f>
      </c>
      <c r="G282" t="str">
        <f>IF(CALC_EEM!$B272="","",CALC_EEM!G272)</f>
      </c>
      <c r="H282" s="16" t="str">
        <f>IF(CALC_EEM!$B272="","",CALC_EEM!H272)</f>
      </c>
      <c r="I282" s="16" t="str">
        <f>IF(CALC_EEM!$B272="","",CALC_EEM!I272)</f>
      </c>
      <c r="J282" t="str">
        <f>IF(CALC_EEM!$B272="","",CALC_EEM!J272)</f>
      </c>
      <c r="K282" t="str">
        <f>IF(CALC_EEM!$B272="","",CALC_EEM!K272)</f>
      </c>
      <c r="L282">
        <f>IF(CALC_EEM!$B272="","",CALC_EEM!L272)</f>
      </c>
      <c r="M282">
        <f>IF(CALC_EEM!$B272="","",CALC_EEM!M272)</f>
      </c>
      <c r="N282">
        <f>IF(CALC_EEM!$B272="","",CALC_EEM!N272)</f>
      </c>
      <c r="O282">
        <f>IF(CALC_EEM!$B272="","",CALC_EEM!O272)</f>
      </c>
      <c r="P282">
        <f>IF(CALC_EEM!$B272="","",CALC_EEM!P272)</f>
      </c>
      <c r="Q282">
        <f>IF(CALC_EEM!$B272="","",CALC_EEM!Q272)</f>
      </c>
      <c r="R282">
        <f>IF(CALC_EEM!$B272="","",CALC_EEM!R272)</f>
      </c>
      <c r="S282">
        <f>IF(CALC_EEM!$B272="","",CALC_EEM!S272)</f>
      </c>
      <c r="T282">
        <f>IF(CALC_EEM!$B272="","",CALC_EEM!T272)</f>
      </c>
      <c r="U282">
        <f>IF(CALC_EEM!$B272="","",CALC_EEM!U272)</f>
      </c>
    </row>
    <row r="283" spans="1:24">
      <c r="A283" t="str">
        <f>IF(CALC_EEM!$B273="","",IF(CALC_EEM!A273="GLOBAL","GLOBAL",IF(CALC_EEM!C273="Total","CURSO_TOTAL",IF(CALC_EEM!C273="TotalEsp","CURSO_ESP",IF(CALC_EEM!C273="TotalNoEsp","CURSO_NOESP","CURSO_ASIG")))))</f>
      </c>
      <c r="B283" t="str">
        <f>IF(CALC_EEM!$B273="","",CALC_EEM!A273)</f>
      </c>
      <c r="C283" t="str">
        <f>IF(CALC_EEM!$B273="","",CALC_EEM!B273)</f>
      </c>
      <c r="D283">
        <f>IF(CALC_EEM!$B273="","",CALC_EEM!D273)</f>
      </c>
      <c r="E283" s="14" t="str">
        <f>IF(CALC_EEM!$B273="","",CALC_EEM!E273)</f>
      </c>
      <c r="F283" s="14" t="str">
        <f>IF(CALC_EEM!$B273="","",CALC_EEM!F273)</f>
      </c>
      <c r="G283" t="str">
        <f>IF(CALC_EEM!$B273="","",CALC_EEM!G273)</f>
      </c>
      <c r="H283" s="16" t="str">
        <f>IF(CALC_EEM!$B273="","",CALC_EEM!H273)</f>
      </c>
      <c r="I283" s="16" t="str">
        <f>IF(CALC_EEM!$B273="","",CALC_EEM!I273)</f>
      </c>
      <c r="J283" t="str">
        <f>IF(CALC_EEM!$B273="","",CALC_EEM!J273)</f>
      </c>
      <c r="K283" t="str">
        <f>IF(CALC_EEM!$B273="","",CALC_EEM!K273)</f>
      </c>
      <c r="L283">
        <f>IF(CALC_EEM!$B273="","",CALC_EEM!L273)</f>
      </c>
      <c r="M283">
        <f>IF(CALC_EEM!$B273="","",CALC_EEM!M273)</f>
      </c>
      <c r="N283">
        <f>IF(CALC_EEM!$B273="","",CALC_EEM!N273)</f>
      </c>
      <c r="O283">
        <f>IF(CALC_EEM!$B273="","",CALC_EEM!O273)</f>
      </c>
      <c r="P283">
        <f>IF(CALC_EEM!$B273="","",CALC_EEM!P273)</f>
      </c>
      <c r="Q283">
        <f>IF(CALC_EEM!$B273="","",CALC_EEM!Q273)</f>
      </c>
      <c r="R283">
        <f>IF(CALC_EEM!$B273="","",CALC_EEM!R273)</f>
      </c>
      <c r="S283">
        <f>IF(CALC_EEM!$B273="","",CALC_EEM!S273)</f>
      </c>
      <c r="T283">
        <f>IF(CALC_EEM!$B273="","",CALC_EEM!T273)</f>
      </c>
      <c r="U283">
        <f>IF(CALC_EEM!$B273="","",CALC_EEM!U273)</f>
      </c>
    </row>
    <row r="284" spans="1:24">
      <c r="A284" t="str">
        <f>IF(CALC_EEM!$B274="","",IF(CALC_EEM!A274="GLOBAL","GLOBAL",IF(CALC_EEM!C274="Total","CURSO_TOTAL",IF(CALC_EEM!C274="TotalEsp","CURSO_ESP",IF(CALC_EEM!C274="TotalNoEsp","CURSO_NOESP","CURSO_ASIG")))))</f>
      </c>
      <c r="B284" t="str">
        <f>IF(CALC_EEM!$B274="","",CALC_EEM!A274)</f>
      </c>
      <c r="C284" t="str">
        <f>IF(CALC_EEM!$B274="","",CALC_EEM!B274)</f>
      </c>
      <c r="D284">
        <f>IF(CALC_EEM!$B274="","",CALC_EEM!D274)</f>
      </c>
      <c r="E284" s="14" t="str">
        <f>IF(CALC_EEM!$B274="","",CALC_EEM!E274)</f>
      </c>
      <c r="F284" s="14" t="str">
        <f>IF(CALC_EEM!$B274="","",CALC_EEM!F274)</f>
      </c>
      <c r="G284" t="str">
        <f>IF(CALC_EEM!$B274="","",CALC_EEM!G274)</f>
      </c>
      <c r="H284" s="16" t="str">
        <f>IF(CALC_EEM!$B274="","",CALC_EEM!H274)</f>
      </c>
      <c r="I284" s="16" t="str">
        <f>IF(CALC_EEM!$B274="","",CALC_EEM!I274)</f>
      </c>
      <c r="J284" t="str">
        <f>IF(CALC_EEM!$B274="","",CALC_EEM!J274)</f>
      </c>
      <c r="K284" t="str">
        <f>IF(CALC_EEM!$B274="","",CALC_EEM!K274)</f>
      </c>
      <c r="L284">
        <f>IF(CALC_EEM!$B274="","",CALC_EEM!L274)</f>
      </c>
      <c r="M284">
        <f>IF(CALC_EEM!$B274="","",CALC_EEM!M274)</f>
      </c>
      <c r="N284">
        <f>IF(CALC_EEM!$B274="","",CALC_EEM!N274)</f>
      </c>
      <c r="O284">
        <f>IF(CALC_EEM!$B274="","",CALC_EEM!O274)</f>
      </c>
      <c r="P284">
        <f>IF(CALC_EEM!$B274="","",CALC_EEM!P274)</f>
      </c>
      <c r="Q284">
        <f>IF(CALC_EEM!$B274="","",CALC_EEM!Q274)</f>
      </c>
      <c r="R284">
        <f>IF(CALC_EEM!$B274="","",CALC_EEM!R274)</f>
      </c>
      <c r="S284">
        <f>IF(CALC_EEM!$B274="","",CALC_EEM!S274)</f>
      </c>
      <c r="T284">
        <f>IF(CALC_EEM!$B274="","",CALC_EEM!T274)</f>
      </c>
      <c r="U284">
        <f>IF(CALC_EEM!$B274="","",CALC_EEM!U274)</f>
      </c>
    </row>
    <row r="285" spans="1:24">
      <c r="A285" t="str">
        <f>IF(CALC_EEM!$B275="","",IF(CALC_EEM!A275="GLOBAL","GLOBAL",IF(CALC_EEM!C275="Total","CURSO_TOTAL",IF(CALC_EEM!C275="TotalEsp","CURSO_ESP",IF(CALC_EEM!C275="TotalNoEsp","CURSO_NOESP","CURSO_ASIG")))))</f>
      </c>
      <c r="B285" t="str">
        <f>IF(CALC_EEM!$B275="","",CALC_EEM!A275)</f>
      </c>
      <c r="C285" t="str">
        <f>IF(CALC_EEM!$B275="","",CALC_EEM!B275)</f>
      </c>
      <c r="D285">
        <f>IF(CALC_EEM!$B275="","",CALC_EEM!D275)</f>
      </c>
      <c r="E285" s="14" t="str">
        <f>IF(CALC_EEM!$B275="","",CALC_EEM!E275)</f>
      </c>
      <c r="F285" s="14" t="str">
        <f>IF(CALC_EEM!$B275="","",CALC_EEM!F275)</f>
      </c>
      <c r="G285" t="str">
        <f>IF(CALC_EEM!$B275="","",CALC_EEM!G275)</f>
      </c>
      <c r="H285" s="16" t="str">
        <f>IF(CALC_EEM!$B275="","",CALC_EEM!H275)</f>
      </c>
      <c r="I285" s="16" t="str">
        <f>IF(CALC_EEM!$B275="","",CALC_EEM!I275)</f>
      </c>
      <c r="J285" t="str">
        <f>IF(CALC_EEM!$B275="","",CALC_EEM!J275)</f>
      </c>
      <c r="K285" t="str">
        <f>IF(CALC_EEM!$B275="","",CALC_EEM!K275)</f>
      </c>
      <c r="L285">
        <f>IF(CALC_EEM!$B275="","",CALC_EEM!L275)</f>
      </c>
      <c r="M285">
        <f>IF(CALC_EEM!$B275="","",CALC_EEM!M275)</f>
      </c>
      <c r="N285">
        <f>IF(CALC_EEM!$B275="","",CALC_EEM!N275)</f>
      </c>
      <c r="O285">
        <f>IF(CALC_EEM!$B275="","",CALC_EEM!O275)</f>
      </c>
      <c r="P285">
        <f>IF(CALC_EEM!$B275="","",CALC_EEM!P275)</f>
      </c>
      <c r="Q285">
        <f>IF(CALC_EEM!$B275="","",CALC_EEM!Q275)</f>
      </c>
      <c r="R285">
        <f>IF(CALC_EEM!$B275="","",CALC_EEM!R275)</f>
      </c>
      <c r="S285">
        <f>IF(CALC_EEM!$B275="","",CALC_EEM!S275)</f>
      </c>
      <c r="T285">
        <f>IF(CALC_EEM!$B275="","",CALC_EEM!T275)</f>
      </c>
      <c r="U285">
        <f>IF(CALC_EEM!$B275="","",CALC_EEM!U275)</f>
      </c>
    </row>
    <row r="286" spans="1:24">
      <c r="A286" t="str">
        <f>IF(CALC_EEM!$B276="","",IF(CALC_EEM!A276="GLOBAL","GLOBAL",IF(CALC_EEM!C276="Total","CURSO_TOTAL",IF(CALC_EEM!C276="TotalEsp","CURSO_ESP",IF(CALC_EEM!C276="TotalNoEsp","CURSO_NOESP","CURSO_ASIG")))))</f>
      </c>
      <c r="B286" t="str">
        <f>IF(CALC_EEM!$B276="","",CALC_EEM!A276)</f>
      </c>
      <c r="C286" t="str">
        <f>IF(CALC_EEM!$B276="","",CALC_EEM!B276)</f>
      </c>
      <c r="D286">
        <f>IF(CALC_EEM!$B276="","",CALC_EEM!D276)</f>
      </c>
      <c r="E286" s="14" t="str">
        <f>IF(CALC_EEM!$B276="","",CALC_EEM!E276)</f>
      </c>
      <c r="F286" s="14" t="str">
        <f>IF(CALC_EEM!$B276="","",CALC_EEM!F276)</f>
      </c>
      <c r="G286" t="str">
        <f>IF(CALC_EEM!$B276="","",CALC_EEM!G276)</f>
      </c>
      <c r="H286" s="16" t="str">
        <f>IF(CALC_EEM!$B276="","",CALC_EEM!H276)</f>
      </c>
      <c r="I286" s="16" t="str">
        <f>IF(CALC_EEM!$B276="","",CALC_EEM!I276)</f>
      </c>
      <c r="J286" t="str">
        <f>IF(CALC_EEM!$B276="","",CALC_EEM!J276)</f>
      </c>
      <c r="K286" t="str">
        <f>IF(CALC_EEM!$B276="","",CALC_EEM!K276)</f>
      </c>
      <c r="L286">
        <f>IF(CALC_EEM!$B276="","",CALC_EEM!L276)</f>
      </c>
      <c r="M286">
        <f>IF(CALC_EEM!$B276="","",CALC_EEM!M276)</f>
      </c>
      <c r="N286">
        <f>IF(CALC_EEM!$B276="","",CALC_EEM!N276)</f>
      </c>
      <c r="O286">
        <f>IF(CALC_EEM!$B276="","",CALC_EEM!O276)</f>
      </c>
      <c r="P286">
        <f>IF(CALC_EEM!$B276="","",CALC_EEM!P276)</f>
      </c>
      <c r="Q286">
        <f>IF(CALC_EEM!$B276="","",CALC_EEM!Q276)</f>
      </c>
      <c r="R286">
        <f>IF(CALC_EEM!$B276="","",CALC_EEM!R276)</f>
      </c>
      <c r="S286">
        <f>IF(CALC_EEM!$B276="","",CALC_EEM!S276)</f>
      </c>
      <c r="T286">
        <f>IF(CALC_EEM!$B276="","",CALC_EEM!T276)</f>
      </c>
      <c r="U286">
        <f>IF(CALC_EEM!$B276="","",CALC_EEM!U276)</f>
      </c>
    </row>
    <row r="287" spans="1:24">
      <c r="A287" t="str">
        <f>IF(CALC_EEM!$B277="","",IF(CALC_EEM!A277="GLOBAL","GLOBAL",IF(CALC_EEM!C277="Total","CURSO_TOTAL",IF(CALC_EEM!C277="TotalEsp","CURSO_ESP",IF(CALC_EEM!C277="TotalNoEsp","CURSO_NOESP","CURSO_ASIG")))))</f>
      </c>
      <c r="B287" t="str">
        <f>IF(CALC_EEM!$B277="","",CALC_EEM!A277)</f>
      </c>
      <c r="C287" t="str">
        <f>IF(CALC_EEM!$B277="","",CALC_EEM!B277)</f>
      </c>
      <c r="D287">
        <f>IF(CALC_EEM!$B277="","",CALC_EEM!D277)</f>
      </c>
      <c r="E287" s="14" t="str">
        <f>IF(CALC_EEM!$B277="","",CALC_EEM!E277)</f>
      </c>
      <c r="F287" s="14" t="str">
        <f>IF(CALC_EEM!$B277="","",CALC_EEM!F277)</f>
      </c>
      <c r="G287" t="str">
        <f>IF(CALC_EEM!$B277="","",CALC_EEM!G277)</f>
      </c>
      <c r="H287" s="16" t="str">
        <f>IF(CALC_EEM!$B277="","",CALC_EEM!H277)</f>
      </c>
      <c r="I287" s="16" t="str">
        <f>IF(CALC_EEM!$B277="","",CALC_EEM!I277)</f>
      </c>
      <c r="J287" t="str">
        <f>IF(CALC_EEM!$B277="","",CALC_EEM!J277)</f>
      </c>
      <c r="K287" t="str">
        <f>IF(CALC_EEM!$B277="","",CALC_EEM!K277)</f>
      </c>
      <c r="L287">
        <f>IF(CALC_EEM!$B277="","",CALC_EEM!L277)</f>
      </c>
      <c r="M287">
        <f>IF(CALC_EEM!$B277="","",CALC_EEM!M277)</f>
      </c>
      <c r="N287">
        <f>IF(CALC_EEM!$B277="","",CALC_EEM!N277)</f>
      </c>
      <c r="O287">
        <f>IF(CALC_EEM!$B277="","",CALC_EEM!O277)</f>
      </c>
      <c r="P287">
        <f>IF(CALC_EEM!$B277="","",CALC_EEM!P277)</f>
      </c>
      <c r="Q287">
        <f>IF(CALC_EEM!$B277="","",CALC_EEM!Q277)</f>
      </c>
      <c r="R287">
        <f>IF(CALC_EEM!$B277="","",CALC_EEM!R277)</f>
      </c>
      <c r="S287">
        <f>IF(CALC_EEM!$B277="","",CALC_EEM!S277)</f>
      </c>
      <c r="T287">
        <f>IF(CALC_EEM!$B277="","",CALC_EEM!T277)</f>
      </c>
      <c r="U287">
        <f>IF(CALC_EEM!$B277="","",CALC_EEM!U277)</f>
      </c>
    </row>
    <row r="288" spans="1:24">
      <c r="A288" t="str">
        <f>IF(CALC_EEM!$B278="","",IF(CALC_EEM!A278="GLOBAL","GLOBAL",IF(CALC_EEM!C278="Total","CURSO_TOTAL",IF(CALC_EEM!C278="TotalEsp","CURSO_ESP",IF(CALC_EEM!C278="TotalNoEsp","CURSO_NOESP","CURSO_ASIG")))))</f>
      </c>
      <c r="B288" t="str">
        <f>IF(CALC_EEM!$B278="","",CALC_EEM!A278)</f>
      </c>
      <c r="C288" t="str">
        <f>IF(CALC_EEM!$B278="","",CALC_EEM!B278)</f>
      </c>
      <c r="D288">
        <f>IF(CALC_EEM!$B278="","",CALC_EEM!D278)</f>
      </c>
      <c r="E288" s="14" t="str">
        <f>IF(CALC_EEM!$B278="","",CALC_EEM!E278)</f>
      </c>
      <c r="F288" s="14" t="str">
        <f>IF(CALC_EEM!$B278="","",CALC_EEM!F278)</f>
      </c>
      <c r="G288" t="str">
        <f>IF(CALC_EEM!$B278="","",CALC_EEM!G278)</f>
      </c>
      <c r="H288" s="16" t="str">
        <f>IF(CALC_EEM!$B278="","",CALC_EEM!H278)</f>
      </c>
      <c r="I288" s="16" t="str">
        <f>IF(CALC_EEM!$B278="","",CALC_EEM!I278)</f>
      </c>
      <c r="J288" t="str">
        <f>IF(CALC_EEM!$B278="","",CALC_EEM!J278)</f>
      </c>
      <c r="K288" t="str">
        <f>IF(CALC_EEM!$B278="","",CALC_EEM!K278)</f>
      </c>
      <c r="L288">
        <f>IF(CALC_EEM!$B278="","",CALC_EEM!L278)</f>
      </c>
      <c r="M288">
        <f>IF(CALC_EEM!$B278="","",CALC_EEM!M278)</f>
      </c>
      <c r="N288">
        <f>IF(CALC_EEM!$B278="","",CALC_EEM!N278)</f>
      </c>
      <c r="O288">
        <f>IF(CALC_EEM!$B278="","",CALC_EEM!O278)</f>
      </c>
      <c r="P288">
        <f>IF(CALC_EEM!$B278="","",CALC_EEM!P278)</f>
      </c>
      <c r="Q288">
        <f>IF(CALC_EEM!$B278="","",CALC_EEM!Q278)</f>
      </c>
      <c r="R288">
        <f>IF(CALC_EEM!$B278="","",CALC_EEM!R278)</f>
      </c>
      <c r="S288">
        <f>IF(CALC_EEM!$B278="","",CALC_EEM!S278)</f>
      </c>
      <c r="T288">
        <f>IF(CALC_EEM!$B278="","",CALC_EEM!T278)</f>
      </c>
      <c r="U288">
        <f>IF(CALC_EEM!$B278="","",CALC_EEM!U278)</f>
      </c>
    </row>
    <row r="289" spans="1:24">
      <c r="A289" t="str">
        <f>IF(CALC_EEM!$B279="","",IF(CALC_EEM!A279="GLOBAL","GLOBAL",IF(CALC_EEM!C279="Total","CURSO_TOTAL",IF(CALC_EEM!C279="TotalEsp","CURSO_ESP",IF(CALC_EEM!C279="TotalNoEsp","CURSO_NOESP","CURSO_ASIG")))))</f>
      </c>
      <c r="B289" t="str">
        <f>IF(CALC_EEM!$B279="","",CALC_EEM!A279)</f>
      </c>
      <c r="C289" t="str">
        <f>IF(CALC_EEM!$B279="","",CALC_EEM!B279)</f>
      </c>
      <c r="D289">
        <f>IF(CALC_EEM!$B279="","",CALC_EEM!D279)</f>
      </c>
      <c r="E289" s="14" t="str">
        <f>IF(CALC_EEM!$B279="","",CALC_EEM!E279)</f>
      </c>
      <c r="F289" s="14" t="str">
        <f>IF(CALC_EEM!$B279="","",CALC_EEM!F279)</f>
      </c>
      <c r="G289" t="str">
        <f>IF(CALC_EEM!$B279="","",CALC_EEM!G279)</f>
      </c>
      <c r="H289" s="16" t="str">
        <f>IF(CALC_EEM!$B279="","",CALC_EEM!H279)</f>
      </c>
      <c r="I289" s="16" t="str">
        <f>IF(CALC_EEM!$B279="","",CALC_EEM!I279)</f>
      </c>
      <c r="J289" t="str">
        <f>IF(CALC_EEM!$B279="","",CALC_EEM!J279)</f>
      </c>
      <c r="K289" t="str">
        <f>IF(CALC_EEM!$B279="","",CALC_EEM!K279)</f>
      </c>
      <c r="L289">
        <f>IF(CALC_EEM!$B279="","",CALC_EEM!L279)</f>
      </c>
      <c r="M289">
        <f>IF(CALC_EEM!$B279="","",CALC_EEM!M279)</f>
      </c>
      <c r="N289">
        <f>IF(CALC_EEM!$B279="","",CALC_EEM!N279)</f>
      </c>
      <c r="O289">
        <f>IF(CALC_EEM!$B279="","",CALC_EEM!O279)</f>
      </c>
      <c r="P289">
        <f>IF(CALC_EEM!$B279="","",CALC_EEM!P279)</f>
      </c>
      <c r="Q289">
        <f>IF(CALC_EEM!$B279="","",CALC_EEM!Q279)</f>
      </c>
      <c r="R289">
        <f>IF(CALC_EEM!$B279="","",CALC_EEM!R279)</f>
      </c>
      <c r="S289">
        <f>IF(CALC_EEM!$B279="","",CALC_EEM!S279)</f>
      </c>
      <c r="T289">
        <f>IF(CALC_EEM!$B279="","",CALC_EEM!T279)</f>
      </c>
      <c r="U289">
        <f>IF(CALC_EEM!$B279="","",CALC_EEM!U279)</f>
      </c>
    </row>
    <row r="290" spans="1:24">
      <c r="A290" t="str">
        <f>IF(CALC_EEM!$B280="","",IF(CALC_EEM!A280="GLOBAL","GLOBAL",IF(CALC_EEM!C280="Total","CURSO_TOTAL",IF(CALC_EEM!C280="TotalEsp","CURSO_ESP",IF(CALC_EEM!C280="TotalNoEsp","CURSO_NOESP","CURSO_ASIG")))))</f>
      </c>
      <c r="B290" t="str">
        <f>IF(CALC_EEM!$B280="","",CALC_EEM!A280)</f>
      </c>
      <c r="C290" t="str">
        <f>IF(CALC_EEM!$B280="","",CALC_EEM!B280)</f>
      </c>
      <c r="D290">
        <f>IF(CALC_EEM!$B280="","",CALC_EEM!D280)</f>
      </c>
      <c r="E290" s="14" t="str">
        <f>IF(CALC_EEM!$B280="","",CALC_EEM!E280)</f>
      </c>
      <c r="F290" s="14" t="str">
        <f>IF(CALC_EEM!$B280="","",CALC_EEM!F280)</f>
      </c>
      <c r="G290" t="str">
        <f>IF(CALC_EEM!$B280="","",CALC_EEM!G280)</f>
      </c>
      <c r="H290" s="16" t="str">
        <f>IF(CALC_EEM!$B280="","",CALC_EEM!H280)</f>
      </c>
      <c r="I290" s="16" t="str">
        <f>IF(CALC_EEM!$B280="","",CALC_EEM!I280)</f>
      </c>
      <c r="J290" t="str">
        <f>IF(CALC_EEM!$B280="","",CALC_EEM!J280)</f>
      </c>
      <c r="K290" t="str">
        <f>IF(CALC_EEM!$B280="","",CALC_EEM!K280)</f>
      </c>
      <c r="L290">
        <f>IF(CALC_EEM!$B280="","",CALC_EEM!L280)</f>
      </c>
      <c r="M290">
        <f>IF(CALC_EEM!$B280="","",CALC_EEM!M280)</f>
      </c>
      <c r="N290">
        <f>IF(CALC_EEM!$B280="","",CALC_EEM!N280)</f>
      </c>
      <c r="O290">
        <f>IF(CALC_EEM!$B280="","",CALC_EEM!O280)</f>
      </c>
      <c r="P290">
        <f>IF(CALC_EEM!$B280="","",CALC_EEM!P280)</f>
      </c>
      <c r="Q290">
        <f>IF(CALC_EEM!$B280="","",CALC_EEM!Q280)</f>
      </c>
      <c r="R290">
        <f>IF(CALC_EEM!$B280="","",CALC_EEM!R280)</f>
      </c>
      <c r="S290">
        <f>IF(CALC_EEM!$B280="","",CALC_EEM!S280)</f>
      </c>
      <c r="T290">
        <f>IF(CALC_EEM!$B280="","",CALC_EEM!T280)</f>
      </c>
      <c r="U290">
        <f>IF(CALC_EEM!$B280="","",CALC_EEM!U280)</f>
      </c>
    </row>
    <row r="291" spans="1:24">
      <c r="A291" t="str">
        <f>IF(CALC_EEM!$B281="","",IF(CALC_EEM!A281="GLOBAL","GLOBAL",IF(CALC_EEM!C281="Total","CURSO_TOTAL",IF(CALC_EEM!C281="TotalEsp","CURSO_ESP",IF(CALC_EEM!C281="TotalNoEsp","CURSO_NOESP","CURSO_ASIG")))))</f>
      </c>
      <c r="B291" t="str">
        <f>IF(CALC_EEM!$B281="","",CALC_EEM!A281)</f>
      </c>
      <c r="C291" t="str">
        <f>IF(CALC_EEM!$B281="","",CALC_EEM!B281)</f>
      </c>
      <c r="D291">
        <f>IF(CALC_EEM!$B281="","",CALC_EEM!D281)</f>
      </c>
      <c r="E291" s="14" t="str">
        <f>IF(CALC_EEM!$B281="","",CALC_EEM!E281)</f>
      </c>
      <c r="F291" s="14" t="str">
        <f>IF(CALC_EEM!$B281="","",CALC_EEM!F281)</f>
      </c>
      <c r="G291" t="str">
        <f>IF(CALC_EEM!$B281="","",CALC_EEM!G281)</f>
      </c>
      <c r="H291" s="16" t="str">
        <f>IF(CALC_EEM!$B281="","",CALC_EEM!H281)</f>
      </c>
      <c r="I291" s="16" t="str">
        <f>IF(CALC_EEM!$B281="","",CALC_EEM!I281)</f>
      </c>
      <c r="J291" t="str">
        <f>IF(CALC_EEM!$B281="","",CALC_EEM!J281)</f>
      </c>
      <c r="K291" t="str">
        <f>IF(CALC_EEM!$B281="","",CALC_EEM!K281)</f>
      </c>
      <c r="L291">
        <f>IF(CALC_EEM!$B281="","",CALC_EEM!L281)</f>
      </c>
      <c r="M291">
        <f>IF(CALC_EEM!$B281="","",CALC_EEM!M281)</f>
      </c>
      <c r="N291">
        <f>IF(CALC_EEM!$B281="","",CALC_EEM!N281)</f>
      </c>
      <c r="O291">
        <f>IF(CALC_EEM!$B281="","",CALC_EEM!O281)</f>
      </c>
      <c r="P291">
        <f>IF(CALC_EEM!$B281="","",CALC_EEM!P281)</f>
      </c>
      <c r="Q291">
        <f>IF(CALC_EEM!$B281="","",CALC_EEM!Q281)</f>
      </c>
      <c r="R291">
        <f>IF(CALC_EEM!$B281="","",CALC_EEM!R281)</f>
      </c>
      <c r="S291">
        <f>IF(CALC_EEM!$B281="","",CALC_EEM!S281)</f>
      </c>
      <c r="T291">
        <f>IF(CALC_EEM!$B281="","",CALC_EEM!T281)</f>
      </c>
      <c r="U291">
        <f>IF(CALC_EEM!$B281="","",CALC_EEM!U281)</f>
      </c>
    </row>
    <row r="292" spans="1:24">
      <c r="A292" t="str">
        <f>IF(CALC_EEM!$B282="","",IF(CALC_EEM!A282="GLOBAL","GLOBAL",IF(CALC_EEM!C282="Total","CURSO_TOTAL",IF(CALC_EEM!C282="TotalEsp","CURSO_ESP",IF(CALC_EEM!C282="TotalNoEsp","CURSO_NOESP","CURSO_ASIG")))))</f>
      </c>
      <c r="B292" t="str">
        <f>IF(CALC_EEM!$B282="","",CALC_EEM!A282)</f>
      </c>
      <c r="C292" t="str">
        <f>IF(CALC_EEM!$B282="","",CALC_EEM!B282)</f>
      </c>
      <c r="D292">
        <f>IF(CALC_EEM!$B282="","",CALC_EEM!D282)</f>
      </c>
      <c r="E292" s="14" t="str">
        <f>IF(CALC_EEM!$B282="","",CALC_EEM!E282)</f>
      </c>
      <c r="F292" s="14" t="str">
        <f>IF(CALC_EEM!$B282="","",CALC_EEM!F282)</f>
      </c>
      <c r="G292" t="str">
        <f>IF(CALC_EEM!$B282="","",CALC_EEM!G282)</f>
      </c>
      <c r="H292" s="16" t="str">
        <f>IF(CALC_EEM!$B282="","",CALC_EEM!H282)</f>
      </c>
      <c r="I292" s="16" t="str">
        <f>IF(CALC_EEM!$B282="","",CALC_EEM!I282)</f>
      </c>
      <c r="J292" t="str">
        <f>IF(CALC_EEM!$B282="","",CALC_EEM!J282)</f>
      </c>
      <c r="K292" t="str">
        <f>IF(CALC_EEM!$B282="","",CALC_EEM!K282)</f>
      </c>
      <c r="L292">
        <f>IF(CALC_EEM!$B282="","",CALC_EEM!L282)</f>
      </c>
      <c r="M292">
        <f>IF(CALC_EEM!$B282="","",CALC_EEM!M282)</f>
      </c>
      <c r="N292">
        <f>IF(CALC_EEM!$B282="","",CALC_EEM!N282)</f>
      </c>
      <c r="O292">
        <f>IF(CALC_EEM!$B282="","",CALC_EEM!O282)</f>
      </c>
      <c r="P292">
        <f>IF(CALC_EEM!$B282="","",CALC_EEM!P282)</f>
      </c>
      <c r="Q292">
        <f>IF(CALC_EEM!$B282="","",CALC_EEM!Q282)</f>
      </c>
      <c r="R292">
        <f>IF(CALC_EEM!$B282="","",CALC_EEM!R282)</f>
      </c>
      <c r="S292">
        <f>IF(CALC_EEM!$B282="","",CALC_EEM!S282)</f>
      </c>
      <c r="T292">
        <f>IF(CALC_EEM!$B282="","",CALC_EEM!T282)</f>
      </c>
      <c r="U292">
        <f>IF(CALC_EEM!$B282="","",CALC_EEM!U282)</f>
      </c>
    </row>
    <row r="293" spans="1:24">
      <c r="A293" t="str">
        <f>IF(CALC_EEM!$B283="","",IF(CALC_EEM!A283="GLOBAL","GLOBAL",IF(CALC_EEM!C283="Total","CURSO_TOTAL",IF(CALC_EEM!C283="TotalEsp","CURSO_ESP",IF(CALC_EEM!C283="TotalNoEsp","CURSO_NOESP","CURSO_ASIG")))))</f>
      </c>
      <c r="B293" t="str">
        <f>IF(CALC_EEM!$B283="","",CALC_EEM!A283)</f>
      </c>
      <c r="C293" t="str">
        <f>IF(CALC_EEM!$B283="","",CALC_EEM!B283)</f>
      </c>
      <c r="D293">
        <f>IF(CALC_EEM!$B283="","",CALC_EEM!D283)</f>
      </c>
      <c r="E293" s="14" t="str">
        <f>IF(CALC_EEM!$B283="","",CALC_EEM!E283)</f>
      </c>
      <c r="F293" s="14" t="str">
        <f>IF(CALC_EEM!$B283="","",CALC_EEM!F283)</f>
      </c>
      <c r="G293" t="str">
        <f>IF(CALC_EEM!$B283="","",CALC_EEM!G283)</f>
      </c>
      <c r="H293" s="16" t="str">
        <f>IF(CALC_EEM!$B283="","",CALC_EEM!H283)</f>
      </c>
      <c r="I293" s="16" t="str">
        <f>IF(CALC_EEM!$B283="","",CALC_EEM!I283)</f>
      </c>
      <c r="J293" t="str">
        <f>IF(CALC_EEM!$B283="","",CALC_EEM!J283)</f>
      </c>
      <c r="K293" t="str">
        <f>IF(CALC_EEM!$B283="","",CALC_EEM!K283)</f>
      </c>
      <c r="L293">
        <f>IF(CALC_EEM!$B283="","",CALC_EEM!L283)</f>
      </c>
      <c r="M293">
        <f>IF(CALC_EEM!$B283="","",CALC_EEM!M283)</f>
      </c>
      <c r="N293">
        <f>IF(CALC_EEM!$B283="","",CALC_EEM!N283)</f>
      </c>
      <c r="O293">
        <f>IF(CALC_EEM!$B283="","",CALC_EEM!O283)</f>
      </c>
      <c r="P293">
        <f>IF(CALC_EEM!$B283="","",CALC_EEM!P283)</f>
      </c>
      <c r="Q293">
        <f>IF(CALC_EEM!$B283="","",CALC_EEM!Q283)</f>
      </c>
      <c r="R293">
        <f>IF(CALC_EEM!$B283="","",CALC_EEM!R283)</f>
      </c>
      <c r="S293">
        <f>IF(CALC_EEM!$B283="","",CALC_EEM!S283)</f>
      </c>
      <c r="T293">
        <f>IF(CALC_EEM!$B283="","",CALC_EEM!T283)</f>
      </c>
      <c r="U293">
        <f>IF(CALC_EEM!$B283="","",CALC_EEM!U283)</f>
      </c>
    </row>
    <row r="294" spans="1:24">
      <c r="A294" t="str">
        <f>IF(CALC_EEM!$B284="","",IF(CALC_EEM!A284="GLOBAL","GLOBAL",IF(CALC_EEM!C284="Total","CURSO_TOTAL",IF(CALC_EEM!C284="TotalEsp","CURSO_ESP",IF(CALC_EEM!C284="TotalNoEsp","CURSO_NOESP","CURSO_ASIG")))))</f>
      </c>
      <c r="B294" t="str">
        <f>IF(CALC_EEM!$B284="","",CALC_EEM!A284)</f>
      </c>
      <c r="C294" t="str">
        <f>IF(CALC_EEM!$B284="","",CALC_EEM!B284)</f>
      </c>
      <c r="D294">
        <f>IF(CALC_EEM!$B284="","",CALC_EEM!D284)</f>
      </c>
      <c r="E294" s="14" t="str">
        <f>IF(CALC_EEM!$B284="","",CALC_EEM!E284)</f>
      </c>
      <c r="F294" s="14" t="str">
        <f>IF(CALC_EEM!$B284="","",CALC_EEM!F284)</f>
      </c>
      <c r="G294" t="str">
        <f>IF(CALC_EEM!$B284="","",CALC_EEM!G284)</f>
      </c>
      <c r="H294" s="16" t="str">
        <f>IF(CALC_EEM!$B284="","",CALC_EEM!H284)</f>
      </c>
      <c r="I294" s="16" t="str">
        <f>IF(CALC_EEM!$B284="","",CALC_EEM!I284)</f>
      </c>
      <c r="J294" t="str">
        <f>IF(CALC_EEM!$B284="","",CALC_EEM!J284)</f>
      </c>
      <c r="K294" t="str">
        <f>IF(CALC_EEM!$B284="","",CALC_EEM!K284)</f>
      </c>
      <c r="L294">
        <f>IF(CALC_EEM!$B284="","",CALC_EEM!L284)</f>
      </c>
      <c r="M294">
        <f>IF(CALC_EEM!$B284="","",CALC_EEM!M284)</f>
      </c>
      <c r="N294">
        <f>IF(CALC_EEM!$B284="","",CALC_EEM!N284)</f>
      </c>
      <c r="O294">
        <f>IF(CALC_EEM!$B284="","",CALC_EEM!O284)</f>
      </c>
      <c r="P294">
        <f>IF(CALC_EEM!$B284="","",CALC_EEM!P284)</f>
      </c>
      <c r="Q294">
        <f>IF(CALC_EEM!$B284="","",CALC_EEM!Q284)</f>
      </c>
      <c r="R294">
        <f>IF(CALC_EEM!$B284="","",CALC_EEM!R284)</f>
      </c>
      <c r="S294">
        <f>IF(CALC_EEM!$B284="","",CALC_EEM!S284)</f>
      </c>
      <c r="T294">
        <f>IF(CALC_EEM!$B284="","",CALC_EEM!T284)</f>
      </c>
      <c r="U294">
        <f>IF(CALC_EEM!$B284="","",CALC_EEM!U284)</f>
      </c>
    </row>
    <row r="295" spans="1:24">
      <c r="A295" t="str">
        <f>IF(CALC_EEM!$B285="","",IF(CALC_EEM!A285="GLOBAL","GLOBAL",IF(CALC_EEM!C285="Total","CURSO_TOTAL",IF(CALC_EEM!C285="TotalEsp","CURSO_ESP",IF(CALC_EEM!C285="TotalNoEsp","CURSO_NOESP","CURSO_ASIG")))))</f>
      </c>
      <c r="B295" t="str">
        <f>IF(CALC_EEM!$B285="","",CALC_EEM!A285)</f>
      </c>
      <c r="C295" t="str">
        <f>IF(CALC_EEM!$B285="","",CALC_EEM!B285)</f>
      </c>
      <c r="D295">
        <f>IF(CALC_EEM!$B285="","",CALC_EEM!D285)</f>
      </c>
      <c r="E295" s="14" t="str">
        <f>IF(CALC_EEM!$B285="","",CALC_EEM!E285)</f>
      </c>
      <c r="F295" s="14" t="str">
        <f>IF(CALC_EEM!$B285="","",CALC_EEM!F285)</f>
      </c>
      <c r="G295" t="str">
        <f>IF(CALC_EEM!$B285="","",CALC_EEM!G285)</f>
      </c>
      <c r="H295" s="16" t="str">
        <f>IF(CALC_EEM!$B285="","",CALC_EEM!H285)</f>
      </c>
      <c r="I295" s="16" t="str">
        <f>IF(CALC_EEM!$B285="","",CALC_EEM!I285)</f>
      </c>
      <c r="J295" t="str">
        <f>IF(CALC_EEM!$B285="","",CALC_EEM!J285)</f>
      </c>
      <c r="K295" t="str">
        <f>IF(CALC_EEM!$B285="","",CALC_EEM!K285)</f>
      </c>
      <c r="L295">
        <f>IF(CALC_EEM!$B285="","",CALC_EEM!L285)</f>
      </c>
      <c r="M295">
        <f>IF(CALC_EEM!$B285="","",CALC_EEM!M285)</f>
      </c>
      <c r="N295">
        <f>IF(CALC_EEM!$B285="","",CALC_EEM!N285)</f>
      </c>
      <c r="O295">
        <f>IF(CALC_EEM!$B285="","",CALC_EEM!O285)</f>
      </c>
      <c r="P295">
        <f>IF(CALC_EEM!$B285="","",CALC_EEM!P285)</f>
      </c>
      <c r="Q295">
        <f>IF(CALC_EEM!$B285="","",CALC_EEM!Q285)</f>
      </c>
      <c r="R295">
        <f>IF(CALC_EEM!$B285="","",CALC_EEM!R285)</f>
      </c>
      <c r="S295">
        <f>IF(CALC_EEM!$B285="","",CALC_EEM!S285)</f>
      </c>
      <c r="T295">
        <f>IF(CALC_EEM!$B285="","",CALC_EEM!T285)</f>
      </c>
      <c r="U295">
        <f>IF(CALC_EEM!$B285="","",CALC_EEM!U285)</f>
      </c>
    </row>
    <row r="296" spans="1:24">
      <c r="A296" t="str">
        <f>IF(CALC_EEM!$B286="","",IF(CALC_EEM!A286="GLOBAL","GLOBAL",IF(CALC_EEM!C286="Total","CURSO_TOTAL",IF(CALC_EEM!C286="TotalEsp","CURSO_ESP",IF(CALC_EEM!C286="TotalNoEsp","CURSO_NOESP","CURSO_ASIG")))))</f>
      </c>
      <c r="B296" t="str">
        <f>IF(CALC_EEM!$B286="","",CALC_EEM!A286)</f>
      </c>
      <c r="C296" t="str">
        <f>IF(CALC_EEM!$B286="","",CALC_EEM!B286)</f>
      </c>
      <c r="D296">
        <f>IF(CALC_EEM!$B286="","",CALC_EEM!D286)</f>
      </c>
      <c r="E296" s="14" t="str">
        <f>IF(CALC_EEM!$B286="","",CALC_EEM!E286)</f>
      </c>
      <c r="F296" s="14" t="str">
        <f>IF(CALC_EEM!$B286="","",CALC_EEM!F286)</f>
      </c>
      <c r="G296" t="str">
        <f>IF(CALC_EEM!$B286="","",CALC_EEM!G286)</f>
      </c>
      <c r="H296" s="16" t="str">
        <f>IF(CALC_EEM!$B286="","",CALC_EEM!H286)</f>
      </c>
      <c r="I296" s="16" t="str">
        <f>IF(CALC_EEM!$B286="","",CALC_EEM!I286)</f>
      </c>
      <c r="J296" t="str">
        <f>IF(CALC_EEM!$B286="","",CALC_EEM!J286)</f>
      </c>
      <c r="K296" t="str">
        <f>IF(CALC_EEM!$B286="","",CALC_EEM!K286)</f>
      </c>
      <c r="L296">
        <f>IF(CALC_EEM!$B286="","",CALC_EEM!L286)</f>
      </c>
      <c r="M296">
        <f>IF(CALC_EEM!$B286="","",CALC_EEM!M286)</f>
      </c>
      <c r="N296">
        <f>IF(CALC_EEM!$B286="","",CALC_EEM!N286)</f>
      </c>
      <c r="O296">
        <f>IF(CALC_EEM!$B286="","",CALC_EEM!O286)</f>
      </c>
      <c r="P296">
        <f>IF(CALC_EEM!$B286="","",CALC_EEM!P286)</f>
      </c>
      <c r="Q296">
        <f>IF(CALC_EEM!$B286="","",CALC_EEM!Q286)</f>
      </c>
      <c r="R296">
        <f>IF(CALC_EEM!$B286="","",CALC_EEM!R286)</f>
      </c>
      <c r="S296">
        <f>IF(CALC_EEM!$B286="","",CALC_EEM!S286)</f>
      </c>
      <c r="T296">
        <f>IF(CALC_EEM!$B286="","",CALC_EEM!T286)</f>
      </c>
      <c r="U296">
        <f>IF(CALC_EEM!$B286="","",CALC_EEM!U286)</f>
      </c>
    </row>
    <row r="297" spans="1:24">
      <c r="A297" t="str">
        <f>IF(CALC_EEM!$B287="","",IF(CALC_EEM!A287="GLOBAL","GLOBAL",IF(CALC_EEM!C287="Total","CURSO_TOTAL",IF(CALC_EEM!C287="TotalEsp","CURSO_ESP",IF(CALC_EEM!C287="TotalNoEsp","CURSO_NOESP","CURSO_ASIG")))))</f>
      </c>
      <c r="B297" t="str">
        <f>IF(CALC_EEM!$B287="","",CALC_EEM!A287)</f>
      </c>
      <c r="C297" t="str">
        <f>IF(CALC_EEM!$B287="","",CALC_EEM!B287)</f>
      </c>
      <c r="D297">
        <f>IF(CALC_EEM!$B287="","",CALC_EEM!D287)</f>
      </c>
      <c r="E297" s="14" t="str">
        <f>IF(CALC_EEM!$B287="","",CALC_EEM!E287)</f>
      </c>
      <c r="F297" s="14" t="str">
        <f>IF(CALC_EEM!$B287="","",CALC_EEM!F287)</f>
      </c>
      <c r="G297" t="str">
        <f>IF(CALC_EEM!$B287="","",CALC_EEM!G287)</f>
      </c>
      <c r="H297" s="16" t="str">
        <f>IF(CALC_EEM!$B287="","",CALC_EEM!H287)</f>
      </c>
      <c r="I297" s="16" t="str">
        <f>IF(CALC_EEM!$B287="","",CALC_EEM!I287)</f>
      </c>
      <c r="J297" t="str">
        <f>IF(CALC_EEM!$B287="","",CALC_EEM!J287)</f>
      </c>
      <c r="K297" t="str">
        <f>IF(CALC_EEM!$B287="","",CALC_EEM!K287)</f>
      </c>
      <c r="L297">
        <f>IF(CALC_EEM!$B287="","",CALC_EEM!L287)</f>
      </c>
      <c r="M297">
        <f>IF(CALC_EEM!$B287="","",CALC_EEM!M287)</f>
      </c>
      <c r="N297">
        <f>IF(CALC_EEM!$B287="","",CALC_EEM!N287)</f>
      </c>
      <c r="O297">
        <f>IF(CALC_EEM!$B287="","",CALC_EEM!O287)</f>
      </c>
      <c r="P297">
        <f>IF(CALC_EEM!$B287="","",CALC_EEM!P287)</f>
      </c>
      <c r="Q297">
        <f>IF(CALC_EEM!$B287="","",CALC_EEM!Q287)</f>
      </c>
      <c r="R297">
        <f>IF(CALC_EEM!$B287="","",CALC_EEM!R287)</f>
      </c>
      <c r="S297">
        <f>IF(CALC_EEM!$B287="","",CALC_EEM!S287)</f>
      </c>
      <c r="T297">
        <f>IF(CALC_EEM!$B287="","",CALC_EEM!T287)</f>
      </c>
      <c r="U297">
        <f>IF(CALC_EEM!$B287="","",CALC_EEM!U287)</f>
      </c>
    </row>
    <row r="298" spans="1:24">
      <c r="A298" t="str">
        <f>IF(CALC_EEM!$B288="","",IF(CALC_EEM!A288="GLOBAL","GLOBAL",IF(CALC_EEM!C288="Total","CURSO_TOTAL",IF(CALC_EEM!C288="TotalEsp","CURSO_ESP",IF(CALC_EEM!C288="TotalNoEsp","CURSO_NOESP","CURSO_ASIG")))))</f>
      </c>
      <c r="B298" t="str">
        <f>IF(CALC_EEM!$B288="","",CALC_EEM!A288)</f>
      </c>
      <c r="C298" t="str">
        <f>IF(CALC_EEM!$B288="","",CALC_EEM!B288)</f>
      </c>
      <c r="D298">
        <f>IF(CALC_EEM!$B288="","",CALC_EEM!D288)</f>
      </c>
      <c r="E298" s="14" t="str">
        <f>IF(CALC_EEM!$B288="","",CALC_EEM!E288)</f>
      </c>
      <c r="F298" s="14" t="str">
        <f>IF(CALC_EEM!$B288="","",CALC_EEM!F288)</f>
      </c>
      <c r="G298" t="str">
        <f>IF(CALC_EEM!$B288="","",CALC_EEM!G288)</f>
      </c>
      <c r="H298" s="16" t="str">
        <f>IF(CALC_EEM!$B288="","",CALC_EEM!H288)</f>
      </c>
      <c r="I298" s="16" t="str">
        <f>IF(CALC_EEM!$B288="","",CALC_EEM!I288)</f>
      </c>
      <c r="J298" t="str">
        <f>IF(CALC_EEM!$B288="","",CALC_EEM!J288)</f>
      </c>
      <c r="K298" t="str">
        <f>IF(CALC_EEM!$B288="","",CALC_EEM!K288)</f>
      </c>
      <c r="L298">
        <f>IF(CALC_EEM!$B288="","",CALC_EEM!L288)</f>
      </c>
      <c r="M298">
        <f>IF(CALC_EEM!$B288="","",CALC_EEM!M288)</f>
      </c>
      <c r="N298">
        <f>IF(CALC_EEM!$B288="","",CALC_EEM!N288)</f>
      </c>
      <c r="O298">
        <f>IF(CALC_EEM!$B288="","",CALC_EEM!O288)</f>
      </c>
      <c r="P298">
        <f>IF(CALC_EEM!$B288="","",CALC_EEM!P288)</f>
      </c>
      <c r="Q298">
        <f>IF(CALC_EEM!$B288="","",CALC_EEM!Q288)</f>
      </c>
      <c r="R298">
        <f>IF(CALC_EEM!$B288="","",CALC_EEM!R288)</f>
      </c>
      <c r="S298">
        <f>IF(CALC_EEM!$B288="","",CALC_EEM!S288)</f>
      </c>
      <c r="T298">
        <f>IF(CALC_EEM!$B288="","",CALC_EEM!T288)</f>
      </c>
      <c r="U298">
        <f>IF(CALC_EEM!$B288="","",CALC_EEM!U288)</f>
      </c>
    </row>
    <row r="299" spans="1:24">
      <c r="A299" t="str">
        <f>IF(CALC_EEM!$B289="","",IF(CALC_EEM!A289="GLOBAL","GLOBAL",IF(CALC_EEM!C289="Total","CURSO_TOTAL",IF(CALC_EEM!C289="TotalEsp","CURSO_ESP",IF(CALC_EEM!C289="TotalNoEsp","CURSO_NOESP","CURSO_ASIG")))))</f>
      </c>
      <c r="B299" t="str">
        <f>IF(CALC_EEM!$B289="","",CALC_EEM!A289)</f>
      </c>
      <c r="C299" t="str">
        <f>IF(CALC_EEM!$B289="","",CALC_EEM!B289)</f>
      </c>
      <c r="D299">
        <f>IF(CALC_EEM!$B289="","",CALC_EEM!D289)</f>
      </c>
      <c r="E299" s="14" t="str">
        <f>IF(CALC_EEM!$B289="","",CALC_EEM!E289)</f>
      </c>
      <c r="F299" s="14" t="str">
        <f>IF(CALC_EEM!$B289="","",CALC_EEM!F289)</f>
      </c>
      <c r="G299" t="str">
        <f>IF(CALC_EEM!$B289="","",CALC_EEM!G289)</f>
      </c>
      <c r="H299" s="16" t="str">
        <f>IF(CALC_EEM!$B289="","",CALC_EEM!H289)</f>
      </c>
      <c r="I299" s="16" t="str">
        <f>IF(CALC_EEM!$B289="","",CALC_EEM!I289)</f>
      </c>
      <c r="J299" t="str">
        <f>IF(CALC_EEM!$B289="","",CALC_EEM!J289)</f>
      </c>
      <c r="K299" t="str">
        <f>IF(CALC_EEM!$B289="","",CALC_EEM!K289)</f>
      </c>
      <c r="L299">
        <f>IF(CALC_EEM!$B289="","",CALC_EEM!L289)</f>
      </c>
      <c r="M299">
        <f>IF(CALC_EEM!$B289="","",CALC_EEM!M289)</f>
      </c>
      <c r="N299">
        <f>IF(CALC_EEM!$B289="","",CALC_EEM!N289)</f>
      </c>
      <c r="O299">
        <f>IF(CALC_EEM!$B289="","",CALC_EEM!O289)</f>
      </c>
      <c r="P299">
        <f>IF(CALC_EEM!$B289="","",CALC_EEM!P289)</f>
      </c>
      <c r="Q299">
        <f>IF(CALC_EEM!$B289="","",CALC_EEM!Q289)</f>
      </c>
      <c r="R299">
        <f>IF(CALC_EEM!$B289="","",CALC_EEM!R289)</f>
      </c>
      <c r="S299">
        <f>IF(CALC_EEM!$B289="","",CALC_EEM!S289)</f>
      </c>
      <c r="T299">
        <f>IF(CALC_EEM!$B289="","",CALC_EEM!T289)</f>
      </c>
      <c r="U299">
        <f>IF(CALC_EEM!$B289="","",CALC_EEM!U289)</f>
      </c>
    </row>
    <row r="300" spans="1:24">
      <c r="A300" t="str">
        <f>IF(CALC_EEM!$B290="","",IF(CALC_EEM!A290="GLOBAL","GLOBAL",IF(CALC_EEM!C290="Total","CURSO_TOTAL",IF(CALC_EEM!C290="TotalEsp","CURSO_ESP",IF(CALC_EEM!C290="TotalNoEsp","CURSO_NOESP","CURSO_ASIG")))))</f>
      </c>
      <c r="B300" t="str">
        <f>IF(CALC_EEM!$B290="","",CALC_EEM!A290)</f>
      </c>
      <c r="C300" t="str">
        <f>IF(CALC_EEM!$B290="","",CALC_EEM!B290)</f>
      </c>
      <c r="D300">
        <f>IF(CALC_EEM!$B290="","",CALC_EEM!D290)</f>
      </c>
      <c r="E300" s="14" t="str">
        <f>IF(CALC_EEM!$B290="","",CALC_EEM!E290)</f>
      </c>
      <c r="F300" s="14" t="str">
        <f>IF(CALC_EEM!$B290="","",CALC_EEM!F290)</f>
      </c>
      <c r="G300" t="str">
        <f>IF(CALC_EEM!$B290="","",CALC_EEM!G290)</f>
      </c>
      <c r="H300" s="16" t="str">
        <f>IF(CALC_EEM!$B290="","",CALC_EEM!H290)</f>
      </c>
      <c r="I300" s="16" t="str">
        <f>IF(CALC_EEM!$B290="","",CALC_EEM!I290)</f>
      </c>
      <c r="J300" t="str">
        <f>IF(CALC_EEM!$B290="","",CALC_EEM!J290)</f>
      </c>
      <c r="K300" t="str">
        <f>IF(CALC_EEM!$B290="","",CALC_EEM!K290)</f>
      </c>
      <c r="L300">
        <f>IF(CALC_EEM!$B290="","",CALC_EEM!L290)</f>
      </c>
      <c r="M300">
        <f>IF(CALC_EEM!$B290="","",CALC_EEM!M290)</f>
      </c>
      <c r="N300">
        <f>IF(CALC_EEM!$B290="","",CALC_EEM!N290)</f>
      </c>
      <c r="O300">
        <f>IF(CALC_EEM!$B290="","",CALC_EEM!O290)</f>
      </c>
      <c r="P300">
        <f>IF(CALC_EEM!$B290="","",CALC_EEM!P290)</f>
      </c>
      <c r="Q300">
        <f>IF(CALC_EEM!$B290="","",CALC_EEM!Q290)</f>
      </c>
      <c r="R300">
        <f>IF(CALC_EEM!$B290="","",CALC_EEM!R290)</f>
      </c>
      <c r="S300">
        <f>IF(CALC_EEM!$B290="","",CALC_EEM!S290)</f>
      </c>
      <c r="T300">
        <f>IF(CALC_EEM!$B290="","",CALC_EEM!T290)</f>
      </c>
      <c r="U300">
        <f>IF(CALC_EEM!$B290="","",CALC_EEM!U290)</f>
      </c>
    </row>
    <row r="301" spans="1:24">
      <c r="A301" t="str">
        <f>IF(CALC_EEM!$B291="","",IF(CALC_EEM!A291="GLOBAL","GLOBAL",IF(CALC_EEM!C291="Total","CURSO_TOTAL",IF(CALC_EEM!C291="TotalEsp","CURSO_ESP",IF(CALC_EEM!C291="TotalNoEsp","CURSO_NOESP","CURSO_ASIG")))))</f>
      </c>
      <c r="B301" t="str">
        <f>IF(CALC_EEM!$B291="","",CALC_EEM!A291)</f>
      </c>
      <c r="C301" t="str">
        <f>IF(CALC_EEM!$B291="","",CALC_EEM!B291)</f>
      </c>
      <c r="D301">
        <f>IF(CALC_EEM!$B291="","",CALC_EEM!D291)</f>
      </c>
      <c r="E301" s="14" t="str">
        <f>IF(CALC_EEM!$B291="","",CALC_EEM!E291)</f>
      </c>
      <c r="F301" s="14" t="str">
        <f>IF(CALC_EEM!$B291="","",CALC_EEM!F291)</f>
      </c>
      <c r="G301" t="str">
        <f>IF(CALC_EEM!$B291="","",CALC_EEM!G291)</f>
      </c>
      <c r="H301" s="16" t="str">
        <f>IF(CALC_EEM!$B291="","",CALC_EEM!H291)</f>
      </c>
      <c r="I301" s="16" t="str">
        <f>IF(CALC_EEM!$B291="","",CALC_EEM!I291)</f>
      </c>
      <c r="J301" t="str">
        <f>IF(CALC_EEM!$B291="","",CALC_EEM!J291)</f>
      </c>
      <c r="K301" t="str">
        <f>IF(CALC_EEM!$B291="","",CALC_EEM!K291)</f>
      </c>
      <c r="L301">
        <f>IF(CALC_EEM!$B291="","",CALC_EEM!L291)</f>
      </c>
      <c r="M301">
        <f>IF(CALC_EEM!$B291="","",CALC_EEM!M291)</f>
      </c>
      <c r="N301">
        <f>IF(CALC_EEM!$B291="","",CALC_EEM!N291)</f>
      </c>
      <c r="O301">
        <f>IF(CALC_EEM!$B291="","",CALC_EEM!O291)</f>
      </c>
      <c r="P301">
        <f>IF(CALC_EEM!$B291="","",CALC_EEM!P291)</f>
      </c>
      <c r="Q301">
        <f>IF(CALC_EEM!$B291="","",CALC_EEM!Q291)</f>
      </c>
      <c r="R301">
        <f>IF(CALC_EEM!$B291="","",CALC_EEM!R291)</f>
      </c>
      <c r="S301">
        <f>IF(CALC_EEM!$B291="","",CALC_EEM!S291)</f>
      </c>
      <c r="T301">
        <f>IF(CALC_EEM!$B291="","",CALC_EEM!T291)</f>
      </c>
      <c r="U301">
        <f>IF(CALC_EEM!$B291="","",CALC_EEM!U291)</f>
      </c>
    </row>
    <row r="302" spans="1:24">
      <c r="A302" t="str">
        <f>IF(CALC_EEM!$B292="","",IF(CALC_EEM!A292="GLOBAL","GLOBAL",IF(CALC_EEM!C292="Total","CURSO_TOTAL",IF(CALC_EEM!C292="TotalEsp","CURSO_ESP",IF(CALC_EEM!C292="TotalNoEsp","CURSO_NOESP","CURSO_ASIG")))))</f>
      </c>
      <c r="B302" t="str">
        <f>IF(CALC_EEM!$B292="","",CALC_EEM!A292)</f>
      </c>
      <c r="C302" t="str">
        <f>IF(CALC_EEM!$B292="","",CALC_EEM!B292)</f>
      </c>
      <c r="D302">
        <f>IF(CALC_EEM!$B292="","",CALC_EEM!D292)</f>
      </c>
      <c r="E302" s="14" t="str">
        <f>IF(CALC_EEM!$B292="","",CALC_EEM!E292)</f>
      </c>
      <c r="F302" s="14" t="str">
        <f>IF(CALC_EEM!$B292="","",CALC_EEM!F292)</f>
      </c>
      <c r="G302" t="str">
        <f>IF(CALC_EEM!$B292="","",CALC_EEM!G292)</f>
      </c>
      <c r="H302" s="16" t="str">
        <f>IF(CALC_EEM!$B292="","",CALC_EEM!H292)</f>
      </c>
      <c r="I302" s="16" t="str">
        <f>IF(CALC_EEM!$B292="","",CALC_EEM!I292)</f>
      </c>
      <c r="J302" t="str">
        <f>IF(CALC_EEM!$B292="","",CALC_EEM!J292)</f>
      </c>
      <c r="K302" t="str">
        <f>IF(CALC_EEM!$B292="","",CALC_EEM!K292)</f>
      </c>
      <c r="L302">
        <f>IF(CALC_EEM!$B292="","",CALC_EEM!L292)</f>
      </c>
      <c r="M302">
        <f>IF(CALC_EEM!$B292="","",CALC_EEM!M292)</f>
      </c>
      <c r="N302">
        <f>IF(CALC_EEM!$B292="","",CALC_EEM!N292)</f>
      </c>
      <c r="O302">
        <f>IF(CALC_EEM!$B292="","",CALC_EEM!O292)</f>
      </c>
      <c r="P302">
        <f>IF(CALC_EEM!$B292="","",CALC_EEM!P292)</f>
      </c>
      <c r="Q302">
        <f>IF(CALC_EEM!$B292="","",CALC_EEM!Q292)</f>
      </c>
      <c r="R302">
        <f>IF(CALC_EEM!$B292="","",CALC_EEM!R292)</f>
      </c>
      <c r="S302">
        <f>IF(CALC_EEM!$B292="","",CALC_EEM!S292)</f>
      </c>
      <c r="T302">
        <f>IF(CALC_EEM!$B292="","",CALC_EEM!T292)</f>
      </c>
      <c r="U302">
        <f>IF(CALC_EEM!$B292="","",CALC_EEM!U292)</f>
      </c>
    </row>
    <row r="303" spans="1:24">
      <c r="A303" t="str">
        <f>IF(CALC_EEM!$B293="","",IF(CALC_EEM!A293="GLOBAL","GLOBAL",IF(CALC_EEM!C293="Total","CURSO_TOTAL",IF(CALC_EEM!C293="TotalEsp","CURSO_ESP",IF(CALC_EEM!C293="TotalNoEsp","CURSO_NOESP","CURSO_ASIG")))))</f>
      </c>
      <c r="B303" t="str">
        <f>IF(CALC_EEM!$B293="","",CALC_EEM!A293)</f>
      </c>
      <c r="C303" t="str">
        <f>IF(CALC_EEM!$B293="","",CALC_EEM!B293)</f>
      </c>
      <c r="D303">
        <f>IF(CALC_EEM!$B293="","",CALC_EEM!D293)</f>
      </c>
      <c r="E303" s="14" t="str">
        <f>IF(CALC_EEM!$B293="","",CALC_EEM!E293)</f>
      </c>
      <c r="F303" s="14" t="str">
        <f>IF(CALC_EEM!$B293="","",CALC_EEM!F293)</f>
      </c>
      <c r="G303" t="str">
        <f>IF(CALC_EEM!$B293="","",CALC_EEM!G293)</f>
      </c>
      <c r="H303" s="16" t="str">
        <f>IF(CALC_EEM!$B293="","",CALC_EEM!H293)</f>
      </c>
      <c r="I303" s="16" t="str">
        <f>IF(CALC_EEM!$B293="","",CALC_EEM!I293)</f>
      </c>
      <c r="J303" t="str">
        <f>IF(CALC_EEM!$B293="","",CALC_EEM!J293)</f>
      </c>
      <c r="K303" t="str">
        <f>IF(CALC_EEM!$B293="","",CALC_EEM!K293)</f>
      </c>
      <c r="L303">
        <f>IF(CALC_EEM!$B293="","",CALC_EEM!L293)</f>
      </c>
      <c r="M303">
        <f>IF(CALC_EEM!$B293="","",CALC_EEM!M293)</f>
      </c>
      <c r="N303">
        <f>IF(CALC_EEM!$B293="","",CALC_EEM!N293)</f>
      </c>
      <c r="O303">
        <f>IF(CALC_EEM!$B293="","",CALC_EEM!O293)</f>
      </c>
      <c r="P303">
        <f>IF(CALC_EEM!$B293="","",CALC_EEM!P293)</f>
      </c>
      <c r="Q303">
        <f>IF(CALC_EEM!$B293="","",CALC_EEM!Q293)</f>
      </c>
      <c r="R303">
        <f>IF(CALC_EEM!$B293="","",CALC_EEM!R293)</f>
      </c>
      <c r="S303">
        <f>IF(CALC_EEM!$B293="","",CALC_EEM!S293)</f>
      </c>
      <c r="T303">
        <f>IF(CALC_EEM!$B293="","",CALC_EEM!T293)</f>
      </c>
      <c r="U303">
        <f>IF(CALC_EEM!$B293="","",CALC_EEM!U293)</f>
      </c>
    </row>
    <row r="304" spans="1:24">
      <c r="A304" t="str">
        <f>IF(CALC_EEM!$B294="","",IF(CALC_EEM!A294="GLOBAL","GLOBAL",IF(CALC_EEM!C294="Total","CURSO_TOTAL",IF(CALC_EEM!C294="TotalEsp","CURSO_ESP",IF(CALC_EEM!C294="TotalNoEsp","CURSO_NOESP","CURSO_ASIG")))))</f>
      </c>
      <c r="B304" t="str">
        <f>IF(CALC_EEM!$B294="","",CALC_EEM!A294)</f>
      </c>
      <c r="C304" t="str">
        <f>IF(CALC_EEM!$B294="","",CALC_EEM!B294)</f>
      </c>
      <c r="D304">
        <f>IF(CALC_EEM!$B294="","",CALC_EEM!D294)</f>
      </c>
      <c r="E304" s="14" t="str">
        <f>IF(CALC_EEM!$B294="","",CALC_EEM!E294)</f>
      </c>
      <c r="F304" s="14" t="str">
        <f>IF(CALC_EEM!$B294="","",CALC_EEM!F294)</f>
      </c>
      <c r="G304" t="str">
        <f>IF(CALC_EEM!$B294="","",CALC_EEM!G294)</f>
      </c>
      <c r="H304" s="16" t="str">
        <f>IF(CALC_EEM!$B294="","",CALC_EEM!H294)</f>
      </c>
      <c r="I304" s="16" t="str">
        <f>IF(CALC_EEM!$B294="","",CALC_EEM!I294)</f>
      </c>
      <c r="J304" t="str">
        <f>IF(CALC_EEM!$B294="","",CALC_EEM!J294)</f>
      </c>
      <c r="K304" t="str">
        <f>IF(CALC_EEM!$B294="","",CALC_EEM!K294)</f>
      </c>
      <c r="L304">
        <f>IF(CALC_EEM!$B294="","",CALC_EEM!L294)</f>
      </c>
      <c r="M304">
        <f>IF(CALC_EEM!$B294="","",CALC_EEM!M294)</f>
      </c>
      <c r="N304">
        <f>IF(CALC_EEM!$B294="","",CALC_EEM!N294)</f>
      </c>
      <c r="O304">
        <f>IF(CALC_EEM!$B294="","",CALC_EEM!O294)</f>
      </c>
      <c r="P304">
        <f>IF(CALC_EEM!$B294="","",CALC_EEM!P294)</f>
      </c>
      <c r="Q304">
        <f>IF(CALC_EEM!$B294="","",CALC_EEM!Q294)</f>
      </c>
      <c r="R304">
        <f>IF(CALC_EEM!$B294="","",CALC_EEM!R294)</f>
      </c>
      <c r="S304">
        <f>IF(CALC_EEM!$B294="","",CALC_EEM!S294)</f>
      </c>
      <c r="T304">
        <f>IF(CALC_EEM!$B294="","",CALC_EEM!T294)</f>
      </c>
      <c r="U304">
        <f>IF(CALC_EEM!$B294="","",CALC_EEM!U294)</f>
      </c>
    </row>
    <row r="305" spans="1:24">
      <c r="A305" t="str">
        <f>IF(CALC_EEM!$B295="","",IF(CALC_EEM!A295="GLOBAL","GLOBAL",IF(CALC_EEM!C295="Total","CURSO_TOTAL",IF(CALC_EEM!C295="TotalEsp","CURSO_ESP",IF(CALC_EEM!C295="TotalNoEsp","CURSO_NOESP","CURSO_ASIG")))))</f>
      </c>
      <c r="B305" t="str">
        <f>IF(CALC_EEM!$B295="","",CALC_EEM!A295)</f>
      </c>
      <c r="C305" t="str">
        <f>IF(CALC_EEM!$B295="","",CALC_EEM!B295)</f>
      </c>
      <c r="D305">
        <f>IF(CALC_EEM!$B295="","",CALC_EEM!D295)</f>
      </c>
      <c r="E305" s="14" t="str">
        <f>IF(CALC_EEM!$B295="","",CALC_EEM!E295)</f>
      </c>
      <c r="F305" s="14" t="str">
        <f>IF(CALC_EEM!$B295="","",CALC_EEM!F295)</f>
      </c>
      <c r="G305" t="str">
        <f>IF(CALC_EEM!$B295="","",CALC_EEM!G295)</f>
      </c>
      <c r="H305" s="16" t="str">
        <f>IF(CALC_EEM!$B295="","",CALC_EEM!H295)</f>
      </c>
      <c r="I305" s="16" t="str">
        <f>IF(CALC_EEM!$B295="","",CALC_EEM!I295)</f>
      </c>
      <c r="J305" t="str">
        <f>IF(CALC_EEM!$B295="","",CALC_EEM!J295)</f>
      </c>
      <c r="K305" t="str">
        <f>IF(CALC_EEM!$B295="","",CALC_EEM!K295)</f>
      </c>
      <c r="L305">
        <f>IF(CALC_EEM!$B295="","",CALC_EEM!L295)</f>
      </c>
      <c r="M305">
        <f>IF(CALC_EEM!$B295="","",CALC_EEM!M295)</f>
      </c>
      <c r="N305">
        <f>IF(CALC_EEM!$B295="","",CALC_EEM!N295)</f>
      </c>
      <c r="O305">
        <f>IF(CALC_EEM!$B295="","",CALC_EEM!O295)</f>
      </c>
      <c r="P305">
        <f>IF(CALC_EEM!$B295="","",CALC_EEM!P295)</f>
      </c>
      <c r="Q305">
        <f>IF(CALC_EEM!$B295="","",CALC_EEM!Q295)</f>
      </c>
      <c r="R305">
        <f>IF(CALC_EEM!$B295="","",CALC_EEM!R295)</f>
      </c>
      <c r="S305">
        <f>IF(CALC_EEM!$B295="","",CALC_EEM!S295)</f>
      </c>
      <c r="T305">
        <f>IF(CALC_EEM!$B295="","",CALC_EEM!T295)</f>
      </c>
      <c r="U305">
        <f>IF(CALC_EEM!$B295="","",CALC_EEM!U295)</f>
      </c>
    </row>
    <row r="306" spans="1:24">
      <c r="A306" t="str">
        <f>IF(CALC_EEM!$B296="","",IF(CALC_EEM!A296="GLOBAL","GLOBAL",IF(CALC_EEM!C296="Total","CURSO_TOTAL",IF(CALC_EEM!C296="TotalEsp","CURSO_ESP",IF(CALC_EEM!C296="TotalNoEsp","CURSO_NOESP","CURSO_ASIG")))))</f>
      </c>
      <c r="B306" t="str">
        <f>IF(CALC_EEM!$B296="","",CALC_EEM!A296)</f>
      </c>
      <c r="C306" t="str">
        <f>IF(CALC_EEM!$B296="","",CALC_EEM!B296)</f>
      </c>
      <c r="D306">
        <f>IF(CALC_EEM!$B296="","",CALC_EEM!D296)</f>
      </c>
      <c r="E306" s="14" t="str">
        <f>IF(CALC_EEM!$B296="","",CALC_EEM!E296)</f>
      </c>
      <c r="F306" s="14" t="str">
        <f>IF(CALC_EEM!$B296="","",CALC_EEM!F296)</f>
      </c>
      <c r="G306" t="str">
        <f>IF(CALC_EEM!$B296="","",CALC_EEM!G296)</f>
      </c>
      <c r="H306" s="16" t="str">
        <f>IF(CALC_EEM!$B296="","",CALC_EEM!H296)</f>
      </c>
      <c r="I306" s="16" t="str">
        <f>IF(CALC_EEM!$B296="","",CALC_EEM!I296)</f>
      </c>
      <c r="J306" t="str">
        <f>IF(CALC_EEM!$B296="","",CALC_EEM!J296)</f>
      </c>
      <c r="K306" t="str">
        <f>IF(CALC_EEM!$B296="","",CALC_EEM!K296)</f>
      </c>
      <c r="L306">
        <f>IF(CALC_EEM!$B296="","",CALC_EEM!L296)</f>
      </c>
      <c r="M306">
        <f>IF(CALC_EEM!$B296="","",CALC_EEM!M296)</f>
      </c>
      <c r="N306">
        <f>IF(CALC_EEM!$B296="","",CALC_EEM!N296)</f>
      </c>
      <c r="O306">
        <f>IF(CALC_EEM!$B296="","",CALC_EEM!O296)</f>
      </c>
      <c r="P306">
        <f>IF(CALC_EEM!$B296="","",CALC_EEM!P296)</f>
      </c>
      <c r="Q306">
        <f>IF(CALC_EEM!$B296="","",CALC_EEM!Q296)</f>
      </c>
      <c r="R306">
        <f>IF(CALC_EEM!$B296="","",CALC_EEM!R296)</f>
      </c>
      <c r="S306">
        <f>IF(CALC_EEM!$B296="","",CALC_EEM!S296)</f>
      </c>
      <c r="T306">
        <f>IF(CALC_EEM!$B296="","",CALC_EEM!T296)</f>
      </c>
      <c r="U306">
        <f>IF(CALC_EEM!$B296="","",CALC_EEM!U296)</f>
      </c>
    </row>
    <row r="307" spans="1:24">
      <c r="A307" t="str">
        <f>IF(CALC_EEM!$B297="","",IF(CALC_EEM!A297="GLOBAL","GLOBAL",IF(CALC_EEM!C297="Total","CURSO_TOTAL",IF(CALC_EEM!C297="TotalEsp","CURSO_ESP",IF(CALC_EEM!C297="TotalNoEsp","CURSO_NOESP","CURSO_ASIG")))))</f>
      </c>
      <c r="B307" t="str">
        <f>IF(CALC_EEM!$B297="","",CALC_EEM!A297)</f>
      </c>
      <c r="C307" t="str">
        <f>IF(CALC_EEM!$B297="","",CALC_EEM!B297)</f>
      </c>
      <c r="D307">
        <f>IF(CALC_EEM!$B297="","",CALC_EEM!D297)</f>
      </c>
      <c r="E307" s="14" t="str">
        <f>IF(CALC_EEM!$B297="","",CALC_EEM!E297)</f>
      </c>
      <c r="F307" s="14" t="str">
        <f>IF(CALC_EEM!$B297="","",CALC_EEM!F297)</f>
      </c>
      <c r="G307" t="str">
        <f>IF(CALC_EEM!$B297="","",CALC_EEM!G297)</f>
      </c>
      <c r="H307" s="16" t="str">
        <f>IF(CALC_EEM!$B297="","",CALC_EEM!H297)</f>
      </c>
      <c r="I307" s="16" t="str">
        <f>IF(CALC_EEM!$B297="","",CALC_EEM!I297)</f>
      </c>
      <c r="J307" t="str">
        <f>IF(CALC_EEM!$B297="","",CALC_EEM!J297)</f>
      </c>
      <c r="K307" t="str">
        <f>IF(CALC_EEM!$B297="","",CALC_EEM!K297)</f>
      </c>
      <c r="L307">
        <f>IF(CALC_EEM!$B297="","",CALC_EEM!L297)</f>
      </c>
      <c r="M307">
        <f>IF(CALC_EEM!$B297="","",CALC_EEM!M297)</f>
      </c>
      <c r="N307">
        <f>IF(CALC_EEM!$B297="","",CALC_EEM!N297)</f>
      </c>
      <c r="O307">
        <f>IF(CALC_EEM!$B297="","",CALC_EEM!O297)</f>
      </c>
      <c r="P307">
        <f>IF(CALC_EEM!$B297="","",CALC_EEM!P297)</f>
      </c>
      <c r="Q307">
        <f>IF(CALC_EEM!$B297="","",CALC_EEM!Q297)</f>
      </c>
      <c r="R307">
        <f>IF(CALC_EEM!$B297="","",CALC_EEM!R297)</f>
      </c>
      <c r="S307">
        <f>IF(CALC_EEM!$B297="","",CALC_EEM!S297)</f>
      </c>
      <c r="T307">
        <f>IF(CALC_EEM!$B297="","",CALC_EEM!T297)</f>
      </c>
      <c r="U307">
        <f>IF(CALC_EEM!$B297="","",CALC_EEM!U297)</f>
      </c>
    </row>
    <row r="308" spans="1:24">
      <c r="A308" t="str">
        <f>IF(CALC_EEM!$B298="","",IF(CALC_EEM!A298="GLOBAL","GLOBAL",IF(CALC_EEM!C298="Total","CURSO_TOTAL",IF(CALC_EEM!C298="TotalEsp","CURSO_ESP",IF(CALC_EEM!C298="TotalNoEsp","CURSO_NOESP","CURSO_ASIG")))))</f>
      </c>
      <c r="B308" t="str">
        <f>IF(CALC_EEM!$B298="","",CALC_EEM!A298)</f>
      </c>
      <c r="C308" t="str">
        <f>IF(CALC_EEM!$B298="","",CALC_EEM!B298)</f>
      </c>
      <c r="D308">
        <f>IF(CALC_EEM!$B298="","",CALC_EEM!D298)</f>
      </c>
      <c r="E308" s="14" t="str">
        <f>IF(CALC_EEM!$B298="","",CALC_EEM!E298)</f>
      </c>
      <c r="F308" s="14" t="str">
        <f>IF(CALC_EEM!$B298="","",CALC_EEM!F298)</f>
      </c>
      <c r="G308" t="str">
        <f>IF(CALC_EEM!$B298="","",CALC_EEM!G298)</f>
      </c>
      <c r="H308" s="16" t="str">
        <f>IF(CALC_EEM!$B298="","",CALC_EEM!H298)</f>
      </c>
      <c r="I308" s="16" t="str">
        <f>IF(CALC_EEM!$B298="","",CALC_EEM!I298)</f>
      </c>
      <c r="J308" t="str">
        <f>IF(CALC_EEM!$B298="","",CALC_EEM!J298)</f>
      </c>
      <c r="K308" t="str">
        <f>IF(CALC_EEM!$B298="","",CALC_EEM!K298)</f>
      </c>
      <c r="L308">
        <f>IF(CALC_EEM!$B298="","",CALC_EEM!L298)</f>
      </c>
      <c r="M308">
        <f>IF(CALC_EEM!$B298="","",CALC_EEM!M298)</f>
      </c>
      <c r="N308">
        <f>IF(CALC_EEM!$B298="","",CALC_EEM!N298)</f>
      </c>
      <c r="O308">
        <f>IF(CALC_EEM!$B298="","",CALC_EEM!O298)</f>
      </c>
      <c r="P308">
        <f>IF(CALC_EEM!$B298="","",CALC_EEM!P298)</f>
      </c>
      <c r="Q308">
        <f>IF(CALC_EEM!$B298="","",CALC_EEM!Q298)</f>
      </c>
      <c r="R308">
        <f>IF(CALC_EEM!$B298="","",CALC_EEM!R298)</f>
      </c>
      <c r="S308">
        <f>IF(CALC_EEM!$B298="","",CALC_EEM!S298)</f>
      </c>
      <c r="T308">
        <f>IF(CALC_EEM!$B298="","",CALC_EEM!T298)</f>
      </c>
      <c r="U308">
        <f>IF(CALC_EEM!$B298="","",CALC_EEM!U298)</f>
      </c>
    </row>
    <row r="309" spans="1:24">
      <c r="A309" t="str">
        <f>IF(CALC_EEM!$B299="","",IF(CALC_EEM!A299="GLOBAL","GLOBAL",IF(CALC_EEM!C299="Total","CURSO_TOTAL",IF(CALC_EEM!C299="TotalEsp","CURSO_ESP",IF(CALC_EEM!C299="TotalNoEsp","CURSO_NOESP","CURSO_ASIG")))))</f>
      </c>
      <c r="B309" t="str">
        <f>IF(CALC_EEM!$B299="","",CALC_EEM!A299)</f>
      </c>
      <c r="C309" t="str">
        <f>IF(CALC_EEM!$B299="","",CALC_EEM!B299)</f>
      </c>
      <c r="D309">
        <f>IF(CALC_EEM!$B299="","",CALC_EEM!D299)</f>
      </c>
      <c r="E309" s="14" t="str">
        <f>IF(CALC_EEM!$B299="","",CALC_EEM!E299)</f>
      </c>
      <c r="F309" s="14" t="str">
        <f>IF(CALC_EEM!$B299="","",CALC_EEM!F299)</f>
      </c>
      <c r="G309" t="str">
        <f>IF(CALC_EEM!$B299="","",CALC_EEM!G299)</f>
      </c>
      <c r="H309" s="16" t="str">
        <f>IF(CALC_EEM!$B299="","",CALC_EEM!H299)</f>
      </c>
      <c r="I309" s="16" t="str">
        <f>IF(CALC_EEM!$B299="","",CALC_EEM!I299)</f>
      </c>
      <c r="J309" t="str">
        <f>IF(CALC_EEM!$B299="","",CALC_EEM!J299)</f>
      </c>
      <c r="K309" t="str">
        <f>IF(CALC_EEM!$B299="","",CALC_EEM!K299)</f>
      </c>
      <c r="L309">
        <f>IF(CALC_EEM!$B299="","",CALC_EEM!L299)</f>
      </c>
      <c r="M309">
        <f>IF(CALC_EEM!$B299="","",CALC_EEM!M299)</f>
      </c>
      <c r="N309">
        <f>IF(CALC_EEM!$B299="","",CALC_EEM!N299)</f>
      </c>
      <c r="O309">
        <f>IF(CALC_EEM!$B299="","",CALC_EEM!O299)</f>
      </c>
      <c r="P309">
        <f>IF(CALC_EEM!$B299="","",CALC_EEM!P299)</f>
      </c>
      <c r="Q309">
        <f>IF(CALC_EEM!$B299="","",CALC_EEM!Q299)</f>
      </c>
      <c r="R309">
        <f>IF(CALC_EEM!$B299="","",CALC_EEM!R299)</f>
      </c>
      <c r="S309">
        <f>IF(CALC_EEM!$B299="","",CALC_EEM!S299)</f>
      </c>
      <c r="T309">
        <f>IF(CALC_EEM!$B299="","",CALC_EEM!T299)</f>
      </c>
      <c r="U309">
        <f>IF(CALC_EEM!$B299="","",CALC_EEM!U299)</f>
      </c>
    </row>
    <row r="310" spans="1:24">
      <c r="A310" t="str">
        <f>IF(CALC_EEM!$B300="","",IF(CALC_EEM!A300="GLOBAL","GLOBAL",IF(CALC_EEM!C300="Total","CURSO_TOTAL",IF(CALC_EEM!C300="TotalEsp","CURSO_ESP",IF(CALC_EEM!C300="TotalNoEsp","CURSO_NOESP","CURSO_ASIG")))))</f>
      </c>
      <c r="B310" t="str">
        <f>IF(CALC_EEM!$B300="","",CALC_EEM!A300)</f>
      </c>
      <c r="C310" t="str">
        <f>IF(CALC_EEM!$B300="","",CALC_EEM!B300)</f>
      </c>
      <c r="D310">
        <f>IF(CALC_EEM!$B300="","",CALC_EEM!D300)</f>
      </c>
      <c r="E310" s="14" t="str">
        <f>IF(CALC_EEM!$B300="","",CALC_EEM!E300)</f>
      </c>
      <c r="F310" s="14" t="str">
        <f>IF(CALC_EEM!$B300="","",CALC_EEM!F300)</f>
      </c>
      <c r="G310" t="str">
        <f>IF(CALC_EEM!$B300="","",CALC_EEM!G300)</f>
      </c>
      <c r="H310" s="16" t="str">
        <f>IF(CALC_EEM!$B300="","",CALC_EEM!H300)</f>
      </c>
      <c r="I310" s="16" t="str">
        <f>IF(CALC_EEM!$B300="","",CALC_EEM!I300)</f>
      </c>
      <c r="J310" t="str">
        <f>IF(CALC_EEM!$B300="","",CALC_EEM!J300)</f>
      </c>
      <c r="K310" t="str">
        <f>IF(CALC_EEM!$B300="","",CALC_EEM!K300)</f>
      </c>
      <c r="L310">
        <f>IF(CALC_EEM!$B300="","",CALC_EEM!L300)</f>
      </c>
      <c r="M310">
        <f>IF(CALC_EEM!$B300="","",CALC_EEM!M300)</f>
      </c>
      <c r="N310">
        <f>IF(CALC_EEM!$B300="","",CALC_EEM!N300)</f>
      </c>
      <c r="O310">
        <f>IF(CALC_EEM!$B300="","",CALC_EEM!O300)</f>
      </c>
      <c r="P310">
        <f>IF(CALC_EEM!$B300="","",CALC_EEM!P300)</f>
      </c>
      <c r="Q310">
        <f>IF(CALC_EEM!$B300="","",CALC_EEM!Q300)</f>
      </c>
      <c r="R310">
        <f>IF(CALC_EEM!$B300="","",CALC_EEM!R300)</f>
      </c>
      <c r="S310">
        <f>IF(CALC_EEM!$B300="","",CALC_EEM!S300)</f>
      </c>
      <c r="T310">
        <f>IF(CALC_EEM!$B300="","",CALC_EEM!T300)</f>
      </c>
      <c r="U310">
        <f>IF(CALC_EEM!$B300="","",CALC_EEM!U300)</f>
      </c>
    </row>
    <row r="311" spans="1:24">
      <c r="A311" t="str">
        <f>IF(CALC_EEM!$B301="","",IF(CALC_EEM!A301="GLOBAL","GLOBAL",IF(CALC_EEM!C301="Total","CURSO_TOTAL",IF(CALC_EEM!C301="TotalEsp","CURSO_ESP",IF(CALC_EEM!C301="TotalNoEsp","CURSO_NOESP","CURSO_ASIG")))))</f>
      </c>
      <c r="B311" t="str">
        <f>IF(CALC_EEM!$B301="","",CALC_EEM!A301)</f>
      </c>
      <c r="C311" t="str">
        <f>IF(CALC_EEM!$B301="","",CALC_EEM!B301)</f>
      </c>
      <c r="D311">
        <f>IF(CALC_EEM!$B301="","",CALC_EEM!D301)</f>
      </c>
      <c r="E311" s="14" t="str">
        <f>IF(CALC_EEM!$B301="","",CALC_EEM!E301)</f>
      </c>
      <c r="F311" s="14" t="str">
        <f>IF(CALC_EEM!$B301="","",CALC_EEM!F301)</f>
      </c>
      <c r="G311" t="str">
        <f>IF(CALC_EEM!$B301="","",CALC_EEM!G301)</f>
      </c>
      <c r="H311" s="16" t="str">
        <f>IF(CALC_EEM!$B301="","",CALC_EEM!H301)</f>
      </c>
      <c r="I311" s="16" t="str">
        <f>IF(CALC_EEM!$B301="","",CALC_EEM!I301)</f>
      </c>
      <c r="J311" t="str">
        <f>IF(CALC_EEM!$B301="","",CALC_EEM!J301)</f>
      </c>
      <c r="K311" t="str">
        <f>IF(CALC_EEM!$B301="","",CALC_EEM!K301)</f>
      </c>
      <c r="L311">
        <f>IF(CALC_EEM!$B301="","",CALC_EEM!L301)</f>
      </c>
      <c r="M311">
        <f>IF(CALC_EEM!$B301="","",CALC_EEM!M301)</f>
      </c>
      <c r="N311">
        <f>IF(CALC_EEM!$B301="","",CALC_EEM!N301)</f>
      </c>
      <c r="O311">
        <f>IF(CALC_EEM!$B301="","",CALC_EEM!O301)</f>
      </c>
      <c r="P311">
        <f>IF(CALC_EEM!$B301="","",CALC_EEM!P301)</f>
      </c>
      <c r="Q311">
        <f>IF(CALC_EEM!$B301="","",CALC_EEM!Q301)</f>
      </c>
      <c r="R311">
        <f>IF(CALC_EEM!$B301="","",CALC_EEM!R301)</f>
      </c>
      <c r="S311">
        <f>IF(CALC_EEM!$B301="","",CALC_EEM!S301)</f>
      </c>
      <c r="T311">
        <f>IF(CALC_EEM!$B301="","",CALC_EEM!T301)</f>
      </c>
      <c r="U311">
        <f>IF(CALC_EEM!$B301="","",CALC_EEM!U301)</f>
      </c>
    </row>
    <row r="312" spans="1:24">
      <c r="A312" t="str">
        <f>IF(CALC_EEM!$B302="","",IF(CALC_EEM!A302="GLOBAL","GLOBAL",IF(CALC_EEM!C302="Total","CURSO_TOTAL",IF(CALC_EEM!C302="TotalEsp","CURSO_ESP",IF(CALC_EEM!C302="TotalNoEsp","CURSO_NOESP","CURSO_ASIG")))))</f>
      </c>
      <c r="B312" t="str">
        <f>IF(CALC_EEM!$B302="","",CALC_EEM!A302)</f>
      </c>
      <c r="C312" t="str">
        <f>IF(CALC_EEM!$B302="","",CALC_EEM!B302)</f>
      </c>
      <c r="D312">
        <f>IF(CALC_EEM!$B302="","",CALC_EEM!D302)</f>
      </c>
      <c r="E312" s="14" t="str">
        <f>IF(CALC_EEM!$B302="","",CALC_EEM!E302)</f>
      </c>
      <c r="F312" s="14" t="str">
        <f>IF(CALC_EEM!$B302="","",CALC_EEM!F302)</f>
      </c>
      <c r="G312" t="str">
        <f>IF(CALC_EEM!$B302="","",CALC_EEM!G302)</f>
      </c>
      <c r="H312" s="16" t="str">
        <f>IF(CALC_EEM!$B302="","",CALC_EEM!H302)</f>
      </c>
      <c r="I312" s="16" t="str">
        <f>IF(CALC_EEM!$B302="","",CALC_EEM!I302)</f>
      </c>
      <c r="J312" t="str">
        <f>IF(CALC_EEM!$B302="","",CALC_EEM!J302)</f>
      </c>
      <c r="K312" t="str">
        <f>IF(CALC_EEM!$B302="","",CALC_EEM!K302)</f>
      </c>
      <c r="L312">
        <f>IF(CALC_EEM!$B302="","",CALC_EEM!L302)</f>
      </c>
      <c r="M312">
        <f>IF(CALC_EEM!$B302="","",CALC_EEM!M302)</f>
      </c>
      <c r="N312">
        <f>IF(CALC_EEM!$B302="","",CALC_EEM!N302)</f>
      </c>
      <c r="O312">
        <f>IF(CALC_EEM!$B302="","",CALC_EEM!O302)</f>
      </c>
      <c r="P312">
        <f>IF(CALC_EEM!$B302="","",CALC_EEM!P302)</f>
      </c>
      <c r="Q312">
        <f>IF(CALC_EEM!$B302="","",CALC_EEM!Q302)</f>
      </c>
      <c r="R312">
        <f>IF(CALC_EEM!$B302="","",CALC_EEM!R302)</f>
      </c>
      <c r="S312">
        <f>IF(CALC_EEM!$B302="","",CALC_EEM!S302)</f>
      </c>
      <c r="T312">
        <f>IF(CALC_EEM!$B302="","",CALC_EEM!T302)</f>
      </c>
      <c r="U312">
        <f>IF(CALC_EEM!$B302="","",CALC_EEM!U302)</f>
      </c>
    </row>
    <row r="313" spans="1:24">
      <c r="A313" t="str">
        <f>IF(CALC_EEM!$B303="","",IF(CALC_EEM!A303="GLOBAL","GLOBAL",IF(CALC_EEM!C303="Total","CURSO_TOTAL",IF(CALC_EEM!C303="TotalEsp","CURSO_ESP",IF(CALC_EEM!C303="TotalNoEsp","CURSO_NOESP","CURSO_ASIG")))))</f>
      </c>
      <c r="B313" t="str">
        <f>IF(CALC_EEM!$B303="","",CALC_EEM!A303)</f>
      </c>
      <c r="C313" t="str">
        <f>IF(CALC_EEM!$B303="","",CALC_EEM!B303)</f>
      </c>
      <c r="D313">
        <f>IF(CALC_EEM!$B303="","",CALC_EEM!D303)</f>
      </c>
      <c r="E313" s="14" t="str">
        <f>IF(CALC_EEM!$B303="","",CALC_EEM!E303)</f>
      </c>
      <c r="F313" s="14" t="str">
        <f>IF(CALC_EEM!$B303="","",CALC_EEM!F303)</f>
      </c>
      <c r="G313" t="str">
        <f>IF(CALC_EEM!$B303="","",CALC_EEM!G303)</f>
      </c>
      <c r="H313" s="16" t="str">
        <f>IF(CALC_EEM!$B303="","",CALC_EEM!H303)</f>
      </c>
      <c r="I313" s="16" t="str">
        <f>IF(CALC_EEM!$B303="","",CALC_EEM!I303)</f>
      </c>
      <c r="J313" t="str">
        <f>IF(CALC_EEM!$B303="","",CALC_EEM!J303)</f>
      </c>
      <c r="K313" t="str">
        <f>IF(CALC_EEM!$B303="","",CALC_EEM!K303)</f>
      </c>
      <c r="L313">
        <f>IF(CALC_EEM!$B303="","",CALC_EEM!L303)</f>
      </c>
      <c r="M313">
        <f>IF(CALC_EEM!$B303="","",CALC_EEM!M303)</f>
      </c>
      <c r="N313">
        <f>IF(CALC_EEM!$B303="","",CALC_EEM!N303)</f>
      </c>
      <c r="O313">
        <f>IF(CALC_EEM!$B303="","",CALC_EEM!O303)</f>
      </c>
      <c r="P313">
        <f>IF(CALC_EEM!$B303="","",CALC_EEM!P303)</f>
      </c>
      <c r="Q313">
        <f>IF(CALC_EEM!$B303="","",CALC_EEM!Q303)</f>
      </c>
      <c r="R313">
        <f>IF(CALC_EEM!$B303="","",CALC_EEM!R303)</f>
      </c>
      <c r="S313">
        <f>IF(CALC_EEM!$B303="","",CALC_EEM!S303)</f>
      </c>
      <c r="T313">
        <f>IF(CALC_EEM!$B303="","",CALC_EEM!T303)</f>
      </c>
      <c r="U313">
        <f>IF(CALC_EEM!$B303="","",CALC_EEM!U303)</f>
      </c>
    </row>
    <row r="314" spans="1:24">
      <c r="A314" t="str">
        <f>IF(CALC_EEM!$B304="","",IF(CALC_EEM!A304="GLOBAL","GLOBAL",IF(CALC_EEM!C304="Total","CURSO_TOTAL",IF(CALC_EEM!C304="TotalEsp","CURSO_ESP",IF(CALC_EEM!C304="TotalNoEsp","CURSO_NOESP","CURSO_ASIG")))))</f>
      </c>
      <c r="B314" t="str">
        <f>IF(CALC_EEM!$B304="","",CALC_EEM!A304)</f>
      </c>
      <c r="C314" t="str">
        <f>IF(CALC_EEM!$B304="","",CALC_EEM!B304)</f>
      </c>
      <c r="D314">
        <f>IF(CALC_EEM!$B304="","",CALC_EEM!D304)</f>
      </c>
      <c r="E314" s="14" t="str">
        <f>IF(CALC_EEM!$B304="","",CALC_EEM!E304)</f>
      </c>
      <c r="F314" s="14" t="str">
        <f>IF(CALC_EEM!$B304="","",CALC_EEM!F304)</f>
      </c>
      <c r="G314" t="str">
        <f>IF(CALC_EEM!$B304="","",CALC_EEM!G304)</f>
      </c>
      <c r="H314" s="16" t="str">
        <f>IF(CALC_EEM!$B304="","",CALC_EEM!H304)</f>
      </c>
      <c r="I314" s="16" t="str">
        <f>IF(CALC_EEM!$B304="","",CALC_EEM!I304)</f>
      </c>
      <c r="J314" t="str">
        <f>IF(CALC_EEM!$B304="","",CALC_EEM!J304)</f>
      </c>
      <c r="K314" t="str">
        <f>IF(CALC_EEM!$B304="","",CALC_EEM!K304)</f>
      </c>
      <c r="L314">
        <f>IF(CALC_EEM!$B304="","",CALC_EEM!L304)</f>
      </c>
      <c r="M314">
        <f>IF(CALC_EEM!$B304="","",CALC_EEM!M304)</f>
      </c>
      <c r="N314">
        <f>IF(CALC_EEM!$B304="","",CALC_EEM!N304)</f>
      </c>
      <c r="O314">
        <f>IF(CALC_EEM!$B304="","",CALC_EEM!O304)</f>
      </c>
      <c r="P314">
        <f>IF(CALC_EEM!$B304="","",CALC_EEM!P304)</f>
      </c>
      <c r="Q314">
        <f>IF(CALC_EEM!$B304="","",CALC_EEM!Q304)</f>
      </c>
      <c r="R314">
        <f>IF(CALC_EEM!$B304="","",CALC_EEM!R304)</f>
      </c>
      <c r="S314">
        <f>IF(CALC_EEM!$B304="","",CALC_EEM!S304)</f>
      </c>
      <c r="T314">
        <f>IF(CALC_EEM!$B304="","",CALC_EEM!T304)</f>
      </c>
      <c r="U314">
        <f>IF(CALC_EEM!$B304="","",CALC_EEM!U304)</f>
      </c>
    </row>
    <row r="315" spans="1:24">
      <c r="A315" t="str">
        <f>IF(CALC_EEM!$B305="","",IF(CALC_EEM!A305="GLOBAL","GLOBAL",IF(CALC_EEM!C305="Total","CURSO_TOTAL",IF(CALC_EEM!C305="TotalEsp","CURSO_ESP",IF(CALC_EEM!C305="TotalNoEsp","CURSO_NOESP","CURSO_ASIG")))))</f>
      </c>
      <c r="B315" t="str">
        <f>IF(CALC_EEM!$B305="","",CALC_EEM!A305)</f>
      </c>
      <c r="C315" t="str">
        <f>IF(CALC_EEM!$B305="","",CALC_EEM!B305)</f>
      </c>
      <c r="D315">
        <f>IF(CALC_EEM!$B305="","",CALC_EEM!D305)</f>
      </c>
      <c r="E315" s="14" t="str">
        <f>IF(CALC_EEM!$B305="","",CALC_EEM!E305)</f>
      </c>
      <c r="F315" s="14" t="str">
        <f>IF(CALC_EEM!$B305="","",CALC_EEM!F305)</f>
      </c>
      <c r="G315" t="str">
        <f>IF(CALC_EEM!$B305="","",CALC_EEM!G305)</f>
      </c>
      <c r="H315" s="16" t="str">
        <f>IF(CALC_EEM!$B305="","",CALC_EEM!H305)</f>
      </c>
      <c r="I315" s="16" t="str">
        <f>IF(CALC_EEM!$B305="","",CALC_EEM!I305)</f>
      </c>
      <c r="J315" t="str">
        <f>IF(CALC_EEM!$B305="","",CALC_EEM!J305)</f>
      </c>
      <c r="K315" t="str">
        <f>IF(CALC_EEM!$B305="","",CALC_EEM!K305)</f>
      </c>
      <c r="L315">
        <f>IF(CALC_EEM!$B305="","",CALC_EEM!L305)</f>
      </c>
      <c r="M315">
        <f>IF(CALC_EEM!$B305="","",CALC_EEM!M305)</f>
      </c>
      <c r="N315">
        <f>IF(CALC_EEM!$B305="","",CALC_EEM!N305)</f>
      </c>
      <c r="O315">
        <f>IF(CALC_EEM!$B305="","",CALC_EEM!O305)</f>
      </c>
      <c r="P315">
        <f>IF(CALC_EEM!$B305="","",CALC_EEM!P305)</f>
      </c>
      <c r="Q315">
        <f>IF(CALC_EEM!$B305="","",CALC_EEM!Q305)</f>
      </c>
      <c r="R315">
        <f>IF(CALC_EEM!$B305="","",CALC_EEM!R305)</f>
      </c>
      <c r="S315">
        <f>IF(CALC_EEM!$B305="","",CALC_EEM!S305)</f>
      </c>
      <c r="T315">
        <f>IF(CALC_EEM!$B305="","",CALC_EEM!T305)</f>
      </c>
      <c r="U315">
        <f>IF(CALC_EEM!$B305="","",CALC_EEM!U305)</f>
      </c>
    </row>
    <row r="316" spans="1:24">
      <c r="A316" t="str">
        <f>IF(CALC_EEM!$B306="","",IF(CALC_EEM!A306="GLOBAL","GLOBAL",IF(CALC_EEM!C306="Total","CURSO_TOTAL",IF(CALC_EEM!C306="TotalEsp","CURSO_ESP",IF(CALC_EEM!C306="TotalNoEsp","CURSO_NOESP","CURSO_ASIG")))))</f>
      </c>
      <c r="B316" t="str">
        <f>IF(CALC_EEM!$B306="","",CALC_EEM!A306)</f>
      </c>
      <c r="C316" t="str">
        <f>IF(CALC_EEM!$B306="","",CALC_EEM!B306)</f>
      </c>
      <c r="D316">
        <f>IF(CALC_EEM!$B306="","",CALC_EEM!D306)</f>
      </c>
      <c r="E316" s="14" t="str">
        <f>IF(CALC_EEM!$B306="","",CALC_EEM!E306)</f>
      </c>
      <c r="F316" s="14" t="str">
        <f>IF(CALC_EEM!$B306="","",CALC_EEM!F306)</f>
      </c>
      <c r="G316" t="str">
        <f>IF(CALC_EEM!$B306="","",CALC_EEM!G306)</f>
      </c>
      <c r="H316" s="16" t="str">
        <f>IF(CALC_EEM!$B306="","",CALC_EEM!H306)</f>
      </c>
      <c r="I316" s="16" t="str">
        <f>IF(CALC_EEM!$B306="","",CALC_EEM!I306)</f>
      </c>
      <c r="J316" t="str">
        <f>IF(CALC_EEM!$B306="","",CALC_EEM!J306)</f>
      </c>
      <c r="K316" t="str">
        <f>IF(CALC_EEM!$B306="","",CALC_EEM!K306)</f>
      </c>
      <c r="L316">
        <f>IF(CALC_EEM!$B306="","",CALC_EEM!L306)</f>
      </c>
      <c r="M316">
        <f>IF(CALC_EEM!$B306="","",CALC_EEM!M306)</f>
      </c>
      <c r="N316">
        <f>IF(CALC_EEM!$B306="","",CALC_EEM!N306)</f>
      </c>
      <c r="O316">
        <f>IF(CALC_EEM!$B306="","",CALC_EEM!O306)</f>
      </c>
      <c r="P316">
        <f>IF(CALC_EEM!$B306="","",CALC_EEM!P306)</f>
      </c>
      <c r="Q316">
        <f>IF(CALC_EEM!$B306="","",CALC_EEM!Q306)</f>
      </c>
      <c r="R316">
        <f>IF(CALC_EEM!$B306="","",CALC_EEM!R306)</f>
      </c>
      <c r="S316">
        <f>IF(CALC_EEM!$B306="","",CALC_EEM!S306)</f>
      </c>
      <c r="T316">
        <f>IF(CALC_EEM!$B306="","",CALC_EEM!T306)</f>
      </c>
      <c r="U316">
        <f>IF(CALC_EEM!$B306="","",CALC_EEM!U306)</f>
      </c>
    </row>
    <row r="317" spans="1:24">
      <c r="A317" t="str">
        <f>IF(CALC_EEM!$B307="","",IF(CALC_EEM!A307="GLOBAL","GLOBAL",IF(CALC_EEM!C307="Total","CURSO_TOTAL",IF(CALC_EEM!C307="TotalEsp","CURSO_ESP",IF(CALC_EEM!C307="TotalNoEsp","CURSO_NOESP","CURSO_ASIG")))))</f>
      </c>
      <c r="B317" t="str">
        <f>IF(CALC_EEM!$B307="","",CALC_EEM!A307)</f>
      </c>
      <c r="C317" t="str">
        <f>IF(CALC_EEM!$B307="","",CALC_EEM!B307)</f>
      </c>
      <c r="D317">
        <f>IF(CALC_EEM!$B307="","",CALC_EEM!D307)</f>
      </c>
      <c r="E317" s="14" t="str">
        <f>IF(CALC_EEM!$B307="","",CALC_EEM!E307)</f>
      </c>
      <c r="F317" s="14" t="str">
        <f>IF(CALC_EEM!$B307="","",CALC_EEM!F307)</f>
      </c>
      <c r="G317" t="str">
        <f>IF(CALC_EEM!$B307="","",CALC_EEM!G307)</f>
      </c>
      <c r="H317" s="16" t="str">
        <f>IF(CALC_EEM!$B307="","",CALC_EEM!H307)</f>
      </c>
      <c r="I317" s="16" t="str">
        <f>IF(CALC_EEM!$B307="","",CALC_EEM!I307)</f>
      </c>
      <c r="J317" t="str">
        <f>IF(CALC_EEM!$B307="","",CALC_EEM!J307)</f>
      </c>
      <c r="K317" t="str">
        <f>IF(CALC_EEM!$B307="","",CALC_EEM!K307)</f>
      </c>
      <c r="L317">
        <f>IF(CALC_EEM!$B307="","",CALC_EEM!L307)</f>
      </c>
      <c r="M317">
        <f>IF(CALC_EEM!$B307="","",CALC_EEM!M307)</f>
      </c>
      <c r="N317">
        <f>IF(CALC_EEM!$B307="","",CALC_EEM!N307)</f>
      </c>
      <c r="O317">
        <f>IF(CALC_EEM!$B307="","",CALC_EEM!O307)</f>
      </c>
      <c r="P317">
        <f>IF(CALC_EEM!$B307="","",CALC_EEM!P307)</f>
      </c>
      <c r="Q317">
        <f>IF(CALC_EEM!$B307="","",CALC_EEM!Q307)</f>
      </c>
      <c r="R317">
        <f>IF(CALC_EEM!$B307="","",CALC_EEM!R307)</f>
      </c>
      <c r="S317">
        <f>IF(CALC_EEM!$B307="","",CALC_EEM!S307)</f>
      </c>
      <c r="T317">
        <f>IF(CALC_EEM!$B307="","",CALC_EEM!T307)</f>
      </c>
      <c r="U317">
        <f>IF(CALC_EEM!$B307="","",CALC_EEM!U307)</f>
      </c>
    </row>
    <row r="318" spans="1:24">
      <c r="A318" t="str">
        <f>IF(CALC_EEM!$B308="","",IF(CALC_EEM!A308="GLOBAL","GLOBAL",IF(CALC_EEM!C308="Total","CURSO_TOTAL",IF(CALC_EEM!C308="TotalEsp","CURSO_ESP",IF(CALC_EEM!C308="TotalNoEsp","CURSO_NOESP","CURSO_ASIG")))))</f>
      </c>
      <c r="B318" t="str">
        <f>IF(CALC_EEM!$B308="","",CALC_EEM!A308)</f>
      </c>
      <c r="C318" t="str">
        <f>IF(CALC_EEM!$B308="","",CALC_EEM!B308)</f>
      </c>
      <c r="D318">
        <f>IF(CALC_EEM!$B308="","",CALC_EEM!D308)</f>
      </c>
      <c r="E318" s="14" t="str">
        <f>IF(CALC_EEM!$B308="","",CALC_EEM!E308)</f>
      </c>
      <c r="F318" s="14" t="str">
        <f>IF(CALC_EEM!$B308="","",CALC_EEM!F308)</f>
      </c>
      <c r="G318" t="str">
        <f>IF(CALC_EEM!$B308="","",CALC_EEM!G308)</f>
      </c>
      <c r="H318" s="16" t="str">
        <f>IF(CALC_EEM!$B308="","",CALC_EEM!H308)</f>
      </c>
      <c r="I318" s="16" t="str">
        <f>IF(CALC_EEM!$B308="","",CALC_EEM!I308)</f>
      </c>
      <c r="J318" t="str">
        <f>IF(CALC_EEM!$B308="","",CALC_EEM!J308)</f>
      </c>
      <c r="K318" t="str">
        <f>IF(CALC_EEM!$B308="","",CALC_EEM!K308)</f>
      </c>
      <c r="L318">
        <f>IF(CALC_EEM!$B308="","",CALC_EEM!L308)</f>
      </c>
      <c r="M318">
        <f>IF(CALC_EEM!$B308="","",CALC_EEM!M308)</f>
      </c>
      <c r="N318">
        <f>IF(CALC_EEM!$B308="","",CALC_EEM!N308)</f>
      </c>
      <c r="O318">
        <f>IF(CALC_EEM!$B308="","",CALC_EEM!O308)</f>
      </c>
      <c r="P318">
        <f>IF(CALC_EEM!$B308="","",CALC_EEM!P308)</f>
      </c>
      <c r="Q318">
        <f>IF(CALC_EEM!$B308="","",CALC_EEM!Q308)</f>
      </c>
      <c r="R318">
        <f>IF(CALC_EEM!$B308="","",CALC_EEM!R308)</f>
      </c>
      <c r="S318">
        <f>IF(CALC_EEM!$B308="","",CALC_EEM!S308)</f>
      </c>
      <c r="T318">
        <f>IF(CALC_EEM!$B308="","",CALC_EEM!T308)</f>
      </c>
      <c r="U318">
        <f>IF(CALC_EEM!$B308="","",CALC_EEM!U308)</f>
      </c>
    </row>
    <row r="319" spans="1:24">
      <c r="A319" t="str">
        <f>IF(CALC_EEM!$B309="","",IF(CALC_EEM!A309="GLOBAL","GLOBAL",IF(CALC_EEM!C309="Total","CURSO_TOTAL",IF(CALC_EEM!C309="TotalEsp","CURSO_ESP",IF(CALC_EEM!C309="TotalNoEsp","CURSO_NOESP","CURSO_ASIG")))))</f>
      </c>
      <c r="B319" t="str">
        <f>IF(CALC_EEM!$B309="","",CALC_EEM!A309)</f>
      </c>
      <c r="C319" t="str">
        <f>IF(CALC_EEM!$B309="","",CALC_EEM!B309)</f>
      </c>
      <c r="D319">
        <f>IF(CALC_EEM!$B309="","",CALC_EEM!D309)</f>
      </c>
      <c r="E319" s="14" t="str">
        <f>IF(CALC_EEM!$B309="","",CALC_EEM!E309)</f>
      </c>
      <c r="F319" s="14" t="str">
        <f>IF(CALC_EEM!$B309="","",CALC_EEM!F309)</f>
      </c>
      <c r="G319" t="str">
        <f>IF(CALC_EEM!$B309="","",CALC_EEM!G309)</f>
      </c>
      <c r="H319" s="16" t="str">
        <f>IF(CALC_EEM!$B309="","",CALC_EEM!H309)</f>
      </c>
      <c r="I319" s="16" t="str">
        <f>IF(CALC_EEM!$B309="","",CALC_EEM!I309)</f>
      </c>
      <c r="J319" t="str">
        <f>IF(CALC_EEM!$B309="","",CALC_EEM!J309)</f>
      </c>
      <c r="K319" t="str">
        <f>IF(CALC_EEM!$B309="","",CALC_EEM!K309)</f>
      </c>
      <c r="L319">
        <f>IF(CALC_EEM!$B309="","",CALC_EEM!L309)</f>
      </c>
      <c r="M319">
        <f>IF(CALC_EEM!$B309="","",CALC_EEM!M309)</f>
      </c>
      <c r="N319">
        <f>IF(CALC_EEM!$B309="","",CALC_EEM!N309)</f>
      </c>
      <c r="O319">
        <f>IF(CALC_EEM!$B309="","",CALC_EEM!O309)</f>
      </c>
      <c r="P319">
        <f>IF(CALC_EEM!$B309="","",CALC_EEM!P309)</f>
      </c>
      <c r="Q319">
        <f>IF(CALC_EEM!$B309="","",CALC_EEM!Q309)</f>
      </c>
      <c r="R319">
        <f>IF(CALC_EEM!$B309="","",CALC_EEM!R309)</f>
      </c>
      <c r="S319">
        <f>IF(CALC_EEM!$B309="","",CALC_EEM!S309)</f>
      </c>
      <c r="T319">
        <f>IF(CALC_EEM!$B309="","",CALC_EEM!T309)</f>
      </c>
      <c r="U319">
        <f>IF(CALC_EEM!$B309="","",CALC_EEM!U309)</f>
      </c>
    </row>
    <row r="320" spans="1:24">
      <c r="A320" t="str">
        <f>IF(CALC_EEM!$B310="","",IF(CALC_EEM!A310="GLOBAL","GLOBAL",IF(CALC_EEM!C310="Total","CURSO_TOTAL",IF(CALC_EEM!C310="TotalEsp","CURSO_ESP",IF(CALC_EEM!C310="TotalNoEsp","CURSO_NOESP","CURSO_ASIG")))))</f>
      </c>
      <c r="B320" t="str">
        <f>IF(CALC_EEM!$B310="","",CALC_EEM!A310)</f>
      </c>
      <c r="C320" t="str">
        <f>IF(CALC_EEM!$B310="","",CALC_EEM!B310)</f>
      </c>
      <c r="D320">
        <f>IF(CALC_EEM!$B310="","",CALC_EEM!D310)</f>
      </c>
      <c r="E320" s="14" t="str">
        <f>IF(CALC_EEM!$B310="","",CALC_EEM!E310)</f>
      </c>
      <c r="F320" s="14" t="str">
        <f>IF(CALC_EEM!$B310="","",CALC_EEM!F310)</f>
      </c>
      <c r="G320" t="str">
        <f>IF(CALC_EEM!$B310="","",CALC_EEM!G310)</f>
      </c>
      <c r="H320" s="16" t="str">
        <f>IF(CALC_EEM!$B310="","",CALC_EEM!H310)</f>
      </c>
      <c r="I320" s="16" t="str">
        <f>IF(CALC_EEM!$B310="","",CALC_EEM!I310)</f>
      </c>
      <c r="J320" t="str">
        <f>IF(CALC_EEM!$B310="","",CALC_EEM!J310)</f>
      </c>
      <c r="K320" t="str">
        <f>IF(CALC_EEM!$B310="","",CALC_EEM!K310)</f>
      </c>
      <c r="L320">
        <f>IF(CALC_EEM!$B310="","",CALC_EEM!L310)</f>
      </c>
      <c r="M320">
        <f>IF(CALC_EEM!$B310="","",CALC_EEM!M310)</f>
      </c>
      <c r="N320">
        <f>IF(CALC_EEM!$B310="","",CALC_EEM!N310)</f>
      </c>
      <c r="O320">
        <f>IF(CALC_EEM!$B310="","",CALC_EEM!O310)</f>
      </c>
      <c r="P320">
        <f>IF(CALC_EEM!$B310="","",CALC_EEM!P310)</f>
      </c>
      <c r="Q320">
        <f>IF(CALC_EEM!$B310="","",CALC_EEM!Q310)</f>
      </c>
      <c r="R320">
        <f>IF(CALC_EEM!$B310="","",CALC_EEM!R310)</f>
      </c>
      <c r="S320">
        <f>IF(CALC_EEM!$B310="","",CALC_EEM!S310)</f>
      </c>
      <c r="T320">
        <f>IF(CALC_EEM!$B310="","",CALC_EEM!T310)</f>
      </c>
      <c r="U320">
        <f>IF(CALC_EEM!$B310="","",CALC_EEM!U310)</f>
      </c>
    </row>
    <row r="321" spans="1:24">
      <c r="A321" t="str">
        <f>IF(CALC_EEM!$B311="","",IF(CALC_EEM!A311="GLOBAL","GLOBAL",IF(CALC_EEM!C311="Total","CURSO_TOTAL",IF(CALC_EEM!C311="TotalEsp","CURSO_ESP",IF(CALC_EEM!C311="TotalNoEsp","CURSO_NOESP","CURSO_ASIG")))))</f>
      </c>
      <c r="B321" t="str">
        <f>IF(CALC_EEM!$B311="","",CALC_EEM!A311)</f>
      </c>
      <c r="C321" t="str">
        <f>IF(CALC_EEM!$B311="","",CALC_EEM!B311)</f>
      </c>
      <c r="D321">
        <f>IF(CALC_EEM!$B311="","",CALC_EEM!D311)</f>
      </c>
      <c r="E321" s="14" t="str">
        <f>IF(CALC_EEM!$B311="","",CALC_EEM!E311)</f>
      </c>
      <c r="F321" s="14" t="str">
        <f>IF(CALC_EEM!$B311="","",CALC_EEM!F311)</f>
      </c>
      <c r="G321" t="str">
        <f>IF(CALC_EEM!$B311="","",CALC_EEM!G311)</f>
      </c>
      <c r="H321" s="16" t="str">
        <f>IF(CALC_EEM!$B311="","",CALC_EEM!H311)</f>
      </c>
      <c r="I321" s="16" t="str">
        <f>IF(CALC_EEM!$B311="","",CALC_EEM!I311)</f>
      </c>
      <c r="J321" t="str">
        <f>IF(CALC_EEM!$B311="","",CALC_EEM!J311)</f>
      </c>
      <c r="K321" t="str">
        <f>IF(CALC_EEM!$B311="","",CALC_EEM!K311)</f>
      </c>
      <c r="L321">
        <f>IF(CALC_EEM!$B311="","",CALC_EEM!L311)</f>
      </c>
      <c r="M321">
        <f>IF(CALC_EEM!$B311="","",CALC_EEM!M311)</f>
      </c>
      <c r="N321">
        <f>IF(CALC_EEM!$B311="","",CALC_EEM!N311)</f>
      </c>
      <c r="O321">
        <f>IF(CALC_EEM!$B311="","",CALC_EEM!O311)</f>
      </c>
      <c r="P321">
        <f>IF(CALC_EEM!$B311="","",CALC_EEM!P311)</f>
      </c>
      <c r="Q321">
        <f>IF(CALC_EEM!$B311="","",CALC_EEM!Q311)</f>
      </c>
      <c r="R321">
        <f>IF(CALC_EEM!$B311="","",CALC_EEM!R311)</f>
      </c>
      <c r="S321">
        <f>IF(CALC_EEM!$B311="","",CALC_EEM!S311)</f>
      </c>
      <c r="T321">
        <f>IF(CALC_EEM!$B311="","",CALC_EEM!T311)</f>
      </c>
      <c r="U321">
        <f>IF(CALC_EEM!$B311="","",CALC_EEM!U311)</f>
      </c>
    </row>
    <row r="322" spans="1:24">
      <c r="A322" t="str">
        <f>IF(CALC_EEM!$B312="","",IF(CALC_EEM!A312="GLOBAL","GLOBAL",IF(CALC_EEM!C312="Total","CURSO_TOTAL",IF(CALC_EEM!C312="TotalEsp","CURSO_ESP",IF(CALC_EEM!C312="TotalNoEsp","CURSO_NOESP","CURSO_ASIG")))))</f>
      </c>
      <c r="B322" t="str">
        <f>IF(CALC_EEM!$B312="","",CALC_EEM!A312)</f>
      </c>
      <c r="C322" t="str">
        <f>IF(CALC_EEM!$B312="","",CALC_EEM!B312)</f>
      </c>
      <c r="D322">
        <f>IF(CALC_EEM!$B312="","",CALC_EEM!D312)</f>
      </c>
      <c r="E322" s="14" t="str">
        <f>IF(CALC_EEM!$B312="","",CALC_EEM!E312)</f>
      </c>
      <c r="F322" s="14" t="str">
        <f>IF(CALC_EEM!$B312="","",CALC_EEM!F312)</f>
      </c>
      <c r="G322" t="str">
        <f>IF(CALC_EEM!$B312="","",CALC_EEM!G312)</f>
      </c>
      <c r="H322" s="16" t="str">
        <f>IF(CALC_EEM!$B312="","",CALC_EEM!H312)</f>
      </c>
      <c r="I322" s="16" t="str">
        <f>IF(CALC_EEM!$B312="","",CALC_EEM!I312)</f>
      </c>
      <c r="J322" t="str">
        <f>IF(CALC_EEM!$B312="","",CALC_EEM!J312)</f>
      </c>
      <c r="K322" t="str">
        <f>IF(CALC_EEM!$B312="","",CALC_EEM!K312)</f>
      </c>
      <c r="L322">
        <f>IF(CALC_EEM!$B312="","",CALC_EEM!L312)</f>
      </c>
      <c r="M322">
        <f>IF(CALC_EEM!$B312="","",CALC_EEM!M312)</f>
      </c>
      <c r="N322">
        <f>IF(CALC_EEM!$B312="","",CALC_EEM!N312)</f>
      </c>
      <c r="O322">
        <f>IF(CALC_EEM!$B312="","",CALC_EEM!O312)</f>
      </c>
      <c r="P322">
        <f>IF(CALC_EEM!$B312="","",CALC_EEM!P312)</f>
      </c>
      <c r="Q322">
        <f>IF(CALC_EEM!$B312="","",CALC_EEM!Q312)</f>
      </c>
      <c r="R322">
        <f>IF(CALC_EEM!$B312="","",CALC_EEM!R312)</f>
      </c>
      <c r="S322">
        <f>IF(CALC_EEM!$B312="","",CALC_EEM!S312)</f>
      </c>
      <c r="T322">
        <f>IF(CALC_EEM!$B312="","",CALC_EEM!T312)</f>
      </c>
      <c r="U322">
        <f>IF(CALC_EEM!$B312="","",CALC_EEM!U312)</f>
      </c>
    </row>
    <row r="323" spans="1:24">
      <c r="A323" t="str">
        <f>IF(CALC_EEM!$B313="","",IF(CALC_EEM!A313="GLOBAL","GLOBAL",IF(CALC_EEM!C313="Total","CURSO_TOTAL",IF(CALC_EEM!C313="TotalEsp","CURSO_ESP",IF(CALC_EEM!C313="TotalNoEsp","CURSO_NOESP","CURSO_ASIG")))))</f>
      </c>
      <c r="B323" t="str">
        <f>IF(CALC_EEM!$B313="","",CALC_EEM!A313)</f>
      </c>
      <c r="C323" t="str">
        <f>IF(CALC_EEM!$B313="","",CALC_EEM!B313)</f>
      </c>
      <c r="D323">
        <f>IF(CALC_EEM!$B313="","",CALC_EEM!D313)</f>
      </c>
      <c r="E323" s="14" t="str">
        <f>IF(CALC_EEM!$B313="","",CALC_EEM!E313)</f>
      </c>
      <c r="F323" s="14" t="str">
        <f>IF(CALC_EEM!$B313="","",CALC_EEM!F313)</f>
      </c>
      <c r="G323" t="str">
        <f>IF(CALC_EEM!$B313="","",CALC_EEM!G313)</f>
      </c>
      <c r="H323" s="16" t="str">
        <f>IF(CALC_EEM!$B313="","",CALC_EEM!H313)</f>
      </c>
      <c r="I323" s="16" t="str">
        <f>IF(CALC_EEM!$B313="","",CALC_EEM!I313)</f>
      </c>
      <c r="J323" t="str">
        <f>IF(CALC_EEM!$B313="","",CALC_EEM!J313)</f>
      </c>
      <c r="K323" t="str">
        <f>IF(CALC_EEM!$B313="","",CALC_EEM!K313)</f>
      </c>
      <c r="L323">
        <f>IF(CALC_EEM!$B313="","",CALC_EEM!L313)</f>
      </c>
      <c r="M323">
        <f>IF(CALC_EEM!$B313="","",CALC_EEM!M313)</f>
      </c>
      <c r="N323">
        <f>IF(CALC_EEM!$B313="","",CALC_EEM!N313)</f>
      </c>
      <c r="O323">
        <f>IF(CALC_EEM!$B313="","",CALC_EEM!O313)</f>
      </c>
      <c r="P323">
        <f>IF(CALC_EEM!$B313="","",CALC_EEM!P313)</f>
      </c>
      <c r="Q323">
        <f>IF(CALC_EEM!$B313="","",CALC_EEM!Q313)</f>
      </c>
      <c r="R323">
        <f>IF(CALC_EEM!$B313="","",CALC_EEM!R313)</f>
      </c>
      <c r="S323">
        <f>IF(CALC_EEM!$B313="","",CALC_EEM!S313)</f>
      </c>
      <c r="T323">
        <f>IF(CALC_EEM!$B313="","",CALC_EEM!T313)</f>
      </c>
      <c r="U323">
        <f>IF(CALC_EEM!$B313="","",CALC_EEM!U313)</f>
      </c>
    </row>
    <row r="324" spans="1:24">
      <c r="A324" t="str">
        <f>IF(CALC_EEM!$B314="","",IF(CALC_EEM!A314="GLOBAL","GLOBAL",IF(CALC_EEM!C314="Total","CURSO_TOTAL",IF(CALC_EEM!C314="TotalEsp","CURSO_ESP",IF(CALC_EEM!C314="TotalNoEsp","CURSO_NOESP","CURSO_ASIG")))))</f>
      </c>
      <c r="B324" t="str">
        <f>IF(CALC_EEM!$B314="","",CALC_EEM!A314)</f>
      </c>
      <c r="C324" t="str">
        <f>IF(CALC_EEM!$B314="","",CALC_EEM!B314)</f>
      </c>
      <c r="D324">
        <f>IF(CALC_EEM!$B314="","",CALC_EEM!D314)</f>
      </c>
      <c r="E324" s="14" t="str">
        <f>IF(CALC_EEM!$B314="","",CALC_EEM!E314)</f>
      </c>
      <c r="F324" s="14" t="str">
        <f>IF(CALC_EEM!$B314="","",CALC_EEM!F314)</f>
      </c>
      <c r="G324" t="str">
        <f>IF(CALC_EEM!$B314="","",CALC_EEM!G314)</f>
      </c>
      <c r="H324" s="16" t="str">
        <f>IF(CALC_EEM!$B314="","",CALC_EEM!H314)</f>
      </c>
      <c r="I324" s="16" t="str">
        <f>IF(CALC_EEM!$B314="","",CALC_EEM!I314)</f>
      </c>
      <c r="J324" t="str">
        <f>IF(CALC_EEM!$B314="","",CALC_EEM!J314)</f>
      </c>
      <c r="K324" t="str">
        <f>IF(CALC_EEM!$B314="","",CALC_EEM!K314)</f>
      </c>
      <c r="L324">
        <f>IF(CALC_EEM!$B314="","",CALC_EEM!L314)</f>
      </c>
      <c r="M324">
        <f>IF(CALC_EEM!$B314="","",CALC_EEM!M314)</f>
      </c>
      <c r="N324">
        <f>IF(CALC_EEM!$B314="","",CALC_EEM!N314)</f>
      </c>
      <c r="O324">
        <f>IF(CALC_EEM!$B314="","",CALC_EEM!O314)</f>
      </c>
      <c r="P324">
        <f>IF(CALC_EEM!$B314="","",CALC_EEM!P314)</f>
      </c>
      <c r="Q324">
        <f>IF(CALC_EEM!$B314="","",CALC_EEM!Q314)</f>
      </c>
      <c r="R324">
        <f>IF(CALC_EEM!$B314="","",CALC_EEM!R314)</f>
      </c>
      <c r="S324">
        <f>IF(CALC_EEM!$B314="","",CALC_EEM!S314)</f>
      </c>
      <c r="T324">
        <f>IF(CALC_EEM!$B314="","",CALC_EEM!T314)</f>
      </c>
      <c r="U324">
        <f>IF(CALC_EEM!$B314="","",CALC_EEM!U314)</f>
      </c>
    </row>
    <row r="325" spans="1:24">
      <c r="A325" t="str">
        <f>IF(CALC_EEM!$B315="","",IF(CALC_EEM!A315="GLOBAL","GLOBAL",IF(CALC_EEM!C315="Total","CURSO_TOTAL",IF(CALC_EEM!C315="TotalEsp","CURSO_ESP",IF(CALC_EEM!C315="TotalNoEsp","CURSO_NOESP","CURSO_ASIG")))))</f>
      </c>
      <c r="B325" t="str">
        <f>IF(CALC_EEM!$B315="","",CALC_EEM!A315)</f>
      </c>
      <c r="C325" t="str">
        <f>IF(CALC_EEM!$B315="","",CALC_EEM!B315)</f>
      </c>
      <c r="D325">
        <f>IF(CALC_EEM!$B315="","",CALC_EEM!D315)</f>
      </c>
      <c r="E325" s="14" t="str">
        <f>IF(CALC_EEM!$B315="","",CALC_EEM!E315)</f>
      </c>
      <c r="F325" s="14" t="str">
        <f>IF(CALC_EEM!$B315="","",CALC_EEM!F315)</f>
      </c>
      <c r="G325" t="str">
        <f>IF(CALC_EEM!$B315="","",CALC_EEM!G315)</f>
      </c>
      <c r="H325" s="16" t="str">
        <f>IF(CALC_EEM!$B315="","",CALC_EEM!H315)</f>
      </c>
      <c r="I325" s="16" t="str">
        <f>IF(CALC_EEM!$B315="","",CALC_EEM!I315)</f>
      </c>
      <c r="J325" t="str">
        <f>IF(CALC_EEM!$B315="","",CALC_EEM!J315)</f>
      </c>
      <c r="K325" t="str">
        <f>IF(CALC_EEM!$B315="","",CALC_EEM!K315)</f>
      </c>
      <c r="L325">
        <f>IF(CALC_EEM!$B315="","",CALC_EEM!L315)</f>
      </c>
      <c r="M325">
        <f>IF(CALC_EEM!$B315="","",CALC_EEM!M315)</f>
      </c>
      <c r="N325">
        <f>IF(CALC_EEM!$B315="","",CALC_EEM!N315)</f>
      </c>
      <c r="O325">
        <f>IF(CALC_EEM!$B315="","",CALC_EEM!O315)</f>
      </c>
      <c r="P325">
        <f>IF(CALC_EEM!$B315="","",CALC_EEM!P315)</f>
      </c>
      <c r="Q325">
        <f>IF(CALC_EEM!$B315="","",CALC_EEM!Q315)</f>
      </c>
      <c r="R325">
        <f>IF(CALC_EEM!$B315="","",CALC_EEM!R315)</f>
      </c>
      <c r="S325">
        <f>IF(CALC_EEM!$B315="","",CALC_EEM!S315)</f>
      </c>
      <c r="T325">
        <f>IF(CALC_EEM!$B315="","",CALC_EEM!T315)</f>
      </c>
      <c r="U325">
        <f>IF(CALC_EEM!$B315="","",CALC_EEM!U315)</f>
      </c>
    </row>
    <row r="326" spans="1:24">
      <c r="A326" t="str">
        <f>IF(CALC_EEM!$B316="","",IF(CALC_EEM!A316="GLOBAL","GLOBAL",IF(CALC_EEM!C316="Total","CURSO_TOTAL",IF(CALC_EEM!C316="TotalEsp","CURSO_ESP",IF(CALC_EEM!C316="TotalNoEsp","CURSO_NOESP","CURSO_ASIG")))))</f>
      </c>
      <c r="B326" t="str">
        <f>IF(CALC_EEM!$B316="","",CALC_EEM!A316)</f>
      </c>
      <c r="C326" t="str">
        <f>IF(CALC_EEM!$B316="","",CALC_EEM!B316)</f>
      </c>
      <c r="D326">
        <f>IF(CALC_EEM!$B316="","",CALC_EEM!D316)</f>
      </c>
      <c r="E326" s="14" t="str">
        <f>IF(CALC_EEM!$B316="","",CALC_EEM!E316)</f>
      </c>
      <c r="F326" s="14" t="str">
        <f>IF(CALC_EEM!$B316="","",CALC_EEM!F316)</f>
      </c>
      <c r="G326" t="str">
        <f>IF(CALC_EEM!$B316="","",CALC_EEM!G316)</f>
      </c>
      <c r="H326" s="16" t="str">
        <f>IF(CALC_EEM!$B316="","",CALC_EEM!H316)</f>
      </c>
      <c r="I326" s="16" t="str">
        <f>IF(CALC_EEM!$B316="","",CALC_EEM!I316)</f>
      </c>
      <c r="J326" t="str">
        <f>IF(CALC_EEM!$B316="","",CALC_EEM!J316)</f>
      </c>
      <c r="K326" t="str">
        <f>IF(CALC_EEM!$B316="","",CALC_EEM!K316)</f>
      </c>
      <c r="L326">
        <f>IF(CALC_EEM!$B316="","",CALC_EEM!L316)</f>
      </c>
      <c r="M326">
        <f>IF(CALC_EEM!$B316="","",CALC_EEM!M316)</f>
      </c>
      <c r="N326">
        <f>IF(CALC_EEM!$B316="","",CALC_EEM!N316)</f>
      </c>
      <c r="O326">
        <f>IF(CALC_EEM!$B316="","",CALC_EEM!O316)</f>
      </c>
      <c r="P326">
        <f>IF(CALC_EEM!$B316="","",CALC_EEM!P316)</f>
      </c>
      <c r="Q326">
        <f>IF(CALC_EEM!$B316="","",CALC_EEM!Q316)</f>
      </c>
      <c r="R326">
        <f>IF(CALC_EEM!$B316="","",CALC_EEM!R316)</f>
      </c>
      <c r="S326">
        <f>IF(CALC_EEM!$B316="","",CALC_EEM!S316)</f>
      </c>
      <c r="T326">
        <f>IF(CALC_EEM!$B316="","",CALC_EEM!T316)</f>
      </c>
      <c r="U326">
        <f>IF(CALC_EEM!$B316="","",CALC_EEM!U316)</f>
      </c>
    </row>
    <row r="328">
      <c r="A328" t="inlineStr">
        <is>
          <t>#AGRUPACIONES</t>
        </is>
      </c>
    </row>
    <row r="329">
      <c r="A329" s="2" t="s">
        <v>133</v>
      </c>
      <c r="B329" s="2" t="s">
        <v>2</v>
      </c>
      <c r="C329" s="2" t="s">
        <v>135</v>
      </c>
    </row>
    <row r="330">
      <c r="A330" t="s">
        <v>136</v>
      </c>
      <c r="B330" t="str">
        <f>IF(CONFIG_ASIGNATURAS!B2="","",CONFIG_ASIGNATURAS!B2)</f>
        <v>Lenguaje Musical</v>
      </c>
      <c r="C330" t="str">
        <f>IF(CONFIG_ASIGNATURAS!B2="","",IF(CONFIG_ASIGNATURAS!E2="",CONFIG_ASIGNATURAS!D2,CONFIG_ASIGNATURAS!D2&amp;";"&amp;CONFIG_ASIGNATURAS!E2))</f>
        <v>Referencia</v>
      </c>
    </row>
    <row r="331">
      <c r="A331" t="s">
        <v>136</v>
      </c>
      <c r="B331" t="str">
        <f>IF(CONFIG_ASIGNATURAS!B3="","",CONFIG_ASIGNATURAS!B3)</f>
        <v>Lenguaje Musical</v>
      </c>
      <c r="C331" t="str">
        <f>IF(CONFIG_ASIGNATURAS!B3="","",IF(CONFIG_ASIGNATURAS!E3="",CONFIG_ASIGNATURAS!D3,CONFIG_ASIGNATURAS!D3&amp;";"&amp;CONFIG_ASIGNATURAS!E3))</f>
        <v>Referencia</v>
      </c>
    </row>
    <row r="332">
      <c r="A332" t="s">
        <v>136</v>
      </c>
      <c r="B332" t="str">
        <f>IF(CONFIG_ASIGNATURAS!B4="","",CONFIG_ASIGNATURAS!B4)</f>
        <v>Lenguaje Musical</v>
      </c>
      <c r="C332" t="str">
        <f>IF(CONFIG_ASIGNATURAS!B4="","",IF(CONFIG_ASIGNATURAS!E4="",CONFIG_ASIGNATURAS!D4,CONFIG_ASIGNATURAS!D4&amp;";"&amp;CONFIG_ASIGNATURAS!E4))</f>
        <v>Referencia</v>
      </c>
    </row>
    <row r="333">
      <c r="A333" t="s">
        <v>136</v>
      </c>
      <c r="B333" t="str">
        <f>IF(CONFIG_ASIGNATURAS!B5="","",CONFIG_ASIGNATURAS!B5)</f>
        <v>Lenguaje Musical</v>
      </c>
      <c r="C333" t="str">
        <f>IF(CONFIG_ASIGNATURAS!B5="","",IF(CONFIG_ASIGNATURAS!E5="",CONFIG_ASIGNATURAS!D5,CONFIG_ASIGNATURAS!D5&amp;";"&amp;CONFIG_ASIGNATURAS!E5))</f>
        <v>Referencia</v>
      </c>
    </row>
    <row r="334">
      <c r="A334" t="s">
        <v>136</v>
      </c>
      <c r="B334" t="str">
        <f>IF(CONFIG_ASIGNATURAS!B6="","",CONFIG_ASIGNATURAS!B6)</f>
        <v>Lenguaje Musical</v>
      </c>
      <c r="C334" t="str">
        <f>IF(CONFIG_ASIGNATURAS!B6="","",IF(CONFIG_ASIGNATURAS!E6="",CONFIG_ASIGNATURAS!D6,CONFIG_ASIGNATURAS!D6&amp;";"&amp;CONFIG_ASIGNATURAS!E6))</f>
        <v>Referencia</v>
      </c>
    </row>
    <row r="335">
      <c r="A335" t="s">
        <v>136</v>
      </c>
      <c r="B335" t="str">
        <f>IF(CONFIG_ASIGNATURAS!B7="","",CONFIG_ASIGNATURAS!B7)</f>
        <v>Lenguaje Musical</v>
      </c>
      <c r="C335" t="str">
        <f>IF(CONFIG_ASIGNATURAS!B7="","",IF(CONFIG_ASIGNATURAS!E7="",CONFIG_ASIGNATURAS!D7,CONFIG_ASIGNATURAS!D7&amp;";"&amp;CONFIG_ASIGNATURAS!E7))</f>
        <v>Referencia</v>
      </c>
    </row>
    <row r="336">
      <c r="A336" t="s">
        <v>136</v>
      </c>
      <c r="B336" t="str">
        <f>IF(CONFIG_ASIGNATURAS!B8="","",CONFIG_ASIGNATURAS!B8)</f>
        <v>Lenguaje Musical</v>
      </c>
      <c r="C336" t="str">
        <f>IF(CONFIG_ASIGNATURAS!B8="","",IF(CONFIG_ASIGNATURAS!E8="",CONFIG_ASIGNATURAS!D8,CONFIG_ASIGNATURAS!D8&amp;";"&amp;CONFIG_ASIGNATURAS!E8))</f>
        <v>Referencia</v>
      </c>
    </row>
    <row r="337">
      <c r="A337" t="s">
        <v>136</v>
      </c>
      <c r="B337" t="str">
        <f>IF(CONFIG_ASIGNATURAS!B9="","",CONFIG_ASIGNATURAS!B9)</f>
        <v>Lenguaje Musical</v>
      </c>
      <c r="C337" t="str">
        <f>IF(CONFIG_ASIGNATURAS!B9="","",IF(CONFIG_ASIGNATURAS!E9="",CONFIG_ASIGNATURAS!D9,CONFIG_ASIGNATURAS!D9&amp;";"&amp;CONFIG_ASIGNATURAS!E9))</f>
        <v>Referencia</v>
      </c>
    </row>
    <row r="338">
      <c r="A338" t="s">
        <v>136</v>
      </c>
      <c r="B338" t="str">
        <f>IF(CONFIG_ASIGNATURAS!B10="","",CONFIG_ASIGNATURAS!B10)</f>
        <v>Lenguaje Musical</v>
      </c>
      <c r="C338" t="str">
        <f>IF(CONFIG_ASIGNATURAS!B10="","",IF(CONFIG_ASIGNATURAS!E10="",CONFIG_ASIGNATURAS!D10,CONFIG_ASIGNATURAS!D10&amp;";"&amp;CONFIG_ASIGNATURAS!E10))</f>
        <v>Referencia</v>
      </c>
    </row>
    <row r="339">
      <c r="A339" t="s">
        <v>136</v>
      </c>
      <c r="B339" t="str">
        <f>IF(CONFIG_ASIGNATURAS!B11="","",CONFIG_ASIGNATURAS!B11)</f>
        <v>Lenguaje Musical</v>
      </c>
      <c r="C339" t="str">
        <f>IF(CONFIG_ASIGNATURAS!B11="","",IF(CONFIG_ASIGNATURAS!E11="",CONFIG_ASIGNATURAS!D11,CONFIG_ASIGNATURAS!D11&amp;";"&amp;CONFIG_ASIGNATURAS!E11))</f>
        <v>Referencia</v>
      </c>
    </row>
    <row r="340">
      <c r="A340" t="s">
        <v>136</v>
      </c>
      <c r="B340" t="str">
        <f>IF(CONFIG_ASIGNATURAS!B12="","",CONFIG_ASIGNATURAS!B12)</f>
        <v>Lenguaje Musical</v>
      </c>
      <c r="C340" t="str">
        <f>IF(CONFIG_ASIGNATURAS!B12="","",IF(CONFIG_ASIGNATURAS!E12="",CONFIG_ASIGNATURAS!D12,CONFIG_ASIGNATURAS!D12&amp;";"&amp;CONFIG_ASIGNATURAS!E12))</f>
        <v>Referencia</v>
      </c>
    </row>
    <row r="341">
      <c r="A341" t="s">
        <v>136</v>
      </c>
      <c r="B341" t="str">
        <f>IF(CONFIG_ASIGNATURAS!B13="","",CONFIG_ASIGNATURAS!B13)</f>
        <v>Lenguaje Musical</v>
      </c>
      <c r="C341" t="str">
        <f>IF(CONFIG_ASIGNATURAS!B13="","",IF(CONFIG_ASIGNATURAS!E13="",CONFIG_ASIGNATURAS!D13,CONFIG_ASIGNATURAS!D13&amp;";"&amp;CONFIG_ASIGNATURAS!E13))</f>
        <v>Referencia</v>
      </c>
    </row>
    <row r="342">
      <c r="A342" t="s">
        <v>136</v>
      </c>
      <c r="B342" t="str">
        <f>IF(CONFIG_ASIGNATURAS!B14="","",CONFIG_ASIGNATURAS!B14)</f>
        <v>Lenguaje Musical</v>
      </c>
      <c r="C342" t="str">
        <f>IF(CONFIG_ASIGNATURAS!B14="","",IF(CONFIG_ASIGNATURAS!E14="",CONFIG_ASIGNATURAS!D14,CONFIG_ASIGNATURAS!D14&amp;";"&amp;CONFIG_ASIGNATURAS!E14))</f>
        <v>Referencia</v>
      </c>
    </row>
    <row r="343">
      <c r="A343" t="s">
        <v>136</v>
      </c>
      <c r="B343" t="str">
        <f>IF(CONFIG_ASIGNATURAS!B15="","",CONFIG_ASIGNATURAS!B15)</f>
        <v>Lenguaje Musical</v>
      </c>
      <c r="C343" t="str">
        <f>IF(CONFIG_ASIGNATURAS!B15="","",IF(CONFIG_ASIGNATURAS!E15="",CONFIG_ASIGNATURAS!D15,CONFIG_ASIGNATURAS!D15&amp;";"&amp;CONFIG_ASIGNATURAS!E15))</f>
        <v>Referencia</v>
      </c>
    </row>
    <row r="344">
      <c r="A344" t="s">
        <v>136</v>
      </c>
      <c r="B344" t="str">
        <f>IF(CONFIG_ASIGNATURAS!B16="","",CONFIG_ASIGNATURAS!B16)</f>
        <v>Lenguaje Musical</v>
      </c>
      <c r="C344" t="str">
        <f>IF(CONFIG_ASIGNATURAS!B16="","",IF(CONFIG_ASIGNATURAS!E16="",CONFIG_ASIGNATURAS!D16,CONFIG_ASIGNATURAS!D16&amp;";"&amp;CONFIG_ASIGNATURAS!E16))</f>
        <v>Referencia</v>
      </c>
    </row>
    <row r="345">
      <c r="A345" t="s">
        <v>136</v>
      </c>
      <c r="B345" t="str">
        <f>IF(CONFIG_ASIGNATURAS!B17="","",CONFIG_ASIGNATURAS!B17)</f>
        <v>Lenguaje Musical</v>
      </c>
      <c r="C345" t="str">
        <f>IF(CONFIG_ASIGNATURAS!B17="","",IF(CONFIG_ASIGNATURAS!E17="",CONFIG_ASIGNATURAS!D17,CONFIG_ASIGNATURAS!D17&amp;";"&amp;CONFIG_ASIGNATURAS!E17))</f>
        <v>Referencia</v>
      </c>
    </row>
    <row r="346">
      <c r="A346" t="s">
        <v>136</v>
      </c>
      <c r="B346" t="str">
        <f>IF(CONFIG_ASIGNATURAS!B18="","",CONFIG_ASIGNATURAS!B18)</f>
        <v>Lenguaje Musical</v>
      </c>
      <c r="C346" t="str">
        <f>IF(CONFIG_ASIGNATURAS!B18="","",IF(CONFIG_ASIGNATURAS!E18="",CONFIG_ASIGNATURAS!D18,CONFIG_ASIGNATURAS!D18&amp;";"&amp;CONFIG_ASIGNATURAS!E18))</f>
        <v>Referencia</v>
      </c>
    </row>
    <row r="347">
      <c r="A347" t="s">
        <v>136</v>
      </c>
      <c r="B347" t="str">
        <f>IF(CONFIG_ASIGNATURAS!B19="","",CONFIG_ASIGNATURAS!B19)</f>
        <v>Lenguaje Musical</v>
      </c>
      <c r="C347" t="str">
        <f>IF(CONFIG_ASIGNATURAS!B19="","",IF(CONFIG_ASIGNATURAS!E19="",CONFIG_ASIGNATURAS!D19,CONFIG_ASIGNATURAS!D19&amp;";"&amp;CONFIG_ASIGNATURAS!E19))</f>
        <v>Referencia</v>
      </c>
    </row>
    <row r="348">
      <c r="A348" t="s">
        <v>136</v>
      </c>
      <c r="B348" t="str">
        <f>IF(CONFIG_ASIGNATURAS!B20="","",CONFIG_ASIGNATURAS!B20)</f>
        <v>Lenguaje Musical</v>
      </c>
      <c r="C348" t="str">
        <f>IF(CONFIG_ASIGNATURAS!B20="","",IF(CONFIG_ASIGNATURAS!E20="",CONFIG_ASIGNATURAS!D20,CONFIG_ASIGNATURAS!D20&amp;";"&amp;CONFIG_ASIGNATURAS!E20))</f>
        <v>Referencia</v>
      </c>
    </row>
    <row r="349">
      <c r="A349" t="s">
        <v>136</v>
      </c>
      <c r="B349" t="str">
        <f>IF(CONFIG_ASIGNATURAS!B21="","",CONFIG_ASIGNATURAS!B21)</f>
        <v>Lenguaje Musical</v>
      </c>
      <c r="C349" t="str">
        <f>IF(CONFIG_ASIGNATURAS!B21="","",IF(CONFIG_ASIGNATURAS!E21="",CONFIG_ASIGNATURAS!D21,CONFIG_ASIGNATURAS!D21&amp;";"&amp;CONFIG_ASIGNATURAS!E21))</f>
        <v>Referencia</v>
      </c>
    </row>
    <row r="350">
      <c r="A350" t="s">
        <v>136</v>
      </c>
      <c r="B350" t="str">
        <f>IF(CONFIG_ASIGNATURAS!B22="","",CONFIG_ASIGNATURAS!B22)</f>
        <v>Lenguaje Musical</v>
      </c>
      <c r="C350" t="str">
        <f>IF(CONFIG_ASIGNATURAS!B22="","",IF(CONFIG_ASIGNATURAS!E22="",CONFIG_ASIGNATURAS!D22,CONFIG_ASIGNATURAS!D22&amp;";"&amp;CONFIG_ASIGNATURAS!E22))</f>
        <v>Referencia</v>
      </c>
    </row>
    <row r="351">
      <c r="A351" t="s">
        <v>136</v>
      </c>
      <c r="B351" t="str">
        <f>IF(CONFIG_ASIGNATURAS!B23="","",CONFIG_ASIGNATURAS!B23)</f>
        <v>Lenguaje Musical</v>
      </c>
      <c r="C351" t="str">
        <f>IF(CONFIG_ASIGNATURAS!B23="","",IF(CONFIG_ASIGNATURAS!E23="",CONFIG_ASIGNATURAS!D23,CONFIG_ASIGNATURAS!D23&amp;";"&amp;CONFIG_ASIGNATURAS!E23))</f>
        <v>Referencia</v>
      </c>
    </row>
    <row r="352">
      <c r="A352" t="s">
        <v>136</v>
      </c>
      <c r="B352" t="str">
        <f>IF(CONFIG_ASIGNATURAS!B24="","",CONFIG_ASIGNATURAS!B24)</f>
        <v>Lenguaje Musical</v>
      </c>
      <c r="C352" t="str">
        <f>IF(CONFIG_ASIGNATURAS!B24="","",IF(CONFIG_ASIGNATURAS!E24="",CONFIG_ASIGNATURAS!D24,CONFIG_ASIGNATURAS!D24&amp;";"&amp;CONFIG_ASIGNATURAS!E24))</f>
        <v>Referencia</v>
      </c>
    </row>
    <row r="353">
      <c r="A353" t="s">
        <v>136</v>
      </c>
      <c r="B353" t="str">
        <f>IF(CONFIG_ASIGNATURAS!B25="","",CONFIG_ASIGNATURAS!B25)</f>
        <v>Lenguaje Musical</v>
      </c>
      <c r="C353" t="str">
        <f>IF(CONFIG_ASIGNATURAS!B25="","",IF(CONFIG_ASIGNATURAS!E25="",CONFIG_ASIGNATURAS!D25,CONFIG_ASIGNATURAS!D25&amp;";"&amp;CONFIG_ASIGNATURAS!E25))</f>
        <v>Referencia</v>
      </c>
    </row>
    <row r="354">
      <c r="A354" t="s">
        <v>136</v>
      </c>
      <c r="B354" t="str">
        <f>IF(CONFIG_ASIGNATURAS!B26="","",CONFIG_ASIGNATURAS!B26)</f>
        <v>Lenguaje Musical</v>
      </c>
      <c r="C354" t="str">
        <f>IF(CONFIG_ASIGNATURAS!B26="","",IF(CONFIG_ASIGNATURAS!E26="",CONFIG_ASIGNATURAS!D26,CONFIG_ASIGNATURAS!D26&amp;";"&amp;CONFIG_ASIGNATURAS!E26))</f>
        <v>Referencia</v>
      </c>
    </row>
    <row r="355">
      <c r="A355" t="s">
        <v>136</v>
      </c>
      <c r="B355" t="str">
        <f>IF(CONFIG_ASIGNATURAS!B27="","",CONFIG_ASIGNATURAS!B27)</f>
        <v>Lenguaje Musical</v>
      </c>
      <c r="C355" t="str">
        <f>IF(CONFIG_ASIGNATURAS!B27="","",IF(CONFIG_ASIGNATURAS!E27="",CONFIG_ASIGNATURAS!D27,CONFIG_ASIGNATURAS!D27&amp;";"&amp;CONFIG_ASIGNATURAS!E27))</f>
        <v>Referencia</v>
      </c>
    </row>
    <row r="356">
      <c r="A356" t="s">
        <v>136</v>
      </c>
      <c r="B356" t="str">
        <f>IF(CONFIG_ASIGNATURAS!B28="","",CONFIG_ASIGNATURAS!B28)</f>
        <v>Lenguaje Musical</v>
      </c>
      <c r="C356" t="str">
        <f>IF(CONFIG_ASIGNATURAS!B28="","",IF(CONFIG_ASIGNATURAS!E28="",CONFIG_ASIGNATURAS!D28,CONFIG_ASIGNATURAS!D28&amp;";"&amp;CONFIG_ASIGNATURAS!E28))</f>
        <v>Referencia</v>
      </c>
    </row>
    <row r="357">
      <c r="A357" t="s">
        <v>136</v>
      </c>
      <c r="B357" t="str">
        <f>IF(CONFIG_ASIGNATURAS!B29="","",CONFIG_ASIGNATURAS!B29)</f>
        <v>Lenguaje Musical</v>
      </c>
      <c r="C357" t="str">
        <f>IF(CONFIG_ASIGNATURAS!B29="","",IF(CONFIG_ASIGNATURAS!E29="",CONFIG_ASIGNATURAS!D29,CONFIG_ASIGNATURAS!D29&amp;";"&amp;CONFIG_ASIGNATURAS!E29))</f>
        <v>Referencia</v>
      </c>
    </row>
    <row r="358">
      <c r="A358" t="s">
        <v>136</v>
      </c>
      <c r="B358" t="str">
        <f>IF(CONFIG_ASIGNATURAS!B30="","",CONFIG_ASIGNATURAS!B30)</f>
        <v>Lenguaje Musical</v>
      </c>
      <c r="C358" t="str">
        <f>IF(CONFIG_ASIGNATURAS!B30="","",IF(CONFIG_ASIGNATURAS!E30="",CONFIG_ASIGNATURAS!D30,CONFIG_ASIGNATURAS!D30&amp;";"&amp;CONFIG_ASIGNATURAS!E30))</f>
        <v>Referencia</v>
      </c>
    </row>
    <row r="359">
      <c r="A359" t="s">
        <v>136</v>
      </c>
      <c r="B359" t="str">
        <f>IF(CONFIG_ASIGNATURAS!B31="","",CONFIG_ASIGNATURAS!B31)</f>
        <v>Lenguaje Musical</v>
      </c>
      <c r="C359" t="str">
        <f>IF(CONFIG_ASIGNATURAS!B31="","",IF(CONFIG_ASIGNATURAS!E31="",CONFIG_ASIGNATURAS!D31,CONFIG_ASIGNATURAS!D31&amp;";"&amp;CONFIG_ASIGNATURAS!E31))</f>
        <v>Referencia</v>
      </c>
    </row>
    <row r="360">
      <c r="A360" t="s">
        <v>136</v>
      </c>
      <c r="B360" t="str">
        <f>IF(CONFIG_ASIGNATURAS!B32="","",CONFIG_ASIGNATURAS!B32)</f>
        <v>Lenguaje Musical</v>
      </c>
      <c r="C360" t="str">
        <f>IF(CONFIG_ASIGNATURAS!B32="","",IF(CONFIG_ASIGNATURAS!E32="",CONFIG_ASIGNATURAS!D32,CONFIG_ASIGNATURAS!D32&amp;";"&amp;CONFIG_ASIGNATURAS!E32))</f>
        <v>Referencia</v>
      </c>
    </row>
    <row r="361">
      <c r="A361" t="s">
        <v>136</v>
      </c>
      <c r="B361" t="str">
        <f>IF(CONFIG_ASIGNATURAS!B33="","",CONFIG_ASIGNATURAS!B33)</f>
        <v>Lenguaje Musical</v>
      </c>
      <c r="C361" t="str">
        <f>IF(CONFIG_ASIGNATURAS!B33="","",IF(CONFIG_ASIGNATURAS!E33="",CONFIG_ASIGNATURAS!D33,CONFIG_ASIGNATURAS!D33&amp;";"&amp;CONFIG_ASIGNATURAS!E33))</f>
        <v>Referencia</v>
      </c>
    </row>
    <row r="362">
      <c r="A362" t="s">
        <v>136</v>
      </c>
      <c r="B362" t="str">
        <f>IF(CONFIG_ASIGNATURAS!B34="","",CONFIG_ASIGNATURAS!B34)</f>
        <v>Lenguaje Musical</v>
      </c>
      <c r="C362" t="str">
        <f>IF(CONFIG_ASIGNATURAS!B34="","",IF(CONFIG_ASIGNATURAS!E34="",CONFIG_ASIGNATURAS!D34,CONFIG_ASIGNATURAS!D34&amp;";"&amp;CONFIG_ASIGNATURAS!E34))</f>
        <v>Referencia</v>
      </c>
    </row>
    <row r="363">
      <c r="A363" t="s">
        <v>136</v>
      </c>
      <c r="B363" t="str">
        <f>IF(CONFIG_ASIGNATURAS!B35="","",CONFIG_ASIGNATURAS!B35)</f>
        <v>Lenguaje Musical</v>
      </c>
      <c r="C363" t="str">
        <f>IF(CONFIG_ASIGNATURAS!B35="","",IF(CONFIG_ASIGNATURAS!E35="",CONFIG_ASIGNATURAS!D35,CONFIG_ASIGNATURAS!D35&amp;";"&amp;CONFIG_ASIGNATURAS!E35))</f>
        <v>Referencia</v>
      </c>
    </row>
    <row r="364">
      <c r="A364" t="s">
        <v>136</v>
      </c>
      <c r="B364" t="str">
        <f>IF(CONFIG_ASIGNATURAS!B36="","",CONFIG_ASIGNATURAS!B36)</f>
        <v>Lenguaje Musical</v>
      </c>
      <c r="C364" t="str">
        <f>IF(CONFIG_ASIGNATURAS!B36="","",IF(CONFIG_ASIGNATURAS!E36="",CONFIG_ASIGNATURAS!D36,CONFIG_ASIGNATURAS!D36&amp;";"&amp;CONFIG_ASIGNATURAS!E36))</f>
        <v>Referencia</v>
      </c>
    </row>
    <row r="365">
      <c r="A365" t="s">
        <v>136</v>
      </c>
      <c r="B365" t="str">
        <f>IF(CONFIG_ASIGNATURAS!B37="","",CONFIG_ASIGNATURAS!B37)</f>
        <v>Lenguaje Musical</v>
      </c>
      <c r="C365" t="str">
        <f>IF(CONFIG_ASIGNATURAS!B37="","",IF(CONFIG_ASIGNATURAS!E37="",CONFIG_ASIGNATURAS!D37,CONFIG_ASIGNATURAS!D37&amp;";"&amp;CONFIG_ASIGNATURAS!E37))</f>
        <v>Referencia</v>
      </c>
    </row>
    <row r="366">
      <c r="A366" t="s">
        <v>136</v>
      </c>
      <c r="B366" t="str">
        <f>IF(CONFIG_ASIGNATURAS!B38="","",CONFIG_ASIGNATURAS!B38)</f>
        <v>Lenguaje Musical</v>
      </c>
      <c r="C366" t="str">
        <f>IF(CONFIG_ASIGNATURAS!B38="","",IF(CONFIG_ASIGNATURAS!E38="",CONFIG_ASIGNATURAS!D38,CONFIG_ASIGNATURAS!D38&amp;";"&amp;CONFIG_ASIGNATURAS!E38))</f>
        <v>Referencia</v>
      </c>
    </row>
    <row r="367">
      <c r="A367" t="s">
        <v>136</v>
      </c>
      <c r="B367" t="str">
        <f>IF(CONFIG_ASIGNATURAS!B39="","",CONFIG_ASIGNATURAS!B39)</f>
        <v>Lenguaje Musical</v>
      </c>
      <c r="C367" t="str">
        <f>IF(CONFIG_ASIGNATURAS!B39="","",IF(CONFIG_ASIGNATURAS!E39="",CONFIG_ASIGNATURAS!D39,CONFIG_ASIGNATURAS!D39&amp;";"&amp;CONFIG_ASIGNATURAS!E39))</f>
        <v>Referencia</v>
      </c>
    </row>
    <row r="368">
      <c r="A368" t="s">
        <v>136</v>
      </c>
      <c r="B368" t="str">
        <f>IF(CONFIG_ASIGNATURAS!B40="","",CONFIG_ASIGNATURAS!B40)</f>
        <v>Lenguaje Musical</v>
      </c>
      <c r="C368" t="str">
        <f>IF(CONFIG_ASIGNATURAS!B40="","",IF(CONFIG_ASIGNATURAS!E40="",CONFIG_ASIGNATURAS!D40,CONFIG_ASIGNATURAS!D40&amp;";"&amp;CONFIG_ASIGNATURAS!E40))</f>
        <v>Referencia</v>
      </c>
    </row>
    <row r="369">
      <c r="A369" t="s">
        <v>136</v>
      </c>
      <c r="B369" t="str">
        <f>IF(CONFIG_ASIGNATURAS!B41="","",CONFIG_ASIGNATURAS!B41)</f>
        <v>Lenguaje Musical</v>
      </c>
      <c r="C369" t="str">
        <f>IF(CONFIG_ASIGNATURAS!B41="","",IF(CONFIG_ASIGNATURAS!E41="",CONFIG_ASIGNATURAS!D41,CONFIG_ASIGNATURAS!D41&amp;";"&amp;CONFIG_ASIGNATURAS!E41))</f>
        <v>Referencia</v>
      </c>
    </row>
    <row r="370">
      <c r="A370" t="s">
        <v>136</v>
      </c>
      <c r="B370" t="str">
        <f>IF(CONFIG_ASIGNATURAS!B42="","",CONFIG_ASIGNATURAS!B42)</f>
        <v>Lenguaje Musical</v>
      </c>
      <c r="C370" t="str">
        <f>IF(CONFIG_ASIGNATURAS!B42="","",IF(CONFIG_ASIGNATURAS!E42="",CONFIG_ASIGNATURAS!D42,CONFIG_ASIGNATURAS!D42&amp;";"&amp;CONFIG_ASIGNATURAS!E42))</f>
        <v>Referencia</v>
      </c>
    </row>
    <row r="371">
      <c r="A371" t="s">
        <v>136</v>
      </c>
      <c r="B371" t="str">
        <f>IF(CONFIG_ASIGNATURAS!B43="","",CONFIG_ASIGNATURAS!B43)</f>
        <v>Lenguaje Musical</v>
      </c>
      <c r="C371" t="str">
        <f>IF(CONFIG_ASIGNATURAS!B43="","",IF(CONFIG_ASIGNATURAS!E43="",CONFIG_ASIGNATURAS!D43,CONFIG_ASIGNATURAS!D43&amp;";"&amp;CONFIG_ASIGNATURAS!E43))</f>
        <v>Referencia</v>
      </c>
    </row>
    <row r="372">
      <c r="A372" t="s">
        <v>136</v>
      </c>
      <c r="B372" t="str">
        <f>IF(CONFIG_ASIGNATURAS!B44="","",CONFIG_ASIGNATURAS!B44)</f>
        <v>Lenguaje Musical</v>
      </c>
      <c r="C372" t="str">
        <f>IF(CONFIG_ASIGNATURAS!B44="","",IF(CONFIG_ASIGNATURAS!E44="",CONFIG_ASIGNATURAS!D44,CONFIG_ASIGNATURAS!D44&amp;";"&amp;CONFIG_ASIGNATURAS!E44))</f>
        <v>Referencia</v>
      </c>
    </row>
    <row r="373">
      <c r="A373" t="s">
        <v>136</v>
      </c>
      <c r="B373" t="str">
        <f>IF(CONFIG_ASIGNATURAS!B45="","",CONFIG_ASIGNATURAS!B45)</f>
        <v>Lenguaje Musical</v>
      </c>
      <c r="C373" t="str">
        <f>IF(CONFIG_ASIGNATURAS!B45="","",IF(CONFIG_ASIGNATURAS!E45="",CONFIG_ASIGNATURAS!D45,CONFIG_ASIGNATURAS!D45&amp;";"&amp;CONFIG_ASIGNATURAS!E45))</f>
        <v>Referencia</v>
      </c>
    </row>
    <row r="374">
      <c r="A374" t="s">
        <v>136</v>
      </c>
      <c r="B374" t="str">
        <f>IF(CONFIG_ASIGNATURAS!B46="","",CONFIG_ASIGNATURAS!B46)</f>
        <v>Lenguaje Musical</v>
      </c>
      <c r="C374" t="str">
        <f>IF(CONFIG_ASIGNATURAS!B46="","",IF(CONFIG_ASIGNATURAS!E46="",CONFIG_ASIGNATURAS!D46,CONFIG_ASIGNATURAS!D46&amp;";"&amp;CONFIG_ASIGNATURAS!E46))</f>
        <v>Referencia</v>
      </c>
    </row>
    <row r="375">
      <c r="A375" t="s">
        <v>136</v>
      </c>
      <c r="B375" t="str">
        <f>IF(CONFIG_ASIGNATURAS!B47="","",CONFIG_ASIGNATURAS!B47)</f>
        <v>Lenguaje Musical</v>
      </c>
      <c r="C375" t="str">
        <f>IF(CONFIG_ASIGNATURAS!B47="","",IF(CONFIG_ASIGNATURAS!E47="",CONFIG_ASIGNATURAS!D47,CONFIG_ASIGNATURAS!D47&amp;";"&amp;CONFIG_ASIGNATURAS!E47))</f>
        <v>Referencia</v>
      </c>
    </row>
    <row r="376">
      <c r="A376" t="s">
        <v>136</v>
      </c>
      <c r="B376" t="str">
        <f>IF(CONFIG_ASIGNATURAS!B48="","",CONFIG_ASIGNATURAS!B48)</f>
        <v>Lenguaje Musical</v>
      </c>
      <c r="C376" t="str">
        <f>IF(CONFIG_ASIGNATURAS!B48="","",IF(CONFIG_ASIGNATURAS!E48="",CONFIG_ASIGNATURAS!D48,CONFIG_ASIGNATURAS!D48&amp;";"&amp;CONFIG_ASIGNATURAS!E48))</f>
        <v>Referencia</v>
      </c>
    </row>
    <row r="377">
      <c r="A377" t="s">
        <v>136</v>
      </c>
      <c r="B377" t="str">
        <f>IF(CONFIG_ASIGNATURAS!B49="","",CONFIG_ASIGNATURAS!B49)</f>
        <v>Lenguaje Musical</v>
      </c>
      <c r="C377" t="str">
        <f>IF(CONFIG_ASIGNATURAS!B49="","",IF(CONFIG_ASIGNATURAS!E49="",CONFIG_ASIGNATURAS!D49,CONFIG_ASIGNATURAS!D49&amp;";"&amp;CONFIG_ASIGNATURAS!E49))</f>
        <v>Referencia</v>
      </c>
    </row>
    <row r="378">
      <c r="A378" t="s">
        <v>136</v>
      </c>
      <c r="B378" t="str">
        <f>IF(CONFIG_ASIGNATURAS!B50="","",CONFIG_ASIGNATURAS!B50)</f>
        <v>Lenguaje Musical</v>
      </c>
      <c r="C378" t="str">
        <f>IF(CONFIG_ASIGNATURAS!B50="","",IF(CONFIG_ASIGNATURAS!E50="",CONFIG_ASIGNATURAS!D50,CONFIG_ASIGNATURAS!D50&amp;";"&amp;CONFIG_ASIGNATURAS!E50))</f>
        <v>Referencia</v>
      </c>
    </row>
    <row r="379">
      <c r="A379" t="s">
        <v>136</v>
      </c>
      <c r="B379" t="str">
        <f>IF(CONFIG_ASIGNATURAS!B51="","",CONFIG_ASIGNATURAS!B51)</f>
        <v>Lenguaje Musical</v>
      </c>
      <c r="C379" t="str">
        <f>IF(CONFIG_ASIGNATURAS!B51="","",IF(CONFIG_ASIGNATURAS!E51="",CONFIG_ASIGNATURAS!D51,CONFIG_ASIGNATURAS!D51&amp;";"&amp;CONFIG_ASIGNATURAS!E51))</f>
        <v>Referencia</v>
      </c>
    </row>
    <row r="380">
      <c r="A380" t="s">
        <v>136</v>
      </c>
      <c r="B380" t="str">
        <f>IF(CONFIG_ASIGNATURAS!B52="","",CONFIG_ASIGNATURAS!B52)</f>
        <v>Lenguaje Musical</v>
      </c>
      <c r="C380" t="str">
        <f>IF(CONFIG_ASIGNATURAS!B52="","",IF(CONFIG_ASIGNATURAS!E52="",CONFIG_ASIGNATURAS!D52,CONFIG_ASIGNATURAS!D52&amp;";"&amp;CONFIG_ASIGNATURAS!E52))</f>
        <v>Referencia</v>
      </c>
    </row>
    <row r="381">
      <c r="A381" t="s">
        <v>136</v>
      </c>
      <c r="B381" t="str">
        <f>IF(CONFIG_ASIGNATURAS!B53="","",CONFIG_ASIGNATURAS!B53)</f>
        <v>Lenguaje Musical</v>
      </c>
      <c r="C381" t="str">
        <f>IF(CONFIG_ASIGNATURAS!B53="","",IF(CONFIG_ASIGNATURAS!E53="",CONFIG_ASIGNATURAS!D53,CONFIG_ASIGNATURAS!D53&amp;";"&amp;CONFIG_ASIGNATURAS!E53))</f>
        <v>Referencia</v>
      </c>
    </row>
    <row r="382">
      <c r="A382" t="s">
        <v>136</v>
      </c>
      <c r="B382" t="str">
        <f>IF(CONFIG_ASIGNATURAS!B54="","",CONFIG_ASIGNATURAS!B54)</f>
        <v>Lenguaje Musical</v>
      </c>
      <c r="C382" t="str">
        <f>IF(CONFIG_ASIGNATURAS!B54="","",IF(CONFIG_ASIGNATURAS!E54="",CONFIG_ASIGNATURAS!D54,CONFIG_ASIGNATURAS!D54&amp;";"&amp;CONFIG_ASIGNATURAS!E54))</f>
        <v>Referencia</v>
      </c>
    </row>
    <row r="383">
      <c r="A383" t="s">
        <v>136</v>
      </c>
      <c r="B383" t="str">
        <f>IF(CONFIG_ASIGNATURAS!B55="","",CONFIG_ASIGNATURAS!B55)</f>
        <v>Lenguaje Musical</v>
      </c>
      <c r="C383" t="str">
        <f>IF(CONFIG_ASIGNATURAS!B55="","",IF(CONFIG_ASIGNATURAS!E55="",CONFIG_ASIGNATURAS!D55,CONFIG_ASIGNATURAS!D55&amp;";"&amp;CONFIG_ASIGNATURAS!E55))</f>
        <v>Referencia</v>
      </c>
    </row>
    <row r="384">
      <c r="A384" t="s">
        <v>136</v>
      </c>
      <c r="B384" t="str">
        <f>IF(CONFIG_ASIGNATURAS!B56="","",CONFIG_ASIGNATURAS!B56)</f>
        <v>Lenguaje Musical</v>
      </c>
      <c r="C384" t="str">
        <f>IF(CONFIG_ASIGNATURAS!B56="","",IF(CONFIG_ASIGNATURAS!E56="",CONFIG_ASIGNATURAS!D56,CONFIG_ASIGNATURAS!D56&amp;";"&amp;CONFIG_ASIGNATURAS!E56))</f>
        <v>Referencia</v>
      </c>
    </row>
    <row r="385">
      <c r="A385" t="s">
        <v>136</v>
      </c>
      <c r="B385" t="str">
        <f>IF(CONFIG_ASIGNATURAS!B57="","",CONFIG_ASIGNATURAS!B57)</f>
        <v>Lenguaje Musical</v>
      </c>
      <c r="C385" t="str">
        <f>IF(CONFIG_ASIGNATURAS!B57="","",IF(CONFIG_ASIGNATURAS!E57="",CONFIG_ASIGNATURAS!D57,CONFIG_ASIGNATURAS!D57&amp;";"&amp;CONFIG_ASIGNATURAS!E57))</f>
        <v>Referencia</v>
      </c>
    </row>
    <row r="386">
      <c r="A386" t="s">
        <v>136</v>
      </c>
      <c r="B386" t="str">
        <f>IF(CONFIG_ASIGNATURAS!B58="","",CONFIG_ASIGNATURAS!B58)</f>
        <v>Lenguaje Musical</v>
      </c>
      <c r="C386" t="str">
        <f>IF(CONFIG_ASIGNATURAS!B58="","",IF(CONFIG_ASIGNATURAS!E58="",CONFIG_ASIGNATURAS!D58,CONFIG_ASIGNATURAS!D58&amp;";"&amp;CONFIG_ASIGNATURAS!E58))</f>
        <v>Referencia</v>
      </c>
    </row>
    <row r="387">
      <c r="A387" t="s">
        <v>136</v>
      </c>
      <c r="B387" t="str">
        <f>IF(CONFIG_ASIGNATURAS!B59="","",CONFIG_ASIGNATURAS!B59)</f>
        <v>Lenguaje Musical</v>
      </c>
      <c r="C387" t="str">
        <f>IF(CONFIG_ASIGNATURAS!B59="","",IF(CONFIG_ASIGNATURAS!E59="",CONFIG_ASIGNATURAS!D59,CONFIG_ASIGNATURAS!D59&amp;";"&amp;CONFIG_ASIGNATURAS!E59))</f>
        <v>Referencia</v>
      </c>
    </row>
    <row r="388">
      <c r="A388" t="s">
        <v>136</v>
      </c>
      <c r="B388" t="str">
        <f>IF(CONFIG_ASIGNATURAS!B60="","",CONFIG_ASIGNATURAS!B60)</f>
        <v>Lenguaje Musical</v>
      </c>
      <c r="C388" t="str">
        <f>IF(CONFIG_ASIGNATURAS!B60="","",IF(CONFIG_ASIGNATURAS!E60="",CONFIG_ASIGNATURAS!D60,CONFIG_ASIGNATURAS!D60&amp;";"&amp;CONFIG_ASIGNATURAS!E60))</f>
        <v>Referencia</v>
      </c>
    </row>
    <row r="389">
      <c r="A389" t="s">
        <v>136</v>
      </c>
      <c r="B389" t="str">
        <f>IF(CONFIG_ASIGNATURAS!B61="","",CONFIG_ASIGNATURAS!B61)</f>
        <v>Lenguaje Musical</v>
      </c>
      <c r="C389" t="str">
        <f>IF(CONFIG_ASIGNATURAS!B61="","",IF(CONFIG_ASIGNATURAS!E61="",CONFIG_ASIGNATURAS!D61,CONFIG_ASIGNATURAS!D61&amp;";"&amp;CONFIG_ASIGNATURAS!E61))</f>
        <v>Referencia</v>
      </c>
    </row>
    <row r="390">
      <c r="A390" s="12" t="s">
        <v>137</v>
      </c>
    </row>
    <row r="391">
      <c r="A391" s="2" t="s">
        <v>133</v>
      </c>
      <c r="B391" s="2" t="s">
        <v>75</v>
      </c>
      <c r="C391" s="2" t="s">
        <v>58</v>
      </c>
      <c r="D391" s="2" t="s">
        <v>59</v>
      </c>
      <c r="E391" s="2" t="s">
        <v>108</v>
      </c>
      <c r="F391" s="2" t="s">
        <v>110</v>
      </c>
    </row>
    <row r="392">
      <c r="A392" t="s">
        <v>138</v>
      </c>
      <c r="B392" t="str">
        <f>CALC_CORRELACIONES!A2</f>
        <v>1EEM</v>
      </c>
      <c r="C392" t="str">
        <f>CALC_CORRELACIONES!B2</f>
        <v>Lenguaje Musical</v>
      </c>
      <c r="D392" t="str">
        <f>CALC_CORRELACIONES!C2</f>
        <v>Coro</v>
      </c>
      <c r="E392" s="14" t="str">
        <f>CALC_CORRELACIONES!D2</f>
        <v/>
      </c>
      <c r="F392" t="str">
        <f>CALC_CORRELACIONES!F2</f>
        <v/>
      </c>
    </row>
    <row r="393">
      <c r="A393" t="s">
        <v>138</v>
      </c>
      <c r="B393" t="str">
        <f>CALC_CORRELACIONES!A3</f>
        <v>1EEM</v>
      </c>
      <c r="C393" t="str">
        <f>CALC_CORRELACIONES!B3</f>
        <v>Lenguaje Musical</v>
      </c>
      <c r="D393" t="str">
        <f>CALC_CORRELACIONES!C3</f>
        <v>Especialidad</v>
      </c>
      <c r="E393" s="14" t="str">
        <f>CALC_CORRELACIONES!D3</f>
        <v/>
      </c>
      <c r="F393" t="str">
        <f>CALC_CORRELACIONES!F3</f>
        <v/>
      </c>
    </row>
    <row r="394">
      <c r="A394" t="s">
        <v>138</v>
      </c>
      <c r="B394" t="str">
        <f>CALC_CORRELACIONES!A4</f>
        <v>1EEM</v>
      </c>
      <c r="C394" t="str">
        <f>CALC_CORRELACIONES!B4</f>
        <v>Coro</v>
      </c>
      <c r="D394" t="str">
        <f>CALC_CORRELACIONES!C4</f>
        <v>Especialidad</v>
      </c>
      <c r="E394" s="14" t="str">
        <f>CALC_CORRELACIONES!D4</f>
        <v/>
      </c>
      <c r="F394" t="str">
        <f>CALC_CORRELACIONES!F4</f>
        <v/>
      </c>
    </row>
    <row r="395">
      <c r="A395" t="s">
        <v>138</v>
      </c>
      <c r="B395" t="str">
        <f>CALC_CORRELACIONES!A5</f>
        <v>2EEM</v>
      </c>
      <c r="C395" t="str">
        <f>CALC_CORRELACIONES!B5</f>
        <v>Lenguaje Musical</v>
      </c>
      <c r="D395" t="str">
        <f>CALC_CORRELACIONES!C5</f>
        <v>Coro</v>
      </c>
      <c r="E395" s="14" t="str">
        <f>CALC_CORRELACIONES!D5</f>
        <v/>
      </c>
      <c r="F395" t="str">
        <f>CALC_CORRELACIONES!F5</f>
        <v/>
      </c>
    </row>
    <row r="396">
      <c r="A396" t="s">
        <v>138</v>
      </c>
      <c r="B396" t="str">
        <f>CALC_CORRELACIONES!A6</f>
        <v>2EEM</v>
      </c>
      <c r="C396" t="str">
        <f>CALC_CORRELACIONES!B6</f>
        <v>Lenguaje Musical</v>
      </c>
      <c r="D396" t="str">
        <f>CALC_CORRELACIONES!C6</f>
        <v>Especialidad</v>
      </c>
      <c r="E396" s="14" t="str">
        <f>CALC_CORRELACIONES!D6</f>
        <v/>
      </c>
      <c r="F396" t="str">
        <f>CALC_CORRELACIONES!F6</f>
        <v/>
      </c>
    </row>
    <row r="397">
      <c r="A397" t="s">
        <v>138</v>
      </c>
      <c r="B397" t="str">
        <f>CALC_CORRELACIONES!A7</f>
        <v>2EEM</v>
      </c>
      <c r="C397" t="str">
        <f>CALC_CORRELACIONES!B7</f>
        <v>Coro</v>
      </c>
      <c r="D397" t="str">
        <f>CALC_CORRELACIONES!C7</f>
        <v>Especialidad</v>
      </c>
      <c r="E397" s="14" t="str">
        <f>CALC_CORRELACIONES!D7</f>
        <v/>
      </c>
      <c r="F397" t="str">
        <f>CALC_CORRELACIONES!F7</f>
        <v/>
      </c>
    </row>
    <row r="398">
      <c r="A398" t="s">
        <v>138</v>
      </c>
      <c r="B398" t="str">
        <f>CALC_CORRELACIONES!A8</f>
        <v>3EEM</v>
      </c>
      <c r="C398" t="str">
        <f>CALC_CORRELACIONES!B8</f>
        <v>Lenguaje Musical</v>
      </c>
      <c r="D398" t="str">
        <f>CALC_CORRELACIONES!C8</f>
        <v>Coro</v>
      </c>
      <c r="E398" s="14" t="str">
        <f>CALC_CORRELACIONES!D8</f>
        <v/>
      </c>
      <c r="F398" t="str">
        <f>CALC_CORRELACIONES!F8</f>
        <v/>
      </c>
    </row>
    <row r="399">
      <c r="A399" t="s">
        <v>138</v>
      </c>
      <c r="B399" t="str">
        <f>CALC_CORRELACIONES!A9</f>
        <v>3EEM</v>
      </c>
      <c r="C399" t="str">
        <f>CALC_CORRELACIONES!B9</f>
        <v>Lenguaje Musical</v>
      </c>
      <c r="D399" t="str">
        <f>CALC_CORRELACIONES!C9</f>
        <v>Conjunto</v>
      </c>
      <c r="E399" s="14" t="str">
        <f>CALC_CORRELACIONES!D9</f>
        <v/>
      </c>
      <c r="F399" t="str">
        <f>CALC_CORRELACIONES!F9</f>
        <v/>
      </c>
    </row>
    <row r="400">
      <c r="A400" t="s">
        <v>138</v>
      </c>
      <c r="B400" t="str">
        <f>CALC_CORRELACIONES!A10</f>
        <v>3EEM</v>
      </c>
      <c r="C400" t="str">
        <f>CALC_CORRELACIONES!B10</f>
        <v>Lenguaje Musical</v>
      </c>
      <c r="D400" t="str">
        <f>CALC_CORRELACIONES!C10</f>
        <v>Especialidad</v>
      </c>
      <c r="E400" s="14" t="str">
        <f>CALC_CORRELACIONES!D10</f>
        <v/>
      </c>
      <c r="F400" t="str">
        <f>CALC_CORRELACIONES!F10</f>
        <v/>
      </c>
    </row>
    <row r="401">
      <c r="A401" t="s">
        <v>138</v>
      </c>
      <c r="B401" t="str">
        <f>CALC_CORRELACIONES!A11</f>
        <v>3EEM</v>
      </c>
      <c r="C401" t="str">
        <f>CALC_CORRELACIONES!B11</f>
        <v>Coro</v>
      </c>
      <c r="D401" t="str">
        <f>CALC_CORRELACIONES!C11</f>
        <v>Conjunto</v>
      </c>
      <c r="E401" s="14" t="str">
        <f>CALC_CORRELACIONES!D11</f>
        <v/>
      </c>
      <c r="F401" t="str">
        <f>CALC_CORRELACIONES!F11</f>
        <v/>
      </c>
    </row>
    <row r="402">
      <c r="A402" t="s">
        <v>138</v>
      </c>
      <c r="B402" t="str">
        <f>CALC_CORRELACIONES!A12</f>
        <v>3EEM</v>
      </c>
      <c r="C402" t="str">
        <f>CALC_CORRELACIONES!B12</f>
        <v>Coro</v>
      </c>
      <c r="D402" t="str">
        <f>CALC_CORRELACIONES!C12</f>
        <v>Especialidad</v>
      </c>
      <c r="E402" s="14" t="str">
        <f>CALC_CORRELACIONES!D12</f>
        <v/>
      </c>
      <c r="F402" t="str">
        <f>CALC_CORRELACIONES!F12</f>
        <v/>
      </c>
    </row>
    <row r="403">
      <c r="A403" t="s">
        <v>138</v>
      </c>
      <c r="B403" t="str">
        <f>CALC_CORRELACIONES!A13</f>
        <v>3EEM</v>
      </c>
      <c r="C403" t="str">
        <f>CALC_CORRELACIONES!B13</f>
        <v>Conjunto</v>
      </c>
      <c r="D403" t="str">
        <f>CALC_CORRELACIONES!C13</f>
        <v>Especialidad</v>
      </c>
      <c r="E403" s="14" t="str">
        <f>CALC_CORRELACIONES!D13</f>
        <v/>
      </c>
      <c r="F403" t="str">
        <f>CALC_CORRELACIONES!F13</f>
        <v/>
      </c>
    </row>
    <row r="404">
      <c r="A404" t="s">
        <v>138</v>
      </c>
      <c r="B404" t="str">
        <f>CALC_CORRELACIONES!A14</f>
        <v>4EEM</v>
      </c>
      <c r="C404" t="str">
        <f>CALC_CORRELACIONES!B14</f>
        <v>Lenguaje Musical</v>
      </c>
      <c r="D404" t="str">
        <f>CALC_CORRELACIONES!C14</f>
        <v>Coro</v>
      </c>
      <c r="E404" s="14" t="str">
        <f>CALC_CORRELACIONES!D14</f>
        <v/>
      </c>
      <c r="F404" t="str">
        <f>CALC_CORRELACIONES!F14</f>
        <v/>
      </c>
    </row>
    <row r="405">
      <c r="A405" t="s">
        <v>138</v>
      </c>
      <c r="B405" t="str">
        <f>CALC_CORRELACIONES!A15</f>
        <v>4EEM</v>
      </c>
      <c r="C405" t="str">
        <f>CALC_CORRELACIONES!B15</f>
        <v>Lenguaje Musical</v>
      </c>
      <c r="D405" t="str">
        <f>CALC_CORRELACIONES!C15</f>
        <v>Conjunto</v>
      </c>
      <c r="E405" s="14" t="str">
        <f>CALC_CORRELACIONES!D15</f>
        <v/>
      </c>
      <c r="F405" t="str">
        <f>CALC_CORRELACIONES!F15</f>
        <v/>
      </c>
    </row>
    <row r="406">
      <c r="A406" t="s">
        <v>138</v>
      </c>
      <c r="B406" t="str">
        <f>CALC_CORRELACIONES!A16</f>
        <v>4EEM</v>
      </c>
      <c r="C406" t="str">
        <f>CALC_CORRELACIONES!B16</f>
        <v>Lenguaje Musical</v>
      </c>
      <c r="D406" t="str">
        <f>CALC_CORRELACIONES!C16</f>
        <v>Especialidad</v>
      </c>
      <c r="E406" s="14" t="str">
        <f>CALC_CORRELACIONES!D16</f>
        <v/>
      </c>
      <c r="F406" t="str">
        <f>CALC_CORRELACIONES!F16</f>
        <v/>
      </c>
    </row>
    <row r="407">
      <c r="A407" t="s">
        <v>138</v>
      </c>
      <c r="B407" t="str">
        <f>CALC_CORRELACIONES!A17</f>
        <v>4EEM</v>
      </c>
      <c r="C407" t="str">
        <f>CALC_CORRELACIONES!B17</f>
        <v>Coro</v>
      </c>
      <c r="D407" t="str">
        <f>CALC_CORRELACIONES!C17</f>
        <v>Conjunto</v>
      </c>
      <c r="E407" s="14" t="str">
        <f>CALC_CORRELACIONES!D17</f>
        <v/>
      </c>
      <c r="F407" t="str">
        <f>CALC_CORRELACIONES!F17</f>
        <v/>
      </c>
    </row>
    <row r="408">
      <c r="A408" t="s">
        <v>138</v>
      </c>
      <c r="B408" t="str">
        <f>CALC_CORRELACIONES!A18</f>
        <v>4EEM</v>
      </c>
      <c r="C408" t="str">
        <f>CALC_CORRELACIONES!B18</f>
        <v>Coro</v>
      </c>
      <c r="D408" t="str">
        <f>CALC_CORRELACIONES!C18</f>
        <v>Especialidad</v>
      </c>
      <c r="E408" s="14" t="str">
        <f>CALC_CORRELACIONES!D18</f>
        <v/>
      </c>
      <c r="F408" t="str">
        <f>CALC_CORRELACIONES!F18</f>
        <v/>
      </c>
    </row>
    <row r="409">
      <c r="A409" t="s">
        <v>138</v>
      </c>
      <c r="B409" t="str">
        <f>CALC_CORRELACIONES!A19</f>
        <v>4EEM</v>
      </c>
      <c r="C409" t="str">
        <f>CALC_CORRELACIONES!B19</f>
        <v>Conjunto</v>
      </c>
      <c r="D409" t="str">
        <f>CALC_CORRELACIONES!C19</f>
        <v>Especialidad</v>
      </c>
      <c r="E409" s="14" t="str">
        <f>CALC_CORRELACIONES!D19</f>
        <v/>
      </c>
      <c r="F409" t="str">
        <f>CALC_CORRELACIONES!F19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PORTADA_EEM</vt:lpstr>
      <vt:lpstr>CONFIG_ASIGNATURAS</vt:lpstr>
      <vt:lpstr>CONFIG_METADATA</vt:lpstr>
      <vt:lpstr>CONFIG_CORRELACIONES</vt:lpstr>
      <vt:lpstr>DATOS</vt:lpstr>
      <vt:lpstr>CALC_EEM</vt:lpstr>
      <vt:lpstr>DAT_CORRELACION</vt:lpstr>
      <vt:lpstr>CALC_CORRELACIONES</vt:lpstr>
      <vt:lpstr>EXPORTADOR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Luis Miralles Bono</cp:lastModifiedBy>
  <cp:revision>0</cp:revision>
  <dcterms:created xsi:type="dcterms:W3CDTF">2025-12-25T16:13:55Z</dcterms:created>
  <dcterms:modified xsi:type="dcterms:W3CDTF">2025-12-28T16:25:34Z</dcterms:modified>
  <dc:language>en-US</dc:language>
</cp:coreProperties>
</file>